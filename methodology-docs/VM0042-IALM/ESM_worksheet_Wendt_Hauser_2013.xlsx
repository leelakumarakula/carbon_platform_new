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harts/chart1.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324"/>
  <workbookPr codeName="ThisWorkbook"/>
  <mc:AlternateContent xmlns:mc="http://schemas.openxmlformats.org/markup-compatibility/2006">
    <mc:Choice Requires="x15">
      <x15ac:absPath xmlns:x15ac="http://schemas.microsoft.com/office/spreadsheetml/2010/11/ac" url="C:\Users\CathySpicer-Sitzes\Downloads\"/>
    </mc:Choice>
  </mc:AlternateContent>
  <xr:revisionPtr revIDLastSave="0" documentId="8_{91220AD5-90D1-44D9-B158-1E99F539513E}" xr6:coauthVersionLast="47" xr6:coauthVersionMax="47" xr10:uidLastSave="{00000000-0000-0000-0000-000000000000}"/>
  <bookViews>
    <workbookView xWindow="-47610" yWindow="480" windowWidth="32115" windowHeight="13110" xr2:uid="{00000000-000D-0000-FFFF-FFFF00000000}"/>
  </bookViews>
  <sheets>
    <sheet name="Instructions" sheetId="1" r:id="rId1"/>
    <sheet name="Cubic spline description" sheetId="2" r:id="rId2"/>
    <sheet name="Cubic spline simple" sheetId="3" r:id="rId3"/>
    <sheet name="Cubic spline general" sheetId="4" r:id="rId4"/>
    <sheet name="CS general Bulk densit version" sheetId="5" r:id="rId5"/>
  </sheets>
  <externalReferences>
    <externalReference r:id="rId6"/>
  </externalReferences>
  <definedNames>
    <definedName name="in">'Cubic spline description'!$B$9</definedName>
    <definedName name="out">'Cubic spline description'!$C$9</definedName>
  </definedNames>
  <calcPr calcId="191028"/>
  <extLst>
    <ext xmlns:x14="http://schemas.microsoft.com/office/spreadsheetml/2009/9/main" uri="{79F54976-1DA5-4618-B147-4CDE4B953A38}">
      <x14:workbookPr defaultImageDpi="32767"/>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E1316" i="5" l="1"/>
  <c r="F1316" i="5" s="1"/>
  <c r="E1315" i="5"/>
  <c r="E1314" i="5"/>
  <c r="E1313" i="5"/>
  <c r="E1312" i="5"/>
  <c r="F1312" i="5" s="1"/>
  <c r="E1311" i="5"/>
  <c r="E1310" i="5"/>
  <c r="E1309" i="5"/>
  <c r="E1308" i="5"/>
  <c r="E1307" i="5"/>
  <c r="E1306" i="5"/>
  <c r="E1305" i="5"/>
  <c r="E1303" i="5"/>
  <c r="E1302" i="5"/>
  <c r="E1301" i="5"/>
  <c r="E1300" i="5"/>
  <c r="E1299" i="5"/>
  <c r="E1298" i="5"/>
  <c r="E1297" i="5"/>
  <c r="E1296" i="5"/>
  <c r="E1295" i="5"/>
  <c r="E1294" i="5"/>
  <c r="E1293" i="5"/>
  <c r="E1292" i="5"/>
  <c r="E1290" i="5"/>
  <c r="E1289" i="5"/>
  <c r="E1288" i="5"/>
  <c r="E1287" i="5"/>
  <c r="E1286" i="5"/>
  <c r="E1285" i="5"/>
  <c r="E1284" i="5"/>
  <c r="E1283" i="5"/>
  <c r="E1282" i="5"/>
  <c r="E1281" i="5"/>
  <c r="E1280" i="5"/>
  <c r="E1279" i="5"/>
  <c r="E1277" i="5"/>
  <c r="E1276" i="5"/>
  <c r="E1275" i="5"/>
  <c r="E1274" i="5"/>
  <c r="E1273" i="5"/>
  <c r="E1272" i="5"/>
  <c r="E1271" i="5"/>
  <c r="E1270" i="5"/>
  <c r="E1269" i="5"/>
  <c r="E1268" i="5"/>
  <c r="E1267" i="5"/>
  <c r="E1266" i="5"/>
  <c r="E1264" i="5"/>
  <c r="E1263" i="5"/>
  <c r="E1262" i="5"/>
  <c r="E1261" i="5"/>
  <c r="E1260" i="5"/>
  <c r="E1259" i="5"/>
  <c r="E1258" i="5"/>
  <c r="E1257" i="5"/>
  <c r="E1256" i="5"/>
  <c r="E1255" i="5"/>
  <c r="E1254" i="5"/>
  <c r="E1253" i="5"/>
  <c r="E1251" i="5"/>
  <c r="E1250" i="5"/>
  <c r="E1249" i="5"/>
  <c r="E1248" i="5"/>
  <c r="E1247" i="5"/>
  <c r="E1246" i="5"/>
  <c r="E1245" i="5"/>
  <c r="E1244" i="5"/>
  <c r="E1243" i="5"/>
  <c r="E1242" i="5"/>
  <c r="E1241" i="5"/>
  <c r="E1240" i="5"/>
  <c r="E1238" i="5"/>
  <c r="E1237" i="5"/>
  <c r="E1236" i="5"/>
  <c r="E1235" i="5"/>
  <c r="E1234" i="5"/>
  <c r="E1233" i="5"/>
  <c r="E1232" i="5"/>
  <c r="E1231" i="5"/>
  <c r="E1230" i="5"/>
  <c r="E1229" i="5"/>
  <c r="E1228" i="5"/>
  <c r="E1227" i="5"/>
  <c r="E1225" i="5"/>
  <c r="E1224" i="5"/>
  <c r="E1223" i="5"/>
  <c r="E1222" i="5"/>
  <c r="E1221" i="5"/>
  <c r="E1220" i="5"/>
  <c r="E1219" i="5"/>
  <c r="E1218" i="5"/>
  <c r="E1217" i="5"/>
  <c r="E1216" i="5"/>
  <c r="E1215" i="5"/>
  <c r="E1214" i="5"/>
  <c r="E1212" i="5"/>
  <c r="E1211" i="5"/>
  <c r="E1210" i="5"/>
  <c r="E1209" i="5"/>
  <c r="E1208" i="5"/>
  <c r="E1207" i="5"/>
  <c r="E1206" i="5"/>
  <c r="E1205" i="5"/>
  <c r="E1204" i="5"/>
  <c r="E1203" i="5"/>
  <c r="E1202" i="5"/>
  <c r="E1201" i="5"/>
  <c r="E1199" i="5"/>
  <c r="E1198" i="5"/>
  <c r="E1197" i="5"/>
  <c r="E1196" i="5"/>
  <c r="E1195" i="5"/>
  <c r="E1194" i="5"/>
  <c r="E1193" i="5"/>
  <c r="E1192" i="5"/>
  <c r="E1191" i="5"/>
  <c r="E1190" i="5"/>
  <c r="E1189" i="5"/>
  <c r="E1188" i="5"/>
  <c r="E1186" i="5"/>
  <c r="E1185" i="5"/>
  <c r="E1184" i="5"/>
  <c r="E1183" i="5"/>
  <c r="E1182" i="5"/>
  <c r="E1181" i="5"/>
  <c r="E1180" i="5"/>
  <c r="E1179" i="5"/>
  <c r="E1178" i="5"/>
  <c r="E1177" i="5"/>
  <c r="E1176" i="5"/>
  <c r="E1175" i="5"/>
  <c r="E1173" i="5"/>
  <c r="E1172" i="5"/>
  <c r="E1171" i="5"/>
  <c r="E1170" i="5"/>
  <c r="E1169" i="5"/>
  <c r="E1168" i="5"/>
  <c r="E1167" i="5"/>
  <c r="E1166" i="5"/>
  <c r="E1165" i="5"/>
  <c r="E1164" i="5"/>
  <c r="E1163" i="5"/>
  <c r="E1162" i="5"/>
  <c r="E1160" i="5"/>
  <c r="E1159" i="5"/>
  <c r="E1158" i="5"/>
  <c r="E1157" i="5"/>
  <c r="E1156" i="5"/>
  <c r="E1155" i="5"/>
  <c r="E1154" i="5"/>
  <c r="E1153" i="5"/>
  <c r="E1152" i="5"/>
  <c r="E1151" i="5"/>
  <c r="E1150" i="5"/>
  <c r="E1149" i="5"/>
  <c r="E1147" i="5"/>
  <c r="E1146" i="5"/>
  <c r="E1145" i="5"/>
  <c r="E1144" i="5"/>
  <c r="E1143" i="5"/>
  <c r="E1142" i="5"/>
  <c r="E1141" i="5"/>
  <c r="E1140" i="5"/>
  <c r="E1139" i="5"/>
  <c r="E1138" i="5"/>
  <c r="E1137" i="5"/>
  <c r="E1136" i="5"/>
  <c r="E1134" i="5"/>
  <c r="E1133" i="5"/>
  <c r="E1132" i="5"/>
  <c r="E1131" i="5"/>
  <c r="E1130" i="5"/>
  <c r="E1129" i="5"/>
  <c r="E1128" i="5"/>
  <c r="E1127" i="5"/>
  <c r="E1126" i="5"/>
  <c r="E1125" i="5"/>
  <c r="E1124" i="5"/>
  <c r="E1123" i="5"/>
  <c r="E1121" i="5"/>
  <c r="E1120" i="5"/>
  <c r="E1119" i="5"/>
  <c r="E1118" i="5"/>
  <c r="E1117" i="5"/>
  <c r="E1116" i="5"/>
  <c r="E1115" i="5"/>
  <c r="E1114" i="5"/>
  <c r="E1113" i="5"/>
  <c r="E1112" i="5"/>
  <c r="E1111" i="5"/>
  <c r="E1110" i="5"/>
  <c r="E1108" i="5"/>
  <c r="E1107" i="5"/>
  <c r="E1106" i="5"/>
  <c r="E1105" i="5"/>
  <c r="E1104" i="5"/>
  <c r="E1103" i="5"/>
  <c r="E1102" i="5"/>
  <c r="E1101" i="5"/>
  <c r="E1100" i="5"/>
  <c r="E1099" i="5"/>
  <c r="E1098" i="5"/>
  <c r="E1097" i="5"/>
  <c r="E1095" i="5"/>
  <c r="E1094" i="5"/>
  <c r="E1093" i="5"/>
  <c r="E1092" i="5"/>
  <c r="E1091" i="5"/>
  <c r="E1090" i="5"/>
  <c r="E1089" i="5"/>
  <c r="E1088" i="5"/>
  <c r="E1087" i="5"/>
  <c r="E1086" i="5"/>
  <c r="E1085" i="5"/>
  <c r="E1084" i="5"/>
  <c r="E1082" i="5"/>
  <c r="E1081" i="5"/>
  <c r="E1080" i="5"/>
  <c r="E1079" i="5"/>
  <c r="E1078" i="5"/>
  <c r="E1077" i="5"/>
  <c r="E1076" i="5"/>
  <c r="E1075" i="5"/>
  <c r="E1074" i="5"/>
  <c r="E1073" i="5"/>
  <c r="E1072" i="5"/>
  <c r="E1071" i="5"/>
  <c r="E1069" i="5"/>
  <c r="E1068" i="5"/>
  <c r="E1067" i="5"/>
  <c r="E1066" i="5"/>
  <c r="E1065" i="5"/>
  <c r="E1064" i="5"/>
  <c r="E1063" i="5"/>
  <c r="E1062" i="5"/>
  <c r="E1061" i="5"/>
  <c r="E1060" i="5"/>
  <c r="E1059" i="5"/>
  <c r="E1058" i="5"/>
  <c r="E1056" i="5"/>
  <c r="E1055" i="5"/>
  <c r="E1054" i="5"/>
  <c r="E1053" i="5"/>
  <c r="E1052" i="5"/>
  <c r="E1051" i="5"/>
  <c r="E1050" i="5"/>
  <c r="E1049" i="5"/>
  <c r="E1048" i="5"/>
  <c r="E1047" i="5"/>
  <c r="E1046" i="5"/>
  <c r="E1045" i="5"/>
  <c r="E1043" i="5"/>
  <c r="E1042" i="5"/>
  <c r="E1041" i="5"/>
  <c r="E1040" i="5"/>
  <c r="E1039" i="5"/>
  <c r="E1038" i="5"/>
  <c r="E1037" i="5"/>
  <c r="E1036" i="5"/>
  <c r="E1035" i="5"/>
  <c r="E1034" i="5"/>
  <c r="E1033" i="5"/>
  <c r="E1032" i="5"/>
  <c r="E1030" i="5"/>
  <c r="E1029" i="5"/>
  <c r="E1028" i="5"/>
  <c r="E1027" i="5"/>
  <c r="E1026" i="5"/>
  <c r="E1025" i="5"/>
  <c r="E1024" i="5"/>
  <c r="E1023" i="5"/>
  <c r="E1022" i="5"/>
  <c r="E1021" i="5"/>
  <c r="E1020" i="5"/>
  <c r="E1019" i="5"/>
  <c r="E1017" i="5"/>
  <c r="E1016" i="5"/>
  <c r="E1015" i="5"/>
  <c r="E1014" i="5"/>
  <c r="E1013" i="5"/>
  <c r="E1012" i="5"/>
  <c r="E1011" i="5"/>
  <c r="E1010" i="5"/>
  <c r="E1009" i="5"/>
  <c r="E1008" i="5"/>
  <c r="E1007" i="5"/>
  <c r="E1006" i="5"/>
  <c r="E1004" i="5"/>
  <c r="E1003" i="5"/>
  <c r="E1002" i="5"/>
  <c r="E1001" i="5"/>
  <c r="E1000" i="5"/>
  <c r="E999" i="5"/>
  <c r="E998" i="5"/>
  <c r="E997" i="5"/>
  <c r="E996" i="5"/>
  <c r="E995" i="5"/>
  <c r="E994" i="5"/>
  <c r="E993" i="5"/>
  <c r="E991" i="5"/>
  <c r="E990" i="5"/>
  <c r="E989" i="5"/>
  <c r="E988" i="5"/>
  <c r="E987" i="5"/>
  <c r="E986" i="5"/>
  <c r="E985" i="5"/>
  <c r="E984" i="5"/>
  <c r="E983" i="5"/>
  <c r="E982" i="5"/>
  <c r="E981" i="5"/>
  <c r="E980" i="5"/>
  <c r="E978" i="5"/>
  <c r="E977" i="5"/>
  <c r="E976" i="5"/>
  <c r="E975" i="5"/>
  <c r="E974" i="5"/>
  <c r="E973" i="5"/>
  <c r="E972" i="5"/>
  <c r="E971" i="5"/>
  <c r="E970" i="5"/>
  <c r="E969" i="5"/>
  <c r="E968" i="5"/>
  <c r="E967" i="5"/>
  <c r="E965" i="5"/>
  <c r="E964" i="5"/>
  <c r="E963" i="5"/>
  <c r="E962" i="5"/>
  <c r="E961" i="5"/>
  <c r="E960" i="5"/>
  <c r="E959" i="5"/>
  <c r="E958" i="5"/>
  <c r="E957" i="5"/>
  <c r="E956" i="5"/>
  <c r="E955" i="5"/>
  <c r="E954" i="5"/>
  <c r="E952" i="5"/>
  <c r="E951" i="5"/>
  <c r="E950" i="5"/>
  <c r="E949" i="5"/>
  <c r="E948" i="5"/>
  <c r="E947" i="5"/>
  <c r="E946" i="5"/>
  <c r="E945" i="5"/>
  <c r="E944" i="5"/>
  <c r="E943" i="5"/>
  <c r="E942" i="5"/>
  <c r="E941" i="5"/>
  <c r="E939" i="5"/>
  <c r="E938" i="5"/>
  <c r="E937" i="5"/>
  <c r="E936" i="5"/>
  <c r="E935" i="5"/>
  <c r="E934" i="5"/>
  <c r="E933" i="5"/>
  <c r="E932" i="5"/>
  <c r="E931" i="5"/>
  <c r="E930" i="5"/>
  <c r="E929" i="5"/>
  <c r="E928" i="5"/>
  <c r="E926" i="5"/>
  <c r="E925" i="5"/>
  <c r="E924" i="5"/>
  <c r="E923" i="5"/>
  <c r="E922" i="5"/>
  <c r="E921" i="5"/>
  <c r="E920" i="5"/>
  <c r="E919" i="5"/>
  <c r="E918" i="5"/>
  <c r="E917" i="5"/>
  <c r="E916" i="5"/>
  <c r="E915" i="5"/>
  <c r="E913" i="5"/>
  <c r="E912" i="5"/>
  <c r="E911" i="5"/>
  <c r="E910" i="5"/>
  <c r="E909" i="5"/>
  <c r="E908" i="5"/>
  <c r="E907" i="5"/>
  <c r="E906" i="5"/>
  <c r="E905" i="5"/>
  <c r="E904" i="5"/>
  <c r="E903" i="5"/>
  <c r="E902" i="5"/>
  <c r="E900" i="5"/>
  <c r="E899" i="5"/>
  <c r="E898" i="5"/>
  <c r="E897" i="5"/>
  <c r="E896" i="5"/>
  <c r="E895" i="5"/>
  <c r="E894" i="5"/>
  <c r="E893" i="5"/>
  <c r="E892" i="5"/>
  <c r="E891" i="5"/>
  <c r="E890" i="5"/>
  <c r="E889" i="5"/>
  <c r="E887" i="5"/>
  <c r="E886" i="5"/>
  <c r="E885" i="5"/>
  <c r="E884" i="5"/>
  <c r="E883" i="5"/>
  <c r="E882" i="5"/>
  <c r="E881" i="5"/>
  <c r="E880" i="5"/>
  <c r="E879" i="5"/>
  <c r="E878" i="5"/>
  <c r="E877" i="5"/>
  <c r="E876" i="5"/>
  <c r="E874" i="5"/>
  <c r="E873" i="5"/>
  <c r="E872" i="5"/>
  <c r="E871" i="5"/>
  <c r="E870" i="5"/>
  <c r="E869" i="5"/>
  <c r="E868" i="5"/>
  <c r="E867" i="5"/>
  <c r="E866" i="5"/>
  <c r="E865" i="5"/>
  <c r="E864" i="5"/>
  <c r="E863" i="5"/>
  <c r="E861" i="5"/>
  <c r="E860" i="5"/>
  <c r="E859" i="5"/>
  <c r="E858" i="5"/>
  <c r="E857" i="5"/>
  <c r="E856" i="5"/>
  <c r="E855" i="5"/>
  <c r="E854" i="5"/>
  <c r="E853" i="5"/>
  <c r="E852" i="5"/>
  <c r="E851" i="5"/>
  <c r="E850" i="5"/>
  <c r="E848" i="5"/>
  <c r="E847" i="5"/>
  <c r="E846" i="5"/>
  <c r="E845" i="5"/>
  <c r="E844" i="5"/>
  <c r="E843" i="5"/>
  <c r="E842" i="5"/>
  <c r="E841" i="5"/>
  <c r="E840" i="5"/>
  <c r="E839" i="5"/>
  <c r="E838" i="5"/>
  <c r="E837" i="5"/>
  <c r="E835" i="5"/>
  <c r="E834" i="5"/>
  <c r="E833" i="5"/>
  <c r="E832" i="5"/>
  <c r="E831" i="5"/>
  <c r="E830" i="5"/>
  <c r="E829" i="5"/>
  <c r="E828" i="5"/>
  <c r="E827" i="5"/>
  <c r="E826" i="5"/>
  <c r="E825" i="5"/>
  <c r="E824" i="5"/>
  <c r="E822" i="5"/>
  <c r="E821" i="5"/>
  <c r="E820" i="5"/>
  <c r="E819" i="5"/>
  <c r="E818" i="5"/>
  <c r="E817" i="5"/>
  <c r="E816" i="5"/>
  <c r="E815" i="5"/>
  <c r="E814" i="5"/>
  <c r="E813" i="5"/>
  <c r="E812" i="5"/>
  <c r="E811" i="5"/>
  <c r="E809" i="5"/>
  <c r="E808" i="5"/>
  <c r="E807" i="5"/>
  <c r="E806" i="5"/>
  <c r="E805" i="5"/>
  <c r="E804" i="5"/>
  <c r="E803" i="5"/>
  <c r="E802" i="5"/>
  <c r="E801" i="5"/>
  <c r="E800" i="5"/>
  <c r="E799" i="5"/>
  <c r="E798" i="5"/>
  <c r="E796" i="5"/>
  <c r="E795" i="5"/>
  <c r="E794" i="5"/>
  <c r="E793" i="5"/>
  <c r="E792" i="5"/>
  <c r="E791" i="5"/>
  <c r="E790" i="5"/>
  <c r="E789" i="5"/>
  <c r="E788" i="5"/>
  <c r="E787" i="5"/>
  <c r="E786" i="5"/>
  <c r="E785" i="5"/>
  <c r="E783" i="5"/>
  <c r="E782" i="5"/>
  <c r="E781" i="5"/>
  <c r="E780" i="5"/>
  <c r="E779" i="5"/>
  <c r="E778" i="5"/>
  <c r="E777" i="5"/>
  <c r="E776" i="5"/>
  <c r="E775" i="5"/>
  <c r="E774" i="5"/>
  <c r="E773" i="5"/>
  <c r="E772" i="5"/>
  <c r="E770" i="5"/>
  <c r="E769" i="5"/>
  <c r="E768" i="5"/>
  <c r="E767" i="5"/>
  <c r="E766" i="5"/>
  <c r="E765" i="5"/>
  <c r="E764" i="5"/>
  <c r="E763" i="5"/>
  <c r="E762" i="5"/>
  <c r="E761" i="5"/>
  <c r="E760" i="5"/>
  <c r="E759" i="5"/>
  <c r="E757" i="5"/>
  <c r="E756" i="5"/>
  <c r="E755" i="5"/>
  <c r="E754" i="5"/>
  <c r="E753" i="5"/>
  <c r="E752" i="5"/>
  <c r="E751" i="5"/>
  <c r="E750" i="5"/>
  <c r="E749" i="5"/>
  <c r="E748" i="5"/>
  <c r="E747" i="5"/>
  <c r="E746" i="5"/>
  <c r="E744" i="5"/>
  <c r="E743" i="5"/>
  <c r="E742" i="5"/>
  <c r="E741" i="5"/>
  <c r="E740" i="5"/>
  <c r="E739" i="5"/>
  <c r="E738" i="5"/>
  <c r="E737" i="5"/>
  <c r="E736" i="5"/>
  <c r="E735" i="5"/>
  <c r="E734" i="5"/>
  <c r="E733" i="5"/>
  <c r="E731" i="5"/>
  <c r="E730" i="5"/>
  <c r="E729" i="5"/>
  <c r="E728" i="5"/>
  <c r="E727" i="5"/>
  <c r="E726" i="5"/>
  <c r="E725" i="5"/>
  <c r="E724" i="5"/>
  <c r="E723" i="5"/>
  <c r="E722" i="5"/>
  <c r="E721" i="5"/>
  <c r="E720" i="5"/>
  <c r="E718" i="5"/>
  <c r="E717" i="5"/>
  <c r="E716" i="5"/>
  <c r="E715" i="5"/>
  <c r="E714" i="5"/>
  <c r="E713" i="5"/>
  <c r="E712" i="5"/>
  <c r="E711" i="5"/>
  <c r="E710" i="5"/>
  <c r="E709" i="5"/>
  <c r="E708" i="5"/>
  <c r="E707" i="5"/>
  <c r="E705" i="5"/>
  <c r="E704" i="5"/>
  <c r="E703" i="5"/>
  <c r="E702" i="5"/>
  <c r="E701" i="5"/>
  <c r="E700" i="5"/>
  <c r="E699" i="5"/>
  <c r="E698" i="5"/>
  <c r="E697" i="5"/>
  <c r="E696" i="5"/>
  <c r="E695" i="5"/>
  <c r="E694" i="5"/>
  <c r="E692" i="5"/>
  <c r="E691" i="5"/>
  <c r="E690" i="5"/>
  <c r="E689" i="5"/>
  <c r="E688" i="5"/>
  <c r="E687" i="5"/>
  <c r="E686" i="5"/>
  <c r="E685" i="5"/>
  <c r="E684" i="5"/>
  <c r="E683" i="5"/>
  <c r="E682" i="5"/>
  <c r="E681" i="5"/>
  <c r="E679" i="5"/>
  <c r="E678" i="5"/>
  <c r="E677" i="5"/>
  <c r="E676" i="5"/>
  <c r="E675" i="5"/>
  <c r="E674" i="5"/>
  <c r="E673" i="5"/>
  <c r="E672" i="5"/>
  <c r="E671" i="5"/>
  <c r="E670" i="5"/>
  <c r="E669" i="5"/>
  <c r="E668" i="5"/>
  <c r="E666" i="5"/>
  <c r="E665" i="5"/>
  <c r="E664" i="5"/>
  <c r="E663" i="5"/>
  <c r="E662" i="5"/>
  <c r="E661" i="5"/>
  <c r="E660" i="5"/>
  <c r="E659" i="5"/>
  <c r="E658" i="5"/>
  <c r="E657" i="5"/>
  <c r="E656" i="5"/>
  <c r="E655" i="5"/>
  <c r="E653" i="5"/>
  <c r="E652" i="5"/>
  <c r="E651" i="5"/>
  <c r="E650" i="5"/>
  <c r="E649" i="5"/>
  <c r="E648" i="5"/>
  <c r="E647" i="5"/>
  <c r="E646" i="5"/>
  <c r="E645" i="5"/>
  <c r="E644" i="5"/>
  <c r="E643" i="5"/>
  <c r="E642" i="5"/>
  <c r="E640" i="5"/>
  <c r="E639" i="5"/>
  <c r="E638" i="5"/>
  <c r="E637" i="5"/>
  <c r="E636" i="5"/>
  <c r="E635" i="5"/>
  <c r="E634" i="5"/>
  <c r="E633" i="5"/>
  <c r="E632" i="5"/>
  <c r="E631" i="5"/>
  <c r="E630" i="5"/>
  <c r="E629" i="5"/>
  <c r="E627" i="5"/>
  <c r="E626" i="5"/>
  <c r="E625" i="5"/>
  <c r="E624" i="5"/>
  <c r="E623" i="5"/>
  <c r="E622" i="5"/>
  <c r="E621" i="5"/>
  <c r="E620" i="5"/>
  <c r="E619" i="5"/>
  <c r="E618" i="5"/>
  <c r="E617" i="5"/>
  <c r="E616" i="5"/>
  <c r="E614" i="5"/>
  <c r="E613" i="5"/>
  <c r="E612" i="5"/>
  <c r="E611" i="5"/>
  <c r="E610" i="5"/>
  <c r="E609" i="5"/>
  <c r="E608" i="5"/>
  <c r="E607" i="5"/>
  <c r="E606" i="5"/>
  <c r="E605" i="5"/>
  <c r="E604" i="5"/>
  <c r="E603" i="5"/>
  <c r="E601" i="5"/>
  <c r="E600" i="5"/>
  <c r="E599" i="5"/>
  <c r="E598" i="5"/>
  <c r="E597" i="5"/>
  <c r="E596" i="5"/>
  <c r="E595" i="5"/>
  <c r="E594" i="5"/>
  <c r="E593" i="5"/>
  <c r="E592" i="5"/>
  <c r="E591" i="5"/>
  <c r="E590" i="5"/>
  <c r="E588" i="5"/>
  <c r="E587" i="5"/>
  <c r="E586" i="5"/>
  <c r="E585" i="5"/>
  <c r="E584" i="5"/>
  <c r="E583" i="5"/>
  <c r="E582" i="5"/>
  <c r="E581" i="5"/>
  <c r="E580" i="5"/>
  <c r="E579" i="5"/>
  <c r="E578" i="5"/>
  <c r="E577" i="5"/>
  <c r="E575" i="5"/>
  <c r="E574" i="5"/>
  <c r="E573" i="5"/>
  <c r="E572" i="5"/>
  <c r="E571" i="5"/>
  <c r="E570" i="5"/>
  <c r="E569" i="5"/>
  <c r="E568" i="5"/>
  <c r="E567" i="5"/>
  <c r="E566" i="5"/>
  <c r="E565" i="5"/>
  <c r="E564" i="5"/>
  <c r="E562" i="5"/>
  <c r="E561" i="5"/>
  <c r="E560" i="5"/>
  <c r="E559" i="5"/>
  <c r="E558" i="5"/>
  <c r="E557" i="5"/>
  <c r="E556" i="5"/>
  <c r="E555" i="5"/>
  <c r="E554" i="5"/>
  <c r="E553" i="5"/>
  <c r="E552" i="5"/>
  <c r="E551" i="5"/>
  <c r="E549" i="5"/>
  <c r="E548" i="5"/>
  <c r="E547" i="5"/>
  <c r="E546" i="5"/>
  <c r="E545" i="5"/>
  <c r="E544" i="5"/>
  <c r="E543" i="5"/>
  <c r="E542" i="5"/>
  <c r="E541" i="5"/>
  <c r="E540" i="5"/>
  <c r="E539" i="5"/>
  <c r="E538" i="5"/>
  <c r="E536" i="5"/>
  <c r="E535" i="5"/>
  <c r="E534" i="5"/>
  <c r="E533" i="5"/>
  <c r="E532" i="5"/>
  <c r="E531" i="5"/>
  <c r="E530" i="5"/>
  <c r="E529" i="5"/>
  <c r="E528" i="5"/>
  <c r="E527" i="5"/>
  <c r="E526" i="5"/>
  <c r="E525" i="5"/>
  <c r="E523" i="5"/>
  <c r="E522" i="5"/>
  <c r="E521" i="5"/>
  <c r="E520" i="5"/>
  <c r="E519" i="5"/>
  <c r="E518" i="5"/>
  <c r="E517" i="5"/>
  <c r="E516" i="5"/>
  <c r="E515" i="5"/>
  <c r="E514" i="5"/>
  <c r="E513" i="5"/>
  <c r="E512" i="5"/>
  <c r="E510" i="5"/>
  <c r="E509" i="5"/>
  <c r="E508" i="5"/>
  <c r="E507" i="5"/>
  <c r="E506" i="5"/>
  <c r="E505" i="5"/>
  <c r="E504" i="5"/>
  <c r="E503" i="5"/>
  <c r="E502" i="5"/>
  <c r="E501" i="5"/>
  <c r="E500" i="5"/>
  <c r="E499" i="5"/>
  <c r="E497" i="5"/>
  <c r="E496" i="5"/>
  <c r="E495" i="5"/>
  <c r="E494" i="5"/>
  <c r="E493" i="5"/>
  <c r="E492" i="5"/>
  <c r="E491" i="5"/>
  <c r="E490" i="5"/>
  <c r="E489" i="5"/>
  <c r="E488" i="5"/>
  <c r="E487" i="5"/>
  <c r="E486" i="5"/>
  <c r="E484" i="5"/>
  <c r="E483" i="5"/>
  <c r="E482" i="5"/>
  <c r="E481" i="5"/>
  <c r="E480" i="5"/>
  <c r="E479" i="5"/>
  <c r="E478" i="5"/>
  <c r="E477" i="5"/>
  <c r="E476" i="5"/>
  <c r="E475" i="5"/>
  <c r="E474" i="5"/>
  <c r="E473" i="5"/>
  <c r="E471" i="5"/>
  <c r="E470" i="5"/>
  <c r="E469" i="5"/>
  <c r="E468" i="5"/>
  <c r="E467" i="5"/>
  <c r="E466" i="5"/>
  <c r="E465" i="5"/>
  <c r="E464" i="5"/>
  <c r="E463" i="5"/>
  <c r="E462" i="5"/>
  <c r="E461" i="5"/>
  <c r="E460" i="5"/>
  <c r="E458" i="5"/>
  <c r="E457" i="5"/>
  <c r="E456" i="5"/>
  <c r="E455" i="5"/>
  <c r="E454" i="5"/>
  <c r="E453" i="5"/>
  <c r="E452" i="5"/>
  <c r="E451" i="5"/>
  <c r="E450" i="5"/>
  <c r="E449" i="5"/>
  <c r="E448" i="5"/>
  <c r="E447" i="5"/>
  <c r="E445" i="5"/>
  <c r="E444" i="5"/>
  <c r="E443" i="5"/>
  <c r="E442" i="5"/>
  <c r="E441" i="5"/>
  <c r="E440" i="5"/>
  <c r="E439" i="5"/>
  <c r="E438" i="5"/>
  <c r="E437" i="5"/>
  <c r="E436" i="5"/>
  <c r="E435" i="5"/>
  <c r="E434" i="5"/>
  <c r="E432" i="5"/>
  <c r="E431" i="5"/>
  <c r="E430" i="5"/>
  <c r="E429" i="5"/>
  <c r="E428" i="5"/>
  <c r="E427" i="5"/>
  <c r="E426" i="5"/>
  <c r="E425" i="5"/>
  <c r="E424" i="5"/>
  <c r="E423" i="5"/>
  <c r="E422" i="5"/>
  <c r="E421" i="5"/>
  <c r="E419" i="5"/>
  <c r="E418" i="5"/>
  <c r="E417" i="5"/>
  <c r="E416" i="5"/>
  <c r="E415" i="5"/>
  <c r="E414" i="5"/>
  <c r="E413" i="5"/>
  <c r="E412" i="5"/>
  <c r="E411" i="5"/>
  <c r="E410" i="5"/>
  <c r="E409" i="5"/>
  <c r="E408" i="5"/>
  <c r="E406" i="5"/>
  <c r="E405" i="5"/>
  <c r="E404" i="5"/>
  <c r="E403" i="5"/>
  <c r="E402" i="5"/>
  <c r="E401" i="5"/>
  <c r="E400" i="5"/>
  <c r="E399" i="5"/>
  <c r="E398" i="5"/>
  <c r="E397" i="5"/>
  <c r="E396" i="5"/>
  <c r="E395" i="5"/>
  <c r="E393" i="5"/>
  <c r="E392" i="5"/>
  <c r="E391" i="5"/>
  <c r="E390" i="5"/>
  <c r="E389" i="5"/>
  <c r="E388" i="5"/>
  <c r="E387" i="5"/>
  <c r="E386" i="5"/>
  <c r="E385" i="5"/>
  <c r="E384" i="5"/>
  <c r="E383" i="5"/>
  <c r="E382" i="5"/>
  <c r="E380" i="5"/>
  <c r="E379" i="5"/>
  <c r="E378" i="5"/>
  <c r="E377" i="5"/>
  <c r="E376" i="5"/>
  <c r="E375" i="5"/>
  <c r="E374" i="5"/>
  <c r="E373" i="5"/>
  <c r="E372" i="5"/>
  <c r="E371" i="5"/>
  <c r="E370" i="5"/>
  <c r="E369" i="5"/>
  <c r="E367" i="5"/>
  <c r="E366" i="5"/>
  <c r="E365" i="5"/>
  <c r="E364" i="5"/>
  <c r="E363" i="5"/>
  <c r="E362" i="5"/>
  <c r="E361" i="5"/>
  <c r="E360" i="5"/>
  <c r="E359" i="5"/>
  <c r="E358" i="5"/>
  <c r="E357" i="5"/>
  <c r="E356" i="5"/>
  <c r="E354" i="5"/>
  <c r="E353" i="5"/>
  <c r="E352" i="5"/>
  <c r="E351" i="5"/>
  <c r="E350" i="5"/>
  <c r="E349" i="5"/>
  <c r="E348" i="5"/>
  <c r="E347" i="5"/>
  <c r="E346" i="5"/>
  <c r="E345" i="5"/>
  <c r="E344" i="5"/>
  <c r="E343" i="5"/>
  <c r="E341" i="5"/>
  <c r="E340" i="5"/>
  <c r="E339" i="5"/>
  <c r="E338" i="5"/>
  <c r="E337" i="5"/>
  <c r="E336" i="5"/>
  <c r="E335" i="5"/>
  <c r="E334" i="5"/>
  <c r="E333" i="5"/>
  <c r="E332" i="5"/>
  <c r="E331" i="5"/>
  <c r="E330" i="5"/>
  <c r="E328" i="5"/>
  <c r="E327" i="5"/>
  <c r="E326" i="5"/>
  <c r="E325" i="5"/>
  <c r="E324" i="5"/>
  <c r="E323" i="5"/>
  <c r="E322" i="5"/>
  <c r="E321" i="5"/>
  <c r="E320" i="5"/>
  <c r="E319" i="5"/>
  <c r="E318" i="5"/>
  <c r="E317" i="5"/>
  <c r="E315" i="5"/>
  <c r="E314" i="5"/>
  <c r="E313" i="5"/>
  <c r="E312" i="5"/>
  <c r="E311" i="5"/>
  <c r="E310" i="5"/>
  <c r="E309" i="5"/>
  <c r="E308" i="5"/>
  <c r="E307" i="5"/>
  <c r="E306" i="5"/>
  <c r="E305" i="5"/>
  <c r="E304" i="5"/>
  <c r="E302" i="5"/>
  <c r="E301" i="5"/>
  <c r="E300" i="5"/>
  <c r="E299" i="5"/>
  <c r="E298" i="5"/>
  <c r="E297" i="5"/>
  <c r="E296" i="5"/>
  <c r="E295" i="5"/>
  <c r="E294" i="5"/>
  <c r="E293" i="5"/>
  <c r="E292" i="5"/>
  <c r="E291" i="5"/>
  <c r="E289" i="5"/>
  <c r="E288" i="5"/>
  <c r="E287" i="5"/>
  <c r="E286" i="5"/>
  <c r="E285" i="5"/>
  <c r="E284" i="5"/>
  <c r="E283" i="5"/>
  <c r="E282" i="5"/>
  <c r="E281" i="5"/>
  <c r="E280" i="5"/>
  <c r="E279" i="5"/>
  <c r="E278" i="5"/>
  <c r="E276" i="5"/>
  <c r="E275" i="5"/>
  <c r="E274" i="5"/>
  <c r="E273" i="5"/>
  <c r="E272" i="5"/>
  <c r="E271" i="5"/>
  <c r="E270" i="5"/>
  <c r="E269" i="5"/>
  <c r="E268" i="5"/>
  <c r="E267" i="5"/>
  <c r="E266" i="5"/>
  <c r="E265" i="5"/>
  <c r="E263" i="5"/>
  <c r="E262" i="5"/>
  <c r="E261" i="5"/>
  <c r="E260" i="5"/>
  <c r="E259" i="5"/>
  <c r="E258" i="5"/>
  <c r="E257" i="5"/>
  <c r="E256" i="5"/>
  <c r="E255" i="5"/>
  <c r="E254" i="5"/>
  <c r="E253" i="5"/>
  <c r="E252" i="5"/>
  <c r="E250" i="5"/>
  <c r="E249" i="5"/>
  <c r="E248" i="5"/>
  <c r="E247" i="5"/>
  <c r="E246" i="5"/>
  <c r="E245" i="5"/>
  <c r="E244" i="5"/>
  <c r="E243" i="5"/>
  <c r="E242" i="5"/>
  <c r="E241" i="5"/>
  <c r="E240" i="5"/>
  <c r="E239" i="5"/>
  <c r="E237" i="5"/>
  <c r="E236" i="5"/>
  <c r="E235" i="5"/>
  <c r="E234" i="5"/>
  <c r="E233" i="5"/>
  <c r="E232" i="5"/>
  <c r="E231" i="5"/>
  <c r="E230" i="5"/>
  <c r="E229" i="5"/>
  <c r="E228" i="5"/>
  <c r="E227" i="5"/>
  <c r="E226" i="5"/>
  <c r="E224" i="5"/>
  <c r="E223" i="5"/>
  <c r="E222" i="5"/>
  <c r="E221" i="5"/>
  <c r="E220" i="5"/>
  <c r="E219" i="5"/>
  <c r="E218" i="5"/>
  <c r="E217" i="5"/>
  <c r="E216" i="5"/>
  <c r="E215" i="5"/>
  <c r="E214" i="5"/>
  <c r="E213" i="5"/>
  <c r="E211" i="5"/>
  <c r="E210" i="5"/>
  <c r="E209" i="5"/>
  <c r="E208" i="5"/>
  <c r="E207" i="5"/>
  <c r="E206" i="5"/>
  <c r="E205" i="5"/>
  <c r="E204" i="5"/>
  <c r="E203" i="5"/>
  <c r="E202" i="5"/>
  <c r="E201" i="5"/>
  <c r="E200" i="5"/>
  <c r="E198" i="5"/>
  <c r="E197" i="5"/>
  <c r="E196" i="5"/>
  <c r="E195" i="5"/>
  <c r="E194" i="5"/>
  <c r="E193" i="5"/>
  <c r="E192" i="5"/>
  <c r="E191" i="5"/>
  <c r="E190" i="5"/>
  <c r="E189" i="5"/>
  <c r="E188" i="5"/>
  <c r="E187" i="5"/>
  <c r="E185" i="5"/>
  <c r="E184" i="5"/>
  <c r="E183" i="5"/>
  <c r="E182" i="5"/>
  <c r="E181" i="5"/>
  <c r="E180" i="5"/>
  <c r="E179" i="5"/>
  <c r="E178" i="5"/>
  <c r="E177" i="5"/>
  <c r="E176" i="5"/>
  <c r="E175" i="5"/>
  <c r="E174" i="5"/>
  <c r="E172" i="5"/>
  <c r="E171" i="5"/>
  <c r="E170" i="5"/>
  <c r="E169" i="5"/>
  <c r="E168" i="5"/>
  <c r="E167" i="5"/>
  <c r="E166" i="5"/>
  <c r="E165" i="5"/>
  <c r="E164" i="5"/>
  <c r="E163" i="5"/>
  <c r="E162" i="5"/>
  <c r="E161" i="5"/>
  <c r="E159" i="5"/>
  <c r="E158" i="5"/>
  <c r="E157" i="5"/>
  <c r="E156" i="5"/>
  <c r="E155" i="5"/>
  <c r="E154" i="5"/>
  <c r="E153" i="5"/>
  <c r="E152" i="5"/>
  <c r="E151" i="5"/>
  <c r="E150" i="5"/>
  <c r="E149" i="5"/>
  <c r="E148" i="5"/>
  <c r="E146" i="5"/>
  <c r="E145" i="5"/>
  <c r="E144" i="5"/>
  <c r="E143" i="5"/>
  <c r="E142" i="5"/>
  <c r="E141" i="5"/>
  <c r="E140" i="5"/>
  <c r="E139" i="5"/>
  <c r="E138" i="5"/>
  <c r="E137" i="5"/>
  <c r="E136" i="5"/>
  <c r="E135" i="5"/>
  <c r="E133" i="5"/>
  <c r="E132" i="5"/>
  <c r="E131" i="5"/>
  <c r="E130" i="5"/>
  <c r="E129" i="5"/>
  <c r="E128" i="5"/>
  <c r="E127" i="5"/>
  <c r="E126" i="5"/>
  <c r="E125" i="5"/>
  <c r="E124" i="5"/>
  <c r="E123" i="5"/>
  <c r="E122" i="5"/>
  <c r="E120" i="5"/>
  <c r="E119" i="5"/>
  <c r="E118" i="5"/>
  <c r="E117" i="5"/>
  <c r="E116" i="5"/>
  <c r="E115" i="5"/>
  <c r="E114" i="5"/>
  <c r="E113" i="5"/>
  <c r="E112" i="5"/>
  <c r="E111" i="5"/>
  <c r="E110" i="5"/>
  <c r="E109" i="5"/>
  <c r="E107" i="5"/>
  <c r="E106" i="5"/>
  <c r="E105" i="5"/>
  <c r="E104" i="5"/>
  <c r="E103" i="5"/>
  <c r="E102" i="5"/>
  <c r="E101" i="5"/>
  <c r="E100" i="5"/>
  <c r="E99" i="5"/>
  <c r="E98" i="5"/>
  <c r="E97" i="5"/>
  <c r="E96" i="5"/>
  <c r="E94" i="5"/>
  <c r="E93" i="5"/>
  <c r="E92" i="5"/>
  <c r="E91" i="5"/>
  <c r="E90" i="5"/>
  <c r="E89" i="5"/>
  <c r="E88" i="5"/>
  <c r="E87" i="5"/>
  <c r="E86" i="5"/>
  <c r="E85" i="5"/>
  <c r="E84" i="5"/>
  <c r="E83" i="5"/>
  <c r="E81" i="5"/>
  <c r="E80" i="5"/>
  <c r="E79" i="5"/>
  <c r="E78" i="5"/>
  <c r="E77" i="5"/>
  <c r="E76" i="5"/>
  <c r="E75" i="5"/>
  <c r="E74" i="5"/>
  <c r="E73" i="5"/>
  <c r="E72" i="5"/>
  <c r="E71" i="5"/>
  <c r="E70" i="5"/>
  <c r="E68" i="5"/>
  <c r="E67" i="5"/>
  <c r="E66" i="5"/>
  <c r="E65" i="5"/>
  <c r="E64" i="5"/>
  <c r="E63" i="5"/>
  <c r="E62" i="5"/>
  <c r="E61" i="5"/>
  <c r="E60" i="5"/>
  <c r="E59" i="5"/>
  <c r="E58" i="5"/>
  <c r="E57" i="5"/>
  <c r="E55" i="5"/>
  <c r="E54" i="5"/>
  <c r="E53" i="5"/>
  <c r="E52" i="5"/>
  <c r="E51" i="5"/>
  <c r="E50" i="5"/>
  <c r="E49" i="5"/>
  <c r="E48" i="5"/>
  <c r="E47" i="5"/>
  <c r="E46" i="5"/>
  <c r="E45" i="5"/>
  <c r="E44" i="5"/>
  <c r="E42" i="5"/>
  <c r="E41" i="5"/>
  <c r="E40" i="5"/>
  <c r="E39" i="5"/>
  <c r="E38" i="5"/>
  <c r="E37" i="5"/>
  <c r="E36" i="5"/>
  <c r="E35" i="5"/>
  <c r="E34" i="5"/>
  <c r="E33" i="5"/>
  <c r="E32" i="5"/>
  <c r="E31" i="5"/>
  <c r="E19" i="5"/>
  <c r="E20" i="5"/>
  <c r="E21" i="5"/>
  <c r="E22" i="5"/>
  <c r="E23" i="5"/>
  <c r="E24" i="5"/>
  <c r="E25" i="5"/>
  <c r="E26" i="5"/>
  <c r="E27" i="5"/>
  <c r="E28" i="5"/>
  <c r="E29" i="5"/>
  <c r="E18" i="5"/>
  <c r="K1316" i="5"/>
  <c r="J1316" i="5"/>
  <c r="M1316" i="5" s="1"/>
  <c r="K1315" i="5"/>
  <c r="J1315" i="5"/>
  <c r="M1315" i="5" s="1"/>
  <c r="G1315" i="5"/>
  <c r="H1315" i="5" s="1"/>
  <c r="K1314" i="5"/>
  <c r="J1314" i="5"/>
  <c r="M1314" i="5" s="1"/>
  <c r="F1314" i="5"/>
  <c r="G1314" i="5"/>
  <c r="H1314" i="5" s="1"/>
  <c r="K1313" i="5"/>
  <c r="J1313" i="5"/>
  <c r="M1313" i="5"/>
  <c r="G1313" i="5"/>
  <c r="H1313" i="5" s="1"/>
  <c r="K1312" i="5"/>
  <c r="J1312" i="5"/>
  <c r="M1312" i="5" s="1"/>
  <c r="G1312" i="5"/>
  <c r="H1312" i="5" s="1"/>
  <c r="K1311" i="5"/>
  <c r="J1311" i="5"/>
  <c r="M1311" i="5"/>
  <c r="G1311" i="5"/>
  <c r="H1311" i="5" s="1"/>
  <c r="F1310" i="5"/>
  <c r="G1310" i="5"/>
  <c r="H1310" i="5" s="1"/>
  <c r="G1309" i="5"/>
  <c r="H1309" i="5" s="1"/>
  <c r="F1308" i="5"/>
  <c r="G1308" i="5"/>
  <c r="H1308" i="5"/>
  <c r="G1307" i="5"/>
  <c r="H1307" i="5" s="1"/>
  <c r="F1306" i="5"/>
  <c r="G1306" i="5"/>
  <c r="H1306" i="5" s="1"/>
  <c r="G1305" i="5"/>
  <c r="H1305" i="5" s="1"/>
  <c r="K1303" i="5"/>
  <c r="J1303" i="5"/>
  <c r="M1303" i="5"/>
  <c r="F1303" i="5"/>
  <c r="G1303" i="5"/>
  <c r="H1303" i="5" s="1"/>
  <c r="K1302" i="5"/>
  <c r="J1302" i="5"/>
  <c r="M1302" i="5"/>
  <c r="G1302" i="5"/>
  <c r="H1302" i="5"/>
  <c r="K1301" i="5"/>
  <c r="J1301" i="5"/>
  <c r="M1301" i="5" s="1"/>
  <c r="F1301" i="5"/>
  <c r="G1301" i="5"/>
  <c r="H1301" i="5" s="1"/>
  <c r="K1300" i="5"/>
  <c r="J1300" i="5"/>
  <c r="M1300" i="5" s="1"/>
  <c r="G1300" i="5"/>
  <c r="H1300" i="5" s="1"/>
  <c r="K1299" i="5"/>
  <c r="J1299" i="5"/>
  <c r="M1299" i="5" s="1"/>
  <c r="F1299" i="5"/>
  <c r="G1299" i="5"/>
  <c r="H1299" i="5" s="1"/>
  <c r="K1298" i="5"/>
  <c r="J1298" i="5"/>
  <c r="M1298" i="5"/>
  <c r="G1298" i="5"/>
  <c r="H1298" i="5" s="1"/>
  <c r="F1297" i="5"/>
  <c r="G1297" i="5"/>
  <c r="H1297" i="5" s="1"/>
  <c r="G1296" i="5"/>
  <c r="H1296" i="5" s="1"/>
  <c r="F1295" i="5"/>
  <c r="G1295" i="5"/>
  <c r="H1295" i="5"/>
  <c r="G1294" i="5"/>
  <c r="H1294" i="5" s="1"/>
  <c r="F1293" i="5"/>
  <c r="G1293" i="5"/>
  <c r="H1293" i="5" s="1"/>
  <c r="G1292" i="5"/>
  <c r="H1292" i="5" s="1"/>
  <c r="K1290" i="5"/>
  <c r="J1290" i="5"/>
  <c r="M1290" i="5"/>
  <c r="F1290" i="5"/>
  <c r="G1290" i="5"/>
  <c r="H1290" i="5" s="1"/>
  <c r="K1289" i="5"/>
  <c r="J1289" i="5"/>
  <c r="M1289" i="5" s="1"/>
  <c r="G1289" i="5"/>
  <c r="H1289" i="5" s="1"/>
  <c r="K1288" i="5"/>
  <c r="J1288" i="5"/>
  <c r="M1288" i="5" s="1"/>
  <c r="F1288" i="5"/>
  <c r="G1288" i="5"/>
  <c r="H1288" i="5"/>
  <c r="K1287" i="5"/>
  <c r="J1287" i="5"/>
  <c r="M1287" i="5" s="1"/>
  <c r="G1287" i="5"/>
  <c r="H1287" i="5" s="1"/>
  <c r="K1286" i="5"/>
  <c r="J1286" i="5"/>
  <c r="M1286" i="5" s="1"/>
  <c r="F1286" i="5"/>
  <c r="G1286" i="5"/>
  <c r="H1286" i="5" s="1"/>
  <c r="K1285" i="5"/>
  <c r="J1285" i="5"/>
  <c r="M1285" i="5" s="1"/>
  <c r="G1285" i="5"/>
  <c r="H1285" i="5"/>
  <c r="F1284" i="5"/>
  <c r="G1284" i="5"/>
  <c r="H1284" i="5" s="1"/>
  <c r="G1283" i="5"/>
  <c r="H1283" i="5" s="1"/>
  <c r="F1282" i="5"/>
  <c r="G1282" i="5"/>
  <c r="H1282" i="5" s="1"/>
  <c r="G1281" i="5"/>
  <c r="H1281" i="5"/>
  <c r="F1280" i="5"/>
  <c r="G1280" i="5"/>
  <c r="H1280" i="5" s="1"/>
  <c r="G1279" i="5"/>
  <c r="H1279" i="5" s="1"/>
  <c r="K1277" i="5"/>
  <c r="J1277" i="5"/>
  <c r="M1277" i="5" s="1"/>
  <c r="F1277" i="5"/>
  <c r="G1277" i="5"/>
  <c r="H1277" i="5" s="1"/>
  <c r="K1276" i="5"/>
  <c r="J1276" i="5"/>
  <c r="M1276" i="5"/>
  <c r="G1276" i="5"/>
  <c r="H1276" i="5" s="1"/>
  <c r="K1275" i="5"/>
  <c r="J1275" i="5"/>
  <c r="M1275" i="5" s="1"/>
  <c r="F1275" i="5"/>
  <c r="G1275" i="5"/>
  <c r="H1275" i="5" s="1"/>
  <c r="K1274" i="5"/>
  <c r="J1274" i="5"/>
  <c r="M1274" i="5" s="1"/>
  <c r="G1274" i="5"/>
  <c r="H1274" i="5" s="1"/>
  <c r="K1273" i="5"/>
  <c r="J1273" i="5"/>
  <c r="M1273" i="5"/>
  <c r="F1273" i="5"/>
  <c r="G1273" i="5"/>
  <c r="H1273" i="5" s="1"/>
  <c r="K1272" i="5"/>
  <c r="J1272" i="5"/>
  <c r="M1272" i="5" s="1"/>
  <c r="G1272" i="5"/>
  <c r="H1272" i="5"/>
  <c r="F1271" i="5"/>
  <c r="G1271" i="5"/>
  <c r="H1271" i="5" s="1"/>
  <c r="G1270" i="5"/>
  <c r="H1270" i="5" s="1"/>
  <c r="F1269" i="5"/>
  <c r="G1269" i="5"/>
  <c r="H1269" i="5" s="1"/>
  <c r="G1268" i="5"/>
  <c r="H1268" i="5"/>
  <c r="F1267" i="5"/>
  <c r="G1267" i="5"/>
  <c r="H1267" i="5" s="1"/>
  <c r="G1266" i="5"/>
  <c r="H1266" i="5" s="1"/>
  <c r="K1264" i="5"/>
  <c r="J1264" i="5"/>
  <c r="M1264" i="5" s="1"/>
  <c r="F1264" i="5"/>
  <c r="G1264" i="5"/>
  <c r="H1264" i="5" s="1"/>
  <c r="K1263" i="5"/>
  <c r="J1263" i="5"/>
  <c r="I1263" i="5" s="1"/>
  <c r="L1263" i="5" s="1"/>
  <c r="G1263" i="5"/>
  <c r="H1263" i="5" s="1"/>
  <c r="K1262" i="5"/>
  <c r="J1262" i="5"/>
  <c r="M1262" i="5" s="1"/>
  <c r="F1262" i="5"/>
  <c r="G1262" i="5"/>
  <c r="H1262" i="5" s="1"/>
  <c r="K1261" i="5"/>
  <c r="J1261" i="5"/>
  <c r="M1261" i="5" s="1"/>
  <c r="G1261" i="5"/>
  <c r="H1261" i="5" s="1"/>
  <c r="K1260" i="5"/>
  <c r="J1260" i="5"/>
  <c r="M1260" i="5" s="1"/>
  <c r="F1260" i="5"/>
  <c r="G1260" i="5"/>
  <c r="H1260" i="5" s="1"/>
  <c r="K1259" i="5"/>
  <c r="J1259" i="5"/>
  <c r="M1259" i="5" s="1"/>
  <c r="G1259" i="5"/>
  <c r="H1259" i="5" s="1"/>
  <c r="F1258" i="5"/>
  <c r="G1258" i="5"/>
  <c r="H1258" i="5" s="1"/>
  <c r="G1257" i="5"/>
  <c r="H1257" i="5" s="1"/>
  <c r="F1256" i="5"/>
  <c r="G1256" i="5"/>
  <c r="H1256" i="5" s="1"/>
  <c r="G1255" i="5"/>
  <c r="H1255" i="5" s="1"/>
  <c r="F1254" i="5"/>
  <c r="G1254" i="5"/>
  <c r="H1254" i="5" s="1"/>
  <c r="G1253" i="5"/>
  <c r="H1253" i="5" s="1"/>
  <c r="K1251" i="5"/>
  <c r="J1251" i="5"/>
  <c r="M1251" i="5" s="1"/>
  <c r="F1251" i="5"/>
  <c r="G1251" i="5"/>
  <c r="H1251" i="5" s="1"/>
  <c r="K1250" i="5"/>
  <c r="J1250" i="5"/>
  <c r="M1250" i="5" s="1"/>
  <c r="G1250" i="5"/>
  <c r="H1250" i="5"/>
  <c r="K1249" i="5"/>
  <c r="J1249" i="5"/>
  <c r="M1249" i="5" s="1"/>
  <c r="F1249" i="5"/>
  <c r="G1249" i="5"/>
  <c r="H1249" i="5"/>
  <c r="K1248" i="5"/>
  <c r="J1248" i="5"/>
  <c r="M1248" i="5" s="1"/>
  <c r="G1248" i="5"/>
  <c r="H1248" i="5" s="1"/>
  <c r="K1247" i="5"/>
  <c r="J1247" i="5"/>
  <c r="M1247" i="5" s="1"/>
  <c r="F1247" i="5"/>
  <c r="G1247" i="5"/>
  <c r="H1247" i="5" s="1"/>
  <c r="K1246" i="5"/>
  <c r="J1246" i="5"/>
  <c r="M1246" i="5"/>
  <c r="G1246" i="5"/>
  <c r="H1246" i="5" s="1"/>
  <c r="F1245" i="5"/>
  <c r="G1245" i="5"/>
  <c r="H1245" i="5" s="1"/>
  <c r="G1244" i="5"/>
  <c r="H1244" i="5" s="1"/>
  <c r="F1243" i="5"/>
  <c r="G1243" i="5"/>
  <c r="H1243" i="5"/>
  <c r="F1242" i="5"/>
  <c r="F1241" i="5"/>
  <c r="G1241" i="5"/>
  <c r="H1241" i="5"/>
  <c r="F1240" i="5"/>
  <c r="K1238" i="5"/>
  <c r="J1238" i="5"/>
  <c r="F1238" i="5"/>
  <c r="G1238" i="5"/>
  <c r="H1238" i="5" s="1"/>
  <c r="K1237" i="5"/>
  <c r="J1237" i="5"/>
  <c r="M1237" i="5" s="1"/>
  <c r="F1237" i="5"/>
  <c r="G1237" i="5"/>
  <c r="H1237" i="5" s="1"/>
  <c r="K1236" i="5"/>
  <c r="J1236" i="5"/>
  <c r="M1236" i="5" s="1"/>
  <c r="G1236" i="5"/>
  <c r="H1236" i="5" s="1"/>
  <c r="K1235" i="5"/>
  <c r="J1235" i="5"/>
  <c r="M1235" i="5"/>
  <c r="F1235" i="5"/>
  <c r="G1235" i="5"/>
  <c r="H1235" i="5" s="1"/>
  <c r="K1234" i="5"/>
  <c r="J1234" i="5"/>
  <c r="M1234" i="5" s="1"/>
  <c r="G1234" i="5"/>
  <c r="H1234" i="5"/>
  <c r="K1233" i="5"/>
  <c r="J1233" i="5"/>
  <c r="M1233" i="5" s="1"/>
  <c r="F1233" i="5"/>
  <c r="G1233" i="5"/>
  <c r="H1233" i="5" s="1"/>
  <c r="G1232" i="5"/>
  <c r="H1232" i="5" s="1"/>
  <c r="F1231" i="5"/>
  <c r="G1231" i="5"/>
  <c r="H1231" i="5" s="1"/>
  <c r="G1230" i="5"/>
  <c r="H1230" i="5" s="1"/>
  <c r="F1229" i="5"/>
  <c r="G1229" i="5"/>
  <c r="H1229" i="5" s="1"/>
  <c r="G1228" i="5"/>
  <c r="H1228" i="5" s="1"/>
  <c r="F1227" i="5"/>
  <c r="G1227" i="5"/>
  <c r="H1227" i="5" s="1"/>
  <c r="K1225" i="5"/>
  <c r="J1225" i="5"/>
  <c r="M1225" i="5"/>
  <c r="G1225" i="5"/>
  <c r="H1225" i="5" s="1"/>
  <c r="K1224" i="5"/>
  <c r="J1224" i="5"/>
  <c r="M1224" i="5" s="1"/>
  <c r="F1224" i="5"/>
  <c r="G1224" i="5"/>
  <c r="H1224" i="5" s="1"/>
  <c r="K1223" i="5"/>
  <c r="J1223" i="5"/>
  <c r="M1223" i="5" s="1"/>
  <c r="G1223" i="5"/>
  <c r="H1223" i="5" s="1"/>
  <c r="K1222" i="5"/>
  <c r="J1222" i="5"/>
  <c r="M1222" i="5"/>
  <c r="F1222" i="5"/>
  <c r="G1222" i="5"/>
  <c r="H1222" i="5" s="1"/>
  <c r="K1221" i="5"/>
  <c r="J1221" i="5"/>
  <c r="M1221" i="5" s="1"/>
  <c r="G1221" i="5"/>
  <c r="H1221" i="5"/>
  <c r="K1220" i="5"/>
  <c r="J1220" i="5"/>
  <c r="M1220" i="5" s="1"/>
  <c r="F1220" i="5"/>
  <c r="G1220" i="5"/>
  <c r="H1220" i="5" s="1"/>
  <c r="G1219" i="5"/>
  <c r="H1219" i="5" s="1"/>
  <c r="F1218" i="5"/>
  <c r="G1218" i="5"/>
  <c r="H1218" i="5" s="1"/>
  <c r="G1217" i="5"/>
  <c r="H1217" i="5" s="1"/>
  <c r="F1216" i="5"/>
  <c r="G1216" i="5"/>
  <c r="H1216" i="5" s="1"/>
  <c r="G1215" i="5"/>
  <c r="H1215" i="5" s="1"/>
  <c r="F1214" i="5"/>
  <c r="G1214" i="5"/>
  <c r="H1214" i="5" s="1"/>
  <c r="K1212" i="5"/>
  <c r="J1212" i="5"/>
  <c r="M1212" i="5"/>
  <c r="G1212" i="5"/>
  <c r="H1212" i="5" s="1"/>
  <c r="K1211" i="5"/>
  <c r="J1211" i="5"/>
  <c r="M1211" i="5" s="1"/>
  <c r="F1211" i="5"/>
  <c r="G1211" i="5"/>
  <c r="H1211" i="5" s="1"/>
  <c r="K1210" i="5"/>
  <c r="J1210" i="5"/>
  <c r="M1210" i="5" s="1"/>
  <c r="G1210" i="5"/>
  <c r="H1210" i="5" s="1"/>
  <c r="K1209" i="5"/>
  <c r="J1209" i="5"/>
  <c r="M1209" i="5"/>
  <c r="F1209" i="5"/>
  <c r="G1209" i="5"/>
  <c r="H1209" i="5" s="1"/>
  <c r="K1208" i="5"/>
  <c r="J1208" i="5"/>
  <c r="M1208" i="5" s="1"/>
  <c r="G1208" i="5"/>
  <c r="H1208" i="5"/>
  <c r="K1207" i="5"/>
  <c r="J1207" i="5"/>
  <c r="M1207" i="5" s="1"/>
  <c r="F1207" i="5"/>
  <c r="G1207" i="5"/>
  <c r="H1207" i="5" s="1"/>
  <c r="G1206" i="5"/>
  <c r="H1206" i="5" s="1"/>
  <c r="F1205" i="5"/>
  <c r="G1205" i="5"/>
  <c r="H1205" i="5" s="1"/>
  <c r="G1204" i="5"/>
  <c r="H1204" i="5" s="1"/>
  <c r="F1203" i="5"/>
  <c r="G1203" i="5"/>
  <c r="H1203" i="5" s="1"/>
  <c r="G1202" i="5"/>
  <c r="H1202" i="5" s="1"/>
  <c r="F1201" i="5"/>
  <c r="G1201" i="5"/>
  <c r="H1201" i="5" s="1"/>
  <c r="K1199" i="5"/>
  <c r="J1199" i="5"/>
  <c r="M1199" i="5"/>
  <c r="G1199" i="5"/>
  <c r="H1199" i="5" s="1"/>
  <c r="K1198" i="5"/>
  <c r="J1198" i="5"/>
  <c r="M1198" i="5" s="1"/>
  <c r="F1198" i="5"/>
  <c r="G1198" i="5"/>
  <c r="H1198" i="5" s="1"/>
  <c r="K1197" i="5"/>
  <c r="J1197" i="5"/>
  <c r="M1197" i="5" s="1"/>
  <c r="G1197" i="5"/>
  <c r="H1197" i="5" s="1"/>
  <c r="K1196" i="5"/>
  <c r="J1196" i="5"/>
  <c r="M1196" i="5"/>
  <c r="F1196" i="5"/>
  <c r="G1196" i="5"/>
  <c r="H1196" i="5" s="1"/>
  <c r="K1195" i="5"/>
  <c r="J1195" i="5"/>
  <c r="M1195" i="5" s="1"/>
  <c r="G1195" i="5"/>
  <c r="H1195" i="5"/>
  <c r="K1194" i="5"/>
  <c r="J1194" i="5"/>
  <c r="M1194" i="5" s="1"/>
  <c r="F1194" i="5"/>
  <c r="G1194" i="5"/>
  <c r="H1194" i="5" s="1"/>
  <c r="G1193" i="5"/>
  <c r="H1193" i="5" s="1"/>
  <c r="F1192" i="5"/>
  <c r="G1192" i="5"/>
  <c r="H1192" i="5" s="1"/>
  <c r="G1191" i="5"/>
  <c r="H1191" i="5" s="1"/>
  <c r="F1190" i="5"/>
  <c r="G1190" i="5"/>
  <c r="H1190" i="5" s="1"/>
  <c r="G1189" i="5"/>
  <c r="H1189" i="5" s="1"/>
  <c r="F1188" i="5"/>
  <c r="G1188" i="5"/>
  <c r="H1188" i="5" s="1"/>
  <c r="K1186" i="5"/>
  <c r="J1186" i="5"/>
  <c r="M1186" i="5"/>
  <c r="G1186" i="5"/>
  <c r="H1186" i="5" s="1"/>
  <c r="K1185" i="5"/>
  <c r="J1185" i="5"/>
  <c r="M1185" i="5" s="1"/>
  <c r="F1185" i="5"/>
  <c r="G1185" i="5"/>
  <c r="H1185" i="5" s="1"/>
  <c r="K1184" i="5"/>
  <c r="J1184" i="5"/>
  <c r="M1184" i="5" s="1"/>
  <c r="G1184" i="5"/>
  <c r="H1184" i="5" s="1"/>
  <c r="K1183" i="5"/>
  <c r="J1183" i="5"/>
  <c r="M1183" i="5"/>
  <c r="F1183" i="5"/>
  <c r="G1183" i="5"/>
  <c r="H1183" i="5" s="1"/>
  <c r="K1182" i="5"/>
  <c r="J1182" i="5"/>
  <c r="M1182" i="5" s="1"/>
  <c r="G1182" i="5"/>
  <c r="H1182" i="5"/>
  <c r="K1181" i="5"/>
  <c r="J1181" i="5"/>
  <c r="M1181" i="5" s="1"/>
  <c r="F1181" i="5"/>
  <c r="G1181" i="5"/>
  <c r="H1181" i="5" s="1"/>
  <c r="G1180" i="5"/>
  <c r="H1180" i="5" s="1"/>
  <c r="F1179" i="5"/>
  <c r="G1179" i="5"/>
  <c r="H1179" i="5" s="1"/>
  <c r="G1178" i="5"/>
  <c r="H1178" i="5" s="1"/>
  <c r="F1177" i="5"/>
  <c r="G1177" i="5"/>
  <c r="H1177" i="5" s="1"/>
  <c r="G1176" i="5"/>
  <c r="H1176" i="5" s="1"/>
  <c r="F1175" i="5"/>
  <c r="G1175" i="5"/>
  <c r="H1175" i="5" s="1"/>
  <c r="K1173" i="5"/>
  <c r="J1173" i="5"/>
  <c r="M1173" i="5"/>
  <c r="G1173" i="5"/>
  <c r="H1173" i="5" s="1"/>
  <c r="K1172" i="5"/>
  <c r="J1172" i="5"/>
  <c r="M1172" i="5" s="1"/>
  <c r="F1172" i="5"/>
  <c r="G1172" i="5"/>
  <c r="H1172" i="5" s="1"/>
  <c r="K1171" i="5"/>
  <c r="J1171" i="5"/>
  <c r="M1171" i="5" s="1"/>
  <c r="G1171" i="5"/>
  <c r="H1171" i="5" s="1"/>
  <c r="K1170" i="5"/>
  <c r="J1170" i="5"/>
  <c r="M1170" i="5"/>
  <c r="F1170" i="5"/>
  <c r="G1170" i="5"/>
  <c r="H1170" i="5" s="1"/>
  <c r="K1169" i="5"/>
  <c r="J1169" i="5"/>
  <c r="M1169" i="5" s="1"/>
  <c r="G1169" i="5"/>
  <c r="H1169" i="5"/>
  <c r="K1168" i="5"/>
  <c r="J1168" i="5"/>
  <c r="M1168" i="5" s="1"/>
  <c r="F1168" i="5"/>
  <c r="G1168" i="5"/>
  <c r="H1168" i="5" s="1"/>
  <c r="G1167" i="5"/>
  <c r="H1167" i="5" s="1"/>
  <c r="F1166" i="5"/>
  <c r="G1166" i="5"/>
  <c r="H1166" i="5" s="1"/>
  <c r="G1165" i="5"/>
  <c r="H1165" i="5" s="1"/>
  <c r="F1164" i="5"/>
  <c r="G1164" i="5"/>
  <c r="H1164" i="5" s="1"/>
  <c r="G1163" i="5"/>
  <c r="H1163" i="5" s="1"/>
  <c r="F1162" i="5"/>
  <c r="G1162" i="5"/>
  <c r="H1162" i="5" s="1"/>
  <c r="K1160" i="5"/>
  <c r="J1160" i="5"/>
  <c r="M1160" i="5"/>
  <c r="G1160" i="5"/>
  <c r="H1160" i="5" s="1"/>
  <c r="K1159" i="5"/>
  <c r="J1159" i="5"/>
  <c r="M1159" i="5" s="1"/>
  <c r="F1159" i="5"/>
  <c r="G1159" i="5"/>
  <c r="H1159" i="5" s="1"/>
  <c r="K1158" i="5"/>
  <c r="J1158" i="5"/>
  <c r="M1158" i="5" s="1"/>
  <c r="G1158" i="5"/>
  <c r="H1158" i="5" s="1"/>
  <c r="K1157" i="5"/>
  <c r="J1157" i="5"/>
  <c r="M1157" i="5"/>
  <c r="F1157" i="5"/>
  <c r="G1157" i="5"/>
  <c r="H1157" i="5" s="1"/>
  <c r="K1156" i="5"/>
  <c r="J1156" i="5"/>
  <c r="M1156" i="5" s="1"/>
  <c r="G1156" i="5"/>
  <c r="H1156" i="5"/>
  <c r="K1155" i="5"/>
  <c r="J1155" i="5"/>
  <c r="M1155" i="5" s="1"/>
  <c r="F1155" i="5"/>
  <c r="G1155" i="5"/>
  <c r="H1155" i="5" s="1"/>
  <c r="G1154" i="5"/>
  <c r="H1154" i="5" s="1"/>
  <c r="F1153" i="5"/>
  <c r="G1153" i="5"/>
  <c r="H1153" i="5" s="1"/>
  <c r="G1152" i="5"/>
  <c r="H1152" i="5" s="1"/>
  <c r="F1151" i="5"/>
  <c r="G1151" i="5"/>
  <c r="H1151" i="5" s="1"/>
  <c r="G1150" i="5"/>
  <c r="H1150" i="5" s="1"/>
  <c r="F1149" i="5"/>
  <c r="G1149" i="5"/>
  <c r="H1149" i="5" s="1"/>
  <c r="K1147" i="5"/>
  <c r="J1147" i="5"/>
  <c r="M1147" i="5"/>
  <c r="G1147" i="5"/>
  <c r="H1147" i="5" s="1"/>
  <c r="K1146" i="5"/>
  <c r="J1146" i="5"/>
  <c r="M1146" i="5" s="1"/>
  <c r="F1146" i="5"/>
  <c r="G1146" i="5"/>
  <c r="H1146" i="5" s="1"/>
  <c r="K1145" i="5"/>
  <c r="J1145" i="5"/>
  <c r="G1145" i="5"/>
  <c r="H1145" i="5" s="1"/>
  <c r="K1144" i="5"/>
  <c r="J1144" i="5"/>
  <c r="M1144" i="5"/>
  <c r="F1144" i="5"/>
  <c r="G1144" i="5"/>
  <c r="H1144" i="5" s="1"/>
  <c r="K1143" i="5"/>
  <c r="J1143" i="5"/>
  <c r="M1143" i="5"/>
  <c r="G1143" i="5"/>
  <c r="H1143" i="5"/>
  <c r="K1142" i="5"/>
  <c r="J1142" i="5"/>
  <c r="M1142" i="5" s="1"/>
  <c r="F1142" i="5"/>
  <c r="G1142" i="5"/>
  <c r="H1142" i="5" s="1"/>
  <c r="G1141" i="5"/>
  <c r="H1141" i="5" s="1"/>
  <c r="F1140" i="5"/>
  <c r="G1140" i="5"/>
  <c r="H1140" i="5" s="1"/>
  <c r="G1139" i="5"/>
  <c r="H1139" i="5" s="1"/>
  <c r="F1138" i="5"/>
  <c r="G1138" i="5"/>
  <c r="H1138" i="5" s="1"/>
  <c r="G1137" i="5"/>
  <c r="H1137" i="5" s="1"/>
  <c r="F1136" i="5"/>
  <c r="G1136" i="5"/>
  <c r="H1136" i="5" s="1"/>
  <c r="K1134" i="5"/>
  <c r="J1134" i="5"/>
  <c r="M1134" i="5"/>
  <c r="G1134" i="5"/>
  <c r="H1134" i="5" s="1"/>
  <c r="K1133" i="5"/>
  <c r="J1133" i="5"/>
  <c r="M1133" i="5" s="1"/>
  <c r="F1133" i="5"/>
  <c r="G1133" i="5"/>
  <c r="H1133" i="5" s="1"/>
  <c r="K1132" i="5"/>
  <c r="J1132" i="5"/>
  <c r="M1132" i="5" s="1"/>
  <c r="G1132" i="5"/>
  <c r="H1132" i="5" s="1"/>
  <c r="K1131" i="5"/>
  <c r="J1131" i="5"/>
  <c r="M1131" i="5"/>
  <c r="F1131" i="5"/>
  <c r="G1131" i="5"/>
  <c r="H1131" i="5" s="1"/>
  <c r="K1130" i="5"/>
  <c r="J1130" i="5"/>
  <c r="M1130" i="5" s="1"/>
  <c r="G1130" i="5"/>
  <c r="H1130" i="5"/>
  <c r="K1129" i="5"/>
  <c r="J1129" i="5"/>
  <c r="M1129" i="5" s="1"/>
  <c r="F1129" i="5"/>
  <c r="G1129" i="5"/>
  <c r="H1129" i="5" s="1"/>
  <c r="G1128" i="5"/>
  <c r="H1128" i="5" s="1"/>
  <c r="F1127" i="5"/>
  <c r="G1127" i="5"/>
  <c r="H1127" i="5" s="1"/>
  <c r="F1126" i="5"/>
  <c r="F1125" i="5"/>
  <c r="G1125" i="5"/>
  <c r="H1125" i="5" s="1"/>
  <c r="F1124" i="5"/>
  <c r="F1123" i="5"/>
  <c r="G1123" i="5"/>
  <c r="H1123" i="5" s="1"/>
  <c r="K1121" i="5"/>
  <c r="J1121" i="5"/>
  <c r="M1121" i="5" s="1"/>
  <c r="G1121" i="5"/>
  <c r="H1121" i="5"/>
  <c r="F1121" i="5"/>
  <c r="K1120" i="5"/>
  <c r="J1120" i="5"/>
  <c r="F1120" i="5"/>
  <c r="G1120" i="5"/>
  <c r="H1120" i="5" s="1"/>
  <c r="K1119" i="5"/>
  <c r="J1119" i="5"/>
  <c r="M1119" i="5" s="1"/>
  <c r="G1119" i="5"/>
  <c r="H1119" i="5" s="1"/>
  <c r="F1119" i="5"/>
  <c r="K1118" i="5"/>
  <c r="J1118" i="5"/>
  <c r="F1118" i="5"/>
  <c r="G1118" i="5"/>
  <c r="H1118" i="5" s="1"/>
  <c r="K1117" i="5"/>
  <c r="J1117" i="5"/>
  <c r="M1117" i="5" s="1"/>
  <c r="G1117" i="5"/>
  <c r="H1117" i="5" s="1"/>
  <c r="F1117" i="5"/>
  <c r="K1116" i="5"/>
  <c r="J1116" i="5"/>
  <c r="F1116" i="5"/>
  <c r="G1116" i="5"/>
  <c r="H1116" i="5" s="1"/>
  <c r="F1115" i="5"/>
  <c r="F1114" i="5"/>
  <c r="G1114" i="5"/>
  <c r="H1114" i="5"/>
  <c r="F1113" i="5"/>
  <c r="F1112" i="5"/>
  <c r="G1112" i="5"/>
  <c r="H1112" i="5" s="1"/>
  <c r="F1111" i="5"/>
  <c r="F1110" i="5"/>
  <c r="G1110" i="5"/>
  <c r="H1110" i="5"/>
  <c r="K1108" i="5"/>
  <c r="J1108" i="5"/>
  <c r="M1108" i="5" s="1"/>
  <c r="F1108" i="5"/>
  <c r="K1107" i="5"/>
  <c r="J1107" i="5"/>
  <c r="M1107" i="5" s="1"/>
  <c r="F1107" i="5"/>
  <c r="G1107" i="5"/>
  <c r="H1107" i="5"/>
  <c r="K1106" i="5"/>
  <c r="J1106" i="5"/>
  <c r="M1106" i="5" s="1"/>
  <c r="F1106" i="5"/>
  <c r="K1105" i="5"/>
  <c r="J1105" i="5"/>
  <c r="M1105" i="5" s="1"/>
  <c r="F1105" i="5"/>
  <c r="G1105" i="5"/>
  <c r="H1105" i="5"/>
  <c r="K1104" i="5"/>
  <c r="J1104" i="5"/>
  <c r="M1104" i="5"/>
  <c r="F1104" i="5"/>
  <c r="K1103" i="5"/>
  <c r="J1103" i="5"/>
  <c r="M1103" i="5"/>
  <c r="F1103" i="5"/>
  <c r="G1103" i="5"/>
  <c r="H1103" i="5" s="1"/>
  <c r="F1102" i="5"/>
  <c r="F1101" i="5"/>
  <c r="G1101" i="5"/>
  <c r="H1101" i="5" s="1"/>
  <c r="F1100" i="5"/>
  <c r="F1099" i="5"/>
  <c r="G1099" i="5"/>
  <c r="H1099" i="5" s="1"/>
  <c r="F1098" i="5"/>
  <c r="F1097" i="5"/>
  <c r="G1097" i="5"/>
  <c r="H1097" i="5" s="1"/>
  <c r="K1095" i="5"/>
  <c r="J1095" i="5"/>
  <c r="M1095" i="5" s="1"/>
  <c r="F1095" i="5"/>
  <c r="K1094" i="5"/>
  <c r="J1094" i="5"/>
  <c r="M1094" i="5" s="1"/>
  <c r="F1094" i="5"/>
  <c r="G1094" i="5"/>
  <c r="H1094" i="5"/>
  <c r="K1093" i="5"/>
  <c r="J1093" i="5"/>
  <c r="M1093" i="5" s="1"/>
  <c r="F1093" i="5"/>
  <c r="K1092" i="5"/>
  <c r="J1092" i="5"/>
  <c r="M1092" i="5" s="1"/>
  <c r="F1092" i="5"/>
  <c r="G1092" i="5"/>
  <c r="H1092" i="5" s="1"/>
  <c r="K1091" i="5"/>
  <c r="J1091" i="5"/>
  <c r="M1091" i="5" s="1"/>
  <c r="F1091" i="5"/>
  <c r="K1090" i="5"/>
  <c r="J1090" i="5"/>
  <c r="M1090" i="5" s="1"/>
  <c r="F1090" i="5"/>
  <c r="G1090" i="5"/>
  <c r="H1090" i="5" s="1"/>
  <c r="F1089" i="5"/>
  <c r="F1088" i="5"/>
  <c r="G1088" i="5"/>
  <c r="H1088" i="5"/>
  <c r="F1087" i="5"/>
  <c r="F1086" i="5"/>
  <c r="G1086" i="5"/>
  <c r="H1086" i="5" s="1"/>
  <c r="F1085" i="5"/>
  <c r="F1084" i="5"/>
  <c r="G1084" i="5"/>
  <c r="H1084" i="5"/>
  <c r="K1082" i="5"/>
  <c r="J1082" i="5"/>
  <c r="M1082" i="5"/>
  <c r="F1082" i="5"/>
  <c r="K1081" i="5"/>
  <c r="J1081" i="5"/>
  <c r="M1081" i="5"/>
  <c r="F1081" i="5"/>
  <c r="G1081" i="5"/>
  <c r="H1081" i="5" s="1"/>
  <c r="K1080" i="5"/>
  <c r="J1080" i="5"/>
  <c r="M1080" i="5" s="1"/>
  <c r="F1080" i="5"/>
  <c r="K1079" i="5"/>
  <c r="J1079" i="5"/>
  <c r="M1079" i="5" s="1"/>
  <c r="F1079" i="5"/>
  <c r="G1079" i="5"/>
  <c r="H1079" i="5" s="1"/>
  <c r="K1078" i="5"/>
  <c r="J1078" i="5"/>
  <c r="M1078" i="5" s="1"/>
  <c r="F1078" i="5"/>
  <c r="K1077" i="5"/>
  <c r="J1077" i="5"/>
  <c r="M1077" i="5"/>
  <c r="F1077" i="5"/>
  <c r="G1077" i="5"/>
  <c r="H1077" i="5" s="1"/>
  <c r="F1076" i="5"/>
  <c r="F1075" i="5"/>
  <c r="G1075" i="5"/>
  <c r="H1075" i="5" s="1"/>
  <c r="F1074" i="5"/>
  <c r="F1073" i="5"/>
  <c r="G1073" i="5"/>
  <c r="H1073" i="5" s="1"/>
  <c r="F1072" i="5"/>
  <c r="F1071" i="5"/>
  <c r="G1071" i="5"/>
  <c r="H1071" i="5" s="1"/>
  <c r="K1069" i="5"/>
  <c r="J1069" i="5"/>
  <c r="M1069" i="5" s="1"/>
  <c r="F1069" i="5"/>
  <c r="K1068" i="5"/>
  <c r="J1068" i="5"/>
  <c r="M1068" i="5" s="1"/>
  <c r="F1068" i="5"/>
  <c r="G1068" i="5"/>
  <c r="H1068" i="5"/>
  <c r="K1067" i="5"/>
  <c r="J1067" i="5"/>
  <c r="M1067" i="5" s="1"/>
  <c r="F1067" i="5"/>
  <c r="K1066" i="5"/>
  <c r="J1066" i="5"/>
  <c r="M1066" i="5" s="1"/>
  <c r="F1066" i="5"/>
  <c r="G1066" i="5"/>
  <c r="H1066" i="5" s="1"/>
  <c r="K1065" i="5"/>
  <c r="J1065" i="5"/>
  <c r="M1065" i="5" s="1"/>
  <c r="F1065" i="5"/>
  <c r="K1064" i="5"/>
  <c r="J1064" i="5"/>
  <c r="M1064" i="5" s="1"/>
  <c r="F1064" i="5"/>
  <c r="G1064" i="5"/>
  <c r="H1064" i="5" s="1"/>
  <c r="F1063" i="5"/>
  <c r="F1062" i="5"/>
  <c r="G1062" i="5"/>
  <c r="H1062" i="5"/>
  <c r="F1061" i="5"/>
  <c r="F1060" i="5"/>
  <c r="G1060" i="5"/>
  <c r="H1060" i="5" s="1"/>
  <c r="F1059" i="5"/>
  <c r="F1058" i="5"/>
  <c r="G1058" i="5"/>
  <c r="H1058" i="5"/>
  <c r="K1056" i="5"/>
  <c r="J1056" i="5"/>
  <c r="I1056" i="5"/>
  <c r="L1056" i="5" s="1"/>
  <c r="F1056" i="5"/>
  <c r="K1055" i="5"/>
  <c r="J1055" i="5"/>
  <c r="M1055" i="5"/>
  <c r="F1055" i="5"/>
  <c r="G1055" i="5"/>
  <c r="H1055" i="5"/>
  <c r="K1054" i="5"/>
  <c r="J1054" i="5"/>
  <c r="M1054" i="5" s="1"/>
  <c r="F1054" i="5"/>
  <c r="K1053" i="5"/>
  <c r="J1053" i="5"/>
  <c r="M1053" i="5" s="1"/>
  <c r="F1053" i="5"/>
  <c r="G1053" i="5"/>
  <c r="H1053" i="5" s="1"/>
  <c r="K1052" i="5"/>
  <c r="J1052" i="5"/>
  <c r="I1052" i="5"/>
  <c r="L1052" i="5" s="1"/>
  <c r="F1052" i="5"/>
  <c r="K1051" i="5"/>
  <c r="J1051" i="5"/>
  <c r="M1051" i="5" s="1"/>
  <c r="F1051" i="5"/>
  <c r="G1051" i="5"/>
  <c r="H1051" i="5"/>
  <c r="F1050" i="5"/>
  <c r="F1049" i="5"/>
  <c r="G1049" i="5"/>
  <c r="H1049" i="5"/>
  <c r="F1048" i="5"/>
  <c r="F1047" i="5"/>
  <c r="G1047" i="5"/>
  <c r="H1047" i="5"/>
  <c r="F1046" i="5"/>
  <c r="F1045" i="5"/>
  <c r="G1045" i="5"/>
  <c r="H1045" i="5"/>
  <c r="K1043" i="5"/>
  <c r="J1043" i="5"/>
  <c r="I1043" i="5" s="1"/>
  <c r="L1043" i="5" s="1"/>
  <c r="F1043" i="5"/>
  <c r="K1042" i="5"/>
  <c r="J1042" i="5"/>
  <c r="M1042" i="5" s="1"/>
  <c r="F1042" i="5"/>
  <c r="G1042" i="5"/>
  <c r="H1042" i="5"/>
  <c r="K1041" i="5"/>
  <c r="J1041" i="5"/>
  <c r="M1041" i="5"/>
  <c r="F1041" i="5"/>
  <c r="K1040" i="5"/>
  <c r="J1040" i="5"/>
  <c r="M1040" i="5"/>
  <c r="F1040" i="5"/>
  <c r="G1040" i="5"/>
  <c r="H1040" i="5" s="1"/>
  <c r="K1039" i="5"/>
  <c r="J1039" i="5"/>
  <c r="I1039" i="5" s="1"/>
  <c r="L1039" i="5" s="1"/>
  <c r="F1039" i="5"/>
  <c r="K1038" i="5"/>
  <c r="J1038" i="5"/>
  <c r="M1038" i="5" s="1"/>
  <c r="F1038" i="5"/>
  <c r="G1038" i="5"/>
  <c r="H1038" i="5" s="1"/>
  <c r="F1037" i="5"/>
  <c r="F1036" i="5"/>
  <c r="G1036" i="5"/>
  <c r="H1036" i="5" s="1"/>
  <c r="F1035" i="5"/>
  <c r="F1034" i="5"/>
  <c r="G1034" i="5"/>
  <c r="H1034" i="5" s="1"/>
  <c r="F1033" i="5"/>
  <c r="F1032" i="5"/>
  <c r="G1032" i="5"/>
  <c r="H1032" i="5" s="1"/>
  <c r="K1030" i="5"/>
  <c r="J1030" i="5"/>
  <c r="I1030" i="5" s="1"/>
  <c r="L1030" i="5"/>
  <c r="F1030" i="5"/>
  <c r="K1029" i="5"/>
  <c r="J1029" i="5"/>
  <c r="M1029" i="5"/>
  <c r="F1029" i="5"/>
  <c r="G1029" i="5"/>
  <c r="H1029" i="5" s="1"/>
  <c r="K1028" i="5"/>
  <c r="J1028" i="5"/>
  <c r="M1028" i="5" s="1"/>
  <c r="F1028" i="5"/>
  <c r="K1027" i="5"/>
  <c r="J1027" i="5"/>
  <c r="M1027" i="5"/>
  <c r="F1027" i="5"/>
  <c r="G1027" i="5"/>
  <c r="H1027" i="5" s="1"/>
  <c r="K1026" i="5"/>
  <c r="J1026" i="5"/>
  <c r="I1026" i="5" s="1"/>
  <c r="L1026" i="5" s="1"/>
  <c r="F1026" i="5"/>
  <c r="K1025" i="5"/>
  <c r="J1025" i="5"/>
  <c r="M1025" i="5" s="1"/>
  <c r="F1025" i="5"/>
  <c r="G1025" i="5"/>
  <c r="H1025" i="5"/>
  <c r="F1024" i="5"/>
  <c r="F1023" i="5"/>
  <c r="G1023" i="5"/>
  <c r="H1023" i="5" s="1"/>
  <c r="F1022" i="5"/>
  <c r="F1021" i="5"/>
  <c r="G1021" i="5"/>
  <c r="H1021" i="5"/>
  <c r="F1020" i="5"/>
  <c r="F1019" i="5"/>
  <c r="G1019" i="5"/>
  <c r="H1019" i="5" s="1"/>
  <c r="K1017" i="5"/>
  <c r="J1017" i="5"/>
  <c r="I1017" i="5" s="1"/>
  <c r="L1017" i="5" s="1"/>
  <c r="F1017" i="5"/>
  <c r="K1016" i="5"/>
  <c r="J1016" i="5"/>
  <c r="M1016" i="5" s="1"/>
  <c r="F1016" i="5"/>
  <c r="G1016" i="5"/>
  <c r="H1016" i="5" s="1"/>
  <c r="K1015" i="5"/>
  <c r="J1015" i="5"/>
  <c r="M1015" i="5"/>
  <c r="F1015" i="5"/>
  <c r="K1014" i="5"/>
  <c r="J1014" i="5"/>
  <c r="M1014" i="5"/>
  <c r="F1014" i="5"/>
  <c r="G1014" i="5"/>
  <c r="H1014" i="5" s="1"/>
  <c r="K1013" i="5"/>
  <c r="J1013" i="5"/>
  <c r="I1013" i="5"/>
  <c r="L1013" i="5" s="1"/>
  <c r="F1013" i="5"/>
  <c r="K1012" i="5"/>
  <c r="J1012" i="5"/>
  <c r="M1012" i="5" s="1"/>
  <c r="F1012" i="5"/>
  <c r="G1012" i="5"/>
  <c r="H1012" i="5" s="1"/>
  <c r="F1011" i="5"/>
  <c r="F1010" i="5"/>
  <c r="G1010" i="5"/>
  <c r="H1010" i="5" s="1"/>
  <c r="F1009" i="5"/>
  <c r="F1008" i="5"/>
  <c r="G1008" i="5"/>
  <c r="H1008" i="5" s="1"/>
  <c r="F1007" i="5"/>
  <c r="F1006" i="5"/>
  <c r="G1006" i="5"/>
  <c r="H1006" i="5" s="1"/>
  <c r="K1004" i="5"/>
  <c r="J1004" i="5"/>
  <c r="I1004" i="5" s="1"/>
  <c r="L1004" i="5" s="1"/>
  <c r="F1004" i="5"/>
  <c r="K1003" i="5"/>
  <c r="J1003" i="5"/>
  <c r="M1003" i="5" s="1"/>
  <c r="F1003" i="5"/>
  <c r="G1003" i="5"/>
  <c r="H1003" i="5" s="1"/>
  <c r="K1002" i="5"/>
  <c r="J1002" i="5"/>
  <c r="M1002" i="5" s="1"/>
  <c r="F1002" i="5"/>
  <c r="K1001" i="5"/>
  <c r="J1001" i="5"/>
  <c r="M1001" i="5" s="1"/>
  <c r="F1001" i="5"/>
  <c r="G1001" i="5"/>
  <c r="H1001" i="5" s="1"/>
  <c r="K1000" i="5"/>
  <c r="J1000" i="5"/>
  <c r="I1000" i="5"/>
  <c r="L1000" i="5" s="1"/>
  <c r="F1000" i="5"/>
  <c r="K999" i="5"/>
  <c r="J999" i="5"/>
  <c r="M999" i="5" s="1"/>
  <c r="F999" i="5"/>
  <c r="G999" i="5"/>
  <c r="H999" i="5" s="1"/>
  <c r="F998" i="5"/>
  <c r="F997" i="5"/>
  <c r="G997" i="5"/>
  <c r="H997" i="5" s="1"/>
  <c r="F996" i="5"/>
  <c r="F995" i="5"/>
  <c r="G995" i="5"/>
  <c r="H995" i="5" s="1"/>
  <c r="F994" i="5"/>
  <c r="F993" i="5"/>
  <c r="G993" i="5"/>
  <c r="H993" i="5" s="1"/>
  <c r="K991" i="5"/>
  <c r="J991" i="5"/>
  <c r="I991" i="5" s="1"/>
  <c r="L991" i="5" s="1"/>
  <c r="F991" i="5"/>
  <c r="K990" i="5"/>
  <c r="J990" i="5"/>
  <c r="M990" i="5"/>
  <c r="F990" i="5"/>
  <c r="G990" i="5"/>
  <c r="H990" i="5" s="1"/>
  <c r="K989" i="5"/>
  <c r="J989" i="5"/>
  <c r="M989" i="5" s="1"/>
  <c r="F989" i="5"/>
  <c r="K988" i="5"/>
  <c r="J988" i="5"/>
  <c r="M988" i="5" s="1"/>
  <c r="F988" i="5"/>
  <c r="G988" i="5"/>
  <c r="H988" i="5" s="1"/>
  <c r="K987" i="5"/>
  <c r="J987" i="5"/>
  <c r="I987" i="5" s="1"/>
  <c r="L987" i="5" s="1"/>
  <c r="F987" i="5"/>
  <c r="K986" i="5"/>
  <c r="J986" i="5"/>
  <c r="F986" i="5"/>
  <c r="G986" i="5"/>
  <c r="H986" i="5" s="1"/>
  <c r="G985" i="5"/>
  <c r="H985" i="5" s="1"/>
  <c r="F985" i="5"/>
  <c r="F984" i="5"/>
  <c r="G984" i="5"/>
  <c r="H984" i="5" s="1"/>
  <c r="G983" i="5"/>
  <c r="H983" i="5" s="1"/>
  <c r="F983" i="5"/>
  <c r="F982" i="5"/>
  <c r="G982" i="5"/>
  <c r="H982" i="5" s="1"/>
  <c r="G981" i="5"/>
  <c r="H981" i="5" s="1"/>
  <c r="F981" i="5"/>
  <c r="F980" i="5"/>
  <c r="G980" i="5"/>
  <c r="H980" i="5" s="1"/>
  <c r="K978" i="5"/>
  <c r="J978" i="5"/>
  <c r="I978" i="5"/>
  <c r="L978" i="5" s="1"/>
  <c r="F978" i="5"/>
  <c r="K977" i="5"/>
  <c r="J977" i="5"/>
  <c r="F977" i="5"/>
  <c r="G977" i="5"/>
  <c r="H977" i="5" s="1"/>
  <c r="K976" i="5"/>
  <c r="J976" i="5"/>
  <c r="I976" i="5" s="1"/>
  <c r="L976" i="5" s="1"/>
  <c r="M976" i="5"/>
  <c r="F976" i="5"/>
  <c r="K975" i="5"/>
  <c r="J975" i="5"/>
  <c r="F975" i="5"/>
  <c r="G975" i="5"/>
  <c r="H975" i="5"/>
  <c r="K974" i="5"/>
  <c r="J974" i="5"/>
  <c r="I974" i="5" s="1"/>
  <c r="L974" i="5"/>
  <c r="F974" i="5"/>
  <c r="K973" i="5"/>
  <c r="J973" i="5"/>
  <c r="F973" i="5"/>
  <c r="G973" i="5"/>
  <c r="H973" i="5" s="1"/>
  <c r="G972" i="5"/>
  <c r="H972" i="5"/>
  <c r="F972" i="5"/>
  <c r="F971" i="5"/>
  <c r="G971" i="5"/>
  <c r="H971" i="5"/>
  <c r="G970" i="5"/>
  <c r="H970" i="5" s="1"/>
  <c r="F970" i="5"/>
  <c r="F969" i="5"/>
  <c r="G969" i="5"/>
  <c r="H969" i="5" s="1"/>
  <c r="G968" i="5"/>
  <c r="H968" i="5"/>
  <c r="F968" i="5"/>
  <c r="F967" i="5"/>
  <c r="G967" i="5"/>
  <c r="H967" i="5"/>
  <c r="K965" i="5"/>
  <c r="J965" i="5"/>
  <c r="I965" i="5" s="1"/>
  <c r="L965" i="5" s="1"/>
  <c r="F965" i="5"/>
  <c r="K964" i="5"/>
  <c r="J964" i="5"/>
  <c r="F964" i="5"/>
  <c r="G964" i="5"/>
  <c r="H964" i="5" s="1"/>
  <c r="K963" i="5"/>
  <c r="J963" i="5"/>
  <c r="M963" i="5" s="1"/>
  <c r="F963" i="5"/>
  <c r="G963" i="5"/>
  <c r="H963" i="5" s="1"/>
  <c r="K962" i="5"/>
  <c r="J962" i="5"/>
  <c r="M962" i="5" s="1"/>
  <c r="F962" i="5"/>
  <c r="K961" i="5"/>
  <c r="J961" i="5"/>
  <c r="M961" i="5" s="1"/>
  <c r="F961" i="5"/>
  <c r="G961" i="5"/>
  <c r="H961" i="5" s="1"/>
  <c r="K960" i="5"/>
  <c r="J960" i="5"/>
  <c r="I960" i="5" s="1"/>
  <c r="L960" i="5" s="1"/>
  <c r="F960" i="5"/>
  <c r="F959" i="5"/>
  <c r="G959" i="5"/>
  <c r="H959" i="5"/>
  <c r="F958" i="5"/>
  <c r="F957" i="5"/>
  <c r="G957" i="5"/>
  <c r="H957" i="5" s="1"/>
  <c r="F956" i="5"/>
  <c r="F955" i="5"/>
  <c r="G955" i="5"/>
  <c r="H955" i="5"/>
  <c r="F954" i="5"/>
  <c r="K952" i="5"/>
  <c r="J952" i="5"/>
  <c r="M952" i="5" s="1"/>
  <c r="F952" i="5"/>
  <c r="G952" i="5"/>
  <c r="H952" i="5" s="1"/>
  <c r="K951" i="5"/>
  <c r="J951" i="5"/>
  <c r="I951" i="5" s="1"/>
  <c r="L951" i="5" s="1"/>
  <c r="F951" i="5"/>
  <c r="K950" i="5"/>
  <c r="J950" i="5"/>
  <c r="M950" i="5" s="1"/>
  <c r="F950" i="5"/>
  <c r="G950" i="5"/>
  <c r="H950" i="5"/>
  <c r="K949" i="5"/>
  <c r="J949" i="5"/>
  <c r="M949" i="5" s="1"/>
  <c r="F949" i="5"/>
  <c r="K948" i="5"/>
  <c r="J948" i="5"/>
  <c r="M948" i="5" s="1"/>
  <c r="F948" i="5"/>
  <c r="G948" i="5"/>
  <c r="H948" i="5"/>
  <c r="K947" i="5"/>
  <c r="J947" i="5"/>
  <c r="I947" i="5" s="1"/>
  <c r="L947" i="5" s="1"/>
  <c r="F947" i="5"/>
  <c r="F946" i="5"/>
  <c r="G946" i="5"/>
  <c r="H946" i="5" s="1"/>
  <c r="F945" i="5"/>
  <c r="F944" i="5"/>
  <c r="G944" i="5"/>
  <c r="H944" i="5" s="1"/>
  <c r="F943" i="5"/>
  <c r="F942" i="5"/>
  <c r="G942" i="5"/>
  <c r="H942" i="5" s="1"/>
  <c r="F941" i="5"/>
  <c r="K939" i="5"/>
  <c r="J939" i="5"/>
  <c r="M939" i="5" s="1"/>
  <c r="F939" i="5"/>
  <c r="G939" i="5"/>
  <c r="H939" i="5" s="1"/>
  <c r="K938" i="5"/>
  <c r="J938" i="5"/>
  <c r="I938" i="5"/>
  <c r="L938" i="5" s="1"/>
  <c r="F938" i="5"/>
  <c r="K937" i="5"/>
  <c r="J937" i="5"/>
  <c r="M937" i="5" s="1"/>
  <c r="F937" i="5"/>
  <c r="G937" i="5"/>
  <c r="H937" i="5" s="1"/>
  <c r="K936" i="5"/>
  <c r="J936" i="5"/>
  <c r="M936" i="5" s="1"/>
  <c r="F936" i="5"/>
  <c r="K935" i="5"/>
  <c r="J935" i="5"/>
  <c r="M935" i="5" s="1"/>
  <c r="F935" i="5"/>
  <c r="G935" i="5"/>
  <c r="H935" i="5" s="1"/>
  <c r="K934" i="5"/>
  <c r="J934" i="5"/>
  <c r="I934" i="5" s="1"/>
  <c r="L934" i="5"/>
  <c r="F934" i="5"/>
  <c r="F933" i="5"/>
  <c r="G933" i="5"/>
  <c r="H933" i="5" s="1"/>
  <c r="F932" i="5"/>
  <c r="F931" i="5"/>
  <c r="G931" i="5"/>
  <c r="H931" i="5"/>
  <c r="F930" i="5"/>
  <c r="F929" i="5"/>
  <c r="G929" i="5"/>
  <c r="H929" i="5" s="1"/>
  <c r="F928" i="5"/>
  <c r="K926" i="5"/>
  <c r="J926" i="5"/>
  <c r="M926" i="5"/>
  <c r="F926" i="5"/>
  <c r="G926" i="5"/>
  <c r="H926" i="5" s="1"/>
  <c r="K925" i="5"/>
  <c r="J925" i="5"/>
  <c r="I925" i="5" s="1"/>
  <c r="L925" i="5" s="1"/>
  <c r="F925" i="5"/>
  <c r="K924" i="5"/>
  <c r="J924" i="5"/>
  <c r="M924" i="5" s="1"/>
  <c r="F924" i="5"/>
  <c r="G924" i="5"/>
  <c r="H924" i="5"/>
  <c r="K923" i="5"/>
  <c r="J923" i="5"/>
  <c r="M923" i="5" s="1"/>
  <c r="F923" i="5"/>
  <c r="K922" i="5"/>
  <c r="J922" i="5"/>
  <c r="M922" i="5" s="1"/>
  <c r="F922" i="5"/>
  <c r="G922" i="5"/>
  <c r="H922" i="5"/>
  <c r="K921" i="5"/>
  <c r="J921" i="5"/>
  <c r="I921" i="5" s="1"/>
  <c r="L921" i="5" s="1"/>
  <c r="F921" i="5"/>
  <c r="F920" i="5"/>
  <c r="G920" i="5"/>
  <c r="H920" i="5"/>
  <c r="F919" i="5"/>
  <c r="F918" i="5"/>
  <c r="G918" i="5"/>
  <c r="H918" i="5" s="1"/>
  <c r="F917" i="5"/>
  <c r="F916" i="5"/>
  <c r="G916" i="5"/>
  <c r="H916" i="5"/>
  <c r="F915" i="5"/>
  <c r="K913" i="5"/>
  <c r="J913" i="5"/>
  <c r="M913" i="5" s="1"/>
  <c r="F913" i="5"/>
  <c r="G913" i="5"/>
  <c r="H913" i="5" s="1"/>
  <c r="K912" i="5"/>
  <c r="J912" i="5"/>
  <c r="I912" i="5"/>
  <c r="L912" i="5" s="1"/>
  <c r="F912" i="5"/>
  <c r="K911" i="5"/>
  <c r="J911" i="5"/>
  <c r="M911" i="5" s="1"/>
  <c r="F911" i="5"/>
  <c r="G911" i="5"/>
  <c r="H911" i="5" s="1"/>
  <c r="K910" i="5"/>
  <c r="J910" i="5"/>
  <c r="M910" i="5" s="1"/>
  <c r="F910" i="5"/>
  <c r="K909" i="5"/>
  <c r="J909" i="5"/>
  <c r="M909" i="5" s="1"/>
  <c r="F909" i="5"/>
  <c r="G909" i="5"/>
  <c r="H909" i="5" s="1"/>
  <c r="K908" i="5"/>
  <c r="J908" i="5"/>
  <c r="I908" i="5" s="1"/>
  <c r="L908" i="5" s="1"/>
  <c r="F908" i="5"/>
  <c r="F907" i="5"/>
  <c r="G907" i="5"/>
  <c r="H907" i="5"/>
  <c r="F906" i="5"/>
  <c r="F905" i="5"/>
  <c r="G905" i="5"/>
  <c r="H905" i="5" s="1"/>
  <c r="F904" i="5"/>
  <c r="F903" i="5"/>
  <c r="G903" i="5"/>
  <c r="H903" i="5"/>
  <c r="F902" i="5"/>
  <c r="K900" i="5"/>
  <c r="J900" i="5"/>
  <c r="M900" i="5" s="1"/>
  <c r="F900" i="5"/>
  <c r="G900" i="5"/>
  <c r="H900" i="5" s="1"/>
  <c r="K899" i="5"/>
  <c r="J899" i="5"/>
  <c r="I899" i="5" s="1"/>
  <c r="L899" i="5" s="1"/>
  <c r="F899" i="5"/>
  <c r="K898" i="5"/>
  <c r="J898" i="5"/>
  <c r="M898" i="5" s="1"/>
  <c r="F898" i="5"/>
  <c r="G898" i="5"/>
  <c r="H898" i="5"/>
  <c r="K897" i="5"/>
  <c r="J897" i="5"/>
  <c r="M897" i="5" s="1"/>
  <c r="F897" i="5"/>
  <c r="K896" i="5"/>
  <c r="J896" i="5"/>
  <c r="M896" i="5" s="1"/>
  <c r="F896" i="5"/>
  <c r="G896" i="5"/>
  <c r="H896" i="5"/>
  <c r="K895" i="5"/>
  <c r="J895" i="5"/>
  <c r="I895" i="5" s="1"/>
  <c r="L895" i="5" s="1"/>
  <c r="F895" i="5"/>
  <c r="F894" i="5"/>
  <c r="G894" i="5"/>
  <c r="H894" i="5" s="1"/>
  <c r="F893" i="5"/>
  <c r="F892" i="5"/>
  <c r="G892" i="5"/>
  <c r="H892" i="5" s="1"/>
  <c r="F891" i="5"/>
  <c r="F890" i="5"/>
  <c r="G890" i="5"/>
  <c r="H890" i="5" s="1"/>
  <c r="F889" i="5"/>
  <c r="K887" i="5"/>
  <c r="J887" i="5"/>
  <c r="M887" i="5" s="1"/>
  <c r="F887" i="5"/>
  <c r="G887" i="5"/>
  <c r="H887" i="5" s="1"/>
  <c r="K886" i="5"/>
  <c r="J886" i="5"/>
  <c r="I886" i="5"/>
  <c r="L886" i="5" s="1"/>
  <c r="F886" i="5"/>
  <c r="K885" i="5"/>
  <c r="J885" i="5"/>
  <c r="M885" i="5" s="1"/>
  <c r="F885" i="5"/>
  <c r="G885" i="5"/>
  <c r="H885" i="5" s="1"/>
  <c r="K884" i="5"/>
  <c r="J884" i="5"/>
  <c r="M884" i="5" s="1"/>
  <c r="F884" i="5"/>
  <c r="K883" i="5"/>
  <c r="J883" i="5"/>
  <c r="M883" i="5" s="1"/>
  <c r="F883" i="5"/>
  <c r="G883" i="5"/>
  <c r="H883" i="5" s="1"/>
  <c r="K882" i="5"/>
  <c r="J882" i="5"/>
  <c r="I882" i="5" s="1"/>
  <c r="L882" i="5"/>
  <c r="F882" i="5"/>
  <c r="F881" i="5"/>
  <c r="G881" i="5"/>
  <c r="H881" i="5"/>
  <c r="F880" i="5"/>
  <c r="F879" i="5"/>
  <c r="G879" i="5"/>
  <c r="H879" i="5"/>
  <c r="F878" i="5"/>
  <c r="F877" i="5"/>
  <c r="G877" i="5"/>
  <c r="H877" i="5" s="1"/>
  <c r="F876" i="5"/>
  <c r="K874" i="5"/>
  <c r="J874" i="5"/>
  <c r="M874" i="5"/>
  <c r="F874" i="5"/>
  <c r="G874" i="5"/>
  <c r="H874" i="5" s="1"/>
  <c r="K873" i="5"/>
  <c r="J873" i="5"/>
  <c r="I873" i="5" s="1"/>
  <c r="L873" i="5" s="1"/>
  <c r="F873" i="5"/>
  <c r="K872" i="5"/>
  <c r="J872" i="5"/>
  <c r="M872" i="5" s="1"/>
  <c r="F872" i="5"/>
  <c r="G872" i="5"/>
  <c r="H872" i="5"/>
  <c r="K871" i="5"/>
  <c r="J871" i="5"/>
  <c r="M871" i="5" s="1"/>
  <c r="F871" i="5"/>
  <c r="K870" i="5"/>
  <c r="J870" i="5"/>
  <c r="M870" i="5" s="1"/>
  <c r="F870" i="5"/>
  <c r="G870" i="5"/>
  <c r="H870" i="5" s="1"/>
  <c r="K869" i="5"/>
  <c r="J869" i="5"/>
  <c r="I869" i="5" s="1"/>
  <c r="L869" i="5"/>
  <c r="F869" i="5"/>
  <c r="F868" i="5"/>
  <c r="G868" i="5"/>
  <c r="H868" i="5"/>
  <c r="F867" i="5"/>
  <c r="F866" i="5"/>
  <c r="G866" i="5"/>
  <c r="H866" i="5"/>
  <c r="F865" i="5"/>
  <c r="F864" i="5"/>
  <c r="G864" i="5"/>
  <c r="H864" i="5"/>
  <c r="F863" i="5"/>
  <c r="K861" i="5"/>
  <c r="J861" i="5"/>
  <c r="M861" i="5"/>
  <c r="F861" i="5"/>
  <c r="G861" i="5"/>
  <c r="H861" i="5" s="1"/>
  <c r="K860" i="5"/>
  <c r="J860" i="5"/>
  <c r="I860" i="5" s="1"/>
  <c r="L860" i="5" s="1"/>
  <c r="F860" i="5"/>
  <c r="K859" i="5"/>
  <c r="J859" i="5"/>
  <c r="M859" i="5" s="1"/>
  <c r="F859" i="5"/>
  <c r="G859" i="5"/>
  <c r="H859" i="5" s="1"/>
  <c r="K858" i="5"/>
  <c r="J858" i="5"/>
  <c r="M858" i="5" s="1"/>
  <c r="F858" i="5"/>
  <c r="K857" i="5"/>
  <c r="J857" i="5"/>
  <c r="M857" i="5" s="1"/>
  <c r="F857" i="5"/>
  <c r="G857" i="5"/>
  <c r="H857" i="5" s="1"/>
  <c r="K856" i="5"/>
  <c r="J856" i="5"/>
  <c r="I856" i="5" s="1"/>
  <c r="L856" i="5" s="1"/>
  <c r="F856" i="5"/>
  <c r="F855" i="5"/>
  <c r="G855" i="5"/>
  <c r="H855" i="5"/>
  <c r="F854" i="5"/>
  <c r="F853" i="5"/>
  <c r="G853" i="5"/>
  <c r="H853" i="5" s="1"/>
  <c r="F852" i="5"/>
  <c r="F851" i="5"/>
  <c r="G851" i="5"/>
  <c r="H851" i="5"/>
  <c r="F850" i="5"/>
  <c r="K848" i="5"/>
  <c r="J848" i="5"/>
  <c r="M848" i="5" s="1"/>
  <c r="F848" i="5"/>
  <c r="G848" i="5"/>
  <c r="H848" i="5" s="1"/>
  <c r="K847" i="5"/>
  <c r="J847" i="5"/>
  <c r="I847" i="5" s="1"/>
  <c r="L847" i="5" s="1"/>
  <c r="F847" i="5"/>
  <c r="K846" i="5"/>
  <c r="J846" i="5"/>
  <c r="M846" i="5" s="1"/>
  <c r="F846" i="5"/>
  <c r="G846" i="5"/>
  <c r="H846" i="5"/>
  <c r="K845" i="5"/>
  <c r="J845" i="5"/>
  <c r="M845" i="5" s="1"/>
  <c r="F845" i="5"/>
  <c r="K844" i="5"/>
  <c r="J844" i="5"/>
  <c r="M844" i="5" s="1"/>
  <c r="F844" i="5"/>
  <c r="G844" i="5"/>
  <c r="H844" i="5"/>
  <c r="K843" i="5"/>
  <c r="J843" i="5"/>
  <c r="I843" i="5" s="1"/>
  <c r="L843" i="5" s="1"/>
  <c r="F843" i="5"/>
  <c r="F842" i="5"/>
  <c r="G842" i="5"/>
  <c r="H842" i="5" s="1"/>
  <c r="F841" i="5"/>
  <c r="F840" i="5"/>
  <c r="G840" i="5"/>
  <c r="H840" i="5" s="1"/>
  <c r="F839" i="5"/>
  <c r="F838" i="5"/>
  <c r="G838" i="5"/>
  <c r="H838" i="5" s="1"/>
  <c r="F837" i="5"/>
  <c r="K835" i="5"/>
  <c r="J835" i="5"/>
  <c r="M835" i="5" s="1"/>
  <c r="F835" i="5"/>
  <c r="G835" i="5"/>
  <c r="H835" i="5" s="1"/>
  <c r="K834" i="5"/>
  <c r="J834" i="5"/>
  <c r="I834" i="5"/>
  <c r="L834" i="5" s="1"/>
  <c r="F834" i="5"/>
  <c r="K833" i="5"/>
  <c r="J833" i="5"/>
  <c r="M833" i="5" s="1"/>
  <c r="F833" i="5"/>
  <c r="G833" i="5"/>
  <c r="H833" i="5"/>
  <c r="K832" i="5"/>
  <c r="J832" i="5"/>
  <c r="M832" i="5" s="1"/>
  <c r="F832" i="5"/>
  <c r="K831" i="5"/>
  <c r="J831" i="5"/>
  <c r="M831" i="5" s="1"/>
  <c r="F831" i="5"/>
  <c r="G831" i="5"/>
  <c r="H831" i="5"/>
  <c r="K830" i="5"/>
  <c r="J830" i="5"/>
  <c r="I830" i="5" s="1"/>
  <c r="L830" i="5" s="1"/>
  <c r="F830" i="5"/>
  <c r="F829" i="5"/>
  <c r="G829" i="5"/>
  <c r="H829" i="5"/>
  <c r="F828" i="5"/>
  <c r="F827" i="5"/>
  <c r="G827" i="5"/>
  <c r="H827" i="5"/>
  <c r="F826" i="5"/>
  <c r="F825" i="5"/>
  <c r="G825" i="5"/>
  <c r="H825" i="5"/>
  <c r="F824" i="5"/>
  <c r="K822" i="5"/>
  <c r="J822" i="5"/>
  <c r="M822" i="5"/>
  <c r="F822" i="5"/>
  <c r="G822" i="5"/>
  <c r="H822" i="5" s="1"/>
  <c r="K821" i="5"/>
  <c r="J821" i="5"/>
  <c r="I821" i="5" s="1"/>
  <c r="L821" i="5" s="1"/>
  <c r="F821" i="5"/>
  <c r="K820" i="5"/>
  <c r="J820" i="5"/>
  <c r="M820" i="5" s="1"/>
  <c r="F820" i="5"/>
  <c r="G820" i="5"/>
  <c r="H820" i="5" s="1"/>
  <c r="K819" i="5"/>
  <c r="J819" i="5"/>
  <c r="M819" i="5" s="1"/>
  <c r="F819" i="5"/>
  <c r="K818" i="5"/>
  <c r="J818" i="5"/>
  <c r="M818" i="5" s="1"/>
  <c r="F818" i="5"/>
  <c r="G818" i="5"/>
  <c r="H818" i="5" s="1"/>
  <c r="K817" i="5"/>
  <c r="J817" i="5"/>
  <c r="I817" i="5" s="1"/>
  <c r="L817" i="5" s="1"/>
  <c r="F817" i="5"/>
  <c r="F816" i="5"/>
  <c r="G816" i="5"/>
  <c r="H816" i="5" s="1"/>
  <c r="F815" i="5"/>
  <c r="F814" i="5"/>
  <c r="G814" i="5"/>
  <c r="H814" i="5" s="1"/>
  <c r="F813" i="5"/>
  <c r="F812" i="5"/>
  <c r="G812" i="5"/>
  <c r="H812" i="5" s="1"/>
  <c r="F811" i="5"/>
  <c r="K809" i="5"/>
  <c r="J809" i="5"/>
  <c r="M809" i="5"/>
  <c r="F809" i="5"/>
  <c r="G809" i="5"/>
  <c r="H809" i="5" s="1"/>
  <c r="K808" i="5"/>
  <c r="J808" i="5"/>
  <c r="I808" i="5" s="1"/>
  <c r="L808" i="5" s="1"/>
  <c r="F808" i="5"/>
  <c r="K807" i="5"/>
  <c r="J807" i="5"/>
  <c r="M807" i="5" s="1"/>
  <c r="F807" i="5"/>
  <c r="G807" i="5"/>
  <c r="H807" i="5"/>
  <c r="K806" i="5"/>
  <c r="J806" i="5"/>
  <c r="M806" i="5" s="1"/>
  <c r="F806" i="5"/>
  <c r="K805" i="5"/>
  <c r="J805" i="5"/>
  <c r="M805" i="5" s="1"/>
  <c r="F805" i="5"/>
  <c r="G805" i="5"/>
  <c r="H805" i="5"/>
  <c r="K804" i="5"/>
  <c r="J804" i="5"/>
  <c r="I804" i="5" s="1"/>
  <c r="L804" i="5" s="1"/>
  <c r="F804" i="5"/>
  <c r="F803" i="5"/>
  <c r="G803" i="5"/>
  <c r="H803" i="5" s="1"/>
  <c r="F802" i="5"/>
  <c r="F801" i="5"/>
  <c r="G801" i="5"/>
  <c r="H801" i="5" s="1"/>
  <c r="F800" i="5"/>
  <c r="F799" i="5"/>
  <c r="G799" i="5"/>
  <c r="H799" i="5" s="1"/>
  <c r="F798" i="5"/>
  <c r="K796" i="5"/>
  <c r="J796" i="5"/>
  <c r="M796" i="5" s="1"/>
  <c r="F796" i="5"/>
  <c r="G796" i="5"/>
  <c r="H796" i="5" s="1"/>
  <c r="K795" i="5"/>
  <c r="J795" i="5"/>
  <c r="M795" i="5"/>
  <c r="F795" i="5"/>
  <c r="K794" i="5"/>
  <c r="J794" i="5"/>
  <c r="M794" i="5"/>
  <c r="F794" i="5"/>
  <c r="G794" i="5"/>
  <c r="H794" i="5" s="1"/>
  <c r="K793" i="5"/>
  <c r="J793" i="5"/>
  <c r="M793" i="5"/>
  <c r="F793" i="5"/>
  <c r="K792" i="5"/>
  <c r="J792" i="5"/>
  <c r="M792" i="5" s="1"/>
  <c r="F792" i="5"/>
  <c r="G792" i="5"/>
  <c r="H792" i="5" s="1"/>
  <c r="K791" i="5"/>
  <c r="J791" i="5"/>
  <c r="M791" i="5" s="1"/>
  <c r="F791" i="5"/>
  <c r="F790" i="5"/>
  <c r="G790" i="5"/>
  <c r="H790" i="5" s="1"/>
  <c r="F789" i="5"/>
  <c r="F788" i="5"/>
  <c r="G788" i="5"/>
  <c r="H788" i="5" s="1"/>
  <c r="F787" i="5"/>
  <c r="F786" i="5"/>
  <c r="G786" i="5"/>
  <c r="H786" i="5" s="1"/>
  <c r="F785" i="5"/>
  <c r="K783" i="5"/>
  <c r="J783" i="5"/>
  <c r="M783" i="5" s="1"/>
  <c r="F783" i="5"/>
  <c r="G783" i="5"/>
  <c r="H783" i="5" s="1"/>
  <c r="K782" i="5"/>
  <c r="J782" i="5"/>
  <c r="M782" i="5" s="1"/>
  <c r="F782" i="5"/>
  <c r="K781" i="5"/>
  <c r="J781" i="5"/>
  <c r="M781" i="5" s="1"/>
  <c r="F781" i="5"/>
  <c r="G781" i="5"/>
  <c r="H781" i="5" s="1"/>
  <c r="K780" i="5"/>
  <c r="J780" i="5"/>
  <c r="M780" i="5"/>
  <c r="F780" i="5"/>
  <c r="K779" i="5"/>
  <c r="J779" i="5"/>
  <c r="M779" i="5"/>
  <c r="F779" i="5"/>
  <c r="G779" i="5"/>
  <c r="H779" i="5" s="1"/>
  <c r="K778" i="5"/>
  <c r="J778" i="5"/>
  <c r="M778" i="5"/>
  <c r="F778" i="5"/>
  <c r="F777" i="5"/>
  <c r="G777" i="5"/>
  <c r="H777" i="5" s="1"/>
  <c r="F776" i="5"/>
  <c r="F775" i="5"/>
  <c r="G775" i="5"/>
  <c r="H775" i="5"/>
  <c r="F774" i="5"/>
  <c r="F773" i="5"/>
  <c r="G773" i="5"/>
  <c r="H773" i="5" s="1"/>
  <c r="F772" i="5"/>
  <c r="K770" i="5"/>
  <c r="J770" i="5"/>
  <c r="M770" i="5"/>
  <c r="F770" i="5"/>
  <c r="G770" i="5"/>
  <c r="H770" i="5"/>
  <c r="K769" i="5"/>
  <c r="J769" i="5"/>
  <c r="M769" i="5" s="1"/>
  <c r="F769" i="5"/>
  <c r="K768" i="5"/>
  <c r="J768" i="5"/>
  <c r="M768" i="5" s="1"/>
  <c r="F768" i="5"/>
  <c r="G768" i="5"/>
  <c r="H768" i="5" s="1"/>
  <c r="K767" i="5"/>
  <c r="J767" i="5"/>
  <c r="M767" i="5"/>
  <c r="F767" i="5"/>
  <c r="K766" i="5"/>
  <c r="J766" i="5"/>
  <c r="M766" i="5"/>
  <c r="F766" i="5"/>
  <c r="G766" i="5"/>
  <c r="H766" i="5" s="1"/>
  <c r="K765" i="5"/>
  <c r="J765" i="5"/>
  <c r="I765" i="5" s="1"/>
  <c r="L765" i="5" s="1"/>
  <c r="M765" i="5"/>
  <c r="F765" i="5"/>
  <c r="F764" i="5"/>
  <c r="G764" i="5"/>
  <c r="H764" i="5" s="1"/>
  <c r="F763" i="5"/>
  <c r="F762" i="5"/>
  <c r="G762" i="5"/>
  <c r="H762" i="5" s="1"/>
  <c r="F761" i="5"/>
  <c r="F760" i="5"/>
  <c r="G760" i="5"/>
  <c r="H760" i="5" s="1"/>
  <c r="F759" i="5"/>
  <c r="K757" i="5"/>
  <c r="J757" i="5"/>
  <c r="M757" i="5" s="1"/>
  <c r="F757" i="5"/>
  <c r="G757" i="5"/>
  <c r="H757" i="5" s="1"/>
  <c r="K756" i="5"/>
  <c r="J756" i="5"/>
  <c r="M756" i="5"/>
  <c r="F756" i="5"/>
  <c r="K755" i="5"/>
  <c r="J755" i="5"/>
  <c r="M755" i="5"/>
  <c r="F755" i="5"/>
  <c r="G755" i="5"/>
  <c r="H755" i="5" s="1"/>
  <c r="K754" i="5"/>
  <c r="J754" i="5"/>
  <c r="M754" i="5" s="1"/>
  <c r="F754" i="5"/>
  <c r="K753" i="5"/>
  <c r="J753" i="5"/>
  <c r="M753" i="5" s="1"/>
  <c r="F753" i="5"/>
  <c r="G753" i="5"/>
  <c r="H753" i="5"/>
  <c r="K752" i="5"/>
  <c r="J752" i="5"/>
  <c r="M752" i="5"/>
  <c r="F752" i="5"/>
  <c r="F751" i="5"/>
  <c r="G751" i="5"/>
  <c r="H751" i="5" s="1"/>
  <c r="F750" i="5"/>
  <c r="F749" i="5"/>
  <c r="G749" i="5"/>
  <c r="H749" i="5"/>
  <c r="G748" i="5"/>
  <c r="H748" i="5" s="1"/>
  <c r="F748" i="5"/>
  <c r="F747" i="5"/>
  <c r="G747" i="5"/>
  <c r="H747" i="5" s="1"/>
  <c r="G746" i="5"/>
  <c r="H746" i="5" s="1"/>
  <c r="F746" i="5"/>
  <c r="K744" i="5"/>
  <c r="J744" i="5"/>
  <c r="F744" i="5"/>
  <c r="G744" i="5"/>
  <c r="H744" i="5" s="1"/>
  <c r="K743" i="5"/>
  <c r="J743" i="5"/>
  <c r="M743" i="5" s="1"/>
  <c r="G743" i="5"/>
  <c r="H743" i="5"/>
  <c r="F743" i="5"/>
  <c r="K742" i="5"/>
  <c r="J742" i="5"/>
  <c r="F742" i="5"/>
  <c r="G742" i="5"/>
  <c r="H742" i="5" s="1"/>
  <c r="K741" i="5"/>
  <c r="J741" i="5"/>
  <c r="M741" i="5" s="1"/>
  <c r="G741" i="5"/>
  <c r="H741" i="5" s="1"/>
  <c r="F741" i="5"/>
  <c r="K740" i="5"/>
  <c r="J740" i="5"/>
  <c r="F740" i="5"/>
  <c r="G740" i="5"/>
  <c r="H740" i="5"/>
  <c r="K739" i="5"/>
  <c r="J739" i="5"/>
  <c r="M739" i="5"/>
  <c r="G739" i="5"/>
  <c r="H739" i="5" s="1"/>
  <c r="F739" i="5"/>
  <c r="F738" i="5"/>
  <c r="G738" i="5"/>
  <c r="H738" i="5" s="1"/>
  <c r="G737" i="5"/>
  <c r="H737" i="5"/>
  <c r="F737" i="5"/>
  <c r="F736" i="5"/>
  <c r="G736" i="5"/>
  <c r="H736" i="5" s="1"/>
  <c r="G735" i="5"/>
  <c r="H735" i="5" s="1"/>
  <c r="F735" i="5"/>
  <c r="F734" i="5"/>
  <c r="G734" i="5"/>
  <c r="H734" i="5" s="1"/>
  <c r="G733" i="5"/>
  <c r="H733" i="5" s="1"/>
  <c r="F733" i="5"/>
  <c r="K731" i="5"/>
  <c r="J731" i="5"/>
  <c r="F731" i="5"/>
  <c r="G731" i="5"/>
  <c r="H731" i="5"/>
  <c r="K730" i="5"/>
  <c r="J730" i="5"/>
  <c r="M730" i="5"/>
  <c r="G730" i="5"/>
  <c r="H730" i="5" s="1"/>
  <c r="F730" i="5"/>
  <c r="K729" i="5"/>
  <c r="J729" i="5"/>
  <c r="F729" i="5"/>
  <c r="G729" i="5"/>
  <c r="H729" i="5" s="1"/>
  <c r="K728" i="5"/>
  <c r="J728" i="5"/>
  <c r="M728" i="5" s="1"/>
  <c r="G728" i="5"/>
  <c r="H728" i="5"/>
  <c r="F728" i="5"/>
  <c r="K727" i="5"/>
  <c r="J727" i="5"/>
  <c r="F727" i="5"/>
  <c r="G727" i="5"/>
  <c r="H727" i="5" s="1"/>
  <c r="K726" i="5"/>
  <c r="J726" i="5"/>
  <c r="M726" i="5" s="1"/>
  <c r="G726" i="5"/>
  <c r="H726" i="5"/>
  <c r="F726" i="5"/>
  <c r="F725" i="5"/>
  <c r="G725" i="5"/>
  <c r="H725" i="5" s="1"/>
  <c r="G724" i="5"/>
  <c r="H724" i="5" s="1"/>
  <c r="F724" i="5"/>
  <c r="F723" i="5"/>
  <c r="G723" i="5"/>
  <c r="H723" i="5" s="1"/>
  <c r="G722" i="5"/>
  <c r="H722" i="5" s="1"/>
  <c r="F722" i="5"/>
  <c r="F721" i="5"/>
  <c r="G721" i="5"/>
  <c r="H721" i="5"/>
  <c r="G720" i="5"/>
  <c r="H720" i="5" s="1"/>
  <c r="F720" i="5"/>
  <c r="K718" i="5"/>
  <c r="J718" i="5"/>
  <c r="F718" i="5"/>
  <c r="G718" i="5"/>
  <c r="H718" i="5" s="1"/>
  <c r="K717" i="5"/>
  <c r="J717" i="5"/>
  <c r="M717" i="5" s="1"/>
  <c r="G717" i="5"/>
  <c r="H717" i="5"/>
  <c r="F717" i="5"/>
  <c r="K716" i="5"/>
  <c r="J716" i="5"/>
  <c r="F716" i="5"/>
  <c r="G716" i="5"/>
  <c r="H716" i="5" s="1"/>
  <c r="K715" i="5"/>
  <c r="J715" i="5"/>
  <c r="M715" i="5" s="1"/>
  <c r="G715" i="5"/>
  <c r="H715" i="5" s="1"/>
  <c r="F715" i="5"/>
  <c r="K714" i="5"/>
  <c r="J714" i="5"/>
  <c r="F714" i="5"/>
  <c r="G714" i="5"/>
  <c r="H714" i="5" s="1"/>
  <c r="K713" i="5"/>
  <c r="J713" i="5"/>
  <c r="G713" i="5"/>
  <c r="H713" i="5" s="1"/>
  <c r="F713" i="5"/>
  <c r="F712" i="5"/>
  <c r="G712" i="5"/>
  <c r="H712" i="5" s="1"/>
  <c r="G711" i="5"/>
  <c r="H711" i="5" s="1"/>
  <c r="F711" i="5"/>
  <c r="F710" i="5"/>
  <c r="G710" i="5"/>
  <c r="H710" i="5" s="1"/>
  <c r="G709" i="5"/>
  <c r="H709" i="5" s="1"/>
  <c r="F709" i="5"/>
  <c r="F708" i="5"/>
  <c r="G708" i="5"/>
  <c r="H708" i="5" s="1"/>
  <c r="G707" i="5"/>
  <c r="H707" i="5" s="1"/>
  <c r="F707" i="5"/>
  <c r="K705" i="5"/>
  <c r="J705" i="5"/>
  <c r="F705" i="5"/>
  <c r="G705" i="5"/>
  <c r="H705" i="5" s="1"/>
  <c r="K704" i="5"/>
  <c r="J704" i="5"/>
  <c r="M704" i="5" s="1"/>
  <c r="G704" i="5"/>
  <c r="H704" i="5" s="1"/>
  <c r="F704" i="5"/>
  <c r="K703" i="5"/>
  <c r="J703" i="5"/>
  <c r="F703" i="5"/>
  <c r="G703" i="5"/>
  <c r="H703" i="5" s="1"/>
  <c r="K702" i="5"/>
  <c r="J702" i="5"/>
  <c r="M702" i="5" s="1"/>
  <c r="G702" i="5"/>
  <c r="H702" i="5" s="1"/>
  <c r="F702" i="5"/>
  <c r="K701" i="5"/>
  <c r="J701" i="5"/>
  <c r="F701" i="5"/>
  <c r="G701" i="5"/>
  <c r="H701" i="5" s="1"/>
  <c r="K700" i="5"/>
  <c r="J700" i="5"/>
  <c r="M700" i="5" s="1"/>
  <c r="G700" i="5"/>
  <c r="H700" i="5"/>
  <c r="F700" i="5"/>
  <c r="F699" i="5"/>
  <c r="G699" i="5"/>
  <c r="H699" i="5" s="1"/>
  <c r="G698" i="5"/>
  <c r="H698" i="5" s="1"/>
  <c r="F698" i="5"/>
  <c r="F697" i="5"/>
  <c r="G697" i="5"/>
  <c r="H697" i="5" s="1"/>
  <c r="G696" i="5"/>
  <c r="H696" i="5" s="1"/>
  <c r="F696" i="5"/>
  <c r="F695" i="5"/>
  <c r="G695" i="5"/>
  <c r="H695" i="5" s="1"/>
  <c r="G694" i="5"/>
  <c r="H694" i="5" s="1"/>
  <c r="F694" i="5"/>
  <c r="K692" i="5"/>
  <c r="J692" i="5"/>
  <c r="F692" i="5"/>
  <c r="G692" i="5"/>
  <c r="H692" i="5"/>
  <c r="K691" i="5"/>
  <c r="J691" i="5"/>
  <c r="M691" i="5" s="1"/>
  <c r="G691" i="5"/>
  <c r="H691" i="5"/>
  <c r="F691" i="5"/>
  <c r="K690" i="5"/>
  <c r="J690" i="5"/>
  <c r="F690" i="5"/>
  <c r="G690" i="5"/>
  <c r="H690" i="5" s="1"/>
  <c r="K689" i="5"/>
  <c r="J689" i="5"/>
  <c r="M689" i="5"/>
  <c r="G689" i="5"/>
  <c r="H689" i="5" s="1"/>
  <c r="F689" i="5"/>
  <c r="K688" i="5"/>
  <c r="J688" i="5"/>
  <c r="F688" i="5"/>
  <c r="G688" i="5"/>
  <c r="H688" i="5"/>
  <c r="K687" i="5"/>
  <c r="J687" i="5"/>
  <c r="M687" i="5" s="1"/>
  <c r="G687" i="5"/>
  <c r="H687" i="5" s="1"/>
  <c r="F687" i="5"/>
  <c r="F686" i="5"/>
  <c r="G686" i="5"/>
  <c r="H686" i="5" s="1"/>
  <c r="G685" i="5"/>
  <c r="H685" i="5" s="1"/>
  <c r="F685" i="5"/>
  <c r="F684" i="5"/>
  <c r="G684" i="5"/>
  <c r="H684" i="5"/>
  <c r="G683" i="5"/>
  <c r="H683" i="5" s="1"/>
  <c r="F683" i="5"/>
  <c r="F682" i="5"/>
  <c r="G682" i="5"/>
  <c r="H682" i="5" s="1"/>
  <c r="G681" i="5"/>
  <c r="H681" i="5" s="1"/>
  <c r="F681" i="5"/>
  <c r="K679" i="5"/>
  <c r="J679" i="5"/>
  <c r="F679" i="5"/>
  <c r="G679" i="5"/>
  <c r="H679" i="5" s="1"/>
  <c r="K678" i="5"/>
  <c r="J678" i="5"/>
  <c r="M678" i="5" s="1"/>
  <c r="G678" i="5"/>
  <c r="H678" i="5" s="1"/>
  <c r="F678" i="5"/>
  <c r="K677" i="5"/>
  <c r="J677" i="5"/>
  <c r="F677" i="5"/>
  <c r="G677" i="5"/>
  <c r="H677" i="5" s="1"/>
  <c r="K676" i="5"/>
  <c r="J676" i="5"/>
  <c r="M676" i="5" s="1"/>
  <c r="F676" i="5"/>
  <c r="G676" i="5"/>
  <c r="H676" i="5"/>
  <c r="K675" i="5"/>
  <c r="J675" i="5"/>
  <c r="M675" i="5" s="1"/>
  <c r="G675" i="5"/>
  <c r="H675" i="5"/>
  <c r="K674" i="5"/>
  <c r="J674" i="5"/>
  <c r="M674" i="5" s="1"/>
  <c r="F674" i="5"/>
  <c r="G674" i="5"/>
  <c r="H674" i="5" s="1"/>
  <c r="G673" i="5"/>
  <c r="H673" i="5"/>
  <c r="F672" i="5"/>
  <c r="G672" i="5"/>
  <c r="H672" i="5" s="1"/>
  <c r="G671" i="5"/>
  <c r="H671" i="5"/>
  <c r="F670" i="5"/>
  <c r="G670" i="5"/>
  <c r="H670" i="5"/>
  <c r="G669" i="5"/>
  <c r="H669" i="5" s="1"/>
  <c r="F668" i="5"/>
  <c r="G668" i="5"/>
  <c r="H668" i="5" s="1"/>
  <c r="K666" i="5"/>
  <c r="J666" i="5"/>
  <c r="M666" i="5" s="1"/>
  <c r="G666" i="5"/>
  <c r="H666" i="5"/>
  <c r="K665" i="5"/>
  <c r="J665" i="5"/>
  <c r="M665" i="5" s="1"/>
  <c r="F665" i="5"/>
  <c r="G665" i="5"/>
  <c r="H665" i="5" s="1"/>
  <c r="K664" i="5"/>
  <c r="J664" i="5"/>
  <c r="M664" i="5"/>
  <c r="G664" i="5"/>
  <c r="H664" i="5" s="1"/>
  <c r="K663" i="5"/>
  <c r="J663" i="5"/>
  <c r="M663" i="5" s="1"/>
  <c r="F663" i="5"/>
  <c r="G663" i="5"/>
  <c r="H663" i="5" s="1"/>
  <c r="K662" i="5"/>
  <c r="J662" i="5"/>
  <c r="M662" i="5" s="1"/>
  <c r="G662" i="5"/>
  <c r="H662" i="5" s="1"/>
  <c r="K661" i="5"/>
  <c r="J661" i="5"/>
  <c r="M661" i="5"/>
  <c r="F661" i="5"/>
  <c r="G661" i="5"/>
  <c r="H661" i="5"/>
  <c r="G660" i="5"/>
  <c r="H660" i="5" s="1"/>
  <c r="F659" i="5"/>
  <c r="G659" i="5"/>
  <c r="H659" i="5" s="1"/>
  <c r="G658" i="5"/>
  <c r="H658" i="5" s="1"/>
  <c r="F657" i="5"/>
  <c r="G657" i="5"/>
  <c r="H657" i="5" s="1"/>
  <c r="G656" i="5"/>
  <c r="H656" i="5" s="1"/>
  <c r="F655" i="5"/>
  <c r="G655" i="5"/>
  <c r="H655" i="5"/>
  <c r="K653" i="5"/>
  <c r="J653" i="5"/>
  <c r="M653" i="5" s="1"/>
  <c r="G653" i="5"/>
  <c r="H653" i="5"/>
  <c r="K652" i="5"/>
  <c r="J652" i="5"/>
  <c r="M652" i="5" s="1"/>
  <c r="F652" i="5"/>
  <c r="G652" i="5"/>
  <c r="H652" i="5" s="1"/>
  <c r="K651" i="5"/>
  <c r="J651" i="5"/>
  <c r="M651" i="5" s="1"/>
  <c r="G651" i="5"/>
  <c r="H651" i="5" s="1"/>
  <c r="K650" i="5"/>
  <c r="J650" i="5"/>
  <c r="M650" i="5" s="1"/>
  <c r="F650" i="5"/>
  <c r="G650" i="5"/>
  <c r="H650" i="5"/>
  <c r="K649" i="5"/>
  <c r="J649" i="5"/>
  <c r="M649" i="5" s="1"/>
  <c r="G649" i="5"/>
  <c r="H649" i="5" s="1"/>
  <c r="K648" i="5"/>
  <c r="J648" i="5"/>
  <c r="M648" i="5" s="1"/>
  <c r="F648" i="5"/>
  <c r="G648" i="5"/>
  <c r="H648" i="5"/>
  <c r="G647" i="5"/>
  <c r="H647" i="5" s="1"/>
  <c r="F646" i="5"/>
  <c r="G646" i="5"/>
  <c r="H646" i="5" s="1"/>
  <c r="G645" i="5"/>
  <c r="H645" i="5" s="1"/>
  <c r="F644" i="5"/>
  <c r="G644" i="5"/>
  <c r="H644" i="5" s="1"/>
  <c r="G643" i="5"/>
  <c r="H643" i="5" s="1"/>
  <c r="F642" i="5"/>
  <c r="G642" i="5"/>
  <c r="H642" i="5" s="1"/>
  <c r="K640" i="5"/>
  <c r="J640" i="5"/>
  <c r="M640" i="5" s="1"/>
  <c r="G640" i="5"/>
  <c r="H640" i="5" s="1"/>
  <c r="K639" i="5"/>
  <c r="J639" i="5"/>
  <c r="M639" i="5"/>
  <c r="F639" i="5"/>
  <c r="G639" i="5"/>
  <c r="H639" i="5" s="1"/>
  <c r="K638" i="5"/>
  <c r="J638" i="5"/>
  <c r="M638" i="5" s="1"/>
  <c r="G638" i="5"/>
  <c r="H638" i="5" s="1"/>
  <c r="K637" i="5"/>
  <c r="J637" i="5"/>
  <c r="M637" i="5" s="1"/>
  <c r="F637" i="5"/>
  <c r="G637" i="5"/>
  <c r="H637" i="5" s="1"/>
  <c r="K636" i="5"/>
  <c r="J636" i="5"/>
  <c r="M636" i="5" s="1"/>
  <c r="G636" i="5"/>
  <c r="H636" i="5" s="1"/>
  <c r="K635" i="5"/>
  <c r="J635" i="5"/>
  <c r="M635" i="5" s="1"/>
  <c r="F635" i="5"/>
  <c r="G635" i="5"/>
  <c r="H635" i="5"/>
  <c r="G634" i="5"/>
  <c r="H634" i="5" s="1"/>
  <c r="F633" i="5"/>
  <c r="G633" i="5"/>
  <c r="H633" i="5"/>
  <c r="G632" i="5"/>
  <c r="H632" i="5" s="1"/>
  <c r="F631" i="5"/>
  <c r="G631" i="5"/>
  <c r="H631" i="5" s="1"/>
  <c r="G630" i="5"/>
  <c r="H630" i="5" s="1"/>
  <c r="F629" i="5"/>
  <c r="G629" i="5"/>
  <c r="H629" i="5" s="1"/>
  <c r="K627" i="5"/>
  <c r="J627" i="5"/>
  <c r="M627" i="5" s="1"/>
  <c r="G627" i="5"/>
  <c r="H627" i="5" s="1"/>
  <c r="K626" i="5"/>
  <c r="J626" i="5"/>
  <c r="M626" i="5"/>
  <c r="F626" i="5"/>
  <c r="G626" i="5"/>
  <c r="H626" i="5" s="1"/>
  <c r="K625" i="5"/>
  <c r="J625" i="5"/>
  <c r="G625" i="5"/>
  <c r="H625" i="5" s="1"/>
  <c r="K624" i="5"/>
  <c r="J624" i="5"/>
  <c r="M624" i="5"/>
  <c r="F624" i="5"/>
  <c r="G624" i="5"/>
  <c r="H624" i="5"/>
  <c r="K623" i="5"/>
  <c r="J623" i="5"/>
  <c r="M623" i="5" s="1"/>
  <c r="G623" i="5"/>
  <c r="H623" i="5"/>
  <c r="K622" i="5"/>
  <c r="J622" i="5"/>
  <c r="M622" i="5"/>
  <c r="F622" i="5"/>
  <c r="G622" i="5"/>
  <c r="H622" i="5" s="1"/>
  <c r="G621" i="5"/>
  <c r="H621" i="5"/>
  <c r="F620" i="5"/>
  <c r="G620" i="5"/>
  <c r="H620" i="5"/>
  <c r="G619" i="5"/>
  <c r="H619" i="5" s="1"/>
  <c r="F618" i="5"/>
  <c r="G618" i="5"/>
  <c r="H618" i="5" s="1"/>
  <c r="G617" i="5"/>
  <c r="H617" i="5" s="1"/>
  <c r="F616" i="5"/>
  <c r="G616" i="5"/>
  <c r="H616" i="5" s="1"/>
  <c r="K614" i="5"/>
  <c r="J614" i="5"/>
  <c r="M614" i="5" s="1"/>
  <c r="G614" i="5"/>
  <c r="H614" i="5" s="1"/>
  <c r="K613" i="5"/>
  <c r="J613" i="5"/>
  <c r="M613" i="5" s="1"/>
  <c r="F613" i="5"/>
  <c r="G613" i="5"/>
  <c r="H613" i="5" s="1"/>
  <c r="K612" i="5"/>
  <c r="J612" i="5"/>
  <c r="M612" i="5" s="1"/>
  <c r="G612" i="5"/>
  <c r="H612" i="5" s="1"/>
  <c r="K611" i="5"/>
  <c r="J611" i="5"/>
  <c r="M611" i="5"/>
  <c r="F611" i="5"/>
  <c r="G611" i="5"/>
  <c r="H611" i="5" s="1"/>
  <c r="K610" i="5"/>
  <c r="J610" i="5"/>
  <c r="M610" i="5"/>
  <c r="G610" i="5"/>
  <c r="H610" i="5" s="1"/>
  <c r="K609" i="5"/>
  <c r="J609" i="5"/>
  <c r="M609" i="5"/>
  <c r="F609" i="5"/>
  <c r="G609" i="5"/>
  <c r="H609" i="5"/>
  <c r="G608" i="5"/>
  <c r="H608" i="5" s="1"/>
  <c r="F607" i="5"/>
  <c r="G607" i="5"/>
  <c r="H607" i="5" s="1"/>
  <c r="G606" i="5"/>
  <c r="H606" i="5" s="1"/>
  <c r="F605" i="5"/>
  <c r="G605" i="5"/>
  <c r="H605" i="5" s="1"/>
  <c r="G604" i="5"/>
  <c r="H604" i="5"/>
  <c r="F603" i="5"/>
  <c r="G603" i="5"/>
  <c r="H603" i="5" s="1"/>
  <c r="K601" i="5"/>
  <c r="J601" i="5"/>
  <c r="M601" i="5" s="1"/>
  <c r="G601" i="5"/>
  <c r="H601" i="5" s="1"/>
  <c r="K600" i="5"/>
  <c r="J600" i="5"/>
  <c r="M600" i="5" s="1"/>
  <c r="F600" i="5"/>
  <c r="G600" i="5"/>
  <c r="H600" i="5" s="1"/>
  <c r="K599" i="5"/>
  <c r="J599" i="5"/>
  <c r="M599" i="5" s="1"/>
  <c r="G599" i="5"/>
  <c r="H599" i="5" s="1"/>
  <c r="K598" i="5"/>
  <c r="J598" i="5"/>
  <c r="M598" i="5" s="1"/>
  <c r="F598" i="5"/>
  <c r="G598" i="5"/>
  <c r="H598" i="5"/>
  <c r="K597" i="5"/>
  <c r="J597" i="5"/>
  <c r="M597" i="5"/>
  <c r="G597" i="5"/>
  <c r="H597" i="5" s="1"/>
  <c r="K596" i="5"/>
  <c r="J596" i="5"/>
  <c r="M596" i="5"/>
  <c r="F596" i="5"/>
  <c r="G596" i="5"/>
  <c r="H596" i="5"/>
  <c r="G595" i="5"/>
  <c r="H595" i="5" s="1"/>
  <c r="F594" i="5"/>
  <c r="G594" i="5"/>
  <c r="H594" i="5"/>
  <c r="G593" i="5"/>
  <c r="H593" i="5" s="1"/>
  <c r="F592" i="5"/>
  <c r="G592" i="5"/>
  <c r="H592" i="5"/>
  <c r="G591" i="5"/>
  <c r="H591" i="5" s="1"/>
  <c r="F590" i="5"/>
  <c r="G590" i="5"/>
  <c r="H590" i="5" s="1"/>
  <c r="K588" i="5"/>
  <c r="J588" i="5"/>
  <c r="M588" i="5" s="1"/>
  <c r="G588" i="5"/>
  <c r="H588" i="5"/>
  <c r="K587" i="5"/>
  <c r="J587" i="5"/>
  <c r="M587" i="5" s="1"/>
  <c r="F587" i="5"/>
  <c r="G587" i="5"/>
  <c r="H587" i="5" s="1"/>
  <c r="K586" i="5"/>
  <c r="J586" i="5"/>
  <c r="M586" i="5"/>
  <c r="G586" i="5"/>
  <c r="H586" i="5" s="1"/>
  <c r="K585" i="5"/>
  <c r="J585" i="5"/>
  <c r="M585" i="5"/>
  <c r="F585" i="5"/>
  <c r="G585" i="5"/>
  <c r="H585" i="5"/>
  <c r="K584" i="5"/>
  <c r="J584" i="5"/>
  <c r="M584" i="5" s="1"/>
  <c r="G584" i="5"/>
  <c r="H584" i="5"/>
  <c r="K583" i="5"/>
  <c r="J583" i="5"/>
  <c r="M583" i="5"/>
  <c r="F583" i="5"/>
  <c r="G583" i="5"/>
  <c r="H583" i="5" s="1"/>
  <c r="G582" i="5"/>
  <c r="H582" i="5"/>
  <c r="F581" i="5"/>
  <c r="G581" i="5"/>
  <c r="H581" i="5"/>
  <c r="G580" i="5"/>
  <c r="H580" i="5" s="1"/>
  <c r="F579" i="5"/>
  <c r="G579" i="5"/>
  <c r="H579" i="5" s="1"/>
  <c r="G578" i="5"/>
  <c r="H578" i="5" s="1"/>
  <c r="F577" i="5"/>
  <c r="G577" i="5"/>
  <c r="H577" i="5" s="1"/>
  <c r="K575" i="5"/>
  <c r="J575" i="5"/>
  <c r="M575" i="5" s="1"/>
  <c r="G575" i="5"/>
  <c r="H575" i="5" s="1"/>
  <c r="K574" i="5"/>
  <c r="J574" i="5"/>
  <c r="M574" i="5" s="1"/>
  <c r="F574" i="5"/>
  <c r="G574" i="5"/>
  <c r="H574" i="5" s="1"/>
  <c r="K573" i="5"/>
  <c r="J573" i="5"/>
  <c r="M573" i="5" s="1"/>
  <c r="G573" i="5"/>
  <c r="H573" i="5" s="1"/>
  <c r="K572" i="5"/>
  <c r="J572" i="5"/>
  <c r="M572" i="5" s="1"/>
  <c r="F572" i="5"/>
  <c r="G572" i="5"/>
  <c r="H572" i="5"/>
  <c r="K571" i="5"/>
  <c r="J571" i="5"/>
  <c r="M571" i="5"/>
  <c r="G571" i="5"/>
  <c r="H571" i="5" s="1"/>
  <c r="K570" i="5"/>
  <c r="J570" i="5"/>
  <c r="M570" i="5" s="1"/>
  <c r="F570" i="5"/>
  <c r="G570" i="5"/>
  <c r="H570" i="5"/>
  <c r="G569" i="5"/>
  <c r="H569" i="5" s="1"/>
  <c r="F568" i="5"/>
  <c r="G568" i="5"/>
  <c r="H568" i="5"/>
  <c r="G567" i="5"/>
  <c r="H567" i="5" s="1"/>
  <c r="F566" i="5"/>
  <c r="G566" i="5"/>
  <c r="H566" i="5" s="1"/>
  <c r="G565" i="5"/>
  <c r="H565" i="5"/>
  <c r="F564" i="5"/>
  <c r="G564" i="5"/>
  <c r="H564" i="5" s="1"/>
  <c r="K562" i="5"/>
  <c r="J562" i="5"/>
  <c r="M562" i="5" s="1"/>
  <c r="G562" i="5"/>
  <c r="H562" i="5" s="1"/>
  <c r="K561" i="5"/>
  <c r="J561" i="5"/>
  <c r="M561" i="5" s="1"/>
  <c r="F561" i="5"/>
  <c r="G561" i="5"/>
  <c r="H561" i="5" s="1"/>
  <c r="K560" i="5"/>
  <c r="J560" i="5"/>
  <c r="M560" i="5"/>
  <c r="G560" i="5"/>
  <c r="H560" i="5" s="1"/>
  <c r="K559" i="5"/>
  <c r="J559" i="5"/>
  <c r="M559" i="5" s="1"/>
  <c r="F559" i="5"/>
  <c r="G559" i="5"/>
  <c r="H559" i="5" s="1"/>
  <c r="K558" i="5"/>
  <c r="J558" i="5"/>
  <c r="M558" i="5" s="1"/>
  <c r="G558" i="5"/>
  <c r="H558" i="5" s="1"/>
  <c r="K557" i="5"/>
  <c r="J557" i="5"/>
  <c r="M557" i="5" s="1"/>
  <c r="F557" i="5"/>
  <c r="G557" i="5"/>
  <c r="H557" i="5" s="1"/>
  <c r="G556" i="5"/>
  <c r="H556" i="5" s="1"/>
  <c r="F555" i="5"/>
  <c r="G555" i="5"/>
  <c r="H555" i="5" s="1"/>
  <c r="G554" i="5"/>
  <c r="H554" i="5" s="1"/>
  <c r="F553" i="5"/>
  <c r="G553" i="5"/>
  <c r="H553" i="5"/>
  <c r="G552" i="5"/>
  <c r="H552" i="5" s="1"/>
  <c r="F551" i="5"/>
  <c r="G551" i="5"/>
  <c r="H551" i="5" s="1"/>
  <c r="K549" i="5"/>
  <c r="J549" i="5"/>
  <c r="M549" i="5" s="1"/>
  <c r="G549" i="5"/>
  <c r="H549" i="5"/>
  <c r="K548" i="5"/>
  <c r="J548" i="5"/>
  <c r="M548" i="5" s="1"/>
  <c r="F548" i="5"/>
  <c r="G548" i="5"/>
  <c r="H548" i="5"/>
  <c r="K547" i="5"/>
  <c r="J547" i="5"/>
  <c r="M547" i="5"/>
  <c r="I547" i="5"/>
  <c r="L547" i="5" s="1"/>
  <c r="G547" i="5"/>
  <c r="H547" i="5" s="1"/>
  <c r="K546" i="5"/>
  <c r="J546" i="5"/>
  <c r="M546" i="5" s="1"/>
  <c r="F546" i="5"/>
  <c r="G546" i="5"/>
  <c r="H546" i="5" s="1"/>
  <c r="K545" i="5"/>
  <c r="J545" i="5"/>
  <c r="M545" i="5" s="1"/>
  <c r="G545" i="5"/>
  <c r="H545" i="5"/>
  <c r="K544" i="5"/>
  <c r="J544" i="5"/>
  <c r="M544" i="5" s="1"/>
  <c r="F544" i="5"/>
  <c r="G544" i="5"/>
  <c r="H544" i="5" s="1"/>
  <c r="G543" i="5"/>
  <c r="H543" i="5" s="1"/>
  <c r="F542" i="5"/>
  <c r="G542" i="5"/>
  <c r="H542" i="5" s="1"/>
  <c r="G541" i="5"/>
  <c r="H541" i="5" s="1"/>
  <c r="F540" i="5"/>
  <c r="G540" i="5"/>
  <c r="H540" i="5" s="1"/>
  <c r="G539" i="5"/>
  <c r="H539" i="5" s="1"/>
  <c r="F538" i="5"/>
  <c r="G538" i="5"/>
  <c r="H538" i="5" s="1"/>
  <c r="K536" i="5"/>
  <c r="J536" i="5"/>
  <c r="I536" i="5" s="1"/>
  <c r="L536" i="5" s="1"/>
  <c r="M536" i="5"/>
  <c r="G536" i="5"/>
  <c r="H536" i="5" s="1"/>
  <c r="K535" i="5"/>
  <c r="J535" i="5"/>
  <c r="M535" i="5" s="1"/>
  <c r="F535" i="5"/>
  <c r="G535" i="5"/>
  <c r="H535" i="5" s="1"/>
  <c r="K534" i="5"/>
  <c r="J534" i="5"/>
  <c r="G534" i="5"/>
  <c r="H534" i="5" s="1"/>
  <c r="K533" i="5"/>
  <c r="J533" i="5"/>
  <c r="M533" i="5" s="1"/>
  <c r="F533" i="5"/>
  <c r="G533" i="5"/>
  <c r="H533" i="5" s="1"/>
  <c r="K532" i="5"/>
  <c r="J532" i="5"/>
  <c r="G532" i="5"/>
  <c r="H532" i="5" s="1"/>
  <c r="K531" i="5"/>
  <c r="J531" i="5"/>
  <c r="M531" i="5"/>
  <c r="F531" i="5"/>
  <c r="G531" i="5"/>
  <c r="H531" i="5"/>
  <c r="G530" i="5"/>
  <c r="H530" i="5" s="1"/>
  <c r="F529" i="5"/>
  <c r="G529" i="5"/>
  <c r="H529" i="5"/>
  <c r="G528" i="5"/>
  <c r="H528" i="5" s="1"/>
  <c r="F527" i="5"/>
  <c r="G527" i="5"/>
  <c r="H527" i="5"/>
  <c r="G526" i="5"/>
  <c r="H526" i="5" s="1"/>
  <c r="F525" i="5"/>
  <c r="G525" i="5"/>
  <c r="H525" i="5" s="1"/>
  <c r="K523" i="5"/>
  <c r="J523" i="5"/>
  <c r="M523" i="5" s="1"/>
  <c r="G523" i="5"/>
  <c r="H523" i="5"/>
  <c r="K522" i="5"/>
  <c r="J522" i="5"/>
  <c r="M522" i="5" s="1"/>
  <c r="F522" i="5"/>
  <c r="G522" i="5"/>
  <c r="H522" i="5" s="1"/>
  <c r="K521" i="5"/>
  <c r="J521" i="5"/>
  <c r="M521" i="5"/>
  <c r="G521" i="5"/>
  <c r="H521" i="5" s="1"/>
  <c r="K520" i="5"/>
  <c r="J520" i="5"/>
  <c r="M520" i="5" s="1"/>
  <c r="F520" i="5"/>
  <c r="G520" i="5"/>
  <c r="H520" i="5" s="1"/>
  <c r="K519" i="5"/>
  <c r="J519" i="5"/>
  <c r="M519" i="5"/>
  <c r="G519" i="5"/>
  <c r="H519" i="5" s="1"/>
  <c r="K518" i="5"/>
  <c r="J518" i="5"/>
  <c r="M518" i="5" s="1"/>
  <c r="F518" i="5"/>
  <c r="G518" i="5"/>
  <c r="H518" i="5"/>
  <c r="G517" i="5"/>
  <c r="H517" i="5" s="1"/>
  <c r="F516" i="5"/>
  <c r="G516" i="5"/>
  <c r="H516" i="5" s="1"/>
  <c r="G515" i="5"/>
  <c r="H515" i="5" s="1"/>
  <c r="F514" i="5"/>
  <c r="G514" i="5"/>
  <c r="H514" i="5" s="1"/>
  <c r="G513" i="5"/>
  <c r="H513" i="5"/>
  <c r="F512" i="5"/>
  <c r="G512" i="5"/>
  <c r="H512" i="5" s="1"/>
  <c r="K510" i="5"/>
  <c r="J510" i="5"/>
  <c r="M510" i="5" s="1"/>
  <c r="G510" i="5"/>
  <c r="H510" i="5" s="1"/>
  <c r="K509" i="5"/>
  <c r="J509" i="5"/>
  <c r="M509" i="5" s="1"/>
  <c r="F509" i="5"/>
  <c r="G509" i="5"/>
  <c r="H509" i="5" s="1"/>
  <c r="K508" i="5"/>
  <c r="J508" i="5"/>
  <c r="M508" i="5"/>
  <c r="G508" i="5"/>
  <c r="H508" i="5" s="1"/>
  <c r="K507" i="5"/>
  <c r="J507" i="5"/>
  <c r="M507" i="5" s="1"/>
  <c r="F507" i="5"/>
  <c r="G507" i="5"/>
  <c r="H507" i="5"/>
  <c r="K506" i="5"/>
  <c r="J506" i="5"/>
  <c r="M506" i="5" s="1"/>
  <c r="G506" i="5"/>
  <c r="H506" i="5" s="1"/>
  <c r="K505" i="5"/>
  <c r="J505" i="5"/>
  <c r="M505" i="5"/>
  <c r="F505" i="5"/>
  <c r="G505" i="5"/>
  <c r="H505" i="5" s="1"/>
  <c r="G504" i="5"/>
  <c r="H504" i="5" s="1"/>
  <c r="F503" i="5"/>
  <c r="G503" i="5"/>
  <c r="H503" i="5" s="1"/>
  <c r="G502" i="5"/>
  <c r="H502" i="5" s="1"/>
  <c r="F501" i="5"/>
  <c r="G501" i="5"/>
  <c r="H501" i="5"/>
  <c r="G500" i="5"/>
  <c r="H500" i="5"/>
  <c r="F499" i="5"/>
  <c r="G499" i="5"/>
  <c r="H499" i="5" s="1"/>
  <c r="K497" i="5"/>
  <c r="J497" i="5"/>
  <c r="M497" i="5" s="1"/>
  <c r="G497" i="5"/>
  <c r="H497" i="5"/>
  <c r="K496" i="5"/>
  <c r="J496" i="5"/>
  <c r="M496" i="5" s="1"/>
  <c r="F496" i="5"/>
  <c r="G496" i="5"/>
  <c r="H496" i="5" s="1"/>
  <c r="K495" i="5"/>
  <c r="J495" i="5"/>
  <c r="M495" i="5"/>
  <c r="G495" i="5"/>
  <c r="H495" i="5" s="1"/>
  <c r="K494" i="5"/>
  <c r="J494" i="5"/>
  <c r="M494" i="5" s="1"/>
  <c r="F494" i="5"/>
  <c r="G494" i="5"/>
  <c r="H494" i="5" s="1"/>
  <c r="K493" i="5"/>
  <c r="J493" i="5"/>
  <c r="M493" i="5"/>
  <c r="G493" i="5"/>
  <c r="H493" i="5" s="1"/>
  <c r="K492" i="5"/>
  <c r="J492" i="5"/>
  <c r="M492" i="5" s="1"/>
  <c r="F492" i="5"/>
  <c r="G492" i="5"/>
  <c r="H492" i="5"/>
  <c r="G491" i="5"/>
  <c r="H491" i="5"/>
  <c r="F490" i="5"/>
  <c r="G490" i="5"/>
  <c r="H490" i="5" s="1"/>
  <c r="G489" i="5"/>
  <c r="H489" i="5" s="1"/>
  <c r="F488" i="5"/>
  <c r="G488" i="5"/>
  <c r="H488" i="5"/>
  <c r="G487" i="5"/>
  <c r="H487" i="5"/>
  <c r="F486" i="5"/>
  <c r="G486" i="5"/>
  <c r="H486" i="5" s="1"/>
  <c r="K484" i="5"/>
  <c r="J484" i="5"/>
  <c r="M484" i="5" s="1"/>
  <c r="G484" i="5"/>
  <c r="H484" i="5"/>
  <c r="K483" i="5"/>
  <c r="J483" i="5"/>
  <c r="M483" i="5" s="1"/>
  <c r="F483" i="5"/>
  <c r="G483" i="5"/>
  <c r="H483" i="5" s="1"/>
  <c r="K482" i="5"/>
  <c r="J482" i="5"/>
  <c r="M482" i="5"/>
  <c r="G482" i="5"/>
  <c r="H482" i="5" s="1"/>
  <c r="K481" i="5"/>
  <c r="J481" i="5"/>
  <c r="M481" i="5" s="1"/>
  <c r="F481" i="5"/>
  <c r="G481" i="5"/>
  <c r="H481" i="5" s="1"/>
  <c r="K480" i="5"/>
  <c r="J480" i="5"/>
  <c r="M480" i="5"/>
  <c r="G480" i="5"/>
  <c r="H480" i="5" s="1"/>
  <c r="K479" i="5"/>
  <c r="J479" i="5"/>
  <c r="M479" i="5" s="1"/>
  <c r="F479" i="5"/>
  <c r="G479" i="5"/>
  <c r="H479" i="5" s="1"/>
  <c r="G478" i="5"/>
  <c r="H478" i="5" s="1"/>
  <c r="F477" i="5"/>
  <c r="G477" i="5"/>
  <c r="H477" i="5" s="1"/>
  <c r="G476" i="5"/>
  <c r="H476" i="5" s="1"/>
  <c r="F475" i="5"/>
  <c r="G475" i="5"/>
  <c r="H475" i="5" s="1"/>
  <c r="G474" i="5"/>
  <c r="H474" i="5" s="1"/>
  <c r="F473" i="5"/>
  <c r="G473" i="5"/>
  <c r="H473" i="5" s="1"/>
  <c r="K471" i="5"/>
  <c r="J471" i="5"/>
  <c r="M471" i="5" s="1"/>
  <c r="G471" i="5"/>
  <c r="H471" i="5" s="1"/>
  <c r="K470" i="5"/>
  <c r="J470" i="5"/>
  <c r="M470" i="5" s="1"/>
  <c r="F470" i="5"/>
  <c r="G470" i="5"/>
  <c r="H470" i="5" s="1"/>
  <c r="K469" i="5"/>
  <c r="J469" i="5"/>
  <c r="M469" i="5"/>
  <c r="G469" i="5"/>
  <c r="H469" i="5" s="1"/>
  <c r="K468" i="5"/>
  <c r="J468" i="5"/>
  <c r="M468" i="5"/>
  <c r="F468" i="5"/>
  <c r="G468" i="5"/>
  <c r="H468" i="5" s="1"/>
  <c r="K467" i="5"/>
  <c r="J467" i="5"/>
  <c r="M467" i="5" s="1"/>
  <c r="G467" i="5"/>
  <c r="H467" i="5"/>
  <c r="K466" i="5"/>
  <c r="J466" i="5"/>
  <c r="M466" i="5"/>
  <c r="F466" i="5"/>
  <c r="G466" i="5"/>
  <c r="H466" i="5" s="1"/>
  <c r="G465" i="5"/>
  <c r="H465" i="5"/>
  <c r="F464" i="5"/>
  <c r="G464" i="5"/>
  <c r="H464" i="5" s="1"/>
  <c r="G463" i="5"/>
  <c r="H463" i="5" s="1"/>
  <c r="F462" i="5"/>
  <c r="G462" i="5"/>
  <c r="H462" i="5" s="1"/>
  <c r="G461" i="5"/>
  <c r="H461" i="5" s="1"/>
  <c r="F460" i="5"/>
  <c r="G460" i="5"/>
  <c r="H460" i="5" s="1"/>
  <c r="K458" i="5"/>
  <c r="J458" i="5"/>
  <c r="G458" i="5"/>
  <c r="H458" i="5" s="1"/>
  <c r="K457" i="5"/>
  <c r="J457" i="5"/>
  <c r="M457" i="5" s="1"/>
  <c r="F457" i="5"/>
  <c r="G457" i="5"/>
  <c r="H457" i="5"/>
  <c r="K456" i="5"/>
  <c r="J456" i="5"/>
  <c r="G456" i="5"/>
  <c r="H456" i="5" s="1"/>
  <c r="K455" i="5"/>
  <c r="J455" i="5"/>
  <c r="M455" i="5" s="1"/>
  <c r="F455" i="5"/>
  <c r="G455" i="5"/>
  <c r="H455" i="5" s="1"/>
  <c r="K454" i="5"/>
  <c r="J454" i="5"/>
  <c r="M454" i="5" s="1"/>
  <c r="G454" i="5"/>
  <c r="H454" i="5"/>
  <c r="K453" i="5"/>
  <c r="J453" i="5"/>
  <c r="M453" i="5" s="1"/>
  <c r="F453" i="5"/>
  <c r="G453" i="5"/>
  <c r="H453" i="5" s="1"/>
  <c r="G452" i="5"/>
  <c r="H452" i="5"/>
  <c r="F451" i="5"/>
  <c r="G451" i="5"/>
  <c r="H451" i="5" s="1"/>
  <c r="G450" i="5"/>
  <c r="H450" i="5" s="1"/>
  <c r="F450" i="5"/>
  <c r="F449" i="5"/>
  <c r="G449" i="5"/>
  <c r="H449" i="5"/>
  <c r="G448" i="5"/>
  <c r="H448" i="5" s="1"/>
  <c r="F448" i="5"/>
  <c r="F447" i="5"/>
  <c r="G447" i="5"/>
  <c r="H447" i="5" s="1"/>
  <c r="K445" i="5"/>
  <c r="J445" i="5"/>
  <c r="M445" i="5"/>
  <c r="F445" i="5"/>
  <c r="K444" i="5"/>
  <c r="J444" i="5"/>
  <c r="F444" i="5"/>
  <c r="G444" i="5"/>
  <c r="H444" i="5"/>
  <c r="K443" i="5"/>
  <c r="J443" i="5"/>
  <c r="M443" i="5" s="1"/>
  <c r="F443" i="5"/>
  <c r="K442" i="5"/>
  <c r="J442" i="5"/>
  <c r="F442" i="5"/>
  <c r="G442" i="5"/>
  <c r="H442" i="5"/>
  <c r="K441" i="5"/>
  <c r="J441" i="5"/>
  <c r="M441" i="5" s="1"/>
  <c r="F441" i="5"/>
  <c r="K440" i="5"/>
  <c r="J440" i="5"/>
  <c r="F440" i="5"/>
  <c r="G440" i="5"/>
  <c r="H440" i="5" s="1"/>
  <c r="G439" i="5"/>
  <c r="H439" i="5" s="1"/>
  <c r="F439" i="5"/>
  <c r="F438" i="5"/>
  <c r="G438" i="5"/>
  <c r="H438" i="5" s="1"/>
  <c r="G437" i="5"/>
  <c r="H437" i="5" s="1"/>
  <c r="F437" i="5"/>
  <c r="F436" i="5"/>
  <c r="G436" i="5"/>
  <c r="H436" i="5" s="1"/>
  <c r="G435" i="5"/>
  <c r="H435" i="5" s="1"/>
  <c r="F435" i="5"/>
  <c r="F434" i="5"/>
  <c r="G434" i="5"/>
  <c r="H434" i="5" s="1"/>
  <c r="K432" i="5"/>
  <c r="J432" i="5"/>
  <c r="M432" i="5" s="1"/>
  <c r="F432" i="5"/>
  <c r="K431" i="5"/>
  <c r="J431" i="5"/>
  <c r="F431" i="5"/>
  <c r="G431" i="5"/>
  <c r="H431" i="5" s="1"/>
  <c r="K430" i="5"/>
  <c r="J430" i="5"/>
  <c r="M430" i="5" s="1"/>
  <c r="F430" i="5"/>
  <c r="K429" i="5"/>
  <c r="J429" i="5"/>
  <c r="F429" i="5"/>
  <c r="G429" i="5"/>
  <c r="H429" i="5" s="1"/>
  <c r="K428" i="5"/>
  <c r="J428" i="5"/>
  <c r="M428" i="5" s="1"/>
  <c r="F428" i="5"/>
  <c r="K427" i="5"/>
  <c r="J427" i="5"/>
  <c r="F427" i="5"/>
  <c r="G427" i="5"/>
  <c r="H427" i="5"/>
  <c r="G426" i="5"/>
  <c r="H426" i="5" s="1"/>
  <c r="F426" i="5"/>
  <c r="F425" i="5"/>
  <c r="G425" i="5"/>
  <c r="H425" i="5"/>
  <c r="G424" i="5"/>
  <c r="H424" i="5"/>
  <c r="F424" i="5"/>
  <c r="F423" i="5"/>
  <c r="G423" i="5"/>
  <c r="H423" i="5"/>
  <c r="G422" i="5"/>
  <c r="H422" i="5"/>
  <c r="F422" i="5"/>
  <c r="F421" i="5"/>
  <c r="G421" i="5"/>
  <c r="H421" i="5" s="1"/>
  <c r="K419" i="5"/>
  <c r="J419" i="5"/>
  <c r="M419" i="5" s="1"/>
  <c r="F419" i="5"/>
  <c r="K418" i="5"/>
  <c r="J418" i="5"/>
  <c r="F418" i="5"/>
  <c r="G418" i="5"/>
  <c r="H418" i="5" s="1"/>
  <c r="K417" i="5"/>
  <c r="J417" i="5"/>
  <c r="M417" i="5" s="1"/>
  <c r="F417" i="5"/>
  <c r="K416" i="5"/>
  <c r="J416" i="5"/>
  <c r="F416" i="5"/>
  <c r="G416" i="5"/>
  <c r="H416" i="5" s="1"/>
  <c r="K415" i="5"/>
  <c r="J415" i="5"/>
  <c r="M415" i="5" s="1"/>
  <c r="F415" i="5"/>
  <c r="K414" i="5"/>
  <c r="J414" i="5"/>
  <c r="F414" i="5"/>
  <c r="G414" i="5"/>
  <c r="H414" i="5" s="1"/>
  <c r="G413" i="5"/>
  <c r="H413" i="5" s="1"/>
  <c r="F413" i="5"/>
  <c r="F412" i="5"/>
  <c r="G412" i="5"/>
  <c r="H412" i="5" s="1"/>
  <c r="G411" i="5"/>
  <c r="H411" i="5" s="1"/>
  <c r="F411" i="5"/>
  <c r="F410" i="5"/>
  <c r="G410" i="5"/>
  <c r="H410" i="5" s="1"/>
  <c r="G409" i="5"/>
  <c r="H409" i="5" s="1"/>
  <c r="F409" i="5"/>
  <c r="F408" i="5"/>
  <c r="G408" i="5"/>
  <c r="H408" i="5" s="1"/>
  <c r="K406" i="5"/>
  <c r="J406" i="5"/>
  <c r="M406" i="5"/>
  <c r="F406" i="5"/>
  <c r="K405" i="5"/>
  <c r="J405" i="5"/>
  <c r="F405" i="5"/>
  <c r="G405" i="5"/>
  <c r="H405" i="5" s="1"/>
  <c r="K404" i="5"/>
  <c r="J404" i="5"/>
  <c r="M404" i="5" s="1"/>
  <c r="F404" i="5"/>
  <c r="K403" i="5"/>
  <c r="J403" i="5"/>
  <c r="F403" i="5"/>
  <c r="G403" i="5"/>
  <c r="H403" i="5" s="1"/>
  <c r="K402" i="5"/>
  <c r="J402" i="5"/>
  <c r="M402" i="5" s="1"/>
  <c r="F402" i="5"/>
  <c r="K401" i="5"/>
  <c r="J401" i="5"/>
  <c r="F401" i="5"/>
  <c r="G401" i="5"/>
  <c r="H401" i="5" s="1"/>
  <c r="G400" i="5"/>
  <c r="H400" i="5"/>
  <c r="F400" i="5"/>
  <c r="F399" i="5"/>
  <c r="G399" i="5"/>
  <c r="H399" i="5"/>
  <c r="G398" i="5"/>
  <c r="H398" i="5" s="1"/>
  <c r="F398" i="5"/>
  <c r="F397" i="5"/>
  <c r="G397" i="5"/>
  <c r="H397" i="5" s="1"/>
  <c r="G396" i="5"/>
  <c r="H396" i="5"/>
  <c r="F396" i="5"/>
  <c r="F395" i="5"/>
  <c r="G395" i="5"/>
  <c r="H395" i="5" s="1"/>
  <c r="K393" i="5"/>
  <c r="J393" i="5"/>
  <c r="M393" i="5" s="1"/>
  <c r="F393" i="5"/>
  <c r="K392" i="5"/>
  <c r="J392" i="5"/>
  <c r="F392" i="5"/>
  <c r="G392" i="5"/>
  <c r="H392" i="5" s="1"/>
  <c r="K391" i="5"/>
  <c r="J391" i="5"/>
  <c r="M391" i="5" s="1"/>
  <c r="F391" i="5"/>
  <c r="K390" i="5"/>
  <c r="J390" i="5"/>
  <c r="F390" i="5"/>
  <c r="G390" i="5"/>
  <c r="H390" i="5" s="1"/>
  <c r="K389" i="5"/>
  <c r="J389" i="5"/>
  <c r="M389" i="5" s="1"/>
  <c r="F389" i="5"/>
  <c r="K388" i="5"/>
  <c r="J388" i="5"/>
  <c r="F388" i="5"/>
  <c r="G388" i="5"/>
  <c r="H388" i="5" s="1"/>
  <c r="G387" i="5"/>
  <c r="H387" i="5"/>
  <c r="F387" i="5"/>
  <c r="F386" i="5"/>
  <c r="G386" i="5"/>
  <c r="H386" i="5"/>
  <c r="G385" i="5"/>
  <c r="H385" i="5" s="1"/>
  <c r="F385" i="5"/>
  <c r="F384" i="5"/>
  <c r="G384" i="5"/>
  <c r="H384" i="5" s="1"/>
  <c r="G383" i="5"/>
  <c r="H383" i="5"/>
  <c r="F383" i="5"/>
  <c r="F382" i="5"/>
  <c r="G382" i="5"/>
  <c r="H382" i="5" s="1"/>
  <c r="K380" i="5"/>
  <c r="J380" i="5"/>
  <c r="M380" i="5"/>
  <c r="F380" i="5"/>
  <c r="G380" i="5"/>
  <c r="H380" i="5" s="1"/>
  <c r="K379" i="5"/>
  <c r="J379" i="5"/>
  <c r="M379" i="5" s="1"/>
  <c r="G379" i="5"/>
  <c r="H379" i="5" s="1"/>
  <c r="K378" i="5"/>
  <c r="J378" i="5"/>
  <c r="M378" i="5"/>
  <c r="F378" i="5"/>
  <c r="G378" i="5"/>
  <c r="H378" i="5" s="1"/>
  <c r="K377" i="5"/>
  <c r="J377" i="5"/>
  <c r="M377" i="5" s="1"/>
  <c r="G377" i="5"/>
  <c r="H377" i="5" s="1"/>
  <c r="K376" i="5"/>
  <c r="J376" i="5"/>
  <c r="M376" i="5" s="1"/>
  <c r="F376" i="5"/>
  <c r="G376" i="5"/>
  <c r="H376" i="5" s="1"/>
  <c r="K375" i="5"/>
  <c r="J375" i="5"/>
  <c r="M375" i="5"/>
  <c r="G375" i="5"/>
  <c r="H375" i="5" s="1"/>
  <c r="F374" i="5"/>
  <c r="G374" i="5"/>
  <c r="H374" i="5"/>
  <c r="G373" i="5"/>
  <c r="H373" i="5" s="1"/>
  <c r="F372" i="5"/>
  <c r="G372" i="5"/>
  <c r="H372" i="5" s="1"/>
  <c r="G371" i="5"/>
  <c r="H371" i="5"/>
  <c r="F370" i="5"/>
  <c r="G370" i="5"/>
  <c r="H370" i="5"/>
  <c r="G369" i="5"/>
  <c r="H369" i="5" s="1"/>
  <c r="K367" i="5"/>
  <c r="J367" i="5"/>
  <c r="M367" i="5"/>
  <c r="F367" i="5"/>
  <c r="G367" i="5"/>
  <c r="H367" i="5"/>
  <c r="K366" i="5"/>
  <c r="J366" i="5"/>
  <c r="M366" i="5" s="1"/>
  <c r="G366" i="5"/>
  <c r="H366" i="5" s="1"/>
  <c r="K365" i="5"/>
  <c r="J365" i="5"/>
  <c r="M365" i="5"/>
  <c r="F365" i="5"/>
  <c r="G365" i="5"/>
  <c r="H365" i="5" s="1"/>
  <c r="K364" i="5"/>
  <c r="J364" i="5"/>
  <c r="G364" i="5"/>
  <c r="H364" i="5" s="1"/>
  <c r="K363" i="5"/>
  <c r="J363" i="5"/>
  <c r="M363" i="5" s="1"/>
  <c r="F363" i="5"/>
  <c r="G363" i="5"/>
  <c r="H363" i="5" s="1"/>
  <c r="K362" i="5"/>
  <c r="J362" i="5"/>
  <c r="M362" i="5"/>
  <c r="G362" i="5"/>
  <c r="H362" i="5" s="1"/>
  <c r="F361" i="5"/>
  <c r="G361" i="5"/>
  <c r="H361" i="5" s="1"/>
  <c r="G360" i="5"/>
  <c r="H360" i="5" s="1"/>
  <c r="F359" i="5"/>
  <c r="G359" i="5"/>
  <c r="H359" i="5"/>
  <c r="G358" i="5"/>
  <c r="H358" i="5" s="1"/>
  <c r="F357" i="5"/>
  <c r="G357" i="5"/>
  <c r="H357" i="5" s="1"/>
  <c r="G356" i="5"/>
  <c r="H356" i="5" s="1"/>
  <c r="K354" i="5"/>
  <c r="J354" i="5"/>
  <c r="M354" i="5"/>
  <c r="F354" i="5"/>
  <c r="G354" i="5"/>
  <c r="H354" i="5" s="1"/>
  <c r="K353" i="5"/>
  <c r="J353" i="5"/>
  <c r="M353" i="5" s="1"/>
  <c r="G353" i="5"/>
  <c r="H353" i="5"/>
  <c r="K352" i="5"/>
  <c r="J352" i="5"/>
  <c r="M352" i="5" s="1"/>
  <c r="F352" i="5"/>
  <c r="G352" i="5"/>
  <c r="H352" i="5" s="1"/>
  <c r="K351" i="5"/>
  <c r="J351" i="5"/>
  <c r="M351" i="5"/>
  <c r="G351" i="5"/>
  <c r="H351" i="5" s="1"/>
  <c r="K350" i="5"/>
  <c r="J350" i="5"/>
  <c r="M350" i="5" s="1"/>
  <c r="F350" i="5"/>
  <c r="G350" i="5"/>
  <c r="H350" i="5" s="1"/>
  <c r="K349" i="5"/>
  <c r="J349" i="5"/>
  <c r="M349" i="5"/>
  <c r="G349" i="5"/>
  <c r="H349" i="5" s="1"/>
  <c r="F348" i="5"/>
  <c r="G348" i="5"/>
  <c r="H348" i="5" s="1"/>
  <c r="G347" i="5"/>
  <c r="H347" i="5" s="1"/>
  <c r="F346" i="5"/>
  <c r="G346" i="5"/>
  <c r="H346" i="5" s="1"/>
  <c r="G345" i="5"/>
  <c r="H345" i="5" s="1"/>
  <c r="F344" i="5"/>
  <c r="G344" i="5"/>
  <c r="H344" i="5" s="1"/>
  <c r="G343" i="5"/>
  <c r="H343" i="5" s="1"/>
  <c r="K341" i="5"/>
  <c r="J341" i="5"/>
  <c r="M341" i="5" s="1"/>
  <c r="F341" i="5"/>
  <c r="G341" i="5"/>
  <c r="H341" i="5" s="1"/>
  <c r="K340" i="5"/>
  <c r="J340" i="5"/>
  <c r="M340" i="5"/>
  <c r="G340" i="5"/>
  <c r="H340" i="5" s="1"/>
  <c r="K339" i="5"/>
  <c r="J339" i="5"/>
  <c r="M339" i="5" s="1"/>
  <c r="F339" i="5"/>
  <c r="G339" i="5"/>
  <c r="H339" i="5"/>
  <c r="K338" i="5"/>
  <c r="J338" i="5"/>
  <c r="G338" i="5"/>
  <c r="H338" i="5" s="1"/>
  <c r="K337" i="5"/>
  <c r="J337" i="5"/>
  <c r="M337" i="5" s="1"/>
  <c r="F337" i="5"/>
  <c r="G337" i="5"/>
  <c r="H337" i="5" s="1"/>
  <c r="K336" i="5"/>
  <c r="J336" i="5"/>
  <c r="M336" i="5" s="1"/>
  <c r="G336" i="5"/>
  <c r="H336" i="5"/>
  <c r="F335" i="5"/>
  <c r="G335" i="5"/>
  <c r="H335" i="5"/>
  <c r="G334" i="5"/>
  <c r="H334" i="5"/>
  <c r="F333" i="5"/>
  <c r="G333" i="5"/>
  <c r="H333" i="5"/>
  <c r="G332" i="5"/>
  <c r="H332" i="5" s="1"/>
  <c r="F331" i="5"/>
  <c r="G331" i="5"/>
  <c r="H331" i="5" s="1"/>
  <c r="G330" i="5"/>
  <c r="H330" i="5"/>
  <c r="K328" i="5"/>
  <c r="J328" i="5"/>
  <c r="M328" i="5" s="1"/>
  <c r="F328" i="5"/>
  <c r="G328" i="5"/>
  <c r="H328" i="5" s="1"/>
  <c r="K327" i="5"/>
  <c r="J327" i="5"/>
  <c r="M327" i="5" s="1"/>
  <c r="G327" i="5"/>
  <c r="H327" i="5" s="1"/>
  <c r="K326" i="5"/>
  <c r="J326" i="5"/>
  <c r="M326" i="5"/>
  <c r="F326" i="5"/>
  <c r="G326" i="5"/>
  <c r="H326" i="5"/>
  <c r="K325" i="5"/>
  <c r="J325" i="5"/>
  <c r="M325" i="5" s="1"/>
  <c r="G325" i="5"/>
  <c r="H325" i="5"/>
  <c r="K324" i="5"/>
  <c r="J324" i="5"/>
  <c r="M324" i="5"/>
  <c r="F324" i="5"/>
  <c r="G324" i="5"/>
  <c r="H324" i="5" s="1"/>
  <c r="K323" i="5"/>
  <c r="J323" i="5"/>
  <c r="M323" i="5" s="1"/>
  <c r="G323" i="5"/>
  <c r="H323" i="5"/>
  <c r="F322" i="5"/>
  <c r="G322" i="5"/>
  <c r="H322" i="5"/>
  <c r="G321" i="5"/>
  <c r="H321" i="5"/>
  <c r="F320" i="5"/>
  <c r="G320" i="5"/>
  <c r="H320" i="5"/>
  <c r="G319" i="5"/>
  <c r="H319" i="5" s="1"/>
  <c r="F318" i="5"/>
  <c r="G318" i="5"/>
  <c r="H318" i="5" s="1"/>
  <c r="G317" i="5"/>
  <c r="H317" i="5" s="1"/>
  <c r="K315" i="5"/>
  <c r="J315" i="5"/>
  <c r="M315" i="5" s="1"/>
  <c r="F315" i="5"/>
  <c r="G315" i="5"/>
  <c r="H315" i="5" s="1"/>
  <c r="K314" i="5"/>
  <c r="J314" i="5"/>
  <c r="M314" i="5" s="1"/>
  <c r="G314" i="5"/>
  <c r="H314" i="5" s="1"/>
  <c r="K313" i="5"/>
  <c r="J313" i="5"/>
  <c r="M313" i="5"/>
  <c r="F313" i="5"/>
  <c r="G313" i="5"/>
  <c r="H313" i="5" s="1"/>
  <c r="K312" i="5"/>
  <c r="J312" i="5"/>
  <c r="M312" i="5"/>
  <c r="G312" i="5"/>
  <c r="H312" i="5"/>
  <c r="K311" i="5"/>
  <c r="J311" i="5"/>
  <c r="M311" i="5" s="1"/>
  <c r="F311" i="5"/>
  <c r="G311" i="5"/>
  <c r="H311" i="5"/>
  <c r="K310" i="5"/>
  <c r="J310" i="5"/>
  <c r="M310" i="5" s="1"/>
  <c r="G310" i="5"/>
  <c r="H310" i="5"/>
  <c r="F309" i="5"/>
  <c r="G309" i="5"/>
  <c r="H309" i="5"/>
  <c r="G308" i="5"/>
  <c r="H308" i="5" s="1"/>
  <c r="F307" i="5"/>
  <c r="G307" i="5"/>
  <c r="H307" i="5" s="1"/>
  <c r="G306" i="5"/>
  <c r="H306" i="5" s="1"/>
  <c r="F305" i="5"/>
  <c r="G305" i="5"/>
  <c r="H305" i="5" s="1"/>
  <c r="G304" i="5"/>
  <c r="H304" i="5" s="1"/>
  <c r="K302" i="5"/>
  <c r="J302" i="5"/>
  <c r="M302" i="5" s="1"/>
  <c r="F302" i="5"/>
  <c r="G302" i="5"/>
  <c r="H302" i="5" s="1"/>
  <c r="K301" i="5"/>
  <c r="J301" i="5"/>
  <c r="M301" i="5" s="1"/>
  <c r="G301" i="5"/>
  <c r="H301" i="5" s="1"/>
  <c r="K300" i="5"/>
  <c r="J300" i="5"/>
  <c r="M300" i="5"/>
  <c r="F300" i="5"/>
  <c r="G300" i="5"/>
  <c r="H300" i="5"/>
  <c r="K299" i="5"/>
  <c r="J299" i="5"/>
  <c r="M299" i="5"/>
  <c r="G299" i="5"/>
  <c r="H299" i="5"/>
  <c r="K298" i="5"/>
  <c r="J298" i="5"/>
  <c r="M298" i="5"/>
  <c r="F298" i="5"/>
  <c r="G298" i="5"/>
  <c r="H298" i="5"/>
  <c r="K297" i="5"/>
  <c r="J297" i="5"/>
  <c r="M297" i="5" s="1"/>
  <c r="G297" i="5"/>
  <c r="H297" i="5"/>
  <c r="F296" i="5"/>
  <c r="G296" i="5"/>
  <c r="H296" i="5"/>
  <c r="G295" i="5"/>
  <c r="H295" i="5" s="1"/>
  <c r="F294" i="5"/>
  <c r="G294" i="5"/>
  <c r="H294" i="5"/>
  <c r="G293" i="5"/>
  <c r="H293" i="5" s="1"/>
  <c r="F292" i="5"/>
  <c r="G292" i="5"/>
  <c r="H292" i="5" s="1"/>
  <c r="G291" i="5"/>
  <c r="H291" i="5" s="1"/>
  <c r="K289" i="5"/>
  <c r="J289" i="5"/>
  <c r="M289" i="5" s="1"/>
  <c r="F289" i="5"/>
  <c r="G289" i="5"/>
  <c r="H289" i="5" s="1"/>
  <c r="K288" i="5"/>
  <c r="J288" i="5"/>
  <c r="M288" i="5"/>
  <c r="G288" i="5"/>
  <c r="H288" i="5" s="1"/>
  <c r="K287" i="5"/>
  <c r="J287" i="5"/>
  <c r="M287" i="5"/>
  <c r="F287" i="5"/>
  <c r="G287" i="5"/>
  <c r="H287" i="5"/>
  <c r="K286" i="5"/>
  <c r="J286" i="5"/>
  <c r="G286" i="5"/>
  <c r="H286" i="5"/>
  <c r="K285" i="5"/>
  <c r="J285" i="5"/>
  <c r="M285" i="5" s="1"/>
  <c r="F285" i="5"/>
  <c r="G285" i="5"/>
  <c r="H285" i="5"/>
  <c r="K284" i="5"/>
  <c r="J284" i="5"/>
  <c r="M284" i="5"/>
  <c r="G284" i="5"/>
  <c r="H284" i="5" s="1"/>
  <c r="F283" i="5"/>
  <c r="G283" i="5"/>
  <c r="H283" i="5" s="1"/>
  <c r="G282" i="5"/>
  <c r="H282" i="5" s="1"/>
  <c r="F281" i="5"/>
  <c r="G281" i="5"/>
  <c r="H281" i="5" s="1"/>
  <c r="G280" i="5"/>
  <c r="H280" i="5" s="1"/>
  <c r="F279" i="5"/>
  <c r="G279" i="5"/>
  <c r="H279" i="5" s="1"/>
  <c r="G278" i="5"/>
  <c r="H278" i="5" s="1"/>
  <c r="K276" i="5"/>
  <c r="J276" i="5"/>
  <c r="M276" i="5"/>
  <c r="F276" i="5"/>
  <c r="G276" i="5"/>
  <c r="H276" i="5" s="1"/>
  <c r="K275" i="5"/>
  <c r="J275" i="5"/>
  <c r="G275" i="5"/>
  <c r="H275" i="5" s="1"/>
  <c r="K274" i="5"/>
  <c r="J274" i="5"/>
  <c r="M274" i="5" s="1"/>
  <c r="F274" i="5"/>
  <c r="G274" i="5"/>
  <c r="H274" i="5" s="1"/>
  <c r="K273" i="5"/>
  <c r="J273" i="5"/>
  <c r="I273" i="5"/>
  <c r="L273" i="5" s="1"/>
  <c r="G273" i="5"/>
  <c r="H273" i="5" s="1"/>
  <c r="K272" i="5"/>
  <c r="J272" i="5"/>
  <c r="M272" i="5" s="1"/>
  <c r="F272" i="5"/>
  <c r="G272" i="5"/>
  <c r="H272" i="5" s="1"/>
  <c r="K271" i="5"/>
  <c r="J271" i="5"/>
  <c r="M271" i="5"/>
  <c r="G271" i="5"/>
  <c r="H271" i="5" s="1"/>
  <c r="F270" i="5"/>
  <c r="G270" i="5"/>
  <c r="H270" i="5" s="1"/>
  <c r="G269" i="5"/>
  <c r="H269" i="5" s="1"/>
  <c r="F268" i="5"/>
  <c r="G268" i="5"/>
  <c r="H268" i="5"/>
  <c r="G267" i="5"/>
  <c r="H267" i="5"/>
  <c r="F266" i="5"/>
  <c r="G266" i="5"/>
  <c r="H266" i="5" s="1"/>
  <c r="G265" i="5"/>
  <c r="H265" i="5"/>
  <c r="K263" i="5"/>
  <c r="J263" i="5"/>
  <c r="M263" i="5"/>
  <c r="F263" i="5"/>
  <c r="G263" i="5"/>
  <c r="H263" i="5" s="1"/>
  <c r="K262" i="5"/>
  <c r="J262" i="5"/>
  <c r="M262" i="5" s="1"/>
  <c r="G262" i="5"/>
  <c r="H262" i="5" s="1"/>
  <c r="K261" i="5"/>
  <c r="J261" i="5"/>
  <c r="M261" i="5" s="1"/>
  <c r="F261" i="5"/>
  <c r="G261" i="5"/>
  <c r="H261" i="5" s="1"/>
  <c r="K260" i="5"/>
  <c r="J260" i="5"/>
  <c r="I260" i="5" s="1"/>
  <c r="L260" i="5" s="1"/>
  <c r="G260" i="5"/>
  <c r="H260" i="5" s="1"/>
  <c r="K259" i="5"/>
  <c r="J259" i="5"/>
  <c r="M259" i="5" s="1"/>
  <c r="F259" i="5"/>
  <c r="G259" i="5"/>
  <c r="H259" i="5" s="1"/>
  <c r="K258" i="5"/>
  <c r="J258" i="5"/>
  <c r="M258" i="5" s="1"/>
  <c r="G258" i="5"/>
  <c r="H258" i="5" s="1"/>
  <c r="F257" i="5"/>
  <c r="G257" i="5"/>
  <c r="H257" i="5"/>
  <c r="G256" i="5"/>
  <c r="H256" i="5"/>
  <c r="F255" i="5"/>
  <c r="G255" i="5"/>
  <c r="H255" i="5" s="1"/>
  <c r="G254" i="5"/>
  <c r="H254" i="5" s="1"/>
  <c r="F253" i="5"/>
  <c r="G253" i="5"/>
  <c r="H253" i="5" s="1"/>
  <c r="G252" i="5"/>
  <c r="H252" i="5" s="1"/>
  <c r="K250" i="5"/>
  <c r="J250" i="5"/>
  <c r="M250" i="5" s="1"/>
  <c r="F250" i="5"/>
  <c r="G250" i="5"/>
  <c r="H250" i="5"/>
  <c r="K249" i="5"/>
  <c r="J249" i="5"/>
  <c r="G249" i="5"/>
  <c r="H249" i="5" s="1"/>
  <c r="K248" i="5"/>
  <c r="J248" i="5"/>
  <c r="M248" i="5" s="1"/>
  <c r="F248" i="5"/>
  <c r="G248" i="5"/>
  <c r="H248" i="5" s="1"/>
  <c r="K247" i="5"/>
  <c r="J247" i="5"/>
  <c r="I247" i="5" s="1"/>
  <c r="L247" i="5" s="1"/>
  <c r="G247" i="5"/>
  <c r="H247" i="5" s="1"/>
  <c r="K246" i="5"/>
  <c r="J246" i="5"/>
  <c r="M246" i="5" s="1"/>
  <c r="F246" i="5"/>
  <c r="G246" i="5"/>
  <c r="H246" i="5"/>
  <c r="K245" i="5"/>
  <c r="J245" i="5"/>
  <c r="M245" i="5" s="1"/>
  <c r="G245" i="5"/>
  <c r="H245" i="5" s="1"/>
  <c r="F244" i="5"/>
  <c r="G244" i="5"/>
  <c r="H244" i="5" s="1"/>
  <c r="G243" i="5"/>
  <c r="H243" i="5"/>
  <c r="F242" i="5"/>
  <c r="G242" i="5"/>
  <c r="H242" i="5" s="1"/>
  <c r="G241" i="5"/>
  <c r="H241" i="5" s="1"/>
  <c r="F240" i="5"/>
  <c r="G240" i="5"/>
  <c r="H240" i="5" s="1"/>
  <c r="G239" i="5"/>
  <c r="H239" i="5" s="1"/>
  <c r="K237" i="5"/>
  <c r="J237" i="5"/>
  <c r="M237" i="5" s="1"/>
  <c r="F237" i="5"/>
  <c r="G237" i="5"/>
  <c r="H237" i="5" s="1"/>
  <c r="K236" i="5"/>
  <c r="J236" i="5"/>
  <c r="M236" i="5" s="1"/>
  <c r="I236" i="5"/>
  <c r="L236" i="5" s="1"/>
  <c r="G236" i="5"/>
  <c r="H236" i="5" s="1"/>
  <c r="K235" i="5"/>
  <c r="J235" i="5"/>
  <c r="M235" i="5" s="1"/>
  <c r="F235" i="5"/>
  <c r="G235" i="5"/>
  <c r="H235" i="5"/>
  <c r="K234" i="5"/>
  <c r="J234" i="5"/>
  <c r="I234" i="5"/>
  <c r="L234" i="5" s="1"/>
  <c r="G234" i="5"/>
  <c r="H234" i="5" s="1"/>
  <c r="K233" i="5"/>
  <c r="J233" i="5"/>
  <c r="M233" i="5"/>
  <c r="F233" i="5"/>
  <c r="G233" i="5"/>
  <c r="H233" i="5" s="1"/>
  <c r="K232" i="5"/>
  <c r="J232" i="5"/>
  <c r="M232" i="5" s="1"/>
  <c r="G232" i="5"/>
  <c r="H232" i="5" s="1"/>
  <c r="F231" i="5"/>
  <c r="G231" i="5"/>
  <c r="H231" i="5" s="1"/>
  <c r="G230" i="5"/>
  <c r="H230" i="5" s="1"/>
  <c r="F229" i="5"/>
  <c r="G229" i="5"/>
  <c r="H229" i="5" s="1"/>
  <c r="G228" i="5"/>
  <c r="H228" i="5"/>
  <c r="F227" i="5"/>
  <c r="G227" i="5"/>
  <c r="H227" i="5" s="1"/>
  <c r="G226" i="5"/>
  <c r="H226" i="5" s="1"/>
  <c r="K224" i="5"/>
  <c r="J224" i="5"/>
  <c r="M224" i="5" s="1"/>
  <c r="F224" i="5"/>
  <c r="G224" i="5"/>
  <c r="H224" i="5" s="1"/>
  <c r="K223" i="5"/>
  <c r="J223" i="5"/>
  <c r="I223" i="5" s="1"/>
  <c r="L223" i="5" s="1"/>
  <c r="M223" i="5"/>
  <c r="G223" i="5"/>
  <c r="H223" i="5" s="1"/>
  <c r="K222" i="5"/>
  <c r="J222" i="5"/>
  <c r="M222" i="5" s="1"/>
  <c r="F222" i="5"/>
  <c r="G222" i="5"/>
  <c r="H222" i="5" s="1"/>
  <c r="K221" i="5"/>
  <c r="J221" i="5"/>
  <c r="I221" i="5" s="1"/>
  <c r="L221" i="5" s="1"/>
  <c r="G221" i="5"/>
  <c r="H221" i="5"/>
  <c r="K220" i="5"/>
  <c r="J220" i="5"/>
  <c r="M220" i="5" s="1"/>
  <c r="F220" i="5"/>
  <c r="G220" i="5"/>
  <c r="H220" i="5" s="1"/>
  <c r="K219" i="5"/>
  <c r="J219" i="5"/>
  <c r="M219" i="5"/>
  <c r="G219" i="5"/>
  <c r="H219" i="5" s="1"/>
  <c r="F218" i="5"/>
  <c r="G218" i="5"/>
  <c r="H218" i="5"/>
  <c r="G217" i="5"/>
  <c r="H217" i="5" s="1"/>
  <c r="F216" i="5"/>
  <c r="G216" i="5"/>
  <c r="H216" i="5" s="1"/>
  <c r="G215" i="5"/>
  <c r="H215" i="5"/>
  <c r="F214" i="5"/>
  <c r="G214" i="5"/>
  <c r="H214" i="5"/>
  <c r="G213" i="5"/>
  <c r="H213" i="5" s="1"/>
  <c r="K211" i="5"/>
  <c r="J211" i="5"/>
  <c r="M211" i="5" s="1"/>
  <c r="F211" i="5"/>
  <c r="G211" i="5"/>
  <c r="H211" i="5" s="1"/>
  <c r="K210" i="5"/>
  <c r="J210" i="5"/>
  <c r="M210" i="5" s="1"/>
  <c r="G210" i="5"/>
  <c r="H210" i="5"/>
  <c r="K209" i="5"/>
  <c r="J209" i="5"/>
  <c r="M209" i="5"/>
  <c r="F209" i="5"/>
  <c r="G209" i="5"/>
  <c r="H209" i="5" s="1"/>
  <c r="K208" i="5"/>
  <c r="J208" i="5"/>
  <c r="I208" i="5" s="1"/>
  <c r="L208" i="5" s="1"/>
  <c r="G208" i="5"/>
  <c r="H208" i="5" s="1"/>
  <c r="K207" i="5"/>
  <c r="J207" i="5"/>
  <c r="M207" i="5"/>
  <c r="F207" i="5"/>
  <c r="G207" i="5"/>
  <c r="H207" i="5" s="1"/>
  <c r="K206" i="5"/>
  <c r="J206" i="5"/>
  <c r="M206" i="5" s="1"/>
  <c r="G206" i="5"/>
  <c r="H206" i="5"/>
  <c r="F205" i="5"/>
  <c r="G205" i="5"/>
  <c r="H205" i="5" s="1"/>
  <c r="G204" i="5"/>
  <c r="H204" i="5" s="1"/>
  <c r="F203" i="5"/>
  <c r="G203" i="5"/>
  <c r="H203" i="5" s="1"/>
  <c r="G202" i="5"/>
  <c r="H202" i="5" s="1"/>
  <c r="F201" i="5"/>
  <c r="G201" i="5"/>
  <c r="H201" i="5" s="1"/>
  <c r="G200" i="5"/>
  <c r="H200" i="5" s="1"/>
  <c r="K198" i="5"/>
  <c r="J198" i="5"/>
  <c r="M198" i="5" s="1"/>
  <c r="F198" i="5"/>
  <c r="G198" i="5"/>
  <c r="H198" i="5"/>
  <c r="K197" i="5"/>
  <c r="J197" i="5"/>
  <c r="G197" i="5"/>
  <c r="H197" i="5"/>
  <c r="K196" i="5"/>
  <c r="J196" i="5"/>
  <c r="M196" i="5" s="1"/>
  <c r="F196" i="5"/>
  <c r="G196" i="5"/>
  <c r="H196" i="5" s="1"/>
  <c r="K195" i="5"/>
  <c r="J195" i="5"/>
  <c r="I195" i="5"/>
  <c r="L195" i="5" s="1"/>
  <c r="G195" i="5"/>
  <c r="H195" i="5"/>
  <c r="K194" i="5"/>
  <c r="J194" i="5"/>
  <c r="M194" i="5" s="1"/>
  <c r="F194" i="5"/>
  <c r="G194" i="5"/>
  <c r="H194" i="5" s="1"/>
  <c r="K193" i="5"/>
  <c r="J193" i="5"/>
  <c r="M193" i="5" s="1"/>
  <c r="G193" i="5"/>
  <c r="H193" i="5" s="1"/>
  <c r="F192" i="5"/>
  <c r="G192" i="5"/>
  <c r="H192" i="5" s="1"/>
  <c r="G191" i="5"/>
  <c r="H191" i="5" s="1"/>
  <c r="F190" i="5"/>
  <c r="G190" i="5"/>
  <c r="H190" i="5"/>
  <c r="G189" i="5"/>
  <c r="H189" i="5" s="1"/>
  <c r="F188" i="5"/>
  <c r="G188" i="5"/>
  <c r="H188" i="5" s="1"/>
  <c r="G187" i="5"/>
  <c r="H187" i="5" s="1"/>
  <c r="K185" i="5"/>
  <c r="J185" i="5"/>
  <c r="M185" i="5"/>
  <c r="F185" i="5"/>
  <c r="G185" i="5"/>
  <c r="H185" i="5" s="1"/>
  <c r="K184" i="5"/>
  <c r="J184" i="5"/>
  <c r="G184" i="5"/>
  <c r="H184" i="5"/>
  <c r="K183" i="5"/>
  <c r="J183" i="5"/>
  <c r="M183" i="5"/>
  <c r="F183" i="5"/>
  <c r="G183" i="5"/>
  <c r="H183" i="5" s="1"/>
  <c r="K182" i="5"/>
  <c r="J182" i="5"/>
  <c r="I182" i="5" s="1"/>
  <c r="L182" i="5" s="1"/>
  <c r="G182" i="5"/>
  <c r="H182" i="5" s="1"/>
  <c r="K181" i="5"/>
  <c r="J181" i="5"/>
  <c r="M181" i="5" s="1"/>
  <c r="F181" i="5"/>
  <c r="G181" i="5"/>
  <c r="H181" i="5" s="1"/>
  <c r="K180" i="5"/>
  <c r="J180" i="5"/>
  <c r="M180" i="5" s="1"/>
  <c r="G180" i="5"/>
  <c r="H180" i="5" s="1"/>
  <c r="F179" i="5"/>
  <c r="G179" i="5"/>
  <c r="H179" i="5" s="1"/>
  <c r="G178" i="5"/>
  <c r="H178" i="5"/>
  <c r="F177" i="5"/>
  <c r="G177" i="5"/>
  <c r="H177" i="5" s="1"/>
  <c r="G176" i="5"/>
  <c r="H176" i="5"/>
  <c r="F175" i="5"/>
  <c r="G175" i="5"/>
  <c r="H175" i="5"/>
  <c r="G174" i="5"/>
  <c r="H174" i="5" s="1"/>
  <c r="K172" i="5"/>
  <c r="J172" i="5"/>
  <c r="M172" i="5" s="1"/>
  <c r="F172" i="5"/>
  <c r="G172" i="5"/>
  <c r="H172" i="5" s="1"/>
  <c r="K171" i="5"/>
  <c r="J171" i="5"/>
  <c r="M171" i="5" s="1"/>
  <c r="I171" i="5"/>
  <c r="L171" i="5" s="1"/>
  <c r="G171" i="5"/>
  <c r="H171" i="5" s="1"/>
  <c r="K170" i="5"/>
  <c r="J170" i="5"/>
  <c r="M170" i="5" s="1"/>
  <c r="F170" i="5"/>
  <c r="G170" i="5"/>
  <c r="H170" i="5" s="1"/>
  <c r="K169" i="5"/>
  <c r="J169" i="5"/>
  <c r="I169" i="5" s="1"/>
  <c r="L169" i="5" s="1"/>
  <c r="G169" i="5"/>
  <c r="H169" i="5"/>
  <c r="K168" i="5"/>
  <c r="J168" i="5"/>
  <c r="M168" i="5" s="1"/>
  <c r="F168" i="5"/>
  <c r="G168" i="5"/>
  <c r="H168" i="5" s="1"/>
  <c r="K167" i="5"/>
  <c r="J167" i="5"/>
  <c r="M167" i="5" s="1"/>
  <c r="G167" i="5"/>
  <c r="H167" i="5" s="1"/>
  <c r="F166" i="5"/>
  <c r="G166" i="5"/>
  <c r="H166" i="5"/>
  <c r="G165" i="5"/>
  <c r="H165" i="5"/>
  <c r="F164" i="5"/>
  <c r="G164" i="5"/>
  <c r="H164" i="5" s="1"/>
  <c r="G163" i="5"/>
  <c r="H163" i="5" s="1"/>
  <c r="F162" i="5"/>
  <c r="G162" i="5"/>
  <c r="H162" i="5" s="1"/>
  <c r="G161" i="5"/>
  <c r="H161" i="5" s="1"/>
  <c r="K159" i="5"/>
  <c r="J159" i="5"/>
  <c r="M159" i="5" s="1"/>
  <c r="F159" i="5"/>
  <c r="G159" i="5"/>
  <c r="H159" i="5"/>
  <c r="K158" i="5"/>
  <c r="J158" i="5"/>
  <c r="G158" i="5"/>
  <c r="H158" i="5" s="1"/>
  <c r="K157" i="5"/>
  <c r="J157" i="5"/>
  <c r="M157" i="5" s="1"/>
  <c r="F157" i="5"/>
  <c r="G157" i="5"/>
  <c r="H157" i="5" s="1"/>
  <c r="K156" i="5"/>
  <c r="J156" i="5"/>
  <c r="I156" i="5"/>
  <c r="L156" i="5" s="1"/>
  <c r="G156" i="5"/>
  <c r="H156" i="5" s="1"/>
  <c r="K155" i="5"/>
  <c r="J155" i="5"/>
  <c r="M155" i="5" s="1"/>
  <c r="F155" i="5"/>
  <c r="G155" i="5"/>
  <c r="H155" i="5"/>
  <c r="K154" i="5"/>
  <c r="J154" i="5"/>
  <c r="M154" i="5" s="1"/>
  <c r="G154" i="5"/>
  <c r="H154" i="5" s="1"/>
  <c r="F153" i="5"/>
  <c r="G153" i="5"/>
  <c r="H153" i="5"/>
  <c r="G152" i="5"/>
  <c r="H152" i="5" s="1"/>
  <c r="F151" i="5"/>
  <c r="G151" i="5"/>
  <c r="H151" i="5" s="1"/>
  <c r="G150" i="5"/>
  <c r="H150" i="5"/>
  <c r="F149" i="5"/>
  <c r="G149" i="5"/>
  <c r="H149" i="5" s="1"/>
  <c r="G148" i="5"/>
  <c r="H148" i="5" s="1"/>
  <c r="K146" i="5"/>
  <c r="J146" i="5"/>
  <c r="M146" i="5" s="1"/>
  <c r="F146" i="5"/>
  <c r="G146" i="5"/>
  <c r="H146" i="5" s="1"/>
  <c r="K145" i="5"/>
  <c r="J145" i="5"/>
  <c r="G145" i="5"/>
  <c r="H145" i="5" s="1"/>
  <c r="K144" i="5"/>
  <c r="J144" i="5"/>
  <c r="M144" i="5" s="1"/>
  <c r="F144" i="5"/>
  <c r="G144" i="5"/>
  <c r="H144" i="5"/>
  <c r="K143" i="5"/>
  <c r="J143" i="5"/>
  <c r="G143" i="5"/>
  <c r="H143" i="5" s="1"/>
  <c r="K142" i="5"/>
  <c r="J142" i="5"/>
  <c r="M142" i="5"/>
  <c r="F142" i="5"/>
  <c r="G142" i="5"/>
  <c r="H142" i="5" s="1"/>
  <c r="K141" i="5"/>
  <c r="J141" i="5"/>
  <c r="G141" i="5"/>
  <c r="H141" i="5" s="1"/>
  <c r="F140" i="5"/>
  <c r="G140" i="5"/>
  <c r="H140" i="5" s="1"/>
  <c r="G139" i="5"/>
  <c r="H139" i="5"/>
  <c r="F138" i="5"/>
  <c r="G138" i="5"/>
  <c r="H138" i="5" s="1"/>
  <c r="G137" i="5"/>
  <c r="H137" i="5" s="1"/>
  <c r="F136" i="5"/>
  <c r="G136" i="5"/>
  <c r="H136" i="5"/>
  <c r="G135" i="5"/>
  <c r="H135" i="5" s="1"/>
  <c r="K133" i="5"/>
  <c r="J133" i="5"/>
  <c r="M133" i="5"/>
  <c r="F133" i="5"/>
  <c r="G133" i="5"/>
  <c r="H133" i="5"/>
  <c r="K132" i="5"/>
  <c r="J132" i="5"/>
  <c r="M132" i="5" s="1"/>
  <c r="G132" i="5"/>
  <c r="H132" i="5" s="1"/>
  <c r="K131" i="5"/>
  <c r="J131" i="5"/>
  <c r="M131" i="5" s="1"/>
  <c r="F131" i="5"/>
  <c r="G131" i="5"/>
  <c r="H131" i="5" s="1"/>
  <c r="K130" i="5"/>
  <c r="J130" i="5"/>
  <c r="I130" i="5" s="1"/>
  <c r="L130" i="5" s="1"/>
  <c r="G130" i="5"/>
  <c r="H130" i="5" s="1"/>
  <c r="K129" i="5"/>
  <c r="J129" i="5"/>
  <c r="M129" i="5"/>
  <c r="F129" i="5"/>
  <c r="G129" i="5"/>
  <c r="H129" i="5" s="1"/>
  <c r="K128" i="5"/>
  <c r="J128" i="5"/>
  <c r="I128" i="5" s="1"/>
  <c r="L128" i="5" s="1"/>
  <c r="G128" i="5"/>
  <c r="H128" i="5" s="1"/>
  <c r="F127" i="5"/>
  <c r="G127" i="5"/>
  <c r="H127" i="5"/>
  <c r="G126" i="5"/>
  <c r="H126" i="5" s="1"/>
  <c r="F125" i="5"/>
  <c r="G125" i="5"/>
  <c r="H125" i="5" s="1"/>
  <c r="G124" i="5"/>
  <c r="H124" i="5" s="1"/>
  <c r="F123" i="5"/>
  <c r="G123" i="5"/>
  <c r="H123" i="5" s="1"/>
  <c r="G122" i="5"/>
  <c r="H122" i="5"/>
  <c r="K120" i="5"/>
  <c r="J120" i="5"/>
  <c r="M120" i="5" s="1"/>
  <c r="F120" i="5"/>
  <c r="G120" i="5"/>
  <c r="H120" i="5" s="1"/>
  <c r="K119" i="5"/>
  <c r="J119" i="5"/>
  <c r="M119" i="5" s="1"/>
  <c r="G119" i="5"/>
  <c r="H119" i="5"/>
  <c r="K118" i="5"/>
  <c r="J118" i="5"/>
  <c r="M118" i="5" s="1"/>
  <c r="F118" i="5"/>
  <c r="G118" i="5"/>
  <c r="H118" i="5" s="1"/>
  <c r="K117" i="5"/>
  <c r="J117" i="5"/>
  <c r="I117" i="5"/>
  <c r="L117" i="5" s="1"/>
  <c r="G117" i="5"/>
  <c r="H117" i="5"/>
  <c r="K116" i="5"/>
  <c r="J116" i="5"/>
  <c r="M116" i="5" s="1"/>
  <c r="F116" i="5"/>
  <c r="G116" i="5"/>
  <c r="H116" i="5" s="1"/>
  <c r="K115" i="5"/>
  <c r="J115" i="5"/>
  <c r="M115" i="5"/>
  <c r="G115" i="5"/>
  <c r="H115" i="5" s="1"/>
  <c r="F114" i="5"/>
  <c r="G114" i="5"/>
  <c r="H114" i="5"/>
  <c r="G113" i="5"/>
  <c r="H113" i="5" s="1"/>
  <c r="F112" i="5"/>
  <c r="G112" i="5"/>
  <c r="H112" i="5" s="1"/>
  <c r="G111" i="5"/>
  <c r="H111" i="5"/>
  <c r="F110" i="5"/>
  <c r="G110" i="5"/>
  <c r="H110" i="5"/>
  <c r="G109" i="5"/>
  <c r="H109" i="5" s="1"/>
  <c r="K107" i="5"/>
  <c r="J107" i="5"/>
  <c r="M107" i="5"/>
  <c r="F107" i="5"/>
  <c r="G107" i="5"/>
  <c r="H107" i="5"/>
  <c r="K106" i="5"/>
  <c r="J106" i="5"/>
  <c r="M106" i="5" s="1"/>
  <c r="G106" i="5"/>
  <c r="H106" i="5"/>
  <c r="K105" i="5"/>
  <c r="J105" i="5"/>
  <c r="M105" i="5" s="1"/>
  <c r="F105" i="5"/>
  <c r="G105" i="5"/>
  <c r="H105" i="5" s="1"/>
  <c r="K104" i="5"/>
  <c r="J104" i="5"/>
  <c r="I104" i="5"/>
  <c r="L104" i="5" s="1"/>
  <c r="G104" i="5"/>
  <c r="H104" i="5"/>
  <c r="K103" i="5"/>
  <c r="J103" i="5"/>
  <c r="M103" i="5"/>
  <c r="F103" i="5"/>
  <c r="G103" i="5"/>
  <c r="H103" i="5" s="1"/>
  <c r="K102" i="5"/>
  <c r="J102" i="5"/>
  <c r="I102" i="5" s="1"/>
  <c r="L102" i="5" s="1"/>
  <c r="G102" i="5"/>
  <c r="H102" i="5" s="1"/>
  <c r="F101" i="5"/>
  <c r="G101" i="5"/>
  <c r="H101" i="5"/>
  <c r="G100" i="5"/>
  <c r="H100" i="5" s="1"/>
  <c r="F99" i="5"/>
  <c r="G99" i="5"/>
  <c r="H99" i="5"/>
  <c r="G98" i="5"/>
  <c r="H98" i="5" s="1"/>
  <c r="F97" i="5"/>
  <c r="G97" i="5"/>
  <c r="H97" i="5" s="1"/>
  <c r="G96" i="5"/>
  <c r="H96" i="5"/>
  <c r="K94" i="5"/>
  <c r="J94" i="5"/>
  <c r="M94" i="5" s="1"/>
  <c r="F94" i="5"/>
  <c r="G94" i="5"/>
  <c r="H94" i="5" s="1"/>
  <c r="K93" i="5"/>
  <c r="J93" i="5"/>
  <c r="M93" i="5" s="1"/>
  <c r="G93" i="5"/>
  <c r="H93" i="5"/>
  <c r="K92" i="5"/>
  <c r="J92" i="5"/>
  <c r="M92" i="5" s="1"/>
  <c r="F92" i="5"/>
  <c r="G92" i="5"/>
  <c r="H92" i="5" s="1"/>
  <c r="K91" i="5"/>
  <c r="J91" i="5"/>
  <c r="I91" i="5"/>
  <c r="L91" i="5" s="1"/>
  <c r="G91" i="5"/>
  <c r="H91" i="5"/>
  <c r="K90" i="5"/>
  <c r="J90" i="5"/>
  <c r="M90" i="5" s="1"/>
  <c r="F90" i="5"/>
  <c r="G90" i="5"/>
  <c r="H90" i="5"/>
  <c r="K89" i="5"/>
  <c r="J89" i="5"/>
  <c r="M89" i="5"/>
  <c r="G89" i="5"/>
  <c r="H89" i="5" s="1"/>
  <c r="F88" i="5"/>
  <c r="G88" i="5"/>
  <c r="H88" i="5" s="1"/>
  <c r="G87" i="5"/>
  <c r="H87" i="5"/>
  <c r="F86" i="5"/>
  <c r="G86" i="5"/>
  <c r="H86" i="5" s="1"/>
  <c r="G85" i="5"/>
  <c r="H85" i="5"/>
  <c r="F84" i="5"/>
  <c r="G84" i="5"/>
  <c r="H84" i="5"/>
  <c r="G83" i="5"/>
  <c r="H83" i="5" s="1"/>
  <c r="K81" i="5"/>
  <c r="J81" i="5"/>
  <c r="M81" i="5"/>
  <c r="F81" i="5"/>
  <c r="G81" i="5"/>
  <c r="H81" i="5"/>
  <c r="K80" i="5"/>
  <c r="J80" i="5"/>
  <c r="M80" i="5" s="1"/>
  <c r="G80" i="5"/>
  <c r="H80" i="5"/>
  <c r="K79" i="5"/>
  <c r="J79" i="5"/>
  <c r="M79" i="5" s="1"/>
  <c r="F79" i="5"/>
  <c r="G79" i="5"/>
  <c r="H79" i="5" s="1"/>
  <c r="K78" i="5"/>
  <c r="J78" i="5"/>
  <c r="M78" i="5" s="1"/>
  <c r="G78" i="5"/>
  <c r="H78" i="5"/>
  <c r="K77" i="5"/>
  <c r="J77" i="5"/>
  <c r="M77" i="5" s="1"/>
  <c r="F77" i="5"/>
  <c r="G77" i="5"/>
  <c r="H77" i="5" s="1"/>
  <c r="K76" i="5"/>
  <c r="J76" i="5"/>
  <c r="M76" i="5"/>
  <c r="G76" i="5"/>
  <c r="H76" i="5" s="1"/>
  <c r="F75" i="5"/>
  <c r="G75" i="5"/>
  <c r="H75" i="5" s="1"/>
  <c r="G74" i="5"/>
  <c r="H74" i="5"/>
  <c r="G72" i="5"/>
  <c r="G70" i="5"/>
  <c r="H70" i="5" s="1"/>
  <c r="K68" i="5"/>
  <c r="J68" i="5"/>
  <c r="M68" i="5" s="1"/>
  <c r="F68" i="5"/>
  <c r="K67" i="5"/>
  <c r="J67" i="5"/>
  <c r="M67" i="5" s="1"/>
  <c r="G67" i="5"/>
  <c r="H67" i="5"/>
  <c r="K66" i="5"/>
  <c r="J66" i="5"/>
  <c r="M66" i="5" s="1"/>
  <c r="F66" i="5"/>
  <c r="K65" i="5"/>
  <c r="J65" i="5"/>
  <c r="M65" i="5" s="1"/>
  <c r="F65" i="5"/>
  <c r="G65" i="5"/>
  <c r="H65" i="5" s="1"/>
  <c r="K64" i="5"/>
  <c r="J64" i="5"/>
  <c r="M64" i="5"/>
  <c r="F64" i="5"/>
  <c r="K63" i="5"/>
  <c r="J63" i="5"/>
  <c r="M63" i="5" s="1"/>
  <c r="F63" i="5"/>
  <c r="G63" i="5"/>
  <c r="H63" i="5"/>
  <c r="F62" i="5"/>
  <c r="F61" i="5"/>
  <c r="G61" i="5"/>
  <c r="H61" i="5"/>
  <c r="G59" i="5"/>
  <c r="F57" i="5"/>
  <c r="F58" i="5" s="1"/>
  <c r="F59" i="5" s="1"/>
  <c r="G57" i="5"/>
  <c r="H57" i="5"/>
  <c r="K55" i="5"/>
  <c r="J55" i="5"/>
  <c r="F55" i="5"/>
  <c r="K54" i="5"/>
  <c r="J54" i="5"/>
  <c r="M54" i="5"/>
  <c r="F54" i="5"/>
  <c r="G54" i="5"/>
  <c r="H54" i="5" s="1"/>
  <c r="K53" i="5"/>
  <c r="J53" i="5"/>
  <c r="M53" i="5" s="1"/>
  <c r="F53" i="5"/>
  <c r="K52" i="5"/>
  <c r="J52" i="5"/>
  <c r="M52" i="5"/>
  <c r="F52" i="5"/>
  <c r="G52" i="5"/>
  <c r="H52" i="5" s="1"/>
  <c r="K51" i="5"/>
  <c r="J51" i="5"/>
  <c r="M51" i="5" s="1"/>
  <c r="F51" i="5"/>
  <c r="K50" i="5"/>
  <c r="J50" i="5"/>
  <c r="M50" i="5" s="1"/>
  <c r="F50" i="5"/>
  <c r="G50" i="5"/>
  <c r="H50" i="5" s="1"/>
  <c r="F49" i="5"/>
  <c r="F48" i="5"/>
  <c r="G48" i="5"/>
  <c r="H48" i="5" s="1"/>
  <c r="G46" i="5"/>
  <c r="F44" i="5"/>
  <c r="F45" i="5" s="1"/>
  <c r="F46" i="5" s="1"/>
  <c r="G44" i="5"/>
  <c r="H44" i="5"/>
  <c r="K42" i="5"/>
  <c r="J42" i="5"/>
  <c r="M42" i="5" s="1"/>
  <c r="F42" i="5"/>
  <c r="K41" i="5"/>
  <c r="J41" i="5"/>
  <c r="M41" i="5"/>
  <c r="F41" i="5"/>
  <c r="G41" i="5"/>
  <c r="H41" i="5" s="1"/>
  <c r="K40" i="5"/>
  <c r="J40" i="5"/>
  <c r="M40" i="5"/>
  <c r="F40" i="5"/>
  <c r="K39" i="5"/>
  <c r="J39" i="5"/>
  <c r="M39" i="5" s="1"/>
  <c r="F39" i="5"/>
  <c r="G39" i="5"/>
  <c r="H39" i="5" s="1"/>
  <c r="K38" i="5"/>
  <c r="J38" i="5"/>
  <c r="M38" i="5" s="1"/>
  <c r="F38" i="5"/>
  <c r="K37" i="5"/>
  <c r="J37" i="5"/>
  <c r="M37" i="5"/>
  <c r="F37" i="5"/>
  <c r="G37" i="5"/>
  <c r="H37" i="5" s="1"/>
  <c r="F36" i="5"/>
  <c r="F35" i="5"/>
  <c r="G35" i="5"/>
  <c r="H35" i="5" s="1"/>
  <c r="G33" i="5"/>
  <c r="F31" i="5"/>
  <c r="F32" i="5" s="1"/>
  <c r="F33" i="5" s="1"/>
  <c r="G31" i="5"/>
  <c r="H31" i="5" s="1"/>
  <c r="K29" i="5"/>
  <c r="J29" i="5"/>
  <c r="F29" i="5"/>
  <c r="K28" i="5"/>
  <c r="J28" i="5"/>
  <c r="M28" i="5" s="1"/>
  <c r="F28" i="5"/>
  <c r="G28" i="5"/>
  <c r="H28" i="5" s="1"/>
  <c r="K27" i="5"/>
  <c r="J27" i="5"/>
  <c r="M27" i="5"/>
  <c r="F27" i="5"/>
  <c r="K26" i="5"/>
  <c r="J26" i="5"/>
  <c r="M26" i="5"/>
  <c r="F26" i="5"/>
  <c r="G26" i="5"/>
  <c r="H26" i="5"/>
  <c r="K25" i="5"/>
  <c r="J25" i="5"/>
  <c r="M25" i="5" s="1"/>
  <c r="F25" i="5"/>
  <c r="K24" i="5"/>
  <c r="J24" i="5"/>
  <c r="M24" i="5" s="1"/>
  <c r="F24" i="5"/>
  <c r="G24" i="5"/>
  <c r="H24" i="5" s="1"/>
  <c r="F23" i="5"/>
  <c r="F22" i="5"/>
  <c r="G22" i="5"/>
  <c r="H22" i="5" s="1"/>
  <c r="G18" i="5"/>
  <c r="H18" i="5" s="1"/>
  <c r="D13" i="5"/>
  <c r="D12" i="5"/>
  <c r="D11" i="5"/>
  <c r="D10" i="5"/>
  <c r="D9" i="5"/>
  <c r="D8" i="5"/>
  <c r="K1318" i="4"/>
  <c r="J1318" i="4"/>
  <c r="I1318" i="4"/>
  <c r="L1318" i="4" s="1"/>
  <c r="E1318" i="4"/>
  <c r="G1318" i="4"/>
  <c r="H1318" i="4"/>
  <c r="F1318" i="4"/>
  <c r="K1317" i="4"/>
  <c r="J1317" i="4"/>
  <c r="M1317" i="4" s="1"/>
  <c r="E1317" i="4"/>
  <c r="K1316" i="4"/>
  <c r="J1316" i="4"/>
  <c r="M1316" i="4"/>
  <c r="E1316" i="4"/>
  <c r="K1315" i="4"/>
  <c r="J1315" i="4"/>
  <c r="M1315" i="4" s="1"/>
  <c r="E1315" i="4"/>
  <c r="F1315" i="4" s="1"/>
  <c r="K1314" i="4"/>
  <c r="J1314" i="4"/>
  <c r="E1314" i="4"/>
  <c r="F1314" i="4" s="1"/>
  <c r="K1313" i="4"/>
  <c r="J1313" i="4"/>
  <c r="M1313" i="4"/>
  <c r="E1313" i="4"/>
  <c r="G1313" i="4" s="1"/>
  <c r="H1313" i="4" s="1"/>
  <c r="E1312" i="4"/>
  <c r="E1311" i="4"/>
  <c r="G1311" i="4" s="1"/>
  <c r="H1311" i="4" s="1"/>
  <c r="E1310" i="4"/>
  <c r="E1309" i="4"/>
  <c r="F1309" i="4" s="1"/>
  <c r="G1309" i="4"/>
  <c r="H1309" i="4"/>
  <c r="E1308" i="4"/>
  <c r="G1308" i="4" s="1"/>
  <c r="H1308" i="4" s="1"/>
  <c r="E1307" i="4"/>
  <c r="F1307" i="4" s="1"/>
  <c r="J1305" i="4"/>
  <c r="I1305" i="4" s="1"/>
  <c r="L1305" i="4" s="1"/>
  <c r="M1305" i="4"/>
  <c r="K1305" i="4"/>
  <c r="E1305" i="4"/>
  <c r="K1304" i="4"/>
  <c r="J1304" i="4"/>
  <c r="M1304" i="4"/>
  <c r="E1304" i="4"/>
  <c r="G1304" i="4" s="1"/>
  <c r="H1304" i="4" s="1"/>
  <c r="K1303" i="4"/>
  <c r="J1303" i="4"/>
  <c r="E1303" i="4"/>
  <c r="G1303" i="4" s="1"/>
  <c r="H1303" i="4" s="1"/>
  <c r="F1303" i="4"/>
  <c r="K1302" i="4"/>
  <c r="J1302" i="4"/>
  <c r="M1302" i="4"/>
  <c r="E1302" i="4"/>
  <c r="K1301" i="4"/>
  <c r="J1301" i="4"/>
  <c r="M1301" i="4" s="1"/>
  <c r="E1301" i="4"/>
  <c r="F1301" i="4" s="1"/>
  <c r="K1300" i="4"/>
  <c r="J1300" i="4"/>
  <c r="M1300" i="4" s="1"/>
  <c r="E1300" i="4"/>
  <c r="F1300" i="4" s="1"/>
  <c r="E1299" i="4"/>
  <c r="F1299" i="4"/>
  <c r="G1299" i="4"/>
  <c r="H1299" i="4" s="1"/>
  <c r="E1298" i="4"/>
  <c r="F1298" i="4" s="1"/>
  <c r="G1298" i="4"/>
  <c r="H1298" i="4" s="1"/>
  <c r="E1297" i="4"/>
  <c r="E1296" i="4"/>
  <c r="E1295" i="4"/>
  <c r="G1295" i="4" s="1"/>
  <c r="H1295" i="4" s="1"/>
  <c r="F1295" i="4"/>
  <c r="E1294" i="4"/>
  <c r="K1292" i="4"/>
  <c r="J1292" i="4"/>
  <c r="I1292" i="4" s="1"/>
  <c r="L1292" i="4" s="1"/>
  <c r="E1292" i="4"/>
  <c r="K1291" i="4"/>
  <c r="J1291" i="4"/>
  <c r="M1291" i="4" s="1"/>
  <c r="E1291" i="4"/>
  <c r="G1291" i="4" s="1"/>
  <c r="H1291" i="4" s="1"/>
  <c r="K1290" i="4"/>
  <c r="J1290" i="4"/>
  <c r="I1290" i="4" s="1"/>
  <c r="L1290" i="4" s="1"/>
  <c r="E1290" i="4"/>
  <c r="K1289" i="4"/>
  <c r="J1289" i="4"/>
  <c r="M1289" i="4" s="1"/>
  <c r="E1289" i="4"/>
  <c r="J1288" i="4"/>
  <c r="M1288" i="4" s="1"/>
  <c r="K1288" i="4"/>
  <c r="I1288" i="4"/>
  <c r="L1288" i="4" s="1"/>
  <c r="E1288" i="4"/>
  <c r="G1288" i="4"/>
  <c r="H1288" i="4" s="1"/>
  <c r="F1288" i="4"/>
  <c r="K1287" i="4"/>
  <c r="J1287" i="4"/>
  <c r="M1287" i="4" s="1"/>
  <c r="E1287" i="4"/>
  <c r="G1287" i="4" s="1"/>
  <c r="H1287" i="4" s="1"/>
  <c r="E1286" i="4"/>
  <c r="E1285" i="4"/>
  <c r="G1285" i="4" s="1"/>
  <c r="H1285" i="4" s="1"/>
  <c r="E1284" i="4"/>
  <c r="G1284" i="4" s="1"/>
  <c r="H1284" i="4" s="1"/>
  <c r="E1283" i="4"/>
  <c r="E1282" i="4"/>
  <c r="G1282" i="4" s="1"/>
  <c r="H1282" i="4" s="1"/>
  <c r="F1282" i="4"/>
  <c r="E1281" i="4"/>
  <c r="F1281" i="4" s="1"/>
  <c r="K1279" i="4"/>
  <c r="J1279" i="4"/>
  <c r="E1279" i="4"/>
  <c r="K1278" i="4"/>
  <c r="J1278" i="4"/>
  <c r="M1278" i="4" s="1"/>
  <c r="E1278" i="4"/>
  <c r="F1278" i="4" s="1"/>
  <c r="J1277" i="4"/>
  <c r="I1277" i="4" s="1"/>
  <c r="L1277" i="4" s="1"/>
  <c r="M1277" i="4"/>
  <c r="K1277" i="4"/>
  <c r="E1277" i="4"/>
  <c r="K1276" i="4"/>
  <c r="J1276" i="4"/>
  <c r="E1276" i="4"/>
  <c r="F1276" i="4" s="1"/>
  <c r="K1275" i="4"/>
  <c r="J1275" i="4"/>
  <c r="I1275" i="4" s="1"/>
  <c r="L1275" i="4" s="1"/>
  <c r="E1275" i="4"/>
  <c r="K1274" i="4"/>
  <c r="J1274" i="4"/>
  <c r="E1274" i="4"/>
  <c r="E1273" i="4"/>
  <c r="E1272" i="4"/>
  <c r="F1272" i="4"/>
  <c r="G1272" i="4"/>
  <c r="H1272" i="4" s="1"/>
  <c r="E1271" i="4"/>
  <c r="E1270" i="4"/>
  <c r="F1270" i="4" s="1"/>
  <c r="E1269" i="4"/>
  <c r="E1268" i="4"/>
  <c r="J1266" i="4"/>
  <c r="K1266" i="4"/>
  <c r="E1266" i="4"/>
  <c r="G1266" i="4"/>
  <c r="H1266" i="4" s="1"/>
  <c r="F1266" i="4"/>
  <c r="K1265" i="4"/>
  <c r="J1265" i="4"/>
  <c r="M1265" i="4"/>
  <c r="E1265" i="4"/>
  <c r="K1264" i="4"/>
  <c r="J1264" i="4"/>
  <c r="E1264" i="4"/>
  <c r="K1263" i="4"/>
  <c r="J1263" i="4"/>
  <c r="M1263" i="4" s="1"/>
  <c r="E1263" i="4"/>
  <c r="F1263" i="4" s="1"/>
  <c r="G1263" i="4"/>
  <c r="H1263" i="4"/>
  <c r="K1262" i="4"/>
  <c r="J1262" i="4"/>
  <c r="I1262" i="4" s="1"/>
  <c r="L1262" i="4" s="1"/>
  <c r="E1262" i="4"/>
  <c r="F1262" i="4" s="1"/>
  <c r="G1262" i="4"/>
  <c r="H1262" i="4" s="1"/>
  <c r="K1261" i="4"/>
  <c r="J1261" i="4"/>
  <c r="M1261" i="4" s="1"/>
  <c r="E1261" i="4"/>
  <c r="E1260" i="4"/>
  <c r="E1259" i="4"/>
  <c r="F1259" i="4" s="1"/>
  <c r="E1258" i="4"/>
  <c r="F1258" i="4"/>
  <c r="G1258" i="4"/>
  <c r="H1258" i="4" s="1"/>
  <c r="E1257" i="4"/>
  <c r="G1257" i="4"/>
  <c r="H1257" i="4" s="1"/>
  <c r="F1257" i="4"/>
  <c r="E1256" i="4"/>
  <c r="E1255" i="4"/>
  <c r="F1255" i="4" s="1"/>
  <c r="J1253" i="4"/>
  <c r="K1253" i="4"/>
  <c r="E1253" i="4"/>
  <c r="G1253" i="4"/>
  <c r="H1253" i="4" s="1"/>
  <c r="F1253" i="4"/>
  <c r="K1252" i="4"/>
  <c r="J1252" i="4"/>
  <c r="M1252" i="4"/>
  <c r="E1252" i="4"/>
  <c r="K1251" i="4"/>
  <c r="J1251" i="4"/>
  <c r="M1251" i="4" s="1"/>
  <c r="I1251" i="4"/>
  <c r="L1251" i="4" s="1"/>
  <c r="E1251" i="4"/>
  <c r="K1250" i="4"/>
  <c r="J1250" i="4"/>
  <c r="M1250" i="4"/>
  <c r="E1250" i="4"/>
  <c r="G1250" i="4" s="1"/>
  <c r="H1250" i="4" s="1"/>
  <c r="F1250" i="4"/>
  <c r="J1249" i="4"/>
  <c r="K1249" i="4"/>
  <c r="E1249" i="4"/>
  <c r="K1248" i="4"/>
  <c r="J1248" i="4"/>
  <c r="M1248" i="4"/>
  <c r="E1248" i="4"/>
  <c r="E1247" i="4"/>
  <c r="E1246" i="4"/>
  <c r="F1246" i="4" s="1"/>
  <c r="G1246" i="4"/>
  <c r="H1246" i="4" s="1"/>
  <c r="E1245" i="4"/>
  <c r="F1245" i="4" s="1"/>
  <c r="E1244" i="4"/>
  <c r="E1243" i="4"/>
  <c r="E1242" i="4"/>
  <c r="F1242" i="4" s="1"/>
  <c r="K1240" i="4"/>
  <c r="J1240" i="4"/>
  <c r="E1240" i="4"/>
  <c r="F1240" i="4"/>
  <c r="G1240" i="4"/>
  <c r="H1240" i="4" s="1"/>
  <c r="K1239" i="4"/>
  <c r="J1239" i="4"/>
  <c r="M1239" i="4"/>
  <c r="E1239" i="4"/>
  <c r="K1238" i="4"/>
  <c r="J1238" i="4"/>
  <c r="E1238" i="4"/>
  <c r="F1238" i="4" s="1"/>
  <c r="K1237" i="4"/>
  <c r="J1237" i="4"/>
  <c r="M1237" i="4" s="1"/>
  <c r="E1237" i="4"/>
  <c r="G1237" i="4" s="1"/>
  <c r="H1237" i="4" s="1"/>
  <c r="F1237" i="4"/>
  <c r="K1236" i="4"/>
  <c r="J1236" i="4"/>
  <c r="E1236" i="4"/>
  <c r="K1235" i="4"/>
  <c r="J1235" i="4"/>
  <c r="M1235" i="4" s="1"/>
  <c r="E1235" i="4"/>
  <c r="F1235" i="4"/>
  <c r="G1235" i="4"/>
  <c r="H1235" i="4" s="1"/>
  <c r="E1234" i="4"/>
  <c r="E1233" i="4"/>
  <c r="F1233" i="4" s="1"/>
  <c r="E1232" i="4"/>
  <c r="F1232" i="4" s="1"/>
  <c r="E1231" i="4"/>
  <c r="E1230" i="4"/>
  <c r="F1230" i="4" s="1"/>
  <c r="G1230" i="4"/>
  <c r="H1230" i="4" s="1"/>
  <c r="E1229" i="4"/>
  <c r="K1227" i="4"/>
  <c r="J1227" i="4"/>
  <c r="E1227" i="4"/>
  <c r="G1227" i="4" s="1"/>
  <c r="H1227" i="4" s="1"/>
  <c r="K1226" i="4"/>
  <c r="J1226" i="4"/>
  <c r="M1226" i="4" s="1"/>
  <c r="E1226" i="4"/>
  <c r="F1226" i="4" s="1"/>
  <c r="G1226" i="4"/>
  <c r="H1226" i="4" s="1"/>
  <c r="K1225" i="4"/>
  <c r="J1225" i="4"/>
  <c r="M1225" i="4" s="1"/>
  <c r="E1225" i="4"/>
  <c r="K1224" i="4"/>
  <c r="J1224" i="4"/>
  <c r="M1224" i="4" s="1"/>
  <c r="E1224" i="4"/>
  <c r="K1223" i="4"/>
  <c r="J1223" i="4"/>
  <c r="E1223" i="4"/>
  <c r="G1223" i="4" s="1"/>
  <c r="H1223" i="4" s="1"/>
  <c r="K1222" i="4"/>
  <c r="J1222" i="4"/>
  <c r="M1222" i="4" s="1"/>
  <c r="E1222" i="4"/>
  <c r="F1222" i="4" s="1"/>
  <c r="E1221" i="4"/>
  <c r="E1220" i="4"/>
  <c r="G1220" i="4" s="1"/>
  <c r="H1220" i="4" s="1"/>
  <c r="E1219" i="4"/>
  <c r="G1219" i="4" s="1"/>
  <c r="H1219" i="4" s="1"/>
  <c r="E1218" i="4"/>
  <c r="F1218" i="4" s="1"/>
  <c r="E1217" i="4"/>
  <c r="E1216" i="4"/>
  <c r="G1216" i="4"/>
  <c r="H1216" i="4"/>
  <c r="F1216" i="4"/>
  <c r="K1214" i="4"/>
  <c r="J1214" i="4"/>
  <c r="E1214" i="4"/>
  <c r="K1213" i="4"/>
  <c r="J1213" i="4"/>
  <c r="M1213" i="4"/>
  <c r="E1213" i="4"/>
  <c r="J1212" i="4"/>
  <c r="I1212" i="4" s="1"/>
  <c r="L1212" i="4" s="1"/>
  <c r="K1212" i="4"/>
  <c r="E1212" i="4"/>
  <c r="G1212" i="4" s="1"/>
  <c r="H1212" i="4" s="1"/>
  <c r="F1212" i="4"/>
  <c r="K1211" i="4"/>
  <c r="J1211" i="4"/>
  <c r="M1211" i="4"/>
  <c r="E1211" i="4"/>
  <c r="K1210" i="4"/>
  <c r="J1210" i="4"/>
  <c r="M1210" i="4"/>
  <c r="I1210" i="4"/>
  <c r="L1210" i="4" s="1"/>
  <c r="E1210" i="4"/>
  <c r="K1209" i="4"/>
  <c r="J1209" i="4"/>
  <c r="M1209" i="4" s="1"/>
  <c r="E1209" i="4"/>
  <c r="E1208" i="4"/>
  <c r="G1208" i="4"/>
  <c r="H1208" i="4"/>
  <c r="F1208" i="4"/>
  <c r="E1207" i="4"/>
  <c r="E1206" i="4"/>
  <c r="E1205" i="4"/>
  <c r="E1204" i="4"/>
  <c r="F1204" i="4" s="1"/>
  <c r="E1203" i="4"/>
  <c r="K1201" i="4"/>
  <c r="J1201" i="4"/>
  <c r="M1201" i="4" s="1"/>
  <c r="E1201" i="4"/>
  <c r="K1200" i="4"/>
  <c r="J1200" i="4"/>
  <c r="M1200" i="4"/>
  <c r="E1200" i="4"/>
  <c r="F1200" i="4" s="1"/>
  <c r="J1199" i="4"/>
  <c r="I1199" i="4" s="1"/>
  <c r="L1199" i="4" s="1"/>
  <c r="K1199" i="4"/>
  <c r="E1199" i="4"/>
  <c r="G1199" i="4" s="1"/>
  <c r="H1199" i="4" s="1"/>
  <c r="K1198" i="4"/>
  <c r="J1198" i="4"/>
  <c r="M1198" i="4"/>
  <c r="E1198" i="4"/>
  <c r="K1197" i="4"/>
  <c r="J1197" i="4"/>
  <c r="M1197" i="4" s="1"/>
  <c r="E1197" i="4"/>
  <c r="K1196" i="4"/>
  <c r="J1196" i="4"/>
  <c r="M1196" i="4"/>
  <c r="E1196" i="4"/>
  <c r="F1196" i="4" s="1"/>
  <c r="G1196" i="4"/>
  <c r="H1196" i="4" s="1"/>
  <c r="E1195" i="4"/>
  <c r="E1194" i="4"/>
  <c r="E1193" i="4"/>
  <c r="E1192" i="4"/>
  <c r="G1192" i="4"/>
  <c r="H1192" i="4"/>
  <c r="F1192" i="4"/>
  <c r="E1191" i="4"/>
  <c r="F1191" i="4" s="1"/>
  <c r="E1190" i="4"/>
  <c r="K1188" i="4"/>
  <c r="J1188" i="4"/>
  <c r="I1188" i="4" s="1"/>
  <c r="L1188" i="4" s="1"/>
  <c r="M1188" i="4"/>
  <c r="E1188" i="4"/>
  <c r="K1187" i="4"/>
  <c r="J1187" i="4"/>
  <c r="M1187" i="4"/>
  <c r="E1187" i="4"/>
  <c r="K1186" i="4"/>
  <c r="J1186" i="4"/>
  <c r="E1186" i="4"/>
  <c r="G1186" i="4" s="1"/>
  <c r="H1186" i="4" s="1"/>
  <c r="K1185" i="4"/>
  <c r="J1185" i="4"/>
  <c r="M1185" i="4" s="1"/>
  <c r="E1185" i="4"/>
  <c r="K1184" i="4"/>
  <c r="J1184" i="4"/>
  <c r="M1184" i="4"/>
  <c r="I1184" i="4"/>
  <c r="L1184" i="4"/>
  <c r="E1184" i="4"/>
  <c r="K1183" i="4"/>
  <c r="J1183" i="4"/>
  <c r="M1183" i="4" s="1"/>
  <c r="E1183" i="4"/>
  <c r="G1183" i="4"/>
  <c r="H1183" i="4" s="1"/>
  <c r="F1183" i="4"/>
  <c r="E1182" i="4"/>
  <c r="F1182" i="4" s="1"/>
  <c r="G1182" i="4"/>
  <c r="H1182" i="4" s="1"/>
  <c r="E1181" i="4"/>
  <c r="F1181" i="4"/>
  <c r="G1181" i="4"/>
  <c r="H1181" i="4"/>
  <c r="E1180" i="4"/>
  <c r="F1180" i="4" s="1"/>
  <c r="G1180" i="4"/>
  <c r="H1180" i="4" s="1"/>
  <c r="E1179" i="4"/>
  <c r="G1179" i="4"/>
  <c r="H1179" i="4" s="1"/>
  <c r="F1179" i="4"/>
  <c r="E1178" i="4"/>
  <c r="F1178" i="4" s="1"/>
  <c r="G1178" i="4"/>
  <c r="H1178" i="4"/>
  <c r="E1177" i="4"/>
  <c r="F1177" i="4"/>
  <c r="G1177" i="4"/>
  <c r="H1177" i="4"/>
  <c r="K1175" i="4"/>
  <c r="J1175" i="4"/>
  <c r="M1175" i="4"/>
  <c r="E1175" i="4"/>
  <c r="K1174" i="4"/>
  <c r="J1174" i="4"/>
  <c r="M1174" i="4" s="1"/>
  <c r="E1174" i="4"/>
  <c r="J1173" i="4"/>
  <c r="I1173" i="4" s="1"/>
  <c r="L1173" i="4" s="1"/>
  <c r="M1173" i="4"/>
  <c r="K1173" i="4"/>
  <c r="E1173" i="4"/>
  <c r="G1173" i="4" s="1"/>
  <c r="H1173" i="4" s="1"/>
  <c r="F1173" i="4"/>
  <c r="K1172" i="4"/>
  <c r="J1172" i="4"/>
  <c r="M1172" i="4" s="1"/>
  <c r="E1172" i="4"/>
  <c r="G1172" i="4"/>
  <c r="H1172" i="4" s="1"/>
  <c r="K1171" i="4"/>
  <c r="J1171" i="4"/>
  <c r="E1171" i="4"/>
  <c r="K1170" i="4"/>
  <c r="J1170" i="4"/>
  <c r="M1170" i="4" s="1"/>
  <c r="E1170" i="4"/>
  <c r="E1169" i="4"/>
  <c r="E1168" i="4"/>
  <c r="E1167" i="4"/>
  <c r="F1167" i="4" s="1"/>
  <c r="E1166" i="4"/>
  <c r="F1166" i="4" s="1"/>
  <c r="E1165" i="4"/>
  <c r="E1164" i="4"/>
  <c r="G1164" i="4" s="1"/>
  <c r="H1164" i="4" s="1"/>
  <c r="K1162" i="4"/>
  <c r="J1162" i="4"/>
  <c r="I1162" i="4" s="1"/>
  <c r="L1162" i="4" s="1"/>
  <c r="E1162" i="4"/>
  <c r="G1162" i="4" s="1"/>
  <c r="H1162" i="4" s="1"/>
  <c r="K1161" i="4"/>
  <c r="J1161" i="4"/>
  <c r="M1161" i="4" s="1"/>
  <c r="E1161" i="4"/>
  <c r="K1160" i="4"/>
  <c r="J1160" i="4"/>
  <c r="E1160" i="4"/>
  <c r="G1160" i="4" s="1"/>
  <c r="H1160" i="4" s="1"/>
  <c r="K1159" i="4"/>
  <c r="J1159" i="4"/>
  <c r="M1159" i="4"/>
  <c r="E1159" i="4"/>
  <c r="K1158" i="4"/>
  <c r="J1158" i="4"/>
  <c r="M1158" i="4"/>
  <c r="E1158" i="4"/>
  <c r="F1158" i="4" s="1"/>
  <c r="K1157" i="4"/>
  <c r="J1157" i="4"/>
  <c r="M1157" i="4" s="1"/>
  <c r="E1157" i="4"/>
  <c r="F1157" i="4" s="1"/>
  <c r="G1157" i="4"/>
  <c r="H1157" i="4" s="1"/>
  <c r="E1156" i="4"/>
  <c r="F1156" i="4" s="1"/>
  <c r="G1156" i="4"/>
  <c r="H1156" i="4"/>
  <c r="E1155" i="4"/>
  <c r="F1155" i="4" s="1"/>
  <c r="G1155" i="4"/>
  <c r="H1155" i="4" s="1"/>
  <c r="E1154" i="4"/>
  <c r="E1153" i="4"/>
  <c r="E1152" i="4"/>
  <c r="F1152" i="4" s="1"/>
  <c r="E1151" i="4"/>
  <c r="F1151" i="4"/>
  <c r="G1151" i="4"/>
  <c r="H1151" i="4" s="1"/>
  <c r="K1149" i="4"/>
  <c r="J1149" i="4"/>
  <c r="M1149" i="4" s="1"/>
  <c r="E1149" i="4"/>
  <c r="F1149" i="4" s="1"/>
  <c r="G1149" i="4"/>
  <c r="H1149" i="4" s="1"/>
  <c r="K1148" i="4"/>
  <c r="J1148" i="4"/>
  <c r="M1148" i="4"/>
  <c r="E1148" i="4"/>
  <c r="F1148" i="4" s="1"/>
  <c r="J1147" i="4"/>
  <c r="I1147" i="4" s="1"/>
  <c r="L1147" i="4" s="1"/>
  <c r="K1147" i="4"/>
  <c r="E1147" i="4"/>
  <c r="F1147" i="4" s="1"/>
  <c r="G1147" i="4"/>
  <c r="H1147" i="4" s="1"/>
  <c r="K1146" i="4"/>
  <c r="J1146" i="4"/>
  <c r="M1146" i="4" s="1"/>
  <c r="E1146" i="4"/>
  <c r="F1146" i="4" s="1"/>
  <c r="G1146" i="4"/>
  <c r="H1146" i="4" s="1"/>
  <c r="K1145" i="4"/>
  <c r="J1145" i="4"/>
  <c r="E1145" i="4"/>
  <c r="K1144" i="4"/>
  <c r="J1144" i="4"/>
  <c r="M1144" i="4"/>
  <c r="E1144" i="4"/>
  <c r="E1143" i="4"/>
  <c r="G1143" i="4" s="1"/>
  <c r="H1143" i="4" s="1"/>
  <c r="E1142" i="4"/>
  <c r="E1141" i="4"/>
  <c r="G1141" i="4"/>
  <c r="H1141" i="4" s="1"/>
  <c r="F1141" i="4"/>
  <c r="E1140" i="4"/>
  <c r="F1140" i="4" s="1"/>
  <c r="E1139" i="4"/>
  <c r="E1138" i="4"/>
  <c r="K1136" i="4"/>
  <c r="J1136" i="4"/>
  <c r="M1136" i="4" s="1"/>
  <c r="E1136" i="4"/>
  <c r="G1136" i="4" s="1"/>
  <c r="H1136" i="4" s="1"/>
  <c r="K1135" i="4"/>
  <c r="J1135" i="4"/>
  <c r="M1135" i="4" s="1"/>
  <c r="E1135" i="4"/>
  <c r="J1134" i="4"/>
  <c r="I1134" i="4" s="1"/>
  <c r="L1134" i="4" s="1"/>
  <c r="M1134" i="4"/>
  <c r="K1134" i="4"/>
  <c r="E1134" i="4"/>
  <c r="G1134" i="4" s="1"/>
  <c r="H1134" i="4" s="1"/>
  <c r="K1133" i="4"/>
  <c r="J1133" i="4"/>
  <c r="M1133" i="4" s="1"/>
  <c r="E1133" i="4"/>
  <c r="K1132" i="4"/>
  <c r="J1132" i="4"/>
  <c r="M1132" i="4"/>
  <c r="E1132" i="4"/>
  <c r="F1132" i="4" s="1"/>
  <c r="K1131" i="4"/>
  <c r="J1131" i="4"/>
  <c r="M1131" i="4" s="1"/>
  <c r="E1131" i="4"/>
  <c r="F1131" i="4" s="1"/>
  <c r="G1131" i="4"/>
  <c r="H1131" i="4" s="1"/>
  <c r="E1130" i="4"/>
  <c r="F1130" i="4" s="1"/>
  <c r="G1130" i="4"/>
  <c r="H1130" i="4"/>
  <c r="E1129" i="4"/>
  <c r="F1129" i="4" s="1"/>
  <c r="G1129" i="4"/>
  <c r="H1129" i="4" s="1"/>
  <c r="E1128" i="4"/>
  <c r="E1127" i="4"/>
  <c r="E1126" i="4"/>
  <c r="F1126" i="4" s="1"/>
  <c r="E1125" i="4"/>
  <c r="F1125" i="4"/>
  <c r="G1125" i="4"/>
  <c r="H1125" i="4" s="1"/>
  <c r="K1123" i="4"/>
  <c r="J1123" i="4"/>
  <c r="I1123" i="4" s="1"/>
  <c r="L1123" i="4" s="1"/>
  <c r="M1123" i="4"/>
  <c r="E1123" i="4"/>
  <c r="F1123" i="4" s="1"/>
  <c r="K1122" i="4"/>
  <c r="J1122" i="4"/>
  <c r="M1122" i="4" s="1"/>
  <c r="E1122" i="4"/>
  <c r="F1122" i="4" s="1"/>
  <c r="K1121" i="4"/>
  <c r="J1121" i="4"/>
  <c r="M1121" i="4"/>
  <c r="E1121" i="4"/>
  <c r="F1121" i="4" s="1"/>
  <c r="G1121" i="4"/>
  <c r="H1121" i="4" s="1"/>
  <c r="K1120" i="4"/>
  <c r="J1120" i="4"/>
  <c r="M1120" i="4" s="1"/>
  <c r="E1120" i="4"/>
  <c r="K1119" i="4"/>
  <c r="J1119" i="4"/>
  <c r="E1119" i="4"/>
  <c r="K1118" i="4"/>
  <c r="J1118" i="4"/>
  <c r="M1118" i="4" s="1"/>
  <c r="E1118" i="4"/>
  <c r="E1117" i="4"/>
  <c r="G1117" i="4" s="1"/>
  <c r="H1117" i="4" s="1"/>
  <c r="E1116" i="4"/>
  <c r="E1115" i="4"/>
  <c r="G1115" i="4"/>
  <c r="H1115" i="4" s="1"/>
  <c r="F1115" i="4"/>
  <c r="E1114" i="4"/>
  <c r="F1114" i="4" s="1"/>
  <c r="E1113" i="4"/>
  <c r="E1112" i="4"/>
  <c r="G1112" i="4" s="1"/>
  <c r="H1112" i="4"/>
  <c r="F1112" i="4"/>
  <c r="K1110" i="4"/>
  <c r="J1110" i="4"/>
  <c r="E1110" i="4"/>
  <c r="F1110" i="4" s="1"/>
  <c r="K1109" i="4"/>
  <c r="J1109" i="4"/>
  <c r="M1109" i="4"/>
  <c r="E1109" i="4"/>
  <c r="F1109" i="4" s="1"/>
  <c r="G1109" i="4"/>
  <c r="H1109" i="4" s="1"/>
  <c r="J1108" i="4"/>
  <c r="M1108" i="4" s="1"/>
  <c r="K1108" i="4"/>
  <c r="I1108" i="4"/>
  <c r="L1108" i="4" s="1"/>
  <c r="E1108" i="4"/>
  <c r="K1107" i="4"/>
  <c r="J1107" i="4"/>
  <c r="M1107" i="4" s="1"/>
  <c r="E1107" i="4"/>
  <c r="G1107" i="4"/>
  <c r="H1107" i="4" s="1"/>
  <c r="F1107" i="4"/>
  <c r="K1106" i="4"/>
  <c r="J1106" i="4"/>
  <c r="E1106" i="4"/>
  <c r="K1105" i="4"/>
  <c r="J1105" i="4"/>
  <c r="M1105" i="4" s="1"/>
  <c r="E1105" i="4"/>
  <c r="F1105" i="4" s="1"/>
  <c r="E1104" i="4"/>
  <c r="E1099" i="4"/>
  <c r="G1099" i="4" s="1"/>
  <c r="H1099" i="4" s="1"/>
  <c r="E1100" i="4"/>
  <c r="F1100" i="4" s="1"/>
  <c r="E1101" i="4"/>
  <c r="G1101" i="4" s="1"/>
  <c r="F1101" i="4"/>
  <c r="E1102" i="4"/>
  <c r="E1103" i="4"/>
  <c r="G1103" i="4" s="1"/>
  <c r="F1103" i="4"/>
  <c r="H1103" i="4"/>
  <c r="H1101" i="4"/>
  <c r="G1100" i="4"/>
  <c r="H1100" i="4" s="1"/>
  <c r="K1097" i="4"/>
  <c r="J1097" i="4"/>
  <c r="E1097" i="4"/>
  <c r="F1097" i="4" s="1"/>
  <c r="G1097" i="4"/>
  <c r="H1097" i="4"/>
  <c r="K1096" i="4"/>
  <c r="J1096" i="4"/>
  <c r="M1096" i="4"/>
  <c r="E1096" i="4"/>
  <c r="F1096" i="4" s="1"/>
  <c r="J1095" i="4"/>
  <c r="M1095" i="4" s="1"/>
  <c r="K1095" i="4"/>
  <c r="I1095" i="4"/>
  <c r="L1095" i="4" s="1"/>
  <c r="E1095" i="4"/>
  <c r="K1094" i="4"/>
  <c r="J1094" i="4"/>
  <c r="M1094" i="4" s="1"/>
  <c r="E1094" i="4"/>
  <c r="G1094" i="4"/>
  <c r="H1094" i="4" s="1"/>
  <c r="F1094" i="4"/>
  <c r="K1093" i="4"/>
  <c r="J1093" i="4"/>
  <c r="E1093" i="4"/>
  <c r="K1092" i="4"/>
  <c r="J1092" i="4"/>
  <c r="M1092" i="4" s="1"/>
  <c r="E1092" i="4"/>
  <c r="F1092" i="4" s="1"/>
  <c r="G1092" i="4"/>
  <c r="H1092" i="4" s="1"/>
  <c r="E1091" i="4"/>
  <c r="E1086" i="4"/>
  <c r="G1086" i="4" s="1"/>
  <c r="H1086" i="4" s="1"/>
  <c r="E1087" i="4"/>
  <c r="F1087" i="4" s="1"/>
  <c r="E1088" i="4"/>
  <c r="G1088" i="4" s="1"/>
  <c r="E1089" i="4"/>
  <c r="E1090" i="4"/>
  <c r="G1090" i="4" s="1"/>
  <c r="H1090" i="4" s="1"/>
  <c r="H1088" i="4"/>
  <c r="G1087" i="4"/>
  <c r="H1087" i="4" s="1"/>
  <c r="K1084" i="4"/>
  <c r="J1084" i="4"/>
  <c r="E1084" i="4"/>
  <c r="G1084" i="4"/>
  <c r="H1084" i="4" s="1"/>
  <c r="F1084" i="4"/>
  <c r="K1083" i="4"/>
  <c r="J1083" i="4"/>
  <c r="M1083" i="4" s="1"/>
  <c r="E1083" i="4"/>
  <c r="K1082" i="4"/>
  <c r="J1082" i="4"/>
  <c r="I1082" i="4" s="1"/>
  <c r="L1082" i="4" s="1"/>
  <c r="E1082" i="4"/>
  <c r="K1081" i="4"/>
  <c r="J1081" i="4"/>
  <c r="M1081" i="4" s="1"/>
  <c r="E1081" i="4"/>
  <c r="G1081" i="4"/>
  <c r="H1081" i="4" s="1"/>
  <c r="F1081" i="4"/>
  <c r="K1080" i="4"/>
  <c r="J1080" i="4"/>
  <c r="E1080" i="4"/>
  <c r="G1080" i="4" s="1"/>
  <c r="H1080" i="4" s="1"/>
  <c r="K1079" i="4"/>
  <c r="J1079" i="4"/>
  <c r="M1079" i="4" s="1"/>
  <c r="E1079" i="4"/>
  <c r="G1079" i="4" s="1"/>
  <c r="H1079" i="4" s="1"/>
  <c r="F1079" i="4"/>
  <c r="E1078" i="4"/>
  <c r="E1073" i="4"/>
  <c r="E1074" i="4"/>
  <c r="E1075" i="4"/>
  <c r="F1075" i="4" s="1"/>
  <c r="E1076" i="4"/>
  <c r="E1077" i="4"/>
  <c r="F1077" i="4" s="1"/>
  <c r="G1077" i="4"/>
  <c r="H1077" i="4" s="1"/>
  <c r="G1075" i="4"/>
  <c r="H1075" i="4" s="1"/>
  <c r="K1071" i="4"/>
  <c r="J1071" i="4"/>
  <c r="E1071" i="4"/>
  <c r="K1070" i="4"/>
  <c r="J1070" i="4"/>
  <c r="M1070" i="4" s="1"/>
  <c r="E1070" i="4"/>
  <c r="G1070" i="4"/>
  <c r="H1070" i="4" s="1"/>
  <c r="K1069" i="4"/>
  <c r="J1069" i="4"/>
  <c r="I1069" i="4" s="1"/>
  <c r="L1069" i="4" s="1"/>
  <c r="E1069" i="4"/>
  <c r="G1069" i="4" s="1"/>
  <c r="H1069" i="4" s="1"/>
  <c r="K1068" i="4"/>
  <c r="J1068" i="4"/>
  <c r="M1068" i="4" s="1"/>
  <c r="E1068" i="4"/>
  <c r="G1068" i="4" s="1"/>
  <c r="H1068" i="4"/>
  <c r="F1068" i="4"/>
  <c r="K1067" i="4"/>
  <c r="J1067" i="4"/>
  <c r="E1067" i="4"/>
  <c r="K1066" i="4"/>
  <c r="J1066" i="4"/>
  <c r="M1066" i="4"/>
  <c r="E1066" i="4"/>
  <c r="G1066" i="4"/>
  <c r="H1066" i="4"/>
  <c r="E1065" i="4"/>
  <c r="G1065" i="4" s="1"/>
  <c r="H1065" i="4" s="1"/>
  <c r="E1064" i="4"/>
  <c r="G1064" i="4" s="1"/>
  <c r="H1064" i="4" s="1"/>
  <c r="E1063" i="4"/>
  <c r="G1063" i="4"/>
  <c r="H1063" i="4" s="1"/>
  <c r="F1063" i="4"/>
  <c r="E1062" i="4"/>
  <c r="G1062" i="4" s="1"/>
  <c r="H1062" i="4" s="1"/>
  <c r="E1061" i="4"/>
  <c r="E1060" i="4"/>
  <c r="F1060" i="4" s="1"/>
  <c r="K1058" i="4"/>
  <c r="J1058" i="4"/>
  <c r="E1058" i="4"/>
  <c r="G1058" i="4"/>
  <c r="H1058" i="4" s="1"/>
  <c r="F1058" i="4"/>
  <c r="K1057" i="4"/>
  <c r="J1057" i="4"/>
  <c r="M1057" i="4" s="1"/>
  <c r="E1057" i="4"/>
  <c r="J1056" i="4"/>
  <c r="M1056" i="4"/>
  <c r="K1056" i="4"/>
  <c r="I1056" i="4"/>
  <c r="L1056" i="4" s="1"/>
  <c r="E1056" i="4"/>
  <c r="K1055" i="4"/>
  <c r="J1055" i="4"/>
  <c r="M1055" i="4" s="1"/>
  <c r="E1055" i="4"/>
  <c r="F1055" i="4" s="1"/>
  <c r="G1055" i="4"/>
  <c r="H1055" i="4" s="1"/>
  <c r="K1054" i="4"/>
  <c r="J1054" i="4"/>
  <c r="E1054" i="4"/>
  <c r="K1053" i="4"/>
  <c r="J1053" i="4"/>
  <c r="M1053" i="4" s="1"/>
  <c r="E1053" i="4"/>
  <c r="G1053" i="4"/>
  <c r="H1053" i="4" s="1"/>
  <c r="F1053" i="4"/>
  <c r="E1052" i="4"/>
  <c r="E1051" i="4"/>
  <c r="E1050" i="4"/>
  <c r="G1050" i="4" s="1"/>
  <c r="H1050" i="4" s="1"/>
  <c r="F1050" i="4"/>
  <c r="E1049" i="4"/>
  <c r="E1048" i="4"/>
  <c r="G1048" i="4" s="1"/>
  <c r="H1048" i="4" s="1"/>
  <c r="E1047" i="4"/>
  <c r="J1045" i="4"/>
  <c r="M1045" i="4" s="1"/>
  <c r="K1045" i="4"/>
  <c r="I1045" i="4"/>
  <c r="L1045" i="4" s="1"/>
  <c r="E1045" i="4"/>
  <c r="G1045" i="4" s="1"/>
  <c r="H1045" i="4"/>
  <c r="F1045" i="4"/>
  <c r="K1044" i="4"/>
  <c r="J1044" i="4"/>
  <c r="M1044" i="4" s="1"/>
  <c r="E1044" i="4"/>
  <c r="K1043" i="4"/>
  <c r="J1043" i="4"/>
  <c r="M1043" i="4"/>
  <c r="E1043" i="4"/>
  <c r="G1043" i="4" s="1"/>
  <c r="H1043" i="4" s="1"/>
  <c r="K1042" i="4"/>
  <c r="J1042" i="4"/>
  <c r="M1042" i="4" s="1"/>
  <c r="E1042" i="4"/>
  <c r="G1042" i="4"/>
  <c r="H1042" i="4" s="1"/>
  <c r="F1042" i="4"/>
  <c r="K1041" i="4"/>
  <c r="J1041" i="4"/>
  <c r="E1041" i="4"/>
  <c r="G1041" i="4" s="1"/>
  <c r="H1041" i="4" s="1"/>
  <c r="K1040" i="4"/>
  <c r="J1040" i="4"/>
  <c r="M1040" i="4" s="1"/>
  <c r="E1040" i="4"/>
  <c r="E1039" i="4"/>
  <c r="G1039" i="4" s="1"/>
  <c r="H1039" i="4" s="1"/>
  <c r="E1038" i="4"/>
  <c r="G1038" i="4" s="1"/>
  <c r="H1038" i="4" s="1"/>
  <c r="F1038" i="4"/>
  <c r="E1037" i="4"/>
  <c r="F1037" i="4" s="1"/>
  <c r="E1036" i="4"/>
  <c r="E1035" i="4"/>
  <c r="F1035" i="4" s="1"/>
  <c r="G1035" i="4"/>
  <c r="H1035" i="4" s="1"/>
  <c r="E1034" i="4"/>
  <c r="F1034" i="4" s="1"/>
  <c r="G1034" i="4"/>
  <c r="H1034" i="4"/>
  <c r="K1032" i="4"/>
  <c r="J1032" i="4"/>
  <c r="I1032" i="4" s="1"/>
  <c r="L1032" i="4" s="1"/>
  <c r="E1032" i="4"/>
  <c r="F1032" i="4" s="1"/>
  <c r="K1031" i="4"/>
  <c r="J1031" i="4"/>
  <c r="M1031" i="4"/>
  <c r="E1031" i="4"/>
  <c r="G1031" i="4"/>
  <c r="H1031" i="4" s="1"/>
  <c r="J1030" i="4"/>
  <c r="K1030" i="4"/>
  <c r="E1030" i="4"/>
  <c r="G1030" i="4"/>
  <c r="H1030" i="4"/>
  <c r="F1030" i="4"/>
  <c r="K1029" i="4"/>
  <c r="J1029" i="4"/>
  <c r="M1029" i="4" s="1"/>
  <c r="E1029" i="4"/>
  <c r="K1028" i="4"/>
  <c r="J1028" i="4"/>
  <c r="I1028" i="4" s="1"/>
  <c r="L1028" i="4" s="1"/>
  <c r="E1028" i="4"/>
  <c r="K1027" i="4"/>
  <c r="J1027" i="4"/>
  <c r="M1027" i="4"/>
  <c r="E1027" i="4"/>
  <c r="E1026" i="4"/>
  <c r="G1026" i="4" s="1"/>
  <c r="H1026" i="4" s="1"/>
  <c r="F1026" i="4"/>
  <c r="E1025" i="4"/>
  <c r="E1024" i="4"/>
  <c r="E1023" i="4"/>
  <c r="G1023" i="4" s="1"/>
  <c r="H1023" i="4"/>
  <c r="E1022" i="4"/>
  <c r="E1021" i="4"/>
  <c r="F1021" i="4" s="1"/>
  <c r="K1019" i="4"/>
  <c r="J1019" i="4"/>
  <c r="I1019" i="4" s="1"/>
  <c r="L1019" i="4" s="1"/>
  <c r="E1019" i="4"/>
  <c r="G1019" i="4"/>
  <c r="H1019" i="4" s="1"/>
  <c r="F1019" i="4"/>
  <c r="K1018" i="4"/>
  <c r="J1018" i="4"/>
  <c r="M1018" i="4" s="1"/>
  <c r="E1018" i="4"/>
  <c r="K1017" i="4"/>
  <c r="J1017" i="4"/>
  <c r="I1017" i="4"/>
  <c r="L1017" i="4" s="1"/>
  <c r="E1017" i="4"/>
  <c r="K1016" i="4"/>
  <c r="J1016" i="4"/>
  <c r="M1016" i="4" s="1"/>
  <c r="E1016" i="4"/>
  <c r="G1016" i="4" s="1"/>
  <c r="H1016" i="4" s="1"/>
  <c r="K1015" i="4"/>
  <c r="J1015" i="4"/>
  <c r="I1015" i="4" s="1"/>
  <c r="L1015" i="4" s="1"/>
  <c r="E1015" i="4"/>
  <c r="K1014" i="4"/>
  <c r="J1014" i="4"/>
  <c r="M1014" i="4"/>
  <c r="E1014" i="4"/>
  <c r="G1014" i="4" s="1"/>
  <c r="H1014" i="4" s="1"/>
  <c r="E1013" i="4"/>
  <c r="F1013" i="4" s="1"/>
  <c r="E1012" i="4"/>
  <c r="G1012" i="4"/>
  <c r="H1012" i="4" s="1"/>
  <c r="F1012" i="4"/>
  <c r="E1011" i="4"/>
  <c r="G1011" i="4" s="1"/>
  <c r="H1011" i="4" s="1"/>
  <c r="E1010" i="4"/>
  <c r="E1009" i="4"/>
  <c r="E1008" i="4"/>
  <c r="K1006" i="4"/>
  <c r="J1006" i="4"/>
  <c r="E1006" i="4"/>
  <c r="F1006" i="4" s="1"/>
  <c r="K1005" i="4"/>
  <c r="J1005" i="4"/>
  <c r="M1005" i="4" s="1"/>
  <c r="E1005" i="4"/>
  <c r="G1005" i="4"/>
  <c r="H1005" i="4" s="1"/>
  <c r="F1005" i="4"/>
  <c r="K1004" i="4"/>
  <c r="J1004" i="4"/>
  <c r="E1004" i="4"/>
  <c r="K1003" i="4"/>
  <c r="J1003" i="4"/>
  <c r="M1003" i="4"/>
  <c r="E1003" i="4"/>
  <c r="F1003" i="4" s="1"/>
  <c r="G1003" i="4"/>
  <c r="H1003" i="4" s="1"/>
  <c r="K1002" i="4"/>
  <c r="J1002" i="4"/>
  <c r="I1002" i="4" s="1"/>
  <c r="L1002" i="4" s="1"/>
  <c r="E1002" i="4"/>
  <c r="F1002" i="4" s="1"/>
  <c r="G1002" i="4"/>
  <c r="H1002" i="4" s="1"/>
  <c r="K1001" i="4"/>
  <c r="J1001" i="4"/>
  <c r="M1001" i="4" s="1"/>
  <c r="E1001" i="4"/>
  <c r="E1000" i="4"/>
  <c r="E999" i="4"/>
  <c r="E998" i="4"/>
  <c r="F998" i="4" s="1"/>
  <c r="E997" i="4"/>
  <c r="G997" i="4"/>
  <c r="H997" i="4" s="1"/>
  <c r="F997" i="4"/>
  <c r="E996" i="4"/>
  <c r="G996" i="4"/>
  <c r="H996" i="4" s="1"/>
  <c r="E995" i="4"/>
  <c r="G995" i="4" s="1"/>
  <c r="H995" i="4" s="1"/>
  <c r="K993" i="4"/>
  <c r="J993" i="4"/>
  <c r="I993" i="4" s="1"/>
  <c r="L993" i="4" s="1"/>
  <c r="E993" i="4"/>
  <c r="K992" i="4"/>
  <c r="J992" i="4"/>
  <c r="M992" i="4" s="1"/>
  <c r="E992" i="4"/>
  <c r="K991" i="4"/>
  <c r="J991" i="4"/>
  <c r="M991" i="4" s="1"/>
  <c r="E991" i="4"/>
  <c r="G991" i="4" s="1"/>
  <c r="H991" i="4" s="1"/>
  <c r="K990" i="4"/>
  <c r="J990" i="4"/>
  <c r="M990" i="4" s="1"/>
  <c r="E990" i="4"/>
  <c r="K989" i="4"/>
  <c r="J989" i="4"/>
  <c r="E989" i="4"/>
  <c r="G989" i="4"/>
  <c r="H989" i="4"/>
  <c r="F989" i="4"/>
  <c r="K988" i="4"/>
  <c r="J988" i="4"/>
  <c r="M988" i="4" s="1"/>
  <c r="E988" i="4"/>
  <c r="F988" i="4" s="1"/>
  <c r="E987" i="4"/>
  <c r="F987" i="4"/>
  <c r="E986" i="4"/>
  <c r="G986" i="4" s="1"/>
  <c r="H986" i="4" s="1"/>
  <c r="F986" i="4"/>
  <c r="E985" i="4"/>
  <c r="E984" i="4"/>
  <c r="F984" i="4" s="1"/>
  <c r="E983" i="4"/>
  <c r="F983" i="4"/>
  <c r="E982" i="4"/>
  <c r="G982" i="4" s="1"/>
  <c r="H982" i="4" s="1"/>
  <c r="F982" i="4"/>
  <c r="K980" i="4"/>
  <c r="J980" i="4"/>
  <c r="E980" i="4"/>
  <c r="F980" i="4" s="1"/>
  <c r="K979" i="4"/>
  <c r="J979" i="4"/>
  <c r="M979" i="4"/>
  <c r="E979" i="4"/>
  <c r="F979" i="4"/>
  <c r="K978" i="4"/>
  <c r="J978" i="4"/>
  <c r="M978" i="4" s="1"/>
  <c r="E978" i="4"/>
  <c r="F978" i="4" s="1"/>
  <c r="K977" i="4"/>
  <c r="J977" i="4"/>
  <c r="M977" i="4" s="1"/>
  <c r="E977" i="4"/>
  <c r="F977" i="4" s="1"/>
  <c r="G977" i="4"/>
  <c r="H977" i="4" s="1"/>
  <c r="K976" i="4"/>
  <c r="J976" i="4"/>
  <c r="E976" i="4"/>
  <c r="G976" i="4"/>
  <c r="H976" i="4"/>
  <c r="F976" i="4"/>
  <c r="K975" i="4"/>
  <c r="J975" i="4"/>
  <c r="M975" i="4" s="1"/>
  <c r="E975" i="4"/>
  <c r="F975" i="4" s="1"/>
  <c r="E974" i="4"/>
  <c r="F974" i="4"/>
  <c r="E973" i="4"/>
  <c r="G973" i="4" s="1"/>
  <c r="H973" i="4" s="1"/>
  <c r="E972" i="4"/>
  <c r="G972" i="4" s="1"/>
  <c r="H972" i="4" s="1"/>
  <c r="E971" i="4"/>
  <c r="F971" i="4" s="1"/>
  <c r="E969" i="4"/>
  <c r="F969" i="4" s="1"/>
  <c r="E970" i="4"/>
  <c r="F970" i="4" s="1"/>
  <c r="K967" i="4"/>
  <c r="J967" i="4"/>
  <c r="E967" i="4"/>
  <c r="G967" i="4" s="1"/>
  <c r="H967" i="4" s="1"/>
  <c r="K966" i="4"/>
  <c r="J966" i="4"/>
  <c r="M966" i="4" s="1"/>
  <c r="E966" i="4"/>
  <c r="F966" i="4" s="1"/>
  <c r="J965" i="4"/>
  <c r="M965" i="4"/>
  <c r="K965" i="4"/>
  <c r="I965" i="4"/>
  <c r="L965" i="4" s="1"/>
  <c r="E965" i="4"/>
  <c r="F965" i="4" s="1"/>
  <c r="K964" i="4"/>
  <c r="J964" i="4"/>
  <c r="M964" i="4"/>
  <c r="E964" i="4"/>
  <c r="F964" i="4" s="1"/>
  <c r="K963" i="4"/>
  <c r="J963" i="4"/>
  <c r="E963" i="4"/>
  <c r="K962" i="4"/>
  <c r="J962" i="4"/>
  <c r="M962" i="4" s="1"/>
  <c r="E962" i="4"/>
  <c r="F962" i="4" s="1"/>
  <c r="E961" i="4"/>
  <c r="F961" i="4" s="1"/>
  <c r="E956" i="4"/>
  <c r="F956" i="4" s="1"/>
  <c r="E957" i="4"/>
  <c r="F957" i="4"/>
  <c r="E958" i="4"/>
  <c r="F958" i="4" s="1"/>
  <c r="E959" i="4"/>
  <c r="G959" i="4" s="1"/>
  <c r="H959" i="4" s="1"/>
  <c r="E960" i="4"/>
  <c r="F960" i="4" s="1"/>
  <c r="G956" i="4"/>
  <c r="H956" i="4" s="1"/>
  <c r="K954" i="4"/>
  <c r="J954" i="4"/>
  <c r="E954" i="4"/>
  <c r="G954" i="4" s="1"/>
  <c r="H954" i="4" s="1"/>
  <c r="K953" i="4"/>
  <c r="J953" i="4"/>
  <c r="M953" i="4" s="1"/>
  <c r="E953" i="4"/>
  <c r="F953" i="4" s="1"/>
  <c r="J952" i="4"/>
  <c r="M952" i="4"/>
  <c r="K952" i="4"/>
  <c r="I952" i="4"/>
  <c r="L952" i="4" s="1"/>
  <c r="E952" i="4"/>
  <c r="F952" i="4" s="1"/>
  <c r="K951" i="4"/>
  <c r="J951" i="4"/>
  <c r="M951" i="4"/>
  <c r="E951" i="4"/>
  <c r="F951" i="4" s="1"/>
  <c r="K950" i="4"/>
  <c r="J950" i="4"/>
  <c r="E950" i="4"/>
  <c r="G950" i="4" s="1"/>
  <c r="H950" i="4" s="1"/>
  <c r="K949" i="4"/>
  <c r="J949" i="4"/>
  <c r="M949" i="4" s="1"/>
  <c r="E949" i="4"/>
  <c r="F949" i="4" s="1"/>
  <c r="E948" i="4"/>
  <c r="F948" i="4" s="1"/>
  <c r="E947" i="4"/>
  <c r="E946" i="4"/>
  <c r="G946" i="4" s="1"/>
  <c r="H946" i="4" s="1"/>
  <c r="F946" i="4"/>
  <c r="E945" i="4"/>
  <c r="F945" i="4" s="1"/>
  <c r="E944" i="4"/>
  <c r="F944" i="4" s="1"/>
  <c r="E943" i="4"/>
  <c r="G943" i="4" s="1"/>
  <c r="H943" i="4" s="1"/>
  <c r="K941" i="4"/>
  <c r="J941" i="4"/>
  <c r="E941" i="4"/>
  <c r="F941" i="4" s="1"/>
  <c r="K940" i="4"/>
  <c r="J940" i="4"/>
  <c r="M940" i="4" s="1"/>
  <c r="E940" i="4"/>
  <c r="K939" i="4"/>
  <c r="J939" i="4"/>
  <c r="I939" i="4" s="1"/>
  <c r="L939" i="4" s="1"/>
  <c r="E939" i="4"/>
  <c r="K938" i="4"/>
  <c r="J938" i="4"/>
  <c r="M938" i="4" s="1"/>
  <c r="E938" i="4"/>
  <c r="K937" i="4"/>
  <c r="J937" i="4"/>
  <c r="E937" i="4"/>
  <c r="G937" i="4"/>
  <c r="H937" i="4"/>
  <c r="F937" i="4"/>
  <c r="K936" i="4"/>
  <c r="J936" i="4"/>
  <c r="M936" i="4" s="1"/>
  <c r="E936" i="4"/>
  <c r="E935" i="4"/>
  <c r="E934" i="4"/>
  <c r="F934" i="4" s="1"/>
  <c r="G934" i="4"/>
  <c r="H934" i="4" s="1"/>
  <c r="E933" i="4"/>
  <c r="F933" i="4" s="1"/>
  <c r="E932" i="4"/>
  <c r="E931" i="4"/>
  <c r="E930" i="4"/>
  <c r="G930" i="4" s="1"/>
  <c r="H930" i="4" s="1"/>
  <c r="F930" i="4"/>
  <c r="K928" i="4"/>
  <c r="J928" i="4"/>
  <c r="E928" i="4"/>
  <c r="K927" i="4"/>
  <c r="J927" i="4"/>
  <c r="M927" i="4"/>
  <c r="E927" i="4"/>
  <c r="J926" i="4"/>
  <c r="I926" i="4" s="1"/>
  <c r="L926" i="4" s="1"/>
  <c r="M926" i="4"/>
  <c r="K926" i="4"/>
  <c r="E926" i="4"/>
  <c r="K925" i="4"/>
  <c r="J925" i="4"/>
  <c r="M925" i="4"/>
  <c r="E925" i="4"/>
  <c r="K924" i="4"/>
  <c r="J924" i="4"/>
  <c r="E924" i="4"/>
  <c r="K923" i="4"/>
  <c r="J923" i="4"/>
  <c r="M923" i="4" s="1"/>
  <c r="E923" i="4"/>
  <c r="E922" i="4"/>
  <c r="E921" i="4"/>
  <c r="F921" i="4" s="1"/>
  <c r="E920" i="4"/>
  <c r="F920" i="4" s="1"/>
  <c r="G920" i="4"/>
  <c r="H920" i="4"/>
  <c r="E919" i="4"/>
  <c r="E918" i="4"/>
  <c r="E917" i="4"/>
  <c r="G917" i="4" s="1"/>
  <c r="H917" i="4" s="1"/>
  <c r="K915" i="4"/>
  <c r="J915" i="4"/>
  <c r="E915" i="4"/>
  <c r="F915" i="4" s="1"/>
  <c r="G915" i="4"/>
  <c r="H915" i="4"/>
  <c r="K914" i="4"/>
  <c r="J914" i="4"/>
  <c r="M914" i="4" s="1"/>
  <c r="E914" i="4"/>
  <c r="K913" i="4"/>
  <c r="J913" i="4"/>
  <c r="I913" i="4" s="1"/>
  <c r="L913" i="4" s="1"/>
  <c r="E913" i="4"/>
  <c r="K912" i="4"/>
  <c r="J912" i="4"/>
  <c r="M912" i="4" s="1"/>
  <c r="E912" i="4"/>
  <c r="F912" i="4" s="1"/>
  <c r="K911" i="4"/>
  <c r="J911" i="4"/>
  <c r="E911" i="4"/>
  <c r="F911" i="4" s="1"/>
  <c r="K910" i="4"/>
  <c r="J910" i="4"/>
  <c r="M910" i="4"/>
  <c r="E910" i="4"/>
  <c r="E909" i="4"/>
  <c r="E908" i="4"/>
  <c r="F908" i="4" s="1"/>
  <c r="E907" i="4"/>
  <c r="F907" i="4" s="1"/>
  <c r="E906" i="4"/>
  <c r="E905" i="4"/>
  <c r="E904" i="4"/>
  <c r="K902" i="4"/>
  <c r="J902" i="4"/>
  <c r="E902" i="4"/>
  <c r="F902" i="4" s="1"/>
  <c r="K901" i="4"/>
  <c r="J901" i="4"/>
  <c r="M901" i="4" s="1"/>
  <c r="E901" i="4"/>
  <c r="J900" i="4"/>
  <c r="I900" i="4" s="1"/>
  <c r="L900" i="4" s="1"/>
  <c r="K900" i="4"/>
  <c r="E900" i="4"/>
  <c r="K899" i="4"/>
  <c r="J899" i="4"/>
  <c r="M899" i="4"/>
  <c r="E899" i="4"/>
  <c r="F899" i="4" s="1"/>
  <c r="K898" i="4"/>
  <c r="J898" i="4"/>
  <c r="E898" i="4"/>
  <c r="G898" i="4" s="1"/>
  <c r="H898" i="4" s="1"/>
  <c r="F898" i="4"/>
  <c r="K897" i="4"/>
  <c r="J897" i="4"/>
  <c r="M897" i="4"/>
  <c r="E897" i="4"/>
  <c r="E896" i="4"/>
  <c r="E895" i="4"/>
  <c r="F895" i="4" s="1"/>
  <c r="G895" i="4"/>
  <c r="H895" i="4" s="1"/>
  <c r="E894" i="4"/>
  <c r="F894" i="4" s="1"/>
  <c r="E893" i="4"/>
  <c r="E892" i="4"/>
  <c r="E891" i="4"/>
  <c r="G891" i="4" s="1"/>
  <c r="H891" i="4" s="1"/>
  <c r="K889" i="4"/>
  <c r="J889" i="4"/>
  <c r="E889" i="4"/>
  <c r="F889" i="4" s="1"/>
  <c r="G889" i="4"/>
  <c r="H889" i="4" s="1"/>
  <c r="K888" i="4"/>
  <c r="J888" i="4"/>
  <c r="M888" i="4"/>
  <c r="E888" i="4"/>
  <c r="K887" i="4"/>
  <c r="J887" i="4"/>
  <c r="I887" i="4" s="1"/>
  <c r="L887" i="4" s="1"/>
  <c r="M887" i="4"/>
  <c r="E887" i="4"/>
  <c r="K886" i="4"/>
  <c r="J886" i="4"/>
  <c r="M886" i="4"/>
  <c r="E886" i="4"/>
  <c r="F886" i="4" s="1"/>
  <c r="K885" i="4"/>
  <c r="J885" i="4"/>
  <c r="E885" i="4"/>
  <c r="G885" i="4"/>
  <c r="H885" i="4" s="1"/>
  <c r="F885" i="4"/>
  <c r="K884" i="4"/>
  <c r="J884" i="4"/>
  <c r="M884" i="4" s="1"/>
  <c r="E884" i="4"/>
  <c r="E883" i="4"/>
  <c r="E882" i="4"/>
  <c r="F882" i="4" s="1"/>
  <c r="G882" i="4"/>
  <c r="H882" i="4" s="1"/>
  <c r="E881" i="4"/>
  <c r="F881" i="4" s="1"/>
  <c r="E880" i="4"/>
  <c r="E879" i="4"/>
  <c r="E878" i="4"/>
  <c r="G878" i="4" s="1"/>
  <c r="H878" i="4" s="1"/>
  <c r="K876" i="4"/>
  <c r="J876" i="4"/>
  <c r="E876" i="4"/>
  <c r="F876" i="4" s="1"/>
  <c r="K875" i="4"/>
  <c r="J875" i="4"/>
  <c r="M875" i="4" s="1"/>
  <c r="E875" i="4"/>
  <c r="J874" i="4"/>
  <c r="I874" i="4" s="1"/>
  <c r="L874" i="4" s="1"/>
  <c r="K874" i="4"/>
  <c r="E874" i="4"/>
  <c r="K873" i="4"/>
  <c r="J873" i="4"/>
  <c r="M873" i="4"/>
  <c r="E873" i="4"/>
  <c r="K872" i="4"/>
  <c r="J872" i="4"/>
  <c r="E872" i="4"/>
  <c r="G872" i="4"/>
  <c r="H872" i="4"/>
  <c r="F872" i="4"/>
  <c r="K871" i="4"/>
  <c r="J871" i="4"/>
  <c r="M871" i="4" s="1"/>
  <c r="E871" i="4"/>
  <c r="E870" i="4"/>
  <c r="E869" i="4"/>
  <c r="F869" i="4" s="1"/>
  <c r="G869" i="4"/>
  <c r="H869" i="4" s="1"/>
  <c r="E868" i="4"/>
  <c r="E867" i="4"/>
  <c r="E866" i="4"/>
  <c r="F866" i="4" s="1"/>
  <c r="E865" i="4"/>
  <c r="F865" i="4" s="1"/>
  <c r="G865" i="4"/>
  <c r="H865" i="4" s="1"/>
  <c r="K863" i="4"/>
  <c r="J863" i="4"/>
  <c r="I863" i="4" s="1"/>
  <c r="L863" i="4" s="1"/>
  <c r="E863" i="4"/>
  <c r="K862" i="4"/>
  <c r="J862" i="4"/>
  <c r="M862" i="4" s="1"/>
  <c r="E862" i="4"/>
  <c r="F862" i="4"/>
  <c r="G862" i="4"/>
  <c r="H862" i="4" s="1"/>
  <c r="J861" i="4"/>
  <c r="I861" i="4" s="1"/>
  <c r="L861" i="4" s="1"/>
  <c r="K861" i="4"/>
  <c r="E861" i="4"/>
  <c r="F861" i="4" s="1"/>
  <c r="K860" i="4"/>
  <c r="J860" i="4"/>
  <c r="M860" i="4" s="1"/>
  <c r="E860" i="4"/>
  <c r="F860" i="4" s="1"/>
  <c r="K859" i="4"/>
  <c r="J859" i="4"/>
  <c r="E859" i="4"/>
  <c r="K858" i="4"/>
  <c r="J858" i="4"/>
  <c r="M858" i="4"/>
  <c r="E858" i="4"/>
  <c r="F858" i="4" s="1"/>
  <c r="E857" i="4"/>
  <c r="F857" i="4" s="1"/>
  <c r="E856" i="4"/>
  <c r="F856" i="4" s="1"/>
  <c r="E852" i="4"/>
  <c r="G852" i="4" s="1"/>
  <c r="H852" i="4" s="1"/>
  <c r="E853" i="4"/>
  <c r="F853" i="4" s="1"/>
  <c r="G853" i="4"/>
  <c r="H853" i="4"/>
  <c r="E854" i="4"/>
  <c r="F854" i="4" s="1"/>
  <c r="E855" i="4"/>
  <c r="K850" i="4"/>
  <c r="J850" i="4"/>
  <c r="E850" i="4"/>
  <c r="F850" i="4" s="1"/>
  <c r="K849" i="4"/>
  <c r="J849" i="4"/>
  <c r="M849" i="4" s="1"/>
  <c r="E849" i="4"/>
  <c r="F849" i="4" s="1"/>
  <c r="K848" i="4"/>
  <c r="J848" i="4"/>
  <c r="I848" i="4" s="1"/>
  <c r="L848" i="4" s="1"/>
  <c r="E848" i="4"/>
  <c r="F848" i="4" s="1"/>
  <c r="K847" i="4"/>
  <c r="J847" i="4"/>
  <c r="M847" i="4" s="1"/>
  <c r="E847" i="4"/>
  <c r="G847" i="4"/>
  <c r="H847" i="4"/>
  <c r="F847" i="4"/>
  <c r="K846" i="4"/>
  <c r="J846" i="4"/>
  <c r="E846" i="4"/>
  <c r="F846" i="4" s="1"/>
  <c r="K845" i="4"/>
  <c r="J845" i="4"/>
  <c r="M845" i="4" s="1"/>
  <c r="E845" i="4"/>
  <c r="F845" i="4"/>
  <c r="E844" i="4"/>
  <c r="F844" i="4" s="1"/>
  <c r="E843" i="4"/>
  <c r="F843" i="4" s="1"/>
  <c r="G843" i="4"/>
  <c r="H843" i="4" s="1"/>
  <c r="E842" i="4"/>
  <c r="F842" i="4" s="1"/>
  <c r="E841" i="4"/>
  <c r="F841" i="4"/>
  <c r="E840" i="4"/>
  <c r="F840" i="4" s="1"/>
  <c r="E839" i="4"/>
  <c r="F839" i="4" s="1"/>
  <c r="K837" i="4"/>
  <c r="J837" i="4"/>
  <c r="E837" i="4"/>
  <c r="K836" i="4"/>
  <c r="J836" i="4"/>
  <c r="M836" i="4" s="1"/>
  <c r="E836" i="4"/>
  <c r="F836" i="4" s="1"/>
  <c r="K835" i="4"/>
  <c r="J835" i="4"/>
  <c r="M835" i="4" s="1"/>
  <c r="E835" i="4"/>
  <c r="F835" i="4" s="1"/>
  <c r="K834" i="4"/>
  <c r="J834" i="4"/>
  <c r="M834" i="4" s="1"/>
  <c r="E834" i="4"/>
  <c r="F834" i="4" s="1"/>
  <c r="G834" i="4"/>
  <c r="H834" i="4" s="1"/>
  <c r="K833" i="4"/>
  <c r="J833" i="4"/>
  <c r="E833" i="4"/>
  <c r="K832" i="4"/>
  <c r="J832" i="4"/>
  <c r="M832" i="4" s="1"/>
  <c r="E832" i="4"/>
  <c r="F832" i="4" s="1"/>
  <c r="E831" i="4"/>
  <c r="F831" i="4" s="1"/>
  <c r="E830" i="4"/>
  <c r="F830" i="4" s="1"/>
  <c r="G830" i="4"/>
  <c r="H830" i="4" s="1"/>
  <c r="E829" i="4"/>
  <c r="F829" i="4" s="1"/>
  <c r="G829" i="4"/>
  <c r="H829" i="4" s="1"/>
  <c r="E828" i="4"/>
  <c r="F828" i="4" s="1"/>
  <c r="E827" i="4"/>
  <c r="F827" i="4" s="1"/>
  <c r="E826" i="4"/>
  <c r="F826" i="4" s="1"/>
  <c r="G826" i="4"/>
  <c r="H826" i="4"/>
  <c r="K824" i="4"/>
  <c r="J824" i="4"/>
  <c r="E824" i="4"/>
  <c r="K823" i="4"/>
  <c r="J823" i="4"/>
  <c r="M823" i="4"/>
  <c r="E823" i="4"/>
  <c r="F823" i="4" s="1"/>
  <c r="J822" i="4"/>
  <c r="I822" i="4" s="1"/>
  <c r="L822" i="4" s="1"/>
  <c r="M822" i="4"/>
  <c r="K822" i="4"/>
  <c r="E822" i="4"/>
  <c r="F822" i="4"/>
  <c r="K821" i="4"/>
  <c r="J821" i="4"/>
  <c r="M821" i="4" s="1"/>
  <c r="E821" i="4"/>
  <c r="K820" i="4"/>
  <c r="J820" i="4"/>
  <c r="E820" i="4"/>
  <c r="G820" i="4"/>
  <c r="H820" i="4" s="1"/>
  <c r="F820" i="4"/>
  <c r="K819" i="4"/>
  <c r="J819" i="4"/>
  <c r="M819" i="4" s="1"/>
  <c r="E819" i="4"/>
  <c r="F819" i="4" s="1"/>
  <c r="E818" i="4"/>
  <c r="F818" i="4"/>
  <c r="E817" i="4"/>
  <c r="G817" i="4" s="1"/>
  <c r="H817" i="4" s="1"/>
  <c r="E816" i="4"/>
  <c r="E815" i="4"/>
  <c r="F815" i="4" s="1"/>
  <c r="E814" i="4"/>
  <c r="F814" i="4"/>
  <c r="E813" i="4"/>
  <c r="F813" i="4" s="1"/>
  <c r="G813" i="4"/>
  <c r="H813" i="4" s="1"/>
  <c r="K811" i="4"/>
  <c r="J811" i="4"/>
  <c r="E811" i="4"/>
  <c r="G811" i="4" s="1"/>
  <c r="H811" i="4" s="1"/>
  <c r="K810" i="4"/>
  <c r="J810" i="4"/>
  <c r="M810" i="4"/>
  <c r="E810" i="4"/>
  <c r="F810" i="4" s="1"/>
  <c r="J809" i="4"/>
  <c r="I809" i="4" s="1"/>
  <c r="L809" i="4" s="1"/>
  <c r="K809" i="4"/>
  <c r="E809" i="4"/>
  <c r="F809" i="4"/>
  <c r="K808" i="4"/>
  <c r="J808" i="4"/>
  <c r="M808" i="4"/>
  <c r="E808" i="4"/>
  <c r="K807" i="4"/>
  <c r="J807" i="4"/>
  <c r="E807" i="4"/>
  <c r="G807" i="4"/>
  <c r="H807" i="4"/>
  <c r="F807" i="4"/>
  <c r="K806" i="4"/>
  <c r="J806" i="4"/>
  <c r="M806" i="4" s="1"/>
  <c r="E806" i="4"/>
  <c r="F806" i="4" s="1"/>
  <c r="E805" i="4"/>
  <c r="F805" i="4"/>
  <c r="E800" i="4"/>
  <c r="F800" i="4" s="1"/>
  <c r="E801" i="4"/>
  <c r="F801" i="4" s="1"/>
  <c r="E802" i="4"/>
  <c r="F802" i="4" s="1"/>
  <c r="E803" i="4"/>
  <c r="G803" i="4" s="1"/>
  <c r="H803" i="4" s="1"/>
  <c r="E804" i="4"/>
  <c r="F804" i="4" s="1"/>
  <c r="G804" i="4"/>
  <c r="H804" i="4" s="1"/>
  <c r="G800" i="4"/>
  <c r="H800" i="4" s="1"/>
  <c r="K798" i="4"/>
  <c r="J798" i="4"/>
  <c r="E798" i="4"/>
  <c r="G798" i="4" s="1"/>
  <c r="H798" i="4" s="1"/>
  <c r="K797" i="4"/>
  <c r="J797" i="4"/>
  <c r="M797" i="4" s="1"/>
  <c r="E797" i="4"/>
  <c r="F797" i="4" s="1"/>
  <c r="K796" i="4"/>
  <c r="J796" i="4"/>
  <c r="M796" i="4" s="1"/>
  <c r="E796" i="4"/>
  <c r="F796" i="4" s="1"/>
  <c r="K795" i="4"/>
  <c r="J795" i="4"/>
  <c r="M795" i="4" s="1"/>
  <c r="E795" i="4"/>
  <c r="F795" i="4" s="1"/>
  <c r="G795" i="4"/>
  <c r="H795" i="4" s="1"/>
  <c r="K794" i="4"/>
  <c r="J794" i="4"/>
  <c r="E794" i="4"/>
  <c r="F794" i="4" s="1"/>
  <c r="K793" i="4"/>
  <c r="J793" i="4"/>
  <c r="M793" i="4" s="1"/>
  <c r="E793" i="4"/>
  <c r="F793" i="4" s="1"/>
  <c r="E792" i="4"/>
  <c r="F792" i="4" s="1"/>
  <c r="E791" i="4"/>
  <c r="F791" i="4" s="1"/>
  <c r="G791" i="4"/>
  <c r="H791" i="4" s="1"/>
  <c r="E790" i="4"/>
  <c r="F790" i="4" s="1"/>
  <c r="G790" i="4"/>
  <c r="H790" i="4" s="1"/>
  <c r="E789" i="4"/>
  <c r="F789" i="4" s="1"/>
  <c r="E788" i="4"/>
  <c r="F788" i="4" s="1"/>
  <c r="E787" i="4"/>
  <c r="F787" i="4" s="1"/>
  <c r="K785" i="4"/>
  <c r="J785" i="4"/>
  <c r="E785" i="4"/>
  <c r="G785" i="4" s="1"/>
  <c r="H785" i="4" s="1"/>
  <c r="K784" i="4"/>
  <c r="J784" i="4"/>
  <c r="M784" i="4"/>
  <c r="E784" i="4"/>
  <c r="F784" i="4" s="1"/>
  <c r="J783" i="4"/>
  <c r="I783" i="4" s="1"/>
  <c r="L783" i="4" s="1"/>
  <c r="M783" i="4"/>
  <c r="K783" i="4"/>
  <c r="E783" i="4"/>
  <c r="F783" i="4" s="1"/>
  <c r="K782" i="4"/>
  <c r="J782" i="4"/>
  <c r="M782" i="4" s="1"/>
  <c r="E782" i="4"/>
  <c r="F782" i="4" s="1"/>
  <c r="K781" i="4"/>
  <c r="J781" i="4"/>
  <c r="E781" i="4"/>
  <c r="G781" i="4" s="1"/>
  <c r="H781" i="4" s="1"/>
  <c r="F781" i="4"/>
  <c r="K780" i="4"/>
  <c r="J780" i="4"/>
  <c r="M780" i="4" s="1"/>
  <c r="E780" i="4"/>
  <c r="F780" i="4" s="1"/>
  <c r="E779" i="4"/>
  <c r="F779" i="4" s="1"/>
  <c r="E778" i="4"/>
  <c r="G778" i="4" s="1"/>
  <c r="H778" i="4" s="1"/>
  <c r="F778" i="4"/>
  <c r="E777" i="4"/>
  <c r="G777" i="4" s="1"/>
  <c r="H777" i="4" s="1"/>
  <c r="E776" i="4"/>
  <c r="F776" i="4" s="1"/>
  <c r="E775" i="4"/>
  <c r="F775" i="4" s="1"/>
  <c r="E774" i="4"/>
  <c r="K772" i="4"/>
  <c r="J772" i="4"/>
  <c r="E772" i="4"/>
  <c r="F772" i="4" s="1"/>
  <c r="G772" i="4"/>
  <c r="H772" i="4"/>
  <c r="K771" i="4"/>
  <c r="J771" i="4"/>
  <c r="M771" i="4" s="1"/>
  <c r="E771" i="4"/>
  <c r="F771" i="4" s="1"/>
  <c r="K770" i="4"/>
  <c r="J770" i="4"/>
  <c r="M770" i="4" s="1"/>
  <c r="E770" i="4"/>
  <c r="F770" i="4"/>
  <c r="K769" i="4"/>
  <c r="J769" i="4"/>
  <c r="M769" i="4" s="1"/>
  <c r="E769" i="4"/>
  <c r="F769" i="4" s="1"/>
  <c r="G769" i="4"/>
  <c r="H769" i="4" s="1"/>
  <c r="K768" i="4"/>
  <c r="J768" i="4"/>
  <c r="E768" i="4"/>
  <c r="F768" i="4" s="1"/>
  <c r="G768" i="4"/>
  <c r="H768" i="4" s="1"/>
  <c r="K767" i="4"/>
  <c r="J767" i="4"/>
  <c r="M767" i="4"/>
  <c r="E767" i="4"/>
  <c r="E766" i="4"/>
  <c r="E765" i="4"/>
  <c r="E764" i="4"/>
  <c r="F764" i="4" s="1"/>
  <c r="G764" i="4"/>
  <c r="H764" i="4" s="1"/>
  <c r="E763" i="4"/>
  <c r="E762" i="4"/>
  <c r="E761" i="4"/>
  <c r="K759" i="4"/>
  <c r="J759" i="4"/>
  <c r="E759" i="4"/>
  <c r="F759" i="4" s="1"/>
  <c r="K758" i="4"/>
  <c r="J758" i="4"/>
  <c r="M758" i="4" s="1"/>
  <c r="E758" i="4"/>
  <c r="J757" i="4"/>
  <c r="K757" i="4"/>
  <c r="E757" i="4"/>
  <c r="K756" i="4"/>
  <c r="J756" i="4"/>
  <c r="M756" i="4" s="1"/>
  <c r="E756" i="4"/>
  <c r="F756" i="4" s="1"/>
  <c r="G756" i="4"/>
  <c r="H756" i="4" s="1"/>
  <c r="K755" i="4"/>
  <c r="J755" i="4"/>
  <c r="E755" i="4"/>
  <c r="G755" i="4" s="1"/>
  <c r="H755" i="4" s="1"/>
  <c r="F755" i="4"/>
  <c r="K754" i="4"/>
  <c r="J754" i="4"/>
  <c r="M754" i="4"/>
  <c r="E754" i="4"/>
  <c r="E753" i="4"/>
  <c r="E752" i="4"/>
  <c r="F752" i="4" s="1"/>
  <c r="G752" i="4"/>
  <c r="H752" i="4"/>
  <c r="E751" i="4"/>
  <c r="F751" i="4" s="1"/>
  <c r="E750" i="4"/>
  <c r="E749" i="4"/>
  <c r="E748" i="4"/>
  <c r="G748" i="4" s="1"/>
  <c r="H748" i="4" s="1"/>
  <c r="F748" i="4"/>
  <c r="K746" i="4"/>
  <c r="J746" i="4"/>
  <c r="E746" i="4"/>
  <c r="F746" i="4" s="1"/>
  <c r="G746" i="4"/>
  <c r="H746" i="4" s="1"/>
  <c r="K745" i="4"/>
  <c r="J745" i="4"/>
  <c r="M745" i="4"/>
  <c r="E745" i="4"/>
  <c r="K744" i="4"/>
  <c r="J744" i="4"/>
  <c r="M744" i="4" s="1"/>
  <c r="E744" i="4"/>
  <c r="K743" i="4"/>
  <c r="J743" i="4"/>
  <c r="M743" i="4"/>
  <c r="E743" i="4"/>
  <c r="G743" i="4" s="1"/>
  <c r="H743" i="4" s="1"/>
  <c r="K742" i="4"/>
  <c r="J742" i="4"/>
  <c r="E742" i="4"/>
  <c r="F742" i="4" s="1"/>
  <c r="G742" i="4"/>
  <c r="H742" i="4" s="1"/>
  <c r="K741" i="4"/>
  <c r="J741" i="4"/>
  <c r="M741" i="4" s="1"/>
  <c r="E741" i="4"/>
  <c r="E740" i="4"/>
  <c r="E739" i="4"/>
  <c r="E738" i="4"/>
  <c r="G738" i="4" s="1"/>
  <c r="H738" i="4" s="1"/>
  <c r="F738" i="4"/>
  <c r="E737" i="4"/>
  <c r="E736" i="4"/>
  <c r="E735" i="4"/>
  <c r="F735" i="4" s="1"/>
  <c r="G735" i="4"/>
  <c r="H735" i="4" s="1"/>
  <c r="K733" i="4"/>
  <c r="J733" i="4"/>
  <c r="E733" i="4"/>
  <c r="K732" i="4"/>
  <c r="J732" i="4"/>
  <c r="M732" i="4" s="1"/>
  <c r="E732" i="4"/>
  <c r="J731" i="4"/>
  <c r="K731" i="4"/>
  <c r="E731" i="4"/>
  <c r="K730" i="4"/>
  <c r="J730" i="4"/>
  <c r="M730" i="4" s="1"/>
  <c r="E730" i="4"/>
  <c r="G730" i="4" s="1"/>
  <c r="H730" i="4" s="1"/>
  <c r="K729" i="4"/>
  <c r="J729" i="4"/>
  <c r="E729" i="4"/>
  <c r="F729" i="4" s="1"/>
  <c r="G729" i="4"/>
  <c r="H729" i="4" s="1"/>
  <c r="K728" i="4"/>
  <c r="J728" i="4"/>
  <c r="M728" i="4" s="1"/>
  <c r="E728" i="4"/>
  <c r="E727" i="4"/>
  <c r="E726" i="4"/>
  <c r="E725" i="4"/>
  <c r="G725" i="4" s="1"/>
  <c r="H725" i="4" s="1"/>
  <c r="F725" i="4"/>
  <c r="E724" i="4"/>
  <c r="E723" i="4"/>
  <c r="E722" i="4"/>
  <c r="F722" i="4" s="1"/>
  <c r="K720" i="4"/>
  <c r="J720" i="4"/>
  <c r="E720" i="4"/>
  <c r="K719" i="4"/>
  <c r="J719" i="4"/>
  <c r="M719" i="4" s="1"/>
  <c r="E719" i="4"/>
  <c r="K718" i="4"/>
  <c r="J718" i="4"/>
  <c r="M718" i="4" s="1"/>
  <c r="E718" i="4"/>
  <c r="K717" i="4"/>
  <c r="J717" i="4"/>
  <c r="M717" i="4" s="1"/>
  <c r="E717" i="4"/>
  <c r="F717" i="4" s="1"/>
  <c r="G717" i="4"/>
  <c r="H717" i="4" s="1"/>
  <c r="K716" i="4"/>
  <c r="J716" i="4"/>
  <c r="E716" i="4"/>
  <c r="K715" i="4"/>
  <c r="J715" i="4"/>
  <c r="M715" i="4"/>
  <c r="E715" i="4"/>
  <c r="E714" i="4"/>
  <c r="E713" i="4"/>
  <c r="E712" i="4"/>
  <c r="G712" i="4"/>
  <c r="H712" i="4"/>
  <c r="F712" i="4"/>
  <c r="E711" i="4"/>
  <c r="E710" i="4"/>
  <c r="E709" i="4"/>
  <c r="K707" i="4"/>
  <c r="J707" i="4"/>
  <c r="E707" i="4"/>
  <c r="G707" i="4"/>
  <c r="H707" i="4" s="1"/>
  <c r="F707" i="4"/>
  <c r="K706" i="4"/>
  <c r="J706" i="4"/>
  <c r="M706" i="4"/>
  <c r="E706" i="4"/>
  <c r="J705" i="4"/>
  <c r="M705" i="4"/>
  <c r="K705" i="4"/>
  <c r="I705" i="4"/>
  <c r="L705" i="4" s="1"/>
  <c r="E705" i="4"/>
  <c r="K704" i="4"/>
  <c r="J704" i="4"/>
  <c r="M704" i="4" s="1"/>
  <c r="E704" i="4"/>
  <c r="F704" i="4" s="1"/>
  <c r="G704" i="4"/>
  <c r="H704" i="4" s="1"/>
  <c r="K703" i="4"/>
  <c r="J703" i="4"/>
  <c r="E703" i="4"/>
  <c r="K702" i="4"/>
  <c r="J702" i="4"/>
  <c r="M702" i="4"/>
  <c r="E702" i="4"/>
  <c r="E701" i="4"/>
  <c r="E700" i="4"/>
  <c r="E699" i="4"/>
  <c r="G699" i="4"/>
  <c r="H699" i="4" s="1"/>
  <c r="F699" i="4"/>
  <c r="E698" i="4"/>
  <c r="E697" i="4"/>
  <c r="E696" i="4"/>
  <c r="K694" i="4"/>
  <c r="J694" i="4"/>
  <c r="E694" i="4"/>
  <c r="G694" i="4"/>
  <c r="H694" i="4" s="1"/>
  <c r="F694" i="4"/>
  <c r="K693" i="4"/>
  <c r="J693" i="4"/>
  <c r="M693" i="4" s="1"/>
  <c r="E693" i="4"/>
  <c r="K692" i="4"/>
  <c r="J692" i="4"/>
  <c r="M692" i="4"/>
  <c r="E692" i="4"/>
  <c r="K691" i="4"/>
  <c r="J691" i="4"/>
  <c r="M691" i="4" s="1"/>
  <c r="E691" i="4"/>
  <c r="G691" i="4" s="1"/>
  <c r="H691" i="4" s="1"/>
  <c r="F691" i="4"/>
  <c r="K690" i="4"/>
  <c r="J690" i="4"/>
  <c r="E690" i="4"/>
  <c r="F690" i="4" s="1"/>
  <c r="K689" i="4"/>
  <c r="J689" i="4"/>
  <c r="M689" i="4" s="1"/>
  <c r="E689" i="4"/>
  <c r="E688" i="4"/>
  <c r="E687" i="4"/>
  <c r="G687" i="4" s="1"/>
  <c r="H687" i="4" s="1"/>
  <c r="E686" i="4"/>
  <c r="G686" i="4" s="1"/>
  <c r="H686" i="4" s="1"/>
  <c r="E685" i="4"/>
  <c r="E684" i="4"/>
  <c r="E683" i="4"/>
  <c r="G683" i="4"/>
  <c r="H683" i="4"/>
  <c r="F683" i="4"/>
  <c r="K681" i="4"/>
  <c r="J681" i="4"/>
  <c r="E681" i="4"/>
  <c r="F681" i="4" s="1"/>
  <c r="K680" i="4"/>
  <c r="J680" i="4"/>
  <c r="M680" i="4" s="1"/>
  <c r="E680" i="4"/>
  <c r="J679" i="4"/>
  <c r="I679" i="4" s="1"/>
  <c r="L679" i="4" s="1"/>
  <c r="K679" i="4"/>
  <c r="E679" i="4"/>
  <c r="K678" i="4"/>
  <c r="J678" i="4"/>
  <c r="M678" i="4"/>
  <c r="E678" i="4"/>
  <c r="G678" i="4" s="1"/>
  <c r="H678" i="4" s="1"/>
  <c r="K677" i="4"/>
  <c r="J677" i="4"/>
  <c r="E677" i="4"/>
  <c r="F677" i="4" s="1"/>
  <c r="G677" i="4"/>
  <c r="H677" i="4" s="1"/>
  <c r="K676" i="4"/>
  <c r="J676" i="4"/>
  <c r="M676" i="4" s="1"/>
  <c r="E676" i="4"/>
  <c r="G676" i="4"/>
  <c r="H676" i="4"/>
  <c r="E675" i="4"/>
  <c r="G675" i="4" s="1"/>
  <c r="H675" i="4" s="1"/>
  <c r="E674" i="4"/>
  <c r="G674" i="4" s="1"/>
  <c r="H674" i="4" s="1"/>
  <c r="F674" i="4"/>
  <c r="E673" i="4"/>
  <c r="G673" i="4" s="1"/>
  <c r="H673" i="4" s="1"/>
  <c r="E672" i="4"/>
  <c r="G672" i="4" s="1"/>
  <c r="H672" i="4" s="1"/>
  <c r="E671" i="4"/>
  <c r="E670" i="4"/>
  <c r="G670" i="4" s="1"/>
  <c r="H670" i="4" s="1"/>
  <c r="K668" i="4"/>
  <c r="J668" i="4"/>
  <c r="E668" i="4"/>
  <c r="F668" i="4" s="1"/>
  <c r="G668" i="4"/>
  <c r="H668" i="4" s="1"/>
  <c r="K667" i="4"/>
  <c r="J667" i="4"/>
  <c r="M667" i="4" s="1"/>
  <c r="E667" i="4"/>
  <c r="G667" i="4"/>
  <c r="H667" i="4" s="1"/>
  <c r="F667" i="4"/>
  <c r="K666" i="4"/>
  <c r="J666" i="4"/>
  <c r="E666" i="4"/>
  <c r="K665" i="4"/>
  <c r="J665" i="4"/>
  <c r="M665" i="4"/>
  <c r="E665" i="4"/>
  <c r="F665" i="4" s="1"/>
  <c r="J664" i="4"/>
  <c r="I664" i="4" s="1"/>
  <c r="L664" i="4" s="1"/>
  <c r="K664" i="4"/>
  <c r="E664" i="4"/>
  <c r="G664" i="4" s="1"/>
  <c r="H664" i="4" s="1"/>
  <c r="K663" i="4"/>
  <c r="J663" i="4"/>
  <c r="M663" i="4" s="1"/>
  <c r="E663" i="4"/>
  <c r="G663" i="4" s="1"/>
  <c r="H663" i="4" s="1"/>
  <c r="E662" i="4"/>
  <c r="E661" i="4"/>
  <c r="F661" i="4" s="1"/>
  <c r="G661" i="4"/>
  <c r="H661" i="4" s="1"/>
  <c r="E660" i="4"/>
  <c r="F660" i="4" s="1"/>
  <c r="E659" i="4"/>
  <c r="F659" i="4" s="1"/>
  <c r="G659" i="4"/>
  <c r="H659" i="4" s="1"/>
  <c r="E658" i="4"/>
  <c r="G658" i="4" s="1"/>
  <c r="H658" i="4" s="1"/>
  <c r="E657" i="4"/>
  <c r="F657" i="4" s="1"/>
  <c r="G657" i="4"/>
  <c r="H657" i="4" s="1"/>
  <c r="K655" i="4"/>
  <c r="J655" i="4"/>
  <c r="I655" i="4" s="1"/>
  <c r="L655" i="4" s="1"/>
  <c r="E655" i="4"/>
  <c r="F655" i="4" s="1"/>
  <c r="G655" i="4"/>
  <c r="H655" i="4"/>
  <c r="K654" i="4"/>
  <c r="J654" i="4"/>
  <c r="M654" i="4" s="1"/>
  <c r="E654" i="4"/>
  <c r="K653" i="4"/>
  <c r="J653" i="4"/>
  <c r="I653" i="4" s="1"/>
  <c r="L653" i="4" s="1"/>
  <c r="E653" i="4"/>
  <c r="G653" i="4"/>
  <c r="H653" i="4" s="1"/>
  <c r="K652" i="4"/>
  <c r="J652" i="4"/>
  <c r="M652" i="4" s="1"/>
  <c r="E652" i="4"/>
  <c r="G652" i="4"/>
  <c r="H652" i="4" s="1"/>
  <c r="F652" i="4"/>
  <c r="K651" i="4"/>
  <c r="J651" i="4"/>
  <c r="E651" i="4"/>
  <c r="F651" i="4" s="1"/>
  <c r="K650" i="4"/>
  <c r="J650" i="4"/>
  <c r="M650" i="4" s="1"/>
  <c r="E650" i="4"/>
  <c r="F650" i="4" s="1"/>
  <c r="E649" i="4"/>
  <c r="G649" i="4"/>
  <c r="H649" i="4"/>
  <c r="E648" i="4"/>
  <c r="G648" i="4"/>
  <c r="H648" i="4" s="1"/>
  <c r="F648" i="4"/>
  <c r="E647" i="4"/>
  <c r="G647" i="4"/>
  <c r="H647" i="4" s="1"/>
  <c r="F647" i="4"/>
  <c r="E646" i="4"/>
  <c r="E645" i="4"/>
  <c r="G645" i="4" s="1"/>
  <c r="H645" i="4" s="1"/>
  <c r="E644" i="4"/>
  <c r="G644" i="4"/>
  <c r="H644" i="4" s="1"/>
  <c r="F644" i="4"/>
  <c r="K642" i="4"/>
  <c r="J642" i="4"/>
  <c r="I642" i="4" s="1"/>
  <c r="L642" i="4" s="1"/>
  <c r="E642" i="4"/>
  <c r="F642" i="4" s="1"/>
  <c r="K641" i="4"/>
  <c r="J641" i="4"/>
  <c r="M641" i="4" s="1"/>
  <c r="E641" i="4"/>
  <c r="G641" i="4" s="1"/>
  <c r="H641" i="4" s="1"/>
  <c r="J640" i="4"/>
  <c r="I640" i="4" s="1"/>
  <c r="L640" i="4" s="1"/>
  <c r="K640" i="4"/>
  <c r="E640" i="4"/>
  <c r="G640" i="4" s="1"/>
  <c r="H640" i="4" s="1"/>
  <c r="K639" i="4"/>
  <c r="J639" i="4"/>
  <c r="M639" i="4" s="1"/>
  <c r="E639" i="4"/>
  <c r="F639" i="4" s="1"/>
  <c r="K638" i="4"/>
  <c r="J638" i="4"/>
  <c r="I638" i="4"/>
  <c r="L638" i="4" s="1"/>
  <c r="E638" i="4"/>
  <c r="F638" i="4" s="1"/>
  <c r="K637" i="4"/>
  <c r="J637" i="4"/>
  <c r="M637" i="4" s="1"/>
  <c r="E637" i="4"/>
  <c r="E636" i="4"/>
  <c r="G636" i="4" s="1"/>
  <c r="H636" i="4" s="1"/>
  <c r="E635" i="4"/>
  <c r="F635" i="4" s="1"/>
  <c r="E634" i="4"/>
  <c r="G634" i="4"/>
  <c r="H634" i="4"/>
  <c r="F634" i="4"/>
  <c r="E633" i="4"/>
  <c r="G633" i="4" s="1"/>
  <c r="H633" i="4" s="1"/>
  <c r="E632" i="4"/>
  <c r="G632" i="4" s="1"/>
  <c r="H632" i="4" s="1"/>
  <c r="E631" i="4"/>
  <c r="G631" i="4" s="1"/>
  <c r="H631" i="4" s="1"/>
  <c r="J629" i="4"/>
  <c r="M629" i="4" s="1"/>
  <c r="K629" i="4"/>
  <c r="I629" i="4"/>
  <c r="L629" i="4" s="1"/>
  <c r="E629" i="4"/>
  <c r="K628" i="4"/>
  <c r="J628" i="4"/>
  <c r="M628" i="4"/>
  <c r="E628" i="4"/>
  <c r="G628" i="4" s="1"/>
  <c r="H628" i="4" s="1"/>
  <c r="K627" i="4"/>
  <c r="J627" i="4"/>
  <c r="E627" i="4"/>
  <c r="G627" i="4" s="1"/>
  <c r="H627" i="4" s="1"/>
  <c r="K626" i="4"/>
  <c r="J626" i="4"/>
  <c r="M626" i="4"/>
  <c r="E626" i="4"/>
  <c r="F626" i="4" s="1"/>
  <c r="G626" i="4"/>
  <c r="H626" i="4" s="1"/>
  <c r="K625" i="4"/>
  <c r="J625" i="4"/>
  <c r="I625" i="4" s="1"/>
  <c r="L625" i="4" s="1"/>
  <c r="E625" i="4"/>
  <c r="F625" i="4" s="1"/>
  <c r="K624" i="4"/>
  <c r="J624" i="4"/>
  <c r="M624" i="4" s="1"/>
  <c r="E624" i="4"/>
  <c r="G624" i="4"/>
  <c r="H624" i="4" s="1"/>
  <c r="E623" i="4"/>
  <c r="G623" i="4" s="1"/>
  <c r="H623" i="4" s="1"/>
  <c r="E622" i="4"/>
  <c r="G622" i="4"/>
  <c r="H622" i="4" s="1"/>
  <c r="F622" i="4"/>
  <c r="E621" i="4"/>
  <c r="G621" i="4" s="1"/>
  <c r="H621" i="4" s="1"/>
  <c r="E620" i="4"/>
  <c r="G620" i="4" s="1"/>
  <c r="H620" i="4" s="1"/>
  <c r="E619" i="4"/>
  <c r="E618" i="4"/>
  <c r="G618" i="4" s="1"/>
  <c r="H618" i="4" s="1"/>
  <c r="K616" i="4"/>
  <c r="J616" i="4"/>
  <c r="E616" i="4"/>
  <c r="F616" i="4" s="1"/>
  <c r="K615" i="4"/>
  <c r="J615" i="4"/>
  <c r="M615" i="4" s="1"/>
  <c r="E615" i="4"/>
  <c r="F615" i="4" s="1"/>
  <c r="G615" i="4"/>
  <c r="H615" i="4" s="1"/>
  <c r="K614" i="4"/>
  <c r="J614" i="4"/>
  <c r="E614" i="4"/>
  <c r="K613" i="4"/>
  <c r="J613" i="4"/>
  <c r="M613" i="4"/>
  <c r="E613" i="4"/>
  <c r="G613" i="4" s="1"/>
  <c r="H613" i="4" s="1"/>
  <c r="J612" i="4"/>
  <c r="M612" i="4" s="1"/>
  <c r="K612" i="4"/>
  <c r="I612" i="4"/>
  <c r="L612" i="4" s="1"/>
  <c r="E612" i="4"/>
  <c r="F612" i="4" s="1"/>
  <c r="K611" i="4"/>
  <c r="J611" i="4"/>
  <c r="M611" i="4"/>
  <c r="E611" i="4"/>
  <c r="G611" i="4" s="1"/>
  <c r="H611" i="4" s="1"/>
  <c r="E610" i="4"/>
  <c r="E609" i="4"/>
  <c r="E608" i="4"/>
  <c r="G608" i="4" s="1"/>
  <c r="H608" i="4" s="1"/>
  <c r="E607" i="4"/>
  <c r="G607" i="4" s="1"/>
  <c r="H607" i="4" s="1"/>
  <c r="F607" i="4"/>
  <c r="E606" i="4"/>
  <c r="G606" i="4" s="1"/>
  <c r="H606" i="4" s="1"/>
  <c r="E605" i="4"/>
  <c r="F605" i="4" s="1"/>
  <c r="G605" i="4"/>
  <c r="H605" i="4" s="1"/>
  <c r="K603" i="4"/>
  <c r="J603" i="4"/>
  <c r="I603" i="4" s="1"/>
  <c r="L603" i="4" s="1"/>
  <c r="E603" i="4"/>
  <c r="F603" i="4" s="1"/>
  <c r="K602" i="4"/>
  <c r="J602" i="4"/>
  <c r="M602" i="4" s="1"/>
  <c r="E602" i="4"/>
  <c r="K601" i="4"/>
  <c r="J601" i="4"/>
  <c r="E601" i="4"/>
  <c r="G601" i="4" s="1"/>
  <c r="H601" i="4" s="1"/>
  <c r="K600" i="4"/>
  <c r="J600" i="4"/>
  <c r="M600" i="4" s="1"/>
  <c r="E600" i="4"/>
  <c r="F600" i="4" s="1"/>
  <c r="G600" i="4"/>
  <c r="H600" i="4" s="1"/>
  <c r="K599" i="4"/>
  <c r="J599" i="4"/>
  <c r="E599" i="4"/>
  <c r="G599" i="4" s="1"/>
  <c r="H599" i="4" s="1"/>
  <c r="F599" i="4"/>
  <c r="K598" i="4"/>
  <c r="J598" i="4"/>
  <c r="M598" i="4" s="1"/>
  <c r="E598" i="4"/>
  <c r="F598" i="4" s="1"/>
  <c r="E597" i="4"/>
  <c r="G597" i="4" s="1"/>
  <c r="H597" i="4" s="1"/>
  <c r="E596" i="4"/>
  <c r="F596" i="4" s="1"/>
  <c r="G596" i="4"/>
  <c r="H596" i="4" s="1"/>
  <c r="E595" i="4"/>
  <c r="F595" i="4" s="1"/>
  <c r="E594" i="4"/>
  <c r="E593" i="4"/>
  <c r="G593" i="4"/>
  <c r="H593" i="4" s="1"/>
  <c r="E592" i="4"/>
  <c r="F592" i="4" s="1"/>
  <c r="G592" i="4"/>
  <c r="H592" i="4" s="1"/>
  <c r="J590" i="4"/>
  <c r="I590" i="4" s="1"/>
  <c r="L590" i="4" s="1"/>
  <c r="K590" i="4"/>
  <c r="E590" i="4"/>
  <c r="F590" i="4" s="1"/>
  <c r="K589" i="4"/>
  <c r="J589" i="4"/>
  <c r="M589" i="4" s="1"/>
  <c r="E589" i="4"/>
  <c r="G589" i="4" s="1"/>
  <c r="H589" i="4" s="1"/>
  <c r="J588" i="4"/>
  <c r="I588" i="4" s="1"/>
  <c r="L588" i="4" s="1"/>
  <c r="K588" i="4"/>
  <c r="E588" i="4"/>
  <c r="G588" i="4"/>
  <c r="H588" i="4" s="1"/>
  <c r="K587" i="4"/>
  <c r="J587" i="4"/>
  <c r="M587" i="4" s="1"/>
  <c r="E587" i="4"/>
  <c r="G587" i="4" s="1"/>
  <c r="H587" i="4" s="1"/>
  <c r="F587" i="4"/>
  <c r="K586" i="4"/>
  <c r="J586" i="4"/>
  <c r="I586" i="4" s="1"/>
  <c r="L586" i="4" s="1"/>
  <c r="E586" i="4"/>
  <c r="G586" i="4" s="1"/>
  <c r="H586" i="4" s="1"/>
  <c r="K585" i="4"/>
  <c r="J585" i="4"/>
  <c r="M585" i="4" s="1"/>
  <c r="E585" i="4"/>
  <c r="E584" i="4"/>
  <c r="G584" i="4" s="1"/>
  <c r="H584" i="4" s="1"/>
  <c r="E583" i="4"/>
  <c r="F583" i="4" s="1"/>
  <c r="G583" i="4"/>
  <c r="H583" i="4" s="1"/>
  <c r="E582" i="4"/>
  <c r="F582" i="4" s="1"/>
  <c r="E581" i="4"/>
  <c r="G581" i="4" s="1"/>
  <c r="H581" i="4" s="1"/>
  <c r="E580" i="4"/>
  <c r="G580" i="4" s="1"/>
  <c r="H580" i="4" s="1"/>
  <c r="F580" i="4"/>
  <c r="E579" i="4"/>
  <c r="F579" i="4" s="1"/>
  <c r="G579" i="4"/>
  <c r="H579" i="4" s="1"/>
  <c r="J577" i="4"/>
  <c r="I577" i="4" s="1"/>
  <c r="L577" i="4" s="1"/>
  <c r="K577" i="4"/>
  <c r="E577" i="4"/>
  <c r="F577" i="4" s="1"/>
  <c r="K576" i="4"/>
  <c r="J576" i="4"/>
  <c r="M576" i="4" s="1"/>
  <c r="E576" i="4"/>
  <c r="G576" i="4" s="1"/>
  <c r="H576" i="4" s="1"/>
  <c r="K575" i="4"/>
  <c r="J575" i="4"/>
  <c r="M575" i="4" s="1"/>
  <c r="E575" i="4"/>
  <c r="G575" i="4" s="1"/>
  <c r="H575" i="4" s="1"/>
  <c r="K574" i="4"/>
  <c r="J574" i="4"/>
  <c r="M574" i="4" s="1"/>
  <c r="E574" i="4"/>
  <c r="F574" i="4" s="1"/>
  <c r="J573" i="4"/>
  <c r="I573" i="4" s="1"/>
  <c r="L573" i="4" s="1"/>
  <c r="K573" i="4"/>
  <c r="E573" i="4"/>
  <c r="G573" i="4" s="1"/>
  <c r="H573" i="4" s="1"/>
  <c r="K572" i="4"/>
  <c r="J572" i="4"/>
  <c r="M572" i="4" s="1"/>
  <c r="E572" i="4"/>
  <c r="G572" i="4" s="1"/>
  <c r="H572" i="4" s="1"/>
  <c r="E571" i="4"/>
  <c r="G571" i="4" s="1"/>
  <c r="H571" i="4" s="1"/>
  <c r="F571" i="4"/>
  <c r="E570" i="4"/>
  <c r="E569" i="4"/>
  <c r="E568" i="4"/>
  <c r="G568" i="4" s="1"/>
  <c r="H568" i="4" s="1"/>
  <c r="E567" i="4"/>
  <c r="G567" i="4" s="1"/>
  <c r="H567" i="4" s="1"/>
  <c r="E566" i="4"/>
  <c r="K564" i="4"/>
  <c r="J564" i="4"/>
  <c r="M564" i="4" s="1"/>
  <c r="I564" i="4"/>
  <c r="L564" i="4" s="1"/>
  <c r="E564" i="4"/>
  <c r="K563" i="4"/>
  <c r="J563" i="4"/>
  <c r="M563" i="4" s="1"/>
  <c r="E563" i="4"/>
  <c r="F563" i="4" s="1"/>
  <c r="K562" i="4"/>
  <c r="J562" i="4"/>
  <c r="I562" i="4" s="1"/>
  <c r="L562" i="4" s="1"/>
  <c r="E562" i="4"/>
  <c r="F562" i="4" s="1"/>
  <c r="K561" i="4"/>
  <c r="J561" i="4"/>
  <c r="M561" i="4" s="1"/>
  <c r="E561" i="4"/>
  <c r="K560" i="4"/>
  <c r="J560" i="4"/>
  <c r="E560" i="4"/>
  <c r="K559" i="4"/>
  <c r="J559" i="4"/>
  <c r="M559" i="4"/>
  <c r="E559" i="4"/>
  <c r="G559" i="4" s="1"/>
  <c r="H559" i="4" s="1"/>
  <c r="E558" i="4"/>
  <c r="G558" i="4" s="1"/>
  <c r="H558" i="4" s="1"/>
  <c r="F558" i="4"/>
  <c r="E557" i="4"/>
  <c r="E556" i="4"/>
  <c r="E555" i="4"/>
  <c r="G555" i="4" s="1"/>
  <c r="H555" i="4" s="1"/>
  <c r="E554" i="4"/>
  <c r="F554" i="4" s="1"/>
  <c r="G554" i="4"/>
  <c r="H554" i="4" s="1"/>
  <c r="E553" i="4"/>
  <c r="K551" i="4"/>
  <c r="J551" i="4"/>
  <c r="M551" i="4" s="1"/>
  <c r="E551" i="4"/>
  <c r="K550" i="4"/>
  <c r="J550" i="4"/>
  <c r="M550" i="4" s="1"/>
  <c r="E550" i="4"/>
  <c r="F550" i="4" s="1"/>
  <c r="J549" i="4"/>
  <c r="I549" i="4" s="1"/>
  <c r="L549" i="4" s="1"/>
  <c r="K549" i="4"/>
  <c r="E549" i="4"/>
  <c r="F549" i="4" s="1"/>
  <c r="K548" i="4"/>
  <c r="J548" i="4"/>
  <c r="M548" i="4" s="1"/>
  <c r="E548" i="4"/>
  <c r="K547" i="4"/>
  <c r="J547" i="4"/>
  <c r="E547" i="4"/>
  <c r="K546" i="4"/>
  <c r="J546" i="4"/>
  <c r="M546" i="4" s="1"/>
  <c r="E546" i="4"/>
  <c r="G546" i="4" s="1"/>
  <c r="H546" i="4" s="1"/>
  <c r="E545" i="4"/>
  <c r="G545" i="4" s="1"/>
  <c r="H545" i="4" s="1"/>
  <c r="E544" i="4"/>
  <c r="E543" i="4"/>
  <c r="E542" i="4"/>
  <c r="F542" i="4" s="1"/>
  <c r="G542" i="4"/>
  <c r="H542" i="4" s="1"/>
  <c r="E541" i="4"/>
  <c r="F541" i="4" s="1"/>
  <c r="G541" i="4"/>
  <c r="H541" i="4" s="1"/>
  <c r="E540" i="4"/>
  <c r="K538" i="4"/>
  <c r="J538" i="4"/>
  <c r="E538" i="4"/>
  <c r="K537" i="4"/>
  <c r="J537" i="4"/>
  <c r="M537" i="4" s="1"/>
  <c r="E537" i="4"/>
  <c r="F537" i="4" s="1"/>
  <c r="J536" i="4"/>
  <c r="I536" i="4" s="1"/>
  <c r="L536" i="4" s="1"/>
  <c r="M536" i="4"/>
  <c r="K536" i="4"/>
  <c r="E536" i="4"/>
  <c r="F536" i="4" s="1"/>
  <c r="G536" i="4"/>
  <c r="H536" i="4" s="1"/>
  <c r="K535" i="4"/>
  <c r="J535" i="4"/>
  <c r="M535" i="4" s="1"/>
  <c r="E535" i="4"/>
  <c r="F535" i="4" s="1"/>
  <c r="K534" i="4"/>
  <c r="J534" i="4"/>
  <c r="I534" i="4" s="1"/>
  <c r="L534" i="4" s="1"/>
  <c r="M534" i="4"/>
  <c r="E534" i="4"/>
  <c r="F534" i="4" s="1"/>
  <c r="K533" i="4"/>
  <c r="J533" i="4"/>
  <c r="M533" i="4" s="1"/>
  <c r="E533" i="4"/>
  <c r="F533" i="4" s="1"/>
  <c r="E532" i="4"/>
  <c r="F532" i="4"/>
  <c r="E531" i="4"/>
  <c r="F531" i="4" s="1"/>
  <c r="E530" i="4"/>
  <c r="F530" i="4" s="1"/>
  <c r="E529" i="4"/>
  <c r="F529" i="4" s="1"/>
  <c r="G529" i="4"/>
  <c r="H529" i="4" s="1"/>
  <c r="E528" i="4"/>
  <c r="F528" i="4" s="1"/>
  <c r="E527" i="4"/>
  <c r="K525" i="4"/>
  <c r="J525" i="4"/>
  <c r="M525" i="4"/>
  <c r="I525" i="4"/>
  <c r="L525" i="4" s="1"/>
  <c r="E525" i="4"/>
  <c r="F525" i="4" s="1"/>
  <c r="K524" i="4"/>
  <c r="J524" i="4"/>
  <c r="M524" i="4" s="1"/>
  <c r="E524" i="4"/>
  <c r="F524" i="4" s="1"/>
  <c r="K523" i="4"/>
  <c r="J523" i="4"/>
  <c r="M523" i="4" s="1"/>
  <c r="E523" i="4"/>
  <c r="F523" i="4"/>
  <c r="K522" i="4"/>
  <c r="J522" i="4"/>
  <c r="M522" i="4"/>
  <c r="E522" i="4"/>
  <c r="F522" i="4" s="1"/>
  <c r="K521" i="4"/>
  <c r="J521" i="4"/>
  <c r="M521" i="4" s="1"/>
  <c r="E521" i="4"/>
  <c r="F521" i="4" s="1"/>
  <c r="K520" i="4"/>
  <c r="J520" i="4"/>
  <c r="M520" i="4"/>
  <c r="E520" i="4"/>
  <c r="F520" i="4" s="1"/>
  <c r="E519" i="4"/>
  <c r="E518" i="4"/>
  <c r="G518" i="4" s="1"/>
  <c r="H518" i="4" s="1"/>
  <c r="E517" i="4"/>
  <c r="F517" i="4" s="1"/>
  <c r="E516" i="4"/>
  <c r="F516" i="4" s="1"/>
  <c r="E515" i="4"/>
  <c r="G515" i="4" s="1"/>
  <c r="H515" i="4" s="1"/>
  <c r="E514" i="4"/>
  <c r="G514" i="4" s="1"/>
  <c r="H514" i="4" s="1"/>
  <c r="K512" i="4"/>
  <c r="J512" i="4"/>
  <c r="E512" i="4"/>
  <c r="K511" i="4"/>
  <c r="J511" i="4"/>
  <c r="M511" i="4" s="1"/>
  <c r="E511" i="4"/>
  <c r="G511" i="4" s="1"/>
  <c r="H511" i="4" s="1"/>
  <c r="J510" i="4"/>
  <c r="M510" i="4" s="1"/>
  <c r="K510" i="4"/>
  <c r="E510" i="4"/>
  <c r="K509" i="4"/>
  <c r="J509" i="4"/>
  <c r="M509" i="4" s="1"/>
  <c r="E509" i="4"/>
  <c r="F509" i="4" s="1"/>
  <c r="K508" i="4"/>
  <c r="J508" i="4"/>
  <c r="E508" i="4"/>
  <c r="F508" i="4" s="1"/>
  <c r="K507" i="4"/>
  <c r="J507" i="4"/>
  <c r="M507" i="4" s="1"/>
  <c r="E507" i="4"/>
  <c r="E506" i="4"/>
  <c r="F506" i="4" s="1"/>
  <c r="E505" i="4"/>
  <c r="F505" i="4" s="1"/>
  <c r="E504" i="4"/>
  <c r="F504" i="4" s="1"/>
  <c r="G504" i="4"/>
  <c r="H504" i="4" s="1"/>
  <c r="E503" i="4"/>
  <c r="G503" i="4" s="1"/>
  <c r="H503" i="4" s="1"/>
  <c r="E502" i="4"/>
  <c r="F502" i="4" s="1"/>
  <c r="E501" i="4"/>
  <c r="G501" i="4"/>
  <c r="H501" i="4" s="1"/>
  <c r="F501" i="4"/>
  <c r="K499" i="4"/>
  <c r="J499" i="4"/>
  <c r="M499" i="4" s="1"/>
  <c r="E499" i="4"/>
  <c r="F499" i="4" s="1"/>
  <c r="K498" i="4"/>
  <c r="J498" i="4"/>
  <c r="M498" i="4" s="1"/>
  <c r="E498" i="4"/>
  <c r="G498" i="4" s="1"/>
  <c r="H498" i="4" s="1"/>
  <c r="K497" i="4"/>
  <c r="J497" i="4"/>
  <c r="M497" i="4" s="1"/>
  <c r="E497" i="4"/>
  <c r="G497" i="4" s="1"/>
  <c r="H497" i="4" s="1"/>
  <c r="K496" i="4"/>
  <c r="J496" i="4"/>
  <c r="E496" i="4"/>
  <c r="K495" i="4"/>
  <c r="J495" i="4"/>
  <c r="M495" i="4" s="1"/>
  <c r="E495" i="4"/>
  <c r="F495" i="4" s="1"/>
  <c r="G495" i="4"/>
  <c r="H495" i="4" s="1"/>
  <c r="J494" i="4"/>
  <c r="I494" i="4" s="1"/>
  <c r="L494" i="4" s="1"/>
  <c r="K494" i="4"/>
  <c r="E494" i="4"/>
  <c r="E493" i="4"/>
  <c r="G493" i="4" s="1"/>
  <c r="H493" i="4" s="1"/>
  <c r="E492" i="4"/>
  <c r="G492" i="4" s="1"/>
  <c r="H492" i="4" s="1"/>
  <c r="E491" i="4"/>
  <c r="F491" i="4" s="1"/>
  <c r="E490" i="4"/>
  <c r="F490" i="4" s="1"/>
  <c r="E489" i="4"/>
  <c r="F489" i="4" s="1"/>
  <c r="E488" i="4"/>
  <c r="F488" i="4" s="1"/>
  <c r="K486" i="4"/>
  <c r="J486" i="4"/>
  <c r="M486" i="4" s="1"/>
  <c r="E486" i="4"/>
  <c r="K485" i="4"/>
  <c r="J485" i="4"/>
  <c r="E485" i="4"/>
  <c r="G485" i="4" s="1"/>
  <c r="H485" i="4" s="1"/>
  <c r="K484" i="4"/>
  <c r="J484" i="4"/>
  <c r="M484" i="4" s="1"/>
  <c r="E484" i="4"/>
  <c r="G484" i="4" s="1"/>
  <c r="H484" i="4" s="1"/>
  <c r="F484" i="4"/>
  <c r="K483" i="4"/>
  <c r="J483" i="4"/>
  <c r="E483" i="4"/>
  <c r="G483" i="4" s="1"/>
  <c r="H483" i="4" s="1"/>
  <c r="K482" i="4"/>
  <c r="J482" i="4"/>
  <c r="M482" i="4" s="1"/>
  <c r="E482" i="4"/>
  <c r="F482" i="4" s="1"/>
  <c r="G482" i="4"/>
  <c r="H482" i="4" s="1"/>
  <c r="K481" i="4"/>
  <c r="J481" i="4"/>
  <c r="E481" i="4"/>
  <c r="E480" i="4"/>
  <c r="G480" i="4" s="1"/>
  <c r="H480" i="4" s="1"/>
  <c r="F480" i="4"/>
  <c r="E479" i="4"/>
  <c r="G479" i="4"/>
  <c r="H479" i="4" s="1"/>
  <c r="F479" i="4"/>
  <c r="E478" i="4"/>
  <c r="F478" i="4" s="1"/>
  <c r="G478" i="4"/>
  <c r="H478" i="4" s="1"/>
  <c r="E477" i="4"/>
  <c r="G477" i="4"/>
  <c r="H477" i="4" s="1"/>
  <c r="E476" i="4"/>
  <c r="G476" i="4" s="1"/>
  <c r="H476" i="4"/>
  <c r="F476" i="4"/>
  <c r="E475" i="4"/>
  <c r="G475" i="4" s="1"/>
  <c r="H475" i="4" s="1"/>
  <c r="F475" i="4"/>
  <c r="K473" i="4"/>
  <c r="J473" i="4"/>
  <c r="M473" i="4"/>
  <c r="E473" i="4"/>
  <c r="K472" i="4"/>
  <c r="J472" i="4"/>
  <c r="M472" i="4"/>
  <c r="E472" i="4"/>
  <c r="G472" i="4" s="1"/>
  <c r="H472" i="4" s="1"/>
  <c r="K471" i="4"/>
  <c r="J471" i="4"/>
  <c r="M471" i="4" s="1"/>
  <c r="E471" i="4"/>
  <c r="F471" i="4" s="1"/>
  <c r="K470" i="4"/>
  <c r="J470" i="4"/>
  <c r="E470" i="4"/>
  <c r="K469" i="4"/>
  <c r="J469" i="4"/>
  <c r="M469" i="4" s="1"/>
  <c r="E469" i="4"/>
  <c r="F469" i="4" s="1"/>
  <c r="K468" i="4"/>
  <c r="J468" i="4"/>
  <c r="E468" i="4"/>
  <c r="E467" i="4"/>
  <c r="F467" i="4" s="1"/>
  <c r="E466" i="4"/>
  <c r="F466" i="4" s="1"/>
  <c r="G466" i="4"/>
  <c r="H466" i="4" s="1"/>
  <c r="E465" i="4"/>
  <c r="F465" i="4" s="1"/>
  <c r="G465" i="4"/>
  <c r="H465" i="4" s="1"/>
  <c r="E464" i="4"/>
  <c r="G464" i="4" s="1"/>
  <c r="H464" i="4" s="1"/>
  <c r="E463" i="4"/>
  <c r="G463" i="4" s="1"/>
  <c r="H463" i="4" s="1"/>
  <c r="F463" i="4"/>
  <c r="E462" i="4"/>
  <c r="F462" i="4" s="1"/>
  <c r="G462" i="4"/>
  <c r="H462" i="4" s="1"/>
  <c r="K460" i="4"/>
  <c r="J460" i="4"/>
  <c r="M460" i="4"/>
  <c r="E460" i="4"/>
  <c r="K459" i="4"/>
  <c r="J459" i="4"/>
  <c r="E459" i="4"/>
  <c r="G459" i="4" s="1"/>
  <c r="H459" i="4" s="1"/>
  <c r="K458" i="4"/>
  <c r="J458" i="4"/>
  <c r="M458" i="4"/>
  <c r="E458" i="4"/>
  <c r="G458" i="4" s="1"/>
  <c r="H458" i="4" s="1"/>
  <c r="K457" i="4"/>
  <c r="J457" i="4"/>
  <c r="E457" i="4"/>
  <c r="F457" i="4" s="1"/>
  <c r="K456" i="4"/>
  <c r="J456" i="4"/>
  <c r="M456" i="4" s="1"/>
  <c r="E456" i="4"/>
  <c r="G456" i="4"/>
  <c r="H456" i="4" s="1"/>
  <c r="F456" i="4"/>
  <c r="K455" i="4"/>
  <c r="J455" i="4"/>
  <c r="E455" i="4"/>
  <c r="E454" i="4"/>
  <c r="G454" i="4" s="1"/>
  <c r="H454" i="4" s="1"/>
  <c r="E453" i="4"/>
  <c r="G453" i="4" s="1"/>
  <c r="H453" i="4" s="1"/>
  <c r="F453" i="4"/>
  <c r="E452" i="4"/>
  <c r="G452" i="4" s="1"/>
  <c r="H452" i="4" s="1"/>
  <c r="E451" i="4"/>
  <c r="G451" i="4" s="1"/>
  <c r="H451" i="4" s="1"/>
  <c r="E450" i="4"/>
  <c r="F450" i="4" s="1"/>
  <c r="G450" i="4"/>
  <c r="H450" i="4" s="1"/>
  <c r="E449" i="4"/>
  <c r="F449" i="4" s="1"/>
  <c r="K447" i="4"/>
  <c r="J447" i="4"/>
  <c r="M447" i="4" s="1"/>
  <c r="E447" i="4"/>
  <c r="K446" i="4"/>
  <c r="J446" i="4"/>
  <c r="M446" i="4" s="1"/>
  <c r="E446" i="4"/>
  <c r="G446" i="4"/>
  <c r="H446" i="4" s="1"/>
  <c r="K445" i="4"/>
  <c r="J445" i="4"/>
  <c r="M445" i="4" s="1"/>
  <c r="E445" i="4"/>
  <c r="G445" i="4" s="1"/>
  <c r="H445" i="4" s="1"/>
  <c r="K444" i="4"/>
  <c r="J444" i="4"/>
  <c r="E444" i="4"/>
  <c r="F444" i="4" s="1"/>
  <c r="K443" i="4"/>
  <c r="J443" i="4"/>
  <c r="M443" i="4"/>
  <c r="E443" i="4"/>
  <c r="G443" i="4" s="1"/>
  <c r="H443" i="4" s="1"/>
  <c r="K442" i="4"/>
  <c r="J442" i="4"/>
  <c r="E442" i="4"/>
  <c r="E441" i="4"/>
  <c r="G441" i="4" s="1"/>
  <c r="H441" i="4" s="1"/>
  <c r="E440" i="4"/>
  <c r="G440" i="4" s="1"/>
  <c r="H440" i="4" s="1"/>
  <c r="E439" i="4"/>
  <c r="G439" i="4" s="1"/>
  <c r="H439" i="4" s="1"/>
  <c r="E438" i="4"/>
  <c r="G438" i="4" s="1"/>
  <c r="H438" i="4" s="1"/>
  <c r="E437" i="4"/>
  <c r="F437" i="4" s="1"/>
  <c r="E436" i="4"/>
  <c r="F436" i="4" s="1"/>
  <c r="K434" i="4"/>
  <c r="J434" i="4"/>
  <c r="M434" i="4" s="1"/>
  <c r="E434" i="4"/>
  <c r="K433" i="4"/>
  <c r="J433" i="4"/>
  <c r="E433" i="4"/>
  <c r="G433" i="4" s="1"/>
  <c r="H433" i="4" s="1"/>
  <c r="K432" i="4"/>
  <c r="J432" i="4"/>
  <c r="M432" i="4" s="1"/>
  <c r="E432" i="4"/>
  <c r="G432" i="4"/>
  <c r="H432" i="4" s="1"/>
  <c r="F432" i="4"/>
  <c r="K431" i="4"/>
  <c r="J431" i="4"/>
  <c r="E431" i="4"/>
  <c r="G431" i="4" s="1"/>
  <c r="H431" i="4" s="1"/>
  <c r="K430" i="4"/>
  <c r="J430" i="4"/>
  <c r="M430" i="4" s="1"/>
  <c r="E430" i="4"/>
  <c r="F430" i="4" s="1"/>
  <c r="K429" i="4"/>
  <c r="J429" i="4"/>
  <c r="E429" i="4"/>
  <c r="E428" i="4"/>
  <c r="E427" i="4"/>
  <c r="G427" i="4"/>
  <c r="H427" i="4"/>
  <c r="F427" i="4"/>
  <c r="E426" i="4"/>
  <c r="E425" i="4"/>
  <c r="G425" i="4"/>
  <c r="H425" i="4" s="1"/>
  <c r="E424" i="4"/>
  <c r="G424" i="4" s="1"/>
  <c r="H424" i="4" s="1"/>
  <c r="E423" i="4"/>
  <c r="G423" i="4" s="1"/>
  <c r="H423" i="4" s="1"/>
  <c r="K421" i="4"/>
  <c r="J421" i="4"/>
  <c r="M421" i="4"/>
  <c r="E421" i="4"/>
  <c r="K420" i="4"/>
  <c r="J420" i="4"/>
  <c r="M420" i="4" s="1"/>
  <c r="E420" i="4"/>
  <c r="G420" i="4" s="1"/>
  <c r="H420" i="4" s="1"/>
  <c r="K419" i="4"/>
  <c r="J419" i="4"/>
  <c r="M419" i="4" s="1"/>
  <c r="E419" i="4"/>
  <c r="F419" i="4" s="1"/>
  <c r="K418" i="4"/>
  <c r="J418" i="4"/>
  <c r="E418" i="4"/>
  <c r="G418" i="4" s="1"/>
  <c r="H418" i="4" s="1"/>
  <c r="F418" i="4"/>
  <c r="K417" i="4"/>
  <c r="J417" i="4"/>
  <c r="M417" i="4" s="1"/>
  <c r="E417" i="4"/>
  <c r="F417" i="4" s="1"/>
  <c r="K416" i="4"/>
  <c r="J416" i="4"/>
  <c r="E416" i="4"/>
  <c r="E415" i="4"/>
  <c r="F415" i="4" s="1"/>
  <c r="G415" i="4"/>
  <c r="H415" i="4" s="1"/>
  <c r="E414" i="4"/>
  <c r="F414" i="4" s="1"/>
  <c r="G414" i="4"/>
  <c r="H414" i="4" s="1"/>
  <c r="E413" i="4"/>
  <c r="E412" i="4"/>
  <c r="G412" i="4" s="1"/>
  <c r="H412" i="4" s="1"/>
  <c r="E411" i="4"/>
  <c r="F411" i="4" s="1"/>
  <c r="E410" i="4"/>
  <c r="G410" i="4"/>
  <c r="H410" i="4" s="1"/>
  <c r="F410" i="4"/>
  <c r="K408" i="4"/>
  <c r="J408" i="4"/>
  <c r="M408" i="4"/>
  <c r="E408" i="4"/>
  <c r="K407" i="4"/>
  <c r="J407" i="4"/>
  <c r="M407" i="4" s="1"/>
  <c r="I407" i="4"/>
  <c r="L407" i="4" s="1"/>
  <c r="E407" i="4"/>
  <c r="G407" i="4" s="1"/>
  <c r="H407" i="4" s="1"/>
  <c r="K406" i="4"/>
  <c r="J406" i="4"/>
  <c r="M406" i="4" s="1"/>
  <c r="E406" i="4"/>
  <c r="G406" i="4" s="1"/>
  <c r="H406" i="4" s="1"/>
  <c r="K405" i="4"/>
  <c r="J405" i="4"/>
  <c r="E405" i="4"/>
  <c r="F405" i="4" s="1"/>
  <c r="K404" i="4"/>
  <c r="J404" i="4"/>
  <c r="M404" i="4" s="1"/>
  <c r="E404" i="4"/>
  <c r="G404" i="4" s="1"/>
  <c r="H404" i="4" s="1"/>
  <c r="F404" i="4"/>
  <c r="K403" i="4"/>
  <c r="J403" i="4"/>
  <c r="E403" i="4"/>
  <c r="E402" i="4"/>
  <c r="G402" i="4" s="1"/>
  <c r="H402" i="4" s="1"/>
  <c r="F402" i="4"/>
  <c r="E401" i="4"/>
  <c r="G401" i="4" s="1"/>
  <c r="H401" i="4" s="1"/>
  <c r="E400" i="4"/>
  <c r="G400" i="4" s="1"/>
  <c r="H400" i="4" s="1"/>
  <c r="E399" i="4"/>
  <c r="G399" i="4" s="1"/>
  <c r="H399" i="4" s="1"/>
  <c r="E398" i="4"/>
  <c r="F398" i="4" s="1"/>
  <c r="G398" i="4"/>
  <c r="H398" i="4" s="1"/>
  <c r="E397" i="4"/>
  <c r="F397" i="4" s="1"/>
  <c r="K395" i="4"/>
  <c r="J395" i="4"/>
  <c r="M395" i="4" s="1"/>
  <c r="E395" i="4"/>
  <c r="K394" i="4"/>
  <c r="J394" i="4"/>
  <c r="M394" i="4" s="1"/>
  <c r="E394" i="4"/>
  <c r="G394" i="4"/>
  <c r="H394" i="4" s="1"/>
  <c r="K393" i="4"/>
  <c r="J393" i="4"/>
  <c r="M393" i="4"/>
  <c r="E393" i="4"/>
  <c r="G393" i="4" s="1"/>
  <c r="H393" i="4" s="1"/>
  <c r="K392" i="4"/>
  <c r="J392" i="4"/>
  <c r="E392" i="4"/>
  <c r="G392" i="4"/>
  <c r="H392" i="4" s="1"/>
  <c r="F392" i="4"/>
  <c r="K391" i="4"/>
  <c r="J391" i="4"/>
  <c r="M391" i="4"/>
  <c r="E391" i="4"/>
  <c r="G391" i="4" s="1"/>
  <c r="H391" i="4" s="1"/>
  <c r="K390" i="4"/>
  <c r="J390" i="4"/>
  <c r="E390" i="4"/>
  <c r="E389" i="4"/>
  <c r="E388" i="4"/>
  <c r="G388" i="4" s="1"/>
  <c r="H388" i="4" s="1"/>
  <c r="E387" i="4"/>
  <c r="G387" i="4" s="1"/>
  <c r="H387" i="4" s="1"/>
  <c r="E386" i="4"/>
  <c r="G386" i="4" s="1"/>
  <c r="H386" i="4" s="1"/>
  <c r="E385" i="4"/>
  <c r="F385" i="4" s="1"/>
  <c r="G385" i="4"/>
  <c r="H385" i="4" s="1"/>
  <c r="E384" i="4"/>
  <c r="F384" i="4" s="1"/>
  <c r="K382" i="4"/>
  <c r="J382" i="4"/>
  <c r="M382" i="4" s="1"/>
  <c r="E382" i="4"/>
  <c r="K381" i="4"/>
  <c r="J381" i="4"/>
  <c r="E381" i="4"/>
  <c r="G381" i="4" s="1"/>
  <c r="H381" i="4" s="1"/>
  <c r="K380" i="4"/>
  <c r="J380" i="4"/>
  <c r="M380" i="4" s="1"/>
  <c r="E380" i="4"/>
  <c r="G380" i="4" s="1"/>
  <c r="H380" i="4" s="1"/>
  <c r="F380" i="4"/>
  <c r="K379" i="4"/>
  <c r="J379" i="4"/>
  <c r="E379" i="4"/>
  <c r="G379" i="4" s="1"/>
  <c r="H379" i="4" s="1"/>
  <c r="K378" i="4"/>
  <c r="J378" i="4"/>
  <c r="M378" i="4" s="1"/>
  <c r="E378" i="4"/>
  <c r="F378" i="4" s="1"/>
  <c r="K377" i="4"/>
  <c r="J377" i="4"/>
  <c r="E377" i="4"/>
  <c r="E376" i="4"/>
  <c r="G376" i="4"/>
  <c r="H376" i="4" s="1"/>
  <c r="F376" i="4"/>
  <c r="E375" i="4"/>
  <c r="G375" i="4" s="1"/>
  <c r="H375" i="4" s="1"/>
  <c r="E374" i="4"/>
  <c r="G374" i="4" s="1"/>
  <c r="H374" i="4" s="1"/>
  <c r="F374" i="4"/>
  <c r="E373" i="4"/>
  <c r="G373" i="4" s="1"/>
  <c r="H373" i="4" s="1"/>
  <c r="E372" i="4"/>
  <c r="G372" i="4" s="1"/>
  <c r="H372" i="4" s="1"/>
  <c r="F372" i="4"/>
  <c r="E371" i="4"/>
  <c r="G371" i="4" s="1"/>
  <c r="H371" i="4" s="1"/>
  <c r="K369" i="4"/>
  <c r="J369" i="4"/>
  <c r="M369" i="4" s="1"/>
  <c r="E369" i="4"/>
  <c r="K368" i="4"/>
  <c r="J368" i="4"/>
  <c r="M368" i="4"/>
  <c r="E368" i="4"/>
  <c r="G368" i="4" s="1"/>
  <c r="H368" i="4" s="1"/>
  <c r="K367" i="4"/>
  <c r="J367" i="4"/>
  <c r="M367" i="4" s="1"/>
  <c r="E367" i="4"/>
  <c r="G367" i="4"/>
  <c r="H367" i="4" s="1"/>
  <c r="F367" i="4"/>
  <c r="K366" i="4"/>
  <c r="J366" i="4"/>
  <c r="E366" i="4"/>
  <c r="K365" i="4"/>
  <c r="J365" i="4"/>
  <c r="M365" i="4" s="1"/>
  <c r="E365" i="4"/>
  <c r="F365" i="4" s="1"/>
  <c r="G365" i="4"/>
  <c r="H365" i="4" s="1"/>
  <c r="K364" i="4"/>
  <c r="J364" i="4"/>
  <c r="E364" i="4"/>
  <c r="E363" i="4"/>
  <c r="G363" i="4" s="1"/>
  <c r="H363" i="4" s="1"/>
  <c r="F363" i="4"/>
  <c r="E362" i="4"/>
  <c r="G362" i="4"/>
  <c r="H362" i="4" s="1"/>
  <c r="F362" i="4"/>
  <c r="E361" i="4"/>
  <c r="F361" i="4" s="1"/>
  <c r="E360" i="4"/>
  <c r="G360" i="4"/>
  <c r="H360" i="4" s="1"/>
  <c r="E359" i="4"/>
  <c r="G359" i="4" s="1"/>
  <c r="H359" i="4"/>
  <c r="F359" i="4"/>
  <c r="E358" i="4"/>
  <c r="K356" i="4"/>
  <c r="J356" i="4"/>
  <c r="M356" i="4" s="1"/>
  <c r="E356" i="4"/>
  <c r="K355" i="4"/>
  <c r="J355" i="4"/>
  <c r="I355" i="4" s="1"/>
  <c r="L355" i="4" s="1"/>
  <c r="M355" i="4"/>
  <c r="E355" i="4"/>
  <c r="G355" i="4"/>
  <c r="H355" i="4" s="1"/>
  <c r="K354" i="4"/>
  <c r="J354" i="4"/>
  <c r="M354" i="4" s="1"/>
  <c r="E354" i="4"/>
  <c r="K353" i="4"/>
  <c r="J353" i="4"/>
  <c r="E353" i="4"/>
  <c r="G353" i="4"/>
  <c r="H353" i="4" s="1"/>
  <c r="F353" i="4"/>
  <c r="K352" i="4"/>
  <c r="J352" i="4"/>
  <c r="M352" i="4" s="1"/>
  <c r="E352" i="4"/>
  <c r="G352" i="4" s="1"/>
  <c r="H352" i="4" s="1"/>
  <c r="F352" i="4"/>
  <c r="K351" i="4"/>
  <c r="J351" i="4"/>
  <c r="E351" i="4"/>
  <c r="E350" i="4"/>
  <c r="G350" i="4" s="1"/>
  <c r="H350" i="4" s="1"/>
  <c r="E349" i="4"/>
  <c r="E348" i="4"/>
  <c r="G348" i="4" s="1"/>
  <c r="H348" i="4" s="1"/>
  <c r="E347" i="4"/>
  <c r="G347" i="4" s="1"/>
  <c r="H347" i="4" s="1"/>
  <c r="E346" i="4"/>
  <c r="E345" i="4"/>
  <c r="K343" i="4"/>
  <c r="J343" i="4"/>
  <c r="M343" i="4" s="1"/>
  <c r="E343" i="4"/>
  <c r="G343" i="4" s="1"/>
  <c r="H343" i="4" s="1"/>
  <c r="F343" i="4"/>
  <c r="J342" i="4"/>
  <c r="M342" i="4" s="1"/>
  <c r="K342" i="4"/>
  <c r="I342" i="4"/>
  <c r="L342" i="4" s="1"/>
  <c r="E342" i="4"/>
  <c r="F342" i="4" s="1"/>
  <c r="G342" i="4"/>
  <c r="H342" i="4" s="1"/>
  <c r="K341" i="4"/>
  <c r="J341" i="4"/>
  <c r="M341" i="4" s="1"/>
  <c r="E341" i="4"/>
  <c r="K340" i="4"/>
  <c r="J340" i="4"/>
  <c r="I340" i="4" s="1"/>
  <c r="L340" i="4" s="1"/>
  <c r="E340" i="4"/>
  <c r="K339" i="4"/>
  <c r="J339" i="4"/>
  <c r="M339" i="4" s="1"/>
  <c r="E339" i="4"/>
  <c r="F339" i="4" s="1"/>
  <c r="J338" i="4"/>
  <c r="I338" i="4" s="1"/>
  <c r="L338" i="4" s="1"/>
  <c r="K338" i="4"/>
  <c r="E338" i="4"/>
  <c r="G338" i="4" s="1"/>
  <c r="H338" i="4" s="1"/>
  <c r="E337" i="4"/>
  <c r="E336" i="4"/>
  <c r="E335" i="4"/>
  <c r="G335" i="4"/>
  <c r="H335" i="4" s="1"/>
  <c r="F335" i="4"/>
  <c r="E334" i="4"/>
  <c r="G334" i="4" s="1"/>
  <c r="H334" i="4" s="1"/>
  <c r="E333" i="4"/>
  <c r="E332" i="4"/>
  <c r="K330" i="4"/>
  <c r="J330" i="4"/>
  <c r="M330" i="4" s="1"/>
  <c r="E330" i="4"/>
  <c r="F330" i="4" s="1"/>
  <c r="G330" i="4"/>
  <c r="H330" i="4" s="1"/>
  <c r="K329" i="4"/>
  <c r="J329" i="4"/>
  <c r="M329" i="4" s="1"/>
  <c r="E329" i="4"/>
  <c r="K328" i="4"/>
  <c r="J328" i="4"/>
  <c r="M328" i="4" s="1"/>
  <c r="E328" i="4"/>
  <c r="K327" i="4"/>
  <c r="J327" i="4"/>
  <c r="M327" i="4" s="1"/>
  <c r="E327" i="4"/>
  <c r="K326" i="4"/>
  <c r="J326" i="4"/>
  <c r="M326" i="4" s="1"/>
  <c r="E326" i="4"/>
  <c r="G326" i="4" s="1"/>
  <c r="H326" i="4" s="1"/>
  <c r="F326" i="4"/>
  <c r="J325" i="4"/>
  <c r="M325" i="4" s="1"/>
  <c r="K325" i="4"/>
  <c r="E325" i="4"/>
  <c r="G325" i="4" s="1"/>
  <c r="H325" i="4" s="1"/>
  <c r="F325" i="4"/>
  <c r="E324" i="4"/>
  <c r="E323" i="4"/>
  <c r="E322" i="4"/>
  <c r="G322" i="4" s="1"/>
  <c r="H322" i="4" s="1"/>
  <c r="F322" i="4"/>
  <c r="E321" i="4"/>
  <c r="G321" i="4" s="1"/>
  <c r="H321" i="4" s="1"/>
  <c r="E320" i="4"/>
  <c r="E319" i="4"/>
  <c r="K317" i="4"/>
  <c r="J317" i="4"/>
  <c r="M317" i="4" s="1"/>
  <c r="E317" i="4"/>
  <c r="G317" i="4" s="1"/>
  <c r="H317" i="4"/>
  <c r="F317" i="4"/>
  <c r="K316" i="4"/>
  <c r="J316" i="4"/>
  <c r="M316" i="4" s="1"/>
  <c r="I316" i="4"/>
  <c r="L316" i="4" s="1"/>
  <c r="E316" i="4"/>
  <c r="G316" i="4"/>
  <c r="H316" i="4"/>
  <c r="F316" i="4"/>
  <c r="K315" i="4"/>
  <c r="J315" i="4"/>
  <c r="M315" i="4" s="1"/>
  <c r="E315" i="4"/>
  <c r="K314" i="4"/>
  <c r="J314" i="4"/>
  <c r="I314" i="4" s="1"/>
  <c r="L314" i="4" s="1"/>
  <c r="E314" i="4"/>
  <c r="K313" i="4"/>
  <c r="J313" i="4"/>
  <c r="M313" i="4" s="1"/>
  <c r="E313" i="4"/>
  <c r="F313" i="4" s="1"/>
  <c r="K312" i="4"/>
  <c r="J312" i="4"/>
  <c r="M312" i="4" s="1"/>
  <c r="E312" i="4"/>
  <c r="G312" i="4" s="1"/>
  <c r="H312" i="4" s="1"/>
  <c r="F312" i="4"/>
  <c r="E311" i="4"/>
  <c r="E310" i="4"/>
  <c r="E309" i="4"/>
  <c r="G309" i="4" s="1"/>
  <c r="H309" i="4" s="1"/>
  <c r="F309" i="4"/>
  <c r="E308" i="4"/>
  <c r="G308" i="4" s="1"/>
  <c r="H308" i="4" s="1"/>
  <c r="E307" i="4"/>
  <c r="E306" i="4"/>
  <c r="K304" i="4"/>
  <c r="J304" i="4"/>
  <c r="M304" i="4" s="1"/>
  <c r="E304" i="4"/>
  <c r="G304" i="4" s="1"/>
  <c r="H304" i="4" s="1"/>
  <c r="F304" i="4"/>
  <c r="J303" i="4"/>
  <c r="M303" i="4" s="1"/>
  <c r="K303" i="4"/>
  <c r="I303" i="4"/>
  <c r="L303" i="4" s="1"/>
  <c r="E303" i="4"/>
  <c r="F303" i="4" s="1"/>
  <c r="G303" i="4"/>
  <c r="H303" i="4" s="1"/>
  <c r="K302" i="4"/>
  <c r="J302" i="4"/>
  <c r="M302" i="4"/>
  <c r="E302" i="4"/>
  <c r="K301" i="4"/>
  <c r="J301" i="4"/>
  <c r="E301" i="4"/>
  <c r="K300" i="4"/>
  <c r="J300" i="4"/>
  <c r="M300" i="4" s="1"/>
  <c r="E300" i="4"/>
  <c r="F300" i="4" s="1"/>
  <c r="K299" i="4"/>
  <c r="J299" i="4"/>
  <c r="E299" i="4"/>
  <c r="G299" i="4" s="1"/>
  <c r="H299" i="4" s="1"/>
  <c r="E298" i="4"/>
  <c r="E297" i="4"/>
  <c r="E296" i="4"/>
  <c r="G296" i="4"/>
  <c r="H296" i="4" s="1"/>
  <c r="F296" i="4"/>
  <c r="E295" i="4"/>
  <c r="F295" i="4" s="1"/>
  <c r="E294" i="4"/>
  <c r="E293" i="4"/>
  <c r="K291" i="4"/>
  <c r="J291" i="4"/>
  <c r="M291" i="4" s="1"/>
  <c r="E291" i="4"/>
  <c r="F291" i="4" s="1"/>
  <c r="J290" i="4"/>
  <c r="I290" i="4" s="1"/>
  <c r="L290" i="4" s="1"/>
  <c r="K290" i="4"/>
  <c r="E290" i="4"/>
  <c r="G290" i="4" s="1"/>
  <c r="H290" i="4" s="1"/>
  <c r="K289" i="4"/>
  <c r="J289" i="4"/>
  <c r="M289" i="4" s="1"/>
  <c r="E289" i="4"/>
  <c r="K288" i="4"/>
  <c r="J288" i="4"/>
  <c r="M288" i="4" s="1"/>
  <c r="E288" i="4"/>
  <c r="K287" i="4"/>
  <c r="J287" i="4"/>
  <c r="M287" i="4" s="1"/>
  <c r="E287" i="4"/>
  <c r="G287" i="4" s="1"/>
  <c r="H287" i="4"/>
  <c r="F287" i="4"/>
  <c r="J286" i="4"/>
  <c r="M286" i="4" s="1"/>
  <c r="K286" i="4"/>
  <c r="I286" i="4"/>
  <c r="L286" i="4" s="1"/>
  <c r="E286" i="4"/>
  <c r="G286" i="4"/>
  <c r="H286" i="4" s="1"/>
  <c r="F286" i="4"/>
  <c r="E285" i="4"/>
  <c r="E284" i="4"/>
  <c r="E283" i="4"/>
  <c r="G283" i="4" s="1"/>
  <c r="H283" i="4" s="1"/>
  <c r="F283" i="4"/>
  <c r="E282" i="4"/>
  <c r="G282" i="4" s="1"/>
  <c r="H282" i="4" s="1"/>
  <c r="E281" i="4"/>
  <c r="E280" i="4"/>
  <c r="K278" i="4"/>
  <c r="J278" i="4"/>
  <c r="M278" i="4" s="1"/>
  <c r="E278" i="4"/>
  <c r="G278" i="4" s="1"/>
  <c r="H278" i="4" s="1"/>
  <c r="F278" i="4"/>
  <c r="K277" i="4"/>
  <c r="J277" i="4"/>
  <c r="M277" i="4" s="1"/>
  <c r="E277" i="4"/>
  <c r="G277" i="4" s="1"/>
  <c r="H277" i="4" s="1"/>
  <c r="F277" i="4"/>
  <c r="K276" i="4"/>
  <c r="J276" i="4"/>
  <c r="M276" i="4" s="1"/>
  <c r="E276" i="4"/>
  <c r="K275" i="4"/>
  <c r="J275" i="4"/>
  <c r="M275" i="4" s="1"/>
  <c r="E275" i="4"/>
  <c r="K274" i="4"/>
  <c r="J274" i="4"/>
  <c r="M274" i="4" s="1"/>
  <c r="E274" i="4"/>
  <c r="F274" i="4" s="1"/>
  <c r="J273" i="4"/>
  <c r="I273" i="4" s="1"/>
  <c r="M273" i="4"/>
  <c r="K273" i="4"/>
  <c r="L273" i="4"/>
  <c r="E273" i="4"/>
  <c r="G273" i="4" s="1"/>
  <c r="H273" i="4" s="1"/>
  <c r="E272" i="4"/>
  <c r="E271" i="4"/>
  <c r="E270" i="4"/>
  <c r="G270" i="4"/>
  <c r="H270" i="4" s="1"/>
  <c r="F270" i="4"/>
  <c r="E269" i="4"/>
  <c r="F269" i="4" s="1"/>
  <c r="E268" i="4"/>
  <c r="E267" i="4"/>
  <c r="K265" i="4"/>
  <c r="J265" i="4"/>
  <c r="M265" i="4" s="1"/>
  <c r="E265" i="4"/>
  <c r="F265" i="4" s="1"/>
  <c r="K264" i="4"/>
  <c r="J264" i="4"/>
  <c r="E264" i="4"/>
  <c r="G264" i="4" s="1"/>
  <c r="H264" i="4" s="1"/>
  <c r="F264" i="4"/>
  <c r="K263" i="4"/>
  <c r="J263" i="4"/>
  <c r="M263" i="4" s="1"/>
  <c r="E263" i="4"/>
  <c r="K262" i="4"/>
  <c r="J262" i="4"/>
  <c r="E262" i="4"/>
  <c r="K261" i="4"/>
  <c r="J261" i="4"/>
  <c r="M261" i="4"/>
  <c r="E261" i="4"/>
  <c r="G261" i="4" s="1"/>
  <c r="H261" i="4" s="1"/>
  <c r="K260" i="4"/>
  <c r="J260" i="4"/>
  <c r="M260" i="4"/>
  <c r="E260" i="4"/>
  <c r="G260" i="4" s="1"/>
  <c r="H260" i="4" s="1"/>
  <c r="F260" i="4"/>
  <c r="E259" i="4"/>
  <c r="E258" i="4"/>
  <c r="E257" i="4"/>
  <c r="E256" i="4"/>
  <c r="G256" i="4"/>
  <c r="H256" i="4" s="1"/>
  <c r="F256" i="4"/>
  <c r="E255" i="4"/>
  <c r="E254" i="4"/>
  <c r="K252" i="4"/>
  <c r="J252" i="4"/>
  <c r="M252" i="4" s="1"/>
  <c r="E252" i="4"/>
  <c r="F252" i="4" s="1"/>
  <c r="G252" i="4"/>
  <c r="H252" i="4" s="1"/>
  <c r="J251" i="4"/>
  <c r="I251" i="4" s="1"/>
  <c r="L251" i="4" s="1"/>
  <c r="K251" i="4"/>
  <c r="E251" i="4"/>
  <c r="G251" i="4" s="1"/>
  <c r="H251" i="4" s="1"/>
  <c r="K250" i="4"/>
  <c r="J250" i="4"/>
  <c r="M250" i="4" s="1"/>
  <c r="E250" i="4"/>
  <c r="K249" i="4"/>
  <c r="J249" i="4"/>
  <c r="M249" i="4" s="1"/>
  <c r="E249" i="4"/>
  <c r="K248" i="4"/>
  <c r="J248" i="4"/>
  <c r="M248" i="4"/>
  <c r="E248" i="4"/>
  <c r="G248" i="4" s="1"/>
  <c r="H248" i="4" s="1"/>
  <c r="F248" i="4"/>
  <c r="K247" i="4"/>
  <c r="J247" i="4"/>
  <c r="I247" i="4" s="1"/>
  <c r="L247" i="4" s="1"/>
  <c r="E247" i="4"/>
  <c r="G247" i="4" s="1"/>
  <c r="H247" i="4" s="1"/>
  <c r="F247" i="4"/>
  <c r="E246" i="4"/>
  <c r="E245" i="4"/>
  <c r="E244" i="4"/>
  <c r="G244" i="4" s="1"/>
  <c r="H244" i="4" s="1"/>
  <c r="E243" i="4"/>
  <c r="G243" i="4" s="1"/>
  <c r="H243" i="4" s="1"/>
  <c r="E242" i="4"/>
  <c r="E241" i="4"/>
  <c r="K239" i="4"/>
  <c r="J239" i="4"/>
  <c r="M239" i="4" s="1"/>
  <c r="E239" i="4"/>
  <c r="G239" i="4" s="1"/>
  <c r="H239" i="4"/>
  <c r="J238" i="4"/>
  <c r="M238" i="4" s="1"/>
  <c r="K238" i="4"/>
  <c r="E238" i="4"/>
  <c r="G238" i="4"/>
  <c r="H238" i="4" s="1"/>
  <c r="F238" i="4"/>
  <c r="K237" i="4"/>
  <c r="J237" i="4"/>
  <c r="M237" i="4" s="1"/>
  <c r="E237" i="4"/>
  <c r="K236" i="4"/>
  <c r="J236" i="4"/>
  <c r="I236" i="4" s="1"/>
  <c r="L236" i="4" s="1"/>
  <c r="E236" i="4"/>
  <c r="K235" i="4"/>
  <c r="J235" i="4"/>
  <c r="M235" i="4" s="1"/>
  <c r="E235" i="4"/>
  <c r="F235" i="4" s="1"/>
  <c r="J234" i="4"/>
  <c r="I234" i="4" s="1"/>
  <c r="K234" i="4"/>
  <c r="L234" i="4"/>
  <c r="E234" i="4"/>
  <c r="G234" i="4" s="1"/>
  <c r="H234" i="4" s="1"/>
  <c r="E233" i="4"/>
  <c r="E232" i="4"/>
  <c r="E231" i="4"/>
  <c r="G231" i="4" s="1"/>
  <c r="H231" i="4" s="1"/>
  <c r="F231" i="4"/>
  <c r="E230" i="4"/>
  <c r="F230" i="4" s="1"/>
  <c r="E229" i="4"/>
  <c r="E228" i="4"/>
  <c r="K226" i="4"/>
  <c r="J226" i="4"/>
  <c r="M226" i="4" s="1"/>
  <c r="E226" i="4"/>
  <c r="F226" i="4" s="1"/>
  <c r="K225" i="4"/>
  <c r="J225" i="4"/>
  <c r="M225" i="4" s="1"/>
  <c r="E225" i="4"/>
  <c r="G225" i="4" s="1"/>
  <c r="H225" i="4" s="1"/>
  <c r="F225" i="4"/>
  <c r="K224" i="4"/>
  <c r="J224" i="4"/>
  <c r="M224" i="4"/>
  <c r="E224" i="4"/>
  <c r="K223" i="4"/>
  <c r="J223" i="4"/>
  <c r="M223" i="4" s="1"/>
  <c r="E223" i="4"/>
  <c r="K222" i="4"/>
  <c r="J222" i="4"/>
  <c r="M222" i="4" s="1"/>
  <c r="E222" i="4"/>
  <c r="J221" i="4"/>
  <c r="M221" i="4" s="1"/>
  <c r="K221" i="4"/>
  <c r="I221" i="4"/>
  <c r="L221" i="4" s="1"/>
  <c r="E221" i="4"/>
  <c r="G221" i="4" s="1"/>
  <c r="H221" i="4" s="1"/>
  <c r="E220" i="4"/>
  <c r="E219" i="4"/>
  <c r="E218" i="4"/>
  <c r="G218" i="4" s="1"/>
  <c r="H218" i="4" s="1"/>
  <c r="E217" i="4"/>
  <c r="G217" i="4" s="1"/>
  <c r="H217" i="4" s="1"/>
  <c r="F217" i="4"/>
  <c r="E216" i="4"/>
  <c r="E215" i="4"/>
  <c r="K213" i="4"/>
  <c r="J213" i="4"/>
  <c r="M213" i="4" s="1"/>
  <c r="E213" i="4"/>
  <c r="G213" i="4" s="1"/>
  <c r="H213" i="4" s="1"/>
  <c r="K212" i="4"/>
  <c r="J212" i="4"/>
  <c r="M212" i="4" s="1"/>
  <c r="E212" i="4"/>
  <c r="K211" i="4"/>
  <c r="J211" i="4"/>
  <c r="M211" i="4" s="1"/>
  <c r="E211" i="4"/>
  <c r="K210" i="4"/>
  <c r="J210" i="4"/>
  <c r="I210" i="4" s="1"/>
  <c r="L210" i="4" s="1"/>
  <c r="E210" i="4"/>
  <c r="K209" i="4"/>
  <c r="J209" i="4"/>
  <c r="M209" i="4" s="1"/>
  <c r="E209" i="4"/>
  <c r="F209" i="4" s="1"/>
  <c r="G209" i="4"/>
  <c r="H209" i="4" s="1"/>
  <c r="K208" i="4"/>
  <c r="J208" i="4"/>
  <c r="M208" i="4" s="1"/>
  <c r="E208" i="4"/>
  <c r="F208" i="4" s="1"/>
  <c r="E207" i="4"/>
  <c r="E206" i="4"/>
  <c r="E205" i="4"/>
  <c r="G205" i="4" s="1"/>
  <c r="H205" i="4" s="1"/>
  <c r="E204" i="4"/>
  <c r="G204" i="4" s="1"/>
  <c r="H204" i="4" s="1"/>
  <c r="F204" i="4"/>
  <c r="E203" i="4"/>
  <c r="E202" i="4"/>
  <c r="K200" i="4"/>
  <c r="J200" i="4"/>
  <c r="M200" i="4" s="1"/>
  <c r="E200" i="4"/>
  <c r="G200" i="4" s="1"/>
  <c r="H200" i="4" s="1"/>
  <c r="F200" i="4"/>
  <c r="J199" i="4"/>
  <c r="M199" i="4" s="1"/>
  <c r="K199" i="4"/>
  <c r="E199" i="4"/>
  <c r="K198" i="4"/>
  <c r="J198" i="4"/>
  <c r="M198" i="4" s="1"/>
  <c r="E198" i="4"/>
  <c r="G198" i="4" s="1"/>
  <c r="H198" i="4" s="1"/>
  <c r="K197" i="4"/>
  <c r="J197" i="4"/>
  <c r="M197" i="4"/>
  <c r="I197" i="4"/>
  <c r="L197" i="4" s="1"/>
  <c r="E197" i="4"/>
  <c r="F197" i="4"/>
  <c r="K196" i="4"/>
  <c r="J196" i="4"/>
  <c r="M196" i="4" s="1"/>
  <c r="E196" i="4"/>
  <c r="F196" i="4" s="1"/>
  <c r="K195" i="4"/>
  <c r="J195" i="4"/>
  <c r="M195" i="4"/>
  <c r="I195" i="4"/>
  <c r="L195" i="4"/>
  <c r="E195" i="4"/>
  <c r="E194" i="4"/>
  <c r="F194" i="4" s="1"/>
  <c r="E193" i="4"/>
  <c r="F193" i="4" s="1"/>
  <c r="E192" i="4"/>
  <c r="F192" i="4" s="1"/>
  <c r="E191" i="4"/>
  <c r="F191" i="4" s="1"/>
  <c r="E190" i="4"/>
  <c r="F190" i="4" s="1"/>
  <c r="E189" i="4"/>
  <c r="F189" i="4" s="1"/>
  <c r="G189" i="4"/>
  <c r="H189" i="4" s="1"/>
  <c r="K187" i="4"/>
  <c r="J187" i="4"/>
  <c r="M187" i="4"/>
  <c r="E187" i="4"/>
  <c r="G187" i="4"/>
  <c r="H187" i="4"/>
  <c r="F187" i="4"/>
  <c r="K186" i="4"/>
  <c r="J186" i="4"/>
  <c r="M186" i="4" s="1"/>
  <c r="E186" i="4"/>
  <c r="F186" i="4" s="1"/>
  <c r="K185" i="4"/>
  <c r="J185" i="4"/>
  <c r="M185" i="4"/>
  <c r="E185" i="4"/>
  <c r="F185" i="4"/>
  <c r="K184" i="4"/>
  <c r="J184" i="4"/>
  <c r="M184" i="4" s="1"/>
  <c r="I184" i="4"/>
  <c r="L184" i="4" s="1"/>
  <c r="E184" i="4"/>
  <c r="K183" i="4"/>
  <c r="J183" i="4"/>
  <c r="M183" i="4" s="1"/>
  <c r="E183" i="4"/>
  <c r="K182" i="4"/>
  <c r="J182" i="4"/>
  <c r="M182" i="4" s="1"/>
  <c r="E182" i="4"/>
  <c r="F182" i="4" s="1"/>
  <c r="E181" i="4"/>
  <c r="F181" i="4" s="1"/>
  <c r="E180" i="4"/>
  <c r="F180" i="4" s="1"/>
  <c r="E179" i="4"/>
  <c r="E178" i="4"/>
  <c r="E177" i="4"/>
  <c r="G177" i="4" s="1"/>
  <c r="H177" i="4" s="1"/>
  <c r="E176" i="4"/>
  <c r="G176" i="4" s="1"/>
  <c r="H176" i="4" s="1"/>
  <c r="K174" i="4"/>
  <c r="J174" i="4"/>
  <c r="M174" i="4" s="1"/>
  <c r="E174" i="4"/>
  <c r="J173" i="4"/>
  <c r="I173" i="4" s="1"/>
  <c r="L173" i="4" s="1"/>
  <c r="K173" i="4"/>
  <c r="E173" i="4"/>
  <c r="F173" i="4" s="1"/>
  <c r="K172" i="4"/>
  <c r="J172" i="4"/>
  <c r="M172" i="4"/>
  <c r="E172" i="4"/>
  <c r="K171" i="4"/>
  <c r="J171" i="4"/>
  <c r="M171" i="4" s="1"/>
  <c r="E171" i="4"/>
  <c r="G171" i="4" s="1"/>
  <c r="H171" i="4" s="1"/>
  <c r="F171" i="4"/>
  <c r="K170" i="4"/>
  <c r="J170" i="4"/>
  <c r="M170" i="4"/>
  <c r="E170" i="4"/>
  <c r="F170" i="4" s="1"/>
  <c r="J169" i="4"/>
  <c r="I169" i="4" s="1"/>
  <c r="L169" i="4" s="1"/>
  <c r="K169" i="4"/>
  <c r="E169" i="4"/>
  <c r="F169" i="4"/>
  <c r="E168" i="4"/>
  <c r="G168" i="4" s="1"/>
  <c r="H168" i="4" s="1"/>
  <c r="E167" i="4"/>
  <c r="G167" i="4" s="1"/>
  <c r="H167" i="4" s="1"/>
  <c r="E166" i="4"/>
  <c r="G166" i="4" s="1"/>
  <c r="H166" i="4" s="1"/>
  <c r="E165" i="4"/>
  <c r="F165" i="4" s="1"/>
  <c r="E164" i="4"/>
  <c r="E163" i="4"/>
  <c r="F163" i="4" s="1"/>
  <c r="G163" i="4"/>
  <c r="H163" i="4" s="1"/>
  <c r="K161" i="4"/>
  <c r="J161" i="4"/>
  <c r="M161" i="4" s="1"/>
  <c r="E161" i="4"/>
  <c r="F161" i="4" s="1"/>
  <c r="K160" i="4"/>
  <c r="J160" i="4"/>
  <c r="M160" i="4" s="1"/>
  <c r="E160" i="4"/>
  <c r="F160" i="4"/>
  <c r="K159" i="4"/>
  <c r="J159" i="4"/>
  <c r="M159" i="4" s="1"/>
  <c r="E159" i="4"/>
  <c r="G159" i="4" s="1"/>
  <c r="H159" i="4" s="1"/>
  <c r="K158" i="4"/>
  <c r="J158" i="4"/>
  <c r="M158" i="4"/>
  <c r="I158" i="4"/>
  <c r="L158" i="4" s="1"/>
  <c r="E158" i="4"/>
  <c r="F158" i="4" s="1"/>
  <c r="G158" i="4"/>
  <c r="H158" i="4" s="1"/>
  <c r="K157" i="4"/>
  <c r="J157" i="4"/>
  <c r="M157" i="4" s="1"/>
  <c r="E157" i="4"/>
  <c r="F157" i="4" s="1"/>
  <c r="K156" i="4"/>
  <c r="J156" i="4"/>
  <c r="M156" i="4" s="1"/>
  <c r="E156" i="4"/>
  <c r="F156" i="4" s="1"/>
  <c r="G156" i="4"/>
  <c r="H156" i="4" s="1"/>
  <c r="E155" i="4"/>
  <c r="F155" i="4" s="1"/>
  <c r="G155" i="4"/>
  <c r="H155" i="4" s="1"/>
  <c r="E154" i="4"/>
  <c r="E153" i="4"/>
  <c r="E152" i="4"/>
  <c r="F152" i="4" s="1"/>
  <c r="E151" i="4"/>
  <c r="G151" i="4"/>
  <c r="H151" i="4" s="1"/>
  <c r="E150" i="4"/>
  <c r="G150" i="4"/>
  <c r="H150" i="4" s="1"/>
  <c r="F150" i="4"/>
  <c r="K148" i="4"/>
  <c r="J148" i="4"/>
  <c r="M148" i="4"/>
  <c r="E148" i="4"/>
  <c r="F148" i="4" s="1"/>
  <c r="J147" i="4"/>
  <c r="I147" i="4" s="1"/>
  <c r="L147" i="4" s="1"/>
  <c r="M147" i="4"/>
  <c r="K147" i="4"/>
  <c r="E147" i="4"/>
  <c r="F147" i="4" s="1"/>
  <c r="G147" i="4"/>
  <c r="H147" i="4" s="1"/>
  <c r="K146" i="4"/>
  <c r="J146" i="4"/>
  <c r="M146" i="4" s="1"/>
  <c r="E146" i="4"/>
  <c r="K145" i="4"/>
  <c r="J145" i="4"/>
  <c r="E145" i="4"/>
  <c r="K144" i="4"/>
  <c r="J144" i="4"/>
  <c r="M144" i="4" s="1"/>
  <c r="E144" i="4"/>
  <c r="G144" i="4" s="1"/>
  <c r="H144" i="4" s="1"/>
  <c r="F144" i="4"/>
  <c r="K143" i="4"/>
  <c r="J143" i="4"/>
  <c r="M143" i="4"/>
  <c r="I143" i="4"/>
  <c r="L143" i="4" s="1"/>
  <c r="E143" i="4"/>
  <c r="E142" i="4"/>
  <c r="E141" i="4"/>
  <c r="G141" i="4" s="1"/>
  <c r="H141" i="4" s="1"/>
  <c r="E140" i="4"/>
  <c r="F140" i="4"/>
  <c r="E139" i="4"/>
  <c r="F139" i="4" s="1"/>
  <c r="E138" i="4"/>
  <c r="F138" i="4" s="1"/>
  <c r="E137" i="4"/>
  <c r="K135" i="4"/>
  <c r="J135" i="4"/>
  <c r="M135" i="4" s="1"/>
  <c r="E135" i="4"/>
  <c r="F135" i="4" s="1"/>
  <c r="J134" i="4"/>
  <c r="I134" i="4" s="1"/>
  <c r="L134" i="4" s="1"/>
  <c r="K134" i="4"/>
  <c r="E134" i="4"/>
  <c r="G134" i="4" s="1"/>
  <c r="H134" i="4" s="1"/>
  <c r="F134" i="4"/>
  <c r="K133" i="4"/>
  <c r="J133" i="4"/>
  <c r="M133" i="4" s="1"/>
  <c r="E133" i="4"/>
  <c r="F133" i="4" s="1"/>
  <c r="K132" i="4"/>
  <c r="J132" i="4"/>
  <c r="M132" i="4" s="1"/>
  <c r="E132" i="4"/>
  <c r="K131" i="4"/>
  <c r="J131" i="4"/>
  <c r="M131" i="4" s="1"/>
  <c r="E131" i="4"/>
  <c r="F131" i="4" s="1"/>
  <c r="K130" i="4"/>
  <c r="J130" i="4"/>
  <c r="I130" i="4" s="1"/>
  <c r="L130" i="4" s="1"/>
  <c r="M130" i="4"/>
  <c r="E130" i="4"/>
  <c r="E129" i="4"/>
  <c r="G129" i="4" s="1"/>
  <c r="H129" i="4" s="1"/>
  <c r="E128" i="4"/>
  <c r="G128" i="4"/>
  <c r="H128" i="4"/>
  <c r="F128" i="4"/>
  <c r="E127" i="4"/>
  <c r="F127" i="4" s="1"/>
  <c r="E126" i="4"/>
  <c r="F126" i="4" s="1"/>
  <c r="E125" i="4"/>
  <c r="G125" i="4" s="1"/>
  <c r="H125" i="4" s="1"/>
  <c r="F125" i="4"/>
  <c r="E124" i="4"/>
  <c r="K122" i="4"/>
  <c r="J122" i="4"/>
  <c r="M122" i="4" s="1"/>
  <c r="E122" i="4"/>
  <c r="F122" i="4" s="1"/>
  <c r="K121" i="4"/>
  <c r="J121" i="4"/>
  <c r="M121" i="4" s="1"/>
  <c r="E121" i="4"/>
  <c r="K120" i="4"/>
  <c r="J120" i="4"/>
  <c r="M120" i="4" s="1"/>
  <c r="E120" i="4"/>
  <c r="K119" i="4"/>
  <c r="J119" i="4"/>
  <c r="M119" i="4" s="1"/>
  <c r="E119" i="4"/>
  <c r="G119" i="4"/>
  <c r="H119" i="4" s="1"/>
  <c r="F119" i="4"/>
  <c r="K118" i="4"/>
  <c r="J118" i="4"/>
  <c r="M118" i="4" s="1"/>
  <c r="E118" i="4"/>
  <c r="J117" i="4"/>
  <c r="M117" i="4" s="1"/>
  <c r="K117" i="4"/>
  <c r="I117" i="4"/>
  <c r="L117" i="4" s="1"/>
  <c r="E117" i="4"/>
  <c r="F117" i="4" s="1"/>
  <c r="E116" i="4"/>
  <c r="E115" i="4"/>
  <c r="G115" i="4"/>
  <c r="H115" i="4"/>
  <c r="F115" i="4"/>
  <c r="E114" i="4"/>
  <c r="E113" i="4"/>
  <c r="E112" i="4"/>
  <c r="G112" i="4" s="1"/>
  <c r="H112" i="4" s="1"/>
  <c r="F112" i="4"/>
  <c r="E111" i="4"/>
  <c r="K109" i="4"/>
  <c r="J109" i="4"/>
  <c r="M109" i="4" s="1"/>
  <c r="E109" i="4"/>
  <c r="K108" i="4"/>
  <c r="J108" i="4"/>
  <c r="I108" i="4" s="1"/>
  <c r="L108" i="4" s="1"/>
  <c r="E108" i="4"/>
  <c r="F108" i="4" s="1"/>
  <c r="K107" i="4"/>
  <c r="J107" i="4"/>
  <c r="M107" i="4" s="1"/>
  <c r="E107" i="4"/>
  <c r="K106" i="4"/>
  <c r="J106" i="4"/>
  <c r="M106" i="4"/>
  <c r="I106" i="4"/>
  <c r="L106" i="4" s="1"/>
  <c r="E106" i="4"/>
  <c r="G106" i="4" s="1"/>
  <c r="H106" i="4" s="1"/>
  <c r="K105" i="4"/>
  <c r="J105" i="4"/>
  <c r="M105" i="4" s="1"/>
  <c r="E105" i="4"/>
  <c r="F105" i="4" s="1"/>
  <c r="J104" i="4"/>
  <c r="I104" i="4" s="1"/>
  <c r="L104" i="4" s="1"/>
  <c r="K104" i="4"/>
  <c r="E104" i="4"/>
  <c r="F104" i="4" s="1"/>
  <c r="E103" i="4"/>
  <c r="F103" i="4" s="1"/>
  <c r="E102" i="4"/>
  <c r="G102" i="4" s="1"/>
  <c r="H102" i="4" s="1"/>
  <c r="E101" i="4"/>
  <c r="F101" i="4" s="1"/>
  <c r="E100" i="4"/>
  <c r="F100" i="4" s="1"/>
  <c r="E99" i="4"/>
  <c r="E98" i="4"/>
  <c r="F98" i="4" s="1"/>
  <c r="K96" i="4"/>
  <c r="J96" i="4"/>
  <c r="M96" i="4" s="1"/>
  <c r="E96" i="4"/>
  <c r="F96" i="4"/>
  <c r="K95" i="4"/>
  <c r="J95" i="4"/>
  <c r="M95" i="4" s="1"/>
  <c r="E95" i="4"/>
  <c r="G95" i="4"/>
  <c r="H95" i="4" s="1"/>
  <c r="F95" i="4"/>
  <c r="K94" i="4"/>
  <c r="J94" i="4"/>
  <c r="M94" i="4" s="1"/>
  <c r="E94" i="4"/>
  <c r="G94" i="4" s="1"/>
  <c r="H94" i="4" s="1"/>
  <c r="F94" i="4"/>
  <c r="K93" i="4"/>
  <c r="J93" i="4"/>
  <c r="E93" i="4"/>
  <c r="G93" i="4" s="1"/>
  <c r="H93" i="4" s="1"/>
  <c r="K92" i="4"/>
  <c r="J92" i="4"/>
  <c r="M92" i="4" s="1"/>
  <c r="E92" i="4"/>
  <c r="G92" i="4"/>
  <c r="H92" i="4" s="1"/>
  <c r="F92" i="4"/>
  <c r="J91" i="4"/>
  <c r="K91" i="4"/>
  <c r="E91" i="4"/>
  <c r="F91" i="4"/>
  <c r="E90" i="4"/>
  <c r="G90" i="4" s="1"/>
  <c r="H90" i="4" s="1"/>
  <c r="F90" i="4"/>
  <c r="E89" i="4"/>
  <c r="E88" i="4"/>
  <c r="E87" i="4"/>
  <c r="F87" i="4" s="1"/>
  <c r="G87" i="4"/>
  <c r="H87" i="4" s="1"/>
  <c r="E86" i="4"/>
  <c r="F86" i="4" s="1"/>
  <c r="G86" i="4"/>
  <c r="H86" i="4" s="1"/>
  <c r="E85" i="4"/>
  <c r="F85" i="4"/>
  <c r="G85" i="4"/>
  <c r="H85" i="4" s="1"/>
  <c r="K83" i="4"/>
  <c r="J83" i="4"/>
  <c r="M83" i="4" s="1"/>
  <c r="E83" i="4"/>
  <c r="G83" i="4" s="1"/>
  <c r="H83" i="4" s="1"/>
  <c r="F83" i="4"/>
  <c r="K82" i="4"/>
  <c r="J82" i="4"/>
  <c r="I82" i="4" s="1"/>
  <c r="L82" i="4" s="1"/>
  <c r="E82" i="4"/>
  <c r="F82" i="4" s="1"/>
  <c r="K81" i="4"/>
  <c r="J81" i="4"/>
  <c r="M81" i="4" s="1"/>
  <c r="E81" i="4"/>
  <c r="F81" i="4" s="1"/>
  <c r="K80" i="4"/>
  <c r="J80" i="4"/>
  <c r="I80" i="4" s="1"/>
  <c r="L80" i="4" s="1"/>
  <c r="E80" i="4"/>
  <c r="K79" i="4"/>
  <c r="J79" i="4"/>
  <c r="M79" i="4"/>
  <c r="E79" i="4"/>
  <c r="F79" i="4" s="1"/>
  <c r="J78" i="4"/>
  <c r="I78" i="4" s="1"/>
  <c r="L78" i="4" s="1"/>
  <c r="K78" i="4"/>
  <c r="E78" i="4"/>
  <c r="E77" i="4"/>
  <c r="F77" i="4" s="1"/>
  <c r="E76" i="4"/>
  <c r="F76" i="4" s="1"/>
  <c r="E75" i="4"/>
  <c r="G75" i="4" s="1"/>
  <c r="E74" i="4"/>
  <c r="E73" i="4"/>
  <c r="E72" i="4"/>
  <c r="G72" i="4" s="1"/>
  <c r="H72" i="4" s="1"/>
  <c r="K70" i="4"/>
  <c r="J70" i="4"/>
  <c r="M70" i="4" s="1"/>
  <c r="E70" i="4"/>
  <c r="F70" i="4" s="1"/>
  <c r="K69" i="4"/>
  <c r="J69" i="4"/>
  <c r="E69" i="4"/>
  <c r="F69" i="4" s="1"/>
  <c r="K68" i="4"/>
  <c r="J68" i="4"/>
  <c r="M68" i="4" s="1"/>
  <c r="E68" i="4"/>
  <c r="G68" i="4" s="1"/>
  <c r="H68" i="4" s="1"/>
  <c r="J67" i="4"/>
  <c r="M67" i="4" s="1"/>
  <c r="K67" i="4"/>
  <c r="I67" i="4"/>
  <c r="L67" i="4" s="1"/>
  <c r="E67" i="4"/>
  <c r="F67" i="4" s="1"/>
  <c r="K66" i="4"/>
  <c r="J66" i="4"/>
  <c r="M66" i="4" s="1"/>
  <c r="E66" i="4"/>
  <c r="G66" i="4" s="1"/>
  <c r="H66" i="4" s="1"/>
  <c r="K65" i="4"/>
  <c r="J65" i="4"/>
  <c r="I65" i="4" s="1"/>
  <c r="L65" i="4" s="1"/>
  <c r="E65" i="4"/>
  <c r="E64" i="4"/>
  <c r="G64" i="4" s="1"/>
  <c r="H64" i="4" s="1"/>
  <c r="E63" i="4"/>
  <c r="E62" i="4"/>
  <c r="G62" i="4" s="1"/>
  <c r="E61" i="4"/>
  <c r="G61" i="4" s="1"/>
  <c r="E60" i="4"/>
  <c r="G60" i="4" s="1"/>
  <c r="E59" i="4"/>
  <c r="G59" i="4" s="1"/>
  <c r="H59" i="4" s="1"/>
  <c r="K57" i="4"/>
  <c r="J57" i="4"/>
  <c r="M57" i="4" s="1"/>
  <c r="E57" i="4"/>
  <c r="K56" i="4"/>
  <c r="J56" i="4"/>
  <c r="M56" i="4" s="1"/>
  <c r="E56" i="4"/>
  <c r="G56" i="4" s="1"/>
  <c r="H56" i="4" s="1"/>
  <c r="K55" i="4"/>
  <c r="J55" i="4"/>
  <c r="M55" i="4" s="1"/>
  <c r="E55" i="4"/>
  <c r="F55" i="4" s="1"/>
  <c r="K54" i="4"/>
  <c r="J54" i="4"/>
  <c r="E54" i="4"/>
  <c r="G54" i="4" s="1"/>
  <c r="H54" i="4" s="1"/>
  <c r="K53" i="4"/>
  <c r="J53" i="4"/>
  <c r="M53" i="4" s="1"/>
  <c r="E53" i="4"/>
  <c r="F53" i="4" s="1"/>
  <c r="K52" i="4"/>
  <c r="J52" i="4"/>
  <c r="M52" i="4" s="1"/>
  <c r="E52" i="4"/>
  <c r="F52" i="4" s="1"/>
  <c r="E51" i="4"/>
  <c r="F51" i="4" s="1"/>
  <c r="E50" i="4"/>
  <c r="E49" i="4"/>
  <c r="G49" i="4" s="1"/>
  <c r="E48" i="4"/>
  <c r="E47" i="4"/>
  <c r="E46" i="4"/>
  <c r="K44" i="4"/>
  <c r="J44" i="4"/>
  <c r="M44" i="4" s="1"/>
  <c r="E44" i="4"/>
  <c r="G44" i="4" s="1"/>
  <c r="H44" i="4" s="1"/>
  <c r="K43" i="4"/>
  <c r="J43" i="4"/>
  <c r="I43" i="4" s="1"/>
  <c r="L43" i="4" s="1"/>
  <c r="E43" i="4"/>
  <c r="F43" i="4" s="1"/>
  <c r="K42" i="4"/>
  <c r="J42" i="4"/>
  <c r="M42" i="4" s="1"/>
  <c r="E42" i="4"/>
  <c r="K41" i="4"/>
  <c r="J41" i="4"/>
  <c r="I41" i="4" s="1"/>
  <c r="L41" i="4" s="1"/>
  <c r="E41" i="4"/>
  <c r="F41" i="4" s="1"/>
  <c r="K40" i="4"/>
  <c r="J40" i="4"/>
  <c r="M40" i="4" s="1"/>
  <c r="E40" i="4"/>
  <c r="G40" i="4" s="1"/>
  <c r="H40" i="4" s="1"/>
  <c r="K39" i="4"/>
  <c r="J39" i="4"/>
  <c r="E39" i="4"/>
  <c r="G39" i="4" s="1"/>
  <c r="H39" i="4" s="1"/>
  <c r="E38" i="4"/>
  <c r="G38" i="4" s="1"/>
  <c r="H38" i="4" s="1"/>
  <c r="E37" i="4"/>
  <c r="F37" i="4"/>
  <c r="E36" i="4"/>
  <c r="G36" i="4" s="1"/>
  <c r="E35" i="4"/>
  <c r="G35" i="4" s="1"/>
  <c r="E34" i="4"/>
  <c r="G34" i="4" s="1"/>
  <c r="E33" i="4"/>
  <c r="F33" i="4" s="1"/>
  <c r="F34" i="4" s="1"/>
  <c r="K31" i="4"/>
  <c r="J31" i="4"/>
  <c r="M31" i="4" s="1"/>
  <c r="E31" i="4"/>
  <c r="F31" i="4" s="1"/>
  <c r="K30" i="4"/>
  <c r="J30" i="4"/>
  <c r="I30" i="4"/>
  <c r="L30" i="4" s="1"/>
  <c r="E30" i="4"/>
  <c r="F30" i="4" s="1"/>
  <c r="K29" i="4"/>
  <c r="J29" i="4"/>
  <c r="M29" i="4" s="1"/>
  <c r="E29" i="4"/>
  <c r="G29" i="4" s="1"/>
  <c r="H29" i="4" s="1"/>
  <c r="K28" i="4"/>
  <c r="J28" i="4"/>
  <c r="M28" i="4" s="1"/>
  <c r="E28" i="4"/>
  <c r="G28" i="4" s="1"/>
  <c r="H28" i="4" s="1"/>
  <c r="F28" i="4"/>
  <c r="K27" i="4"/>
  <c r="J27" i="4"/>
  <c r="M27" i="4"/>
  <c r="E27" i="4"/>
  <c r="J26" i="4"/>
  <c r="M26" i="4" s="1"/>
  <c r="K26" i="4"/>
  <c r="I26" i="4"/>
  <c r="L26" i="4" s="1"/>
  <c r="E26" i="4"/>
  <c r="G26" i="4" s="1"/>
  <c r="H26" i="4" s="1"/>
  <c r="E25" i="4"/>
  <c r="F25" i="4" s="1"/>
  <c r="E24" i="4"/>
  <c r="F24" i="4" s="1"/>
  <c r="E23" i="4"/>
  <c r="E22" i="4"/>
  <c r="G22" i="4" s="1"/>
  <c r="E21" i="4"/>
  <c r="E20" i="4"/>
  <c r="F20" i="4" s="1"/>
  <c r="F21" i="4" s="1"/>
  <c r="F22" i="4" s="1"/>
  <c r="D15" i="4"/>
  <c r="D14" i="4"/>
  <c r="D13" i="4"/>
  <c r="D12" i="4"/>
  <c r="D11" i="4"/>
  <c r="D10" i="4"/>
  <c r="L36" i="3"/>
  <c r="I36" i="3"/>
  <c r="E36" i="3"/>
  <c r="G36" i="3" s="1"/>
  <c r="E35" i="3"/>
  <c r="G35" i="3" s="1"/>
  <c r="E34" i="3"/>
  <c r="G34" i="3" s="1"/>
  <c r="E33" i="3"/>
  <c r="G33" i="3"/>
  <c r="H33" i="3" s="1"/>
  <c r="L35" i="3"/>
  <c r="I35" i="3"/>
  <c r="L34" i="3"/>
  <c r="I34" i="3"/>
  <c r="L33" i="3"/>
  <c r="I33" i="3"/>
  <c r="F33" i="3"/>
  <c r="L31" i="3"/>
  <c r="I31" i="3"/>
  <c r="E31" i="3"/>
  <c r="G31" i="3" s="1"/>
  <c r="L30" i="3"/>
  <c r="I30" i="3"/>
  <c r="E30" i="3"/>
  <c r="G30" i="3" s="1"/>
  <c r="L29" i="3"/>
  <c r="I29" i="3"/>
  <c r="E29" i="3"/>
  <c r="G29" i="3" s="1"/>
  <c r="H29" i="3" s="1"/>
  <c r="E28" i="3"/>
  <c r="G28" i="3" s="1"/>
  <c r="H28" i="3" s="1"/>
  <c r="L28" i="3"/>
  <c r="I28" i="3"/>
  <c r="L26" i="3"/>
  <c r="I26" i="3"/>
  <c r="E26" i="3"/>
  <c r="G26" i="3" s="1"/>
  <c r="L25" i="3"/>
  <c r="I25" i="3"/>
  <c r="E25" i="3"/>
  <c r="G25" i="3" s="1"/>
  <c r="L24" i="3"/>
  <c r="I24" i="3"/>
  <c r="E24" i="3"/>
  <c r="G24" i="3" s="1"/>
  <c r="L23" i="3"/>
  <c r="I23" i="3"/>
  <c r="E23" i="3"/>
  <c r="G23" i="3" s="1"/>
  <c r="H23" i="3" s="1"/>
  <c r="L21" i="3"/>
  <c r="I21" i="3"/>
  <c r="E21" i="3"/>
  <c r="G21" i="3" s="1"/>
  <c r="L20" i="3"/>
  <c r="I20" i="3"/>
  <c r="E20" i="3"/>
  <c r="G20" i="3" s="1"/>
  <c r="L19" i="3"/>
  <c r="I19" i="3"/>
  <c r="E19" i="3"/>
  <c r="G19" i="3" s="1"/>
  <c r="E18" i="3"/>
  <c r="G18" i="3" s="1"/>
  <c r="H18" i="3" s="1"/>
  <c r="L18" i="3"/>
  <c r="I18" i="3"/>
  <c r="L16" i="3"/>
  <c r="I16" i="3"/>
  <c r="E16" i="3"/>
  <c r="G16" i="3" s="1"/>
  <c r="E15" i="3"/>
  <c r="G15" i="3" s="1"/>
  <c r="E14" i="3"/>
  <c r="G14" i="3" s="1"/>
  <c r="E13" i="3"/>
  <c r="G13" i="3" s="1"/>
  <c r="H13" i="3" s="1"/>
  <c r="L15" i="3"/>
  <c r="I15" i="3"/>
  <c r="L14" i="3"/>
  <c r="I14" i="3"/>
  <c r="L13" i="3"/>
  <c r="I13" i="3"/>
  <c r="F13" i="3"/>
  <c r="D8" i="3"/>
  <c r="M30" i="4"/>
  <c r="M41" i="4"/>
  <c r="M82" i="4"/>
  <c r="M108" i="4"/>
  <c r="I52" i="4"/>
  <c r="L52" i="4" s="1"/>
  <c r="I119" i="4"/>
  <c r="L119" i="4" s="1"/>
  <c r="I121" i="4"/>
  <c r="L121" i="4" s="1"/>
  <c r="I156" i="4"/>
  <c r="L156" i="4" s="1"/>
  <c r="I171" i="4"/>
  <c r="L171" i="4" s="1"/>
  <c r="I186" i="4"/>
  <c r="L186" i="4" s="1"/>
  <c r="I208" i="4"/>
  <c r="L208" i="4" s="1"/>
  <c r="I223" i="4"/>
  <c r="L223" i="4" s="1"/>
  <c r="I225" i="4"/>
  <c r="L225" i="4" s="1"/>
  <c r="I260" i="4"/>
  <c r="L260" i="4" s="1"/>
  <c r="I275" i="4"/>
  <c r="L275" i="4" s="1"/>
  <c r="I277" i="4"/>
  <c r="L277" i="4" s="1"/>
  <c r="I312" i="4"/>
  <c r="L312" i="4" s="1"/>
  <c r="I327" i="4"/>
  <c r="L327" i="4" s="1"/>
  <c r="I329" i="4"/>
  <c r="L329" i="4" s="1"/>
  <c r="I368" i="4"/>
  <c r="L368" i="4" s="1"/>
  <c r="I394" i="4"/>
  <c r="L394" i="4" s="1"/>
  <c r="I420" i="4"/>
  <c r="L420" i="4" s="1"/>
  <c r="I446" i="4"/>
  <c r="L446" i="4"/>
  <c r="I472" i="4"/>
  <c r="L472" i="4" s="1"/>
  <c r="I498" i="4"/>
  <c r="L498" i="4" s="1"/>
  <c r="I523" i="4"/>
  <c r="L523" i="4" s="1"/>
  <c r="I551" i="4"/>
  <c r="L551" i="4" s="1"/>
  <c r="I575" i="4"/>
  <c r="L575" i="4" s="1"/>
  <c r="I692" i="4"/>
  <c r="L692" i="4" s="1"/>
  <c r="I718" i="4"/>
  <c r="L718" i="4" s="1"/>
  <c r="I744" i="4"/>
  <c r="L744" i="4"/>
  <c r="I770" i="4"/>
  <c r="L770" i="4" s="1"/>
  <c r="I796" i="4"/>
  <c r="L796" i="4" s="1"/>
  <c r="I835" i="4"/>
  <c r="L835" i="4" s="1"/>
  <c r="M848" i="4"/>
  <c r="I978" i="4"/>
  <c r="L978" i="4" s="1"/>
  <c r="M1002" i="4"/>
  <c r="M1015" i="4"/>
  <c r="M1017" i="4"/>
  <c r="M1032" i="4"/>
  <c r="I1043" i="4"/>
  <c r="L1043" i="4"/>
  <c r="M1069" i="4"/>
  <c r="M1082" i="4"/>
  <c r="I1121" i="4"/>
  <c r="L1121" i="4"/>
  <c r="I1136" i="4"/>
  <c r="L1136" i="4" s="1"/>
  <c r="I1149" i="4"/>
  <c r="L1149" i="4" s="1"/>
  <c r="I1175" i="4"/>
  <c r="L1175" i="4" s="1"/>
  <c r="I1201" i="4"/>
  <c r="L1201" i="4" s="1"/>
  <c r="I1225" i="4"/>
  <c r="L1225" i="4" s="1"/>
  <c r="M1292" i="4"/>
  <c r="I1301" i="4"/>
  <c r="L1301" i="4" s="1"/>
  <c r="I1316" i="4"/>
  <c r="L1316" i="4" s="1"/>
  <c r="I115" i="5"/>
  <c r="L115" i="5" s="1"/>
  <c r="I210" i="5"/>
  <c r="L210" i="5" s="1"/>
  <c r="I1041" i="5"/>
  <c r="L1041" i="5"/>
  <c r="I1069" i="5"/>
  <c r="L1069" i="5" s="1"/>
  <c r="I1184" i="5"/>
  <c r="L1184" i="5" s="1"/>
  <c r="M625" i="4"/>
  <c r="M642" i="4"/>
  <c r="M1019" i="4"/>
  <c r="I1197" i="4"/>
  <c r="L1197" i="4" s="1"/>
  <c r="M1290" i="4"/>
  <c r="I651" i="5"/>
  <c r="L651" i="5" s="1"/>
  <c r="G30" i="4"/>
  <c r="H30" i="4" s="1"/>
  <c r="F57" i="4"/>
  <c r="G57" i="4"/>
  <c r="H57" i="4"/>
  <c r="G74" i="4"/>
  <c r="F113" i="4"/>
  <c r="G113" i="4"/>
  <c r="H113" i="4"/>
  <c r="G369" i="4"/>
  <c r="H369" i="4" s="1"/>
  <c r="F369" i="4"/>
  <c r="G89" i="4"/>
  <c r="H89" i="4" s="1"/>
  <c r="F89" i="4"/>
  <c r="F88" i="4"/>
  <c r="G107" i="4"/>
  <c r="H107" i="4" s="1"/>
  <c r="F107" i="4"/>
  <c r="G116" i="4"/>
  <c r="H116" i="4" s="1"/>
  <c r="F116" i="4"/>
  <c r="G21" i="4"/>
  <c r="H21" i="4" s="1"/>
  <c r="G20" i="4"/>
  <c r="H20" i="4" s="1"/>
  <c r="G24" i="4"/>
  <c r="H24" i="4" s="1"/>
  <c r="G31" i="4"/>
  <c r="H31" i="4" s="1"/>
  <c r="G33" i="4"/>
  <c r="H33" i="4" s="1"/>
  <c r="F38" i="4"/>
  <c r="M39" i="4"/>
  <c r="I39" i="4"/>
  <c r="L39" i="4" s="1"/>
  <c r="F44" i="4"/>
  <c r="G48" i="4"/>
  <c r="G51" i="4"/>
  <c r="H51" i="4" s="1"/>
  <c r="M54" i="4"/>
  <c r="I54" i="4"/>
  <c r="L54" i="4" s="1"/>
  <c r="G65" i="4"/>
  <c r="H65" i="4" s="1"/>
  <c r="F65" i="4"/>
  <c r="G82" i="4"/>
  <c r="H82" i="4" s="1"/>
  <c r="F102" i="4"/>
  <c r="F109" i="4"/>
  <c r="G109" i="4"/>
  <c r="H109" i="4" s="1"/>
  <c r="F118" i="4"/>
  <c r="G118" i="4"/>
  <c r="H118" i="4" s="1"/>
  <c r="F121" i="4"/>
  <c r="G121" i="4"/>
  <c r="H121" i="4" s="1"/>
  <c r="G126" i="4"/>
  <c r="H126" i="4" s="1"/>
  <c r="F130" i="4"/>
  <c r="G130" i="4"/>
  <c r="H130" i="4" s="1"/>
  <c r="G137" i="4"/>
  <c r="H137" i="4" s="1"/>
  <c r="F137" i="4"/>
  <c r="M145" i="4"/>
  <c r="I145" i="4"/>
  <c r="L145" i="4" s="1"/>
  <c r="F153" i="4"/>
  <c r="G153" i="4"/>
  <c r="H153" i="4" s="1"/>
  <c r="F183" i="4"/>
  <c r="G183" i="4"/>
  <c r="H183" i="4" s="1"/>
  <c r="G207" i="4"/>
  <c r="H207" i="4" s="1"/>
  <c r="F207" i="4"/>
  <c r="G220" i="4"/>
  <c r="H220" i="4"/>
  <c r="F220" i="4"/>
  <c r="G233" i="4"/>
  <c r="H233" i="4" s="1"/>
  <c r="F233" i="4"/>
  <c r="G246" i="4"/>
  <c r="H246" i="4" s="1"/>
  <c r="F246" i="4"/>
  <c r="G259" i="4"/>
  <c r="H259" i="4" s="1"/>
  <c r="F259" i="4"/>
  <c r="G272" i="4"/>
  <c r="H272" i="4" s="1"/>
  <c r="F272" i="4"/>
  <c r="G285" i="4"/>
  <c r="H285" i="4" s="1"/>
  <c r="F285" i="4"/>
  <c r="G298" i="4"/>
  <c r="H298" i="4" s="1"/>
  <c r="F298" i="4"/>
  <c r="G311" i="4"/>
  <c r="H311" i="4" s="1"/>
  <c r="F311" i="4"/>
  <c r="G324" i="4"/>
  <c r="H324" i="4" s="1"/>
  <c r="F324" i="4"/>
  <c r="G337" i="4"/>
  <c r="H337" i="4" s="1"/>
  <c r="F337" i="4"/>
  <c r="I353" i="4"/>
  <c r="L353" i="4" s="1"/>
  <c r="M353" i="4"/>
  <c r="G421" i="4"/>
  <c r="H421" i="4" s="1"/>
  <c r="F421" i="4"/>
  <c r="G442" i="4"/>
  <c r="H442" i="4" s="1"/>
  <c r="F442" i="4"/>
  <c r="G496" i="4"/>
  <c r="H496" i="4" s="1"/>
  <c r="G494" i="4"/>
  <c r="H494" i="4" s="1"/>
  <c r="G499" i="4"/>
  <c r="H499" i="4" s="1"/>
  <c r="F492" i="4"/>
  <c r="F494" i="4"/>
  <c r="F496" i="4"/>
  <c r="G527" i="4"/>
  <c r="H527" i="4" s="1"/>
  <c r="F527" i="4"/>
  <c r="G614" i="4"/>
  <c r="H614" i="4" s="1"/>
  <c r="G610" i="4"/>
  <c r="H610" i="4" s="1"/>
  <c r="F606" i="4"/>
  <c r="F610" i="4"/>
  <c r="F611" i="4"/>
  <c r="F614" i="4"/>
  <c r="G619" i="4"/>
  <c r="H619" i="4" s="1"/>
  <c r="F619" i="4"/>
  <c r="G654" i="4"/>
  <c r="H654" i="4" s="1"/>
  <c r="F654" i="4"/>
  <c r="F50" i="4"/>
  <c r="G50" i="4"/>
  <c r="H50" i="4" s="1"/>
  <c r="G154" i="4"/>
  <c r="H154" i="4"/>
  <c r="F154" i="4"/>
  <c r="F174" i="4"/>
  <c r="F164" i="4"/>
  <c r="F168" i="4"/>
  <c r="F172" i="4"/>
  <c r="G174" i="4"/>
  <c r="H174" i="4" s="1"/>
  <c r="M481" i="4"/>
  <c r="I481" i="4"/>
  <c r="L481" i="4" s="1"/>
  <c r="G512" i="4"/>
  <c r="H512" i="4" s="1"/>
  <c r="F512" i="4"/>
  <c r="G25" i="4"/>
  <c r="H25" i="4" s="1"/>
  <c r="F29" i="4"/>
  <c r="G37" i="4"/>
  <c r="H37" i="4" s="1"/>
  <c r="F39" i="4"/>
  <c r="G47" i="4"/>
  <c r="G52" i="4"/>
  <c r="H52" i="4" s="1"/>
  <c r="F54" i="4"/>
  <c r="G67" i="4"/>
  <c r="H67" i="4" s="1"/>
  <c r="M69" i="4"/>
  <c r="I69" i="4"/>
  <c r="L69" i="4" s="1"/>
  <c r="G80" i="4"/>
  <c r="H80" i="4" s="1"/>
  <c r="F80" i="4"/>
  <c r="G88" i="4"/>
  <c r="H88" i="4" s="1"/>
  <c r="G91" i="4"/>
  <c r="H91" i="4" s="1"/>
  <c r="G96" i="4"/>
  <c r="H96" i="4" s="1"/>
  <c r="M93" i="4"/>
  <c r="I93" i="4"/>
  <c r="L93" i="4" s="1"/>
  <c r="G101" i="4"/>
  <c r="H101" i="4" s="1"/>
  <c r="G99" i="4"/>
  <c r="H99" i="4" s="1"/>
  <c r="G100" i="4"/>
  <c r="H100" i="4" s="1"/>
  <c r="G105" i="4"/>
  <c r="H105" i="4" s="1"/>
  <c r="G108" i="4"/>
  <c r="H108" i="4" s="1"/>
  <c r="F99" i="4"/>
  <c r="G122" i="4"/>
  <c r="H122" i="4" s="1"/>
  <c r="F129" i="4"/>
  <c r="G131" i="4"/>
  <c r="H131" i="4" s="1"/>
  <c r="I132" i="4"/>
  <c r="L132" i="4" s="1"/>
  <c r="F143" i="4"/>
  <c r="G143" i="4"/>
  <c r="H143" i="4" s="1"/>
  <c r="F179" i="4"/>
  <c r="G179" i="4"/>
  <c r="H179" i="4" s="1"/>
  <c r="F195" i="4"/>
  <c r="G195" i="4"/>
  <c r="H195" i="4" s="1"/>
  <c r="M429" i="4"/>
  <c r="I429" i="4"/>
  <c r="L429" i="4" s="1"/>
  <c r="I457" i="4"/>
  <c r="L457" i="4" s="1"/>
  <c r="M457" i="4"/>
  <c r="G23" i="4"/>
  <c r="F42" i="4"/>
  <c r="G42" i="4"/>
  <c r="H42" i="4" s="1"/>
  <c r="F78" i="4"/>
  <c r="G78" i="4"/>
  <c r="H78" i="4" s="1"/>
  <c r="G124" i="4"/>
  <c r="H124" i="4" s="1"/>
  <c r="F124" i="4"/>
  <c r="G132" i="4"/>
  <c r="H132" i="4" s="1"/>
  <c r="F132" i="4"/>
  <c r="F151" i="4"/>
  <c r="K155" i="4" s="1"/>
  <c r="F159" i="4"/>
  <c r="G172" i="4"/>
  <c r="H172" i="4"/>
  <c r="F178" i="4"/>
  <c r="G178" i="4"/>
  <c r="H178" i="4" s="1"/>
  <c r="G182" i="4"/>
  <c r="H182" i="4" s="1"/>
  <c r="G184" i="4"/>
  <c r="H184" i="4" s="1"/>
  <c r="G185" i="4"/>
  <c r="H185" i="4" s="1"/>
  <c r="G186" i="4"/>
  <c r="H186" i="4" s="1"/>
  <c r="F176" i="4"/>
  <c r="F184" i="4"/>
  <c r="G390" i="4"/>
  <c r="H390" i="4" s="1"/>
  <c r="F390" i="4"/>
  <c r="F27" i="4"/>
  <c r="G27" i="4"/>
  <c r="H27" i="4" s="1"/>
  <c r="F46" i="4"/>
  <c r="G46" i="4"/>
  <c r="H46" i="4" s="1"/>
  <c r="G145" i="4"/>
  <c r="H145" i="4" s="1"/>
  <c r="F145" i="4"/>
  <c r="G164" i="4"/>
  <c r="H164" i="4" s="1"/>
  <c r="G210" i="4"/>
  <c r="H210" i="4" s="1"/>
  <c r="F210" i="4"/>
  <c r="G211" i="4"/>
  <c r="H211" i="4" s="1"/>
  <c r="F211" i="4"/>
  <c r="G223" i="4"/>
  <c r="H223" i="4" s="1"/>
  <c r="F223" i="4"/>
  <c r="G224" i="4"/>
  <c r="H224" i="4" s="1"/>
  <c r="F224" i="4"/>
  <c r="G236" i="4"/>
  <c r="H236" i="4" s="1"/>
  <c r="F236" i="4"/>
  <c r="G237" i="4"/>
  <c r="H237" i="4" s="1"/>
  <c r="F237" i="4"/>
  <c r="G249" i="4"/>
  <c r="H249" i="4" s="1"/>
  <c r="F249" i="4"/>
  <c r="G250" i="4"/>
  <c r="H250" i="4"/>
  <c r="F250" i="4"/>
  <c r="G262" i="4"/>
  <c r="H262" i="4" s="1"/>
  <c r="F262" i="4"/>
  <c r="G263" i="4"/>
  <c r="H263" i="4" s="1"/>
  <c r="F263" i="4"/>
  <c r="G275" i="4"/>
  <c r="H275" i="4"/>
  <c r="F275" i="4"/>
  <c r="G276" i="4"/>
  <c r="H276" i="4" s="1"/>
  <c r="F276" i="4"/>
  <c r="G288" i="4"/>
  <c r="H288" i="4" s="1"/>
  <c r="F288" i="4"/>
  <c r="G289" i="4"/>
  <c r="H289" i="4" s="1"/>
  <c r="F289" i="4"/>
  <c r="G301" i="4"/>
  <c r="H301" i="4" s="1"/>
  <c r="F301" i="4"/>
  <c r="G302" i="4"/>
  <c r="H302" i="4" s="1"/>
  <c r="F302" i="4"/>
  <c r="G314" i="4"/>
  <c r="H314" i="4" s="1"/>
  <c r="F314" i="4"/>
  <c r="G315" i="4"/>
  <c r="H315" i="4" s="1"/>
  <c r="F315" i="4"/>
  <c r="G327" i="4"/>
  <c r="H327" i="4"/>
  <c r="F327" i="4"/>
  <c r="G328" i="4"/>
  <c r="H328" i="4" s="1"/>
  <c r="F328" i="4"/>
  <c r="G340" i="4"/>
  <c r="H340" i="4" s="1"/>
  <c r="F340" i="4"/>
  <c r="G341" i="4"/>
  <c r="H341" i="4" s="1"/>
  <c r="F341" i="4"/>
  <c r="M377" i="4"/>
  <c r="I377" i="4"/>
  <c r="L377" i="4" s="1"/>
  <c r="I405" i="4"/>
  <c r="L405" i="4"/>
  <c r="M405" i="4"/>
  <c r="G473" i="4"/>
  <c r="H473" i="4" s="1"/>
  <c r="F473" i="4"/>
  <c r="G551" i="4"/>
  <c r="H551" i="4" s="1"/>
  <c r="F551" i="4"/>
  <c r="G553" i="4"/>
  <c r="H553" i="4" s="1"/>
  <c r="F553" i="4"/>
  <c r="G202" i="4"/>
  <c r="H202" i="4" s="1"/>
  <c r="F202" i="4"/>
  <c r="G215" i="4"/>
  <c r="H215" i="4" s="1"/>
  <c r="F215" i="4"/>
  <c r="G228" i="4"/>
  <c r="H228" i="4" s="1"/>
  <c r="F228" i="4"/>
  <c r="G241" i="4"/>
  <c r="H241" i="4"/>
  <c r="F241" i="4"/>
  <c r="G254" i="4"/>
  <c r="H254" i="4"/>
  <c r="F254" i="4"/>
  <c r="G267" i="4"/>
  <c r="H267" i="4" s="1"/>
  <c r="F267" i="4"/>
  <c r="G280" i="4"/>
  <c r="H280" i="4" s="1"/>
  <c r="F280" i="4"/>
  <c r="G293" i="4"/>
  <c r="H293" i="4" s="1"/>
  <c r="F293" i="4"/>
  <c r="G306" i="4"/>
  <c r="H306" i="4" s="1"/>
  <c r="F306" i="4"/>
  <c r="G319" i="4"/>
  <c r="H319" i="4" s="1"/>
  <c r="F319" i="4"/>
  <c r="G332" i="4"/>
  <c r="H332" i="4" s="1"/>
  <c r="F332" i="4"/>
  <c r="G345" i="4"/>
  <c r="H345" i="4" s="1"/>
  <c r="F345" i="4"/>
  <c r="G351" i="4"/>
  <c r="H351" i="4"/>
  <c r="F351" i="4"/>
  <c r="G364" i="4"/>
  <c r="H364" i="4" s="1"/>
  <c r="F360" i="4"/>
  <c r="F364" i="4"/>
  <c r="F368" i="4"/>
  <c r="I366" i="4"/>
  <c r="L366" i="4" s="1"/>
  <c r="M366" i="4"/>
  <c r="G382" i="4"/>
  <c r="H382" i="4"/>
  <c r="F382" i="4"/>
  <c r="M390" i="4"/>
  <c r="I390" i="4"/>
  <c r="L390" i="4" s="1"/>
  <c r="G403" i="4"/>
  <c r="H403" i="4" s="1"/>
  <c r="F403" i="4"/>
  <c r="I418" i="4"/>
  <c r="L418" i="4" s="1"/>
  <c r="M418" i="4"/>
  <c r="G434" i="4"/>
  <c r="H434" i="4" s="1"/>
  <c r="G429" i="4"/>
  <c r="H429" i="4" s="1"/>
  <c r="F425" i="4"/>
  <c r="F429" i="4"/>
  <c r="F433" i="4"/>
  <c r="F434" i="4"/>
  <c r="M442" i="4"/>
  <c r="I442" i="4"/>
  <c r="L442" i="4" s="1"/>
  <c r="G455" i="4"/>
  <c r="H455" i="4"/>
  <c r="F455" i="4"/>
  <c r="G468" i="4"/>
  <c r="H468" i="4" s="1"/>
  <c r="F464" i="4"/>
  <c r="F468" i="4"/>
  <c r="F472" i="4"/>
  <c r="I470" i="4"/>
  <c r="L470" i="4" s="1"/>
  <c r="M470" i="4"/>
  <c r="G486" i="4"/>
  <c r="H486" i="4" s="1"/>
  <c r="F486" i="4"/>
  <c r="M496" i="4"/>
  <c r="I496" i="4"/>
  <c r="L496" i="4" s="1"/>
  <c r="M512" i="4"/>
  <c r="I512" i="4"/>
  <c r="L512" i="4" s="1"/>
  <c r="G140" i="4"/>
  <c r="H140" i="4" s="1"/>
  <c r="F141" i="4"/>
  <c r="G161" i="4"/>
  <c r="H161" i="4" s="1"/>
  <c r="G165" i="4"/>
  <c r="H165" i="4" s="1"/>
  <c r="G169" i="4"/>
  <c r="H169" i="4" s="1"/>
  <c r="G170" i="4"/>
  <c r="H170" i="4"/>
  <c r="G173" i="4"/>
  <c r="H173" i="4" s="1"/>
  <c r="G193" i="4"/>
  <c r="H193" i="4" s="1"/>
  <c r="G194" i="4"/>
  <c r="H194" i="4"/>
  <c r="G206" i="4"/>
  <c r="H206" i="4" s="1"/>
  <c r="F206" i="4"/>
  <c r="G219" i="4"/>
  <c r="H219" i="4" s="1"/>
  <c r="F219" i="4"/>
  <c r="G232" i="4"/>
  <c r="H232" i="4" s="1"/>
  <c r="F232" i="4"/>
  <c r="G245" i="4"/>
  <c r="H245" i="4" s="1"/>
  <c r="F245" i="4"/>
  <c r="G258" i="4"/>
  <c r="H258" i="4" s="1"/>
  <c r="F258" i="4"/>
  <c r="G271" i="4"/>
  <c r="H271" i="4" s="1"/>
  <c r="F271" i="4"/>
  <c r="G284" i="4"/>
  <c r="H284" i="4"/>
  <c r="F284" i="4"/>
  <c r="G297" i="4"/>
  <c r="H297" i="4" s="1"/>
  <c r="F297" i="4"/>
  <c r="G310" i="4"/>
  <c r="H310" i="4" s="1"/>
  <c r="F310" i="4"/>
  <c r="G323" i="4"/>
  <c r="H323" i="4" s="1"/>
  <c r="F323" i="4"/>
  <c r="G336" i="4"/>
  <c r="H336" i="4" s="1"/>
  <c r="F336" i="4"/>
  <c r="M351" i="4"/>
  <c r="I351" i="4"/>
  <c r="L351" i="4" s="1"/>
  <c r="I379" i="4"/>
  <c r="L379" i="4" s="1"/>
  <c r="M379" i="4"/>
  <c r="G395" i="4"/>
  <c r="H395" i="4" s="1"/>
  <c r="F386" i="4"/>
  <c r="F394" i="4"/>
  <c r="F395" i="4"/>
  <c r="M403" i="4"/>
  <c r="I403" i="4"/>
  <c r="L403" i="4" s="1"/>
  <c r="G416" i="4"/>
  <c r="H416" i="4" s="1"/>
  <c r="F412" i="4"/>
  <c r="F416" i="4"/>
  <c r="F420" i="4"/>
  <c r="I431" i="4"/>
  <c r="L431" i="4" s="1"/>
  <c r="M431" i="4"/>
  <c r="G447" i="4"/>
  <c r="H447" i="4" s="1"/>
  <c r="F447" i="4"/>
  <c r="M455" i="4"/>
  <c r="I455" i="4"/>
  <c r="L455" i="4" s="1"/>
  <c r="I483" i="4"/>
  <c r="L483" i="4"/>
  <c r="M483" i="4"/>
  <c r="F706" i="4"/>
  <c r="G706" i="4"/>
  <c r="H706" i="4"/>
  <c r="G73" i="4"/>
  <c r="H73" i="4" s="1"/>
  <c r="G77" i="4"/>
  <c r="H77" i="4"/>
  <c r="G117" i="4"/>
  <c r="H117" i="4" s="1"/>
  <c r="G127" i="4"/>
  <c r="H127" i="4" s="1"/>
  <c r="G148" i="4"/>
  <c r="H148" i="4" s="1"/>
  <c r="G152" i="4"/>
  <c r="H152" i="4" s="1"/>
  <c r="G157" i="4"/>
  <c r="H157" i="4" s="1"/>
  <c r="G160" i="4"/>
  <c r="H160" i="4" s="1"/>
  <c r="G191" i="4"/>
  <c r="H191" i="4" s="1"/>
  <c r="G192" i="4"/>
  <c r="H192" i="4" s="1"/>
  <c r="G196" i="4"/>
  <c r="H196" i="4" s="1"/>
  <c r="G197" i="4"/>
  <c r="H197" i="4" s="1"/>
  <c r="G203" i="4"/>
  <c r="H203" i="4" s="1"/>
  <c r="F203" i="4"/>
  <c r="G216" i="4"/>
  <c r="H216" i="4" s="1"/>
  <c r="F216" i="4"/>
  <c r="G229" i="4"/>
  <c r="H229" i="4" s="1"/>
  <c r="F229" i="4"/>
  <c r="G242" i="4"/>
  <c r="H242" i="4" s="1"/>
  <c r="F242" i="4"/>
  <c r="G255" i="4"/>
  <c r="H255" i="4" s="1"/>
  <c r="F255" i="4"/>
  <c r="G268" i="4"/>
  <c r="H268" i="4" s="1"/>
  <c r="F268" i="4"/>
  <c r="G281" i="4"/>
  <c r="H281" i="4" s="1"/>
  <c r="F281" i="4"/>
  <c r="G294" i="4"/>
  <c r="H294" i="4"/>
  <c r="F294" i="4"/>
  <c r="G307" i="4"/>
  <c r="H307" i="4" s="1"/>
  <c r="F307" i="4"/>
  <c r="G320" i="4"/>
  <c r="H320" i="4" s="1"/>
  <c r="F320" i="4"/>
  <c r="G333" i="4"/>
  <c r="H333" i="4" s="1"/>
  <c r="F333" i="4"/>
  <c r="G346" i="4"/>
  <c r="H346" i="4"/>
  <c r="F346" i="4"/>
  <c r="G356" i="4"/>
  <c r="H356" i="4" s="1"/>
  <c r="F356" i="4"/>
  <c r="M364" i="4"/>
  <c r="I364" i="4"/>
  <c r="L364" i="4" s="1"/>
  <c r="G377" i="4"/>
  <c r="H377" i="4" s="1"/>
  <c r="F377" i="4"/>
  <c r="I392" i="4"/>
  <c r="L392" i="4" s="1"/>
  <c r="M392" i="4"/>
  <c r="G408" i="4"/>
  <c r="H408" i="4" s="1"/>
  <c r="F408" i="4"/>
  <c r="M416" i="4"/>
  <c r="I416" i="4"/>
  <c r="L416" i="4" s="1"/>
  <c r="F438" i="4"/>
  <c r="F446" i="4"/>
  <c r="I444" i="4"/>
  <c r="L444" i="4" s="1"/>
  <c r="M444" i="4"/>
  <c r="G460" i="4"/>
  <c r="H460" i="4" s="1"/>
  <c r="F460" i="4"/>
  <c r="M468" i="4"/>
  <c r="I468" i="4"/>
  <c r="L468" i="4"/>
  <c r="G481" i="4"/>
  <c r="H481" i="4" s="1"/>
  <c r="F481" i="4"/>
  <c r="F507" i="4"/>
  <c r="G507" i="4"/>
  <c r="H507" i="4" s="1"/>
  <c r="F510" i="4"/>
  <c r="G505" i="4"/>
  <c r="H505" i="4" s="1"/>
  <c r="G506" i="4"/>
  <c r="H506" i="4"/>
  <c r="G508" i="4"/>
  <c r="H508" i="4" s="1"/>
  <c r="G510" i="4"/>
  <c r="H510" i="4"/>
  <c r="F503" i="4"/>
  <c r="F519" i="4"/>
  <c r="G519" i="4"/>
  <c r="H519" i="4" s="1"/>
  <c r="G543" i="4"/>
  <c r="H543" i="4" s="1"/>
  <c r="F543" i="4"/>
  <c r="G570" i="4"/>
  <c r="H570" i="4" s="1"/>
  <c r="F570" i="4"/>
  <c r="G585" i="4"/>
  <c r="H585" i="4" s="1"/>
  <c r="F585" i="4"/>
  <c r="F749" i="4"/>
  <c r="F750" i="4"/>
  <c r="F753" i="4"/>
  <c r="F754" i="4"/>
  <c r="F757" i="4"/>
  <c r="F758" i="4"/>
  <c r="G749" i="4"/>
  <c r="H749" i="4" s="1"/>
  <c r="G753" i="4"/>
  <c r="H753" i="4" s="1"/>
  <c r="M824" i="4"/>
  <c r="I824" i="4"/>
  <c r="L824" i="4"/>
  <c r="G517" i="4"/>
  <c r="H517" i="4" s="1"/>
  <c r="G520" i="4"/>
  <c r="H520" i="4" s="1"/>
  <c r="G522" i="4"/>
  <c r="H522" i="4" s="1"/>
  <c r="G523" i="4"/>
  <c r="H523" i="4" s="1"/>
  <c r="G531" i="4"/>
  <c r="H531" i="4" s="1"/>
  <c r="G532" i="4"/>
  <c r="H532" i="4" s="1"/>
  <c r="G533" i="4"/>
  <c r="H533" i="4" s="1"/>
  <c r="G534" i="4"/>
  <c r="H534" i="4" s="1"/>
  <c r="G547" i="4"/>
  <c r="H547" i="4" s="1"/>
  <c r="F547" i="4"/>
  <c r="G548" i="4"/>
  <c r="H548" i="4"/>
  <c r="F548" i="4"/>
  <c r="G556" i="4"/>
  <c r="H556" i="4" s="1"/>
  <c r="F556" i="4"/>
  <c r="G564" i="4"/>
  <c r="H564" i="4" s="1"/>
  <c r="F564" i="4"/>
  <c r="G566" i="4"/>
  <c r="H566" i="4" s="1"/>
  <c r="F566" i="4"/>
  <c r="G594" i="4"/>
  <c r="H594" i="4" s="1"/>
  <c r="F594" i="4"/>
  <c r="I599" i="4"/>
  <c r="L599" i="4" s="1"/>
  <c r="M599" i="4"/>
  <c r="I616" i="4"/>
  <c r="L616" i="4" s="1"/>
  <c r="M616" i="4"/>
  <c r="F620" i="4"/>
  <c r="F624" i="4"/>
  <c r="F628" i="4"/>
  <c r="M666" i="4"/>
  <c r="I666" i="4"/>
  <c r="L666" i="4" s="1"/>
  <c r="F697" i="4"/>
  <c r="F698" i="4"/>
  <c r="F701" i="4"/>
  <c r="F702" i="4"/>
  <c r="F705" i="4"/>
  <c r="M716" i="4"/>
  <c r="I716" i="4"/>
  <c r="L716" i="4" s="1"/>
  <c r="F736" i="4"/>
  <c r="F737" i="4"/>
  <c r="F740" i="4"/>
  <c r="F741" i="4"/>
  <c r="F744" i="4"/>
  <c r="F745" i="4"/>
  <c r="G758" i="4"/>
  <c r="H758" i="4" s="1"/>
  <c r="K841" i="4"/>
  <c r="K842" i="4"/>
  <c r="K844" i="4"/>
  <c r="K840" i="4"/>
  <c r="K839" i="4"/>
  <c r="K843" i="4"/>
  <c r="G992" i="4"/>
  <c r="H992" i="4" s="1"/>
  <c r="F992" i="4"/>
  <c r="G538" i="4"/>
  <c r="H538" i="4" s="1"/>
  <c r="F538" i="4"/>
  <c r="G540" i="4"/>
  <c r="H540" i="4"/>
  <c r="F540" i="4"/>
  <c r="G557" i="4"/>
  <c r="H557" i="4" s="1"/>
  <c r="F557" i="4"/>
  <c r="M614" i="4"/>
  <c r="I614" i="4"/>
  <c r="L614" i="4" s="1"/>
  <c r="G646" i="4"/>
  <c r="H646" i="4" s="1"/>
  <c r="F646" i="4"/>
  <c r="I651" i="4"/>
  <c r="L651" i="4" s="1"/>
  <c r="M651" i="4"/>
  <c r="G662" i="4"/>
  <c r="H662" i="4" s="1"/>
  <c r="F662" i="4"/>
  <c r="I668" i="4"/>
  <c r="L668" i="4"/>
  <c r="M668" i="4"/>
  <c r="G697" i="4"/>
  <c r="H697" i="4"/>
  <c r="G701" i="4"/>
  <c r="H701" i="4" s="1"/>
  <c r="F731" i="4"/>
  <c r="G731" i="4"/>
  <c r="H731" i="4" s="1"/>
  <c r="G750" i="4"/>
  <c r="H750" i="4" s="1"/>
  <c r="G754" i="4"/>
  <c r="H754" i="4" s="1"/>
  <c r="M772" i="4"/>
  <c r="I772" i="4"/>
  <c r="L772" i="4"/>
  <c r="M820" i="4"/>
  <c r="I820" i="4"/>
  <c r="L820" i="4" s="1"/>
  <c r="M872" i="4"/>
  <c r="I872" i="4"/>
  <c r="L872" i="4"/>
  <c r="F914" i="4"/>
  <c r="G914" i="4"/>
  <c r="H914" i="4" s="1"/>
  <c r="M976" i="4"/>
  <c r="I976" i="4"/>
  <c r="L976" i="4" s="1"/>
  <c r="F355" i="4"/>
  <c r="F373" i="4"/>
  <c r="F381" i="4"/>
  <c r="F399" i="4"/>
  <c r="F407" i="4"/>
  <c r="F451" i="4"/>
  <c r="F459" i="4"/>
  <c r="F477" i="4"/>
  <c r="F485" i="4"/>
  <c r="G516" i="4"/>
  <c r="H516" i="4" s="1"/>
  <c r="G524" i="4"/>
  <c r="H524" i="4" s="1"/>
  <c r="G528" i="4"/>
  <c r="H528" i="4" s="1"/>
  <c r="G537" i="4"/>
  <c r="H537" i="4" s="1"/>
  <c r="G544" i="4"/>
  <c r="H544" i="4"/>
  <c r="F544" i="4"/>
  <c r="G560" i="4"/>
  <c r="H560" i="4" s="1"/>
  <c r="F560" i="4"/>
  <c r="G561" i="4"/>
  <c r="H561" i="4" s="1"/>
  <c r="F561" i="4"/>
  <c r="G569" i="4"/>
  <c r="H569" i="4" s="1"/>
  <c r="F569" i="4"/>
  <c r="G602" i="4"/>
  <c r="H602" i="4"/>
  <c r="F602" i="4"/>
  <c r="G637" i="4"/>
  <c r="H637" i="4"/>
  <c r="F633" i="4"/>
  <c r="F636" i="4"/>
  <c r="F637" i="4"/>
  <c r="F640" i="4"/>
  <c r="F641" i="4"/>
  <c r="G666" i="4"/>
  <c r="H666" i="4" s="1"/>
  <c r="F666" i="4"/>
  <c r="G671" i="4"/>
  <c r="H671" i="4" s="1"/>
  <c r="F671" i="4"/>
  <c r="F679" i="4"/>
  <c r="G679" i="4"/>
  <c r="H679" i="4" s="1"/>
  <c r="G698" i="4"/>
  <c r="H698" i="4" s="1"/>
  <c r="G702" i="4"/>
  <c r="H702" i="4" s="1"/>
  <c r="G705" i="4"/>
  <c r="H705" i="4" s="1"/>
  <c r="M720" i="4"/>
  <c r="I720" i="4"/>
  <c r="L720" i="4" s="1"/>
  <c r="M768" i="4"/>
  <c r="I768" i="4"/>
  <c r="L768" i="4"/>
  <c r="F576" i="4"/>
  <c r="F584" i="4"/>
  <c r="M586" i="4"/>
  <c r="F588" i="4"/>
  <c r="F581" i="4"/>
  <c r="F589" i="4"/>
  <c r="F593" i="4"/>
  <c r="M603" i="4"/>
  <c r="M638" i="4"/>
  <c r="F645" i="4"/>
  <c r="M655" i="4"/>
  <c r="F663" i="4"/>
  <c r="F658" i="4"/>
  <c r="F672" i="4"/>
  <c r="F684" i="4"/>
  <c r="G684" i="4"/>
  <c r="H684" i="4" s="1"/>
  <c r="F685" i="4"/>
  <c r="G685" i="4"/>
  <c r="H685" i="4" s="1"/>
  <c r="F688" i="4"/>
  <c r="G688" i="4"/>
  <c r="H688" i="4" s="1"/>
  <c r="F689" i="4"/>
  <c r="G689" i="4"/>
  <c r="H689" i="4" s="1"/>
  <c r="F693" i="4"/>
  <c r="G693" i="4"/>
  <c r="H693" i="4" s="1"/>
  <c r="M703" i="4"/>
  <c r="I703" i="4"/>
  <c r="L703" i="4" s="1"/>
  <c r="M707" i="4"/>
  <c r="I707" i="4"/>
  <c r="L707" i="4" s="1"/>
  <c r="F718" i="4"/>
  <c r="F710" i="4"/>
  <c r="F711" i="4"/>
  <c r="F714" i="4"/>
  <c r="F715" i="4"/>
  <c r="F719" i="4"/>
  <c r="G718" i="4"/>
  <c r="H718" i="4" s="1"/>
  <c r="G736" i="4"/>
  <c r="H736" i="4" s="1"/>
  <c r="G737" i="4"/>
  <c r="H737" i="4" s="1"/>
  <c r="G740" i="4"/>
  <c r="H740" i="4" s="1"/>
  <c r="G741" i="4"/>
  <c r="H741" i="4" s="1"/>
  <c r="G744" i="4"/>
  <c r="H744" i="4" s="1"/>
  <c r="G745" i="4"/>
  <c r="H745" i="4" s="1"/>
  <c r="M755" i="4"/>
  <c r="I755" i="4"/>
  <c r="L755" i="4" s="1"/>
  <c r="M759" i="4"/>
  <c r="I759" i="4"/>
  <c r="L759" i="4"/>
  <c r="M807" i="4"/>
  <c r="I807" i="4"/>
  <c r="L807" i="4" s="1"/>
  <c r="M811" i="4"/>
  <c r="I811" i="4"/>
  <c r="L811" i="4" s="1"/>
  <c r="M859" i="4"/>
  <c r="I859" i="4"/>
  <c r="L859" i="4" s="1"/>
  <c r="M876" i="4"/>
  <c r="I876" i="4"/>
  <c r="L876" i="4" s="1"/>
  <c r="M924" i="4"/>
  <c r="I924" i="4"/>
  <c r="L924" i="4" s="1"/>
  <c r="M980" i="4"/>
  <c r="I980" i="4"/>
  <c r="L980" i="4" s="1"/>
  <c r="G1052" i="4"/>
  <c r="H1052" i="4" s="1"/>
  <c r="F1052" i="4"/>
  <c r="M677" i="4"/>
  <c r="I677" i="4"/>
  <c r="L677" i="4" s="1"/>
  <c r="M681" i="4"/>
  <c r="I681" i="4"/>
  <c r="L681" i="4" s="1"/>
  <c r="F692" i="4"/>
  <c r="G692" i="4"/>
  <c r="H692" i="4" s="1"/>
  <c r="G710" i="4"/>
  <c r="H710" i="4" s="1"/>
  <c r="G711" i="4"/>
  <c r="H711" i="4" s="1"/>
  <c r="G714" i="4"/>
  <c r="H714" i="4" s="1"/>
  <c r="G715" i="4"/>
  <c r="H715" i="4" s="1"/>
  <c r="G719" i="4"/>
  <c r="H719" i="4" s="1"/>
  <c r="M729" i="4"/>
  <c r="I729" i="4"/>
  <c r="L729" i="4" s="1"/>
  <c r="M733" i="4"/>
  <c r="I733" i="4"/>
  <c r="L733" i="4"/>
  <c r="F762" i="4"/>
  <c r="G762" i="4"/>
  <c r="H762" i="4"/>
  <c r="F763" i="4"/>
  <c r="G763" i="4"/>
  <c r="H763" i="4" s="1"/>
  <c r="F766" i="4"/>
  <c r="G766" i="4"/>
  <c r="H766" i="4" s="1"/>
  <c r="F767" i="4"/>
  <c r="G767" i="4"/>
  <c r="H767" i="4" s="1"/>
  <c r="M781" i="4"/>
  <c r="I781" i="4"/>
  <c r="L781" i="4" s="1"/>
  <c r="M785" i="4"/>
  <c r="I785" i="4"/>
  <c r="L785" i="4" s="1"/>
  <c r="M833" i="4"/>
  <c r="I833" i="4"/>
  <c r="L833" i="4" s="1"/>
  <c r="M837" i="4"/>
  <c r="I837" i="4"/>
  <c r="L837" i="4" s="1"/>
  <c r="F867" i="4"/>
  <c r="G867" i="4"/>
  <c r="H867" i="4" s="1"/>
  <c r="F905" i="4"/>
  <c r="G905" i="4"/>
  <c r="H905" i="4"/>
  <c r="F909" i="4"/>
  <c r="G909" i="4"/>
  <c r="H909" i="4" s="1"/>
  <c r="G906" i="4"/>
  <c r="H906" i="4" s="1"/>
  <c r="G910" i="4"/>
  <c r="H910" i="4" s="1"/>
  <c r="G913" i="4"/>
  <c r="H913" i="4" s="1"/>
  <c r="F906" i="4"/>
  <c r="F910" i="4"/>
  <c r="F913" i="4"/>
  <c r="F939" i="4"/>
  <c r="G939" i="4"/>
  <c r="H939" i="4" s="1"/>
  <c r="F1009" i="4"/>
  <c r="F1014" i="4"/>
  <c r="G1044" i="4"/>
  <c r="H1044" i="4" s="1"/>
  <c r="F1044" i="4"/>
  <c r="F1153" i="4"/>
  <c r="G1153" i="4"/>
  <c r="H1153" i="4" s="1"/>
  <c r="F572" i="4"/>
  <c r="F597" i="4"/>
  <c r="F601" i="4"/>
  <c r="F649" i="4"/>
  <c r="K647" i="4" s="1"/>
  <c r="F653" i="4"/>
  <c r="F676" i="4"/>
  <c r="F680" i="4"/>
  <c r="G680" i="4"/>
  <c r="H680" i="4" s="1"/>
  <c r="M690" i="4"/>
  <c r="I690" i="4"/>
  <c r="L690" i="4"/>
  <c r="M694" i="4"/>
  <c r="I694" i="4"/>
  <c r="L694" i="4" s="1"/>
  <c r="F723" i="4"/>
  <c r="G723" i="4"/>
  <c r="H723" i="4" s="1"/>
  <c r="F724" i="4"/>
  <c r="G724" i="4"/>
  <c r="H724" i="4" s="1"/>
  <c r="G727" i="4"/>
  <c r="H727" i="4" s="1"/>
  <c r="G728" i="4"/>
  <c r="H728" i="4" s="1"/>
  <c r="G732" i="4"/>
  <c r="H732" i="4" s="1"/>
  <c r="F727" i="4"/>
  <c r="F728" i="4"/>
  <c r="F732" i="4"/>
  <c r="M742" i="4"/>
  <c r="I742" i="4"/>
  <c r="L742" i="4" s="1"/>
  <c r="M746" i="4"/>
  <c r="I746" i="4"/>
  <c r="L746" i="4" s="1"/>
  <c r="G757" i="4"/>
  <c r="H757" i="4" s="1"/>
  <c r="M794" i="4"/>
  <c r="I794" i="4"/>
  <c r="L794" i="4"/>
  <c r="M798" i="4"/>
  <c r="I798" i="4"/>
  <c r="L798" i="4" s="1"/>
  <c r="M846" i="4"/>
  <c r="I846" i="4"/>
  <c r="L846" i="4" s="1"/>
  <c r="M850" i="4"/>
  <c r="I850" i="4"/>
  <c r="L850" i="4" s="1"/>
  <c r="G868" i="4"/>
  <c r="H868" i="4" s="1"/>
  <c r="F868" i="4"/>
  <c r="F887" i="4"/>
  <c r="G887" i="4"/>
  <c r="H887" i="4" s="1"/>
  <c r="M928" i="4"/>
  <c r="I928" i="4"/>
  <c r="L928" i="4" s="1"/>
  <c r="G931" i="4"/>
  <c r="H931" i="4" s="1"/>
  <c r="G932" i="4"/>
  <c r="H932" i="4" s="1"/>
  <c r="G935" i="4"/>
  <c r="H935" i="4" s="1"/>
  <c r="G936" i="4"/>
  <c r="H936" i="4" s="1"/>
  <c r="G940" i="4"/>
  <c r="H940" i="4" s="1"/>
  <c r="F931" i="4"/>
  <c r="F932" i="4"/>
  <c r="F935" i="4"/>
  <c r="F936" i="4"/>
  <c r="F940" i="4"/>
  <c r="G770" i="4"/>
  <c r="H770" i="4" s="1"/>
  <c r="G771" i="4"/>
  <c r="H771" i="4" s="1"/>
  <c r="G775" i="4"/>
  <c r="H775" i="4" s="1"/>
  <c r="G776" i="4"/>
  <c r="H776" i="4" s="1"/>
  <c r="G779" i="4"/>
  <c r="H779" i="4" s="1"/>
  <c r="G780" i="4"/>
  <c r="H780" i="4" s="1"/>
  <c r="G783" i="4"/>
  <c r="H783" i="4" s="1"/>
  <c r="G784" i="4"/>
  <c r="H784" i="4" s="1"/>
  <c r="G788" i="4"/>
  <c r="H788" i="4" s="1"/>
  <c r="G789" i="4"/>
  <c r="H789" i="4" s="1"/>
  <c r="G792" i="4"/>
  <c r="H792" i="4"/>
  <c r="G793" i="4"/>
  <c r="H793" i="4" s="1"/>
  <c r="G796" i="4"/>
  <c r="H796" i="4"/>
  <c r="G797" i="4"/>
  <c r="H797" i="4" s="1"/>
  <c r="G801" i="4"/>
  <c r="H801" i="4" s="1"/>
  <c r="G802" i="4"/>
  <c r="H802" i="4" s="1"/>
  <c r="G805" i="4"/>
  <c r="H805" i="4" s="1"/>
  <c r="G806" i="4"/>
  <c r="H806" i="4" s="1"/>
  <c r="G809" i="4"/>
  <c r="H809" i="4" s="1"/>
  <c r="G810" i="4"/>
  <c r="H810" i="4" s="1"/>
  <c r="G814" i="4"/>
  <c r="H814" i="4" s="1"/>
  <c r="G815" i="4"/>
  <c r="H815" i="4" s="1"/>
  <c r="G818" i="4"/>
  <c r="H818" i="4" s="1"/>
  <c r="G819" i="4"/>
  <c r="H819" i="4" s="1"/>
  <c r="G822" i="4"/>
  <c r="H822" i="4" s="1"/>
  <c r="G823" i="4"/>
  <c r="H823" i="4"/>
  <c r="G827" i="4"/>
  <c r="H827" i="4" s="1"/>
  <c r="G828" i="4"/>
  <c r="H828" i="4" s="1"/>
  <c r="G831" i="4"/>
  <c r="H831" i="4" s="1"/>
  <c r="G832" i="4"/>
  <c r="H832" i="4" s="1"/>
  <c r="G835" i="4"/>
  <c r="H835" i="4" s="1"/>
  <c r="G836" i="4"/>
  <c r="H836" i="4" s="1"/>
  <c r="G840" i="4"/>
  <c r="H840" i="4"/>
  <c r="G841" i="4"/>
  <c r="H841" i="4" s="1"/>
  <c r="G844" i="4"/>
  <c r="H844" i="4" s="1"/>
  <c r="G845" i="4"/>
  <c r="H845" i="4" s="1"/>
  <c r="G848" i="4"/>
  <c r="H848" i="4" s="1"/>
  <c r="G849" i="4"/>
  <c r="H849" i="4" s="1"/>
  <c r="G866" i="4"/>
  <c r="H866" i="4" s="1"/>
  <c r="F874" i="4"/>
  <c r="F870" i="4"/>
  <c r="F871" i="4"/>
  <c r="F875" i="4"/>
  <c r="G874" i="4"/>
  <c r="H874" i="4" s="1"/>
  <c r="F879" i="4"/>
  <c r="F880" i="4"/>
  <c r="F883" i="4"/>
  <c r="F884" i="4"/>
  <c r="F888" i="4"/>
  <c r="F892" i="4"/>
  <c r="G892" i="4"/>
  <c r="H892" i="4" s="1"/>
  <c r="F893" i="4"/>
  <c r="G893" i="4"/>
  <c r="H893" i="4"/>
  <c r="G896" i="4"/>
  <c r="H896" i="4" s="1"/>
  <c r="G897" i="4"/>
  <c r="H897" i="4" s="1"/>
  <c r="G900" i="4"/>
  <c r="H900" i="4" s="1"/>
  <c r="G901" i="4"/>
  <c r="H901" i="4" s="1"/>
  <c r="F896" i="4"/>
  <c r="F897" i="4"/>
  <c r="F900" i="4"/>
  <c r="F901" i="4"/>
  <c r="M911" i="4"/>
  <c r="I911" i="4"/>
  <c r="L911" i="4" s="1"/>
  <c r="M915" i="4"/>
  <c r="I915" i="4"/>
  <c r="L915" i="4" s="1"/>
  <c r="F926" i="4"/>
  <c r="G926" i="4"/>
  <c r="H926" i="4" s="1"/>
  <c r="M963" i="4"/>
  <c r="I963" i="4"/>
  <c r="L963" i="4" s="1"/>
  <c r="M967" i="4"/>
  <c r="I967" i="4"/>
  <c r="L967" i="4" s="1"/>
  <c r="G1000" i="4"/>
  <c r="H1000" i="4" s="1"/>
  <c r="F1000" i="4"/>
  <c r="I1041" i="4"/>
  <c r="L1041" i="4" s="1"/>
  <c r="M1041" i="4"/>
  <c r="F1113" i="4"/>
  <c r="F1116" i="4"/>
  <c r="F1119" i="4"/>
  <c r="G1145" i="4"/>
  <c r="H1145" i="4" s="1"/>
  <c r="F1145" i="4"/>
  <c r="G1206" i="4"/>
  <c r="H1206" i="4"/>
  <c r="F1206" i="4"/>
  <c r="G870" i="4"/>
  <c r="H870" i="4" s="1"/>
  <c r="G871" i="4"/>
  <c r="H871" i="4" s="1"/>
  <c r="G875" i="4"/>
  <c r="H875" i="4" s="1"/>
  <c r="M885" i="4"/>
  <c r="I885" i="4"/>
  <c r="L885" i="4"/>
  <c r="M889" i="4"/>
  <c r="I889" i="4"/>
  <c r="L889" i="4" s="1"/>
  <c r="F918" i="4"/>
  <c r="G918" i="4"/>
  <c r="H918" i="4" s="1"/>
  <c r="G919" i="4"/>
  <c r="H919" i="4" s="1"/>
  <c r="G922" i="4"/>
  <c r="H922" i="4"/>
  <c r="G923" i="4"/>
  <c r="H923" i="4" s="1"/>
  <c r="G927" i="4"/>
  <c r="H927" i="4" s="1"/>
  <c r="F919" i="4"/>
  <c r="F922" i="4"/>
  <c r="F923" i="4"/>
  <c r="F927" i="4"/>
  <c r="M937" i="4"/>
  <c r="I937" i="4"/>
  <c r="L937" i="4" s="1"/>
  <c r="M941" i="4"/>
  <c r="I941" i="4"/>
  <c r="L941" i="4" s="1"/>
  <c r="M989" i="4"/>
  <c r="I989" i="4"/>
  <c r="L989" i="4" s="1"/>
  <c r="G1004" i="4"/>
  <c r="H1004" i="4" s="1"/>
  <c r="F1004" i="4"/>
  <c r="I1006" i="4"/>
  <c r="L1006" i="4" s="1"/>
  <c r="M1006" i="4"/>
  <c r="G1036" i="4"/>
  <c r="H1036" i="4"/>
  <c r="F1036" i="4"/>
  <c r="F1039" i="4"/>
  <c r="F1043" i="4"/>
  <c r="G1116" i="4"/>
  <c r="H1116" i="4" s="1"/>
  <c r="M1171" i="4"/>
  <c r="I1171" i="4"/>
  <c r="L1171" i="4" s="1"/>
  <c r="F1244" i="4"/>
  <c r="F1248" i="4"/>
  <c r="F1249" i="4"/>
  <c r="G1244" i="4"/>
  <c r="H1244" i="4" s="1"/>
  <c r="G1249" i="4"/>
  <c r="H1249" i="4" s="1"/>
  <c r="G879" i="4"/>
  <c r="H879" i="4" s="1"/>
  <c r="G880" i="4"/>
  <c r="H880" i="4" s="1"/>
  <c r="G883" i="4"/>
  <c r="H883" i="4" s="1"/>
  <c r="G884" i="4"/>
  <c r="H884" i="4" s="1"/>
  <c r="G888" i="4"/>
  <c r="H888" i="4" s="1"/>
  <c r="M898" i="4"/>
  <c r="I898" i="4"/>
  <c r="L898" i="4" s="1"/>
  <c r="M902" i="4"/>
  <c r="I902" i="4"/>
  <c r="L902" i="4" s="1"/>
  <c r="M950" i="4"/>
  <c r="I950" i="4"/>
  <c r="L950" i="4" s="1"/>
  <c r="M954" i="4"/>
  <c r="I954" i="4"/>
  <c r="L954" i="4" s="1"/>
  <c r="M1004" i="4"/>
  <c r="I1004" i="4"/>
  <c r="L1004" i="4" s="1"/>
  <c r="G1009" i="4"/>
  <c r="H1009" i="4" s="1"/>
  <c r="G1027" i="4"/>
  <c r="H1027" i="4" s="1"/>
  <c r="F1027" i="4"/>
  <c r="G1057" i="4"/>
  <c r="H1057" i="4" s="1"/>
  <c r="F1057" i="4"/>
  <c r="G1159" i="4"/>
  <c r="H1159" i="4" s="1"/>
  <c r="F1159" i="4"/>
  <c r="F1154" i="4"/>
  <c r="F1161" i="4"/>
  <c r="G944" i="4"/>
  <c r="H944" i="4" s="1"/>
  <c r="G945" i="4"/>
  <c r="H945" i="4" s="1"/>
  <c r="G948" i="4"/>
  <c r="H948" i="4"/>
  <c r="G949" i="4"/>
  <c r="H949" i="4" s="1"/>
  <c r="G952" i="4"/>
  <c r="H952" i="4" s="1"/>
  <c r="G953" i="4"/>
  <c r="H953" i="4" s="1"/>
  <c r="G957" i="4"/>
  <c r="H957" i="4" s="1"/>
  <c r="G958" i="4"/>
  <c r="H958" i="4" s="1"/>
  <c r="G961" i="4"/>
  <c r="H961" i="4" s="1"/>
  <c r="G962" i="4"/>
  <c r="H962" i="4" s="1"/>
  <c r="G965" i="4"/>
  <c r="H965" i="4" s="1"/>
  <c r="G966" i="4"/>
  <c r="H966" i="4" s="1"/>
  <c r="G970" i="4"/>
  <c r="H970" i="4" s="1"/>
  <c r="G971" i="4"/>
  <c r="H971" i="4" s="1"/>
  <c r="G974" i="4"/>
  <c r="H974" i="4" s="1"/>
  <c r="G975" i="4"/>
  <c r="H975" i="4"/>
  <c r="G978" i="4"/>
  <c r="H978" i="4" s="1"/>
  <c r="G979" i="4"/>
  <c r="H979" i="4" s="1"/>
  <c r="G983" i="4"/>
  <c r="H983" i="4" s="1"/>
  <c r="G984" i="4"/>
  <c r="H984" i="4" s="1"/>
  <c r="G987" i="4"/>
  <c r="H987" i="4" s="1"/>
  <c r="G988" i="4"/>
  <c r="H988" i="4" s="1"/>
  <c r="F991" i="4"/>
  <c r="M993" i="4"/>
  <c r="F996" i="4"/>
  <c r="M1028" i="4"/>
  <c r="I1054" i="4"/>
  <c r="L1054" i="4" s="1"/>
  <c r="M1054" i="4"/>
  <c r="I1058" i="4"/>
  <c r="L1058" i="4" s="1"/>
  <c r="M1058" i="4"/>
  <c r="G1142" i="4"/>
  <c r="H1142" i="4"/>
  <c r="F1142" i="4"/>
  <c r="F1165" i="4"/>
  <c r="G1165" i="4"/>
  <c r="H1165" i="4" s="1"/>
  <c r="M184" i="5"/>
  <c r="I184" i="5"/>
  <c r="L184" i="5" s="1"/>
  <c r="M458" i="5"/>
  <c r="I458" i="5"/>
  <c r="L458" i="5" s="1"/>
  <c r="F1048" i="4"/>
  <c r="F1056" i="4"/>
  <c r="G1061" i="4"/>
  <c r="H1061" i="4" s="1"/>
  <c r="F1061" i="4"/>
  <c r="I1067" i="4"/>
  <c r="L1067" i="4" s="1"/>
  <c r="M1067" i="4"/>
  <c r="I1071" i="4"/>
  <c r="L1071" i="4" s="1"/>
  <c r="M1071" i="4"/>
  <c r="I1084" i="4"/>
  <c r="L1084" i="4" s="1"/>
  <c r="M1084" i="4"/>
  <c r="I1097" i="4"/>
  <c r="L1097" i="4" s="1"/>
  <c r="M1097" i="4"/>
  <c r="I1110" i="4"/>
  <c r="L1110" i="4" s="1"/>
  <c r="M1110" i="4"/>
  <c r="G1119" i="4"/>
  <c r="H1119" i="4" s="1"/>
  <c r="F1127" i="4"/>
  <c r="G1127" i="4"/>
  <c r="H1127" i="4" s="1"/>
  <c r="G1133" i="4"/>
  <c r="H1133" i="4" s="1"/>
  <c r="F1133" i="4"/>
  <c r="F1139" i="4"/>
  <c r="G1139" i="4"/>
  <c r="H1139" i="4" s="1"/>
  <c r="M1145" i="4"/>
  <c r="I1145" i="4"/>
  <c r="L1145" i="4" s="1"/>
  <c r="G1154" i="4"/>
  <c r="H1154" i="4" s="1"/>
  <c r="G1161" i="4"/>
  <c r="H1161" i="4" s="1"/>
  <c r="G1152" i="4"/>
  <c r="H1152" i="4" s="1"/>
  <c r="M1214" i="4"/>
  <c r="I1214" i="4"/>
  <c r="L1214" i="4" s="1"/>
  <c r="G1218" i="4"/>
  <c r="H1218" i="4" s="1"/>
  <c r="G1221" i="4"/>
  <c r="H1221" i="4" s="1"/>
  <c r="G1224" i="4"/>
  <c r="H1224" i="4" s="1"/>
  <c r="G1225" i="4"/>
  <c r="H1225" i="4" s="1"/>
  <c r="F1219" i="4"/>
  <c r="F1221" i="4"/>
  <c r="F1224" i="4"/>
  <c r="F1225" i="4"/>
  <c r="I1264" i="4"/>
  <c r="L1264" i="4" s="1"/>
  <c r="M1264" i="4"/>
  <c r="F1271" i="4"/>
  <c r="F1269" i="4"/>
  <c r="F1274" i="4"/>
  <c r="F1277" i="4"/>
  <c r="G1271" i="4"/>
  <c r="H1271" i="4"/>
  <c r="F1023" i="4"/>
  <c r="F1031" i="4"/>
  <c r="G1056" i="4"/>
  <c r="H1056" i="4"/>
  <c r="I1080" i="4"/>
  <c r="L1080" i="4" s="1"/>
  <c r="M1080" i="4"/>
  <c r="I1093" i="4"/>
  <c r="L1093" i="4"/>
  <c r="M1093" i="4"/>
  <c r="I1106" i="4"/>
  <c r="L1106" i="4" s="1"/>
  <c r="M1106" i="4"/>
  <c r="G1113" i="4"/>
  <c r="H1113" i="4" s="1"/>
  <c r="G1114" i="4"/>
  <c r="H1114" i="4" s="1"/>
  <c r="G1122" i="4"/>
  <c r="H1122" i="4" s="1"/>
  <c r="M1119" i="4"/>
  <c r="I1119" i="4"/>
  <c r="L1119" i="4" s="1"/>
  <c r="G1128" i="4"/>
  <c r="H1128" i="4" s="1"/>
  <c r="F1128" i="4"/>
  <c r="F1135" i="4"/>
  <c r="G1135" i="4"/>
  <c r="H1135" i="4" s="1"/>
  <c r="G1197" i="4"/>
  <c r="H1197" i="4" s="1"/>
  <c r="F1197" i="4"/>
  <c r="G1198" i="4"/>
  <c r="H1198" i="4"/>
  <c r="F1198" i="4"/>
  <c r="I1132" i="4"/>
  <c r="L1132" i="4" s="1"/>
  <c r="I1158" i="4"/>
  <c r="L1158" i="4" s="1"/>
  <c r="G1184" i="4"/>
  <c r="H1184" i="4" s="1"/>
  <c r="F1184" i="4"/>
  <c r="G1185" i="4"/>
  <c r="H1185" i="4" s="1"/>
  <c r="F1185" i="4"/>
  <c r="G1193" i="4"/>
  <c r="H1193" i="4" s="1"/>
  <c r="F1193" i="4"/>
  <c r="G1201" i="4"/>
  <c r="H1201" i="4" s="1"/>
  <c r="F1201" i="4"/>
  <c r="G1203" i="4"/>
  <c r="H1203" i="4" s="1"/>
  <c r="F1203" i="4"/>
  <c r="G1210" i="4"/>
  <c r="H1210" i="4"/>
  <c r="F1210" i="4"/>
  <c r="G1211" i="4"/>
  <c r="H1211" i="4" s="1"/>
  <c r="F1211" i="4"/>
  <c r="G1232" i="4"/>
  <c r="H1232" i="4" s="1"/>
  <c r="G1233" i="4"/>
  <c r="H1233" i="4" s="1"/>
  <c r="G1234" i="4"/>
  <c r="H1234" i="4" s="1"/>
  <c r="F1234" i="4"/>
  <c r="I1238" i="4"/>
  <c r="L1238" i="4" s="1"/>
  <c r="M1238" i="4"/>
  <c r="G1248" i="4"/>
  <c r="H1248" i="4" s="1"/>
  <c r="F1256" i="4"/>
  <c r="G1256" i="4"/>
  <c r="H1256" i="4" s="1"/>
  <c r="G1283" i="4"/>
  <c r="H1283" i="4" s="1"/>
  <c r="G1289" i="4"/>
  <c r="H1289" i="4" s="1"/>
  <c r="G1292" i="4"/>
  <c r="H1292" i="4" s="1"/>
  <c r="F1283" i="4"/>
  <c r="F1289" i="4"/>
  <c r="F1292" i="4"/>
  <c r="F1062" i="4"/>
  <c r="F1065" i="4"/>
  <c r="F1066" i="4"/>
  <c r="F1069" i="4"/>
  <c r="F1070" i="4"/>
  <c r="G1188" i="4"/>
  <c r="H1188" i="4" s="1"/>
  <c r="F1188" i="4"/>
  <c r="G1190" i="4"/>
  <c r="H1190" i="4"/>
  <c r="F1190" i="4"/>
  <c r="G1207" i="4"/>
  <c r="H1207" i="4" s="1"/>
  <c r="F1207" i="4"/>
  <c r="I1236" i="4"/>
  <c r="L1236" i="4" s="1"/>
  <c r="M1236" i="4"/>
  <c r="M1279" i="4"/>
  <c r="I1279" i="4"/>
  <c r="L1279" i="4"/>
  <c r="F1297" i="4"/>
  <c r="G1297" i="4"/>
  <c r="H1297" i="4" s="1"/>
  <c r="F1302" i="4"/>
  <c r="G1302" i="4"/>
  <c r="H1302" i="4" s="1"/>
  <c r="G1296" i="4"/>
  <c r="H1296" i="4"/>
  <c r="G1305" i="4"/>
  <c r="H1305" i="4" s="1"/>
  <c r="F1296" i="4"/>
  <c r="F1305" i="4"/>
  <c r="I1314" i="4"/>
  <c r="L1314" i="4" s="1"/>
  <c r="M1314" i="4"/>
  <c r="G1126" i="4"/>
  <c r="H1126" i="4"/>
  <c r="G1140" i="4"/>
  <c r="H1140" i="4" s="1"/>
  <c r="G1148" i="4"/>
  <c r="H1148" i="4" s="1"/>
  <c r="G1166" i="4"/>
  <c r="H1166" i="4" s="1"/>
  <c r="F1172" i="4"/>
  <c r="G1194" i="4"/>
  <c r="H1194" i="4" s="1"/>
  <c r="F1194" i="4"/>
  <c r="G1214" i="4"/>
  <c r="H1214" i="4"/>
  <c r="F1214" i="4"/>
  <c r="I1240" i="4"/>
  <c r="L1240" i="4" s="1"/>
  <c r="M1240" i="4"/>
  <c r="F1260" i="4"/>
  <c r="G1260" i="4"/>
  <c r="H1260" i="4" s="1"/>
  <c r="G1277" i="4"/>
  <c r="H1277" i="4" s="1"/>
  <c r="F1261" i="4"/>
  <c r="F1264" i="4"/>
  <c r="G1269" i="4"/>
  <c r="H1269" i="4" s="1"/>
  <c r="G1274" i="4"/>
  <c r="H1274" i="4" s="1"/>
  <c r="G1310" i="4"/>
  <c r="H1310" i="4" s="1"/>
  <c r="G1312" i="4"/>
  <c r="H1312" i="4" s="1"/>
  <c r="G1317" i="4"/>
  <c r="H1317" i="4" s="1"/>
  <c r="F1310" i="4"/>
  <c r="F1312" i="4"/>
  <c r="F1317" i="4"/>
  <c r="M29" i="5"/>
  <c r="I29" i="5"/>
  <c r="L29" i="5" s="1"/>
  <c r="M143" i="5"/>
  <c r="I143" i="5"/>
  <c r="L143" i="5" s="1"/>
  <c r="G1255" i="4"/>
  <c r="H1255" i="4"/>
  <c r="G1259" i="4"/>
  <c r="H1259" i="4" s="1"/>
  <c r="G1264" i="4"/>
  <c r="H1264" i="4" s="1"/>
  <c r="G1261" i="4"/>
  <c r="H1261" i="4" s="1"/>
  <c r="M55" i="5"/>
  <c r="I55" i="5"/>
  <c r="L55" i="5" s="1"/>
  <c r="M1262" i="4"/>
  <c r="M1318" i="4"/>
  <c r="M141" i="5"/>
  <c r="I141" i="5"/>
  <c r="L141" i="5" s="1"/>
  <c r="M249" i="5"/>
  <c r="I249" i="5"/>
  <c r="L249" i="5" s="1"/>
  <c r="M456" i="5"/>
  <c r="I456" i="5"/>
  <c r="L456" i="5" s="1"/>
  <c r="M713" i="5"/>
  <c r="I713" i="5"/>
  <c r="L713" i="5" s="1"/>
  <c r="J738" i="5"/>
  <c r="M197" i="5"/>
  <c r="I197" i="5"/>
  <c r="L197" i="5" s="1"/>
  <c r="M338" i="5"/>
  <c r="I338" i="5"/>
  <c r="L338" i="5" s="1"/>
  <c r="M364" i="5"/>
  <c r="I364" i="5"/>
  <c r="L364" i="5" s="1"/>
  <c r="M145" i="5"/>
  <c r="I145" i="5"/>
  <c r="L145" i="5" s="1"/>
  <c r="M625" i="5"/>
  <c r="I625" i="5"/>
  <c r="L625" i="5" s="1"/>
  <c r="K411" i="5"/>
  <c r="I480" i="5"/>
  <c r="L480" i="5"/>
  <c r="I482" i="5"/>
  <c r="L482" i="5" s="1"/>
  <c r="I484" i="5"/>
  <c r="L484" i="5" s="1"/>
  <c r="I599" i="5"/>
  <c r="L599" i="5" s="1"/>
  <c r="I689" i="5"/>
  <c r="L689" i="5" s="1"/>
  <c r="I778" i="5"/>
  <c r="L778" i="5" s="1"/>
  <c r="I845" i="5"/>
  <c r="L845" i="5"/>
  <c r="I949" i="5"/>
  <c r="L949" i="5" s="1"/>
  <c r="K1010" i="5"/>
  <c r="I1015" i="5"/>
  <c r="L1015" i="5" s="1"/>
  <c r="I1082" i="5"/>
  <c r="L1082" i="5" s="1"/>
  <c r="I1158" i="5"/>
  <c r="L1158" i="5" s="1"/>
  <c r="I1246" i="5"/>
  <c r="L1246" i="5" s="1"/>
  <c r="I1276" i="5"/>
  <c r="L1276" i="5" s="1"/>
  <c r="K424" i="5"/>
  <c r="I752" i="5"/>
  <c r="L752" i="5" s="1"/>
  <c r="I897" i="5"/>
  <c r="L897" i="5" s="1"/>
  <c r="I1108" i="5"/>
  <c r="L1108" i="5" s="1"/>
  <c r="I1210" i="5"/>
  <c r="L1210" i="5"/>
  <c r="I1302" i="5"/>
  <c r="L1302" i="5" s="1"/>
  <c r="I262" i="5"/>
  <c r="L262" i="5" s="1"/>
  <c r="I312" i="5"/>
  <c r="L312" i="5" s="1"/>
  <c r="K398" i="5"/>
  <c r="I506" i="5"/>
  <c r="L506" i="5" s="1"/>
  <c r="I508" i="5"/>
  <c r="L508" i="5" s="1"/>
  <c r="I510" i="5"/>
  <c r="L510" i="5" s="1"/>
  <c r="I573" i="5"/>
  <c r="L573" i="5" s="1"/>
  <c r="J686" i="5"/>
  <c r="M686" i="5" s="1"/>
  <c r="K698" i="5"/>
  <c r="K711" i="5"/>
  <c r="I741" i="5"/>
  <c r="L741" i="5" s="1"/>
  <c r="I791" i="5"/>
  <c r="L791" i="5" s="1"/>
  <c r="I819" i="5"/>
  <c r="L819" i="5" s="1"/>
  <c r="I923" i="5"/>
  <c r="L923" i="5" s="1"/>
  <c r="I963" i="5"/>
  <c r="L963" i="5" s="1"/>
  <c r="I989" i="5"/>
  <c r="L989" i="5" s="1"/>
  <c r="I1095" i="5"/>
  <c r="L1095" i="5" s="1"/>
  <c r="I1236" i="5"/>
  <c r="L1236" i="5" s="1"/>
  <c r="I1289" i="5"/>
  <c r="L1289" i="5" s="1"/>
  <c r="I76" i="5"/>
  <c r="L76" i="5" s="1"/>
  <c r="I78" i="5"/>
  <c r="L78" i="5" s="1"/>
  <c r="I80" i="5"/>
  <c r="L80" i="5" s="1"/>
  <c r="I53" i="5"/>
  <c r="L53" i="5" s="1"/>
  <c r="I51" i="5"/>
  <c r="L51" i="5" s="1"/>
  <c r="K709" i="5"/>
  <c r="I1171" i="5"/>
  <c r="L1171" i="5" s="1"/>
  <c r="I1197" i="5"/>
  <c r="L1197" i="5" s="1"/>
  <c r="I1223" i="5"/>
  <c r="L1223" i="5" s="1"/>
  <c r="I1237" i="5"/>
  <c r="L1237" i="5" s="1"/>
  <c r="I1250" i="5"/>
  <c r="L1250" i="5" s="1"/>
  <c r="I40" i="5"/>
  <c r="L40" i="5"/>
  <c r="I68" i="5"/>
  <c r="L68" i="5" s="1"/>
  <c r="I93" i="5"/>
  <c r="L93" i="5" s="1"/>
  <c r="I106" i="5"/>
  <c r="L106" i="5" s="1"/>
  <c r="I119" i="5"/>
  <c r="L119" i="5" s="1"/>
  <c r="I132" i="5"/>
  <c r="L132" i="5" s="1"/>
  <c r="I154" i="5"/>
  <c r="L154" i="5"/>
  <c r="I167" i="5"/>
  <c r="L167" i="5" s="1"/>
  <c r="I180" i="5"/>
  <c r="L180" i="5"/>
  <c r="I193" i="5"/>
  <c r="L193" i="5" s="1"/>
  <c r="I206" i="5"/>
  <c r="L206" i="5" s="1"/>
  <c r="I219" i="5"/>
  <c r="L219" i="5" s="1"/>
  <c r="I232" i="5"/>
  <c r="L232" i="5" s="1"/>
  <c r="I245" i="5"/>
  <c r="L245" i="5" s="1"/>
  <c r="I258" i="5"/>
  <c r="L258" i="5"/>
  <c r="I271" i="5"/>
  <c r="L271" i="5" s="1"/>
  <c r="I299" i="5"/>
  <c r="L299" i="5"/>
  <c r="I325" i="5"/>
  <c r="L325" i="5" s="1"/>
  <c r="I351" i="5"/>
  <c r="L351" i="5" s="1"/>
  <c r="I377" i="5"/>
  <c r="L377" i="5" s="1"/>
  <c r="I391" i="5"/>
  <c r="L391" i="5" s="1"/>
  <c r="I404" i="5"/>
  <c r="L404" i="5" s="1"/>
  <c r="I417" i="5"/>
  <c r="L417" i="5" s="1"/>
  <c r="I430" i="5"/>
  <c r="L430" i="5" s="1"/>
  <c r="I443" i="5"/>
  <c r="L443" i="5"/>
  <c r="I467" i="5"/>
  <c r="L467" i="5" s="1"/>
  <c r="I469" i="5"/>
  <c r="L469" i="5" s="1"/>
  <c r="I471" i="5"/>
  <c r="L471" i="5" s="1"/>
  <c r="I493" i="5"/>
  <c r="L493" i="5" s="1"/>
  <c r="I495" i="5"/>
  <c r="L495" i="5" s="1"/>
  <c r="I497" i="5"/>
  <c r="L497" i="5" s="1"/>
  <c r="I519" i="5"/>
  <c r="L519" i="5" s="1"/>
  <c r="I521" i="5"/>
  <c r="L521" i="5"/>
  <c r="I523" i="5"/>
  <c r="L523" i="5" s="1"/>
  <c r="I560" i="5"/>
  <c r="L560" i="5" s="1"/>
  <c r="I586" i="5"/>
  <c r="L586" i="5" s="1"/>
  <c r="I612" i="5"/>
  <c r="L612" i="5" s="1"/>
  <c r="I638" i="5"/>
  <c r="L638" i="5" s="1"/>
  <c r="I664" i="5"/>
  <c r="L664" i="5"/>
  <c r="K685" i="5"/>
  <c r="K683" i="5"/>
  <c r="I687" i="5"/>
  <c r="L687" i="5" s="1"/>
  <c r="I691" i="5"/>
  <c r="L691" i="5" s="1"/>
  <c r="J712" i="5"/>
  <c r="I715" i="5"/>
  <c r="L715" i="5" s="1"/>
  <c r="K724" i="5"/>
  <c r="K737" i="5"/>
  <c r="K735" i="5"/>
  <c r="I739" i="5"/>
  <c r="L739" i="5" s="1"/>
  <c r="I743" i="5"/>
  <c r="L743" i="5" s="1"/>
  <c r="I756" i="5"/>
  <c r="L756" i="5" s="1"/>
  <c r="I769" i="5"/>
  <c r="L769" i="5" s="1"/>
  <c r="I782" i="5"/>
  <c r="L782" i="5" s="1"/>
  <c r="I795" i="5"/>
  <c r="L795" i="5"/>
  <c r="I806" i="5"/>
  <c r="L806" i="5" s="1"/>
  <c r="I832" i="5"/>
  <c r="L832" i="5" s="1"/>
  <c r="I858" i="5"/>
  <c r="L858" i="5" s="1"/>
  <c r="I884" i="5"/>
  <c r="L884" i="5" s="1"/>
  <c r="I910" i="5"/>
  <c r="L910" i="5" s="1"/>
  <c r="I936" i="5"/>
  <c r="L936" i="5" s="1"/>
  <c r="I962" i="5"/>
  <c r="L962" i="5" s="1"/>
  <c r="K972" i="5"/>
  <c r="K985" i="5"/>
  <c r="K997" i="5"/>
  <c r="I1002" i="5"/>
  <c r="L1002" i="5" s="1"/>
  <c r="K1023" i="5"/>
  <c r="I1028" i="5"/>
  <c r="L1028" i="5" s="1"/>
  <c r="K1049" i="5"/>
  <c r="I1054" i="5"/>
  <c r="L1054" i="5" s="1"/>
  <c r="I1065" i="5"/>
  <c r="L1065" i="5" s="1"/>
  <c r="I1078" i="5"/>
  <c r="L1078" i="5" s="1"/>
  <c r="I1091" i="5"/>
  <c r="L1091" i="5"/>
  <c r="I1104" i="5"/>
  <c r="L1104" i="5" s="1"/>
  <c r="I1132" i="5"/>
  <c r="L1132" i="5" s="1"/>
  <c r="I1259" i="5"/>
  <c r="L1259" i="5" s="1"/>
  <c r="I1272" i="5"/>
  <c r="L1272" i="5" s="1"/>
  <c r="I1285" i="5"/>
  <c r="L1285" i="5" s="1"/>
  <c r="I1298" i="5"/>
  <c r="L1298" i="5" s="1"/>
  <c r="I1311" i="5"/>
  <c r="L1311" i="5" s="1"/>
  <c r="K1062" i="5"/>
  <c r="I1067" i="5"/>
  <c r="L1067" i="5"/>
  <c r="K1075" i="5"/>
  <c r="I1080" i="5"/>
  <c r="L1080" i="5"/>
  <c r="K1088" i="5"/>
  <c r="I1093" i="5"/>
  <c r="L1093" i="5" s="1"/>
  <c r="K1101" i="5"/>
  <c r="I1106" i="5"/>
  <c r="L1106" i="5" s="1"/>
  <c r="I1117" i="5"/>
  <c r="L1117" i="5" s="1"/>
  <c r="I1119" i="5"/>
  <c r="L1119" i="5" s="1"/>
  <c r="I1121" i="5"/>
  <c r="L1121" i="5"/>
  <c r="I1130" i="5"/>
  <c r="L1130" i="5" s="1"/>
  <c r="I1134" i="5"/>
  <c r="L1134" i="5"/>
  <c r="I1143" i="5"/>
  <c r="L1143" i="5" s="1"/>
  <c r="I1147" i="5"/>
  <c r="L1147" i="5" s="1"/>
  <c r="I1156" i="5"/>
  <c r="L1156" i="5" s="1"/>
  <c r="I1160" i="5"/>
  <c r="L1160" i="5" s="1"/>
  <c r="I1169" i="5"/>
  <c r="L1169" i="5" s="1"/>
  <c r="I1173" i="5"/>
  <c r="L1173" i="5" s="1"/>
  <c r="I1182" i="5"/>
  <c r="L1182" i="5" s="1"/>
  <c r="I1186" i="5"/>
  <c r="L1186" i="5"/>
  <c r="I1195" i="5"/>
  <c r="L1195" i="5" s="1"/>
  <c r="I1199" i="5"/>
  <c r="L1199" i="5" s="1"/>
  <c r="I1208" i="5"/>
  <c r="L1208" i="5" s="1"/>
  <c r="I1212" i="5"/>
  <c r="L1212" i="5" s="1"/>
  <c r="I1221" i="5"/>
  <c r="L1221" i="5" s="1"/>
  <c r="I1225" i="5"/>
  <c r="L1225" i="5" s="1"/>
  <c r="I1234" i="5"/>
  <c r="L1234" i="5" s="1"/>
  <c r="I1248" i="5"/>
  <c r="L1248" i="5"/>
  <c r="I1261" i="5"/>
  <c r="L1261" i="5" s="1"/>
  <c r="I1274" i="5"/>
  <c r="L1274" i="5" s="1"/>
  <c r="I1287" i="5"/>
  <c r="L1287" i="5" s="1"/>
  <c r="I1300" i="5"/>
  <c r="L1300" i="5" s="1"/>
  <c r="I1313" i="5"/>
  <c r="L1313" i="5" s="1"/>
  <c r="M804" i="5"/>
  <c r="M808" i="5"/>
  <c r="M817" i="5"/>
  <c r="M821" i="5"/>
  <c r="M830" i="5"/>
  <c r="M834" i="5"/>
  <c r="M843" i="5"/>
  <c r="M847" i="5"/>
  <c r="M856" i="5"/>
  <c r="M860" i="5"/>
  <c r="M869" i="5"/>
  <c r="M873" i="5"/>
  <c r="M882" i="5"/>
  <c r="M886" i="5"/>
  <c r="M895" i="5"/>
  <c r="M899" i="5"/>
  <c r="M908" i="5"/>
  <c r="M912" i="5"/>
  <c r="M921" i="5"/>
  <c r="M925" i="5"/>
  <c r="M934" i="5"/>
  <c r="M938" i="5"/>
  <c r="M947" i="5"/>
  <c r="M951" i="5"/>
  <c r="M960" i="5"/>
  <c r="M965" i="5"/>
  <c r="K970" i="5"/>
  <c r="M974" i="5"/>
  <c r="M978" i="5"/>
  <c r="K983" i="5"/>
  <c r="M987" i="5"/>
  <c r="M991" i="5"/>
  <c r="M1000" i="5"/>
  <c r="M1004" i="5"/>
  <c r="M1013" i="5"/>
  <c r="M1017" i="5"/>
  <c r="M1026" i="5"/>
  <c r="M1030" i="5"/>
  <c r="M1039" i="5"/>
  <c r="M1043" i="5"/>
  <c r="M1052" i="5"/>
  <c r="M1056" i="5"/>
  <c r="K968" i="5"/>
  <c r="K981" i="5"/>
  <c r="I545" i="5"/>
  <c r="L545" i="5" s="1"/>
  <c r="I549" i="5"/>
  <c r="L549" i="5" s="1"/>
  <c r="I558" i="5"/>
  <c r="L558" i="5"/>
  <c r="I562" i="5"/>
  <c r="L562" i="5" s="1"/>
  <c r="I571" i="5"/>
  <c r="L571" i="5" s="1"/>
  <c r="I575" i="5"/>
  <c r="L575" i="5" s="1"/>
  <c r="I584" i="5"/>
  <c r="L584" i="5" s="1"/>
  <c r="I588" i="5"/>
  <c r="L588" i="5" s="1"/>
  <c r="I597" i="5"/>
  <c r="L597" i="5" s="1"/>
  <c r="I601" i="5"/>
  <c r="L601" i="5" s="1"/>
  <c r="I610" i="5"/>
  <c r="L610" i="5"/>
  <c r="I614" i="5"/>
  <c r="L614" i="5" s="1"/>
  <c r="I623" i="5"/>
  <c r="L623" i="5" s="1"/>
  <c r="I627" i="5"/>
  <c r="L627" i="5" s="1"/>
  <c r="I636" i="5"/>
  <c r="L636" i="5" s="1"/>
  <c r="I640" i="5"/>
  <c r="L640" i="5" s="1"/>
  <c r="I649" i="5"/>
  <c r="L649" i="5"/>
  <c r="I653" i="5"/>
  <c r="L653" i="5" s="1"/>
  <c r="I662" i="5"/>
  <c r="L662" i="5"/>
  <c r="I666" i="5"/>
  <c r="L666" i="5" s="1"/>
  <c r="I675" i="5"/>
  <c r="L675" i="5" s="1"/>
  <c r="I676" i="5"/>
  <c r="L676" i="5" s="1"/>
  <c r="I678" i="5"/>
  <c r="L678" i="5" s="1"/>
  <c r="K681" i="5"/>
  <c r="K696" i="5"/>
  <c r="I700" i="5"/>
  <c r="L700" i="5" s="1"/>
  <c r="I702" i="5"/>
  <c r="L702" i="5" s="1"/>
  <c r="I704" i="5"/>
  <c r="L704" i="5"/>
  <c r="K707" i="5"/>
  <c r="K722" i="5"/>
  <c r="I726" i="5"/>
  <c r="L726" i="5" s="1"/>
  <c r="I728" i="5"/>
  <c r="L728" i="5" s="1"/>
  <c r="I730" i="5"/>
  <c r="L730" i="5"/>
  <c r="K733" i="5"/>
  <c r="K748" i="5"/>
  <c r="I754" i="5"/>
  <c r="L754" i="5"/>
  <c r="I767" i="5"/>
  <c r="L767" i="5" s="1"/>
  <c r="I780" i="5"/>
  <c r="L780" i="5" s="1"/>
  <c r="I793" i="5"/>
  <c r="L793" i="5" s="1"/>
  <c r="K694" i="5"/>
  <c r="K720" i="5"/>
  <c r="I284" i="5"/>
  <c r="L284" i="5" s="1"/>
  <c r="I288" i="5"/>
  <c r="L288" i="5"/>
  <c r="I297" i="5"/>
  <c r="L297" i="5" s="1"/>
  <c r="I301" i="5"/>
  <c r="L301" i="5"/>
  <c r="I310" i="5"/>
  <c r="L310" i="5" s="1"/>
  <c r="I314" i="5"/>
  <c r="L314" i="5" s="1"/>
  <c r="I323" i="5"/>
  <c r="L323" i="5" s="1"/>
  <c r="I327" i="5"/>
  <c r="L327" i="5" s="1"/>
  <c r="I336" i="5"/>
  <c r="L336" i="5" s="1"/>
  <c r="I340" i="5"/>
  <c r="L340" i="5" s="1"/>
  <c r="I349" i="5"/>
  <c r="L349" i="5" s="1"/>
  <c r="I353" i="5"/>
  <c r="L353" i="5"/>
  <c r="I362" i="5"/>
  <c r="L362" i="5" s="1"/>
  <c r="I366" i="5"/>
  <c r="L366" i="5" s="1"/>
  <c r="I375" i="5"/>
  <c r="L375" i="5" s="1"/>
  <c r="I379" i="5"/>
  <c r="L379" i="5" s="1"/>
  <c r="I380" i="5"/>
  <c r="L380" i="5" s="1"/>
  <c r="K383" i="5"/>
  <c r="K387" i="5"/>
  <c r="I389" i="5"/>
  <c r="L389" i="5" s="1"/>
  <c r="I393" i="5"/>
  <c r="L393" i="5"/>
  <c r="K396" i="5"/>
  <c r="K400" i="5"/>
  <c r="I402" i="5"/>
  <c r="L402" i="5"/>
  <c r="I406" i="5"/>
  <c r="L406" i="5" s="1"/>
  <c r="K409" i="5"/>
  <c r="K413" i="5"/>
  <c r="I415" i="5"/>
  <c r="L415" i="5" s="1"/>
  <c r="I419" i="5"/>
  <c r="L419" i="5" s="1"/>
  <c r="K422" i="5"/>
  <c r="K426" i="5"/>
  <c r="I428" i="5"/>
  <c r="L428" i="5" s="1"/>
  <c r="I432" i="5"/>
  <c r="L432" i="5" s="1"/>
  <c r="K435" i="5"/>
  <c r="K439" i="5"/>
  <c r="I441" i="5"/>
  <c r="L441" i="5" s="1"/>
  <c r="I445" i="5"/>
  <c r="L445" i="5"/>
  <c r="I454" i="5"/>
  <c r="L454" i="5" s="1"/>
  <c r="M156" i="5"/>
  <c r="M169" i="5"/>
  <c r="M182" i="5"/>
  <c r="M195" i="5"/>
  <c r="M208" i="5"/>
  <c r="M221" i="5"/>
  <c r="M234" i="5"/>
  <c r="M247" i="5"/>
  <c r="M260" i="5"/>
  <c r="M273" i="5"/>
  <c r="I89" i="5"/>
  <c r="L89" i="5" s="1"/>
  <c r="M91" i="5"/>
  <c r="M104" i="5"/>
  <c r="M117" i="5"/>
  <c r="M130" i="5"/>
  <c r="I64" i="5"/>
  <c r="L64" i="5" s="1"/>
  <c r="I66" i="5"/>
  <c r="L66" i="5" s="1"/>
  <c r="I38" i="5"/>
  <c r="L38" i="5"/>
  <c r="I42" i="5"/>
  <c r="L42" i="5" s="1"/>
  <c r="G20" i="5"/>
  <c r="I25" i="5"/>
  <c r="L25" i="5" s="1"/>
  <c r="I27" i="5"/>
  <c r="L27" i="5" s="1"/>
  <c r="F18" i="5"/>
  <c r="F19" i="5"/>
  <c r="F20" i="5" s="1"/>
  <c r="M1276" i="4"/>
  <c r="I1276" i="4"/>
  <c r="L1276" i="4" s="1"/>
  <c r="I27" i="4"/>
  <c r="L27" i="4" s="1"/>
  <c r="I29" i="4"/>
  <c r="L29" i="4" s="1"/>
  <c r="I31" i="4"/>
  <c r="L31" i="4" s="1"/>
  <c r="I40" i="4"/>
  <c r="L40" i="4" s="1"/>
  <c r="I42" i="4"/>
  <c r="L42" i="4" s="1"/>
  <c r="I44" i="4"/>
  <c r="L44" i="4"/>
  <c r="I53" i="4"/>
  <c r="L53" i="4" s="1"/>
  <c r="I55" i="4"/>
  <c r="L55" i="4" s="1"/>
  <c r="I57" i="4"/>
  <c r="L57" i="4" s="1"/>
  <c r="I66" i="4"/>
  <c r="L66" i="4" s="1"/>
  <c r="I68" i="4"/>
  <c r="L68" i="4" s="1"/>
  <c r="I70" i="4"/>
  <c r="L70" i="4"/>
  <c r="I79" i="4"/>
  <c r="L79" i="4" s="1"/>
  <c r="I81" i="4"/>
  <c r="L81" i="4"/>
  <c r="I83" i="4"/>
  <c r="L83" i="4" s="1"/>
  <c r="I92" i="4"/>
  <c r="L92" i="4"/>
  <c r="I94" i="4"/>
  <c r="L94" i="4" s="1"/>
  <c r="I96" i="4"/>
  <c r="L96" i="4" s="1"/>
  <c r="I105" i="4"/>
  <c r="L105" i="4" s="1"/>
  <c r="I107" i="4"/>
  <c r="L107" i="4" s="1"/>
  <c r="I109" i="4"/>
  <c r="L109" i="4" s="1"/>
  <c r="I118" i="4"/>
  <c r="L118" i="4"/>
  <c r="I120" i="4"/>
  <c r="L120" i="4" s="1"/>
  <c r="I122" i="4"/>
  <c r="L122" i="4"/>
  <c r="I131" i="4"/>
  <c r="L131" i="4" s="1"/>
  <c r="I133" i="4"/>
  <c r="L133" i="4" s="1"/>
  <c r="I135" i="4"/>
  <c r="L135" i="4" s="1"/>
  <c r="I144" i="4"/>
  <c r="L144" i="4" s="1"/>
  <c r="I146" i="4"/>
  <c r="L146" i="4" s="1"/>
  <c r="I148" i="4"/>
  <c r="L148" i="4"/>
  <c r="I157" i="4"/>
  <c r="L157" i="4" s="1"/>
  <c r="I159" i="4"/>
  <c r="L159" i="4"/>
  <c r="I161" i="4"/>
  <c r="L161" i="4" s="1"/>
  <c r="I170" i="4"/>
  <c r="L170" i="4" s="1"/>
  <c r="I172" i="4"/>
  <c r="L172" i="4"/>
  <c r="I174" i="4"/>
  <c r="L174" i="4" s="1"/>
  <c r="I183" i="4"/>
  <c r="L183" i="4" s="1"/>
  <c r="I185" i="4"/>
  <c r="L185" i="4" s="1"/>
  <c r="I187" i="4"/>
  <c r="L187" i="4" s="1"/>
  <c r="I196" i="4"/>
  <c r="L196" i="4" s="1"/>
  <c r="I198" i="4"/>
  <c r="L198" i="4"/>
  <c r="I200" i="4"/>
  <c r="L200" i="4" s="1"/>
  <c r="I209" i="4"/>
  <c r="L209" i="4"/>
  <c r="I211" i="4"/>
  <c r="L211" i="4" s="1"/>
  <c r="I213" i="4"/>
  <c r="L213" i="4" s="1"/>
  <c r="I222" i="4"/>
  <c r="L222" i="4" s="1"/>
  <c r="I224" i="4"/>
  <c r="L224" i="4" s="1"/>
  <c r="I226" i="4"/>
  <c r="L226" i="4" s="1"/>
  <c r="I235" i="4"/>
  <c r="L235" i="4"/>
  <c r="I237" i="4"/>
  <c r="L237" i="4" s="1"/>
  <c r="I239" i="4"/>
  <c r="L239" i="4"/>
  <c r="I248" i="4"/>
  <c r="L248" i="4" s="1"/>
  <c r="I250" i="4"/>
  <c r="L250" i="4" s="1"/>
  <c r="I252" i="4"/>
  <c r="L252" i="4" s="1"/>
  <c r="I261" i="4"/>
  <c r="L261" i="4" s="1"/>
  <c r="I263" i="4"/>
  <c r="L263" i="4" s="1"/>
  <c r="I265" i="4"/>
  <c r="L265" i="4" s="1"/>
  <c r="I274" i="4"/>
  <c r="L274" i="4" s="1"/>
  <c r="I276" i="4"/>
  <c r="L276" i="4"/>
  <c r="I278" i="4"/>
  <c r="L278" i="4" s="1"/>
  <c r="I287" i="4"/>
  <c r="L287" i="4" s="1"/>
  <c r="I289" i="4"/>
  <c r="L289" i="4" s="1"/>
  <c r="I291" i="4"/>
  <c r="L291" i="4" s="1"/>
  <c r="I300" i="4"/>
  <c r="L300" i="4" s="1"/>
  <c r="I302" i="4"/>
  <c r="L302" i="4"/>
  <c r="I304" i="4"/>
  <c r="L304" i="4" s="1"/>
  <c r="I313" i="4"/>
  <c r="L313" i="4"/>
  <c r="I315" i="4"/>
  <c r="L315" i="4" s="1"/>
  <c r="I317" i="4"/>
  <c r="L317" i="4" s="1"/>
  <c r="I326" i="4"/>
  <c r="L326" i="4" s="1"/>
  <c r="I328" i="4"/>
  <c r="L328" i="4" s="1"/>
  <c r="I330" i="4"/>
  <c r="L330" i="4" s="1"/>
  <c r="I339" i="4"/>
  <c r="L339" i="4" s="1"/>
  <c r="I341" i="4"/>
  <c r="L341" i="4" s="1"/>
  <c r="I343" i="4"/>
  <c r="L343" i="4"/>
  <c r="I352" i="4"/>
  <c r="L352" i="4" s="1"/>
  <c r="I354" i="4"/>
  <c r="L354" i="4" s="1"/>
  <c r="I356" i="4"/>
  <c r="L356" i="4" s="1"/>
  <c r="I365" i="4"/>
  <c r="L365" i="4" s="1"/>
  <c r="I367" i="4"/>
  <c r="L367" i="4" s="1"/>
  <c r="I369" i="4"/>
  <c r="L369" i="4"/>
  <c r="I378" i="4"/>
  <c r="L378" i="4" s="1"/>
  <c r="I380" i="4"/>
  <c r="L380" i="4"/>
  <c r="I382" i="4"/>
  <c r="L382" i="4" s="1"/>
  <c r="I391" i="4"/>
  <c r="L391" i="4" s="1"/>
  <c r="I393" i="4"/>
  <c r="L393" i="4" s="1"/>
  <c r="I395" i="4"/>
  <c r="L395" i="4" s="1"/>
  <c r="I404" i="4"/>
  <c r="L404" i="4" s="1"/>
  <c r="I406" i="4"/>
  <c r="L406" i="4" s="1"/>
  <c r="I408" i="4"/>
  <c r="L408" i="4" s="1"/>
  <c r="I417" i="4"/>
  <c r="L417" i="4"/>
  <c r="I419" i="4"/>
  <c r="L419" i="4" s="1"/>
  <c r="I421" i="4"/>
  <c r="L421" i="4" s="1"/>
  <c r="I430" i="4"/>
  <c r="L430" i="4" s="1"/>
  <c r="I432" i="4"/>
  <c r="L432" i="4" s="1"/>
  <c r="I434" i="4"/>
  <c r="L434" i="4" s="1"/>
  <c r="I443" i="4"/>
  <c r="L443" i="4" s="1"/>
  <c r="I445" i="4"/>
  <c r="L445" i="4" s="1"/>
  <c r="I447" i="4"/>
  <c r="L447" i="4" s="1"/>
  <c r="I456" i="4"/>
  <c r="L456" i="4" s="1"/>
  <c r="I458" i="4"/>
  <c r="L458" i="4" s="1"/>
  <c r="I460" i="4"/>
  <c r="L460" i="4"/>
  <c r="I469" i="4"/>
  <c r="L469" i="4" s="1"/>
  <c r="I471" i="4"/>
  <c r="L471" i="4" s="1"/>
  <c r="I473" i="4"/>
  <c r="L473" i="4" s="1"/>
  <c r="I482" i="4"/>
  <c r="L482" i="4" s="1"/>
  <c r="I484" i="4"/>
  <c r="L484" i="4" s="1"/>
  <c r="I486" i="4"/>
  <c r="L486" i="4"/>
  <c r="I495" i="4"/>
  <c r="L495" i="4" s="1"/>
  <c r="I497" i="4"/>
  <c r="L497" i="4"/>
  <c r="I499" i="4"/>
  <c r="L499" i="4" s="1"/>
  <c r="F47" i="5"/>
  <c r="M1274" i="4"/>
  <c r="I1274" i="4"/>
  <c r="L1274" i="4"/>
  <c r="I507" i="4"/>
  <c r="L507" i="4" s="1"/>
  <c r="I509" i="4"/>
  <c r="L509" i="4"/>
  <c r="I511" i="4"/>
  <c r="L511" i="4" s="1"/>
  <c r="I520" i="4"/>
  <c r="L520" i="4" s="1"/>
  <c r="I522" i="4"/>
  <c r="L522" i="4" s="1"/>
  <c r="I524" i="4"/>
  <c r="L524" i="4" s="1"/>
  <c r="I533" i="4"/>
  <c r="L533" i="4" s="1"/>
  <c r="I535" i="4"/>
  <c r="L535" i="4"/>
  <c r="I537" i="4"/>
  <c r="L537" i="4" s="1"/>
  <c r="I546" i="4"/>
  <c r="L546" i="4"/>
  <c r="I548" i="4"/>
  <c r="L548" i="4" s="1"/>
  <c r="I550" i="4"/>
  <c r="L550" i="4" s="1"/>
  <c r="I559" i="4"/>
  <c r="L559" i="4" s="1"/>
  <c r="I561" i="4"/>
  <c r="L561" i="4" s="1"/>
  <c r="I563" i="4"/>
  <c r="L563" i="4" s="1"/>
  <c r="I572" i="4"/>
  <c r="L572" i="4" s="1"/>
  <c r="I574" i="4"/>
  <c r="L574" i="4" s="1"/>
  <c r="I576" i="4"/>
  <c r="L576" i="4"/>
  <c r="I585" i="4"/>
  <c r="L585" i="4" s="1"/>
  <c r="I587" i="4"/>
  <c r="L587" i="4" s="1"/>
  <c r="I589" i="4"/>
  <c r="L589" i="4" s="1"/>
  <c r="I598" i="4"/>
  <c r="L598" i="4" s="1"/>
  <c r="I600" i="4"/>
  <c r="L600" i="4" s="1"/>
  <c r="I602" i="4"/>
  <c r="L602" i="4" s="1"/>
  <c r="I611" i="4"/>
  <c r="L611" i="4" s="1"/>
  <c r="I613" i="4"/>
  <c r="L613" i="4" s="1"/>
  <c r="I615" i="4"/>
  <c r="L615" i="4" s="1"/>
  <c r="I624" i="4"/>
  <c r="L624" i="4"/>
  <c r="I626" i="4"/>
  <c r="L626" i="4" s="1"/>
  <c r="I628" i="4"/>
  <c r="L628" i="4" s="1"/>
  <c r="I637" i="4"/>
  <c r="L637" i="4" s="1"/>
  <c r="I639" i="4"/>
  <c r="L639" i="4" s="1"/>
  <c r="I641" i="4"/>
  <c r="L641" i="4" s="1"/>
  <c r="I650" i="4"/>
  <c r="L650" i="4"/>
  <c r="I652" i="4"/>
  <c r="L652" i="4" s="1"/>
  <c r="I654" i="4"/>
  <c r="L654" i="4"/>
  <c r="I663" i="4"/>
  <c r="L663" i="4" s="1"/>
  <c r="I665" i="4"/>
  <c r="L665" i="4" s="1"/>
  <c r="I667" i="4"/>
  <c r="L667" i="4" s="1"/>
  <c r="I676" i="4"/>
  <c r="L676" i="4" s="1"/>
  <c r="I678" i="4"/>
  <c r="L678" i="4" s="1"/>
  <c r="I680" i="4"/>
  <c r="L680" i="4" s="1"/>
  <c r="I689" i="4"/>
  <c r="L689" i="4" s="1"/>
  <c r="I691" i="4"/>
  <c r="L691" i="4"/>
  <c r="I693" i="4"/>
  <c r="L693" i="4" s="1"/>
  <c r="I702" i="4"/>
  <c r="L702" i="4" s="1"/>
  <c r="I704" i="4"/>
  <c r="L704" i="4" s="1"/>
  <c r="I706" i="4"/>
  <c r="L706" i="4" s="1"/>
  <c r="I715" i="4"/>
  <c r="L715" i="4" s="1"/>
  <c r="I717" i="4"/>
  <c r="L717" i="4" s="1"/>
  <c r="I719" i="4"/>
  <c r="L719" i="4" s="1"/>
  <c r="I728" i="4"/>
  <c r="L728" i="4"/>
  <c r="I730" i="4"/>
  <c r="L730" i="4" s="1"/>
  <c r="I732" i="4"/>
  <c r="L732" i="4" s="1"/>
  <c r="I741" i="4"/>
  <c r="L741" i="4" s="1"/>
  <c r="I743" i="4"/>
  <c r="L743" i="4" s="1"/>
  <c r="I745" i="4"/>
  <c r="L745" i="4" s="1"/>
  <c r="I754" i="4"/>
  <c r="L754" i="4"/>
  <c r="I756" i="4"/>
  <c r="L756" i="4" s="1"/>
  <c r="I758" i="4"/>
  <c r="L758" i="4"/>
  <c r="I767" i="4"/>
  <c r="L767" i="4" s="1"/>
  <c r="I769" i="4"/>
  <c r="L769" i="4" s="1"/>
  <c r="I771" i="4"/>
  <c r="L771" i="4" s="1"/>
  <c r="I780" i="4"/>
  <c r="L780" i="4" s="1"/>
  <c r="I782" i="4"/>
  <c r="L782" i="4" s="1"/>
  <c r="I784" i="4"/>
  <c r="L784" i="4"/>
  <c r="I793" i="4"/>
  <c r="L793" i="4" s="1"/>
  <c r="I795" i="4"/>
  <c r="L795" i="4"/>
  <c r="I797" i="4"/>
  <c r="L797" i="4" s="1"/>
  <c r="I806" i="4"/>
  <c r="L806" i="4" s="1"/>
  <c r="I808" i="4"/>
  <c r="L808" i="4" s="1"/>
  <c r="I810" i="4"/>
  <c r="L810" i="4" s="1"/>
  <c r="I819" i="4"/>
  <c r="L819" i="4" s="1"/>
  <c r="I821" i="4"/>
  <c r="L821" i="4" s="1"/>
  <c r="I823" i="4"/>
  <c r="L823" i="4" s="1"/>
  <c r="I832" i="4"/>
  <c r="L832" i="4"/>
  <c r="I834" i="4"/>
  <c r="L834" i="4" s="1"/>
  <c r="I836" i="4"/>
  <c r="L836" i="4" s="1"/>
  <c r="I845" i="4"/>
  <c r="L845" i="4" s="1"/>
  <c r="I847" i="4"/>
  <c r="L847" i="4" s="1"/>
  <c r="I849" i="4"/>
  <c r="L849" i="4" s="1"/>
  <c r="I858" i="4"/>
  <c r="L858" i="4" s="1"/>
  <c r="I860" i="4"/>
  <c r="L860" i="4" s="1"/>
  <c r="I862" i="4"/>
  <c r="L862" i="4" s="1"/>
  <c r="I871" i="4"/>
  <c r="L871" i="4"/>
  <c r="I873" i="4"/>
  <c r="L873" i="4" s="1"/>
  <c r="I875" i="4"/>
  <c r="L875" i="4"/>
  <c r="I884" i="4"/>
  <c r="L884" i="4" s="1"/>
  <c r="I886" i="4"/>
  <c r="L886" i="4" s="1"/>
  <c r="I888" i="4"/>
  <c r="L888" i="4" s="1"/>
  <c r="I897" i="4"/>
  <c r="L897" i="4"/>
  <c r="I899" i="4"/>
  <c r="L899" i="4" s="1"/>
  <c r="I901" i="4"/>
  <c r="L901" i="4"/>
  <c r="I910" i="4"/>
  <c r="L910" i="4" s="1"/>
  <c r="I912" i="4"/>
  <c r="L912" i="4"/>
  <c r="I914" i="4"/>
  <c r="L914" i="4" s="1"/>
  <c r="I923" i="4"/>
  <c r="L923" i="4" s="1"/>
  <c r="I925" i="4"/>
  <c r="L925" i="4" s="1"/>
  <c r="I927" i="4"/>
  <c r="L927" i="4" s="1"/>
  <c r="I936" i="4"/>
  <c r="L936" i="4" s="1"/>
  <c r="I938" i="4"/>
  <c r="L938" i="4"/>
  <c r="I940" i="4"/>
  <c r="L940" i="4" s="1"/>
  <c r="I949" i="4"/>
  <c r="L949" i="4"/>
  <c r="I951" i="4"/>
  <c r="L951" i="4" s="1"/>
  <c r="I953" i="4"/>
  <c r="L953" i="4" s="1"/>
  <c r="I962" i="4"/>
  <c r="L962" i="4" s="1"/>
  <c r="I964" i="4"/>
  <c r="L964" i="4"/>
  <c r="I966" i="4"/>
  <c r="L966" i="4" s="1"/>
  <c r="I975" i="4"/>
  <c r="L975" i="4"/>
  <c r="I977" i="4"/>
  <c r="L977" i="4" s="1"/>
  <c r="I979" i="4"/>
  <c r="L979" i="4"/>
  <c r="I988" i="4"/>
  <c r="L988" i="4" s="1"/>
  <c r="I990" i="4"/>
  <c r="L990" i="4" s="1"/>
  <c r="I992" i="4"/>
  <c r="L992" i="4" s="1"/>
  <c r="I1001" i="4"/>
  <c r="L1001" i="4"/>
  <c r="I1003" i="4"/>
  <c r="L1003" i="4" s="1"/>
  <c r="I1005" i="4"/>
  <c r="L1005" i="4"/>
  <c r="I1014" i="4"/>
  <c r="L1014" i="4" s="1"/>
  <c r="I1016" i="4"/>
  <c r="L1016" i="4"/>
  <c r="I1018" i="4"/>
  <c r="L1018" i="4" s="1"/>
  <c r="I1027" i="4"/>
  <c r="L1027" i="4" s="1"/>
  <c r="I1029" i="4"/>
  <c r="L1029" i="4" s="1"/>
  <c r="I1031" i="4"/>
  <c r="L1031" i="4" s="1"/>
  <c r="I1040" i="4"/>
  <c r="L1040" i="4"/>
  <c r="I1042" i="4"/>
  <c r="L1042" i="4" s="1"/>
  <c r="I1044" i="4"/>
  <c r="L1044" i="4" s="1"/>
  <c r="I1053" i="4"/>
  <c r="L1053" i="4" s="1"/>
  <c r="I1055" i="4"/>
  <c r="L1055" i="4" s="1"/>
  <c r="I1057" i="4"/>
  <c r="L1057" i="4" s="1"/>
  <c r="I1066" i="4"/>
  <c r="L1066" i="4"/>
  <c r="I1068" i="4"/>
  <c r="L1068" i="4" s="1"/>
  <c r="I1070" i="4"/>
  <c r="L1070" i="4"/>
  <c r="I1079" i="4"/>
  <c r="L1079" i="4" s="1"/>
  <c r="I1081" i="4"/>
  <c r="L1081" i="4" s="1"/>
  <c r="I1083" i="4"/>
  <c r="L1083" i="4"/>
  <c r="I1092" i="4"/>
  <c r="L1092" i="4" s="1"/>
  <c r="I1094" i="4"/>
  <c r="L1094" i="4" s="1"/>
  <c r="I1096" i="4"/>
  <c r="L1096" i="4" s="1"/>
  <c r="I1105" i="4"/>
  <c r="L1105" i="4"/>
  <c r="I1107" i="4"/>
  <c r="L1107" i="4" s="1"/>
  <c r="I1109" i="4"/>
  <c r="L1109" i="4" s="1"/>
  <c r="I1118" i="4"/>
  <c r="L1118" i="4" s="1"/>
  <c r="I1120" i="4"/>
  <c r="L1120" i="4" s="1"/>
  <c r="I1122" i="4"/>
  <c r="L1122" i="4" s="1"/>
  <c r="I1131" i="4"/>
  <c r="L1131" i="4"/>
  <c r="I1133" i="4"/>
  <c r="L1133" i="4" s="1"/>
  <c r="I1135" i="4"/>
  <c r="L1135" i="4"/>
  <c r="I1144" i="4"/>
  <c r="L1144" i="4" s="1"/>
  <c r="I1146" i="4"/>
  <c r="L1146" i="4" s="1"/>
  <c r="I1148" i="4"/>
  <c r="L1148" i="4" s="1"/>
  <c r="I1157" i="4"/>
  <c r="L1157" i="4"/>
  <c r="I1159" i="4"/>
  <c r="L1159" i="4" s="1"/>
  <c r="I1161" i="4"/>
  <c r="L1161" i="4"/>
  <c r="I1170" i="4"/>
  <c r="L1170" i="4" s="1"/>
  <c r="I1172" i="4"/>
  <c r="L1172" i="4" s="1"/>
  <c r="I1174" i="4"/>
  <c r="L1174" i="4" s="1"/>
  <c r="I1183" i="4"/>
  <c r="L1183" i="4"/>
  <c r="I1185" i="4"/>
  <c r="L1185" i="4" s="1"/>
  <c r="I1187" i="4"/>
  <c r="L1187" i="4"/>
  <c r="I1196" i="4"/>
  <c r="L1196" i="4" s="1"/>
  <c r="I1198" i="4"/>
  <c r="L1198" i="4" s="1"/>
  <c r="I1200" i="4"/>
  <c r="L1200" i="4" s="1"/>
  <c r="I1209" i="4"/>
  <c r="L1209" i="4" s="1"/>
  <c r="I1211" i="4"/>
  <c r="L1211" i="4" s="1"/>
  <c r="I1213" i="4"/>
  <c r="L1213" i="4" s="1"/>
  <c r="I1222" i="4"/>
  <c r="L1222" i="4" s="1"/>
  <c r="I1224" i="4"/>
  <c r="L1224" i="4"/>
  <c r="I1226" i="4"/>
  <c r="L1226" i="4" s="1"/>
  <c r="I1235" i="4"/>
  <c r="L1235" i="4"/>
  <c r="I1237" i="4"/>
  <c r="L1237" i="4" s="1"/>
  <c r="I1239" i="4"/>
  <c r="L1239" i="4" s="1"/>
  <c r="I1248" i="4"/>
  <c r="L1248" i="4" s="1"/>
  <c r="I1250" i="4"/>
  <c r="L1250" i="4"/>
  <c r="I1252" i="4"/>
  <c r="L1252" i="4" s="1"/>
  <c r="I1261" i="4"/>
  <c r="L1261" i="4"/>
  <c r="I1263" i="4"/>
  <c r="L1263" i="4" s="1"/>
  <c r="I1265" i="4"/>
  <c r="L1265" i="4" s="1"/>
  <c r="F34" i="5"/>
  <c r="F60" i="5"/>
  <c r="K386" i="5"/>
  <c r="K384" i="5"/>
  <c r="K382" i="5"/>
  <c r="M388" i="5"/>
  <c r="I388" i="5"/>
  <c r="L388" i="5" s="1"/>
  <c r="M390" i="5"/>
  <c r="I390" i="5"/>
  <c r="L390" i="5" s="1"/>
  <c r="M392" i="5"/>
  <c r="I392" i="5"/>
  <c r="L392" i="5" s="1"/>
  <c r="K399" i="5"/>
  <c r="K397" i="5"/>
  <c r="K395" i="5"/>
  <c r="M401" i="5"/>
  <c r="I401" i="5"/>
  <c r="L401" i="5" s="1"/>
  <c r="M403" i="5"/>
  <c r="I403" i="5"/>
  <c r="L403" i="5" s="1"/>
  <c r="M405" i="5"/>
  <c r="I405" i="5"/>
  <c r="L405" i="5" s="1"/>
  <c r="K412" i="5"/>
  <c r="K410" i="5"/>
  <c r="K408" i="5"/>
  <c r="M414" i="5"/>
  <c r="I414" i="5"/>
  <c r="L414" i="5" s="1"/>
  <c r="M416" i="5"/>
  <c r="I416" i="5"/>
  <c r="L416" i="5"/>
  <c r="M418" i="5"/>
  <c r="I418" i="5"/>
  <c r="L418" i="5" s="1"/>
  <c r="K425" i="5"/>
  <c r="K423" i="5"/>
  <c r="K421" i="5"/>
  <c r="M427" i="5"/>
  <c r="I427" i="5"/>
  <c r="L427" i="5"/>
  <c r="M429" i="5"/>
  <c r="I429" i="5"/>
  <c r="L429" i="5"/>
  <c r="M431" i="5"/>
  <c r="I431" i="5"/>
  <c r="L431" i="5" s="1"/>
  <c r="K438" i="5"/>
  <c r="K436" i="5"/>
  <c r="K434" i="5"/>
  <c r="M440" i="5"/>
  <c r="I440" i="5"/>
  <c r="L440" i="5"/>
  <c r="M442" i="5"/>
  <c r="I442" i="5"/>
  <c r="L442" i="5" s="1"/>
  <c r="M444" i="5"/>
  <c r="I444" i="5"/>
  <c r="L444" i="5" s="1"/>
  <c r="G19" i="5"/>
  <c r="H19" i="5" s="1"/>
  <c r="G21" i="5"/>
  <c r="G23" i="5"/>
  <c r="H23" i="5" s="1"/>
  <c r="G25" i="5"/>
  <c r="H25" i="5" s="1"/>
  <c r="G27" i="5"/>
  <c r="H27" i="5"/>
  <c r="G29" i="5"/>
  <c r="H29" i="5" s="1"/>
  <c r="G32" i="5"/>
  <c r="H32" i="5"/>
  <c r="G34" i="5"/>
  <c r="G36" i="5"/>
  <c r="H36" i="5" s="1"/>
  <c r="G38" i="5"/>
  <c r="H38" i="5" s="1"/>
  <c r="G40" i="5"/>
  <c r="H40" i="5" s="1"/>
  <c r="G42" i="5"/>
  <c r="H42" i="5" s="1"/>
  <c r="G45" i="5"/>
  <c r="H45" i="5" s="1"/>
  <c r="G47" i="5"/>
  <c r="G49" i="5"/>
  <c r="H49" i="5" s="1"/>
  <c r="G51" i="5"/>
  <c r="H51" i="5" s="1"/>
  <c r="G53" i="5"/>
  <c r="H53" i="5" s="1"/>
  <c r="G55" i="5"/>
  <c r="H55" i="5" s="1"/>
  <c r="G58" i="5"/>
  <c r="H58" i="5" s="1"/>
  <c r="H59" i="5" s="1"/>
  <c r="G60" i="5"/>
  <c r="G62" i="5"/>
  <c r="H62" i="5" s="1"/>
  <c r="G64" i="5"/>
  <c r="H64" i="5" s="1"/>
  <c r="G66" i="5"/>
  <c r="H66" i="5" s="1"/>
  <c r="F67" i="5"/>
  <c r="G68" i="5"/>
  <c r="H68" i="5"/>
  <c r="F70" i="5"/>
  <c r="G71" i="5"/>
  <c r="H71" i="5" s="1"/>
  <c r="G73" i="5"/>
  <c r="F74" i="5"/>
  <c r="F76" i="5"/>
  <c r="I77" i="5"/>
  <c r="L77" i="5"/>
  <c r="F78" i="5"/>
  <c r="I79" i="5"/>
  <c r="L79" i="5" s="1"/>
  <c r="F80" i="5"/>
  <c r="I81" i="5"/>
  <c r="L81" i="5" s="1"/>
  <c r="F83" i="5"/>
  <c r="F85" i="5"/>
  <c r="F87" i="5"/>
  <c r="F89" i="5"/>
  <c r="I90" i="5"/>
  <c r="L90" i="5" s="1"/>
  <c r="F91" i="5"/>
  <c r="I92" i="5"/>
  <c r="L92" i="5" s="1"/>
  <c r="F93" i="5"/>
  <c r="I94" i="5"/>
  <c r="L94" i="5" s="1"/>
  <c r="F96" i="5"/>
  <c r="F98" i="5"/>
  <c r="F100" i="5"/>
  <c r="F102" i="5"/>
  <c r="I103" i="5"/>
  <c r="L103" i="5" s="1"/>
  <c r="F104" i="5"/>
  <c r="I105" i="5"/>
  <c r="L105" i="5"/>
  <c r="F106" i="5"/>
  <c r="I107" i="5"/>
  <c r="L107" i="5" s="1"/>
  <c r="F109" i="5"/>
  <c r="F111" i="5"/>
  <c r="F113" i="5"/>
  <c r="F115" i="5"/>
  <c r="I116" i="5"/>
  <c r="L116" i="5"/>
  <c r="F117" i="5"/>
  <c r="I118" i="5"/>
  <c r="L118" i="5" s="1"/>
  <c r="F119" i="5"/>
  <c r="I120" i="5"/>
  <c r="L120" i="5" s="1"/>
  <c r="F122" i="5"/>
  <c r="F124" i="5"/>
  <c r="F126" i="5"/>
  <c r="F128" i="5"/>
  <c r="I129" i="5"/>
  <c r="L129" i="5" s="1"/>
  <c r="F130" i="5"/>
  <c r="I131" i="5"/>
  <c r="L131" i="5" s="1"/>
  <c r="F132" i="5"/>
  <c r="I133" i="5"/>
  <c r="L133" i="5" s="1"/>
  <c r="F135" i="5"/>
  <c r="F137" i="5"/>
  <c r="F139" i="5"/>
  <c r="F141" i="5"/>
  <c r="I142" i="5"/>
  <c r="L142" i="5" s="1"/>
  <c r="F143" i="5"/>
  <c r="I144" i="5"/>
  <c r="L144" i="5" s="1"/>
  <c r="F145" i="5"/>
  <c r="I146" i="5"/>
  <c r="L146" i="5" s="1"/>
  <c r="F148" i="5"/>
  <c r="F150" i="5"/>
  <c r="F152" i="5"/>
  <c r="F154" i="5"/>
  <c r="I155" i="5"/>
  <c r="L155" i="5" s="1"/>
  <c r="F156" i="5"/>
  <c r="I157" i="5"/>
  <c r="L157" i="5"/>
  <c r="F158" i="5"/>
  <c r="I159" i="5"/>
  <c r="L159" i="5" s="1"/>
  <c r="F161" i="5"/>
  <c r="F163" i="5"/>
  <c r="F165" i="5"/>
  <c r="F167" i="5"/>
  <c r="I168" i="5"/>
  <c r="L168" i="5"/>
  <c r="F169" i="5"/>
  <c r="I170" i="5"/>
  <c r="L170" i="5"/>
  <c r="F171" i="5"/>
  <c r="I172" i="5"/>
  <c r="L172" i="5" s="1"/>
  <c r="F174" i="5"/>
  <c r="F176" i="5"/>
  <c r="F178" i="5"/>
  <c r="F180" i="5"/>
  <c r="I181" i="5"/>
  <c r="L181" i="5"/>
  <c r="F182" i="5"/>
  <c r="I183" i="5"/>
  <c r="L183" i="5" s="1"/>
  <c r="F184" i="5"/>
  <c r="I185" i="5"/>
  <c r="L185" i="5" s="1"/>
  <c r="F187" i="5"/>
  <c r="F189" i="5"/>
  <c r="F191" i="5"/>
  <c r="F193" i="5"/>
  <c r="I194" i="5"/>
  <c r="L194" i="5" s="1"/>
  <c r="F195" i="5"/>
  <c r="I196" i="5"/>
  <c r="L196" i="5" s="1"/>
  <c r="F197" i="5"/>
  <c r="I198" i="5"/>
  <c r="L198" i="5" s="1"/>
  <c r="F200" i="5"/>
  <c r="F202" i="5"/>
  <c r="F204" i="5"/>
  <c r="F206" i="5"/>
  <c r="I207" i="5"/>
  <c r="L207" i="5" s="1"/>
  <c r="F208" i="5"/>
  <c r="I209" i="5"/>
  <c r="L209" i="5"/>
  <c r="F210" i="5"/>
  <c r="I211" i="5"/>
  <c r="L211" i="5" s="1"/>
  <c r="F213" i="5"/>
  <c r="F215" i="5"/>
  <c r="F217" i="5"/>
  <c r="F219" i="5"/>
  <c r="I220" i="5"/>
  <c r="L220" i="5"/>
  <c r="F221" i="5"/>
  <c r="I222" i="5"/>
  <c r="L222" i="5" s="1"/>
  <c r="F223" i="5"/>
  <c r="I224" i="5"/>
  <c r="L224" i="5" s="1"/>
  <c r="F226" i="5"/>
  <c r="F228" i="5"/>
  <c r="F230" i="5"/>
  <c r="F232" i="5"/>
  <c r="I233" i="5"/>
  <c r="L233" i="5" s="1"/>
  <c r="F234" i="5"/>
  <c r="I235" i="5"/>
  <c r="L235" i="5" s="1"/>
  <c r="F236" i="5"/>
  <c r="I237" i="5"/>
  <c r="L237" i="5" s="1"/>
  <c r="F239" i="5"/>
  <c r="F241" i="5"/>
  <c r="F243" i="5"/>
  <c r="F245" i="5"/>
  <c r="I246" i="5"/>
  <c r="L246" i="5" s="1"/>
  <c r="F247" i="5"/>
  <c r="I248" i="5"/>
  <c r="L248" i="5" s="1"/>
  <c r="F249" i="5"/>
  <c r="I250" i="5"/>
  <c r="L250" i="5" s="1"/>
  <c r="F252" i="5"/>
  <c r="F254" i="5"/>
  <c r="F256" i="5"/>
  <c r="F258" i="5"/>
  <c r="I259" i="5"/>
  <c r="L259" i="5" s="1"/>
  <c r="F260" i="5"/>
  <c r="I261" i="5"/>
  <c r="L261" i="5"/>
  <c r="F262" i="5"/>
  <c r="I263" i="5"/>
  <c r="L263" i="5" s="1"/>
  <c r="F265" i="5"/>
  <c r="F267" i="5"/>
  <c r="F269" i="5"/>
  <c r="F271" i="5"/>
  <c r="I272" i="5"/>
  <c r="L272" i="5"/>
  <c r="F273" i="5"/>
  <c r="I274" i="5"/>
  <c r="L274" i="5"/>
  <c r="F275" i="5"/>
  <c r="I276" i="5"/>
  <c r="L276" i="5" s="1"/>
  <c r="F278" i="5"/>
  <c r="F280" i="5"/>
  <c r="F282" i="5"/>
  <c r="F284" i="5"/>
  <c r="I285" i="5"/>
  <c r="L285" i="5"/>
  <c r="F286" i="5"/>
  <c r="I287" i="5"/>
  <c r="L287" i="5" s="1"/>
  <c r="F288" i="5"/>
  <c r="I289" i="5"/>
  <c r="L289" i="5" s="1"/>
  <c r="F291" i="5"/>
  <c r="F293" i="5"/>
  <c r="F295" i="5"/>
  <c r="F297" i="5"/>
  <c r="I298" i="5"/>
  <c r="L298" i="5" s="1"/>
  <c r="F299" i="5"/>
  <c r="I300" i="5"/>
  <c r="L300" i="5" s="1"/>
  <c r="F301" i="5"/>
  <c r="I302" i="5"/>
  <c r="L302" i="5" s="1"/>
  <c r="F304" i="5"/>
  <c r="F306" i="5"/>
  <c r="F308" i="5"/>
  <c r="F310" i="5"/>
  <c r="I311" i="5"/>
  <c r="L311" i="5" s="1"/>
  <c r="F312" i="5"/>
  <c r="I313" i="5"/>
  <c r="L313" i="5" s="1"/>
  <c r="F314" i="5"/>
  <c r="I315" i="5"/>
  <c r="L315" i="5" s="1"/>
  <c r="F317" i="5"/>
  <c r="F319" i="5"/>
  <c r="F321" i="5"/>
  <c r="F323" i="5"/>
  <c r="I324" i="5"/>
  <c r="L324" i="5" s="1"/>
  <c r="F325" i="5"/>
  <c r="I326" i="5"/>
  <c r="L326" i="5" s="1"/>
  <c r="F327" i="5"/>
  <c r="I328" i="5"/>
  <c r="L328" i="5" s="1"/>
  <c r="F330" i="5"/>
  <c r="F332" i="5"/>
  <c r="F334" i="5"/>
  <c r="F336" i="5"/>
  <c r="I337" i="5"/>
  <c r="L337" i="5" s="1"/>
  <c r="F338" i="5"/>
  <c r="I339" i="5"/>
  <c r="L339" i="5" s="1"/>
  <c r="F340" i="5"/>
  <c r="I341" i="5"/>
  <c r="L341" i="5" s="1"/>
  <c r="F343" i="5"/>
  <c r="F345" i="5"/>
  <c r="F347" i="5"/>
  <c r="F349" i="5"/>
  <c r="I350" i="5"/>
  <c r="L350" i="5" s="1"/>
  <c r="F351" i="5"/>
  <c r="I352" i="5"/>
  <c r="L352" i="5" s="1"/>
  <c r="F353" i="5"/>
  <c r="I354" i="5"/>
  <c r="L354" i="5" s="1"/>
  <c r="F356" i="5"/>
  <c r="F358" i="5"/>
  <c r="F360" i="5"/>
  <c r="F362" i="5"/>
  <c r="I363" i="5"/>
  <c r="L363" i="5" s="1"/>
  <c r="F364" i="5"/>
  <c r="I365" i="5"/>
  <c r="L365" i="5"/>
  <c r="F366" i="5"/>
  <c r="I367" i="5"/>
  <c r="L367" i="5" s="1"/>
  <c r="F369" i="5"/>
  <c r="F371" i="5"/>
  <c r="F373" i="5"/>
  <c r="F375" i="5"/>
  <c r="I376" i="5"/>
  <c r="L376" i="5"/>
  <c r="F377" i="5"/>
  <c r="I378" i="5"/>
  <c r="L378" i="5"/>
  <c r="F379" i="5"/>
  <c r="G389" i="5"/>
  <c r="H389" i="5" s="1"/>
  <c r="G391" i="5"/>
  <c r="H391" i="5" s="1"/>
  <c r="J387" i="5" s="1"/>
  <c r="G393" i="5"/>
  <c r="H393" i="5" s="1"/>
  <c r="G402" i="5"/>
  <c r="H402" i="5" s="1"/>
  <c r="G404" i="5"/>
  <c r="H404" i="5" s="1"/>
  <c r="G406" i="5"/>
  <c r="H406" i="5" s="1"/>
  <c r="G415" i="5"/>
  <c r="H415" i="5" s="1"/>
  <c r="G417" i="5"/>
  <c r="H417" i="5"/>
  <c r="G419" i="5"/>
  <c r="H419" i="5" s="1"/>
  <c r="G428" i="5"/>
  <c r="H428" i="5"/>
  <c r="G430" i="5"/>
  <c r="H430" i="5" s="1"/>
  <c r="G432" i="5"/>
  <c r="H432" i="5" s="1"/>
  <c r="J423" i="5" s="1"/>
  <c r="G441" i="5"/>
  <c r="H441" i="5" s="1"/>
  <c r="G443" i="5"/>
  <c r="H443" i="5" s="1"/>
  <c r="J439" i="5" s="1"/>
  <c r="G445" i="5"/>
  <c r="H445" i="5" s="1"/>
  <c r="J699" i="5"/>
  <c r="J725" i="5"/>
  <c r="I686" i="5"/>
  <c r="L686" i="5" s="1"/>
  <c r="M712" i="5"/>
  <c r="I712" i="5"/>
  <c r="L712" i="5" s="1"/>
  <c r="M738" i="5"/>
  <c r="I738" i="5"/>
  <c r="L738" i="5" s="1"/>
  <c r="I1278" i="4"/>
  <c r="L1278" i="4" s="1"/>
  <c r="I1287" i="4"/>
  <c r="L1287" i="4" s="1"/>
  <c r="I1289" i="4"/>
  <c r="L1289" i="4" s="1"/>
  <c r="I1291" i="4"/>
  <c r="L1291" i="4"/>
  <c r="I1300" i="4"/>
  <c r="L1300" i="4" s="1"/>
  <c r="I1302" i="4"/>
  <c r="L1302" i="4"/>
  <c r="I1304" i="4"/>
  <c r="L1304" i="4" s="1"/>
  <c r="I1313" i="4"/>
  <c r="L1313" i="4" s="1"/>
  <c r="I1315" i="4"/>
  <c r="L1315" i="4" s="1"/>
  <c r="I1317" i="4"/>
  <c r="L1317" i="4" s="1"/>
  <c r="I24" i="5"/>
  <c r="L24" i="5" s="1"/>
  <c r="I26" i="5"/>
  <c r="L26" i="5"/>
  <c r="I28" i="5"/>
  <c r="L28" i="5" s="1"/>
  <c r="I37" i="5"/>
  <c r="L37" i="5" s="1"/>
  <c r="I39" i="5"/>
  <c r="L39" i="5" s="1"/>
  <c r="I41" i="5"/>
  <c r="L41" i="5" s="1"/>
  <c r="I50" i="5"/>
  <c r="L50" i="5" s="1"/>
  <c r="I52" i="5"/>
  <c r="L52" i="5" s="1"/>
  <c r="I54" i="5"/>
  <c r="L54" i="5" s="1"/>
  <c r="I63" i="5"/>
  <c r="L63" i="5"/>
  <c r="I65" i="5"/>
  <c r="L65" i="5" s="1"/>
  <c r="I67" i="5"/>
  <c r="L67" i="5"/>
  <c r="K686" i="5"/>
  <c r="K684" i="5"/>
  <c r="K682" i="5"/>
  <c r="K699" i="5"/>
  <c r="K697" i="5"/>
  <c r="K695" i="5"/>
  <c r="K712" i="5"/>
  <c r="K710" i="5"/>
  <c r="K708" i="5"/>
  <c r="K725" i="5"/>
  <c r="K723" i="5"/>
  <c r="K721" i="5"/>
  <c r="K738" i="5"/>
  <c r="K736" i="5"/>
  <c r="K734" i="5"/>
  <c r="K751" i="5"/>
  <c r="K749" i="5"/>
  <c r="K747" i="5"/>
  <c r="K750" i="5"/>
  <c r="F452" i="5"/>
  <c r="I453" i="5"/>
  <c r="L453" i="5" s="1"/>
  <c r="F454" i="5"/>
  <c r="I455" i="5"/>
  <c r="L455" i="5" s="1"/>
  <c r="F456" i="5"/>
  <c r="I457" i="5"/>
  <c r="L457" i="5" s="1"/>
  <c r="F458" i="5"/>
  <c r="F461" i="5"/>
  <c r="F463" i="5"/>
  <c r="F465" i="5"/>
  <c r="F467" i="5"/>
  <c r="F469" i="5"/>
  <c r="F471" i="5"/>
  <c r="K461" i="5" s="1"/>
  <c r="I466" i="5"/>
  <c r="L466" i="5" s="1"/>
  <c r="I468" i="5"/>
  <c r="L468" i="5"/>
  <c r="I470" i="5"/>
  <c r="L470" i="5" s="1"/>
  <c r="F474" i="5"/>
  <c r="F476" i="5"/>
  <c r="F478" i="5"/>
  <c r="I479" i="5"/>
  <c r="L479" i="5" s="1"/>
  <c r="F480" i="5"/>
  <c r="I481" i="5"/>
  <c r="L481" i="5" s="1"/>
  <c r="F482" i="5"/>
  <c r="I483" i="5"/>
  <c r="L483" i="5" s="1"/>
  <c r="F484" i="5"/>
  <c r="F487" i="5"/>
  <c r="F489" i="5"/>
  <c r="F491" i="5"/>
  <c r="F493" i="5"/>
  <c r="F495" i="5"/>
  <c r="F497" i="5"/>
  <c r="I492" i="5"/>
  <c r="L492" i="5"/>
  <c r="I494" i="5"/>
  <c r="L494" i="5" s="1"/>
  <c r="I496" i="5"/>
  <c r="L496" i="5" s="1"/>
  <c r="F500" i="5"/>
  <c r="F502" i="5"/>
  <c r="F504" i="5"/>
  <c r="F506" i="5"/>
  <c r="F508" i="5"/>
  <c r="F510" i="5"/>
  <c r="I505" i="5"/>
  <c r="L505" i="5" s="1"/>
  <c r="I507" i="5"/>
  <c r="L507" i="5" s="1"/>
  <c r="I509" i="5"/>
  <c r="L509" i="5" s="1"/>
  <c r="F513" i="5"/>
  <c r="F515" i="5"/>
  <c r="K515" i="5" s="1"/>
  <c r="F517" i="5"/>
  <c r="F519" i="5"/>
  <c r="F521" i="5"/>
  <c r="F523" i="5"/>
  <c r="I518" i="5"/>
  <c r="L518" i="5" s="1"/>
  <c r="I520" i="5"/>
  <c r="L520" i="5" s="1"/>
  <c r="I522" i="5"/>
  <c r="L522" i="5" s="1"/>
  <c r="F526" i="5"/>
  <c r="K526" i="5" s="1"/>
  <c r="F528" i="5"/>
  <c r="F530" i="5"/>
  <c r="F532" i="5"/>
  <c r="F534" i="5"/>
  <c r="F536" i="5"/>
  <c r="I531" i="5"/>
  <c r="L531" i="5" s="1"/>
  <c r="I533" i="5"/>
  <c r="L533" i="5" s="1"/>
  <c r="I535" i="5"/>
  <c r="L535" i="5" s="1"/>
  <c r="F539" i="5"/>
  <c r="F541" i="5"/>
  <c r="F543" i="5"/>
  <c r="F545" i="5"/>
  <c r="F547" i="5"/>
  <c r="F549" i="5"/>
  <c r="I544" i="5"/>
  <c r="L544" i="5" s="1"/>
  <c r="I546" i="5"/>
  <c r="L546" i="5" s="1"/>
  <c r="I548" i="5"/>
  <c r="L548" i="5" s="1"/>
  <c r="F552" i="5"/>
  <c r="F554" i="5"/>
  <c r="F556" i="5"/>
  <c r="I557" i="5"/>
  <c r="L557" i="5" s="1"/>
  <c r="F558" i="5"/>
  <c r="I559" i="5"/>
  <c r="L559" i="5" s="1"/>
  <c r="F560" i="5"/>
  <c r="I561" i="5"/>
  <c r="L561" i="5" s="1"/>
  <c r="F562" i="5"/>
  <c r="F565" i="5"/>
  <c r="F567" i="5"/>
  <c r="F569" i="5"/>
  <c r="F571" i="5"/>
  <c r="F573" i="5"/>
  <c r="F575" i="5"/>
  <c r="I570" i="5"/>
  <c r="L570" i="5"/>
  <c r="I572" i="5"/>
  <c r="L572" i="5" s="1"/>
  <c r="I574" i="5"/>
  <c r="L574" i="5" s="1"/>
  <c r="F578" i="5"/>
  <c r="F580" i="5"/>
  <c r="F582" i="5"/>
  <c r="F584" i="5"/>
  <c r="F586" i="5"/>
  <c r="F588" i="5"/>
  <c r="I583" i="5"/>
  <c r="L583" i="5" s="1"/>
  <c r="I585" i="5"/>
  <c r="L585" i="5"/>
  <c r="I587" i="5"/>
  <c r="L587" i="5" s="1"/>
  <c r="F591" i="5"/>
  <c r="F593" i="5"/>
  <c r="K591" i="5" s="1"/>
  <c r="F595" i="5"/>
  <c r="F597" i="5"/>
  <c r="F599" i="5"/>
  <c r="F601" i="5"/>
  <c r="I596" i="5"/>
  <c r="L596" i="5" s="1"/>
  <c r="I598" i="5"/>
  <c r="L598" i="5"/>
  <c r="I600" i="5"/>
  <c r="L600" i="5" s="1"/>
  <c r="F604" i="5"/>
  <c r="F606" i="5"/>
  <c r="F608" i="5"/>
  <c r="I609" i="5"/>
  <c r="L609" i="5" s="1"/>
  <c r="F610" i="5"/>
  <c r="I611" i="5"/>
  <c r="L611" i="5" s="1"/>
  <c r="F612" i="5"/>
  <c r="I613" i="5"/>
  <c r="L613" i="5" s="1"/>
  <c r="F614" i="5"/>
  <c r="F617" i="5"/>
  <c r="F619" i="5"/>
  <c r="F621" i="5"/>
  <c r="F623" i="5"/>
  <c r="F625" i="5"/>
  <c r="F627" i="5"/>
  <c r="I622" i="5"/>
  <c r="L622" i="5" s="1"/>
  <c r="I624" i="5"/>
  <c r="L624" i="5" s="1"/>
  <c r="I626" i="5"/>
  <c r="L626" i="5" s="1"/>
  <c r="F630" i="5"/>
  <c r="F632" i="5"/>
  <c r="F634" i="5"/>
  <c r="F636" i="5"/>
  <c r="F638" i="5"/>
  <c r="F640" i="5"/>
  <c r="I635" i="5"/>
  <c r="L635" i="5" s="1"/>
  <c r="I637" i="5"/>
  <c r="L637" i="5" s="1"/>
  <c r="I639" i="5"/>
  <c r="L639" i="5" s="1"/>
  <c r="F643" i="5"/>
  <c r="F645" i="5"/>
  <c r="F647" i="5"/>
  <c r="F649" i="5"/>
  <c r="F651" i="5"/>
  <c r="F653" i="5"/>
  <c r="I648" i="5"/>
  <c r="L648" i="5" s="1"/>
  <c r="I650" i="5"/>
  <c r="L650" i="5" s="1"/>
  <c r="I652" i="5"/>
  <c r="L652" i="5" s="1"/>
  <c r="F656" i="5"/>
  <c r="F658" i="5"/>
  <c r="F660" i="5"/>
  <c r="I661" i="5"/>
  <c r="L661" i="5" s="1"/>
  <c r="F662" i="5"/>
  <c r="I663" i="5"/>
  <c r="L663" i="5" s="1"/>
  <c r="F664" i="5"/>
  <c r="I665" i="5"/>
  <c r="L665" i="5" s="1"/>
  <c r="F666" i="5"/>
  <c r="F669" i="5"/>
  <c r="F671" i="5"/>
  <c r="F673" i="5"/>
  <c r="F675" i="5"/>
  <c r="I674" i="5"/>
  <c r="L674" i="5"/>
  <c r="J682" i="5"/>
  <c r="J684" i="5"/>
  <c r="J695" i="5"/>
  <c r="J697" i="5"/>
  <c r="J708" i="5"/>
  <c r="J710" i="5"/>
  <c r="J721" i="5"/>
  <c r="J723" i="5"/>
  <c r="J734" i="5"/>
  <c r="J736" i="5"/>
  <c r="M677" i="5"/>
  <c r="I677" i="5"/>
  <c r="L677" i="5" s="1"/>
  <c r="M679" i="5"/>
  <c r="I679" i="5"/>
  <c r="L679" i="5" s="1"/>
  <c r="J685" i="5"/>
  <c r="J683" i="5"/>
  <c r="J681" i="5"/>
  <c r="M688" i="5"/>
  <c r="I688" i="5"/>
  <c r="L688" i="5" s="1"/>
  <c r="M690" i="5"/>
  <c r="I690" i="5"/>
  <c r="L690" i="5" s="1"/>
  <c r="M692" i="5"/>
  <c r="I692" i="5"/>
  <c r="L692" i="5" s="1"/>
  <c r="J698" i="5"/>
  <c r="J696" i="5"/>
  <c r="J694" i="5"/>
  <c r="M701" i="5"/>
  <c r="I701" i="5"/>
  <c r="L701" i="5" s="1"/>
  <c r="M703" i="5"/>
  <c r="I703" i="5"/>
  <c r="L703" i="5" s="1"/>
  <c r="M705" i="5"/>
  <c r="I705" i="5"/>
  <c r="L705" i="5" s="1"/>
  <c r="J711" i="5"/>
  <c r="J709" i="5"/>
  <c r="J707" i="5"/>
  <c r="M714" i="5"/>
  <c r="I714" i="5"/>
  <c r="L714" i="5" s="1"/>
  <c r="M716" i="5"/>
  <c r="I716" i="5"/>
  <c r="L716" i="5" s="1"/>
  <c r="M718" i="5"/>
  <c r="I718" i="5"/>
  <c r="L718" i="5"/>
  <c r="J724" i="5"/>
  <c r="J722" i="5"/>
  <c r="J720" i="5"/>
  <c r="M727" i="5"/>
  <c r="I727" i="5"/>
  <c r="L727" i="5" s="1"/>
  <c r="M729" i="5"/>
  <c r="I729" i="5"/>
  <c r="L729" i="5" s="1"/>
  <c r="M731" i="5"/>
  <c r="I731" i="5"/>
  <c r="L731" i="5" s="1"/>
  <c r="J737" i="5"/>
  <c r="J735" i="5"/>
  <c r="J733" i="5"/>
  <c r="M740" i="5"/>
  <c r="I740" i="5"/>
  <c r="L740" i="5" s="1"/>
  <c r="M742" i="5"/>
  <c r="I742" i="5"/>
  <c r="L742" i="5" s="1"/>
  <c r="M744" i="5"/>
  <c r="I744" i="5"/>
  <c r="L744" i="5" s="1"/>
  <c r="K764" i="5"/>
  <c r="K762" i="5"/>
  <c r="K760" i="5"/>
  <c r="K763" i="5"/>
  <c r="K761" i="5"/>
  <c r="K759" i="5"/>
  <c r="K777" i="5"/>
  <c r="K775" i="5"/>
  <c r="K773" i="5"/>
  <c r="K776" i="5"/>
  <c r="K774" i="5"/>
  <c r="K772" i="5"/>
  <c r="K790" i="5"/>
  <c r="K788" i="5"/>
  <c r="K786" i="5"/>
  <c r="K789" i="5"/>
  <c r="K787" i="5"/>
  <c r="K785" i="5"/>
  <c r="K803" i="5"/>
  <c r="K801" i="5"/>
  <c r="K799" i="5"/>
  <c r="K802" i="5"/>
  <c r="K800" i="5"/>
  <c r="K798" i="5"/>
  <c r="K816" i="5"/>
  <c r="K814" i="5"/>
  <c r="K812" i="5"/>
  <c r="K815" i="5"/>
  <c r="K813" i="5"/>
  <c r="K811" i="5"/>
  <c r="K829" i="5"/>
  <c r="K827" i="5"/>
  <c r="K825" i="5"/>
  <c r="K828" i="5"/>
  <c r="K826" i="5"/>
  <c r="K824" i="5"/>
  <c r="K842" i="5"/>
  <c r="K840" i="5"/>
  <c r="K838" i="5"/>
  <c r="K841" i="5"/>
  <c r="K839" i="5"/>
  <c r="K837" i="5"/>
  <c r="K855" i="5"/>
  <c r="K853" i="5"/>
  <c r="K851" i="5"/>
  <c r="K854" i="5"/>
  <c r="K852" i="5"/>
  <c r="K850" i="5"/>
  <c r="K868" i="5"/>
  <c r="K866" i="5"/>
  <c r="K864" i="5"/>
  <c r="K867" i="5"/>
  <c r="K865" i="5"/>
  <c r="K863" i="5"/>
  <c r="K881" i="5"/>
  <c r="K879" i="5"/>
  <c r="K877" i="5"/>
  <c r="K880" i="5"/>
  <c r="K878" i="5"/>
  <c r="K876" i="5"/>
  <c r="K894" i="5"/>
  <c r="K892" i="5"/>
  <c r="K890" i="5"/>
  <c r="K893" i="5"/>
  <c r="K891" i="5"/>
  <c r="K889" i="5"/>
  <c r="K907" i="5"/>
  <c r="K905" i="5"/>
  <c r="K903" i="5"/>
  <c r="K906" i="5"/>
  <c r="K904" i="5"/>
  <c r="K902" i="5"/>
  <c r="K920" i="5"/>
  <c r="K918" i="5"/>
  <c r="K916" i="5"/>
  <c r="K919" i="5"/>
  <c r="K917" i="5"/>
  <c r="K915" i="5"/>
  <c r="K933" i="5"/>
  <c r="K931" i="5"/>
  <c r="K929" i="5"/>
  <c r="K932" i="5"/>
  <c r="K930" i="5"/>
  <c r="K928" i="5"/>
  <c r="K946" i="5"/>
  <c r="K944" i="5"/>
  <c r="K942" i="5"/>
  <c r="K945" i="5"/>
  <c r="K943" i="5"/>
  <c r="K941" i="5"/>
  <c r="K959" i="5"/>
  <c r="K957" i="5"/>
  <c r="K955" i="5"/>
  <c r="K958" i="5"/>
  <c r="K956" i="5"/>
  <c r="K954" i="5"/>
  <c r="G750" i="5"/>
  <c r="H750" i="5" s="1"/>
  <c r="G752" i="5"/>
  <c r="H752" i="5" s="1"/>
  <c r="G754" i="5"/>
  <c r="H754" i="5" s="1"/>
  <c r="G756" i="5"/>
  <c r="H756" i="5" s="1"/>
  <c r="G759" i="5"/>
  <c r="H759" i="5"/>
  <c r="G761" i="5"/>
  <c r="H761" i="5" s="1"/>
  <c r="G763" i="5"/>
  <c r="H763" i="5" s="1"/>
  <c r="G765" i="5"/>
  <c r="H765" i="5" s="1"/>
  <c r="G767" i="5"/>
  <c r="H767" i="5" s="1"/>
  <c r="J764" i="5" s="1"/>
  <c r="I764" i="5" s="1"/>
  <c r="L764" i="5" s="1"/>
  <c r="G769" i="5"/>
  <c r="H769" i="5" s="1"/>
  <c r="G772" i="5"/>
  <c r="H772" i="5"/>
  <c r="G774" i="5"/>
  <c r="H774" i="5" s="1"/>
  <c r="G776" i="5"/>
  <c r="H776" i="5"/>
  <c r="G778" i="5"/>
  <c r="H778" i="5" s="1"/>
  <c r="J773" i="5" s="1"/>
  <c r="G780" i="5"/>
  <c r="H780" i="5" s="1"/>
  <c r="G782" i="5"/>
  <c r="H782" i="5" s="1"/>
  <c r="G785" i="5"/>
  <c r="H785" i="5"/>
  <c r="G787" i="5"/>
  <c r="H787" i="5" s="1"/>
  <c r="G789" i="5"/>
  <c r="H789" i="5"/>
  <c r="G791" i="5"/>
  <c r="H791" i="5" s="1"/>
  <c r="J790" i="5" s="1"/>
  <c r="G793" i="5"/>
  <c r="H793" i="5"/>
  <c r="G795" i="5"/>
  <c r="H795" i="5" s="1"/>
  <c r="G798" i="5"/>
  <c r="H798" i="5" s="1"/>
  <c r="G800" i="5"/>
  <c r="H800" i="5" s="1"/>
  <c r="G802" i="5"/>
  <c r="H802" i="5"/>
  <c r="G804" i="5"/>
  <c r="H804" i="5" s="1"/>
  <c r="J800" i="5" s="1"/>
  <c r="G806" i="5"/>
  <c r="H806" i="5"/>
  <c r="G808" i="5"/>
  <c r="H808" i="5" s="1"/>
  <c r="G811" i="5"/>
  <c r="H811" i="5" s="1"/>
  <c r="G813" i="5"/>
  <c r="H813" i="5" s="1"/>
  <c r="G815" i="5"/>
  <c r="H815" i="5" s="1"/>
  <c r="G817" i="5"/>
  <c r="H817" i="5" s="1"/>
  <c r="G819" i="5"/>
  <c r="H819" i="5"/>
  <c r="G821" i="5"/>
  <c r="H821" i="5" s="1"/>
  <c r="G824" i="5"/>
  <c r="H824" i="5" s="1"/>
  <c r="G826" i="5"/>
  <c r="H826" i="5" s="1"/>
  <c r="G828" i="5"/>
  <c r="H828" i="5"/>
  <c r="G830" i="5"/>
  <c r="H830" i="5" s="1"/>
  <c r="G832" i="5"/>
  <c r="H832" i="5" s="1"/>
  <c r="G834" i="5"/>
  <c r="H834" i="5" s="1"/>
  <c r="G837" i="5"/>
  <c r="H837" i="5" s="1"/>
  <c r="G839" i="5"/>
  <c r="H839" i="5" s="1"/>
  <c r="G841" i="5"/>
  <c r="H841" i="5"/>
  <c r="G843" i="5"/>
  <c r="H843" i="5" s="1"/>
  <c r="G845" i="5"/>
  <c r="H845" i="5" s="1"/>
  <c r="G847" i="5"/>
  <c r="H847" i="5" s="1"/>
  <c r="G850" i="5"/>
  <c r="H850" i="5" s="1"/>
  <c r="G852" i="5"/>
  <c r="H852" i="5" s="1"/>
  <c r="G854" i="5"/>
  <c r="H854" i="5"/>
  <c r="G856" i="5"/>
  <c r="H856" i="5" s="1"/>
  <c r="G858" i="5"/>
  <c r="H858" i="5" s="1"/>
  <c r="G860" i="5"/>
  <c r="H860" i="5" s="1"/>
  <c r="G863" i="5"/>
  <c r="H863" i="5" s="1"/>
  <c r="G865" i="5"/>
  <c r="H865" i="5" s="1"/>
  <c r="G867" i="5"/>
  <c r="H867" i="5" s="1"/>
  <c r="G869" i="5"/>
  <c r="H869" i="5" s="1"/>
  <c r="G871" i="5"/>
  <c r="H871" i="5" s="1"/>
  <c r="G873" i="5"/>
  <c r="H873" i="5" s="1"/>
  <c r="G876" i="5"/>
  <c r="H876" i="5" s="1"/>
  <c r="J877" i="5" s="1"/>
  <c r="G878" i="5"/>
  <c r="H878" i="5" s="1"/>
  <c r="G880" i="5"/>
  <c r="H880" i="5" s="1"/>
  <c r="G882" i="5"/>
  <c r="H882" i="5" s="1"/>
  <c r="G884" i="5"/>
  <c r="H884" i="5" s="1"/>
  <c r="G886" i="5"/>
  <c r="H886" i="5" s="1"/>
  <c r="G889" i="5"/>
  <c r="H889" i="5" s="1"/>
  <c r="G891" i="5"/>
  <c r="H891" i="5" s="1"/>
  <c r="G893" i="5"/>
  <c r="H893" i="5" s="1"/>
  <c r="G895" i="5"/>
  <c r="H895" i="5" s="1"/>
  <c r="G897" i="5"/>
  <c r="H897" i="5"/>
  <c r="G899" i="5"/>
  <c r="H899" i="5" s="1"/>
  <c r="G902" i="5"/>
  <c r="H902" i="5" s="1"/>
  <c r="G904" i="5"/>
  <c r="H904" i="5" s="1"/>
  <c r="G906" i="5"/>
  <c r="H906" i="5" s="1"/>
  <c r="G908" i="5"/>
  <c r="H908" i="5" s="1"/>
  <c r="G910" i="5"/>
  <c r="H910" i="5"/>
  <c r="G912" i="5"/>
  <c r="H912" i="5" s="1"/>
  <c r="G915" i="5"/>
  <c r="H915" i="5"/>
  <c r="G917" i="5"/>
  <c r="H917" i="5" s="1"/>
  <c r="G919" i="5"/>
  <c r="H919" i="5" s="1"/>
  <c r="G921" i="5"/>
  <c r="H921" i="5" s="1"/>
  <c r="G923" i="5"/>
  <c r="H923" i="5"/>
  <c r="G925" i="5"/>
  <c r="H925" i="5" s="1"/>
  <c r="G928" i="5"/>
  <c r="H928" i="5"/>
  <c r="G930" i="5"/>
  <c r="H930" i="5" s="1"/>
  <c r="J930" i="5" s="1"/>
  <c r="G932" i="5"/>
  <c r="H932" i="5"/>
  <c r="G934" i="5"/>
  <c r="H934" i="5" s="1"/>
  <c r="G936" i="5"/>
  <c r="H936" i="5" s="1"/>
  <c r="G938" i="5"/>
  <c r="H938" i="5" s="1"/>
  <c r="G941" i="5"/>
  <c r="H941" i="5"/>
  <c r="G943" i="5"/>
  <c r="H943" i="5" s="1"/>
  <c r="G945" i="5"/>
  <c r="H945" i="5"/>
  <c r="G947" i="5"/>
  <c r="H947" i="5" s="1"/>
  <c r="G949" i="5"/>
  <c r="H949" i="5" s="1"/>
  <c r="G951" i="5"/>
  <c r="H951" i="5" s="1"/>
  <c r="G954" i="5"/>
  <c r="H954" i="5" s="1"/>
  <c r="G956" i="5"/>
  <c r="H956" i="5" s="1"/>
  <c r="G958" i="5"/>
  <c r="H958" i="5"/>
  <c r="G960" i="5"/>
  <c r="H960" i="5" s="1"/>
  <c r="G962" i="5"/>
  <c r="H962" i="5" s="1"/>
  <c r="M964" i="5"/>
  <c r="I964" i="5"/>
  <c r="L964" i="5"/>
  <c r="K971" i="5"/>
  <c r="K969" i="5"/>
  <c r="K967" i="5"/>
  <c r="M973" i="5"/>
  <c r="I973" i="5"/>
  <c r="L973" i="5" s="1"/>
  <c r="M975" i="5"/>
  <c r="I975" i="5"/>
  <c r="L975" i="5"/>
  <c r="M977" i="5"/>
  <c r="I977" i="5"/>
  <c r="L977" i="5" s="1"/>
  <c r="K984" i="5"/>
  <c r="K982" i="5"/>
  <c r="K980" i="5"/>
  <c r="M986" i="5"/>
  <c r="I986" i="5"/>
  <c r="L986" i="5" s="1"/>
  <c r="I753" i="5"/>
  <c r="L753" i="5"/>
  <c r="I755" i="5"/>
  <c r="L755" i="5" s="1"/>
  <c r="I757" i="5"/>
  <c r="L757" i="5" s="1"/>
  <c r="I766" i="5"/>
  <c r="L766" i="5" s="1"/>
  <c r="I768" i="5"/>
  <c r="L768" i="5"/>
  <c r="I770" i="5"/>
  <c r="L770" i="5" s="1"/>
  <c r="I779" i="5"/>
  <c r="L779" i="5" s="1"/>
  <c r="I781" i="5"/>
  <c r="L781" i="5" s="1"/>
  <c r="I783" i="5"/>
  <c r="L783" i="5" s="1"/>
  <c r="I792" i="5"/>
  <c r="L792" i="5" s="1"/>
  <c r="I794" i="5"/>
  <c r="L794" i="5" s="1"/>
  <c r="I796" i="5"/>
  <c r="L796" i="5" s="1"/>
  <c r="I805" i="5"/>
  <c r="L805" i="5"/>
  <c r="I807" i="5"/>
  <c r="L807" i="5" s="1"/>
  <c r="I809" i="5"/>
  <c r="L809" i="5"/>
  <c r="I818" i="5"/>
  <c r="L818" i="5" s="1"/>
  <c r="I820" i="5"/>
  <c r="L820" i="5"/>
  <c r="I822" i="5"/>
  <c r="L822" i="5" s="1"/>
  <c r="I831" i="5"/>
  <c r="L831" i="5" s="1"/>
  <c r="I833" i="5"/>
  <c r="L833" i="5" s="1"/>
  <c r="I835" i="5"/>
  <c r="L835" i="5"/>
  <c r="I844" i="5"/>
  <c r="L844" i="5" s="1"/>
  <c r="I846" i="5"/>
  <c r="L846" i="5" s="1"/>
  <c r="I848" i="5"/>
  <c r="L848" i="5" s="1"/>
  <c r="I857" i="5"/>
  <c r="L857" i="5" s="1"/>
  <c r="I859" i="5"/>
  <c r="L859" i="5" s="1"/>
  <c r="I861" i="5"/>
  <c r="L861" i="5" s="1"/>
  <c r="I870" i="5"/>
  <c r="L870" i="5" s="1"/>
  <c r="I872" i="5"/>
  <c r="L872" i="5"/>
  <c r="I874" i="5"/>
  <c r="L874" i="5" s="1"/>
  <c r="I883" i="5"/>
  <c r="L883" i="5"/>
  <c r="I885" i="5"/>
  <c r="L885" i="5" s="1"/>
  <c r="I887" i="5"/>
  <c r="L887" i="5"/>
  <c r="I896" i="5"/>
  <c r="L896" i="5" s="1"/>
  <c r="I898" i="5"/>
  <c r="L898" i="5" s="1"/>
  <c r="I900" i="5"/>
  <c r="L900" i="5" s="1"/>
  <c r="I909" i="5"/>
  <c r="L909" i="5"/>
  <c r="I911" i="5"/>
  <c r="L911" i="5" s="1"/>
  <c r="I913" i="5"/>
  <c r="L913" i="5" s="1"/>
  <c r="I922" i="5"/>
  <c r="L922" i="5" s="1"/>
  <c r="I924" i="5"/>
  <c r="L924" i="5" s="1"/>
  <c r="I926" i="5"/>
  <c r="L926" i="5" s="1"/>
  <c r="I935" i="5"/>
  <c r="L935" i="5" s="1"/>
  <c r="I937" i="5"/>
  <c r="L937" i="5" s="1"/>
  <c r="I939" i="5"/>
  <c r="L939" i="5"/>
  <c r="I948" i="5"/>
  <c r="L948" i="5" s="1"/>
  <c r="I950" i="5"/>
  <c r="L950" i="5"/>
  <c r="I952" i="5"/>
  <c r="L952" i="5" s="1"/>
  <c r="I961" i="5"/>
  <c r="L961" i="5"/>
  <c r="G965" i="5"/>
  <c r="H965" i="5" s="1"/>
  <c r="G974" i="5"/>
  <c r="H974" i="5" s="1"/>
  <c r="G976" i="5"/>
  <c r="H976" i="5" s="1"/>
  <c r="G978" i="5"/>
  <c r="H978" i="5"/>
  <c r="G987" i="5"/>
  <c r="H987" i="5" s="1"/>
  <c r="M1116" i="5"/>
  <c r="I1116" i="5"/>
  <c r="L1116" i="5"/>
  <c r="M1118" i="5"/>
  <c r="I1118" i="5"/>
  <c r="L1118" i="5"/>
  <c r="M1120" i="5"/>
  <c r="I1120" i="5"/>
  <c r="L1120" i="5" s="1"/>
  <c r="G989" i="5"/>
  <c r="H989" i="5" s="1"/>
  <c r="G991" i="5"/>
  <c r="H991" i="5" s="1"/>
  <c r="G994" i="5"/>
  <c r="H994" i="5" s="1"/>
  <c r="K994" i="5"/>
  <c r="G996" i="5"/>
  <c r="H996" i="5"/>
  <c r="K996" i="5"/>
  <c r="G998" i="5"/>
  <c r="H998" i="5" s="1"/>
  <c r="K998" i="5"/>
  <c r="G1000" i="5"/>
  <c r="H1000" i="5" s="1"/>
  <c r="G1002" i="5"/>
  <c r="H1002" i="5"/>
  <c r="G1004" i="5"/>
  <c r="H1004" i="5" s="1"/>
  <c r="G1007" i="5"/>
  <c r="H1007" i="5" s="1"/>
  <c r="K1007" i="5"/>
  <c r="G1009" i="5"/>
  <c r="H1009" i="5"/>
  <c r="K1009" i="5"/>
  <c r="G1011" i="5"/>
  <c r="H1011" i="5" s="1"/>
  <c r="K1011" i="5"/>
  <c r="G1013" i="5"/>
  <c r="H1013" i="5" s="1"/>
  <c r="G1015" i="5"/>
  <c r="H1015" i="5"/>
  <c r="G1017" i="5"/>
  <c r="H1017" i="5" s="1"/>
  <c r="G1020" i="5"/>
  <c r="H1020" i="5" s="1"/>
  <c r="J1022" i="5" s="1"/>
  <c r="I1022" i="5" s="1"/>
  <c r="L1022" i="5" s="1"/>
  <c r="K1020" i="5"/>
  <c r="G1022" i="5"/>
  <c r="H1022" i="5" s="1"/>
  <c r="K1022" i="5"/>
  <c r="G1024" i="5"/>
  <c r="H1024" i="5" s="1"/>
  <c r="K1024" i="5"/>
  <c r="G1026" i="5"/>
  <c r="H1026" i="5" s="1"/>
  <c r="G1028" i="5"/>
  <c r="H1028" i="5" s="1"/>
  <c r="G1030" i="5"/>
  <c r="H1030" i="5"/>
  <c r="G1033" i="5"/>
  <c r="H1033" i="5" s="1"/>
  <c r="K1033" i="5"/>
  <c r="G1035" i="5"/>
  <c r="H1035" i="5" s="1"/>
  <c r="K1035" i="5"/>
  <c r="G1037" i="5"/>
  <c r="H1037" i="5" s="1"/>
  <c r="K1037" i="5"/>
  <c r="G1039" i="5"/>
  <c r="H1039" i="5"/>
  <c r="G1041" i="5"/>
  <c r="H1041" i="5" s="1"/>
  <c r="G1043" i="5"/>
  <c r="H1043" i="5" s="1"/>
  <c r="G1046" i="5"/>
  <c r="H1046" i="5" s="1"/>
  <c r="K1046" i="5"/>
  <c r="G1048" i="5"/>
  <c r="H1048" i="5" s="1"/>
  <c r="K1048" i="5"/>
  <c r="G1050" i="5"/>
  <c r="H1050" i="5" s="1"/>
  <c r="K1050" i="5"/>
  <c r="G1052" i="5"/>
  <c r="H1052" i="5"/>
  <c r="G1054" i="5"/>
  <c r="H1054" i="5" s="1"/>
  <c r="G1056" i="5"/>
  <c r="H1056" i="5"/>
  <c r="G1059" i="5"/>
  <c r="H1059" i="5" s="1"/>
  <c r="K1059" i="5"/>
  <c r="G1061" i="5"/>
  <c r="H1061" i="5" s="1"/>
  <c r="K1061" i="5"/>
  <c r="G1063" i="5"/>
  <c r="H1063" i="5" s="1"/>
  <c r="K1063" i="5"/>
  <c r="G1065" i="5"/>
  <c r="H1065" i="5"/>
  <c r="G1067" i="5"/>
  <c r="H1067" i="5" s="1"/>
  <c r="G1069" i="5"/>
  <c r="H1069" i="5"/>
  <c r="G1072" i="5"/>
  <c r="H1072" i="5" s="1"/>
  <c r="K1072" i="5"/>
  <c r="G1074" i="5"/>
  <c r="H1074" i="5"/>
  <c r="K1074" i="5"/>
  <c r="G1076" i="5"/>
  <c r="H1076" i="5" s="1"/>
  <c r="K1076" i="5"/>
  <c r="G1078" i="5"/>
  <c r="H1078" i="5" s="1"/>
  <c r="G1080" i="5"/>
  <c r="H1080" i="5" s="1"/>
  <c r="G1082" i="5"/>
  <c r="H1082" i="5" s="1"/>
  <c r="G1085" i="5"/>
  <c r="H1085" i="5" s="1"/>
  <c r="K1085" i="5"/>
  <c r="G1087" i="5"/>
  <c r="H1087" i="5" s="1"/>
  <c r="K1087" i="5"/>
  <c r="G1089" i="5"/>
  <c r="H1089" i="5"/>
  <c r="K1089" i="5"/>
  <c r="G1091" i="5"/>
  <c r="H1091" i="5" s="1"/>
  <c r="G1093" i="5"/>
  <c r="H1093" i="5"/>
  <c r="G1095" i="5"/>
  <c r="H1095" i="5" s="1"/>
  <c r="G1098" i="5"/>
  <c r="H1098" i="5" s="1"/>
  <c r="K1098" i="5"/>
  <c r="G1100" i="5"/>
  <c r="H1100" i="5"/>
  <c r="K1100" i="5"/>
  <c r="G1102" i="5"/>
  <c r="H1102" i="5" s="1"/>
  <c r="K1102" i="5"/>
  <c r="G1104" i="5"/>
  <c r="H1104" i="5" s="1"/>
  <c r="G1106" i="5"/>
  <c r="H1106" i="5"/>
  <c r="G1108" i="5"/>
  <c r="H1108" i="5" s="1"/>
  <c r="K1114" i="5"/>
  <c r="G1111" i="5"/>
  <c r="H1111" i="5" s="1"/>
  <c r="K1111" i="5"/>
  <c r="G1113" i="5"/>
  <c r="H1113" i="5" s="1"/>
  <c r="K1113" i="5"/>
  <c r="I988" i="5"/>
  <c r="L988" i="5"/>
  <c r="I990" i="5"/>
  <c r="L990" i="5" s="1"/>
  <c r="K993" i="5"/>
  <c r="K995" i="5"/>
  <c r="I999" i="5"/>
  <c r="L999" i="5" s="1"/>
  <c r="I1001" i="5"/>
  <c r="L1001" i="5"/>
  <c r="I1003" i="5"/>
  <c r="L1003" i="5" s="1"/>
  <c r="K1006" i="5"/>
  <c r="K1008" i="5"/>
  <c r="I1012" i="5"/>
  <c r="L1012" i="5" s="1"/>
  <c r="I1014" i="5"/>
  <c r="L1014" i="5"/>
  <c r="I1016" i="5"/>
  <c r="L1016" i="5" s="1"/>
  <c r="K1019" i="5"/>
  <c r="K1021" i="5"/>
  <c r="I1025" i="5"/>
  <c r="L1025" i="5" s="1"/>
  <c r="I1027" i="5"/>
  <c r="L1027" i="5"/>
  <c r="I1029" i="5"/>
  <c r="L1029" i="5" s="1"/>
  <c r="K1032" i="5"/>
  <c r="K1034" i="5"/>
  <c r="I1038" i="5"/>
  <c r="L1038" i="5" s="1"/>
  <c r="I1040" i="5"/>
  <c r="L1040" i="5"/>
  <c r="I1042" i="5"/>
  <c r="L1042" i="5" s="1"/>
  <c r="K1045" i="5"/>
  <c r="K1047" i="5"/>
  <c r="I1051" i="5"/>
  <c r="L1051" i="5" s="1"/>
  <c r="I1053" i="5"/>
  <c r="L1053" i="5"/>
  <c r="I1055" i="5"/>
  <c r="L1055" i="5" s="1"/>
  <c r="K1058" i="5"/>
  <c r="K1060" i="5"/>
  <c r="I1064" i="5"/>
  <c r="L1064" i="5" s="1"/>
  <c r="I1066" i="5"/>
  <c r="L1066" i="5"/>
  <c r="I1068" i="5"/>
  <c r="L1068" i="5" s="1"/>
  <c r="K1071" i="5"/>
  <c r="K1073" i="5"/>
  <c r="I1077" i="5"/>
  <c r="L1077" i="5" s="1"/>
  <c r="I1079" i="5"/>
  <c r="L1079" i="5"/>
  <c r="I1081" i="5"/>
  <c r="L1081" i="5" s="1"/>
  <c r="K1084" i="5"/>
  <c r="K1086" i="5"/>
  <c r="I1090" i="5"/>
  <c r="L1090" i="5" s="1"/>
  <c r="I1092" i="5"/>
  <c r="L1092" i="5"/>
  <c r="I1094" i="5"/>
  <c r="L1094" i="5" s="1"/>
  <c r="K1097" i="5"/>
  <c r="K1099" i="5"/>
  <c r="I1103" i="5"/>
  <c r="L1103" i="5" s="1"/>
  <c r="I1105" i="5"/>
  <c r="L1105" i="5"/>
  <c r="I1107" i="5"/>
  <c r="L1107" i="5" s="1"/>
  <c r="K1110" i="5"/>
  <c r="K1112" i="5"/>
  <c r="G1115" i="5"/>
  <c r="H1115" i="5" s="1"/>
  <c r="K1115" i="5"/>
  <c r="G1124" i="5"/>
  <c r="H1124" i="5" s="1"/>
  <c r="G1126" i="5"/>
  <c r="H1126" i="5"/>
  <c r="M1238" i="5"/>
  <c r="I1238" i="5"/>
  <c r="L1238" i="5" s="1"/>
  <c r="F1128" i="5"/>
  <c r="I1129" i="5"/>
  <c r="L1129" i="5" s="1"/>
  <c r="F1130" i="5"/>
  <c r="I1131" i="5"/>
  <c r="L1131" i="5"/>
  <c r="F1132" i="5"/>
  <c r="I1133" i="5"/>
  <c r="L1133" i="5"/>
  <c r="F1134" i="5"/>
  <c r="F1137" i="5"/>
  <c r="F1139" i="5"/>
  <c r="F1141" i="5"/>
  <c r="F1143" i="5"/>
  <c r="F1145" i="5"/>
  <c r="F1147" i="5"/>
  <c r="I1142" i="5"/>
  <c r="L1142" i="5"/>
  <c r="I1144" i="5"/>
  <c r="L1144" i="5" s="1"/>
  <c r="I1146" i="5"/>
  <c r="L1146" i="5"/>
  <c r="F1150" i="5"/>
  <c r="F1152" i="5"/>
  <c r="F1154" i="5"/>
  <c r="F1156" i="5"/>
  <c r="J1151" i="5" s="1"/>
  <c r="F1158" i="5"/>
  <c r="F1160" i="5"/>
  <c r="I1155" i="5"/>
  <c r="L1155" i="5" s="1"/>
  <c r="I1157" i="5"/>
  <c r="L1157" i="5" s="1"/>
  <c r="I1159" i="5"/>
  <c r="L1159" i="5" s="1"/>
  <c r="F1163" i="5"/>
  <c r="F1165" i="5"/>
  <c r="F1167" i="5"/>
  <c r="J1164" i="5" s="1"/>
  <c r="F1169" i="5"/>
  <c r="F1171" i="5"/>
  <c r="F1173" i="5"/>
  <c r="I1168" i="5"/>
  <c r="L1168" i="5" s="1"/>
  <c r="I1170" i="5"/>
  <c r="L1170" i="5" s="1"/>
  <c r="I1172" i="5"/>
  <c r="L1172" i="5"/>
  <c r="F1176" i="5"/>
  <c r="J1180" i="5" s="1"/>
  <c r="I1180" i="5" s="1"/>
  <c r="L1180" i="5" s="1"/>
  <c r="F1178" i="5"/>
  <c r="F1180" i="5"/>
  <c r="F1182" i="5"/>
  <c r="F1184" i="5"/>
  <c r="F1186" i="5"/>
  <c r="I1181" i="5"/>
  <c r="L1181" i="5"/>
  <c r="I1183" i="5"/>
  <c r="L1183" i="5" s="1"/>
  <c r="I1185" i="5"/>
  <c r="L1185" i="5" s="1"/>
  <c r="F1189" i="5"/>
  <c r="F1191" i="5"/>
  <c r="F1193" i="5"/>
  <c r="F1195" i="5"/>
  <c r="F1197" i="5"/>
  <c r="F1199" i="5"/>
  <c r="I1194" i="5"/>
  <c r="L1194" i="5" s="1"/>
  <c r="I1196" i="5"/>
  <c r="L1196" i="5" s="1"/>
  <c r="I1198" i="5"/>
  <c r="L1198" i="5"/>
  <c r="F1202" i="5"/>
  <c r="F1204" i="5"/>
  <c r="F1206" i="5"/>
  <c r="I1207" i="5"/>
  <c r="L1207" i="5" s="1"/>
  <c r="F1208" i="5"/>
  <c r="I1209" i="5"/>
  <c r="L1209" i="5"/>
  <c r="F1210" i="5"/>
  <c r="I1211" i="5"/>
  <c r="L1211" i="5" s="1"/>
  <c r="F1212" i="5"/>
  <c r="F1215" i="5"/>
  <c r="K1216" i="5" s="1"/>
  <c r="F1217" i="5"/>
  <c r="F1219" i="5"/>
  <c r="F1221" i="5"/>
  <c r="F1223" i="5"/>
  <c r="F1225" i="5"/>
  <c r="I1220" i="5"/>
  <c r="L1220" i="5" s="1"/>
  <c r="I1222" i="5"/>
  <c r="L1222" i="5" s="1"/>
  <c r="I1224" i="5"/>
  <c r="L1224" i="5" s="1"/>
  <c r="F1228" i="5"/>
  <c r="F1230" i="5"/>
  <c r="F1232" i="5"/>
  <c r="F1234" i="5"/>
  <c r="F1236" i="5"/>
  <c r="K1230" i="5"/>
  <c r="I1233" i="5"/>
  <c r="L1233" i="5" s="1"/>
  <c r="I1235" i="5"/>
  <c r="L1235" i="5" s="1"/>
  <c r="G1240" i="5"/>
  <c r="H1240" i="5" s="1"/>
  <c r="G1242" i="5"/>
  <c r="H1242" i="5" s="1"/>
  <c r="F1244" i="5"/>
  <c r="F1246" i="5"/>
  <c r="I1247" i="5"/>
  <c r="L1247" i="5" s="1"/>
  <c r="F1248" i="5"/>
  <c r="I1249" i="5"/>
  <c r="L1249" i="5" s="1"/>
  <c r="F1250" i="5"/>
  <c r="I1251" i="5"/>
  <c r="L1251" i="5" s="1"/>
  <c r="F1253" i="5"/>
  <c r="F1255" i="5"/>
  <c r="F1257" i="5"/>
  <c r="F1259" i="5"/>
  <c r="I1260" i="5"/>
  <c r="L1260" i="5" s="1"/>
  <c r="F1261" i="5"/>
  <c r="I1262" i="5"/>
  <c r="L1262" i="5" s="1"/>
  <c r="F1263" i="5"/>
  <c r="I1264" i="5"/>
  <c r="L1264" i="5"/>
  <c r="F1266" i="5"/>
  <c r="F1268" i="5"/>
  <c r="F1270" i="5"/>
  <c r="F1272" i="5"/>
  <c r="I1273" i="5"/>
  <c r="L1273" i="5" s="1"/>
  <c r="F1274" i="5"/>
  <c r="I1275" i="5"/>
  <c r="L1275" i="5"/>
  <c r="F1276" i="5"/>
  <c r="I1277" i="5"/>
  <c r="L1277" i="5" s="1"/>
  <c r="F1279" i="5"/>
  <c r="F1281" i="5"/>
  <c r="F1283" i="5"/>
  <c r="F1285" i="5"/>
  <c r="F1287" i="5"/>
  <c r="F1289" i="5"/>
  <c r="I1286" i="5"/>
  <c r="L1286" i="5"/>
  <c r="I1288" i="5"/>
  <c r="L1288" i="5"/>
  <c r="I1290" i="5"/>
  <c r="L1290" i="5"/>
  <c r="F1292" i="5"/>
  <c r="J1296" i="5" s="1"/>
  <c r="F1294" i="5"/>
  <c r="F1296" i="5"/>
  <c r="F1298" i="5"/>
  <c r="I1299" i="5"/>
  <c r="L1299" i="5" s="1"/>
  <c r="F1300" i="5"/>
  <c r="I1301" i="5"/>
  <c r="L1301" i="5"/>
  <c r="F1302" i="5"/>
  <c r="I1303" i="5"/>
  <c r="L1303" i="5" s="1"/>
  <c r="F1305" i="5"/>
  <c r="F1307" i="5"/>
  <c r="F1309" i="5"/>
  <c r="F1311" i="5"/>
  <c r="I1312" i="5"/>
  <c r="L1312" i="5" s="1"/>
  <c r="F1313" i="5"/>
  <c r="I1314" i="5"/>
  <c r="L1314" i="5" s="1"/>
  <c r="F1315" i="5"/>
  <c r="G1316" i="5"/>
  <c r="H1316" i="5"/>
  <c r="K512" i="5"/>
  <c r="K462" i="5"/>
  <c r="K753" i="4"/>
  <c r="K749" i="4"/>
  <c r="K752" i="4"/>
  <c r="K748" i="4"/>
  <c r="K750" i="4"/>
  <c r="K529" i="5"/>
  <c r="K527" i="5"/>
  <c r="F35" i="4"/>
  <c r="F36" i="4" s="1"/>
  <c r="K597" i="4"/>
  <c r="K593" i="4"/>
  <c r="K595" i="4"/>
  <c r="K528" i="5"/>
  <c r="K500" i="5"/>
  <c r="K525" i="5"/>
  <c r="K486" i="5"/>
  <c r="K127" i="4"/>
  <c r="K128" i="4"/>
  <c r="K125" i="4"/>
  <c r="K124" i="4"/>
  <c r="K129" i="4"/>
  <c r="K126" i="4"/>
  <c r="K645" i="4"/>
  <c r="J153" i="4"/>
  <c r="K151" i="4"/>
  <c r="K153" i="4"/>
  <c r="H47" i="4"/>
  <c r="K529" i="4"/>
  <c r="K532" i="4"/>
  <c r="K531" i="4"/>
  <c r="K528" i="4"/>
  <c r="K530" i="4"/>
  <c r="K527" i="4"/>
  <c r="J154" i="4"/>
  <c r="J151" i="4"/>
  <c r="J152" i="4"/>
  <c r="K154" i="4"/>
  <c r="F23" i="4"/>
  <c r="K644" i="4"/>
  <c r="K648" i="4"/>
  <c r="K646" i="4"/>
  <c r="K592" i="4"/>
  <c r="K596" i="4"/>
  <c r="K594" i="4"/>
  <c r="J150" i="4"/>
  <c r="H48" i="4"/>
  <c r="H49" i="4"/>
  <c r="H74" i="4"/>
  <c r="H75" i="4" s="1"/>
  <c r="F47" i="4"/>
  <c r="F48" i="4"/>
  <c r="F49" i="4" s="1"/>
  <c r="K516" i="5"/>
  <c r="K514" i="5"/>
  <c r="K501" i="5"/>
  <c r="K490" i="5"/>
  <c r="K488" i="5"/>
  <c r="K475" i="5"/>
  <c r="K464" i="5"/>
  <c r="K460" i="5"/>
  <c r="K1193" i="5"/>
  <c r="J1177" i="5"/>
  <c r="I1177" i="5" s="1"/>
  <c r="L1177" i="5" s="1"/>
  <c r="K1229" i="5"/>
  <c r="K1203" i="5"/>
  <c r="K1201" i="5"/>
  <c r="K1177" i="5"/>
  <c r="J1232" i="5"/>
  <c r="J1215" i="5"/>
  <c r="I1215" i="5" s="1"/>
  <c r="L1215" i="5" s="1"/>
  <c r="J659" i="5"/>
  <c r="M659" i="5" s="1"/>
  <c r="J646" i="5"/>
  <c r="J633" i="5"/>
  <c r="M633" i="5" s="1"/>
  <c r="J620" i="5"/>
  <c r="I620" i="5"/>
  <c r="L620" i="5" s="1"/>
  <c r="J607" i="5"/>
  <c r="I607" i="5" s="1"/>
  <c r="L607" i="5" s="1"/>
  <c r="J594" i="5"/>
  <c r="J568" i="5"/>
  <c r="J555" i="5"/>
  <c r="M555" i="5" s="1"/>
  <c r="J542" i="5"/>
  <c r="K658" i="5"/>
  <c r="K645" i="5"/>
  <c r="K632" i="5"/>
  <c r="K619" i="5"/>
  <c r="K606" i="5"/>
  <c r="K593" i="5"/>
  <c r="K580" i="5"/>
  <c r="K567" i="5"/>
  <c r="K554" i="5"/>
  <c r="K541" i="5"/>
  <c r="K672" i="5"/>
  <c r="K659" i="5"/>
  <c r="K657" i="5"/>
  <c r="K655" i="5"/>
  <c r="K646" i="5"/>
  <c r="K644" i="5"/>
  <c r="K642" i="5"/>
  <c r="K633" i="5"/>
  <c r="K631" i="5"/>
  <c r="K629" i="5"/>
  <c r="K620" i="5"/>
  <c r="K618" i="5"/>
  <c r="K616" i="5"/>
  <c r="K607" i="5"/>
  <c r="K605" i="5"/>
  <c r="K603" i="5"/>
  <c r="K594" i="5"/>
  <c r="K592" i="5"/>
  <c r="K590" i="5"/>
  <c r="K568" i="5"/>
  <c r="K566" i="5"/>
  <c r="K564" i="5"/>
  <c r="K555" i="5"/>
  <c r="K553" i="5"/>
  <c r="K551" i="5"/>
  <c r="K542" i="5"/>
  <c r="K540" i="5"/>
  <c r="K538" i="5"/>
  <c r="J529" i="5"/>
  <c r="I529" i="5"/>
  <c r="L529" i="5"/>
  <c r="J516" i="5"/>
  <c r="M516" i="5" s="1"/>
  <c r="J490" i="5"/>
  <c r="M490" i="5" s="1"/>
  <c r="J477" i="5"/>
  <c r="M477" i="5" s="1"/>
  <c r="J464" i="5"/>
  <c r="M464" i="5" s="1"/>
  <c r="J452" i="5"/>
  <c r="I452" i="5" s="1"/>
  <c r="L452" i="5" s="1"/>
  <c r="J361" i="5"/>
  <c r="M361" i="5" s="1"/>
  <c r="J309" i="5"/>
  <c r="M309" i="5" s="1"/>
  <c r="J283" i="5"/>
  <c r="M283" i="5" s="1"/>
  <c r="J411" i="5"/>
  <c r="J257" i="5"/>
  <c r="J231" i="5"/>
  <c r="M231" i="5" s="1"/>
  <c r="J205" i="5"/>
  <c r="I205" i="5" s="1"/>
  <c r="L205" i="5" s="1"/>
  <c r="J153" i="5"/>
  <c r="I153" i="5"/>
  <c r="L153" i="5"/>
  <c r="J127" i="5"/>
  <c r="I127" i="5" s="1"/>
  <c r="L127" i="5" s="1"/>
  <c r="J101" i="5"/>
  <c r="M101" i="5" s="1"/>
  <c r="I555" i="5"/>
  <c r="L555" i="5" s="1"/>
  <c r="M452" i="5"/>
  <c r="M205" i="5"/>
  <c r="M153" i="5"/>
  <c r="I659" i="5"/>
  <c r="L659" i="5" s="1"/>
  <c r="K1310" i="5"/>
  <c r="J929" i="5"/>
  <c r="J904" i="5"/>
  <c r="J894" i="5"/>
  <c r="M733" i="5"/>
  <c r="I733" i="5"/>
  <c r="L733" i="5" s="1"/>
  <c r="M737" i="5"/>
  <c r="I737" i="5"/>
  <c r="L737" i="5" s="1"/>
  <c r="M722" i="5"/>
  <c r="I722" i="5"/>
  <c r="L722" i="5"/>
  <c r="M707" i="5"/>
  <c r="I707" i="5"/>
  <c r="L707" i="5"/>
  <c r="M711" i="5"/>
  <c r="I711" i="5"/>
  <c r="L711" i="5" s="1"/>
  <c r="M696" i="5"/>
  <c r="I696" i="5"/>
  <c r="L696" i="5"/>
  <c r="M681" i="5"/>
  <c r="I681" i="5"/>
  <c r="L681" i="5"/>
  <c r="M685" i="5"/>
  <c r="I685" i="5"/>
  <c r="L685" i="5" s="1"/>
  <c r="M734" i="5"/>
  <c r="I734" i="5"/>
  <c r="L734" i="5" s="1"/>
  <c r="M721" i="5"/>
  <c r="I721" i="5"/>
  <c r="L721" i="5"/>
  <c r="M708" i="5"/>
  <c r="I708" i="5"/>
  <c r="L708" i="5" s="1"/>
  <c r="M695" i="5"/>
  <c r="I695" i="5"/>
  <c r="L695" i="5" s="1"/>
  <c r="M682" i="5"/>
  <c r="I682" i="5"/>
  <c r="L682" i="5" s="1"/>
  <c r="M725" i="5"/>
  <c r="I725" i="5"/>
  <c r="L725" i="5" s="1"/>
  <c r="K373" i="5"/>
  <c r="K371" i="5"/>
  <c r="K369" i="5"/>
  <c r="K374" i="5"/>
  <c r="K372" i="5"/>
  <c r="K370" i="5"/>
  <c r="K347" i="5"/>
  <c r="K345" i="5"/>
  <c r="K343" i="5"/>
  <c r="K348" i="5"/>
  <c r="K346" i="5"/>
  <c r="K344" i="5"/>
  <c r="K321" i="5"/>
  <c r="K319" i="5"/>
  <c r="K317" i="5"/>
  <c r="K322" i="5"/>
  <c r="K320" i="5"/>
  <c r="K318" i="5"/>
  <c r="K295" i="5"/>
  <c r="K293" i="5"/>
  <c r="K291" i="5"/>
  <c r="K296" i="5"/>
  <c r="K294" i="5"/>
  <c r="K292" i="5"/>
  <c r="K269" i="5"/>
  <c r="K267" i="5"/>
  <c r="K265" i="5"/>
  <c r="K270" i="5"/>
  <c r="K268" i="5"/>
  <c r="K266" i="5"/>
  <c r="K243" i="5"/>
  <c r="K241" i="5"/>
  <c r="K239" i="5"/>
  <c r="K244" i="5"/>
  <c r="K242" i="5"/>
  <c r="K240" i="5"/>
  <c r="K217" i="5"/>
  <c r="K215" i="5"/>
  <c r="K213" i="5"/>
  <c r="K218" i="5"/>
  <c r="K216" i="5"/>
  <c r="K214" i="5"/>
  <c r="K191" i="5"/>
  <c r="K189" i="5"/>
  <c r="K187" i="5"/>
  <c r="K192" i="5"/>
  <c r="K190" i="5"/>
  <c r="K188" i="5"/>
  <c r="K165" i="5"/>
  <c r="K163" i="5"/>
  <c r="K161" i="5"/>
  <c r="K166" i="5"/>
  <c r="K164" i="5"/>
  <c r="K162" i="5"/>
  <c r="K139" i="5"/>
  <c r="K137" i="5"/>
  <c r="K135" i="5"/>
  <c r="K140" i="5"/>
  <c r="K138" i="5"/>
  <c r="K136" i="5"/>
  <c r="K113" i="5"/>
  <c r="K111" i="5"/>
  <c r="K109" i="5"/>
  <c r="K114" i="5"/>
  <c r="K112" i="5"/>
  <c r="K110" i="5"/>
  <c r="K87" i="5"/>
  <c r="K85" i="5"/>
  <c r="K83" i="5"/>
  <c r="K88" i="5"/>
  <c r="K86" i="5"/>
  <c r="K84" i="5"/>
  <c r="J1279" i="5"/>
  <c r="K1245" i="5"/>
  <c r="J1110" i="5"/>
  <c r="J1084" i="5"/>
  <c r="J982" i="5"/>
  <c r="K660" i="5"/>
  <c r="K634" i="5"/>
  <c r="K608" i="5"/>
  <c r="K556" i="5"/>
  <c r="K530" i="5"/>
  <c r="H60" i="5"/>
  <c r="J669" i="5"/>
  <c r="J656" i="5"/>
  <c r="J660" i="5"/>
  <c r="J657" i="5"/>
  <c r="J643" i="5"/>
  <c r="J647" i="5"/>
  <c r="J644" i="5"/>
  <c r="J630" i="5"/>
  <c r="J634" i="5"/>
  <c r="J631" i="5"/>
  <c r="J617" i="5"/>
  <c r="J621" i="5"/>
  <c r="J618" i="5"/>
  <c r="J604" i="5"/>
  <c r="J608" i="5"/>
  <c r="J605" i="5"/>
  <c r="J591" i="5"/>
  <c r="J595" i="5"/>
  <c r="J592" i="5"/>
  <c r="J579" i="5"/>
  <c r="J565" i="5"/>
  <c r="J569" i="5"/>
  <c r="J566" i="5"/>
  <c r="J552" i="5"/>
  <c r="J556" i="5"/>
  <c r="J553" i="5"/>
  <c r="J539" i="5"/>
  <c r="J543" i="5"/>
  <c r="J540" i="5"/>
  <c r="J526" i="5"/>
  <c r="J530" i="5"/>
  <c r="J527" i="5"/>
  <c r="J513" i="5"/>
  <c r="J517" i="5"/>
  <c r="J514" i="5"/>
  <c r="J500" i="5"/>
  <c r="J504" i="5"/>
  <c r="J487" i="5"/>
  <c r="J491" i="5"/>
  <c r="J488" i="5"/>
  <c r="J475" i="5"/>
  <c r="J461" i="5"/>
  <c r="J465" i="5"/>
  <c r="J462" i="5"/>
  <c r="K447" i="5"/>
  <c r="K451" i="5"/>
  <c r="F71" i="5"/>
  <c r="F72" i="5" s="1"/>
  <c r="F73" i="5" s="1"/>
  <c r="H46" i="5"/>
  <c r="H72" i="5"/>
  <c r="H33" i="5"/>
  <c r="J449" i="5"/>
  <c r="J448" i="5"/>
  <c r="J410" i="5"/>
  <c r="J409" i="5"/>
  <c r="J413" i="5"/>
  <c r="J396" i="5"/>
  <c r="J400" i="5"/>
  <c r="J384" i="5"/>
  <c r="J371" i="5"/>
  <c r="J370" i="5"/>
  <c r="J374" i="5"/>
  <c r="J358" i="5"/>
  <c r="J357" i="5"/>
  <c r="J345" i="5"/>
  <c r="J344" i="5"/>
  <c r="J348" i="5"/>
  <c r="J332" i="5"/>
  <c r="J331" i="5"/>
  <c r="J319" i="5"/>
  <c r="J318" i="5"/>
  <c r="J322" i="5"/>
  <c r="J306" i="5"/>
  <c r="J305" i="5"/>
  <c r="J293" i="5"/>
  <c r="J292" i="5"/>
  <c r="J296" i="5"/>
  <c r="J280" i="5"/>
  <c r="J279" i="5"/>
  <c r="J267" i="5"/>
  <c r="J266" i="5"/>
  <c r="J270" i="5"/>
  <c r="J254" i="5"/>
  <c r="J253" i="5"/>
  <c r="J241" i="5"/>
  <c r="J240" i="5"/>
  <c r="J244" i="5"/>
  <c r="J228" i="5"/>
  <c r="J227" i="5"/>
  <c r="J215" i="5"/>
  <c r="J214" i="5"/>
  <c r="J218" i="5"/>
  <c r="J202" i="5"/>
  <c r="J201" i="5"/>
  <c r="J189" i="5"/>
  <c r="J188" i="5"/>
  <c r="J192" i="5"/>
  <c r="J176" i="5"/>
  <c r="J175" i="5"/>
  <c r="J163" i="5"/>
  <c r="J162" i="5"/>
  <c r="J166" i="5"/>
  <c r="J150" i="5"/>
  <c r="J149" i="5"/>
  <c r="J137" i="5"/>
  <c r="J136" i="5"/>
  <c r="J140" i="5"/>
  <c r="J124" i="5"/>
  <c r="J123" i="5"/>
  <c r="J111" i="5"/>
  <c r="J110" i="5"/>
  <c r="J114" i="5"/>
  <c r="J98" i="5"/>
  <c r="J97" i="5"/>
  <c r="J85" i="5"/>
  <c r="J84" i="5"/>
  <c r="J88" i="5"/>
  <c r="K1281" i="5"/>
  <c r="K1279" i="5"/>
  <c r="K1284" i="5"/>
  <c r="K1282" i="5"/>
  <c r="J1241" i="5"/>
  <c r="I1241" i="5" s="1"/>
  <c r="L1241" i="5" s="1"/>
  <c r="K1294" i="5"/>
  <c r="K1292" i="5"/>
  <c r="K1297" i="5"/>
  <c r="K1295" i="5"/>
  <c r="K1293" i="5"/>
  <c r="M735" i="5"/>
  <c r="I735" i="5"/>
  <c r="L735" i="5" s="1"/>
  <c r="M720" i="5"/>
  <c r="I720" i="5"/>
  <c r="L720" i="5"/>
  <c r="M724" i="5"/>
  <c r="I724" i="5"/>
  <c r="L724" i="5" s="1"/>
  <c r="M709" i="5"/>
  <c r="I709" i="5"/>
  <c r="L709" i="5" s="1"/>
  <c r="M694" i="5"/>
  <c r="I694" i="5"/>
  <c r="L694" i="5" s="1"/>
  <c r="M698" i="5"/>
  <c r="I698" i="5"/>
  <c r="L698" i="5" s="1"/>
  <c r="M683" i="5"/>
  <c r="I683" i="5"/>
  <c r="L683" i="5" s="1"/>
  <c r="M736" i="5"/>
  <c r="I736" i="5"/>
  <c r="L736" i="5"/>
  <c r="M723" i="5"/>
  <c r="I723" i="5"/>
  <c r="L723" i="5" s="1"/>
  <c r="M710" i="5"/>
  <c r="I710" i="5"/>
  <c r="L710" i="5"/>
  <c r="M697" i="5"/>
  <c r="I697" i="5"/>
  <c r="L697" i="5" s="1"/>
  <c r="M684" i="5"/>
  <c r="I684" i="5"/>
  <c r="L684" i="5"/>
  <c r="K450" i="5"/>
  <c r="K448" i="5"/>
  <c r="M699" i="5"/>
  <c r="I699" i="5"/>
  <c r="L699" i="5" s="1"/>
  <c r="K360" i="5"/>
  <c r="K358" i="5"/>
  <c r="K356" i="5"/>
  <c r="K361" i="5"/>
  <c r="K359" i="5"/>
  <c r="K357" i="5"/>
  <c r="K334" i="5"/>
  <c r="K332" i="5"/>
  <c r="K330" i="5"/>
  <c r="K335" i="5"/>
  <c r="K333" i="5"/>
  <c r="K331" i="5"/>
  <c r="K308" i="5"/>
  <c r="K306" i="5"/>
  <c r="K304" i="5"/>
  <c r="K309" i="5"/>
  <c r="K307" i="5"/>
  <c r="K305" i="5"/>
  <c r="K282" i="5"/>
  <c r="K280" i="5"/>
  <c r="K278" i="5"/>
  <c r="K283" i="5"/>
  <c r="K281" i="5"/>
  <c r="K279" i="5"/>
  <c r="K256" i="5"/>
  <c r="K254" i="5"/>
  <c r="K252" i="5"/>
  <c r="K257" i="5"/>
  <c r="K255" i="5"/>
  <c r="K253" i="5"/>
  <c r="K230" i="5"/>
  <c r="K228" i="5"/>
  <c r="K226" i="5"/>
  <c r="K231" i="5"/>
  <c r="K229" i="5"/>
  <c r="K227" i="5"/>
  <c r="K204" i="5"/>
  <c r="K202" i="5"/>
  <c r="K200" i="5"/>
  <c r="K205" i="5"/>
  <c r="K203" i="5"/>
  <c r="K201" i="5"/>
  <c r="K178" i="5"/>
  <c r="K176" i="5"/>
  <c r="K174" i="5"/>
  <c r="K179" i="5"/>
  <c r="K177" i="5"/>
  <c r="K175" i="5"/>
  <c r="K152" i="5"/>
  <c r="K150" i="5"/>
  <c r="K148" i="5"/>
  <c r="K153" i="5"/>
  <c r="K151" i="5"/>
  <c r="K149" i="5"/>
  <c r="K126" i="5"/>
  <c r="K124" i="5"/>
  <c r="K122" i="5"/>
  <c r="K127" i="5"/>
  <c r="K125" i="5"/>
  <c r="K123" i="5"/>
  <c r="K100" i="5"/>
  <c r="K98" i="5"/>
  <c r="K96" i="5"/>
  <c r="K101" i="5"/>
  <c r="K99" i="5"/>
  <c r="K97" i="5"/>
  <c r="J1309" i="5"/>
  <c r="J1292" i="5"/>
  <c r="J1283" i="5"/>
  <c r="K1241" i="5"/>
  <c r="K1244" i="5"/>
  <c r="J1097" i="5"/>
  <c r="J1088" i="5"/>
  <c r="J1071" i="5"/>
  <c r="J1062" i="5"/>
  <c r="J1061" i="5"/>
  <c r="M1061" i="5" s="1"/>
  <c r="J1307" i="5"/>
  <c r="J1306" i="5"/>
  <c r="J1294" i="5"/>
  <c r="J1293" i="5"/>
  <c r="J1297" i="5"/>
  <c r="J1281" i="5"/>
  <c r="J1280" i="5"/>
  <c r="J1284" i="5"/>
  <c r="M1284" i="5" s="1"/>
  <c r="J1271" i="5"/>
  <c r="M1271" i="5" s="1"/>
  <c r="K1243" i="5"/>
  <c r="K1232" i="5"/>
  <c r="K1206" i="5"/>
  <c r="K1180" i="5"/>
  <c r="K1154" i="5"/>
  <c r="J1230" i="5"/>
  <c r="J1227" i="5"/>
  <c r="M1227" i="5" s="1"/>
  <c r="J1217" i="5"/>
  <c r="J1214" i="5"/>
  <c r="J1204" i="5"/>
  <c r="J1201" i="5"/>
  <c r="J1191" i="5"/>
  <c r="J1188" i="5"/>
  <c r="M1188" i="5" s="1"/>
  <c r="J1178" i="5"/>
  <c r="J1175" i="5"/>
  <c r="I1175" i="5" s="1"/>
  <c r="L1175" i="5" s="1"/>
  <c r="J1165" i="5"/>
  <c r="J1162" i="5"/>
  <c r="J1152" i="5"/>
  <c r="J1149" i="5"/>
  <c r="J1112" i="5"/>
  <c r="I1112" i="5" s="1"/>
  <c r="L1112" i="5" s="1"/>
  <c r="J1111" i="5"/>
  <c r="J1099" i="5"/>
  <c r="J1098" i="5"/>
  <c r="J1086" i="5"/>
  <c r="M1086" i="5" s="1"/>
  <c r="J1085" i="5"/>
  <c r="J1073" i="5"/>
  <c r="J1072" i="5"/>
  <c r="J1060" i="5"/>
  <c r="I1060" i="5" s="1"/>
  <c r="L1060" i="5" s="1"/>
  <c r="J1059" i="5"/>
  <c r="J1123" i="5"/>
  <c r="M1123" i="5" s="1"/>
  <c r="J980" i="5"/>
  <c r="M980" i="5" s="1"/>
  <c r="J984" i="5"/>
  <c r="J967" i="5"/>
  <c r="J971" i="5"/>
  <c r="J749" i="5"/>
  <c r="J746" i="5"/>
  <c r="J750" i="5"/>
  <c r="K673" i="5"/>
  <c r="K647" i="5"/>
  <c r="K621" i="5"/>
  <c r="K595" i="5"/>
  <c r="K569" i="5"/>
  <c r="K543" i="5"/>
  <c r="K517" i="5"/>
  <c r="K491" i="5"/>
  <c r="K465" i="5"/>
  <c r="H47" i="5"/>
  <c r="J671" i="5"/>
  <c r="J668" i="5"/>
  <c r="J658" i="5"/>
  <c r="J655" i="5"/>
  <c r="J645" i="5"/>
  <c r="J642" i="5"/>
  <c r="J632" i="5"/>
  <c r="M632" i="5" s="1"/>
  <c r="J629" i="5"/>
  <c r="M629" i="5" s="1"/>
  <c r="J619" i="5"/>
  <c r="J616" i="5"/>
  <c r="J606" i="5"/>
  <c r="J603" i="5"/>
  <c r="J593" i="5"/>
  <c r="J590" i="5"/>
  <c r="J580" i="5"/>
  <c r="I580" i="5" s="1"/>
  <c r="L580" i="5" s="1"/>
  <c r="J577" i="5"/>
  <c r="M577" i="5" s="1"/>
  <c r="J567" i="5"/>
  <c r="J564" i="5"/>
  <c r="J554" i="5"/>
  <c r="J551" i="5"/>
  <c r="J541" i="5"/>
  <c r="J538" i="5"/>
  <c r="M538" i="5" s="1"/>
  <c r="J528" i="5"/>
  <c r="J525" i="5"/>
  <c r="I525" i="5" s="1"/>
  <c r="L525" i="5" s="1"/>
  <c r="J515" i="5"/>
  <c r="J512" i="5"/>
  <c r="J502" i="5"/>
  <c r="J499" i="5"/>
  <c r="J489" i="5"/>
  <c r="J486" i="5"/>
  <c r="J476" i="5"/>
  <c r="M476" i="5" s="1"/>
  <c r="J473" i="5"/>
  <c r="J463" i="5"/>
  <c r="M463" i="5" s="1"/>
  <c r="J460" i="5"/>
  <c r="K449" i="5"/>
  <c r="K452" i="5"/>
  <c r="H20" i="5"/>
  <c r="H21" i="5"/>
  <c r="J447" i="5"/>
  <c r="I447" i="5" s="1"/>
  <c r="L447" i="5" s="1"/>
  <c r="J451" i="5"/>
  <c r="I451" i="5" s="1"/>
  <c r="L451" i="5" s="1"/>
  <c r="J450" i="5"/>
  <c r="J434" i="5"/>
  <c r="J438" i="5"/>
  <c r="J421" i="5"/>
  <c r="J425" i="5"/>
  <c r="J408" i="5"/>
  <c r="I408" i="5" s="1"/>
  <c r="L408" i="5" s="1"/>
  <c r="J412" i="5"/>
  <c r="J395" i="5"/>
  <c r="J399" i="5"/>
  <c r="J382" i="5"/>
  <c r="M382" i="5" s="1"/>
  <c r="J386" i="5"/>
  <c r="J369" i="5"/>
  <c r="J373" i="5"/>
  <c r="J372" i="5"/>
  <c r="I372" i="5" s="1"/>
  <c r="L372" i="5" s="1"/>
  <c r="J356" i="5"/>
  <c r="M356" i="5" s="1"/>
  <c r="J360" i="5"/>
  <c r="J359" i="5"/>
  <c r="M359" i="5" s="1"/>
  <c r="J343" i="5"/>
  <c r="J347" i="5"/>
  <c r="J346" i="5"/>
  <c r="J330" i="5"/>
  <c r="J334" i="5"/>
  <c r="I334" i="5" s="1"/>
  <c r="L334" i="5" s="1"/>
  <c r="J333" i="5"/>
  <c r="M333" i="5" s="1"/>
  <c r="J317" i="5"/>
  <c r="J321" i="5"/>
  <c r="J320" i="5"/>
  <c r="J304" i="5"/>
  <c r="J308" i="5"/>
  <c r="J307" i="5"/>
  <c r="M307" i="5" s="1"/>
  <c r="J291" i="5"/>
  <c r="I291" i="5" s="1"/>
  <c r="L291" i="5" s="1"/>
  <c r="J295" i="5"/>
  <c r="I295" i="5" s="1"/>
  <c r="L295" i="5" s="1"/>
  <c r="J294" i="5"/>
  <c r="M294" i="5" s="1"/>
  <c r="J278" i="5"/>
  <c r="J282" i="5"/>
  <c r="J281" i="5"/>
  <c r="J265" i="5"/>
  <c r="J269" i="5"/>
  <c r="I269" i="5" s="1"/>
  <c r="L269" i="5" s="1"/>
  <c r="J268" i="5"/>
  <c r="I268" i="5" s="1"/>
  <c r="L268" i="5" s="1"/>
  <c r="J252" i="5"/>
  <c r="J256" i="5"/>
  <c r="I256" i="5" s="1"/>
  <c r="L256" i="5" s="1"/>
  <c r="J255" i="5"/>
  <c r="M255" i="5" s="1"/>
  <c r="J239" i="5"/>
  <c r="M239" i="5" s="1"/>
  <c r="J243" i="5"/>
  <c r="J242" i="5"/>
  <c r="M242" i="5" s="1"/>
  <c r="J226" i="5"/>
  <c r="J230" i="5"/>
  <c r="I230" i="5" s="1"/>
  <c r="L230" i="5" s="1"/>
  <c r="J229" i="5"/>
  <c r="M229" i="5" s="1"/>
  <c r="J213" i="5"/>
  <c r="M213" i="5" s="1"/>
  <c r="J217" i="5"/>
  <c r="M217" i="5" s="1"/>
  <c r="J216" i="5"/>
  <c r="J200" i="5"/>
  <c r="J204" i="5"/>
  <c r="I204" i="5" s="1"/>
  <c r="L204" i="5" s="1"/>
  <c r="J203" i="5"/>
  <c r="J187" i="5"/>
  <c r="M187" i="5" s="1"/>
  <c r="J191" i="5"/>
  <c r="M191" i="5" s="1"/>
  <c r="J190" i="5"/>
  <c r="M190" i="5" s="1"/>
  <c r="J174" i="5"/>
  <c r="J178" i="5"/>
  <c r="I178" i="5" s="1"/>
  <c r="L178" i="5" s="1"/>
  <c r="J177" i="5"/>
  <c r="J161" i="5"/>
  <c r="I161" i="5" s="1"/>
  <c r="L161" i="5" s="1"/>
  <c r="J165" i="5"/>
  <c r="M165" i="5" s="1"/>
  <c r="J164" i="5"/>
  <c r="M164" i="5" s="1"/>
  <c r="J148" i="5"/>
  <c r="I148" i="5" s="1"/>
  <c r="L148" i="5" s="1"/>
  <c r="J152" i="5"/>
  <c r="J151" i="5"/>
  <c r="J135" i="5"/>
  <c r="J139" i="5"/>
  <c r="J138" i="5"/>
  <c r="I138" i="5" s="1"/>
  <c r="L138" i="5" s="1"/>
  <c r="J122" i="5"/>
  <c r="I122" i="5" s="1"/>
  <c r="L122" i="5" s="1"/>
  <c r="J126" i="5"/>
  <c r="J125" i="5"/>
  <c r="J109" i="5"/>
  <c r="M109" i="5" s="1"/>
  <c r="J113" i="5"/>
  <c r="M113" i="5" s="1"/>
  <c r="J112" i="5"/>
  <c r="I112" i="5" s="1"/>
  <c r="L112" i="5" s="1"/>
  <c r="J96" i="5"/>
  <c r="J100" i="5"/>
  <c r="M100" i="5" s="1"/>
  <c r="J99" i="5"/>
  <c r="J83" i="5"/>
  <c r="M83" i="5" s="1"/>
  <c r="J87" i="5"/>
  <c r="M87" i="5" s="1"/>
  <c r="J86" i="5"/>
  <c r="I86" i="5" s="1"/>
  <c r="L86" i="5" s="1"/>
  <c r="I464" i="5"/>
  <c r="L464" i="5" s="1"/>
  <c r="M620" i="5"/>
  <c r="M1215" i="5"/>
  <c r="I361" i="5"/>
  <c r="L361" i="5" s="1"/>
  <c r="M150" i="4"/>
  <c r="I150" i="4"/>
  <c r="L150" i="4" s="1"/>
  <c r="M1180" i="5"/>
  <c r="I231" i="5"/>
  <c r="L231" i="5"/>
  <c r="I283" i="5"/>
  <c r="L283" i="5" s="1"/>
  <c r="I477" i="5"/>
  <c r="L477" i="5" s="1"/>
  <c r="I633" i="5"/>
  <c r="L633" i="5"/>
  <c r="M127" i="5"/>
  <c r="M529" i="5"/>
  <c r="M152" i="4"/>
  <c r="I152" i="4"/>
  <c r="L152" i="4" s="1"/>
  <c r="M151" i="4"/>
  <c r="I151" i="4"/>
  <c r="L151" i="4" s="1"/>
  <c r="M153" i="4"/>
  <c r="I153" i="4"/>
  <c r="L153" i="4" s="1"/>
  <c r="M154" i="4"/>
  <c r="I154" i="4"/>
  <c r="L154" i="4"/>
  <c r="M86" i="5"/>
  <c r="M138" i="5"/>
  <c r="M152" i="5"/>
  <c r="I152" i="5"/>
  <c r="L152" i="5" s="1"/>
  <c r="M161" i="5"/>
  <c r="M204" i="5"/>
  <c r="I213" i="5"/>
  <c r="L213" i="5" s="1"/>
  <c r="M230" i="5"/>
  <c r="I239" i="5"/>
  <c r="L239" i="5" s="1"/>
  <c r="M99" i="5"/>
  <c r="I99" i="5"/>
  <c r="L99" i="5" s="1"/>
  <c r="M96" i="5"/>
  <c r="I96" i="5"/>
  <c r="L96" i="5" s="1"/>
  <c r="I113" i="5"/>
  <c r="L113" i="5"/>
  <c r="M125" i="5"/>
  <c r="I125" i="5"/>
  <c r="L125" i="5" s="1"/>
  <c r="M122" i="5"/>
  <c r="M139" i="5"/>
  <c r="I139" i="5"/>
  <c r="L139" i="5"/>
  <c r="M151" i="5"/>
  <c r="I151" i="5"/>
  <c r="L151" i="5"/>
  <c r="M177" i="5"/>
  <c r="I177" i="5"/>
  <c r="L177" i="5"/>
  <c r="M174" i="5"/>
  <c r="I174" i="5"/>
  <c r="L174" i="5" s="1"/>
  <c r="M203" i="5"/>
  <c r="I203" i="5"/>
  <c r="L203" i="5" s="1"/>
  <c r="M200" i="5"/>
  <c r="I200" i="5"/>
  <c r="L200" i="5" s="1"/>
  <c r="M226" i="5"/>
  <c r="I226" i="5"/>
  <c r="L226" i="5" s="1"/>
  <c r="M243" i="5"/>
  <c r="I243" i="5"/>
  <c r="L243" i="5" s="1"/>
  <c r="I255" i="5"/>
  <c r="L255" i="5"/>
  <c r="M252" i="5"/>
  <c r="I252" i="5"/>
  <c r="L252" i="5" s="1"/>
  <c r="M269" i="5"/>
  <c r="M281" i="5"/>
  <c r="I281" i="5"/>
  <c r="L281" i="5"/>
  <c r="M278" i="5"/>
  <c r="I278" i="5"/>
  <c r="L278" i="5"/>
  <c r="I307" i="5"/>
  <c r="L307" i="5" s="1"/>
  <c r="M304" i="5"/>
  <c r="I304" i="5"/>
  <c r="L304" i="5"/>
  <c r="M321" i="5"/>
  <c r="I321" i="5"/>
  <c r="L321" i="5" s="1"/>
  <c r="M330" i="5"/>
  <c r="I330" i="5"/>
  <c r="L330" i="5" s="1"/>
  <c r="M347" i="5"/>
  <c r="I347" i="5"/>
  <c r="L347" i="5" s="1"/>
  <c r="M373" i="5"/>
  <c r="I373" i="5"/>
  <c r="L373" i="5" s="1"/>
  <c r="M386" i="5"/>
  <c r="I386" i="5"/>
  <c r="L386" i="5" s="1"/>
  <c r="M399" i="5"/>
  <c r="I399" i="5"/>
  <c r="L399" i="5"/>
  <c r="M412" i="5"/>
  <c r="I412" i="5"/>
  <c r="L412" i="5" s="1"/>
  <c r="M425" i="5"/>
  <c r="I425" i="5"/>
  <c r="L425" i="5" s="1"/>
  <c r="M438" i="5"/>
  <c r="I438" i="5"/>
  <c r="L438" i="5"/>
  <c r="M450" i="5"/>
  <c r="I450" i="5"/>
  <c r="L450" i="5" s="1"/>
  <c r="I463" i="5"/>
  <c r="L463" i="5" s="1"/>
  <c r="I476" i="5"/>
  <c r="L476" i="5"/>
  <c r="M489" i="5"/>
  <c r="I489" i="5"/>
  <c r="L489" i="5" s="1"/>
  <c r="M502" i="5"/>
  <c r="I502" i="5"/>
  <c r="L502" i="5" s="1"/>
  <c r="M515" i="5"/>
  <c r="I515" i="5"/>
  <c r="L515" i="5" s="1"/>
  <c r="M528" i="5"/>
  <c r="I528" i="5"/>
  <c r="L528" i="5" s="1"/>
  <c r="M541" i="5"/>
  <c r="I541" i="5"/>
  <c r="L541" i="5"/>
  <c r="M554" i="5"/>
  <c r="I554" i="5"/>
  <c r="L554" i="5" s="1"/>
  <c r="M567" i="5"/>
  <c r="I567" i="5"/>
  <c r="L567" i="5" s="1"/>
  <c r="M593" i="5"/>
  <c r="I593" i="5"/>
  <c r="L593" i="5"/>
  <c r="M606" i="5"/>
  <c r="I606" i="5"/>
  <c r="L606" i="5" s="1"/>
  <c r="M619" i="5"/>
  <c r="I619" i="5"/>
  <c r="L619" i="5" s="1"/>
  <c r="M645" i="5"/>
  <c r="I645" i="5"/>
  <c r="L645" i="5"/>
  <c r="M658" i="5"/>
  <c r="I658" i="5"/>
  <c r="L658" i="5" s="1"/>
  <c r="M671" i="5"/>
  <c r="I671" i="5"/>
  <c r="L671" i="5" s="1"/>
  <c r="M750" i="5"/>
  <c r="I750" i="5"/>
  <c r="L750" i="5"/>
  <c r="M749" i="5"/>
  <c r="I749" i="5"/>
  <c r="L749" i="5" s="1"/>
  <c r="M967" i="5"/>
  <c r="I967" i="5"/>
  <c r="L967" i="5" s="1"/>
  <c r="I980" i="5"/>
  <c r="L980" i="5" s="1"/>
  <c r="I1123" i="5"/>
  <c r="L1123" i="5"/>
  <c r="M1060" i="5"/>
  <c r="M1073" i="5"/>
  <c r="I1073" i="5"/>
  <c r="L1073" i="5" s="1"/>
  <c r="I1086" i="5"/>
  <c r="L1086" i="5"/>
  <c r="M1099" i="5"/>
  <c r="I1099" i="5"/>
  <c r="L1099" i="5"/>
  <c r="M1112" i="5"/>
  <c r="M1149" i="5"/>
  <c r="I1149" i="5"/>
  <c r="L1149" i="5"/>
  <c r="M1162" i="5"/>
  <c r="I1162" i="5"/>
  <c r="L1162" i="5"/>
  <c r="M1175" i="5"/>
  <c r="M1201" i="5"/>
  <c r="I1201" i="5"/>
  <c r="L1201" i="5"/>
  <c r="M1214" i="5"/>
  <c r="I1214" i="5"/>
  <c r="L1214" i="5" s="1"/>
  <c r="I1271" i="5"/>
  <c r="L1271" i="5"/>
  <c r="M1280" i="5"/>
  <c r="I1280" i="5"/>
  <c r="L1280" i="5" s="1"/>
  <c r="M1297" i="5"/>
  <c r="I1297" i="5"/>
  <c r="L1297" i="5" s="1"/>
  <c r="M1294" i="5"/>
  <c r="I1294" i="5"/>
  <c r="L1294" i="5"/>
  <c r="M1307" i="5"/>
  <c r="I1307" i="5"/>
  <c r="L1307" i="5"/>
  <c r="M1062" i="5"/>
  <c r="I1062" i="5"/>
  <c r="L1062" i="5" s="1"/>
  <c r="M1088" i="5"/>
  <c r="I1088" i="5"/>
  <c r="L1088" i="5"/>
  <c r="M1283" i="5"/>
  <c r="I1283" i="5"/>
  <c r="L1283" i="5" s="1"/>
  <c r="M1309" i="5"/>
  <c r="I1309" i="5"/>
  <c r="L1309" i="5" s="1"/>
  <c r="M88" i="5"/>
  <c r="I88" i="5"/>
  <c r="L88" i="5" s="1"/>
  <c r="M85" i="5"/>
  <c r="I85" i="5"/>
  <c r="L85" i="5"/>
  <c r="M98" i="5"/>
  <c r="I98" i="5"/>
  <c r="L98" i="5"/>
  <c r="M110" i="5"/>
  <c r="I110" i="5"/>
  <c r="L110" i="5" s="1"/>
  <c r="M123" i="5"/>
  <c r="I123" i="5"/>
  <c r="L123" i="5" s="1"/>
  <c r="M140" i="5"/>
  <c r="I140" i="5"/>
  <c r="L140" i="5"/>
  <c r="M137" i="5"/>
  <c r="I137" i="5"/>
  <c r="L137" i="5" s="1"/>
  <c r="M150" i="5"/>
  <c r="I150" i="5"/>
  <c r="L150" i="5" s="1"/>
  <c r="M162" i="5"/>
  <c r="I162" i="5"/>
  <c r="L162" i="5" s="1"/>
  <c r="M175" i="5"/>
  <c r="I175" i="5"/>
  <c r="L175" i="5" s="1"/>
  <c r="M192" i="5"/>
  <c r="I192" i="5"/>
  <c r="L192" i="5"/>
  <c r="M189" i="5"/>
  <c r="I189" i="5"/>
  <c r="L189" i="5" s="1"/>
  <c r="M202" i="5"/>
  <c r="I202" i="5"/>
  <c r="L202" i="5" s="1"/>
  <c r="M214" i="5"/>
  <c r="I214" i="5"/>
  <c r="L214" i="5" s="1"/>
  <c r="M227" i="5"/>
  <c r="I227" i="5"/>
  <c r="L227" i="5"/>
  <c r="M244" i="5"/>
  <c r="I244" i="5"/>
  <c r="L244" i="5" s="1"/>
  <c r="M241" i="5"/>
  <c r="I241" i="5"/>
  <c r="L241" i="5" s="1"/>
  <c r="M254" i="5"/>
  <c r="I254" i="5"/>
  <c r="L254" i="5"/>
  <c r="M266" i="5"/>
  <c r="I266" i="5"/>
  <c r="L266" i="5"/>
  <c r="M279" i="5"/>
  <c r="I279" i="5"/>
  <c r="L279" i="5" s="1"/>
  <c r="M296" i="5"/>
  <c r="I296" i="5"/>
  <c r="L296" i="5" s="1"/>
  <c r="M293" i="5"/>
  <c r="I293" i="5"/>
  <c r="L293" i="5"/>
  <c r="M306" i="5"/>
  <c r="I306" i="5"/>
  <c r="L306" i="5" s="1"/>
  <c r="M318" i="5"/>
  <c r="I318" i="5"/>
  <c r="L318" i="5" s="1"/>
  <c r="M331" i="5"/>
  <c r="I331" i="5"/>
  <c r="L331" i="5" s="1"/>
  <c r="M348" i="5"/>
  <c r="I348" i="5"/>
  <c r="L348" i="5" s="1"/>
  <c r="M345" i="5"/>
  <c r="I345" i="5"/>
  <c r="L345" i="5"/>
  <c r="M358" i="5"/>
  <c r="I358" i="5"/>
  <c r="L358" i="5" s="1"/>
  <c r="M370" i="5"/>
  <c r="I370" i="5"/>
  <c r="L370" i="5" s="1"/>
  <c r="M387" i="5"/>
  <c r="I387" i="5"/>
  <c r="L387" i="5" s="1"/>
  <c r="M384" i="5"/>
  <c r="I384" i="5"/>
  <c r="L384" i="5"/>
  <c r="M396" i="5"/>
  <c r="I396" i="5"/>
  <c r="L396" i="5" s="1"/>
  <c r="M413" i="5"/>
  <c r="I413" i="5"/>
  <c r="L413" i="5" s="1"/>
  <c r="M410" i="5"/>
  <c r="I410" i="5"/>
  <c r="L410" i="5"/>
  <c r="M439" i="5"/>
  <c r="I439" i="5"/>
  <c r="L439" i="5" s="1"/>
  <c r="M449" i="5"/>
  <c r="I449" i="5"/>
  <c r="L449" i="5" s="1"/>
  <c r="M465" i="5"/>
  <c r="I465" i="5"/>
  <c r="L465" i="5"/>
  <c r="M475" i="5"/>
  <c r="I475" i="5"/>
  <c r="L475" i="5" s="1"/>
  <c r="M491" i="5"/>
  <c r="I491" i="5"/>
  <c r="L491" i="5" s="1"/>
  <c r="M500" i="5"/>
  <c r="I500" i="5"/>
  <c r="L500" i="5" s="1"/>
  <c r="M517" i="5"/>
  <c r="I517" i="5"/>
  <c r="L517" i="5" s="1"/>
  <c r="M527" i="5"/>
  <c r="I527" i="5"/>
  <c r="L527" i="5" s="1"/>
  <c r="M526" i="5"/>
  <c r="I526" i="5"/>
  <c r="L526" i="5"/>
  <c r="M543" i="5"/>
  <c r="I543" i="5"/>
  <c r="L543" i="5" s="1"/>
  <c r="M553" i="5"/>
  <c r="I553" i="5"/>
  <c r="L553" i="5" s="1"/>
  <c r="M552" i="5"/>
  <c r="I552" i="5"/>
  <c r="L552" i="5" s="1"/>
  <c r="M569" i="5"/>
  <c r="I569" i="5"/>
  <c r="L569" i="5"/>
  <c r="M579" i="5"/>
  <c r="I579" i="5"/>
  <c r="L579" i="5" s="1"/>
  <c r="M595" i="5"/>
  <c r="I595" i="5"/>
  <c r="L595" i="5" s="1"/>
  <c r="M605" i="5"/>
  <c r="I605" i="5"/>
  <c r="L605" i="5"/>
  <c r="M604" i="5"/>
  <c r="I604" i="5"/>
  <c r="L604" i="5" s="1"/>
  <c r="M621" i="5"/>
  <c r="I621" i="5"/>
  <c r="L621" i="5" s="1"/>
  <c r="M631" i="5"/>
  <c r="I631" i="5"/>
  <c r="L631" i="5"/>
  <c r="M630" i="5"/>
  <c r="I630" i="5"/>
  <c r="L630" i="5"/>
  <c r="M647" i="5"/>
  <c r="I647" i="5"/>
  <c r="L647" i="5" s="1"/>
  <c r="M657" i="5"/>
  <c r="I657" i="5"/>
  <c r="L657" i="5" s="1"/>
  <c r="M656" i="5"/>
  <c r="I656" i="5"/>
  <c r="L656" i="5"/>
  <c r="M1022" i="5"/>
  <c r="M1084" i="5"/>
  <c r="I1084" i="5"/>
  <c r="L1084" i="5"/>
  <c r="M1296" i="5"/>
  <c r="I1296" i="5"/>
  <c r="L1296" i="5"/>
  <c r="H34" i="5"/>
  <c r="H73" i="5"/>
  <c r="M112" i="5"/>
  <c r="M126" i="5"/>
  <c r="I126" i="5"/>
  <c r="L126" i="5" s="1"/>
  <c r="M135" i="5"/>
  <c r="I135" i="5"/>
  <c r="L135" i="5" s="1"/>
  <c r="M178" i="5"/>
  <c r="I187" i="5"/>
  <c r="L187" i="5" s="1"/>
  <c r="M216" i="5"/>
  <c r="I216" i="5"/>
  <c r="L216" i="5" s="1"/>
  <c r="I242" i="5"/>
  <c r="L242" i="5" s="1"/>
  <c r="M265" i="5"/>
  <c r="I265" i="5"/>
  <c r="L265" i="5" s="1"/>
  <c r="M282" i="5"/>
  <c r="I282" i="5"/>
  <c r="L282" i="5" s="1"/>
  <c r="I294" i="5"/>
  <c r="L294" i="5" s="1"/>
  <c r="M308" i="5"/>
  <c r="I308" i="5"/>
  <c r="L308" i="5" s="1"/>
  <c r="M320" i="5"/>
  <c r="I320" i="5"/>
  <c r="L320" i="5" s="1"/>
  <c r="M317" i="5"/>
  <c r="I317" i="5"/>
  <c r="L317" i="5" s="1"/>
  <c r="M346" i="5"/>
  <c r="I346" i="5"/>
  <c r="L346" i="5" s="1"/>
  <c r="M343" i="5"/>
  <c r="I343" i="5"/>
  <c r="L343" i="5" s="1"/>
  <c r="M360" i="5"/>
  <c r="I360" i="5"/>
  <c r="L360" i="5" s="1"/>
  <c r="M369" i="5"/>
  <c r="I369" i="5"/>
  <c r="L369" i="5" s="1"/>
  <c r="I382" i="5"/>
  <c r="L382" i="5" s="1"/>
  <c r="M395" i="5"/>
  <c r="I395" i="5"/>
  <c r="L395" i="5"/>
  <c r="M408" i="5"/>
  <c r="M421" i="5"/>
  <c r="I421" i="5"/>
  <c r="L421" i="5" s="1"/>
  <c r="M434" i="5"/>
  <c r="I434" i="5"/>
  <c r="L434" i="5" s="1"/>
  <c r="M451" i="5"/>
  <c r="M460" i="5"/>
  <c r="I460" i="5"/>
  <c r="L460" i="5"/>
  <c r="M473" i="5"/>
  <c r="I473" i="5"/>
  <c r="L473" i="5" s="1"/>
  <c r="M486" i="5"/>
  <c r="I486" i="5"/>
  <c r="L486" i="5" s="1"/>
  <c r="M499" i="5"/>
  <c r="I499" i="5"/>
  <c r="L499" i="5"/>
  <c r="M512" i="5"/>
  <c r="I512" i="5"/>
  <c r="L512" i="5"/>
  <c r="M525" i="5"/>
  <c r="M551" i="5"/>
  <c r="I551" i="5"/>
  <c r="L551" i="5"/>
  <c r="M564" i="5"/>
  <c r="I564" i="5"/>
  <c r="L564" i="5" s="1"/>
  <c r="M590" i="5"/>
  <c r="I590" i="5"/>
  <c r="L590" i="5" s="1"/>
  <c r="M603" i="5"/>
  <c r="I603" i="5"/>
  <c r="L603" i="5"/>
  <c r="M616" i="5"/>
  <c r="I616" i="5"/>
  <c r="L616" i="5" s="1"/>
  <c r="I629" i="5"/>
  <c r="L629" i="5" s="1"/>
  <c r="M642" i="5"/>
  <c r="I642" i="5"/>
  <c r="L642" i="5" s="1"/>
  <c r="M655" i="5"/>
  <c r="I655" i="5"/>
  <c r="L655" i="5" s="1"/>
  <c r="M668" i="5"/>
  <c r="I668" i="5"/>
  <c r="L668" i="5"/>
  <c r="M746" i="5"/>
  <c r="I746" i="5"/>
  <c r="L746" i="5" s="1"/>
  <c r="M971" i="5"/>
  <c r="I971" i="5"/>
  <c r="L971" i="5" s="1"/>
  <c r="M984" i="5"/>
  <c r="I984" i="5"/>
  <c r="L984" i="5"/>
  <c r="M1059" i="5"/>
  <c r="I1059" i="5"/>
  <c r="L1059" i="5" s="1"/>
  <c r="M1072" i="5"/>
  <c r="I1072" i="5"/>
  <c r="L1072" i="5" s="1"/>
  <c r="M1085" i="5"/>
  <c r="I1085" i="5"/>
  <c r="L1085" i="5"/>
  <c r="M1098" i="5"/>
  <c r="I1098" i="5"/>
  <c r="L1098" i="5" s="1"/>
  <c r="M1111" i="5"/>
  <c r="I1111" i="5"/>
  <c r="L1111" i="5" s="1"/>
  <c r="M1152" i="5"/>
  <c r="I1152" i="5"/>
  <c r="L1152" i="5" s="1"/>
  <c r="M1165" i="5"/>
  <c r="I1165" i="5"/>
  <c r="L1165" i="5" s="1"/>
  <c r="M1178" i="5"/>
  <c r="I1178" i="5"/>
  <c r="L1178" i="5" s="1"/>
  <c r="M1191" i="5"/>
  <c r="I1191" i="5"/>
  <c r="L1191" i="5" s="1"/>
  <c r="M1204" i="5"/>
  <c r="I1204" i="5"/>
  <c r="L1204" i="5"/>
  <c r="M1217" i="5"/>
  <c r="I1217" i="5"/>
  <c r="L1217" i="5" s="1"/>
  <c r="M1230" i="5"/>
  <c r="I1230" i="5"/>
  <c r="L1230" i="5" s="1"/>
  <c r="M1281" i="5"/>
  <c r="I1281" i="5"/>
  <c r="L1281" i="5"/>
  <c r="M1293" i="5"/>
  <c r="I1293" i="5"/>
  <c r="L1293" i="5" s="1"/>
  <c r="M1306" i="5"/>
  <c r="I1306" i="5"/>
  <c r="L1306" i="5" s="1"/>
  <c r="I1061" i="5"/>
  <c r="L1061" i="5"/>
  <c r="M1071" i="5"/>
  <c r="I1071" i="5"/>
  <c r="L1071" i="5" s="1"/>
  <c r="M1097" i="5"/>
  <c r="I1097" i="5"/>
  <c r="L1097" i="5" s="1"/>
  <c r="M1292" i="5"/>
  <c r="I1292" i="5"/>
  <c r="L1292" i="5"/>
  <c r="M1241" i="5"/>
  <c r="M84" i="5"/>
  <c r="I84" i="5"/>
  <c r="L84" i="5" s="1"/>
  <c r="M97" i="5"/>
  <c r="I97" i="5"/>
  <c r="L97" i="5"/>
  <c r="M114" i="5"/>
  <c r="I114" i="5"/>
  <c r="L114" i="5" s="1"/>
  <c r="M111" i="5"/>
  <c r="I111" i="5"/>
  <c r="L111" i="5" s="1"/>
  <c r="M124" i="5"/>
  <c r="I124" i="5"/>
  <c r="L124" i="5"/>
  <c r="M136" i="5"/>
  <c r="I136" i="5"/>
  <c r="L136" i="5"/>
  <c r="M149" i="5"/>
  <c r="I149" i="5"/>
  <c r="L149" i="5" s="1"/>
  <c r="M166" i="5"/>
  <c r="I166" i="5"/>
  <c r="L166" i="5" s="1"/>
  <c r="M163" i="5"/>
  <c r="I163" i="5"/>
  <c r="L163" i="5"/>
  <c r="M176" i="5"/>
  <c r="I176" i="5"/>
  <c r="L176" i="5" s="1"/>
  <c r="M188" i="5"/>
  <c r="I188" i="5"/>
  <c r="L188" i="5" s="1"/>
  <c r="M201" i="5"/>
  <c r="I201" i="5"/>
  <c r="L201" i="5" s="1"/>
  <c r="M218" i="5"/>
  <c r="I218" i="5"/>
  <c r="L218" i="5"/>
  <c r="M215" i="5"/>
  <c r="I215" i="5"/>
  <c r="L215" i="5" s="1"/>
  <c r="M228" i="5"/>
  <c r="I228" i="5"/>
  <c r="L228" i="5" s="1"/>
  <c r="M240" i="5"/>
  <c r="I240" i="5"/>
  <c r="L240" i="5" s="1"/>
  <c r="M253" i="5"/>
  <c r="I253" i="5"/>
  <c r="L253" i="5" s="1"/>
  <c r="M270" i="5"/>
  <c r="I270" i="5"/>
  <c r="L270" i="5"/>
  <c r="M267" i="5"/>
  <c r="I267" i="5"/>
  <c r="L267" i="5" s="1"/>
  <c r="M280" i="5"/>
  <c r="I280" i="5"/>
  <c r="L280" i="5" s="1"/>
  <c r="M292" i="5"/>
  <c r="I292" i="5"/>
  <c r="L292" i="5"/>
  <c r="M305" i="5"/>
  <c r="I305" i="5"/>
  <c r="L305" i="5"/>
  <c r="M322" i="5"/>
  <c r="I322" i="5"/>
  <c r="L322" i="5" s="1"/>
  <c r="M319" i="5"/>
  <c r="I319" i="5"/>
  <c r="L319" i="5" s="1"/>
  <c r="M332" i="5"/>
  <c r="I332" i="5"/>
  <c r="L332" i="5"/>
  <c r="M344" i="5"/>
  <c r="I344" i="5"/>
  <c r="L344" i="5" s="1"/>
  <c r="M357" i="5"/>
  <c r="I357" i="5"/>
  <c r="L357" i="5" s="1"/>
  <c r="M374" i="5"/>
  <c r="I374" i="5"/>
  <c r="L374" i="5" s="1"/>
  <c r="M371" i="5"/>
  <c r="I371" i="5"/>
  <c r="L371" i="5"/>
  <c r="M400" i="5"/>
  <c r="I400" i="5"/>
  <c r="L400" i="5" s="1"/>
  <c r="M409" i="5"/>
  <c r="I409" i="5"/>
  <c r="L409" i="5"/>
  <c r="M423" i="5"/>
  <c r="I423" i="5"/>
  <c r="L423" i="5" s="1"/>
  <c r="M448" i="5"/>
  <c r="I448" i="5"/>
  <c r="L448" i="5" s="1"/>
  <c r="M462" i="5"/>
  <c r="I462" i="5"/>
  <c r="L462" i="5"/>
  <c r="M461" i="5"/>
  <c r="I461" i="5"/>
  <c r="L461" i="5" s="1"/>
  <c r="M488" i="5"/>
  <c r="I488" i="5"/>
  <c r="L488" i="5" s="1"/>
  <c r="M487" i="5"/>
  <c r="I487" i="5"/>
  <c r="L487" i="5"/>
  <c r="M504" i="5"/>
  <c r="I504" i="5"/>
  <c r="L504" i="5" s="1"/>
  <c r="M514" i="5"/>
  <c r="I514" i="5"/>
  <c r="L514" i="5" s="1"/>
  <c r="M513" i="5"/>
  <c r="I513" i="5"/>
  <c r="L513" i="5"/>
  <c r="M530" i="5"/>
  <c r="I530" i="5"/>
  <c r="L530" i="5"/>
  <c r="M540" i="5"/>
  <c r="I540" i="5"/>
  <c r="L540" i="5" s="1"/>
  <c r="M539" i="5"/>
  <c r="I539" i="5"/>
  <c r="L539" i="5" s="1"/>
  <c r="M556" i="5"/>
  <c r="I556" i="5"/>
  <c r="L556" i="5"/>
  <c r="M566" i="5"/>
  <c r="I566" i="5"/>
  <c r="L566" i="5" s="1"/>
  <c r="M565" i="5"/>
  <c r="I565" i="5"/>
  <c r="L565" i="5" s="1"/>
  <c r="M592" i="5"/>
  <c r="I592" i="5"/>
  <c r="L592" i="5"/>
  <c r="M591" i="5"/>
  <c r="I591" i="5"/>
  <c r="L591" i="5" s="1"/>
  <c r="M608" i="5"/>
  <c r="I608" i="5"/>
  <c r="L608" i="5" s="1"/>
  <c r="M618" i="5"/>
  <c r="I618" i="5"/>
  <c r="L618" i="5" s="1"/>
  <c r="M617" i="5"/>
  <c r="I617" i="5"/>
  <c r="L617" i="5"/>
  <c r="M634" i="5"/>
  <c r="I634" i="5"/>
  <c r="L634" i="5" s="1"/>
  <c r="M644" i="5"/>
  <c r="I644" i="5"/>
  <c r="L644" i="5" s="1"/>
  <c r="M643" i="5"/>
  <c r="I643" i="5"/>
  <c r="L643" i="5" s="1"/>
  <c r="M660" i="5"/>
  <c r="I660" i="5"/>
  <c r="L660" i="5" s="1"/>
  <c r="M669" i="5"/>
  <c r="I669" i="5"/>
  <c r="L669" i="5" s="1"/>
  <c r="M982" i="5"/>
  <c r="I982" i="5"/>
  <c r="L982" i="5" s="1"/>
  <c r="M1110" i="5"/>
  <c r="I1110" i="5"/>
  <c r="L1110" i="5"/>
  <c r="M1279" i="5"/>
  <c r="I1279" i="5"/>
  <c r="L1279" i="5" s="1"/>
  <c r="M764" i="5"/>
  <c r="M790" i="5"/>
  <c r="I790" i="5"/>
  <c r="L790" i="5" s="1"/>
  <c r="M800" i="5"/>
  <c r="I800" i="5"/>
  <c r="L800" i="5" s="1"/>
  <c r="M894" i="5"/>
  <c r="I894" i="5"/>
  <c r="L894" i="5" s="1"/>
  <c r="M904" i="5"/>
  <c r="I904" i="5"/>
  <c r="L904" i="5" s="1"/>
  <c r="M929" i="5"/>
  <c r="I929" i="5"/>
  <c r="L929" i="5" s="1"/>
  <c r="M930" i="5"/>
  <c r="I930" i="5"/>
  <c r="L930" i="5" s="1"/>
  <c r="J21" i="3"/>
  <c r="K26" i="3"/>
  <c r="J61" i="5"/>
  <c r="K15" i="3"/>
  <c r="D25" i="2"/>
  <c r="J49" i="5"/>
  <c r="D34" i="2"/>
  <c r="D17" i="2"/>
  <c r="K73" i="5"/>
  <c r="J23" i="3"/>
  <c r="D32" i="2"/>
  <c r="K62" i="5"/>
  <c r="J75" i="5"/>
  <c r="J33" i="5"/>
  <c r="J34" i="3"/>
  <c r="K14" i="3"/>
  <c r="K47" i="5"/>
  <c r="K74" i="5"/>
  <c r="K21" i="3"/>
  <c r="K32" i="5"/>
  <c r="K29" i="3"/>
  <c r="K24" i="3"/>
  <c r="K13" i="3"/>
  <c r="D20" i="2"/>
  <c r="K35" i="5"/>
  <c r="J32" i="5"/>
  <c r="K36" i="3"/>
  <c r="D22" i="2"/>
  <c r="J73" i="5"/>
  <c r="K16" i="3"/>
  <c r="K25" i="3"/>
  <c r="J59" i="5"/>
  <c r="D23" i="2"/>
  <c r="K19" i="3"/>
  <c r="J62" i="5"/>
  <c r="J74" i="5"/>
  <c r="J35" i="3"/>
  <c r="K49" i="5"/>
  <c r="D29" i="2"/>
  <c r="D24" i="2"/>
  <c r="J47" i="5"/>
  <c r="D35" i="2"/>
  <c r="D36" i="2"/>
  <c r="K44" i="5"/>
  <c r="J19" i="3"/>
  <c r="J35" i="5"/>
  <c r="K35" i="3"/>
  <c r="J20" i="3"/>
  <c r="K48" i="5"/>
  <c r="J70" i="5"/>
  <c r="J31" i="3"/>
  <c r="D37" i="2"/>
  <c r="J72" i="5"/>
  <c r="J24" i="3"/>
  <c r="D30" i="2"/>
  <c r="K75" i="5"/>
  <c r="D18" i="2"/>
  <c r="J29" i="3"/>
  <c r="J71" i="5"/>
  <c r="D19" i="2"/>
  <c r="K34" i="5"/>
  <c r="J30" i="3"/>
  <c r="J44" i="5"/>
  <c r="K31" i="3"/>
  <c r="J15" i="3"/>
  <c r="K45" i="5"/>
  <c r="K71" i="5"/>
  <c r="D31" i="2"/>
  <c r="K58" i="5"/>
  <c r="J14" i="3"/>
  <c r="K72" i="5"/>
  <c r="D28" i="2"/>
  <c r="D26" i="2"/>
  <c r="J46" i="5"/>
  <c r="J18" i="3"/>
  <c r="K34" i="3"/>
  <c r="K60" i="5"/>
  <c r="J36" i="3"/>
  <c r="K33" i="3"/>
  <c r="K36" i="5"/>
  <c r="J26" i="3"/>
  <c r="K20" i="3"/>
  <c r="K33" i="5"/>
  <c r="J16" i="3"/>
  <c r="J25" i="3"/>
  <c r="K57" i="5"/>
  <c r="J58" i="5"/>
  <c r="D33" i="2"/>
  <c r="K59" i="5"/>
  <c r="J33" i="3"/>
  <c r="K30" i="3"/>
  <c r="J60" i="5"/>
  <c r="J28" i="3"/>
  <c r="K23" i="3"/>
  <c r="K31" i="5"/>
  <c r="D21" i="2"/>
  <c r="K46" i="5"/>
  <c r="J13" i="3"/>
  <c r="J57" i="5"/>
  <c r="K28" i="3"/>
  <c r="D27" i="2"/>
  <c r="K61" i="5"/>
  <c r="K18" i="3"/>
  <c r="D38" i="2"/>
  <c r="K70" i="5"/>
  <c r="M773" i="5" l="1"/>
  <c r="I773" i="5"/>
  <c r="L773" i="5" s="1"/>
  <c r="I1164" i="5"/>
  <c r="L1164" i="5" s="1"/>
  <c r="M1164" i="5"/>
  <c r="M1151" i="5"/>
  <c r="I1151" i="5"/>
  <c r="L1151" i="5" s="1"/>
  <c r="I877" i="5"/>
  <c r="L877" i="5" s="1"/>
  <c r="M877" i="5"/>
  <c r="M580" i="5"/>
  <c r="M447" i="5"/>
  <c r="M295" i="5"/>
  <c r="M148" i="5"/>
  <c r="M607" i="5"/>
  <c r="J969" i="5"/>
  <c r="J968" i="5"/>
  <c r="I257" i="5"/>
  <c r="L257" i="5" s="1"/>
  <c r="M257" i="5"/>
  <c r="M411" i="5"/>
  <c r="I411" i="5"/>
  <c r="L411" i="5" s="1"/>
  <c r="M1232" i="5"/>
  <c r="I1232" i="5"/>
  <c r="L1232" i="5" s="1"/>
  <c r="K1296" i="5"/>
  <c r="J1295" i="5"/>
  <c r="I1295" i="5" s="1"/>
  <c r="L1295" i="5" s="1"/>
  <c r="K1283" i="5"/>
  <c r="K1280" i="5"/>
  <c r="I356" i="5"/>
  <c r="L356" i="5" s="1"/>
  <c r="I229" i="5"/>
  <c r="L229" i="5" s="1"/>
  <c r="I87" i="5"/>
  <c r="L87" i="5" s="1"/>
  <c r="K1167" i="5"/>
  <c r="J1102" i="5"/>
  <c r="J1074" i="5"/>
  <c r="I1074" i="5" s="1"/>
  <c r="L1074" i="5" s="1"/>
  <c r="I632" i="5"/>
  <c r="L632" i="5" s="1"/>
  <c r="I333" i="5"/>
  <c r="L333" i="5" s="1"/>
  <c r="I191" i="5"/>
  <c r="L191" i="5" s="1"/>
  <c r="I165" i="5"/>
  <c r="L165" i="5" s="1"/>
  <c r="M268" i="5"/>
  <c r="I109" i="5"/>
  <c r="L109" i="5" s="1"/>
  <c r="I646" i="5"/>
  <c r="L646" i="5" s="1"/>
  <c r="M646" i="5"/>
  <c r="J1192" i="5"/>
  <c r="K1192" i="5"/>
  <c r="J946" i="5"/>
  <c r="J868" i="5"/>
  <c r="I1284" i="5"/>
  <c r="L1284" i="5" s="1"/>
  <c r="I577" i="5"/>
  <c r="L577" i="5" s="1"/>
  <c r="I538" i="5"/>
  <c r="L538" i="5" s="1"/>
  <c r="M256" i="5"/>
  <c r="I83" i="5"/>
  <c r="L83" i="5" s="1"/>
  <c r="I1227" i="5"/>
  <c r="L1227" i="5" s="1"/>
  <c r="I1188" i="5"/>
  <c r="L1188" i="5" s="1"/>
  <c r="I359" i="5"/>
  <c r="L359" i="5" s="1"/>
  <c r="I217" i="5"/>
  <c r="L217" i="5" s="1"/>
  <c r="I190" i="5"/>
  <c r="L190" i="5" s="1"/>
  <c r="I100" i="5"/>
  <c r="L100" i="5" s="1"/>
  <c r="I516" i="5"/>
  <c r="L516" i="5" s="1"/>
  <c r="M568" i="5"/>
  <c r="I568" i="5"/>
  <c r="L568" i="5" s="1"/>
  <c r="J1189" i="5"/>
  <c r="J956" i="5"/>
  <c r="J825" i="5"/>
  <c r="J826" i="5"/>
  <c r="M372" i="5"/>
  <c r="M334" i="5"/>
  <c r="M291" i="5"/>
  <c r="I164" i="5"/>
  <c r="L164" i="5" s="1"/>
  <c r="J1202" i="5"/>
  <c r="J1206" i="5"/>
  <c r="J1203" i="5"/>
  <c r="K1205" i="5"/>
  <c r="J1205" i="5"/>
  <c r="K1202" i="5"/>
  <c r="J1216" i="5"/>
  <c r="K1162" i="5"/>
  <c r="K1218" i="5"/>
  <c r="J1219" i="5"/>
  <c r="J1282" i="5"/>
  <c r="K1215" i="5"/>
  <c r="K617" i="5"/>
  <c r="K539" i="5"/>
  <c r="J1129" i="4"/>
  <c r="I1129" i="4" s="1"/>
  <c r="L1129" i="4" s="1"/>
  <c r="K513" i="5"/>
  <c r="J1101" i="5"/>
  <c r="J1063" i="5"/>
  <c r="J955" i="5"/>
  <c r="J878" i="5"/>
  <c r="J816" i="5"/>
  <c r="J799" i="5"/>
  <c r="J1193" i="5"/>
  <c r="J1218" i="5"/>
  <c r="K1217" i="5"/>
  <c r="K552" i="5"/>
  <c r="M1177" i="5"/>
  <c r="K1214" i="5"/>
  <c r="K463" i="5"/>
  <c r="K1219" i="5"/>
  <c r="K643" i="5"/>
  <c r="F24" i="3"/>
  <c r="F25" i="3" s="1"/>
  <c r="F26" i="3" s="1"/>
  <c r="H19" i="3"/>
  <c r="H20" i="3" s="1"/>
  <c r="H21" i="3" s="1"/>
  <c r="F26" i="4"/>
  <c r="F59" i="4"/>
  <c r="F64" i="4"/>
  <c r="G69" i="4"/>
  <c r="H69" i="4" s="1"/>
  <c r="F93" i="4"/>
  <c r="G120" i="4"/>
  <c r="H120" i="4" s="1"/>
  <c r="F120" i="4"/>
  <c r="F221" i="4"/>
  <c r="F257" i="4"/>
  <c r="G257" i="4"/>
  <c r="H257" i="4" s="1"/>
  <c r="F261" i="4"/>
  <c r="M290" i="4"/>
  <c r="I325" i="4"/>
  <c r="L325" i="4" s="1"/>
  <c r="G349" i="4"/>
  <c r="H349" i="4" s="1"/>
  <c r="F349" i="4"/>
  <c r="K649" i="4"/>
  <c r="F14" i="3"/>
  <c r="F15" i="3" s="1"/>
  <c r="F16" i="3" s="1"/>
  <c r="F56" i="4"/>
  <c r="I91" i="4"/>
  <c r="L91" i="4" s="1"/>
  <c r="M91" i="4"/>
  <c r="F212" i="4"/>
  <c r="G212" i="4"/>
  <c r="H212" i="4" s="1"/>
  <c r="M236" i="4"/>
  <c r="G300" i="4"/>
  <c r="H300" i="4" s="1"/>
  <c r="G361" i="4"/>
  <c r="H361" i="4" s="1"/>
  <c r="J361" i="4" s="1"/>
  <c r="F400" i="4"/>
  <c r="G419" i="4"/>
  <c r="H419" i="4" s="1"/>
  <c r="G457" i="4"/>
  <c r="H457" i="4" s="1"/>
  <c r="K152" i="4"/>
  <c r="I160" i="4"/>
  <c r="L160" i="4" s="1"/>
  <c r="I212" i="4"/>
  <c r="L212" i="4" s="1"/>
  <c r="F426" i="4"/>
  <c r="G426" i="4"/>
  <c r="H426" i="4" s="1"/>
  <c r="G470" i="4"/>
  <c r="H470" i="4" s="1"/>
  <c r="F470" i="4"/>
  <c r="M173" i="4"/>
  <c r="G208" i="4"/>
  <c r="H208" i="4" s="1"/>
  <c r="G230" i="4"/>
  <c r="H230" i="4" s="1"/>
  <c r="M247" i="4"/>
  <c r="G358" i="4"/>
  <c r="H358" i="4" s="1"/>
  <c r="F358" i="4"/>
  <c r="G411" i="4"/>
  <c r="H411" i="4" s="1"/>
  <c r="G444" i="4"/>
  <c r="H444" i="4" s="1"/>
  <c r="I459" i="4"/>
  <c r="L459" i="4" s="1"/>
  <c r="M459" i="4"/>
  <c r="I28" i="4"/>
  <c r="L28" i="4" s="1"/>
  <c r="F114" i="4"/>
  <c r="G114" i="4"/>
  <c r="H114" i="4" s="1"/>
  <c r="F199" i="4"/>
  <c r="G199" i="4"/>
  <c r="H199" i="4" s="1"/>
  <c r="K751" i="4"/>
  <c r="J155" i="4"/>
  <c r="F29" i="3"/>
  <c r="F30" i="3" s="1"/>
  <c r="F31" i="3" s="1"/>
  <c r="H14" i="3"/>
  <c r="F18" i="3"/>
  <c r="F19" i="3" s="1"/>
  <c r="F20" i="3" s="1"/>
  <c r="F21" i="3" s="1"/>
  <c r="F23" i="3"/>
  <c r="F40" i="4"/>
  <c r="F66" i="4"/>
  <c r="F146" i="4"/>
  <c r="G146" i="4"/>
  <c r="H146" i="4" s="1"/>
  <c r="G180" i="4"/>
  <c r="H180" i="4" s="1"/>
  <c r="I199" i="4"/>
  <c r="L199" i="4" s="1"/>
  <c r="F239" i="4"/>
  <c r="F244" i="4"/>
  <c r="I249" i="4"/>
  <c r="L249" i="4" s="1"/>
  <c r="F273" i="4"/>
  <c r="M314" i="4"/>
  <c r="F329" i="4"/>
  <c r="G329" i="4"/>
  <c r="H329" i="4" s="1"/>
  <c r="G389" i="4"/>
  <c r="H389" i="4" s="1"/>
  <c r="F389" i="4"/>
  <c r="F424" i="4"/>
  <c r="K150" i="4"/>
  <c r="F34" i="3"/>
  <c r="F35" i="3" s="1"/>
  <c r="F36" i="3" s="1"/>
  <c r="F28" i="3"/>
  <c r="J90" i="4"/>
  <c r="G222" i="4"/>
  <c r="H222" i="4" s="1"/>
  <c r="F222" i="4"/>
  <c r="M262" i="4"/>
  <c r="I262" i="4"/>
  <c r="L262" i="4" s="1"/>
  <c r="G269" i="4"/>
  <c r="H269" i="4" s="1"/>
  <c r="I301" i="4"/>
  <c r="L301" i="4" s="1"/>
  <c r="M301" i="4"/>
  <c r="F334" i="4"/>
  <c r="F338" i="4"/>
  <c r="G354" i="4"/>
  <c r="H354" i="4" s="1"/>
  <c r="F354" i="4"/>
  <c r="F371" i="4"/>
  <c r="F443" i="4"/>
  <c r="G63" i="4"/>
  <c r="H63" i="4" s="1"/>
  <c r="F63" i="4"/>
  <c r="G81" i="4"/>
  <c r="H81" i="4" s="1"/>
  <c r="F111" i="4"/>
  <c r="G111" i="4"/>
  <c r="H111" i="4" s="1"/>
  <c r="F142" i="4"/>
  <c r="G142" i="4"/>
  <c r="H142" i="4" s="1"/>
  <c r="F198" i="4"/>
  <c r="G265" i="4"/>
  <c r="H265" i="4" s="1"/>
  <c r="G295" i="4"/>
  <c r="H295" i="4" s="1"/>
  <c r="G366" i="4"/>
  <c r="H366" i="4" s="1"/>
  <c r="F366" i="4"/>
  <c r="G405" i="4"/>
  <c r="H405" i="4" s="1"/>
  <c r="F413" i="4"/>
  <c r="G413" i="4"/>
  <c r="H413" i="4" s="1"/>
  <c r="G417" i="4"/>
  <c r="H417" i="4" s="1"/>
  <c r="F428" i="4"/>
  <c r="G428" i="4"/>
  <c r="H428" i="4" s="1"/>
  <c r="F439" i="4"/>
  <c r="F483" i="4"/>
  <c r="G489" i="4"/>
  <c r="H489" i="4" s="1"/>
  <c r="F498" i="4"/>
  <c r="G502" i="4"/>
  <c r="H502" i="4" s="1"/>
  <c r="F555" i="4"/>
  <c r="M588" i="4"/>
  <c r="G638" i="4"/>
  <c r="H638" i="4" s="1"/>
  <c r="G642" i="4"/>
  <c r="H642" i="4" s="1"/>
  <c r="G651" i="4"/>
  <c r="H651" i="4" s="1"/>
  <c r="G696" i="4"/>
  <c r="H696" i="4" s="1"/>
  <c r="F696" i="4"/>
  <c r="G722" i="4"/>
  <c r="H722" i="4" s="1"/>
  <c r="M809" i="4"/>
  <c r="F878" i="4"/>
  <c r="F938" i="4"/>
  <c r="G938" i="4"/>
  <c r="H938" i="4" s="1"/>
  <c r="F959" i="4"/>
  <c r="K956" i="4" s="1"/>
  <c r="F972" i="4"/>
  <c r="K973" i="4" s="1"/>
  <c r="F1011" i="4"/>
  <c r="F1047" i="4"/>
  <c r="G1047" i="4"/>
  <c r="H1047" i="4" s="1"/>
  <c r="G1071" i="4"/>
  <c r="H1071" i="4" s="1"/>
  <c r="F1071" i="4"/>
  <c r="M494" i="4"/>
  <c r="F511" i="4"/>
  <c r="I521" i="4"/>
  <c r="L521" i="4" s="1"/>
  <c r="M573" i="4"/>
  <c r="G635" i="4"/>
  <c r="H635" i="4" s="1"/>
  <c r="F713" i="4"/>
  <c r="G713" i="4"/>
  <c r="H713" i="4" s="1"/>
  <c r="I757" i="4"/>
  <c r="L757" i="4" s="1"/>
  <c r="M757" i="4"/>
  <c r="F808" i="4"/>
  <c r="K804" i="4" s="1"/>
  <c r="G808" i="4"/>
  <c r="H808" i="4" s="1"/>
  <c r="M900" i="4"/>
  <c r="F990" i="4"/>
  <c r="G990" i="4"/>
  <c r="H990" i="4" s="1"/>
  <c r="G1006" i="4"/>
  <c r="H1006" i="4" s="1"/>
  <c r="F1067" i="4"/>
  <c r="G1067" i="4"/>
  <c r="H1067" i="4" s="1"/>
  <c r="F514" i="4"/>
  <c r="F568" i="4"/>
  <c r="M577" i="4"/>
  <c r="M590" i="4"/>
  <c r="G595" i="4"/>
  <c r="H595" i="4" s="1"/>
  <c r="G612" i="4"/>
  <c r="H612" i="4" s="1"/>
  <c r="G616" i="4"/>
  <c r="H616" i="4" s="1"/>
  <c r="G794" i="4"/>
  <c r="H794" i="4" s="1"/>
  <c r="G824" i="4"/>
  <c r="H824" i="4" s="1"/>
  <c r="F824" i="4"/>
  <c r="G899" i="4"/>
  <c r="H899" i="4" s="1"/>
  <c r="G933" i="4"/>
  <c r="H933" i="4" s="1"/>
  <c r="G941" i="4"/>
  <c r="H941" i="4" s="1"/>
  <c r="F954" i="4"/>
  <c r="G1037" i="4"/>
  <c r="H1037" i="4" s="1"/>
  <c r="G491" i="4"/>
  <c r="H491" i="4" s="1"/>
  <c r="F497" i="4"/>
  <c r="G525" i="4"/>
  <c r="H525" i="4" s="1"/>
  <c r="M549" i="4"/>
  <c r="M562" i="4"/>
  <c r="F686" i="4"/>
  <c r="G690" i="4"/>
  <c r="H690" i="4" s="1"/>
  <c r="F928" i="4"/>
  <c r="G928" i="4"/>
  <c r="H928" i="4" s="1"/>
  <c r="F963" i="4"/>
  <c r="G963" i="4"/>
  <c r="H963" i="4" s="1"/>
  <c r="G985" i="4"/>
  <c r="H985" i="4" s="1"/>
  <c r="F985" i="4"/>
  <c r="G609" i="4"/>
  <c r="H609" i="4" s="1"/>
  <c r="F609" i="4"/>
  <c r="G703" i="4"/>
  <c r="H703" i="4" s="1"/>
  <c r="F703" i="4"/>
  <c r="F821" i="4"/>
  <c r="K817" i="4" s="1"/>
  <c r="G821" i="4"/>
  <c r="H821" i="4" s="1"/>
  <c r="J814" i="4" s="1"/>
  <c r="F863" i="4"/>
  <c r="G863" i="4"/>
  <c r="H863" i="4" s="1"/>
  <c r="F924" i="4"/>
  <c r="G924" i="4"/>
  <c r="H924" i="4" s="1"/>
  <c r="F1015" i="4"/>
  <c r="G1015" i="4"/>
  <c r="H1015" i="4" s="1"/>
  <c r="F68" i="4"/>
  <c r="F106" i="4"/>
  <c r="F290" i="4"/>
  <c r="M338" i="4"/>
  <c r="F347" i="4"/>
  <c r="F375" i="4"/>
  <c r="F387" i="4"/>
  <c r="F391" i="4"/>
  <c r="F406" i="4"/>
  <c r="F441" i="4"/>
  <c r="F445" i="4"/>
  <c r="G471" i="4"/>
  <c r="H471" i="4" s="1"/>
  <c r="I510" i="4"/>
  <c r="L510" i="4" s="1"/>
  <c r="G535" i="4"/>
  <c r="H535" i="4" s="1"/>
  <c r="F545" i="4"/>
  <c r="G550" i="4"/>
  <c r="H550" i="4" s="1"/>
  <c r="F573" i="4"/>
  <c r="F629" i="4"/>
  <c r="G629" i="4"/>
  <c r="H629" i="4" s="1"/>
  <c r="M664" i="4"/>
  <c r="F687" i="4"/>
  <c r="F743" i="4"/>
  <c r="G751" i="4"/>
  <c r="H751" i="4" s="1"/>
  <c r="J753" i="4" s="1"/>
  <c r="F765" i="4"/>
  <c r="G765" i="4"/>
  <c r="H765" i="4" s="1"/>
  <c r="G787" i="4"/>
  <c r="H787" i="4" s="1"/>
  <c r="G839" i="4"/>
  <c r="H839" i="4" s="1"/>
  <c r="M861" i="4"/>
  <c r="M863" i="4"/>
  <c r="G894" i="4"/>
  <c r="H894" i="4" s="1"/>
  <c r="G908" i="4"/>
  <c r="H908" i="4" s="1"/>
  <c r="G911" i="4"/>
  <c r="H911" i="4" s="1"/>
  <c r="M913" i="4"/>
  <c r="G951" i="4"/>
  <c r="H951" i="4" s="1"/>
  <c r="J946" i="4" s="1"/>
  <c r="I95" i="4"/>
  <c r="L95" i="4" s="1"/>
  <c r="M169" i="4"/>
  <c r="G181" i="4"/>
  <c r="H181" i="4" s="1"/>
  <c r="F213" i="4"/>
  <c r="G235" i="4"/>
  <c r="H235" i="4" s="1"/>
  <c r="I238" i="4"/>
  <c r="L238" i="4" s="1"/>
  <c r="F700" i="4"/>
  <c r="K700" i="4" s="1"/>
  <c r="G700" i="4"/>
  <c r="H700" i="4" s="1"/>
  <c r="M731" i="4"/>
  <c r="I731" i="4"/>
  <c r="L731" i="4" s="1"/>
  <c r="G816" i="4"/>
  <c r="H816" i="4" s="1"/>
  <c r="F816" i="4"/>
  <c r="I991" i="4"/>
  <c r="L991" i="4" s="1"/>
  <c r="G1028" i="4"/>
  <c r="H1028" i="4" s="1"/>
  <c r="F1028" i="4"/>
  <c r="G1076" i="4"/>
  <c r="H1076" i="4" s="1"/>
  <c r="F1076" i="4"/>
  <c r="M104" i="4"/>
  <c r="I288" i="4"/>
  <c r="L288" i="4" s="1"/>
  <c r="F423" i="4"/>
  <c r="G437" i="4"/>
  <c r="H437" i="4" s="1"/>
  <c r="F458" i="4"/>
  <c r="G467" i="4"/>
  <c r="H467" i="4" s="1"/>
  <c r="G521" i="4"/>
  <c r="H521" i="4" s="1"/>
  <c r="G530" i="4"/>
  <c r="H530" i="4" s="1"/>
  <c r="G563" i="4"/>
  <c r="H563" i="4" s="1"/>
  <c r="G577" i="4"/>
  <c r="H577" i="4" s="1"/>
  <c r="G590" i="4"/>
  <c r="H590" i="4" s="1"/>
  <c r="G598" i="4"/>
  <c r="H598" i="4" s="1"/>
  <c r="G716" i="4"/>
  <c r="H716" i="4" s="1"/>
  <c r="F716" i="4"/>
  <c r="F730" i="4"/>
  <c r="F817" i="4"/>
  <c r="G854" i="4"/>
  <c r="H854" i="4" s="1"/>
  <c r="G858" i="4"/>
  <c r="H858" i="4" s="1"/>
  <c r="G860" i="4"/>
  <c r="H860" i="4" s="1"/>
  <c r="F1018" i="4"/>
  <c r="G1018" i="4"/>
  <c r="H1018" i="4" s="1"/>
  <c r="G1021" i="4"/>
  <c r="H1021" i="4" s="1"/>
  <c r="G1051" i="4"/>
  <c r="H1051" i="4" s="1"/>
  <c r="F1051" i="4"/>
  <c r="G1110" i="4"/>
  <c r="H1110" i="4" s="1"/>
  <c r="F1217" i="4"/>
  <c r="G1217" i="4"/>
  <c r="H1217" i="4" s="1"/>
  <c r="G1268" i="4"/>
  <c r="H1268" i="4" s="1"/>
  <c r="F1268" i="4"/>
  <c r="F1291" i="4"/>
  <c r="F1311" i="4"/>
  <c r="G1314" i="4"/>
  <c r="H1314" i="4" s="1"/>
  <c r="M128" i="5"/>
  <c r="F1164" i="4"/>
  <c r="G1191" i="4"/>
  <c r="H1191" i="4" s="1"/>
  <c r="F1243" i="4"/>
  <c r="G1243" i="4"/>
  <c r="H1243" i="4" s="1"/>
  <c r="F1099" i="4"/>
  <c r="K1103" i="4" s="1"/>
  <c r="F1120" i="4"/>
  <c r="G1120" i="4"/>
  <c r="H1120" i="4" s="1"/>
  <c r="G1132" i="4"/>
  <c r="H1132" i="4" s="1"/>
  <c r="F1134" i="4"/>
  <c r="F1136" i="4"/>
  <c r="M1253" i="4"/>
  <c r="I1253" i="4"/>
  <c r="L1253" i="4" s="1"/>
  <c r="F1308" i="4"/>
  <c r="F1090" i="4"/>
  <c r="M1212" i="4"/>
  <c r="G1238" i="4"/>
  <c r="H1238" i="4" s="1"/>
  <c r="G1245" i="4"/>
  <c r="H1245" i="4" s="1"/>
  <c r="F1284" i="4"/>
  <c r="I286" i="5"/>
  <c r="L286" i="5" s="1"/>
  <c r="M286" i="5"/>
  <c r="F1209" i="4"/>
  <c r="G1209" i="4"/>
  <c r="H1209" i="4" s="1"/>
  <c r="F1251" i="4"/>
  <c r="G1251" i="4"/>
  <c r="H1251" i="4" s="1"/>
  <c r="F618" i="4"/>
  <c r="F621" i="4"/>
  <c r="F623" i="4"/>
  <c r="G650" i="4"/>
  <c r="H650" i="4" s="1"/>
  <c r="F950" i="4"/>
  <c r="G969" i="4"/>
  <c r="H969" i="4" s="1"/>
  <c r="F1016" i="4"/>
  <c r="F1041" i="4"/>
  <c r="G603" i="4"/>
  <c r="H603" i="4" s="1"/>
  <c r="G625" i="4"/>
  <c r="H625" i="4" s="1"/>
  <c r="F632" i="4"/>
  <c r="G639" i="4"/>
  <c r="H639" i="4" s="1"/>
  <c r="F664" i="4"/>
  <c r="G759" i="4"/>
  <c r="H759" i="4" s="1"/>
  <c r="F798" i="4"/>
  <c r="F803" i="4"/>
  <c r="G861" i="4"/>
  <c r="H861" i="4" s="1"/>
  <c r="G876" i="4"/>
  <c r="H876" i="4" s="1"/>
  <c r="G907" i="4"/>
  <c r="H907" i="4" s="1"/>
  <c r="F995" i="4"/>
  <c r="G998" i="4"/>
  <c r="H998" i="4" s="1"/>
  <c r="F1064" i="4"/>
  <c r="F1080" i="4"/>
  <c r="F1088" i="4"/>
  <c r="G1096" i="4"/>
  <c r="H1096" i="4" s="1"/>
  <c r="G1105" i="4"/>
  <c r="H1105" i="4" s="1"/>
  <c r="G1123" i="4"/>
  <c r="H1123" i="4" s="1"/>
  <c r="F1143" i="4"/>
  <c r="M1147" i="4"/>
  <c r="G1276" i="4"/>
  <c r="H1276" i="4" s="1"/>
  <c r="G1278" i="4"/>
  <c r="H1278" i="4" s="1"/>
  <c r="G1281" i="4"/>
  <c r="H1281" i="4" s="1"/>
  <c r="G681" i="4"/>
  <c r="H681" i="4" s="1"/>
  <c r="F811" i="4"/>
  <c r="G842" i="4"/>
  <c r="H842" i="4" s="1"/>
  <c r="G856" i="4"/>
  <c r="H856" i="4" s="1"/>
  <c r="M874" i="4"/>
  <c r="G881" i="4"/>
  <c r="H881" i="4" s="1"/>
  <c r="J878" i="4" s="1"/>
  <c r="G886" i="4"/>
  <c r="H886" i="4" s="1"/>
  <c r="G902" i="4"/>
  <c r="H902" i="4" s="1"/>
  <c r="F917" i="4"/>
  <c r="G921" i="4"/>
  <c r="H921" i="4" s="1"/>
  <c r="F943" i="4"/>
  <c r="G980" i="4"/>
  <c r="H980" i="4" s="1"/>
  <c r="G1013" i="4"/>
  <c r="H1013" i="4" s="1"/>
  <c r="F1117" i="4"/>
  <c r="F1169" i="4"/>
  <c r="G1169" i="4"/>
  <c r="H1169" i="4" s="1"/>
  <c r="G1247" i="4"/>
  <c r="H1247" i="4" s="1"/>
  <c r="F1247" i="4"/>
  <c r="F1273" i="4"/>
  <c r="G1273" i="4"/>
  <c r="H1273" i="4" s="1"/>
  <c r="I717" i="5"/>
  <c r="L717" i="5" s="1"/>
  <c r="M534" i="5"/>
  <c r="I534" i="5"/>
  <c r="L534" i="5" s="1"/>
  <c r="G1158" i="4"/>
  <c r="H1158" i="4" s="1"/>
  <c r="M1162" i="4"/>
  <c r="G1167" i="4"/>
  <c r="H1167" i="4" s="1"/>
  <c r="G1222" i="4"/>
  <c r="H1222" i="4" s="1"/>
  <c r="G1300" i="4"/>
  <c r="H1300" i="4" s="1"/>
  <c r="G1307" i="4"/>
  <c r="H1307" i="4" s="1"/>
  <c r="G1315" i="4"/>
  <c r="H1315" i="4" s="1"/>
  <c r="M1263" i="5"/>
  <c r="I871" i="5"/>
  <c r="L871" i="5" s="1"/>
  <c r="I1316" i="5"/>
  <c r="L1316" i="5" s="1"/>
  <c r="K1036" i="5"/>
  <c r="M74" i="5"/>
  <c r="I74" i="5"/>
  <c r="L74" i="5" s="1"/>
  <c r="M33" i="5"/>
  <c r="I33" i="5"/>
  <c r="L33" i="5" s="1"/>
  <c r="M75" i="5"/>
  <c r="I75" i="5"/>
  <c r="L75" i="5" s="1"/>
  <c r="I71" i="5"/>
  <c r="L71" i="5" s="1"/>
  <c r="M71" i="5"/>
  <c r="I62" i="5"/>
  <c r="L62" i="5" s="1"/>
  <c r="M62" i="5"/>
  <c r="M29" i="3"/>
  <c r="D4" i="3"/>
  <c r="M25" i="3"/>
  <c r="M23" i="3"/>
  <c r="M19" i="3"/>
  <c r="M16" i="3"/>
  <c r="I46" i="5"/>
  <c r="L46" i="5" s="1"/>
  <c r="M44" i="5"/>
  <c r="I44" i="5"/>
  <c r="L44" i="5" s="1"/>
  <c r="I59" i="5"/>
  <c r="L59" i="5" s="1"/>
  <c r="M59" i="5"/>
  <c r="I57" i="5"/>
  <c r="L57" i="5" s="1"/>
  <c r="M57" i="5"/>
  <c r="M30" i="3"/>
  <c r="M24" i="3"/>
  <c r="D7" i="3"/>
  <c r="M28" i="3"/>
  <c r="M26" i="3"/>
  <c r="D5" i="3"/>
  <c r="I72" i="5"/>
  <c r="L72" i="5" s="1"/>
  <c r="M72" i="5"/>
  <c r="I73" i="5"/>
  <c r="L73" i="5" s="1"/>
  <c r="M73" i="5"/>
  <c r="I60" i="5"/>
  <c r="L60" i="5" s="1"/>
  <c r="M60" i="5"/>
  <c r="M15" i="3"/>
  <c r="M35" i="3"/>
  <c r="M31" i="3"/>
  <c r="D6" i="3"/>
  <c r="M13" i="3"/>
  <c r="M33" i="3"/>
  <c r="M36" i="3"/>
  <c r="M34" i="3"/>
  <c r="M70" i="5"/>
  <c r="M61" i="5"/>
  <c r="I61" i="5"/>
  <c r="L61" i="5" s="1"/>
  <c r="M47" i="5"/>
  <c r="I47" i="5"/>
  <c r="L47" i="5" s="1"/>
  <c r="M20" i="3"/>
  <c r="M21" i="3"/>
  <c r="M18" i="3"/>
  <c r="M14" i="3"/>
  <c r="I70" i="5"/>
  <c r="L70" i="5" s="1"/>
  <c r="M58" i="5"/>
  <c r="I58" i="5"/>
  <c r="L58" i="5" s="1"/>
  <c r="I32" i="5"/>
  <c r="L32" i="5" s="1"/>
  <c r="I35" i="5"/>
  <c r="L35" i="5" s="1"/>
  <c r="I49" i="5"/>
  <c r="L49" i="5" s="1"/>
  <c r="J1270" i="5"/>
  <c r="J1269" i="5"/>
  <c r="K1266" i="5"/>
  <c r="K1271" i="5"/>
  <c r="J1268" i="5"/>
  <c r="K1270" i="5"/>
  <c r="K1269" i="5"/>
  <c r="J1266" i="5"/>
  <c r="J1267" i="5"/>
  <c r="J1253" i="5"/>
  <c r="K1257" i="5"/>
  <c r="K1256" i="5"/>
  <c r="J1255" i="5"/>
  <c r="K1255" i="5"/>
  <c r="K1254" i="5"/>
  <c r="J1254" i="5"/>
  <c r="J1256" i="5"/>
  <c r="K1253" i="5"/>
  <c r="J1258" i="5"/>
  <c r="J1244" i="5"/>
  <c r="J1242" i="5"/>
  <c r="J1245" i="5"/>
  <c r="J1240" i="5"/>
  <c r="K1141" i="5"/>
  <c r="K1138" i="5"/>
  <c r="K1137" i="5"/>
  <c r="K1139" i="5"/>
  <c r="J1141" i="5"/>
  <c r="K1136" i="5"/>
  <c r="J1138" i="5"/>
  <c r="J1139" i="5"/>
  <c r="J1140" i="5"/>
  <c r="J1136" i="5"/>
  <c r="K1140" i="5"/>
  <c r="K1128" i="5"/>
  <c r="K1123" i="5"/>
  <c r="K1127" i="5"/>
  <c r="K1126" i="5"/>
  <c r="J1124" i="5"/>
  <c r="K1124" i="5"/>
  <c r="K1125" i="5"/>
  <c r="J1049" i="5"/>
  <c r="J1050" i="5"/>
  <c r="J1045" i="5"/>
  <c r="J1047" i="5"/>
  <c r="J1048" i="5"/>
  <c r="J1046" i="5"/>
  <c r="J1037" i="5"/>
  <c r="J1036" i="5"/>
  <c r="J1035" i="5"/>
  <c r="J1033" i="5"/>
  <c r="J1023" i="5"/>
  <c r="J1024" i="5"/>
  <c r="J1019" i="5"/>
  <c r="J1021" i="5"/>
  <c r="J1020" i="5"/>
  <c r="J1010" i="5"/>
  <c r="J1009" i="5"/>
  <c r="J1011" i="5"/>
  <c r="J1006" i="5"/>
  <c r="J1007" i="5"/>
  <c r="J996" i="5"/>
  <c r="J998" i="5"/>
  <c r="J993" i="5"/>
  <c r="J995" i="5"/>
  <c r="J997" i="5"/>
  <c r="J994" i="5"/>
  <c r="J919" i="5"/>
  <c r="J918" i="5"/>
  <c r="J917" i="5"/>
  <c r="J916" i="5"/>
  <c r="J915" i="5"/>
  <c r="J920" i="5"/>
  <c r="J903" i="5"/>
  <c r="J850" i="5"/>
  <c r="J855" i="5"/>
  <c r="J854" i="5"/>
  <c r="J853" i="5"/>
  <c r="J852" i="5"/>
  <c r="J851" i="5"/>
  <c r="J841" i="5"/>
  <c r="J840" i="5"/>
  <c r="J839" i="5"/>
  <c r="J838" i="5"/>
  <c r="J837" i="5"/>
  <c r="J772" i="5"/>
  <c r="J777" i="5"/>
  <c r="J776" i="5"/>
  <c r="J775" i="5"/>
  <c r="J774" i="5"/>
  <c r="F21" i="5"/>
  <c r="J1008" i="5"/>
  <c r="J1032" i="5"/>
  <c r="J1257" i="5"/>
  <c r="K1267" i="5"/>
  <c r="J1243" i="5"/>
  <c r="J842" i="5"/>
  <c r="M1295" i="5"/>
  <c r="J1034" i="5"/>
  <c r="K1268" i="5"/>
  <c r="K1258" i="5"/>
  <c r="J1137" i="5"/>
  <c r="M1063" i="5"/>
  <c r="I1063" i="5"/>
  <c r="L1063" i="5" s="1"/>
  <c r="J1127" i="5"/>
  <c r="M594" i="5"/>
  <c r="I594" i="5"/>
  <c r="L594" i="5" s="1"/>
  <c r="J1228" i="5"/>
  <c r="K1227" i="5"/>
  <c r="K1228" i="5"/>
  <c r="J1229" i="5"/>
  <c r="J1231" i="5"/>
  <c r="K1231" i="5"/>
  <c r="K1191" i="5"/>
  <c r="K1190" i="5"/>
  <c r="J1190" i="5"/>
  <c r="K1189" i="5"/>
  <c r="K1188" i="5"/>
  <c r="K1175" i="5"/>
  <c r="J1176" i="5"/>
  <c r="K1176" i="5"/>
  <c r="J1179" i="5"/>
  <c r="K1179" i="5"/>
  <c r="K1153" i="5"/>
  <c r="J1154" i="5"/>
  <c r="J1153" i="5"/>
  <c r="J1150" i="5"/>
  <c r="K1151" i="5"/>
  <c r="K1150" i="5"/>
  <c r="K1152" i="5"/>
  <c r="K1149" i="5"/>
  <c r="J1058" i="5"/>
  <c r="J928" i="5"/>
  <c r="J933" i="5"/>
  <c r="J932" i="5"/>
  <c r="J931" i="5"/>
  <c r="J867" i="5"/>
  <c r="J866" i="5"/>
  <c r="J865" i="5"/>
  <c r="J864" i="5"/>
  <c r="J863" i="5"/>
  <c r="J798" i="5"/>
  <c r="J803" i="5"/>
  <c r="J802" i="5"/>
  <c r="J801" i="5"/>
  <c r="J789" i="5"/>
  <c r="J788" i="5"/>
  <c r="J787" i="5"/>
  <c r="J786" i="5"/>
  <c r="J785" i="5"/>
  <c r="J1115" i="5"/>
  <c r="J1113" i="5"/>
  <c r="J1089" i="5"/>
  <c r="J1075" i="5"/>
  <c r="J1076" i="5"/>
  <c r="J954" i="5"/>
  <c r="J959" i="5"/>
  <c r="J958" i="5"/>
  <c r="J957" i="5"/>
  <c r="J945" i="5"/>
  <c r="J944" i="5"/>
  <c r="J943" i="5"/>
  <c r="J942" i="5"/>
  <c r="J941" i="5"/>
  <c r="J876" i="5"/>
  <c r="J881" i="5"/>
  <c r="J880" i="5"/>
  <c r="J879" i="5"/>
  <c r="J815" i="5"/>
  <c r="J814" i="5"/>
  <c r="J813" i="5"/>
  <c r="J812" i="5"/>
  <c r="J811" i="5"/>
  <c r="K671" i="5"/>
  <c r="K670" i="5"/>
  <c r="J673" i="5"/>
  <c r="K668" i="5"/>
  <c r="J670" i="5"/>
  <c r="J672" i="5"/>
  <c r="K578" i="5"/>
  <c r="J581" i="5"/>
  <c r="K581" i="5"/>
  <c r="J578" i="5"/>
  <c r="K579" i="5"/>
  <c r="K582" i="5"/>
  <c r="J582" i="5"/>
  <c r="K577" i="5"/>
  <c r="K502" i="5"/>
  <c r="K504" i="5"/>
  <c r="J501" i="5"/>
  <c r="K499" i="5"/>
  <c r="J503" i="5"/>
  <c r="K503" i="5"/>
  <c r="K476" i="5"/>
  <c r="K474" i="5"/>
  <c r="J474" i="5"/>
  <c r="K473" i="5"/>
  <c r="K478" i="5"/>
  <c r="J478" i="5"/>
  <c r="K477" i="5"/>
  <c r="J436" i="5"/>
  <c r="J437" i="5"/>
  <c r="J435" i="5"/>
  <c r="J424" i="5"/>
  <c r="J422" i="5"/>
  <c r="J426" i="5"/>
  <c r="J398" i="5"/>
  <c r="J397" i="5"/>
  <c r="J385" i="5"/>
  <c r="J383" i="5"/>
  <c r="J335" i="5"/>
  <c r="J179" i="5"/>
  <c r="J1087" i="5"/>
  <c r="M542" i="5"/>
  <c r="I542" i="5"/>
  <c r="L542" i="5" s="1"/>
  <c r="M1189" i="5"/>
  <c r="I1189" i="5"/>
  <c r="L1189" i="5" s="1"/>
  <c r="K1309" i="5"/>
  <c r="K1308" i="5"/>
  <c r="J1305" i="5"/>
  <c r="K1307" i="5"/>
  <c r="K1306" i="5"/>
  <c r="J1308" i="5"/>
  <c r="J1310" i="5"/>
  <c r="K1305" i="5"/>
  <c r="K1240" i="5"/>
  <c r="K1242" i="5"/>
  <c r="J1166" i="5"/>
  <c r="J1167" i="5"/>
  <c r="K1163" i="5"/>
  <c r="K1166" i="5"/>
  <c r="K1165" i="5"/>
  <c r="K1164" i="5"/>
  <c r="J1163" i="5"/>
  <c r="J1125" i="5"/>
  <c r="J1128" i="5"/>
  <c r="J1126" i="5"/>
  <c r="J983" i="5"/>
  <c r="J981" i="5"/>
  <c r="J985" i="5"/>
  <c r="J972" i="5"/>
  <c r="J970" i="5"/>
  <c r="J902" i="5"/>
  <c r="J907" i="5"/>
  <c r="J906" i="5"/>
  <c r="J905" i="5"/>
  <c r="J893" i="5"/>
  <c r="J892" i="5"/>
  <c r="J891" i="5"/>
  <c r="J890" i="5"/>
  <c r="J889" i="5"/>
  <c r="J824" i="5"/>
  <c r="J829" i="5"/>
  <c r="J828" i="5"/>
  <c r="J827" i="5"/>
  <c r="J763" i="5"/>
  <c r="J762" i="5"/>
  <c r="J761" i="5"/>
  <c r="J760" i="5"/>
  <c r="J759" i="5"/>
  <c r="J747" i="5"/>
  <c r="J751" i="5"/>
  <c r="J748" i="5"/>
  <c r="K669" i="5"/>
  <c r="K630" i="5"/>
  <c r="K604" i="5"/>
  <c r="I101" i="5"/>
  <c r="L101" i="5" s="1"/>
  <c r="I309" i="5"/>
  <c r="L309" i="5" s="1"/>
  <c r="I490" i="5"/>
  <c r="L490" i="5" s="1"/>
  <c r="K1204" i="5"/>
  <c r="J1114" i="5"/>
  <c r="J1100" i="5"/>
  <c r="K565" i="5"/>
  <c r="K1178" i="5"/>
  <c r="K656" i="5"/>
  <c r="K489" i="5"/>
  <c r="K487" i="5"/>
  <c r="J789" i="4"/>
  <c r="K879" i="4"/>
  <c r="J934" i="4"/>
  <c r="J594" i="4"/>
  <c r="H24" i="3"/>
  <c r="H25" i="3"/>
  <c r="H26" i="3" s="1"/>
  <c r="K697" i="4"/>
  <c r="H22" i="4"/>
  <c r="H34" i="4"/>
  <c r="H60" i="4"/>
  <c r="J88" i="4"/>
  <c r="K88" i="4"/>
  <c r="K87" i="4"/>
  <c r="H15" i="3"/>
  <c r="H16" i="3" s="1"/>
  <c r="H34" i="3"/>
  <c r="J415" i="4"/>
  <c r="H30" i="3"/>
  <c r="H31" i="3" s="1"/>
  <c r="H35" i="3"/>
  <c r="H36" i="3" s="1"/>
  <c r="K788" i="4"/>
  <c r="K790" i="4"/>
  <c r="K791" i="4"/>
  <c r="K792" i="4"/>
  <c r="G41" i="4"/>
  <c r="H41" i="4" s="1"/>
  <c r="G43" i="4"/>
  <c r="H43" i="4" s="1"/>
  <c r="M43" i="4"/>
  <c r="G53" i="4"/>
  <c r="H53" i="4" s="1"/>
  <c r="G55" i="4"/>
  <c r="H55" i="4" s="1"/>
  <c r="M65" i="4"/>
  <c r="G70" i="4"/>
  <c r="H70" i="4" s="1"/>
  <c r="F72" i="4"/>
  <c r="G76" i="4"/>
  <c r="H76" i="4" s="1"/>
  <c r="M78" i="4"/>
  <c r="G79" i="4"/>
  <c r="H79" i="4" s="1"/>
  <c r="M80" i="4"/>
  <c r="G98" i="4"/>
  <c r="H98" i="4" s="1"/>
  <c r="G103" i="4"/>
  <c r="H103" i="4" s="1"/>
  <c r="G104" i="4"/>
  <c r="H104" i="4" s="1"/>
  <c r="G133" i="4"/>
  <c r="H133" i="4" s="1"/>
  <c r="M134" i="4"/>
  <c r="G135" i="4"/>
  <c r="H135" i="4" s="1"/>
  <c r="G138" i="4"/>
  <c r="H138" i="4" s="1"/>
  <c r="G139" i="4"/>
  <c r="H139" i="4" s="1"/>
  <c r="M508" i="4"/>
  <c r="I508" i="4"/>
  <c r="L508" i="4" s="1"/>
  <c r="M538" i="4"/>
  <c r="I538" i="4"/>
  <c r="L538" i="4" s="1"/>
  <c r="M601" i="4"/>
  <c r="I601" i="4"/>
  <c r="L601" i="4" s="1"/>
  <c r="G709" i="4"/>
  <c r="H709" i="4" s="1"/>
  <c r="F709" i="4"/>
  <c r="G739" i="4"/>
  <c r="H739" i="4" s="1"/>
  <c r="F739" i="4"/>
  <c r="K739" i="4" s="1"/>
  <c r="G837" i="4"/>
  <c r="H837" i="4" s="1"/>
  <c r="F837" i="4"/>
  <c r="G855" i="4"/>
  <c r="H855" i="4" s="1"/>
  <c r="F855" i="4"/>
  <c r="F873" i="4"/>
  <c r="K867" i="4" s="1"/>
  <c r="G873" i="4"/>
  <c r="H873" i="4" s="1"/>
  <c r="G904" i="4"/>
  <c r="H904" i="4" s="1"/>
  <c r="F904" i="4"/>
  <c r="G947" i="4"/>
  <c r="H947" i="4" s="1"/>
  <c r="F947" i="4"/>
  <c r="G1025" i="4"/>
  <c r="H1025" i="4" s="1"/>
  <c r="F1025" i="4"/>
  <c r="F1095" i="4"/>
  <c r="G1095" i="4"/>
  <c r="H1095" i="4" s="1"/>
  <c r="F166" i="4"/>
  <c r="F167" i="4"/>
  <c r="F177" i="4"/>
  <c r="M485" i="4"/>
  <c r="I485" i="4"/>
  <c r="L485" i="4" s="1"/>
  <c r="M547" i="4"/>
  <c r="I547" i="4"/>
  <c r="L547" i="4" s="1"/>
  <c r="M627" i="4"/>
  <c r="I627" i="4"/>
  <c r="L627" i="4" s="1"/>
  <c r="G733" i="4"/>
  <c r="H733" i="4" s="1"/>
  <c r="F733" i="4"/>
  <c r="G993" i="4"/>
  <c r="H993" i="4" s="1"/>
  <c r="F993" i="4"/>
  <c r="G1040" i="4"/>
  <c r="H1040" i="4" s="1"/>
  <c r="F1040" i="4"/>
  <c r="F1205" i="4"/>
  <c r="G1205" i="4"/>
  <c r="H1205" i="4" s="1"/>
  <c r="F1231" i="4"/>
  <c r="G1231" i="4"/>
  <c r="H1231" i="4" s="1"/>
  <c r="G1252" i="4"/>
  <c r="H1252" i="4" s="1"/>
  <c r="F1252" i="4"/>
  <c r="G1286" i="4"/>
  <c r="H1286" i="4" s="1"/>
  <c r="F1286" i="4"/>
  <c r="G1290" i="4"/>
  <c r="H1290" i="4" s="1"/>
  <c r="F1290" i="4"/>
  <c r="J1285" i="4" s="1"/>
  <c r="M1303" i="4"/>
  <c r="I1303" i="4"/>
  <c r="L1303" i="4" s="1"/>
  <c r="I56" i="4"/>
  <c r="L56" i="4" s="1"/>
  <c r="I182" i="4"/>
  <c r="L182" i="4" s="1"/>
  <c r="M210" i="4"/>
  <c r="G226" i="4"/>
  <c r="H226" i="4" s="1"/>
  <c r="F234" i="4"/>
  <c r="M234" i="4"/>
  <c r="F282" i="4"/>
  <c r="M299" i="4"/>
  <c r="I299" i="4"/>
  <c r="L299" i="4" s="1"/>
  <c r="G339" i="4"/>
  <c r="H339" i="4" s="1"/>
  <c r="G378" i="4"/>
  <c r="H378" i="4" s="1"/>
  <c r="F379" i="4"/>
  <c r="M381" i="4"/>
  <c r="I381" i="4"/>
  <c r="L381" i="4" s="1"/>
  <c r="F388" i="4"/>
  <c r="F393" i="4"/>
  <c r="F401" i="4"/>
  <c r="G430" i="4"/>
  <c r="H430" i="4" s="1"/>
  <c r="F431" i="4"/>
  <c r="M433" i="4"/>
  <c r="I433" i="4"/>
  <c r="L433" i="4" s="1"/>
  <c r="F440" i="4"/>
  <c r="G449" i="4"/>
  <c r="H449" i="4" s="1"/>
  <c r="G488" i="4"/>
  <c r="H488" i="4" s="1"/>
  <c r="G490" i="4"/>
  <c r="H490" i="4" s="1"/>
  <c r="G509" i="4"/>
  <c r="H509" i="4" s="1"/>
  <c r="F515" i="4"/>
  <c r="F546" i="4"/>
  <c r="G549" i="4"/>
  <c r="H549" i="4" s="1"/>
  <c r="M560" i="4"/>
  <c r="I560" i="4"/>
  <c r="L560" i="4" s="1"/>
  <c r="F608" i="4"/>
  <c r="F627" i="4"/>
  <c r="M653" i="4"/>
  <c r="G660" i="4"/>
  <c r="H660" i="4" s="1"/>
  <c r="G665" i="4"/>
  <c r="H665" i="4" s="1"/>
  <c r="F670" i="4"/>
  <c r="F673" i="4"/>
  <c r="F675" i="4"/>
  <c r="G726" i="4"/>
  <c r="H726" i="4" s="1"/>
  <c r="F726" i="4"/>
  <c r="G761" i="4"/>
  <c r="H761" i="4" s="1"/>
  <c r="F761" i="4"/>
  <c r="F785" i="4"/>
  <c r="F833" i="4"/>
  <c r="G833" i="4"/>
  <c r="H833" i="4" s="1"/>
  <c r="J828" i="4" s="1"/>
  <c r="G859" i="4"/>
  <c r="H859" i="4" s="1"/>
  <c r="F859" i="4"/>
  <c r="F925" i="4"/>
  <c r="G925" i="4"/>
  <c r="H925" i="4" s="1"/>
  <c r="J922" i="4" s="1"/>
  <c r="M939" i="4"/>
  <c r="F967" i="4"/>
  <c r="F973" i="4"/>
  <c r="F1001" i="4"/>
  <c r="G1001" i="4"/>
  <c r="H1001" i="4" s="1"/>
  <c r="G1008" i="4"/>
  <c r="H1008" i="4" s="1"/>
  <c r="F1008" i="4"/>
  <c r="G1032" i="4"/>
  <c r="H1032" i="4" s="1"/>
  <c r="F1102" i="4"/>
  <c r="G1102" i="4"/>
  <c r="H1102" i="4" s="1"/>
  <c r="G1106" i="4"/>
  <c r="H1106" i="4" s="1"/>
  <c r="F1106" i="4"/>
  <c r="G1144" i="4"/>
  <c r="H1144" i="4" s="1"/>
  <c r="F1144" i="4"/>
  <c r="G1200" i="4"/>
  <c r="H1200" i="4" s="1"/>
  <c r="M1223" i="4"/>
  <c r="I1223" i="4"/>
  <c r="L1223" i="4" s="1"/>
  <c r="F1229" i="4"/>
  <c r="G1229" i="4"/>
  <c r="H1229" i="4" s="1"/>
  <c r="G1275" i="4"/>
  <c r="H1275" i="4" s="1"/>
  <c r="F1275" i="4"/>
  <c r="F1279" i="4"/>
  <c r="G1279" i="4"/>
  <c r="H1279" i="4" s="1"/>
  <c r="G190" i="4"/>
  <c r="H190" i="4" s="1"/>
  <c r="F205" i="4"/>
  <c r="F218" i="4"/>
  <c r="F243" i="4"/>
  <c r="F251" i="4"/>
  <c r="M251" i="4"/>
  <c r="M264" i="4"/>
  <c r="I264" i="4"/>
  <c r="L264" i="4" s="1"/>
  <c r="G274" i="4"/>
  <c r="H274" i="4" s="1"/>
  <c r="G291" i="4"/>
  <c r="H291" i="4" s="1"/>
  <c r="F299" i="4"/>
  <c r="F308" i="4"/>
  <c r="G313" i="4"/>
  <c r="H313" i="4" s="1"/>
  <c r="F321" i="4"/>
  <c r="M340" i="4"/>
  <c r="F348" i="4"/>
  <c r="F350" i="4"/>
  <c r="G384" i="4"/>
  <c r="H384" i="4" s="1"/>
  <c r="G397" i="4"/>
  <c r="H397" i="4" s="1"/>
  <c r="G436" i="4"/>
  <c r="H436" i="4" s="1"/>
  <c r="F452" i="4"/>
  <c r="F454" i="4"/>
  <c r="G469" i="4"/>
  <c r="H469" i="4" s="1"/>
  <c r="F493" i="4"/>
  <c r="F518" i="4"/>
  <c r="F559" i="4"/>
  <c r="G562" i="4"/>
  <c r="H562" i="4" s="1"/>
  <c r="F567" i="4"/>
  <c r="G574" i="4"/>
  <c r="H574" i="4" s="1"/>
  <c r="F575" i="4"/>
  <c r="G582" i="4"/>
  <c r="H582" i="4" s="1"/>
  <c r="F586" i="4"/>
  <c r="F613" i="4"/>
  <c r="F631" i="4"/>
  <c r="J635" i="4" s="1"/>
  <c r="M640" i="4"/>
  <c r="F678" i="4"/>
  <c r="M679" i="4"/>
  <c r="G720" i="4"/>
  <c r="H720" i="4" s="1"/>
  <c r="F720" i="4"/>
  <c r="G774" i="4"/>
  <c r="H774" i="4" s="1"/>
  <c r="F774" i="4"/>
  <c r="F777" i="4"/>
  <c r="G782" i="4"/>
  <c r="H782" i="4" s="1"/>
  <c r="G846" i="4"/>
  <c r="H846" i="4" s="1"/>
  <c r="G850" i="4"/>
  <c r="H850" i="4" s="1"/>
  <c r="F852" i="4"/>
  <c r="G857" i="4"/>
  <c r="H857" i="4" s="1"/>
  <c r="F891" i="4"/>
  <c r="J895" i="4" s="1"/>
  <c r="G912" i="4"/>
  <c r="H912" i="4" s="1"/>
  <c r="G960" i="4"/>
  <c r="H960" i="4" s="1"/>
  <c r="G964" i="4"/>
  <c r="H964" i="4" s="1"/>
  <c r="M1030" i="4"/>
  <c r="I1030" i="4"/>
  <c r="L1030" i="4" s="1"/>
  <c r="F1049" i="4"/>
  <c r="G1049" i="4"/>
  <c r="H1049" i="4" s="1"/>
  <c r="G1060" i="4"/>
  <c r="H1060" i="4" s="1"/>
  <c r="G1074" i="4"/>
  <c r="H1074" i="4" s="1"/>
  <c r="F1074" i="4"/>
  <c r="F1083" i="4"/>
  <c r="G1083" i="4"/>
  <c r="H1083" i="4" s="1"/>
  <c r="F1089" i="4"/>
  <c r="G1089" i="4"/>
  <c r="H1089" i="4" s="1"/>
  <c r="F1086" i="4"/>
  <c r="G1093" i="4"/>
  <c r="H1093" i="4" s="1"/>
  <c r="F1093" i="4"/>
  <c r="F1174" i="4"/>
  <c r="G1174" i="4"/>
  <c r="H1174" i="4" s="1"/>
  <c r="M1186" i="4"/>
  <c r="I1186" i="4"/>
  <c r="L1186" i="4" s="1"/>
  <c r="M1266" i="4"/>
  <c r="I1266" i="4"/>
  <c r="L1266" i="4" s="1"/>
  <c r="G1270" i="4"/>
  <c r="H1270" i="4" s="1"/>
  <c r="F1017" i="4"/>
  <c r="G1017" i="4"/>
  <c r="H1017" i="4" s="1"/>
  <c r="G1054" i="4"/>
  <c r="H1054" i="4" s="1"/>
  <c r="F1054" i="4"/>
  <c r="F1073" i="4"/>
  <c r="G1073" i="4"/>
  <c r="H1073" i="4" s="1"/>
  <c r="F1091" i="4"/>
  <c r="G1091" i="4"/>
  <c r="H1091" i="4" s="1"/>
  <c r="F1108" i="4"/>
  <c r="G1108" i="4"/>
  <c r="H1108" i="4" s="1"/>
  <c r="G1118" i="4"/>
  <c r="H1118" i="4" s="1"/>
  <c r="F1118" i="4"/>
  <c r="K1112" i="4" s="1"/>
  <c r="G1138" i="4"/>
  <c r="H1138" i="4" s="1"/>
  <c r="F1138" i="4"/>
  <c r="F1170" i="4"/>
  <c r="G1170" i="4"/>
  <c r="H1170" i="4" s="1"/>
  <c r="F1175" i="4"/>
  <c r="G1175" i="4"/>
  <c r="H1175" i="4" s="1"/>
  <c r="F1195" i="4"/>
  <c r="G1195" i="4"/>
  <c r="H1195" i="4" s="1"/>
  <c r="F1213" i="4"/>
  <c r="G1213" i="4"/>
  <c r="H1213" i="4" s="1"/>
  <c r="G1236" i="4"/>
  <c r="H1236" i="4" s="1"/>
  <c r="F1236" i="4"/>
  <c r="F1265" i="4"/>
  <c r="K1258" i="4" s="1"/>
  <c r="G1265" i="4"/>
  <c r="H1265" i="4" s="1"/>
  <c r="G1301" i="4"/>
  <c r="H1301" i="4" s="1"/>
  <c r="K800" i="4"/>
  <c r="G999" i="4"/>
  <c r="H999" i="4" s="1"/>
  <c r="F999" i="4"/>
  <c r="G1010" i="4"/>
  <c r="H1010" i="4" s="1"/>
  <c r="F1010" i="4"/>
  <c r="G1022" i="4"/>
  <c r="H1022" i="4" s="1"/>
  <c r="F1022" i="4"/>
  <c r="G1024" i="4"/>
  <c r="H1024" i="4" s="1"/>
  <c r="F1024" i="4"/>
  <c r="G1029" i="4"/>
  <c r="H1029" i="4" s="1"/>
  <c r="F1029" i="4"/>
  <c r="G1078" i="4"/>
  <c r="H1078" i="4" s="1"/>
  <c r="F1078" i="4"/>
  <c r="G1082" i="4"/>
  <c r="H1082" i="4" s="1"/>
  <c r="F1082" i="4"/>
  <c r="F1104" i="4"/>
  <c r="G1104" i="4"/>
  <c r="H1104" i="4" s="1"/>
  <c r="M1160" i="4"/>
  <c r="I1160" i="4"/>
  <c r="L1160" i="4" s="1"/>
  <c r="G1168" i="4"/>
  <c r="H1168" i="4" s="1"/>
  <c r="J1166" i="4" s="1"/>
  <c r="F1168" i="4"/>
  <c r="F1171" i="4"/>
  <c r="G1171" i="4"/>
  <c r="H1171" i="4" s="1"/>
  <c r="F1187" i="4"/>
  <c r="G1187" i="4"/>
  <c r="H1187" i="4" s="1"/>
  <c r="J1178" i="4" s="1"/>
  <c r="M1227" i="4"/>
  <c r="I1227" i="4"/>
  <c r="L1227" i="4" s="1"/>
  <c r="G1239" i="4"/>
  <c r="H1239" i="4" s="1"/>
  <c r="F1239" i="4"/>
  <c r="M1249" i="4"/>
  <c r="I1249" i="4"/>
  <c r="L1249" i="4" s="1"/>
  <c r="G1294" i="4"/>
  <c r="H1294" i="4" s="1"/>
  <c r="F1294" i="4"/>
  <c r="I532" i="5"/>
  <c r="L532" i="5" s="1"/>
  <c r="M532" i="5"/>
  <c r="F1160" i="4"/>
  <c r="K1156" i="4" s="1"/>
  <c r="F1162" i="4"/>
  <c r="F1186" i="4"/>
  <c r="F1199" i="4"/>
  <c r="M1199" i="4"/>
  <c r="G1204" i="4"/>
  <c r="H1204" i="4" s="1"/>
  <c r="F1220" i="4"/>
  <c r="F1223" i="4"/>
  <c r="F1227" i="4"/>
  <c r="G1242" i="4"/>
  <c r="H1242" i="4" s="1"/>
  <c r="M1275" i="4"/>
  <c r="F1285" i="4"/>
  <c r="F1287" i="4"/>
  <c r="F1304" i="4"/>
  <c r="F1313" i="4"/>
  <c r="M102" i="5"/>
  <c r="M158" i="5"/>
  <c r="I158" i="5"/>
  <c r="L158" i="5" s="1"/>
  <c r="M275" i="5"/>
  <c r="I275" i="5"/>
  <c r="L275" i="5" s="1"/>
  <c r="F1316" i="4"/>
  <c r="G1316" i="4"/>
  <c r="H1316" i="4" s="1"/>
  <c r="K437" i="5"/>
  <c r="K385" i="5"/>
  <c r="K746" i="5"/>
  <c r="I1145" i="5"/>
  <c r="L1145" i="5" s="1"/>
  <c r="M1145" i="5"/>
  <c r="I1315" i="5"/>
  <c r="L1315" i="5" s="1"/>
  <c r="J45" i="5"/>
  <c r="J34" i="5"/>
  <c r="J36" i="5"/>
  <c r="K18" i="5"/>
  <c r="K20" i="5"/>
  <c r="K22" i="5"/>
  <c r="J48" i="5"/>
  <c r="K21" i="5"/>
  <c r="J31" i="5"/>
  <c r="M753" i="4" l="1"/>
  <c r="I753" i="4"/>
  <c r="L753" i="4" s="1"/>
  <c r="K1063" i="4"/>
  <c r="K1064" i="4"/>
  <c r="K1065" i="4"/>
  <c r="K1060" i="4"/>
  <c r="J113" i="4"/>
  <c r="J114" i="4"/>
  <c r="J115" i="4"/>
  <c r="J116" i="4"/>
  <c r="J112" i="4"/>
  <c r="J111" i="4"/>
  <c r="I1216" i="5"/>
  <c r="L1216" i="5" s="1"/>
  <c r="M1216" i="5"/>
  <c r="K658" i="4"/>
  <c r="K659" i="4"/>
  <c r="K662" i="4"/>
  <c r="K657" i="4"/>
  <c r="K661" i="4"/>
  <c r="K660" i="4"/>
  <c r="K478" i="4"/>
  <c r="J477" i="4"/>
  <c r="J479" i="4"/>
  <c r="J475" i="4"/>
  <c r="K480" i="4"/>
  <c r="J476" i="4"/>
  <c r="K476" i="4"/>
  <c r="J480" i="4"/>
  <c r="K479" i="4"/>
  <c r="K477" i="4"/>
  <c r="J478" i="4"/>
  <c r="K111" i="4"/>
  <c r="K113" i="4"/>
  <c r="K114" i="4"/>
  <c r="K116" i="4"/>
  <c r="K115" i="4"/>
  <c r="K112" i="4"/>
  <c r="J254" i="4"/>
  <c r="J256" i="4"/>
  <c r="J259" i="4"/>
  <c r="J255" i="4"/>
  <c r="J257" i="4"/>
  <c r="J258" i="4"/>
  <c r="F60" i="4"/>
  <c r="F61" i="4" s="1"/>
  <c r="F62" i="4" s="1"/>
  <c r="M878" i="5"/>
  <c r="I878" i="5"/>
  <c r="L878" i="5" s="1"/>
  <c r="M968" i="5"/>
  <c r="I968" i="5"/>
  <c r="L968" i="5" s="1"/>
  <c r="J1169" i="4"/>
  <c r="I1169" i="4" s="1"/>
  <c r="L1169" i="4" s="1"/>
  <c r="M1129" i="4"/>
  <c r="J644" i="4"/>
  <c r="J646" i="4"/>
  <c r="J649" i="4"/>
  <c r="J645" i="4"/>
  <c r="J648" i="4"/>
  <c r="J647" i="4"/>
  <c r="K336" i="4"/>
  <c r="K332" i="4"/>
  <c r="K337" i="4"/>
  <c r="K335" i="4"/>
  <c r="K333" i="4"/>
  <c r="K334" i="4"/>
  <c r="M90" i="4"/>
  <c r="I90" i="4"/>
  <c r="L90" i="4" s="1"/>
  <c r="M155" i="4"/>
  <c r="I155" i="4"/>
  <c r="L155" i="4" s="1"/>
  <c r="K699" i="4"/>
  <c r="K254" i="4"/>
  <c r="K259" i="4"/>
  <c r="K255" i="4"/>
  <c r="K257" i="4"/>
  <c r="K258" i="4"/>
  <c r="K256" i="4"/>
  <c r="I955" i="5"/>
  <c r="L955" i="5" s="1"/>
  <c r="M955" i="5"/>
  <c r="M1205" i="5"/>
  <c r="I1205" i="5"/>
  <c r="L1205" i="5" s="1"/>
  <c r="I1102" i="5"/>
  <c r="L1102" i="5" s="1"/>
  <c r="M1102" i="5"/>
  <c r="M969" i="5"/>
  <c r="I969" i="5"/>
  <c r="L969" i="5" s="1"/>
  <c r="J803" i="4"/>
  <c r="J802" i="4"/>
  <c r="J800" i="4"/>
  <c r="J805" i="4"/>
  <c r="J804" i="4"/>
  <c r="K934" i="4"/>
  <c r="K933" i="4"/>
  <c r="K930" i="4"/>
  <c r="K935" i="4"/>
  <c r="K931" i="4"/>
  <c r="K932" i="4"/>
  <c r="M826" i="5"/>
  <c r="I826" i="5"/>
  <c r="L826" i="5" s="1"/>
  <c r="M816" i="5"/>
  <c r="I816" i="5"/>
  <c r="L816" i="5" s="1"/>
  <c r="J1114" i="4"/>
  <c r="K502" i="4"/>
  <c r="K505" i="4"/>
  <c r="K501" i="4"/>
  <c r="K503" i="4"/>
  <c r="K506" i="4"/>
  <c r="K504" i="4"/>
  <c r="J1311" i="4"/>
  <c r="M1074" i="5"/>
  <c r="K815" i="4"/>
  <c r="K816" i="4"/>
  <c r="K818" i="4"/>
  <c r="K814" i="4"/>
  <c r="J688" i="4"/>
  <c r="J685" i="4"/>
  <c r="J684" i="4"/>
  <c r="J686" i="4"/>
  <c r="J687" i="4"/>
  <c r="J683" i="4"/>
  <c r="K882" i="4"/>
  <c r="K878" i="4"/>
  <c r="K880" i="4"/>
  <c r="K881" i="4"/>
  <c r="K883" i="4"/>
  <c r="K269" i="4"/>
  <c r="K271" i="4"/>
  <c r="K272" i="4"/>
  <c r="K270" i="4"/>
  <c r="K267" i="4"/>
  <c r="K268" i="4"/>
  <c r="J410" i="4"/>
  <c r="J413" i="4"/>
  <c r="J412" i="4"/>
  <c r="J411" i="4"/>
  <c r="J414" i="4"/>
  <c r="K475" i="4"/>
  <c r="M1101" i="5"/>
  <c r="I1101" i="5"/>
  <c r="L1101" i="5" s="1"/>
  <c r="M1282" i="5"/>
  <c r="I1282" i="5"/>
  <c r="L1282" i="5" s="1"/>
  <c r="I1203" i="5"/>
  <c r="L1203" i="5" s="1"/>
  <c r="M1203" i="5"/>
  <c r="I825" i="5"/>
  <c r="L825" i="5" s="1"/>
  <c r="M825" i="5"/>
  <c r="K102" i="4"/>
  <c r="K98" i="4"/>
  <c r="K99" i="4"/>
  <c r="K101" i="4"/>
  <c r="K100" i="4"/>
  <c r="K103" i="4"/>
  <c r="K735" i="4"/>
  <c r="J751" i="4"/>
  <c r="J750" i="4"/>
  <c r="J752" i="4"/>
  <c r="J748" i="4"/>
  <c r="J749" i="4"/>
  <c r="J855" i="4"/>
  <c r="K1129" i="4"/>
  <c r="K1127" i="4"/>
  <c r="K1128" i="4"/>
  <c r="K1126" i="4"/>
  <c r="K1130" i="4"/>
  <c r="K1125" i="4"/>
  <c r="J813" i="4"/>
  <c r="J818" i="4"/>
  <c r="J817" i="4"/>
  <c r="J815" i="4"/>
  <c r="J816" i="4"/>
  <c r="K687" i="4"/>
  <c r="K683" i="4"/>
  <c r="K688" i="4"/>
  <c r="K686" i="4"/>
  <c r="K685" i="4"/>
  <c r="K684" i="4"/>
  <c r="J592" i="4"/>
  <c r="J595" i="4"/>
  <c r="J593" i="4"/>
  <c r="J597" i="4"/>
  <c r="J596" i="4"/>
  <c r="K194" i="4"/>
  <c r="K191" i="4"/>
  <c r="K193" i="4"/>
  <c r="K189" i="4"/>
  <c r="K192" i="4"/>
  <c r="K190" i="4"/>
  <c r="K358" i="4"/>
  <c r="K362" i="4"/>
  <c r="K363" i="4"/>
  <c r="K360" i="4"/>
  <c r="K359" i="4"/>
  <c r="K361" i="4"/>
  <c r="K466" i="4"/>
  <c r="K467" i="4"/>
  <c r="K465" i="4"/>
  <c r="K464" i="4"/>
  <c r="K463" i="4"/>
  <c r="J801" i="4"/>
  <c r="I1218" i="5"/>
  <c r="L1218" i="5" s="1"/>
  <c r="M1218" i="5"/>
  <c r="M1219" i="5"/>
  <c r="I1219" i="5"/>
  <c r="L1219" i="5" s="1"/>
  <c r="M1206" i="5"/>
  <c r="I1206" i="5"/>
  <c r="L1206" i="5" s="1"/>
  <c r="I956" i="5"/>
  <c r="L956" i="5" s="1"/>
  <c r="M956" i="5"/>
  <c r="M868" i="5"/>
  <c r="I868" i="5"/>
  <c r="L868" i="5" s="1"/>
  <c r="J792" i="4"/>
  <c r="J790" i="4"/>
  <c r="J791" i="4"/>
  <c r="J787" i="4"/>
  <c r="J788" i="4"/>
  <c r="J700" i="4"/>
  <c r="J699" i="4"/>
  <c r="J696" i="4"/>
  <c r="J701" i="4"/>
  <c r="J698" i="4"/>
  <c r="K969" i="4"/>
  <c r="K1062" i="4"/>
  <c r="J517" i="4"/>
  <c r="I517" i="4" s="1"/>
  <c r="L517" i="4" s="1"/>
  <c r="J697" i="4"/>
  <c r="K960" i="4"/>
  <c r="K1243" i="4"/>
  <c r="J462" i="4"/>
  <c r="K1259" i="4"/>
  <c r="K802" i="4"/>
  <c r="K803" i="4"/>
  <c r="K805" i="4"/>
  <c r="K801" i="4"/>
  <c r="J1126" i="4"/>
  <c r="J1128" i="4"/>
  <c r="J1127" i="4"/>
  <c r="J1130" i="4"/>
  <c r="J1125" i="4"/>
  <c r="J933" i="4"/>
  <c r="J930" i="4"/>
  <c r="J931" i="4"/>
  <c r="J935" i="4"/>
  <c r="J932" i="4"/>
  <c r="J358" i="4"/>
  <c r="J363" i="4"/>
  <c r="J359" i="4"/>
  <c r="J362" i="4"/>
  <c r="J360" i="4"/>
  <c r="J85" i="4"/>
  <c r="K86" i="4"/>
  <c r="K89" i="4"/>
  <c r="J86" i="4"/>
  <c r="K90" i="4"/>
  <c r="J89" i="4"/>
  <c r="J87" i="4"/>
  <c r="K85" i="4"/>
  <c r="M1193" i="5"/>
  <c r="I1193" i="5"/>
  <c r="L1193" i="5" s="1"/>
  <c r="M1202" i="5"/>
  <c r="I1202" i="5"/>
  <c r="L1202" i="5" s="1"/>
  <c r="M946" i="5"/>
  <c r="I946" i="5"/>
  <c r="L946" i="5" s="1"/>
  <c r="J880" i="4"/>
  <c r="J879" i="4"/>
  <c r="J881" i="4"/>
  <c r="J882" i="4"/>
  <c r="J883" i="4"/>
  <c r="I1192" i="5"/>
  <c r="L1192" i="5" s="1"/>
  <c r="M1192" i="5"/>
  <c r="J842" i="4"/>
  <c r="M842" i="4" s="1"/>
  <c r="K436" i="4"/>
  <c r="J1037" i="4"/>
  <c r="M1037" i="4" s="1"/>
  <c r="K1282" i="4"/>
  <c r="J178" i="4"/>
  <c r="K789" i="4"/>
  <c r="K787" i="4"/>
  <c r="K813" i="4"/>
  <c r="J528" i="4"/>
  <c r="J529" i="4"/>
  <c r="J530" i="4"/>
  <c r="J527" i="4"/>
  <c r="J532" i="4"/>
  <c r="J531" i="4"/>
  <c r="K696" i="4"/>
  <c r="K698" i="4"/>
  <c r="K701" i="4"/>
  <c r="K410" i="4"/>
  <c r="K414" i="4"/>
  <c r="K415" i="4"/>
  <c r="K413" i="4"/>
  <c r="K411" i="4"/>
  <c r="K412" i="4"/>
  <c r="K139" i="4"/>
  <c r="K141" i="4"/>
  <c r="K138" i="4"/>
  <c r="K137" i="4"/>
  <c r="K142" i="4"/>
  <c r="K140" i="4"/>
  <c r="K1061" i="4"/>
  <c r="I799" i="5"/>
  <c r="L799" i="5" s="1"/>
  <c r="M799" i="5"/>
  <c r="K462" i="4"/>
  <c r="M49" i="5"/>
  <c r="D6" i="5"/>
  <c r="M46" i="5"/>
  <c r="D4" i="5"/>
  <c r="M32" i="5"/>
  <c r="D5" i="5"/>
  <c r="M35" i="5"/>
  <c r="D2" i="5"/>
  <c r="M1114" i="4"/>
  <c r="I1114" i="4"/>
  <c r="L1114" i="4" s="1"/>
  <c r="I462" i="4"/>
  <c r="L462" i="4" s="1"/>
  <c r="M462" i="4"/>
  <c r="M1311" i="4"/>
  <c r="I1311" i="4"/>
  <c r="L1311" i="4" s="1"/>
  <c r="M1178" i="4"/>
  <c r="I1178" i="4"/>
  <c r="L1178" i="4" s="1"/>
  <c r="M178" i="4"/>
  <c r="I178" i="4"/>
  <c r="L178" i="4" s="1"/>
  <c r="I1166" i="4"/>
  <c r="L1166" i="4" s="1"/>
  <c r="M1166" i="4"/>
  <c r="I1037" i="4"/>
  <c r="L1037" i="4" s="1"/>
  <c r="M895" i="4"/>
  <c r="I895" i="4"/>
  <c r="L895" i="4" s="1"/>
  <c r="I842" i="4"/>
  <c r="L842" i="4" s="1"/>
  <c r="M922" i="4"/>
  <c r="I922" i="4"/>
  <c r="L922" i="4" s="1"/>
  <c r="M828" i="4"/>
  <c r="I828" i="4"/>
  <c r="L828" i="4" s="1"/>
  <c r="M1285" i="4"/>
  <c r="I1285" i="4"/>
  <c r="L1285" i="4" s="1"/>
  <c r="M855" i="4"/>
  <c r="I855" i="4"/>
  <c r="L855" i="4" s="1"/>
  <c r="K1309" i="4"/>
  <c r="K1308" i="4"/>
  <c r="K1312" i="4"/>
  <c r="K1307" i="4"/>
  <c r="K1220" i="4"/>
  <c r="K1218" i="4"/>
  <c r="K1216" i="4"/>
  <c r="K1219" i="4"/>
  <c r="K1221" i="4"/>
  <c r="J1216" i="4"/>
  <c r="J1219" i="4"/>
  <c r="K1217" i="4"/>
  <c r="J1218" i="4"/>
  <c r="K1179" i="4"/>
  <c r="K1178" i="4"/>
  <c r="K1177" i="4"/>
  <c r="K1180" i="4"/>
  <c r="K1181" i="4"/>
  <c r="K1182" i="4"/>
  <c r="J1024" i="4"/>
  <c r="J1021" i="4"/>
  <c r="J1023" i="4"/>
  <c r="J1025" i="4"/>
  <c r="J1026" i="4"/>
  <c r="J1022" i="4"/>
  <c r="J1260" i="4"/>
  <c r="J1255" i="4"/>
  <c r="J1256" i="4"/>
  <c r="J1258" i="4"/>
  <c r="J1257" i="4"/>
  <c r="J1259" i="4"/>
  <c r="K1090" i="4"/>
  <c r="K1088" i="4"/>
  <c r="K1089" i="4"/>
  <c r="K1091" i="4"/>
  <c r="K1086" i="4"/>
  <c r="K1087" i="4"/>
  <c r="J1049" i="4"/>
  <c r="J1047" i="4"/>
  <c r="J1052" i="4"/>
  <c r="J1051" i="4"/>
  <c r="J1050" i="4"/>
  <c r="J1048" i="4"/>
  <c r="J554" i="4"/>
  <c r="J555" i="4"/>
  <c r="J557" i="4"/>
  <c r="J556" i="4"/>
  <c r="J553" i="4"/>
  <c r="J558" i="4"/>
  <c r="J398" i="4"/>
  <c r="J400" i="4"/>
  <c r="J401" i="4"/>
  <c r="J397" i="4"/>
  <c r="J399" i="4"/>
  <c r="J402" i="4"/>
  <c r="K298" i="4"/>
  <c r="J295" i="4"/>
  <c r="K294" i="4"/>
  <c r="J296" i="4"/>
  <c r="J298" i="4"/>
  <c r="K297" i="4"/>
  <c r="K296" i="4"/>
  <c r="J297" i="4"/>
  <c r="J294" i="4"/>
  <c r="K293" i="4"/>
  <c r="K295" i="4"/>
  <c r="J293" i="4"/>
  <c r="J761" i="4"/>
  <c r="J764" i="4"/>
  <c r="J762" i="4"/>
  <c r="J766" i="4"/>
  <c r="J765" i="4"/>
  <c r="J763" i="4"/>
  <c r="J504" i="4"/>
  <c r="J505" i="4"/>
  <c r="J501" i="4"/>
  <c r="J506" i="4"/>
  <c r="J336" i="4"/>
  <c r="J333" i="4"/>
  <c r="J332" i="4"/>
  <c r="J334" i="4"/>
  <c r="J337" i="4"/>
  <c r="J335" i="4"/>
  <c r="J167" i="4"/>
  <c r="J163" i="4"/>
  <c r="K167" i="4"/>
  <c r="K168" i="4"/>
  <c r="J165" i="4"/>
  <c r="J168" i="4"/>
  <c r="J166" i="4"/>
  <c r="K165" i="4"/>
  <c r="K164" i="4"/>
  <c r="J737" i="4"/>
  <c r="J739" i="4"/>
  <c r="J735" i="4"/>
  <c r="J740" i="4"/>
  <c r="J164" i="4"/>
  <c r="M934" i="4"/>
  <c r="I934" i="4"/>
  <c r="L934" i="4" s="1"/>
  <c r="J917" i="4"/>
  <c r="K1247" i="4"/>
  <c r="J736" i="4"/>
  <c r="M827" i="5"/>
  <c r="I827" i="5"/>
  <c r="L827" i="5" s="1"/>
  <c r="I902" i="5"/>
  <c r="L902" i="5" s="1"/>
  <c r="M902" i="5"/>
  <c r="M435" i="5"/>
  <c r="I435" i="5"/>
  <c r="L435" i="5" s="1"/>
  <c r="I672" i="5"/>
  <c r="L672" i="5" s="1"/>
  <c r="M672" i="5"/>
  <c r="M880" i="5"/>
  <c r="I880" i="5"/>
  <c r="L880" i="5" s="1"/>
  <c r="M1076" i="5"/>
  <c r="I1076" i="5"/>
  <c r="L1076" i="5" s="1"/>
  <c r="M801" i="5"/>
  <c r="I801" i="5"/>
  <c r="L801" i="5" s="1"/>
  <c r="I928" i="5"/>
  <c r="L928" i="5" s="1"/>
  <c r="M928" i="5"/>
  <c r="I1154" i="5"/>
  <c r="L1154" i="5" s="1"/>
  <c r="M1154" i="5"/>
  <c r="I1032" i="5"/>
  <c r="L1032" i="5" s="1"/>
  <c r="M1032" i="5"/>
  <c r="J1180" i="4"/>
  <c r="J1307" i="4"/>
  <c r="J1308" i="4"/>
  <c r="M837" i="5"/>
  <c r="I837" i="5"/>
  <c r="L837" i="5" s="1"/>
  <c r="M920" i="5"/>
  <c r="I920" i="5"/>
  <c r="L920" i="5" s="1"/>
  <c r="M1007" i="5"/>
  <c r="I1007" i="5"/>
  <c r="L1007" i="5" s="1"/>
  <c r="I1036" i="5"/>
  <c r="L1036" i="5" s="1"/>
  <c r="M1036" i="5"/>
  <c r="M1255" i="5"/>
  <c r="I1255" i="5"/>
  <c r="L1255" i="5" s="1"/>
  <c r="M1270" i="5"/>
  <c r="I1270" i="5"/>
  <c r="L1270" i="5" s="1"/>
  <c r="J1246" i="4"/>
  <c r="J1243" i="4"/>
  <c r="J1245" i="4"/>
  <c r="J1242" i="4"/>
  <c r="J1244" i="4"/>
  <c r="J1247" i="4"/>
  <c r="J1208" i="4"/>
  <c r="J1207" i="4"/>
  <c r="J1204" i="4"/>
  <c r="J1203" i="4"/>
  <c r="J1205" i="4"/>
  <c r="J1206" i="4"/>
  <c r="K1296" i="4"/>
  <c r="K1297" i="4"/>
  <c r="K1299" i="4"/>
  <c r="K1295" i="4"/>
  <c r="K1294" i="4"/>
  <c r="K1298" i="4"/>
  <c r="K1168" i="4"/>
  <c r="K1166" i="4"/>
  <c r="K1165" i="4"/>
  <c r="K1169" i="4"/>
  <c r="K1164" i="4"/>
  <c r="K1167" i="4"/>
  <c r="K1255" i="4"/>
  <c r="K1256" i="4"/>
  <c r="K1257" i="4"/>
  <c r="K1260" i="4"/>
  <c r="J1143" i="4"/>
  <c r="J1140" i="4"/>
  <c r="J1142" i="4"/>
  <c r="J1141" i="4"/>
  <c r="J1139" i="4"/>
  <c r="J1138" i="4"/>
  <c r="K1077" i="4"/>
  <c r="K1074" i="4"/>
  <c r="K1075" i="4"/>
  <c r="K1076" i="4"/>
  <c r="K1078" i="4"/>
  <c r="K1073" i="4"/>
  <c r="J1090" i="4"/>
  <c r="J1087" i="4"/>
  <c r="J1086" i="4"/>
  <c r="J1088" i="4"/>
  <c r="J1091" i="4"/>
  <c r="J1089" i="4"/>
  <c r="K1052" i="4"/>
  <c r="K1047" i="4"/>
  <c r="K1048" i="4"/>
  <c r="K1050" i="4"/>
  <c r="K1051" i="4"/>
  <c r="K1049" i="4"/>
  <c r="J957" i="4"/>
  <c r="J961" i="4"/>
  <c r="J960" i="4"/>
  <c r="J959" i="4"/>
  <c r="J956" i="4"/>
  <c r="K852" i="4"/>
  <c r="K853" i="4"/>
  <c r="K854" i="4"/>
  <c r="K856" i="4"/>
  <c r="K855" i="4"/>
  <c r="K857" i="4"/>
  <c r="K632" i="4"/>
  <c r="K634" i="4"/>
  <c r="J631" i="4"/>
  <c r="J632" i="4"/>
  <c r="K631" i="4"/>
  <c r="J633" i="4"/>
  <c r="K636" i="4"/>
  <c r="J636" i="4"/>
  <c r="K635" i="4"/>
  <c r="K633" i="4"/>
  <c r="J634" i="4"/>
  <c r="K557" i="4"/>
  <c r="K554" i="4"/>
  <c r="K553" i="4"/>
  <c r="K555" i="4"/>
  <c r="K556" i="4"/>
  <c r="K558" i="4"/>
  <c r="J385" i="4"/>
  <c r="J386" i="4"/>
  <c r="J387" i="4"/>
  <c r="J388" i="4"/>
  <c r="J384" i="4"/>
  <c r="J389" i="4"/>
  <c r="K323" i="4"/>
  <c r="K322" i="4"/>
  <c r="J323" i="4"/>
  <c r="J320" i="4"/>
  <c r="K319" i="4"/>
  <c r="K321" i="4"/>
  <c r="J319" i="4"/>
  <c r="K324" i="4"/>
  <c r="J321" i="4"/>
  <c r="J324" i="4"/>
  <c r="K320" i="4"/>
  <c r="J322" i="4"/>
  <c r="J284" i="4"/>
  <c r="J281" i="4"/>
  <c r="J280" i="4"/>
  <c r="J282" i="4"/>
  <c r="J283" i="4"/>
  <c r="J285" i="4"/>
  <c r="J204" i="4"/>
  <c r="K203" i="4"/>
  <c r="J205" i="4"/>
  <c r="J207" i="4"/>
  <c r="K206" i="4"/>
  <c r="K205" i="4"/>
  <c r="J206" i="4"/>
  <c r="J203" i="4"/>
  <c r="K202" i="4"/>
  <c r="K204" i="4"/>
  <c r="J202" i="4"/>
  <c r="K207" i="4"/>
  <c r="K1269" i="4"/>
  <c r="K1271" i="4"/>
  <c r="K1272" i="4"/>
  <c r="K1270" i="4"/>
  <c r="J1103" i="4"/>
  <c r="J1101" i="4"/>
  <c r="J1104" i="4"/>
  <c r="J1099" i="4"/>
  <c r="J1100" i="4"/>
  <c r="K1009" i="4"/>
  <c r="K1011" i="4"/>
  <c r="K1013" i="4"/>
  <c r="K1008" i="4"/>
  <c r="K1012" i="4"/>
  <c r="K1010" i="4"/>
  <c r="K970" i="4"/>
  <c r="K971" i="4"/>
  <c r="K972" i="4"/>
  <c r="K974" i="4"/>
  <c r="J971" i="4"/>
  <c r="J972" i="4"/>
  <c r="J970" i="4"/>
  <c r="J973" i="4"/>
  <c r="J969" i="4"/>
  <c r="K921" i="4"/>
  <c r="K920" i="4"/>
  <c r="K917" i="4"/>
  <c r="K826" i="4"/>
  <c r="K831" i="4"/>
  <c r="K827" i="4"/>
  <c r="K828" i="4"/>
  <c r="K830" i="4"/>
  <c r="K829" i="4"/>
  <c r="K725" i="4"/>
  <c r="K723" i="4"/>
  <c r="K727" i="4"/>
  <c r="K722" i="4"/>
  <c r="K724" i="4"/>
  <c r="K726" i="4"/>
  <c r="K673" i="4"/>
  <c r="J675" i="4"/>
  <c r="K674" i="4"/>
  <c r="K670" i="4"/>
  <c r="J672" i="4"/>
  <c r="K672" i="4"/>
  <c r="J670" i="4"/>
  <c r="J671" i="4"/>
  <c r="J673" i="4"/>
  <c r="K675" i="4"/>
  <c r="J674" i="4"/>
  <c r="K671" i="4"/>
  <c r="J620" i="4"/>
  <c r="K621" i="4"/>
  <c r="K619" i="4"/>
  <c r="J622" i="4"/>
  <c r="J619" i="4"/>
  <c r="J618" i="4"/>
  <c r="J621" i="4"/>
  <c r="K622" i="4"/>
  <c r="K618" i="4"/>
  <c r="K623" i="4"/>
  <c r="K620" i="4"/>
  <c r="J623" i="4"/>
  <c r="J542" i="4"/>
  <c r="J540" i="4"/>
  <c r="J543" i="4"/>
  <c r="J544" i="4"/>
  <c r="J545" i="4"/>
  <c r="J541" i="4"/>
  <c r="K399" i="4"/>
  <c r="K402" i="4"/>
  <c r="K397" i="4"/>
  <c r="K398" i="4"/>
  <c r="K401" i="4"/>
  <c r="K400" i="4"/>
  <c r="J232" i="4"/>
  <c r="J229" i="4"/>
  <c r="K228" i="4"/>
  <c r="K230" i="4"/>
  <c r="J228" i="4"/>
  <c r="K233" i="4"/>
  <c r="J230" i="4"/>
  <c r="K229" i="4"/>
  <c r="J231" i="4"/>
  <c r="K232" i="4"/>
  <c r="J233" i="4"/>
  <c r="K231" i="4"/>
  <c r="K1205" i="4"/>
  <c r="K1208" i="4"/>
  <c r="K1206" i="4"/>
  <c r="K1204" i="4"/>
  <c r="K1207" i="4"/>
  <c r="K1203" i="4"/>
  <c r="J983" i="4"/>
  <c r="J982" i="4"/>
  <c r="J986" i="4"/>
  <c r="J987" i="4"/>
  <c r="J985" i="4"/>
  <c r="K945" i="4"/>
  <c r="K943" i="4"/>
  <c r="K946" i="4"/>
  <c r="K947" i="4"/>
  <c r="K948" i="4"/>
  <c r="K944" i="4"/>
  <c r="J869" i="4"/>
  <c r="J867" i="4"/>
  <c r="J868" i="4"/>
  <c r="J870" i="4"/>
  <c r="J865" i="4"/>
  <c r="J866" i="4"/>
  <c r="K711" i="4"/>
  <c r="K714" i="4"/>
  <c r="K710" i="4"/>
  <c r="K713" i="4"/>
  <c r="K712" i="4"/>
  <c r="K709" i="4"/>
  <c r="J128" i="4"/>
  <c r="J125" i="4"/>
  <c r="J126" i="4"/>
  <c r="J127" i="4"/>
  <c r="J129" i="4"/>
  <c r="J124" i="4"/>
  <c r="F73" i="4"/>
  <c r="F74" i="4" s="1"/>
  <c r="F75" i="4" s="1"/>
  <c r="M415" i="4"/>
  <c r="I415" i="4"/>
  <c r="L415" i="4" s="1"/>
  <c r="K922" i="4"/>
  <c r="H61" i="4"/>
  <c r="H62" i="4" s="1"/>
  <c r="I814" i="4"/>
  <c r="L814" i="4" s="1"/>
  <c r="M814" i="4"/>
  <c r="J738" i="4"/>
  <c r="J984" i="4"/>
  <c r="K1152" i="4"/>
  <c r="J1154" i="4"/>
  <c r="K919" i="4"/>
  <c r="I751" i="5"/>
  <c r="L751" i="5" s="1"/>
  <c r="M751" i="5"/>
  <c r="I761" i="5"/>
  <c r="L761" i="5" s="1"/>
  <c r="M761" i="5"/>
  <c r="M828" i="5"/>
  <c r="I828" i="5"/>
  <c r="L828" i="5" s="1"/>
  <c r="I890" i="5"/>
  <c r="L890" i="5" s="1"/>
  <c r="M890" i="5"/>
  <c r="M905" i="5"/>
  <c r="I905" i="5"/>
  <c r="L905" i="5" s="1"/>
  <c r="M970" i="5"/>
  <c r="I970" i="5"/>
  <c r="L970" i="5" s="1"/>
  <c r="M983" i="5"/>
  <c r="I983" i="5"/>
  <c r="L983" i="5" s="1"/>
  <c r="M1163" i="5"/>
  <c r="I1163" i="5"/>
  <c r="L1163" i="5" s="1"/>
  <c r="M383" i="5"/>
  <c r="I383" i="5"/>
  <c r="L383" i="5" s="1"/>
  <c r="M426" i="5"/>
  <c r="I426" i="5"/>
  <c r="L426" i="5" s="1"/>
  <c r="I437" i="5"/>
  <c r="L437" i="5" s="1"/>
  <c r="M437" i="5"/>
  <c r="M501" i="5"/>
  <c r="I501" i="5"/>
  <c r="L501" i="5" s="1"/>
  <c r="M582" i="5"/>
  <c r="I582" i="5"/>
  <c r="L582" i="5" s="1"/>
  <c r="M670" i="5"/>
  <c r="I670" i="5"/>
  <c r="L670" i="5" s="1"/>
  <c r="I814" i="5"/>
  <c r="L814" i="5" s="1"/>
  <c r="M814" i="5"/>
  <c r="M881" i="5"/>
  <c r="I881" i="5"/>
  <c r="L881" i="5" s="1"/>
  <c r="M943" i="5"/>
  <c r="I943" i="5"/>
  <c r="L943" i="5" s="1"/>
  <c r="M958" i="5"/>
  <c r="I958" i="5"/>
  <c r="L958" i="5" s="1"/>
  <c r="M1075" i="5"/>
  <c r="I1075" i="5"/>
  <c r="L1075" i="5" s="1"/>
  <c r="I1113" i="5"/>
  <c r="L1113" i="5" s="1"/>
  <c r="M1113" i="5"/>
  <c r="M787" i="5"/>
  <c r="I787" i="5"/>
  <c r="L787" i="5" s="1"/>
  <c r="M802" i="5"/>
  <c r="I802" i="5"/>
  <c r="L802" i="5" s="1"/>
  <c r="M864" i="5"/>
  <c r="I864" i="5"/>
  <c r="L864" i="5" s="1"/>
  <c r="M931" i="5"/>
  <c r="I931" i="5"/>
  <c r="L931" i="5" s="1"/>
  <c r="M1058" i="5"/>
  <c r="I1058" i="5"/>
  <c r="L1058" i="5" s="1"/>
  <c r="M1176" i="5"/>
  <c r="I1176" i="5"/>
  <c r="L1176" i="5" s="1"/>
  <c r="I1190" i="5"/>
  <c r="L1190" i="5" s="1"/>
  <c r="M1190" i="5"/>
  <c r="I1231" i="5"/>
  <c r="L1231" i="5" s="1"/>
  <c r="M1231" i="5"/>
  <c r="M1228" i="5"/>
  <c r="I1228" i="5"/>
  <c r="L1228" i="5" s="1"/>
  <c r="M1127" i="5"/>
  <c r="I1127" i="5"/>
  <c r="L1127" i="5" s="1"/>
  <c r="I1137" i="5"/>
  <c r="L1137" i="5" s="1"/>
  <c r="M1137" i="5"/>
  <c r="J1179" i="4"/>
  <c r="M1243" i="5"/>
  <c r="I1243" i="5"/>
  <c r="L1243" i="5" s="1"/>
  <c r="I1008" i="5"/>
  <c r="L1008" i="5" s="1"/>
  <c r="M1008" i="5"/>
  <c r="J1182" i="4"/>
  <c r="J1310" i="4"/>
  <c r="J1312" i="4"/>
  <c r="M776" i="5"/>
  <c r="I776" i="5"/>
  <c r="L776" i="5" s="1"/>
  <c r="I838" i="5"/>
  <c r="L838" i="5" s="1"/>
  <c r="M838" i="5"/>
  <c r="M851" i="5"/>
  <c r="I851" i="5"/>
  <c r="L851" i="5" s="1"/>
  <c r="I855" i="5"/>
  <c r="L855" i="5" s="1"/>
  <c r="M855" i="5"/>
  <c r="M915" i="5"/>
  <c r="I915" i="5"/>
  <c r="L915" i="5" s="1"/>
  <c r="I919" i="5"/>
  <c r="L919" i="5" s="1"/>
  <c r="M919" i="5"/>
  <c r="M993" i="5"/>
  <c r="I993" i="5"/>
  <c r="L993" i="5" s="1"/>
  <c r="I1006" i="5"/>
  <c r="L1006" i="5" s="1"/>
  <c r="M1006" i="5"/>
  <c r="M1020" i="5"/>
  <c r="I1020" i="5"/>
  <c r="L1020" i="5" s="1"/>
  <c r="M1023" i="5"/>
  <c r="I1023" i="5"/>
  <c r="L1023" i="5" s="1"/>
  <c r="M1037" i="5"/>
  <c r="I1037" i="5"/>
  <c r="L1037" i="5" s="1"/>
  <c r="M1045" i="5"/>
  <c r="I1045" i="5"/>
  <c r="L1045" i="5" s="1"/>
  <c r="I1140" i="5"/>
  <c r="L1140" i="5" s="1"/>
  <c r="M1140" i="5"/>
  <c r="I1141" i="5"/>
  <c r="L1141" i="5" s="1"/>
  <c r="M1141" i="5"/>
  <c r="M1244" i="5"/>
  <c r="I1244" i="5"/>
  <c r="L1244" i="5" s="1"/>
  <c r="M1254" i="5"/>
  <c r="I1254" i="5"/>
  <c r="L1254" i="5" s="1"/>
  <c r="M1266" i="5"/>
  <c r="I1266" i="5"/>
  <c r="L1266" i="5" s="1"/>
  <c r="I31" i="5"/>
  <c r="L31" i="5" s="1"/>
  <c r="M31" i="5"/>
  <c r="K1139" i="4"/>
  <c r="K1140" i="4"/>
  <c r="K1142" i="4"/>
  <c r="K1141" i="4"/>
  <c r="K1143" i="4"/>
  <c r="K1138" i="4"/>
  <c r="J580" i="4"/>
  <c r="J582" i="4"/>
  <c r="J581" i="4"/>
  <c r="J584" i="4"/>
  <c r="J583" i="4"/>
  <c r="J579" i="4"/>
  <c r="J465" i="4"/>
  <c r="J464" i="4"/>
  <c r="J466" i="4"/>
  <c r="J463" i="4"/>
  <c r="J467" i="4"/>
  <c r="K219" i="4"/>
  <c r="K218" i="4"/>
  <c r="K215" i="4"/>
  <c r="K217" i="4"/>
  <c r="K220" i="4"/>
  <c r="K216" i="4"/>
  <c r="K1229" i="4"/>
  <c r="K1234" i="4"/>
  <c r="K1231" i="4"/>
  <c r="K1233" i="4"/>
  <c r="K1230" i="4"/>
  <c r="K1232" i="4"/>
  <c r="J830" i="4"/>
  <c r="J831" i="4"/>
  <c r="J829" i="4"/>
  <c r="J827" i="4"/>
  <c r="J826" i="4"/>
  <c r="J426" i="4"/>
  <c r="J424" i="4"/>
  <c r="J425" i="4"/>
  <c r="J428" i="4"/>
  <c r="J427" i="4"/>
  <c r="K1246" i="4"/>
  <c r="K1244" i="4"/>
  <c r="K1245" i="4"/>
  <c r="K1242" i="4"/>
  <c r="J909" i="4"/>
  <c r="J905" i="4"/>
  <c r="J904" i="4"/>
  <c r="J907" i="4"/>
  <c r="J906" i="4"/>
  <c r="J908" i="4"/>
  <c r="J101" i="4"/>
  <c r="J102" i="4"/>
  <c r="J100" i="4"/>
  <c r="J103" i="4"/>
  <c r="J98" i="4"/>
  <c r="J99" i="4"/>
  <c r="M88" i="4"/>
  <c r="I88" i="4"/>
  <c r="L88" i="4" s="1"/>
  <c r="M946" i="4"/>
  <c r="I946" i="4"/>
  <c r="L946" i="4" s="1"/>
  <c r="J503" i="4"/>
  <c r="M635" i="4"/>
  <c r="I635" i="4"/>
  <c r="L635" i="4" s="1"/>
  <c r="I1114" i="5"/>
  <c r="L1114" i="5" s="1"/>
  <c r="M1114" i="5"/>
  <c r="I760" i="5"/>
  <c r="L760" i="5" s="1"/>
  <c r="M760" i="5"/>
  <c r="I893" i="5"/>
  <c r="L893" i="5" s="1"/>
  <c r="M893" i="5"/>
  <c r="I1125" i="5"/>
  <c r="L1125" i="5" s="1"/>
  <c r="M1125" i="5"/>
  <c r="M1308" i="5"/>
  <c r="I1308" i="5"/>
  <c r="L1308" i="5" s="1"/>
  <c r="M398" i="5"/>
  <c r="I398" i="5"/>
  <c r="L398" i="5" s="1"/>
  <c r="M578" i="5"/>
  <c r="I578" i="5"/>
  <c r="L578" i="5" s="1"/>
  <c r="I813" i="5"/>
  <c r="L813" i="5" s="1"/>
  <c r="M813" i="5"/>
  <c r="M957" i="5"/>
  <c r="I957" i="5"/>
  <c r="L957" i="5" s="1"/>
  <c r="I786" i="5"/>
  <c r="L786" i="5" s="1"/>
  <c r="M786" i="5"/>
  <c r="M867" i="5"/>
  <c r="I867" i="5"/>
  <c r="L867" i="5" s="1"/>
  <c r="M842" i="5"/>
  <c r="I842" i="5"/>
  <c r="L842" i="5" s="1"/>
  <c r="M775" i="5"/>
  <c r="I775" i="5"/>
  <c r="L775" i="5" s="1"/>
  <c r="M854" i="5"/>
  <c r="I854" i="5"/>
  <c r="L854" i="5" s="1"/>
  <c r="M995" i="5"/>
  <c r="I995" i="5"/>
  <c r="L995" i="5" s="1"/>
  <c r="I1024" i="5"/>
  <c r="L1024" i="5" s="1"/>
  <c r="M1024" i="5"/>
  <c r="M1256" i="5"/>
  <c r="I1256" i="5"/>
  <c r="L1256" i="5" s="1"/>
  <c r="M1268" i="5"/>
  <c r="I1268" i="5"/>
  <c r="L1268" i="5" s="1"/>
  <c r="J1295" i="4"/>
  <c r="J1296" i="4"/>
  <c r="J1294" i="4"/>
  <c r="J1298" i="4"/>
  <c r="J1299" i="4"/>
  <c r="J1297" i="4"/>
  <c r="J1164" i="4"/>
  <c r="J1191" i="4"/>
  <c r="J1194" i="4"/>
  <c r="J1192" i="4"/>
  <c r="J1193" i="4"/>
  <c r="J1195" i="4"/>
  <c r="J1190" i="4"/>
  <c r="K1117" i="4"/>
  <c r="K1116" i="4"/>
  <c r="K1114" i="4"/>
  <c r="K778" i="4"/>
  <c r="K776" i="4"/>
  <c r="K774" i="4"/>
  <c r="K777" i="4"/>
  <c r="K779" i="4"/>
  <c r="K775" i="4"/>
  <c r="J569" i="4"/>
  <c r="J566" i="4"/>
  <c r="J571" i="4"/>
  <c r="J567" i="4"/>
  <c r="J568" i="4"/>
  <c r="J570" i="4"/>
  <c r="K449" i="4"/>
  <c r="K453" i="4"/>
  <c r="K451" i="4"/>
  <c r="K452" i="4"/>
  <c r="K450" i="4"/>
  <c r="K454" i="4"/>
  <c r="J308" i="4"/>
  <c r="J309" i="4"/>
  <c r="J311" i="4"/>
  <c r="J310" i="4"/>
  <c r="J307" i="4"/>
  <c r="J306" i="4"/>
  <c r="J271" i="4"/>
  <c r="J268" i="4"/>
  <c r="J267" i="4"/>
  <c r="J269" i="4"/>
  <c r="J270" i="4"/>
  <c r="J272" i="4"/>
  <c r="J189" i="4"/>
  <c r="J192" i="4"/>
  <c r="J193" i="4"/>
  <c r="J194" i="4"/>
  <c r="J191" i="4"/>
  <c r="J190" i="4"/>
  <c r="K1104" i="4"/>
  <c r="K1099" i="4"/>
  <c r="K1100" i="4"/>
  <c r="K1101" i="4"/>
  <c r="K1102" i="4"/>
  <c r="J1010" i="4"/>
  <c r="J1009" i="4"/>
  <c r="J1011" i="4"/>
  <c r="J1013" i="4"/>
  <c r="J1008" i="4"/>
  <c r="J1012" i="4"/>
  <c r="K957" i="4"/>
  <c r="K958" i="4"/>
  <c r="K959" i="4"/>
  <c r="K961" i="4"/>
  <c r="J727" i="4"/>
  <c r="J724" i="4"/>
  <c r="J726" i="4"/>
  <c r="J725" i="4"/>
  <c r="J723" i="4"/>
  <c r="J605" i="4"/>
  <c r="J607" i="4"/>
  <c r="K607" i="4"/>
  <c r="K609" i="4"/>
  <c r="K610" i="4"/>
  <c r="K608" i="4"/>
  <c r="K606" i="4"/>
  <c r="J606" i="4"/>
  <c r="K605" i="4"/>
  <c r="J610" i="4"/>
  <c r="J608" i="4"/>
  <c r="K540" i="4"/>
  <c r="K542" i="4"/>
  <c r="K543" i="4"/>
  <c r="K545" i="4"/>
  <c r="K544" i="4"/>
  <c r="K541" i="4"/>
  <c r="J491" i="4"/>
  <c r="J488" i="4"/>
  <c r="J492" i="4"/>
  <c r="J489" i="4"/>
  <c r="J493" i="4"/>
  <c r="J490" i="4"/>
  <c r="K372" i="4"/>
  <c r="K374" i="4"/>
  <c r="K375" i="4"/>
  <c r="K373" i="4"/>
  <c r="K376" i="4"/>
  <c r="J219" i="4"/>
  <c r="J216" i="4"/>
  <c r="J215" i="4"/>
  <c r="J217" i="4"/>
  <c r="J218" i="4"/>
  <c r="J220" i="4"/>
  <c r="K1037" i="4"/>
  <c r="K1035" i="4"/>
  <c r="K1038" i="4"/>
  <c r="K1034" i="4"/>
  <c r="K1039" i="4"/>
  <c r="K1036" i="4"/>
  <c r="J176" i="4"/>
  <c r="K177" i="4"/>
  <c r="K181" i="4"/>
  <c r="K180" i="4"/>
  <c r="J181" i="4"/>
  <c r="K179" i="4"/>
  <c r="K176" i="4"/>
  <c r="J180" i="4"/>
  <c r="J177" i="4"/>
  <c r="K178" i="4"/>
  <c r="J943" i="4"/>
  <c r="J947" i="4"/>
  <c r="J945" i="4"/>
  <c r="J944" i="4"/>
  <c r="J948" i="4"/>
  <c r="K869" i="4"/>
  <c r="K868" i="4"/>
  <c r="K866" i="4"/>
  <c r="K870" i="4"/>
  <c r="K865" i="4"/>
  <c r="J713" i="4"/>
  <c r="J712" i="4"/>
  <c r="J714" i="4"/>
  <c r="J709" i="4"/>
  <c r="J710" i="4"/>
  <c r="J711" i="4"/>
  <c r="J142" i="4"/>
  <c r="J140" i="4"/>
  <c r="J141" i="4"/>
  <c r="J138" i="4"/>
  <c r="J139" i="4"/>
  <c r="J137" i="4"/>
  <c r="K166" i="4"/>
  <c r="M361" i="4"/>
  <c r="I361" i="4"/>
  <c r="L361" i="4" s="1"/>
  <c r="H35" i="4"/>
  <c r="H36" i="4" s="1"/>
  <c r="I594" i="4"/>
  <c r="L594" i="4" s="1"/>
  <c r="M594" i="4"/>
  <c r="J974" i="4"/>
  <c r="J722" i="4"/>
  <c r="K1113" i="4"/>
  <c r="J1221" i="4"/>
  <c r="K1268" i="4"/>
  <c r="M697" i="4"/>
  <c r="I697" i="4"/>
  <c r="L697" i="4" s="1"/>
  <c r="J958" i="4"/>
  <c r="M747" i="5"/>
  <c r="I747" i="5"/>
  <c r="L747" i="5" s="1"/>
  <c r="I762" i="5"/>
  <c r="L762" i="5" s="1"/>
  <c r="M762" i="5"/>
  <c r="M829" i="5"/>
  <c r="I829" i="5"/>
  <c r="L829" i="5" s="1"/>
  <c r="M891" i="5"/>
  <c r="I891" i="5"/>
  <c r="L891" i="5" s="1"/>
  <c r="M906" i="5"/>
  <c r="I906" i="5"/>
  <c r="L906" i="5" s="1"/>
  <c r="M972" i="5"/>
  <c r="I972" i="5"/>
  <c r="L972" i="5" s="1"/>
  <c r="M1126" i="5"/>
  <c r="I1126" i="5"/>
  <c r="L1126" i="5" s="1"/>
  <c r="M1167" i="5"/>
  <c r="I1167" i="5"/>
  <c r="L1167" i="5" s="1"/>
  <c r="I1087" i="5"/>
  <c r="L1087" i="5" s="1"/>
  <c r="M1087" i="5"/>
  <c r="M385" i="5"/>
  <c r="I385" i="5"/>
  <c r="L385" i="5" s="1"/>
  <c r="M422" i="5"/>
  <c r="I422" i="5"/>
  <c r="L422" i="5" s="1"/>
  <c r="M436" i="5"/>
  <c r="I436" i="5"/>
  <c r="L436" i="5" s="1"/>
  <c r="I581" i="5"/>
  <c r="L581" i="5" s="1"/>
  <c r="M581" i="5"/>
  <c r="M811" i="5"/>
  <c r="I811" i="5"/>
  <c r="L811" i="5" s="1"/>
  <c r="M815" i="5"/>
  <c r="I815" i="5"/>
  <c r="L815" i="5" s="1"/>
  <c r="I876" i="5"/>
  <c r="L876" i="5" s="1"/>
  <c r="M876" i="5"/>
  <c r="M944" i="5"/>
  <c r="I944" i="5"/>
  <c r="L944" i="5" s="1"/>
  <c r="I959" i="5"/>
  <c r="L959" i="5" s="1"/>
  <c r="M959" i="5"/>
  <c r="I1115" i="5"/>
  <c r="L1115" i="5" s="1"/>
  <c r="M1115" i="5"/>
  <c r="I788" i="5"/>
  <c r="L788" i="5" s="1"/>
  <c r="M788" i="5"/>
  <c r="I803" i="5"/>
  <c r="L803" i="5" s="1"/>
  <c r="M803" i="5"/>
  <c r="I865" i="5"/>
  <c r="L865" i="5" s="1"/>
  <c r="M865" i="5"/>
  <c r="M932" i="5"/>
  <c r="I932" i="5"/>
  <c r="L932" i="5" s="1"/>
  <c r="M1150" i="5"/>
  <c r="I1150" i="5"/>
  <c r="L1150" i="5" s="1"/>
  <c r="M1229" i="5"/>
  <c r="I1229" i="5"/>
  <c r="L1229" i="5" s="1"/>
  <c r="J1165" i="4"/>
  <c r="M48" i="5"/>
  <c r="I48" i="5"/>
  <c r="L48" i="5" s="1"/>
  <c r="J1217" i="4"/>
  <c r="J1181" i="4"/>
  <c r="J1167" i="4"/>
  <c r="J1309" i="4"/>
  <c r="M777" i="5"/>
  <c r="I777" i="5"/>
  <c r="L777" i="5" s="1"/>
  <c r="M839" i="5"/>
  <c r="I839" i="5"/>
  <c r="L839" i="5" s="1"/>
  <c r="I852" i="5"/>
  <c r="L852" i="5" s="1"/>
  <c r="M852" i="5"/>
  <c r="I850" i="5"/>
  <c r="L850" i="5" s="1"/>
  <c r="M850" i="5"/>
  <c r="M916" i="5"/>
  <c r="I916" i="5"/>
  <c r="L916" i="5" s="1"/>
  <c r="I994" i="5"/>
  <c r="L994" i="5" s="1"/>
  <c r="M994" i="5"/>
  <c r="M998" i="5"/>
  <c r="I998" i="5"/>
  <c r="L998" i="5" s="1"/>
  <c r="M1011" i="5"/>
  <c r="I1011" i="5"/>
  <c r="L1011" i="5" s="1"/>
  <c r="M1021" i="5"/>
  <c r="I1021" i="5"/>
  <c r="L1021" i="5" s="1"/>
  <c r="M1033" i="5"/>
  <c r="I1033" i="5"/>
  <c r="L1033" i="5" s="1"/>
  <c r="I1046" i="5"/>
  <c r="L1046" i="5" s="1"/>
  <c r="M1046" i="5"/>
  <c r="M1050" i="5"/>
  <c r="I1050" i="5"/>
  <c r="L1050" i="5" s="1"/>
  <c r="M1124" i="5"/>
  <c r="I1124" i="5"/>
  <c r="L1124" i="5" s="1"/>
  <c r="I1139" i="5"/>
  <c r="L1139" i="5" s="1"/>
  <c r="M1139" i="5"/>
  <c r="M1240" i="5"/>
  <c r="I1240" i="5"/>
  <c r="L1240" i="5" s="1"/>
  <c r="M1258" i="5"/>
  <c r="I1258" i="5"/>
  <c r="L1258" i="5" s="1"/>
  <c r="M34" i="5"/>
  <c r="I34" i="5"/>
  <c r="L34" i="5" s="1"/>
  <c r="J999" i="4"/>
  <c r="J997" i="4"/>
  <c r="J995" i="4"/>
  <c r="J996" i="4"/>
  <c r="J1000" i="4"/>
  <c r="J998" i="4"/>
  <c r="J1076" i="4"/>
  <c r="J1075" i="4"/>
  <c r="J1074" i="4"/>
  <c r="J1078" i="4"/>
  <c r="J1077" i="4"/>
  <c r="J1073" i="4"/>
  <c r="J918" i="4"/>
  <c r="J919" i="4"/>
  <c r="J921" i="4"/>
  <c r="J920" i="4"/>
  <c r="K439" i="4"/>
  <c r="K441" i="4"/>
  <c r="K438" i="4"/>
  <c r="K440" i="4"/>
  <c r="K437" i="4"/>
  <c r="K984" i="4"/>
  <c r="K985" i="4"/>
  <c r="K982" i="4"/>
  <c r="K986" i="4"/>
  <c r="K987" i="4"/>
  <c r="K983" i="4"/>
  <c r="J856" i="4"/>
  <c r="J854" i="4"/>
  <c r="J857" i="4"/>
  <c r="J852" i="4"/>
  <c r="J853" i="4"/>
  <c r="I878" i="4"/>
  <c r="L878" i="4" s="1"/>
  <c r="M878" i="4"/>
  <c r="K1311" i="4"/>
  <c r="M748" i="5"/>
  <c r="I748" i="5"/>
  <c r="L748" i="5" s="1"/>
  <c r="M889" i="5"/>
  <c r="I889" i="5"/>
  <c r="L889" i="5" s="1"/>
  <c r="I981" i="5"/>
  <c r="L981" i="5" s="1"/>
  <c r="M981" i="5"/>
  <c r="M335" i="5"/>
  <c r="I335" i="5"/>
  <c r="L335" i="5" s="1"/>
  <c r="M478" i="5"/>
  <c r="I478" i="5"/>
  <c r="L478" i="5" s="1"/>
  <c r="I942" i="5"/>
  <c r="L942" i="5" s="1"/>
  <c r="M942" i="5"/>
  <c r="I1089" i="5"/>
  <c r="L1089" i="5" s="1"/>
  <c r="M1089" i="5"/>
  <c r="M863" i="5"/>
  <c r="I863" i="5"/>
  <c r="L863" i="5" s="1"/>
  <c r="M1034" i="5"/>
  <c r="I1034" i="5"/>
  <c r="L1034" i="5" s="1"/>
  <c r="I841" i="5"/>
  <c r="L841" i="5" s="1"/>
  <c r="M841" i="5"/>
  <c r="I918" i="5"/>
  <c r="L918" i="5" s="1"/>
  <c r="M918" i="5"/>
  <c r="M1010" i="5"/>
  <c r="I1010" i="5"/>
  <c r="L1010" i="5" s="1"/>
  <c r="M1047" i="5"/>
  <c r="I1047" i="5"/>
  <c r="L1047" i="5" s="1"/>
  <c r="M1136" i="5"/>
  <c r="I1136" i="5"/>
  <c r="L1136" i="5" s="1"/>
  <c r="I1242" i="5"/>
  <c r="L1242" i="5" s="1"/>
  <c r="M1242" i="5"/>
  <c r="I1267" i="5"/>
  <c r="L1267" i="5" s="1"/>
  <c r="M1267" i="5"/>
  <c r="M36" i="5"/>
  <c r="I36" i="5"/>
  <c r="L36" i="5" s="1"/>
  <c r="J1153" i="4"/>
  <c r="J1151" i="4"/>
  <c r="K1151" i="4"/>
  <c r="J1155" i="4"/>
  <c r="K1155" i="4"/>
  <c r="J1156" i="4"/>
  <c r="J1152" i="4"/>
  <c r="K1154" i="4"/>
  <c r="K1283" i="4"/>
  <c r="K1285" i="4"/>
  <c r="K1284" i="4"/>
  <c r="K1281" i="4"/>
  <c r="K1286" i="4"/>
  <c r="K1021" i="4"/>
  <c r="K1026" i="4"/>
  <c r="K1022" i="4"/>
  <c r="K1024" i="4"/>
  <c r="K1025" i="4"/>
  <c r="K1023" i="4"/>
  <c r="K998" i="4"/>
  <c r="K999" i="4"/>
  <c r="K995" i="4"/>
  <c r="K996" i="4"/>
  <c r="K997" i="4"/>
  <c r="K1000" i="4"/>
  <c r="K1193" i="4"/>
  <c r="K1191" i="4"/>
  <c r="K1194" i="4"/>
  <c r="K1190" i="4"/>
  <c r="K1192" i="4"/>
  <c r="K1195" i="4"/>
  <c r="J1117" i="4"/>
  <c r="J1113" i="4"/>
  <c r="J1115" i="4"/>
  <c r="J1112" i="4"/>
  <c r="J1270" i="4"/>
  <c r="J1273" i="4"/>
  <c r="J1272" i="4"/>
  <c r="J1269" i="4"/>
  <c r="J1271" i="4"/>
  <c r="J1268" i="4"/>
  <c r="J1064" i="4"/>
  <c r="J1063" i="4"/>
  <c r="J1062" i="4"/>
  <c r="J1061" i="4"/>
  <c r="J1060" i="4"/>
  <c r="J1065" i="4"/>
  <c r="K893" i="4"/>
  <c r="K896" i="4"/>
  <c r="J893" i="4"/>
  <c r="K895" i="4"/>
  <c r="J892" i="4"/>
  <c r="J891" i="4"/>
  <c r="J894" i="4"/>
  <c r="K894" i="4"/>
  <c r="K891" i="4"/>
  <c r="J896" i="4"/>
  <c r="K892" i="4"/>
  <c r="J844" i="4"/>
  <c r="J840" i="4"/>
  <c r="J841" i="4"/>
  <c r="J843" i="4"/>
  <c r="J839" i="4"/>
  <c r="J775" i="4"/>
  <c r="J778" i="4"/>
  <c r="J774" i="4"/>
  <c r="J776" i="4"/>
  <c r="J779" i="4"/>
  <c r="J777" i="4"/>
  <c r="K583" i="4"/>
  <c r="K582" i="4"/>
  <c r="K581" i="4"/>
  <c r="K584" i="4"/>
  <c r="K579" i="4"/>
  <c r="K570" i="4"/>
  <c r="K566" i="4"/>
  <c r="K571" i="4"/>
  <c r="K568" i="4"/>
  <c r="K569" i="4"/>
  <c r="K567" i="4"/>
  <c r="K493" i="4"/>
  <c r="K488" i="4"/>
  <c r="K492" i="4"/>
  <c r="K491" i="4"/>
  <c r="K490" i="4"/>
  <c r="K489" i="4"/>
  <c r="J441" i="4"/>
  <c r="J439" i="4"/>
  <c r="J438" i="4"/>
  <c r="J436" i="4"/>
  <c r="J437" i="4"/>
  <c r="J440" i="4"/>
  <c r="K346" i="4"/>
  <c r="J347" i="4"/>
  <c r="K350" i="4"/>
  <c r="J350" i="4"/>
  <c r="J349" i="4"/>
  <c r="K345" i="4"/>
  <c r="K348" i="4"/>
  <c r="J348" i="4"/>
  <c r="J346" i="4"/>
  <c r="K349" i="4"/>
  <c r="K347" i="4"/>
  <c r="J345" i="4"/>
  <c r="K307" i="4"/>
  <c r="K310" i="4"/>
  <c r="K309" i="4"/>
  <c r="K306" i="4"/>
  <c r="K308" i="4"/>
  <c r="K311" i="4"/>
  <c r="K246" i="4"/>
  <c r="J243" i="4"/>
  <c r="K242" i="4"/>
  <c r="J244" i="4"/>
  <c r="J246" i="4"/>
  <c r="K245" i="4"/>
  <c r="K244" i="4"/>
  <c r="J245" i="4"/>
  <c r="J242" i="4"/>
  <c r="K241" i="4"/>
  <c r="J241" i="4"/>
  <c r="K243" i="4"/>
  <c r="J1233" i="4"/>
  <c r="J1229" i="4"/>
  <c r="J1230" i="4"/>
  <c r="J1234" i="4"/>
  <c r="J1231" i="4"/>
  <c r="J1232" i="4"/>
  <c r="J1102" i="4"/>
  <c r="K763" i="4"/>
  <c r="K762" i="4"/>
  <c r="K761" i="4"/>
  <c r="K766" i="4"/>
  <c r="K765" i="4"/>
  <c r="K764" i="4"/>
  <c r="J659" i="4"/>
  <c r="J657" i="4"/>
  <c r="J662" i="4"/>
  <c r="J661" i="4"/>
  <c r="J660" i="4"/>
  <c r="J658" i="4"/>
  <c r="K514" i="4"/>
  <c r="K515" i="4"/>
  <c r="K519" i="4"/>
  <c r="K516" i="4"/>
  <c r="J516" i="4"/>
  <c r="K518" i="4"/>
  <c r="J518" i="4"/>
  <c r="J515" i="4"/>
  <c r="J514" i="4"/>
  <c r="K517" i="4"/>
  <c r="J519" i="4"/>
  <c r="J451" i="4"/>
  <c r="J453" i="4"/>
  <c r="J454" i="4"/>
  <c r="J450" i="4"/>
  <c r="J452" i="4"/>
  <c r="J449" i="4"/>
  <c r="K423" i="4"/>
  <c r="K424" i="4"/>
  <c r="K428" i="4"/>
  <c r="K427" i="4"/>
  <c r="K425" i="4"/>
  <c r="K426" i="4"/>
  <c r="K384" i="4"/>
  <c r="K387" i="4"/>
  <c r="K389" i="4"/>
  <c r="K386" i="4"/>
  <c r="K388" i="4"/>
  <c r="K385" i="4"/>
  <c r="J376" i="4"/>
  <c r="J371" i="4"/>
  <c r="J372" i="4"/>
  <c r="J375" i="4"/>
  <c r="J373" i="4"/>
  <c r="J374" i="4"/>
  <c r="K280" i="4"/>
  <c r="K282" i="4"/>
  <c r="K285" i="4"/>
  <c r="K281" i="4"/>
  <c r="K284" i="4"/>
  <c r="K283" i="4"/>
  <c r="J1282" i="4"/>
  <c r="J1281" i="4"/>
  <c r="J1284" i="4"/>
  <c r="J1283" i="4"/>
  <c r="J1038" i="4"/>
  <c r="J1039" i="4"/>
  <c r="J1035" i="4"/>
  <c r="J1036" i="4"/>
  <c r="K905" i="4"/>
  <c r="K907" i="4"/>
  <c r="K909" i="4"/>
  <c r="K906" i="4"/>
  <c r="K908" i="4"/>
  <c r="K904" i="4"/>
  <c r="K736" i="4"/>
  <c r="K738" i="4"/>
  <c r="K737" i="4"/>
  <c r="K163" i="4"/>
  <c r="J609" i="4"/>
  <c r="J179" i="4"/>
  <c r="H23" i="4"/>
  <c r="J423" i="4"/>
  <c r="K740" i="4"/>
  <c r="J1034" i="4"/>
  <c r="J1220" i="4"/>
  <c r="K580" i="4"/>
  <c r="M789" i="4"/>
  <c r="I789" i="4"/>
  <c r="L789" i="4" s="1"/>
  <c r="K1115" i="4"/>
  <c r="J502" i="4"/>
  <c r="K918" i="4"/>
  <c r="K1153" i="4"/>
  <c r="K1273" i="4"/>
  <c r="K371" i="4"/>
  <c r="J1116" i="4"/>
  <c r="K1310" i="4"/>
  <c r="J1286" i="4"/>
  <c r="M1100" i="5"/>
  <c r="I1100" i="5"/>
  <c r="L1100" i="5" s="1"/>
  <c r="M759" i="5"/>
  <c r="I759" i="5"/>
  <c r="L759" i="5" s="1"/>
  <c r="I763" i="5"/>
  <c r="L763" i="5" s="1"/>
  <c r="M763" i="5"/>
  <c r="I824" i="5"/>
  <c r="L824" i="5" s="1"/>
  <c r="M824" i="5"/>
  <c r="M892" i="5"/>
  <c r="I892" i="5"/>
  <c r="L892" i="5" s="1"/>
  <c r="I907" i="5"/>
  <c r="L907" i="5" s="1"/>
  <c r="M907" i="5"/>
  <c r="M985" i="5"/>
  <c r="I985" i="5"/>
  <c r="L985" i="5" s="1"/>
  <c r="M1128" i="5"/>
  <c r="I1128" i="5"/>
  <c r="L1128" i="5" s="1"/>
  <c r="M1166" i="5"/>
  <c r="I1166" i="5"/>
  <c r="L1166" i="5" s="1"/>
  <c r="I1310" i="5"/>
  <c r="L1310" i="5" s="1"/>
  <c r="M1310" i="5"/>
  <c r="M1305" i="5"/>
  <c r="I1305" i="5"/>
  <c r="L1305" i="5" s="1"/>
  <c r="I179" i="5"/>
  <c r="L179" i="5" s="1"/>
  <c r="M179" i="5"/>
  <c r="M397" i="5"/>
  <c r="I397" i="5"/>
  <c r="L397" i="5" s="1"/>
  <c r="M424" i="5"/>
  <c r="I424" i="5"/>
  <c r="L424" i="5" s="1"/>
  <c r="M474" i="5"/>
  <c r="I474" i="5"/>
  <c r="L474" i="5" s="1"/>
  <c r="M503" i="5"/>
  <c r="I503" i="5"/>
  <c r="L503" i="5" s="1"/>
  <c r="M673" i="5"/>
  <c r="I673" i="5"/>
  <c r="L673" i="5" s="1"/>
  <c r="M812" i="5"/>
  <c r="I812" i="5"/>
  <c r="L812" i="5" s="1"/>
  <c r="M879" i="5"/>
  <c r="I879" i="5"/>
  <c r="L879" i="5" s="1"/>
  <c r="M941" i="5"/>
  <c r="I941" i="5"/>
  <c r="L941" i="5" s="1"/>
  <c r="I945" i="5"/>
  <c r="L945" i="5" s="1"/>
  <c r="M945" i="5"/>
  <c r="I954" i="5"/>
  <c r="L954" i="5" s="1"/>
  <c r="M954" i="5"/>
  <c r="M785" i="5"/>
  <c r="I785" i="5"/>
  <c r="L785" i="5" s="1"/>
  <c r="I789" i="5"/>
  <c r="L789" i="5" s="1"/>
  <c r="M789" i="5"/>
  <c r="I798" i="5"/>
  <c r="L798" i="5" s="1"/>
  <c r="M798" i="5"/>
  <c r="I866" i="5"/>
  <c r="L866" i="5" s="1"/>
  <c r="M866" i="5"/>
  <c r="M933" i="5"/>
  <c r="I933" i="5"/>
  <c r="L933" i="5" s="1"/>
  <c r="I1153" i="5"/>
  <c r="L1153" i="5" s="1"/>
  <c r="M1153" i="5"/>
  <c r="M1179" i="5"/>
  <c r="I1179" i="5"/>
  <c r="L1179" i="5" s="1"/>
  <c r="I45" i="5"/>
  <c r="L45" i="5" s="1"/>
  <c r="M45" i="5"/>
  <c r="M1257" i="5"/>
  <c r="I1257" i="5"/>
  <c r="L1257" i="5" s="1"/>
  <c r="J1177" i="4"/>
  <c r="J1168" i="4"/>
  <c r="M774" i="5"/>
  <c r="I774" i="5"/>
  <c r="L774" i="5" s="1"/>
  <c r="I772" i="5"/>
  <c r="L772" i="5" s="1"/>
  <c r="M772" i="5"/>
  <c r="I840" i="5"/>
  <c r="L840" i="5" s="1"/>
  <c r="M840" i="5"/>
  <c r="M853" i="5"/>
  <c r="I853" i="5"/>
  <c r="L853" i="5" s="1"/>
  <c r="M903" i="5"/>
  <c r="I903" i="5"/>
  <c r="L903" i="5" s="1"/>
  <c r="I917" i="5"/>
  <c r="L917" i="5" s="1"/>
  <c r="M917" i="5"/>
  <c r="I997" i="5"/>
  <c r="L997" i="5" s="1"/>
  <c r="M997" i="5"/>
  <c r="M996" i="5"/>
  <c r="I996" i="5"/>
  <c r="L996" i="5" s="1"/>
  <c r="M1009" i="5"/>
  <c r="I1009" i="5"/>
  <c r="L1009" i="5" s="1"/>
  <c r="M1019" i="5"/>
  <c r="I1019" i="5"/>
  <c r="L1019" i="5" s="1"/>
  <c r="M1035" i="5"/>
  <c r="I1035" i="5"/>
  <c r="L1035" i="5" s="1"/>
  <c r="I1048" i="5"/>
  <c r="L1048" i="5" s="1"/>
  <c r="M1048" i="5"/>
  <c r="I1049" i="5"/>
  <c r="L1049" i="5" s="1"/>
  <c r="M1049" i="5"/>
  <c r="M1138" i="5"/>
  <c r="I1138" i="5"/>
  <c r="L1138" i="5" s="1"/>
  <c r="I1245" i="5"/>
  <c r="L1245" i="5" s="1"/>
  <c r="M1245" i="5"/>
  <c r="M1253" i="5"/>
  <c r="I1253" i="5"/>
  <c r="L1253" i="5" s="1"/>
  <c r="M1269" i="5"/>
  <c r="I1269" i="5"/>
  <c r="L1269" i="5" s="1"/>
  <c r="K23" i="4"/>
  <c r="K49" i="4"/>
  <c r="K33" i="4"/>
  <c r="K23" i="5"/>
  <c r="J36" i="4"/>
  <c r="J74" i="4"/>
  <c r="J72" i="4"/>
  <c r="K75" i="4"/>
  <c r="J25" i="4"/>
  <c r="K73" i="4"/>
  <c r="J18" i="5"/>
  <c r="K21" i="4"/>
  <c r="K37" i="4"/>
  <c r="J22" i="5"/>
  <c r="J20" i="5"/>
  <c r="J23" i="5"/>
  <c r="K76" i="4"/>
  <c r="K72" i="4"/>
  <c r="J49" i="4"/>
  <c r="K50" i="4"/>
  <c r="J21" i="4"/>
  <c r="J73" i="4"/>
  <c r="J77" i="4"/>
  <c r="J76" i="4"/>
  <c r="J50" i="4"/>
  <c r="K35" i="4"/>
  <c r="K74" i="4"/>
  <c r="K47" i="4"/>
  <c r="K59" i="4"/>
  <c r="K20" i="4"/>
  <c r="K51" i="4"/>
  <c r="K36" i="4"/>
  <c r="K63" i="4"/>
  <c r="K60" i="4"/>
  <c r="K22" i="4"/>
  <c r="K46" i="4"/>
  <c r="K34" i="4"/>
  <c r="J48" i="4"/>
  <c r="K77" i="4"/>
  <c r="K19" i="5"/>
  <c r="J19" i="5"/>
  <c r="J51" i="4"/>
  <c r="J46" i="4"/>
  <c r="J21" i="5"/>
  <c r="J75" i="4"/>
  <c r="K25" i="4"/>
  <c r="J47" i="4"/>
  <c r="K24" i="4"/>
  <c r="K48" i="4"/>
  <c r="K38" i="4"/>
  <c r="M530" i="4" l="1"/>
  <c r="I530" i="4"/>
  <c r="L530" i="4" s="1"/>
  <c r="M879" i="4"/>
  <c r="I879" i="4"/>
  <c r="L879" i="4" s="1"/>
  <c r="M360" i="4"/>
  <c r="I360" i="4"/>
  <c r="L360" i="4" s="1"/>
  <c r="M930" i="4"/>
  <c r="I930" i="4"/>
  <c r="L930" i="4" s="1"/>
  <c r="I788" i="4"/>
  <c r="L788" i="4" s="1"/>
  <c r="M788" i="4"/>
  <c r="M597" i="4"/>
  <c r="I597" i="4"/>
  <c r="L597" i="4" s="1"/>
  <c r="M752" i="4"/>
  <c r="I752" i="4"/>
  <c r="L752" i="4" s="1"/>
  <c r="M800" i="4"/>
  <c r="I800" i="4"/>
  <c r="L800" i="4" s="1"/>
  <c r="M259" i="4"/>
  <c r="I259" i="4"/>
  <c r="L259" i="4" s="1"/>
  <c r="M475" i="4"/>
  <c r="I475" i="4"/>
  <c r="L475" i="4" s="1"/>
  <c r="M114" i="4"/>
  <c r="I114" i="4"/>
  <c r="L114" i="4" s="1"/>
  <c r="I529" i="4"/>
  <c r="L529" i="4" s="1"/>
  <c r="M529" i="4"/>
  <c r="M880" i="4"/>
  <c r="I880" i="4"/>
  <c r="L880" i="4" s="1"/>
  <c r="I87" i="4"/>
  <c r="L87" i="4" s="1"/>
  <c r="M87" i="4"/>
  <c r="I362" i="4"/>
  <c r="L362" i="4" s="1"/>
  <c r="M362" i="4"/>
  <c r="M933" i="4"/>
  <c r="I933" i="4"/>
  <c r="L933" i="4" s="1"/>
  <c r="I787" i="4"/>
  <c r="L787" i="4" s="1"/>
  <c r="M787" i="4"/>
  <c r="I593" i="4"/>
  <c r="L593" i="4" s="1"/>
  <c r="M593" i="4"/>
  <c r="I750" i="4"/>
  <c r="L750" i="4" s="1"/>
  <c r="M750" i="4"/>
  <c r="M414" i="4"/>
  <c r="I414" i="4"/>
  <c r="L414" i="4" s="1"/>
  <c r="I683" i="4"/>
  <c r="L683" i="4" s="1"/>
  <c r="M683" i="4"/>
  <c r="M802" i="4"/>
  <c r="I802" i="4"/>
  <c r="L802" i="4" s="1"/>
  <c r="I256" i="4"/>
  <c r="L256" i="4" s="1"/>
  <c r="M256" i="4"/>
  <c r="M478" i="4"/>
  <c r="I478" i="4"/>
  <c r="L478" i="4" s="1"/>
  <c r="I479" i="4"/>
  <c r="L479" i="4" s="1"/>
  <c r="M479" i="4"/>
  <c r="M113" i="4"/>
  <c r="I113" i="4"/>
  <c r="L113" i="4" s="1"/>
  <c r="M517" i="4"/>
  <c r="M528" i="4"/>
  <c r="I528" i="4"/>
  <c r="L528" i="4" s="1"/>
  <c r="M89" i="4"/>
  <c r="I89" i="4"/>
  <c r="L89" i="4" s="1"/>
  <c r="M359" i="4"/>
  <c r="I359" i="4"/>
  <c r="L359" i="4" s="1"/>
  <c r="M1125" i="4"/>
  <c r="I1125" i="4"/>
  <c r="L1125" i="4" s="1"/>
  <c r="M791" i="4"/>
  <c r="I791" i="4"/>
  <c r="L791" i="4" s="1"/>
  <c r="I595" i="4"/>
  <c r="L595" i="4" s="1"/>
  <c r="M595" i="4"/>
  <c r="M816" i="4"/>
  <c r="I816" i="4"/>
  <c r="L816" i="4" s="1"/>
  <c r="M751" i="4"/>
  <c r="I751" i="4"/>
  <c r="L751" i="4" s="1"/>
  <c r="M411" i="4"/>
  <c r="I411" i="4"/>
  <c r="L411" i="4" s="1"/>
  <c r="M687" i="4"/>
  <c r="I687" i="4"/>
  <c r="L687" i="4" s="1"/>
  <c r="M803" i="4"/>
  <c r="I803" i="4"/>
  <c r="L803" i="4" s="1"/>
  <c r="I647" i="4"/>
  <c r="L647" i="4" s="1"/>
  <c r="M647" i="4"/>
  <c r="I254" i="4"/>
  <c r="L254" i="4" s="1"/>
  <c r="M254" i="4"/>
  <c r="M477" i="4"/>
  <c r="I477" i="4"/>
  <c r="L477" i="4" s="1"/>
  <c r="I363" i="4"/>
  <c r="L363" i="4" s="1"/>
  <c r="M363" i="4"/>
  <c r="I1130" i="4"/>
  <c r="L1130" i="4" s="1"/>
  <c r="M1130" i="4"/>
  <c r="M698" i="4"/>
  <c r="I698" i="4"/>
  <c r="L698" i="4" s="1"/>
  <c r="M790" i="4"/>
  <c r="I790" i="4"/>
  <c r="L790" i="4" s="1"/>
  <c r="M592" i="4"/>
  <c r="I592" i="4"/>
  <c r="L592" i="4" s="1"/>
  <c r="I815" i="4"/>
  <c r="L815" i="4" s="1"/>
  <c r="M815" i="4"/>
  <c r="M412" i="4"/>
  <c r="I412" i="4"/>
  <c r="L412" i="4" s="1"/>
  <c r="M686" i="4"/>
  <c r="I686" i="4"/>
  <c r="L686" i="4" s="1"/>
  <c r="M648" i="4"/>
  <c r="I648" i="4"/>
  <c r="L648" i="4" s="1"/>
  <c r="M86" i="4"/>
  <c r="I86" i="4"/>
  <c r="L86" i="4" s="1"/>
  <c r="I358" i="4"/>
  <c r="L358" i="4" s="1"/>
  <c r="M358" i="4"/>
  <c r="M1127" i="4"/>
  <c r="I1127" i="4"/>
  <c r="L1127" i="4" s="1"/>
  <c r="I701" i="4"/>
  <c r="L701" i="4" s="1"/>
  <c r="M701" i="4"/>
  <c r="I792" i="4"/>
  <c r="L792" i="4" s="1"/>
  <c r="M792" i="4"/>
  <c r="I817" i="4"/>
  <c r="L817" i="4" s="1"/>
  <c r="M817" i="4"/>
  <c r="M413" i="4"/>
  <c r="I413" i="4"/>
  <c r="L413" i="4" s="1"/>
  <c r="M684" i="4"/>
  <c r="I684" i="4"/>
  <c r="L684" i="4" s="1"/>
  <c r="I645" i="4"/>
  <c r="L645" i="4" s="1"/>
  <c r="M645" i="4"/>
  <c r="M480" i="4"/>
  <c r="I480" i="4"/>
  <c r="L480" i="4" s="1"/>
  <c r="M111" i="4"/>
  <c r="I111" i="4"/>
  <c r="L111" i="4" s="1"/>
  <c r="M531" i="4"/>
  <c r="I531" i="4"/>
  <c r="L531" i="4" s="1"/>
  <c r="M883" i="4"/>
  <c r="I883" i="4"/>
  <c r="L883" i="4" s="1"/>
  <c r="M932" i="4"/>
  <c r="I932" i="4"/>
  <c r="L932" i="4" s="1"/>
  <c r="M1128" i="4"/>
  <c r="I1128" i="4"/>
  <c r="L1128" i="4" s="1"/>
  <c r="M696" i="4"/>
  <c r="I696" i="4"/>
  <c r="L696" i="4" s="1"/>
  <c r="I818" i="4"/>
  <c r="L818" i="4" s="1"/>
  <c r="M818" i="4"/>
  <c r="I410" i="4"/>
  <c r="L410" i="4" s="1"/>
  <c r="M410" i="4"/>
  <c r="M685" i="4"/>
  <c r="I685" i="4"/>
  <c r="L685" i="4" s="1"/>
  <c r="M649" i="4"/>
  <c r="I649" i="4"/>
  <c r="L649" i="4" s="1"/>
  <c r="M258" i="4"/>
  <c r="I258" i="4"/>
  <c r="L258" i="4" s="1"/>
  <c r="M112" i="4"/>
  <c r="I112" i="4"/>
  <c r="L112" i="4" s="1"/>
  <c r="M1169" i="4"/>
  <c r="M532" i="4"/>
  <c r="I532" i="4"/>
  <c r="L532" i="4" s="1"/>
  <c r="I882" i="4"/>
  <c r="L882" i="4" s="1"/>
  <c r="M882" i="4"/>
  <c r="M935" i="4"/>
  <c r="I935" i="4"/>
  <c r="L935" i="4" s="1"/>
  <c r="M1126" i="4"/>
  <c r="I1126" i="4"/>
  <c r="L1126" i="4" s="1"/>
  <c r="I699" i="4"/>
  <c r="L699" i="4" s="1"/>
  <c r="M699" i="4"/>
  <c r="M813" i="4"/>
  <c r="I813" i="4"/>
  <c r="L813" i="4" s="1"/>
  <c r="I749" i="4"/>
  <c r="L749" i="4" s="1"/>
  <c r="M749" i="4"/>
  <c r="M688" i="4"/>
  <c r="I688" i="4"/>
  <c r="L688" i="4" s="1"/>
  <c r="M804" i="4"/>
  <c r="I804" i="4"/>
  <c r="L804" i="4" s="1"/>
  <c r="M646" i="4"/>
  <c r="I646" i="4"/>
  <c r="L646" i="4" s="1"/>
  <c r="M257" i="4"/>
  <c r="I257" i="4"/>
  <c r="L257" i="4" s="1"/>
  <c r="M476" i="4"/>
  <c r="I476" i="4"/>
  <c r="L476" i="4" s="1"/>
  <c r="M116" i="4"/>
  <c r="I116" i="4"/>
  <c r="L116" i="4" s="1"/>
  <c r="M527" i="4"/>
  <c r="I527" i="4"/>
  <c r="L527" i="4" s="1"/>
  <c r="M881" i="4"/>
  <c r="I881" i="4"/>
  <c r="L881" i="4" s="1"/>
  <c r="I85" i="4"/>
  <c r="L85" i="4" s="1"/>
  <c r="M85" i="4"/>
  <c r="M931" i="4"/>
  <c r="I931" i="4"/>
  <c r="L931" i="4" s="1"/>
  <c r="M700" i="4"/>
  <c r="I700" i="4"/>
  <c r="L700" i="4" s="1"/>
  <c r="I801" i="4"/>
  <c r="L801" i="4" s="1"/>
  <c r="M801" i="4"/>
  <c r="M596" i="4"/>
  <c r="I596" i="4"/>
  <c r="L596" i="4" s="1"/>
  <c r="M748" i="4"/>
  <c r="I748" i="4"/>
  <c r="L748" i="4" s="1"/>
  <c r="M805" i="4"/>
  <c r="I805" i="4"/>
  <c r="L805" i="4" s="1"/>
  <c r="M644" i="4"/>
  <c r="I644" i="4"/>
  <c r="L644" i="4" s="1"/>
  <c r="M255" i="4"/>
  <c r="I255" i="4"/>
  <c r="L255" i="4" s="1"/>
  <c r="M115" i="4"/>
  <c r="I115" i="4"/>
  <c r="L115" i="4" s="1"/>
  <c r="D4" i="4"/>
  <c r="D8" i="4"/>
  <c r="D3" i="5"/>
  <c r="D7" i="5"/>
  <c r="D5" i="4"/>
  <c r="I25" i="4"/>
  <c r="L25" i="4" s="1"/>
  <c r="M1116" i="4"/>
  <c r="I1116" i="4"/>
  <c r="L1116" i="4" s="1"/>
  <c r="I21" i="4"/>
  <c r="L21" i="4" s="1"/>
  <c r="M1038" i="4"/>
  <c r="I1038" i="4"/>
  <c r="L1038" i="4" s="1"/>
  <c r="M376" i="4"/>
  <c r="I376" i="4"/>
  <c r="L376" i="4" s="1"/>
  <c r="I454" i="4"/>
  <c r="L454" i="4" s="1"/>
  <c r="M454" i="4"/>
  <c r="M661" i="4"/>
  <c r="I661" i="4"/>
  <c r="L661" i="4" s="1"/>
  <c r="M1233" i="4"/>
  <c r="I1233" i="4"/>
  <c r="L1233" i="4" s="1"/>
  <c r="M441" i="4"/>
  <c r="I441" i="4"/>
  <c r="L441" i="4" s="1"/>
  <c r="I844" i="4"/>
  <c r="L844" i="4" s="1"/>
  <c r="M844" i="4"/>
  <c r="M1063" i="4"/>
  <c r="I1063" i="4"/>
  <c r="L1063" i="4" s="1"/>
  <c r="M857" i="4"/>
  <c r="I857" i="4"/>
  <c r="L857" i="4" s="1"/>
  <c r="I998" i="4"/>
  <c r="L998" i="4" s="1"/>
  <c r="M998" i="4"/>
  <c r="I974" i="4"/>
  <c r="L974" i="4" s="1"/>
  <c r="M974" i="4"/>
  <c r="M141" i="4"/>
  <c r="I141" i="4"/>
  <c r="L141" i="4" s="1"/>
  <c r="I945" i="4"/>
  <c r="L945" i="4" s="1"/>
  <c r="M945" i="4"/>
  <c r="M1013" i="4"/>
  <c r="I1013" i="4"/>
  <c r="L1013" i="4" s="1"/>
  <c r="M270" i="4"/>
  <c r="I270" i="4"/>
  <c r="L270" i="4" s="1"/>
  <c r="I1190" i="4"/>
  <c r="L1190" i="4" s="1"/>
  <c r="M1190" i="4"/>
  <c r="M102" i="4"/>
  <c r="I102" i="4"/>
  <c r="L102" i="4" s="1"/>
  <c r="M426" i="4"/>
  <c r="I426" i="4"/>
  <c r="L426" i="4" s="1"/>
  <c r="M583" i="4"/>
  <c r="I583" i="4"/>
  <c r="L583" i="4" s="1"/>
  <c r="I1310" i="4"/>
  <c r="L1310" i="4" s="1"/>
  <c r="M1310" i="4"/>
  <c r="M984" i="4"/>
  <c r="I984" i="4"/>
  <c r="L984" i="4" s="1"/>
  <c r="M46" i="4"/>
  <c r="I46" i="4"/>
  <c r="L46" i="4" s="1"/>
  <c r="M129" i="4"/>
  <c r="I129" i="4"/>
  <c r="L129" i="4" s="1"/>
  <c r="M128" i="4"/>
  <c r="I128" i="4"/>
  <c r="L128" i="4" s="1"/>
  <c r="I865" i="4"/>
  <c r="L865" i="4" s="1"/>
  <c r="M865" i="4"/>
  <c r="I869" i="4"/>
  <c r="L869" i="4" s="1"/>
  <c r="M869" i="4"/>
  <c r="M987" i="4"/>
  <c r="I987" i="4"/>
  <c r="L987" i="4" s="1"/>
  <c r="I229" i="4"/>
  <c r="L229" i="4" s="1"/>
  <c r="M229" i="4"/>
  <c r="I541" i="4"/>
  <c r="L541" i="4" s="1"/>
  <c r="M541" i="4"/>
  <c r="M540" i="4"/>
  <c r="I540" i="4"/>
  <c r="L540" i="4" s="1"/>
  <c r="I618" i="4"/>
  <c r="L618" i="4" s="1"/>
  <c r="M618" i="4"/>
  <c r="M675" i="4"/>
  <c r="I675" i="4"/>
  <c r="L675" i="4" s="1"/>
  <c r="M972" i="4"/>
  <c r="I972" i="4"/>
  <c r="L972" i="4" s="1"/>
  <c r="I1100" i="4"/>
  <c r="L1100" i="4" s="1"/>
  <c r="M1100" i="4"/>
  <c r="M1103" i="4"/>
  <c r="I1103" i="4"/>
  <c r="L1103" i="4" s="1"/>
  <c r="M204" i="4"/>
  <c r="I204" i="4"/>
  <c r="L204" i="4" s="1"/>
  <c r="I280" i="4"/>
  <c r="L280" i="4" s="1"/>
  <c r="M280" i="4"/>
  <c r="I319" i="4"/>
  <c r="L319" i="4" s="1"/>
  <c r="M319" i="4"/>
  <c r="I323" i="4"/>
  <c r="L323" i="4" s="1"/>
  <c r="M323" i="4"/>
  <c r="I384" i="4"/>
  <c r="L384" i="4" s="1"/>
  <c r="M384" i="4"/>
  <c r="M385" i="4"/>
  <c r="I385" i="4"/>
  <c r="L385" i="4" s="1"/>
  <c r="M633" i="4"/>
  <c r="I633" i="4"/>
  <c r="L633" i="4" s="1"/>
  <c r="I956" i="4"/>
  <c r="L956" i="4" s="1"/>
  <c r="M956" i="4"/>
  <c r="M957" i="4"/>
  <c r="I957" i="4"/>
  <c r="L957" i="4" s="1"/>
  <c r="I1091" i="4"/>
  <c r="L1091" i="4" s="1"/>
  <c r="M1091" i="4"/>
  <c r="M1090" i="4"/>
  <c r="I1090" i="4"/>
  <c r="L1090" i="4" s="1"/>
  <c r="M1139" i="4"/>
  <c r="I1139" i="4"/>
  <c r="L1139" i="4" s="1"/>
  <c r="I1143" i="4"/>
  <c r="L1143" i="4" s="1"/>
  <c r="M1143" i="4"/>
  <c r="M1204" i="4"/>
  <c r="I1204" i="4"/>
  <c r="L1204" i="4" s="1"/>
  <c r="I1244" i="4"/>
  <c r="L1244" i="4" s="1"/>
  <c r="M1244" i="4"/>
  <c r="M1246" i="4"/>
  <c r="I1246" i="4"/>
  <c r="L1246" i="4" s="1"/>
  <c r="M736" i="4"/>
  <c r="I736" i="4"/>
  <c r="L736" i="4" s="1"/>
  <c r="M739" i="4"/>
  <c r="I739" i="4"/>
  <c r="L739" i="4" s="1"/>
  <c r="I166" i="4"/>
  <c r="L166" i="4" s="1"/>
  <c r="M166" i="4"/>
  <c r="I337" i="4"/>
  <c r="L337" i="4" s="1"/>
  <c r="M337" i="4"/>
  <c r="M336" i="4"/>
  <c r="I336" i="4"/>
  <c r="L336" i="4" s="1"/>
  <c r="M504" i="4"/>
  <c r="I504" i="4"/>
  <c r="L504" i="4" s="1"/>
  <c r="M762" i="4"/>
  <c r="I762" i="4"/>
  <c r="L762" i="4" s="1"/>
  <c r="I399" i="4"/>
  <c r="L399" i="4" s="1"/>
  <c r="M399" i="4"/>
  <c r="I398" i="4"/>
  <c r="L398" i="4" s="1"/>
  <c r="M398" i="4"/>
  <c r="M557" i="4"/>
  <c r="I557" i="4"/>
  <c r="L557" i="4" s="1"/>
  <c r="M1050" i="4"/>
  <c r="I1050" i="4"/>
  <c r="L1050" i="4" s="1"/>
  <c r="M1049" i="4"/>
  <c r="I1049" i="4"/>
  <c r="L1049" i="4" s="1"/>
  <c r="M1257" i="4"/>
  <c r="I1257" i="4"/>
  <c r="L1257" i="4" s="1"/>
  <c r="M1260" i="4"/>
  <c r="I1260" i="4"/>
  <c r="L1260" i="4" s="1"/>
  <c r="M1023" i="4"/>
  <c r="I1023" i="4"/>
  <c r="L1023" i="4" s="1"/>
  <c r="M1216" i="4"/>
  <c r="I1216" i="4"/>
  <c r="L1216" i="4" s="1"/>
  <c r="M246" i="4"/>
  <c r="I246" i="4"/>
  <c r="L246" i="4" s="1"/>
  <c r="I776" i="4"/>
  <c r="L776" i="4" s="1"/>
  <c r="M776" i="4"/>
  <c r="M1112" i="4"/>
  <c r="I1112" i="4"/>
  <c r="L1112" i="4" s="1"/>
  <c r="I76" i="4"/>
  <c r="L76" i="4" s="1"/>
  <c r="M76" i="4"/>
  <c r="I1078" i="4"/>
  <c r="L1078" i="4" s="1"/>
  <c r="M1078" i="4"/>
  <c r="I1309" i="4"/>
  <c r="L1309" i="4" s="1"/>
  <c r="M1309" i="4"/>
  <c r="I181" i="4"/>
  <c r="L181" i="4" s="1"/>
  <c r="M181" i="4"/>
  <c r="M219" i="4"/>
  <c r="I219" i="4"/>
  <c r="L219" i="4" s="1"/>
  <c r="I193" i="4"/>
  <c r="L193" i="4" s="1"/>
  <c r="M193" i="4"/>
  <c r="M311" i="4"/>
  <c r="I311" i="4"/>
  <c r="L311" i="4" s="1"/>
  <c r="M1299" i="4"/>
  <c r="I1299" i="4"/>
  <c r="L1299" i="4" s="1"/>
  <c r="I580" i="4"/>
  <c r="L580" i="4" s="1"/>
  <c r="M580" i="4"/>
  <c r="M502" i="4"/>
  <c r="I502" i="4"/>
  <c r="L502" i="4" s="1"/>
  <c r="M423" i="4"/>
  <c r="I423" i="4"/>
  <c r="L423" i="4" s="1"/>
  <c r="M179" i="4"/>
  <c r="I179" i="4"/>
  <c r="L179" i="4" s="1"/>
  <c r="I1036" i="4"/>
  <c r="L1036" i="4" s="1"/>
  <c r="M1036" i="4"/>
  <c r="I1283" i="4"/>
  <c r="L1283" i="4" s="1"/>
  <c r="M1283" i="4"/>
  <c r="I375" i="4"/>
  <c r="L375" i="4" s="1"/>
  <c r="M375" i="4"/>
  <c r="I449" i="4"/>
  <c r="L449" i="4" s="1"/>
  <c r="M449" i="4"/>
  <c r="M453" i="4"/>
  <c r="I453" i="4"/>
  <c r="L453" i="4" s="1"/>
  <c r="I514" i="4"/>
  <c r="L514" i="4" s="1"/>
  <c r="M514" i="4"/>
  <c r="M516" i="4"/>
  <c r="I516" i="4"/>
  <c r="L516" i="4" s="1"/>
  <c r="I662" i="4"/>
  <c r="L662" i="4" s="1"/>
  <c r="M662" i="4"/>
  <c r="I1234" i="4"/>
  <c r="L1234" i="4" s="1"/>
  <c r="M1234" i="4"/>
  <c r="M245" i="4"/>
  <c r="I245" i="4"/>
  <c r="L245" i="4" s="1"/>
  <c r="I244" i="4"/>
  <c r="L244" i="4" s="1"/>
  <c r="M244" i="4"/>
  <c r="M347" i="4"/>
  <c r="I347" i="4"/>
  <c r="L347" i="4" s="1"/>
  <c r="I436" i="4"/>
  <c r="L436" i="4" s="1"/>
  <c r="M436" i="4"/>
  <c r="I774" i="4"/>
  <c r="L774" i="4" s="1"/>
  <c r="M774" i="4"/>
  <c r="I843" i="4"/>
  <c r="L843" i="4" s="1"/>
  <c r="M843" i="4"/>
  <c r="M894" i="4"/>
  <c r="I894" i="4"/>
  <c r="L894" i="4" s="1"/>
  <c r="M893" i="4"/>
  <c r="I893" i="4"/>
  <c r="L893" i="4" s="1"/>
  <c r="I1060" i="4"/>
  <c r="L1060" i="4" s="1"/>
  <c r="M1060" i="4"/>
  <c r="M1064" i="4"/>
  <c r="I1064" i="4"/>
  <c r="L1064" i="4" s="1"/>
  <c r="M1272" i="4"/>
  <c r="I1272" i="4"/>
  <c r="L1272" i="4" s="1"/>
  <c r="I1115" i="4"/>
  <c r="L1115" i="4" s="1"/>
  <c r="M1115" i="4"/>
  <c r="M1156" i="4"/>
  <c r="I1156" i="4"/>
  <c r="L1156" i="4" s="1"/>
  <c r="I1151" i="4"/>
  <c r="L1151" i="4" s="1"/>
  <c r="M1151" i="4"/>
  <c r="I77" i="4"/>
  <c r="L77" i="4" s="1"/>
  <c r="M77" i="4"/>
  <c r="I72" i="4"/>
  <c r="L72" i="4" s="1"/>
  <c r="M72" i="4"/>
  <c r="M854" i="4"/>
  <c r="I854" i="4"/>
  <c r="L854" i="4" s="1"/>
  <c r="I918" i="4"/>
  <c r="L918" i="4" s="1"/>
  <c r="M918" i="4"/>
  <c r="I1074" i="4"/>
  <c r="L1074" i="4" s="1"/>
  <c r="M1074" i="4"/>
  <c r="I1000" i="4"/>
  <c r="L1000" i="4" s="1"/>
  <c r="M1000" i="4"/>
  <c r="M999" i="4"/>
  <c r="I999" i="4"/>
  <c r="L999" i="4" s="1"/>
  <c r="M23" i="5"/>
  <c r="I23" i="5"/>
  <c r="L23" i="5" s="1"/>
  <c r="M20" i="5"/>
  <c r="I20" i="5"/>
  <c r="L20" i="5" s="1"/>
  <c r="M1167" i="4"/>
  <c r="I1167" i="4"/>
  <c r="L1167" i="4" s="1"/>
  <c r="I958" i="4"/>
  <c r="L958" i="4" s="1"/>
  <c r="M958" i="4"/>
  <c r="M1221" i="4"/>
  <c r="I1221" i="4"/>
  <c r="L1221" i="4" s="1"/>
  <c r="M137" i="4"/>
  <c r="I137" i="4"/>
  <c r="L137" i="4" s="1"/>
  <c r="M140" i="4"/>
  <c r="I140" i="4"/>
  <c r="L140" i="4" s="1"/>
  <c r="I709" i="4"/>
  <c r="L709" i="4" s="1"/>
  <c r="M709" i="4"/>
  <c r="M947" i="4"/>
  <c r="I947" i="4"/>
  <c r="L947" i="4" s="1"/>
  <c r="M180" i="4"/>
  <c r="I180" i="4"/>
  <c r="L180" i="4" s="1"/>
  <c r="I217" i="4"/>
  <c r="L217" i="4" s="1"/>
  <c r="M217" i="4"/>
  <c r="M492" i="4"/>
  <c r="I492" i="4"/>
  <c r="L492" i="4" s="1"/>
  <c r="M606" i="4"/>
  <c r="I606" i="4"/>
  <c r="L606" i="4" s="1"/>
  <c r="I723" i="4"/>
  <c r="L723" i="4" s="1"/>
  <c r="M723" i="4"/>
  <c r="I727" i="4"/>
  <c r="L727" i="4" s="1"/>
  <c r="M727" i="4"/>
  <c r="I1011" i="4"/>
  <c r="L1011" i="4" s="1"/>
  <c r="M1011" i="4"/>
  <c r="M190" i="4"/>
  <c r="I190" i="4"/>
  <c r="L190" i="4" s="1"/>
  <c r="M192" i="4"/>
  <c r="I192" i="4"/>
  <c r="L192" i="4" s="1"/>
  <c r="I269" i="4"/>
  <c r="L269" i="4" s="1"/>
  <c r="M269" i="4"/>
  <c r="M306" i="4"/>
  <c r="I306" i="4"/>
  <c r="L306" i="4" s="1"/>
  <c r="M309" i="4"/>
  <c r="I309" i="4"/>
  <c r="L309" i="4" s="1"/>
  <c r="M570" i="4"/>
  <c r="I570" i="4"/>
  <c r="L570" i="4" s="1"/>
  <c r="M566" i="4"/>
  <c r="I566" i="4"/>
  <c r="L566" i="4" s="1"/>
  <c r="I1195" i="4"/>
  <c r="L1195" i="4" s="1"/>
  <c r="M1195" i="4"/>
  <c r="I1191" i="4"/>
  <c r="L1191" i="4" s="1"/>
  <c r="M1191" i="4"/>
  <c r="M1298" i="4"/>
  <c r="I1298" i="4"/>
  <c r="L1298" i="4" s="1"/>
  <c r="M98" i="4"/>
  <c r="I98" i="4"/>
  <c r="L98" i="4" s="1"/>
  <c r="M101" i="4"/>
  <c r="I101" i="4"/>
  <c r="L101" i="4" s="1"/>
  <c r="I904" i="4"/>
  <c r="L904" i="4" s="1"/>
  <c r="M904" i="4"/>
  <c r="I428" i="4"/>
  <c r="L428" i="4" s="1"/>
  <c r="M428" i="4"/>
  <c r="I826" i="4"/>
  <c r="L826" i="4" s="1"/>
  <c r="M826" i="4"/>
  <c r="I830" i="4"/>
  <c r="L830" i="4" s="1"/>
  <c r="M830" i="4"/>
  <c r="I464" i="4"/>
  <c r="L464" i="4" s="1"/>
  <c r="M464" i="4"/>
  <c r="I584" i="4"/>
  <c r="L584" i="4" s="1"/>
  <c r="M584" i="4"/>
  <c r="I1182" i="4"/>
  <c r="L1182" i="4" s="1"/>
  <c r="M1182" i="4"/>
  <c r="M738" i="4"/>
  <c r="I738" i="4"/>
  <c r="L738" i="4" s="1"/>
  <c r="M50" i="4"/>
  <c r="I50" i="4"/>
  <c r="L50" i="4" s="1"/>
  <c r="I127" i="4"/>
  <c r="L127" i="4" s="1"/>
  <c r="M127" i="4"/>
  <c r="I870" i="4"/>
  <c r="L870" i="4" s="1"/>
  <c r="M870" i="4"/>
  <c r="I986" i="4"/>
  <c r="L986" i="4" s="1"/>
  <c r="M986" i="4"/>
  <c r="M231" i="4"/>
  <c r="I231" i="4"/>
  <c r="L231" i="4" s="1"/>
  <c r="M228" i="4"/>
  <c r="I228" i="4"/>
  <c r="L228" i="4" s="1"/>
  <c r="M232" i="4"/>
  <c r="I232" i="4"/>
  <c r="L232" i="4" s="1"/>
  <c r="I545" i="4"/>
  <c r="L545" i="4" s="1"/>
  <c r="M545" i="4"/>
  <c r="M542" i="4"/>
  <c r="I542" i="4"/>
  <c r="L542" i="4" s="1"/>
  <c r="I619" i="4"/>
  <c r="L619" i="4" s="1"/>
  <c r="M619" i="4"/>
  <c r="M620" i="4"/>
  <c r="I620" i="4"/>
  <c r="L620" i="4" s="1"/>
  <c r="I673" i="4"/>
  <c r="L673" i="4" s="1"/>
  <c r="M673" i="4"/>
  <c r="I672" i="4"/>
  <c r="L672" i="4" s="1"/>
  <c r="M672" i="4"/>
  <c r="I969" i="4"/>
  <c r="L969" i="4" s="1"/>
  <c r="M969" i="4"/>
  <c r="I971" i="4"/>
  <c r="L971" i="4" s="1"/>
  <c r="M971" i="4"/>
  <c r="M1099" i="4"/>
  <c r="I1099" i="4"/>
  <c r="L1099" i="4" s="1"/>
  <c r="I203" i="4"/>
  <c r="L203" i="4" s="1"/>
  <c r="M203" i="4"/>
  <c r="M207" i="4"/>
  <c r="I207" i="4"/>
  <c r="L207" i="4" s="1"/>
  <c r="I285" i="4"/>
  <c r="L285" i="4" s="1"/>
  <c r="M285" i="4"/>
  <c r="M281" i="4"/>
  <c r="I281" i="4"/>
  <c r="L281" i="4" s="1"/>
  <c r="M324" i="4"/>
  <c r="I324" i="4"/>
  <c r="L324" i="4" s="1"/>
  <c r="I388" i="4"/>
  <c r="L388" i="4" s="1"/>
  <c r="M388" i="4"/>
  <c r="M959" i="4"/>
  <c r="I959" i="4"/>
  <c r="L959" i="4" s="1"/>
  <c r="M1088" i="4"/>
  <c r="I1088" i="4"/>
  <c r="L1088" i="4" s="1"/>
  <c r="M1141" i="4"/>
  <c r="I1141" i="4"/>
  <c r="L1141" i="4" s="1"/>
  <c r="I1206" i="4"/>
  <c r="L1206" i="4" s="1"/>
  <c r="M1206" i="4"/>
  <c r="M1207" i="4"/>
  <c r="I1207" i="4"/>
  <c r="L1207" i="4" s="1"/>
  <c r="M1242" i="4"/>
  <c r="I1242" i="4"/>
  <c r="L1242" i="4" s="1"/>
  <c r="M1308" i="4"/>
  <c r="I1308" i="4"/>
  <c r="L1308" i="4" s="1"/>
  <c r="M164" i="4"/>
  <c r="I164" i="4"/>
  <c r="L164" i="4" s="1"/>
  <c r="M737" i="4"/>
  <c r="I737" i="4"/>
  <c r="L737" i="4" s="1"/>
  <c r="M168" i="4"/>
  <c r="I168" i="4"/>
  <c r="L168" i="4" s="1"/>
  <c r="I163" i="4"/>
  <c r="L163" i="4" s="1"/>
  <c r="M163" i="4"/>
  <c r="I334" i="4"/>
  <c r="L334" i="4" s="1"/>
  <c r="M334" i="4"/>
  <c r="I506" i="4"/>
  <c r="L506" i="4" s="1"/>
  <c r="M506" i="4"/>
  <c r="I763" i="4"/>
  <c r="L763" i="4" s="1"/>
  <c r="M763" i="4"/>
  <c r="I764" i="4"/>
  <c r="L764" i="4" s="1"/>
  <c r="M764" i="4"/>
  <c r="I295" i="4"/>
  <c r="L295" i="4" s="1"/>
  <c r="M295" i="4"/>
  <c r="I397" i="4"/>
  <c r="L397" i="4" s="1"/>
  <c r="M397" i="4"/>
  <c r="I558" i="4"/>
  <c r="L558" i="4" s="1"/>
  <c r="M558" i="4"/>
  <c r="I555" i="4"/>
  <c r="L555" i="4" s="1"/>
  <c r="M555" i="4"/>
  <c r="M1051" i="4"/>
  <c r="I1051" i="4"/>
  <c r="L1051" i="4" s="1"/>
  <c r="M1258" i="4"/>
  <c r="I1258" i="4"/>
  <c r="L1258" i="4" s="1"/>
  <c r="I1022" i="4"/>
  <c r="L1022" i="4" s="1"/>
  <c r="M1022" i="4"/>
  <c r="I1021" i="4"/>
  <c r="L1021" i="4" s="1"/>
  <c r="M1021" i="4"/>
  <c r="M1218" i="4"/>
  <c r="I1218" i="4"/>
  <c r="L1218" i="4" s="1"/>
  <c r="I373" i="4"/>
  <c r="L373" i="4" s="1"/>
  <c r="M373" i="4"/>
  <c r="M1231" i="4"/>
  <c r="I1231" i="4"/>
  <c r="L1231" i="4" s="1"/>
  <c r="M839" i="4"/>
  <c r="I839" i="4"/>
  <c r="L839" i="4" s="1"/>
  <c r="M1065" i="4"/>
  <c r="I1065" i="4"/>
  <c r="L1065" i="4" s="1"/>
  <c r="I73" i="4"/>
  <c r="L73" i="4" s="1"/>
  <c r="M73" i="4"/>
  <c r="M997" i="4"/>
  <c r="I997" i="4"/>
  <c r="L997" i="4" s="1"/>
  <c r="M22" i="5"/>
  <c r="I22" i="5"/>
  <c r="L22" i="5" s="1"/>
  <c r="I36" i="4"/>
  <c r="L36" i="4" s="1"/>
  <c r="M713" i="4"/>
  <c r="I713" i="4"/>
  <c r="L713" i="4" s="1"/>
  <c r="I176" i="4"/>
  <c r="L176" i="4" s="1"/>
  <c r="M176" i="4"/>
  <c r="I724" i="4"/>
  <c r="L724" i="4" s="1"/>
  <c r="M724" i="4"/>
  <c r="M1295" i="4"/>
  <c r="I1295" i="4"/>
  <c r="L1295" i="4" s="1"/>
  <c r="I907" i="4"/>
  <c r="L907" i="4" s="1"/>
  <c r="M907" i="4"/>
  <c r="M831" i="4"/>
  <c r="I831" i="4"/>
  <c r="L831" i="4" s="1"/>
  <c r="M1168" i="4"/>
  <c r="I1168" i="4"/>
  <c r="L1168" i="4" s="1"/>
  <c r="M1286" i="4"/>
  <c r="I1286" i="4"/>
  <c r="L1286" i="4" s="1"/>
  <c r="M1220" i="4"/>
  <c r="I1220" i="4"/>
  <c r="L1220" i="4" s="1"/>
  <c r="M609" i="4"/>
  <c r="I609" i="4"/>
  <c r="L609" i="4" s="1"/>
  <c r="I1035" i="4"/>
  <c r="L1035" i="4" s="1"/>
  <c r="M1035" i="4"/>
  <c r="M1284" i="4"/>
  <c r="I1284" i="4"/>
  <c r="L1284" i="4" s="1"/>
  <c r="M372" i="4"/>
  <c r="I372" i="4"/>
  <c r="L372" i="4" s="1"/>
  <c r="I452" i="4"/>
  <c r="L452" i="4" s="1"/>
  <c r="M452" i="4"/>
  <c r="I451" i="4"/>
  <c r="L451" i="4" s="1"/>
  <c r="M451" i="4"/>
  <c r="M515" i="4"/>
  <c r="I515" i="4"/>
  <c r="L515" i="4" s="1"/>
  <c r="I658" i="4"/>
  <c r="L658" i="4" s="1"/>
  <c r="M658" i="4"/>
  <c r="M657" i="4"/>
  <c r="I657" i="4"/>
  <c r="L657" i="4" s="1"/>
  <c r="I1102" i="4"/>
  <c r="L1102" i="4" s="1"/>
  <c r="M1102" i="4"/>
  <c r="M1230" i="4"/>
  <c r="I1230" i="4"/>
  <c r="L1230" i="4" s="1"/>
  <c r="M241" i="4"/>
  <c r="I241" i="4"/>
  <c r="L241" i="4" s="1"/>
  <c r="I346" i="4"/>
  <c r="L346" i="4" s="1"/>
  <c r="M346" i="4"/>
  <c r="I349" i="4"/>
  <c r="L349" i="4" s="1"/>
  <c r="M349" i="4"/>
  <c r="M438" i="4"/>
  <c r="I438" i="4"/>
  <c r="L438" i="4" s="1"/>
  <c r="M777" i="4"/>
  <c r="I777" i="4"/>
  <c r="L777" i="4" s="1"/>
  <c r="I778" i="4"/>
  <c r="L778" i="4" s="1"/>
  <c r="M778" i="4"/>
  <c r="I841" i="4"/>
  <c r="L841" i="4" s="1"/>
  <c r="M841" i="4"/>
  <c r="I896" i="4"/>
  <c r="L896" i="4" s="1"/>
  <c r="M896" i="4"/>
  <c r="M891" i="4"/>
  <c r="I891" i="4"/>
  <c r="L891" i="4" s="1"/>
  <c r="I1061" i="4"/>
  <c r="L1061" i="4" s="1"/>
  <c r="M1061" i="4"/>
  <c r="M1268" i="4"/>
  <c r="I1268" i="4"/>
  <c r="L1268" i="4" s="1"/>
  <c r="I1273" i="4"/>
  <c r="L1273" i="4" s="1"/>
  <c r="M1273" i="4"/>
  <c r="M1113" i="4"/>
  <c r="I1113" i="4"/>
  <c r="L1113" i="4" s="1"/>
  <c r="M1153" i="4"/>
  <c r="I1153" i="4"/>
  <c r="L1153" i="4" s="1"/>
  <c r="I75" i="4"/>
  <c r="L75" i="4" s="1"/>
  <c r="M75" i="4"/>
  <c r="I853" i="4"/>
  <c r="L853" i="4" s="1"/>
  <c r="M853" i="4"/>
  <c r="M856" i="4"/>
  <c r="I856" i="4"/>
  <c r="L856" i="4" s="1"/>
  <c r="M920" i="4"/>
  <c r="I920" i="4"/>
  <c r="L920" i="4" s="1"/>
  <c r="M1073" i="4"/>
  <c r="I1073" i="4"/>
  <c r="L1073" i="4" s="1"/>
  <c r="M1075" i="4"/>
  <c r="I1075" i="4"/>
  <c r="L1075" i="4" s="1"/>
  <c r="I996" i="4"/>
  <c r="L996" i="4" s="1"/>
  <c r="M996" i="4"/>
  <c r="M19" i="5"/>
  <c r="I19" i="5"/>
  <c r="L19" i="5" s="1"/>
  <c r="I18" i="5"/>
  <c r="L18" i="5" s="1"/>
  <c r="M18" i="5"/>
  <c r="M1181" i="4"/>
  <c r="I1181" i="4"/>
  <c r="L1181" i="4" s="1"/>
  <c r="I1165" i="4"/>
  <c r="L1165" i="4" s="1"/>
  <c r="M1165" i="4"/>
  <c r="I139" i="4"/>
  <c r="L139" i="4" s="1"/>
  <c r="M139" i="4"/>
  <c r="M142" i="4"/>
  <c r="I142" i="4"/>
  <c r="L142" i="4" s="1"/>
  <c r="I714" i="4"/>
  <c r="L714" i="4" s="1"/>
  <c r="M714" i="4"/>
  <c r="I948" i="4"/>
  <c r="L948" i="4" s="1"/>
  <c r="M948" i="4"/>
  <c r="M943" i="4"/>
  <c r="I943" i="4"/>
  <c r="L943" i="4" s="1"/>
  <c r="I215" i="4"/>
  <c r="L215" i="4" s="1"/>
  <c r="M215" i="4"/>
  <c r="M490" i="4"/>
  <c r="I490" i="4"/>
  <c r="L490" i="4" s="1"/>
  <c r="I488" i="4"/>
  <c r="L488" i="4" s="1"/>
  <c r="M488" i="4"/>
  <c r="I608" i="4"/>
  <c r="L608" i="4" s="1"/>
  <c r="M608" i="4"/>
  <c r="M725" i="4"/>
  <c r="I725" i="4"/>
  <c r="L725" i="4" s="1"/>
  <c r="M1012" i="4"/>
  <c r="I1012" i="4"/>
  <c r="L1012" i="4" s="1"/>
  <c r="M1009" i="4"/>
  <c r="I1009" i="4"/>
  <c r="L1009" i="4" s="1"/>
  <c r="M191" i="4"/>
  <c r="I191" i="4"/>
  <c r="L191" i="4" s="1"/>
  <c r="M189" i="4"/>
  <c r="I189" i="4"/>
  <c r="L189" i="4" s="1"/>
  <c r="M267" i="4"/>
  <c r="I267" i="4"/>
  <c r="L267" i="4" s="1"/>
  <c r="I307" i="4"/>
  <c r="L307" i="4" s="1"/>
  <c r="M307" i="4"/>
  <c r="I308" i="4"/>
  <c r="L308" i="4" s="1"/>
  <c r="M308" i="4"/>
  <c r="I568" i="4"/>
  <c r="L568" i="4" s="1"/>
  <c r="M568" i="4"/>
  <c r="I569" i="4"/>
  <c r="L569" i="4" s="1"/>
  <c r="M569" i="4"/>
  <c r="M1193" i="4"/>
  <c r="I1193" i="4"/>
  <c r="L1193" i="4" s="1"/>
  <c r="I1164" i="4"/>
  <c r="L1164" i="4" s="1"/>
  <c r="M1164" i="4"/>
  <c r="I1294" i="4"/>
  <c r="L1294" i="4" s="1"/>
  <c r="M1294" i="4"/>
  <c r="M103" i="4"/>
  <c r="I103" i="4"/>
  <c r="L103" i="4" s="1"/>
  <c r="M908" i="4"/>
  <c r="I908" i="4"/>
  <c r="L908" i="4" s="1"/>
  <c r="M905" i="4"/>
  <c r="I905" i="4"/>
  <c r="L905" i="4" s="1"/>
  <c r="I425" i="4"/>
  <c r="L425" i="4" s="1"/>
  <c r="M425" i="4"/>
  <c r="I827" i="4"/>
  <c r="L827" i="4" s="1"/>
  <c r="M827" i="4"/>
  <c r="M467" i="4"/>
  <c r="I467" i="4"/>
  <c r="L467" i="4" s="1"/>
  <c r="M465" i="4"/>
  <c r="I465" i="4"/>
  <c r="L465" i="4" s="1"/>
  <c r="I581" i="4"/>
  <c r="L581" i="4" s="1"/>
  <c r="M581" i="4"/>
  <c r="M1179" i="4"/>
  <c r="I1179" i="4"/>
  <c r="L1179" i="4" s="1"/>
  <c r="M1154" i="4"/>
  <c r="I1154" i="4"/>
  <c r="L1154" i="4" s="1"/>
  <c r="M47" i="4"/>
  <c r="I47" i="4"/>
  <c r="L47" i="4" s="1"/>
  <c r="M49" i="4"/>
  <c r="I49" i="4"/>
  <c r="L49" i="4" s="1"/>
  <c r="I126" i="4"/>
  <c r="L126" i="4" s="1"/>
  <c r="M126" i="4"/>
  <c r="I868" i="4"/>
  <c r="L868" i="4" s="1"/>
  <c r="M868" i="4"/>
  <c r="M982" i="4"/>
  <c r="I982" i="4"/>
  <c r="L982" i="4" s="1"/>
  <c r="M544" i="4"/>
  <c r="I544" i="4"/>
  <c r="L544" i="4" s="1"/>
  <c r="M623" i="4"/>
  <c r="I623" i="4"/>
  <c r="L623" i="4" s="1"/>
  <c r="M622" i="4"/>
  <c r="I622" i="4"/>
  <c r="L622" i="4" s="1"/>
  <c r="M671" i="4"/>
  <c r="I671" i="4"/>
  <c r="L671" i="4" s="1"/>
  <c r="M973" i="4"/>
  <c r="I973" i="4"/>
  <c r="L973" i="4" s="1"/>
  <c r="M1104" i="4"/>
  <c r="I1104" i="4"/>
  <c r="L1104" i="4" s="1"/>
  <c r="I202" i="4"/>
  <c r="L202" i="4" s="1"/>
  <c r="M202" i="4"/>
  <c r="M206" i="4"/>
  <c r="I206" i="4"/>
  <c r="L206" i="4" s="1"/>
  <c r="I205" i="4"/>
  <c r="L205" i="4" s="1"/>
  <c r="M205" i="4"/>
  <c r="M283" i="4"/>
  <c r="I283" i="4"/>
  <c r="L283" i="4" s="1"/>
  <c r="I284" i="4"/>
  <c r="L284" i="4" s="1"/>
  <c r="M284" i="4"/>
  <c r="M321" i="4"/>
  <c r="I321" i="4"/>
  <c r="L321" i="4" s="1"/>
  <c r="M387" i="4"/>
  <c r="I387" i="4"/>
  <c r="L387" i="4" s="1"/>
  <c r="M636" i="4"/>
  <c r="I636" i="4"/>
  <c r="L636" i="4" s="1"/>
  <c r="I632" i="4"/>
  <c r="L632" i="4" s="1"/>
  <c r="M632" i="4"/>
  <c r="I960" i="4"/>
  <c r="L960" i="4" s="1"/>
  <c r="M960" i="4"/>
  <c r="M1086" i="4"/>
  <c r="I1086" i="4"/>
  <c r="L1086" i="4" s="1"/>
  <c r="I1142" i="4"/>
  <c r="L1142" i="4" s="1"/>
  <c r="M1142" i="4"/>
  <c r="M1205" i="4"/>
  <c r="I1205" i="4"/>
  <c r="L1205" i="4" s="1"/>
  <c r="I1208" i="4"/>
  <c r="L1208" i="4" s="1"/>
  <c r="M1208" i="4"/>
  <c r="I1245" i="4"/>
  <c r="L1245" i="4" s="1"/>
  <c r="M1245" i="4"/>
  <c r="M1307" i="4"/>
  <c r="I1307" i="4"/>
  <c r="L1307" i="4" s="1"/>
  <c r="M917" i="4"/>
  <c r="I917" i="4"/>
  <c r="L917" i="4" s="1"/>
  <c r="I740" i="4"/>
  <c r="L740" i="4" s="1"/>
  <c r="M740" i="4"/>
  <c r="M165" i="4"/>
  <c r="I165" i="4"/>
  <c r="L165" i="4" s="1"/>
  <c r="M167" i="4"/>
  <c r="I167" i="4"/>
  <c r="L167" i="4" s="1"/>
  <c r="M332" i="4"/>
  <c r="I332" i="4"/>
  <c r="L332" i="4" s="1"/>
  <c r="I501" i="4"/>
  <c r="L501" i="4" s="1"/>
  <c r="M501" i="4"/>
  <c r="M765" i="4"/>
  <c r="I765" i="4"/>
  <c r="L765" i="4" s="1"/>
  <c r="M761" i="4"/>
  <c r="I761" i="4"/>
  <c r="L761" i="4" s="1"/>
  <c r="M294" i="4"/>
  <c r="I294" i="4"/>
  <c r="L294" i="4" s="1"/>
  <c r="I298" i="4"/>
  <c r="L298" i="4" s="1"/>
  <c r="M298" i="4"/>
  <c r="I401" i="4"/>
  <c r="L401" i="4" s="1"/>
  <c r="M401" i="4"/>
  <c r="I553" i="4"/>
  <c r="L553" i="4" s="1"/>
  <c r="M553" i="4"/>
  <c r="M554" i="4"/>
  <c r="I554" i="4"/>
  <c r="L554" i="4" s="1"/>
  <c r="M1052" i="4"/>
  <c r="I1052" i="4"/>
  <c r="L1052" i="4" s="1"/>
  <c r="M1256" i="4"/>
  <c r="I1256" i="4"/>
  <c r="L1256" i="4" s="1"/>
  <c r="I1026" i="4"/>
  <c r="L1026" i="4" s="1"/>
  <c r="M1026" i="4"/>
  <c r="M1024" i="4"/>
  <c r="I1024" i="4"/>
  <c r="L1024" i="4" s="1"/>
  <c r="I1282" i="4"/>
  <c r="L1282" i="4" s="1"/>
  <c r="M1282" i="4"/>
  <c r="M242" i="4"/>
  <c r="I242" i="4"/>
  <c r="L242" i="4" s="1"/>
  <c r="I437" i="4"/>
  <c r="L437" i="4" s="1"/>
  <c r="M437" i="4"/>
  <c r="I1269" i="4"/>
  <c r="L1269" i="4" s="1"/>
  <c r="M1269" i="4"/>
  <c r="M1152" i="4"/>
  <c r="I1152" i="4"/>
  <c r="L1152" i="4" s="1"/>
  <c r="M919" i="4"/>
  <c r="I919" i="4"/>
  <c r="L919" i="4" s="1"/>
  <c r="I710" i="4"/>
  <c r="L710" i="4" s="1"/>
  <c r="M710" i="4"/>
  <c r="I177" i="4"/>
  <c r="L177" i="4" s="1"/>
  <c r="M177" i="4"/>
  <c r="I218" i="4"/>
  <c r="L218" i="4" s="1"/>
  <c r="M218" i="4"/>
  <c r="I489" i="4"/>
  <c r="L489" i="4" s="1"/>
  <c r="M489" i="4"/>
  <c r="M605" i="4"/>
  <c r="I605" i="4"/>
  <c r="L605" i="4" s="1"/>
  <c r="I271" i="4"/>
  <c r="L271" i="4" s="1"/>
  <c r="M271" i="4"/>
  <c r="M571" i="4"/>
  <c r="I571" i="4"/>
  <c r="L571" i="4" s="1"/>
  <c r="I1194" i="4"/>
  <c r="L1194" i="4" s="1"/>
  <c r="M1194" i="4"/>
  <c r="I99" i="4"/>
  <c r="L99" i="4" s="1"/>
  <c r="M99" i="4"/>
  <c r="I427" i="4"/>
  <c r="L427" i="4" s="1"/>
  <c r="M427" i="4"/>
  <c r="I466" i="4"/>
  <c r="L466" i="4" s="1"/>
  <c r="M466" i="4"/>
  <c r="I1177" i="4"/>
  <c r="L1177" i="4" s="1"/>
  <c r="M1177" i="4"/>
  <c r="M1034" i="4"/>
  <c r="I1034" i="4"/>
  <c r="L1034" i="4" s="1"/>
  <c r="M1039" i="4"/>
  <c r="I1039" i="4"/>
  <c r="L1039" i="4" s="1"/>
  <c r="M1281" i="4"/>
  <c r="I1281" i="4"/>
  <c r="L1281" i="4" s="1"/>
  <c r="M374" i="4"/>
  <c r="I374" i="4"/>
  <c r="L374" i="4" s="1"/>
  <c r="M371" i="4"/>
  <c r="I371" i="4"/>
  <c r="L371" i="4" s="1"/>
  <c r="M450" i="4"/>
  <c r="I450" i="4"/>
  <c r="L450" i="4" s="1"/>
  <c r="M519" i="4"/>
  <c r="I519" i="4"/>
  <c r="L519" i="4" s="1"/>
  <c r="I518" i="4"/>
  <c r="L518" i="4" s="1"/>
  <c r="M518" i="4"/>
  <c r="M660" i="4"/>
  <c r="I660" i="4"/>
  <c r="L660" i="4" s="1"/>
  <c r="M659" i="4"/>
  <c r="I659" i="4"/>
  <c r="L659" i="4" s="1"/>
  <c r="M1232" i="4"/>
  <c r="I1232" i="4"/>
  <c r="L1232" i="4" s="1"/>
  <c r="M1229" i="4"/>
  <c r="I1229" i="4"/>
  <c r="L1229" i="4" s="1"/>
  <c r="I243" i="4"/>
  <c r="L243" i="4" s="1"/>
  <c r="M243" i="4"/>
  <c r="M345" i="4"/>
  <c r="I345" i="4"/>
  <c r="L345" i="4" s="1"/>
  <c r="I348" i="4"/>
  <c r="L348" i="4" s="1"/>
  <c r="M348" i="4"/>
  <c r="I350" i="4"/>
  <c r="L350" i="4" s="1"/>
  <c r="M350" i="4"/>
  <c r="I440" i="4"/>
  <c r="L440" i="4" s="1"/>
  <c r="M440" i="4"/>
  <c r="I439" i="4"/>
  <c r="L439" i="4" s="1"/>
  <c r="M439" i="4"/>
  <c r="M779" i="4"/>
  <c r="I779" i="4"/>
  <c r="L779" i="4" s="1"/>
  <c r="I775" i="4"/>
  <c r="L775" i="4" s="1"/>
  <c r="M775" i="4"/>
  <c r="I840" i="4"/>
  <c r="L840" i="4" s="1"/>
  <c r="M840" i="4"/>
  <c r="M892" i="4"/>
  <c r="I892" i="4"/>
  <c r="L892" i="4" s="1"/>
  <c r="I1062" i="4"/>
  <c r="L1062" i="4" s="1"/>
  <c r="M1062" i="4"/>
  <c r="I1271" i="4"/>
  <c r="L1271" i="4" s="1"/>
  <c r="M1271" i="4"/>
  <c r="M1270" i="4"/>
  <c r="I1270" i="4"/>
  <c r="L1270" i="4" s="1"/>
  <c r="I1117" i="4"/>
  <c r="L1117" i="4" s="1"/>
  <c r="M1117" i="4"/>
  <c r="M1155" i="4"/>
  <c r="I1155" i="4"/>
  <c r="L1155" i="4" s="1"/>
  <c r="M74" i="4"/>
  <c r="I74" i="4"/>
  <c r="L74" i="4" s="1"/>
  <c r="M852" i="4"/>
  <c r="I852" i="4"/>
  <c r="L852" i="4" s="1"/>
  <c r="I921" i="4"/>
  <c r="L921" i="4" s="1"/>
  <c r="M921" i="4"/>
  <c r="M1077" i="4"/>
  <c r="I1077" i="4"/>
  <c r="L1077" i="4" s="1"/>
  <c r="I1076" i="4"/>
  <c r="L1076" i="4" s="1"/>
  <c r="M1076" i="4"/>
  <c r="M995" i="4"/>
  <c r="I995" i="4"/>
  <c r="L995" i="4" s="1"/>
  <c r="M21" i="5"/>
  <c r="I21" i="5"/>
  <c r="L21" i="5" s="1"/>
  <c r="M1217" i="4"/>
  <c r="I1217" i="4"/>
  <c r="L1217" i="4" s="1"/>
  <c r="I722" i="4"/>
  <c r="L722" i="4" s="1"/>
  <c r="M722" i="4"/>
  <c r="I138" i="4"/>
  <c r="L138" i="4" s="1"/>
  <c r="M138" i="4"/>
  <c r="M711" i="4"/>
  <c r="I711" i="4"/>
  <c r="L711" i="4" s="1"/>
  <c r="M712" i="4"/>
  <c r="I712" i="4"/>
  <c r="L712" i="4" s="1"/>
  <c r="M944" i="4"/>
  <c r="I944" i="4"/>
  <c r="L944" i="4" s="1"/>
  <c r="M220" i="4"/>
  <c r="I220" i="4"/>
  <c r="L220" i="4" s="1"/>
  <c r="M216" i="4"/>
  <c r="I216" i="4"/>
  <c r="L216" i="4" s="1"/>
  <c r="M493" i="4"/>
  <c r="I493" i="4"/>
  <c r="L493" i="4" s="1"/>
  <c r="M491" i="4"/>
  <c r="I491" i="4"/>
  <c r="L491" i="4" s="1"/>
  <c r="M610" i="4"/>
  <c r="I610" i="4"/>
  <c r="L610" i="4" s="1"/>
  <c r="M607" i="4"/>
  <c r="I607" i="4"/>
  <c r="L607" i="4" s="1"/>
  <c r="I726" i="4"/>
  <c r="L726" i="4" s="1"/>
  <c r="M726" i="4"/>
  <c r="M1008" i="4"/>
  <c r="I1008" i="4"/>
  <c r="L1008" i="4" s="1"/>
  <c r="M1010" i="4"/>
  <c r="I1010" i="4"/>
  <c r="L1010" i="4" s="1"/>
  <c r="M194" i="4"/>
  <c r="I194" i="4"/>
  <c r="L194" i="4" s="1"/>
  <c r="I272" i="4"/>
  <c r="L272" i="4" s="1"/>
  <c r="M272" i="4"/>
  <c r="I268" i="4"/>
  <c r="L268" i="4" s="1"/>
  <c r="M268" i="4"/>
  <c r="M310" i="4"/>
  <c r="I310" i="4"/>
  <c r="L310" i="4" s="1"/>
  <c r="M567" i="4"/>
  <c r="I567" i="4"/>
  <c r="L567" i="4" s="1"/>
  <c r="M1192" i="4"/>
  <c r="I1192" i="4"/>
  <c r="L1192" i="4" s="1"/>
  <c r="I1297" i="4"/>
  <c r="L1297" i="4" s="1"/>
  <c r="M1297" i="4"/>
  <c r="M1296" i="4"/>
  <c r="I1296" i="4"/>
  <c r="L1296" i="4" s="1"/>
  <c r="M503" i="4"/>
  <c r="I503" i="4"/>
  <c r="L503" i="4" s="1"/>
  <c r="I100" i="4"/>
  <c r="L100" i="4" s="1"/>
  <c r="M100" i="4"/>
  <c r="I906" i="4"/>
  <c r="L906" i="4" s="1"/>
  <c r="M906" i="4"/>
  <c r="M909" i="4"/>
  <c r="I909" i="4"/>
  <c r="L909" i="4" s="1"/>
  <c r="M424" i="4"/>
  <c r="I424" i="4"/>
  <c r="L424" i="4" s="1"/>
  <c r="I829" i="4"/>
  <c r="L829" i="4" s="1"/>
  <c r="M829" i="4"/>
  <c r="I463" i="4"/>
  <c r="L463" i="4" s="1"/>
  <c r="M463" i="4"/>
  <c r="M579" i="4"/>
  <c r="I579" i="4"/>
  <c r="L579" i="4" s="1"/>
  <c r="M582" i="4"/>
  <c r="I582" i="4"/>
  <c r="L582" i="4" s="1"/>
  <c r="M1312" i="4"/>
  <c r="I1312" i="4"/>
  <c r="L1312" i="4" s="1"/>
  <c r="I51" i="4"/>
  <c r="L51" i="4" s="1"/>
  <c r="M51" i="4"/>
  <c r="I48" i="4"/>
  <c r="L48" i="4" s="1"/>
  <c r="M48" i="4"/>
  <c r="I124" i="4"/>
  <c r="L124" i="4" s="1"/>
  <c r="M124" i="4"/>
  <c r="I125" i="4"/>
  <c r="L125" i="4" s="1"/>
  <c r="M125" i="4"/>
  <c r="I866" i="4"/>
  <c r="L866" i="4" s="1"/>
  <c r="M866" i="4"/>
  <c r="M867" i="4"/>
  <c r="I867" i="4"/>
  <c r="L867" i="4" s="1"/>
  <c r="I985" i="4"/>
  <c r="L985" i="4" s="1"/>
  <c r="M985" i="4"/>
  <c r="I983" i="4"/>
  <c r="L983" i="4" s="1"/>
  <c r="M983" i="4"/>
  <c r="I233" i="4"/>
  <c r="L233" i="4" s="1"/>
  <c r="M233" i="4"/>
  <c r="I230" i="4"/>
  <c r="L230" i="4" s="1"/>
  <c r="M230" i="4"/>
  <c r="I543" i="4"/>
  <c r="L543" i="4" s="1"/>
  <c r="M543" i="4"/>
  <c r="I621" i="4"/>
  <c r="L621" i="4" s="1"/>
  <c r="M621" i="4"/>
  <c r="I674" i="4"/>
  <c r="L674" i="4" s="1"/>
  <c r="M674" i="4"/>
  <c r="M670" i="4"/>
  <c r="I670" i="4"/>
  <c r="L670" i="4" s="1"/>
  <c r="M970" i="4"/>
  <c r="I970" i="4"/>
  <c r="L970" i="4" s="1"/>
  <c r="M1101" i="4"/>
  <c r="I1101" i="4"/>
  <c r="L1101" i="4" s="1"/>
  <c r="M282" i="4"/>
  <c r="I282" i="4"/>
  <c r="L282" i="4" s="1"/>
  <c r="I322" i="4"/>
  <c r="L322" i="4" s="1"/>
  <c r="M322" i="4"/>
  <c r="M320" i="4"/>
  <c r="I320" i="4"/>
  <c r="L320" i="4" s="1"/>
  <c r="M389" i="4"/>
  <c r="I389" i="4"/>
  <c r="L389" i="4" s="1"/>
  <c r="M386" i="4"/>
  <c r="I386" i="4"/>
  <c r="L386" i="4" s="1"/>
  <c r="M634" i="4"/>
  <c r="I634" i="4"/>
  <c r="L634" i="4" s="1"/>
  <c r="M631" i="4"/>
  <c r="I631" i="4"/>
  <c r="L631" i="4" s="1"/>
  <c r="I961" i="4"/>
  <c r="L961" i="4" s="1"/>
  <c r="M961" i="4"/>
  <c r="I1089" i="4"/>
  <c r="L1089" i="4" s="1"/>
  <c r="M1089" i="4"/>
  <c r="I1087" i="4"/>
  <c r="L1087" i="4" s="1"/>
  <c r="M1087" i="4"/>
  <c r="M1138" i="4"/>
  <c r="I1138" i="4"/>
  <c r="L1138" i="4" s="1"/>
  <c r="I1140" i="4"/>
  <c r="L1140" i="4" s="1"/>
  <c r="M1140" i="4"/>
  <c r="I1203" i="4"/>
  <c r="L1203" i="4" s="1"/>
  <c r="M1203" i="4"/>
  <c r="I1247" i="4"/>
  <c r="L1247" i="4" s="1"/>
  <c r="M1247" i="4"/>
  <c r="M1243" i="4"/>
  <c r="I1243" i="4"/>
  <c r="L1243" i="4" s="1"/>
  <c r="M1180" i="4"/>
  <c r="I1180" i="4"/>
  <c r="L1180" i="4" s="1"/>
  <c r="M735" i="4"/>
  <c r="I735" i="4"/>
  <c r="L735" i="4" s="1"/>
  <c r="I335" i="4"/>
  <c r="L335" i="4" s="1"/>
  <c r="M335" i="4"/>
  <c r="I333" i="4"/>
  <c r="L333" i="4" s="1"/>
  <c r="M333" i="4"/>
  <c r="M505" i="4"/>
  <c r="I505" i="4"/>
  <c r="L505" i="4" s="1"/>
  <c r="M766" i="4"/>
  <c r="I766" i="4"/>
  <c r="L766" i="4" s="1"/>
  <c r="I293" i="4"/>
  <c r="L293" i="4" s="1"/>
  <c r="M293" i="4"/>
  <c r="M297" i="4"/>
  <c r="I297" i="4"/>
  <c r="L297" i="4" s="1"/>
  <c r="M296" i="4"/>
  <c r="I296" i="4"/>
  <c r="L296" i="4" s="1"/>
  <c r="I402" i="4"/>
  <c r="L402" i="4" s="1"/>
  <c r="M402" i="4"/>
  <c r="M400" i="4"/>
  <c r="I400" i="4"/>
  <c r="L400" i="4" s="1"/>
  <c r="M556" i="4"/>
  <c r="I556" i="4"/>
  <c r="L556" i="4" s="1"/>
  <c r="M1048" i="4"/>
  <c r="I1048" i="4"/>
  <c r="L1048" i="4" s="1"/>
  <c r="M1047" i="4"/>
  <c r="I1047" i="4"/>
  <c r="L1047" i="4" s="1"/>
  <c r="I1259" i="4"/>
  <c r="L1259" i="4" s="1"/>
  <c r="M1259" i="4"/>
  <c r="I1255" i="4"/>
  <c r="L1255" i="4" s="1"/>
  <c r="M1255" i="4"/>
  <c r="M1025" i="4"/>
  <c r="I1025" i="4"/>
  <c r="L1025" i="4" s="1"/>
  <c r="M1219" i="4"/>
  <c r="I1219" i="4"/>
  <c r="L1219" i="4" s="1"/>
  <c r="K61" i="4"/>
  <c r="J34" i="4"/>
  <c r="J37" i="4"/>
  <c r="J60" i="4"/>
  <c r="J22" i="4"/>
  <c r="J64" i="4"/>
  <c r="J35" i="4"/>
  <c r="J23" i="4"/>
  <c r="J24" i="4"/>
  <c r="J61" i="4"/>
  <c r="J63" i="4"/>
  <c r="K62" i="4"/>
  <c r="J59" i="4"/>
  <c r="J38" i="4"/>
  <c r="J20" i="4"/>
  <c r="K64" i="4"/>
  <c r="J33" i="4"/>
  <c r="J62" i="4"/>
  <c r="I62" i="4" l="1"/>
  <c r="L62" i="4" s="1"/>
  <c r="M62" i="4"/>
  <c r="I33" i="4"/>
  <c r="L33" i="4" s="1"/>
  <c r="M33" i="4"/>
  <c r="D9" i="4"/>
  <c r="I38" i="4"/>
  <c r="L38" i="4" s="1"/>
  <c r="I59" i="4"/>
  <c r="L59" i="4" s="1"/>
  <c r="M59" i="4"/>
  <c r="D7" i="4"/>
  <c r="I63" i="4"/>
  <c r="L63" i="4" s="1"/>
  <c r="M63" i="4"/>
  <c r="M61" i="4"/>
  <c r="M64" i="4"/>
  <c r="I64" i="4"/>
  <c r="L64" i="4" s="1"/>
  <c r="I60" i="4"/>
  <c r="L60" i="4" s="1"/>
  <c r="M60" i="4"/>
  <c r="D6" i="4"/>
  <c r="I61" i="4"/>
  <c r="L61" i="4" s="1"/>
  <c r="M38" i="4"/>
  <c r="M36" i="4"/>
  <c r="M21" i="4"/>
  <c r="M25" i="4"/>
  <c r="I37" i="4"/>
  <c r="L37" i="4" s="1"/>
  <c r="M37" i="4"/>
  <c r="M35" i="4"/>
  <c r="I35" i="4"/>
  <c r="L35" i="4" s="1"/>
  <c r="M22" i="4"/>
  <c r="I22" i="4"/>
  <c r="L22" i="4" s="1"/>
  <c r="I34" i="4"/>
  <c r="L34" i="4" s="1"/>
  <c r="M34" i="4"/>
  <c r="M20" i="4"/>
  <c r="I20" i="4"/>
  <c r="L20" i="4" s="1"/>
  <c r="M24" i="4"/>
  <c r="I24" i="4"/>
  <c r="L24" i="4" s="1"/>
  <c r="I23" i="4"/>
  <c r="L23" i="4" s="1"/>
  <c r="M23" i="4"/>
</calcChain>
</file>

<file path=xl/sharedStrings.xml><?xml version="1.0" encoding="utf-8"?>
<sst xmlns="http://schemas.openxmlformats.org/spreadsheetml/2006/main" count="186" uniqueCount="47">
  <si>
    <t>Instructions for using the equivalent soil mass worksheets</t>
  </si>
  <si>
    <r>
      <t xml:space="preserve">The worksheet </t>
    </r>
    <r>
      <rPr>
        <b/>
        <u/>
        <sz val="11"/>
        <color theme="1"/>
        <rFont val="Calibri"/>
        <family val="2"/>
        <scheme val="minor"/>
      </rPr>
      <t xml:space="preserve">"Cubic spline description" </t>
    </r>
    <r>
      <rPr>
        <sz val="11"/>
        <color theme="1"/>
        <rFont val="Calibri"/>
        <family val="2"/>
        <scheme val="minor"/>
      </rPr>
      <t>describes the cubic spline macro function and how to transfer it to other open worksheets.</t>
    </r>
  </si>
  <si>
    <r>
      <t xml:space="preserve">The </t>
    </r>
    <r>
      <rPr>
        <b/>
        <u/>
        <sz val="11"/>
        <color theme="1"/>
        <rFont val="Calibri"/>
        <family val="2"/>
        <scheme val="minor"/>
      </rPr>
      <t>"Cubic spline simple"</t>
    </r>
    <r>
      <rPr>
        <sz val="11"/>
        <color theme="1"/>
        <rFont val="Calibri"/>
        <family val="2"/>
        <scheme val="minor"/>
      </rPr>
      <t xml:space="preserve"> worksheet is designed for exactly 4 depth layer samples, and is presented to aid others to design spreadsheets for their particular needs. </t>
    </r>
  </si>
  <si>
    <r>
      <t xml:space="preserve">The worksheet </t>
    </r>
    <r>
      <rPr>
        <b/>
        <u/>
        <sz val="11"/>
        <color theme="1"/>
        <rFont val="Calibri"/>
        <family val="2"/>
        <scheme val="minor"/>
      </rPr>
      <t>"Cubic spline general"</t>
    </r>
    <r>
      <rPr>
        <sz val="11"/>
        <color theme="1"/>
        <rFont val="Calibri"/>
        <family val="2"/>
        <scheme val="minor"/>
      </rPr>
      <t xml:space="preserve"> is a generalized version that allows entry of 2 to 12 depth layer samples (for example, 0-10, 10-20, 20-30 cm, etc), and calculates  soil organic carbon masses in 2 to 12 equivalent soil mass layers (e.g., 0-1000, 1000-2000, 2000-3000 Mg ha</t>
    </r>
    <r>
      <rPr>
        <vertAlign val="superscript"/>
        <sz val="11"/>
        <color theme="1"/>
        <rFont val="Calibri"/>
        <family val="2"/>
        <scheme val="minor"/>
      </rPr>
      <t>-1</t>
    </r>
    <r>
      <rPr>
        <sz val="11"/>
        <color theme="1"/>
        <rFont val="Calibri"/>
        <family val="2"/>
        <scheme val="minor"/>
      </rPr>
      <t xml:space="preserve"> etc.), as defined by the user. </t>
    </r>
  </si>
  <si>
    <r>
      <t xml:space="preserve">The </t>
    </r>
    <r>
      <rPr>
        <b/>
        <u/>
        <sz val="11"/>
        <color theme="1"/>
        <rFont val="Calibri"/>
        <family val="2"/>
        <scheme val="minor"/>
      </rPr>
      <t>"Cubic spline general"</t>
    </r>
    <r>
      <rPr>
        <sz val="11"/>
        <color theme="1"/>
        <rFont val="Calibri"/>
        <family val="2"/>
        <scheme val="minor"/>
      </rPr>
      <t xml:space="preserve"> worksheet will operate for up to 100 profiles. To extend the spreadsheet beyond this limit, one should copy blank profile areas and paste below. One would also need to adjust the formulae that calculate the average depth to the reference soil mass (beginning with cell D4).</t>
    </r>
  </si>
  <si>
    <t>For both spreadsheets, several rows are partially hidden and are shaded. These rows are essential to the cubic spline function, as they carry the "zero" values for cumulative soil mass and soil OC mass that allows interpolation to the soil surface, where both soil mass and OC mass are zero.</t>
  </si>
  <si>
    <t>The shaded rows define the boundaries in which data for each profile are entered.  Profile data include sequential depth layers and the corresponding soil sample mass and OC concentration for each increment. You can "paste" sample weight and soil OC concentration data into the spreadsheet, provided that spaces are inserted between profile data to correspond to the row spaces in the spreadsheet.</t>
  </si>
  <si>
    <t>Cells containing formulae are protected to prevent accidental formulae deletion. The worksheet can be unprotected without using a password.</t>
  </si>
  <si>
    <t xml:space="preserve">For data entry, one enters the probe diameter and the number of sample cores that are included in each sample. The assumption of the spreadsheet is that these values apply to all samples.  One then enters the data for each soil profile: soil sample mass (g) and OC concentration (g/kg) for each depth increment. One then selects or changes the soil reference masses in cells beginning with cell B4. </t>
  </si>
  <si>
    <t>Example of usage:</t>
  </si>
  <si>
    <t xml:space="preserve">In </t>
  </si>
  <si>
    <t>TrueData</t>
  </si>
  <si>
    <t>In</t>
  </si>
  <si>
    <t>Spline</t>
  </si>
  <si>
    <t>Please visit my website for comments and questions!</t>
  </si>
  <si>
    <t>http://www.srs1software.com</t>
  </si>
  <si>
    <t>Probe diameter, mm</t>
  </si>
  <si>
    <t># of cores per sample</t>
  </si>
  <si>
    <r>
      <t>Reference soil mass layers,   Mg ha</t>
    </r>
    <r>
      <rPr>
        <vertAlign val="superscript"/>
        <sz val="11"/>
        <color indexed="8"/>
        <rFont val="Calibri"/>
        <family val="2"/>
      </rPr>
      <t>-1</t>
    </r>
  </si>
  <si>
    <t>Average calculated depth to reference mass, cm</t>
  </si>
  <si>
    <t xml:space="preserve"> </t>
  </si>
  <si>
    <t>Depth</t>
  </si>
  <si>
    <t>Profile ID</t>
  </si>
  <si>
    <t>Sample weight</t>
  </si>
  <si>
    <t>Soil OC conc.</t>
  </si>
  <si>
    <t>Incr. soil mass</t>
  </si>
  <si>
    <t>Cum soil mass</t>
  </si>
  <si>
    <t>Incr. OC mass</t>
  </si>
  <si>
    <t>Cum OC mass</t>
  </si>
  <si>
    <t>Cum ref soil mass</t>
  </si>
  <si>
    <t>Depth to ref mass</t>
  </si>
  <si>
    <t>ESM layer</t>
  </si>
  <si>
    <t>OC mass</t>
  </si>
  <si>
    <t>/cm</t>
  </si>
  <si>
    <t>/g</t>
  </si>
  <si>
    <r>
      <t>/g kg</t>
    </r>
    <r>
      <rPr>
        <vertAlign val="superscript"/>
        <sz val="10"/>
        <rFont val="Arial"/>
        <family val="2"/>
      </rPr>
      <t>-1</t>
    </r>
  </si>
  <si>
    <r>
      <t>/Mg ha</t>
    </r>
    <r>
      <rPr>
        <vertAlign val="superscript"/>
        <sz val="10"/>
        <rFont val="Arial"/>
        <family val="2"/>
      </rPr>
      <t>-1</t>
    </r>
  </si>
  <si>
    <t>MFCF1</t>
  </si>
  <si>
    <t>MFCF2</t>
  </si>
  <si>
    <t>MFCF3</t>
  </si>
  <si>
    <t>MFCF4</t>
  </si>
  <si>
    <t>MFCF5</t>
  </si>
  <si>
    <r>
      <t>Reference soil mass layers,   Mg ha</t>
    </r>
    <r>
      <rPr>
        <vertAlign val="superscript"/>
        <sz val="11"/>
        <color theme="1"/>
        <rFont val="Calibri"/>
        <family val="2"/>
        <scheme val="minor"/>
      </rPr>
      <t>-1</t>
    </r>
  </si>
  <si>
    <t>Cum OC mass to ref. mass</t>
  </si>
  <si>
    <t>OC mass in ref. mass</t>
  </si>
  <si>
    <t>Bulk density</t>
  </si>
  <si>
    <r>
      <t>/g cm</t>
    </r>
    <r>
      <rPr>
        <vertAlign val="superscript"/>
        <sz val="10"/>
        <rFont val="Arial"/>
        <family val="2"/>
      </rPr>
      <t>-3</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</si>
</sst>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1" formatCode="_(* #,##0_);_(* \(#,##0\);_(* &quot;-&quot;_);_(@_)"/>
    <numFmt numFmtId="164" formatCode="0.0"/>
    <numFmt numFmtId="165" formatCode="_(* #,##0.0_);_(* \(#,##0.0\);_(* &quot;-&quot;_);_(@_)"/>
  </numFmts>
  <fonts count="14" x14ac:knownFonts="1">
    <font>
      <sz val="11"/>
      <color theme="1"/>
      <name val="Calibri"/>
      <family val="2"/>
      <scheme val="minor"/>
    </font>
    <font>
      <sz val="10"/>
      <name val="Arial"/>
      <family val="2"/>
    </font>
    <font>
      <b/>
      <sz val="18"/>
      <name val="Arial"/>
      <family val="2"/>
    </font>
    <font>
      <b/>
      <sz val="10"/>
      <name val="Arial"/>
      <family val="2"/>
    </font>
    <font>
      <b/>
      <sz val="10"/>
      <color indexed="10"/>
      <name val="Arial"/>
      <family val="2"/>
    </font>
    <font>
      <u/>
      <sz val="10"/>
      <color indexed="12"/>
      <name val="Arial"/>
      <family val="2"/>
    </font>
    <font>
      <u/>
      <sz val="14"/>
      <color indexed="12"/>
      <name val="Arial"/>
      <family val="2"/>
    </font>
    <font>
      <b/>
      <u/>
      <sz val="12"/>
      <color indexed="12"/>
      <name val="Arial"/>
      <family val="2"/>
    </font>
    <font>
      <vertAlign val="superscript"/>
      <sz val="11"/>
      <color indexed="8"/>
      <name val="Calibri"/>
      <family val="2"/>
    </font>
    <font>
      <vertAlign val="superscript"/>
      <sz val="10"/>
      <name val="Arial"/>
      <family val="2"/>
    </font>
    <font>
      <vertAlign val="superscript"/>
      <sz val="11"/>
      <color theme="1"/>
      <name val="Calibri"/>
      <family val="2"/>
      <scheme val="minor"/>
    </font>
    <font>
      <b/>
      <sz val="14"/>
      <color theme="1"/>
      <name val="Calibri"/>
      <family val="2"/>
      <scheme val="minor"/>
    </font>
    <font>
      <b/>
      <u/>
      <sz val="11"/>
      <color theme="1"/>
      <name val="Calibri"/>
      <family val="2"/>
      <scheme val="minor"/>
    </font>
    <font>
      <sz val="10"/>
      <color rgb="FF000000"/>
      <name val="Arial"/>
      <family val="2"/>
    </font>
  </fonts>
  <fills count="7">
    <fill>
      <patternFill patternType="none"/>
    </fill>
    <fill>
      <patternFill patternType="gray125"/>
    </fill>
    <fill>
      <patternFill patternType="solid">
        <fgColor indexed="13"/>
        <bgColor indexed="64"/>
      </patternFill>
    </fill>
    <fill>
      <patternFill patternType="solid">
        <fgColor indexed="42"/>
        <bgColor indexed="64"/>
      </patternFill>
    </fill>
    <fill>
      <patternFill patternType="solid">
        <fgColor indexed="43"/>
        <bgColor indexed="64"/>
      </patternFill>
    </fill>
    <fill>
      <patternFill patternType="solid">
        <fgColor indexed="55"/>
        <bgColor indexed="64"/>
      </patternFill>
    </fill>
    <fill>
      <patternFill patternType="solid">
        <fgColor theme="2" tint="-0.249977111117893"/>
        <bgColor indexed="64"/>
      </patternFill>
    </fill>
  </fills>
  <borders count="13">
    <border>
      <left/>
      <right/>
      <top/>
      <bottom/>
      <diagonal/>
    </border>
    <border>
      <left style="medium">
        <color auto="1"/>
      </left>
      <right/>
      <top style="medium">
        <color auto="1"/>
      </top>
      <bottom/>
      <diagonal/>
    </border>
    <border>
      <left/>
      <right/>
      <top style="medium">
        <color auto="1"/>
      </top>
      <bottom/>
      <diagonal/>
    </border>
    <border>
      <left style="medium">
        <color auto="1"/>
      </left>
      <right/>
      <top/>
      <bottom/>
      <diagonal/>
    </border>
    <border>
      <left/>
      <right style="medium">
        <color auto="1"/>
      </right>
      <top/>
      <bottom/>
      <diagonal/>
    </border>
    <border>
      <left style="medium">
        <color auto="1"/>
      </left>
      <right style="medium">
        <color auto="1"/>
      </right>
      <top style="medium">
        <color auto="1"/>
      </top>
      <bottom style="medium">
        <color auto="1"/>
      </bottom>
      <diagonal/>
    </border>
    <border>
      <left/>
      <right style="medium">
        <color auto="1"/>
      </right>
      <top style="medium">
        <color auto="1"/>
      </top>
      <bottom style="medium">
        <color auto="1"/>
      </bottom>
      <diagonal/>
    </border>
    <border>
      <left style="medium">
        <color auto="1"/>
      </left>
      <right/>
      <top style="medium">
        <color auto="1"/>
      </top>
      <bottom style="medium">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medium">
        <color auto="1"/>
      </right>
      <top style="medium">
        <color auto="1"/>
      </top>
      <bottom/>
      <diagonal/>
    </border>
    <border>
      <left/>
      <right/>
      <top style="medium">
        <color auto="1"/>
      </top>
      <bottom style="medium">
        <color auto="1"/>
      </bottom>
      <diagonal/>
    </border>
  </borders>
  <cellStyleXfs count="4">
    <xf numFmtId="0" fontId="0" fillId="0" borderId="0"/>
    <xf numFmtId="0" fontId="1" fillId="0" borderId="0"/>
    <xf numFmtId="0" fontId="5" fillId="0" borderId="0" applyNumberFormat="0" applyFill="0" applyBorder="0" applyAlignment="0" applyProtection="0">
      <alignment vertical="top"/>
      <protection locked="0"/>
    </xf>
    <xf numFmtId="0" fontId="1" fillId="0" borderId="0"/>
  </cellStyleXfs>
  <cellXfs count="85">
    <xf numFmtId="0" fontId="0" fillId="0" borderId="0" xfId="0"/>
    <xf numFmtId="0" fontId="1" fillId="0" borderId="0" xfId="1"/>
    <xf numFmtId="0" fontId="2" fillId="2" borderId="1" xfId="1" applyFont="1" applyFill="1" applyBorder="1"/>
    <xf numFmtId="0" fontId="1" fillId="2" borderId="2" xfId="1" applyFill="1" applyBorder="1"/>
    <xf numFmtId="0" fontId="1" fillId="0" borderId="3" xfId="1" applyBorder="1"/>
    <xf numFmtId="0" fontId="1" fillId="0" borderId="4" xfId="1" applyBorder="1"/>
    <xf numFmtId="0" fontId="1" fillId="0" borderId="5" xfId="1" applyBorder="1" applyAlignment="1">
      <alignment horizontal="center"/>
    </xf>
    <xf numFmtId="0" fontId="1" fillId="0" borderId="6" xfId="1" applyBorder="1" applyAlignment="1">
      <alignment horizontal="center"/>
    </xf>
    <xf numFmtId="0" fontId="3" fillId="0" borderId="7" xfId="1" applyFont="1" applyBorder="1" applyAlignment="1">
      <alignment horizontal="center"/>
    </xf>
    <xf numFmtId="0" fontId="3" fillId="0" borderId="6" xfId="1" applyFont="1" applyBorder="1" applyAlignment="1">
      <alignment horizontal="center"/>
    </xf>
    <xf numFmtId="0" fontId="4" fillId="3" borderId="3" xfId="1" applyFont="1" applyFill="1" applyBorder="1" applyAlignment="1">
      <alignment horizontal="center"/>
    </xf>
    <xf numFmtId="0" fontId="4" fillId="3" borderId="0" xfId="1" applyFont="1" applyFill="1" applyAlignment="1">
      <alignment horizontal="center"/>
    </xf>
    <xf numFmtId="0" fontId="1" fillId="4" borderId="0" xfId="1" applyFill="1" applyAlignment="1">
      <alignment horizontal="center"/>
    </xf>
    <xf numFmtId="2" fontId="1" fillId="4" borderId="4" xfId="1" applyNumberFormat="1" applyFill="1" applyBorder="1" applyAlignment="1">
      <alignment horizontal="center"/>
    </xf>
    <xf numFmtId="0" fontId="1" fillId="5" borderId="3" xfId="1" applyFill="1" applyBorder="1"/>
    <xf numFmtId="0" fontId="1" fillId="5" borderId="0" xfId="1" applyFill="1"/>
    <xf numFmtId="0" fontId="4" fillId="0" borderId="0" xfId="1" applyFont="1"/>
    <xf numFmtId="0" fontId="6" fillId="0" borderId="0" xfId="2" applyFont="1" applyAlignment="1" applyProtection="1"/>
    <xf numFmtId="0" fontId="7" fillId="0" borderId="0" xfId="2" applyFont="1" applyAlignment="1" applyProtection="1"/>
    <xf numFmtId="0" fontId="1" fillId="5" borderId="8" xfId="1" applyFill="1" applyBorder="1"/>
    <xf numFmtId="0" fontId="1" fillId="5" borderId="9" xfId="1" applyFill="1" applyBorder="1"/>
    <xf numFmtId="0" fontId="1" fillId="4" borderId="9" xfId="1" applyFill="1" applyBorder="1" applyAlignment="1">
      <alignment horizontal="center"/>
    </xf>
    <xf numFmtId="2" fontId="1" fillId="4" borderId="10" xfId="1" applyNumberFormat="1" applyFill="1" applyBorder="1" applyAlignment="1">
      <alignment horizontal="center"/>
    </xf>
    <xf numFmtId="0" fontId="0" fillId="0" borderId="1" xfId="0" applyBorder="1"/>
    <xf numFmtId="0" fontId="0" fillId="0" borderId="2" xfId="0" applyBorder="1"/>
    <xf numFmtId="0" fontId="0" fillId="0" borderId="11" xfId="0" applyBorder="1"/>
    <xf numFmtId="1" fontId="0" fillId="0" borderId="0" xfId="0" applyNumberFormat="1"/>
    <xf numFmtId="1" fontId="0" fillId="0" borderId="0" xfId="0" applyNumberFormat="1" applyAlignment="1">
      <alignment horizontal="center"/>
    </xf>
    <xf numFmtId="0" fontId="0" fillId="0" borderId="8" xfId="0" applyBorder="1"/>
    <xf numFmtId="0" fontId="0" fillId="0" borderId="9" xfId="0" applyBorder="1"/>
    <xf numFmtId="0" fontId="0" fillId="0" borderId="10" xfId="0" applyBorder="1"/>
    <xf numFmtId="164" fontId="0" fillId="0" borderId="11" xfId="0" applyNumberFormat="1" applyBorder="1"/>
    <xf numFmtId="0" fontId="0" fillId="0" borderId="4" xfId="0" applyBorder="1"/>
    <xf numFmtId="164" fontId="0" fillId="0" borderId="4" xfId="0" applyNumberFormat="1" applyBorder="1"/>
    <xf numFmtId="164" fontId="0" fillId="0" borderId="10" xfId="0" applyNumberFormat="1" applyBorder="1"/>
    <xf numFmtId="0" fontId="0" fillId="0" borderId="0" xfId="0" applyAlignment="1">
      <alignment horizontal="center" vertical="center" wrapText="1"/>
    </xf>
    <xf numFmtId="164" fontId="0" fillId="0" borderId="0" xfId="0" applyNumberFormat="1"/>
    <xf numFmtId="0" fontId="1" fillId="0" borderId="12" xfId="0" applyFont="1" applyBorder="1" applyAlignment="1">
      <alignment horizontal="center" vertical="center" wrapText="1"/>
    </xf>
    <xf numFmtId="2" fontId="1" fillId="0" borderId="12" xfId="0" applyNumberFormat="1" applyFont="1" applyBorder="1" applyAlignment="1">
      <alignment horizontal="center" vertical="center" wrapText="1"/>
    </xf>
    <xf numFmtId="1" fontId="1" fillId="0" borderId="12" xfId="0" applyNumberFormat="1" applyFont="1" applyBorder="1" applyAlignment="1">
      <alignment horizontal="center" vertical="center" wrapText="1"/>
    </xf>
    <xf numFmtId="1" fontId="1" fillId="0" borderId="0" xfId="0" applyNumberFormat="1" applyFont="1" applyAlignment="1">
      <alignment horizontal="center" wrapText="1"/>
    </xf>
    <xf numFmtId="0" fontId="1" fillId="0" borderId="12" xfId="0" applyFont="1" applyBorder="1" applyAlignment="1">
      <alignment horizontal="center" wrapText="1"/>
    </xf>
    <xf numFmtId="2" fontId="1" fillId="0" borderId="12" xfId="0" applyNumberFormat="1" applyFont="1" applyBorder="1" applyAlignment="1">
      <alignment horizontal="center" wrapText="1"/>
    </xf>
    <xf numFmtId="1" fontId="1" fillId="0" borderId="12" xfId="0" applyNumberFormat="1" applyFont="1" applyBorder="1" applyAlignment="1">
      <alignment horizontal="center" wrapText="1"/>
    </xf>
    <xf numFmtId="0" fontId="1" fillId="6" borderId="0" xfId="0" applyFont="1" applyFill="1" applyAlignment="1">
      <alignment horizontal="center" wrapText="1"/>
    </xf>
    <xf numFmtId="2" fontId="1" fillId="6" borderId="0" xfId="0" applyNumberFormat="1" applyFont="1" applyFill="1" applyAlignment="1">
      <alignment horizontal="center" wrapText="1"/>
    </xf>
    <xf numFmtId="1" fontId="1" fillId="6" borderId="0" xfId="0" applyNumberFormat="1" applyFont="1" applyFill="1" applyAlignment="1">
      <alignment horizontal="center" wrapText="1"/>
    </xf>
    <xf numFmtId="0" fontId="0" fillId="6" borderId="0" xfId="0" applyFill="1" applyAlignment="1">
      <alignment horizontal="center"/>
    </xf>
    <xf numFmtId="0" fontId="0" fillId="0" borderId="0" xfId="0" applyAlignment="1">
      <alignment horizontal="center"/>
    </xf>
    <xf numFmtId="164" fontId="1" fillId="0" borderId="0" xfId="0" applyNumberFormat="1" applyFont="1" applyAlignment="1">
      <alignment horizontal="center"/>
    </xf>
    <xf numFmtId="2" fontId="1" fillId="0" borderId="0" xfId="0" applyNumberFormat="1" applyFont="1" applyAlignment="1">
      <alignment horizontal="center"/>
    </xf>
    <xf numFmtId="1" fontId="1" fillId="0" borderId="0" xfId="0" applyNumberFormat="1" applyFont="1" applyAlignment="1">
      <alignment horizontal="center"/>
    </xf>
    <xf numFmtId="164" fontId="0" fillId="0" borderId="0" xfId="0" applyNumberFormat="1" applyAlignment="1">
      <alignment horizontal="center"/>
    </xf>
    <xf numFmtId="2" fontId="0" fillId="6" borderId="0" xfId="0" applyNumberFormat="1" applyFill="1" applyAlignment="1">
      <alignment horizontal="center"/>
    </xf>
    <xf numFmtId="1" fontId="1" fillId="6" borderId="0" xfId="0" applyNumberFormat="1" applyFont="1" applyFill="1" applyAlignment="1">
      <alignment horizontal="center"/>
    </xf>
    <xf numFmtId="1" fontId="0" fillId="6" borderId="0" xfId="0" applyNumberFormat="1" applyFill="1" applyAlignment="1">
      <alignment horizontal="center"/>
    </xf>
    <xf numFmtId="164" fontId="1" fillId="6" borderId="0" xfId="0" applyNumberFormat="1" applyFont="1" applyFill="1" applyAlignment="1">
      <alignment horizontal="center"/>
    </xf>
    <xf numFmtId="164" fontId="0" fillId="6" borderId="0" xfId="0" applyNumberFormat="1" applyFill="1" applyAlignment="1">
      <alignment horizontal="center"/>
    </xf>
    <xf numFmtId="0" fontId="0" fillId="6" borderId="0" xfId="0" applyFill="1"/>
    <xf numFmtId="2" fontId="0" fillId="6" borderId="0" xfId="0" applyNumberFormat="1" applyFill="1"/>
    <xf numFmtId="1" fontId="1" fillId="6" borderId="0" xfId="0" applyNumberFormat="1" applyFont="1" applyFill="1"/>
    <xf numFmtId="1" fontId="0" fillId="6" borderId="0" xfId="0" applyNumberFormat="1" applyFill="1"/>
    <xf numFmtId="164" fontId="1" fillId="6" borderId="0" xfId="0" applyNumberFormat="1" applyFont="1" applyFill="1"/>
    <xf numFmtId="164" fontId="0" fillId="6" borderId="0" xfId="0" applyNumberFormat="1" applyFill="1"/>
    <xf numFmtId="0" fontId="0" fillId="0" borderId="0" xfId="0" applyAlignment="1">
      <alignment horizontal="center" vertical="top" wrapText="1"/>
    </xf>
    <xf numFmtId="0" fontId="0" fillId="0" borderId="3" xfId="0" applyBorder="1" applyAlignment="1">
      <alignment horizontal="center" vertical="top" wrapText="1"/>
    </xf>
    <xf numFmtId="0" fontId="0" fillId="0" borderId="9" xfId="0" applyBorder="1" applyAlignment="1">
      <alignment horizontal="center" vertical="top" wrapText="1"/>
    </xf>
    <xf numFmtId="0" fontId="0" fillId="0" borderId="8" xfId="0" applyBorder="1" applyAlignment="1">
      <alignment horizontal="center" vertical="top" wrapText="1"/>
    </xf>
    <xf numFmtId="41" fontId="0" fillId="0" borderId="0" xfId="0" applyNumberFormat="1" applyAlignment="1">
      <alignment horizontal="center"/>
    </xf>
    <xf numFmtId="165" fontId="1" fillId="0" borderId="0" xfId="0" applyNumberFormat="1" applyFont="1" applyAlignment="1">
      <alignment horizontal="center"/>
    </xf>
    <xf numFmtId="165" fontId="0" fillId="0" borderId="0" xfId="0" applyNumberFormat="1" applyAlignment="1">
      <alignment horizontal="center"/>
    </xf>
    <xf numFmtId="37" fontId="0" fillId="0" borderId="0" xfId="0" applyNumberFormat="1" applyAlignment="1">
      <alignment horizontal="center"/>
    </xf>
    <xf numFmtId="165" fontId="1" fillId="6" borderId="0" xfId="0" applyNumberFormat="1" applyFont="1" applyFill="1" applyAlignment="1">
      <alignment horizontal="center"/>
    </xf>
    <xf numFmtId="165" fontId="0" fillId="6" borderId="0" xfId="0" applyNumberFormat="1" applyFill="1" applyAlignment="1">
      <alignment horizontal="center"/>
    </xf>
    <xf numFmtId="0" fontId="0" fillId="0" borderId="0" xfId="0" applyAlignment="1">
      <alignment horizontal="center" vertical="top"/>
    </xf>
    <xf numFmtId="2" fontId="0" fillId="0" borderId="0" xfId="0" applyNumberFormat="1"/>
    <xf numFmtId="2" fontId="0" fillId="0" borderId="3" xfId="0" applyNumberFormat="1" applyBorder="1" applyAlignment="1">
      <alignment horizontal="center" vertical="top" wrapText="1"/>
    </xf>
    <xf numFmtId="2" fontId="0" fillId="0" borderId="8" xfId="0" applyNumberFormat="1" applyBorder="1" applyAlignment="1">
      <alignment horizontal="center" vertical="top" wrapText="1"/>
    </xf>
    <xf numFmtId="0" fontId="0" fillId="0" borderId="0" xfId="0" applyAlignment="1">
      <alignment horizontal="left" vertical="top" wrapText="1"/>
    </xf>
    <xf numFmtId="0" fontId="11" fillId="0" borderId="0" xfId="0" applyFont="1" applyAlignment="1">
      <alignment horizontal="center"/>
    </xf>
    <xf numFmtId="0" fontId="0" fillId="0" borderId="1" xfId="0" applyBorder="1" applyAlignment="1">
      <alignment horizontal="center" vertical="top" wrapText="1"/>
    </xf>
    <xf numFmtId="0" fontId="0" fillId="0" borderId="3" xfId="0" applyBorder="1" applyAlignment="1">
      <alignment horizontal="center" vertical="top" wrapText="1"/>
    </xf>
    <xf numFmtId="0" fontId="0" fillId="0" borderId="8" xfId="0" applyBorder="1" applyAlignment="1">
      <alignment horizontal="center" vertical="top" wrapText="1"/>
    </xf>
    <xf numFmtId="2" fontId="0" fillId="0" borderId="1" xfId="0" applyNumberFormat="1" applyBorder="1" applyAlignment="1">
      <alignment horizontal="center" vertical="top" wrapText="1"/>
    </xf>
    <xf numFmtId="2" fontId="0" fillId="0" borderId="3" xfId="0" applyNumberFormat="1" applyBorder="1" applyAlignment="1">
      <alignment horizontal="center" vertical="top" wrapText="1"/>
    </xf>
  </cellXfs>
  <cellStyles count="4">
    <cellStyle name="Hyperlink" xfId="2" builtinId="8"/>
    <cellStyle name="Normal" xfId="0" builtinId="0"/>
    <cellStyle name="Normal 2" xfId="1" xr:uid="{00000000-0005-0000-0000-000002000000}"/>
    <cellStyle name="Normal 2 2"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1" i="0" u="none" strike="noStrike" baseline="0">
                <a:solidFill>
                  <a:srgbClr val="000000"/>
                </a:solidFill>
                <a:latin typeface="Arial"/>
                <a:ea typeface="Arial"/>
                <a:cs typeface="Arial"/>
              </a:defRPr>
            </a:pPr>
            <a:r>
              <a:rPr lang="en-US"/>
              <a:t>Spline Example</a:t>
            </a:r>
          </a:p>
        </c:rich>
      </c:tx>
      <c:layout>
        <c:manualLayout>
          <c:xMode val="edge"/>
          <c:yMode val="edge"/>
          <c:x val="0.38392904011998502"/>
          <c:y val="3.6764705882352901E-2"/>
        </c:manualLayout>
      </c:layout>
      <c:overlay val="0"/>
      <c:spPr>
        <a:noFill/>
        <a:ln w="25400">
          <a:noFill/>
        </a:ln>
      </c:spPr>
    </c:title>
    <c:autoTitleDeleted val="0"/>
    <c:plotArea>
      <c:layout>
        <c:manualLayout>
          <c:layoutTarget val="inner"/>
          <c:xMode val="edge"/>
          <c:yMode val="edge"/>
          <c:x val="0.15625017029917099"/>
          <c:y val="0.224264705882353"/>
          <c:w val="0.63616140764662399"/>
          <c:h val="0.61397058823529505"/>
        </c:manualLayout>
      </c:layout>
      <c:scatterChart>
        <c:scatterStyle val="lineMarker"/>
        <c:varyColors val="0"/>
        <c:ser>
          <c:idx val="1"/>
          <c:order val="0"/>
          <c:tx>
            <c:strRef>
              <c:f>'Cubic spline description'!$D$16</c:f>
              <c:strCache>
                <c:ptCount val="1"/>
                <c:pt idx="0">
                  <c:v>Spline</c:v>
                </c:pt>
              </c:strCache>
            </c:strRef>
          </c:tx>
          <c:spPr>
            <a:ln w="12700">
              <a:solidFill>
                <a:srgbClr val="FF0000"/>
              </a:solidFill>
              <a:prstDash val="solid"/>
            </a:ln>
          </c:spPr>
          <c:marker>
            <c:symbol val="none"/>
          </c:marker>
          <c:xVal>
            <c:numRef>
              <c:f>'Cubic spline description'!$C$17:$C$38</c:f>
              <c:numCache>
                <c:formatCode>General</c:formatCode>
                <c:ptCount val="22"/>
                <c:pt idx="0">
                  <c:v>1</c:v>
                </c:pt>
                <c:pt idx="1">
                  <c:v>1.2</c:v>
                </c:pt>
                <c:pt idx="2">
                  <c:v>1.4</c:v>
                </c:pt>
                <c:pt idx="3">
                  <c:v>1.6</c:v>
                </c:pt>
                <c:pt idx="4">
                  <c:v>1.8</c:v>
                </c:pt>
                <c:pt idx="5">
                  <c:v>2</c:v>
                </c:pt>
                <c:pt idx="6">
                  <c:v>2.2000000000000002</c:v>
                </c:pt>
                <c:pt idx="7">
                  <c:v>2.4</c:v>
                </c:pt>
                <c:pt idx="8">
                  <c:v>2.6</c:v>
                </c:pt>
                <c:pt idx="9">
                  <c:v>2.8</c:v>
                </c:pt>
                <c:pt idx="10">
                  <c:v>3</c:v>
                </c:pt>
                <c:pt idx="11">
                  <c:v>3.2</c:v>
                </c:pt>
                <c:pt idx="12">
                  <c:v>3.4</c:v>
                </c:pt>
                <c:pt idx="13">
                  <c:v>3.6</c:v>
                </c:pt>
                <c:pt idx="14">
                  <c:v>3.8</c:v>
                </c:pt>
                <c:pt idx="15">
                  <c:v>4</c:v>
                </c:pt>
                <c:pt idx="16">
                  <c:v>4.2</c:v>
                </c:pt>
                <c:pt idx="17">
                  <c:v>4.4000000000000004</c:v>
                </c:pt>
                <c:pt idx="18">
                  <c:v>4.5999999999999996</c:v>
                </c:pt>
                <c:pt idx="19">
                  <c:v>4.8</c:v>
                </c:pt>
                <c:pt idx="20">
                  <c:v>5</c:v>
                </c:pt>
                <c:pt idx="21">
                  <c:v>5.2</c:v>
                </c:pt>
              </c:numCache>
            </c:numRef>
          </c:xVal>
          <c:yVal>
            <c:numRef>
              <c:f>'Cubic spline description'!$D$17:$D$38</c:f>
              <c:numCache>
                <c:formatCode>0.00</c:formatCode>
                <c:ptCount val="22"/>
                <c:pt idx="0">
                  <c:v>0.75</c:v>
                </c:pt>
                <c:pt idx="1">
                  <c:v>0.68914288425445558</c:v>
                </c:pt>
                <c:pt idx="2">
                  <c:v>0.6060000236034393</c:v>
                </c:pt>
                <c:pt idx="3">
                  <c:v>0.47828573274612429</c:v>
                </c:pt>
                <c:pt idx="4">
                  <c:v>0.28371429657936093</c:v>
                </c:pt>
                <c:pt idx="5">
                  <c:v>0</c:v>
                </c:pt>
                <c:pt idx="6">
                  <c:v>-0.37485715612343451</c:v>
                </c:pt>
                <c:pt idx="7">
                  <c:v>-0.76171430294854336</c:v>
                </c:pt>
                <c:pt idx="8">
                  <c:v>-1.061142876139709</c:v>
                </c:pt>
                <c:pt idx="9">
                  <c:v>-1.1737143008453506</c:v>
                </c:pt>
                <c:pt idx="10">
                  <c:v>-1</c:v>
                </c:pt>
                <c:pt idx="11">
                  <c:v>-0.47771430398736481</c:v>
                </c:pt>
                <c:pt idx="12">
                  <c:v>0.30685708829334951</c:v>
                </c:pt>
                <c:pt idx="13">
                  <c:v>1.2302856717365129</c:v>
                </c:pt>
                <c:pt idx="14">
                  <c:v>2.1691428303292812</c:v>
                </c:pt>
                <c:pt idx="15">
                  <c:v>3</c:v>
                </c:pt>
                <c:pt idx="16">
                  <c:v>3.6277143639666702</c:v>
                </c:pt>
                <c:pt idx="17">
                  <c:v>4.0702857752527519</c:v>
                </c:pt>
                <c:pt idx="18">
                  <c:v>4.3740000430430666</c:v>
                </c:pt>
                <c:pt idx="19">
                  <c:v>4.5851428791539997</c:v>
                </c:pt>
                <c:pt idx="20">
                  <c:v>4.75</c:v>
                </c:pt>
                <c:pt idx="21">
                  <c:v>4.9148571208460003</c:v>
                </c:pt>
              </c:numCache>
            </c:numRef>
          </c:yVal>
          <c:smooth val="0"/>
          <c:extLst>
            <c:ext xmlns:c16="http://schemas.microsoft.com/office/drawing/2014/chart" uri="{C3380CC4-5D6E-409C-BE32-E72D297353CC}">
              <c16:uniqueId val="{00000000-E234-1D48-9797-2FAE44D0931B}"/>
            </c:ext>
          </c:extLst>
        </c:ser>
        <c:ser>
          <c:idx val="0"/>
          <c:order val="1"/>
          <c:tx>
            <c:strRef>
              <c:f>'Cubic spline description'!$B$16</c:f>
              <c:strCache>
                <c:ptCount val="1"/>
                <c:pt idx="0">
                  <c:v>TrueData</c:v>
                </c:pt>
              </c:strCache>
            </c:strRef>
          </c:tx>
          <c:spPr>
            <a:ln w="28575">
              <a:noFill/>
            </a:ln>
          </c:spPr>
          <c:marker>
            <c:symbol val="circle"/>
            <c:size val="7"/>
            <c:spPr>
              <a:solidFill>
                <a:srgbClr val="0000FF"/>
              </a:solidFill>
              <a:ln>
                <a:solidFill>
                  <a:srgbClr val="0000FF"/>
                </a:solidFill>
                <a:prstDash val="solid"/>
              </a:ln>
            </c:spPr>
          </c:marker>
          <c:xVal>
            <c:numRef>
              <c:f>'Cubic spline description'!$A$17:$A$21</c:f>
              <c:numCache>
                <c:formatCode>General</c:formatCode>
                <c:ptCount val="5"/>
                <c:pt idx="0">
                  <c:v>1</c:v>
                </c:pt>
                <c:pt idx="1">
                  <c:v>2</c:v>
                </c:pt>
                <c:pt idx="2">
                  <c:v>3</c:v>
                </c:pt>
                <c:pt idx="3">
                  <c:v>4</c:v>
                </c:pt>
                <c:pt idx="4">
                  <c:v>5</c:v>
                </c:pt>
              </c:numCache>
            </c:numRef>
          </c:xVal>
          <c:yVal>
            <c:numRef>
              <c:f>'Cubic spline description'!$B$17:$B$21</c:f>
              <c:numCache>
                <c:formatCode>General</c:formatCode>
                <c:ptCount val="5"/>
                <c:pt idx="0">
                  <c:v>0.75</c:v>
                </c:pt>
                <c:pt idx="1">
                  <c:v>0</c:v>
                </c:pt>
                <c:pt idx="2">
                  <c:v>-1</c:v>
                </c:pt>
                <c:pt idx="3">
                  <c:v>3</c:v>
                </c:pt>
                <c:pt idx="4">
                  <c:v>4.75</c:v>
                </c:pt>
              </c:numCache>
            </c:numRef>
          </c:yVal>
          <c:smooth val="0"/>
          <c:extLst>
            <c:ext xmlns:c16="http://schemas.microsoft.com/office/drawing/2014/chart" uri="{C3380CC4-5D6E-409C-BE32-E72D297353CC}">
              <c16:uniqueId val="{00000001-E234-1D48-9797-2FAE44D0931B}"/>
            </c:ext>
          </c:extLst>
        </c:ser>
        <c:dLbls>
          <c:showLegendKey val="0"/>
          <c:showVal val="0"/>
          <c:showCatName val="0"/>
          <c:showSerName val="0"/>
          <c:showPercent val="0"/>
          <c:showBubbleSize val="0"/>
        </c:dLbls>
        <c:axId val="2040867680"/>
        <c:axId val="2040870112"/>
      </c:scatterChart>
      <c:valAx>
        <c:axId val="2040867680"/>
        <c:scaling>
          <c:orientation val="minMax"/>
        </c:scaling>
        <c:delete val="0"/>
        <c:axPos val="b"/>
        <c:title>
          <c:tx>
            <c:rich>
              <a:bodyPr/>
              <a:lstStyle/>
              <a:p>
                <a:pPr>
                  <a:defRPr sz="800" b="1" i="0" u="none" strike="noStrike" baseline="0">
                    <a:solidFill>
                      <a:srgbClr val="000000"/>
                    </a:solidFill>
                    <a:latin typeface="Arial"/>
                    <a:ea typeface="Arial"/>
                    <a:cs typeface="Arial"/>
                  </a:defRPr>
                </a:pPr>
                <a:r>
                  <a:rPr lang="en-US"/>
                  <a:t>Input</a:t>
                </a:r>
              </a:p>
            </c:rich>
          </c:tx>
          <c:layout>
            <c:manualLayout>
              <c:xMode val="edge"/>
              <c:yMode val="edge"/>
              <c:x val="0.43750046869141401"/>
              <c:y val="0.875000000000001"/>
            </c:manualLayout>
          </c:layout>
          <c:overlay val="0"/>
          <c:spPr>
            <a:noFill/>
            <a:ln w="25400">
              <a:noFill/>
            </a:ln>
          </c:spPr>
        </c:title>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2040870112"/>
        <c:crosses val="autoZero"/>
        <c:crossBetween val="midCat"/>
      </c:valAx>
      <c:valAx>
        <c:axId val="2040870112"/>
        <c:scaling>
          <c:orientation val="minMax"/>
        </c:scaling>
        <c:delete val="0"/>
        <c:axPos val="l"/>
        <c:title>
          <c:tx>
            <c:rich>
              <a:bodyPr/>
              <a:lstStyle/>
              <a:p>
                <a:pPr>
                  <a:defRPr sz="800" b="1" i="0" u="none" strike="noStrike" baseline="0">
                    <a:solidFill>
                      <a:srgbClr val="000000"/>
                    </a:solidFill>
                    <a:latin typeface="Arial"/>
                    <a:ea typeface="Arial"/>
                    <a:cs typeface="Arial"/>
                  </a:defRPr>
                </a:pPr>
                <a:r>
                  <a:rPr lang="en-US"/>
                  <a:t>Output</a:t>
                </a:r>
              </a:p>
            </c:rich>
          </c:tx>
          <c:layout>
            <c:manualLayout>
              <c:xMode val="edge"/>
              <c:yMode val="edge"/>
              <c:x val="2.4553571428571501E-2"/>
              <c:y val="0.46691176470588303"/>
            </c:manualLayout>
          </c:layout>
          <c:overlay val="0"/>
          <c:spPr>
            <a:noFill/>
            <a:ln w="25400">
              <a:noFill/>
            </a:ln>
          </c:spPr>
        </c:title>
        <c:numFmt formatCode="0.00"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2040867680"/>
        <c:crosses val="autoZero"/>
        <c:crossBetween val="midCat"/>
      </c:valAx>
      <c:spPr>
        <a:solidFill>
          <a:srgbClr val="C0C0C0"/>
        </a:solidFill>
        <a:ln w="12700">
          <a:solidFill>
            <a:srgbClr val="808080"/>
          </a:solidFill>
          <a:prstDash val="solid"/>
        </a:ln>
      </c:spPr>
    </c:plotArea>
    <c:legend>
      <c:legendPos val="r"/>
      <c:layout>
        <c:manualLayout>
          <c:xMode val="edge"/>
          <c:yMode val="edge"/>
          <c:x val="0.80580450881139798"/>
          <c:y val="0.43014705882352899"/>
          <c:w val="0.17633952005999301"/>
          <c:h val="0.14338235294117699"/>
        </c:manualLayout>
      </c:layout>
      <c:overlay val="0"/>
      <c:spPr>
        <a:solidFill>
          <a:srgbClr val="FFFFFF"/>
        </a:solidFill>
        <a:ln w="3175">
          <a:solidFill>
            <a:srgbClr val="000000"/>
          </a:solidFill>
          <a:prstDash val="solid"/>
        </a:ln>
      </c:spPr>
      <c:txPr>
        <a:bodyPr/>
        <a:lstStyle/>
        <a:p>
          <a:pPr>
            <a:defRPr sz="62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oddHeader>&amp;A</c:oddHeader>
      <c:oddFooter>Page &amp;P</c:oddFooter>
    </c:headerFooter>
    <c:pageMargins b="1" l="0.750000000000001" r="0.750000000000001" t="1" header="0.5" footer="0.5"/>
    <c:pageSetup/>
  </c:printSettings>
</c:chartSpace>
</file>

<file path=xl/ctrlProps/ctrlProp1.xml><?xml version="1.0" encoding="utf-8"?>
<formControlPr xmlns="http://schemas.microsoft.com/office/spreadsheetml/2009/9/main" objectType="Button" lockText="1"/>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8</xdr:row>
      <xdr:rowOff>0</xdr:rowOff>
    </xdr:from>
    <xdr:to>
      <xdr:col>14</xdr:col>
      <xdr:colOff>0</xdr:colOff>
      <xdr:row>23</xdr:row>
      <xdr:rowOff>0</xdr:rowOff>
    </xdr:to>
    <xdr:graphicFrame macro="">
      <xdr:nvGraphicFramePr>
        <xdr:cNvPr id="2" name="Chart 1">
          <a:extLst>
            <a:ext uri="{FF2B5EF4-FFF2-40B4-BE49-F238E27FC236}">
              <a16:creationId xmlns:a16="http://schemas.microsoft.com/office/drawing/2014/main" id="{00000000-0008-0000-01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0</xdr:row>
      <xdr:rowOff>0</xdr:rowOff>
    </xdr:from>
    <xdr:to>
      <xdr:col>14</xdr:col>
      <xdr:colOff>0</xdr:colOff>
      <xdr:row>8</xdr:row>
      <xdr:rowOff>0</xdr:rowOff>
    </xdr:to>
    <xdr:sp macro="" textlink="">
      <xdr:nvSpPr>
        <xdr:cNvPr id="3" name="Text Box 4">
          <a:extLst>
            <a:ext uri="{FF2B5EF4-FFF2-40B4-BE49-F238E27FC236}">
              <a16:creationId xmlns:a16="http://schemas.microsoft.com/office/drawing/2014/main" id="{00000000-0008-0000-0100-000003000000}"/>
            </a:ext>
          </a:extLst>
        </xdr:cNvPr>
        <xdr:cNvSpPr txBox="1">
          <a:spLocks noChangeArrowheads="1"/>
        </xdr:cNvSpPr>
      </xdr:nvSpPr>
      <xdr:spPr bwMode="auto">
        <a:xfrm>
          <a:off x="0" y="0"/>
          <a:ext cx="8534400" cy="129540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1" i="0" u="sng" strike="noStrike">
              <a:solidFill>
                <a:srgbClr val="000000"/>
              </a:solidFill>
              <a:latin typeface="Arial"/>
              <a:cs typeface="Arial"/>
            </a:rPr>
            <a:t>Cubic Spline Excel Function</a:t>
          </a:r>
          <a:r>
            <a:rPr lang="en-US" sz="1000" b="0" i="0" strike="noStrike">
              <a:solidFill>
                <a:srgbClr val="000000"/>
              </a:solidFill>
              <a:latin typeface="Arial"/>
              <a:cs typeface="Arial"/>
            </a:rPr>
            <a:t>:  This function was written in VBA and resides in a macro module in this workbook.  An  example of how using the cubic_spline function works is shown below.   In order to add the cubic_spline function to other workbooks, open the workbook and then click on the "Export Spline function to other open workbook" button on this worksheet.  In the form that appears, select the workbook that you want to add the spline function to and then press the button on the form to transfer the function code.</a:t>
          </a:r>
        </a:p>
        <a:p>
          <a:pPr algn="l" rtl="0">
            <a:defRPr sz="1000"/>
          </a:pPr>
          <a:endParaRPr lang="en-US" sz="1000" b="0" i="0" strike="noStrike">
            <a:solidFill>
              <a:srgbClr val="000000"/>
            </a:solidFill>
            <a:latin typeface="Arial"/>
            <a:cs typeface="Arial"/>
          </a:endParaRPr>
        </a:p>
        <a:p>
          <a:pPr algn="l" rtl="0">
            <a:defRPr sz="1000"/>
          </a:pPr>
          <a:r>
            <a:rPr lang="en-US" sz="1000" b="0" i="0" strike="noStrike">
              <a:solidFill>
                <a:srgbClr val="000080"/>
              </a:solidFill>
              <a:latin typeface="Arial"/>
              <a:cs typeface="Arial"/>
            </a:rPr>
            <a:t>Arguments:  The cubic_spline function takes three args - column of input data, column of output data, and single point that you want the spline evaluated for.</a:t>
          </a:r>
        </a:p>
      </xdr:txBody>
    </xdr:sp>
    <xdr:clientData/>
  </xdr:twoCellAnchor>
  <xdr:twoCellAnchor>
    <xdr:from>
      <xdr:col>0</xdr:col>
      <xdr:colOff>0</xdr:colOff>
      <xdr:row>13</xdr:row>
      <xdr:rowOff>0</xdr:rowOff>
    </xdr:from>
    <xdr:to>
      <xdr:col>2</xdr:col>
      <xdr:colOff>0</xdr:colOff>
      <xdr:row>15</xdr:row>
      <xdr:rowOff>0</xdr:rowOff>
    </xdr:to>
    <xdr:sp macro="" textlink="">
      <xdr:nvSpPr>
        <xdr:cNvPr id="4" name="Text Box 5">
          <a:extLst>
            <a:ext uri="{FF2B5EF4-FFF2-40B4-BE49-F238E27FC236}">
              <a16:creationId xmlns:a16="http://schemas.microsoft.com/office/drawing/2014/main" id="{00000000-0008-0000-0100-000004000000}"/>
            </a:ext>
          </a:extLst>
        </xdr:cNvPr>
        <xdr:cNvSpPr txBox="1">
          <a:spLocks noChangeArrowheads="1"/>
        </xdr:cNvSpPr>
      </xdr:nvSpPr>
      <xdr:spPr bwMode="auto">
        <a:xfrm>
          <a:off x="0" y="2247900"/>
          <a:ext cx="1219200" cy="333375"/>
        </a:xfrm>
        <a:prstGeom prst="rect">
          <a:avLst/>
        </a:prstGeom>
        <a:solidFill>
          <a:srgbClr val="CCFFCC"/>
        </a:solidFill>
        <a:ln w="9525">
          <a:solidFill>
            <a:srgbClr val="000000"/>
          </a:solidFill>
          <a:miter lim="800000"/>
          <a:headEnd/>
          <a:tailEnd/>
        </a:ln>
      </xdr:spPr>
      <xdr:txBody>
        <a:bodyPr vertOverflow="clip" wrap="square" lIns="27432" tIns="22860" rIns="0" bIns="0" anchor="t" upright="1"/>
        <a:lstStyle/>
        <a:p>
          <a:pPr algn="l" rtl="0">
            <a:defRPr sz="1000"/>
          </a:pPr>
          <a:r>
            <a:rPr lang="en-US" sz="1000" b="1" i="0" strike="noStrike">
              <a:solidFill>
                <a:srgbClr val="000000"/>
              </a:solidFill>
              <a:latin typeface="Arial"/>
              <a:cs typeface="Arial"/>
            </a:rPr>
            <a:t>True Data</a:t>
          </a:r>
        </a:p>
      </xdr:txBody>
    </xdr:sp>
    <xdr:clientData/>
  </xdr:twoCellAnchor>
  <xdr:twoCellAnchor>
    <xdr:from>
      <xdr:col>2</xdr:col>
      <xdr:colOff>0</xdr:colOff>
      <xdr:row>13</xdr:row>
      <xdr:rowOff>0</xdr:rowOff>
    </xdr:from>
    <xdr:to>
      <xdr:col>4</xdr:col>
      <xdr:colOff>0</xdr:colOff>
      <xdr:row>15</xdr:row>
      <xdr:rowOff>0</xdr:rowOff>
    </xdr:to>
    <xdr:sp macro="" textlink="">
      <xdr:nvSpPr>
        <xdr:cNvPr id="5" name="Text Box 6">
          <a:extLst>
            <a:ext uri="{FF2B5EF4-FFF2-40B4-BE49-F238E27FC236}">
              <a16:creationId xmlns:a16="http://schemas.microsoft.com/office/drawing/2014/main" id="{00000000-0008-0000-0100-000005000000}"/>
            </a:ext>
          </a:extLst>
        </xdr:cNvPr>
        <xdr:cNvSpPr txBox="1">
          <a:spLocks noChangeArrowheads="1"/>
        </xdr:cNvSpPr>
      </xdr:nvSpPr>
      <xdr:spPr bwMode="auto">
        <a:xfrm>
          <a:off x="1219200" y="2247900"/>
          <a:ext cx="1219200" cy="333375"/>
        </a:xfrm>
        <a:prstGeom prst="rect">
          <a:avLst/>
        </a:prstGeom>
        <a:solidFill>
          <a:srgbClr val="FFFF99"/>
        </a:solidFill>
        <a:ln w="9525">
          <a:solidFill>
            <a:srgbClr val="000000"/>
          </a:solidFill>
          <a:miter lim="800000"/>
          <a:headEnd/>
          <a:tailEnd/>
        </a:ln>
      </xdr:spPr>
      <xdr:txBody>
        <a:bodyPr vertOverflow="clip" wrap="square" lIns="27432" tIns="22860" rIns="0" bIns="0" anchor="t" upright="1"/>
        <a:lstStyle/>
        <a:p>
          <a:pPr algn="l" rtl="0">
            <a:defRPr sz="1000"/>
          </a:pPr>
          <a:r>
            <a:rPr lang="en-US" sz="1000" b="1" i="0" strike="noStrike">
              <a:solidFill>
                <a:srgbClr val="000000"/>
              </a:solidFill>
              <a:latin typeface="Arial"/>
              <a:cs typeface="Arial"/>
            </a:rPr>
            <a:t>Spline Estimates</a:t>
          </a:r>
        </a:p>
      </xdr:txBody>
    </xdr:sp>
    <xdr:clientData/>
  </xdr:twoCellAnchor>
  <xdr:twoCellAnchor>
    <xdr:from>
      <xdr:col>0</xdr:col>
      <xdr:colOff>0</xdr:colOff>
      <xdr:row>8</xdr:row>
      <xdr:rowOff>0</xdr:rowOff>
    </xdr:from>
    <xdr:to>
      <xdr:col>7</xdr:col>
      <xdr:colOff>0</xdr:colOff>
      <xdr:row>12</xdr:row>
      <xdr:rowOff>0</xdr:rowOff>
    </xdr:to>
    <xdr:sp macro="" textlink="">
      <xdr:nvSpPr>
        <xdr:cNvPr id="6" name="Text Box 7">
          <a:extLst>
            <a:ext uri="{FF2B5EF4-FFF2-40B4-BE49-F238E27FC236}">
              <a16:creationId xmlns:a16="http://schemas.microsoft.com/office/drawing/2014/main" id="{00000000-0008-0000-0100-000006000000}"/>
            </a:ext>
          </a:extLst>
        </xdr:cNvPr>
        <xdr:cNvSpPr txBox="1">
          <a:spLocks noChangeArrowheads="1"/>
        </xdr:cNvSpPr>
      </xdr:nvSpPr>
      <xdr:spPr bwMode="auto">
        <a:xfrm>
          <a:off x="0" y="1295400"/>
          <a:ext cx="4267200" cy="657225"/>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strike="noStrike">
              <a:solidFill>
                <a:srgbClr val="FF0000"/>
              </a:solidFill>
              <a:latin typeface="Arial"/>
              <a:cs typeface="Arial"/>
            </a:rPr>
            <a:t>The author does not make or imply any claims about the functionality of this software and is not in any way responsible for any damage, direct or indirect, caused by this product.  The user uses it at their own risk.</a:t>
          </a:r>
        </a:p>
      </xdr:txBody>
    </xdr:sp>
    <xdr:clientData/>
  </xdr:twoCellAnchor>
  <xdr:twoCellAnchor editAs="oneCell">
    <xdr:from>
      <xdr:col>7</xdr:col>
      <xdr:colOff>9525</xdr:colOff>
      <xdr:row>23</xdr:row>
      <xdr:rowOff>28575</xdr:rowOff>
    </xdr:from>
    <xdr:to>
      <xdr:col>12</xdr:col>
      <xdr:colOff>76200</xdr:colOff>
      <xdr:row>26</xdr:row>
      <xdr:rowOff>114300</xdr:rowOff>
    </xdr:to>
    <xdr:pic>
      <xdr:nvPicPr>
        <xdr:cNvPr id="7" name="Picture 12" descr="logo2">
          <a:extLst>
            <a:ext uri="{FF2B5EF4-FFF2-40B4-BE49-F238E27FC236}">
              <a16:creationId xmlns:a16="http://schemas.microsoft.com/office/drawing/2014/main" id="{00000000-0008-0000-0100-00000700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4276725" y="3914775"/>
          <a:ext cx="3114675" cy="571500"/>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4</xdr:col>
          <xdr:colOff>0</xdr:colOff>
          <xdr:row>12</xdr:row>
          <xdr:rowOff>0</xdr:rowOff>
        </xdr:from>
        <xdr:to>
          <xdr:col>7</xdr:col>
          <xdr:colOff>0</xdr:colOff>
          <xdr:row>17</xdr:row>
          <xdr:rowOff>25400</xdr:rowOff>
        </xdr:to>
        <xdr:sp macro="" textlink="">
          <xdr:nvSpPr>
            <xdr:cNvPr id="1025" name="Button 1" hidden="1">
              <a:extLst>
                <a:ext uri="{63B3BB69-23CF-44E3-9099-C40C66FF867C}">
                  <a14:compatExt spid="_x0000_s1025"/>
                </a:ext>
                <a:ext uri="{FF2B5EF4-FFF2-40B4-BE49-F238E27FC236}">
                  <a16:creationId xmlns:a16="http://schemas.microsoft.com/office/drawing/2014/main" id="{00000000-0008-0000-0100-0000010400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Export Spline Function to other open workbook</a:t>
              </a:r>
            </a:p>
          </xdr:txBody>
        </xdr:sp>
        <xdr:clientData fPrintsWithSheet="0"/>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johnwendt/OneDrive/Documents/Data%20files/Publications/EJSS/Cubic_Spline_v10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bic_Spline_v102"/>
    </sheetNames>
    <definedNames>
      <definedName name="Button8_Click"/>
    </defined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hyperlink" Target="http://www.srs1software.com/" TargetMode="External"/><Relationship Id="rId5" Type="http://schemas.openxmlformats.org/officeDocument/2006/relationships/ctrlProp" Target="../ctrlProps/ctrlProp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7"/>
  <dimension ref="A1:J10"/>
  <sheetViews>
    <sheetView tabSelected="1" workbookViewId="0">
      <selection activeCell="B10" sqref="B10:J10"/>
    </sheetView>
  </sheetViews>
  <sheetFormatPr defaultColWidth="8.81640625" defaultRowHeight="14.5" x14ac:dyDescent="0.35"/>
  <cols>
    <col min="1" max="1" width="4.453125" style="48" customWidth="1"/>
    <col min="10" max="10" width="11" customWidth="1"/>
  </cols>
  <sheetData>
    <row r="1" spans="1:10" ht="18.5" x14ac:dyDescent="0.45">
      <c r="A1" s="79" t="s">
        <v>0</v>
      </c>
      <c r="B1" s="79"/>
      <c r="C1" s="79"/>
      <c r="D1" s="79"/>
      <c r="E1" s="79"/>
      <c r="F1" s="79"/>
      <c r="G1" s="79"/>
      <c r="H1" s="79"/>
      <c r="I1" s="79"/>
      <c r="J1" s="79"/>
    </row>
    <row r="3" spans="1:10" ht="36" customHeight="1" x14ac:dyDescent="0.35">
      <c r="A3" s="74">
        <v>1</v>
      </c>
      <c r="B3" s="78" t="s">
        <v>1</v>
      </c>
      <c r="C3" s="78"/>
      <c r="D3" s="78"/>
      <c r="E3" s="78"/>
      <c r="F3" s="78"/>
      <c r="G3" s="78"/>
      <c r="H3" s="78"/>
      <c r="I3" s="78"/>
      <c r="J3" s="78"/>
    </row>
    <row r="4" spans="1:10" ht="38.25" customHeight="1" x14ac:dyDescent="0.35">
      <c r="A4" s="74">
        <v>2</v>
      </c>
      <c r="B4" s="78" t="s">
        <v>2</v>
      </c>
      <c r="C4" s="78"/>
      <c r="D4" s="78"/>
      <c r="E4" s="78"/>
      <c r="F4" s="78"/>
      <c r="G4" s="78"/>
      <c r="H4" s="78"/>
      <c r="I4" s="78"/>
      <c r="J4" s="78"/>
    </row>
    <row r="5" spans="1:10" ht="68.25" customHeight="1" x14ac:dyDescent="0.35">
      <c r="A5" s="74">
        <v>3</v>
      </c>
      <c r="B5" s="78" t="s">
        <v>3</v>
      </c>
      <c r="C5" s="78"/>
      <c r="D5" s="78"/>
      <c r="E5" s="78"/>
      <c r="F5" s="78"/>
      <c r="G5" s="78"/>
      <c r="H5" s="78"/>
      <c r="I5" s="78"/>
      <c r="J5" s="78"/>
    </row>
    <row r="6" spans="1:10" ht="67.5" customHeight="1" x14ac:dyDescent="0.35">
      <c r="A6" s="74">
        <v>4</v>
      </c>
      <c r="B6" s="78" t="s">
        <v>4</v>
      </c>
      <c r="C6" s="78"/>
      <c r="D6" s="78"/>
      <c r="E6" s="78"/>
      <c r="F6" s="78"/>
      <c r="G6" s="78"/>
      <c r="H6" s="78"/>
      <c r="I6" s="78"/>
      <c r="J6" s="78"/>
    </row>
    <row r="7" spans="1:10" ht="68.25" customHeight="1" x14ac:dyDescent="0.35">
      <c r="A7" s="74">
        <v>5</v>
      </c>
      <c r="B7" s="78" t="s">
        <v>5</v>
      </c>
      <c r="C7" s="78"/>
      <c r="D7" s="78"/>
      <c r="E7" s="78"/>
      <c r="F7" s="78"/>
      <c r="G7" s="78"/>
      <c r="H7" s="78"/>
      <c r="I7" s="78"/>
      <c r="J7" s="78"/>
    </row>
    <row r="8" spans="1:10" ht="80.25" customHeight="1" x14ac:dyDescent="0.35">
      <c r="A8" s="74">
        <v>6</v>
      </c>
      <c r="B8" s="78" t="s">
        <v>6</v>
      </c>
      <c r="C8" s="78"/>
      <c r="D8" s="78"/>
      <c r="E8" s="78"/>
      <c r="F8" s="78"/>
      <c r="G8" s="78"/>
      <c r="H8" s="78"/>
      <c r="I8" s="78"/>
      <c r="J8" s="78"/>
    </row>
    <row r="9" spans="1:10" ht="33" customHeight="1" x14ac:dyDescent="0.35">
      <c r="A9" s="74">
        <v>7</v>
      </c>
      <c r="B9" s="78" t="s">
        <v>7</v>
      </c>
      <c r="C9" s="78"/>
      <c r="D9" s="78"/>
      <c r="E9" s="78"/>
      <c r="F9" s="78"/>
      <c r="G9" s="78"/>
      <c r="H9" s="78"/>
      <c r="I9" s="78"/>
      <c r="J9" s="78"/>
    </row>
    <row r="10" spans="1:10" ht="80.25" customHeight="1" x14ac:dyDescent="0.35">
      <c r="A10" s="74">
        <v>8</v>
      </c>
      <c r="B10" s="78" t="s">
        <v>8</v>
      </c>
      <c r="C10" s="78"/>
      <c r="D10" s="78"/>
      <c r="E10" s="78"/>
      <c r="F10" s="78"/>
      <c r="G10" s="78"/>
      <c r="H10" s="78"/>
      <c r="I10" s="78"/>
      <c r="J10" s="78"/>
    </row>
  </sheetData>
  <mergeCells count="9">
    <mergeCell ref="B8:J8"/>
    <mergeCell ref="B9:J9"/>
    <mergeCell ref="B10:J10"/>
    <mergeCell ref="A1:J1"/>
    <mergeCell ref="B3:J3"/>
    <mergeCell ref="B4:J4"/>
    <mergeCell ref="B5:J5"/>
    <mergeCell ref="B6:J6"/>
    <mergeCell ref="B7:J7"/>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A12:H38"/>
  <sheetViews>
    <sheetView workbookViewId="0">
      <selection activeCell="F34" sqref="F34"/>
    </sheetView>
  </sheetViews>
  <sheetFormatPr defaultColWidth="8.81640625" defaultRowHeight="12.5" x14ac:dyDescent="0.25"/>
  <cols>
    <col min="1" max="16384" width="8.81640625" style="1"/>
  </cols>
  <sheetData>
    <row r="12" spans="1:4" ht="13" thickBot="1" x14ac:dyDescent="0.3"/>
    <row r="13" spans="1:4" ht="23" x14ac:dyDescent="0.5">
      <c r="A13" s="2" t="s">
        <v>9</v>
      </c>
      <c r="B13" s="3"/>
      <c r="C13" s="3"/>
      <c r="D13" s="3"/>
    </row>
    <row r="14" spans="1:4" x14ac:dyDescent="0.25">
      <c r="A14" s="4"/>
      <c r="D14" s="5"/>
    </row>
    <row r="15" spans="1:4" ht="13" thickBot="1" x14ac:dyDescent="0.3">
      <c r="A15" s="4"/>
      <c r="D15" s="5"/>
    </row>
    <row r="16" spans="1:4" ht="13.5" thickBot="1" x14ac:dyDescent="0.35">
      <c r="A16" s="6" t="s">
        <v>10</v>
      </c>
      <c r="B16" s="7" t="s">
        <v>11</v>
      </c>
      <c r="C16" s="8" t="s">
        <v>12</v>
      </c>
      <c r="D16" s="9" t="s">
        <v>13</v>
      </c>
    </row>
    <row r="17" spans="1:8" ht="13" x14ac:dyDescent="0.3">
      <c r="A17" s="10">
        <v>1</v>
      </c>
      <c r="B17" s="11">
        <v>0.75</v>
      </c>
      <c r="C17" s="12">
        <v>1</v>
      </c>
      <c r="D17" s="13">
        <f t="shared" ref="D17:D38" si="0">cubic_spline($A$17:$A$21,$B$17:$B$21,C17)</f>
        <v>0.75</v>
      </c>
    </row>
    <row r="18" spans="1:8" ht="13" x14ac:dyDescent="0.3">
      <c r="A18" s="10">
        <v>2</v>
      </c>
      <c r="B18" s="11">
        <v>0</v>
      </c>
      <c r="C18" s="12">
        <v>1.2</v>
      </c>
      <c r="D18" s="13">
        <f t="shared" si="0"/>
        <v>0.68914288425445558</v>
      </c>
    </row>
    <row r="19" spans="1:8" ht="13" x14ac:dyDescent="0.3">
      <c r="A19" s="10">
        <v>3</v>
      </c>
      <c r="B19" s="11">
        <v>-1</v>
      </c>
      <c r="C19" s="12">
        <v>1.4</v>
      </c>
      <c r="D19" s="13">
        <f t="shared" si="0"/>
        <v>0.6060000236034393</v>
      </c>
    </row>
    <row r="20" spans="1:8" ht="13" x14ac:dyDescent="0.3">
      <c r="A20" s="10">
        <v>4</v>
      </c>
      <c r="B20" s="11">
        <v>3</v>
      </c>
      <c r="C20" s="12">
        <v>1.6</v>
      </c>
      <c r="D20" s="13">
        <f t="shared" si="0"/>
        <v>0.47828573274612429</v>
      </c>
    </row>
    <row r="21" spans="1:8" ht="13" x14ac:dyDescent="0.3">
      <c r="A21" s="10">
        <v>5</v>
      </c>
      <c r="B21" s="11">
        <v>4.75</v>
      </c>
      <c r="C21" s="12">
        <v>1.8</v>
      </c>
      <c r="D21" s="13">
        <f t="shared" si="0"/>
        <v>0.28371429657936093</v>
      </c>
    </row>
    <row r="22" spans="1:8" x14ac:dyDescent="0.25">
      <c r="A22" s="14"/>
      <c r="B22" s="15"/>
      <c r="C22" s="12">
        <v>2</v>
      </c>
      <c r="D22" s="13">
        <f t="shared" si="0"/>
        <v>0</v>
      </c>
    </row>
    <row r="23" spans="1:8" x14ac:dyDescent="0.25">
      <c r="A23" s="14"/>
      <c r="B23" s="15"/>
      <c r="C23" s="12">
        <v>2.2000000000000002</v>
      </c>
      <c r="D23" s="13">
        <f t="shared" si="0"/>
        <v>-0.37485715612343451</v>
      </c>
    </row>
    <row r="24" spans="1:8" x14ac:dyDescent="0.25">
      <c r="A24" s="14"/>
      <c r="B24" s="15"/>
      <c r="C24" s="12">
        <v>2.4</v>
      </c>
      <c r="D24" s="13">
        <f t="shared" si="0"/>
        <v>-0.76171430294854336</v>
      </c>
    </row>
    <row r="25" spans="1:8" x14ac:dyDescent="0.25">
      <c r="A25" s="14"/>
      <c r="B25" s="15"/>
      <c r="C25" s="12">
        <v>2.6</v>
      </c>
      <c r="D25" s="13">
        <f t="shared" si="0"/>
        <v>-1.061142876139709</v>
      </c>
    </row>
    <row r="26" spans="1:8" x14ac:dyDescent="0.25">
      <c r="A26" s="14"/>
      <c r="B26" s="15"/>
      <c r="C26" s="12">
        <v>2.8</v>
      </c>
      <c r="D26" s="13">
        <f t="shared" si="0"/>
        <v>-1.1737143008453506</v>
      </c>
    </row>
    <row r="27" spans="1:8" x14ac:dyDescent="0.25">
      <c r="A27" s="14"/>
      <c r="B27" s="15"/>
      <c r="C27" s="12">
        <v>3</v>
      </c>
      <c r="D27" s="13">
        <f t="shared" si="0"/>
        <v>-1</v>
      </c>
    </row>
    <row r="28" spans="1:8" ht="13.5" customHeight="1" x14ac:dyDescent="0.3">
      <c r="A28" s="14"/>
      <c r="B28" s="15"/>
      <c r="C28" s="12">
        <v>3.2</v>
      </c>
      <c r="D28" s="13">
        <f t="shared" si="0"/>
        <v>-0.47771430398736481</v>
      </c>
      <c r="H28" s="16" t="s">
        <v>14</v>
      </c>
    </row>
    <row r="29" spans="1:8" ht="17.5" x14ac:dyDescent="0.35">
      <c r="A29" s="14"/>
      <c r="B29" s="15"/>
      <c r="C29" s="12">
        <v>3.4</v>
      </c>
      <c r="D29" s="13">
        <f t="shared" si="0"/>
        <v>0.30685708829334951</v>
      </c>
      <c r="H29" s="17" t="s">
        <v>15</v>
      </c>
    </row>
    <row r="30" spans="1:8" ht="13" x14ac:dyDescent="0.3">
      <c r="A30" s="14"/>
      <c r="B30" s="15"/>
      <c r="C30" s="12">
        <v>3.6</v>
      </c>
      <c r="D30" s="13">
        <f t="shared" si="0"/>
        <v>1.2302856717365129</v>
      </c>
      <c r="H30" s="16"/>
    </row>
    <row r="31" spans="1:8" ht="15.5" x14ac:dyDescent="0.35">
      <c r="A31" s="14"/>
      <c r="B31" s="15"/>
      <c r="C31" s="12">
        <v>3.8</v>
      </c>
      <c r="D31" s="13">
        <f t="shared" si="0"/>
        <v>2.1691428303292812</v>
      </c>
      <c r="H31" s="18"/>
    </row>
    <row r="32" spans="1:8" x14ac:dyDescent="0.25">
      <c r="A32" s="14"/>
      <c r="B32" s="15"/>
      <c r="C32" s="12">
        <v>4</v>
      </c>
      <c r="D32" s="13">
        <f t="shared" si="0"/>
        <v>3</v>
      </c>
    </row>
    <row r="33" spans="1:4" x14ac:dyDescent="0.25">
      <c r="A33" s="14"/>
      <c r="B33" s="15"/>
      <c r="C33" s="12">
        <v>4.2</v>
      </c>
      <c r="D33" s="13">
        <f t="shared" si="0"/>
        <v>3.6277143639666702</v>
      </c>
    </row>
    <row r="34" spans="1:4" x14ac:dyDescent="0.25">
      <c r="A34" s="14"/>
      <c r="B34" s="15"/>
      <c r="C34" s="12">
        <v>4.4000000000000004</v>
      </c>
      <c r="D34" s="13">
        <f t="shared" si="0"/>
        <v>4.0702857752527519</v>
      </c>
    </row>
    <row r="35" spans="1:4" x14ac:dyDescent="0.25">
      <c r="A35" s="14"/>
      <c r="B35" s="15"/>
      <c r="C35" s="12">
        <v>4.5999999999999996</v>
      </c>
      <c r="D35" s="13">
        <f t="shared" si="0"/>
        <v>4.3740000430430666</v>
      </c>
    </row>
    <row r="36" spans="1:4" x14ac:dyDescent="0.25">
      <c r="A36" s="14"/>
      <c r="B36" s="15"/>
      <c r="C36" s="12">
        <v>4.8</v>
      </c>
      <c r="D36" s="13">
        <f t="shared" si="0"/>
        <v>4.5851428791539997</v>
      </c>
    </row>
    <row r="37" spans="1:4" x14ac:dyDescent="0.25">
      <c r="A37" s="14"/>
      <c r="B37" s="15"/>
      <c r="C37" s="12">
        <v>5</v>
      </c>
      <c r="D37" s="13">
        <f t="shared" si="0"/>
        <v>4.75</v>
      </c>
    </row>
    <row r="38" spans="1:4" ht="13" thickBot="1" x14ac:dyDescent="0.3">
      <c r="A38" s="19"/>
      <c r="B38" s="20"/>
      <c r="C38" s="21">
        <v>5.2</v>
      </c>
      <c r="D38" s="22">
        <f t="shared" si="0"/>
        <v>4.9148571208460003</v>
      </c>
    </row>
  </sheetData>
  <hyperlinks>
    <hyperlink ref="H29" r:id="rId1" xr:uid="{00000000-0004-0000-0100-000000000000}"/>
  </hyperlinks>
  <printOptions gridLines="1" gridLinesSet="0"/>
  <pageMargins left="0.75" right="0.75" top="1" bottom="1" header="0.5" footer="0.5"/>
  <pageSetup orientation="portrait" horizontalDpi="300" verticalDpi="200" r:id="rId2"/>
  <headerFooter alignWithMargins="0">
    <oddHeader>&amp;A</oddHeader>
    <oddFooter>Page &amp;P</oddFooter>
  </headerFooter>
  <drawing r:id="rId3"/>
  <legacyDrawing r:id="rId4"/>
  <mc:AlternateContent xmlns:mc="http://schemas.openxmlformats.org/markup-compatibility/2006">
    <mc:Choice Requires="x14">
      <controls>
        <mc:AlternateContent xmlns:mc="http://schemas.openxmlformats.org/markup-compatibility/2006">
          <mc:Choice Requires="x14">
            <control shapeId="1025" r:id="rId5" name="Button 1">
              <controlPr defaultSize="0" print="0" autoFill="0" autoPict="0" macro="[1]!Button8_Click">
                <anchor moveWithCells="1" sizeWithCells="1">
                  <from>
                    <xdr:col>4</xdr:col>
                    <xdr:colOff>0</xdr:colOff>
                    <xdr:row>12</xdr:row>
                    <xdr:rowOff>0</xdr:rowOff>
                  </from>
                  <to>
                    <xdr:col>7</xdr:col>
                    <xdr:colOff>0</xdr:colOff>
                    <xdr:row>17</xdr:row>
                    <xdr:rowOff>25400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pageSetUpPr fitToPage="1"/>
  </sheetPr>
  <dimension ref="A1:P260"/>
  <sheetViews>
    <sheetView workbookViewId="0">
      <selection activeCell="P13" sqref="P13"/>
    </sheetView>
  </sheetViews>
  <sheetFormatPr defaultColWidth="8.81640625" defaultRowHeight="14.5" x14ac:dyDescent="0.35"/>
  <cols>
    <col min="1" max="1" width="10.453125" customWidth="1"/>
    <col min="2" max="2" width="10.1796875" customWidth="1"/>
    <col min="3" max="3" width="10.453125" customWidth="1"/>
    <col min="4" max="4" width="7.81640625" customWidth="1"/>
    <col min="5" max="5" width="9.1796875" hidden="1" customWidth="1"/>
    <col min="6" max="6" width="8.81640625" hidden="1" customWidth="1"/>
    <col min="7" max="7" width="8.1796875" hidden="1" customWidth="1"/>
    <col min="8" max="8" width="8.26953125" hidden="1" customWidth="1"/>
    <col min="9" max="9" width="7.81640625" hidden="1" customWidth="1"/>
    <col min="10" max="10" width="8.81640625" hidden="1" customWidth="1"/>
    <col min="11" max="11" width="8.453125" customWidth="1"/>
    <col min="12" max="12" width="9.7265625" customWidth="1"/>
    <col min="13" max="13" width="9" customWidth="1"/>
    <col min="14" max="14" width="7.1796875" customWidth="1"/>
    <col min="15" max="15" width="3.453125" style="26" customWidth="1"/>
  </cols>
  <sheetData>
    <row r="1" spans="1:16" x14ac:dyDescent="0.35">
      <c r="A1" s="23" t="s">
        <v>16</v>
      </c>
      <c r="B1" s="24"/>
      <c r="C1" s="24"/>
      <c r="D1" s="25">
        <v>21.5</v>
      </c>
      <c r="F1" s="26"/>
      <c r="G1" s="26"/>
      <c r="H1" s="26"/>
      <c r="I1" s="27"/>
      <c r="J1" s="27"/>
      <c r="K1" s="27"/>
      <c r="L1" s="27"/>
      <c r="M1" s="27"/>
      <c r="N1" s="26"/>
    </row>
    <row r="2" spans="1:16" ht="15" thickBot="1" x14ac:dyDescent="0.4">
      <c r="A2" s="28" t="s">
        <v>17</v>
      </c>
      <c r="B2" s="29"/>
      <c r="C2" s="29"/>
      <c r="D2" s="30">
        <v>4</v>
      </c>
      <c r="F2" s="26"/>
      <c r="G2" s="26"/>
      <c r="H2" s="26"/>
      <c r="I2" s="27"/>
      <c r="J2" s="27"/>
      <c r="K2" s="27"/>
      <c r="L2" s="27"/>
      <c r="M2" s="27"/>
      <c r="N2" s="26"/>
    </row>
    <row r="3" spans="1:16" ht="15" thickBot="1" x14ac:dyDescent="0.4">
      <c r="F3" s="26"/>
      <c r="G3" s="26"/>
      <c r="H3" s="26"/>
      <c r="I3" s="27"/>
      <c r="J3" s="27"/>
      <c r="K3" s="27"/>
      <c r="L3" s="27"/>
      <c r="M3" s="27"/>
      <c r="N3" s="26"/>
    </row>
    <row r="4" spans="1:16" ht="15.75" customHeight="1" x14ac:dyDescent="0.35">
      <c r="A4" s="80" t="s">
        <v>18</v>
      </c>
      <c r="B4" s="25">
        <v>1500</v>
      </c>
      <c r="C4" s="80" t="s">
        <v>19</v>
      </c>
      <c r="D4" s="31">
        <f>IF(N(B4)=0,"",AVERAGE(K13,K18,K23,K28,K33))</f>
        <v>13.30821500516546</v>
      </c>
      <c r="G4" s="26"/>
      <c r="I4" s="27"/>
      <c r="J4" s="27"/>
      <c r="K4" s="27"/>
      <c r="L4" s="27"/>
      <c r="M4" s="27"/>
      <c r="N4" s="26"/>
    </row>
    <row r="5" spans="1:16" ht="15.75" customHeight="1" x14ac:dyDescent="0.35">
      <c r="A5" s="81"/>
      <c r="B5" s="32">
        <v>3000</v>
      </c>
      <c r="C5" s="81"/>
      <c r="D5" s="33">
        <f>IF(N(B5)=0,"",AVERAGE(K14,K19,K24,K29,K34))</f>
        <v>24.547773996127084</v>
      </c>
      <c r="G5" s="26"/>
      <c r="I5" s="27"/>
      <c r="J5" s="27"/>
      <c r="K5" s="27"/>
      <c r="L5" s="27"/>
      <c r="M5" s="27"/>
      <c r="N5" s="26"/>
      <c r="P5" t="s">
        <v>20</v>
      </c>
    </row>
    <row r="6" spans="1:16" ht="15.75" customHeight="1" x14ac:dyDescent="0.35">
      <c r="A6" s="81"/>
      <c r="B6" s="32">
        <v>4500</v>
      </c>
      <c r="C6" s="81"/>
      <c r="D6" s="33">
        <f>IF(N(B6)=0,"",AVERAGE(K15,K20,K25,K30,K35))</f>
        <v>35.773114585976657</v>
      </c>
      <c r="G6" s="26"/>
      <c r="I6" s="27"/>
      <c r="J6" s="27"/>
      <c r="K6" s="27" t="s">
        <v>20</v>
      </c>
      <c r="L6" s="27"/>
      <c r="M6" s="27"/>
      <c r="N6" s="26"/>
    </row>
    <row r="7" spans="1:16" ht="15.75" customHeight="1" x14ac:dyDescent="0.35">
      <c r="A7" s="81"/>
      <c r="B7" s="32">
        <v>6000</v>
      </c>
      <c r="C7" s="81"/>
      <c r="D7" s="33">
        <f>IF(N(B7)=0,"",AVERAGE(K16,K21,K26,K31,K36))</f>
        <v>47.085929813740293</v>
      </c>
      <c r="G7" s="26"/>
      <c r="I7" s="27"/>
      <c r="J7" s="27"/>
      <c r="K7" s="27" t="s">
        <v>20</v>
      </c>
      <c r="L7" s="27"/>
      <c r="M7" s="27"/>
      <c r="N7" s="26"/>
    </row>
    <row r="8" spans="1:16" ht="15.75" customHeight="1" thickBot="1" x14ac:dyDescent="0.4">
      <c r="A8" s="82"/>
      <c r="B8" s="30" t="s">
        <v>20</v>
      </c>
      <c r="C8" s="82"/>
      <c r="D8" s="34" t="str">
        <f>IF(N(B8)=0,"",AVERAGE(K17,K22,K27,K32,K37))</f>
        <v/>
      </c>
      <c r="G8" s="26"/>
      <c r="I8" s="27"/>
      <c r="J8" s="27"/>
      <c r="K8" s="27"/>
      <c r="L8" s="27"/>
      <c r="M8" s="35"/>
      <c r="N8" s="36"/>
    </row>
    <row r="9" spans="1:16" ht="8.25" customHeight="1" thickBot="1" x14ac:dyDescent="0.4">
      <c r="D9" t="s">
        <v>20</v>
      </c>
      <c r="F9" s="26"/>
      <c r="G9" s="26"/>
      <c r="H9" s="26"/>
      <c r="I9" s="27"/>
      <c r="J9" s="27"/>
      <c r="K9" s="27"/>
      <c r="L9" s="27"/>
      <c r="M9" s="27"/>
      <c r="N9" s="26"/>
    </row>
    <row r="10" spans="1:16" ht="43.5" customHeight="1" thickBot="1" x14ac:dyDescent="0.4">
      <c r="A10" s="37" t="s">
        <v>21</v>
      </c>
      <c r="B10" s="37" t="s">
        <v>22</v>
      </c>
      <c r="C10" s="37" t="s">
        <v>23</v>
      </c>
      <c r="D10" s="38" t="s">
        <v>24</v>
      </c>
      <c r="E10" s="39" t="s">
        <v>25</v>
      </c>
      <c r="F10" s="39" t="s">
        <v>26</v>
      </c>
      <c r="G10" s="39" t="s">
        <v>27</v>
      </c>
      <c r="H10" s="39" t="s">
        <v>28</v>
      </c>
      <c r="I10" s="39" t="s">
        <v>29</v>
      </c>
      <c r="J10" s="39" t="s">
        <v>28</v>
      </c>
      <c r="K10" s="39" t="s">
        <v>30</v>
      </c>
      <c r="L10" s="39" t="s">
        <v>31</v>
      </c>
      <c r="M10" s="39" t="s">
        <v>32</v>
      </c>
      <c r="N10" s="40"/>
      <c r="O10"/>
    </row>
    <row r="11" spans="1:16" ht="18.75" customHeight="1" thickBot="1" x14ac:dyDescent="0.4">
      <c r="A11" s="41" t="s">
        <v>33</v>
      </c>
      <c r="B11" s="41" t="s">
        <v>20</v>
      </c>
      <c r="C11" s="41" t="s">
        <v>34</v>
      </c>
      <c r="D11" s="42" t="s">
        <v>35</v>
      </c>
      <c r="E11" s="43" t="s">
        <v>36</v>
      </c>
      <c r="F11" s="43" t="s">
        <v>36</v>
      </c>
      <c r="G11" s="43" t="s">
        <v>36</v>
      </c>
      <c r="H11" s="43" t="s">
        <v>36</v>
      </c>
      <c r="I11" s="43" t="s">
        <v>36</v>
      </c>
      <c r="J11" s="43" t="s">
        <v>36</v>
      </c>
      <c r="K11" s="41" t="s">
        <v>33</v>
      </c>
      <c r="L11" s="43" t="s">
        <v>36</v>
      </c>
      <c r="M11" s="43" t="s">
        <v>36</v>
      </c>
      <c r="O11"/>
    </row>
    <row r="12" spans="1:16" ht="5.15" customHeight="1" x14ac:dyDescent="0.35">
      <c r="A12" s="44"/>
      <c r="B12" s="44"/>
      <c r="C12" s="44"/>
      <c r="D12" s="45"/>
      <c r="E12" s="46"/>
      <c r="F12" s="46"/>
      <c r="G12" s="47"/>
      <c r="H12" s="47"/>
      <c r="I12" s="46"/>
      <c r="J12" s="47"/>
      <c r="K12" s="44"/>
      <c r="L12" s="46"/>
      <c r="M12" s="47"/>
      <c r="O12"/>
    </row>
    <row r="13" spans="1:16" ht="15.75" customHeight="1" x14ac:dyDescent="0.35">
      <c r="A13" s="48">
        <v>8</v>
      </c>
      <c r="B13" s="48" t="s">
        <v>37</v>
      </c>
      <c r="C13" s="49">
        <v>123.2</v>
      </c>
      <c r="D13" s="50">
        <v>24.287188420042472</v>
      </c>
      <c r="E13" s="51">
        <f>C13/PI()/($D$1/2)^2/$D$2*10000</f>
        <v>848.36728994792884</v>
      </c>
      <c r="F13" s="27">
        <f>E13+F12</f>
        <v>848.36728994792884</v>
      </c>
      <c r="G13" s="49">
        <f>(E13*D13)/1000</f>
        <v>20.604456220366153</v>
      </c>
      <c r="H13" s="52">
        <f>G13+H12</f>
        <v>20.604456220366153</v>
      </c>
      <c r="I13" s="27" t="str">
        <f>IF(N(B$4)=0,"",0&amp;"-"&amp;B$4)</f>
        <v>0-1500</v>
      </c>
      <c r="J13" s="52">
        <f>cubic_spline(F12:F16,H12:H16,B$4)</f>
        <v>29.738546027937353</v>
      </c>
      <c r="K13" s="52">
        <f>cubic_spline(F12:F16,A12:A16,B$4)</f>
        <v>13.54560333893949</v>
      </c>
      <c r="L13" s="27" t="str">
        <f>IF(N(B$4)=0,"",0&amp;"-"&amp;B$4)</f>
        <v>0-1500</v>
      </c>
      <c r="M13" s="52">
        <f>J13-J12</f>
        <v>29.738546027937353</v>
      </c>
      <c r="O13"/>
    </row>
    <row r="14" spans="1:16" ht="15.75" customHeight="1" x14ac:dyDescent="0.35">
      <c r="A14" s="48">
        <v>16</v>
      </c>
      <c r="B14" s="48" t="s">
        <v>37</v>
      </c>
      <c r="C14" s="49">
        <v>139.19999999999999</v>
      </c>
      <c r="D14" s="50">
        <v>12.681478533824528</v>
      </c>
      <c r="E14" s="51">
        <f>C14/PI()/($D$1/2)^2/$D$2*10000</f>
        <v>958.5448600710364</v>
      </c>
      <c r="F14" s="27">
        <f>E14+F13</f>
        <v>1806.9121500189653</v>
      </c>
      <c r="G14" s="49">
        <f>(E14*D14)/1000</f>
        <v>12.155766066698684</v>
      </c>
      <c r="H14" s="52">
        <f>G14+H13</f>
        <v>32.760222287064835</v>
      </c>
      <c r="I14" s="27" t="str">
        <f>IF(N(B$5)=0,"",0&amp;"-"&amp;B$5)</f>
        <v>0-3000</v>
      </c>
      <c r="J14" s="52">
        <f>cubic_spline(F12:F16,H12:H16,B$5)</f>
        <v>43.604080695290648</v>
      </c>
      <c r="K14" s="52">
        <f>cubic_spline(F12:F16,A12:A16,B$5)</f>
        <v>25.099821736845762</v>
      </c>
      <c r="L14" s="27" t="str">
        <f>IF(N(B$5)=0,"",B$4&amp;"-"&amp;B$5)</f>
        <v>1500-3000</v>
      </c>
      <c r="M14" s="52">
        <f>J14-J13</f>
        <v>13.865534667353295</v>
      </c>
      <c r="O14"/>
    </row>
    <row r="15" spans="1:16" ht="15" customHeight="1" x14ac:dyDescent="0.35">
      <c r="A15" s="48">
        <v>32</v>
      </c>
      <c r="B15" s="48" t="s">
        <v>37</v>
      </c>
      <c r="C15" s="49">
        <v>306.10000000000002</v>
      </c>
      <c r="D15" s="50">
        <v>8.7067416803563731</v>
      </c>
      <c r="E15" s="51">
        <f>C15/PI()/($D$1/2)^2/$D$2*10000</f>
        <v>2107.8346384177034</v>
      </c>
      <c r="F15" s="27">
        <f>E15+F14</f>
        <v>3914.7467884366688</v>
      </c>
      <c r="G15" s="49">
        <f>(E15*D15)/1000</f>
        <v>18.352371701610323</v>
      </c>
      <c r="H15" s="52">
        <f>G15+H14</f>
        <v>51.112593988675158</v>
      </c>
      <c r="I15" s="27" t="str">
        <f>IF(N(B$6)=0,"",0&amp;"-"&amp;B$6)</f>
        <v>0-4500</v>
      </c>
      <c r="J15" s="52">
        <f>cubic_spline(F12:F16,H12:H16,B$6)</f>
        <v>55.461166752791819</v>
      </c>
      <c r="K15" s="52">
        <f>cubic_spline(F12:F16,A12:A16,B$6)</f>
        <v>36.552980811902536</v>
      </c>
      <c r="L15" s="27" t="str">
        <f>IF(N(B$6)=0,"",B$5&amp;"-"&amp;B$6)</f>
        <v>3000-4500</v>
      </c>
      <c r="M15" s="52">
        <f>J15-J14</f>
        <v>11.857086057501171</v>
      </c>
      <c r="O15"/>
    </row>
    <row r="16" spans="1:16" ht="15" customHeight="1" x14ac:dyDescent="0.35">
      <c r="A16" s="48">
        <v>48</v>
      </c>
      <c r="B16" s="48" t="s">
        <v>37</v>
      </c>
      <c r="C16" s="49">
        <v>292.2</v>
      </c>
      <c r="D16" s="50">
        <v>6.9685959018314385</v>
      </c>
      <c r="E16" s="51">
        <f>C16/PI()/($D$1/2)^2/$D$2*10000</f>
        <v>2012.1178743732535</v>
      </c>
      <c r="F16" s="27">
        <f>E16+F15</f>
        <v>5926.8646628099223</v>
      </c>
      <c r="G16" s="49">
        <f>(E16*D16)/1000</f>
        <v>14.02163637335924</v>
      </c>
      <c r="H16" s="52">
        <f>G16+H15</f>
        <v>65.134230362034401</v>
      </c>
      <c r="I16" s="27" t="str">
        <f>IF(N(B$7)=0,"",0&amp;"-"&amp;B$7)</f>
        <v>0-6000</v>
      </c>
      <c r="J16" s="52">
        <f>cubic_spline(F12:F16,H12:H16,B$7)</f>
        <v>65.616061902514389</v>
      </c>
      <c r="K16" s="52">
        <f>cubic_spline(F12:F16,A12:A16,B$7)</f>
        <v>48.591942491892688</v>
      </c>
      <c r="L16" s="27" t="str">
        <f>IF(N(B$7)=0,"",B$6&amp;"-"&amp;B$7)</f>
        <v>4500-6000</v>
      </c>
      <c r="M16" s="52">
        <f>J16-J15</f>
        <v>10.15489514972257</v>
      </c>
      <c r="O16"/>
    </row>
    <row r="17" spans="1:15" ht="5.15" customHeight="1" x14ac:dyDescent="0.35">
      <c r="A17" s="47"/>
      <c r="B17" s="47"/>
      <c r="C17" s="47"/>
      <c r="D17" s="53"/>
      <c r="E17" s="54"/>
      <c r="F17" s="55"/>
      <c r="G17" s="56"/>
      <c r="H17" s="57"/>
      <c r="I17" s="47"/>
      <c r="J17" s="57"/>
      <c r="K17" s="57"/>
      <c r="L17" s="55"/>
      <c r="M17" s="57"/>
      <c r="O17"/>
    </row>
    <row r="18" spans="1:15" x14ac:dyDescent="0.35">
      <c r="A18" s="48">
        <v>8</v>
      </c>
      <c r="B18" s="48" t="s">
        <v>38</v>
      </c>
      <c r="C18" s="49">
        <v>122.7</v>
      </c>
      <c r="D18" s="50">
        <v>28.767305307170229</v>
      </c>
      <c r="E18" s="51">
        <f>C18/PI()/($D$1/2)^2/$D$2*10000</f>
        <v>844.92424088158191</v>
      </c>
      <c r="F18" s="27">
        <f>E18+F17</f>
        <v>844.92424088158191</v>
      </c>
      <c r="G18" s="49">
        <f>(E18*D18)/1000</f>
        <v>24.306193598869509</v>
      </c>
      <c r="H18" s="52">
        <f>G18+H17</f>
        <v>24.306193598869509</v>
      </c>
      <c r="I18" s="27" t="str">
        <f>IF(N(B$4)=0,"",0&amp;"-"&amp;B$4)</f>
        <v>0-1500</v>
      </c>
      <c r="J18" s="52">
        <f>cubic_spline(F17:F21,H17:H21,B$4)</f>
        <v>32.627080503284937</v>
      </c>
      <c r="K18" s="52">
        <f>cubic_spline(F17:F21,A17:A21,B$4)</f>
        <v>13.381010847445726</v>
      </c>
      <c r="L18" s="27" t="str">
        <f>IF(N(B$4)=0,"",0&amp;"-"&amp;B$4)</f>
        <v>0-1500</v>
      </c>
      <c r="M18" s="52">
        <f>J18-J17</f>
        <v>32.627080503284937</v>
      </c>
      <c r="N18" s="26"/>
      <c r="O18"/>
    </row>
    <row r="19" spans="1:15" x14ac:dyDescent="0.35">
      <c r="A19" s="48">
        <v>16</v>
      </c>
      <c r="B19" s="48" t="s">
        <v>38</v>
      </c>
      <c r="C19" s="49">
        <v>144.30000000000001</v>
      </c>
      <c r="D19" s="50">
        <v>10.647029879769182</v>
      </c>
      <c r="E19" s="51">
        <f>C19/PI()/($D$1/2)^2/$D$2*10000</f>
        <v>993.66396054777715</v>
      </c>
      <c r="F19" s="27">
        <f>E19+F18</f>
        <v>1838.5882014293591</v>
      </c>
      <c r="G19" s="49">
        <f>(E19*D19)/1000</f>
        <v>10.579569878401969</v>
      </c>
      <c r="H19" s="52">
        <f>G19+H18</f>
        <v>34.885763477271482</v>
      </c>
      <c r="I19" s="27" t="str">
        <f>IF(N(B$5)=0,"",0&amp;"-"&amp;B$5)</f>
        <v>0-3000</v>
      </c>
      <c r="J19" s="52">
        <f>cubic_spline(F17:F21,H17:H21,B$5)</f>
        <v>43.580115017506934</v>
      </c>
      <c r="K19" s="52">
        <f>cubic_spline(F17:F21,A17:A21,B$5)</f>
        <v>25.009797129360884</v>
      </c>
      <c r="L19" s="27" t="str">
        <f>IF(N(B$5)=0,"",B$4&amp;"-"&amp;B$5)</f>
        <v>1500-3000</v>
      </c>
      <c r="M19" s="52">
        <f>J19-J18</f>
        <v>10.953034514221997</v>
      </c>
      <c r="N19" s="26"/>
      <c r="O19"/>
    </row>
    <row r="20" spans="1:15" ht="15" customHeight="1" x14ac:dyDescent="0.35">
      <c r="A20" s="48">
        <v>32</v>
      </c>
      <c r="B20" s="48" t="s">
        <v>38</v>
      </c>
      <c r="C20" s="49">
        <v>300.8</v>
      </c>
      <c r="D20" s="50">
        <v>7.7020356474910514</v>
      </c>
      <c r="E20" s="51">
        <f>C20/PI()/($D$1/2)^2/$D$2*10000</f>
        <v>2071.3383183144238</v>
      </c>
      <c r="F20" s="27">
        <f>E20+F19</f>
        <v>3909.9265197437826</v>
      </c>
      <c r="G20" s="49">
        <f>(E20*D20)/1000</f>
        <v>15.95352156567186</v>
      </c>
      <c r="H20" s="52">
        <f>G20+H19</f>
        <v>50.839285042943345</v>
      </c>
      <c r="I20" s="27" t="str">
        <f>IF(N(B$6)=0,"",0&amp;"-"&amp;B$6)</f>
        <v>0-4500</v>
      </c>
      <c r="J20" s="52">
        <f>cubic_spline(F17:F21,H17:H21,B$6)</f>
        <v>55.110121245576686</v>
      </c>
      <c r="K20" s="52">
        <f>cubic_spline(F17:F21,A17:A21,B$6)</f>
        <v>36.428160309297191</v>
      </c>
      <c r="L20" s="27" t="str">
        <f>IF(N(B$6)=0,"",B$5&amp;"-"&amp;B$6)</f>
        <v>3000-4500</v>
      </c>
      <c r="M20" s="52">
        <f>J20-J19</f>
        <v>11.530006228069752</v>
      </c>
      <c r="N20" s="26"/>
      <c r="O20"/>
    </row>
    <row r="21" spans="1:15" x14ac:dyDescent="0.35">
      <c r="A21" s="48">
        <v>48</v>
      </c>
      <c r="B21" s="48" t="s">
        <v>38</v>
      </c>
      <c r="C21" s="49">
        <v>315.10000000000002</v>
      </c>
      <c r="D21" s="50">
        <v>6.6103840588666625</v>
      </c>
      <c r="E21" s="51">
        <f>C21/PI()/($D$1/2)^2/$D$2*10000</f>
        <v>2169.8095216119514</v>
      </c>
      <c r="F21" s="27">
        <f>E21+F20</f>
        <v>6079.7360413557344</v>
      </c>
      <c r="G21" s="49">
        <f>(E21*D21)/1000</f>
        <v>14.343274272440741</v>
      </c>
      <c r="H21" s="52">
        <f>G21+H20</f>
        <v>65.182559315384083</v>
      </c>
      <c r="I21" s="27" t="str">
        <f>IF(N(B$7)=0,"",0&amp;"-"&amp;B$7)</f>
        <v>0-6000</v>
      </c>
      <c r="J21" s="52">
        <f>cubic_spline(F17:F21,H17:H21,B$7)</f>
        <v>64.695182127959939</v>
      </c>
      <c r="K21" s="52">
        <f>cubic_spline(F17:F21,A17:A21,B$7)</f>
        <v>47.42029390081624</v>
      </c>
      <c r="L21" s="27" t="str">
        <f>IF(N(B$7)=0,"",B$6&amp;"-"&amp;B$7)</f>
        <v>4500-6000</v>
      </c>
      <c r="M21" s="52">
        <f>J21-J20</f>
        <v>9.585060882383253</v>
      </c>
      <c r="N21" s="26"/>
      <c r="O21"/>
    </row>
    <row r="22" spans="1:15" ht="5.15" customHeight="1" x14ac:dyDescent="0.35">
      <c r="A22" s="47"/>
      <c r="B22" s="47"/>
      <c r="C22" s="47"/>
      <c r="D22" s="53"/>
      <c r="E22" s="54"/>
      <c r="F22" s="55"/>
      <c r="G22" s="56"/>
      <c r="H22" s="57"/>
      <c r="I22" s="47"/>
      <c r="J22" s="57"/>
      <c r="K22" s="57"/>
      <c r="L22" s="55"/>
      <c r="M22" s="57"/>
      <c r="N22" s="26"/>
      <c r="O22"/>
    </row>
    <row r="23" spans="1:15" x14ac:dyDescent="0.35">
      <c r="A23" s="48">
        <v>8</v>
      </c>
      <c r="B23" s="48" t="s">
        <v>39</v>
      </c>
      <c r="C23" s="49">
        <v>117.5</v>
      </c>
      <c r="D23" s="50">
        <v>20.679025872460244</v>
      </c>
      <c r="E23" s="51">
        <f>C23/PI()/($D$1/2)^2/$D$2*10000</f>
        <v>809.11653059157175</v>
      </c>
      <c r="F23" s="27">
        <f>E23+F22</f>
        <v>809.11653059157175</v>
      </c>
      <c r="G23" s="49">
        <f>(E23*D23)/1000</f>
        <v>16.731741669938383</v>
      </c>
      <c r="H23" s="52">
        <f>G23+H22</f>
        <v>16.731741669938383</v>
      </c>
      <c r="I23" s="27" t="str">
        <f>IF(N(B$4)=0,"",0&amp;"-"&amp;B$4)</f>
        <v>0-1500</v>
      </c>
      <c r="J23" s="52">
        <f>cubic_spline(F22:F26,H22:H26,B$4)</f>
        <v>25.215653544746392</v>
      </c>
      <c r="K23" s="52">
        <f>cubic_spline(F22:F26,A22:A26,B$4)</f>
        <v>13.728552048478759</v>
      </c>
      <c r="L23" s="27" t="str">
        <f>IF(N(B$4)=0,"",0&amp;"-"&amp;B$4)</f>
        <v>0-1500</v>
      </c>
      <c r="M23" s="52">
        <f>J23-J22</f>
        <v>25.215653544746392</v>
      </c>
      <c r="N23" s="26"/>
      <c r="O23"/>
    </row>
    <row r="24" spans="1:15" x14ac:dyDescent="0.35">
      <c r="A24" s="48">
        <v>16</v>
      </c>
      <c r="B24" s="48" t="s">
        <v>39</v>
      </c>
      <c r="C24" s="49">
        <v>143.5</v>
      </c>
      <c r="D24" s="50">
        <v>11.283054618834822</v>
      </c>
      <c r="E24" s="51">
        <f>C24/PI()/($D$1/2)^2/$D$2*10000</f>
        <v>988.15508204162165</v>
      </c>
      <c r="F24" s="27">
        <f>E24+F23</f>
        <v>1797.2716126331934</v>
      </c>
      <c r="G24" s="49">
        <f>(E24*D24)/1000</f>
        <v>11.149407762554821</v>
      </c>
      <c r="H24" s="52">
        <f>G24+H23</f>
        <v>27.881149432493203</v>
      </c>
      <c r="I24" s="27" t="str">
        <f>IF(N(B$5)=0,"",0&amp;"-"&amp;B$5)</f>
        <v>0-3000</v>
      </c>
      <c r="J24" s="52">
        <f>cubic_spline(F22:F26,H22:H26,B$5)</f>
        <v>38.393206251218757</v>
      </c>
      <c r="K24" s="52">
        <f>cubic_spline(F22:F26,A22:A26,B$5)</f>
        <v>25.111449517806594</v>
      </c>
      <c r="L24" s="27" t="str">
        <f>IF(N(B$5)=0,"",B$4&amp;"-"&amp;B$5)</f>
        <v>1500-3000</v>
      </c>
      <c r="M24" s="52">
        <f>J24-J23</f>
        <v>13.177552706472365</v>
      </c>
      <c r="N24" s="26"/>
      <c r="O24"/>
    </row>
    <row r="25" spans="1:15" x14ac:dyDescent="0.35">
      <c r="A25" s="48">
        <v>32</v>
      </c>
      <c r="B25" s="48" t="s">
        <v>39</v>
      </c>
      <c r="C25" s="49">
        <v>306.5</v>
      </c>
      <c r="D25" s="50">
        <v>8.5298472642691898</v>
      </c>
      <c r="E25" s="51">
        <f>C25/PI()/($D$1/2)^2/$D$2*10000</f>
        <v>2110.5890776707811</v>
      </c>
      <c r="F25" s="27">
        <f>E25+F24</f>
        <v>3907.8606903039745</v>
      </c>
      <c r="G25" s="49">
        <f>(E25*D25)/1000</f>
        <v>18.003002470166546</v>
      </c>
      <c r="H25" s="52">
        <f>G25+H24</f>
        <v>45.884151902659752</v>
      </c>
      <c r="I25" s="27" t="str">
        <f>IF(N(B$6)=0,"",0&amp;"-"&amp;B$6)</f>
        <v>0-4500</v>
      </c>
      <c r="J25" s="52">
        <f>cubic_spline(F22:F26,H22:H26,B$6)</f>
        <v>50.358693042744115</v>
      </c>
      <c r="K25" s="52">
        <f>cubic_spline(F22:F26,A22:A26,B$6)</f>
        <v>36.515762018439538</v>
      </c>
      <c r="L25" s="27" t="str">
        <f>IF(N(B$6)=0,"",B$5&amp;"-"&amp;B$6)</f>
        <v>3000-4500</v>
      </c>
      <c r="M25" s="52">
        <f>J25-J24</f>
        <v>11.965486791525358</v>
      </c>
      <c r="N25" s="26"/>
      <c r="O25"/>
    </row>
    <row r="26" spans="1:15" x14ac:dyDescent="0.35">
      <c r="A26" s="48">
        <v>48</v>
      </c>
      <c r="B26" s="48" t="s">
        <v>39</v>
      </c>
      <c r="C26" s="49">
        <v>303.60000000000002</v>
      </c>
      <c r="D26" s="50">
        <v>7.0942272899861214</v>
      </c>
      <c r="E26" s="51">
        <f>C26/PI()/($D$1/2)^2/$D$2*10000</f>
        <v>2090.6193930859681</v>
      </c>
      <c r="F26" s="27">
        <f>E26+F25</f>
        <v>5998.4800833899426</v>
      </c>
      <c r="G26" s="49">
        <f>(E26*D26)/1000</f>
        <v>14.831329151404697</v>
      </c>
      <c r="H26" s="52">
        <f>G26+H25</f>
        <v>60.715481054064448</v>
      </c>
      <c r="I26" s="27" t="str">
        <f>IF(N(B$7)=0,"",0&amp;"-"&amp;B$7)</f>
        <v>0-6000</v>
      </c>
      <c r="J26" s="52">
        <f>cubic_spline(F22:F26,H22:H26,B$7)</f>
        <v>60.725693051905957</v>
      </c>
      <c r="K26" s="52">
        <f>cubic_spline(F22:F26,A22:A26,B$7)</f>
        <v>48.01166648623429</v>
      </c>
      <c r="L26" s="27" t="str">
        <f>IF(N(B$7)=0,"",B$6&amp;"-"&amp;B$7)</f>
        <v>4500-6000</v>
      </c>
      <c r="M26" s="52">
        <f>J26-J25</f>
        <v>10.367000009161842</v>
      </c>
      <c r="N26" s="26"/>
      <c r="O26"/>
    </row>
    <row r="27" spans="1:15" ht="5.15" customHeight="1" x14ac:dyDescent="0.35">
      <c r="A27" s="47"/>
      <c r="B27" s="58"/>
      <c r="C27" s="58"/>
      <c r="D27" s="59"/>
      <c r="E27" s="60"/>
      <c r="F27" s="61"/>
      <c r="G27" s="62"/>
      <c r="H27" s="63"/>
      <c r="I27" s="47"/>
      <c r="J27" s="57"/>
      <c r="K27" s="57"/>
      <c r="L27" s="55"/>
      <c r="M27" s="63"/>
      <c r="N27" s="26"/>
      <c r="O27"/>
    </row>
    <row r="28" spans="1:15" x14ac:dyDescent="0.35">
      <c r="A28" s="48">
        <v>8</v>
      </c>
      <c r="B28" s="48" t="s">
        <v>40</v>
      </c>
      <c r="C28" s="49">
        <v>127.4</v>
      </c>
      <c r="D28" s="50">
        <v>20.043011842080425</v>
      </c>
      <c r="E28" s="51">
        <f>C28/PI()/($D$1/2)^2/$D$2*10000</f>
        <v>877.28890210524457</v>
      </c>
      <c r="F28" s="27">
        <f>E28+F27</f>
        <v>877.28890210524457</v>
      </c>
      <c r="G28" s="49">
        <f>(E28*D28)/1000</f>
        <v>17.58351185382115</v>
      </c>
      <c r="H28" s="52">
        <f>G28+H27</f>
        <v>17.58351185382115</v>
      </c>
      <c r="I28" s="27" t="str">
        <f>IF(N(B$4)=0,"",0&amp;"-"&amp;B$4)</f>
        <v>0-1500</v>
      </c>
      <c r="J28" s="52">
        <f>cubic_spline(F27:F31,H27:H31,B$4)</f>
        <v>25.486967530670487</v>
      </c>
      <c r="K28" s="52">
        <f>cubic_spline(F27:F31,A27:A31,B$4)</f>
        <v>12.710590912366023</v>
      </c>
      <c r="L28" s="27" t="str">
        <f>IF(N(B$4)=0,"",0&amp;"-"&amp;B$4)</f>
        <v>0-1500</v>
      </c>
      <c r="M28" s="52">
        <f>J28-J27</f>
        <v>25.486967530670487</v>
      </c>
      <c r="O28"/>
    </row>
    <row r="29" spans="1:15" x14ac:dyDescent="0.35">
      <c r="A29" s="48">
        <v>16</v>
      </c>
      <c r="B29" s="48" t="s">
        <v>40</v>
      </c>
      <c r="C29" s="49">
        <v>158.80000000000001</v>
      </c>
      <c r="D29" s="50">
        <v>11.251199236039827</v>
      </c>
      <c r="E29" s="51">
        <f>C29/PI()/($D$1/2)^2/$D$2*10000</f>
        <v>1093.5123834718436</v>
      </c>
      <c r="F29" s="27">
        <f>E29+F28</f>
        <v>1970.801285577088</v>
      </c>
      <c r="G29" s="49">
        <f>(E29*D29)/1000</f>
        <v>12.303325693518499</v>
      </c>
      <c r="H29" s="52">
        <f>G29+H28</f>
        <v>29.886837547339649</v>
      </c>
      <c r="I29" s="27" t="str">
        <f>IF(N(B$5)=0,"",0&amp;"-"&amp;B$5)</f>
        <v>0-3000</v>
      </c>
      <c r="J29" s="52">
        <f>cubic_spline(F27:F31,H27:H31,B$5)</f>
        <v>39.377008294405513</v>
      </c>
      <c r="K29" s="52">
        <f>cubic_spline(F27:F31,A27:A31,B$5)</f>
        <v>23.47164176091071</v>
      </c>
      <c r="L29" s="27" t="str">
        <f>IF(N(B$5)=0,"",B$4&amp;"-"&amp;B$5)</f>
        <v>1500-3000</v>
      </c>
      <c r="M29" s="52">
        <f>J29-J28</f>
        <v>13.890040763735026</v>
      </c>
      <c r="O29"/>
    </row>
    <row r="30" spans="1:15" x14ac:dyDescent="0.35">
      <c r="A30" s="48">
        <v>32</v>
      </c>
      <c r="B30" s="48" t="s">
        <v>40</v>
      </c>
      <c r="C30" s="49">
        <v>317.60000000000002</v>
      </c>
      <c r="D30" s="50">
        <v>9.0997301001295696</v>
      </c>
      <c r="E30" s="51">
        <f>C30/PI()/($D$1/2)^2/$D$2*10000</f>
        <v>2187.0247669436872</v>
      </c>
      <c r="F30" s="27">
        <f>E30+F29</f>
        <v>4157.8260525207752</v>
      </c>
      <c r="G30" s="49">
        <f>(E30*D30)/1000</f>
        <v>19.901335101486325</v>
      </c>
      <c r="H30" s="52">
        <f>G30+H29</f>
        <v>49.788172648825977</v>
      </c>
      <c r="I30" s="27" t="str">
        <f>IF(N(B$6)=0,"",0&amp;"-"&amp;B$6)</f>
        <v>0-4500</v>
      </c>
      <c r="J30" s="52">
        <f>cubic_spline(F27:F31,H27:H31,B$6)</f>
        <v>52.642922914128739</v>
      </c>
      <c r="K30" s="52">
        <f>cubic_spline(F27:F31,A27:A31,B$6)</f>
        <v>34.439543581044184</v>
      </c>
      <c r="L30" s="27" t="str">
        <f>IF(N(B$6)=0,"",B$5&amp;"-"&amp;B$6)</f>
        <v>3000-4500</v>
      </c>
      <c r="M30" s="52">
        <f>J30-J29</f>
        <v>13.265914619723226</v>
      </c>
      <c r="O30"/>
    </row>
    <row r="31" spans="1:15" x14ac:dyDescent="0.35">
      <c r="A31" s="48">
        <v>48</v>
      </c>
      <c r="B31" s="48" t="s">
        <v>40</v>
      </c>
      <c r="C31" s="49">
        <v>339.8</v>
      </c>
      <c r="D31" s="50">
        <v>7.6507316293495897</v>
      </c>
      <c r="E31" s="51">
        <f>C31/PI()/($D$1/2)^2/$D$2*10000</f>
        <v>2339.8961454894988</v>
      </c>
      <c r="F31" s="27">
        <f>E31+F30</f>
        <v>6497.722198010274</v>
      </c>
      <c r="G31" s="49">
        <f>(E31*D31)/1000</f>
        <v>17.901917449689698</v>
      </c>
      <c r="H31" s="52">
        <f>G31+H30</f>
        <v>67.690090098515668</v>
      </c>
      <c r="I31" s="27" t="str">
        <f>IF(N(B$7)=0,"",0&amp;"-"&amp;B$7)</f>
        <v>0-6000</v>
      </c>
      <c r="J31" s="52">
        <f>cubic_spline(F27:F31,H27:H31,B$7)</f>
        <v>64.089996077563342</v>
      </c>
      <c r="K31" s="52">
        <f>cubic_spline(F27:F31,A27:A31,B$7)</f>
        <v>44.684183566660096</v>
      </c>
      <c r="L31" s="27" t="str">
        <f>IF(N(B$7)=0,"",B$6&amp;"-"&amp;B$7)</f>
        <v>4500-6000</v>
      </c>
      <c r="M31" s="52">
        <f>J31-J30</f>
        <v>11.447073163434602</v>
      </c>
      <c r="O31"/>
    </row>
    <row r="32" spans="1:15" ht="5.15" customHeight="1" x14ac:dyDescent="0.35">
      <c r="A32" s="47"/>
      <c r="B32" s="47"/>
      <c r="C32" s="47"/>
      <c r="D32" s="53"/>
      <c r="E32" s="54"/>
      <c r="F32" s="55"/>
      <c r="G32" s="56"/>
      <c r="H32" s="57"/>
      <c r="I32" s="47"/>
      <c r="J32" s="57"/>
      <c r="K32" s="57"/>
      <c r="L32" s="55"/>
      <c r="M32" s="57"/>
      <c r="O32"/>
    </row>
    <row r="33" spans="1:15" x14ac:dyDescent="0.35">
      <c r="A33" s="48">
        <v>8</v>
      </c>
      <c r="B33" s="48" t="s">
        <v>41</v>
      </c>
      <c r="C33" s="49">
        <v>125.5</v>
      </c>
      <c r="D33" s="50">
        <v>19.879660587333586</v>
      </c>
      <c r="E33" s="51">
        <f>C33/PI()/($D$1/2)^2/$D$2*10000</f>
        <v>864.20531565312558</v>
      </c>
      <c r="F33" s="27">
        <f>E33+F32</f>
        <v>864.20531565312558</v>
      </c>
      <c r="G33" s="49">
        <f>(E33*D33)/1000</f>
        <v>17.180108352953624</v>
      </c>
      <c r="H33" s="52">
        <f>G33+H32</f>
        <v>17.180108352953624</v>
      </c>
      <c r="I33" s="27" t="str">
        <f>IF(N(B$4)=0,"",0&amp;"-"&amp;B$4)</f>
        <v>0-1500</v>
      </c>
      <c r="J33" s="52">
        <f>cubic_spline(F32:F36,H32:H36,B$4)</f>
        <v>24.477793718170467</v>
      </c>
      <c r="K33" s="52">
        <f>cubic_spline(F32:F36,A32:A36,B$4)</f>
        <v>13.175317878597298</v>
      </c>
      <c r="L33" s="27" t="str">
        <f>IF(N(B$4)=0,"",0&amp;"-"&amp;B$4)</f>
        <v>0-1500</v>
      </c>
      <c r="M33" s="52">
        <f>J33-J32</f>
        <v>24.477793718170467</v>
      </c>
      <c r="O33"/>
    </row>
    <row r="34" spans="1:15" x14ac:dyDescent="0.35">
      <c r="A34" s="48">
        <v>16</v>
      </c>
      <c r="B34" s="48" t="s">
        <v>41</v>
      </c>
      <c r="C34" s="49">
        <v>146.9</v>
      </c>
      <c r="D34" s="50">
        <v>10.157388911017502</v>
      </c>
      <c r="E34" s="51">
        <f>C34/PI()/($D$1/2)^2/$D$2*10000</f>
        <v>1011.5678156927821</v>
      </c>
      <c r="F34" s="27">
        <f>E34+F33</f>
        <v>1875.7731313459076</v>
      </c>
      <c r="G34" s="49">
        <f>(E34*D34)/1000</f>
        <v>10.274887713860062</v>
      </c>
      <c r="H34" s="52">
        <f>G34+H33</f>
        <v>27.454996066813685</v>
      </c>
      <c r="I34" s="27" t="str">
        <f>IF(N(B$5)=0,"",0&amp;"-"&amp;B$5)</f>
        <v>0-3000</v>
      </c>
      <c r="J34" s="52">
        <f>cubic_spline(F32:F36,H32:H36,B$5)</f>
        <v>36.023896011312054</v>
      </c>
      <c r="K34" s="52">
        <f>cubic_spline(F32:F36,A32:A36,B$5)</f>
        <v>24.046159835711475</v>
      </c>
      <c r="L34" s="27" t="str">
        <f>IF(N(B$5)=0,"",B$4&amp;"-"&amp;B$5)</f>
        <v>1500-3000</v>
      </c>
      <c r="M34" s="52">
        <f>J34-J33</f>
        <v>11.546102293141587</v>
      </c>
      <c r="O34"/>
    </row>
    <row r="35" spans="1:15" x14ac:dyDescent="0.35">
      <c r="A35" s="48">
        <v>32</v>
      </c>
      <c r="B35" s="48" t="s">
        <v>41</v>
      </c>
      <c r="C35" s="49">
        <v>324.39999999999998</v>
      </c>
      <c r="D35" s="50">
        <v>7.5046249446946964</v>
      </c>
      <c r="E35" s="51">
        <f>C35/PI()/($D$1/2)^2/$D$2*10000</f>
        <v>2233.8502342460074</v>
      </c>
      <c r="F35" s="27">
        <f>E35+F34</f>
        <v>4109.623365591915</v>
      </c>
      <c r="G35" s="49">
        <f>(E35*D35)/1000</f>
        <v>16.76420819063468</v>
      </c>
      <c r="H35" s="52">
        <f>G35+H34</f>
        <v>44.219204257448368</v>
      </c>
      <c r="I35" s="27" t="str">
        <f>IF(N(B$6)=0,"",0&amp;"-"&amp;B$6)</f>
        <v>0-4500</v>
      </c>
      <c r="J35" s="52">
        <f>cubic_spline(F32:F36,H32:H36,B$6)</f>
        <v>46.95521090437861</v>
      </c>
      <c r="K35" s="52">
        <f>cubic_spline(F32:F36,A32:A36,B$6)</f>
        <v>34.929126209199843</v>
      </c>
      <c r="L35" s="27" t="str">
        <f>IF(N(B$6)=0,"",B$5&amp;"-"&amp;B$6)</f>
        <v>3000-4500</v>
      </c>
      <c r="M35" s="52">
        <f>J35-J34</f>
        <v>10.931314893066556</v>
      </c>
      <c r="O35"/>
    </row>
    <row r="36" spans="1:15" x14ac:dyDescent="0.35">
      <c r="A36" s="48">
        <v>48</v>
      </c>
      <c r="B36" s="48" t="s">
        <v>41</v>
      </c>
      <c r="C36" s="49">
        <v>297.7</v>
      </c>
      <c r="D36" s="50">
        <v>6.7029122439948878</v>
      </c>
      <c r="E36" s="51">
        <f>C36/PI()/($D$1/2)^2/$D$2*10000</f>
        <v>2049.9914141030717</v>
      </c>
      <c r="F36" s="27">
        <f>E36+F35</f>
        <v>6159.6147796949863</v>
      </c>
      <c r="G36" s="49">
        <f>(E36*D36)/1000</f>
        <v>13.740912549675873</v>
      </c>
      <c r="H36" s="52">
        <f>G36+H35</f>
        <v>57.960116807124237</v>
      </c>
      <c r="I36" s="27" t="str">
        <f>IF(N(B$7)=0,"",0&amp;"-"&amp;B$7)</f>
        <v>0-6000</v>
      </c>
      <c r="J36" s="52">
        <f>cubic_spline(F32:F36,H32:H36,B$7)</f>
        <v>56.923340933072481</v>
      </c>
      <c r="K36" s="52">
        <f>cubic_spline(F32:F36,A32:A36,B$7)</f>
        <v>46.721562623098144</v>
      </c>
      <c r="L36" s="27" t="str">
        <f>IF(N(B$7)=0,"",B$6&amp;"-"&amp;B$7)</f>
        <v>4500-6000</v>
      </c>
      <c r="M36" s="52">
        <f>J36-J35</f>
        <v>9.9681300286938708</v>
      </c>
      <c r="O36"/>
    </row>
    <row r="37" spans="1:15" ht="5.15" customHeight="1" x14ac:dyDescent="0.35">
      <c r="A37" s="47"/>
      <c r="B37" s="47"/>
      <c r="C37" s="47"/>
      <c r="D37" s="53"/>
      <c r="E37" s="54"/>
      <c r="F37" s="55"/>
      <c r="G37" s="54"/>
      <c r="H37" s="55"/>
      <c r="I37" s="47"/>
      <c r="J37" s="55"/>
      <c r="K37" s="57"/>
      <c r="L37" s="55"/>
      <c r="M37" s="55"/>
      <c r="O37"/>
    </row>
    <row r="38" spans="1:15" x14ac:dyDescent="0.35">
      <c r="B38" s="48"/>
      <c r="F38" t="s">
        <v>20</v>
      </c>
      <c r="O38"/>
    </row>
    <row r="39" spans="1:15" x14ac:dyDescent="0.35">
      <c r="O39"/>
    </row>
    <row r="40" spans="1:15" x14ac:dyDescent="0.35">
      <c r="O40"/>
    </row>
    <row r="41" spans="1:15" x14ac:dyDescent="0.35">
      <c r="O41"/>
    </row>
    <row r="42" spans="1:15" x14ac:dyDescent="0.35">
      <c r="O42"/>
    </row>
    <row r="43" spans="1:15" x14ac:dyDescent="0.35">
      <c r="O43"/>
    </row>
    <row r="44" spans="1:15" x14ac:dyDescent="0.35">
      <c r="O44"/>
    </row>
    <row r="45" spans="1:15" x14ac:dyDescent="0.35">
      <c r="O45"/>
    </row>
    <row r="46" spans="1:15" x14ac:dyDescent="0.35">
      <c r="O46"/>
    </row>
    <row r="47" spans="1:15" x14ac:dyDescent="0.35">
      <c r="O47"/>
    </row>
    <row r="48" spans="1:15" x14ac:dyDescent="0.35">
      <c r="O48"/>
    </row>
    <row r="49" spans="15:15" x14ac:dyDescent="0.35">
      <c r="O49"/>
    </row>
    <row r="50" spans="15:15" x14ac:dyDescent="0.35">
      <c r="O50"/>
    </row>
    <row r="51" spans="15:15" x14ac:dyDescent="0.35">
      <c r="O51"/>
    </row>
    <row r="52" spans="15:15" x14ac:dyDescent="0.35">
      <c r="O52"/>
    </row>
    <row r="53" spans="15:15" x14ac:dyDescent="0.35">
      <c r="O53"/>
    </row>
    <row r="54" spans="15:15" x14ac:dyDescent="0.35">
      <c r="O54"/>
    </row>
    <row r="55" spans="15:15" x14ac:dyDescent="0.35">
      <c r="O55"/>
    </row>
    <row r="56" spans="15:15" x14ac:dyDescent="0.35">
      <c r="O56"/>
    </row>
    <row r="57" spans="15:15" x14ac:dyDescent="0.35">
      <c r="O57"/>
    </row>
    <row r="58" spans="15:15" x14ac:dyDescent="0.35">
      <c r="O58"/>
    </row>
    <row r="59" spans="15:15" x14ac:dyDescent="0.35">
      <c r="O59"/>
    </row>
    <row r="60" spans="15:15" x14ac:dyDescent="0.35">
      <c r="O60"/>
    </row>
    <row r="61" spans="15:15" x14ac:dyDescent="0.35">
      <c r="O61"/>
    </row>
    <row r="62" spans="15:15" x14ac:dyDescent="0.35">
      <c r="O62"/>
    </row>
    <row r="63" spans="15:15" x14ac:dyDescent="0.35">
      <c r="O63"/>
    </row>
    <row r="64" spans="15:15" x14ac:dyDescent="0.35">
      <c r="O64"/>
    </row>
    <row r="65" spans="15:15" x14ac:dyDescent="0.35">
      <c r="O65"/>
    </row>
    <row r="66" spans="15:15" x14ac:dyDescent="0.35">
      <c r="O66"/>
    </row>
    <row r="67" spans="15:15" x14ac:dyDescent="0.35">
      <c r="O67"/>
    </row>
    <row r="68" spans="15:15" x14ac:dyDescent="0.35">
      <c r="O68"/>
    </row>
    <row r="69" spans="15:15" x14ac:dyDescent="0.35">
      <c r="O69"/>
    </row>
    <row r="70" spans="15:15" x14ac:dyDescent="0.35">
      <c r="O70"/>
    </row>
    <row r="71" spans="15:15" x14ac:dyDescent="0.35">
      <c r="O71"/>
    </row>
    <row r="72" spans="15:15" x14ac:dyDescent="0.35">
      <c r="O72"/>
    </row>
    <row r="73" spans="15:15" x14ac:dyDescent="0.35">
      <c r="O73"/>
    </row>
    <row r="74" spans="15:15" x14ac:dyDescent="0.35">
      <c r="O74"/>
    </row>
    <row r="75" spans="15:15" x14ac:dyDescent="0.35">
      <c r="O75"/>
    </row>
    <row r="76" spans="15:15" x14ac:dyDescent="0.35">
      <c r="O76"/>
    </row>
    <row r="77" spans="15:15" x14ac:dyDescent="0.35">
      <c r="O77"/>
    </row>
    <row r="78" spans="15:15" x14ac:dyDescent="0.35">
      <c r="O78"/>
    </row>
    <row r="79" spans="15:15" x14ac:dyDescent="0.35">
      <c r="O79"/>
    </row>
    <row r="80" spans="15:15" x14ac:dyDescent="0.35">
      <c r="O80"/>
    </row>
    <row r="81" spans="15:15" x14ac:dyDescent="0.35">
      <c r="O81"/>
    </row>
    <row r="82" spans="15:15" x14ac:dyDescent="0.35">
      <c r="O82"/>
    </row>
    <row r="246" spans="15:15" x14ac:dyDescent="0.35">
      <c r="O246"/>
    </row>
    <row r="247" spans="15:15" x14ac:dyDescent="0.35">
      <c r="O247"/>
    </row>
    <row r="248" spans="15:15" x14ac:dyDescent="0.35">
      <c r="O248"/>
    </row>
    <row r="249" spans="15:15" x14ac:dyDescent="0.35">
      <c r="O249"/>
    </row>
    <row r="250" spans="15:15" x14ac:dyDescent="0.35">
      <c r="O250"/>
    </row>
    <row r="251" spans="15:15" x14ac:dyDescent="0.35">
      <c r="O251"/>
    </row>
    <row r="252" spans="15:15" x14ac:dyDescent="0.35">
      <c r="O252"/>
    </row>
    <row r="253" spans="15:15" x14ac:dyDescent="0.35">
      <c r="O253"/>
    </row>
    <row r="254" spans="15:15" x14ac:dyDescent="0.35">
      <c r="O254"/>
    </row>
    <row r="255" spans="15:15" x14ac:dyDescent="0.35">
      <c r="O255"/>
    </row>
    <row r="256" spans="15:15" x14ac:dyDescent="0.35">
      <c r="O256"/>
    </row>
    <row r="257" spans="15:15" x14ac:dyDescent="0.35">
      <c r="O257"/>
    </row>
    <row r="258" spans="15:15" x14ac:dyDescent="0.35">
      <c r="O258"/>
    </row>
    <row r="259" spans="15:15" x14ac:dyDescent="0.35">
      <c r="O259"/>
    </row>
    <row r="260" spans="15:15" x14ac:dyDescent="0.35">
      <c r="O260"/>
    </row>
  </sheetData>
  <sheetProtection insertColumns="0"/>
  <protectedRanges>
    <protectedRange sqref="E1:M8" name="Range8"/>
    <protectedRange sqref="N1:AZ1048576" name="Range7"/>
    <protectedRange sqref="D1:D2" name="Range1"/>
    <protectedRange sqref="B4:B7" name="Range2"/>
    <protectedRange sqref="A13:D37" name="Range3"/>
    <protectedRange sqref="A38:XFD1048576" name="Range4"/>
    <protectedRange sqref="E1:M8" name="Range5"/>
    <protectedRange sqref="N1:XFD1048576" name="Range6"/>
  </protectedRanges>
  <mergeCells count="2">
    <mergeCell ref="A4:A8"/>
    <mergeCell ref="C4:C8"/>
  </mergeCells>
  <printOptions headings="1"/>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6">
    <pageSetUpPr fitToPage="1"/>
  </sheetPr>
  <dimension ref="A1:O1319"/>
  <sheetViews>
    <sheetView workbookViewId="0">
      <selection activeCell="M18" sqref="M18"/>
    </sheetView>
  </sheetViews>
  <sheetFormatPr defaultColWidth="8.81640625" defaultRowHeight="14.5" x14ac:dyDescent="0.35"/>
  <cols>
    <col min="1" max="1" width="9.81640625" customWidth="1"/>
    <col min="2" max="2" width="10.1796875" customWidth="1"/>
    <col min="3" max="3" width="10.453125" customWidth="1"/>
    <col min="4" max="4" width="7.81640625" customWidth="1"/>
    <col min="5" max="5" width="9.1796875" customWidth="1"/>
    <col min="6" max="6" width="8.81640625" customWidth="1"/>
    <col min="7" max="7" width="8.1796875" customWidth="1"/>
    <col min="8" max="8" width="8.26953125" customWidth="1"/>
    <col min="9" max="9" width="7.81640625" customWidth="1"/>
    <col min="10" max="10" width="8.81640625" style="26" customWidth="1"/>
    <col min="11" max="11" width="8.453125" customWidth="1"/>
    <col min="12" max="12" width="9.7265625" customWidth="1"/>
    <col min="13" max="13" width="9" customWidth="1"/>
    <col min="14" max="14" width="7.1796875" customWidth="1"/>
    <col min="15" max="15" width="3.453125" style="26" customWidth="1"/>
    <col min="16" max="16" width="13.1796875" customWidth="1"/>
    <col min="17" max="17" width="9.1796875" customWidth="1"/>
    <col min="18" max="18" width="10.81640625" customWidth="1"/>
  </cols>
  <sheetData>
    <row r="1" spans="1:15" x14ac:dyDescent="0.35">
      <c r="A1" s="23" t="s">
        <v>16</v>
      </c>
      <c r="B1" s="24"/>
      <c r="C1" s="24"/>
      <c r="D1" s="25">
        <v>21.5</v>
      </c>
      <c r="F1" s="26"/>
      <c r="G1" s="26"/>
      <c r="H1" s="26"/>
      <c r="I1" s="27"/>
      <c r="J1" s="27"/>
      <c r="K1" s="27"/>
      <c r="L1" s="27"/>
      <c r="M1" s="27"/>
      <c r="N1" s="26"/>
    </row>
    <row r="2" spans="1:15" ht="15" thickBot="1" x14ac:dyDescent="0.4">
      <c r="A2" s="28" t="s">
        <v>17</v>
      </c>
      <c r="B2" s="29"/>
      <c r="C2" s="29"/>
      <c r="D2" s="30">
        <v>4</v>
      </c>
      <c r="F2" s="26"/>
      <c r="G2" s="26"/>
      <c r="H2" s="26"/>
      <c r="I2" s="27"/>
      <c r="J2" s="27"/>
      <c r="K2" s="27"/>
      <c r="L2" s="27"/>
      <c r="M2" s="27"/>
      <c r="N2" s="26"/>
    </row>
    <row r="3" spans="1:15" ht="15" thickBot="1" x14ac:dyDescent="0.4">
      <c r="F3" s="26"/>
      <c r="G3" s="26"/>
      <c r="H3" s="26"/>
      <c r="I3" s="27"/>
      <c r="J3" s="27"/>
      <c r="K3" s="27"/>
      <c r="L3" s="27"/>
      <c r="M3" s="27"/>
      <c r="N3" s="26"/>
    </row>
    <row r="4" spans="1:15" ht="15.75" customHeight="1" x14ac:dyDescent="0.35">
      <c r="A4" s="80" t="s">
        <v>42</v>
      </c>
      <c r="B4" s="24">
        <v>1000</v>
      </c>
      <c r="C4" s="80" t="s">
        <v>19</v>
      </c>
      <c r="D4" s="31">
        <f>IF(N(B4)=0,"", AVERAGE(K20,K33,K46,K59,K72,K85,K98,K111,K124,K137,K150,K163,K176,K189,K202,K215,K228,K241,K254,K267,K280,K293,K306,K319,K332,K345,K358,K371,K384,K397,K410,K423,K436,K449,K462,K475,K488,K501,K514,K527,K540,K553,K566,K579,K592,K605,K618,K631,K644,K657,K670,K683,K696,K709,K722,K735,K748,K761,K774,K787,K800,K813,K826,K839,K852,K865,K878,K891,K904,K917,K930,K943,K956,K969,K982,K995,K1008,K1021,K1034,K1047,K1060,K1073,K1086,K1099,K1112,K1125,K1138,K1151,K1164,K1177,K1190,K1203,K1216,K1229,K1242,K1255,K1268,K1281,K1294,K1307))</f>
        <v>9.3035392299872868</v>
      </c>
      <c r="G4" s="26"/>
      <c r="I4" s="27"/>
      <c r="J4" s="27"/>
      <c r="K4" s="27"/>
      <c r="L4" s="27"/>
      <c r="M4" s="27"/>
      <c r="N4" s="26"/>
    </row>
    <row r="5" spans="1:15" ht="15.75" customHeight="1" x14ac:dyDescent="0.35">
      <c r="A5" s="81"/>
      <c r="B5">
        <v>2000</v>
      </c>
      <c r="C5" s="81"/>
      <c r="D5" s="33">
        <f t="shared" ref="D5:D15" si="0">IF(N(B5)=0,"", AVERAGE(K21,K34,K47,K60,K73,K86,K99,K112,K125,K138,K151,K164,K177,K190,K203,K216,K229,K242,K255,K268,K281,K294,K307,K320,K333,K346,K359,K372,K385,K398,K411,K424,K437,K450,K463,K476,K489,K502,K515,K528,K541,K554,K567,K580,K593,K606,K619,K632,K645,K658,K671,K684,K697,K710,K723,K736,K749,K762,K775,K788,K801,K814,K827,K840,K853,K866,K879,K892,K905,K918,K931,K944,K957,K970,K983,K996,K1009,K1022,K1035,K1048,K1061,K1074,K1087,K1100,K1113,K1126,K1139,K1152,K1165,K1178,K1191,K1204,K1217,K1230,K1243,K1256,K1269,K1282,K1295,K1308))</f>
        <v>17.082606509126226</v>
      </c>
      <c r="G5" s="26"/>
      <c r="I5" s="27"/>
      <c r="J5" s="27"/>
      <c r="K5" s="27"/>
      <c r="L5" s="27"/>
      <c r="M5" s="27"/>
      <c r="N5" s="26"/>
    </row>
    <row r="6" spans="1:15" ht="15.75" customHeight="1" x14ac:dyDescent="0.35">
      <c r="A6" s="81"/>
      <c r="B6">
        <v>3000</v>
      </c>
      <c r="C6" s="81"/>
      <c r="D6" s="33">
        <f t="shared" si="0"/>
        <v>24.547773996127084</v>
      </c>
      <c r="G6" s="26"/>
      <c r="O6"/>
    </row>
    <row r="7" spans="1:15" ht="15.75" customHeight="1" x14ac:dyDescent="0.35">
      <c r="A7" s="81"/>
      <c r="B7">
        <v>4000</v>
      </c>
      <c r="C7" s="81"/>
      <c r="D7" s="33">
        <f t="shared" si="0"/>
        <v>32.017684465904452</v>
      </c>
      <c r="G7" s="26"/>
      <c r="O7"/>
    </row>
    <row r="8" spans="1:15" ht="15.75" customHeight="1" x14ac:dyDescent="0.35">
      <c r="A8" s="81"/>
      <c r="B8">
        <v>5000</v>
      </c>
      <c r="C8" s="81"/>
      <c r="D8" s="33">
        <f t="shared" si="0"/>
        <v>39.539670948854635</v>
      </c>
      <c r="G8" s="26"/>
      <c r="O8"/>
    </row>
    <row r="9" spans="1:15" ht="15.75" customHeight="1" x14ac:dyDescent="0.35">
      <c r="A9" s="64"/>
      <c r="B9">
        <v>6000</v>
      </c>
      <c r="C9" s="65"/>
      <c r="D9" s="33">
        <f t="shared" si="0"/>
        <v>47.085929813740293</v>
      </c>
      <c r="G9" s="26"/>
      <c r="O9"/>
    </row>
    <row r="10" spans="1:15" ht="15.75" customHeight="1" x14ac:dyDescent="0.35">
      <c r="A10" s="64"/>
      <c r="B10" t="s">
        <v>20</v>
      </c>
      <c r="C10" s="65"/>
      <c r="D10" s="33" t="str">
        <f t="shared" si="0"/>
        <v/>
      </c>
      <c r="G10" s="26"/>
      <c r="O10"/>
    </row>
    <row r="11" spans="1:15" ht="15.75" customHeight="1" x14ac:dyDescent="0.35">
      <c r="A11" s="64"/>
      <c r="B11" t="s">
        <v>20</v>
      </c>
      <c r="C11" s="65"/>
      <c r="D11" s="33" t="str">
        <f t="shared" si="0"/>
        <v/>
      </c>
      <c r="G11" s="26"/>
      <c r="O11"/>
    </row>
    <row r="12" spans="1:15" ht="15.75" customHeight="1" x14ac:dyDescent="0.35">
      <c r="A12" s="64"/>
      <c r="B12" t="s">
        <v>20</v>
      </c>
      <c r="C12" s="65"/>
      <c r="D12" s="33" t="str">
        <f t="shared" si="0"/>
        <v/>
      </c>
      <c r="G12" s="26"/>
      <c r="H12" t="s">
        <v>20</v>
      </c>
      <c r="I12" s="27"/>
      <c r="J12" s="27"/>
      <c r="K12" s="27"/>
      <c r="L12" s="27"/>
      <c r="M12" s="35"/>
      <c r="N12" s="36"/>
    </row>
    <row r="13" spans="1:15" ht="15.75" customHeight="1" x14ac:dyDescent="0.35">
      <c r="A13" s="64"/>
      <c r="B13" t="s">
        <v>20</v>
      </c>
      <c r="C13" s="65"/>
      <c r="D13" s="33" t="str">
        <f t="shared" si="0"/>
        <v/>
      </c>
      <c r="G13" s="26"/>
      <c r="I13" s="27"/>
      <c r="J13" s="27"/>
      <c r="K13" s="27"/>
      <c r="L13" s="27"/>
      <c r="M13" s="35"/>
      <c r="N13" s="36"/>
    </row>
    <row r="14" spans="1:15" ht="15.75" customHeight="1" x14ac:dyDescent="0.35">
      <c r="A14" s="64"/>
      <c r="B14" t="s">
        <v>20</v>
      </c>
      <c r="C14" s="65"/>
      <c r="D14" s="33" t="str">
        <f t="shared" si="0"/>
        <v/>
      </c>
      <c r="G14" s="26"/>
      <c r="I14" s="27"/>
      <c r="J14" s="27"/>
      <c r="K14" s="27"/>
      <c r="L14" s="27"/>
      <c r="M14" s="35"/>
      <c r="N14" s="36"/>
    </row>
    <row r="15" spans="1:15" ht="15.75" customHeight="1" thickBot="1" x14ac:dyDescent="0.4">
      <c r="A15" s="66"/>
      <c r="B15" s="29" t="s">
        <v>20</v>
      </c>
      <c r="C15" s="67"/>
      <c r="D15" s="34" t="str">
        <f t="shared" si="0"/>
        <v/>
      </c>
      <c r="G15" s="26"/>
      <c r="I15" s="27"/>
      <c r="J15" s="27"/>
      <c r="K15" s="27"/>
      <c r="L15" s="27"/>
      <c r="M15" s="35"/>
      <c r="N15" s="36"/>
    </row>
    <row r="16" spans="1:15" ht="8.25" customHeight="1" thickBot="1" x14ac:dyDescent="0.4">
      <c r="D16" t="s">
        <v>20</v>
      </c>
      <c r="F16" s="26"/>
      <c r="G16" s="26"/>
      <c r="H16" s="26"/>
      <c r="I16" s="27"/>
      <c r="J16" s="27"/>
      <c r="K16" s="27"/>
      <c r="L16" s="27"/>
      <c r="M16" s="27"/>
      <c r="N16" s="26"/>
    </row>
    <row r="17" spans="1:15" ht="38" thickBot="1" x14ac:dyDescent="0.4">
      <c r="A17" s="37" t="s">
        <v>21</v>
      </c>
      <c r="B17" s="37" t="s">
        <v>22</v>
      </c>
      <c r="C17" s="37" t="s">
        <v>23</v>
      </c>
      <c r="D17" s="38" t="s">
        <v>24</v>
      </c>
      <c r="E17" s="39" t="s">
        <v>25</v>
      </c>
      <c r="F17" s="39" t="s">
        <v>26</v>
      </c>
      <c r="G17" s="39" t="s">
        <v>27</v>
      </c>
      <c r="H17" s="39" t="s">
        <v>28</v>
      </c>
      <c r="I17" s="39" t="s">
        <v>29</v>
      </c>
      <c r="J17" s="39" t="s">
        <v>43</v>
      </c>
      <c r="K17" s="39" t="s">
        <v>30</v>
      </c>
      <c r="L17" s="39" t="s">
        <v>31</v>
      </c>
      <c r="M17" s="39" t="s">
        <v>44</v>
      </c>
      <c r="N17" s="40"/>
      <c r="O17"/>
    </row>
    <row r="18" spans="1:15" ht="16" thickBot="1" x14ac:dyDescent="0.4">
      <c r="A18" s="41" t="s">
        <v>33</v>
      </c>
      <c r="B18" s="41" t="s">
        <v>20</v>
      </c>
      <c r="C18" s="41" t="s">
        <v>34</v>
      </c>
      <c r="D18" s="42" t="s">
        <v>35</v>
      </c>
      <c r="E18" s="43" t="s">
        <v>36</v>
      </c>
      <c r="F18" s="43" t="s">
        <v>36</v>
      </c>
      <c r="G18" s="43" t="s">
        <v>36</v>
      </c>
      <c r="H18" s="43" t="s">
        <v>36</v>
      </c>
      <c r="I18" s="43" t="s">
        <v>36</v>
      </c>
      <c r="J18" s="43" t="s">
        <v>36</v>
      </c>
      <c r="K18" s="41" t="s">
        <v>33</v>
      </c>
      <c r="L18" s="43" t="s">
        <v>36</v>
      </c>
      <c r="M18" s="43" t="s">
        <v>36</v>
      </c>
      <c r="O18"/>
    </row>
    <row r="19" spans="1:15" ht="5.15" customHeight="1" x14ac:dyDescent="0.35">
      <c r="A19" s="44"/>
      <c r="B19" s="44"/>
      <c r="C19" s="44"/>
      <c r="D19" s="45"/>
      <c r="E19" s="46"/>
      <c r="F19" s="46"/>
      <c r="G19" s="47"/>
      <c r="H19" s="47"/>
      <c r="I19" s="46"/>
      <c r="J19" s="55"/>
      <c r="K19" s="44"/>
      <c r="L19" s="46"/>
      <c r="M19" s="47"/>
      <c r="O19"/>
    </row>
    <row r="20" spans="1:15" ht="15.75" customHeight="1" x14ac:dyDescent="0.35">
      <c r="A20" s="48">
        <v>8</v>
      </c>
      <c r="B20" s="48" t="s">
        <v>37</v>
      </c>
      <c r="C20" s="49">
        <v>123.2</v>
      </c>
      <c r="D20" s="50">
        <v>24.287188420042472</v>
      </c>
      <c r="E20" s="51">
        <f>IF(N(C20)=0,"",C20/PI()/($D$1/2)^2/$D$2*10000)</f>
        <v>848.36728994792884</v>
      </c>
      <c r="F20" s="68">
        <f>IF(N(E20)=0,"",N(E20)+N(F19))</f>
        <v>848.36728994792884</v>
      </c>
      <c r="G20" s="69">
        <f>IF(OR(N(D20)=0,N(E20)=0),"",(E20*D20)/1000)</f>
        <v>20.604456220366153</v>
      </c>
      <c r="H20" s="70">
        <f t="shared" ref="H20:H31" si="1">IF(N(G20)=0,"",(N(G20)+N(H19)))</f>
        <v>20.604456220366153</v>
      </c>
      <c r="I20" s="27" t="str">
        <f>IF(N(J20)=0,"",0&amp;"-"&amp;B$4)</f>
        <v>0-1000</v>
      </c>
      <c r="J20" s="52">
        <f>IF(N(B$4)=0,"",IF(AND(COUNT(H20:H31)=2,COUNT(F20:F31)=2),cubic_spline(F19:F21,H19:H21,B$4),IF(AND(COUNT(H20:H31)=3,COUNT(F20:F31)=3),cubic_spline(F19:F22,H19:H22,B$4),IF(AND(COUNT(H20:H31)=4,COUNT(F20:F31)=4),cubic_spline(F19:F23,H19:H23,B$4),IF(AND(COUNT(H20:H31)=5,COUNT(F20:F31)=5),cubic_spline(F19:F24,H19:H24,B$4),IF(AND(COUNT(H20:H31)=6,COUNT(F20:F31)=6),cubic_spline(F19:F25,H19:H25,B$4),IF(AND(COUNT(H20:H31)=7,COUNT(F20:F31)=7),cubic_spline(F19:F26,H19:H26,B$4),IF(AND(COUNT(H20:H31)=8,COUNT(F20:F31)=8),cubic_spline(F19:F27,H19:H27,B$4),IF(AND(COUNT(H20:H31)=9,COUNT(F20:F31)=9),cubic_spline(F19:F28,H19:H28,B$4),IF(AND(COUNT(H20:H31)=10,COUNT(F20:F31)=10),cubic_spline(F19:F29,H19:H29,B$4),IF(AND(COUNT(H20:H31)=11,COUNT(F20:F31)=11),cubic_spline(F19:F30,H19:H30,B$4),IF(AND(COUNT(H20:H31)=12,COUNT(F20:F31)=12),cubic_spline(F19:F31,H19:H31,B$4),""))))))))))))</f>
        <v>23.258033254317656</v>
      </c>
      <c r="K20" s="52">
        <f>IF(N(B$4)=0,"",IF(AND(COUNT(A20:A31)=2,COUNT(F20:F31)=2),cubic_spline(F19:F21,A19:A21,B$4),IF(AND(COUNT(A20:A31)=3,COUNT(F20:F31)=3),cubic_spline(F19:F22,A19:A22,B$4),IF(AND(COUNT(A20:A31)=4,COUNT(F20:F31)=4),cubic_spline(F19:F23,A19:A23,B$4),IF(AND(COUNT(A20:A31)=5,COUNT(F20:F31)=5),cubic_spline(F19:F24,A19:A24,B$4),IF(AND(COUNT(A20:A31)=6,COUNT(F20:F31)=6),cubic_spline(F19:F25,A19:A25,B$4),IF(AND(COUNT(A20:A31)=7,COUNT(F20:F31)=7),cubic_spline(F19:F26,A19:A26,B$4),IF(AND(COUNT(A20:A31)=8,COUNT(F20:F31)=8),cubic_spline(F19:F27,A19:A27,B$4),IF(AND(COUNT(A20:A31)=9,COUNT(F20:F31)=9),cubic_spline(F19:F28,A19:A28,B$4),IF(AND(COUNT(A20:A31)=10,COUNT(F20:F31)=10),cubic_spline(F19:F29,A19:A29,B$4),IF(AND(COUNT(A20:A31)=11,COUNT(F20:F31)=11),cubic_spline(F19:F30,A19:A30,B$4),IF(AND(COUNT(A20:A31)=12,COUNT(F20:F31)=12),cubic_spline(F19:F31,A19:A31,B$4),""))))))))))))</f>
        <v>9.3417100205488666</v>
      </c>
      <c r="L20" s="27" t="str">
        <f>IF(I20="","",0&amp;"-"&amp;B$4)</f>
        <v>0-1000</v>
      </c>
      <c r="M20" s="52">
        <f>IF(N(J20)=0,"",J20-J19)</f>
        <v>23.258033254317656</v>
      </c>
      <c r="O20"/>
    </row>
    <row r="21" spans="1:15" ht="15.75" customHeight="1" x14ac:dyDescent="0.35">
      <c r="A21" s="48">
        <v>16</v>
      </c>
      <c r="B21" s="48" t="s">
        <v>37</v>
      </c>
      <c r="C21" s="49">
        <v>139.19999999999999</v>
      </c>
      <c r="D21" s="50">
        <v>12.681478533824528</v>
      </c>
      <c r="E21" s="51">
        <f>IF(N(C21)=0,"",C21/PI()/($D$1/2)^2/$D$2*10000)</f>
        <v>958.5448600710364</v>
      </c>
      <c r="F21" s="68">
        <f t="shared" ref="F21:F31" si="2">IF(N(E21)=0,"",(N(E21)+N(F20)))</f>
        <v>1806.9121500189653</v>
      </c>
      <c r="G21" s="69">
        <f t="shared" ref="G21:G31" si="3">IF(OR(N(D21)=0,N(E21)=0),"",(E21*D21)/1000)</f>
        <v>12.155766066698684</v>
      </c>
      <c r="H21" s="70">
        <f t="shared" si="1"/>
        <v>32.760222287064835</v>
      </c>
      <c r="I21" s="27" t="str">
        <f>IF(N(J21)=0,"",0&amp;"-"&amp;B$5)</f>
        <v>0-2000</v>
      </c>
      <c r="J21" s="52">
        <f>IF(N(B$5)=0,"",IF(AND(COUNT(H20:H31)=2,COUNT(F20:F31)=2),cubic_spline(F19:F21,H19:H21,B$5),IF(AND(COUNT(H20:H31)=3,COUNT(F20:F31)=3),cubic_spline(F19:F22,H19:H22,B$5),IF(AND(COUNT(H20:H31)=4,COUNT(F20:F31)=4),cubic_spline(F19:F23,H19:H23,B$5),IF(AND(COUNT(H20:H31)=5,COUNT(F20:F31)=5),cubic_spline(F19:F24,H19:H24,B$5),IF(AND(COUNT(H20:H31)=6,COUNT(F20:F31)=6),cubic_spline(F19:F25,H19:H25,B$5),IF(AND(COUNT(H20:H31)=7,COUNT(F20:F31)=7),cubic_spline(F19:F26,H19:H26,B$5),IF(AND(COUNT(H20:H31)=8,COUNT(F20:F31)=8),cubic_spline(F19:F27,H19:H27,B$5),IF(AND(COUNT(H20:H31)=9,COUNT(F20:F31)=9),cubic_spline(F19:F28,H19:H28,B$5),IF(AND(COUNT(H20:H31)=10,COUNT(F20:F31)=10),cubic_spline(F19:F29,H19:H29,B$5),IF(AND(COUNT(H20:H31)=11,COUNT(F20:F31)=11),cubic_spline(F19:F30,H19:H30,B$5),IF(AND(COUNT(H20:H31)=12,COUNT(F20:F31)=12),cubic_spline(F19:F31,H19:H31,B$5),""))))))))))))</f>
        <v>34.577487032743257</v>
      </c>
      <c r="K21" s="52">
        <f>IF(N(B$5)=0,"",IF(AND(COUNT(A20:A31)=2,COUNT(F20:F31)=2),cubic_spline(F19:F21,A19:A21,B$5),IF(AND(COUNT(A20:A31)=3,COUNT(F20:F31)=3),cubic_spline(F19:F22,A19:A22,B$5),IF(AND(COUNT(A20:A31)=4,COUNT(F20:F31)=4),cubic_spline(F19:F23,A19:A23,B$5),IF(AND(COUNT(A20:A31)=5,COUNT(F20:F31)=5),cubic_spline(F19:F24,A19:A24,B$5),IF(AND(COUNT(A20:A31)=6,COUNT(F20:F31)=6),cubic_spline(F19:F25,A19:A25,B$5),IF(AND(COUNT(A20:A31)=7,COUNT(F20:F31)=7),cubic_spline(F19:F26,A19:A26,B$5),IF(AND(COUNT(A20:A31)=8,COUNT(F20:F31)=8),cubic_spline(F19:F27,A19:A27,B$5),IF(AND(COUNT(A20:A31)=9,COUNT(F20:F31)=9),cubic_spline(F19:F28,A19:A28,B$5),IF(AND(COUNT(A20:A31)=10,COUNT(F20:F31)=10),cubic_spline(F19:F29,A19:A29,B$5),IF(AND(COUNT(A20:A31)=11,COUNT(F20:F31)=11),cubic_spline(F19:F30,A19:A30,B$5),IF(AND(COUNT(A20:A31)=12,COUNT(F20:F31)=12),cubic_spline(F19:F31,A19:A31,B$5),""))))))))))))</f>
        <v>17.51117984875361</v>
      </c>
      <c r="L21" s="27" t="str">
        <f>IF(I21="","",B$4&amp;"-"&amp;B$5)</f>
        <v>1000-2000</v>
      </c>
      <c r="M21" s="52">
        <f>IF(N(J21)=0,"",J21-J20)</f>
        <v>11.319453778425601</v>
      </c>
      <c r="O21"/>
    </row>
    <row r="22" spans="1:15" ht="15" customHeight="1" x14ac:dyDescent="0.35">
      <c r="A22" s="48">
        <v>32</v>
      </c>
      <c r="B22" s="48" t="s">
        <v>37</v>
      </c>
      <c r="C22" s="49">
        <v>306.10000000000002</v>
      </c>
      <c r="D22" s="50">
        <v>8.7067416803563731</v>
      </c>
      <c r="E22" s="51">
        <f>IF(N(C22)=0,"",C22/PI()/($D$1/2)^2/$D$2*10000)</f>
        <v>2107.8346384177034</v>
      </c>
      <c r="F22" s="68">
        <f t="shared" si="2"/>
        <v>3914.7467884366688</v>
      </c>
      <c r="G22" s="69">
        <f t="shared" si="3"/>
        <v>18.352371701610323</v>
      </c>
      <c r="H22" s="70">
        <f t="shared" si="1"/>
        <v>51.112593988675158</v>
      </c>
      <c r="I22" s="27" t="str">
        <f>IF(N(J22)=0,"",0&amp;"-"&amp;B$6)</f>
        <v>0-3000</v>
      </c>
      <c r="J22" s="52">
        <f>IF(N(B$6)=0,"",IF(AND(COUNT(H20:H31)=2,COUNT(F20:F31)=2),cubic_spline(F19:F21,H19:H21,B$6),IF(AND(COUNT(H20:H31)=3,COUNT(F20:F31)=3),cubic_spline(F19:F22,H19:H22,B$6),IF(AND(COUNT(H20:H31)=4,COUNT(F20:F31)=4),cubic_spline(F19:F23,H19:H23,B$6),IF(AND(COUNT(H20:H31)=5,COUNT(F20:F31)=5),cubic_spline(F19:F24,H19:H24,B$6),IF(AND(COUNT(H20:H31)=6,COUNT(F20:F31)=6),cubic_spline(F19:F25,H19:H25,B$6),IF(AND(COUNT(H20:H31)=7,COUNT(F20:F31)=7),cubic_spline(F19:F26,H19:H26,B$6),IF(AND(COUNT(H20:H31)=8,COUNT(F20:F31)=8),cubic_spline(F19:F27,H19:H27,B$6),IF(AND(COUNT(H20:H31)=9,COUNT(F20:F31)=9),cubic_spline(F19:F28,H19:H28,B$6),IF(AND(COUNT(H20:H31)=10,COUNT(F20:F31)=10),cubic_spline(F19:F29,H19:H29,B$6),IF(AND(COUNT(H20:H31)=11,COUNT(F20:F31)=11),cubic_spline(F19:F30,H19:H30,B$6),IF(AND(COUNT(H20:H31)=12,COUNT(F20:F31)=12),cubic_spline(F19:F31,H19:H31,B$6),""))))))))))))</f>
        <v>43.604080695290648</v>
      </c>
      <c r="K22" s="52">
        <f>IF(N(B$6)=0,"",IF(AND(COUNT(A20:A31)=2,COUNT(F20:F31)=2),cubic_spline(F19:F21,A19:A21,B$6),IF(AND(COUNT(A20:A31)=3,COUNT(F20:F31)=3),cubic_spline(F19:F22,A19:A22,B$6),IF(AND(COUNT(A20:A31)=4,COUNT(F20:F31)=4),cubic_spline(F19:F23,A19:A23,B$6),IF(AND(COUNT(A20:A31)=5,COUNT(F20:F31)=5),cubic_spline(F19:F24,A19:A24,B$6),IF(AND(COUNT(A20:A31)=6,COUNT(F20:F31)=6),cubic_spline(F19:F25,A19:A25,B$6),IF(AND(COUNT(A20:A31)=7,COUNT(F20:F31)=7),cubic_spline(F19:F26,A19:A26,B$6),IF(AND(COUNT(A20:A31)=8,COUNT(F20:F31)=8),cubic_spline(F19:F27,A19:A27,B$6),IF(AND(COUNT(A20:A31)=9,COUNT(F20:F31)=9),cubic_spline(F19:F28,A19:A28,B$6),IF(AND(COUNT(A20:A31)=10,COUNT(F20:F31)=10),cubic_spline(F19:F29,A19:A29,B$6),IF(AND(COUNT(A20:A31)=11,COUNT(F20:F31)=11),cubic_spline(F19:F30,A19:A30,B$6),IF(AND(COUNT(A20:A31)=12,COUNT(F20:F31)=12),cubic_spline(F19:F31,A19:A31,B$6),""))))))))))))</f>
        <v>25.099821736845762</v>
      </c>
      <c r="L22" s="27" t="str">
        <f>IF(I22="","",B$5&amp;"-"&amp;B$6)</f>
        <v>2000-3000</v>
      </c>
      <c r="M22" s="52">
        <f>IF(N(J22)=0,"",J22-J21)</f>
        <v>9.0265936625473913</v>
      </c>
      <c r="O22"/>
    </row>
    <row r="23" spans="1:15" ht="15" customHeight="1" x14ac:dyDescent="0.35">
      <c r="A23" s="48">
        <v>48</v>
      </c>
      <c r="B23" s="48" t="s">
        <v>37</v>
      </c>
      <c r="C23" s="49">
        <v>292.2</v>
      </c>
      <c r="D23" s="50">
        <v>6.9685959018314385</v>
      </c>
      <c r="E23" s="51">
        <f>IF(N(C23)=0,"",C23/PI()/($D$1/2)^2/$D$2*10000)</f>
        <v>2012.1178743732535</v>
      </c>
      <c r="F23" s="68">
        <f t="shared" si="2"/>
        <v>5926.8646628099223</v>
      </c>
      <c r="G23" s="69">
        <f t="shared" si="3"/>
        <v>14.02163637335924</v>
      </c>
      <c r="H23" s="70">
        <f t="shared" si="1"/>
        <v>65.134230362034401</v>
      </c>
      <c r="I23" s="27" t="str">
        <f>IF(N(J23)=0,"",0&amp;"-"&amp;B$7)</f>
        <v>0-4000</v>
      </c>
      <c r="J23" s="52">
        <f>IF(N(B$7)=0,"",IF(AND(COUNT(H20:H31)=2,COUNT(F20:F31)=2),cubic_spline(F19:F21,H19:H21,B$7),IF(AND(COUNT(H20:H31)=3,COUNT(F20:F31)=3),cubic_spline(F19:F22,H19:H22,B$7),IF(AND(COUNT(H20:H31)=4,COUNT(F20:F31)=4),cubic_spline(F19:F23,H19:H23,B$7),IF(AND(COUNT(H20:H31)=5,COUNT(F20:F31)=5),cubic_spline(F19:F24,H19:H24,B$7),IF(AND(COUNT(H20:H31)=6,COUNT(F20:F31)=6),cubic_spline(F19:F25,H19:H25,B$7),IF(AND(COUNT(H20:H31)=7,COUNT(F20:F31)=7),cubic_spline(F19:F26,H19:H26,B$7),IF(AND(COUNT(H20:H31)=8,COUNT(F20:F31)=8),cubic_spline(F19:F27,H19:H27,B$7),IF(AND(COUNT(H20:H31)=9,COUNT(F20:F31)=9),cubic_spline(F19:F28,H19:H28,B$7),IF(AND(COUNT(H20:H31)=10,COUNT(F20:F31)=10),cubic_spline(F19:F29,H19:H29,B$7),IF(AND(COUNT(H20:H31)=11,COUNT(F20:F31)=11),cubic_spline(F19:F30,H19:H30,B$7),IF(AND(COUNT(H20:H31)=12,COUNT(F20:F31)=12),cubic_spline(F19:F31,H19:H31,B$7),""))))))))))))</f>
        <v>51.767564285346189</v>
      </c>
      <c r="K23" s="52">
        <f>IF(N(B$7)=0,"",IF(AND(COUNT(A20:A31)=2,COUNT(F20:F31)=2),cubic_spline(F19:F21,A19:A21,B$7),IF(AND(COUNT(A20:A31)=3,COUNT(F20:F31)=3),cubic_spline(F19:F22,A19:A22,B$7),IF(AND(COUNT(A20:A31)=4,COUNT(F20:F31)=4),cubic_spline(F19:F23,A19:A23,B$7),IF(AND(COUNT(A20:A31)=5,COUNT(F20:F31)=5),cubic_spline(F19:F24,A19:A24,B$7),IF(AND(COUNT(A20:A31)=6,COUNT(F20:F31)=6),cubic_spline(F19:F25,A19:A25,B$7),IF(AND(COUNT(A20:A31)=7,COUNT(F20:F31)=7),cubic_spline(F19:F26,A19:A26,B$7),IF(AND(COUNT(A20:A31)=8,COUNT(F20:F31)=8),cubic_spline(F19:F27,A19:A27,B$7),IF(AND(COUNT(A20:A31)=9,COUNT(F20:F31)=9),cubic_spline(F19:F28,A19:A28,B$7),IF(AND(COUNT(A20:A31)=10,COUNT(F20:F31)=10),cubic_spline(F19:F29,A19:A29,B$7),IF(AND(COUNT(A20:A31)=11,COUNT(F20:F31)=11),cubic_spline(F19:F30,A19:A30,B$7),IF(AND(COUNT(A20:A31)=12,COUNT(F20:F31)=12),cubic_spline(F19:F31,A19:A31,B$7),""))))))))))))</f>
        <v>32.655196277817581</v>
      </c>
      <c r="L23" s="27" t="str">
        <f>IF(I23="","",B$6&amp;"-"&amp;B$7)</f>
        <v>3000-4000</v>
      </c>
      <c r="M23" s="52">
        <f>IF(N(J23)=0,"",J23-J22)</f>
        <v>8.1634835900555416</v>
      </c>
      <c r="O23"/>
    </row>
    <row r="24" spans="1:15" ht="15" customHeight="1" x14ac:dyDescent="0.35">
      <c r="A24" s="48"/>
      <c r="B24" s="48"/>
      <c r="C24" s="49"/>
      <c r="D24" s="50"/>
      <c r="E24" s="51" t="str">
        <f t="shared" ref="E24:E31" si="4">IF(N(C24)=0,"",C24/PI()/($D$1/2)^2/$D$2*10000)</f>
        <v/>
      </c>
      <c r="F24" s="71" t="str">
        <f t="shared" si="2"/>
        <v/>
      </c>
      <c r="G24" s="69" t="str">
        <f t="shared" si="3"/>
        <v/>
      </c>
      <c r="H24" s="70" t="str">
        <f t="shared" si="1"/>
        <v/>
      </c>
      <c r="I24" s="27" t="str">
        <f>IF(N(J24)=0,"",0&amp;"-"&amp;B$8)</f>
        <v>0-5000</v>
      </c>
      <c r="J24" s="52">
        <f>IF(N(B$8)=0,"",IF(AND(COUNT(H20:H31)=2,COUNT(F20:F31)=2),cubic_spline(F19:F21,H19:H21,B$8),IF(AND(COUNT(H20:H31)=3,COUNT(F20:F31)=3),cubic_spline(F19:F22,H19:H22,B$8),IF(AND(COUNT(H20:H31)=4,COUNT(F20:F31)=4),cubic_spline(F19:F23,H19:H23,B$8),IF(AND(COUNT(H20:H31)=5,COUNT(F20:F31)=5),cubic_spline(F19:F24,H19:H24,B$8),IF(AND(COUNT(H20:H31)=6,COUNT(F20:F31)=6),cubic_spline(F19:F25,H19:H25,B$8),IF(AND(COUNT(H20:H31)=7,COUNT(F20:F31)=7),cubic_spline(F19:F26,H19:H26,B$8),IF(AND(COUNT(H20:H31)=8,COUNT(F20:F31)=8),cubic_spline(F19:F27,H19:H27,B$8),IF(AND(COUNT(H20:H31)=9,COUNT(F20:F31)=9),cubic_spline(F19:F28,H19:H28,B$8),IF(AND(COUNT(H20:H31)=10,COUNT(F20:F31)=10),cubic_spline(F19:F29,H19:H29,B$8),IF(AND(COUNT(H20:H31)=11,COUNT(F20:F31)=11),cubic_spline(F19:F30,H19:H30,B$8),IF(AND(COUNT(H20:H31)=12,COUNT(F20:F31)=12),cubic_spline(F19:F31,H19:H31,B$8),""))))))))))))</f>
        <v>58.953408252519246</v>
      </c>
      <c r="K24" s="52">
        <f>IF(N(B$8)=0,"",IF(AND(COUNT(A20:A31)=2,COUNT(F20:F31)=2),cubic_spline(F19:F21,A19:A21,B$8),IF(AND(COUNT(A20:A31)=3,COUNT(F20:F31)=3),cubic_spline(F19:F22,A19:A22,B$8),IF(AND(COUNT(A20:A31)=4,COUNT(F20:F31)=4),cubic_spline(F19:F23,A19:A23,B$8),IF(AND(COUNT(A20:A31)=5,COUNT(F20:F31)=5),cubic_spline(F19:F24,A19:A24,B$8),IF(AND(COUNT(A20:A31)=6,COUNT(F20:F31)=6),cubic_spline(F19:F25,A19:A25,B$8),IF(AND(COUNT(A20:A31)=7,COUNT(F20:F31)=7),cubic_spline(F19:F26,A19:A26,B$8),IF(AND(COUNT(A20:A31)=8,COUNT(F20:F31)=8),cubic_spline(F19:F27,A19:A27,B$8),IF(AND(COUNT(A20:A31)=9,COUNT(F20:F31)=9),cubic_spline(F19:F28,A19:A28,B$8),IF(AND(COUNT(A20:A31)=10,COUNT(F20:F31)=10),cubic_spline(F19:F29,A19:A29,B$8),IF(AND(COUNT(A20:A31)=11,COUNT(F20:F31)=11),cubic_spline(F19:F30,A19:A30,B$8),IF(AND(COUNT(A20:A31)=12,COUNT(F20:F31)=12),cubic_spline(F19:F31,A19:A31,B$8),""))))))))))))</f>
        <v>40.525924023469585</v>
      </c>
      <c r="L24" s="27" t="str">
        <f>IF(I24="","",B$7&amp;"-"&amp;B$8)</f>
        <v>4000-5000</v>
      </c>
      <c r="M24" s="52">
        <f>IF(N(J24)=0,"",J24-J23)</f>
        <v>7.1858439671730565</v>
      </c>
      <c r="O24"/>
    </row>
    <row r="25" spans="1:15" ht="15" customHeight="1" x14ac:dyDescent="0.35">
      <c r="A25" s="48"/>
      <c r="B25" s="48"/>
      <c r="C25" s="49"/>
      <c r="D25" s="50"/>
      <c r="E25" s="51" t="str">
        <f t="shared" si="4"/>
        <v/>
      </c>
      <c r="F25" s="71" t="str">
        <f t="shared" si="2"/>
        <v/>
      </c>
      <c r="G25" s="69" t="str">
        <f t="shared" si="3"/>
        <v/>
      </c>
      <c r="H25" s="70" t="str">
        <f t="shared" si="1"/>
        <v/>
      </c>
      <c r="I25" s="27" t="str">
        <f>IF(N(J25)=0,"",0&amp;"-"&amp;B$9)</f>
        <v>0-6000</v>
      </c>
      <c r="J25" s="52">
        <f>IF(N(B$9)=0,"",IF(AND(COUNT(H20:H31)=2,COUNT(F20:F31)=2),cubic_spline(F19:F21,H19:H21,B$9),IF(AND(COUNT(H20:H31)=3,COUNT(F20:F31)=3),cubic_spline(F19:F22,H19:H22,B$9),IF(AND(COUNT(H20:H31)=4,COUNT(F20:F31)=4),cubic_spline(F19:F23,H19:H23,B$9),IF(AND(COUNT(H20:H31)=5,COUNT(F20:F31)=5),cubic_spline(F19:F24,H19:H24,B$9),IF(AND(COUNT(H20:H31)=6,COUNT(F20:F31)=6),cubic_spline(F19:F25,H19:H25,B$9),IF(AND(COUNT(H20:H31)=7,COUNT(F20:F31)=7),cubic_spline(F19:F26,H19:H26,B$9),IF(AND(COUNT(H20:H31)=8,COUNT(F20:F31)=8),cubic_spline(F19:F27,H19:H27,B$9),IF(AND(COUNT(H20:H31)=9,COUNT(F20:F31)=9),cubic_spline(F19:F28,H19:H28,B$9),IF(AND(COUNT(H20:H31)=10,COUNT(F20:F31)=10),cubic_spline(F19:F29,H19:H29,B$9),IF(AND(COUNT(H20:H31)=11,COUNT(F20:F31)=11),cubic_spline(F19:F30,H19:H30,B$9),IF(AND(COUNT(H20:H31)=12,COUNT(F20:F31)=12),cubic_spline(F19:F31,H19:H31,B$9),""))))))))))))</f>
        <v>65.616061902514389</v>
      </c>
      <c r="K25" s="52">
        <f>IF(N(B$9)=0,"",IF(AND(COUNT(A20:A31)=2,COUNT(F20:F31)=2),cubic_spline(F19:F21,A19:A21,B$9),IF(AND(COUNT(A20:A31)=3,COUNT(F20:F31)=3),cubic_spline(F19:F22,A19:A22,B$9),IF(AND(COUNT(A20:A31)=4,COUNT(F20:F31)=4),cubic_spline(F19:F23,A19:A23,B$9),IF(AND(COUNT(A20:A31)=5,COUNT(F20:F31)=5),cubic_spline(F19:F24,A19:A24,B$9),IF(AND(COUNT(A20:A31)=6,COUNT(F20:F31)=6),cubic_spline(F19:F25,A19:A25,B$9),IF(AND(COUNT(A20:A31)=7,COUNT(F20:F31)=7),cubic_spline(F19:F26,A19:A26,B$9),IF(AND(COUNT(A20:A31)=8,COUNT(F20:F31)=8),cubic_spline(F19:F27,A19:A27,B$9),IF(AND(COUNT(A20:A31)=9,COUNT(F20:F31)=9),cubic_spline(F19:F28,A19:A28,B$9),IF(AND(COUNT(A20:A31)=10,COUNT(F20:F31)=10),cubic_spline(F19:F29,A19:A29,B$9),IF(AND(COUNT(A20:A31)=11,COUNT(F20:F31)=11),cubic_spline(F19:F30,A19:A30,B$9),IF(AND(COUNT(A20:A31)=12,COUNT(F20:F31)=12),cubic_spline(F19:F31,A19:A31,B$9),""))))))))))))</f>
        <v>48.591942491892688</v>
      </c>
      <c r="L25" s="27" t="str">
        <f>IF(I25="","",B$8&amp;"-"&amp;B$9)</f>
        <v>5000-6000</v>
      </c>
      <c r="M25" s="52">
        <f t="shared" ref="M25:M31" si="5">IF(N(J25)=0,"",J25-J24)</f>
        <v>6.6626536499951428</v>
      </c>
      <c r="O25"/>
    </row>
    <row r="26" spans="1:15" ht="15" customHeight="1" x14ac:dyDescent="0.35">
      <c r="A26" s="48"/>
      <c r="B26" s="48"/>
      <c r="C26" s="49"/>
      <c r="D26" s="50"/>
      <c r="E26" s="51" t="str">
        <f t="shared" si="4"/>
        <v/>
      </c>
      <c r="F26" s="71" t="str">
        <f t="shared" si="2"/>
        <v/>
      </c>
      <c r="G26" s="69" t="str">
        <f t="shared" si="3"/>
        <v/>
      </c>
      <c r="H26" s="70" t="str">
        <f t="shared" si="1"/>
        <v/>
      </c>
      <c r="I26" s="27" t="str">
        <f>IF(N(J26)=0,"",0&amp;"-"&amp;B$10)</f>
        <v/>
      </c>
      <c r="J26" s="52" t="str">
        <f>IF(N(B$10)=0,"",IF(AND(COUNT(H20:H31)=2,COUNT(F20:F31)=2),cubic_spline(F19:F21,H19:H21,B$10),IF(AND(COUNT(H20:H31)=3,COUNT(F20:F31)=3),cubic_spline(F19:F22,H19:H22,B$10),IF(AND(COUNT(H20:H31)=4,COUNT(F20:F31)=4),cubic_spline(F19:F23,H19:H23,B$10),IF(AND(COUNT(H20:H31)=5,COUNT(F20:F31)=5),cubic_spline(F19:F24,H19:H24,B$10),IF(AND(COUNT(H20:H31)=6,COUNT(F20:F31)=6),cubic_spline(F19:F25,H19:H25,B$10),IF(AND(COUNT(H20:H31)=7,COUNT(F20:F31)=7),cubic_spline(F19:F26,H19:H26,B$10),IF(AND(COUNT(H20:H31)=8,COUNT(F20:F31)=8),cubic_spline(F19:F27,H19:H27,B$10),IF(AND(COUNT(H20:H31)=9,COUNT(F20:F31)=9),cubic_spline(F19:F28,H19:H28,B$10),IF(AND(COUNT(H20:H31)=10,COUNT(F20:F31)=10),cubic_spline(F19:F29,H19:H29,B$10),IF(AND(COUNT(H20:H31)=11,COUNT(F20:F31)=11),cubic_spline(F19:F30,H19:H30,B$10),IF(AND(COUNT(H20:H31)=12,COUNT(F20:F31)=12),cubic_spline(F19:F31,H19:H31,B$10),""))))))))))))</f>
        <v/>
      </c>
      <c r="K26" s="52" t="str">
        <f>IF(N(B$10)=0,"",IF(AND(COUNT(A20:A31)=2,COUNT(F20:F31)=2),cubic_spline(F19:F21,A19:A21,B$10),IF(AND(COUNT(A20:A31)=3,COUNT(F20:F31)=3),cubic_spline(F19:F22,A19:A22,B$10),IF(AND(COUNT(A20:A31)=4,COUNT(F20:F31)=4),cubic_spline(F19:F23,A19:A23,B$10),IF(AND(COUNT(A20:A31)=5,COUNT(F20:F31)=5),cubic_spline(F19:F24,A19:A24,B$10),IF(AND(COUNT(A20:A31)=6,COUNT(F20:F31)=6),cubic_spline(F19:F25,A19:A25,B$10),IF(AND(COUNT(A20:A31)=7,COUNT(F20:F31)=7),cubic_spline(F19:F26,A19:A26,B$10),IF(AND(COUNT(A20:A31)=8,COUNT(F20:F31)=8),cubic_spline(F19:F27,A19:A27,B$10),IF(AND(COUNT(A20:A31)=9,COUNT(F20:F31)=9),cubic_spline(F19:F28,A19:A28,B$10),IF(AND(COUNT(A20:A31)=10,COUNT(F20:F31)=10),cubic_spline(F19:F29,A19:A29,B$10),IF(AND(COUNT(A20:A31)=11,COUNT(F20:F31)=11),cubic_spline(F19:F30,A19:A30,B$10),IF(AND(COUNT(A20:A31)=12,COUNT(F20:F31)=12),cubic_spline(F19:F31,A19:A31,B$10),""))))))))))))</f>
        <v/>
      </c>
      <c r="L26" s="27" t="str">
        <f>IF(I26="","",B$9&amp;"-"&amp;B$10)</f>
        <v/>
      </c>
      <c r="M26" s="52" t="str">
        <f t="shared" si="5"/>
        <v/>
      </c>
      <c r="O26"/>
    </row>
    <row r="27" spans="1:15" ht="15" customHeight="1" x14ac:dyDescent="0.35">
      <c r="A27" s="48"/>
      <c r="B27" s="48"/>
      <c r="C27" s="49"/>
      <c r="D27" s="50"/>
      <c r="E27" s="51" t="str">
        <f t="shared" si="4"/>
        <v/>
      </c>
      <c r="F27" s="71" t="str">
        <f t="shared" si="2"/>
        <v/>
      </c>
      <c r="G27" s="69" t="str">
        <f t="shared" si="3"/>
        <v/>
      </c>
      <c r="H27" s="70" t="str">
        <f t="shared" si="1"/>
        <v/>
      </c>
      <c r="I27" s="27" t="str">
        <f>IF(N(J27)=0,"",0&amp;"-"&amp;B$11)</f>
        <v/>
      </c>
      <c r="J27" s="52" t="str">
        <f>IF(N(B$11)=0,"",IF(AND(COUNT(H20:H31)=2,COUNT(F20:F31)=2),cubic_spline(F19:F21,H19:H21,B$11),IF(AND(COUNT(H20:H31)=3,COUNT(F20:F31)=3),cubic_spline(F19:F22,H19:H22,B$11),IF(AND(COUNT(H20:H31)=4,COUNT(F20:F31)=4),cubic_spline(F19:F23,H19:H23,B$11),IF(AND(COUNT(H20:H31)=5,COUNT(F20:F31)=5),cubic_spline(F19:F24,H19:H24,B$11),IF(AND(COUNT(H20:H31)=6,COUNT(F20:F31)=6),cubic_spline(F19:F25,H19:H25,B$11),IF(AND(COUNT(H20:H31)=7,COUNT(F20:F31)=7),cubic_spline(F19:F26,H19:H26,B$11),IF(AND(COUNT(H20:H31)=8,COUNT(F20:F31)=8),cubic_spline(F19:F27,H19:H27,B$11),IF(AND(COUNT(H20:H31)=9,COUNT(F20:F31)=9),cubic_spline(F19:F28,H19:H28,B$11),IF(AND(COUNT(H20:H31)=10,COUNT(F20:F31)=10),cubic_spline(F19:F29,H19:H29,B$11),IF(AND(COUNT(H20:H31)=11,COUNT(F20:F31)=11),cubic_spline(F19:F30,H19:H30,B$11),IF(AND(COUNT(H20:H31)=12,COUNT(F20:F31)=12),cubic_spline(F19:F31,H19:H31,B$11),""))))))))))))</f>
        <v/>
      </c>
      <c r="K27" s="52" t="str">
        <f>IF(N(B$11)=0,"",IF(AND(COUNT(A20:A31)=2,COUNT(F20:F31)=2),cubic_spline(F19:F21,A19:A21,B$11),IF(AND(COUNT(A20:A31)=3,COUNT(F20:F31)=3),cubic_spline(F19:F22,A19:A22,B$11),IF(AND(COUNT(A20:A31)=4,COUNT(F20:F31)=4),cubic_spline(F19:F23,A19:A23,B$11),IF(AND(COUNT(A20:A31)=5,COUNT(F20:F31)=5),cubic_spline(F19:F24,A19:A24,B$11),IF(AND(COUNT(A20:A31)=6,COUNT(F20:F31)=6),cubic_spline(F19:F25,A19:A25,B$11),IF(AND(COUNT(A20:A31)=7,COUNT(F20:F31)=7),cubic_spline(F19:F26,A19:A26,B$11),IF(AND(COUNT(A20:A31)=8,COUNT(F20:F31)=8),cubic_spline(F19:F27,A19:A27,B$11),IF(AND(COUNT(A20:A31)=9,COUNT(F20:F31)=9),cubic_spline(F19:F28,A19:A28,B$11),IF(AND(COUNT(A20:A31)=10,COUNT(F20:F31)=10),cubic_spline(F19:F29,A19:A29,B$11),IF(AND(COUNT(A20:A31)=11,COUNT(F20:F31)=11),cubic_spline(F19:F30,A19:A30,B$11),IF(AND(COUNT(A20:A31)=12,COUNT(F20:F31)=12),cubic_spline(F19:F31,A19:A31,B$11),""))))))))))))</f>
        <v/>
      </c>
      <c r="L27" s="27" t="str">
        <f>IF(I27="","",B$10&amp;"-"&amp;B$11)</f>
        <v/>
      </c>
      <c r="M27" s="52" t="str">
        <f t="shared" si="5"/>
        <v/>
      </c>
      <c r="O27"/>
    </row>
    <row r="28" spans="1:15" ht="15" customHeight="1" x14ac:dyDescent="0.35">
      <c r="A28" s="48"/>
      <c r="B28" s="48"/>
      <c r="C28" s="49"/>
      <c r="D28" s="50"/>
      <c r="E28" s="51" t="str">
        <f t="shared" si="4"/>
        <v/>
      </c>
      <c r="F28" s="71" t="str">
        <f t="shared" si="2"/>
        <v/>
      </c>
      <c r="G28" s="69" t="str">
        <f t="shared" si="3"/>
        <v/>
      </c>
      <c r="H28" s="70" t="str">
        <f t="shared" si="1"/>
        <v/>
      </c>
      <c r="I28" s="27" t="str">
        <f>IF(N(J28)=0,"",0&amp;"-"&amp;B$12)</f>
        <v/>
      </c>
      <c r="J28" s="52" t="str">
        <f>IF(N(B$12)=0,"",IF(AND(COUNT(H20:H31)=2,COUNT(F20:F31)=2),cubic_spline(F19:F21,H19:H21,B$12),IF(AND(COUNT(H20:H31)=3,COUNT(F20:F31)=3),cubic_spline(F19:F22,H19:H22,B$12),IF(AND(COUNT(H20:H31)=4,COUNT(F20:F31)=4),cubic_spline(F19:F23,H19:H23,B$12),IF(AND(COUNT(H20:H31)=5,COUNT(F20:F31)=5),cubic_spline(F19:F24,H19:H24,B$12),IF(AND(COUNT(H20:H31)=6,COUNT(F20:F31)=6),cubic_spline(F19:F25,H19:H25,B$12),IF(AND(COUNT(H20:H31)=7,COUNT(F20:F31)=7),cubic_spline(F19:F26,H19:H26,B$12),IF(AND(COUNT(H20:H31)=8,COUNT(F20:F31)=8),cubic_spline(F19:F27,H19:H27,B$12),IF(AND(COUNT(H20:H31)=9,COUNT(F20:F31)=9),cubic_spline(F19:F28,H19:H28,B$12),IF(AND(COUNT(H20:H31)=10,COUNT(F20:F31)=10),cubic_spline(F19:F29,H19:H29,B$12),IF(AND(COUNT(H20:H31)=11,COUNT(F20:F31)=11),cubic_spline(F19:F30,H19:H30,B$12),IF(AND(COUNT(H20:H31)=12,COUNT(F20:F31)=12),cubic_spline(F19:F31,H19:H31,B$12),""))))))))))))</f>
        <v/>
      </c>
      <c r="K28" s="52" t="str">
        <f>IF(N(B$12)=0,"",IF(AND(COUNT(A20:A31)=2,COUNT(F20:F31)=2),cubic_spline(F19:F21,A19:A21,B$12),IF(AND(COUNT(A20:A31)=3,COUNT(F20:F31)=3),cubic_spline(F19:F22,A19:A22,B$12),IF(AND(COUNT(A20:A31)=4,COUNT(F20:F31)=4),cubic_spline(F19:F23,A19:A23,B$12),IF(AND(COUNT(A20:A31)=5,COUNT(F20:F31)=5),cubic_spline(F19:F24,A19:A24,B$12),IF(AND(COUNT(A20:A31)=6,COUNT(F20:F31)=6),cubic_spline(F19:F25,A19:A25,B$12),IF(AND(COUNT(A20:A31)=7,COUNT(F20:F31)=7),cubic_spline(F19:F26,A19:A26,B$12),IF(AND(COUNT(A20:A31)=8,COUNT(F20:F31)=8),cubic_spline(F19:F27,A19:A27,B$12),IF(AND(COUNT(A20:A31)=9,COUNT(F20:F31)=9),cubic_spline(F19:F28,A19:A28,B$12),IF(AND(COUNT(A20:A31)=10,COUNT(F20:F31)=10),cubic_spline(F19:F29,A19:A29,B$12),IF(AND(COUNT(A20:A31)=11,COUNT(F20:F31)=11),cubic_spline(F19:F30,A19:A30,B$12),IF(AND(COUNT(A20:A31)=12,COUNT(F20:F31)=12),cubic_spline(F19:F31,A19:A31,B$12),""))))))))))))</f>
        <v/>
      </c>
      <c r="L28" s="27" t="str">
        <f>IF(I28="","",B$11&amp;"-"&amp;B$12)</f>
        <v/>
      </c>
      <c r="M28" s="52" t="str">
        <f t="shared" si="5"/>
        <v/>
      </c>
      <c r="O28"/>
    </row>
    <row r="29" spans="1:15" ht="15" customHeight="1" x14ac:dyDescent="0.35">
      <c r="A29" s="48"/>
      <c r="B29" s="48"/>
      <c r="C29" s="49"/>
      <c r="D29" s="50"/>
      <c r="E29" s="51" t="str">
        <f t="shared" si="4"/>
        <v/>
      </c>
      <c r="F29" s="71" t="str">
        <f t="shared" si="2"/>
        <v/>
      </c>
      <c r="G29" s="69" t="str">
        <f t="shared" si="3"/>
        <v/>
      </c>
      <c r="H29" s="70" t="str">
        <f t="shared" si="1"/>
        <v/>
      </c>
      <c r="I29" s="27" t="str">
        <f>IF(N(J29)=0,"",0&amp;"-"&amp;B$13)</f>
        <v/>
      </c>
      <c r="J29" s="52" t="str">
        <f>IF(N(B$13)=0,"",IF(AND(COUNT(H20:H31)=2,COUNT(F20:F31)=2),cubic_spline(F19:F21,H19:H21,B$13),IF(AND(COUNT(H20:H31)=3,COUNT(F20:F31)=3),cubic_spline(F19:F22,H19:H22,B$13),IF(AND(COUNT(H20:H31)=4,COUNT(F20:F31)=4),cubic_spline(F19:F23,H19:H23,B$13),IF(AND(COUNT(H20:H31)=5,COUNT(F20:F31)=5),cubic_spline(F19:F24,H19:H24,B$13),IF(AND(COUNT(H20:H31)=6,COUNT(F20:F31)=6),cubic_spline(F19:F25,H19:H25,B$13),IF(AND(COUNT(H20:H31)=7,COUNT(F20:F31)=7),cubic_spline(F19:F26,H19:H26,B$13),IF(AND(COUNT(H20:H31)=8,COUNT(F20:F31)=8),cubic_spline(F19:F27,H19:H27,B$13),IF(AND(COUNT(H20:H31)=9,COUNT(F20:F31)=9),cubic_spline(F19:F28,H19:H28,B$13),IF(AND(COUNT(H20:H31)=10,COUNT(F20:F31)=10),cubic_spline(F19:F29,H19:H29,B$13),IF(AND(COUNT(H20:H31)=11,COUNT(F20:F31)=11),cubic_spline(F19:F30,H19:H30,B$13),IF(AND(COUNT(H20:H31)=12,COUNT(F20:F31)=12),cubic_spline(F19:F31,H19:H31,B$13),""))))))))))))</f>
        <v/>
      </c>
      <c r="K29" s="52" t="str">
        <f>IF(N(B$13)=0,"",IF(AND(COUNT(A20:A31)=2,COUNT(F20:F31)=2),cubic_spline(F19:F21,A19:A21,B$13),IF(AND(COUNT(A20:A31)=3,COUNT(F20:F31)=3),cubic_spline(F19:F22,A19:A22,B$13),IF(AND(COUNT(A20:A31)=4,COUNT(F20:F31)=4),cubic_spline(F19:F23,A19:A23,B$13),IF(AND(COUNT(A20:A31)=5,COUNT(F20:F31)=5),cubic_spline(F19:F24,A19:A24,B$13),IF(AND(COUNT(A20:A31)=6,COUNT(F20:F31)=6),cubic_spline(F19:F25,A19:A25,B$13),IF(AND(COUNT(A20:A31)=7,COUNT(F20:F31)=7),cubic_spline(F19:F26,A19:A26,B$13),IF(AND(COUNT(A20:A31)=8,COUNT(F20:F31)=8),cubic_spline(F19:F27,A19:A27,B$13),IF(AND(COUNT(A20:A31)=9,COUNT(F20:F31)=9),cubic_spline(F19:F28,A19:A28,B$13),IF(AND(COUNT(A20:A31)=10,COUNT(F20:F31)=10),cubic_spline(F19:F29,A19:A29,B$13),IF(AND(COUNT(A20:A31)=11,COUNT(F20:F31)=11),cubic_spline(F19:F30,A19:A30,B$13),IF(AND(COUNT(A20:A31)=12,COUNT(F20:F31)=12),cubic_spline(F19:F31,A19:A31,B$13),""))))))))))))</f>
        <v/>
      </c>
      <c r="L29" s="27" t="str">
        <f>IF(I29="","",B$12&amp;"-"&amp;B$13)</f>
        <v/>
      </c>
      <c r="M29" s="52" t="str">
        <f t="shared" si="5"/>
        <v/>
      </c>
      <c r="O29"/>
    </row>
    <row r="30" spans="1:15" ht="15" customHeight="1" x14ac:dyDescent="0.35">
      <c r="A30" s="48"/>
      <c r="B30" s="48"/>
      <c r="C30" s="49"/>
      <c r="D30" s="50"/>
      <c r="E30" s="51" t="str">
        <f t="shared" si="4"/>
        <v/>
      </c>
      <c r="F30" s="71" t="str">
        <f t="shared" si="2"/>
        <v/>
      </c>
      <c r="G30" s="69" t="str">
        <f t="shared" si="3"/>
        <v/>
      </c>
      <c r="H30" s="70" t="str">
        <f t="shared" si="1"/>
        <v/>
      </c>
      <c r="I30" s="27" t="str">
        <f>IF(N(J30)=0,"",0&amp;"-"&amp;B$14)</f>
        <v/>
      </c>
      <c r="J30" s="52" t="str">
        <f>IF(N(B$14)=0,"",IF(AND(COUNT(H20:H31)=2,COUNT(F20:F31)=2),cubic_spline(F19:F21,H19:H21,B$14),IF(AND(COUNT(H20:H31)=3,COUNT(F20:F31)=3),cubic_spline(F19:F22,H19:H22,B$14),IF(AND(COUNT(H20:H31)=4,COUNT(F20:F31)=4),cubic_spline(F19:F23,H19:H23,B$14),IF(AND(COUNT(H20:H31)=5,COUNT(F20:F31)=5),cubic_spline(F19:F24,H19:H24,B$14),IF(AND(COUNT(H20:H31)=6,COUNT(F20:F31)=6),cubic_spline(F19:F25,H19:H25,B$14),IF(AND(COUNT(H20:H31)=7,COUNT(F20:F31)=7),cubic_spline(F19:F26,H19:H26,B$14),IF(AND(COUNT(H20:H31)=8,COUNT(F20:F31)=8),cubic_spline(F19:F27,H19:H27,B$14),IF(AND(COUNT(H20:H31)=9,COUNT(F20:F31)=9),cubic_spline(F19:F28,H19:H28,B$14),IF(AND(COUNT(H20:H31)=10,COUNT(F20:F31)=10),cubic_spline(F19:F29,H19:H29,B$14),IF(AND(COUNT(H20:H31)=11,COUNT(F20:F31)=11),cubic_spline(F19:F30,H19:H30,B$14),IF(AND(COUNT(H20:H31)=12,COUNT(F20:F31)=12),cubic_spline(F19:F31,H19:H31,B$14),""))))))))))))</f>
        <v/>
      </c>
      <c r="K30" s="52" t="str">
        <f>IF(N(B$14)=0,"",IF(AND(COUNT(A20:A31)=2,COUNT(F20:F31)=2),cubic_spline(F19:F21,A19:A21,B$14),IF(AND(COUNT(A20:A31)=3,COUNT(F20:F31)=3),cubic_spline(F19:F22,A19:A22,B$14),IF(AND(COUNT(A20:A31)=4,COUNT(F20:F31)=4),cubic_spline(F19:F23,A19:A23,B$14),IF(AND(COUNT(A20:A31)=5,COUNT(F20:F31)=5),cubic_spline(F19:F24,A19:A24,B$14),IF(AND(COUNT(A20:A31)=6,COUNT(F20:F31)=6),cubic_spline(F19:F25,A19:A25,B$14),IF(AND(COUNT(A20:A31)=7,COUNT(F20:F31)=7),cubic_spline(F19:F26,A19:A26,B$14),IF(AND(COUNT(A20:A31)=8,COUNT(F20:F31)=8),cubic_spline(F19:F27,A19:A27,B$14),IF(AND(COUNT(A20:A31)=9,COUNT(F20:F31)=9),cubic_spline(F19:F28,A19:A28,B$14),IF(AND(COUNT(A20:A31)=10,COUNT(F20:F31)=10),cubic_spline(F19:F29,A19:A29,B$14),IF(AND(COUNT(A20:A31)=11,COUNT(F20:F31)=11),cubic_spline(F19:F30,A19:A30,B$14),IF(AND(COUNT(A20:A31)=12,COUNT(F20:F31)=12),cubic_spline(F19:F31,A19:A31,B$14),""))))))))))))</f>
        <v/>
      </c>
      <c r="L30" s="27" t="str">
        <f>IF(I30="","",B$13&amp;"-"&amp;B$14)</f>
        <v/>
      </c>
      <c r="M30" s="52" t="str">
        <f t="shared" si="5"/>
        <v/>
      </c>
      <c r="O30"/>
    </row>
    <row r="31" spans="1:15" ht="15" customHeight="1" x14ac:dyDescent="0.35">
      <c r="A31" s="48"/>
      <c r="B31" s="48"/>
      <c r="C31" s="49"/>
      <c r="D31" s="50"/>
      <c r="E31" s="51" t="str">
        <f t="shared" si="4"/>
        <v/>
      </c>
      <c r="F31" s="71" t="str">
        <f t="shared" si="2"/>
        <v/>
      </c>
      <c r="G31" s="69" t="str">
        <f t="shared" si="3"/>
        <v/>
      </c>
      <c r="H31" s="70" t="str">
        <f t="shared" si="1"/>
        <v/>
      </c>
      <c r="I31" s="27" t="str">
        <f>IF(N(J31)=0,"",0&amp;"-"&amp;B$15)</f>
        <v/>
      </c>
      <c r="J31" s="52" t="str">
        <f>IF(N(B$15)=0,"",IF(AND(COUNT(H20:H31)=2,COUNT(F20:F31)=2),cubic_spline(F19:F21,H19:H21,B$15),IF(AND(COUNT(H20:H31)=3,COUNT(F20:F31)=3),cubic_spline(F19:F22,H19:H22,B$15),IF(AND(COUNT(H20:H31)=4,COUNT(F20:F31)=4),cubic_spline(F19:F23,H19:H23,B$15),IF(AND(COUNT(H20:H31)=5,COUNT(F20:F31)=5),cubic_spline(F19:F24,H19:H24,B$15),IF(AND(COUNT(H20:H31)=6,COUNT(F20:F31)=6),cubic_spline(F19:F25,H19:H25,B$15),IF(AND(COUNT(H20:H31)=7,COUNT(F20:F31)=7),cubic_spline(F19:F26,H19:H26,B$15),IF(AND(COUNT(H20:H31)=8,COUNT(F20:F31)=8),cubic_spline(F19:F27,H19:H27,B$15),IF(AND(COUNT(H20:H31)=9,COUNT(F20:F31)=9),cubic_spline(F19:F28,H19:H28,B$15),IF(AND(COUNT(H20:H31)=10,COUNT(F20:F31)=10),cubic_spline(F19:F29,H19:H29,B$15),IF(AND(COUNT(H20:H31)=11,COUNT(F20:F31)=11),cubic_spline(F19:F30,H19:H30,B$15),IF(AND(COUNT(H20:H31)=12,COUNT(F20:F31)=12),cubic_spline(F19:F31,H19:H31,B$15),""))))))))))))</f>
        <v/>
      </c>
      <c r="K31" s="52" t="str">
        <f>IF(N(B$15)=0,"",IF(AND(COUNT(A20:A31)=2,COUNT(F20:F31)=2),cubic_spline(F19:F21,A19:A21,B$15),IF(AND(COUNT(A20:A31)=3,COUNT(F20:F31)=3),cubic_spline(F19:F22,A19:A22,B$15),IF(AND(COUNT(A20:A31)=4,COUNT(F20:F31)=4),cubic_spline(F19:F23,A19:A23,B$15),IF(AND(COUNT(A20:A31)=5,COUNT(F20:F31)=5),cubic_spline(F19:F24,A19:A24,B$15),IF(AND(COUNT(A20:A31)=6,COUNT(F20:F31)=6),cubic_spline(F19:F25,A19:A25,B$15),IF(AND(COUNT(A20:A31)=7,COUNT(F20:F31)=7),cubic_spline(F19:F26,A19:A26,B$15),IF(AND(COUNT(A20:A31)=8,COUNT(F20:F31)=8),cubic_spline(F19:F27,A19:A27,B$15),IF(AND(COUNT(A20:A31)=9,COUNT(F20:F31)=9),cubic_spline(F19:F28,A19:A28,B$15),IF(AND(COUNT(A20:A31)=10,COUNT(F20:F31)=10),cubic_spline(F19:F29,A19:A29,B$15),IF(AND(COUNT(A20:A31)=11,COUNT(F20:F31)=11),cubic_spline(F19:F30,A19:A30,B$15),IF(AND(COUNT(A20:A31)=12,COUNT(F20:F31)=12),cubic_spline(F19:F31,A19:A31,B$15),""))))))))))))</f>
        <v/>
      </c>
      <c r="L31" s="27" t="str">
        <f>IF(I31="","",B$14&amp;"-"&amp;B$15)</f>
        <v/>
      </c>
      <c r="M31" s="52" t="str">
        <f t="shared" si="5"/>
        <v/>
      </c>
      <c r="O31"/>
    </row>
    <row r="32" spans="1:15" ht="5.15" customHeight="1" x14ac:dyDescent="0.35">
      <c r="A32" s="47"/>
      <c r="B32" s="47"/>
      <c r="C32" s="47"/>
      <c r="D32" s="53"/>
      <c r="E32" s="54"/>
      <c r="F32" s="55"/>
      <c r="G32" s="72"/>
      <c r="H32" s="73"/>
      <c r="I32" s="47"/>
      <c r="J32" s="57"/>
      <c r="K32" s="57"/>
      <c r="L32" s="55"/>
      <c r="M32" s="57"/>
      <c r="O32"/>
    </row>
    <row r="33" spans="1:13" x14ac:dyDescent="0.35">
      <c r="A33" s="48">
        <v>8</v>
      </c>
      <c r="B33" s="48" t="s">
        <v>38</v>
      </c>
      <c r="C33" s="49">
        <v>122.7</v>
      </c>
      <c r="D33" s="50">
        <v>28.767305307170229</v>
      </c>
      <c r="E33" s="51">
        <f>IF(N(C33)=0,"",C33/PI()/($D$1/2)^2/$D$2*10000)</f>
        <v>844.92424088158191</v>
      </c>
      <c r="F33" s="68">
        <f t="shared" ref="F33:F44" si="6">IF(N(E33)=0,"",(N(E33)+N(F32)))</f>
        <v>844.92424088158191</v>
      </c>
      <c r="G33" s="69">
        <f>IF(OR(N(D33)=0,N(E33)=0),"",(E33*D33)/1000)</f>
        <v>24.306193598869509</v>
      </c>
      <c r="H33" s="70">
        <f t="shared" ref="H33:H44" si="7">IF(N(G33)=0,"",(N(G33)+N(H32)))</f>
        <v>24.306193598869509</v>
      </c>
      <c r="I33" s="27" t="str">
        <f>IF(N(J33)=0,"",0&amp;"-"&amp;B$4)</f>
        <v>0-1000</v>
      </c>
      <c r="J33" s="52">
        <f>IF(N(B$4)=0,"",IF(AND(COUNT(H33:H44)=2,COUNT(F33:F44)=2),cubic_spline(F32:F34,H32:H34,B$4),IF(AND(COUNT(H33:H44)=3,COUNT(F33:F44)=3),cubic_spline(F32:F35,H32:H35,B$4),IF(AND(COUNT(H33:H44)=4,COUNT(F33:F44)=4),cubic_spline(F32:F36,H32:H36,B$4),IF(AND(COUNT(H33:H44)=5,COUNT(F33:F44)=5),cubic_spline(F32:F37,H32:H37,B$4),IF(AND(COUNT(H33:H44)=6,COUNT(F33:F44)=6),cubic_spline(F32:F38,H32:H38,B$4),IF(AND(COUNT(H33:H44)=7,COUNT(F33:F44)=7),cubic_spline(F32:F39,H32:H39,B$4),IF(AND(COUNT(H33:H44)=8,COUNT(F33:F44)=8),cubic_spline(F32:F40,H32:H40,B$4),IF(AND(COUNT(H33:H44)=9,COUNT(F33:F44)=9),cubic_spline(F32:F41,H32:H41,B$4),IF(AND(COUNT(H33:H44)=10,COUNT(F33:F44)=10),cubic_spline(F32:F42,H32:H42,B$4),IF(AND(COUNT(H33:H44)=11,COUNT(F33:F44)=11),cubic_spline(F32:F43,H32:H43,B$4),IF(AND(COUNT(H33:H44)=12,COUNT(F33:F44)=12),cubic_spline(F32:F44,H32:H44,B$4),""))))))))))))</f>
        <v>27.103512447513719</v>
      </c>
      <c r="K33" s="52">
        <f>IF(N(B$4)=0,"",IF(AND(COUNT(A33:A44)=2,COUNT(F33:F44)=2),cubic_spline(F32:F34,A32:A34,B$4),IF(AND(COUNT(A33:A44)=3,COUNT(F33:F44)=3),cubic_spline(F32:F35,A32:A35,B$4),IF(AND(COUNT(A33:A44)=4,COUNT(F33:F44)=4),cubic_spline(F32:F36,A32:A36,B$4),IF(AND(COUNT(A33:A44)=5,COUNT(F33:F44)=5),cubic_spline(F32:F37,A32:A37,B$4),IF(AND(COUNT(A33:A44)=6,COUNT(F33:F44)=6),cubic_spline(F32:F38,A32:A38,B$4),IF(AND(COUNT(A33:A44)=7,COUNT(F33:F44)=7),cubic_spline(F32:F39,A32:A39,B$4),IF(AND(COUNT(A33:A44)=8,COUNT(F33:F44)=8),cubic_spline(F32:F40,A32:A40,B$4),IF(AND(COUNT(A33:A44)=9,COUNT(F33:F44)=9),cubic_spline(F32:F41,A32:A41,B$4),IF(AND(COUNT(A33:A44)=10,COUNT(F33:F44)=10),cubic_spline(F32:F42,A32:A42,B$4),IF(AND(COUNT(A33:A44)=11,COUNT(F33:F44)=11),cubic_spline(F32:F43,A32:A43,B$4),IF(AND(COUNT(A33:A44)=12,COUNT(F33:F44)=12),cubic_spline(F32:F44,A32:A44,B$4),""))))))))))))</f>
        <v>9.3386713727902517</v>
      </c>
      <c r="L33" s="27" t="str">
        <f>IF(I33="","",0&amp;"-"&amp;B$4)</f>
        <v>0-1000</v>
      </c>
      <c r="M33" s="52">
        <f>IF(N(J33)=0,"",J33-J32)</f>
        <v>27.103512447513719</v>
      </c>
    </row>
    <row r="34" spans="1:13" x14ac:dyDescent="0.35">
      <c r="A34" s="48">
        <v>16</v>
      </c>
      <c r="B34" s="48" t="s">
        <v>38</v>
      </c>
      <c r="C34" s="49">
        <v>144.30000000000001</v>
      </c>
      <c r="D34" s="50">
        <v>10.647029879769182</v>
      </c>
      <c r="E34" s="51">
        <f>IF(N(C34)=0,"",C34/PI()/($D$1/2)^2/$D$2*10000)</f>
        <v>993.66396054777715</v>
      </c>
      <c r="F34" s="68">
        <f t="shared" si="6"/>
        <v>1838.5882014293591</v>
      </c>
      <c r="G34" s="69">
        <f t="shared" ref="G34:G44" si="8">IF(OR(N(D34)=0,N(E34)=0),"",(E34*D34)/1000)</f>
        <v>10.579569878401969</v>
      </c>
      <c r="H34" s="70">
        <f t="shared" si="7"/>
        <v>34.885763477271482</v>
      </c>
      <c r="I34" s="27" t="str">
        <f>IF(N(J34)=0,"",0&amp;"-"&amp;B$5)</f>
        <v>0-2000</v>
      </c>
      <c r="J34" s="52">
        <f>IF(N(B$5)=0,"",IF(AND(COUNT(H33:H44)=2,COUNT(F33:F44)=2),cubic_spline(F32:F34,H32:H34,B$5),IF(AND(COUNT(H33:H44)=3,COUNT(F33:F44)=3),cubic_spline(F32:F35,H32:H35,B$5),IF(AND(COUNT(H33:H44)=4,COUNT(F33:F44)=4),cubic_spline(F32:F36,H32:H36,B$5),IF(AND(COUNT(H33:H44)=5,COUNT(F33:F44)=5),cubic_spline(F32:F37,H32:H37,B$5),IF(AND(COUNT(H33:H44)=6,COUNT(F33:F44)=6),cubic_spline(F32:F38,H32:H38,B$5),IF(AND(COUNT(H33:H44)=7,COUNT(F33:F44)=7),cubic_spline(F32:F39,H32:H39,B$5),IF(AND(COUNT(H33:H44)=8,COUNT(F33:F44)=8),cubic_spline(F32:F40,H32:H40,B$5),IF(AND(COUNT(H33:H44)=9,COUNT(F33:F44)=9),cubic_spline(F32:F41,H32:H41,B$5),IF(AND(COUNT(H33:H44)=10,COUNT(F33:F44)=10),cubic_spline(F32:F42,H32:H42,B$5),IF(AND(COUNT(H33:H44)=11,COUNT(F33:F44)=11),cubic_spline(F32:F43,H32:H43,B$5),IF(AND(COUNT(H33:H44)=12,COUNT(F33:F44)=12),cubic_spline(F32:F44,H32:H44,B$5),""))))))))))))</f>
        <v>35.959926588516545</v>
      </c>
      <c r="K34" s="52">
        <f>IF(N(B$5)=0,"",IF(AND(COUNT(A33:A44)=2,COUNT(F33:F44)=2),cubic_spline(F32:F34,A32:A34,B$5),IF(AND(COUNT(A33:A44)=3,COUNT(F33:F44)=3),cubic_spline(F32:F35,A32:A35,B$5),IF(AND(COUNT(A33:A44)=4,COUNT(F33:F44)=4),cubic_spline(F32:F36,A32:A36,B$5),IF(AND(COUNT(A33:A44)=5,COUNT(F33:F44)=5),cubic_spline(F32:F37,A32:A37,B$5),IF(AND(COUNT(A33:A44)=6,COUNT(F33:F44)=6),cubic_spline(F32:F38,A32:A38,B$5),IF(AND(COUNT(A33:A44)=7,COUNT(F33:F44)=7),cubic_spline(F32:F39,A32:A39,B$5),IF(AND(COUNT(A33:A44)=8,COUNT(F33:F44)=8),cubic_spline(F32:F40,A32:A40,B$5),IF(AND(COUNT(A33:A44)=9,COUNT(F33:F44)=9),cubic_spline(F32:F41,A32:A41,B$5),IF(AND(COUNT(A33:A44)=10,COUNT(F33:F44)=10),cubic_spline(F32:F42,A32:A42,B$5),IF(AND(COUNT(A33:A44)=11,COUNT(F33:F44)=11),cubic_spline(F32:F43,A32:A43,B$5),IF(AND(COUNT(A33:A44)=12,COUNT(F33:F44)=12),cubic_spline(F32:F44,A32:A44,B$5),""))))))))))))</f>
        <v>17.246989471464413</v>
      </c>
      <c r="L34" s="27" t="str">
        <f>IF(I34="","",B$4&amp;"-"&amp;B$5)</f>
        <v>1000-2000</v>
      </c>
      <c r="M34" s="52">
        <f>IF(N(J34)=0,"",J34-J33)</f>
        <v>8.8564141410028263</v>
      </c>
    </row>
    <row r="35" spans="1:13" x14ac:dyDescent="0.35">
      <c r="A35" s="48">
        <v>32</v>
      </c>
      <c r="B35" s="48" t="s">
        <v>38</v>
      </c>
      <c r="C35" s="49">
        <v>300.8</v>
      </c>
      <c r="D35" s="50">
        <v>7.7020356474910514</v>
      </c>
      <c r="E35" s="51">
        <f>IF(N(C35)=0,"",C35/PI()/($D$1/2)^2/$D$2*10000)</f>
        <v>2071.3383183144238</v>
      </c>
      <c r="F35" s="68">
        <f t="shared" si="6"/>
        <v>3909.9265197437826</v>
      </c>
      <c r="G35" s="69">
        <f t="shared" si="8"/>
        <v>15.95352156567186</v>
      </c>
      <c r="H35" s="70">
        <f t="shared" si="7"/>
        <v>50.839285042943345</v>
      </c>
      <c r="I35" s="27" t="str">
        <f>IF(N(J35)=0,"",0&amp;"-"&amp;B$6)</f>
        <v>0-3000</v>
      </c>
      <c r="J35" s="52">
        <f>IF(N(B$6)=0,"",IF(AND(COUNT(H33:H44)=2,COUNT(F33:F44)=2),cubic_spline(F32:F34,H32:H34,B$6),IF(AND(COUNT(H33:H44)=3,COUNT(F33:F44)=3),cubic_spline(F32:F35,H32:H35,B$6),IF(AND(COUNT(H33:H44)=4,COUNT(F33:F44)=4),cubic_spline(F32:F36,H32:H36,B$6),IF(AND(COUNT(H33:H44)=5,COUNT(F33:F44)=5),cubic_spline(F32:F37,H32:H37,B$6),IF(AND(COUNT(H33:H44)=6,COUNT(F33:F44)=6),cubic_spline(F32:F38,H32:H38,B$6),IF(AND(COUNT(H33:H44)=7,COUNT(F33:F44)=7),cubic_spline(F32:F39,H32:H39,B$6),IF(AND(COUNT(H33:H44)=8,COUNT(F33:F44)=8),cubic_spline(F32:F40,H32:H40,B$6),IF(AND(COUNT(H33:H44)=9,COUNT(F33:F44)=9),cubic_spline(F32:F41,H32:H41,B$6),IF(AND(COUNT(H33:H44)=10,COUNT(F33:F44)=10),cubic_spline(F32:F42,H32:H42,B$6),IF(AND(COUNT(H33:H44)=11,COUNT(F33:F44)=11),cubic_spline(F32:F43,H32:H43,B$6),IF(AND(COUNT(H33:H44)=12,COUNT(F33:F44)=12),cubic_spline(F32:F44,H32:H44,B$6),""))))))))))))</f>
        <v>43.580115017506934</v>
      </c>
      <c r="K35" s="52">
        <f>IF(N(B$6)=0,"",IF(AND(COUNT(A33:A44)=2,COUNT(F33:F44)=2),cubic_spline(F32:F34,A32:A34,B$6),IF(AND(COUNT(A33:A44)=3,COUNT(F33:F44)=3),cubic_spline(F32:F35,A32:A35,B$6),IF(AND(COUNT(A33:A44)=4,COUNT(F33:F44)=4),cubic_spline(F32:F36,A32:A36,B$6),IF(AND(COUNT(A33:A44)=5,COUNT(F33:F44)=5),cubic_spline(F32:F37,A32:A37,B$6),IF(AND(COUNT(A33:A44)=6,COUNT(F33:F44)=6),cubic_spline(F32:F38,A32:A38,B$6),IF(AND(COUNT(A33:A44)=7,COUNT(F33:F44)=7),cubic_spline(F32:F39,A32:A39,B$6),IF(AND(COUNT(A33:A44)=8,COUNT(F33:F44)=8),cubic_spline(F32:F40,A32:A40,B$6),IF(AND(COUNT(A33:A44)=9,COUNT(F33:F44)=9),cubic_spline(F32:F41,A32:A41,B$6),IF(AND(COUNT(A33:A44)=10,COUNT(F33:F44)=10),cubic_spline(F32:F42,A32:A42,B$6),IF(AND(COUNT(A33:A44)=11,COUNT(F33:F44)=11),cubic_spline(F32:F43,A32:A43,B$6),IF(AND(COUNT(A33:A44)=12,COUNT(F33:F44)=12),cubic_spline(F32:F44,A32:A44,B$6),""))))))))))))</f>
        <v>25.009797129360884</v>
      </c>
      <c r="L35" s="27" t="str">
        <f>IF(I35="","",B$5&amp;"-"&amp;B$6)</f>
        <v>2000-3000</v>
      </c>
      <c r="M35" s="52">
        <f>IF(N(J35)=0,"",J35-J34)</f>
        <v>7.6201884289903887</v>
      </c>
    </row>
    <row r="36" spans="1:13" x14ac:dyDescent="0.35">
      <c r="A36" s="48">
        <v>48</v>
      </c>
      <c r="B36" s="48" t="s">
        <v>38</v>
      </c>
      <c r="C36" s="49">
        <v>315.10000000000002</v>
      </c>
      <c r="D36" s="50">
        <v>6.6103840588666625</v>
      </c>
      <c r="E36" s="51">
        <f>IF(N(C36)=0,"",C36/PI()/($D$1/2)^2/$D$2*10000)</f>
        <v>2169.8095216119514</v>
      </c>
      <c r="F36" s="68">
        <f t="shared" si="6"/>
        <v>6079.7360413557344</v>
      </c>
      <c r="G36" s="69">
        <f t="shared" si="8"/>
        <v>14.343274272440741</v>
      </c>
      <c r="H36" s="70">
        <f t="shared" si="7"/>
        <v>65.182559315384083</v>
      </c>
      <c r="I36" s="27" t="str">
        <f>IF(N(J36)=0,"",0&amp;"-"&amp;B$7)</f>
        <v>0-4000</v>
      </c>
      <c r="J36" s="52">
        <f>IF(N(B$7)=0,"",IF(AND(COUNT(H33:H44)=2,COUNT(F33:F44)=2),cubic_spline(F32:F34,H32:H34,B$7),IF(AND(COUNT(H33:H44)=3,COUNT(F33:F44)=3),cubic_spline(F32:F35,H32:H35,B$7),IF(AND(COUNT(H33:H44)=4,COUNT(F33:F44)=4),cubic_spline(F32:F36,H32:H36,B$7),IF(AND(COUNT(H33:H44)=5,COUNT(F33:F44)=5),cubic_spline(F32:F37,H32:H37,B$7),IF(AND(COUNT(H33:H44)=6,COUNT(F33:F44)=6),cubic_spline(F32:F38,H32:H38,B$7),IF(AND(COUNT(H33:H44)=7,COUNT(F33:F44)=7),cubic_spline(F32:F39,H32:H39,B$7),IF(AND(COUNT(H33:H44)=8,COUNT(F33:F44)=8),cubic_spline(F32:F40,H32:H40,B$7),IF(AND(COUNT(H33:H44)=9,COUNT(F33:F44)=9),cubic_spline(F32:F41,H32:H41,B$7),IF(AND(COUNT(H33:H44)=10,COUNT(F33:F44)=10),cubic_spline(F32:F42,H32:H42,B$7),IF(AND(COUNT(H33:H44)=11,COUNT(F33:F44)=11),cubic_spline(F32:F43,H32:H43,B$7),IF(AND(COUNT(H33:H44)=12,COUNT(F33:F44)=12),cubic_spline(F32:F44,H32:H44,B$7),""))))))))))))</f>
        <v>51.519027426322566</v>
      </c>
      <c r="K36" s="52">
        <f>IF(N(B$7)=0,"",IF(AND(COUNT(A33:A44)=2,COUNT(F33:F44)=2),cubic_spline(F32:F34,A32:A34,B$7),IF(AND(COUNT(A33:A44)=3,COUNT(F33:F44)=3),cubic_spline(F32:F35,A32:A35,B$7),IF(AND(COUNT(A33:A44)=4,COUNT(F33:F44)=4),cubic_spline(F32:F36,A32:A36,B$7),IF(AND(COUNT(A33:A44)=5,COUNT(F33:F44)=5),cubic_spline(F32:F37,A32:A37,B$7),IF(AND(COUNT(A33:A44)=6,COUNT(F33:F44)=6),cubic_spline(F32:F38,A32:A38,B$7),IF(AND(COUNT(A33:A44)=7,COUNT(F33:F44)=7),cubic_spline(F32:F39,A32:A39,B$7),IF(AND(COUNT(A33:A44)=8,COUNT(F33:F44)=8),cubic_spline(F32:F40,A32:A40,B$7),IF(AND(COUNT(A33:A44)=9,COUNT(F33:F44)=9),cubic_spline(F32:F41,A32:A41,B$7),IF(AND(COUNT(A33:A44)=10,COUNT(F33:F44)=10),cubic_spline(F32:F42,A32:A42,B$7),IF(AND(COUNT(A33:A44)=11,COUNT(F33:F44)=11),cubic_spline(F32:F43,A32:A43,B$7),IF(AND(COUNT(A33:A44)=12,COUNT(F33:F44)=12),cubic_spline(F32:F44,A32:A44,B$7),""))))))))))))</f>
        <v>32.681732638959978</v>
      </c>
      <c r="L36" s="27" t="str">
        <f>IF(I36="","",B$6&amp;"-"&amp;B$7)</f>
        <v>3000-4000</v>
      </c>
      <c r="M36" s="52">
        <f>IF(N(J36)=0,"",J36-J35)</f>
        <v>7.9389124088156322</v>
      </c>
    </row>
    <row r="37" spans="1:13" x14ac:dyDescent="0.35">
      <c r="A37" s="48"/>
      <c r="B37" s="48"/>
      <c r="C37" s="49"/>
      <c r="D37" s="50"/>
      <c r="E37" s="51" t="str">
        <f t="shared" ref="E37:E44" si="9">IF(N(C37)=0,"",C37/PI()/($D$1/2)^2/$D$2*10000)</f>
        <v/>
      </c>
      <c r="F37" s="71" t="str">
        <f t="shared" si="6"/>
        <v/>
      </c>
      <c r="G37" s="69" t="str">
        <f t="shared" si="8"/>
        <v/>
      </c>
      <c r="H37" s="70" t="str">
        <f t="shared" si="7"/>
        <v/>
      </c>
      <c r="I37" s="27" t="str">
        <f>IF(N(J37)=0,"",0&amp;"-"&amp;B$8)</f>
        <v>0-5000</v>
      </c>
      <c r="J37" s="52">
        <f>IF(N(B$8)=0,"",IF(AND(COUNT(H33:H44)=2,COUNT(F33:F44)=2),cubic_spline(F32:F34,H32:H34,B$8),IF(AND(COUNT(H33:H44)=3,COUNT(F33:F44)=3),cubic_spline(F32:F35,H32:H35,B$8),IF(AND(COUNT(H33:H44)=4,COUNT(F33:F44)=4),cubic_spline(F32:F36,H32:H36,B$8),IF(AND(COUNT(H33:H44)=5,COUNT(F33:F44)=5),cubic_spline(F32:F37,H32:H37,B$8),IF(AND(COUNT(H33:H44)=6,COUNT(F33:F44)=6),cubic_spline(F32:F38,H32:H38,B$8),IF(AND(COUNT(H33:H44)=7,COUNT(F33:F44)=7),cubic_spline(F32:F39,H32:H39,B$8),IF(AND(COUNT(H33:H44)=8,COUNT(F33:F44)=8),cubic_spline(F32:F40,H32:H40,B$8),IF(AND(COUNT(H33:H44)=9,COUNT(F33:F44)=9),cubic_spline(F32:F41,H32:H41,B$8),IF(AND(COUNT(H33:H44)=10,COUNT(F33:F44)=10),cubic_spline(F32:F42,H32:H42,B$8),IF(AND(COUNT(H33:H44)=11,COUNT(F33:F44)=11),cubic_spline(F32:F43,H32:H43,B$8),IF(AND(COUNT(H33:H44)=12,COUNT(F33:F44)=12),cubic_spline(F32:F44,H32:H44,B$8),""))))))))))))</f>
        <v>58.45021537805534</v>
      </c>
      <c r="K37" s="52">
        <f>IF(N(B$8)=0,"",IF(AND(COUNT(A33:A44)=2,COUNT(F33:F44)=2),cubic_spline(F32:F34,A32:A34,B$8),IF(AND(COUNT(A33:A44)=3,COUNT(F33:F44)=3),cubic_spline(F32:F35,A32:A35,B$8),IF(AND(COUNT(A33:A44)=4,COUNT(F33:F44)=4),cubic_spline(F32:F36,A32:A36,B$8),IF(AND(COUNT(A33:A44)=5,COUNT(F33:F44)=5),cubic_spline(F32:F37,A32:A37,B$8),IF(AND(COUNT(A33:A44)=6,COUNT(F33:F44)=6),cubic_spline(F32:F38,A32:A38,B$8),IF(AND(COUNT(A33:A44)=7,COUNT(F33:F44)=7),cubic_spline(F32:F39,A32:A39,B$8),IF(AND(COUNT(A33:A44)=8,COUNT(F33:F44)=8),cubic_spline(F32:F40,A32:A40,B$8),IF(AND(COUNT(A33:A44)=9,COUNT(F33:F44)=9),cubic_spline(F32:F41,A32:A41,B$8),IF(AND(COUNT(A33:A44)=10,COUNT(F33:F44)=10),cubic_spline(F32:F42,A32:A42,B$8),IF(AND(COUNT(A33:A44)=11,COUNT(F33:F44)=11),cubic_spline(F32:F43,A32:A43,B$8),IF(AND(COUNT(A33:A44)=12,COUNT(F33:F44)=12),cubic_spline(F32:F44,A32:A44,B$8),""))))))))))))</f>
        <v>40.122379316920913</v>
      </c>
      <c r="L37" s="27" t="str">
        <f>IF(I37="","",B$7&amp;"-"&amp;B$8)</f>
        <v>4000-5000</v>
      </c>
      <c r="M37" s="52">
        <f>IF(N(J37)=0,"",J37-J36)</f>
        <v>6.9311879517327739</v>
      </c>
    </row>
    <row r="38" spans="1:13" x14ac:dyDescent="0.35">
      <c r="A38" s="48"/>
      <c r="B38" s="48"/>
      <c r="C38" s="49"/>
      <c r="D38" s="50"/>
      <c r="E38" s="51" t="str">
        <f t="shared" si="9"/>
        <v/>
      </c>
      <c r="F38" s="71" t="str">
        <f t="shared" si="6"/>
        <v/>
      </c>
      <c r="G38" s="69" t="str">
        <f t="shared" si="8"/>
        <v/>
      </c>
      <c r="H38" s="70" t="str">
        <f t="shared" si="7"/>
        <v/>
      </c>
      <c r="I38" s="27" t="str">
        <f>IF(N(J38)=0,"",0&amp;"-"&amp;B$9)</f>
        <v>0-6000</v>
      </c>
      <c r="J38" s="52">
        <f>IF(N(B$9)=0,"",IF(AND(COUNT(H33:H44)=2,COUNT(F33:F44)=2),cubic_spline(F32:F34,H32:H34,B$9),IF(AND(COUNT(H33:H44)=3,COUNT(F33:F44)=3),cubic_spline(F32:F35,H32:H35,B$9),IF(AND(COUNT(H33:H44)=4,COUNT(F33:F44)=4),cubic_spline(F32:F36,H32:H36,B$9),IF(AND(COUNT(H33:H44)=5,COUNT(F33:F44)=5),cubic_spline(F32:F37,H32:H37,B$9),IF(AND(COUNT(H33:H44)=6,COUNT(F33:F44)=6),cubic_spline(F32:F38,H32:H38,B$9),IF(AND(COUNT(H33:H44)=7,COUNT(F33:F44)=7),cubic_spline(F32:F39,H32:H39,B$9),IF(AND(COUNT(H33:H44)=8,COUNT(F33:F44)=8),cubic_spline(F32:F40,H32:H40,B$9),IF(AND(COUNT(H33:H44)=9,COUNT(F33:F44)=9),cubic_spline(F32:F41,H32:H41,B$9),IF(AND(COUNT(H33:H44)=10,COUNT(F33:F44)=10),cubic_spline(F32:F42,H32:H42,B$9),IF(AND(COUNT(H33:H44)=11,COUNT(F33:F44)=11),cubic_spline(F32:F43,H32:H43,B$9),IF(AND(COUNT(H33:H44)=12,COUNT(F33:F44)=12),cubic_spline(F32:F44,H32:H44,B$9),""))))))))))))</f>
        <v>64.695182127959939</v>
      </c>
      <c r="K38" s="52">
        <f>IF(N(B$9)=0,"",IF(AND(COUNT(A33:A44)=2,COUNT(F33:F44)=2),cubic_spline(F32:F34,A32:A34,B$9),IF(AND(COUNT(A33:A44)=3,COUNT(F33:F44)=3),cubic_spline(F32:F35,A32:A35,B$9),IF(AND(COUNT(A33:A44)=4,COUNT(F33:F44)=4),cubic_spline(F32:F36,A32:A36,B$9),IF(AND(COUNT(A33:A44)=5,COUNT(F33:F44)=5),cubic_spline(F32:F37,A32:A37,B$9),IF(AND(COUNT(A33:A44)=6,COUNT(F33:F44)=6),cubic_spline(F32:F38,A32:A38,B$9),IF(AND(COUNT(A33:A44)=7,COUNT(F33:F44)=7),cubic_spline(F32:F39,A32:A39,B$9),IF(AND(COUNT(A33:A44)=8,COUNT(F33:F44)=8),cubic_spline(F32:F40,A32:A40,B$9),IF(AND(COUNT(A33:A44)=9,COUNT(F33:F44)=9),cubic_spline(F32:F41,A32:A41,B$9),IF(AND(COUNT(A33:A44)=10,COUNT(F33:F44)=10),cubic_spline(F32:F42,A32:A42,B$9),IF(AND(COUNT(A33:A44)=11,COUNT(F33:F44)=11),cubic_spline(F32:F43,A32:A43,B$9),IF(AND(COUNT(A33:A44)=12,COUNT(F33:F44)=12),cubic_spline(F32:F44,A32:A44,B$9),""))))))))))))</f>
        <v>47.42029390081624</v>
      </c>
      <c r="L38" s="27" t="str">
        <f>IF(I38="","",B$8&amp;"-"&amp;B$9)</f>
        <v>5000-6000</v>
      </c>
      <c r="M38" s="52">
        <f t="shared" ref="M38:M44" si="10">IF(N(J38)=0,"",J38-J37)</f>
        <v>6.2449667499045987</v>
      </c>
    </row>
    <row r="39" spans="1:13" x14ac:dyDescent="0.35">
      <c r="A39" s="48"/>
      <c r="B39" s="48"/>
      <c r="C39" s="49"/>
      <c r="D39" s="50"/>
      <c r="E39" s="51" t="str">
        <f t="shared" si="9"/>
        <v/>
      </c>
      <c r="F39" s="71" t="str">
        <f t="shared" si="6"/>
        <v/>
      </c>
      <c r="G39" s="69" t="str">
        <f t="shared" si="8"/>
        <v/>
      </c>
      <c r="H39" s="70" t="str">
        <f t="shared" si="7"/>
        <v/>
      </c>
      <c r="I39" s="27" t="str">
        <f>IF(N(J39)=0,"",0&amp;"-"&amp;B$10)</f>
        <v/>
      </c>
      <c r="J39" s="52" t="str">
        <f>IF(N(B$10)=0,"",IF(AND(COUNT(H33:H44)=2,COUNT(F33:F44)=2),cubic_spline(F32:F34,H32:H34,B$10),IF(AND(COUNT(H33:H44)=3,COUNT(F33:F44)=3),cubic_spline(F32:F35,H32:H35,B$10),IF(AND(COUNT(H33:H44)=4,COUNT(F33:F44)=4),cubic_spline(F32:F36,H32:H36,B$10),IF(AND(COUNT(H33:H44)=5,COUNT(F33:F44)=5),cubic_spline(F32:F37,H32:H37,B$10),IF(AND(COUNT(H33:H44)=6,COUNT(F33:F44)=6),cubic_spline(F32:F38,H32:H38,B$10),IF(AND(COUNT(H33:H44)=7,COUNT(F33:F44)=7),cubic_spline(F32:F39,H32:H39,B$10),IF(AND(COUNT(H33:H44)=8,COUNT(F33:F44)=8),cubic_spline(F32:F40,H32:H40,B$10),IF(AND(COUNT(H33:H44)=9,COUNT(F33:F44)=9),cubic_spline(F32:F41,H32:H41,B$10),IF(AND(COUNT(H33:H44)=10,COUNT(F33:F44)=10),cubic_spline(F32:F42,H32:H42,B$10),IF(AND(COUNT(H33:H44)=11,COUNT(F33:F44)=11),cubic_spline(F32:F43,H32:H43,B$10),IF(AND(COUNT(H33:H44)=12,COUNT(F33:F44)=12),cubic_spline(F32:F44,H32:H44,B$10),""))))))))))))</f>
        <v/>
      </c>
      <c r="K39" s="52" t="str">
        <f>IF(N(B$10)=0,"",IF(AND(COUNT(A33:A44)=2,COUNT(F33:F44)=2),cubic_spline(F32:F34,A32:A34,B$10),IF(AND(COUNT(A33:A44)=3,COUNT(F33:F44)=3),cubic_spline(F32:F35,A32:A35,B$10),IF(AND(COUNT(A33:A44)=4,COUNT(F33:F44)=4),cubic_spline(F32:F36,A32:A36,B$10),IF(AND(COUNT(A33:A44)=5,COUNT(F33:F44)=5),cubic_spline(F32:F37,A32:A37,B$10),IF(AND(COUNT(A33:A44)=6,COUNT(F33:F44)=6),cubic_spline(F32:F38,A32:A38,B$10),IF(AND(COUNT(A33:A44)=7,COUNT(F33:F44)=7),cubic_spline(F32:F39,A32:A39,B$10),IF(AND(COUNT(A33:A44)=8,COUNT(F33:F44)=8),cubic_spline(F32:F40,A32:A40,B$10),IF(AND(COUNT(A33:A44)=9,COUNT(F33:F44)=9),cubic_spline(F32:F41,A32:A41,B$10),IF(AND(COUNT(A33:A44)=10,COUNT(F33:F44)=10),cubic_spline(F32:F42,A32:A42,B$10),IF(AND(COUNT(A33:A44)=11,COUNT(F33:F44)=11),cubic_spline(F32:F43,A32:A43,B$10),IF(AND(COUNT(A33:A44)=12,COUNT(F33:F44)=12),cubic_spline(F32:F44,A32:A44,B$10),""))))))))))))</f>
        <v/>
      </c>
      <c r="L39" s="27" t="str">
        <f>IF(I39="","",B$9&amp;"-"&amp;B$10)</f>
        <v/>
      </c>
      <c r="M39" s="52" t="str">
        <f t="shared" si="10"/>
        <v/>
      </c>
    </row>
    <row r="40" spans="1:13" x14ac:dyDescent="0.35">
      <c r="A40" s="48"/>
      <c r="B40" s="48"/>
      <c r="C40" s="49"/>
      <c r="D40" s="50"/>
      <c r="E40" s="51" t="str">
        <f t="shared" si="9"/>
        <v/>
      </c>
      <c r="F40" s="71" t="str">
        <f t="shared" si="6"/>
        <v/>
      </c>
      <c r="G40" s="69" t="str">
        <f t="shared" si="8"/>
        <v/>
      </c>
      <c r="H40" s="70" t="str">
        <f t="shared" si="7"/>
        <v/>
      </c>
      <c r="I40" s="27" t="str">
        <f>IF(N(J40)=0,"",0&amp;"-"&amp;B$11)</f>
        <v/>
      </c>
      <c r="J40" s="52" t="str">
        <f>IF(N(B$11)=0,"",IF(AND(COUNT(H33:H44)=2,COUNT(F33:F44)=2),cubic_spline(F32:F34,H32:H34,B$11),IF(AND(COUNT(H33:H44)=3,COUNT(F33:F44)=3),cubic_spline(F32:F35,H32:H35,B$11),IF(AND(COUNT(H33:H44)=4,COUNT(F33:F44)=4),cubic_spline(F32:F36,H32:H36,B$11),IF(AND(COUNT(H33:H44)=5,COUNT(F33:F44)=5),cubic_spline(F32:F37,H32:H37,B$11),IF(AND(COUNT(H33:H44)=6,COUNT(F33:F44)=6),cubic_spline(F32:F38,H32:H38,B$11),IF(AND(COUNT(H33:H44)=7,COUNT(F33:F44)=7),cubic_spline(F32:F39,H32:H39,B$11),IF(AND(COUNT(H33:H44)=8,COUNT(F33:F44)=8),cubic_spline(F32:F40,H32:H40,B$11),IF(AND(COUNT(H33:H44)=9,COUNT(F33:F44)=9),cubic_spline(F32:F41,H32:H41,B$11),IF(AND(COUNT(H33:H44)=10,COUNT(F33:F44)=10),cubic_spline(F32:F42,H32:H42,B$11),IF(AND(COUNT(H33:H44)=11,COUNT(F33:F44)=11),cubic_spline(F32:F43,H32:H43,B$11),IF(AND(COUNT(H33:H44)=12,COUNT(F33:F44)=12),cubic_spline(F32:F44,H32:H44,B$11),""))))))))))))</f>
        <v/>
      </c>
      <c r="K40" s="52" t="str">
        <f>IF(N(B$11)=0,"",IF(AND(COUNT(A33:A44)=2,COUNT(F33:F44)=2),cubic_spline(F32:F34,A32:A34,B$11),IF(AND(COUNT(A33:A44)=3,COUNT(F33:F44)=3),cubic_spline(F32:F35,A32:A35,B$11),IF(AND(COUNT(A33:A44)=4,COUNT(F33:F44)=4),cubic_spline(F32:F36,A32:A36,B$11),IF(AND(COUNT(A33:A44)=5,COUNT(F33:F44)=5),cubic_spline(F32:F37,A32:A37,B$11),IF(AND(COUNT(A33:A44)=6,COUNT(F33:F44)=6),cubic_spline(F32:F38,A32:A38,B$11),IF(AND(COUNT(A33:A44)=7,COUNT(F33:F44)=7),cubic_spline(F32:F39,A32:A39,B$11),IF(AND(COUNT(A33:A44)=8,COUNT(F33:F44)=8),cubic_spline(F32:F40,A32:A40,B$11),IF(AND(COUNT(A33:A44)=9,COUNT(F33:F44)=9),cubic_spline(F32:F41,A32:A41,B$11),IF(AND(COUNT(A33:A44)=10,COUNT(F33:F44)=10),cubic_spline(F32:F42,A32:A42,B$11),IF(AND(COUNT(A33:A44)=11,COUNT(F33:F44)=11),cubic_spline(F32:F43,A32:A43,B$11),IF(AND(COUNT(A33:A44)=12,COUNT(F33:F44)=12),cubic_spline(F32:F44,A32:A44,B$11),""))))))))))))</f>
        <v/>
      </c>
      <c r="L40" s="27" t="str">
        <f>IF(I40="","",B$10&amp;"-"&amp;B$11)</f>
        <v/>
      </c>
      <c r="M40" s="52" t="str">
        <f t="shared" si="10"/>
        <v/>
      </c>
    </row>
    <row r="41" spans="1:13" x14ac:dyDescent="0.35">
      <c r="A41" s="48"/>
      <c r="B41" s="48"/>
      <c r="C41" s="49"/>
      <c r="D41" s="50"/>
      <c r="E41" s="51" t="str">
        <f t="shared" si="9"/>
        <v/>
      </c>
      <c r="F41" s="71" t="str">
        <f t="shared" si="6"/>
        <v/>
      </c>
      <c r="G41" s="69" t="str">
        <f t="shared" si="8"/>
        <v/>
      </c>
      <c r="H41" s="70" t="str">
        <f t="shared" si="7"/>
        <v/>
      </c>
      <c r="I41" s="27" t="str">
        <f>IF(N(J41)=0,"",0&amp;"-"&amp;B$12)</f>
        <v/>
      </c>
      <c r="J41" s="52" t="str">
        <f>IF(N(B$12)=0,"",IF(AND(COUNT(H33:H44)=2,COUNT(F33:F44)=2),cubic_spline(F32:F34,H32:H34,B$12),IF(AND(COUNT(H33:H44)=3,COUNT(F33:F44)=3),cubic_spline(F32:F35,H32:H35,B$12),IF(AND(COUNT(H33:H44)=4,COUNT(F33:F44)=4),cubic_spline(F32:F36,H32:H36,B$12),IF(AND(COUNT(H33:H44)=5,COUNT(F33:F44)=5),cubic_spline(F32:F37,H32:H37,B$12),IF(AND(COUNT(H33:H44)=6,COUNT(F33:F44)=6),cubic_spline(F32:F38,H32:H38,B$12),IF(AND(COUNT(H33:H44)=7,COUNT(F33:F44)=7),cubic_spline(F32:F39,H32:H39,B$12),IF(AND(COUNT(H33:H44)=8,COUNT(F33:F44)=8),cubic_spline(F32:F40,H32:H40,B$12),IF(AND(COUNT(H33:H44)=9,COUNT(F33:F44)=9),cubic_spline(F32:F41,H32:H41,B$12),IF(AND(COUNT(H33:H44)=10,COUNT(F33:F44)=10),cubic_spline(F32:F42,H32:H42,B$12),IF(AND(COUNT(H33:H44)=11,COUNT(F33:F44)=11),cubic_spline(F32:F43,H32:H43,B$12),IF(AND(COUNT(H33:H44)=12,COUNT(F33:F44)=12),cubic_spline(F32:F44,H32:H44,B$12),""))))))))))))</f>
        <v/>
      </c>
      <c r="K41" s="52" t="str">
        <f>IF(N(B$12)=0,"",IF(AND(COUNT(A33:A44)=2,COUNT(F33:F44)=2),cubic_spline(F32:F34,A32:A34,B$12),IF(AND(COUNT(A33:A44)=3,COUNT(F33:F44)=3),cubic_spline(F32:F35,A32:A35,B$12),IF(AND(COUNT(A33:A44)=4,COUNT(F33:F44)=4),cubic_spline(F32:F36,A32:A36,B$12),IF(AND(COUNT(A33:A44)=5,COUNT(F33:F44)=5),cubic_spline(F32:F37,A32:A37,B$12),IF(AND(COUNT(A33:A44)=6,COUNT(F33:F44)=6),cubic_spline(F32:F38,A32:A38,B$12),IF(AND(COUNT(A33:A44)=7,COUNT(F33:F44)=7),cubic_spline(F32:F39,A32:A39,B$12),IF(AND(COUNT(A33:A44)=8,COUNT(F33:F44)=8),cubic_spline(F32:F40,A32:A40,B$12),IF(AND(COUNT(A33:A44)=9,COUNT(F33:F44)=9),cubic_spline(F32:F41,A32:A41,B$12),IF(AND(COUNT(A33:A44)=10,COUNT(F33:F44)=10),cubic_spline(F32:F42,A32:A42,B$12),IF(AND(COUNT(A33:A44)=11,COUNT(F33:F44)=11),cubic_spline(F32:F43,A32:A43,B$12),IF(AND(COUNT(A33:A44)=12,COUNT(F33:F44)=12),cubic_spline(F32:F44,A32:A44,B$12),""))))))))))))</f>
        <v/>
      </c>
      <c r="L41" s="27" t="str">
        <f>IF(I41="","",B$11&amp;"-"&amp;B$12)</f>
        <v/>
      </c>
      <c r="M41" s="52" t="str">
        <f t="shared" si="10"/>
        <v/>
      </c>
    </row>
    <row r="42" spans="1:13" x14ac:dyDescent="0.35">
      <c r="A42" s="48"/>
      <c r="B42" s="48"/>
      <c r="C42" s="49"/>
      <c r="D42" s="50"/>
      <c r="E42" s="51" t="str">
        <f t="shared" si="9"/>
        <v/>
      </c>
      <c r="F42" s="71" t="str">
        <f t="shared" si="6"/>
        <v/>
      </c>
      <c r="G42" s="69" t="str">
        <f t="shared" si="8"/>
        <v/>
      </c>
      <c r="H42" s="70" t="str">
        <f t="shared" si="7"/>
        <v/>
      </c>
      <c r="I42" s="27" t="str">
        <f>IF(N(J42)=0,"",0&amp;"-"&amp;B$13)</f>
        <v/>
      </c>
      <c r="J42" s="52" t="str">
        <f>IF(N(B$13)=0,"",IF(AND(COUNT(H33:H44)=2,COUNT(F33:F44)=2),cubic_spline(F32:F34,H32:H34,B$13),IF(AND(COUNT(H33:H44)=3,COUNT(F33:F44)=3),cubic_spline(F32:F35,H32:H35,B$13),IF(AND(COUNT(H33:H44)=4,COUNT(F33:F44)=4),cubic_spline(F32:F36,H32:H36,B$13),IF(AND(COUNT(H33:H44)=5,COUNT(F33:F44)=5),cubic_spline(F32:F37,H32:H37,B$13),IF(AND(COUNT(H33:H44)=6,COUNT(F33:F44)=6),cubic_spline(F32:F38,H32:H38,B$13),IF(AND(COUNT(H33:H44)=7,COUNT(F33:F44)=7),cubic_spline(F32:F39,H32:H39,B$13),IF(AND(COUNT(H33:H44)=8,COUNT(F33:F44)=8),cubic_spline(F32:F40,H32:H40,B$13),IF(AND(COUNT(H33:H44)=9,COUNT(F33:F44)=9),cubic_spline(F32:F41,H32:H41,B$13),IF(AND(COUNT(H33:H44)=10,COUNT(F33:F44)=10),cubic_spline(F32:F42,H32:H42,B$13),IF(AND(COUNT(H33:H44)=11,COUNT(F33:F44)=11),cubic_spline(F32:F43,H32:H43,B$13),IF(AND(COUNT(H33:H44)=12,COUNT(F33:F44)=12),cubic_spline(F32:F44,H32:H44,B$13),""))))))))))))</f>
        <v/>
      </c>
      <c r="K42" s="52" t="str">
        <f>IF(N(B$13)=0,"",IF(AND(COUNT(A33:A44)=2,COUNT(F33:F44)=2),cubic_spline(F32:F34,A32:A34,B$13),IF(AND(COUNT(A33:A44)=3,COUNT(F33:F44)=3),cubic_spline(F32:F35,A32:A35,B$13),IF(AND(COUNT(A33:A44)=4,COUNT(F33:F44)=4),cubic_spline(F32:F36,A32:A36,B$13),IF(AND(COUNT(A33:A44)=5,COUNT(F33:F44)=5),cubic_spline(F32:F37,A32:A37,B$13),IF(AND(COUNT(A33:A44)=6,COUNT(F33:F44)=6),cubic_spline(F32:F38,A32:A38,B$13),IF(AND(COUNT(A33:A44)=7,COUNT(F33:F44)=7),cubic_spline(F32:F39,A32:A39,B$13),IF(AND(COUNT(A33:A44)=8,COUNT(F33:F44)=8),cubic_spline(F32:F40,A32:A40,B$13),IF(AND(COUNT(A33:A44)=9,COUNT(F33:F44)=9),cubic_spline(F32:F41,A32:A41,B$13),IF(AND(COUNT(A33:A44)=10,COUNT(F33:F44)=10),cubic_spline(F32:F42,A32:A42,B$13),IF(AND(COUNT(A33:A44)=11,COUNT(F33:F44)=11),cubic_spline(F32:F43,A32:A43,B$13),IF(AND(COUNT(A33:A44)=12,COUNT(F33:F44)=12),cubic_spline(F32:F44,A32:A44,B$13),""))))))))))))</f>
        <v/>
      </c>
      <c r="L42" s="27" t="str">
        <f>IF(I42="","",B$12&amp;"-"&amp;B$13)</f>
        <v/>
      </c>
      <c r="M42" s="52" t="str">
        <f t="shared" si="10"/>
        <v/>
      </c>
    </row>
    <row r="43" spans="1:13" x14ac:dyDescent="0.35">
      <c r="A43" s="48"/>
      <c r="B43" s="48"/>
      <c r="C43" s="49"/>
      <c r="D43" s="50"/>
      <c r="E43" s="51" t="str">
        <f t="shared" si="9"/>
        <v/>
      </c>
      <c r="F43" s="71" t="str">
        <f t="shared" si="6"/>
        <v/>
      </c>
      <c r="G43" s="69" t="str">
        <f t="shared" si="8"/>
        <v/>
      </c>
      <c r="H43" s="70" t="str">
        <f t="shared" si="7"/>
        <v/>
      </c>
      <c r="I43" s="27" t="str">
        <f>IF(N(J43)=0,"",0&amp;"-"&amp;B$14)</f>
        <v/>
      </c>
      <c r="J43" s="52" t="str">
        <f>IF(N(B$14)=0,"",IF(AND(COUNT(H33:H44)=2,COUNT(F33:F44)=2),cubic_spline(F32:F34,H32:H34,B$14),IF(AND(COUNT(H33:H44)=3,COUNT(F33:F44)=3),cubic_spline(F32:F35,H32:H35,B$14),IF(AND(COUNT(H33:H44)=4,COUNT(F33:F44)=4),cubic_spline(F32:F36,H32:H36,B$14),IF(AND(COUNT(H33:H44)=5,COUNT(F33:F44)=5),cubic_spline(F32:F37,H32:H37,B$14),IF(AND(COUNT(H33:H44)=6,COUNT(F33:F44)=6),cubic_spline(F32:F38,H32:H38,B$14),IF(AND(COUNT(H33:H44)=7,COUNT(F33:F44)=7),cubic_spline(F32:F39,H32:H39,B$14),IF(AND(COUNT(H33:H44)=8,COUNT(F33:F44)=8),cubic_spline(F32:F40,H32:H40,B$14),IF(AND(COUNT(H33:H44)=9,COUNT(F33:F44)=9),cubic_spline(F32:F41,H32:H41,B$14),IF(AND(COUNT(H33:H44)=10,COUNT(F33:F44)=10),cubic_spline(F32:F42,H32:H42,B$14),IF(AND(COUNT(H33:H44)=11,COUNT(F33:F44)=11),cubic_spline(F32:F43,H32:H43,B$14),IF(AND(COUNT(H33:H44)=12,COUNT(F33:F44)=12),cubic_spline(F32:F44,H32:H44,B$14),""))))))))))))</f>
        <v/>
      </c>
      <c r="K43" s="52" t="str">
        <f>IF(N(B$14)=0,"",IF(AND(COUNT(A33:A44)=2,COUNT(F33:F44)=2),cubic_spline(F32:F34,A32:A34,B$14),IF(AND(COUNT(A33:A44)=3,COUNT(F33:F44)=3),cubic_spline(F32:F35,A32:A35,B$14),IF(AND(COUNT(A33:A44)=4,COUNT(F33:F44)=4),cubic_spline(F32:F36,A32:A36,B$14),IF(AND(COUNT(A33:A44)=5,COUNT(F33:F44)=5),cubic_spline(F32:F37,A32:A37,B$14),IF(AND(COUNT(A33:A44)=6,COUNT(F33:F44)=6),cubic_spline(F32:F38,A32:A38,B$14),IF(AND(COUNT(A33:A44)=7,COUNT(F33:F44)=7),cubic_spline(F32:F39,A32:A39,B$14),IF(AND(COUNT(A33:A44)=8,COUNT(F33:F44)=8),cubic_spline(F32:F40,A32:A40,B$14),IF(AND(COUNT(A33:A44)=9,COUNT(F33:F44)=9),cubic_spline(F32:F41,A32:A41,B$14),IF(AND(COUNT(A33:A44)=10,COUNT(F33:F44)=10),cubic_spline(F32:F42,A32:A42,B$14),IF(AND(COUNT(A33:A44)=11,COUNT(F33:F44)=11),cubic_spline(F32:F43,A32:A43,B$14),IF(AND(COUNT(A33:A44)=12,COUNT(F33:F44)=12),cubic_spline(F32:F44,A32:A44,B$14),""))))))))))))</f>
        <v/>
      </c>
      <c r="L43" s="27" t="str">
        <f>IF(I43="","",B$13&amp;"-"&amp;B$14)</f>
        <v/>
      </c>
      <c r="M43" s="52" t="str">
        <f t="shared" si="10"/>
        <v/>
      </c>
    </row>
    <row r="44" spans="1:13" x14ac:dyDescent="0.35">
      <c r="A44" s="48"/>
      <c r="B44" s="48"/>
      <c r="C44" s="49"/>
      <c r="D44" s="50"/>
      <c r="E44" s="51" t="str">
        <f t="shared" si="9"/>
        <v/>
      </c>
      <c r="F44" s="71" t="str">
        <f t="shared" si="6"/>
        <v/>
      </c>
      <c r="G44" s="69" t="str">
        <f t="shared" si="8"/>
        <v/>
      </c>
      <c r="H44" s="70" t="str">
        <f t="shared" si="7"/>
        <v/>
      </c>
      <c r="I44" s="27" t="str">
        <f>IF(N(J44)=0,"",0&amp;"-"&amp;B$15)</f>
        <v/>
      </c>
      <c r="J44" s="52" t="str">
        <f>IF(N(B$15)=0,"",IF(AND(COUNT(H33:H44)=2,COUNT(F33:F44)=2),cubic_spline(F32:F34,H32:H34,B$15),IF(AND(COUNT(H33:H44)=3,COUNT(F33:F44)=3),cubic_spline(F32:F35,H32:H35,B$15),IF(AND(COUNT(H33:H44)=4,COUNT(F33:F44)=4),cubic_spline(F32:F36,H32:H36,B$15),IF(AND(COUNT(H33:H44)=5,COUNT(F33:F44)=5),cubic_spline(F32:F37,H32:H37,B$15),IF(AND(COUNT(H33:H44)=6,COUNT(F33:F44)=6),cubic_spline(F32:F38,H32:H38,B$15),IF(AND(COUNT(H33:H44)=7,COUNT(F33:F44)=7),cubic_spline(F32:F39,H32:H39,B$15),IF(AND(COUNT(H33:H44)=8,COUNT(F33:F44)=8),cubic_spline(F32:F40,H32:H40,B$15),IF(AND(COUNT(H33:H44)=9,COUNT(F33:F44)=9),cubic_spline(F32:F41,H32:H41,B$15),IF(AND(COUNT(H33:H44)=10,COUNT(F33:F44)=10),cubic_spline(F32:F42,H32:H42,B$15),IF(AND(COUNT(H33:H44)=11,COUNT(F33:F44)=11),cubic_spline(F32:F43,H32:H43,B$15),IF(AND(COUNT(H33:H44)=12,COUNT(F33:F44)=12),cubic_spline(F32:F44,H32:H44,B$15),""))))))))))))</f>
        <v/>
      </c>
      <c r="K44" s="52" t="str">
        <f>IF(N(B$15)=0,"",IF(AND(COUNT(A33:A44)=2,COUNT(F33:F44)=2),cubic_spline(F32:F34,A32:A34,B$15),IF(AND(COUNT(A33:A44)=3,COUNT(F33:F44)=3),cubic_spline(F32:F35,A32:A35,B$15),IF(AND(COUNT(A33:A44)=4,COUNT(F33:F44)=4),cubic_spline(F32:F36,A32:A36,B$15),IF(AND(COUNT(A33:A44)=5,COUNT(F33:F44)=5),cubic_spline(F32:F37,A32:A37,B$15),IF(AND(COUNT(A33:A44)=6,COUNT(F33:F44)=6),cubic_spline(F32:F38,A32:A38,B$15),IF(AND(COUNT(A33:A44)=7,COUNT(F33:F44)=7),cubic_spline(F32:F39,A32:A39,B$15),IF(AND(COUNT(A33:A44)=8,COUNT(F33:F44)=8),cubic_spline(F32:F40,A32:A40,B$15),IF(AND(COUNT(A33:A44)=9,COUNT(F33:F44)=9),cubic_spline(F32:F41,A32:A41,B$15),IF(AND(COUNT(A33:A44)=10,COUNT(F33:F44)=10),cubic_spline(F32:F42,A32:A42,B$15),IF(AND(COUNT(A33:A44)=11,COUNT(F33:F44)=11),cubic_spline(F32:F43,A32:A43,B$15),IF(AND(COUNT(A33:A44)=12,COUNT(F33:F44)=12),cubic_spline(F32:F44,A32:A44,B$15),""))))))))))))</f>
        <v/>
      </c>
      <c r="L44" s="27" t="str">
        <f>IF(I44="","",B$14&amp;"-"&amp;B$15)</f>
        <v/>
      </c>
      <c r="M44" s="52" t="str">
        <f t="shared" si="10"/>
        <v/>
      </c>
    </row>
    <row r="45" spans="1:13" ht="5.15" customHeight="1" x14ac:dyDescent="0.35">
      <c r="A45" s="47"/>
      <c r="B45" s="47"/>
      <c r="C45" s="47"/>
      <c r="D45" s="53"/>
      <c r="E45" s="54"/>
      <c r="F45" s="55"/>
      <c r="G45" s="72"/>
      <c r="H45" s="73"/>
      <c r="I45" s="47"/>
      <c r="J45" s="57"/>
      <c r="K45" s="57"/>
      <c r="L45" s="55"/>
      <c r="M45" s="57"/>
    </row>
    <row r="46" spans="1:13" x14ac:dyDescent="0.35">
      <c r="A46" s="48">
        <v>8</v>
      </c>
      <c r="B46" s="48" t="s">
        <v>39</v>
      </c>
      <c r="C46" s="49">
        <v>117.5</v>
      </c>
      <c r="D46" s="50">
        <v>20.679025872460244</v>
      </c>
      <c r="E46" s="51">
        <f>IF(N(C46)=0,"",C46/PI()/($D$1/2)^2/$D$2*10000)</f>
        <v>809.11653059157175</v>
      </c>
      <c r="F46" s="68">
        <f t="shared" ref="F46:F57" si="11">IF(N(E46)=0,"",(N(E46)+N(F45)))</f>
        <v>809.11653059157175</v>
      </c>
      <c r="G46" s="69">
        <f>IF(OR(N(D46)=0,N(E46)=0),"",(E46*D46)/1000)</f>
        <v>16.731741669938383</v>
      </c>
      <c r="H46" s="70">
        <f t="shared" ref="H46:H57" si="12">IF(N(G46)=0,"",(N(G46)+N(H45)))</f>
        <v>16.731741669938383</v>
      </c>
      <c r="I46" s="27" t="str">
        <f>IF(N(J46)=0,"",0&amp;"-"&amp;B$4)</f>
        <v>0-1000</v>
      </c>
      <c r="J46" s="52">
        <f>IF(N(B$4)=0,"",IF(AND(COUNT(H46:H57)=2,COUNT(F46:F57)=2),cubic_spline(F45:F47,H45:H47,B$4),IF(AND(COUNT(H46:H57)=3,COUNT(F46:F57)=3),cubic_spline(F45:F48,H45:H48,B$4),IF(AND(COUNT(H46:H57)=4,COUNT(F46:F57)=4),cubic_spline(F45:F49,H45:H49,B$4),IF(AND(COUNT(H46:H57)=5,COUNT(F46:F57)=5),cubic_spline(F45:F50,H45:H50,B$4),IF(AND(COUNT(H46:H57)=6,COUNT(F46:F57)=6),cubic_spline(F45:F51,H45:H51,B$4),IF(AND(COUNT(H46:H57)=7,COUNT(F46:F57)=7),cubic_spline(F45:F52,H45:H52,B$4),IF(AND(COUNT(H46:H57)=8,COUNT(F46:F57)=8),cubic_spline(F45:F53,H45:H53,B$4),IF(AND(COUNT(H46:H57)=9,COUNT(F46:F57)=9),cubic_spline(F45:F54,H45:H54,B$4),IF(AND(COUNT(H46:H57)=10,COUNT(F46:F57)=10),cubic_spline(F45:F55,H45:H55,B$4),IF(AND(COUNT(H46:H57)=11,COUNT(F46:F57)=11),cubic_spline(F45:F56,H45:H56,B$4),IF(AND(COUNT(H46:H57)=12,COUNT(F46:F57)=12),cubic_spline(F45:F57,H45:H57,B$4),""))))))))))))</f>
        <v>19.600519095464932</v>
      </c>
      <c r="K46" s="52">
        <f>IF(N(B$4)=0,"",IF(AND(COUNT(A46:A57)=2,COUNT(F46:F57)=2),cubic_spline(F45:F47,A45:A47,B$4),IF(AND(COUNT(A46:A57)=3,COUNT(F46:F57)=3),cubic_spline(F45:F48,A45:A48,B$4),IF(AND(COUNT(A46:A57)=4,COUNT(F46:F57)=4),cubic_spline(F45:F49,A45:A49,B$4),IF(AND(COUNT(A46:A57)=5,COUNT(F46:F57)=5),cubic_spline(F45:F50,A45:A50,B$4),IF(AND(COUNT(A46:A57)=6,COUNT(F46:F57)=6),cubic_spline(F45:F51,A45:A51,B$4),IF(AND(COUNT(A46:A57)=7,COUNT(F46:F57)=7),cubic_spline(F45:F52,A45:A52,B$4),IF(AND(COUNT(A46:A57)=8,COUNT(F46:F57)=8),cubic_spline(F45:F53,A45:A53,B$4),IF(AND(COUNT(A46:A57)=9,COUNT(F46:F57)=9),cubic_spline(F45:F54,A45:A54,B$4),IF(AND(COUNT(A46:A57)=10,COUNT(F46:F57)=10),cubic_spline(F45:F55,A45:A55,B$4),IF(AND(COUNT(A46:A57)=11,COUNT(F46:F57)=11),cubic_spline(F45:F56,A45:A56,B$4),IF(AND(COUNT(A46:A57)=12,COUNT(F46:F57)=12),cubic_spline(F45:F57,A45:A57,B$4),""))))))))))))</f>
        <v>9.683214407610329</v>
      </c>
      <c r="L46" s="27" t="str">
        <f>IF(I46="","",0&amp;"-"&amp;B$4)</f>
        <v>0-1000</v>
      </c>
      <c r="M46" s="52">
        <f>IF(N(J46)=0,"",J46-J45)</f>
        <v>19.600519095464932</v>
      </c>
    </row>
    <row r="47" spans="1:13" x14ac:dyDescent="0.35">
      <c r="A47" s="48">
        <v>16</v>
      </c>
      <c r="B47" s="48" t="s">
        <v>39</v>
      </c>
      <c r="C47" s="49">
        <v>143.5</v>
      </c>
      <c r="D47" s="50">
        <v>11.283054618834822</v>
      </c>
      <c r="E47" s="51">
        <f>IF(N(C47)=0,"",C47/PI()/($D$1/2)^2/$D$2*10000)</f>
        <v>988.15508204162165</v>
      </c>
      <c r="F47" s="68">
        <f t="shared" si="11"/>
        <v>1797.2716126331934</v>
      </c>
      <c r="G47" s="69">
        <f t="shared" ref="G47:G57" si="13">IF(OR(N(D47)=0,N(E47)=0),"",(E47*D47)/1000)</f>
        <v>11.149407762554821</v>
      </c>
      <c r="H47" s="70">
        <f t="shared" si="12"/>
        <v>27.881149432493203</v>
      </c>
      <c r="I47" s="27" t="str">
        <f>IF(N(J47)=0,"",0&amp;"-"&amp;B$5)</f>
        <v>0-2000</v>
      </c>
      <c r="J47" s="52">
        <f>IF(N(B$5)=0,"",IF(AND(COUNT(H46:H57)=2,COUNT(F46:F57)=2),cubic_spline(F45:F47,H45:H47,B$5),IF(AND(COUNT(H46:H57)=3,COUNT(F46:F57)=3),cubic_spline(F45:F48,H45:H48,B$5),IF(AND(COUNT(H46:H57)=4,COUNT(F46:F57)=4),cubic_spline(F45:F49,H45:H49,B$5),IF(AND(COUNT(H46:H57)=5,COUNT(F46:F57)=5),cubic_spline(F45:F50,H45:H50,B$5),IF(AND(COUNT(H46:H57)=6,COUNT(F46:F57)=6),cubic_spline(F45:F51,H45:H51,B$5),IF(AND(COUNT(H46:H57)=7,COUNT(F46:F57)=7),cubic_spline(F45:F52,H45:H52,B$5),IF(AND(COUNT(H46:H57)=8,COUNT(F46:F57)=8),cubic_spline(F45:F53,H45:H53,B$5),IF(AND(COUNT(H46:H57)=9,COUNT(F46:F57)=9),cubic_spline(F45:F54,H45:H54,B$5),IF(AND(COUNT(H46:H57)=10,COUNT(F46:F57)=10),cubic_spline(F45:F55,H45:H55,B$5),IF(AND(COUNT(H46:H57)=11,COUNT(F46:F57)=11),cubic_spline(F45:F56,H45:H56,B$5),IF(AND(COUNT(H46:H57)=12,COUNT(F46:F57)=12),cubic_spline(F45:F57,H45:H57,B$5),""))))))))))))</f>
        <v>29.660597404432878</v>
      </c>
      <c r="K47" s="52">
        <f>IF(N(B$5)=0,"",IF(AND(COUNT(A46:A57)=2,COUNT(F46:F57)=2),cubic_spline(F45:F47,A45:A47,B$5),IF(AND(COUNT(A46:A57)=3,COUNT(F46:F57)=3),cubic_spline(F45:F48,A45:A48,B$5),IF(AND(COUNT(A46:A57)=4,COUNT(F46:F57)=4),cubic_spline(F45:F49,A45:A49,B$5),IF(AND(COUNT(A46:A57)=5,COUNT(F46:F57)=5),cubic_spline(F45:F50,A45:A50,B$5),IF(AND(COUNT(A46:A57)=6,COUNT(F46:F57)=6),cubic_spline(F45:F51,A45:A51,B$5),IF(AND(COUNT(A46:A57)=7,COUNT(F46:F57)=7),cubic_spline(F45:F52,A45:A52,B$5),IF(AND(COUNT(A46:A57)=8,COUNT(F46:F57)=8),cubic_spline(F45:F53,A45:A53,B$5),IF(AND(COUNT(A46:A57)=9,COUNT(F46:F57)=9),cubic_spline(F45:F54,A45:A54,B$5),IF(AND(COUNT(A46:A57)=10,COUNT(F46:F57)=10),cubic_spline(F45:F55,A45:A55,B$5),IF(AND(COUNT(A46:A57)=11,COUNT(F46:F57)=11),cubic_spline(F45:F56,A45:A56,B$5),IF(AND(COUNT(A46:A57)=12,COUNT(F46:F57)=12),cubic_spline(F45:F57,A45:A57,B$5),""))))))))))))</f>
        <v>17.537957458371789</v>
      </c>
      <c r="L47" s="27" t="str">
        <f>IF(I47="","",B$4&amp;"-"&amp;B$5)</f>
        <v>1000-2000</v>
      </c>
      <c r="M47" s="52">
        <f>IF(N(J47)=0,"",J47-J46)</f>
        <v>10.060078308967945</v>
      </c>
    </row>
    <row r="48" spans="1:13" x14ac:dyDescent="0.35">
      <c r="A48" s="48">
        <v>32</v>
      </c>
      <c r="B48" s="48" t="s">
        <v>39</v>
      </c>
      <c r="C48" s="49">
        <v>306.5</v>
      </c>
      <c r="D48" s="50">
        <v>8.5298472642691898</v>
      </c>
      <c r="E48" s="51">
        <f>IF(N(C48)=0,"",C48/PI()/($D$1/2)^2/$D$2*10000)</f>
        <v>2110.5890776707811</v>
      </c>
      <c r="F48" s="68">
        <f t="shared" si="11"/>
        <v>3907.8606903039745</v>
      </c>
      <c r="G48" s="69">
        <f t="shared" si="13"/>
        <v>18.003002470166546</v>
      </c>
      <c r="H48" s="70">
        <f t="shared" si="12"/>
        <v>45.884151902659752</v>
      </c>
      <c r="I48" s="27" t="str">
        <f>IF(N(J48)=0,"",0&amp;"-"&amp;B$6)</f>
        <v>0-3000</v>
      </c>
      <c r="J48" s="52">
        <f>IF(N(B$6)=0,"",IF(AND(COUNT(H46:H57)=2,COUNT(F46:F57)=2),cubic_spline(F45:F47,H45:H47,B$6),IF(AND(COUNT(H46:H57)=3,COUNT(F46:F57)=3),cubic_spline(F45:F48,H45:H48,B$6),IF(AND(COUNT(H46:H57)=4,COUNT(F46:F57)=4),cubic_spline(F45:F49,H45:H49,B$6),IF(AND(COUNT(H46:H57)=5,COUNT(F46:F57)=5),cubic_spline(F45:F50,H45:H50,B$6),IF(AND(COUNT(H46:H57)=6,COUNT(F46:F57)=6),cubic_spline(F45:F51,H45:H51,B$6),IF(AND(COUNT(H46:H57)=7,COUNT(F46:F57)=7),cubic_spline(F45:F52,H45:H52,B$6),IF(AND(COUNT(H46:H57)=8,COUNT(F46:F57)=8),cubic_spline(F45:F53,H45:H53,B$6),IF(AND(COUNT(H46:H57)=9,COUNT(F46:F57)=9),cubic_spline(F45:F54,H45:H54,B$6),IF(AND(COUNT(H46:H57)=10,COUNT(F46:F57)=10),cubic_spline(F45:F55,H45:H55,B$6),IF(AND(COUNT(H46:H57)=11,COUNT(F46:F57)=11),cubic_spline(F45:F56,H45:H56,B$6),IF(AND(COUNT(H46:H57)=12,COUNT(F46:F57)=12),cubic_spline(F45:F57,H45:H57,B$6),""))))))))))))</f>
        <v>38.393206251218757</v>
      </c>
      <c r="K48" s="52">
        <f>IF(N(B$6)=0,"",IF(AND(COUNT(A46:A57)=2,COUNT(F46:F57)=2),cubic_spline(F45:F47,A45:A47,B$6),IF(AND(COUNT(A46:A57)=3,COUNT(F46:F57)=3),cubic_spline(F45:F48,A45:A48,B$6),IF(AND(COUNT(A46:A57)=4,COUNT(F46:F57)=4),cubic_spline(F45:F49,A45:A49,B$6),IF(AND(COUNT(A46:A57)=5,COUNT(F46:F57)=5),cubic_spline(F45:F50,A45:A50,B$6),IF(AND(COUNT(A46:A57)=6,COUNT(F46:F57)=6),cubic_spline(F45:F51,A45:A51,B$6),IF(AND(COUNT(A46:A57)=7,COUNT(F46:F57)=7),cubic_spline(F45:F52,A45:A52,B$6),IF(AND(COUNT(A46:A57)=8,COUNT(F46:F57)=8),cubic_spline(F45:F53,A45:A53,B$6),IF(AND(COUNT(A46:A57)=9,COUNT(F46:F57)=9),cubic_spline(F45:F54,A45:A54,B$6),IF(AND(COUNT(A46:A57)=10,COUNT(F46:F57)=10),cubic_spline(F45:F55,A45:A55,B$6),IF(AND(COUNT(A46:A57)=11,COUNT(F46:F57)=11),cubic_spline(F45:F56,A45:A56,B$6),IF(AND(COUNT(A46:A57)=12,COUNT(F46:F57)=12),cubic_spline(F45:F57,A45:A57,B$6),""))))))))))))</f>
        <v>25.111449517806594</v>
      </c>
      <c r="L48" s="27" t="str">
        <f>IF(I48="","",B$5&amp;"-"&amp;B$6)</f>
        <v>2000-3000</v>
      </c>
      <c r="M48" s="52">
        <f>IF(N(J48)=0,"",J48-J47)</f>
        <v>8.7326088467858796</v>
      </c>
    </row>
    <row r="49" spans="1:13" x14ac:dyDescent="0.35">
      <c r="A49" s="48">
        <v>48</v>
      </c>
      <c r="B49" s="48" t="s">
        <v>39</v>
      </c>
      <c r="C49" s="49">
        <v>303.60000000000002</v>
      </c>
      <c r="D49" s="50">
        <v>7.0942272899861214</v>
      </c>
      <c r="E49" s="51">
        <f>IF(N(C49)=0,"",C49/PI()/($D$1/2)^2/$D$2*10000)</f>
        <v>2090.6193930859681</v>
      </c>
      <c r="F49" s="68">
        <f t="shared" si="11"/>
        <v>5998.4800833899426</v>
      </c>
      <c r="G49" s="69">
        <f t="shared" si="13"/>
        <v>14.831329151404697</v>
      </c>
      <c r="H49" s="70">
        <f t="shared" si="12"/>
        <v>60.715481054064448</v>
      </c>
      <c r="I49" s="27" t="str">
        <f>IF(N(J49)=0,"",0&amp;"-"&amp;B$7)</f>
        <v>0-4000</v>
      </c>
      <c r="J49" s="52">
        <f>IF(N(B$7)=0,"",IF(AND(COUNT(H46:H57)=2,COUNT(F46:F57)=2),cubic_spline(F45:F47,H45:H47,B$7),IF(AND(COUNT(H46:H57)=3,COUNT(F46:F57)=3),cubic_spline(F45:F48,H45:H48,B$7),IF(AND(COUNT(H46:H57)=4,COUNT(F46:F57)=4),cubic_spline(F45:F49,H45:H49,B$7),IF(AND(COUNT(H46:H57)=5,COUNT(F46:F57)=5),cubic_spline(F45:F50,H45:H50,B$7),IF(AND(COUNT(H46:H57)=6,COUNT(F46:F57)=6),cubic_spline(F45:F51,H45:H51,B$7),IF(AND(COUNT(H46:H57)=7,COUNT(F46:F57)=7),cubic_spline(F45:F52,H45:H52,B$7),IF(AND(COUNT(H46:H57)=8,COUNT(F46:F57)=8),cubic_spline(F45:F53,H45:H53,B$7),IF(AND(COUNT(H46:H57)=9,COUNT(F46:F57)=9),cubic_spline(F45:F54,H45:H54,B$7),IF(AND(COUNT(H46:H57)=10,COUNT(F46:F57)=10),cubic_spline(F45:F55,H45:H55,B$7),IF(AND(COUNT(H46:H57)=11,COUNT(F46:F57)=11),cubic_spline(F45:F56,H45:H56,B$7),IF(AND(COUNT(H46:H57)=12,COUNT(F46:F57)=12),cubic_spline(F45:F57,H45:H57,B$7),""))))))))))))</f>
        <v>46.602536787374817</v>
      </c>
      <c r="K49" s="52">
        <f>IF(N(B$7)=0,"",IF(AND(COUNT(A46:A57)=2,COUNT(F46:F57)=2),cubic_spline(F45:F47,A45:A47,B$7),IF(AND(COUNT(A46:A57)=3,COUNT(F46:F57)=3),cubic_spline(F45:F48,A45:A48,B$7),IF(AND(COUNT(A46:A57)=4,COUNT(F46:F57)=4),cubic_spline(F45:F49,A45:A49,B$7),IF(AND(COUNT(A46:A57)=5,COUNT(F46:F57)=5),cubic_spline(F45:F50,A45:A50,B$7),IF(AND(COUNT(A46:A57)=6,COUNT(F46:F57)=6),cubic_spline(F45:F51,A45:A51,B$7),IF(AND(COUNT(A46:A57)=7,COUNT(F46:F57)=7),cubic_spline(F45:F52,A45:A52,B$7),IF(AND(COUNT(A46:A57)=8,COUNT(F46:F57)=8),cubic_spline(F45:F53,A45:A53,B$7),IF(AND(COUNT(A46:A57)=9,COUNT(F46:F57)=9),cubic_spline(F45:F54,A45:A54,B$7),IF(AND(COUNT(A46:A57)=10,COUNT(F46:F57)=10),cubic_spline(F45:F55,A45:A55,B$7),IF(AND(COUNT(A46:A57)=11,COUNT(F46:F57)=11),cubic_spline(F45:F56,A45:A56,B$7),IF(AND(COUNT(A46:A57)=12,COUNT(F46:F57)=12),cubic_spline(F45:F57,A45:A57,B$7),""))))))))))))</f>
        <v>32.701375739495042</v>
      </c>
      <c r="L49" s="27" t="str">
        <f>IF(I49="","",B$6&amp;"-"&amp;B$7)</f>
        <v>3000-4000</v>
      </c>
      <c r="M49" s="52">
        <f>IF(N(J49)=0,"",J49-J48)</f>
        <v>8.2093305361560596</v>
      </c>
    </row>
    <row r="50" spans="1:13" x14ac:dyDescent="0.35">
      <c r="A50" s="48"/>
      <c r="B50" s="48"/>
      <c r="C50" s="49"/>
      <c r="D50" s="50"/>
      <c r="E50" s="51" t="str">
        <f t="shared" ref="E50:E57" si="14">IF(N(C50)=0,"",C50/PI()/($D$1/2)^2/$D$2*10000)</f>
        <v/>
      </c>
      <c r="F50" s="71" t="str">
        <f t="shared" si="11"/>
        <v/>
      </c>
      <c r="G50" s="69" t="str">
        <f t="shared" si="13"/>
        <v/>
      </c>
      <c r="H50" s="70" t="str">
        <f t="shared" si="12"/>
        <v/>
      </c>
      <c r="I50" s="27" t="str">
        <f>IF(N(J50)=0,"",0&amp;"-"&amp;B$8)</f>
        <v>0-5000</v>
      </c>
      <c r="J50" s="52">
        <f>IF(N(B$8)=0,"",IF(AND(COUNT(H46:H57)=2,COUNT(F46:F57)=2),cubic_spline(F45:F47,H45:H47,B$8),IF(AND(COUNT(H46:H57)=3,COUNT(F46:F57)=3),cubic_spline(F45:F48,H45:H48,B$8),IF(AND(COUNT(H46:H57)=4,COUNT(F46:F57)=4),cubic_spline(F45:F49,H45:H49,B$8),IF(AND(COUNT(H46:H57)=5,COUNT(F46:F57)=5),cubic_spline(F45:F50,H45:H50,B$8),IF(AND(COUNT(H46:H57)=6,COUNT(F46:F57)=6),cubic_spline(F45:F51,H45:H51,B$8),IF(AND(COUNT(H46:H57)=7,COUNT(F46:F57)=7),cubic_spline(F45:F52,H45:H52,B$8),IF(AND(COUNT(H46:H57)=8,COUNT(F46:F57)=8),cubic_spline(F45:F53,H45:H53,B$8),IF(AND(COUNT(H46:H57)=9,COUNT(F46:F57)=9),cubic_spline(F45:F54,H45:H54,B$8),IF(AND(COUNT(H46:H57)=10,COUNT(F46:F57)=10),cubic_spline(F45:F55,H45:H55,B$8),IF(AND(COUNT(H46:H57)=11,COUNT(F46:F57)=11),cubic_spline(F45:F56,H45:H56,B$8),IF(AND(COUNT(H46:H57)=12,COUNT(F46:F57)=12),cubic_spline(F45:F57,H45:H57,B$8),""))))))))))))</f>
        <v>53.921620634643659</v>
      </c>
      <c r="K50" s="52">
        <f>IF(N(B$8)=0,"",IF(AND(COUNT(A46:A57)=2,COUNT(F46:F57)=2),cubic_spline(F45:F47,A45:A47,B$8),IF(AND(COUNT(A46:A57)=3,COUNT(F46:F57)=3),cubic_spline(F45:F48,A45:A48,B$8),IF(AND(COUNT(A46:A57)=4,COUNT(F46:F57)=4),cubic_spline(F45:F49,A45:A49,B$8),IF(AND(COUNT(A46:A57)=5,COUNT(F46:F57)=5),cubic_spline(F45:F50,A45:A50,B$8),IF(AND(COUNT(A46:A57)=6,COUNT(F46:F57)=6),cubic_spline(F45:F51,A45:A51,B$8),IF(AND(COUNT(A46:A57)=7,COUNT(F46:F57)=7),cubic_spline(F45:F52,A45:A52,B$8),IF(AND(COUNT(A46:A57)=8,COUNT(F46:F57)=8),cubic_spline(F45:F53,A45:A53,B$8),IF(AND(COUNT(A46:A57)=9,COUNT(F46:F57)=9),cubic_spline(F45:F54,A45:A54,B$8),IF(AND(COUNT(A46:A57)=10,COUNT(F46:F57)=10),cubic_spline(F45:F55,A45:A55,B$8),IF(AND(COUNT(A46:A57)=11,COUNT(F46:F57)=11),cubic_spline(F45:F56,A45:A56,B$8),IF(AND(COUNT(A46:A57)=12,COUNT(F46:F57)=12),cubic_spline(F45:F57,A45:A57,B$8),""))))))))))))</f>
        <v>40.341452636049297</v>
      </c>
      <c r="L50" s="27" t="str">
        <f>IF(I50="","",B$7&amp;"-"&amp;B$8)</f>
        <v>4000-5000</v>
      </c>
      <c r="M50" s="52">
        <f>IF(N(J50)=0,"",J50-J49)</f>
        <v>7.3190838472688426</v>
      </c>
    </row>
    <row r="51" spans="1:13" x14ac:dyDescent="0.35">
      <c r="A51" s="48"/>
      <c r="B51" s="48"/>
      <c r="C51" s="49"/>
      <c r="D51" s="50"/>
      <c r="E51" s="51" t="str">
        <f t="shared" si="14"/>
        <v/>
      </c>
      <c r="F51" s="71" t="str">
        <f t="shared" si="11"/>
        <v/>
      </c>
      <c r="G51" s="69" t="str">
        <f t="shared" si="13"/>
        <v/>
      </c>
      <c r="H51" s="70" t="str">
        <f t="shared" si="12"/>
        <v/>
      </c>
      <c r="I51" s="27" t="str">
        <f>IF(N(J51)=0,"",0&amp;"-"&amp;B$9)</f>
        <v>0-6000</v>
      </c>
      <c r="J51" s="52">
        <f>IF(N(B$9)=0,"",IF(AND(COUNT(H46:H57)=2,COUNT(F46:F57)=2),cubic_spline(F45:F47,H45:H47,B$9),IF(AND(COUNT(H46:H57)=3,COUNT(F46:F57)=3),cubic_spline(F45:F48,H45:H48,B$9),IF(AND(COUNT(H46:H57)=4,COUNT(F46:F57)=4),cubic_spline(F45:F49,H45:H49,B$9),IF(AND(COUNT(H46:H57)=5,COUNT(F46:F57)=5),cubic_spline(F45:F50,H45:H50,B$9),IF(AND(COUNT(H46:H57)=6,COUNT(F46:F57)=6),cubic_spline(F45:F51,H45:H51,B$9),IF(AND(COUNT(H46:H57)=7,COUNT(F46:F57)=7),cubic_spline(F45:F52,H45:H52,B$9),IF(AND(COUNT(H46:H57)=8,COUNT(F46:F57)=8),cubic_spline(F45:F53,H45:H53,B$9),IF(AND(COUNT(H46:H57)=9,COUNT(F46:F57)=9),cubic_spline(F45:F54,H45:H54,B$9),IF(AND(COUNT(H46:H57)=10,COUNT(F46:F57)=10),cubic_spline(F45:F55,H45:H55,B$9),IF(AND(COUNT(H46:H57)=11,COUNT(F46:F57)=11),cubic_spline(F45:F56,H45:H56,B$9),IF(AND(COUNT(H46:H57)=12,COUNT(F46:F57)=12),cubic_spline(F45:F57,H45:H57,B$9),""))))))))))))</f>
        <v>60.725693051905957</v>
      </c>
      <c r="K51" s="52">
        <f>IF(N(B$9)=0,"",IF(AND(COUNT(A46:A57)=2,COUNT(F46:F57)=2),cubic_spline(F45:F47,A45:A47,B$9),IF(AND(COUNT(A46:A57)=3,COUNT(F46:F57)=3),cubic_spline(F45:F48,A45:A48,B$9),IF(AND(COUNT(A46:A57)=4,COUNT(F46:F57)=4),cubic_spline(F45:F49,A45:A49,B$9),IF(AND(COUNT(A46:A57)=5,COUNT(F46:F57)=5),cubic_spline(F45:F50,A45:A50,B$9),IF(AND(COUNT(A46:A57)=6,COUNT(F46:F57)=6),cubic_spline(F45:F51,A45:A51,B$9),IF(AND(COUNT(A46:A57)=7,COUNT(F46:F57)=7),cubic_spline(F45:F52,A45:A52,B$9),IF(AND(COUNT(A46:A57)=8,COUNT(F46:F57)=8),cubic_spline(F45:F53,A45:A53,B$9),IF(AND(COUNT(A46:A57)=9,COUNT(F46:F57)=9),cubic_spline(F45:F54,A45:A54,B$9),IF(AND(COUNT(A46:A57)=10,COUNT(F46:F57)=10),cubic_spline(F45:F55,A45:A55,B$9),IF(AND(COUNT(A46:A57)=11,COUNT(F46:F57)=11),cubic_spline(F45:F56,A45:A56,B$9),IF(AND(COUNT(A46:A57)=12,COUNT(F46:F57)=12),cubic_spline(F45:F57,A45:A57,B$9),""))))))))))))</f>
        <v>48.01166648623429</v>
      </c>
      <c r="L51" s="27" t="str">
        <f>IF(I51="","",B$8&amp;"-"&amp;B$9)</f>
        <v>5000-6000</v>
      </c>
      <c r="M51" s="52">
        <f t="shared" ref="M51:M57" si="15">IF(N(J51)=0,"",J51-J50)</f>
        <v>6.8040724172622973</v>
      </c>
    </row>
    <row r="52" spans="1:13" x14ac:dyDescent="0.35">
      <c r="A52" s="48"/>
      <c r="B52" s="48"/>
      <c r="C52" s="49"/>
      <c r="D52" s="50"/>
      <c r="E52" s="51" t="str">
        <f t="shared" si="14"/>
        <v/>
      </c>
      <c r="F52" s="71" t="str">
        <f t="shared" si="11"/>
        <v/>
      </c>
      <c r="G52" s="69" t="str">
        <f t="shared" si="13"/>
        <v/>
      </c>
      <c r="H52" s="70" t="str">
        <f t="shared" si="12"/>
        <v/>
      </c>
      <c r="I52" s="27" t="str">
        <f>IF(N(J52)=0,"",0&amp;"-"&amp;B$10)</f>
        <v/>
      </c>
      <c r="J52" s="52" t="str">
        <f>IF(N(B$10)=0,"",IF(AND(COUNT(H46:H57)=2,COUNT(F46:F57)=2),cubic_spline(F45:F47,H45:H47,B$10),IF(AND(COUNT(H46:H57)=3,COUNT(F46:F57)=3),cubic_spline(F45:F48,H45:H48,B$10),IF(AND(COUNT(H46:H57)=4,COUNT(F46:F57)=4),cubic_spline(F45:F49,H45:H49,B$10),IF(AND(COUNT(H46:H57)=5,COUNT(F46:F57)=5),cubic_spline(F45:F50,H45:H50,B$10),IF(AND(COUNT(H46:H57)=6,COUNT(F46:F57)=6),cubic_spline(F45:F51,H45:H51,B$10),IF(AND(COUNT(H46:H57)=7,COUNT(F46:F57)=7),cubic_spline(F45:F52,H45:H52,B$10),IF(AND(COUNT(H46:H57)=8,COUNT(F46:F57)=8),cubic_spline(F45:F53,H45:H53,B$10),IF(AND(COUNT(H46:H57)=9,COUNT(F46:F57)=9),cubic_spline(F45:F54,H45:H54,B$10),IF(AND(COUNT(H46:H57)=10,COUNT(F46:F57)=10),cubic_spline(F45:F55,H45:H55,B$10),IF(AND(COUNT(H46:H57)=11,COUNT(F46:F57)=11),cubic_spline(F45:F56,H45:H56,B$10),IF(AND(COUNT(H46:H57)=12,COUNT(F46:F57)=12),cubic_spline(F45:F57,H45:H57,B$10),""))))))))))))</f>
        <v/>
      </c>
      <c r="K52" s="52" t="str">
        <f>IF(N(B$10)=0,"",IF(AND(COUNT(A46:A57)=2,COUNT(F46:F57)=2),cubic_spline(F45:F47,A45:A47,B$10),IF(AND(COUNT(A46:A57)=3,COUNT(F46:F57)=3),cubic_spline(F45:F48,A45:A48,B$10),IF(AND(COUNT(A46:A57)=4,COUNT(F46:F57)=4),cubic_spline(F45:F49,A45:A49,B$10),IF(AND(COUNT(A46:A57)=5,COUNT(F46:F57)=5),cubic_spline(F45:F50,A45:A50,B$10),IF(AND(COUNT(A46:A57)=6,COUNT(F46:F57)=6),cubic_spline(F45:F51,A45:A51,B$10),IF(AND(COUNT(A46:A57)=7,COUNT(F46:F57)=7),cubic_spline(F45:F52,A45:A52,B$10),IF(AND(COUNT(A46:A57)=8,COUNT(F46:F57)=8),cubic_spline(F45:F53,A45:A53,B$10),IF(AND(COUNT(A46:A57)=9,COUNT(F46:F57)=9),cubic_spline(F45:F54,A45:A54,B$10),IF(AND(COUNT(A46:A57)=10,COUNT(F46:F57)=10),cubic_spline(F45:F55,A45:A55,B$10),IF(AND(COUNT(A46:A57)=11,COUNT(F46:F57)=11),cubic_spline(F45:F56,A45:A56,B$10),IF(AND(COUNT(A46:A57)=12,COUNT(F46:F57)=12),cubic_spline(F45:F57,A45:A57,B$10),""))))))))))))</f>
        <v/>
      </c>
      <c r="L52" s="27" t="str">
        <f>IF(I52="","",B$9&amp;"-"&amp;B$10)</f>
        <v/>
      </c>
      <c r="M52" s="52" t="str">
        <f t="shared" si="15"/>
        <v/>
      </c>
    </row>
    <row r="53" spans="1:13" x14ac:dyDescent="0.35">
      <c r="A53" s="48"/>
      <c r="B53" s="48"/>
      <c r="C53" s="49"/>
      <c r="D53" s="50"/>
      <c r="E53" s="51" t="str">
        <f t="shared" si="14"/>
        <v/>
      </c>
      <c r="F53" s="71" t="str">
        <f t="shared" si="11"/>
        <v/>
      </c>
      <c r="G53" s="69" t="str">
        <f t="shared" si="13"/>
        <v/>
      </c>
      <c r="H53" s="70" t="str">
        <f t="shared" si="12"/>
        <v/>
      </c>
      <c r="I53" s="27" t="str">
        <f>IF(N(J53)=0,"",0&amp;"-"&amp;B$11)</f>
        <v/>
      </c>
      <c r="J53" s="52" t="str">
        <f>IF(N(B$11)=0,"",IF(AND(COUNT(H46:H57)=2,COUNT(F46:F57)=2),cubic_spline(F45:F47,H45:H47,B$11),IF(AND(COUNT(H46:H57)=3,COUNT(F46:F57)=3),cubic_spline(F45:F48,H45:H48,B$11),IF(AND(COUNT(H46:H57)=4,COUNT(F46:F57)=4),cubic_spline(F45:F49,H45:H49,B$11),IF(AND(COUNT(H46:H57)=5,COUNT(F46:F57)=5),cubic_spline(F45:F50,H45:H50,B$11),IF(AND(COUNT(H46:H57)=6,COUNT(F46:F57)=6),cubic_spline(F45:F51,H45:H51,B$11),IF(AND(COUNT(H46:H57)=7,COUNT(F46:F57)=7),cubic_spline(F45:F52,H45:H52,B$11),IF(AND(COUNT(H46:H57)=8,COUNT(F46:F57)=8),cubic_spline(F45:F53,H45:H53,B$11),IF(AND(COUNT(H46:H57)=9,COUNT(F46:F57)=9),cubic_spline(F45:F54,H45:H54,B$11),IF(AND(COUNT(H46:H57)=10,COUNT(F46:F57)=10),cubic_spline(F45:F55,H45:H55,B$11),IF(AND(COUNT(H46:H57)=11,COUNT(F46:F57)=11),cubic_spline(F45:F56,H45:H56,B$11),IF(AND(COUNT(H46:H57)=12,COUNT(F46:F57)=12),cubic_spline(F45:F57,H45:H57,B$11),""))))))))))))</f>
        <v/>
      </c>
      <c r="K53" s="52" t="str">
        <f>IF(N(B$11)=0,"",IF(AND(COUNT(A46:A57)=2,COUNT(F46:F57)=2),cubic_spline(F45:F47,A45:A47,B$11),IF(AND(COUNT(A46:A57)=3,COUNT(F46:F57)=3),cubic_spline(F45:F48,A45:A48,B$11),IF(AND(COUNT(A46:A57)=4,COUNT(F46:F57)=4),cubic_spline(F45:F49,A45:A49,B$11),IF(AND(COUNT(A46:A57)=5,COUNT(F46:F57)=5),cubic_spline(F45:F50,A45:A50,B$11),IF(AND(COUNT(A46:A57)=6,COUNT(F46:F57)=6),cubic_spline(F45:F51,A45:A51,B$11),IF(AND(COUNT(A46:A57)=7,COUNT(F46:F57)=7),cubic_spline(F45:F52,A45:A52,B$11),IF(AND(COUNT(A46:A57)=8,COUNT(F46:F57)=8),cubic_spline(F45:F53,A45:A53,B$11),IF(AND(COUNT(A46:A57)=9,COUNT(F46:F57)=9),cubic_spline(F45:F54,A45:A54,B$11),IF(AND(COUNT(A46:A57)=10,COUNT(F46:F57)=10),cubic_spline(F45:F55,A45:A55,B$11),IF(AND(COUNT(A46:A57)=11,COUNT(F46:F57)=11),cubic_spline(F45:F56,A45:A56,B$11),IF(AND(COUNT(A46:A57)=12,COUNT(F46:F57)=12),cubic_spline(F45:F57,A45:A57,B$11),""))))))))))))</f>
        <v/>
      </c>
      <c r="L53" s="27" t="str">
        <f>IF(I53="","",B$10&amp;"-"&amp;B$11)</f>
        <v/>
      </c>
      <c r="M53" s="52" t="str">
        <f t="shared" si="15"/>
        <v/>
      </c>
    </row>
    <row r="54" spans="1:13" x14ac:dyDescent="0.35">
      <c r="A54" s="48"/>
      <c r="B54" s="48"/>
      <c r="C54" s="49"/>
      <c r="D54" s="50"/>
      <c r="E54" s="51" t="str">
        <f t="shared" si="14"/>
        <v/>
      </c>
      <c r="F54" s="71" t="str">
        <f t="shared" si="11"/>
        <v/>
      </c>
      <c r="G54" s="69" t="str">
        <f t="shared" si="13"/>
        <v/>
      </c>
      <c r="H54" s="70" t="str">
        <f t="shared" si="12"/>
        <v/>
      </c>
      <c r="I54" s="27" t="str">
        <f>IF(N(J54)=0,"",0&amp;"-"&amp;B$12)</f>
        <v/>
      </c>
      <c r="J54" s="52" t="str">
        <f>IF(N(B$12)=0,"",IF(AND(COUNT(H46:H57)=2,COUNT(F46:F57)=2),cubic_spline(F45:F47,H45:H47,B$12),IF(AND(COUNT(H46:H57)=3,COUNT(F46:F57)=3),cubic_spline(F45:F48,H45:H48,B$12),IF(AND(COUNT(H46:H57)=4,COUNT(F46:F57)=4),cubic_spline(F45:F49,H45:H49,B$12),IF(AND(COUNT(H46:H57)=5,COUNT(F46:F57)=5),cubic_spline(F45:F50,H45:H50,B$12),IF(AND(COUNT(H46:H57)=6,COUNT(F46:F57)=6),cubic_spline(F45:F51,H45:H51,B$12),IF(AND(COUNT(H46:H57)=7,COUNT(F46:F57)=7),cubic_spline(F45:F52,H45:H52,B$12),IF(AND(COUNT(H46:H57)=8,COUNT(F46:F57)=8),cubic_spline(F45:F53,H45:H53,B$12),IF(AND(COUNT(H46:H57)=9,COUNT(F46:F57)=9),cubic_spline(F45:F54,H45:H54,B$12),IF(AND(COUNT(H46:H57)=10,COUNT(F46:F57)=10),cubic_spline(F45:F55,H45:H55,B$12),IF(AND(COUNT(H46:H57)=11,COUNT(F46:F57)=11),cubic_spline(F45:F56,H45:H56,B$12),IF(AND(COUNT(H46:H57)=12,COUNT(F46:F57)=12),cubic_spline(F45:F57,H45:H57,B$12),""))))))))))))</f>
        <v/>
      </c>
      <c r="K54" s="52" t="str">
        <f>IF(N(B$12)=0,"",IF(AND(COUNT(A46:A57)=2,COUNT(F46:F57)=2),cubic_spline(F45:F47,A45:A47,B$12),IF(AND(COUNT(A46:A57)=3,COUNT(F46:F57)=3),cubic_spline(F45:F48,A45:A48,B$12),IF(AND(COUNT(A46:A57)=4,COUNT(F46:F57)=4),cubic_spline(F45:F49,A45:A49,B$12),IF(AND(COUNT(A46:A57)=5,COUNT(F46:F57)=5),cubic_spline(F45:F50,A45:A50,B$12),IF(AND(COUNT(A46:A57)=6,COUNT(F46:F57)=6),cubic_spline(F45:F51,A45:A51,B$12),IF(AND(COUNT(A46:A57)=7,COUNT(F46:F57)=7),cubic_spline(F45:F52,A45:A52,B$12),IF(AND(COUNT(A46:A57)=8,COUNT(F46:F57)=8),cubic_spline(F45:F53,A45:A53,B$12),IF(AND(COUNT(A46:A57)=9,COUNT(F46:F57)=9),cubic_spline(F45:F54,A45:A54,B$12),IF(AND(COUNT(A46:A57)=10,COUNT(F46:F57)=10),cubic_spline(F45:F55,A45:A55,B$12),IF(AND(COUNT(A46:A57)=11,COUNT(F46:F57)=11),cubic_spline(F45:F56,A45:A56,B$12),IF(AND(COUNT(A46:A57)=12,COUNT(F46:F57)=12),cubic_spline(F45:F57,A45:A57,B$12),""))))))))))))</f>
        <v/>
      </c>
      <c r="L54" s="27" t="str">
        <f>IF(I54="","",B$11&amp;"-"&amp;B$12)</f>
        <v/>
      </c>
      <c r="M54" s="52" t="str">
        <f t="shared" si="15"/>
        <v/>
      </c>
    </row>
    <row r="55" spans="1:13" x14ac:dyDescent="0.35">
      <c r="A55" s="48"/>
      <c r="B55" s="48"/>
      <c r="C55" s="49"/>
      <c r="D55" s="50"/>
      <c r="E55" s="51" t="str">
        <f t="shared" si="14"/>
        <v/>
      </c>
      <c r="F55" s="71" t="str">
        <f t="shared" si="11"/>
        <v/>
      </c>
      <c r="G55" s="69" t="str">
        <f t="shared" si="13"/>
        <v/>
      </c>
      <c r="H55" s="70" t="str">
        <f t="shared" si="12"/>
        <v/>
      </c>
      <c r="I55" s="27" t="str">
        <f>IF(N(J55)=0,"",0&amp;"-"&amp;B$13)</f>
        <v/>
      </c>
      <c r="J55" s="52" t="str">
        <f>IF(N(B$13)=0,"",IF(AND(COUNT(H46:H57)=2,COUNT(F46:F57)=2),cubic_spline(F45:F47,H45:H47,B$13),IF(AND(COUNT(H46:H57)=3,COUNT(F46:F57)=3),cubic_spline(F45:F48,H45:H48,B$13),IF(AND(COUNT(H46:H57)=4,COUNT(F46:F57)=4),cubic_spline(F45:F49,H45:H49,B$13),IF(AND(COUNT(H46:H57)=5,COUNT(F46:F57)=5),cubic_spline(F45:F50,H45:H50,B$13),IF(AND(COUNT(H46:H57)=6,COUNT(F46:F57)=6),cubic_spline(F45:F51,H45:H51,B$13),IF(AND(COUNT(H46:H57)=7,COUNT(F46:F57)=7),cubic_spline(F45:F52,H45:H52,B$13),IF(AND(COUNT(H46:H57)=8,COUNT(F46:F57)=8),cubic_spline(F45:F53,H45:H53,B$13),IF(AND(COUNT(H46:H57)=9,COUNT(F46:F57)=9),cubic_spline(F45:F54,H45:H54,B$13),IF(AND(COUNT(H46:H57)=10,COUNT(F46:F57)=10),cubic_spline(F45:F55,H45:H55,B$13),IF(AND(COUNT(H46:H57)=11,COUNT(F46:F57)=11),cubic_spline(F45:F56,H45:H56,B$13),IF(AND(COUNT(H46:H57)=12,COUNT(F46:F57)=12),cubic_spline(F45:F57,H45:H57,B$13),""))))))))))))</f>
        <v/>
      </c>
      <c r="K55" s="52" t="str">
        <f>IF(N(B$13)=0,"",IF(AND(COUNT(A46:A57)=2,COUNT(F46:F57)=2),cubic_spline(F45:F47,A45:A47,B$13),IF(AND(COUNT(A46:A57)=3,COUNT(F46:F57)=3),cubic_spline(F45:F48,A45:A48,B$13),IF(AND(COUNT(A46:A57)=4,COUNT(F46:F57)=4),cubic_spline(F45:F49,A45:A49,B$13),IF(AND(COUNT(A46:A57)=5,COUNT(F46:F57)=5),cubic_spline(F45:F50,A45:A50,B$13),IF(AND(COUNT(A46:A57)=6,COUNT(F46:F57)=6),cubic_spline(F45:F51,A45:A51,B$13),IF(AND(COUNT(A46:A57)=7,COUNT(F46:F57)=7),cubic_spline(F45:F52,A45:A52,B$13),IF(AND(COUNT(A46:A57)=8,COUNT(F46:F57)=8),cubic_spline(F45:F53,A45:A53,B$13),IF(AND(COUNT(A46:A57)=9,COUNT(F46:F57)=9),cubic_spline(F45:F54,A45:A54,B$13),IF(AND(COUNT(A46:A57)=10,COUNT(F46:F57)=10),cubic_spline(F45:F55,A45:A55,B$13),IF(AND(COUNT(A46:A57)=11,COUNT(F46:F57)=11),cubic_spline(F45:F56,A45:A56,B$13),IF(AND(COUNT(A46:A57)=12,COUNT(F46:F57)=12),cubic_spline(F45:F57,A45:A57,B$13),""))))))))))))</f>
        <v/>
      </c>
      <c r="L55" s="27" t="str">
        <f>IF(I55="","",B$12&amp;"-"&amp;B$13)</f>
        <v/>
      </c>
      <c r="M55" s="52" t="str">
        <f t="shared" si="15"/>
        <v/>
      </c>
    </row>
    <row r="56" spans="1:13" x14ac:dyDescent="0.35">
      <c r="A56" s="48"/>
      <c r="B56" s="48"/>
      <c r="C56" s="49"/>
      <c r="D56" s="50"/>
      <c r="E56" s="51" t="str">
        <f t="shared" si="14"/>
        <v/>
      </c>
      <c r="F56" s="71" t="str">
        <f t="shared" si="11"/>
        <v/>
      </c>
      <c r="G56" s="69" t="str">
        <f t="shared" si="13"/>
        <v/>
      </c>
      <c r="H56" s="70" t="str">
        <f t="shared" si="12"/>
        <v/>
      </c>
      <c r="I56" s="27" t="str">
        <f>IF(N(J56)=0,"",0&amp;"-"&amp;B$14)</f>
        <v/>
      </c>
      <c r="J56" s="52" t="str">
        <f>IF(N(B$14)=0,"",IF(AND(COUNT(H46:H57)=2,COUNT(F46:F57)=2),cubic_spline(F45:F47,H45:H47,B$14),IF(AND(COUNT(H46:H57)=3,COUNT(F46:F57)=3),cubic_spline(F45:F48,H45:H48,B$14),IF(AND(COUNT(H46:H57)=4,COUNT(F46:F57)=4),cubic_spline(F45:F49,H45:H49,B$14),IF(AND(COUNT(H46:H57)=5,COUNT(F46:F57)=5),cubic_spline(F45:F50,H45:H50,B$14),IF(AND(COUNT(H46:H57)=6,COUNT(F46:F57)=6),cubic_spline(F45:F51,H45:H51,B$14),IF(AND(COUNT(H46:H57)=7,COUNT(F46:F57)=7),cubic_spline(F45:F52,H45:H52,B$14),IF(AND(COUNT(H46:H57)=8,COUNT(F46:F57)=8),cubic_spline(F45:F53,H45:H53,B$14),IF(AND(COUNT(H46:H57)=9,COUNT(F46:F57)=9),cubic_spline(F45:F54,H45:H54,B$14),IF(AND(COUNT(H46:H57)=10,COUNT(F46:F57)=10),cubic_spline(F45:F55,H45:H55,B$14),IF(AND(COUNT(H46:H57)=11,COUNT(F46:F57)=11),cubic_spline(F45:F56,H45:H56,B$14),IF(AND(COUNT(H46:H57)=12,COUNT(F46:F57)=12),cubic_spline(F45:F57,H45:H57,B$14),""))))))))))))</f>
        <v/>
      </c>
      <c r="K56" s="52" t="str">
        <f>IF(N(B$14)=0,"",IF(AND(COUNT(A46:A57)=2,COUNT(F46:F57)=2),cubic_spline(F45:F47,A45:A47,B$14),IF(AND(COUNT(A46:A57)=3,COUNT(F46:F57)=3),cubic_spline(F45:F48,A45:A48,B$14),IF(AND(COUNT(A46:A57)=4,COUNT(F46:F57)=4),cubic_spline(F45:F49,A45:A49,B$14),IF(AND(COUNT(A46:A57)=5,COUNT(F46:F57)=5),cubic_spline(F45:F50,A45:A50,B$14),IF(AND(COUNT(A46:A57)=6,COUNT(F46:F57)=6),cubic_spline(F45:F51,A45:A51,B$14),IF(AND(COUNT(A46:A57)=7,COUNT(F46:F57)=7),cubic_spline(F45:F52,A45:A52,B$14),IF(AND(COUNT(A46:A57)=8,COUNT(F46:F57)=8),cubic_spline(F45:F53,A45:A53,B$14),IF(AND(COUNT(A46:A57)=9,COUNT(F46:F57)=9),cubic_spline(F45:F54,A45:A54,B$14),IF(AND(COUNT(A46:A57)=10,COUNT(F46:F57)=10),cubic_spline(F45:F55,A45:A55,B$14),IF(AND(COUNT(A46:A57)=11,COUNT(F46:F57)=11),cubic_spline(F45:F56,A45:A56,B$14),IF(AND(COUNT(A46:A57)=12,COUNT(F46:F57)=12),cubic_spline(F45:F57,A45:A57,B$14),""))))))))))))</f>
        <v/>
      </c>
      <c r="L56" s="27" t="str">
        <f>IF(I56="","",B$13&amp;"-"&amp;B$14)</f>
        <v/>
      </c>
      <c r="M56" s="52" t="str">
        <f t="shared" si="15"/>
        <v/>
      </c>
    </row>
    <row r="57" spans="1:13" x14ac:dyDescent="0.35">
      <c r="A57" s="48"/>
      <c r="B57" s="48"/>
      <c r="C57" s="49"/>
      <c r="D57" s="50"/>
      <c r="E57" s="51" t="str">
        <f t="shared" si="14"/>
        <v/>
      </c>
      <c r="F57" s="71" t="str">
        <f t="shared" si="11"/>
        <v/>
      </c>
      <c r="G57" s="69" t="str">
        <f t="shared" si="13"/>
        <v/>
      </c>
      <c r="H57" s="70" t="str">
        <f t="shared" si="12"/>
        <v/>
      </c>
      <c r="I57" s="27" t="str">
        <f>IF(N(J57)=0,"",0&amp;"-"&amp;B$15)</f>
        <v/>
      </c>
      <c r="J57" s="52" t="str">
        <f>IF(N(B$15)=0,"",IF(AND(COUNT(H46:H57)=2,COUNT(F46:F57)=2),cubic_spline(F45:F47,H45:H47,B$15),IF(AND(COUNT(H46:H57)=3,COUNT(F46:F57)=3),cubic_spline(F45:F48,H45:H48,B$15),IF(AND(COUNT(H46:H57)=4,COUNT(F46:F57)=4),cubic_spline(F45:F49,H45:H49,B$15),IF(AND(COUNT(H46:H57)=5,COUNT(F46:F57)=5),cubic_spline(F45:F50,H45:H50,B$15),IF(AND(COUNT(H46:H57)=6,COUNT(F46:F57)=6),cubic_spline(F45:F51,H45:H51,B$15),IF(AND(COUNT(H46:H57)=7,COUNT(F46:F57)=7),cubic_spline(F45:F52,H45:H52,B$15),IF(AND(COUNT(H46:H57)=8,COUNT(F46:F57)=8),cubic_spline(F45:F53,H45:H53,B$15),IF(AND(COUNT(H46:H57)=9,COUNT(F46:F57)=9),cubic_spline(F45:F54,H45:H54,B$15),IF(AND(COUNT(H46:H57)=10,COUNT(F46:F57)=10),cubic_spline(F45:F55,H45:H55,B$15),IF(AND(COUNT(H46:H57)=11,COUNT(F46:F57)=11),cubic_spline(F45:F56,H45:H56,B$15),IF(AND(COUNT(H46:H57)=12,COUNT(F46:F57)=12),cubic_spline(F45:F57,H45:H57,B$15),""))))))))))))</f>
        <v/>
      </c>
      <c r="K57" s="52" t="str">
        <f>IF(N(B$15)=0,"",IF(AND(COUNT(A46:A57)=2,COUNT(F46:F57)=2),cubic_spline(F45:F47,A45:A47,B$15),IF(AND(COUNT(A46:A57)=3,COUNT(F46:F57)=3),cubic_spline(F45:F48,A45:A48,B$15),IF(AND(COUNT(A46:A57)=4,COUNT(F46:F57)=4),cubic_spline(F45:F49,A45:A49,B$15),IF(AND(COUNT(A46:A57)=5,COUNT(F46:F57)=5),cubic_spline(F45:F50,A45:A50,B$15),IF(AND(COUNT(A46:A57)=6,COUNT(F46:F57)=6),cubic_spline(F45:F51,A45:A51,B$15),IF(AND(COUNT(A46:A57)=7,COUNT(F46:F57)=7),cubic_spline(F45:F52,A45:A52,B$15),IF(AND(COUNT(A46:A57)=8,COUNT(F46:F57)=8),cubic_spline(F45:F53,A45:A53,B$15),IF(AND(COUNT(A46:A57)=9,COUNT(F46:F57)=9),cubic_spline(F45:F54,A45:A54,B$15),IF(AND(COUNT(A46:A57)=10,COUNT(F46:F57)=10),cubic_spline(F45:F55,A45:A55,B$15),IF(AND(COUNT(A46:A57)=11,COUNT(F46:F57)=11),cubic_spline(F45:F56,A45:A56,B$15),IF(AND(COUNT(A46:A57)=12,COUNT(F46:F57)=12),cubic_spline(F45:F57,A45:A57,B$15),""))))))))))))</f>
        <v/>
      </c>
      <c r="L57" s="27" t="str">
        <f>IF(I57="","",B$14&amp;"-"&amp;B$15)</f>
        <v/>
      </c>
      <c r="M57" s="52" t="str">
        <f t="shared" si="15"/>
        <v/>
      </c>
    </row>
    <row r="58" spans="1:13" ht="5.15" customHeight="1" x14ac:dyDescent="0.35">
      <c r="A58" s="47"/>
      <c r="B58" s="47"/>
      <c r="C58" s="47"/>
      <c r="D58" s="53"/>
      <c r="E58" s="54"/>
      <c r="F58" s="55"/>
      <c r="G58" s="72"/>
      <c r="H58" s="73"/>
      <c r="I58" s="47"/>
      <c r="J58" s="57"/>
      <c r="K58" s="57"/>
      <c r="L58" s="55"/>
      <c r="M58" s="57"/>
    </row>
    <row r="59" spans="1:13" x14ac:dyDescent="0.35">
      <c r="A59" s="48">
        <v>8</v>
      </c>
      <c r="B59" s="48" t="s">
        <v>40</v>
      </c>
      <c r="C59" s="49">
        <v>127.4</v>
      </c>
      <c r="D59" s="50">
        <v>20.043011842080425</v>
      </c>
      <c r="E59" s="51">
        <f>IF(N(C59)=0,"",C59/PI()/($D$1/2)^2/$D$2*10000)</f>
        <v>877.28890210524457</v>
      </c>
      <c r="F59" s="68">
        <f t="shared" ref="F59:F70" si="16">IF(N(E59)=0,"",(N(E59)+N(F58)))</f>
        <v>877.28890210524457</v>
      </c>
      <c r="G59" s="69">
        <f>IF(OR(N(D59)=0,N(E59)=0),"",(E59*D59)/1000)</f>
        <v>17.58351185382115</v>
      </c>
      <c r="H59" s="70">
        <f t="shared" ref="H59:H70" si="17">IF(N(G59)=0,"",(N(G59)+N(H58)))</f>
        <v>17.58351185382115</v>
      </c>
      <c r="I59" s="27" t="str">
        <f>IF(N(J59)=0,"",0&amp;"-"&amp;B$4)</f>
        <v>0-1000</v>
      </c>
      <c r="J59" s="52">
        <f>IF(N(B$4)=0,"",IF(AND(COUNT(H59:H70)=2,COUNT(F59:F70)=2),cubic_spline(F58:F60,H58:H60,B$4),IF(AND(COUNT(H59:H70)=3,COUNT(F59:F70)=3),cubic_spline(F58:F61,H58:H61,B$4),IF(AND(COUNT(H59:H70)=4,COUNT(F59:F70)=4),cubic_spline(F58:F62,H58:H62,B$4),IF(AND(COUNT(H59:H70)=5,COUNT(F59:F70)=5),cubic_spline(F58:F63,H58:H63,B$4),IF(AND(COUNT(H59:H70)=6,COUNT(F59:F70)=6),cubic_spline(F58:F64,H58:H64,B$4),IF(AND(COUNT(H59:H70)=7,COUNT(F59:F70)=7),cubic_spline(F58:F65,H58:H65,B$4),IF(AND(COUNT(H59:H70)=8,COUNT(F59:F70)=8),cubic_spline(F58:F66,H58:H66,B$4),IF(AND(COUNT(H59:H70)=9,COUNT(F59:F70)=9),cubic_spline(F58:F67,H58:H67,B$4),IF(AND(COUNT(H59:H70)=10,COUNT(F59:F70)=10),cubic_spline(F58:F68,H58:H68,B$4),IF(AND(COUNT(H59:H70)=11,COUNT(F59:F70)=11),cubic_spline(F58:F69,H58:H69,B$4),IF(AND(COUNT(H59:H70)=12,COUNT(F59:F70)=12),cubic_spline(F58:F70,H58:H70,B$4),""))))))))))))</f>
        <v>19.457972692717057</v>
      </c>
      <c r="K59" s="52">
        <f>IF(N(B$4)=0,"",IF(AND(COUNT(A59:A70)=2,COUNT(F59:F70)=2),cubic_spline(F58:F60,A58:A60,B$4),IF(AND(COUNT(A59:A70)=3,COUNT(F59:F70)=3),cubic_spline(F58:F61,A58:A61,B$4),IF(AND(COUNT(A59:A70)=4,COUNT(F59:F70)=4),cubic_spline(F58:F62,A58:A62,B$4),IF(AND(COUNT(A59:A70)=5,COUNT(F59:F70)=5),cubic_spline(F58:F63,A58:A63,B$4),IF(AND(COUNT(A59:A70)=6,COUNT(F59:F70)=6),cubic_spline(F58:F64,A58:A64,B$4),IF(AND(COUNT(A59:A70)=7,COUNT(F59:F70)=7),cubic_spline(F58:F65,A58:A65,B$4),IF(AND(COUNT(A59:A70)=8,COUNT(F59:F70)=8),cubic_spline(F58:F66,A58:A66,B$4),IF(AND(COUNT(A59:A70)=9,COUNT(F59:F70)=9),cubic_spline(F58:F67,A58:A67,B$4),IF(AND(COUNT(A59:A70)=10,COUNT(F59:F70)=10),cubic_spline(F58:F68,A58:A68,B$4),IF(AND(COUNT(A59:A70)=11,COUNT(F59:F70)=11),cubic_spline(F58:F69,A58:A69,B$4),IF(AND(COUNT(A59:A70)=12,COUNT(F59:F70)=12),cubic_spline(F58:F70,A58:A70,B$4),""))))))))))))</f>
        <v>8.9930826282289367</v>
      </c>
      <c r="L59" s="27" t="str">
        <f>IF(I59="","",0&amp;"-"&amp;B$4)</f>
        <v>0-1000</v>
      </c>
      <c r="M59" s="52">
        <f>IF(N(J59)=0,"",J59-J58)</f>
        <v>19.457972692717057</v>
      </c>
    </row>
    <row r="60" spans="1:13" x14ac:dyDescent="0.35">
      <c r="A60" s="48">
        <v>16</v>
      </c>
      <c r="B60" s="48" t="s">
        <v>40</v>
      </c>
      <c r="C60" s="49">
        <v>158.80000000000001</v>
      </c>
      <c r="D60" s="50">
        <v>11.251199236039827</v>
      </c>
      <c r="E60" s="51">
        <f>IF(N(C60)=0,"",C60/PI()/($D$1/2)^2/$D$2*10000)</f>
        <v>1093.5123834718436</v>
      </c>
      <c r="F60" s="68">
        <f t="shared" si="16"/>
        <v>1970.801285577088</v>
      </c>
      <c r="G60" s="69">
        <f t="shared" ref="G60:G70" si="18">IF(OR(N(D60)=0,N(E60)=0),"",(E60*D60)/1000)</f>
        <v>12.303325693518499</v>
      </c>
      <c r="H60" s="70">
        <f t="shared" si="17"/>
        <v>29.886837547339649</v>
      </c>
      <c r="I60" s="27" t="str">
        <f>IF(N(J60)=0,"",0&amp;"-"&amp;B$5)</f>
        <v>0-2000</v>
      </c>
      <c r="J60" s="52">
        <f>IF(N(B$5)=0,"",IF(AND(COUNT(H59:H70)=2,COUNT(F59:F70)=2),cubic_spline(F58:F60,H58:H60,B$5),IF(AND(COUNT(H59:H70)=3,COUNT(F59:F70)=3),cubic_spline(F58:F61,H58:H61,B$5),IF(AND(COUNT(H59:H70)=4,COUNT(F59:F70)=4),cubic_spline(F58:F62,H58:H62,B$5),IF(AND(COUNT(H59:H70)=5,COUNT(F59:F70)=5),cubic_spline(F58:F63,H58:H63,B$5),IF(AND(COUNT(H59:H70)=6,COUNT(F59:F70)=6),cubic_spline(F58:F64,H58:H64,B$5),IF(AND(COUNT(H59:H70)=7,COUNT(F59:F70)=7),cubic_spline(F58:F65,H58:H65,B$5),IF(AND(COUNT(H59:H70)=8,COUNT(F59:F70)=8),cubic_spline(F58:F66,H58:H66,B$5),IF(AND(COUNT(H59:H70)=9,COUNT(F59:F70)=9),cubic_spline(F58:F67,H58:H67,B$5),IF(AND(COUNT(H59:H70)=10,COUNT(F59:F70)=10),cubic_spline(F58:F68,H58:H68,B$5),IF(AND(COUNT(H59:H70)=11,COUNT(F59:F70)=11),cubic_spline(F58:F69,H58:H69,B$5),IF(AND(COUNT(H59:H70)=12,COUNT(F59:F70)=12),cubic_spline(F58:F70,H58:H70,B$5),""))))))))))))</f>
        <v>30.150542054944896</v>
      </c>
      <c r="K60" s="52">
        <f>IF(N(B$5)=0,"",IF(AND(COUNT(A59:A70)=2,COUNT(F59:F70)=2),cubic_spline(F58:F60,A58:A60,B$5),IF(AND(COUNT(A59:A70)=3,COUNT(F59:F70)=3),cubic_spline(F58:F61,A58:A61,B$5),IF(AND(COUNT(A59:A70)=4,COUNT(F59:F70)=4),cubic_spline(F58:F62,A58:A62,B$5),IF(AND(COUNT(A59:A70)=5,COUNT(F59:F70)=5),cubic_spline(F58:F63,A58:A63,B$5),IF(AND(COUNT(A59:A70)=6,COUNT(F59:F70)=6),cubic_spline(F58:F64,A58:A64,B$5),IF(AND(COUNT(A59:A70)=7,COUNT(F59:F70)=7),cubic_spline(F58:F65,A58:A65,B$5),IF(AND(COUNT(A59:A70)=8,COUNT(F59:F70)=8),cubic_spline(F58:F66,A58:A66,B$5),IF(AND(COUNT(A59:A70)=9,COUNT(F59:F70)=9),cubic_spline(F58:F67,A58:A67,B$5),IF(AND(COUNT(A59:A70)=10,COUNT(F59:F70)=10),cubic_spline(F58:F68,A58:A68,B$5),IF(AND(COUNT(A59:A70)=11,COUNT(F59:F70)=11),cubic_spline(F58:F69,A58:A69,B$5),IF(AND(COUNT(A59:A70)=12,COUNT(F59:F70)=12),cubic_spline(F58:F70,A58:A70,B$5),""))))))))))))</f>
        <v>16.205190878674689</v>
      </c>
      <c r="L60" s="27" t="str">
        <f>IF(I60="","",B$4&amp;"-"&amp;B$5)</f>
        <v>1000-2000</v>
      </c>
      <c r="M60" s="52">
        <f>IF(N(J60)=0,"",J60-J59)</f>
        <v>10.692569362227839</v>
      </c>
    </row>
    <row r="61" spans="1:13" x14ac:dyDescent="0.35">
      <c r="A61" s="48">
        <v>32</v>
      </c>
      <c r="B61" s="48" t="s">
        <v>40</v>
      </c>
      <c r="C61" s="49">
        <v>317.60000000000002</v>
      </c>
      <c r="D61" s="50">
        <v>9.0997301001295696</v>
      </c>
      <c r="E61" s="51">
        <f>IF(N(C61)=0,"",C61/PI()/($D$1/2)^2/$D$2*10000)</f>
        <v>2187.0247669436872</v>
      </c>
      <c r="F61" s="68">
        <f t="shared" si="16"/>
        <v>4157.8260525207752</v>
      </c>
      <c r="G61" s="69">
        <f t="shared" si="18"/>
        <v>19.901335101486325</v>
      </c>
      <c r="H61" s="70">
        <f t="shared" si="17"/>
        <v>49.788172648825977</v>
      </c>
      <c r="I61" s="27" t="str">
        <f>IF(N(J61)=0,"",0&amp;"-"&amp;B$6)</f>
        <v>0-3000</v>
      </c>
      <c r="J61" s="52">
        <f>IF(N(B$6)=0,"",IF(AND(COUNT(H59:H70)=2,COUNT(F59:F70)=2),cubic_spline(F58:F60,H58:H60,B$6),IF(AND(COUNT(H59:H70)=3,COUNT(F59:F70)=3),cubic_spline(F58:F61,H58:H61,B$6),IF(AND(COUNT(H59:H70)=4,COUNT(F59:F70)=4),cubic_spline(F58:F62,H58:H62,B$6),IF(AND(COUNT(H59:H70)=5,COUNT(F59:F70)=5),cubic_spline(F58:F63,H58:H63,B$6),IF(AND(COUNT(H59:H70)=6,COUNT(F59:F70)=6),cubic_spline(F58:F64,H58:H64,B$6),IF(AND(COUNT(H59:H70)=7,COUNT(F59:F70)=7),cubic_spline(F58:F65,H58:H65,B$6),IF(AND(COUNT(H59:H70)=8,COUNT(F59:F70)=8),cubic_spline(F58:F66,H58:H66,B$6),IF(AND(COUNT(H59:H70)=9,COUNT(F59:F70)=9),cubic_spline(F58:F67,H58:H67,B$6),IF(AND(COUNT(H59:H70)=10,COUNT(F59:F70)=10),cubic_spline(F58:F68,H58:H68,B$6),IF(AND(COUNT(H59:H70)=11,COUNT(F59:F70)=11),cubic_spline(F58:F69,H58:H69,B$6),IF(AND(COUNT(H59:H70)=12,COUNT(F59:F70)=12),cubic_spline(F58:F70,H58:H70,B$6),""))))))))))))</f>
        <v>39.377008294405513</v>
      </c>
      <c r="K61" s="52">
        <f>IF(N(B$6)=0,"",IF(AND(COUNT(A59:A70)=2,COUNT(F59:F70)=2),cubic_spline(F58:F60,A58:A60,B$6),IF(AND(COUNT(A59:A70)=3,COUNT(F59:F70)=3),cubic_spline(F58:F61,A58:A61,B$6),IF(AND(COUNT(A59:A70)=4,COUNT(F59:F70)=4),cubic_spline(F58:F62,A58:A62,B$6),IF(AND(COUNT(A59:A70)=5,COUNT(F59:F70)=5),cubic_spline(F58:F63,A58:A63,B$6),IF(AND(COUNT(A59:A70)=6,COUNT(F59:F70)=6),cubic_spline(F58:F64,A58:A64,B$6),IF(AND(COUNT(A59:A70)=7,COUNT(F59:F70)=7),cubic_spline(F58:F65,A58:A65,B$6),IF(AND(COUNT(A59:A70)=8,COUNT(F59:F70)=8),cubic_spline(F58:F66,A58:A66,B$6),IF(AND(COUNT(A59:A70)=9,COUNT(F59:F70)=9),cubic_spline(F58:F67,A58:A67,B$6),IF(AND(COUNT(A59:A70)=10,COUNT(F59:F70)=10),cubic_spline(F58:F68,A58:A68,B$6),IF(AND(COUNT(A59:A70)=11,COUNT(F59:F70)=11),cubic_spline(F58:F69,A58:A69,B$6),IF(AND(COUNT(A59:A70)=12,COUNT(F59:F70)=12),cubic_spline(F58:F70,A58:A70,B$6),""))))))))))))</f>
        <v>23.47164176091071</v>
      </c>
      <c r="L61" s="27" t="str">
        <f>IF(I61="","",B$5&amp;"-"&amp;B$6)</f>
        <v>2000-3000</v>
      </c>
      <c r="M61" s="52">
        <f>IF(N(J61)=0,"",J61-J60)</f>
        <v>9.2264662394606169</v>
      </c>
    </row>
    <row r="62" spans="1:13" x14ac:dyDescent="0.35">
      <c r="A62" s="48">
        <v>48</v>
      </c>
      <c r="B62" s="48" t="s">
        <v>40</v>
      </c>
      <c r="C62" s="49">
        <v>339.8</v>
      </c>
      <c r="D62" s="50">
        <v>7.6507316293495897</v>
      </c>
      <c r="E62" s="51">
        <f>IF(N(C62)=0,"",C62/PI()/($D$1/2)^2/$D$2*10000)</f>
        <v>2339.8961454894988</v>
      </c>
      <c r="F62" s="68">
        <f t="shared" si="16"/>
        <v>6497.722198010274</v>
      </c>
      <c r="G62" s="69">
        <f t="shared" si="18"/>
        <v>17.901917449689698</v>
      </c>
      <c r="H62" s="70">
        <f t="shared" si="17"/>
        <v>67.690090098515668</v>
      </c>
      <c r="I62" s="27" t="str">
        <f>IF(N(J62)=0,"",0&amp;"-"&amp;B$7)</f>
        <v>0-4000</v>
      </c>
      <c r="J62" s="52">
        <f>IF(N(B$7)=0,"",IF(AND(COUNT(H59:H70)=2,COUNT(F59:F70)=2),cubic_spline(F58:F60,H58:H60,B$7),IF(AND(COUNT(H59:H70)=3,COUNT(F59:F70)=3),cubic_spline(F58:F61,H58:H61,B$7),IF(AND(COUNT(H59:H70)=4,COUNT(F59:F70)=4),cubic_spline(F58:F62,H58:H62,B$7),IF(AND(COUNT(H59:H70)=5,COUNT(F59:F70)=5),cubic_spline(F58:F63,H58:H63,B$7),IF(AND(COUNT(H59:H70)=6,COUNT(F59:F70)=6),cubic_spline(F58:F64,H58:H64,B$7),IF(AND(COUNT(H59:H70)=7,COUNT(F59:F70)=7),cubic_spline(F58:F65,H58:H65,B$7),IF(AND(COUNT(H59:H70)=8,COUNT(F59:F70)=8),cubic_spline(F58:F66,H58:H66,B$7),IF(AND(COUNT(H59:H70)=9,COUNT(F59:F70)=9),cubic_spline(F58:F67,H58:H67,B$7),IF(AND(COUNT(H59:H70)=10,COUNT(F59:F70)=10),cubic_spline(F58:F68,H58:H68,B$7),IF(AND(COUNT(H59:H70)=11,COUNT(F59:F70)=11),cubic_spline(F58:F69,H58:H69,B$7),IF(AND(COUNT(H59:H70)=12,COUNT(F59:F70)=12),cubic_spline(F58:F70,H58:H70,B$7),""))))))))))))</f>
        <v>48.429193273882987</v>
      </c>
      <c r="K62" s="52">
        <f>IF(N(B$7)=0,"",IF(AND(COUNT(A59:A70)=2,COUNT(F59:F70)=2),cubic_spline(F58:F60,A58:A60,B$7),IF(AND(COUNT(A59:A70)=3,COUNT(F59:F70)=3),cubic_spline(F58:F61,A58:A61,B$7),IF(AND(COUNT(A59:A70)=4,COUNT(F59:F70)=4),cubic_spline(F58:F62,A58:A62,B$7),IF(AND(COUNT(A59:A70)=5,COUNT(F59:F70)=5),cubic_spline(F58:F63,A58:A63,B$7),IF(AND(COUNT(A59:A70)=6,COUNT(F59:F70)=6),cubic_spline(F58:F64,A58:A64,B$7),IF(AND(COUNT(A59:A70)=7,COUNT(F59:F70)=7),cubic_spline(F58:F65,A58:A65,B$7),IF(AND(COUNT(A59:A70)=8,COUNT(F59:F70)=8),cubic_spline(F58:F66,A58:A66,B$7),IF(AND(COUNT(A59:A70)=9,COUNT(F59:F70)=9),cubic_spline(F58:F67,A58:A67,B$7),IF(AND(COUNT(A59:A70)=10,COUNT(F59:F70)=10),cubic_spline(F58:F68,A58:A68,B$7),IF(AND(COUNT(A59:A70)=11,COUNT(F59:F70)=11),cubic_spline(F58:F69,A58:A69,B$7),IF(AND(COUNT(A59:A70)=12,COUNT(F59:F70)=12),cubic_spline(F58:F70,A58:A70,B$7),""))))))))))))</f>
        <v>30.857084793689534</v>
      </c>
      <c r="L62" s="27" t="str">
        <f>IF(I62="","",B$6&amp;"-"&amp;B$7)</f>
        <v>3000-4000</v>
      </c>
      <c r="M62" s="52">
        <f>IF(N(J62)=0,"",J62-J61)</f>
        <v>9.0521849794774738</v>
      </c>
    </row>
    <row r="63" spans="1:13" x14ac:dyDescent="0.35">
      <c r="A63" s="48"/>
      <c r="B63" s="48"/>
      <c r="C63" s="49"/>
      <c r="D63" s="50"/>
      <c r="E63" s="51" t="str">
        <f t="shared" ref="E63:E70" si="19">IF(N(C63)=0,"",C63/PI()/($D$1/2)^2/$D$2*10000)</f>
        <v/>
      </c>
      <c r="F63" s="71" t="str">
        <f t="shared" si="16"/>
        <v/>
      </c>
      <c r="G63" s="69" t="str">
        <f t="shared" si="18"/>
        <v/>
      </c>
      <c r="H63" s="70" t="str">
        <f t="shared" si="17"/>
        <v/>
      </c>
      <c r="I63" s="27" t="str">
        <f>IF(N(J63)=0,"",0&amp;"-"&amp;B$8)</f>
        <v>0-5000</v>
      </c>
      <c r="J63" s="52">
        <f>IF(N(B$8)=0,"",IF(AND(COUNT(H59:H70)=2,COUNT(F59:F70)=2),cubic_spline(F58:F60,H58:H60,B$8),IF(AND(COUNT(H59:H70)=3,COUNT(F59:F70)=3),cubic_spline(F58:F61,H58:H61,B$8),IF(AND(COUNT(H59:H70)=4,COUNT(F59:F70)=4),cubic_spline(F58:F62,H58:H62,B$8),IF(AND(COUNT(H59:H70)=5,COUNT(F59:F70)=5),cubic_spline(F58:F63,H58:H63,B$8),IF(AND(COUNT(H59:H70)=6,COUNT(F59:F70)=6),cubic_spline(F58:F64,H58:H64,B$8),IF(AND(COUNT(H59:H70)=7,COUNT(F59:F70)=7),cubic_spline(F58:F65,H58:H65,B$8),IF(AND(COUNT(H59:H70)=8,COUNT(F59:F70)=8),cubic_spline(F58:F66,H58:H66,B$8),IF(AND(COUNT(H59:H70)=9,COUNT(F59:F70)=9),cubic_spline(F58:F67,H58:H67,B$8),IF(AND(COUNT(H59:H70)=10,COUNT(F59:F70)=10),cubic_spline(F58:F68,H58:H68,B$8),IF(AND(COUNT(H59:H70)=11,COUNT(F59:F70)=11),cubic_spline(F58:F69,H58:H69,B$8),IF(AND(COUNT(H59:H70)=12,COUNT(F59:F70)=12),cubic_spline(F58:F70,H58:H70,B$8),""))))))))))))</f>
        <v>56.618113023274567</v>
      </c>
      <c r="K63" s="52">
        <f>IF(N(B$8)=0,"",IF(AND(COUNT(A59:A70)=2,COUNT(F59:F70)=2),cubic_spline(F58:F60,A58:A60,B$8),IF(AND(COUNT(A59:A70)=3,COUNT(F59:F70)=3),cubic_spline(F58:F61,A58:A61,B$8),IF(AND(COUNT(A59:A70)=4,COUNT(F59:F70)=4),cubic_spline(F58:F62,A58:A62,B$8),IF(AND(COUNT(A59:A70)=5,COUNT(F59:F70)=5),cubic_spline(F58:F63,A58:A63,B$8),IF(AND(COUNT(A59:A70)=6,COUNT(F59:F70)=6),cubic_spline(F58:F64,A58:A64,B$8),IF(AND(COUNT(A59:A70)=7,COUNT(F59:F70)=7),cubic_spline(F58:F65,A58:A65,B$8),IF(AND(COUNT(A59:A70)=8,COUNT(F59:F70)=8),cubic_spline(F58:F66,A58:A66,B$8),IF(AND(COUNT(A59:A70)=9,COUNT(F59:F70)=9),cubic_spline(F58:F67,A58:A67,B$8),IF(AND(COUNT(A59:A70)=10,COUNT(F59:F70)=10),cubic_spline(F58:F68,A58:A68,B$8),IF(AND(COUNT(A59:A70)=11,COUNT(F59:F70)=11),cubic_spline(F58:F69,A58:A69,B$8),IF(AND(COUNT(A59:A70)=12,COUNT(F59:F70)=12),cubic_spline(F58:F70,A58:A70,B$8),""))))))))))))</f>
        <v>37.921618105831662</v>
      </c>
      <c r="L63" s="27" t="str">
        <f>IF(I63="","",B$7&amp;"-"&amp;B$8)</f>
        <v>4000-5000</v>
      </c>
      <c r="M63" s="52">
        <f>IF(N(J63)=0,"",J63-J62)</f>
        <v>8.1889197493915802</v>
      </c>
    </row>
    <row r="64" spans="1:13" x14ac:dyDescent="0.35">
      <c r="A64" s="48"/>
      <c r="B64" s="48"/>
      <c r="C64" s="49"/>
      <c r="D64" s="50"/>
      <c r="E64" s="51" t="str">
        <f t="shared" si="19"/>
        <v/>
      </c>
      <c r="F64" s="71" t="str">
        <f t="shared" si="16"/>
        <v/>
      </c>
      <c r="G64" s="69" t="str">
        <f t="shared" si="18"/>
        <v/>
      </c>
      <c r="H64" s="70" t="str">
        <f t="shared" si="17"/>
        <v/>
      </c>
      <c r="I64" s="27" t="str">
        <f>IF(N(J64)=0,"",0&amp;"-"&amp;B$9)</f>
        <v>0-6000</v>
      </c>
      <c r="J64" s="52">
        <f>IF(N(B$9)=0,"",IF(AND(COUNT(H59:H70)=2,COUNT(F59:F70)=2),cubic_spline(F58:F60,H58:H60,B$9),IF(AND(COUNT(H59:H70)=3,COUNT(F59:F70)=3),cubic_spline(F58:F61,H58:H61,B$9),IF(AND(COUNT(H59:H70)=4,COUNT(F59:F70)=4),cubic_spline(F58:F62,H58:H62,B$9),IF(AND(COUNT(H59:H70)=5,COUNT(F59:F70)=5),cubic_spline(F58:F63,H58:H63,B$9),IF(AND(COUNT(H59:H70)=6,COUNT(F59:F70)=6),cubic_spline(F58:F64,H58:H64,B$9),IF(AND(COUNT(H59:H70)=7,COUNT(F59:F70)=7),cubic_spline(F58:F65,H58:H65,B$9),IF(AND(COUNT(H59:H70)=8,COUNT(F59:F70)=8),cubic_spline(F58:F66,H58:H66,B$9),IF(AND(COUNT(H59:H70)=9,COUNT(F59:F70)=9),cubic_spline(F58:F67,H58:H67,B$9),IF(AND(COUNT(H59:H70)=10,COUNT(F59:F70)=10),cubic_spline(F58:F68,H58:H68,B$9),IF(AND(COUNT(H59:H70)=11,COUNT(F59:F70)=11),cubic_spline(F58:F69,H58:H69,B$9),IF(AND(COUNT(H59:H70)=12,COUNT(F59:F70)=12),cubic_spline(F58:F70,H58:H70,B$9),""))))))))))))</f>
        <v>64.089996077563342</v>
      </c>
      <c r="K64" s="52">
        <f>IF(N(B$9)=0,"",IF(AND(COUNT(A59:A70)=2,COUNT(F59:F70)=2),cubic_spline(F58:F60,A58:A60,B$9),IF(AND(COUNT(A59:A70)=3,COUNT(F59:F70)=3),cubic_spline(F58:F61,A58:A61,B$9),IF(AND(COUNT(A59:A70)=4,COUNT(F59:F70)=4),cubic_spline(F58:F62,A58:A62,B$9),IF(AND(COUNT(A59:A70)=5,COUNT(F59:F70)=5),cubic_spline(F58:F63,A58:A63,B$9),IF(AND(COUNT(A59:A70)=6,COUNT(F59:F70)=6),cubic_spline(F58:F64,A58:A64,B$9),IF(AND(COUNT(A59:A70)=7,COUNT(F59:F70)=7),cubic_spline(F58:F65,A58:A65,B$9),IF(AND(COUNT(A59:A70)=8,COUNT(F59:F70)=8),cubic_spline(F58:F66,A58:A66,B$9),IF(AND(COUNT(A59:A70)=9,COUNT(F59:F70)=9),cubic_spline(F58:F67,A58:A67,B$9),IF(AND(COUNT(A59:A70)=10,COUNT(F59:F70)=10),cubic_spline(F58:F68,A58:A68,B$9),IF(AND(COUNT(A59:A70)=11,COUNT(F59:F70)=11),cubic_spline(F58:F69,A58:A69,B$9),IF(AND(COUNT(A59:A70)=12,COUNT(F59:F70)=12),cubic_spline(F58:F70,A58:A70,B$9),""))))))))))))</f>
        <v>44.684183566660096</v>
      </c>
      <c r="L64" s="27" t="str">
        <f>IF(I64="","",B$8&amp;"-"&amp;B$9)</f>
        <v>5000-6000</v>
      </c>
      <c r="M64" s="52">
        <f t="shared" ref="M64:M70" si="20">IF(N(J64)=0,"",J64-J63)</f>
        <v>7.4718830542887744</v>
      </c>
    </row>
    <row r="65" spans="1:13" x14ac:dyDescent="0.35">
      <c r="A65" s="48"/>
      <c r="B65" s="48"/>
      <c r="C65" s="49"/>
      <c r="D65" s="50"/>
      <c r="E65" s="51" t="str">
        <f t="shared" si="19"/>
        <v/>
      </c>
      <c r="F65" s="71" t="str">
        <f t="shared" si="16"/>
        <v/>
      </c>
      <c r="G65" s="69" t="str">
        <f t="shared" si="18"/>
        <v/>
      </c>
      <c r="H65" s="70" t="str">
        <f t="shared" si="17"/>
        <v/>
      </c>
      <c r="I65" s="27" t="str">
        <f>IF(N(J65)=0,"",0&amp;"-"&amp;B$10)</f>
        <v/>
      </c>
      <c r="J65" s="52" t="str">
        <f>IF(N(B$10)=0,"",IF(AND(COUNT(H59:H70)=2,COUNT(F59:F70)=2),cubic_spline(F58:F60,H58:H60,B$10),IF(AND(COUNT(H59:H70)=3,COUNT(F59:F70)=3),cubic_spline(F58:F61,H58:H61,B$10),IF(AND(COUNT(H59:H70)=4,COUNT(F59:F70)=4),cubic_spline(F58:F62,H58:H62,B$10),IF(AND(COUNT(H59:H70)=5,COUNT(F59:F70)=5),cubic_spline(F58:F63,H58:H63,B$10),IF(AND(COUNT(H59:H70)=6,COUNT(F59:F70)=6),cubic_spline(F58:F64,H58:H64,B$10),IF(AND(COUNT(H59:H70)=7,COUNT(F59:F70)=7),cubic_spline(F58:F65,H58:H65,B$10),IF(AND(COUNT(H59:H70)=8,COUNT(F59:F70)=8),cubic_spline(F58:F66,H58:H66,B$10),IF(AND(COUNT(H59:H70)=9,COUNT(F59:F70)=9),cubic_spline(F58:F67,H58:H67,B$10),IF(AND(COUNT(H59:H70)=10,COUNT(F59:F70)=10),cubic_spline(F58:F68,H58:H68,B$10),IF(AND(COUNT(H59:H70)=11,COUNT(F59:F70)=11),cubic_spline(F58:F69,H58:H69,B$10),IF(AND(COUNT(H59:H70)=12,COUNT(F59:F70)=12),cubic_spline(F58:F70,H58:H70,B$10),""))))))))))))</f>
        <v/>
      </c>
      <c r="K65" s="52" t="str">
        <f>IF(N(B$10)=0,"",IF(AND(COUNT(A59:A70)=2,COUNT(F59:F70)=2),cubic_spline(F58:F60,A58:A60,B$10),IF(AND(COUNT(A59:A70)=3,COUNT(F59:F70)=3),cubic_spline(F58:F61,A58:A61,B$10),IF(AND(COUNT(A59:A70)=4,COUNT(F59:F70)=4),cubic_spline(F58:F62,A58:A62,B$10),IF(AND(COUNT(A59:A70)=5,COUNT(F59:F70)=5),cubic_spline(F58:F63,A58:A63,B$10),IF(AND(COUNT(A59:A70)=6,COUNT(F59:F70)=6),cubic_spline(F58:F64,A58:A64,B$10),IF(AND(COUNT(A59:A70)=7,COUNT(F59:F70)=7),cubic_spline(F58:F65,A58:A65,B$10),IF(AND(COUNT(A59:A70)=8,COUNT(F59:F70)=8),cubic_spline(F58:F66,A58:A66,B$10),IF(AND(COUNT(A59:A70)=9,COUNT(F59:F70)=9),cubic_spline(F58:F67,A58:A67,B$10),IF(AND(COUNT(A59:A70)=10,COUNT(F59:F70)=10),cubic_spline(F58:F68,A58:A68,B$10),IF(AND(COUNT(A59:A70)=11,COUNT(F59:F70)=11),cubic_spline(F58:F69,A58:A69,B$10),IF(AND(COUNT(A59:A70)=12,COUNT(F59:F70)=12),cubic_spline(F58:F70,A58:A70,B$10),""))))))))))))</f>
        <v/>
      </c>
      <c r="L65" s="27" t="str">
        <f>IF(I65="","",B$9&amp;"-"&amp;B$10)</f>
        <v/>
      </c>
      <c r="M65" s="52" t="str">
        <f t="shared" si="20"/>
        <v/>
      </c>
    </row>
    <row r="66" spans="1:13" x14ac:dyDescent="0.35">
      <c r="A66" s="48"/>
      <c r="B66" s="48"/>
      <c r="C66" s="49"/>
      <c r="D66" s="50"/>
      <c r="E66" s="51" t="str">
        <f t="shared" si="19"/>
        <v/>
      </c>
      <c r="F66" s="71" t="str">
        <f t="shared" si="16"/>
        <v/>
      </c>
      <c r="G66" s="69" t="str">
        <f t="shared" si="18"/>
        <v/>
      </c>
      <c r="H66" s="70" t="str">
        <f t="shared" si="17"/>
        <v/>
      </c>
      <c r="I66" s="27" t="str">
        <f>IF(N(J66)=0,"",0&amp;"-"&amp;B$11)</f>
        <v/>
      </c>
      <c r="J66" s="52" t="str">
        <f>IF(N(B$11)=0,"",IF(AND(COUNT(H59:H70)=2,COUNT(F59:F70)=2),cubic_spline(F58:F60,H58:H60,B$11),IF(AND(COUNT(H59:H70)=3,COUNT(F59:F70)=3),cubic_spline(F58:F61,H58:H61,B$11),IF(AND(COUNT(H59:H70)=4,COUNT(F59:F70)=4),cubic_spline(F58:F62,H58:H62,B$11),IF(AND(COUNT(H59:H70)=5,COUNT(F59:F70)=5),cubic_spline(F58:F63,H58:H63,B$11),IF(AND(COUNT(H59:H70)=6,COUNT(F59:F70)=6),cubic_spline(F58:F64,H58:H64,B$11),IF(AND(COUNT(H59:H70)=7,COUNT(F59:F70)=7),cubic_spline(F58:F65,H58:H65,B$11),IF(AND(COUNT(H59:H70)=8,COUNT(F59:F70)=8),cubic_spline(F58:F66,H58:H66,B$11),IF(AND(COUNT(H59:H70)=9,COUNT(F59:F70)=9),cubic_spline(F58:F67,H58:H67,B$11),IF(AND(COUNT(H59:H70)=10,COUNT(F59:F70)=10),cubic_spline(F58:F68,H58:H68,B$11),IF(AND(COUNT(H59:H70)=11,COUNT(F59:F70)=11),cubic_spline(F58:F69,H58:H69,B$11),IF(AND(COUNT(H59:H70)=12,COUNT(F59:F70)=12),cubic_spline(F58:F70,H58:H70,B$11),""))))))))))))</f>
        <v/>
      </c>
      <c r="K66" s="52" t="str">
        <f>IF(N(B$11)=0,"",IF(AND(COUNT(A59:A70)=2,COUNT(F59:F70)=2),cubic_spline(F58:F60,A58:A60,B$11),IF(AND(COUNT(A59:A70)=3,COUNT(F59:F70)=3),cubic_spline(F58:F61,A58:A61,B$11),IF(AND(COUNT(A59:A70)=4,COUNT(F59:F70)=4),cubic_spline(F58:F62,A58:A62,B$11),IF(AND(COUNT(A59:A70)=5,COUNT(F59:F70)=5),cubic_spline(F58:F63,A58:A63,B$11),IF(AND(COUNT(A59:A70)=6,COUNT(F59:F70)=6),cubic_spline(F58:F64,A58:A64,B$11),IF(AND(COUNT(A59:A70)=7,COUNT(F59:F70)=7),cubic_spline(F58:F65,A58:A65,B$11),IF(AND(COUNT(A59:A70)=8,COUNT(F59:F70)=8),cubic_spline(F58:F66,A58:A66,B$11),IF(AND(COUNT(A59:A70)=9,COUNT(F59:F70)=9),cubic_spline(F58:F67,A58:A67,B$11),IF(AND(COUNT(A59:A70)=10,COUNT(F59:F70)=10),cubic_spline(F58:F68,A58:A68,B$11),IF(AND(COUNT(A59:A70)=11,COUNT(F59:F70)=11),cubic_spline(F58:F69,A58:A69,B$11),IF(AND(COUNT(A59:A70)=12,COUNT(F59:F70)=12),cubic_spline(F58:F70,A58:A70,B$11),""))))))))))))</f>
        <v/>
      </c>
      <c r="L66" s="27" t="str">
        <f>IF(I66="","",B$10&amp;"-"&amp;B$11)</f>
        <v/>
      </c>
      <c r="M66" s="52" t="str">
        <f t="shared" si="20"/>
        <v/>
      </c>
    </row>
    <row r="67" spans="1:13" x14ac:dyDescent="0.35">
      <c r="A67" s="48"/>
      <c r="B67" s="48"/>
      <c r="C67" s="49"/>
      <c r="D67" s="50"/>
      <c r="E67" s="51" t="str">
        <f t="shared" si="19"/>
        <v/>
      </c>
      <c r="F67" s="71" t="str">
        <f t="shared" si="16"/>
        <v/>
      </c>
      <c r="G67" s="69" t="str">
        <f t="shared" si="18"/>
        <v/>
      </c>
      <c r="H67" s="70" t="str">
        <f t="shared" si="17"/>
        <v/>
      </c>
      <c r="I67" s="27" t="str">
        <f>IF(N(J67)=0,"",0&amp;"-"&amp;B$12)</f>
        <v/>
      </c>
      <c r="J67" s="52" t="str">
        <f>IF(N(B$12)=0,"",IF(AND(COUNT(H59:H70)=2,COUNT(F59:F70)=2),cubic_spline(F58:F60,H58:H60,B$12),IF(AND(COUNT(H59:H70)=3,COUNT(F59:F70)=3),cubic_spline(F58:F61,H58:H61,B$12),IF(AND(COUNT(H59:H70)=4,COUNT(F59:F70)=4),cubic_spline(F58:F62,H58:H62,B$12),IF(AND(COUNT(H59:H70)=5,COUNT(F59:F70)=5),cubic_spline(F58:F63,H58:H63,B$12),IF(AND(COUNT(H59:H70)=6,COUNT(F59:F70)=6),cubic_spline(F58:F64,H58:H64,B$12),IF(AND(COUNT(H59:H70)=7,COUNT(F59:F70)=7),cubic_spline(F58:F65,H58:H65,B$12),IF(AND(COUNT(H59:H70)=8,COUNT(F59:F70)=8),cubic_spline(F58:F66,H58:H66,B$12),IF(AND(COUNT(H59:H70)=9,COUNT(F59:F70)=9),cubic_spline(F58:F67,H58:H67,B$12),IF(AND(COUNT(H59:H70)=10,COUNT(F59:F70)=10),cubic_spline(F58:F68,H58:H68,B$12),IF(AND(COUNT(H59:H70)=11,COUNT(F59:F70)=11),cubic_spline(F58:F69,H58:H69,B$12),IF(AND(COUNT(H59:H70)=12,COUNT(F59:F70)=12),cubic_spline(F58:F70,H58:H70,B$12),""))))))))))))</f>
        <v/>
      </c>
      <c r="K67" s="52" t="str">
        <f>IF(N(B$12)=0,"",IF(AND(COUNT(A59:A70)=2,COUNT(F59:F70)=2),cubic_spline(F58:F60,A58:A60,B$12),IF(AND(COUNT(A59:A70)=3,COUNT(F59:F70)=3),cubic_spline(F58:F61,A58:A61,B$12),IF(AND(COUNT(A59:A70)=4,COUNT(F59:F70)=4),cubic_spline(F58:F62,A58:A62,B$12),IF(AND(COUNT(A59:A70)=5,COUNT(F59:F70)=5),cubic_spline(F58:F63,A58:A63,B$12),IF(AND(COUNT(A59:A70)=6,COUNT(F59:F70)=6),cubic_spline(F58:F64,A58:A64,B$12),IF(AND(COUNT(A59:A70)=7,COUNT(F59:F70)=7),cubic_spline(F58:F65,A58:A65,B$12),IF(AND(COUNT(A59:A70)=8,COUNT(F59:F70)=8),cubic_spline(F58:F66,A58:A66,B$12),IF(AND(COUNT(A59:A70)=9,COUNT(F59:F70)=9),cubic_spline(F58:F67,A58:A67,B$12),IF(AND(COUNT(A59:A70)=10,COUNT(F59:F70)=10),cubic_spline(F58:F68,A58:A68,B$12),IF(AND(COUNT(A59:A70)=11,COUNT(F59:F70)=11),cubic_spline(F58:F69,A58:A69,B$12),IF(AND(COUNT(A59:A70)=12,COUNT(F59:F70)=12),cubic_spline(F58:F70,A58:A70,B$12),""))))))))))))</f>
        <v/>
      </c>
      <c r="L67" s="27" t="str">
        <f>IF(I67="","",B$11&amp;"-"&amp;B$12)</f>
        <v/>
      </c>
      <c r="M67" s="52" t="str">
        <f t="shared" si="20"/>
        <v/>
      </c>
    </row>
    <row r="68" spans="1:13" x14ac:dyDescent="0.35">
      <c r="A68" s="48"/>
      <c r="B68" s="48"/>
      <c r="C68" s="49"/>
      <c r="D68" s="50"/>
      <c r="E68" s="51" t="str">
        <f t="shared" si="19"/>
        <v/>
      </c>
      <c r="F68" s="71" t="str">
        <f t="shared" si="16"/>
        <v/>
      </c>
      <c r="G68" s="69" t="str">
        <f t="shared" si="18"/>
        <v/>
      </c>
      <c r="H68" s="70" t="str">
        <f t="shared" si="17"/>
        <v/>
      </c>
      <c r="I68" s="27" t="str">
        <f>IF(N(J68)=0,"",0&amp;"-"&amp;B$13)</f>
        <v/>
      </c>
      <c r="J68" s="52" t="str">
        <f>IF(N(B$13)=0,"",IF(AND(COUNT(H59:H70)=2,COUNT(F59:F70)=2),cubic_spline(F58:F60,H58:H60,B$13),IF(AND(COUNT(H59:H70)=3,COUNT(F59:F70)=3),cubic_spline(F58:F61,H58:H61,B$13),IF(AND(COUNT(H59:H70)=4,COUNT(F59:F70)=4),cubic_spline(F58:F62,H58:H62,B$13),IF(AND(COUNT(H59:H70)=5,COUNT(F59:F70)=5),cubic_spline(F58:F63,H58:H63,B$13),IF(AND(COUNT(H59:H70)=6,COUNT(F59:F70)=6),cubic_spline(F58:F64,H58:H64,B$13),IF(AND(COUNT(H59:H70)=7,COUNT(F59:F70)=7),cubic_spline(F58:F65,H58:H65,B$13),IF(AND(COUNT(H59:H70)=8,COUNT(F59:F70)=8),cubic_spline(F58:F66,H58:H66,B$13),IF(AND(COUNT(H59:H70)=9,COUNT(F59:F70)=9),cubic_spline(F58:F67,H58:H67,B$13),IF(AND(COUNT(H59:H70)=10,COUNT(F59:F70)=10),cubic_spline(F58:F68,H58:H68,B$13),IF(AND(COUNT(H59:H70)=11,COUNT(F59:F70)=11),cubic_spline(F58:F69,H58:H69,B$13),IF(AND(COUNT(H59:H70)=12,COUNT(F59:F70)=12),cubic_spline(F58:F70,H58:H70,B$13),""))))))))))))</f>
        <v/>
      </c>
      <c r="K68" s="52" t="str">
        <f>IF(N(B$13)=0,"",IF(AND(COUNT(A59:A70)=2,COUNT(F59:F70)=2),cubic_spline(F58:F60,A58:A60,B$13),IF(AND(COUNT(A59:A70)=3,COUNT(F59:F70)=3),cubic_spline(F58:F61,A58:A61,B$13),IF(AND(COUNT(A59:A70)=4,COUNT(F59:F70)=4),cubic_spline(F58:F62,A58:A62,B$13),IF(AND(COUNT(A59:A70)=5,COUNT(F59:F70)=5),cubic_spline(F58:F63,A58:A63,B$13),IF(AND(COUNT(A59:A70)=6,COUNT(F59:F70)=6),cubic_spline(F58:F64,A58:A64,B$13),IF(AND(COUNT(A59:A70)=7,COUNT(F59:F70)=7),cubic_spline(F58:F65,A58:A65,B$13),IF(AND(COUNT(A59:A70)=8,COUNT(F59:F70)=8),cubic_spline(F58:F66,A58:A66,B$13),IF(AND(COUNT(A59:A70)=9,COUNT(F59:F70)=9),cubic_spline(F58:F67,A58:A67,B$13),IF(AND(COUNT(A59:A70)=10,COUNT(F59:F70)=10),cubic_spline(F58:F68,A58:A68,B$13),IF(AND(COUNT(A59:A70)=11,COUNT(F59:F70)=11),cubic_spline(F58:F69,A58:A69,B$13),IF(AND(COUNT(A59:A70)=12,COUNT(F59:F70)=12),cubic_spline(F58:F70,A58:A70,B$13),""))))))))))))</f>
        <v/>
      </c>
      <c r="L68" s="27" t="str">
        <f>IF(I68="","",B$12&amp;"-"&amp;B$13)</f>
        <v/>
      </c>
      <c r="M68" s="52" t="str">
        <f t="shared" si="20"/>
        <v/>
      </c>
    </row>
    <row r="69" spans="1:13" x14ac:dyDescent="0.35">
      <c r="A69" s="48"/>
      <c r="B69" s="48"/>
      <c r="C69" s="49"/>
      <c r="D69" s="50"/>
      <c r="E69" s="51" t="str">
        <f t="shared" si="19"/>
        <v/>
      </c>
      <c r="F69" s="71" t="str">
        <f t="shared" si="16"/>
        <v/>
      </c>
      <c r="G69" s="69" t="str">
        <f t="shared" si="18"/>
        <v/>
      </c>
      <c r="H69" s="70" t="str">
        <f t="shared" si="17"/>
        <v/>
      </c>
      <c r="I69" s="27" t="str">
        <f>IF(N(J69)=0,"",0&amp;"-"&amp;B$14)</f>
        <v/>
      </c>
      <c r="J69" s="52" t="str">
        <f>IF(N(B$14)=0,"",IF(AND(COUNT(H59:H70)=2,COUNT(F59:F70)=2),cubic_spline(F58:F60,H58:H60,B$14),IF(AND(COUNT(H59:H70)=3,COUNT(F59:F70)=3),cubic_spline(F58:F61,H58:H61,B$14),IF(AND(COUNT(H59:H70)=4,COUNT(F59:F70)=4),cubic_spline(F58:F62,H58:H62,B$14),IF(AND(COUNT(H59:H70)=5,COUNT(F59:F70)=5),cubic_spline(F58:F63,H58:H63,B$14),IF(AND(COUNT(H59:H70)=6,COUNT(F59:F70)=6),cubic_spline(F58:F64,H58:H64,B$14),IF(AND(COUNT(H59:H70)=7,COUNT(F59:F70)=7),cubic_spline(F58:F65,H58:H65,B$14),IF(AND(COUNT(H59:H70)=8,COUNT(F59:F70)=8),cubic_spline(F58:F66,H58:H66,B$14),IF(AND(COUNT(H59:H70)=9,COUNT(F59:F70)=9),cubic_spline(F58:F67,H58:H67,B$14),IF(AND(COUNT(H59:H70)=10,COUNT(F59:F70)=10),cubic_spline(F58:F68,H58:H68,B$14),IF(AND(COUNT(H59:H70)=11,COUNT(F59:F70)=11),cubic_spline(F58:F69,H58:H69,B$14),IF(AND(COUNT(H59:H70)=12,COUNT(F59:F70)=12),cubic_spline(F58:F70,H58:H70,B$14),""))))))))))))</f>
        <v/>
      </c>
      <c r="K69" s="52" t="str">
        <f>IF(N(B$14)=0,"",IF(AND(COUNT(A59:A70)=2,COUNT(F59:F70)=2),cubic_spline(F58:F60,A58:A60,B$14),IF(AND(COUNT(A59:A70)=3,COUNT(F59:F70)=3),cubic_spline(F58:F61,A58:A61,B$14),IF(AND(COUNT(A59:A70)=4,COUNT(F59:F70)=4),cubic_spline(F58:F62,A58:A62,B$14),IF(AND(COUNT(A59:A70)=5,COUNT(F59:F70)=5),cubic_spline(F58:F63,A58:A63,B$14),IF(AND(COUNT(A59:A70)=6,COUNT(F59:F70)=6),cubic_spline(F58:F64,A58:A64,B$14),IF(AND(COUNT(A59:A70)=7,COUNT(F59:F70)=7),cubic_spline(F58:F65,A58:A65,B$14),IF(AND(COUNT(A59:A70)=8,COUNT(F59:F70)=8),cubic_spline(F58:F66,A58:A66,B$14),IF(AND(COUNT(A59:A70)=9,COUNT(F59:F70)=9),cubic_spline(F58:F67,A58:A67,B$14),IF(AND(COUNT(A59:A70)=10,COUNT(F59:F70)=10),cubic_spline(F58:F68,A58:A68,B$14),IF(AND(COUNT(A59:A70)=11,COUNT(F59:F70)=11),cubic_spline(F58:F69,A58:A69,B$14),IF(AND(COUNT(A59:A70)=12,COUNT(F59:F70)=12),cubic_spline(F58:F70,A58:A70,B$14),""))))))))))))</f>
        <v/>
      </c>
      <c r="L69" s="27" t="str">
        <f>IF(I69="","",B$13&amp;"-"&amp;B$14)</f>
        <v/>
      </c>
      <c r="M69" s="52" t="str">
        <f t="shared" si="20"/>
        <v/>
      </c>
    </row>
    <row r="70" spans="1:13" x14ac:dyDescent="0.35">
      <c r="A70" s="48"/>
      <c r="B70" s="48"/>
      <c r="C70" s="49"/>
      <c r="D70" s="50"/>
      <c r="E70" s="51" t="str">
        <f t="shared" si="19"/>
        <v/>
      </c>
      <c r="F70" s="71" t="str">
        <f t="shared" si="16"/>
        <v/>
      </c>
      <c r="G70" s="69" t="str">
        <f t="shared" si="18"/>
        <v/>
      </c>
      <c r="H70" s="70" t="str">
        <f t="shared" si="17"/>
        <v/>
      </c>
      <c r="I70" s="27" t="str">
        <f>IF(N(J70)=0,"",0&amp;"-"&amp;B$15)</f>
        <v/>
      </c>
      <c r="J70" s="52" t="str">
        <f>IF(N(B$15)=0,"",IF(AND(COUNT(H59:H70)=2,COUNT(F59:F70)=2),cubic_spline(F58:F60,H58:H60,B$15),IF(AND(COUNT(H59:H70)=3,COUNT(F59:F70)=3),cubic_spline(F58:F61,H58:H61,B$15),IF(AND(COUNT(H59:H70)=4,COUNT(F59:F70)=4),cubic_spline(F58:F62,H58:H62,B$15),IF(AND(COUNT(H59:H70)=5,COUNT(F59:F70)=5),cubic_spline(F58:F63,H58:H63,B$15),IF(AND(COUNT(H59:H70)=6,COUNT(F59:F70)=6),cubic_spline(F58:F64,H58:H64,B$15),IF(AND(COUNT(H59:H70)=7,COUNT(F59:F70)=7),cubic_spline(F58:F65,H58:H65,B$15),IF(AND(COUNT(H59:H70)=8,COUNT(F59:F70)=8),cubic_spline(F58:F66,H58:H66,B$15),IF(AND(COUNT(H59:H70)=9,COUNT(F59:F70)=9),cubic_spline(F58:F67,H58:H67,B$15),IF(AND(COUNT(H59:H70)=10,COUNT(F59:F70)=10),cubic_spline(F58:F68,H58:H68,B$15),IF(AND(COUNT(H59:H70)=11,COUNT(F59:F70)=11),cubic_spline(F58:F69,H58:H69,B$15),IF(AND(COUNT(H59:H70)=12,COUNT(F59:F70)=12),cubic_spline(F58:F70,H58:H70,B$15),""))))))))))))</f>
        <v/>
      </c>
      <c r="K70" s="52" t="str">
        <f>IF(N(B$15)=0,"",IF(AND(COUNT(A59:A70)=2,COUNT(F59:F70)=2),cubic_spline(F58:F60,A58:A60,B$15),IF(AND(COUNT(A59:A70)=3,COUNT(F59:F70)=3),cubic_spline(F58:F61,A58:A61,B$15),IF(AND(COUNT(A59:A70)=4,COUNT(F59:F70)=4),cubic_spline(F58:F62,A58:A62,B$15),IF(AND(COUNT(A59:A70)=5,COUNT(F59:F70)=5),cubic_spline(F58:F63,A58:A63,B$15),IF(AND(COUNT(A59:A70)=6,COUNT(F59:F70)=6),cubic_spline(F58:F64,A58:A64,B$15),IF(AND(COUNT(A59:A70)=7,COUNT(F59:F70)=7),cubic_spline(F58:F65,A58:A65,B$15),IF(AND(COUNT(A59:A70)=8,COUNT(F59:F70)=8),cubic_spline(F58:F66,A58:A66,B$15),IF(AND(COUNT(A59:A70)=9,COUNT(F59:F70)=9),cubic_spline(F58:F67,A58:A67,B$15),IF(AND(COUNT(A59:A70)=10,COUNT(F59:F70)=10),cubic_spline(F58:F68,A58:A68,B$15),IF(AND(COUNT(A59:A70)=11,COUNT(F59:F70)=11),cubic_spline(F58:F69,A58:A69,B$15),IF(AND(COUNT(A59:A70)=12,COUNT(F59:F70)=12),cubic_spline(F58:F70,A58:A70,B$15),""))))))))))))</f>
        <v/>
      </c>
      <c r="L70" s="27" t="str">
        <f>IF(I70="","",B$14&amp;"-"&amp;B$15)</f>
        <v/>
      </c>
      <c r="M70" s="52" t="str">
        <f t="shared" si="20"/>
        <v/>
      </c>
    </row>
    <row r="71" spans="1:13" ht="5.15" customHeight="1" x14ac:dyDescent="0.35">
      <c r="A71" s="47"/>
      <c r="B71" s="47"/>
      <c r="C71" s="47"/>
      <c r="D71" s="53"/>
      <c r="E71" s="54"/>
      <c r="F71" s="55"/>
      <c r="G71" s="72"/>
      <c r="H71" s="73"/>
      <c r="I71" s="47"/>
      <c r="J71" s="57"/>
      <c r="K71" s="57"/>
      <c r="L71" s="55"/>
      <c r="M71" s="57"/>
    </row>
    <row r="72" spans="1:13" x14ac:dyDescent="0.35">
      <c r="A72" s="48">
        <v>8</v>
      </c>
      <c r="B72" s="48" t="s">
        <v>41</v>
      </c>
      <c r="C72" s="49">
        <v>125.5</v>
      </c>
      <c r="D72" s="50">
        <v>19.879660587333586</v>
      </c>
      <c r="E72" s="51">
        <f>IF(N(C72)=0,"",C72/PI()/($D$1/2)^2/$D$2*10000)</f>
        <v>864.20531565312558</v>
      </c>
      <c r="F72" s="68">
        <f t="shared" ref="F72:F83" si="21">IF(N(E72)=0,"",(N(E72)+N(F71)))</f>
        <v>864.20531565312558</v>
      </c>
      <c r="G72" s="69">
        <f>IF(OR(N(D72)=0,N(E72)=0),"",(E72*D72)/1000)</f>
        <v>17.180108352953624</v>
      </c>
      <c r="H72" s="70">
        <f t="shared" ref="H72:H83" si="22">IF(N(G72)=0,"",(N(G72)+N(H71)))</f>
        <v>17.180108352953624</v>
      </c>
      <c r="I72" s="27" t="str">
        <f>IF(N(J72)=0,"",0&amp;"-"&amp;B$4)</f>
        <v>0-1000</v>
      </c>
      <c r="J72" s="52">
        <f>IF(N(B$4)=0,"",IF(AND(COUNT(H72:H83)=2,COUNT(F72:F83)=2),cubic_spline(F71:F73,H71:H73,B$4),IF(AND(COUNT(H72:H83)=3,COUNT(F72:F83)=3),cubic_spline(F71:F74,H71:H74,B$4),IF(AND(COUNT(H72:H83)=4,COUNT(F72:F83)=4),cubic_spline(F71:F75,H71:H75,B$4),IF(AND(COUNT(H72:H83)=5,COUNT(F72:F83)=5),cubic_spline(F71:F76,H71:H76,B$4),IF(AND(COUNT(H72:H83)=6,COUNT(F72:F83)=6),cubic_spline(F71:F77,H71:H77,B$4),IF(AND(COUNT(H72:H83)=7,COUNT(F72:F83)=7),cubic_spline(F71:F78,H71:H78,B$4),IF(AND(COUNT(H72:H83)=8,COUNT(F72:F83)=8),cubic_spline(F71:F79,H71:H79,B$4),IF(AND(COUNT(H72:H83)=9,COUNT(F72:F83)=9),cubic_spline(F71:F80,H71:H80,B$4),IF(AND(COUNT(H72:H83)=10,COUNT(F72:F83)=10),cubic_spline(F71:F81,H71:H81,B$4),IF(AND(COUNT(H72:H83)=11,COUNT(F72:F83)=11),cubic_spline(F71:F82,H71:H82,B$4),IF(AND(COUNT(H72:H83)=12,COUNT(F72:F83)=12),cubic_spline(F71:F83,H71:H83,B$4),""))))))))))))</f>
        <v>19.132086218443479</v>
      </c>
      <c r="K72" s="52">
        <f>IF(N(B$4)=0,"",IF(AND(COUNT(A72:A83)=2,COUNT(F72:F83)=2),cubic_spline(F71:F73,A71:A73,B$4),IF(AND(COUNT(A72:A83)=3,COUNT(F72:F83)=3),cubic_spline(F71:F74,A71:A74,B$4),IF(AND(COUNT(A72:A83)=4,COUNT(F72:F83)=4),cubic_spline(F71:F75,A71:A75,B$4),IF(AND(COUNT(A72:A83)=5,COUNT(F72:F83)=5),cubic_spline(F71:F76,A71:A76,B$4),IF(AND(COUNT(A72:A83)=6,COUNT(F72:F83)=6),cubic_spline(F71:F77,A71:A77,B$4),IF(AND(COUNT(A72:A83)=7,COUNT(F72:F83)=7),cubic_spline(F71:F78,A71:A78,B$4),IF(AND(COUNT(A72:A83)=8,COUNT(F72:F83)=8),cubic_spline(F71:F79,A71:A79,B$4),IF(AND(COUNT(A72:A83)=9,COUNT(F72:F83)=9),cubic_spline(F71:F80,A71:A80,B$4),IF(AND(COUNT(A72:A83)=10,COUNT(F72:F83)=10),cubic_spline(F71:F81,A71:A81,B$4),IF(AND(COUNT(A72:A83)=11,COUNT(F72:F83)=11),cubic_spline(F71:F82,A71:A82,B$4),IF(AND(COUNT(A72:A83)=12,COUNT(F72:F83)=12),cubic_spline(F71:F83,A71:A83,B$4),""))))))))))))</f>
        <v>9.1610177207580445</v>
      </c>
      <c r="L72" s="27" t="str">
        <f>IF(I72="","",0&amp;"-"&amp;B$4)</f>
        <v>0-1000</v>
      </c>
      <c r="M72" s="52">
        <f>IF(N(J72)=0,"",J72-J71)</f>
        <v>19.132086218443479</v>
      </c>
    </row>
    <row r="73" spans="1:13" x14ac:dyDescent="0.35">
      <c r="A73" s="48">
        <v>16</v>
      </c>
      <c r="B73" s="48" t="s">
        <v>41</v>
      </c>
      <c r="C73" s="49">
        <v>146.9</v>
      </c>
      <c r="D73" s="50">
        <v>10.157388911017502</v>
      </c>
      <c r="E73" s="51">
        <f>IF(N(C73)=0,"",C73/PI()/($D$1/2)^2/$D$2*10000)</f>
        <v>1011.5678156927821</v>
      </c>
      <c r="F73" s="68">
        <f t="shared" si="21"/>
        <v>1875.7731313459076</v>
      </c>
      <c r="G73" s="69">
        <f t="shared" ref="G73:G83" si="23">IF(OR(N(D73)=0,N(E73)=0),"",(E73*D73)/1000)</f>
        <v>10.274887713860062</v>
      </c>
      <c r="H73" s="70">
        <f t="shared" si="22"/>
        <v>27.454996066813685</v>
      </c>
      <c r="I73" s="27" t="str">
        <f>IF(N(J73)=0,"",0&amp;"-"&amp;B$5)</f>
        <v>0-2000</v>
      </c>
      <c r="J73" s="52">
        <f>IF(N(B$5)=0,"",IF(AND(COUNT(H72:H83)=2,COUNT(F72:F83)=2),cubic_spline(F71:F73,H71:H73,B$5),IF(AND(COUNT(H72:H83)=3,COUNT(F72:F83)=3),cubic_spline(F71:F74,H71:H74,B$5),IF(AND(COUNT(H72:H83)=4,COUNT(F72:F83)=4),cubic_spline(F71:F75,H71:H75,B$5),IF(AND(COUNT(H72:H83)=5,COUNT(F72:F83)=5),cubic_spline(F71:F76,H71:H76,B$5),IF(AND(COUNT(H72:H83)=6,COUNT(F72:F83)=6),cubic_spline(F71:F77,H71:H77,B$5),IF(AND(COUNT(H72:H83)=7,COUNT(F72:F83)=7),cubic_spline(F71:F78,H71:H78,B$5),IF(AND(COUNT(H72:H83)=8,COUNT(F72:F83)=8),cubic_spline(F71:F79,H71:H79,B$5),IF(AND(COUNT(H72:H83)=9,COUNT(F72:F83)=9),cubic_spline(F71:F80,H71:H80,B$5),IF(AND(COUNT(H72:H83)=10,COUNT(F72:F83)=10),cubic_spline(F71:F81,H71:H81,B$5),IF(AND(COUNT(H72:H83)=11,COUNT(F72:F83)=11),cubic_spline(F71:F82,H71:H82,B$5),IF(AND(COUNT(H72:H83)=12,COUNT(F72:F83)=12),cubic_spline(F71:F83,H71:H83,B$5),""))))))))))))</f>
        <v>28.399357070221903</v>
      </c>
      <c r="K73" s="52">
        <f>IF(N(B$5)=0,"",IF(AND(COUNT(A72:A83)=2,COUNT(F72:F83)=2),cubic_spline(F71:F73,A71:A73,B$5),IF(AND(COUNT(A72:A83)=3,COUNT(F72:F83)=3),cubic_spline(F71:F74,A71:A74,B$5),IF(AND(COUNT(A72:A83)=4,COUNT(F72:F83)=4),cubic_spline(F71:F75,A71:A75,B$5),IF(AND(COUNT(A72:A83)=5,COUNT(F72:F83)=5),cubic_spline(F71:F76,A71:A76,B$5),IF(AND(COUNT(A72:A83)=6,COUNT(F72:F83)=6),cubic_spline(F71:F77,A71:A77,B$5),IF(AND(COUNT(A72:A83)=7,COUNT(F72:F83)=7),cubic_spline(F71:F78,A71:A78,B$5),IF(AND(COUNT(A72:A83)=8,COUNT(F72:F83)=8),cubic_spline(F71:F79,A71:A79,B$5),IF(AND(COUNT(A72:A83)=9,COUNT(F72:F83)=9),cubic_spline(F71:F80,A71:A80,B$5),IF(AND(COUNT(A72:A83)=10,COUNT(F72:F83)=10),cubic_spline(F71:F81,A71:A81,B$5),IF(AND(COUNT(A72:A83)=11,COUNT(F72:F83)=11),cubic_spline(F71:F82,A71:A82,B$5),IF(AND(COUNT(A72:A83)=12,COUNT(F72:F83)=12),cubic_spline(F71:F83,A71:A83,B$5),""))))))))))))</f>
        <v>16.911714888366625</v>
      </c>
      <c r="L73" s="27" t="str">
        <f>IF(I73="","",B$4&amp;"-"&amp;B$5)</f>
        <v>1000-2000</v>
      </c>
      <c r="M73" s="52">
        <f>IF(N(J73)=0,"",J73-J72)</f>
        <v>9.2672708517784237</v>
      </c>
    </row>
    <row r="74" spans="1:13" x14ac:dyDescent="0.35">
      <c r="A74" s="48">
        <v>32</v>
      </c>
      <c r="B74" s="48" t="s">
        <v>41</v>
      </c>
      <c r="C74" s="49">
        <v>324.39999999999998</v>
      </c>
      <c r="D74" s="50">
        <v>7.5046249446946964</v>
      </c>
      <c r="E74" s="51">
        <f>IF(N(C74)=0,"",C74/PI()/($D$1/2)^2/$D$2*10000)</f>
        <v>2233.8502342460074</v>
      </c>
      <c r="F74" s="68">
        <f t="shared" si="21"/>
        <v>4109.623365591915</v>
      </c>
      <c r="G74" s="69">
        <f t="shared" si="23"/>
        <v>16.76420819063468</v>
      </c>
      <c r="H74" s="70">
        <f t="shared" si="22"/>
        <v>44.219204257448368</v>
      </c>
      <c r="I74" s="27" t="str">
        <f>IF(N(J74)=0,"",0&amp;"-"&amp;B$6)</f>
        <v>0-3000</v>
      </c>
      <c r="J74" s="52">
        <f>IF(N(B$6)=0,"",IF(AND(COUNT(H72:H83)=2,COUNT(F72:F83)=2),cubic_spline(F71:F73,H71:H73,B$6),IF(AND(COUNT(H72:H83)=3,COUNT(F72:F83)=3),cubic_spline(F71:F74,H71:H74,B$6),IF(AND(COUNT(H72:H83)=4,COUNT(F72:F83)=4),cubic_spline(F71:F75,H71:H75,B$6),IF(AND(COUNT(H72:H83)=5,COUNT(F72:F83)=5),cubic_spline(F71:F76,H71:H76,B$6),IF(AND(COUNT(H72:H83)=6,COUNT(F72:F83)=6),cubic_spline(F71:F77,H71:H77,B$6),IF(AND(COUNT(H72:H83)=7,COUNT(F72:F83)=7),cubic_spline(F71:F78,H71:H78,B$6),IF(AND(COUNT(H72:H83)=8,COUNT(F72:F83)=8),cubic_spline(F71:F79,H71:H79,B$6),IF(AND(COUNT(H72:H83)=9,COUNT(F72:F83)=9),cubic_spline(F71:F80,H71:H80,B$6),IF(AND(COUNT(H72:H83)=10,COUNT(F72:F83)=10),cubic_spline(F71:F81,H71:H81,B$6),IF(AND(COUNT(H72:H83)=11,COUNT(F72:F83)=11),cubic_spline(F71:F82,H71:H82,B$6),IF(AND(COUNT(H72:H83)=12,COUNT(F72:F83)=12),cubic_spline(F71:F83,H71:H83,B$6),""))))))))))))</f>
        <v>36.023896011312054</v>
      </c>
      <c r="K74" s="52">
        <f>IF(N(B$6)=0,"",IF(AND(COUNT(A72:A83)=2,COUNT(F72:F83)=2),cubic_spline(F71:F73,A71:A73,B$6),IF(AND(COUNT(A72:A83)=3,COUNT(F72:F83)=3),cubic_spline(F71:F74,A71:A74,B$6),IF(AND(COUNT(A72:A83)=4,COUNT(F72:F83)=4),cubic_spline(F71:F75,A71:A75,B$6),IF(AND(COUNT(A72:A83)=5,COUNT(F72:F83)=5),cubic_spline(F71:F76,A71:A76,B$6),IF(AND(COUNT(A72:A83)=6,COUNT(F72:F83)=6),cubic_spline(F71:F77,A71:A77,B$6),IF(AND(COUNT(A72:A83)=7,COUNT(F72:F83)=7),cubic_spline(F71:F78,A71:A78,B$6),IF(AND(COUNT(A72:A83)=8,COUNT(F72:F83)=8),cubic_spline(F71:F79,A71:A79,B$6),IF(AND(COUNT(A72:A83)=9,COUNT(F72:F83)=9),cubic_spline(F71:F80,A71:A80,B$6),IF(AND(COUNT(A72:A83)=10,COUNT(F72:F83)=10),cubic_spline(F71:F81,A71:A81,B$6),IF(AND(COUNT(A72:A83)=11,COUNT(F72:F83)=11),cubic_spline(F71:F82,A71:A82,B$6),IF(AND(COUNT(A72:A83)=12,COUNT(F72:F83)=12),cubic_spline(F71:F83,A71:A83,B$6),""))))))))))))</f>
        <v>24.046159835711475</v>
      </c>
      <c r="L74" s="27" t="str">
        <f>IF(I74="","",B$5&amp;"-"&amp;B$6)</f>
        <v>2000-3000</v>
      </c>
      <c r="M74" s="52">
        <f>IF(N(J74)=0,"",J74-J73)</f>
        <v>7.624538941090151</v>
      </c>
    </row>
    <row r="75" spans="1:13" x14ac:dyDescent="0.35">
      <c r="A75" s="48">
        <v>48</v>
      </c>
      <c r="B75" s="48" t="s">
        <v>41</v>
      </c>
      <c r="C75" s="49">
        <v>297.7</v>
      </c>
      <c r="D75" s="50">
        <v>6.7029122439948878</v>
      </c>
      <c r="E75" s="51">
        <f>IF(N(C75)=0,"",C75/PI()/($D$1/2)^2/$D$2*10000)</f>
        <v>2049.9914141030717</v>
      </c>
      <c r="F75" s="68">
        <f t="shared" si="21"/>
        <v>6159.6147796949863</v>
      </c>
      <c r="G75" s="69">
        <f t="shared" si="23"/>
        <v>13.740912549675873</v>
      </c>
      <c r="H75" s="70">
        <f t="shared" si="22"/>
        <v>57.960116807124237</v>
      </c>
      <c r="I75" s="27" t="str">
        <f>IF(N(J75)=0,"",0&amp;"-"&amp;B$7)</f>
        <v>0-4000</v>
      </c>
      <c r="J75" s="52">
        <f>IF(N(B$7)=0,"",IF(AND(COUNT(H72:H83)=2,COUNT(F72:F83)=2),cubic_spline(F71:F73,H71:H73,B$7),IF(AND(COUNT(H72:H83)=3,COUNT(F72:F83)=3),cubic_spline(F71:F74,H71:H74,B$7),IF(AND(COUNT(H72:H83)=4,COUNT(F72:F83)=4),cubic_spline(F71:F75,H71:H75,B$7),IF(AND(COUNT(H72:H83)=5,COUNT(F72:F83)=5),cubic_spline(F71:F76,H71:H76,B$7),IF(AND(COUNT(H72:H83)=6,COUNT(F72:F83)=6),cubic_spline(F71:F77,H71:H77,B$7),IF(AND(COUNT(H72:H83)=7,COUNT(F72:F83)=7),cubic_spline(F71:F78,H71:H78,B$7),IF(AND(COUNT(H72:H83)=8,COUNT(F72:F83)=8),cubic_spline(F71:F79,H71:H79,B$7),IF(AND(COUNT(H72:H83)=9,COUNT(F72:F83)=9),cubic_spline(F71:F80,H71:H80,B$7),IF(AND(COUNT(H72:H83)=10,COUNT(F72:F83)=10),cubic_spline(F71:F81,H71:H81,B$7),IF(AND(COUNT(H72:H83)=11,COUNT(F72:F83)=11),cubic_spline(F71:F82,H71:H82,B$7),IF(AND(COUNT(H72:H83)=12,COUNT(F72:F83)=12),cubic_spline(F71:F83,H71:H83,B$7),""))))))))))))</f>
        <v>43.435059342892977</v>
      </c>
      <c r="K75" s="52">
        <f>IF(N(B$7)=0,"",IF(AND(COUNT(A72:A83)=2,COUNT(F72:F83)=2),cubic_spline(F71:F73,A71:A73,B$7),IF(AND(COUNT(A72:A83)=3,COUNT(F72:F83)=3),cubic_spline(F71:F74,A71:A74,B$7),IF(AND(COUNT(A72:A83)=4,COUNT(F72:F83)=4),cubic_spline(F71:F75,A71:A75,B$7),IF(AND(COUNT(A72:A83)=5,COUNT(F72:F83)=5),cubic_spline(F71:F76,A71:A76,B$7),IF(AND(COUNT(A72:A83)=6,COUNT(F72:F83)=6),cubic_spline(F71:F77,A71:A77,B$7),IF(AND(COUNT(A72:A83)=7,COUNT(F72:F83)=7),cubic_spline(F71:F78,A71:A78,B$7),IF(AND(COUNT(A72:A83)=8,COUNT(F72:F83)=8),cubic_spline(F71:F79,A71:A79,B$7),IF(AND(COUNT(A72:A83)=9,COUNT(F72:F83)=9),cubic_spline(F71:F80,A71:A80,B$7),IF(AND(COUNT(A72:A83)=10,COUNT(F72:F83)=10),cubic_spline(F71:F81,A71:A81,B$7),IF(AND(COUNT(A72:A83)=11,COUNT(F72:F83)=11),cubic_spline(F71:F82,A71:A82,B$7),IF(AND(COUNT(A72:A83)=12,COUNT(F72:F83)=12),cubic_spline(F71:F83,A71:A83,B$7),""))))))))))))</f>
        <v>31.193032879560128</v>
      </c>
      <c r="L75" s="27" t="str">
        <f>IF(I75="","",B$6&amp;"-"&amp;B$7)</f>
        <v>3000-4000</v>
      </c>
      <c r="M75" s="52">
        <f>IF(N(J75)=0,"",J75-J74)</f>
        <v>7.4111633315809229</v>
      </c>
    </row>
    <row r="76" spans="1:13" x14ac:dyDescent="0.35">
      <c r="A76" s="48"/>
      <c r="B76" s="48"/>
      <c r="C76" s="49"/>
      <c r="D76" s="50"/>
      <c r="E76" s="51" t="str">
        <f t="shared" ref="E76:E83" si="24">IF(N(C76)=0,"",C76/PI()/($D$1/2)^2/$D$2*10000)</f>
        <v/>
      </c>
      <c r="F76" s="71" t="str">
        <f t="shared" si="21"/>
        <v/>
      </c>
      <c r="G76" s="69" t="str">
        <f t="shared" si="23"/>
        <v/>
      </c>
      <c r="H76" s="70" t="str">
        <f t="shared" si="22"/>
        <v/>
      </c>
      <c r="I76" s="27" t="str">
        <f>IF(N(J76)=0,"",0&amp;"-"&amp;B$8)</f>
        <v>0-5000</v>
      </c>
      <c r="J76" s="52">
        <f>IF(N(B$8)=0,"",IF(AND(COUNT(H72:H83)=2,COUNT(F72:F83)=2),cubic_spline(F71:F73,H71:H73,B$8),IF(AND(COUNT(H72:H83)=3,COUNT(F72:F83)=3),cubic_spline(F71:F74,H71:H74,B$8),IF(AND(COUNT(H72:H83)=4,COUNT(F72:F83)=4),cubic_spline(F71:F75,H71:H75,B$8),IF(AND(COUNT(H72:H83)=5,COUNT(F72:F83)=5),cubic_spline(F71:F76,H71:H76,B$8),IF(AND(COUNT(H72:H83)=6,COUNT(F72:F83)=6),cubic_spline(F71:F77,H71:H77,B$8),IF(AND(COUNT(H72:H83)=7,COUNT(F72:F83)=7),cubic_spline(F71:F78,H71:H78,B$8),IF(AND(COUNT(H72:H83)=8,COUNT(F72:F83)=8),cubic_spline(F71:F79,H71:H79,B$8),IF(AND(COUNT(H72:H83)=9,COUNT(F72:F83)=9),cubic_spline(F71:F80,H71:H80,B$8),IF(AND(COUNT(H72:H83)=10,COUNT(F72:F83)=10),cubic_spline(F71:F81,H71:H81,B$8),IF(AND(COUNT(H72:H83)=11,COUNT(F72:F83)=11),cubic_spline(F71:F82,H71:H82,B$8),IF(AND(COUNT(H72:H83)=12,COUNT(F72:F83)=12),cubic_spline(F71:F83,H71:H83,B$8),""))))))))))))</f>
        <v>50.351881931244392</v>
      </c>
      <c r="K76" s="52">
        <f>IF(N(B$8)=0,"",IF(AND(COUNT(A72:A83)=2,COUNT(F72:F83)=2),cubic_spline(F71:F73,A71:A73,B$8),IF(AND(COUNT(A72:A83)=3,COUNT(F72:F83)=3),cubic_spline(F71:F74,A71:A74,B$8),IF(AND(COUNT(A72:A83)=4,COUNT(F72:F83)=4),cubic_spline(F71:F75,A71:A75,B$8),IF(AND(COUNT(A72:A83)=5,COUNT(F72:F83)=5),cubic_spline(F71:F76,A71:A76,B$8),IF(AND(COUNT(A72:A83)=6,COUNT(F72:F83)=6),cubic_spline(F71:F77,A71:A77,B$8),IF(AND(COUNT(A72:A83)=7,COUNT(F72:F83)=7),cubic_spline(F71:F78,A71:A78,B$8),IF(AND(COUNT(A72:A83)=8,COUNT(F72:F83)=8),cubic_spline(F71:F79,A71:A79,B$8),IF(AND(COUNT(A72:A83)=9,COUNT(F72:F83)=9),cubic_spline(F71:F80,A71:A80,B$8),IF(AND(COUNT(A72:A83)=10,COUNT(F72:F83)=10),cubic_spline(F71:F81,A71:A81,B$8),IF(AND(COUNT(A72:A83)=11,COUNT(F72:F83)=11),cubic_spline(F71:F82,A71:A82,B$8),IF(AND(COUNT(A72:A83)=12,COUNT(F72:F83)=12),cubic_spline(F71:F83,A71:A83,B$8),""))))))))))))</f>
        <v>38.786980662001724</v>
      </c>
      <c r="L76" s="27" t="str">
        <f>IF(I76="","",B$7&amp;"-"&amp;B$8)</f>
        <v>4000-5000</v>
      </c>
      <c r="M76" s="52">
        <f>IF(N(J76)=0,"",J76-J75)</f>
        <v>6.9168225883514154</v>
      </c>
    </row>
    <row r="77" spans="1:13" x14ac:dyDescent="0.35">
      <c r="A77" s="48"/>
      <c r="B77" s="48"/>
      <c r="C77" s="49"/>
      <c r="D77" s="50"/>
      <c r="E77" s="51" t="str">
        <f t="shared" si="24"/>
        <v/>
      </c>
      <c r="F77" s="71" t="str">
        <f t="shared" si="21"/>
        <v/>
      </c>
      <c r="G77" s="69" t="str">
        <f t="shared" si="23"/>
        <v/>
      </c>
      <c r="H77" s="70" t="str">
        <f t="shared" si="22"/>
        <v/>
      </c>
      <c r="I77" s="27" t="str">
        <f>IF(N(J77)=0,"",0&amp;"-"&amp;B$9)</f>
        <v>0-6000</v>
      </c>
      <c r="J77" s="52">
        <f>IF(N(B$9)=0,"",IF(AND(COUNT(H72:H83)=2,COUNT(F72:F83)=2),cubic_spline(F71:F73,H71:H73,B$9),IF(AND(COUNT(H72:H83)=3,COUNT(F72:F83)=3),cubic_spline(F71:F74,H71:H74,B$9),IF(AND(COUNT(H72:H83)=4,COUNT(F72:F83)=4),cubic_spline(F71:F75,H71:H75,B$9),IF(AND(COUNT(H72:H83)=5,COUNT(F72:F83)=5),cubic_spline(F71:F76,H71:H76,B$9),IF(AND(COUNT(H72:H83)=6,COUNT(F72:F83)=6),cubic_spline(F71:F77,H71:H77,B$9),IF(AND(COUNT(H72:H83)=7,COUNT(F72:F83)=7),cubic_spline(F71:F78,H71:H78,B$9),IF(AND(COUNT(H72:H83)=8,COUNT(F72:F83)=8),cubic_spline(F71:F79,H71:H79,B$9),IF(AND(COUNT(H72:H83)=9,COUNT(F72:F83)=9),cubic_spline(F71:F80,H71:H80,B$9),IF(AND(COUNT(H72:H83)=10,COUNT(F72:F83)=10),cubic_spline(F71:F81,H71:H81,B$9),IF(AND(COUNT(H72:H83)=11,COUNT(F72:F83)=11),cubic_spline(F71:F82,H71:H82,B$9),IF(AND(COUNT(H72:H83)=12,COUNT(F72:F83)=12),cubic_spline(F71:F83,H71:H83,B$9),""))))))))))))</f>
        <v>56.923340933072481</v>
      </c>
      <c r="K77" s="52">
        <f>IF(N(B$9)=0,"",IF(AND(COUNT(A72:A83)=2,COUNT(F72:F83)=2),cubic_spline(F71:F73,A71:A73,B$9),IF(AND(COUNT(A72:A83)=3,COUNT(F72:F83)=3),cubic_spline(F71:F74,A71:A74,B$9),IF(AND(COUNT(A72:A83)=4,COUNT(F72:F83)=4),cubic_spline(F71:F75,A71:A75,B$9),IF(AND(COUNT(A72:A83)=5,COUNT(F72:F83)=5),cubic_spline(F71:F76,A71:A76,B$9),IF(AND(COUNT(A72:A83)=6,COUNT(F72:F83)=6),cubic_spline(F71:F77,A71:A77,B$9),IF(AND(COUNT(A72:A83)=7,COUNT(F72:F83)=7),cubic_spline(F71:F78,A71:A78,B$9),IF(AND(COUNT(A72:A83)=8,COUNT(F72:F83)=8),cubic_spline(F71:F79,A71:A79,B$9),IF(AND(COUNT(A72:A83)=9,COUNT(F72:F83)=9),cubic_spline(F71:F80,A71:A80,B$9),IF(AND(COUNT(A72:A83)=10,COUNT(F72:F83)=10),cubic_spline(F71:F81,A71:A81,B$9),IF(AND(COUNT(A72:A83)=11,COUNT(F72:F83)=11),cubic_spline(F71:F82,A71:A82,B$9),IF(AND(COUNT(A72:A83)=12,COUNT(F72:F83)=12),cubic_spline(F71:F83,A71:A83,B$9),""))))))))))))</f>
        <v>46.721562623098144</v>
      </c>
      <c r="L77" s="27" t="str">
        <f>IF(I77="","",B$8&amp;"-"&amp;B$9)</f>
        <v>5000-6000</v>
      </c>
      <c r="M77" s="52">
        <f t="shared" ref="M77:M83" si="25">IF(N(J77)=0,"",J77-J76)</f>
        <v>6.5714590018280887</v>
      </c>
    </row>
    <row r="78" spans="1:13" x14ac:dyDescent="0.35">
      <c r="A78" s="48"/>
      <c r="B78" s="48"/>
      <c r="C78" s="49"/>
      <c r="D78" s="50"/>
      <c r="E78" s="51" t="str">
        <f t="shared" si="24"/>
        <v/>
      </c>
      <c r="F78" s="71" t="str">
        <f t="shared" si="21"/>
        <v/>
      </c>
      <c r="G78" s="69" t="str">
        <f t="shared" si="23"/>
        <v/>
      </c>
      <c r="H78" s="70" t="str">
        <f t="shared" si="22"/>
        <v/>
      </c>
      <c r="I78" s="27" t="str">
        <f>IF(N(J78)=0,"",0&amp;"-"&amp;B$10)</f>
        <v/>
      </c>
      <c r="J78" s="52" t="str">
        <f>IF(N(B$10)=0,"",IF(AND(COUNT(H72:H83)=2,COUNT(F72:F83)=2),cubic_spline(F71:F73,H71:H73,B$10),IF(AND(COUNT(H72:H83)=3,COUNT(F72:F83)=3),cubic_spline(F71:F74,H71:H74,B$10),IF(AND(COUNT(H72:H83)=4,COUNT(F72:F83)=4),cubic_spline(F71:F75,H71:H75,B$10),IF(AND(COUNT(H72:H83)=5,COUNT(F72:F83)=5),cubic_spline(F71:F76,H71:H76,B$10),IF(AND(COUNT(H72:H83)=6,COUNT(F72:F83)=6),cubic_spline(F71:F77,H71:H77,B$10),IF(AND(COUNT(H72:H83)=7,COUNT(F72:F83)=7),cubic_spline(F71:F78,H71:H78,B$10),IF(AND(COUNT(H72:H83)=8,COUNT(F72:F83)=8),cubic_spline(F71:F79,H71:H79,B$10),IF(AND(COUNT(H72:H83)=9,COUNT(F72:F83)=9),cubic_spline(F71:F80,H71:H80,B$10),IF(AND(COUNT(H72:H83)=10,COUNT(F72:F83)=10),cubic_spline(F71:F81,H71:H81,B$10),IF(AND(COUNT(H72:H83)=11,COUNT(F72:F83)=11),cubic_spline(F71:F82,H71:H82,B$10),IF(AND(COUNT(H72:H83)=12,COUNT(F72:F83)=12),cubic_spline(F71:F83,H71:H83,B$10),""))))))))))))</f>
        <v/>
      </c>
      <c r="K78" s="52" t="str">
        <f>IF(N(B$10)=0,"",IF(AND(COUNT(A72:A83)=2,COUNT(F72:F83)=2),cubic_spline(F71:F73,A71:A73,B$10),IF(AND(COUNT(A72:A83)=3,COUNT(F72:F83)=3),cubic_spline(F71:F74,A71:A74,B$10),IF(AND(COUNT(A72:A83)=4,COUNT(F72:F83)=4),cubic_spline(F71:F75,A71:A75,B$10),IF(AND(COUNT(A72:A83)=5,COUNT(F72:F83)=5),cubic_spline(F71:F76,A71:A76,B$10),IF(AND(COUNT(A72:A83)=6,COUNT(F72:F83)=6),cubic_spline(F71:F77,A71:A77,B$10),IF(AND(COUNT(A72:A83)=7,COUNT(F72:F83)=7),cubic_spline(F71:F78,A71:A78,B$10),IF(AND(COUNT(A72:A83)=8,COUNT(F72:F83)=8),cubic_spline(F71:F79,A71:A79,B$10),IF(AND(COUNT(A72:A83)=9,COUNT(F72:F83)=9),cubic_spline(F71:F80,A71:A80,B$10),IF(AND(COUNT(A72:A83)=10,COUNT(F72:F83)=10),cubic_spline(F71:F81,A71:A81,B$10),IF(AND(COUNT(A72:A83)=11,COUNT(F72:F83)=11),cubic_spline(F71:F82,A71:A82,B$10),IF(AND(COUNT(A72:A83)=12,COUNT(F72:F83)=12),cubic_spline(F71:F83,A71:A83,B$10),""))))))))))))</f>
        <v/>
      </c>
      <c r="L78" s="27" t="str">
        <f>IF(I78="","",B$9&amp;"-"&amp;B$10)</f>
        <v/>
      </c>
      <c r="M78" s="52" t="str">
        <f t="shared" si="25"/>
        <v/>
      </c>
    </row>
    <row r="79" spans="1:13" x14ac:dyDescent="0.35">
      <c r="A79" s="48"/>
      <c r="B79" s="48"/>
      <c r="C79" s="49"/>
      <c r="D79" s="50"/>
      <c r="E79" s="51" t="str">
        <f t="shared" si="24"/>
        <v/>
      </c>
      <c r="F79" s="71" t="str">
        <f t="shared" si="21"/>
        <v/>
      </c>
      <c r="G79" s="69" t="str">
        <f t="shared" si="23"/>
        <v/>
      </c>
      <c r="H79" s="70" t="str">
        <f t="shared" si="22"/>
        <v/>
      </c>
      <c r="I79" s="27" t="str">
        <f>IF(N(J79)=0,"",0&amp;"-"&amp;B$11)</f>
        <v/>
      </c>
      <c r="J79" s="52" t="str">
        <f>IF(N(B$11)=0,"",IF(AND(COUNT(H72:H83)=2,COUNT(F72:F83)=2),cubic_spline(F71:F73,H71:H73,B$11),IF(AND(COUNT(H72:H83)=3,COUNT(F72:F83)=3),cubic_spline(F71:F74,H71:H74,B$11),IF(AND(COUNT(H72:H83)=4,COUNT(F72:F83)=4),cubic_spline(F71:F75,H71:H75,B$11),IF(AND(COUNT(H72:H83)=5,COUNT(F72:F83)=5),cubic_spline(F71:F76,H71:H76,B$11),IF(AND(COUNT(H72:H83)=6,COUNT(F72:F83)=6),cubic_spline(F71:F77,H71:H77,B$11),IF(AND(COUNT(H72:H83)=7,COUNT(F72:F83)=7),cubic_spline(F71:F78,H71:H78,B$11),IF(AND(COUNT(H72:H83)=8,COUNT(F72:F83)=8),cubic_spline(F71:F79,H71:H79,B$11),IF(AND(COUNT(H72:H83)=9,COUNT(F72:F83)=9),cubic_spline(F71:F80,H71:H80,B$11),IF(AND(COUNT(H72:H83)=10,COUNT(F72:F83)=10),cubic_spline(F71:F81,H71:H81,B$11),IF(AND(COUNT(H72:H83)=11,COUNT(F72:F83)=11),cubic_spline(F71:F82,H71:H82,B$11),IF(AND(COUNT(H72:H83)=12,COUNT(F72:F83)=12),cubic_spline(F71:F83,H71:H83,B$11),""))))))))))))</f>
        <v/>
      </c>
      <c r="K79" s="52" t="str">
        <f>IF(N(B$11)=0,"",IF(AND(COUNT(A72:A83)=2,COUNT(F72:F83)=2),cubic_spline(F71:F73,A71:A73,B$11),IF(AND(COUNT(A72:A83)=3,COUNT(F72:F83)=3),cubic_spline(F71:F74,A71:A74,B$11),IF(AND(COUNT(A72:A83)=4,COUNT(F72:F83)=4),cubic_spline(F71:F75,A71:A75,B$11),IF(AND(COUNT(A72:A83)=5,COUNT(F72:F83)=5),cubic_spline(F71:F76,A71:A76,B$11),IF(AND(COUNT(A72:A83)=6,COUNT(F72:F83)=6),cubic_spline(F71:F77,A71:A77,B$11),IF(AND(COUNT(A72:A83)=7,COUNT(F72:F83)=7),cubic_spline(F71:F78,A71:A78,B$11),IF(AND(COUNT(A72:A83)=8,COUNT(F72:F83)=8),cubic_spline(F71:F79,A71:A79,B$11),IF(AND(COUNT(A72:A83)=9,COUNT(F72:F83)=9),cubic_spline(F71:F80,A71:A80,B$11),IF(AND(COUNT(A72:A83)=10,COUNT(F72:F83)=10),cubic_spline(F71:F81,A71:A81,B$11),IF(AND(COUNT(A72:A83)=11,COUNT(F72:F83)=11),cubic_spline(F71:F82,A71:A82,B$11),IF(AND(COUNT(A72:A83)=12,COUNT(F72:F83)=12),cubic_spline(F71:F83,A71:A83,B$11),""))))))))))))</f>
        <v/>
      </c>
      <c r="L79" s="27" t="str">
        <f>IF(I79="","",B$10&amp;"-"&amp;B$11)</f>
        <v/>
      </c>
      <c r="M79" s="52" t="str">
        <f t="shared" si="25"/>
        <v/>
      </c>
    </row>
    <row r="80" spans="1:13" x14ac:dyDescent="0.35">
      <c r="A80" s="48"/>
      <c r="B80" s="48"/>
      <c r="C80" s="49"/>
      <c r="D80" s="50"/>
      <c r="E80" s="51" t="str">
        <f t="shared" si="24"/>
        <v/>
      </c>
      <c r="F80" s="71" t="str">
        <f t="shared" si="21"/>
        <v/>
      </c>
      <c r="G80" s="69" t="str">
        <f t="shared" si="23"/>
        <v/>
      </c>
      <c r="H80" s="70" t="str">
        <f t="shared" si="22"/>
        <v/>
      </c>
      <c r="I80" s="27" t="str">
        <f>IF(N(J80)=0,"",0&amp;"-"&amp;B$12)</f>
        <v/>
      </c>
      <c r="J80" s="52" t="str">
        <f>IF(N(B$12)=0,"",IF(AND(COUNT(H72:H83)=2,COUNT(F72:F83)=2),cubic_spline(F71:F73,H71:H73,B$12),IF(AND(COUNT(H72:H83)=3,COUNT(F72:F83)=3),cubic_spline(F71:F74,H71:H74,B$12),IF(AND(COUNT(H72:H83)=4,COUNT(F72:F83)=4),cubic_spline(F71:F75,H71:H75,B$12),IF(AND(COUNT(H72:H83)=5,COUNT(F72:F83)=5),cubic_spline(F71:F76,H71:H76,B$12),IF(AND(COUNT(H72:H83)=6,COUNT(F72:F83)=6),cubic_spline(F71:F77,H71:H77,B$12),IF(AND(COUNT(H72:H83)=7,COUNT(F72:F83)=7),cubic_spline(F71:F78,H71:H78,B$12),IF(AND(COUNT(H72:H83)=8,COUNT(F72:F83)=8),cubic_spline(F71:F79,H71:H79,B$12),IF(AND(COUNT(H72:H83)=9,COUNT(F72:F83)=9),cubic_spline(F71:F80,H71:H80,B$12),IF(AND(COUNT(H72:H83)=10,COUNT(F72:F83)=10),cubic_spline(F71:F81,H71:H81,B$12),IF(AND(COUNT(H72:H83)=11,COUNT(F72:F83)=11),cubic_spline(F71:F82,H71:H82,B$12),IF(AND(COUNT(H72:H83)=12,COUNT(F72:F83)=12),cubic_spline(F71:F83,H71:H83,B$12),""))))))))))))</f>
        <v/>
      </c>
      <c r="K80" s="52" t="str">
        <f>IF(N(B$12)=0,"",IF(AND(COUNT(A72:A83)=2,COUNT(F72:F83)=2),cubic_spline(F71:F73,A71:A73,B$12),IF(AND(COUNT(A72:A83)=3,COUNT(F72:F83)=3),cubic_spline(F71:F74,A71:A74,B$12),IF(AND(COUNT(A72:A83)=4,COUNT(F72:F83)=4),cubic_spline(F71:F75,A71:A75,B$12),IF(AND(COUNT(A72:A83)=5,COUNT(F72:F83)=5),cubic_spline(F71:F76,A71:A76,B$12),IF(AND(COUNT(A72:A83)=6,COUNT(F72:F83)=6),cubic_spline(F71:F77,A71:A77,B$12),IF(AND(COUNT(A72:A83)=7,COUNT(F72:F83)=7),cubic_spline(F71:F78,A71:A78,B$12),IF(AND(COUNT(A72:A83)=8,COUNT(F72:F83)=8),cubic_spline(F71:F79,A71:A79,B$12),IF(AND(COUNT(A72:A83)=9,COUNT(F72:F83)=9),cubic_spline(F71:F80,A71:A80,B$12),IF(AND(COUNT(A72:A83)=10,COUNT(F72:F83)=10),cubic_spline(F71:F81,A71:A81,B$12),IF(AND(COUNT(A72:A83)=11,COUNT(F72:F83)=11),cubic_spline(F71:F82,A71:A82,B$12),IF(AND(COUNT(A72:A83)=12,COUNT(F72:F83)=12),cubic_spline(F71:F83,A71:A83,B$12),""))))))))))))</f>
        <v/>
      </c>
      <c r="L80" s="27" t="str">
        <f>IF(I80="","",B$11&amp;"-"&amp;B$12)</f>
        <v/>
      </c>
      <c r="M80" s="52" t="str">
        <f t="shared" si="25"/>
        <v/>
      </c>
    </row>
    <row r="81" spans="1:13" x14ac:dyDescent="0.35">
      <c r="A81" s="48"/>
      <c r="B81" s="48"/>
      <c r="C81" s="49"/>
      <c r="D81" s="50"/>
      <c r="E81" s="51" t="str">
        <f t="shared" si="24"/>
        <v/>
      </c>
      <c r="F81" s="71" t="str">
        <f t="shared" si="21"/>
        <v/>
      </c>
      <c r="G81" s="69" t="str">
        <f t="shared" si="23"/>
        <v/>
      </c>
      <c r="H81" s="70" t="str">
        <f t="shared" si="22"/>
        <v/>
      </c>
      <c r="I81" s="27" t="str">
        <f>IF(N(J81)=0,"",0&amp;"-"&amp;B$13)</f>
        <v/>
      </c>
      <c r="J81" s="52" t="str">
        <f>IF(N(B$13)=0,"",IF(AND(COUNT(H72:H83)=2,COUNT(F72:F83)=2),cubic_spline(F71:F73,H71:H73,B$13),IF(AND(COUNT(H72:H83)=3,COUNT(F72:F83)=3),cubic_spline(F71:F74,H71:H74,B$13),IF(AND(COUNT(H72:H83)=4,COUNT(F72:F83)=4),cubic_spline(F71:F75,H71:H75,B$13),IF(AND(COUNT(H72:H83)=5,COUNT(F72:F83)=5),cubic_spline(F71:F76,H71:H76,B$13),IF(AND(COUNT(H72:H83)=6,COUNT(F72:F83)=6),cubic_spline(F71:F77,H71:H77,B$13),IF(AND(COUNT(H72:H83)=7,COUNT(F72:F83)=7),cubic_spline(F71:F78,H71:H78,B$13),IF(AND(COUNT(H72:H83)=8,COUNT(F72:F83)=8),cubic_spline(F71:F79,H71:H79,B$13),IF(AND(COUNT(H72:H83)=9,COUNT(F72:F83)=9),cubic_spline(F71:F80,H71:H80,B$13),IF(AND(COUNT(H72:H83)=10,COUNT(F72:F83)=10),cubic_spline(F71:F81,H71:H81,B$13),IF(AND(COUNT(H72:H83)=11,COUNT(F72:F83)=11),cubic_spline(F71:F82,H71:H82,B$13),IF(AND(COUNT(H72:H83)=12,COUNT(F72:F83)=12),cubic_spline(F71:F83,H71:H83,B$13),""))))))))))))</f>
        <v/>
      </c>
      <c r="K81" s="52" t="str">
        <f>IF(N(B$13)=0,"",IF(AND(COUNT(A72:A83)=2,COUNT(F72:F83)=2),cubic_spline(F71:F73,A71:A73,B$13),IF(AND(COUNT(A72:A83)=3,COUNT(F72:F83)=3),cubic_spline(F71:F74,A71:A74,B$13),IF(AND(COUNT(A72:A83)=4,COUNT(F72:F83)=4),cubic_spline(F71:F75,A71:A75,B$13),IF(AND(COUNT(A72:A83)=5,COUNT(F72:F83)=5),cubic_spline(F71:F76,A71:A76,B$13),IF(AND(COUNT(A72:A83)=6,COUNT(F72:F83)=6),cubic_spline(F71:F77,A71:A77,B$13),IF(AND(COUNT(A72:A83)=7,COUNT(F72:F83)=7),cubic_spline(F71:F78,A71:A78,B$13),IF(AND(COUNT(A72:A83)=8,COUNT(F72:F83)=8),cubic_spline(F71:F79,A71:A79,B$13),IF(AND(COUNT(A72:A83)=9,COUNT(F72:F83)=9),cubic_spline(F71:F80,A71:A80,B$13),IF(AND(COUNT(A72:A83)=10,COUNT(F72:F83)=10),cubic_spline(F71:F81,A71:A81,B$13),IF(AND(COUNT(A72:A83)=11,COUNT(F72:F83)=11),cubic_spline(F71:F82,A71:A82,B$13),IF(AND(COUNT(A72:A83)=12,COUNT(F72:F83)=12),cubic_spline(F71:F83,A71:A83,B$13),""))))))))))))</f>
        <v/>
      </c>
      <c r="L81" s="27" t="str">
        <f>IF(I81="","",B$12&amp;"-"&amp;B$13)</f>
        <v/>
      </c>
      <c r="M81" s="52" t="str">
        <f t="shared" si="25"/>
        <v/>
      </c>
    </row>
    <row r="82" spans="1:13" x14ac:dyDescent="0.35">
      <c r="A82" s="48"/>
      <c r="B82" s="48"/>
      <c r="C82" s="49"/>
      <c r="D82" s="50"/>
      <c r="E82" s="51" t="str">
        <f t="shared" si="24"/>
        <v/>
      </c>
      <c r="F82" s="71" t="str">
        <f t="shared" si="21"/>
        <v/>
      </c>
      <c r="G82" s="69" t="str">
        <f t="shared" si="23"/>
        <v/>
      </c>
      <c r="H82" s="70" t="str">
        <f t="shared" si="22"/>
        <v/>
      </c>
      <c r="I82" s="27" t="str">
        <f>IF(N(J82)=0,"",0&amp;"-"&amp;B$14)</f>
        <v/>
      </c>
      <c r="J82" s="52" t="str">
        <f>IF(N(B$14)=0,"",IF(AND(COUNT(H72:H83)=2,COUNT(F72:F83)=2),cubic_spline(F71:F73,H71:H73,B$14),IF(AND(COUNT(H72:H83)=3,COUNT(F72:F83)=3),cubic_spline(F71:F74,H71:H74,B$14),IF(AND(COUNT(H72:H83)=4,COUNT(F72:F83)=4),cubic_spline(F71:F75,H71:H75,B$14),IF(AND(COUNT(H72:H83)=5,COUNT(F72:F83)=5),cubic_spline(F71:F76,H71:H76,B$14),IF(AND(COUNT(H72:H83)=6,COUNT(F72:F83)=6),cubic_spline(F71:F77,H71:H77,B$14),IF(AND(COUNT(H72:H83)=7,COUNT(F72:F83)=7),cubic_spline(F71:F78,H71:H78,B$14),IF(AND(COUNT(H72:H83)=8,COUNT(F72:F83)=8),cubic_spline(F71:F79,H71:H79,B$14),IF(AND(COUNT(H72:H83)=9,COUNT(F72:F83)=9),cubic_spline(F71:F80,H71:H80,B$14),IF(AND(COUNT(H72:H83)=10,COUNT(F72:F83)=10),cubic_spline(F71:F81,H71:H81,B$14),IF(AND(COUNT(H72:H83)=11,COUNT(F72:F83)=11),cubic_spline(F71:F82,H71:H82,B$14),IF(AND(COUNT(H72:H83)=12,COUNT(F72:F83)=12),cubic_spline(F71:F83,H71:H83,B$14),""))))))))))))</f>
        <v/>
      </c>
      <c r="K82" s="52" t="str">
        <f>IF(N(B$14)=0,"",IF(AND(COUNT(A72:A83)=2,COUNT(F72:F83)=2),cubic_spline(F71:F73,A71:A73,B$14),IF(AND(COUNT(A72:A83)=3,COUNT(F72:F83)=3),cubic_spline(F71:F74,A71:A74,B$14),IF(AND(COUNT(A72:A83)=4,COUNT(F72:F83)=4),cubic_spline(F71:F75,A71:A75,B$14),IF(AND(COUNT(A72:A83)=5,COUNT(F72:F83)=5),cubic_spline(F71:F76,A71:A76,B$14),IF(AND(COUNT(A72:A83)=6,COUNT(F72:F83)=6),cubic_spline(F71:F77,A71:A77,B$14),IF(AND(COUNT(A72:A83)=7,COUNT(F72:F83)=7),cubic_spline(F71:F78,A71:A78,B$14),IF(AND(COUNT(A72:A83)=8,COUNT(F72:F83)=8),cubic_spline(F71:F79,A71:A79,B$14),IF(AND(COUNT(A72:A83)=9,COUNT(F72:F83)=9),cubic_spline(F71:F80,A71:A80,B$14),IF(AND(COUNT(A72:A83)=10,COUNT(F72:F83)=10),cubic_spline(F71:F81,A71:A81,B$14),IF(AND(COUNT(A72:A83)=11,COUNT(F72:F83)=11),cubic_spline(F71:F82,A71:A82,B$14),IF(AND(COUNT(A72:A83)=12,COUNT(F72:F83)=12),cubic_spline(F71:F83,A71:A83,B$14),""))))))))))))</f>
        <v/>
      </c>
      <c r="L82" s="27" t="str">
        <f>IF(I82="","",B$13&amp;"-"&amp;B$14)</f>
        <v/>
      </c>
      <c r="M82" s="52" t="str">
        <f t="shared" si="25"/>
        <v/>
      </c>
    </row>
    <row r="83" spans="1:13" x14ac:dyDescent="0.35">
      <c r="A83" s="48"/>
      <c r="B83" s="48"/>
      <c r="C83" s="49"/>
      <c r="D83" s="50"/>
      <c r="E83" s="51" t="str">
        <f t="shared" si="24"/>
        <v/>
      </c>
      <c r="F83" s="71" t="str">
        <f t="shared" si="21"/>
        <v/>
      </c>
      <c r="G83" s="69" t="str">
        <f t="shared" si="23"/>
        <v/>
      </c>
      <c r="H83" s="70" t="str">
        <f t="shared" si="22"/>
        <v/>
      </c>
      <c r="I83" s="27" t="str">
        <f>IF(N(J83)=0,"",0&amp;"-"&amp;B$15)</f>
        <v/>
      </c>
      <c r="J83" s="52" t="str">
        <f>IF(N(B$15)=0,"",IF(AND(COUNT(H72:H83)=2,COUNT(F72:F83)=2),cubic_spline(F71:F73,H71:H73,B$15),IF(AND(COUNT(H72:H83)=3,COUNT(F72:F83)=3),cubic_spline(F71:F74,H71:H74,B$15),IF(AND(COUNT(H72:H83)=4,COUNT(F72:F83)=4),cubic_spline(F71:F75,H71:H75,B$15),IF(AND(COUNT(H72:H83)=5,COUNT(F72:F83)=5),cubic_spline(F71:F76,H71:H76,B$15),IF(AND(COUNT(H72:H83)=6,COUNT(F72:F83)=6),cubic_spline(F71:F77,H71:H77,B$15),IF(AND(COUNT(H72:H83)=7,COUNT(F72:F83)=7),cubic_spline(F71:F78,H71:H78,B$15),IF(AND(COUNT(H72:H83)=8,COUNT(F72:F83)=8),cubic_spline(F71:F79,H71:H79,B$15),IF(AND(COUNT(H72:H83)=9,COUNT(F72:F83)=9),cubic_spline(F71:F80,H71:H80,B$15),IF(AND(COUNT(H72:H83)=10,COUNT(F72:F83)=10),cubic_spline(F71:F81,H71:H81,B$15),IF(AND(COUNT(H72:H83)=11,COUNT(F72:F83)=11),cubic_spline(F71:F82,H71:H82,B$15),IF(AND(COUNT(H72:H83)=12,COUNT(F72:F83)=12),cubic_spline(F71:F83,H71:H83,B$15),""))))))))))))</f>
        <v/>
      </c>
      <c r="K83" s="52" t="str">
        <f>IF(N(B$15)=0,"",IF(AND(COUNT(A72:A83)=2,COUNT(F72:F83)=2),cubic_spline(F71:F73,A71:A73,B$15),IF(AND(COUNT(A72:A83)=3,COUNT(F72:F83)=3),cubic_spline(F71:F74,A71:A74,B$15),IF(AND(COUNT(A72:A83)=4,COUNT(F72:F83)=4),cubic_spline(F71:F75,A71:A75,B$15),IF(AND(COUNT(A72:A83)=5,COUNT(F72:F83)=5),cubic_spline(F71:F76,A71:A76,B$15),IF(AND(COUNT(A72:A83)=6,COUNT(F72:F83)=6),cubic_spline(F71:F77,A71:A77,B$15),IF(AND(COUNT(A72:A83)=7,COUNT(F72:F83)=7),cubic_spline(F71:F78,A71:A78,B$15),IF(AND(COUNT(A72:A83)=8,COUNT(F72:F83)=8),cubic_spline(F71:F79,A71:A79,B$15),IF(AND(COUNT(A72:A83)=9,COUNT(F72:F83)=9),cubic_spline(F71:F80,A71:A80,B$15),IF(AND(COUNT(A72:A83)=10,COUNT(F72:F83)=10),cubic_spline(F71:F81,A71:A81,B$15),IF(AND(COUNT(A72:A83)=11,COUNT(F72:F83)=11),cubic_spline(F71:F82,A71:A82,B$15),IF(AND(COUNT(A72:A83)=12,COUNT(F72:F83)=12),cubic_spline(F71:F83,A71:A83,B$15),""))))))))))))</f>
        <v/>
      </c>
      <c r="L83" s="27" t="str">
        <f>IF(I83="","",B$14&amp;"-"&amp;B$15)</f>
        <v/>
      </c>
      <c r="M83" s="52" t="str">
        <f t="shared" si="25"/>
        <v/>
      </c>
    </row>
    <row r="84" spans="1:13" ht="5.15" customHeight="1" x14ac:dyDescent="0.35">
      <c r="A84" s="47"/>
      <c r="B84" s="47"/>
      <c r="C84" s="47"/>
      <c r="D84" s="53"/>
      <c r="E84" s="54"/>
      <c r="F84" s="55"/>
      <c r="G84" s="72"/>
      <c r="H84" s="73"/>
      <c r="I84" s="47"/>
      <c r="J84" s="57"/>
      <c r="K84" s="57"/>
      <c r="L84" s="55"/>
      <c r="M84" s="57"/>
    </row>
    <row r="85" spans="1:13" x14ac:dyDescent="0.35">
      <c r="A85" s="48"/>
      <c r="B85" s="48"/>
      <c r="C85" s="49"/>
      <c r="D85" s="50"/>
      <c r="E85" s="51" t="str">
        <f>IF(N(C85)=0,"",C85/PI()/($D$1/2)^2/$D$2*10000)</f>
        <v/>
      </c>
      <c r="F85" s="68" t="str">
        <f t="shared" ref="F85:F96" si="26">IF(N(E85)=0,"",(N(E85)+N(F84)))</f>
        <v/>
      </c>
      <c r="G85" s="69" t="str">
        <f>IF(OR(N(D85)=0,N(E85)=0),"",(E85*D85)/1000)</f>
        <v/>
      </c>
      <c r="H85" s="70" t="str">
        <f t="shared" ref="H85:H96" si="27">IF(N(G85)=0,"",(N(G85)+N(H84)))</f>
        <v/>
      </c>
      <c r="I85" s="27" t="str">
        <f>IF(N(J85)=0,"",0&amp;"-"&amp;B$4)</f>
        <v/>
      </c>
      <c r="J85" s="52" t="str">
        <f>IF(N(B$4)=0,"",IF(AND(COUNT(H85:H96)=2,COUNT(F85:F96)=2),cubic_spline(F84:F86,H84:H86,B$4),IF(AND(COUNT(H85:H96)=3,COUNT(F85:F96)=3),cubic_spline(F84:F87,H84:H87,B$4),IF(AND(COUNT(H85:H96)=4,COUNT(F85:F96)=4),cubic_spline(F84:F88,H84:H88,B$4),IF(AND(COUNT(H85:H96)=5,COUNT(F85:F96)=5),cubic_spline(F84:F89,H84:H89,B$4),IF(AND(COUNT(H85:H96)=6,COUNT(F85:F96)=6),cubic_spline(F84:F90,H84:H90,B$4),IF(AND(COUNT(H85:H96)=7,COUNT(F85:F96)=7),cubic_spline(F84:F91,H84:H91,B$4),IF(AND(COUNT(H85:H96)=8,COUNT(F85:F96)=8),cubic_spline(F84:F92,H84:H92,B$4),IF(AND(COUNT(H85:H96)=9,COUNT(F85:F96)=9),cubic_spline(F84:F93,H84:H93,B$4),IF(AND(COUNT(H85:H96)=10,COUNT(F85:F96)=10),cubic_spline(F84:F94,H84:H94,B$4),IF(AND(COUNT(H85:H96)=11,COUNT(F85:F96)=11),cubic_spline(F84:F95,H84:H95,B$4),IF(AND(COUNT(H85:H96)=12,COUNT(F85:F96)=12),cubic_spline(F84:F96,H84:H96,B$4),""))))))))))))</f>
        <v/>
      </c>
      <c r="K85" s="52" t="str">
        <f>IF(N(B$4)=0,"",IF(AND(COUNT(A85:A96)=2,COUNT(F85:F96)=2),cubic_spline(F84:F86,A84:A86,B$4),IF(AND(COUNT(A85:A96)=3,COUNT(F85:F96)=3),cubic_spline(F84:F87,A84:A87,B$4),IF(AND(COUNT(A85:A96)=4,COUNT(F85:F96)=4),cubic_spline(F84:F88,A84:A88,B$4),IF(AND(COUNT(A85:A96)=5,COUNT(F85:F96)=5),cubic_spline(F84:F89,A84:A89,B$4),IF(AND(COUNT(A85:A96)=6,COUNT(F85:F96)=6),cubic_spline(F84:F90,A84:A90,B$4),IF(AND(COUNT(A85:A96)=7,COUNT(F85:F96)=7),cubic_spline(F84:F91,A84:A91,B$4),IF(AND(COUNT(A85:A96)=8,COUNT(F85:F96)=8),cubic_spline(F84:F92,A84:A92,B$4),IF(AND(COUNT(A85:A96)=9,COUNT(F85:F96)=9),cubic_spline(F84:F93,A84:A93,B$4),IF(AND(COUNT(A85:A96)=10,COUNT(F85:F96)=10),cubic_spline(F84:F94,A84:A94,B$4),IF(AND(COUNT(A85:A96)=11,COUNT(F85:F96)=11),cubic_spline(F84:F95,A84:A95,B$4),IF(AND(COUNT(A85:A96)=12,COUNT(F85:F96)=12),cubic_spline(F84:F96,A84:A96,B$4),""))))))))))))</f>
        <v/>
      </c>
      <c r="L85" s="27" t="str">
        <f>IF(I85="","",0&amp;"-"&amp;B$4)</f>
        <v/>
      </c>
      <c r="M85" s="52" t="str">
        <f>IF(N(J85)=0,"",J85-J84)</f>
        <v/>
      </c>
    </row>
    <row r="86" spans="1:13" x14ac:dyDescent="0.35">
      <c r="A86" s="48"/>
      <c r="B86" s="48"/>
      <c r="C86" s="49"/>
      <c r="D86" s="50"/>
      <c r="E86" s="51" t="str">
        <f>IF(N(C86)=0,"",C86/PI()/($D$1/2)^2/$D$2*10000)</f>
        <v/>
      </c>
      <c r="F86" s="68" t="str">
        <f t="shared" si="26"/>
        <v/>
      </c>
      <c r="G86" s="69" t="str">
        <f t="shared" ref="G86:G96" si="28">IF(OR(N(D86)=0,N(E86)=0),"",(E86*D86)/1000)</f>
        <v/>
      </c>
      <c r="H86" s="70" t="str">
        <f t="shared" si="27"/>
        <v/>
      </c>
      <c r="I86" s="27" t="str">
        <f>IF(N(J86)=0,"",0&amp;"-"&amp;B$5)</f>
        <v/>
      </c>
      <c r="J86" s="52" t="str">
        <f>IF(N(B$5)=0,"",IF(AND(COUNT(H85:H96)=2,COUNT(F85:F96)=2),cubic_spline(F84:F86,H84:H86,B$5),IF(AND(COUNT(H85:H96)=3,COUNT(F85:F96)=3),cubic_spline(F84:F87,H84:H87,B$5),IF(AND(COUNT(H85:H96)=4,COUNT(F85:F96)=4),cubic_spline(F84:F88,H84:H88,B$5),IF(AND(COUNT(H85:H96)=5,COUNT(F85:F96)=5),cubic_spline(F84:F89,H84:H89,B$5),IF(AND(COUNT(H85:H96)=6,COUNT(F85:F96)=6),cubic_spline(F84:F90,H84:H90,B$5),IF(AND(COUNT(H85:H96)=7,COUNT(F85:F96)=7),cubic_spline(F84:F91,H84:H91,B$5),IF(AND(COUNT(H85:H96)=8,COUNT(F85:F96)=8),cubic_spline(F84:F92,H84:H92,B$5),IF(AND(COUNT(H85:H96)=9,COUNT(F85:F96)=9),cubic_spline(F84:F93,H84:H93,B$5),IF(AND(COUNT(H85:H96)=10,COUNT(F85:F96)=10),cubic_spline(F84:F94,H84:H94,B$5),IF(AND(COUNT(H85:H96)=11,COUNT(F85:F96)=11),cubic_spline(F84:F95,H84:H95,B$5),IF(AND(COUNT(H85:H96)=12,COUNT(F85:F96)=12),cubic_spline(F84:F96,H84:H96,B$5),""))))))))))))</f>
        <v/>
      </c>
      <c r="K86" s="52" t="str">
        <f>IF(N(B$5)=0,"",IF(AND(COUNT(A85:A96)=2,COUNT(F85:F96)=2),cubic_spline(F84:F86,A84:A86,B$5),IF(AND(COUNT(A85:A96)=3,COUNT(F85:F96)=3),cubic_spline(F84:F87,A84:A87,B$5),IF(AND(COUNT(A85:A96)=4,COUNT(F85:F96)=4),cubic_spline(F84:F88,A84:A88,B$5),IF(AND(COUNT(A85:A96)=5,COUNT(F85:F96)=5),cubic_spline(F84:F89,A84:A89,B$5),IF(AND(COUNT(A85:A96)=6,COUNT(F85:F96)=6),cubic_spline(F84:F90,A84:A90,B$5),IF(AND(COUNT(A85:A96)=7,COUNT(F85:F96)=7),cubic_spline(F84:F91,A84:A91,B$5),IF(AND(COUNT(A85:A96)=8,COUNT(F85:F96)=8),cubic_spline(F84:F92,A84:A92,B$5),IF(AND(COUNT(A85:A96)=9,COUNT(F85:F96)=9),cubic_spline(F84:F93,A84:A93,B$5),IF(AND(COUNT(A85:A96)=10,COUNT(F85:F96)=10),cubic_spline(F84:F94,A84:A94,B$5),IF(AND(COUNT(A85:A96)=11,COUNT(F85:F96)=11),cubic_spline(F84:F95,A84:A95,B$5),IF(AND(COUNT(A85:A96)=12,COUNT(F85:F96)=12),cubic_spline(F84:F96,A84:A96,B$5),""))))))))))))</f>
        <v/>
      </c>
      <c r="L86" s="27" t="str">
        <f>IF(I86="","",B$4&amp;"-"&amp;B$5)</f>
        <v/>
      </c>
      <c r="M86" s="52" t="str">
        <f>IF(N(J86)=0,"",J86-J85)</f>
        <v/>
      </c>
    </row>
    <row r="87" spans="1:13" x14ac:dyDescent="0.35">
      <c r="A87" s="48"/>
      <c r="B87" s="48"/>
      <c r="C87" s="49"/>
      <c r="D87" s="50"/>
      <c r="E87" s="51" t="str">
        <f>IF(N(C87)=0,"",C87/PI()/($D$1/2)^2/$D$2*10000)</f>
        <v/>
      </c>
      <c r="F87" s="68" t="str">
        <f t="shared" si="26"/>
        <v/>
      </c>
      <c r="G87" s="69" t="str">
        <f t="shared" si="28"/>
        <v/>
      </c>
      <c r="H87" s="70" t="str">
        <f t="shared" si="27"/>
        <v/>
      </c>
      <c r="I87" s="27" t="str">
        <f>IF(N(J87)=0,"",0&amp;"-"&amp;B$6)</f>
        <v/>
      </c>
      <c r="J87" s="52" t="str">
        <f>IF(N(B$6)=0,"",IF(AND(COUNT(H85:H96)=2,COUNT(F85:F96)=2),cubic_spline(F84:F86,H84:H86,B$6),IF(AND(COUNT(H85:H96)=3,COUNT(F85:F96)=3),cubic_spline(F84:F87,H84:H87,B$6),IF(AND(COUNT(H85:H96)=4,COUNT(F85:F96)=4),cubic_spline(F84:F88,H84:H88,B$6),IF(AND(COUNT(H85:H96)=5,COUNT(F85:F96)=5),cubic_spline(F84:F89,H84:H89,B$6),IF(AND(COUNT(H85:H96)=6,COUNT(F85:F96)=6),cubic_spline(F84:F90,H84:H90,B$6),IF(AND(COUNT(H85:H96)=7,COUNT(F85:F96)=7),cubic_spline(F84:F91,H84:H91,B$6),IF(AND(COUNT(H85:H96)=8,COUNT(F85:F96)=8),cubic_spline(F84:F92,H84:H92,B$6),IF(AND(COUNT(H85:H96)=9,COUNT(F85:F96)=9),cubic_spline(F84:F93,H84:H93,B$6),IF(AND(COUNT(H85:H96)=10,COUNT(F85:F96)=10),cubic_spline(F84:F94,H84:H94,B$6),IF(AND(COUNT(H85:H96)=11,COUNT(F85:F96)=11),cubic_spline(F84:F95,H84:H95,B$6),IF(AND(COUNT(H85:H96)=12,COUNT(F85:F96)=12),cubic_spline(F84:F96,H84:H96,B$6),""))))))))))))</f>
        <v/>
      </c>
      <c r="K87" s="52" t="str">
        <f>IF(N(B$6)=0,"",IF(AND(COUNT(A85:A96)=2,COUNT(F85:F96)=2),cubic_spline(F84:F86,A84:A86,B$6),IF(AND(COUNT(A85:A96)=3,COUNT(F85:F96)=3),cubic_spline(F84:F87,A84:A87,B$6),IF(AND(COUNT(A85:A96)=4,COUNT(F85:F96)=4),cubic_spline(F84:F88,A84:A88,B$6),IF(AND(COUNT(A85:A96)=5,COUNT(F85:F96)=5),cubic_spline(F84:F89,A84:A89,B$6),IF(AND(COUNT(A85:A96)=6,COUNT(F85:F96)=6),cubic_spline(F84:F90,A84:A90,B$6),IF(AND(COUNT(A85:A96)=7,COUNT(F85:F96)=7),cubic_spline(F84:F91,A84:A91,B$6),IF(AND(COUNT(A85:A96)=8,COUNT(F85:F96)=8),cubic_spline(F84:F92,A84:A92,B$6),IF(AND(COUNT(A85:A96)=9,COUNT(F85:F96)=9),cubic_spline(F84:F93,A84:A93,B$6),IF(AND(COUNT(A85:A96)=10,COUNT(F85:F96)=10),cubic_spline(F84:F94,A84:A94,B$6),IF(AND(COUNT(A85:A96)=11,COUNT(F85:F96)=11),cubic_spline(F84:F95,A84:A95,B$6),IF(AND(COUNT(A85:A96)=12,COUNT(F85:F96)=12),cubic_spline(F84:F96,A84:A96,B$6),""))))))))))))</f>
        <v/>
      </c>
      <c r="L87" s="27" t="str">
        <f>IF(I87="","",B$5&amp;"-"&amp;B$6)</f>
        <v/>
      </c>
      <c r="M87" s="52" t="str">
        <f>IF(N(J87)=0,"",J87-J86)</f>
        <v/>
      </c>
    </row>
    <row r="88" spans="1:13" x14ac:dyDescent="0.35">
      <c r="A88" s="48"/>
      <c r="B88" s="48"/>
      <c r="C88" s="49"/>
      <c r="D88" s="50"/>
      <c r="E88" s="51" t="str">
        <f>IF(N(C88)=0,"",C88/PI()/($D$1/2)^2/$D$2*10000)</f>
        <v/>
      </c>
      <c r="F88" s="68" t="str">
        <f t="shared" si="26"/>
        <v/>
      </c>
      <c r="G88" s="69" t="str">
        <f t="shared" si="28"/>
        <v/>
      </c>
      <c r="H88" s="70" t="str">
        <f t="shared" si="27"/>
        <v/>
      </c>
      <c r="I88" s="27" t="str">
        <f>IF(N(J88)=0,"",0&amp;"-"&amp;B$7)</f>
        <v/>
      </c>
      <c r="J88" s="52" t="str">
        <f>IF(N(B$7)=0,"",IF(AND(COUNT(H85:H96)=2,COUNT(F85:F96)=2),cubic_spline(F84:F86,H84:H86,B$7),IF(AND(COUNT(H85:H96)=3,COUNT(F85:F96)=3),cubic_spline(F84:F87,H84:H87,B$7),IF(AND(COUNT(H85:H96)=4,COUNT(F85:F96)=4),cubic_spline(F84:F88,H84:H88,B$7),IF(AND(COUNT(H85:H96)=5,COUNT(F85:F96)=5),cubic_spline(F84:F89,H84:H89,B$7),IF(AND(COUNT(H85:H96)=6,COUNT(F85:F96)=6),cubic_spline(F84:F90,H84:H90,B$7),IF(AND(COUNT(H85:H96)=7,COUNT(F85:F96)=7),cubic_spline(F84:F91,H84:H91,B$7),IF(AND(COUNT(H85:H96)=8,COUNT(F85:F96)=8),cubic_spline(F84:F92,H84:H92,B$7),IF(AND(COUNT(H85:H96)=9,COUNT(F85:F96)=9),cubic_spline(F84:F93,H84:H93,B$7),IF(AND(COUNT(H85:H96)=10,COUNT(F85:F96)=10),cubic_spline(F84:F94,H84:H94,B$7),IF(AND(COUNT(H85:H96)=11,COUNT(F85:F96)=11),cubic_spline(F84:F95,H84:H95,B$7),IF(AND(COUNT(H85:H96)=12,COUNT(F85:F96)=12),cubic_spline(F84:F96,H84:H96,B$7),""))))))))))))</f>
        <v/>
      </c>
      <c r="K88" s="52" t="str">
        <f>IF(N(B$7)=0,"",IF(AND(COUNT(A85:A96)=2,COUNT(F85:F96)=2),cubic_spline(F84:F86,A84:A86,B$7),IF(AND(COUNT(A85:A96)=3,COUNT(F85:F96)=3),cubic_spline(F84:F87,A84:A87,B$7),IF(AND(COUNT(A85:A96)=4,COUNT(F85:F96)=4),cubic_spline(F84:F88,A84:A88,B$7),IF(AND(COUNT(A85:A96)=5,COUNT(F85:F96)=5),cubic_spline(F84:F89,A84:A89,B$7),IF(AND(COUNT(A85:A96)=6,COUNT(F85:F96)=6),cubic_spline(F84:F90,A84:A90,B$7),IF(AND(COUNT(A85:A96)=7,COUNT(F85:F96)=7),cubic_spline(F84:F91,A84:A91,B$7),IF(AND(COUNT(A85:A96)=8,COUNT(F85:F96)=8),cubic_spline(F84:F92,A84:A92,B$7),IF(AND(COUNT(A85:A96)=9,COUNT(F85:F96)=9),cubic_spline(F84:F93,A84:A93,B$7),IF(AND(COUNT(A85:A96)=10,COUNT(F85:F96)=10),cubic_spline(F84:F94,A84:A94,B$7),IF(AND(COUNT(A85:A96)=11,COUNT(F85:F96)=11),cubic_spline(F84:F95,A84:A95,B$7),IF(AND(COUNT(A85:A96)=12,COUNT(F85:F96)=12),cubic_spline(F84:F96,A84:A96,B$7),""))))))))))))</f>
        <v/>
      </c>
      <c r="L88" s="27" t="str">
        <f>IF(I88="","",B$6&amp;"-"&amp;B$7)</f>
        <v/>
      </c>
      <c r="M88" s="52" t="str">
        <f>IF(N(J88)=0,"",J88-J87)</f>
        <v/>
      </c>
    </row>
    <row r="89" spans="1:13" x14ac:dyDescent="0.35">
      <c r="A89" s="48"/>
      <c r="B89" s="48"/>
      <c r="C89" s="49"/>
      <c r="D89" s="50"/>
      <c r="E89" s="51" t="str">
        <f t="shared" ref="E89:E96" si="29">IF(N(C89)=0,"",C89/PI()/($D$1/2)^2/$D$2*10000)</f>
        <v/>
      </c>
      <c r="F89" s="71" t="str">
        <f t="shared" si="26"/>
        <v/>
      </c>
      <c r="G89" s="69" t="str">
        <f t="shared" si="28"/>
        <v/>
      </c>
      <c r="H89" s="70" t="str">
        <f t="shared" si="27"/>
        <v/>
      </c>
      <c r="I89" s="27" t="str">
        <f>IF(N(J89)=0,"",0&amp;"-"&amp;B$8)</f>
        <v/>
      </c>
      <c r="J89" s="52" t="str">
        <f>IF(N(B$8)=0,"",IF(AND(COUNT(H85:H96)=2,COUNT(F85:F96)=2),cubic_spline(F84:F86,H84:H86,B$8),IF(AND(COUNT(H85:H96)=3,COUNT(F85:F96)=3),cubic_spline(F84:F87,H84:H87,B$8),IF(AND(COUNT(H85:H96)=4,COUNT(F85:F96)=4),cubic_spline(F84:F88,H84:H88,B$8),IF(AND(COUNT(H85:H96)=5,COUNT(F85:F96)=5),cubic_spline(F84:F89,H84:H89,B$8),IF(AND(COUNT(H85:H96)=6,COUNT(F85:F96)=6),cubic_spline(F84:F90,H84:H90,B$8),IF(AND(COUNT(H85:H96)=7,COUNT(F85:F96)=7),cubic_spline(F84:F91,H84:H91,B$8),IF(AND(COUNT(H85:H96)=8,COUNT(F85:F96)=8),cubic_spline(F84:F92,H84:H92,B$8),IF(AND(COUNT(H85:H96)=9,COUNT(F85:F96)=9),cubic_spline(F84:F93,H84:H93,B$8),IF(AND(COUNT(H85:H96)=10,COUNT(F85:F96)=10),cubic_spline(F84:F94,H84:H94,B$8),IF(AND(COUNT(H85:H96)=11,COUNT(F85:F96)=11),cubic_spline(F84:F95,H84:H95,B$8),IF(AND(COUNT(H85:H96)=12,COUNT(F85:F96)=12),cubic_spline(F84:F96,H84:H96,B$8),""))))))))))))</f>
        <v/>
      </c>
      <c r="K89" s="52" t="str">
        <f>IF(N(B$8)=0,"",IF(AND(COUNT(A85:A96)=2,COUNT(F85:F96)=2),cubic_spline(F84:F86,A84:A86,B$8),IF(AND(COUNT(A85:A96)=3,COUNT(F85:F96)=3),cubic_spline(F84:F87,A84:A87,B$8),IF(AND(COUNT(A85:A96)=4,COUNT(F85:F96)=4),cubic_spline(F84:F88,A84:A88,B$8),IF(AND(COUNT(A85:A96)=5,COUNT(F85:F96)=5),cubic_spline(F84:F89,A84:A89,B$8),IF(AND(COUNT(A85:A96)=6,COUNT(F85:F96)=6),cubic_spline(F84:F90,A84:A90,B$8),IF(AND(COUNT(A85:A96)=7,COUNT(F85:F96)=7),cubic_spline(F84:F91,A84:A91,B$8),IF(AND(COUNT(A85:A96)=8,COUNT(F85:F96)=8),cubic_spline(F84:F92,A84:A92,B$8),IF(AND(COUNT(A85:A96)=9,COUNT(F85:F96)=9),cubic_spline(F84:F93,A84:A93,B$8),IF(AND(COUNT(A85:A96)=10,COUNT(F85:F96)=10),cubic_spline(F84:F94,A84:A94,B$8),IF(AND(COUNT(A85:A96)=11,COUNT(F85:F96)=11),cubic_spline(F84:F95,A84:A95,B$8),IF(AND(COUNT(A85:A96)=12,COUNT(F85:F96)=12),cubic_spline(F84:F96,A84:A96,B$8),""))))))))))))</f>
        <v/>
      </c>
      <c r="L89" s="27" t="str">
        <f>IF(I89="","",B$7&amp;"-"&amp;B$8)</f>
        <v/>
      </c>
      <c r="M89" s="52" t="str">
        <f>IF(N(J89)=0,"",J89-J88)</f>
        <v/>
      </c>
    </row>
    <row r="90" spans="1:13" x14ac:dyDescent="0.35">
      <c r="A90" s="48"/>
      <c r="B90" s="48"/>
      <c r="C90" s="49"/>
      <c r="D90" s="50"/>
      <c r="E90" s="51" t="str">
        <f t="shared" si="29"/>
        <v/>
      </c>
      <c r="F90" s="71" t="str">
        <f t="shared" si="26"/>
        <v/>
      </c>
      <c r="G90" s="69" t="str">
        <f t="shared" si="28"/>
        <v/>
      </c>
      <c r="H90" s="70" t="str">
        <f t="shared" si="27"/>
        <v/>
      </c>
      <c r="I90" s="27" t="str">
        <f>IF(N(J90)=0,"",0&amp;"-"&amp;B$9)</f>
        <v/>
      </c>
      <c r="J90" s="52" t="str">
        <f>IF(N(B$9)=0,"",IF(AND(COUNT(H85:H96)=2,COUNT(F85:F96)=2),cubic_spline(F84:F86,H84:H86,B$9),IF(AND(COUNT(H85:H96)=3,COUNT(F85:F96)=3),cubic_spline(F84:F87,H84:H87,B$9),IF(AND(COUNT(H85:H96)=4,COUNT(F85:F96)=4),cubic_spline(F84:F88,H84:H88,B$9),IF(AND(COUNT(H85:H96)=5,COUNT(F85:F96)=5),cubic_spline(F84:F89,H84:H89,B$9),IF(AND(COUNT(H85:H96)=6,COUNT(F85:F96)=6),cubic_spline(F84:F90,H84:H90,B$9),IF(AND(COUNT(H85:H96)=7,COUNT(F85:F96)=7),cubic_spline(F84:F91,H84:H91,B$9),IF(AND(COUNT(H85:H96)=8,COUNT(F85:F96)=8),cubic_spline(F84:F92,H84:H92,B$9),IF(AND(COUNT(H85:H96)=9,COUNT(F85:F96)=9),cubic_spline(F84:F93,H84:H93,B$9),IF(AND(COUNT(H85:H96)=10,COUNT(F85:F96)=10),cubic_spline(F84:F94,H84:H94,B$9),IF(AND(COUNT(H85:H96)=11,COUNT(F85:F96)=11),cubic_spline(F84:F95,H84:H95,B$9),IF(AND(COUNT(H85:H96)=12,COUNT(F85:F96)=12),cubic_spline(F84:F96,H84:H96,B$9),""))))))))))))</f>
        <v/>
      </c>
      <c r="K90" s="52" t="str">
        <f>IF(N(B$9)=0,"",IF(AND(COUNT(A85:A96)=2,COUNT(F85:F96)=2),cubic_spline(F84:F86,A84:A86,B$9),IF(AND(COUNT(A85:A96)=3,COUNT(F85:F96)=3),cubic_spline(F84:F87,A84:A87,B$9),IF(AND(COUNT(A85:A96)=4,COUNT(F85:F96)=4),cubic_spline(F84:F88,A84:A88,B$9),IF(AND(COUNT(A85:A96)=5,COUNT(F85:F96)=5),cubic_spline(F84:F89,A84:A89,B$9),IF(AND(COUNT(A85:A96)=6,COUNT(F85:F96)=6),cubic_spline(F84:F90,A84:A90,B$9),IF(AND(COUNT(A85:A96)=7,COUNT(F85:F96)=7),cubic_spline(F84:F91,A84:A91,B$9),IF(AND(COUNT(A85:A96)=8,COUNT(F85:F96)=8),cubic_spline(F84:F92,A84:A92,B$9),IF(AND(COUNT(A85:A96)=9,COUNT(F85:F96)=9),cubic_spline(F84:F93,A84:A93,B$9),IF(AND(COUNT(A85:A96)=10,COUNT(F85:F96)=10),cubic_spline(F84:F94,A84:A94,B$9),IF(AND(COUNT(A85:A96)=11,COUNT(F85:F96)=11),cubic_spline(F84:F95,A84:A95,B$9),IF(AND(COUNT(A85:A96)=12,COUNT(F85:F96)=12),cubic_spline(F84:F96,A84:A96,B$9),""))))))))))))</f>
        <v/>
      </c>
      <c r="L90" s="27" t="str">
        <f>IF(I90="","",B$8&amp;"-"&amp;B$9)</f>
        <v/>
      </c>
      <c r="M90" s="52" t="str">
        <f t="shared" ref="M90:M96" si="30">IF(N(J90)=0,"",J90-J89)</f>
        <v/>
      </c>
    </row>
    <row r="91" spans="1:13" x14ac:dyDescent="0.35">
      <c r="A91" s="48"/>
      <c r="B91" s="48"/>
      <c r="C91" s="49"/>
      <c r="D91" s="50"/>
      <c r="E91" s="51" t="str">
        <f t="shared" si="29"/>
        <v/>
      </c>
      <c r="F91" s="71" t="str">
        <f t="shared" si="26"/>
        <v/>
      </c>
      <c r="G91" s="69" t="str">
        <f t="shared" si="28"/>
        <v/>
      </c>
      <c r="H91" s="70" t="str">
        <f t="shared" si="27"/>
        <v/>
      </c>
      <c r="I91" s="27" t="str">
        <f>IF(N(J91)=0,"",0&amp;"-"&amp;B$10)</f>
        <v/>
      </c>
      <c r="J91" s="52" t="str">
        <f>IF(N(B$10)=0,"",IF(AND(COUNT(H85:H96)=2,COUNT(F85:F96)=2),cubic_spline(F84:F86,H84:H86,B$10),IF(AND(COUNT(H85:H96)=3,COUNT(F85:F96)=3),cubic_spline(F84:F87,H84:H87,B$10),IF(AND(COUNT(H85:H96)=4,COUNT(F85:F96)=4),cubic_spline(F84:F88,H84:H88,B$10),IF(AND(COUNT(H85:H96)=5,COUNT(F85:F96)=5),cubic_spline(F84:F89,H84:H89,B$10),IF(AND(COUNT(H85:H96)=6,COUNT(F85:F96)=6),cubic_spline(F84:F90,H84:H90,B$10),IF(AND(COUNT(H85:H96)=7,COUNT(F85:F96)=7),cubic_spline(F84:F91,H84:H91,B$10),IF(AND(COUNT(H85:H96)=8,COUNT(F85:F96)=8),cubic_spline(F84:F92,H84:H92,B$10),IF(AND(COUNT(H85:H96)=9,COUNT(F85:F96)=9),cubic_spline(F84:F93,H84:H93,B$10),IF(AND(COUNT(H85:H96)=10,COUNT(F85:F96)=10),cubic_spline(F84:F94,H84:H94,B$10),IF(AND(COUNT(H85:H96)=11,COUNT(F85:F96)=11),cubic_spline(F84:F95,H84:H95,B$10),IF(AND(COUNT(H85:H96)=12,COUNT(F85:F96)=12),cubic_spline(F84:F96,H84:H96,B$10),""))))))))))))</f>
        <v/>
      </c>
      <c r="K91" s="52" t="str">
        <f>IF(N(B$10)=0,"",IF(AND(COUNT(A85:A96)=2,COUNT(F85:F96)=2),cubic_spline(F84:F86,A84:A86,B$10),IF(AND(COUNT(A85:A96)=3,COUNT(F85:F96)=3),cubic_spline(F84:F87,A84:A87,B$10),IF(AND(COUNT(A85:A96)=4,COUNT(F85:F96)=4),cubic_spline(F84:F88,A84:A88,B$10),IF(AND(COUNT(A85:A96)=5,COUNT(F85:F96)=5),cubic_spline(F84:F89,A84:A89,B$10),IF(AND(COUNT(A85:A96)=6,COUNT(F85:F96)=6),cubic_spline(F84:F90,A84:A90,B$10),IF(AND(COUNT(A85:A96)=7,COUNT(F85:F96)=7),cubic_spline(F84:F91,A84:A91,B$10),IF(AND(COUNT(A85:A96)=8,COUNT(F85:F96)=8),cubic_spline(F84:F92,A84:A92,B$10),IF(AND(COUNT(A85:A96)=9,COUNT(F85:F96)=9),cubic_spline(F84:F93,A84:A93,B$10),IF(AND(COUNT(A85:A96)=10,COUNT(F85:F96)=10),cubic_spline(F84:F94,A84:A94,B$10),IF(AND(COUNT(A85:A96)=11,COUNT(F85:F96)=11),cubic_spline(F84:F95,A84:A95,B$10),IF(AND(COUNT(A85:A96)=12,COUNT(F85:F96)=12),cubic_spline(F84:F96,A84:A96,B$10),""))))))))))))</f>
        <v/>
      </c>
      <c r="L91" s="27" t="str">
        <f>IF(I91="","",B$9&amp;"-"&amp;B$10)</f>
        <v/>
      </c>
      <c r="M91" s="52" t="str">
        <f t="shared" si="30"/>
        <v/>
      </c>
    </row>
    <row r="92" spans="1:13" x14ac:dyDescent="0.35">
      <c r="A92" s="48"/>
      <c r="B92" s="48"/>
      <c r="C92" s="49"/>
      <c r="D92" s="50"/>
      <c r="E92" s="51" t="str">
        <f t="shared" si="29"/>
        <v/>
      </c>
      <c r="F92" s="71" t="str">
        <f t="shared" si="26"/>
        <v/>
      </c>
      <c r="G92" s="69" t="str">
        <f t="shared" si="28"/>
        <v/>
      </c>
      <c r="H92" s="70" t="str">
        <f t="shared" si="27"/>
        <v/>
      </c>
      <c r="I92" s="27" t="str">
        <f>IF(N(J92)=0,"",0&amp;"-"&amp;B$11)</f>
        <v/>
      </c>
      <c r="J92" s="52" t="str">
        <f>IF(N(B$11)=0,"",IF(AND(COUNT(H85:H96)=2,COUNT(F85:F96)=2),cubic_spline(F84:F86,H84:H86,B$11),IF(AND(COUNT(H85:H96)=3,COUNT(F85:F96)=3),cubic_spline(F84:F87,H84:H87,B$11),IF(AND(COUNT(H85:H96)=4,COUNT(F85:F96)=4),cubic_spline(F84:F88,H84:H88,B$11),IF(AND(COUNT(H85:H96)=5,COUNT(F85:F96)=5),cubic_spline(F84:F89,H84:H89,B$11),IF(AND(COUNT(H85:H96)=6,COUNT(F85:F96)=6),cubic_spline(F84:F90,H84:H90,B$11),IF(AND(COUNT(H85:H96)=7,COUNT(F85:F96)=7),cubic_spline(F84:F91,H84:H91,B$11),IF(AND(COUNT(H85:H96)=8,COUNT(F85:F96)=8),cubic_spline(F84:F92,H84:H92,B$11),IF(AND(COUNT(H85:H96)=9,COUNT(F85:F96)=9),cubic_spline(F84:F93,H84:H93,B$11),IF(AND(COUNT(H85:H96)=10,COUNT(F85:F96)=10),cubic_spline(F84:F94,H84:H94,B$11),IF(AND(COUNT(H85:H96)=11,COUNT(F85:F96)=11),cubic_spline(F84:F95,H84:H95,B$11),IF(AND(COUNT(H85:H96)=12,COUNT(F85:F96)=12),cubic_spline(F84:F96,H84:H96,B$11),""))))))))))))</f>
        <v/>
      </c>
      <c r="K92" s="52" t="str">
        <f>IF(N(B$11)=0,"",IF(AND(COUNT(A85:A96)=2,COUNT(F85:F96)=2),cubic_spline(F84:F86,A84:A86,B$11),IF(AND(COUNT(A85:A96)=3,COUNT(F85:F96)=3),cubic_spline(F84:F87,A84:A87,B$11),IF(AND(COUNT(A85:A96)=4,COUNT(F85:F96)=4),cubic_spline(F84:F88,A84:A88,B$11),IF(AND(COUNT(A85:A96)=5,COUNT(F85:F96)=5),cubic_spline(F84:F89,A84:A89,B$11),IF(AND(COUNT(A85:A96)=6,COUNT(F85:F96)=6),cubic_spline(F84:F90,A84:A90,B$11),IF(AND(COUNT(A85:A96)=7,COUNT(F85:F96)=7),cubic_spline(F84:F91,A84:A91,B$11),IF(AND(COUNT(A85:A96)=8,COUNT(F85:F96)=8),cubic_spline(F84:F92,A84:A92,B$11),IF(AND(COUNT(A85:A96)=9,COUNT(F85:F96)=9),cubic_spline(F84:F93,A84:A93,B$11),IF(AND(COUNT(A85:A96)=10,COUNT(F85:F96)=10),cubic_spline(F84:F94,A84:A94,B$11),IF(AND(COUNT(A85:A96)=11,COUNT(F85:F96)=11),cubic_spline(F84:F95,A84:A95,B$11),IF(AND(COUNT(A85:A96)=12,COUNT(F85:F96)=12),cubic_spline(F84:F96,A84:A96,B$11),""))))))))))))</f>
        <v/>
      </c>
      <c r="L92" s="27" t="str">
        <f>IF(I92="","",B$10&amp;"-"&amp;B$11)</f>
        <v/>
      </c>
      <c r="M92" s="52" t="str">
        <f t="shared" si="30"/>
        <v/>
      </c>
    </row>
    <row r="93" spans="1:13" x14ac:dyDescent="0.35">
      <c r="A93" s="48"/>
      <c r="B93" s="48"/>
      <c r="C93" s="49"/>
      <c r="D93" s="50"/>
      <c r="E93" s="51" t="str">
        <f t="shared" si="29"/>
        <v/>
      </c>
      <c r="F93" s="71" t="str">
        <f t="shared" si="26"/>
        <v/>
      </c>
      <c r="G93" s="69" t="str">
        <f t="shared" si="28"/>
        <v/>
      </c>
      <c r="H93" s="70" t="str">
        <f t="shared" si="27"/>
        <v/>
      </c>
      <c r="I93" s="27" t="str">
        <f>IF(N(J93)=0,"",0&amp;"-"&amp;B$12)</f>
        <v/>
      </c>
      <c r="J93" s="52" t="str">
        <f>IF(N(B$12)=0,"",IF(AND(COUNT(H85:H96)=2,COUNT(F85:F96)=2),cubic_spline(F84:F86,H84:H86,B$12),IF(AND(COUNT(H85:H96)=3,COUNT(F85:F96)=3),cubic_spline(F84:F87,H84:H87,B$12),IF(AND(COUNT(H85:H96)=4,COUNT(F85:F96)=4),cubic_spline(F84:F88,H84:H88,B$12),IF(AND(COUNT(H85:H96)=5,COUNT(F85:F96)=5),cubic_spline(F84:F89,H84:H89,B$12),IF(AND(COUNT(H85:H96)=6,COUNT(F85:F96)=6),cubic_spline(F84:F90,H84:H90,B$12),IF(AND(COUNT(H85:H96)=7,COUNT(F85:F96)=7),cubic_spline(F84:F91,H84:H91,B$12),IF(AND(COUNT(H85:H96)=8,COUNT(F85:F96)=8),cubic_spline(F84:F92,H84:H92,B$12),IF(AND(COUNT(H85:H96)=9,COUNT(F85:F96)=9),cubic_spline(F84:F93,H84:H93,B$12),IF(AND(COUNT(H85:H96)=10,COUNT(F85:F96)=10),cubic_spline(F84:F94,H84:H94,B$12),IF(AND(COUNT(H85:H96)=11,COUNT(F85:F96)=11),cubic_spline(F84:F95,H84:H95,B$12),IF(AND(COUNT(H85:H96)=12,COUNT(F85:F96)=12),cubic_spline(F84:F96,H84:H96,B$12),""))))))))))))</f>
        <v/>
      </c>
      <c r="K93" s="52" t="str">
        <f>IF(N(B$12)=0,"",IF(AND(COUNT(A85:A96)=2,COUNT(F85:F96)=2),cubic_spline(F84:F86,A84:A86,B$12),IF(AND(COUNT(A85:A96)=3,COUNT(F85:F96)=3),cubic_spline(F84:F87,A84:A87,B$12),IF(AND(COUNT(A85:A96)=4,COUNT(F85:F96)=4),cubic_spline(F84:F88,A84:A88,B$12),IF(AND(COUNT(A85:A96)=5,COUNT(F85:F96)=5),cubic_spline(F84:F89,A84:A89,B$12),IF(AND(COUNT(A85:A96)=6,COUNT(F85:F96)=6),cubic_spline(F84:F90,A84:A90,B$12),IF(AND(COUNT(A85:A96)=7,COUNT(F85:F96)=7),cubic_spline(F84:F91,A84:A91,B$12),IF(AND(COUNT(A85:A96)=8,COUNT(F85:F96)=8),cubic_spline(F84:F92,A84:A92,B$12),IF(AND(COUNT(A85:A96)=9,COUNT(F85:F96)=9),cubic_spline(F84:F93,A84:A93,B$12),IF(AND(COUNT(A85:A96)=10,COUNT(F85:F96)=10),cubic_spline(F84:F94,A84:A94,B$12),IF(AND(COUNT(A85:A96)=11,COUNT(F85:F96)=11),cubic_spline(F84:F95,A84:A95,B$12),IF(AND(COUNT(A85:A96)=12,COUNT(F85:F96)=12),cubic_spline(F84:F96,A84:A96,B$12),""))))))))))))</f>
        <v/>
      </c>
      <c r="L93" s="27" t="str">
        <f>IF(I93="","",B$11&amp;"-"&amp;B$12)</f>
        <v/>
      </c>
      <c r="M93" s="52" t="str">
        <f t="shared" si="30"/>
        <v/>
      </c>
    </row>
    <row r="94" spans="1:13" x14ac:dyDescent="0.35">
      <c r="A94" s="48"/>
      <c r="B94" s="48"/>
      <c r="C94" s="49"/>
      <c r="D94" s="50"/>
      <c r="E94" s="51" t="str">
        <f t="shared" si="29"/>
        <v/>
      </c>
      <c r="F94" s="71" t="str">
        <f t="shared" si="26"/>
        <v/>
      </c>
      <c r="G94" s="69" t="str">
        <f t="shared" si="28"/>
        <v/>
      </c>
      <c r="H94" s="70" t="str">
        <f t="shared" si="27"/>
        <v/>
      </c>
      <c r="I94" s="27" t="str">
        <f>IF(N(J94)=0,"",0&amp;"-"&amp;B$13)</f>
        <v/>
      </c>
      <c r="J94" s="52" t="str">
        <f>IF(N(B$13)=0,"",IF(AND(COUNT(H85:H96)=2,COUNT(F85:F96)=2),cubic_spline(F84:F86,H84:H86,B$13),IF(AND(COUNT(H85:H96)=3,COUNT(F85:F96)=3),cubic_spline(F84:F87,H84:H87,B$13),IF(AND(COUNT(H85:H96)=4,COUNT(F85:F96)=4),cubic_spline(F84:F88,H84:H88,B$13),IF(AND(COUNT(H85:H96)=5,COUNT(F85:F96)=5),cubic_spline(F84:F89,H84:H89,B$13),IF(AND(COUNT(H85:H96)=6,COUNT(F85:F96)=6),cubic_spline(F84:F90,H84:H90,B$13),IF(AND(COUNT(H85:H96)=7,COUNT(F85:F96)=7),cubic_spline(F84:F91,H84:H91,B$13),IF(AND(COUNT(H85:H96)=8,COUNT(F85:F96)=8),cubic_spline(F84:F92,H84:H92,B$13),IF(AND(COUNT(H85:H96)=9,COUNT(F85:F96)=9),cubic_spline(F84:F93,H84:H93,B$13),IF(AND(COUNT(H85:H96)=10,COUNT(F85:F96)=10),cubic_spline(F84:F94,H84:H94,B$13),IF(AND(COUNT(H85:H96)=11,COUNT(F85:F96)=11),cubic_spline(F84:F95,H84:H95,B$13),IF(AND(COUNT(H85:H96)=12,COUNT(F85:F96)=12),cubic_spline(F84:F96,H84:H96,B$13),""))))))))))))</f>
        <v/>
      </c>
      <c r="K94" s="52" t="str">
        <f>IF(N(B$13)=0,"",IF(AND(COUNT(A85:A96)=2,COUNT(F85:F96)=2),cubic_spline(F84:F86,A84:A86,B$13),IF(AND(COUNT(A85:A96)=3,COUNT(F85:F96)=3),cubic_spline(F84:F87,A84:A87,B$13),IF(AND(COUNT(A85:A96)=4,COUNT(F85:F96)=4),cubic_spline(F84:F88,A84:A88,B$13),IF(AND(COUNT(A85:A96)=5,COUNT(F85:F96)=5),cubic_spline(F84:F89,A84:A89,B$13),IF(AND(COUNT(A85:A96)=6,COUNT(F85:F96)=6),cubic_spline(F84:F90,A84:A90,B$13),IF(AND(COUNT(A85:A96)=7,COUNT(F85:F96)=7),cubic_spline(F84:F91,A84:A91,B$13),IF(AND(COUNT(A85:A96)=8,COUNT(F85:F96)=8),cubic_spline(F84:F92,A84:A92,B$13),IF(AND(COUNT(A85:A96)=9,COUNT(F85:F96)=9),cubic_spline(F84:F93,A84:A93,B$13),IF(AND(COUNT(A85:A96)=10,COUNT(F85:F96)=10),cubic_spline(F84:F94,A84:A94,B$13),IF(AND(COUNT(A85:A96)=11,COUNT(F85:F96)=11),cubic_spline(F84:F95,A84:A95,B$13),IF(AND(COUNT(A85:A96)=12,COUNT(F85:F96)=12),cubic_spline(F84:F96,A84:A96,B$13),""))))))))))))</f>
        <v/>
      </c>
      <c r="L94" s="27" t="str">
        <f>IF(I94="","",B$12&amp;"-"&amp;B$13)</f>
        <v/>
      </c>
      <c r="M94" s="52" t="str">
        <f t="shared" si="30"/>
        <v/>
      </c>
    </row>
    <row r="95" spans="1:13" x14ac:dyDescent="0.35">
      <c r="A95" s="48"/>
      <c r="B95" s="48"/>
      <c r="C95" s="49"/>
      <c r="D95" s="50"/>
      <c r="E95" s="51" t="str">
        <f t="shared" si="29"/>
        <v/>
      </c>
      <c r="F95" s="71" t="str">
        <f t="shared" si="26"/>
        <v/>
      </c>
      <c r="G95" s="69" t="str">
        <f t="shared" si="28"/>
        <v/>
      </c>
      <c r="H95" s="70" t="str">
        <f t="shared" si="27"/>
        <v/>
      </c>
      <c r="I95" s="27" t="str">
        <f>IF(N(J95)=0,"",0&amp;"-"&amp;B$14)</f>
        <v/>
      </c>
      <c r="J95" s="52" t="str">
        <f>IF(N(B$14)=0,"",IF(AND(COUNT(H85:H96)=2,COUNT(F85:F96)=2),cubic_spline(F84:F86,H84:H86,B$14),IF(AND(COUNT(H85:H96)=3,COUNT(F85:F96)=3),cubic_spline(F84:F87,H84:H87,B$14),IF(AND(COUNT(H85:H96)=4,COUNT(F85:F96)=4),cubic_spline(F84:F88,H84:H88,B$14),IF(AND(COUNT(H85:H96)=5,COUNT(F85:F96)=5),cubic_spline(F84:F89,H84:H89,B$14),IF(AND(COUNT(H85:H96)=6,COUNT(F85:F96)=6),cubic_spline(F84:F90,H84:H90,B$14),IF(AND(COUNT(H85:H96)=7,COUNT(F85:F96)=7),cubic_spline(F84:F91,H84:H91,B$14),IF(AND(COUNT(H85:H96)=8,COUNT(F85:F96)=8),cubic_spline(F84:F92,H84:H92,B$14),IF(AND(COUNT(H85:H96)=9,COUNT(F85:F96)=9),cubic_spline(F84:F93,H84:H93,B$14),IF(AND(COUNT(H85:H96)=10,COUNT(F85:F96)=10),cubic_spline(F84:F94,H84:H94,B$14),IF(AND(COUNT(H85:H96)=11,COUNT(F85:F96)=11),cubic_spline(F84:F95,H84:H95,B$14),IF(AND(COUNT(H85:H96)=12,COUNT(F85:F96)=12),cubic_spline(F84:F96,H84:H96,B$14),""))))))))))))</f>
        <v/>
      </c>
      <c r="K95" s="52" t="str">
        <f>IF(N(B$14)=0,"",IF(AND(COUNT(A85:A96)=2,COUNT(F85:F96)=2),cubic_spline(F84:F86,A84:A86,B$14),IF(AND(COUNT(A85:A96)=3,COUNT(F85:F96)=3),cubic_spline(F84:F87,A84:A87,B$14),IF(AND(COUNT(A85:A96)=4,COUNT(F85:F96)=4),cubic_spline(F84:F88,A84:A88,B$14),IF(AND(COUNT(A85:A96)=5,COUNT(F85:F96)=5),cubic_spline(F84:F89,A84:A89,B$14),IF(AND(COUNT(A85:A96)=6,COUNT(F85:F96)=6),cubic_spline(F84:F90,A84:A90,B$14),IF(AND(COUNT(A85:A96)=7,COUNT(F85:F96)=7),cubic_spline(F84:F91,A84:A91,B$14),IF(AND(COUNT(A85:A96)=8,COUNT(F85:F96)=8),cubic_spline(F84:F92,A84:A92,B$14),IF(AND(COUNT(A85:A96)=9,COUNT(F85:F96)=9),cubic_spline(F84:F93,A84:A93,B$14),IF(AND(COUNT(A85:A96)=10,COUNT(F85:F96)=10),cubic_spline(F84:F94,A84:A94,B$14),IF(AND(COUNT(A85:A96)=11,COUNT(F85:F96)=11),cubic_spline(F84:F95,A84:A95,B$14),IF(AND(COUNT(A85:A96)=12,COUNT(F85:F96)=12),cubic_spline(F84:F96,A84:A96,B$14),""))))))))))))</f>
        <v/>
      </c>
      <c r="L95" s="27" t="str">
        <f>IF(I95="","",B$13&amp;"-"&amp;B$14)</f>
        <v/>
      </c>
      <c r="M95" s="52" t="str">
        <f t="shared" si="30"/>
        <v/>
      </c>
    </row>
    <row r="96" spans="1:13" x14ac:dyDescent="0.35">
      <c r="A96" s="48"/>
      <c r="B96" s="48"/>
      <c r="C96" s="49"/>
      <c r="D96" s="50"/>
      <c r="E96" s="51" t="str">
        <f t="shared" si="29"/>
        <v/>
      </c>
      <c r="F96" s="71" t="str">
        <f t="shared" si="26"/>
        <v/>
      </c>
      <c r="G96" s="69" t="str">
        <f t="shared" si="28"/>
        <v/>
      </c>
      <c r="H96" s="70" t="str">
        <f t="shared" si="27"/>
        <v/>
      </c>
      <c r="I96" s="27" t="str">
        <f>IF(N(J96)=0,"",0&amp;"-"&amp;B$15)</f>
        <v/>
      </c>
      <c r="J96" s="52" t="str">
        <f>IF(N(B$15)=0,"",IF(AND(COUNT(H85:H96)=2,COUNT(F85:F96)=2),cubic_spline(F84:F86,H84:H86,B$15),IF(AND(COUNT(H85:H96)=3,COUNT(F85:F96)=3),cubic_spline(F84:F87,H84:H87,B$15),IF(AND(COUNT(H85:H96)=4,COUNT(F85:F96)=4),cubic_spline(F84:F88,H84:H88,B$15),IF(AND(COUNT(H85:H96)=5,COUNT(F85:F96)=5),cubic_spline(F84:F89,H84:H89,B$15),IF(AND(COUNT(H85:H96)=6,COUNT(F85:F96)=6),cubic_spline(F84:F90,H84:H90,B$15),IF(AND(COUNT(H85:H96)=7,COUNT(F85:F96)=7),cubic_spline(F84:F91,H84:H91,B$15),IF(AND(COUNT(H85:H96)=8,COUNT(F85:F96)=8),cubic_spline(F84:F92,H84:H92,B$15),IF(AND(COUNT(H85:H96)=9,COUNT(F85:F96)=9),cubic_spline(F84:F93,H84:H93,B$15),IF(AND(COUNT(H85:H96)=10,COUNT(F85:F96)=10),cubic_spline(F84:F94,H84:H94,B$15),IF(AND(COUNT(H85:H96)=11,COUNT(F85:F96)=11),cubic_spline(F84:F95,H84:H95,B$15),IF(AND(COUNT(H85:H96)=12,COUNT(F85:F96)=12),cubic_spline(F84:F96,H84:H96,B$15),""))))))))))))</f>
        <v/>
      </c>
      <c r="K96" s="52" t="str">
        <f>IF(N(B$15)=0,"",IF(AND(COUNT(A85:A96)=2,COUNT(F85:F96)=2),cubic_spline(F84:F86,A84:A86,B$15),IF(AND(COUNT(A85:A96)=3,COUNT(F85:F96)=3),cubic_spline(F84:F87,A84:A87,B$15),IF(AND(COUNT(A85:A96)=4,COUNT(F85:F96)=4),cubic_spline(F84:F88,A84:A88,B$15),IF(AND(COUNT(A85:A96)=5,COUNT(F85:F96)=5),cubic_spline(F84:F89,A84:A89,B$15),IF(AND(COUNT(A85:A96)=6,COUNT(F85:F96)=6),cubic_spline(F84:F90,A84:A90,B$15),IF(AND(COUNT(A85:A96)=7,COUNT(F85:F96)=7),cubic_spline(F84:F91,A84:A91,B$15),IF(AND(COUNT(A85:A96)=8,COUNT(F85:F96)=8),cubic_spline(F84:F92,A84:A92,B$15),IF(AND(COUNT(A85:A96)=9,COUNT(F85:F96)=9),cubic_spline(F84:F93,A84:A93,B$15),IF(AND(COUNT(A85:A96)=10,COUNT(F85:F96)=10),cubic_spline(F84:F94,A84:A94,B$15),IF(AND(COUNT(A85:A96)=11,COUNT(F85:F96)=11),cubic_spline(F84:F95,A84:A95,B$15),IF(AND(COUNT(A85:A96)=12,COUNT(F85:F96)=12),cubic_spline(F84:F96,A84:A96,B$15),""))))))))))))</f>
        <v/>
      </c>
      <c r="L96" s="27" t="str">
        <f>IF(I96="","",B$14&amp;"-"&amp;B$15)</f>
        <v/>
      </c>
      <c r="M96" s="52" t="str">
        <f t="shared" si="30"/>
        <v/>
      </c>
    </row>
    <row r="97" spans="1:13" ht="5.15" customHeight="1" x14ac:dyDescent="0.35">
      <c r="A97" s="47"/>
      <c r="B97" s="47"/>
      <c r="C97" s="47"/>
      <c r="D97" s="53"/>
      <c r="E97" s="54"/>
      <c r="F97" s="55"/>
      <c r="G97" s="72"/>
      <c r="H97" s="73"/>
      <c r="I97" s="47"/>
      <c r="J97" s="57"/>
      <c r="K97" s="57"/>
      <c r="L97" s="55"/>
      <c r="M97" s="57"/>
    </row>
    <row r="98" spans="1:13" x14ac:dyDescent="0.35">
      <c r="A98" s="48"/>
      <c r="B98" s="48"/>
      <c r="C98" s="49"/>
      <c r="D98" s="50"/>
      <c r="E98" s="51" t="str">
        <f>IF(N(C98)=0,"",C98/PI()/($D$1/2)^2/$D$2*10000)</f>
        <v/>
      </c>
      <c r="F98" s="68" t="str">
        <f t="shared" ref="F98:F109" si="31">IF(N(E98)=0,"",(N(E98)+N(F97)))</f>
        <v/>
      </c>
      <c r="G98" s="69" t="str">
        <f>IF(OR(N(D98)=0,N(E98)=0),"",(E98*D98)/1000)</f>
        <v/>
      </c>
      <c r="H98" s="70" t="str">
        <f t="shared" ref="H98:H109" si="32">IF(N(G98)=0,"",(N(G98)+N(H97)))</f>
        <v/>
      </c>
      <c r="I98" s="27" t="str">
        <f>IF(N(J98)=0,"",0&amp;"-"&amp;B$4)</f>
        <v/>
      </c>
      <c r="J98" s="52" t="str">
        <f>IF(N(B$4)=0,"",IF(AND(COUNT(H98:H109)=2,COUNT(F98:F109)=2),cubic_spline(F97:F99,H97:H99,B$4),IF(AND(COUNT(H98:H109)=3,COUNT(F98:F109)=3),cubic_spline(F97:F100,H97:H100,B$4),IF(AND(COUNT(H98:H109)=4,COUNT(F98:F109)=4),cubic_spline(F97:F101,H97:H101,B$4),IF(AND(COUNT(H98:H109)=5,COUNT(F98:F109)=5),cubic_spline(F97:F102,H97:H102,B$4),IF(AND(COUNT(H98:H109)=6,COUNT(F98:F109)=6),cubic_spline(F97:F103,H97:H103,B$4),IF(AND(COUNT(H98:H109)=7,COUNT(F98:F109)=7),cubic_spline(F97:F104,H97:H104,B$4),IF(AND(COUNT(H98:H109)=8,COUNT(F98:F109)=8),cubic_spline(F97:F105,H97:H105,B$4),IF(AND(COUNT(H98:H109)=9,COUNT(F98:F109)=9),cubic_spline(F97:F106,H97:H106,B$4),IF(AND(COUNT(H98:H109)=10,COUNT(F98:F109)=10),cubic_spline(F97:F107,H97:H107,B$4),IF(AND(COUNT(H98:H109)=11,COUNT(F98:F109)=11),cubic_spline(F97:F108,H97:H108,B$4),IF(AND(COUNT(H98:H109)=12,COUNT(F98:F109)=12),cubic_spline(F97:F109,H97:H109,B$4),""))))))))))))</f>
        <v/>
      </c>
      <c r="K98" s="52" t="str">
        <f>IF(N(B$4)=0,"",IF(AND(COUNT(A98:A109)=2,COUNT(F98:F109)=2),cubic_spline(F97:F99,A97:A99,B$4),IF(AND(COUNT(A98:A109)=3,COUNT(F98:F109)=3),cubic_spline(F97:F100,A97:A100,B$4),IF(AND(COUNT(A98:A109)=4,COUNT(F98:F109)=4),cubic_spline(F97:F101,A97:A101,B$4),IF(AND(COUNT(A98:A109)=5,COUNT(F98:F109)=5),cubic_spline(F97:F102,A97:A102,B$4),IF(AND(COUNT(A98:A109)=6,COUNT(F98:F109)=6),cubic_spline(F97:F103,A97:A103,B$4),IF(AND(COUNT(A98:A109)=7,COUNT(F98:F109)=7),cubic_spline(F97:F104,A97:A104,B$4),IF(AND(COUNT(A98:A109)=8,COUNT(F98:F109)=8),cubic_spline(F97:F105,A97:A105,B$4),IF(AND(COUNT(A98:A109)=9,COUNT(F98:F109)=9),cubic_spline(F97:F106,A97:A106,B$4),IF(AND(COUNT(A98:A109)=10,COUNT(F98:F109)=10),cubic_spline(F97:F107,A97:A107,B$4),IF(AND(COUNT(A98:A109)=11,COUNT(F98:F109)=11),cubic_spline(F97:F108,A97:A108,B$4),IF(AND(COUNT(A98:A109)=12,COUNT(F98:F109)=12),cubic_spline(F97:F109,A97:A109,B$4),""))))))))))))</f>
        <v/>
      </c>
      <c r="L98" s="27" t="str">
        <f>IF(I98="","",0&amp;"-"&amp;B$4)</f>
        <v/>
      </c>
      <c r="M98" s="52" t="str">
        <f>IF(N(J98)=0,"",J98-J97)</f>
        <v/>
      </c>
    </row>
    <row r="99" spans="1:13" x14ac:dyDescent="0.35">
      <c r="A99" s="48"/>
      <c r="B99" s="48"/>
      <c r="C99" s="49"/>
      <c r="D99" s="50"/>
      <c r="E99" s="51" t="str">
        <f>IF(N(C99)=0,"",C99/PI()/($D$1/2)^2/$D$2*10000)</f>
        <v/>
      </c>
      <c r="F99" s="68" t="str">
        <f t="shared" si="31"/>
        <v/>
      </c>
      <c r="G99" s="69" t="str">
        <f t="shared" ref="G99:G109" si="33">IF(OR(N(D99)=0,N(E99)=0),"",(E99*D99)/1000)</f>
        <v/>
      </c>
      <c r="H99" s="70" t="str">
        <f t="shared" si="32"/>
        <v/>
      </c>
      <c r="I99" s="27" t="str">
        <f>IF(N(J99)=0,"",0&amp;"-"&amp;B$5)</f>
        <v/>
      </c>
      <c r="J99" s="52" t="str">
        <f>IF(N(B$5)=0,"",IF(AND(COUNT(H98:H109)=2,COUNT(F98:F109)=2),cubic_spline(F97:F99,H97:H99,B$5),IF(AND(COUNT(H98:H109)=3,COUNT(F98:F109)=3),cubic_spline(F97:F100,H97:H100,B$5),IF(AND(COUNT(H98:H109)=4,COUNT(F98:F109)=4),cubic_spline(F97:F101,H97:H101,B$5),IF(AND(COUNT(H98:H109)=5,COUNT(F98:F109)=5),cubic_spline(F97:F102,H97:H102,B$5),IF(AND(COUNT(H98:H109)=6,COUNT(F98:F109)=6),cubic_spline(F97:F103,H97:H103,B$5),IF(AND(COUNT(H98:H109)=7,COUNT(F98:F109)=7),cubic_spline(F97:F104,H97:H104,B$5),IF(AND(COUNT(H98:H109)=8,COUNT(F98:F109)=8),cubic_spline(F97:F105,H97:H105,B$5),IF(AND(COUNT(H98:H109)=9,COUNT(F98:F109)=9),cubic_spline(F97:F106,H97:H106,B$5),IF(AND(COUNT(H98:H109)=10,COUNT(F98:F109)=10),cubic_spline(F97:F107,H97:H107,B$5),IF(AND(COUNT(H98:H109)=11,COUNT(F98:F109)=11),cubic_spline(F97:F108,H97:H108,B$5),IF(AND(COUNT(H98:H109)=12,COUNT(F98:F109)=12),cubic_spline(F97:F109,H97:H109,B$5),""))))))))))))</f>
        <v/>
      </c>
      <c r="K99" s="52" t="str">
        <f>IF(N(B$5)=0,"",IF(AND(COUNT(A98:A109)=2,COUNT(F98:F109)=2),cubic_spline(F97:F99,A97:A99,B$5),IF(AND(COUNT(A98:A109)=3,COUNT(F98:F109)=3),cubic_spline(F97:F100,A97:A100,B$5),IF(AND(COUNT(A98:A109)=4,COUNT(F98:F109)=4),cubic_spline(F97:F101,A97:A101,B$5),IF(AND(COUNT(A98:A109)=5,COUNT(F98:F109)=5),cubic_spline(F97:F102,A97:A102,B$5),IF(AND(COUNT(A98:A109)=6,COUNT(F98:F109)=6),cubic_spline(F97:F103,A97:A103,B$5),IF(AND(COUNT(A98:A109)=7,COUNT(F98:F109)=7),cubic_spline(F97:F104,A97:A104,B$5),IF(AND(COUNT(A98:A109)=8,COUNT(F98:F109)=8),cubic_spline(F97:F105,A97:A105,B$5),IF(AND(COUNT(A98:A109)=9,COUNT(F98:F109)=9),cubic_spline(F97:F106,A97:A106,B$5),IF(AND(COUNT(A98:A109)=10,COUNT(F98:F109)=10),cubic_spline(F97:F107,A97:A107,B$5),IF(AND(COUNT(A98:A109)=11,COUNT(F98:F109)=11),cubic_spline(F97:F108,A97:A108,B$5),IF(AND(COUNT(A98:A109)=12,COUNT(F98:F109)=12),cubic_spline(F97:F109,A97:A109,B$5),""))))))))))))</f>
        <v/>
      </c>
      <c r="L99" s="27" t="str">
        <f>IF(I99="","",B$4&amp;"-"&amp;B$5)</f>
        <v/>
      </c>
      <c r="M99" s="52" t="str">
        <f>IF(N(J99)=0,"",J99-J98)</f>
        <v/>
      </c>
    </row>
    <row r="100" spans="1:13" x14ac:dyDescent="0.35">
      <c r="A100" s="48"/>
      <c r="B100" s="48"/>
      <c r="C100" s="49"/>
      <c r="D100" s="50"/>
      <c r="E100" s="51" t="str">
        <f>IF(N(C100)=0,"",C100/PI()/($D$1/2)^2/$D$2*10000)</f>
        <v/>
      </c>
      <c r="F100" s="68" t="str">
        <f t="shared" si="31"/>
        <v/>
      </c>
      <c r="G100" s="69" t="str">
        <f t="shared" si="33"/>
        <v/>
      </c>
      <c r="H100" s="70" t="str">
        <f t="shared" si="32"/>
        <v/>
      </c>
      <c r="I100" s="27" t="str">
        <f>IF(N(J100)=0,"",0&amp;"-"&amp;B$6)</f>
        <v/>
      </c>
      <c r="J100" s="52" t="str">
        <f>IF(N(B$6)=0,"",IF(AND(COUNT(H98:H109)=2,COUNT(F98:F109)=2),cubic_spline(F97:F99,H97:H99,B$6),IF(AND(COUNT(H98:H109)=3,COUNT(F98:F109)=3),cubic_spline(F97:F100,H97:H100,B$6),IF(AND(COUNT(H98:H109)=4,COUNT(F98:F109)=4),cubic_spline(F97:F101,H97:H101,B$6),IF(AND(COUNT(H98:H109)=5,COUNT(F98:F109)=5),cubic_spline(F97:F102,H97:H102,B$6),IF(AND(COUNT(H98:H109)=6,COUNT(F98:F109)=6),cubic_spline(F97:F103,H97:H103,B$6),IF(AND(COUNT(H98:H109)=7,COUNT(F98:F109)=7),cubic_spline(F97:F104,H97:H104,B$6),IF(AND(COUNT(H98:H109)=8,COUNT(F98:F109)=8),cubic_spline(F97:F105,H97:H105,B$6),IF(AND(COUNT(H98:H109)=9,COUNT(F98:F109)=9),cubic_spline(F97:F106,H97:H106,B$6),IF(AND(COUNT(H98:H109)=10,COUNT(F98:F109)=10),cubic_spline(F97:F107,H97:H107,B$6),IF(AND(COUNT(H98:H109)=11,COUNT(F98:F109)=11),cubic_spline(F97:F108,H97:H108,B$6),IF(AND(COUNT(H98:H109)=12,COUNT(F98:F109)=12),cubic_spline(F97:F109,H97:H109,B$6),""))))))))))))</f>
        <v/>
      </c>
      <c r="K100" s="52" t="str">
        <f>IF(N(B$6)=0,"",IF(AND(COUNT(A98:A109)=2,COUNT(F98:F109)=2),cubic_spline(F97:F99,A97:A99,B$6),IF(AND(COUNT(A98:A109)=3,COUNT(F98:F109)=3),cubic_spline(F97:F100,A97:A100,B$6),IF(AND(COUNT(A98:A109)=4,COUNT(F98:F109)=4),cubic_spline(F97:F101,A97:A101,B$6),IF(AND(COUNT(A98:A109)=5,COUNT(F98:F109)=5),cubic_spline(F97:F102,A97:A102,B$6),IF(AND(COUNT(A98:A109)=6,COUNT(F98:F109)=6),cubic_spline(F97:F103,A97:A103,B$6),IF(AND(COUNT(A98:A109)=7,COUNT(F98:F109)=7),cubic_spline(F97:F104,A97:A104,B$6),IF(AND(COUNT(A98:A109)=8,COUNT(F98:F109)=8),cubic_spline(F97:F105,A97:A105,B$6),IF(AND(COUNT(A98:A109)=9,COUNT(F98:F109)=9),cubic_spline(F97:F106,A97:A106,B$6),IF(AND(COUNT(A98:A109)=10,COUNT(F98:F109)=10),cubic_spline(F97:F107,A97:A107,B$6),IF(AND(COUNT(A98:A109)=11,COUNT(F98:F109)=11),cubic_spline(F97:F108,A97:A108,B$6),IF(AND(COUNT(A98:A109)=12,COUNT(F98:F109)=12),cubic_spline(F97:F109,A97:A109,B$6),""))))))))))))</f>
        <v/>
      </c>
      <c r="L100" s="27" t="str">
        <f>IF(I100="","",B$5&amp;"-"&amp;B$6)</f>
        <v/>
      </c>
      <c r="M100" s="52" t="str">
        <f>IF(N(J100)=0,"",J100-J99)</f>
        <v/>
      </c>
    </row>
    <row r="101" spans="1:13" x14ac:dyDescent="0.35">
      <c r="A101" s="48"/>
      <c r="B101" s="48"/>
      <c r="C101" s="49"/>
      <c r="D101" s="50"/>
      <c r="E101" s="51" t="str">
        <f>IF(N(C101)=0,"",C101/PI()/($D$1/2)^2/$D$2*10000)</f>
        <v/>
      </c>
      <c r="F101" s="68" t="str">
        <f t="shared" si="31"/>
        <v/>
      </c>
      <c r="G101" s="69" t="str">
        <f t="shared" si="33"/>
        <v/>
      </c>
      <c r="H101" s="70" t="str">
        <f t="shared" si="32"/>
        <v/>
      </c>
      <c r="I101" s="27" t="str">
        <f>IF(N(J101)=0,"",0&amp;"-"&amp;B$7)</f>
        <v/>
      </c>
      <c r="J101" s="52" t="str">
        <f>IF(N(B$7)=0,"",IF(AND(COUNT(H98:H109)=2,COUNT(F98:F109)=2),cubic_spline(F97:F99,H97:H99,B$7),IF(AND(COUNT(H98:H109)=3,COUNT(F98:F109)=3),cubic_spline(F97:F100,H97:H100,B$7),IF(AND(COUNT(H98:H109)=4,COUNT(F98:F109)=4),cubic_spline(F97:F101,H97:H101,B$7),IF(AND(COUNT(H98:H109)=5,COUNT(F98:F109)=5),cubic_spline(F97:F102,H97:H102,B$7),IF(AND(COUNT(H98:H109)=6,COUNT(F98:F109)=6),cubic_spline(F97:F103,H97:H103,B$7),IF(AND(COUNT(H98:H109)=7,COUNT(F98:F109)=7),cubic_spline(F97:F104,H97:H104,B$7),IF(AND(COUNT(H98:H109)=8,COUNT(F98:F109)=8),cubic_spline(F97:F105,H97:H105,B$7),IF(AND(COUNT(H98:H109)=9,COUNT(F98:F109)=9),cubic_spline(F97:F106,H97:H106,B$7),IF(AND(COUNT(H98:H109)=10,COUNT(F98:F109)=10),cubic_spline(F97:F107,H97:H107,B$7),IF(AND(COUNT(H98:H109)=11,COUNT(F98:F109)=11),cubic_spline(F97:F108,H97:H108,B$7),IF(AND(COUNT(H98:H109)=12,COUNT(F98:F109)=12),cubic_spline(F97:F109,H97:H109,B$7),""))))))))))))</f>
        <v/>
      </c>
      <c r="K101" s="52" t="str">
        <f>IF(N(B$7)=0,"",IF(AND(COUNT(A98:A109)=2,COUNT(F98:F109)=2),cubic_spline(F97:F99,A97:A99,B$7),IF(AND(COUNT(A98:A109)=3,COUNT(F98:F109)=3),cubic_spline(F97:F100,A97:A100,B$7),IF(AND(COUNT(A98:A109)=4,COUNT(F98:F109)=4),cubic_spline(F97:F101,A97:A101,B$7),IF(AND(COUNT(A98:A109)=5,COUNT(F98:F109)=5),cubic_spline(F97:F102,A97:A102,B$7),IF(AND(COUNT(A98:A109)=6,COUNT(F98:F109)=6),cubic_spline(F97:F103,A97:A103,B$7),IF(AND(COUNT(A98:A109)=7,COUNT(F98:F109)=7),cubic_spline(F97:F104,A97:A104,B$7),IF(AND(COUNT(A98:A109)=8,COUNT(F98:F109)=8),cubic_spline(F97:F105,A97:A105,B$7),IF(AND(COUNT(A98:A109)=9,COUNT(F98:F109)=9),cubic_spline(F97:F106,A97:A106,B$7),IF(AND(COUNT(A98:A109)=10,COUNT(F98:F109)=10),cubic_spline(F97:F107,A97:A107,B$7),IF(AND(COUNT(A98:A109)=11,COUNT(F98:F109)=11),cubic_spline(F97:F108,A97:A108,B$7),IF(AND(COUNT(A98:A109)=12,COUNT(F98:F109)=12),cubic_spline(F97:F109,A97:A109,B$7),""))))))))))))</f>
        <v/>
      </c>
      <c r="L101" s="27" t="str">
        <f>IF(I101="","",B$6&amp;"-"&amp;B$7)</f>
        <v/>
      </c>
      <c r="M101" s="52" t="str">
        <f>IF(N(J101)=0,"",J101-J100)</f>
        <v/>
      </c>
    </row>
    <row r="102" spans="1:13" x14ac:dyDescent="0.35">
      <c r="A102" s="48"/>
      <c r="B102" s="48"/>
      <c r="C102" s="49"/>
      <c r="D102" s="50"/>
      <c r="E102" s="51" t="str">
        <f t="shared" ref="E102:E109" si="34">IF(N(C102)=0,"",C102/PI()/($D$1/2)^2/$D$2*10000)</f>
        <v/>
      </c>
      <c r="F102" s="71" t="str">
        <f t="shared" si="31"/>
        <v/>
      </c>
      <c r="G102" s="69" t="str">
        <f t="shared" si="33"/>
        <v/>
      </c>
      <c r="H102" s="70" t="str">
        <f t="shared" si="32"/>
        <v/>
      </c>
      <c r="I102" s="27" t="str">
        <f>IF(N(J102)=0,"",0&amp;"-"&amp;B$8)</f>
        <v/>
      </c>
      <c r="J102" s="52" t="str">
        <f>IF(N(B$8)=0,"",IF(AND(COUNT(H98:H109)=2,COUNT(F98:F109)=2),cubic_spline(F97:F99,H97:H99,B$8),IF(AND(COUNT(H98:H109)=3,COUNT(F98:F109)=3),cubic_spline(F97:F100,H97:H100,B$8),IF(AND(COUNT(H98:H109)=4,COUNT(F98:F109)=4),cubic_spline(F97:F101,H97:H101,B$8),IF(AND(COUNT(H98:H109)=5,COUNT(F98:F109)=5),cubic_spline(F97:F102,H97:H102,B$8),IF(AND(COUNT(H98:H109)=6,COUNT(F98:F109)=6),cubic_spline(F97:F103,H97:H103,B$8),IF(AND(COUNT(H98:H109)=7,COUNT(F98:F109)=7),cubic_spline(F97:F104,H97:H104,B$8),IF(AND(COUNT(H98:H109)=8,COUNT(F98:F109)=8),cubic_spline(F97:F105,H97:H105,B$8),IF(AND(COUNT(H98:H109)=9,COUNT(F98:F109)=9),cubic_spline(F97:F106,H97:H106,B$8),IF(AND(COUNT(H98:H109)=10,COUNT(F98:F109)=10),cubic_spline(F97:F107,H97:H107,B$8),IF(AND(COUNT(H98:H109)=11,COUNT(F98:F109)=11),cubic_spline(F97:F108,H97:H108,B$8),IF(AND(COUNT(H98:H109)=12,COUNT(F98:F109)=12),cubic_spline(F97:F109,H97:H109,B$8),""))))))))))))</f>
        <v/>
      </c>
      <c r="K102" s="52" t="str">
        <f>IF(N(B$8)=0,"",IF(AND(COUNT(A98:A109)=2,COUNT(F98:F109)=2),cubic_spline(F97:F99,A97:A99,B$8),IF(AND(COUNT(A98:A109)=3,COUNT(F98:F109)=3),cubic_spline(F97:F100,A97:A100,B$8),IF(AND(COUNT(A98:A109)=4,COUNT(F98:F109)=4),cubic_spline(F97:F101,A97:A101,B$8),IF(AND(COUNT(A98:A109)=5,COUNT(F98:F109)=5),cubic_spline(F97:F102,A97:A102,B$8),IF(AND(COUNT(A98:A109)=6,COUNT(F98:F109)=6),cubic_spline(F97:F103,A97:A103,B$8),IF(AND(COUNT(A98:A109)=7,COUNT(F98:F109)=7),cubic_spline(F97:F104,A97:A104,B$8),IF(AND(COUNT(A98:A109)=8,COUNT(F98:F109)=8),cubic_spline(F97:F105,A97:A105,B$8),IF(AND(COUNT(A98:A109)=9,COUNT(F98:F109)=9),cubic_spline(F97:F106,A97:A106,B$8),IF(AND(COUNT(A98:A109)=10,COUNT(F98:F109)=10),cubic_spline(F97:F107,A97:A107,B$8),IF(AND(COUNT(A98:A109)=11,COUNT(F98:F109)=11),cubic_spline(F97:F108,A97:A108,B$8),IF(AND(COUNT(A98:A109)=12,COUNT(F98:F109)=12),cubic_spline(F97:F109,A97:A109,B$8),""))))))))))))</f>
        <v/>
      </c>
      <c r="L102" s="27" t="str">
        <f>IF(I102="","",B$7&amp;"-"&amp;B$8)</f>
        <v/>
      </c>
      <c r="M102" s="52" t="str">
        <f>IF(N(J102)=0,"",J102-J101)</f>
        <v/>
      </c>
    </row>
    <row r="103" spans="1:13" x14ac:dyDescent="0.35">
      <c r="A103" s="48"/>
      <c r="B103" s="48"/>
      <c r="C103" s="49"/>
      <c r="D103" s="50"/>
      <c r="E103" s="51" t="str">
        <f t="shared" si="34"/>
        <v/>
      </c>
      <c r="F103" s="71" t="str">
        <f t="shared" si="31"/>
        <v/>
      </c>
      <c r="G103" s="69" t="str">
        <f t="shared" si="33"/>
        <v/>
      </c>
      <c r="H103" s="70" t="str">
        <f t="shared" si="32"/>
        <v/>
      </c>
      <c r="I103" s="27" t="str">
        <f>IF(N(J103)=0,"",0&amp;"-"&amp;B$9)</f>
        <v/>
      </c>
      <c r="J103" s="52" t="str">
        <f>IF(N(B$9)=0,"",IF(AND(COUNT(H98:H109)=2,COUNT(F98:F109)=2),cubic_spline(F97:F99,H97:H99,B$9),IF(AND(COUNT(H98:H109)=3,COUNT(F98:F109)=3),cubic_spline(F97:F100,H97:H100,B$9),IF(AND(COUNT(H98:H109)=4,COUNT(F98:F109)=4),cubic_spline(F97:F101,H97:H101,B$9),IF(AND(COUNT(H98:H109)=5,COUNT(F98:F109)=5),cubic_spline(F97:F102,H97:H102,B$9),IF(AND(COUNT(H98:H109)=6,COUNT(F98:F109)=6),cubic_spline(F97:F103,H97:H103,B$9),IF(AND(COUNT(H98:H109)=7,COUNT(F98:F109)=7),cubic_spline(F97:F104,H97:H104,B$9),IF(AND(COUNT(H98:H109)=8,COUNT(F98:F109)=8),cubic_spline(F97:F105,H97:H105,B$9),IF(AND(COUNT(H98:H109)=9,COUNT(F98:F109)=9),cubic_spline(F97:F106,H97:H106,B$9),IF(AND(COUNT(H98:H109)=10,COUNT(F98:F109)=10),cubic_spline(F97:F107,H97:H107,B$9),IF(AND(COUNT(H98:H109)=11,COUNT(F98:F109)=11),cubic_spline(F97:F108,H97:H108,B$9),IF(AND(COUNT(H98:H109)=12,COUNT(F98:F109)=12),cubic_spline(F97:F109,H97:H109,B$9),""))))))))))))</f>
        <v/>
      </c>
      <c r="K103" s="52" t="str">
        <f>IF(N(B$9)=0,"",IF(AND(COUNT(A98:A109)=2,COUNT(F98:F109)=2),cubic_spline(F97:F99,A97:A99,B$9),IF(AND(COUNT(A98:A109)=3,COUNT(F98:F109)=3),cubic_spline(F97:F100,A97:A100,B$9),IF(AND(COUNT(A98:A109)=4,COUNT(F98:F109)=4),cubic_spline(F97:F101,A97:A101,B$9),IF(AND(COUNT(A98:A109)=5,COUNT(F98:F109)=5),cubic_spline(F97:F102,A97:A102,B$9),IF(AND(COUNT(A98:A109)=6,COUNT(F98:F109)=6),cubic_spline(F97:F103,A97:A103,B$9),IF(AND(COUNT(A98:A109)=7,COUNT(F98:F109)=7),cubic_spline(F97:F104,A97:A104,B$9),IF(AND(COUNT(A98:A109)=8,COUNT(F98:F109)=8),cubic_spline(F97:F105,A97:A105,B$9),IF(AND(COUNT(A98:A109)=9,COUNT(F98:F109)=9),cubic_spline(F97:F106,A97:A106,B$9),IF(AND(COUNT(A98:A109)=10,COUNT(F98:F109)=10),cubic_spline(F97:F107,A97:A107,B$9),IF(AND(COUNT(A98:A109)=11,COUNT(F98:F109)=11),cubic_spline(F97:F108,A97:A108,B$9),IF(AND(COUNT(A98:A109)=12,COUNT(F98:F109)=12),cubic_spline(F97:F109,A97:A109,B$9),""))))))))))))</f>
        <v/>
      </c>
      <c r="L103" s="27" t="str">
        <f>IF(I103="","",B$8&amp;"-"&amp;B$9)</f>
        <v/>
      </c>
      <c r="M103" s="52" t="str">
        <f t="shared" ref="M103:M109" si="35">IF(N(J103)=0,"",J103-J102)</f>
        <v/>
      </c>
    </row>
    <row r="104" spans="1:13" x14ac:dyDescent="0.35">
      <c r="A104" s="48"/>
      <c r="B104" s="48"/>
      <c r="C104" s="49"/>
      <c r="D104" s="50"/>
      <c r="E104" s="51" t="str">
        <f t="shared" si="34"/>
        <v/>
      </c>
      <c r="F104" s="71" t="str">
        <f t="shared" si="31"/>
        <v/>
      </c>
      <c r="G104" s="69" t="str">
        <f t="shared" si="33"/>
        <v/>
      </c>
      <c r="H104" s="70" t="str">
        <f t="shared" si="32"/>
        <v/>
      </c>
      <c r="I104" s="27" t="str">
        <f>IF(N(J104)=0,"",0&amp;"-"&amp;B$10)</f>
        <v/>
      </c>
      <c r="J104" s="52" t="str">
        <f>IF(N(B$10)=0,"",IF(AND(COUNT(H98:H109)=2,COUNT(F98:F109)=2),cubic_spline(F97:F99,H97:H99,B$10),IF(AND(COUNT(H98:H109)=3,COUNT(F98:F109)=3),cubic_spline(F97:F100,H97:H100,B$10),IF(AND(COUNT(H98:H109)=4,COUNT(F98:F109)=4),cubic_spline(F97:F101,H97:H101,B$10),IF(AND(COUNT(H98:H109)=5,COUNT(F98:F109)=5),cubic_spline(F97:F102,H97:H102,B$10),IF(AND(COUNT(H98:H109)=6,COUNT(F98:F109)=6),cubic_spline(F97:F103,H97:H103,B$10),IF(AND(COUNT(H98:H109)=7,COUNT(F98:F109)=7),cubic_spline(F97:F104,H97:H104,B$10),IF(AND(COUNT(H98:H109)=8,COUNT(F98:F109)=8),cubic_spline(F97:F105,H97:H105,B$10),IF(AND(COUNT(H98:H109)=9,COUNT(F98:F109)=9),cubic_spline(F97:F106,H97:H106,B$10),IF(AND(COUNT(H98:H109)=10,COUNT(F98:F109)=10),cubic_spline(F97:F107,H97:H107,B$10),IF(AND(COUNT(H98:H109)=11,COUNT(F98:F109)=11),cubic_spline(F97:F108,H97:H108,B$10),IF(AND(COUNT(H98:H109)=12,COUNT(F98:F109)=12),cubic_spline(F97:F109,H97:H109,B$10),""))))))))))))</f>
        <v/>
      </c>
      <c r="K104" s="52" t="str">
        <f>IF(N(B$10)=0,"",IF(AND(COUNT(A98:A109)=2,COUNT(F98:F109)=2),cubic_spline(F97:F99,A97:A99,B$10),IF(AND(COUNT(A98:A109)=3,COUNT(F98:F109)=3),cubic_spline(F97:F100,A97:A100,B$10),IF(AND(COUNT(A98:A109)=4,COUNT(F98:F109)=4),cubic_spline(F97:F101,A97:A101,B$10),IF(AND(COUNT(A98:A109)=5,COUNT(F98:F109)=5),cubic_spline(F97:F102,A97:A102,B$10),IF(AND(COUNT(A98:A109)=6,COUNT(F98:F109)=6),cubic_spline(F97:F103,A97:A103,B$10),IF(AND(COUNT(A98:A109)=7,COUNT(F98:F109)=7),cubic_spline(F97:F104,A97:A104,B$10),IF(AND(COUNT(A98:A109)=8,COUNT(F98:F109)=8),cubic_spline(F97:F105,A97:A105,B$10),IF(AND(COUNT(A98:A109)=9,COUNT(F98:F109)=9),cubic_spline(F97:F106,A97:A106,B$10),IF(AND(COUNT(A98:A109)=10,COUNT(F98:F109)=10),cubic_spline(F97:F107,A97:A107,B$10),IF(AND(COUNT(A98:A109)=11,COUNT(F98:F109)=11),cubic_spline(F97:F108,A97:A108,B$10),IF(AND(COUNT(A98:A109)=12,COUNT(F98:F109)=12),cubic_spline(F97:F109,A97:A109,B$10),""))))))))))))</f>
        <v/>
      </c>
      <c r="L104" s="27" t="str">
        <f>IF(I104="","",B$9&amp;"-"&amp;B$10)</f>
        <v/>
      </c>
      <c r="M104" s="52" t="str">
        <f t="shared" si="35"/>
        <v/>
      </c>
    </row>
    <row r="105" spans="1:13" x14ac:dyDescent="0.35">
      <c r="A105" s="48"/>
      <c r="B105" s="48"/>
      <c r="C105" s="49"/>
      <c r="D105" s="50"/>
      <c r="E105" s="51" t="str">
        <f t="shared" si="34"/>
        <v/>
      </c>
      <c r="F105" s="71" t="str">
        <f t="shared" si="31"/>
        <v/>
      </c>
      <c r="G105" s="69" t="str">
        <f t="shared" si="33"/>
        <v/>
      </c>
      <c r="H105" s="70" t="str">
        <f t="shared" si="32"/>
        <v/>
      </c>
      <c r="I105" s="27" t="str">
        <f>IF(N(J105)=0,"",0&amp;"-"&amp;B$11)</f>
        <v/>
      </c>
      <c r="J105" s="52" t="str">
        <f>IF(N(B$11)=0,"",IF(AND(COUNT(H98:H109)=2,COUNT(F98:F109)=2),cubic_spline(F97:F99,H97:H99,B$11),IF(AND(COUNT(H98:H109)=3,COUNT(F98:F109)=3),cubic_spline(F97:F100,H97:H100,B$11),IF(AND(COUNT(H98:H109)=4,COUNT(F98:F109)=4),cubic_spline(F97:F101,H97:H101,B$11),IF(AND(COUNT(H98:H109)=5,COUNT(F98:F109)=5),cubic_spline(F97:F102,H97:H102,B$11),IF(AND(COUNT(H98:H109)=6,COUNT(F98:F109)=6),cubic_spline(F97:F103,H97:H103,B$11),IF(AND(COUNT(H98:H109)=7,COUNT(F98:F109)=7),cubic_spline(F97:F104,H97:H104,B$11),IF(AND(COUNT(H98:H109)=8,COUNT(F98:F109)=8),cubic_spline(F97:F105,H97:H105,B$11),IF(AND(COUNT(H98:H109)=9,COUNT(F98:F109)=9),cubic_spline(F97:F106,H97:H106,B$11),IF(AND(COUNT(H98:H109)=10,COUNT(F98:F109)=10),cubic_spline(F97:F107,H97:H107,B$11),IF(AND(COUNT(H98:H109)=11,COUNT(F98:F109)=11),cubic_spline(F97:F108,H97:H108,B$11),IF(AND(COUNT(H98:H109)=12,COUNT(F98:F109)=12),cubic_spline(F97:F109,H97:H109,B$11),""))))))))))))</f>
        <v/>
      </c>
      <c r="K105" s="52" t="str">
        <f>IF(N(B$11)=0,"",IF(AND(COUNT(A98:A109)=2,COUNT(F98:F109)=2),cubic_spline(F97:F99,A97:A99,B$11),IF(AND(COUNT(A98:A109)=3,COUNT(F98:F109)=3),cubic_spline(F97:F100,A97:A100,B$11),IF(AND(COUNT(A98:A109)=4,COUNT(F98:F109)=4),cubic_spline(F97:F101,A97:A101,B$11),IF(AND(COUNT(A98:A109)=5,COUNT(F98:F109)=5),cubic_spline(F97:F102,A97:A102,B$11),IF(AND(COUNT(A98:A109)=6,COUNT(F98:F109)=6),cubic_spline(F97:F103,A97:A103,B$11),IF(AND(COUNT(A98:A109)=7,COUNT(F98:F109)=7),cubic_spline(F97:F104,A97:A104,B$11),IF(AND(COUNT(A98:A109)=8,COUNT(F98:F109)=8),cubic_spline(F97:F105,A97:A105,B$11),IF(AND(COUNT(A98:A109)=9,COUNT(F98:F109)=9),cubic_spline(F97:F106,A97:A106,B$11),IF(AND(COUNT(A98:A109)=10,COUNT(F98:F109)=10),cubic_spline(F97:F107,A97:A107,B$11),IF(AND(COUNT(A98:A109)=11,COUNT(F98:F109)=11),cubic_spline(F97:F108,A97:A108,B$11),IF(AND(COUNT(A98:A109)=12,COUNT(F98:F109)=12),cubic_spline(F97:F109,A97:A109,B$11),""))))))))))))</f>
        <v/>
      </c>
      <c r="L105" s="27" t="str">
        <f>IF(I105="","",B$10&amp;"-"&amp;B$11)</f>
        <v/>
      </c>
      <c r="M105" s="52" t="str">
        <f t="shared" si="35"/>
        <v/>
      </c>
    </row>
    <row r="106" spans="1:13" x14ac:dyDescent="0.35">
      <c r="A106" s="48"/>
      <c r="B106" s="48"/>
      <c r="C106" s="49"/>
      <c r="D106" s="50"/>
      <c r="E106" s="51" t="str">
        <f t="shared" si="34"/>
        <v/>
      </c>
      <c r="F106" s="71" t="str">
        <f t="shared" si="31"/>
        <v/>
      </c>
      <c r="G106" s="69" t="str">
        <f t="shared" si="33"/>
        <v/>
      </c>
      <c r="H106" s="70" t="str">
        <f t="shared" si="32"/>
        <v/>
      </c>
      <c r="I106" s="27" t="str">
        <f>IF(N(J106)=0,"",0&amp;"-"&amp;B$12)</f>
        <v/>
      </c>
      <c r="J106" s="52" t="str">
        <f>IF(N(B$12)=0,"",IF(AND(COUNT(H98:H109)=2,COUNT(F98:F109)=2),cubic_spline(F97:F99,H97:H99,B$12),IF(AND(COUNT(H98:H109)=3,COUNT(F98:F109)=3),cubic_spline(F97:F100,H97:H100,B$12),IF(AND(COUNT(H98:H109)=4,COUNT(F98:F109)=4),cubic_spline(F97:F101,H97:H101,B$12),IF(AND(COUNT(H98:H109)=5,COUNT(F98:F109)=5),cubic_spline(F97:F102,H97:H102,B$12),IF(AND(COUNT(H98:H109)=6,COUNT(F98:F109)=6),cubic_spline(F97:F103,H97:H103,B$12),IF(AND(COUNT(H98:H109)=7,COUNT(F98:F109)=7),cubic_spline(F97:F104,H97:H104,B$12),IF(AND(COUNT(H98:H109)=8,COUNT(F98:F109)=8),cubic_spline(F97:F105,H97:H105,B$12),IF(AND(COUNT(H98:H109)=9,COUNT(F98:F109)=9),cubic_spline(F97:F106,H97:H106,B$12),IF(AND(COUNT(H98:H109)=10,COUNT(F98:F109)=10),cubic_spline(F97:F107,H97:H107,B$12),IF(AND(COUNT(H98:H109)=11,COUNT(F98:F109)=11),cubic_spline(F97:F108,H97:H108,B$12),IF(AND(COUNT(H98:H109)=12,COUNT(F98:F109)=12),cubic_spline(F97:F109,H97:H109,B$12),""))))))))))))</f>
        <v/>
      </c>
      <c r="K106" s="52" t="str">
        <f>IF(N(B$12)=0,"",IF(AND(COUNT(A98:A109)=2,COUNT(F98:F109)=2),cubic_spline(F97:F99,A97:A99,B$12),IF(AND(COUNT(A98:A109)=3,COUNT(F98:F109)=3),cubic_spline(F97:F100,A97:A100,B$12),IF(AND(COUNT(A98:A109)=4,COUNT(F98:F109)=4),cubic_spline(F97:F101,A97:A101,B$12),IF(AND(COUNT(A98:A109)=5,COUNT(F98:F109)=5),cubic_spline(F97:F102,A97:A102,B$12),IF(AND(COUNT(A98:A109)=6,COUNT(F98:F109)=6),cubic_spline(F97:F103,A97:A103,B$12),IF(AND(COUNT(A98:A109)=7,COUNT(F98:F109)=7),cubic_spline(F97:F104,A97:A104,B$12),IF(AND(COUNT(A98:A109)=8,COUNT(F98:F109)=8),cubic_spline(F97:F105,A97:A105,B$12),IF(AND(COUNT(A98:A109)=9,COUNT(F98:F109)=9),cubic_spline(F97:F106,A97:A106,B$12),IF(AND(COUNT(A98:A109)=10,COUNT(F98:F109)=10),cubic_spline(F97:F107,A97:A107,B$12),IF(AND(COUNT(A98:A109)=11,COUNT(F98:F109)=11),cubic_spline(F97:F108,A97:A108,B$12),IF(AND(COUNT(A98:A109)=12,COUNT(F98:F109)=12),cubic_spline(F97:F109,A97:A109,B$12),""))))))))))))</f>
        <v/>
      </c>
      <c r="L106" s="27" t="str">
        <f>IF(I106="","",B$11&amp;"-"&amp;B$12)</f>
        <v/>
      </c>
      <c r="M106" s="52" t="str">
        <f t="shared" si="35"/>
        <v/>
      </c>
    </row>
    <row r="107" spans="1:13" x14ac:dyDescent="0.35">
      <c r="A107" s="48"/>
      <c r="B107" s="48"/>
      <c r="C107" s="49"/>
      <c r="D107" s="50"/>
      <c r="E107" s="51" t="str">
        <f t="shared" si="34"/>
        <v/>
      </c>
      <c r="F107" s="71" t="str">
        <f t="shared" si="31"/>
        <v/>
      </c>
      <c r="G107" s="69" t="str">
        <f t="shared" si="33"/>
        <v/>
      </c>
      <c r="H107" s="70" t="str">
        <f t="shared" si="32"/>
        <v/>
      </c>
      <c r="I107" s="27" t="str">
        <f>IF(N(J107)=0,"",0&amp;"-"&amp;B$13)</f>
        <v/>
      </c>
      <c r="J107" s="52" t="str">
        <f>IF(N(B$13)=0,"",IF(AND(COUNT(H98:H109)=2,COUNT(F98:F109)=2),cubic_spline(F97:F99,H97:H99,B$13),IF(AND(COUNT(H98:H109)=3,COUNT(F98:F109)=3),cubic_spline(F97:F100,H97:H100,B$13),IF(AND(COUNT(H98:H109)=4,COUNT(F98:F109)=4),cubic_spline(F97:F101,H97:H101,B$13),IF(AND(COUNT(H98:H109)=5,COUNT(F98:F109)=5),cubic_spline(F97:F102,H97:H102,B$13),IF(AND(COUNT(H98:H109)=6,COUNT(F98:F109)=6),cubic_spline(F97:F103,H97:H103,B$13),IF(AND(COUNT(H98:H109)=7,COUNT(F98:F109)=7),cubic_spline(F97:F104,H97:H104,B$13),IF(AND(COUNT(H98:H109)=8,COUNT(F98:F109)=8),cubic_spline(F97:F105,H97:H105,B$13),IF(AND(COUNT(H98:H109)=9,COUNT(F98:F109)=9),cubic_spline(F97:F106,H97:H106,B$13),IF(AND(COUNT(H98:H109)=10,COUNT(F98:F109)=10),cubic_spline(F97:F107,H97:H107,B$13),IF(AND(COUNT(H98:H109)=11,COUNT(F98:F109)=11),cubic_spline(F97:F108,H97:H108,B$13),IF(AND(COUNT(H98:H109)=12,COUNT(F98:F109)=12),cubic_spline(F97:F109,H97:H109,B$13),""))))))))))))</f>
        <v/>
      </c>
      <c r="K107" s="52" t="str">
        <f>IF(N(B$13)=0,"",IF(AND(COUNT(A98:A109)=2,COUNT(F98:F109)=2),cubic_spline(F97:F99,A97:A99,B$13),IF(AND(COUNT(A98:A109)=3,COUNT(F98:F109)=3),cubic_spline(F97:F100,A97:A100,B$13),IF(AND(COUNT(A98:A109)=4,COUNT(F98:F109)=4),cubic_spline(F97:F101,A97:A101,B$13),IF(AND(COUNT(A98:A109)=5,COUNT(F98:F109)=5),cubic_spline(F97:F102,A97:A102,B$13),IF(AND(COUNT(A98:A109)=6,COUNT(F98:F109)=6),cubic_spline(F97:F103,A97:A103,B$13),IF(AND(COUNT(A98:A109)=7,COUNT(F98:F109)=7),cubic_spline(F97:F104,A97:A104,B$13),IF(AND(COUNT(A98:A109)=8,COUNT(F98:F109)=8),cubic_spline(F97:F105,A97:A105,B$13),IF(AND(COUNT(A98:A109)=9,COUNT(F98:F109)=9),cubic_spline(F97:F106,A97:A106,B$13),IF(AND(COUNT(A98:A109)=10,COUNT(F98:F109)=10),cubic_spline(F97:F107,A97:A107,B$13),IF(AND(COUNT(A98:A109)=11,COUNT(F98:F109)=11),cubic_spline(F97:F108,A97:A108,B$13),IF(AND(COUNT(A98:A109)=12,COUNT(F98:F109)=12),cubic_spline(F97:F109,A97:A109,B$13),""))))))))))))</f>
        <v/>
      </c>
      <c r="L107" s="27" t="str">
        <f>IF(I107="","",B$12&amp;"-"&amp;B$13)</f>
        <v/>
      </c>
      <c r="M107" s="52" t="str">
        <f t="shared" si="35"/>
        <v/>
      </c>
    </row>
    <row r="108" spans="1:13" x14ac:dyDescent="0.35">
      <c r="A108" s="48"/>
      <c r="B108" s="48"/>
      <c r="C108" s="49"/>
      <c r="D108" s="50"/>
      <c r="E108" s="51" t="str">
        <f t="shared" si="34"/>
        <v/>
      </c>
      <c r="F108" s="71" t="str">
        <f t="shared" si="31"/>
        <v/>
      </c>
      <c r="G108" s="69" t="str">
        <f t="shared" si="33"/>
        <v/>
      </c>
      <c r="H108" s="70" t="str">
        <f t="shared" si="32"/>
        <v/>
      </c>
      <c r="I108" s="27" t="str">
        <f>IF(N(J108)=0,"",0&amp;"-"&amp;B$14)</f>
        <v/>
      </c>
      <c r="J108" s="52" t="str">
        <f>IF(N(B$14)=0,"",IF(AND(COUNT(H98:H109)=2,COUNT(F98:F109)=2),cubic_spline(F97:F99,H97:H99,B$14),IF(AND(COUNT(H98:H109)=3,COUNT(F98:F109)=3),cubic_spline(F97:F100,H97:H100,B$14),IF(AND(COUNT(H98:H109)=4,COUNT(F98:F109)=4),cubic_spline(F97:F101,H97:H101,B$14),IF(AND(COUNT(H98:H109)=5,COUNT(F98:F109)=5),cubic_spline(F97:F102,H97:H102,B$14),IF(AND(COUNT(H98:H109)=6,COUNT(F98:F109)=6),cubic_spline(F97:F103,H97:H103,B$14),IF(AND(COUNT(H98:H109)=7,COUNT(F98:F109)=7),cubic_spline(F97:F104,H97:H104,B$14),IF(AND(COUNT(H98:H109)=8,COUNT(F98:F109)=8),cubic_spline(F97:F105,H97:H105,B$14),IF(AND(COUNT(H98:H109)=9,COUNT(F98:F109)=9),cubic_spline(F97:F106,H97:H106,B$14),IF(AND(COUNT(H98:H109)=10,COUNT(F98:F109)=10),cubic_spline(F97:F107,H97:H107,B$14),IF(AND(COUNT(H98:H109)=11,COUNT(F98:F109)=11),cubic_spline(F97:F108,H97:H108,B$14),IF(AND(COUNT(H98:H109)=12,COUNT(F98:F109)=12),cubic_spline(F97:F109,H97:H109,B$14),""))))))))))))</f>
        <v/>
      </c>
      <c r="K108" s="52" t="str">
        <f>IF(N(B$14)=0,"",IF(AND(COUNT(A98:A109)=2,COUNT(F98:F109)=2),cubic_spline(F97:F99,A97:A99,B$14),IF(AND(COUNT(A98:A109)=3,COUNT(F98:F109)=3),cubic_spline(F97:F100,A97:A100,B$14),IF(AND(COUNT(A98:A109)=4,COUNT(F98:F109)=4),cubic_spline(F97:F101,A97:A101,B$14),IF(AND(COUNT(A98:A109)=5,COUNT(F98:F109)=5),cubic_spline(F97:F102,A97:A102,B$14),IF(AND(COUNT(A98:A109)=6,COUNT(F98:F109)=6),cubic_spline(F97:F103,A97:A103,B$14),IF(AND(COUNT(A98:A109)=7,COUNT(F98:F109)=7),cubic_spline(F97:F104,A97:A104,B$14),IF(AND(COUNT(A98:A109)=8,COUNT(F98:F109)=8),cubic_spline(F97:F105,A97:A105,B$14),IF(AND(COUNT(A98:A109)=9,COUNT(F98:F109)=9),cubic_spline(F97:F106,A97:A106,B$14),IF(AND(COUNT(A98:A109)=10,COUNT(F98:F109)=10),cubic_spline(F97:F107,A97:A107,B$14),IF(AND(COUNT(A98:A109)=11,COUNT(F98:F109)=11),cubic_spline(F97:F108,A97:A108,B$14),IF(AND(COUNT(A98:A109)=12,COUNT(F98:F109)=12),cubic_spline(F97:F109,A97:A109,B$14),""))))))))))))</f>
        <v/>
      </c>
      <c r="L108" s="27" t="str">
        <f>IF(I108="","",B$13&amp;"-"&amp;B$14)</f>
        <v/>
      </c>
      <c r="M108" s="52" t="str">
        <f t="shared" si="35"/>
        <v/>
      </c>
    </row>
    <row r="109" spans="1:13" x14ac:dyDescent="0.35">
      <c r="A109" s="48"/>
      <c r="B109" s="48"/>
      <c r="C109" s="49"/>
      <c r="D109" s="50"/>
      <c r="E109" s="51" t="str">
        <f t="shared" si="34"/>
        <v/>
      </c>
      <c r="F109" s="71" t="str">
        <f t="shared" si="31"/>
        <v/>
      </c>
      <c r="G109" s="69" t="str">
        <f t="shared" si="33"/>
        <v/>
      </c>
      <c r="H109" s="70" t="str">
        <f t="shared" si="32"/>
        <v/>
      </c>
      <c r="I109" s="27" t="str">
        <f>IF(N(J109)=0,"",0&amp;"-"&amp;B$15)</f>
        <v/>
      </c>
      <c r="J109" s="52" t="str">
        <f>IF(N(B$15)=0,"",IF(AND(COUNT(H98:H109)=2,COUNT(F98:F109)=2),cubic_spline(F97:F99,H97:H99,B$15),IF(AND(COUNT(H98:H109)=3,COUNT(F98:F109)=3),cubic_spline(F97:F100,H97:H100,B$15),IF(AND(COUNT(H98:H109)=4,COUNT(F98:F109)=4),cubic_spline(F97:F101,H97:H101,B$15),IF(AND(COUNT(H98:H109)=5,COUNT(F98:F109)=5),cubic_spline(F97:F102,H97:H102,B$15),IF(AND(COUNT(H98:H109)=6,COUNT(F98:F109)=6),cubic_spline(F97:F103,H97:H103,B$15),IF(AND(COUNT(H98:H109)=7,COUNT(F98:F109)=7),cubic_spline(F97:F104,H97:H104,B$15),IF(AND(COUNT(H98:H109)=8,COUNT(F98:F109)=8),cubic_spline(F97:F105,H97:H105,B$15),IF(AND(COUNT(H98:H109)=9,COUNT(F98:F109)=9),cubic_spline(F97:F106,H97:H106,B$15),IF(AND(COUNT(H98:H109)=10,COUNT(F98:F109)=10),cubic_spline(F97:F107,H97:H107,B$15),IF(AND(COUNT(H98:H109)=11,COUNT(F98:F109)=11),cubic_spline(F97:F108,H97:H108,B$15),IF(AND(COUNT(H98:H109)=12,COUNT(F98:F109)=12),cubic_spline(F97:F109,H97:H109,B$15),""))))))))))))</f>
        <v/>
      </c>
      <c r="K109" s="52" t="str">
        <f>IF(N(B$15)=0,"",IF(AND(COUNT(A98:A109)=2,COUNT(F98:F109)=2),cubic_spline(F97:F99,A97:A99,B$15),IF(AND(COUNT(A98:A109)=3,COUNT(F98:F109)=3),cubic_spline(F97:F100,A97:A100,B$15),IF(AND(COUNT(A98:A109)=4,COUNT(F98:F109)=4),cubic_spline(F97:F101,A97:A101,B$15),IF(AND(COUNT(A98:A109)=5,COUNT(F98:F109)=5),cubic_spline(F97:F102,A97:A102,B$15),IF(AND(COUNT(A98:A109)=6,COUNT(F98:F109)=6),cubic_spline(F97:F103,A97:A103,B$15),IF(AND(COUNT(A98:A109)=7,COUNT(F98:F109)=7),cubic_spline(F97:F104,A97:A104,B$15),IF(AND(COUNT(A98:A109)=8,COUNT(F98:F109)=8),cubic_spline(F97:F105,A97:A105,B$15),IF(AND(COUNT(A98:A109)=9,COUNT(F98:F109)=9),cubic_spline(F97:F106,A97:A106,B$15),IF(AND(COUNT(A98:A109)=10,COUNT(F98:F109)=10),cubic_spline(F97:F107,A97:A107,B$15),IF(AND(COUNT(A98:A109)=11,COUNT(F98:F109)=11),cubic_spline(F97:F108,A97:A108,B$15),IF(AND(COUNT(A98:A109)=12,COUNT(F98:F109)=12),cubic_spline(F97:F109,A97:A109,B$15),""))))))))))))</f>
        <v/>
      </c>
      <c r="L109" s="27" t="str">
        <f>IF(I109="","",B$14&amp;"-"&amp;B$15)</f>
        <v/>
      </c>
      <c r="M109" s="52" t="str">
        <f t="shared" si="35"/>
        <v/>
      </c>
    </row>
    <row r="110" spans="1:13" ht="5.15" customHeight="1" x14ac:dyDescent="0.35">
      <c r="A110" s="47"/>
      <c r="B110" s="47"/>
      <c r="C110" s="47"/>
      <c r="D110" s="53"/>
      <c r="E110" s="54"/>
      <c r="F110" s="55"/>
      <c r="G110" s="72"/>
      <c r="H110" s="73"/>
      <c r="I110" s="47"/>
      <c r="J110" s="57"/>
      <c r="K110" s="57"/>
      <c r="L110" s="55"/>
      <c r="M110" s="57"/>
    </row>
    <row r="111" spans="1:13" x14ac:dyDescent="0.35">
      <c r="A111" s="48"/>
      <c r="B111" s="48"/>
      <c r="C111" s="49"/>
      <c r="D111" s="50"/>
      <c r="E111" s="51" t="str">
        <f>IF(N(C111)=0,"",C111/PI()/($D$1/2)^2/$D$2*10000)</f>
        <v/>
      </c>
      <c r="F111" s="68" t="str">
        <f t="shared" ref="F111:F122" si="36">IF(N(E111)=0,"",(N(E111)+N(F110)))</f>
        <v/>
      </c>
      <c r="G111" s="69" t="str">
        <f>IF(OR(N(D111)=0,N(E111)=0),"",(E111*D111)/1000)</f>
        <v/>
      </c>
      <c r="H111" s="70" t="str">
        <f t="shared" ref="H111:H122" si="37">IF(N(G111)=0,"",(N(G111)+N(H110)))</f>
        <v/>
      </c>
      <c r="I111" s="27" t="str">
        <f>IF(N(J111)=0,"",0&amp;"-"&amp;B$4)</f>
        <v/>
      </c>
      <c r="J111" s="52" t="str">
        <f>IF(N(B$4)=0,"",IF(AND(COUNT(H111:H122)=2,COUNT(F111:F122)=2),cubic_spline(F110:F112,H110:H112,B$4),IF(AND(COUNT(H111:H122)=3,COUNT(F111:F122)=3),cubic_spline(F110:F113,H110:H113,B$4),IF(AND(COUNT(H111:H122)=4,COUNT(F111:F122)=4),cubic_spline(F110:F114,H110:H114,B$4),IF(AND(COUNT(H111:H122)=5,COUNT(F111:F122)=5),cubic_spline(F110:F115,H110:H115,B$4),IF(AND(COUNT(H111:H122)=6,COUNT(F111:F122)=6),cubic_spline(F110:F116,H110:H116,B$4),IF(AND(COUNT(H111:H122)=7,COUNT(F111:F122)=7),cubic_spline(F110:F117,H110:H117,B$4),IF(AND(COUNT(H111:H122)=8,COUNT(F111:F122)=8),cubic_spline(F110:F118,H110:H118,B$4),IF(AND(COUNT(H111:H122)=9,COUNT(F111:F122)=9),cubic_spline(F110:F119,H110:H119,B$4),IF(AND(COUNT(H111:H122)=10,COUNT(F111:F122)=10),cubic_spline(F110:F120,H110:H120,B$4),IF(AND(COUNT(H111:H122)=11,COUNT(F111:F122)=11),cubic_spline(F110:F121,H110:H121,B$4),IF(AND(COUNT(H111:H122)=12,COUNT(F111:F122)=12),cubic_spline(F110:F122,H110:H122,B$4),""))))))))))))</f>
        <v/>
      </c>
      <c r="K111" s="52" t="str">
        <f>IF(N(B$4)=0,"",IF(AND(COUNT(A111:A122)=2,COUNT(F111:F122)=2),cubic_spline(F110:F112,A110:A112,B$4),IF(AND(COUNT(A111:A122)=3,COUNT(F111:F122)=3),cubic_spline(F110:F113,A110:A113,B$4),IF(AND(COUNT(A111:A122)=4,COUNT(F111:F122)=4),cubic_spline(F110:F114,A110:A114,B$4),IF(AND(COUNT(A111:A122)=5,COUNT(F111:F122)=5),cubic_spline(F110:F115,A110:A115,B$4),IF(AND(COUNT(A111:A122)=6,COUNT(F111:F122)=6),cubic_spline(F110:F116,A110:A116,B$4),IF(AND(COUNT(A111:A122)=7,COUNT(F111:F122)=7),cubic_spline(F110:F117,A110:A117,B$4),IF(AND(COUNT(A111:A122)=8,COUNT(F111:F122)=8),cubic_spline(F110:F118,A110:A118,B$4),IF(AND(COUNT(A111:A122)=9,COUNT(F111:F122)=9),cubic_spline(F110:F119,A110:A119,B$4),IF(AND(COUNT(A111:A122)=10,COUNT(F111:F122)=10),cubic_spline(F110:F120,A110:A120,B$4),IF(AND(COUNT(A111:A122)=11,COUNT(F111:F122)=11),cubic_spline(F110:F121,A110:A121,B$4),IF(AND(COUNT(A111:A122)=12,COUNT(F111:F122)=12),cubic_spline(F110:F122,A110:A122,B$4),""))))))))))))</f>
        <v/>
      </c>
      <c r="L111" s="27" t="str">
        <f>IF(I111="","",0&amp;"-"&amp;B$4)</f>
        <v/>
      </c>
      <c r="M111" s="52" t="str">
        <f>IF(N(J111)=0,"",J111-J110)</f>
        <v/>
      </c>
    </row>
    <row r="112" spans="1:13" x14ac:dyDescent="0.35">
      <c r="A112" s="48"/>
      <c r="B112" s="48"/>
      <c r="C112" s="49"/>
      <c r="D112" s="50"/>
      <c r="E112" s="51" t="str">
        <f>IF(N(C112)=0,"",C112/PI()/($D$1/2)^2/$D$2*10000)</f>
        <v/>
      </c>
      <c r="F112" s="68" t="str">
        <f t="shared" si="36"/>
        <v/>
      </c>
      <c r="G112" s="69" t="str">
        <f t="shared" ref="G112:G122" si="38">IF(OR(N(D112)=0,N(E112)=0),"",(E112*D112)/1000)</f>
        <v/>
      </c>
      <c r="H112" s="70" t="str">
        <f t="shared" si="37"/>
        <v/>
      </c>
      <c r="I112" s="27" t="str">
        <f>IF(N(J112)=0,"",0&amp;"-"&amp;B$5)</f>
        <v/>
      </c>
      <c r="J112" s="52" t="str">
        <f>IF(N(B$5)=0,"",IF(AND(COUNT(H111:H122)=2,COUNT(F111:F122)=2),cubic_spline(F110:F112,H110:H112,B$5),IF(AND(COUNT(H111:H122)=3,COUNT(F111:F122)=3),cubic_spline(F110:F113,H110:H113,B$5),IF(AND(COUNT(H111:H122)=4,COUNT(F111:F122)=4),cubic_spline(F110:F114,H110:H114,B$5),IF(AND(COUNT(H111:H122)=5,COUNT(F111:F122)=5),cubic_spline(F110:F115,H110:H115,B$5),IF(AND(COUNT(H111:H122)=6,COUNT(F111:F122)=6),cubic_spline(F110:F116,H110:H116,B$5),IF(AND(COUNT(H111:H122)=7,COUNT(F111:F122)=7),cubic_spline(F110:F117,H110:H117,B$5),IF(AND(COUNT(H111:H122)=8,COUNT(F111:F122)=8),cubic_spline(F110:F118,H110:H118,B$5),IF(AND(COUNT(H111:H122)=9,COUNT(F111:F122)=9),cubic_spline(F110:F119,H110:H119,B$5),IF(AND(COUNT(H111:H122)=10,COUNT(F111:F122)=10),cubic_spline(F110:F120,H110:H120,B$5),IF(AND(COUNT(H111:H122)=11,COUNT(F111:F122)=11),cubic_spline(F110:F121,H110:H121,B$5),IF(AND(COUNT(H111:H122)=12,COUNT(F111:F122)=12),cubic_spline(F110:F122,H110:H122,B$5),""))))))))))))</f>
        <v/>
      </c>
      <c r="K112" s="52" t="str">
        <f>IF(N(B$5)=0,"",IF(AND(COUNT(A111:A122)=2,COUNT(F111:F122)=2),cubic_spline(F110:F112,A110:A112,B$5),IF(AND(COUNT(A111:A122)=3,COUNT(F111:F122)=3),cubic_spline(F110:F113,A110:A113,B$5),IF(AND(COUNT(A111:A122)=4,COUNT(F111:F122)=4),cubic_spline(F110:F114,A110:A114,B$5),IF(AND(COUNT(A111:A122)=5,COUNT(F111:F122)=5),cubic_spline(F110:F115,A110:A115,B$5),IF(AND(COUNT(A111:A122)=6,COUNT(F111:F122)=6),cubic_spline(F110:F116,A110:A116,B$5),IF(AND(COUNT(A111:A122)=7,COUNT(F111:F122)=7),cubic_spline(F110:F117,A110:A117,B$5),IF(AND(COUNT(A111:A122)=8,COUNT(F111:F122)=8),cubic_spline(F110:F118,A110:A118,B$5),IF(AND(COUNT(A111:A122)=9,COUNT(F111:F122)=9),cubic_spline(F110:F119,A110:A119,B$5),IF(AND(COUNT(A111:A122)=10,COUNT(F111:F122)=10),cubic_spline(F110:F120,A110:A120,B$5),IF(AND(COUNT(A111:A122)=11,COUNT(F111:F122)=11),cubic_spline(F110:F121,A110:A121,B$5),IF(AND(COUNT(A111:A122)=12,COUNT(F111:F122)=12),cubic_spline(F110:F122,A110:A122,B$5),""))))))))))))</f>
        <v/>
      </c>
      <c r="L112" s="27" t="str">
        <f>IF(I112="","",B$4&amp;"-"&amp;B$5)</f>
        <v/>
      </c>
      <c r="M112" s="52" t="str">
        <f>IF(N(J112)=0,"",J112-J111)</f>
        <v/>
      </c>
    </row>
    <row r="113" spans="1:13" x14ac:dyDescent="0.35">
      <c r="A113" s="48"/>
      <c r="B113" s="48"/>
      <c r="C113" s="49"/>
      <c r="D113" s="50"/>
      <c r="E113" s="51" t="str">
        <f>IF(N(C113)=0,"",C113/PI()/($D$1/2)^2/$D$2*10000)</f>
        <v/>
      </c>
      <c r="F113" s="68" t="str">
        <f t="shared" si="36"/>
        <v/>
      </c>
      <c r="G113" s="69" t="str">
        <f t="shared" si="38"/>
        <v/>
      </c>
      <c r="H113" s="70" t="str">
        <f t="shared" si="37"/>
        <v/>
      </c>
      <c r="I113" s="27" t="str">
        <f>IF(N(J113)=0,"",0&amp;"-"&amp;B$6)</f>
        <v/>
      </c>
      <c r="J113" s="52" t="str">
        <f>IF(N(B$6)=0,"",IF(AND(COUNT(H111:H122)=2,COUNT(F111:F122)=2),cubic_spline(F110:F112,H110:H112,B$6),IF(AND(COUNT(H111:H122)=3,COUNT(F111:F122)=3),cubic_spline(F110:F113,H110:H113,B$6),IF(AND(COUNT(H111:H122)=4,COUNT(F111:F122)=4),cubic_spline(F110:F114,H110:H114,B$6),IF(AND(COUNT(H111:H122)=5,COUNT(F111:F122)=5),cubic_spline(F110:F115,H110:H115,B$6),IF(AND(COUNT(H111:H122)=6,COUNT(F111:F122)=6),cubic_spline(F110:F116,H110:H116,B$6),IF(AND(COUNT(H111:H122)=7,COUNT(F111:F122)=7),cubic_spline(F110:F117,H110:H117,B$6),IF(AND(COUNT(H111:H122)=8,COUNT(F111:F122)=8),cubic_spline(F110:F118,H110:H118,B$6),IF(AND(COUNT(H111:H122)=9,COUNT(F111:F122)=9),cubic_spline(F110:F119,H110:H119,B$6),IF(AND(COUNT(H111:H122)=10,COUNT(F111:F122)=10),cubic_spline(F110:F120,H110:H120,B$6),IF(AND(COUNT(H111:H122)=11,COUNT(F111:F122)=11),cubic_spline(F110:F121,H110:H121,B$6),IF(AND(COUNT(H111:H122)=12,COUNT(F111:F122)=12),cubic_spline(F110:F122,H110:H122,B$6),""))))))))))))</f>
        <v/>
      </c>
      <c r="K113" s="52" t="str">
        <f>IF(N(B$6)=0,"",IF(AND(COUNT(A111:A122)=2,COUNT(F111:F122)=2),cubic_spline(F110:F112,A110:A112,B$6),IF(AND(COUNT(A111:A122)=3,COUNT(F111:F122)=3),cubic_spline(F110:F113,A110:A113,B$6),IF(AND(COUNT(A111:A122)=4,COUNT(F111:F122)=4),cubic_spline(F110:F114,A110:A114,B$6),IF(AND(COUNT(A111:A122)=5,COUNT(F111:F122)=5),cubic_spline(F110:F115,A110:A115,B$6),IF(AND(COUNT(A111:A122)=6,COUNT(F111:F122)=6),cubic_spline(F110:F116,A110:A116,B$6),IF(AND(COUNT(A111:A122)=7,COUNT(F111:F122)=7),cubic_spline(F110:F117,A110:A117,B$6),IF(AND(COUNT(A111:A122)=8,COUNT(F111:F122)=8),cubic_spline(F110:F118,A110:A118,B$6),IF(AND(COUNT(A111:A122)=9,COUNT(F111:F122)=9),cubic_spline(F110:F119,A110:A119,B$6),IF(AND(COUNT(A111:A122)=10,COUNT(F111:F122)=10),cubic_spline(F110:F120,A110:A120,B$6),IF(AND(COUNT(A111:A122)=11,COUNT(F111:F122)=11),cubic_spline(F110:F121,A110:A121,B$6),IF(AND(COUNT(A111:A122)=12,COUNT(F111:F122)=12),cubic_spline(F110:F122,A110:A122,B$6),""))))))))))))</f>
        <v/>
      </c>
      <c r="L113" s="27" t="str">
        <f>IF(I113="","",B$5&amp;"-"&amp;B$6)</f>
        <v/>
      </c>
      <c r="M113" s="52" t="str">
        <f>IF(N(J113)=0,"",J113-J112)</f>
        <v/>
      </c>
    </row>
    <row r="114" spans="1:13" x14ac:dyDescent="0.35">
      <c r="A114" s="48"/>
      <c r="B114" s="48"/>
      <c r="C114" s="49"/>
      <c r="D114" s="50"/>
      <c r="E114" s="51" t="str">
        <f>IF(N(C114)=0,"",C114/PI()/($D$1/2)^2/$D$2*10000)</f>
        <v/>
      </c>
      <c r="F114" s="68" t="str">
        <f t="shared" si="36"/>
        <v/>
      </c>
      <c r="G114" s="69" t="str">
        <f t="shared" si="38"/>
        <v/>
      </c>
      <c r="H114" s="70" t="str">
        <f t="shared" si="37"/>
        <v/>
      </c>
      <c r="I114" s="27" t="str">
        <f>IF(N(J114)=0,"",0&amp;"-"&amp;B$7)</f>
        <v/>
      </c>
      <c r="J114" s="52" t="str">
        <f>IF(N(B$7)=0,"",IF(AND(COUNT(H111:H122)=2,COUNT(F111:F122)=2),cubic_spline(F110:F112,H110:H112,B$7),IF(AND(COUNT(H111:H122)=3,COUNT(F111:F122)=3),cubic_spline(F110:F113,H110:H113,B$7),IF(AND(COUNT(H111:H122)=4,COUNT(F111:F122)=4),cubic_spline(F110:F114,H110:H114,B$7),IF(AND(COUNT(H111:H122)=5,COUNT(F111:F122)=5),cubic_spline(F110:F115,H110:H115,B$7),IF(AND(COUNT(H111:H122)=6,COUNT(F111:F122)=6),cubic_spline(F110:F116,H110:H116,B$7),IF(AND(COUNT(H111:H122)=7,COUNT(F111:F122)=7),cubic_spline(F110:F117,H110:H117,B$7),IF(AND(COUNT(H111:H122)=8,COUNT(F111:F122)=8),cubic_spline(F110:F118,H110:H118,B$7),IF(AND(COUNT(H111:H122)=9,COUNT(F111:F122)=9),cubic_spline(F110:F119,H110:H119,B$7),IF(AND(COUNT(H111:H122)=10,COUNT(F111:F122)=10),cubic_spline(F110:F120,H110:H120,B$7),IF(AND(COUNT(H111:H122)=11,COUNT(F111:F122)=11),cubic_spline(F110:F121,H110:H121,B$7),IF(AND(COUNT(H111:H122)=12,COUNT(F111:F122)=12),cubic_spline(F110:F122,H110:H122,B$7),""))))))))))))</f>
        <v/>
      </c>
      <c r="K114" s="52" t="str">
        <f>IF(N(B$7)=0,"",IF(AND(COUNT(A111:A122)=2,COUNT(F111:F122)=2),cubic_spline(F110:F112,A110:A112,B$7),IF(AND(COUNT(A111:A122)=3,COUNT(F111:F122)=3),cubic_spline(F110:F113,A110:A113,B$7),IF(AND(COUNT(A111:A122)=4,COUNT(F111:F122)=4),cubic_spline(F110:F114,A110:A114,B$7),IF(AND(COUNT(A111:A122)=5,COUNT(F111:F122)=5),cubic_spline(F110:F115,A110:A115,B$7),IF(AND(COUNT(A111:A122)=6,COUNT(F111:F122)=6),cubic_spline(F110:F116,A110:A116,B$7),IF(AND(COUNT(A111:A122)=7,COUNT(F111:F122)=7),cubic_spline(F110:F117,A110:A117,B$7),IF(AND(COUNT(A111:A122)=8,COUNT(F111:F122)=8),cubic_spline(F110:F118,A110:A118,B$7),IF(AND(COUNT(A111:A122)=9,COUNT(F111:F122)=9),cubic_spline(F110:F119,A110:A119,B$7),IF(AND(COUNT(A111:A122)=10,COUNT(F111:F122)=10),cubic_spline(F110:F120,A110:A120,B$7),IF(AND(COUNT(A111:A122)=11,COUNT(F111:F122)=11),cubic_spline(F110:F121,A110:A121,B$7),IF(AND(COUNT(A111:A122)=12,COUNT(F111:F122)=12),cubic_spline(F110:F122,A110:A122,B$7),""))))))))))))</f>
        <v/>
      </c>
      <c r="L114" s="27" t="str">
        <f>IF(I114="","",B$6&amp;"-"&amp;B$7)</f>
        <v/>
      </c>
      <c r="M114" s="52" t="str">
        <f>IF(N(J114)=0,"",J114-J113)</f>
        <v/>
      </c>
    </row>
    <row r="115" spans="1:13" x14ac:dyDescent="0.35">
      <c r="A115" s="48"/>
      <c r="B115" s="48"/>
      <c r="C115" s="49"/>
      <c r="D115" s="50"/>
      <c r="E115" s="51" t="str">
        <f t="shared" ref="E115:E122" si="39">IF(N(C115)=0,"",C115/PI()/($D$1/2)^2/$D$2*10000)</f>
        <v/>
      </c>
      <c r="F115" s="71" t="str">
        <f t="shared" si="36"/>
        <v/>
      </c>
      <c r="G115" s="69" t="str">
        <f t="shared" si="38"/>
        <v/>
      </c>
      <c r="H115" s="70" t="str">
        <f t="shared" si="37"/>
        <v/>
      </c>
      <c r="I115" s="27" t="str">
        <f>IF(N(J115)=0,"",0&amp;"-"&amp;B$8)</f>
        <v/>
      </c>
      <c r="J115" s="52" t="str">
        <f>IF(N(B$8)=0,"",IF(AND(COUNT(H111:H122)=2,COUNT(F111:F122)=2),cubic_spline(F110:F112,H110:H112,B$8),IF(AND(COUNT(H111:H122)=3,COUNT(F111:F122)=3),cubic_spline(F110:F113,H110:H113,B$8),IF(AND(COUNT(H111:H122)=4,COUNT(F111:F122)=4),cubic_spline(F110:F114,H110:H114,B$8),IF(AND(COUNT(H111:H122)=5,COUNT(F111:F122)=5),cubic_spline(F110:F115,H110:H115,B$8),IF(AND(COUNT(H111:H122)=6,COUNT(F111:F122)=6),cubic_spline(F110:F116,H110:H116,B$8),IF(AND(COUNT(H111:H122)=7,COUNT(F111:F122)=7),cubic_spline(F110:F117,H110:H117,B$8),IF(AND(COUNT(H111:H122)=8,COUNT(F111:F122)=8),cubic_spline(F110:F118,H110:H118,B$8),IF(AND(COUNT(H111:H122)=9,COUNT(F111:F122)=9),cubic_spline(F110:F119,H110:H119,B$8),IF(AND(COUNT(H111:H122)=10,COUNT(F111:F122)=10),cubic_spline(F110:F120,H110:H120,B$8),IF(AND(COUNT(H111:H122)=11,COUNT(F111:F122)=11),cubic_spline(F110:F121,H110:H121,B$8),IF(AND(COUNT(H111:H122)=12,COUNT(F111:F122)=12),cubic_spline(F110:F122,H110:H122,B$8),""))))))))))))</f>
        <v/>
      </c>
      <c r="K115" s="52" t="str">
        <f>IF(N(B$8)=0,"",IF(AND(COUNT(A111:A122)=2,COUNT(F111:F122)=2),cubic_spline(F110:F112,A110:A112,B$8),IF(AND(COUNT(A111:A122)=3,COUNT(F111:F122)=3),cubic_spline(F110:F113,A110:A113,B$8),IF(AND(COUNT(A111:A122)=4,COUNT(F111:F122)=4),cubic_spline(F110:F114,A110:A114,B$8),IF(AND(COUNT(A111:A122)=5,COUNT(F111:F122)=5),cubic_spline(F110:F115,A110:A115,B$8),IF(AND(COUNT(A111:A122)=6,COUNT(F111:F122)=6),cubic_spline(F110:F116,A110:A116,B$8),IF(AND(COUNT(A111:A122)=7,COUNT(F111:F122)=7),cubic_spline(F110:F117,A110:A117,B$8),IF(AND(COUNT(A111:A122)=8,COUNT(F111:F122)=8),cubic_spline(F110:F118,A110:A118,B$8),IF(AND(COUNT(A111:A122)=9,COUNT(F111:F122)=9),cubic_spline(F110:F119,A110:A119,B$8),IF(AND(COUNT(A111:A122)=10,COUNT(F111:F122)=10),cubic_spline(F110:F120,A110:A120,B$8),IF(AND(COUNT(A111:A122)=11,COUNT(F111:F122)=11),cubic_spline(F110:F121,A110:A121,B$8),IF(AND(COUNT(A111:A122)=12,COUNT(F111:F122)=12),cubic_spline(F110:F122,A110:A122,B$8),""))))))))))))</f>
        <v/>
      </c>
      <c r="L115" s="27" t="str">
        <f>IF(I115="","",B$7&amp;"-"&amp;B$8)</f>
        <v/>
      </c>
      <c r="M115" s="52" t="str">
        <f>IF(N(J115)=0,"",J115-J114)</f>
        <v/>
      </c>
    </row>
    <row r="116" spans="1:13" x14ac:dyDescent="0.35">
      <c r="A116" s="48"/>
      <c r="B116" s="48"/>
      <c r="C116" s="49"/>
      <c r="D116" s="50"/>
      <c r="E116" s="51" t="str">
        <f t="shared" si="39"/>
        <v/>
      </c>
      <c r="F116" s="71" t="str">
        <f t="shared" si="36"/>
        <v/>
      </c>
      <c r="G116" s="69" t="str">
        <f t="shared" si="38"/>
        <v/>
      </c>
      <c r="H116" s="70" t="str">
        <f t="shared" si="37"/>
        <v/>
      </c>
      <c r="I116" s="27" t="str">
        <f>IF(N(J116)=0,"",0&amp;"-"&amp;B$9)</f>
        <v/>
      </c>
      <c r="J116" s="52" t="str">
        <f>IF(N(B$9)=0,"",IF(AND(COUNT(H111:H122)=2,COUNT(F111:F122)=2),cubic_spline(F110:F112,H110:H112,B$9),IF(AND(COUNT(H111:H122)=3,COUNT(F111:F122)=3),cubic_spline(F110:F113,H110:H113,B$9),IF(AND(COUNT(H111:H122)=4,COUNT(F111:F122)=4),cubic_spline(F110:F114,H110:H114,B$9),IF(AND(COUNT(H111:H122)=5,COUNT(F111:F122)=5),cubic_spline(F110:F115,H110:H115,B$9),IF(AND(COUNT(H111:H122)=6,COUNT(F111:F122)=6),cubic_spline(F110:F116,H110:H116,B$9),IF(AND(COUNT(H111:H122)=7,COUNT(F111:F122)=7),cubic_spline(F110:F117,H110:H117,B$9),IF(AND(COUNT(H111:H122)=8,COUNT(F111:F122)=8),cubic_spline(F110:F118,H110:H118,B$9),IF(AND(COUNT(H111:H122)=9,COUNT(F111:F122)=9),cubic_spline(F110:F119,H110:H119,B$9),IF(AND(COUNT(H111:H122)=10,COUNT(F111:F122)=10),cubic_spline(F110:F120,H110:H120,B$9),IF(AND(COUNT(H111:H122)=11,COUNT(F111:F122)=11),cubic_spline(F110:F121,H110:H121,B$9),IF(AND(COUNT(H111:H122)=12,COUNT(F111:F122)=12),cubic_spline(F110:F122,H110:H122,B$9),""))))))))))))</f>
        <v/>
      </c>
      <c r="K116" s="52" t="str">
        <f>IF(N(B$9)=0,"",IF(AND(COUNT(A111:A122)=2,COUNT(F111:F122)=2),cubic_spline(F110:F112,A110:A112,B$9),IF(AND(COUNT(A111:A122)=3,COUNT(F111:F122)=3),cubic_spline(F110:F113,A110:A113,B$9),IF(AND(COUNT(A111:A122)=4,COUNT(F111:F122)=4),cubic_spline(F110:F114,A110:A114,B$9),IF(AND(COUNT(A111:A122)=5,COUNT(F111:F122)=5),cubic_spline(F110:F115,A110:A115,B$9),IF(AND(COUNT(A111:A122)=6,COUNT(F111:F122)=6),cubic_spline(F110:F116,A110:A116,B$9),IF(AND(COUNT(A111:A122)=7,COUNT(F111:F122)=7),cubic_spline(F110:F117,A110:A117,B$9),IF(AND(COUNT(A111:A122)=8,COUNT(F111:F122)=8),cubic_spline(F110:F118,A110:A118,B$9),IF(AND(COUNT(A111:A122)=9,COUNT(F111:F122)=9),cubic_spline(F110:F119,A110:A119,B$9),IF(AND(COUNT(A111:A122)=10,COUNT(F111:F122)=10),cubic_spline(F110:F120,A110:A120,B$9),IF(AND(COUNT(A111:A122)=11,COUNT(F111:F122)=11),cubic_spline(F110:F121,A110:A121,B$9),IF(AND(COUNT(A111:A122)=12,COUNT(F111:F122)=12),cubic_spline(F110:F122,A110:A122,B$9),""))))))))))))</f>
        <v/>
      </c>
      <c r="L116" s="27" t="str">
        <f>IF(I116="","",B$8&amp;"-"&amp;B$9)</f>
        <v/>
      </c>
      <c r="M116" s="52" t="str">
        <f t="shared" ref="M116:M122" si="40">IF(N(J116)=0,"",J116-J115)</f>
        <v/>
      </c>
    </row>
    <row r="117" spans="1:13" x14ac:dyDescent="0.35">
      <c r="A117" s="48"/>
      <c r="B117" s="48"/>
      <c r="C117" s="49"/>
      <c r="D117" s="50"/>
      <c r="E117" s="51" t="str">
        <f t="shared" si="39"/>
        <v/>
      </c>
      <c r="F117" s="71" t="str">
        <f t="shared" si="36"/>
        <v/>
      </c>
      <c r="G117" s="69" t="str">
        <f t="shared" si="38"/>
        <v/>
      </c>
      <c r="H117" s="70" t="str">
        <f t="shared" si="37"/>
        <v/>
      </c>
      <c r="I117" s="27" t="str">
        <f>IF(N(J117)=0,"",0&amp;"-"&amp;B$10)</f>
        <v/>
      </c>
      <c r="J117" s="52" t="str">
        <f>IF(N(B$10)=0,"",IF(AND(COUNT(H111:H122)=2,COUNT(F111:F122)=2),cubic_spline(F110:F112,H110:H112,B$10),IF(AND(COUNT(H111:H122)=3,COUNT(F111:F122)=3),cubic_spline(F110:F113,H110:H113,B$10),IF(AND(COUNT(H111:H122)=4,COUNT(F111:F122)=4),cubic_spline(F110:F114,H110:H114,B$10),IF(AND(COUNT(H111:H122)=5,COUNT(F111:F122)=5),cubic_spline(F110:F115,H110:H115,B$10),IF(AND(COUNT(H111:H122)=6,COUNT(F111:F122)=6),cubic_spline(F110:F116,H110:H116,B$10),IF(AND(COUNT(H111:H122)=7,COUNT(F111:F122)=7),cubic_spline(F110:F117,H110:H117,B$10),IF(AND(COUNT(H111:H122)=8,COUNT(F111:F122)=8),cubic_spline(F110:F118,H110:H118,B$10),IF(AND(COUNT(H111:H122)=9,COUNT(F111:F122)=9),cubic_spline(F110:F119,H110:H119,B$10),IF(AND(COUNT(H111:H122)=10,COUNT(F111:F122)=10),cubic_spline(F110:F120,H110:H120,B$10),IF(AND(COUNT(H111:H122)=11,COUNT(F111:F122)=11),cubic_spline(F110:F121,H110:H121,B$10),IF(AND(COUNT(H111:H122)=12,COUNT(F111:F122)=12),cubic_spline(F110:F122,H110:H122,B$10),""))))))))))))</f>
        <v/>
      </c>
      <c r="K117" s="52" t="str">
        <f>IF(N(B$10)=0,"",IF(AND(COUNT(A111:A122)=2,COUNT(F111:F122)=2),cubic_spline(F110:F112,A110:A112,B$10),IF(AND(COUNT(A111:A122)=3,COUNT(F111:F122)=3),cubic_spline(F110:F113,A110:A113,B$10),IF(AND(COUNT(A111:A122)=4,COUNT(F111:F122)=4),cubic_spline(F110:F114,A110:A114,B$10),IF(AND(COUNT(A111:A122)=5,COUNT(F111:F122)=5),cubic_spline(F110:F115,A110:A115,B$10),IF(AND(COUNT(A111:A122)=6,COUNT(F111:F122)=6),cubic_spline(F110:F116,A110:A116,B$10),IF(AND(COUNT(A111:A122)=7,COUNT(F111:F122)=7),cubic_spline(F110:F117,A110:A117,B$10),IF(AND(COUNT(A111:A122)=8,COUNT(F111:F122)=8),cubic_spline(F110:F118,A110:A118,B$10),IF(AND(COUNT(A111:A122)=9,COUNT(F111:F122)=9),cubic_spline(F110:F119,A110:A119,B$10),IF(AND(COUNT(A111:A122)=10,COUNT(F111:F122)=10),cubic_spline(F110:F120,A110:A120,B$10),IF(AND(COUNT(A111:A122)=11,COUNT(F111:F122)=11),cubic_spline(F110:F121,A110:A121,B$10),IF(AND(COUNT(A111:A122)=12,COUNT(F111:F122)=12),cubic_spline(F110:F122,A110:A122,B$10),""))))))))))))</f>
        <v/>
      </c>
      <c r="L117" s="27" t="str">
        <f>IF(I117="","",B$9&amp;"-"&amp;B$10)</f>
        <v/>
      </c>
      <c r="M117" s="52" t="str">
        <f t="shared" si="40"/>
        <v/>
      </c>
    </row>
    <row r="118" spans="1:13" x14ac:dyDescent="0.35">
      <c r="A118" s="48"/>
      <c r="B118" s="48"/>
      <c r="C118" s="49"/>
      <c r="D118" s="50"/>
      <c r="E118" s="51" t="str">
        <f t="shared" si="39"/>
        <v/>
      </c>
      <c r="F118" s="71" t="str">
        <f t="shared" si="36"/>
        <v/>
      </c>
      <c r="G118" s="69" t="str">
        <f t="shared" si="38"/>
        <v/>
      </c>
      <c r="H118" s="70" t="str">
        <f t="shared" si="37"/>
        <v/>
      </c>
      <c r="I118" s="27" t="str">
        <f>IF(N(J118)=0,"",0&amp;"-"&amp;B$11)</f>
        <v/>
      </c>
      <c r="J118" s="52" t="str">
        <f>IF(N(B$11)=0,"",IF(AND(COUNT(H111:H122)=2,COUNT(F111:F122)=2),cubic_spline(F110:F112,H110:H112,B$11),IF(AND(COUNT(H111:H122)=3,COUNT(F111:F122)=3),cubic_spline(F110:F113,H110:H113,B$11),IF(AND(COUNT(H111:H122)=4,COUNT(F111:F122)=4),cubic_spline(F110:F114,H110:H114,B$11),IF(AND(COUNT(H111:H122)=5,COUNT(F111:F122)=5),cubic_spline(F110:F115,H110:H115,B$11),IF(AND(COUNT(H111:H122)=6,COUNT(F111:F122)=6),cubic_spline(F110:F116,H110:H116,B$11),IF(AND(COUNT(H111:H122)=7,COUNT(F111:F122)=7),cubic_spline(F110:F117,H110:H117,B$11),IF(AND(COUNT(H111:H122)=8,COUNT(F111:F122)=8),cubic_spline(F110:F118,H110:H118,B$11),IF(AND(COUNT(H111:H122)=9,COUNT(F111:F122)=9),cubic_spline(F110:F119,H110:H119,B$11),IF(AND(COUNT(H111:H122)=10,COUNT(F111:F122)=10),cubic_spline(F110:F120,H110:H120,B$11),IF(AND(COUNT(H111:H122)=11,COUNT(F111:F122)=11),cubic_spline(F110:F121,H110:H121,B$11),IF(AND(COUNT(H111:H122)=12,COUNT(F111:F122)=12),cubic_spline(F110:F122,H110:H122,B$11),""))))))))))))</f>
        <v/>
      </c>
      <c r="K118" s="52" t="str">
        <f>IF(N(B$11)=0,"",IF(AND(COUNT(A111:A122)=2,COUNT(F111:F122)=2),cubic_spline(F110:F112,A110:A112,B$11),IF(AND(COUNT(A111:A122)=3,COUNT(F111:F122)=3),cubic_spline(F110:F113,A110:A113,B$11),IF(AND(COUNT(A111:A122)=4,COUNT(F111:F122)=4),cubic_spline(F110:F114,A110:A114,B$11),IF(AND(COUNT(A111:A122)=5,COUNT(F111:F122)=5),cubic_spline(F110:F115,A110:A115,B$11),IF(AND(COUNT(A111:A122)=6,COUNT(F111:F122)=6),cubic_spline(F110:F116,A110:A116,B$11),IF(AND(COUNT(A111:A122)=7,COUNT(F111:F122)=7),cubic_spline(F110:F117,A110:A117,B$11),IF(AND(COUNT(A111:A122)=8,COUNT(F111:F122)=8),cubic_spline(F110:F118,A110:A118,B$11),IF(AND(COUNT(A111:A122)=9,COUNT(F111:F122)=9),cubic_spline(F110:F119,A110:A119,B$11),IF(AND(COUNT(A111:A122)=10,COUNT(F111:F122)=10),cubic_spline(F110:F120,A110:A120,B$11),IF(AND(COUNT(A111:A122)=11,COUNT(F111:F122)=11),cubic_spline(F110:F121,A110:A121,B$11),IF(AND(COUNT(A111:A122)=12,COUNT(F111:F122)=12),cubic_spline(F110:F122,A110:A122,B$11),""))))))))))))</f>
        <v/>
      </c>
      <c r="L118" s="27" t="str">
        <f>IF(I118="","",B$10&amp;"-"&amp;B$11)</f>
        <v/>
      </c>
      <c r="M118" s="52" t="str">
        <f t="shared" si="40"/>
        <v/>
      </c>
    </row>
    <row r="119" spans="1:13" x14ac:dyDescent="0.35">
      <c r="A119" s="48"/>
      <c r="B119" s="48"/>
      <c r="C119" s="49"/>
      <c r="D119" s="50"/>
      <c r="E119" s="51" t="str">
        <f t="shared" si="39"/>
        <v/>
      </c>
      <c r="F119" s="71" t="str">
        <f t="shared" si="36"/>
        <v/>
      </c>
      <c r="G119" s="69" t="str">
        <f t="shared" si="38"/>
        <v/>
      </c>
      <c r="H119" s="70" t="str">
        <f t="shared" si="37"/>
        <v/>
      </c>
      <c r="I119" s="27" t="str">
        <f>IF(N(J119)=0,"",0&amp;"-"&amp;B$12)</f>
        <v/>
      </c>
      <c r="J119" s="52" t="str">
        <f>IF(N(B$12)=0,"",IF(AND(COUNT(H111:H122)=2,COUNT(F111:F122)=2),cubic_spline(F110:F112,H110:H112,B$12),IF(AND(COUNT(H111:H122)=3,COUNT(F111:F122)=3),cubic_spline(F110:F113,H110:H113,B$12),IF(AND(COUNT(H111:H122)=4,COUNT(F111:F122)=4),cubic_spline(F110:F114,H110:H114,B$12),IF(AND(COUNT(H111:H122)=5,COUNT(F111:F122)=5),cubic_spline(F110:F115,H110:H115,B$12),IF(AND(COUNT(H111:H122)=6,COUNT(F111:F122)=6),cubic_spline(F110:F116,H110:H116,B$12),IF(AND(COUNT(H111:H122)=7,COUNT(F111:F122)=7),cubic_spline(F110:F117,H110:H117,B$12),IF(AND(COUNT(H111:H122)=8,COUNT(F111:F122)=8),cubic_spline(F110:F118,H110:H118,B$12),IF(AND(COUNT(H111:H122)=9,COUNT(F111:F122)=9),cubic_spline(F110:F119,H110:H119,B$12),IF(AND(COUNT(H111:H122)=10,COUNT(F111:F122)=10),cubic_spline(F110:F120,H110:H120,B$12),IF(AND(COUNT(H111:H122)=11,COUNT(F111:F122)=11),cubic_spline(F110:F121,H110:H121,B$12),IF(AND(COUNT(H111:H122)=12,COUNT(F111:F122)=12),cubic_spline(F110:F122,H110:H122,B$12),""))))))))))))</f>
        <v/>
      </c>
      <c r="K119" s="52" t="str">
        <f>IF(N(B$12)=0,"",IF(AND(COUNT(A111:A122)=2,COUNT(F111:F122)=2),cubic_spline(F110:F112,A110:A112,B$12),IF(AND(COUNT(A111:A122)=3,COUNT(F111:F122)=3),cubic_spline(F110:F113,A110:A113,B$12),IF(AND(COUNT(A111:A122)=4,COUNT(F111:F122)=4),cubic_spline(F110:F114,A110:A114,B$12),IF(AND(COUNT(A111:A122)=5,COUNT(F111:F122)=5),cubic_spline(F110:F115,A110:A115,B$12),IF(AND(COUNT(A111:A122)=6,COUNT(F111:F122)=6),cubic_spline(F110:F116,A110:A116,B$12),IF(AND(COUNT(A111:A122)=7,COUNT(F111:F122)=7),cubic_spline(F110:F117,A110:A117,B$12),IF(AND(COUNT(A111:A122)=8,COUNT(F111:F122)=8),cubic_spline(F110:F118,A110:A118,B$12),IF(AND(COUNT(A111:A122)=9,COUNT(F111:F122)=9),cubic_spline(F110:F119,A110:A119,B$12),IF(AND(COUNT(A111:A122)=10,COUNT(F111:F122)=10),cubic_spline(F110:F120,A110:A120,B$12),IF(AND(COUNT(A111:A122)=11,COUNT(F111:F122)=11),cubic_spline(F110:F121,A110:A121,B$12),IF(AND(COUNT(A111:A122)=12,COUNT(F111:F122)=12),cubic_spline(F110:F122,A110:A122,B$12),""))))))))))))</f>
        <v/>
      </c>
      <c r="L119" s="27" t="str">
        <f>IF(I119="","",B$11&amp;"-"&amp;B$12)</f>
        <v/>
      </c>
      <c r="M119" s="52" t="str">
        <f t="shared" si="40"/>
        <v/>
      </c>
    </row>
    <row r="120" spans="1:13" x14ac:dyDescent="0.35">
      <c r="A120" s="48"/>
      <c r="B120" s="48"/>
      <c r="C120" s="49"/>
      <c r="D120" s="50"/>
      <c r="E120" s="51" t="str">
        <f t="shared" si="39"/>
        <v/>
      </c>
      <c r="F120" s="71" t="str">
        <f t="shared" si="36"/>
        <v/>
      </c>
      <c r="G120" s="69" t="str">
        <f t="shared" si="38"/>
        <v/>
      </c>
      <c r="H120" s="70" t="str">
        <f t="shared" si="37"/>
        <v/>
      </c>
      <c r="I120" s="27" t="str">
        <f>IF(N(J120)=0,"",0&amp;"-"&amp;B$13)</f>
        <v/>
      </c>
      <c r="J120" s="52" t="str">
        <f>IF(N(B$13)=0,"",IF(AND(COUNT(H111:H122)=2,COUNT(F111:F122)=2),cubic_spline(F110:F112,H110:H112,B$13),IF(AND(COUNT(H111:H122)=3,COUNT(F111:F122)=3),cubic_spline(F110:F113,H110:H113,B$13),IF(AND(COUNT(H111:H122)=4,COUNT(F111:F122)=4),cubic_spline(F110:F114,H110:H114,B$13),IF(AND(COUNT(H111:H122)=5,COUNT(F111:F122)=5),cubic_spline(F110:F115,H110:H115,B$13),IF(AND(COUNT(H111:H122)=6,COUNT(F111:F122)=6),cubic_spline(F110:F116,H110:H116,B$13),IF(AND(COUNT(H111:H122)=7,COUNT(F111:F122)=7),cubic_spline(F110:F117,H110:H117,B$13),IF(AND(COUNT(H111:H122)=8,COUNT(F111:F122)=8),cubic_spline(F110:F118,H110:H118,B$13),IF(AND(COUNT(H111:H122)=9,COUNT(F111:F122)=9),cubic_spline(F110:F119,H110:H119,B$13),IF(AND(COUNT(H111:H122)=10,COUNT(F111:F122)=10),cubic_spline(F110:F120,H110:H120,B$13),IF(AND(COUNT(H111:H122)=11,COUNT(F111:F122)=11),cubic_spline(F110:F121,H110:H121,B$13),IF(AND(COUNT(H111:H122)=12,COUNT(F111:F122)=12),cubic_spline(F110:F122,H110:H122,B$13),""))))))))))))</f>
        <v/>
      </c>
      <c r="K120" s="52" t="str">
        <f>IF(N(B$13)=0,"",IF(AND(COUNT(A111:A122)=2,COUNT(F111:F122)=2),cubic_spline(F110:F112,A110:A112,B$13),IF(AND(COUNT(A111:A122)=3,COUNT(F111:F122)=3),cubic_spline(F110:F113,A110:A113,B$13),IF(AND(COUNT(A111:A122)=4,COUNT(F111:F122)=4),cubic_spline(F110:F114,A110:A114,B$13),IF(AND(COUNT(A111:A122)=5,COUNT(F111:F122)=5),cubic_spline(F110:F115,A110:A115,B$13),IF(AND(COUNT(A111:A122)=6,COUNT(F111:F122)=6),cubic_spline(F110:F116,A110:A116,B$13),IF(AND(COUNT(A111:A122)=7,COUNT(F111:F122)=7),cubic_spline(F110:F117,A110:A117,B$13),IF(AND(COUNT(A111:A122)=8,COUNT(F111:F122)=8),cubic_spline(F110:F118,A110:A118,B$13),IF(AND(COUNT(A111:A122)=9,COUNT(F111:F122)=9),cubic_spline(F110:F119,A110:A119,B$13),IF(AND(COUNT(A111:A122)=10,COUNT(F111:F122)=10),cubic_spline(F110:F120,A110:A120,B$13),IF(AND(COUNT(A111:A122)=11,COUNT(F111:F122)=11),cubic_spline(F110:F121,A110:A121,B$13),IF(AND(COUNT(A111:A122)=12,COUNT(F111:F122)=12),cubic_spline(F110:F122,A110:A122,B$13),""))))))))))))</f>
        <v/>
      </c>
      <c r="L120" s="27" t="str">
        <f>IF(I120="","",B$12&amp;"-"&amp;B$13)</f>
        <v/>
      </c>
      <c r="M120" s="52" t="str">
        <f t="shared" si="40"/>
        <v/>
      </c>
    </row>
    <row r="121" spans="1:13" x14ac:dyDescent="0.35">
      <c r="A121" s="48"/>
      <c r="B121" s="48"/>
      <c r="C121" s="49"/>
      <c r="D121" s="50"/>
      <c r="E121" s="51" t="str">
        <f t="shared" si="39"/>
        <v/>
      </c>
      <c r="F121" s="71" t="str">
        <f t="shared" si="36"/>
        <v/>
      </c>
      <c r="G121" s="69" t="str">
        <f t="shared" si="38"/>
        <v/>
      </c>
      <c r="H121" s="70" t="str">
        <f t="shared" si="37"/>
        <v/>
      </c>
      <c r="I121" s="27" t="str">
        <f>IF(N(J121)=0,"",0&amp;"-"&amp;B$14)</f>
        <v/>
      </c>
      <c r="J121" s="52" t="str">
        <f>IF(N(B$14)=0,"",IF(AND(COUNT(H111:H122)=2,COUNT(F111:F122)=2),cubic_spline(F110:F112,H110:H112,B$14),IF(AND(COUNT(H111:H122)=3,COUNT(F111:F122)=3),cubic_spline(F110:F113,H110:H113,B$14),IF(AND(COUNT(H111:H122)=4,COUNT(F111:F122)=4),cubic_spline(F110:F114,H110:H114,B$14),IF(AND(COUNT(H111:H122)=5,COUNT(F111:F122)=5),cubic_spline(F110:F115,H110:H115,B$14),IF(AND(COUNT(H111:H122)=6,COUNT(F111:F122)=6),cubic_spline(F110:F116,H110:H116,B$14),IF(AND(COUNT(H111:H122)=7,COUNT(F111:F122)=7),cubic_spline(F110:F117,H110:H117,B$14),IF(AND(COUNT(H111:H122)=8,COUNT(F111:F122)=8),cubic_spline(F110:F118,H110:H118,B$14),IF(AND(COUNT(H111:H122)=9,COUNT(F111:F122)=9),cubic_spline(F110:F119,H110:H119,B$14),IF(AND(COUNT(H111:H122)=10,COUNT(F111:F122)=10),cubic_spline(F110:F120,H110:H120,B$14),IF(AND(COUNT(H111:H122)=11,COUNT(F111:F122)=11),cubic_spline(F110:F121,H110:H121,B$14),IF(AND(COUNT(H111:H122)=12,COUNT(F111:F122)=12),cubic_spline(F110:F122,H110:H122,B$14),""))))))))))))</f>
        <v/>
      </c>
      <c r="K121" s="52" t="str">
        <f>IF(N(B$14)=0,"",IF(AND(COUNT(A111:A122)=2,COUNT(F111:F122)=2),cubic_spline(F110:F112,A110:A112,B$14),IF(AND(COUNT(A111:A122)=3,COUNT(F111:F122)=3),cubic_spline(F110:F113,A110:A113,B$14),IF(AND(COUNT(A111:A122)=4,COUNT(F111:F122)=4),cubic_spline(F110:F114,A110:A114,B$14),IF(AND(COUNT(A111:A122)=5,COUNT(F111:F122)=5),cubic_spline(F110:F115,A110:A115,B$14),IF(AND(COUNT(A111:A122)=6,COUNT(F111:F122)=6),cubic_spline(F110:F116,A110:A116,B$14),IF(AND(COUNT(A111:A122)=7,COUNT(F111:F122)=7),cubic_spline(F110:F117,A110:A117,B$14),IF(AND(COUNT(A111:A122)=8,COUNT(F111:F122)=8),cubic_spline(F110:F118,A110:A118,B$14),IF(AND(COUNT(A111:A122)=9,COUNT(F111:F122)=9),cubic_spline(F110:F119,A110:A119,B$14),IF(AND(COUNT(A111:A122)=10,COUNT(F111:F122)=10),cubic_spline(F110:F120,A110:A120,B$14),IF(AND(COUNT(A111:A122)=11,COUNT(F111:F122)=11),cubic_spline(F110:F121,A110:A121,B$14),IF(AND(COUNT(A111:A122)=12,COUNT(F111:F122)=12),cubic_spline(F110:F122,A110:A122,B$14),""))))))))))))</f>
        <v/>
      </c>
      <c r="L121" s="27" t="str">
        <f>IF(I121="","",B$13&amp;"-"&amp;B$14)</f>
        <v/>
      </c>
      <c r="M121" s="52" t="str">
        <f t="shared" si="40"/>
        <v/>
      </c>
    </row>
    <row r="122" spans="1:13" x14ac:dyDescent="0.35">
      <c r="A122" s="48"/>
      <c r="B122" s="48"/>
      <c r="C122" s="49"/>
      <c r="D122" s="50"/>
      <c r="E122" s="51" t="str">
        <f t="shared" si="39"/>
        <v/>
      </c>
      <c r="F122" s="71" t="str">
        <f t="shared" si="36"/>
        <v/>
      </c>
      <c r="G122" s="69" t="str">
        <f t="shared" si="38"/>
        <v/>
      </c>
      <c r="H122" s="70" t="str">
        <f t="shared" si="37"/>
        <v/>
      </c>
      <c r="I122" s="27" t="str">
        <f>IF(N(J122)=0,"",0&amp;"-"&amp;B$15)</f>
        <v/>
      </c>
      <c r="J122" s="52" t="str">
        <f>IF(N(B$15)=0,"",IF(AND(COUNT(H111:H122)=2,COUNT(F111:F122)=2),cubic_spline(F110:F112,H110:H112,B$15),IF(AND(COUNT(H111:H122)=3,COUNT(F111:F122)=3),cubic_spline(F110:F113,H110:H113,B$15),IF(AND(COUNT(H111:H122)=4,COUNT(F111:F122)=4),cubic_spline(F110:F114,H110:H114,B$15),IF(AND(COUNT(H111:H122)=5,COUNT(F111:F122)=5),cubic_spline(F110:F115,H110:H115,B$15),IF(AND(COUNT(H111:H122)=6,COUNT(F111:F122)=6),cubic_spline(F110:F116,H110:H116,B$15),IF(AND(COUNT(H111:H122)=7,COUNT(F111:F122)=7),cubic_spline(F110:F117,H110:H117,B$15),IF(AND(COUNT(H111:H122)=8,COUNT(F111:F122)=8),cubic_spline(F110:F118,H110:H118,B$15),IF(AND(COUNT(H111:H122)=9,COUNT(F111:F122)=9),cubic_spline(F110:F119,H110:H119,B$15),IF(AND(COUNT(H111:H122)=10,COUNT(F111:F122)=10),cubic_spline(F110:F120,H110:H120,B$15),IF(AND(COUNT(H111:H122)=11,COUNT(F111:F122)=11),cubic_spline(F110:F121,H110:H121,B$15),IF(AND(COUNT(H111:H122)=12,COUNT(F111:F122)=12),cubic_spline(F110:F122,H110:H122,B$15),""))))))))))))</f>
        <v/>
      </c>
      <c r="K122" s="52" t="str">
        <f>IF(N(B$15)=0,"",IF(AND(COUNT(A111:A122)=2,COUNT(F111:F122)=2),cubic_spline(F110:F112,A110:A112,B$15),IF(AND(COUNT(A111:A122)=3,COUNT(F111:F122)=3),cubic_spline(F110:F113,A110:A113,B$15),IF(AND(COUNT(A111:A122)=4,COUNT(F111:F122)=4),cubic_spline(F110:F114,A110:A114,B$15),IF(AND(COUNT(A111:A122)=5,COUNT(F111:F122)=5),cubic_spline(F110:F115,A110:A115,B$15),IF(AND(COUNT(A111:A122)=6,COUNT(F111:F122)=6),cubic_spline(F110:F116,A110:A116,B$15),IF(AND(COUNT(A111:A122)=7,COUNT(F111:F122)=7),cubic_spline(F110:F117,A110:A117,B$15),IF(AND(COUNT(A111:A122)=8,COUNT(F111:F122)=8),cubic_spline(F110:F118,A110:A118,B$15),IF(AND(COUNT(A111:A122)=9,COUNT(F111:F122)=9),cubic_spline(F110:F119,A110:A119,B$15),IF(AND(COUNT(A111:A122)=10,COUNT(F111:F122)=10),cubic_spline(F110:F120,A110:A120,B$15),IF(AND(COUNT(A111:A122)=11,COUNT(F111:F122)=11),cubic_spline(F110:F121,A110:A121,B$15),IF(AND(COUNT(A111:A122)=12,COUNT(F111:F122)=12),cubic_spline(F110:F122,A110:A122,B$15),""))))))))))))</f>
        <v/>
      </c>
      <c r="L122" s="27" t="str">
        <f>IF(I122="","",B$14&amp;"-"&amp;B$15)</f>
        <v/>
      </c>
      <c r="M122" s="52" t="str">
        <f t="shared" si="40"/>
        <v/>
      </c>
    </row>
    <row r="123" spans="1:13" ht="5.15" customHeight="1" x14ac:dyDescent="0.35">
      <c r="A123" s="47"/>
      <c r="B123" s="47"/>
      <c r="C123" s="47"/>
      <c r="D123" s="53"/>
      <c r="E123" s="54"/>
      <c r="F123" s="55"/>
      <c r="G123" s="72"/>
      <c r="H123" s="73"/>
      <c r="I123" s="47"/>
      <c r="J123" s="57"/>
      <c r="K123" s="57"/>
      <c r="L123" s="55"/>
      <c r="M123" s="57"/>
    </row>
    <row r="124" spans="1:13" x14ac:dyDescent="0.35">
      <c r="A124" s="48"/>
      <c r="B124" s="48"/>
      <c r="C124" s="49"/>
      <c r="D124" s="50"/>
      <c r="E124" s="51" t="str">
        <f>IF(N(C124)=0,"",C124/PI()/($D$1/2)^2/$D$2*10000)</f>
        <v/>
      </c>
      <c r="F124" s="68" t="str">
        <f t="shared" ref="F124:F135" si="41">IF(N(E124)=0,"",(N(E124)+N(F123)))</f>
        <v/>
      </c>
      <c r="G124" s="69" t="str">
        <f>IF(OR(N(D124)=0,N(E124)=0),"",(E124*D124)/1000)</f>
        <v/>
      </c>
      <c r="H124" s="70" t="str">
        <f t="shared" ref="H124:H135" si="42">IF(N(G124)=0,"",(N(G124)+N(H123)))</f>
        <v/>
      </c>
      <c r="I124" s="27" t="str">
        <f>IF(N(J124)=0,"",0&amp;"-"&amp;B$4)</f>
        <v/>
      </c>
      <c r="J124" s="52" t="str">
        <f>IF(N(B$4)=0,"",IF(AND(COUNT(H124:H135)=2,COUNT(F124:F135)=2),cubic_spline(F123:F125,H123:H125,B$4),IF(AND(COUNT(H124:H135)=3,COUNT(F124:F135)=3),cubic_spline(F123:F126,H123:H126,B$4),IF(AND(COUNT(H124:H135)=4,COUNT(F124:F135)=4),cubic_spline(F123:F127,H123:H127,B$4),IF(AND(COUNT(H124:H135)=5,COUNT(F124:F135)=5),cubic_spline(F123:F128,H123:H128,B$4),IF(AND(COUNT(H124:H135)=6,COUNT(F124:F135)=6),cubic_spline(F123:F129,H123:H129,B$4),IF(AND(COUNT(H124:H135)=7,COUNT(F124:F135)=7),cubic_spline(F123:F130,H123:H130,B$4),IF(AND(COUNT(H124:H135)=8,COUNT(F124:F135)=8),cubic_spline(F123:F131,H123:H131,B$4),IF(AND(COUNT(H124:H135)=9,COUNT(F124:F135)=9),cubic_spline(F123:F132,H123:H132,B$4),IF(AND(COUNT(H124:H135)=10,COUNT(F124:F135)=10),cubic_spline(F123:F133,H123:H133,B$4),IF(AND(COUNT(H124:H135)=11,COUNT(F124:F135)=11),cubic_spline(F123:F134,H123:H134,B$4),IF(AND(COUNT(H124:H135)=12,COUNT(F124:F135)=12),cubic_spline(F123:F135,H123:H135,B$4),""))))))))))))</f>
        <v/>
      </c>
      <c r="K124" s="52" t="str">
        <f>IF(N(B$4)=0,"",IF(AND(COUNT(A124:A135)=2,COUNT(F124:F135)=2),cubic_spline(F123:F125,A123:A125,B$4),IF(AND(COUNT(A124:A135)=3,COUNT(F124:F135)=3),cubic_spline(F123:F126,A123:A126,B$4),IF(AND(COUNT(A124:A135)=4,COUNT(F124:F135)=4),cubic_spline(F123:F127,A123:A127,B$4),IF(AND(COUNT(A124:A135)=5,COUNT(F124:F135)=5),cubic_spline(F123:F128,A123:A128,B$4),IF(AND(COUNT(A124:A135)=6,COUNT(F124:F135)=6),cubic_spline(F123:F129,A123:A129,B$4),IF(AND(COUNT(A124:A135)=7,COUNT(F124:F135)=7),cubic_spline(F123:F130,A123:A130,B$4),IF(AND(COUNT(A124:A135)=8,COUNT(F124:F135)=8),cubic_spline(F123:F131,A123:A131,B$4),IF(AND(COUNT(A124:A135)=9,COUNT(F124:F135)=9),cubic_spline(F123:F132,A123:A132,B$4),IF(AND(COUNT(A124:A135)=10,COUNT(F124:F135)=10),cubic_spline(F123:F133,A123:A133,B$4),IF(AND(COUNT(A124:A135)=11,COUNT(F124:F135)=11),cubic_spline(F123:F134,A123:A134,B$4),IF(AND(COUNT(A124:A135)=12,COUNT(F124:F135)=12),cubic_spline(F123:F135,A123:A135,B$4),""))))))))))))</f>
        <v/>
      </c>
      <c r="L124" s="27" t="str">
        <f>IF(I124="","",0&amp;"-"&amp;B$4)</f>
        <v/>
      </c>
      <c r="M124" s="52" t="str">
        <f>IF(N(J124)=0,"",J124-J123)</f>
        <v/>
      </c>
    </row>
    <row r="125" spans="1:13" x14ac:dyDescent="0.35">
      <c r="A125" s="48"/>
      <c r="B125" s="48"/>
      <c r="C125" s="49"/>
      <c r="D125" s="50"/>
      <c r="E125" s="51" t="str">
        <f>IF(N(C125)=0,"",C125/PI()/($D$1/2)^2/$D$2*10000)</f>
        <v/>
      </c>
      <c r="F125" s="68" t="str">
        <f t="shared" si="41"/>
        <v/>
      </c>
      <c r="G125" s="69" t="str">
        <f t="shared" ref="G125:G135" si="43">IF(OR(N(D125)=0,N(E125)=0),"",(E125*D125)/1000)</f>
        <v/>
      </c>
      <c r="H125" s="70" t="str">
        <f t="shared" si="42"/>
        <v/>
      </c>
      <c r="I125" s="27" t="str">
        <f>IF(N(J125)=0,"",0&amp;"-"&amp;B$5)</f>
        <v/>
      </c>
      <c r="J125" s="52" t="str">
        <f>IF(N(B$5)=0,"",IF(AND(COUNT(H124:H135)=2,COUNT(F124:F135)=2),cubic_spline(F123:F125,H123:H125,B$5),IF(AND(COUNT(H124:H135)=3,COUNT(F124:F135)=3),cubic_spline(F123:F126,H123:H126,B$5),IF(AND(COUNT(H124:H135)=4,COUNT(F124:F135)=4),cubic_spline(F123:F127,H123:H127,B$5),IF(AND(COUNT(H124:H135)=5,COUNT(F124:F135)=5),cubic_spline(F123:F128,H123:H128,B$5),IF(AND(COUNT(H124:H135)=6,COUNT(F124:F135)=6),cubic_spline(F123:F129,H123:H129,B$5),IF(AND(COUNT(H124:H135)=7,COUNT(F124:F135)=7),cubic_spline(F123:F130,H123:H130,B$5),IF(AND(COUNT(H124:H135)=8,COUNT(F124:F135)=8),cubic_spline(F123:F131,H123:H131,B$5),IF(AND(COUNT(H124:H135)=9,COUNT(F124:F135)=9),cubic_spline(F123:F132,H123:H132,B$5),IF(AND(COUNT(H124:H135)=10,COUNT(F124:F135)=10),cubic_spline(F123:F133,H123:H133,B$5),IF(AND(COUNT(H124:H135)=11,COUNT(F124:F135)=11),cubic_spline(F123:F134,H123:H134,B$5),IF(AND(COUNT(H124:H135)=12,COUNT(F124:F135)=12),cubic_spline(F123:F135,H123:H135,B$5),""))))))))))))</f>
        <v/>
      </c>
      <c r="K125" s="52" t="str">
        <f>IF(N(B$5)=0,"",IF(AND(COUNT(A124:A135)=2,COUNT(F124:F135)=2),cubic_spline(F123:F125,A123:A125,B$5),IF(AND(COUNT(A124:A135)=3,COUNT(F124:F135)=3),cubic_spline(F123:F126,A123:A126,B$5),IF(AND(COUNT(A124:A135)=4,COUNT(F124:F135)=4),cubic_spline(F123:F127,A123:A127,B$5),IF(AND(COUNT(A124:A135)=5,COUNT(F124:F135)=5),cubic_spline(F123:F128,A123:A128,B$5),IF(AND(COUNT(A124:A135)=6,COUNT(F124:F135)=6),cubic_spline(F123:F129,A123:A129,B$5),IF(AND(COUNT(A124:A135)=7,COUNT(F124:F135)=7),cubic_spline(F123:F130,A123:A130,B$5),IF(AND(COUNT(A124:A135)=8,COUNT(F124:F135)=8),cubic_spline(F123:F131,A123:A131,B$5),IF(AND(COUNT(A124:A135)=9,COUNT(F124:F135)=9),cubic_spline(F123:F132,A123:A132,B$5),IF(AND(COUNT(A124:A135)=10,COUNT(F124:F135)=10),cubic_spline(F123:F133,A123:A133,B$5),IF(AND(COUNT(A124:A135)=11,COUNT(F124:F135)=11),cubic_spline(F123:F134,A123:A134,B$5),IF(AND(COUNT(A124:A135)=12,COUNT(F124:F135)=12),cubic_spline(F123:F135,A123:A135,B$5),""))))))))))))</f>
        <v/>
      </c>
      <c r="L125" s="27" t="str">
        <f>IF(I125="","",B$4&amp;"-"&amp;B$5)</f>
        <v/>
      </c>
      <c r="M125" s="52" t="str">
        <f>IF(N(J125)=0,"",J125-J124)</f>
        <v/>
      </c>
    </row>
    <row r="126" spans="1:13" x14ac:dyDescent="0.35">
      <c r="A126" s="48"/>
      <c r="B126" s="48"/>
      <c r="C126" s="49"/>
      <c r="D126" s="50"/>
      <c r="E126" s="51" t="str">
        <f>IF(N(C126)=0,"",C126/PI()/($D$1/2)^2/$D$2*10000)</f>
        <v/>
      </c>
      <c r="F126" s="68" t="str">
        <f t="shared" si="41"/>
        <v/>
      </c>
      <c r="G126" s="69" t="str">
        <f t="shared" si="43"/>
        <v/>
      </c>
      <c r="H126" s="70" t="str">
        <f t="shared" si="42"/>
        <v/>
      </c>
      <c r="I126" s="27" t="str">
        <f>IF(N(J126)=0,"",0&amp;"-"&amp;B$6)</f>
        <v/>
      </c>
      <c r="J126" s="52" t="str">
        <f>IF(N(B$6)=0,"",IF(AND(COUNT(H124:H135)=2,COUNT(F124:F135)=2),cubic_spline(F123:F125,H123:H125,B$6),IF(AND(COUNT(H124:H135)=3,COUNT(F124:F135)=3),cubic_spline(F123:F126,H123:H126,B$6),IF(AND(COUNT(H124:H135)=4,COUNT(F124:F135)=4),cubic_spline(F123:F127,H123:H127,B$6),IF(AND(COUNT(H124:H135)=5,COUNT(F124:F135)=5),cubic_spline(F123:F128,H123:H128,B$6),IF(AND(COUNT(H124:H135)=6,COUNT(F124:F135)=6),cubic_spline(F123:F129,H123:H129,B$6),IF(AND(COUNT(H124:H135)=7,COUNT(F124:F135)=7),cubic_spline(F123:F130,H123:H130,B$6),IF(AND(COUNT(H124:H135)=8,COUNT(F124:F135)=8),cubic_spline(F123:F131,H123:H131,B$6),IF(AND(COUNT(H124:H135)=9,COUNT(F124:F135)=9),cubic_spline(F123:F132,H123:H132,B$6),IF(AND(COUNT(H124:H135)=10,COUNT(F124:F135)=10),cubic_spline(F123:F133,H123:H133,B$6),IF(AND(COUNT(H124:H135)=11,COUNT(F124:F135)=11),cubic_spline(F123:F134,H123:H134,B$6),IF(AND(COUNT(H124:H135)=12,COUNT(F124:F135)=12),cubic_spline(F123:F135,H123:H135,B$6),""))))))))))))</f>
        <v/>
      </c>
      <c r="K126" s="52" t="str">
        <f>IF(N(B$6)=0,"",IF(AND(COUNT(A124:A135)=2,COUNT(F124:F135)=2),cubic_spline(F123:F125,A123:A125,B$6),IF(AND(COUNT(A124:A135)=3,COUNT(F124:F135)=3),cubic_spline(F123:F126,A123:A126,B$6),IF(AND(COUNT(A124:A135)=4,COUNT(F124:F135)=4),cubic_spline(F123:F127,A123:A127,B$6),IF(AND(COUNT(A124:A135)=5,COUNT(F124:F135)=5),cubic_spline(F123:F128,A123:A128,B$6),IF(AND(COUNT(A124:A135)=6,COUNT(F124:F135)=6),cubic_spline(F123:F129,A123:A129,B$6),IF(AND(COUNT(A124:A135)=7,COUNT(F124:F135)=7),cubic_spline(F123:F130,A123:A130,B$6),IF(AND(COUNT(A124:A135)=8,COUNT(F124:F135)=8),cubic_spline(F123:F131,A123:A131,B$6),IF(AND(COUNT(A124:A135)=9,COUNT(F124:F135)=9),cubic_spline(F123:F132,A123:A132,B$6),IF(AND(COUNT(A124:A135)=10,COUNT(F124:F135)=10),cubic_spline(F123:F133,A123:A133,B$6),IF(AND(COUNT(A124:A135)=11,COUNT(F124:F135)=11),cubic_spline(F123:F134,A123:A134,B$6),IF(AND(COUNT(A124:A135)=12,COUNT(F124:F135)=12),cubic_spline(F123:F135,A123:A135,B$6),""))))))))))))</f>
        <v/>
      </c>
      <c r="L126" s="27" t="str">
        <f>IF(I126="","",B$5&amp;"-"&amp;B$6)</f>
        <v/>
      </c>
      <c r="M126" s="52" t="str">
        <f>IF(N(J126)=0,"",J126-J125)</f>
        <v/>
      </c>
    </row>
    <row r="127" spans="1:13" x14ac:dyDescent="0.35">
      <c r="A127" s="48"/>
      <c r="B127" s="48"/>
      <c r="C127" s="49"/>
      <c r="D127" s="50"/>
      <c r="E127" s="51" t="str">
        <f>IF(N(C127)=0,"",C127/PI()/($D$1/2)^2/$D$2*10000)</f>
        <v/>
      </c>
      <c r="F127" s="68" t="str">
        <f t="shared" si="41"/>
        <v/>
      </c>
      <c r="G127" s="69" t="str">
        <f t="shared" si="43"/>
        <v/>
      </c>
      <c r="H127" s="70" t="str">
        <f t="shared" si="42"/>
        <v/>
      </c>
      <c r="I127" s="27" t="str">
        <f>IF(N(J127)=0,"",0&amp;"-"&amp;B$7)</f>
        <v/>
      </c>
      <c r="J127" s="52" t="str">
        <f>IF(N(B$7)=0,"",IF(AND(COUNT(H124:H135)=2,COUNT(F124:F135)=2),cubic_spline(F123:F125,H123:H125,B$7),IF(AND(COUNT(H124:H135)=3,COUNT(F124:F135)=3),cubic_spline(F123:F126,H123:H126,B$7),IF(AND(COUNT(H124:H135)=4,COUNT(F124:F135)=4),cubic_spline(F123:F127,H123:H127,B$7),IF(AND(COUNT(H124:H135)=5,COUNT(F124:F135)=5),cubic_spline(F123:F128,H123:H128,B$7),IF(AND(COUNT(H124:H135)=6,COUNT(F124:F135)=6),cubic_spline(F123:F129,H123:H129,B$7),IF(AND(COUNT(H124:H135)=7,COUNT(F124:F135)=7),cubic_spline(F123:F130,H123:H130,B$7),IF(AND(COUNT(H124:H135)=8,COUNT(F124:F135)=8),cubic_spline(F123:F131,H123:H131,B$7),IF(AND(COUNT(H124:H135)=9,COUNT(F124:F135)=9),cubic_spline(F123:F132,H123:H132,B$7),IF(AND(COUNT(H124:H135)=10,COUNT(F124:F135)=10),cubic_spline(F123:F133,H123:H133,B$7),IF(AND(COUNT(H124:H135)=11,COUNT(F124:F135)=11),cubic_spline(F123:F134,H123:H134,B$7),IF(AND(COUNT(H124:H135)=12,COUNT(F124:F135)=12),cubic_spline(F123:F135,H123:H135,B$7),""))))))))))))</f>
        <v/>
      </c>
      <c r="K127" s="52" t="str">
        <f>IF(N(B$7)=0,"",IF(AND(COUNT(A124:A135)=2,COUNT(F124:F135)=2),cubic_spline(F123:F125,A123:A125,B$7),IF(AND(COUNT(A124:A135)=3,COUNT(F124:F135)=3),cubic_spline(F123:F126,A123:A126,B$7),IF(AND(COUNT(A124:A135)=4,COUNT(F124:F135)=4),cubic_spline(F123:F127,A123:A127,B$7),IF(AND(COUNT(A124:A135)=5,COUNT(F124:F135)=5),cubic_spline(F123:F128,A123:A128,B$7),IF(AND(COUNT(A124:A135)=6,COUNT(F124:F135)=6),cubic_spline(F123:F129,A123:A129,B$7),IF(AND(COUNT(A124:A135)=7,COUNT(F124:F135)=7),cubic_spline(F123:F130,A123:A130,B$7),IF(AND(COUNT(A124:A135)=8,COUNT(F124:F135)=8),cubic_spline(F123:F131,A123:A131,B$7),IF(AND(COUNT(A124:A135)=9,COUNT(F124:F135)=9),cubic_spline(F123:F132,A123:A132,B$7),IF(AND(COUNT(A124:A135)=10,COUNT(F124:F135)=10),cubic_spline(F123:F133,A123:A133,B$7),IF(AND(COUNT(A124:A135)=11,COUNT(F124:F135)=11),cubic_spline(F123:F134,A123:A134,B$7),IF(AND(COUNT(A124:A135)=12,COUNT(F124:F135)=12),cubic_spline(F123:F135,A123:A135,B$7),""))))))))))))</f>
        <v/>
      </c>
      <c r="L127" s="27" t="str">
        <f>IF(I127="","",B$6&amp;"-"&amp;B$7)</f>
        <v/>
      </c>
      <c r="M127" s="52" t="str">
        <f>IF(N(J127)=0,"",J127-J126)</f>
        <v/>
      </c>
    </row>
    <row r="128" spans="1:13" x14ac:dyDescent="0.35">
      <c r="A128" s="48"/>
      <c r="B128" s="48"/>
      <c r="C128" s="49"/>
      <c r="D128" s="50"/>
      <c r="E128" s="51" t="str">
        <f t="shared" ref="E128:E135" si="44">IF(N(C128)=0,"",C128/PI()/($D$1/2)^2/$D$2*10000)</f>
        <v/>
      </c>
      <c r="F128" s="71" t="str">
        <f t="shared" si="41"/>
        <v/>
      </c>
      <c r="G128" s="69" t="str">
        <f t="shared" si="43"/>
        <v/>
      </c>
      <c r="H128" s="70" t="str">
        <f t="shared" si="42"/>
        <v/>
      </c>
      <c r="I128" s="27" t="str">
        <f>IF(N(J128)=0,"",0&amp;"-"&amp;B$8)</f>
        <v/>
      </c>
      <c r="J128" s="52" t="str">
        <f>IF(N(B$8)=0,"",IF(AND(COUNT(H124:H135)=2,COUNT(F124:F135)=2),cubic_spline(F123:F125,H123:H125,B$8),IF(AND(COUNT(H124:H135)=3,COUNT(F124:F135)=3),cubic_spline(F123:F126,H123:H126,B$8),IF(AND(COUNT(H124:H135)=4,COUNT(F124:F135)=4),cubic_spline(F123:F127,H123:H127,B$8),IF(AND(COUNT(H124:H135)=5,COUNT(F124:F135)=5),cubic_spline(F123:F128,H123:H128,B$8),IF(AND(COUNT(H124:H135)=6,COUNT(F124:F135)=6),cubic_spline(F123:F129,H123:H129,B$8),IF(AND(COUNT(H124:H135)=7,COUNT(F124:F135)=7),cubic_spline(F123:F130,H123:H130,B$8),IF(AND(COUNT(H124:H135)=8,COUNT(F124:F135)=8),cubic_spline(F123:F131,H123:H131,B$8),IF(AND(COUNT(H124:H135)=9,COUNT(F124:F135)=9),cubic_spline(F123:F132,H123:H132,B$8),IF(AND(COUNT(H124:H135)=10,COUNT(F124:F135)=10),cubic_spline(F123:F133,H123:H133,B$8),IF(AND(COUNT(H124:H135)=11,COUNT(F124:F135)=11),cubic_spline(F123:F134,H123:H134,B$8),IF(AND(COUNT(H124:H135)=12,COUNT(F124:F135)=12),cubic_spline(F123:F135,H123:H135,B$8),""))))))))))))</f>
        <v/>
      </c>
      <c r="K128" s="52" t="str">
        <f>IF(N(B$8)=0,"",IF(AND(COUNT(A124:A135)=2,COUNT(F124:F135)=2),cubic_spline(F123:F125,A123:A125,B$8),IF(AND(COUNT(A124:A135)=3,COUNT(F124:F135)=3),cubic_spline(F123:F126,A123:A126,B$8),IF(AND(COUNT(A124:A135)=4,COUNT(F124:F135)=4),cubic_spline(F123:F127,A123:A127,B$8),IF(AND(COUNT(A124:A135)=5,COUNT(F124:F135)=5),cubic_spline(F123:F128,A123:A128,B$8),IF(AND(COUNT(A124:A135)=6,COUNT(F124:F135)=6),cubic_spline(F123:F129,A123:A129,B$8),IF(AND(COUNT(A124:A135)=7,COUNT(F124:F135)=7),cubic_spline(F123:F130,A123:A130,B$8),IF(AND(COUNT(A124:A135)=8,COUNT(F124:F135)=8),cubic_spline(F123:F131,A123:A131,B$8),IF(AND(COUNT(A124:A135)=9,COUNT(F124:F135)=9),cubic_spline(F123:F132,A123:A132,B$8),IF(AND(COUNT(A124:A135)=10,COUNT(F124:F135)=10),cubic_spline(F123:F133,A123:A133,B$8),IF(AND(COUNT(A124:A135)=11,COUNT(F124:F135)=11),cubic_spline(F123:F134,A123:A134,B$8),IF(AND(COUNT(A124:A135)=12,COUNT(F124:F135)=12),cubic_spline(F123:F135,A123:A135,B$8),""))))))))))))</f>
        <v/>
      </c>
      <c r="L128" s="27" t="str">
        <f>IF(I128="","",B$7&amp;"-"&amp;B$8)</f>
        <v/>
      </c>
      <c r="M128" s="52" t="str">
        <f>IF(N(J128)=0,"",J128-J127)</f>
        <v/>
      </c>
    </row>
    <row r="129" spans="1:13" x14ac:dyDescent="0.35">
      <c r="A129" s="48"/>
      <c r="B129" s="48"/>
      <c r="C129" s="49"/>
      <c r="D129" s="50"/>
      <c r="E129" s="51" t="str">
        <f t="shared" si="44"/>
        <v/>
      </c>
      <c r="F129" s="71" t="str">
        <f t="shared" si="41"/>
        <v/>
      </c>
      <c r="G129" s="69" t="str">
        <f t="shared" si="43"/>
        <v/>
      </c>
      <c r="H129" s="70" t="str">
        <f t="shared" si="42"/>
        <v/>
      </c>
      <c r="I129" s="27" t="str">
        <f>IF(N(J129)=0,"",0&amp;"-"&amp;B$9)</f>
        <v/>
      </c>
      <c r="J129" s="52" t="str">
        <f>IF(N(B$9)=0,"",IF(AND(COUNT(H124:H135)=2,COUNT(F124:F135)=2),cubic_spline(F123:F125,H123:H125,B$9),IF(AND(COUNT(H124:H135)=3,COUNT(F124:F135)=3),cubic_spline(F123:F126,H123:H126,B$9),IF(AND(COUNT(H124:H135)=4,COUNT(F124:F135)=4),cubic_spline(F123:F127,H123:H127,B$9),IF(AND(COUNT(H124:H135)=5,COUNT(F124:F135)=5),cubic_spline(F123:F128,H123:H128,B$9),IF(AND(COUNT(H124:H135)=6,COUNT(F124:F135)=6),cubic_spline(F123:F129,H123:H129,B$9),IF(AND(COUNT(H124:H135)=7,COUNT(F124:F135)=7),cubic_spline(F123:F130,H123:H130,B$9),IF(AND(COUNT(H124:H135)=8,COUNT(F124:F135)=8),cubic_spline(F123:F131,H123:H131,B$9),IF(AND(COUNT(H124:H135)=9,COUNT(F124:F135)=9),cubic_spline(F123:F132,H123:H132,B$9),IF(AND(COUNT(H124:H135)=10,COUNT(F124:F135)=10),cubic_spline(F123:F133,H123:H133,B$9),IF(AND(COUNT(H124:H135)=11,COUNT(F124:F135)=11),cubic_spline(F123:F134,H123:H134,B$9),IF(AND(COUNT(H124:H135)=12,COUNT(F124:F135)=12),cubic_spline(F123:F135,H123:H135,B$9),""))))))))))))</f>
        <v/>
      </c>
      <c r="K129" s="52" t="str">
        <f>IF(N(B$9)=0,"",IF(AND(COUNT(A124:A135)=2,COUNT(F124:F135)=2),cubic_spline(F123:F125,A123:A125,B$9),IF(AND(COUNT(A124:A135)=3,COUNT(F124:F135)=3),cubic_spline(F123:F126,A123:A126,B$9),IF(AND(COUNT(A124:A135)=4,COUNT(F124:F135)=4),cubic_spline(F123:F127,A123:A127,B$9),IF(AND(COUNT(A124:A135)=5,COUNT(F124:F135)=5),cubic_spline(F123:F128,A123:A128,B$9),IF(AND(COUNT(A124:A135)=6,COUNT(F124:F135)=6),cubic_spline(F123:F129,A123:A129,B$9),IF(AND(COUNT(A124:A135)=7,COUNT(F124:F135)=7),cubic_spline(F123:F130,A123:A130,B$9),IF(AND(COUNT(A124:A135)=8,COUNT(F124:F135)=8),cubic_spline(F123:F131,A123:A131,B$9),IF(AND(COUNT(A124:A135)=9,COUNT(F124:F135)=9),cubic_spline(F123:F132,A123:A132,B$9),IF(AND(COUNT(A124:A135)=10,COUNT(F124:F135)=10),cubic_spline(F123:F133,A123:A133,B$9),IF(AND(COUNT(A124:A135)=11,COUNT(F124:F135)=11),cubic_spline(F123:F134,A123:A134,B$9),IF(AND(COUNT(A124:A135)=12,COUNT(F124:F135)=12),cubic_spline(F123:F135,A123:A135,B$9),""))))))))))))</f>
        <v/>
      </c>
      <c r="L129" s="27" t="str">
        <f>IF(I129="","",B$8&amp;"-"&amp;B$9)</f>
        <v/>
      </c>
      <c r="M129" s="52" t="str">
        <f t="shared" ref="M129:M135" si="45">IF(N(J129)=0,"",J129-J128)</f>
        <v/>
      </c>
    </row>
    <row r="130" spans="1:13" x14ac:dyDescent="0.35">
      <c r="A130" s="48"/>
      <c r="B130" s="48"/>
      <c r="C130" s="49"/>
      <c r="D130" s="50"/>
      <c r="E130" s="51" t="str">
        <f t="shared" si="44"/>
        <v/>
      </c>
      <c r="F130" s="71" t="str">
        <f t="shared" si="41"/>
        <v/>
      </c>
      <c r="G130" s="69" t="str">
        <f t="shared" si="43"/>
        <v/>
      </c>
      <c r="H130" s="70" t="str">
        <f t="shared" si="42"/>
        <v/>
      </c>
      <c r="I130" s="27" t="str">
        <f>IF(N(J130)=0,"",0&amp;"-"&amp;B$10)</f>
        <v/>
      </c>
      <c r="J130" s="52" t="str">
        <f>IF(N(B$10)=0,"",IF(AND(COUNT(H124:H135)=2,COUNT(F124:F135)=2),cubic_spline(F123:F125,H123:H125,B$10),IF(AND(COUNT(H124:H135)=3,COUNT(F124:F135)=3),cubic_spline(F123:F126,H123:H126,B$10),IF(AND(COUNT(H124:H135)=4,COUNT(F124:F135)=4),cubic_spline(F123:F127,H123:H127,B$10),IF(AND(COUNT(H124:H135)=5,COUNT(F124:F135)=5),cubic_spline(F123:F128,H123:H128,B$10),IF(AND(COUNT(H124:H135)=6,COUNT(F124:F135)=6),cubic_spline(F123:F129,H123:H129,B$10),IF(AND(COUNT(H124:H135)=7,COUNT(F124:F135)=7),cubic_spline(F123:F130,H123:H130,B$10),IF(AND(COUNT(H124:H135)=8,COUNT(F124:F135)=8),cubic_spline(F123:F131,H123:H131,B$10),IF(AND(COUNT(H124:H135)=9,COUNT(F124:F135)=9),cubic_spline(F123:F132,H123:H132,B$10),IF(AND(COUNT(H124:H135)=10,COUNT(F124:F135)=10),cubic_spline(F123:F133,H123:H133,B$10),IF(AND(COUNT(H124:H135)=11,COUNT(F124:F135)=11),cubic_spline(F123:F134,H123:H134,B$10),IF(AND(COUNT(H124:H135)=12,COUNT(F124:F135)=12),cubic_spline(F123:F135,H123:H135,B$10),""))))))))))))</f>
        <v/>
      </c>
      <c r="K130" s="52" t="str">
        <f>IF(N(B$10)=0,"",IF(AND(COUNT(A124:A135)=2,COUNT(F124:F135)=2),cubic_spline(F123:F125,A123:A125,B$10),IF(AND(COUNT(A124:A135)=3,COUNT(F124:F135)=3),cubic_spline(F123:F126,A123:A126,B$10),IF(AND(COUNT(A124:A135)=4,COUNT(F124:F135)=4),cubic_spline(F123:F127,A123:A127,B$10),IF(AND(COUNT(A124:A135)=5,COUNT(F124:F135)=5),cubic_spline(F123:F128,A123:A128,B$10),IF(AND(COUNT(A124:A135)=6,COUNT(F124:F135)=6),cubic_spline(F123:F129,A123:A129,B$10),IF(AND(COUNT(A124:A135)=7,COUNT(F124:F135)=7),cubic_spline(F123:F130,A123:A130,B$10),IF(AND(COUNT(A124:A135)=8,COUNT(F124:F135)=8),cubic_spline(F123:F131,A123:A131,B$10),IF(AND(COUNT(A124:A135)=9,COUNT(F124:F135)=9),cubic_spline(F123:F132,A123:A132,B$10),IF(AND(COUNT(A124:A135)=10,COUNT(F124:F135)=10),cubic_spline(F123:F133,A123:A133,B$10),IF(AND(COUNT(A124:A135)=11,COUNT(F124:F135)=11),cubic_spline(F123:F134,A123:A134,B$10),IF(AND(COUNT(A124:A135)=12,COUNT(F124:F135)=12),cubic_spline(F123:F135,A123:A135,B$10),""))))))))))))</f>
        <v/>
      </c>
      <c r="L130" s="27" t="str">
        <f>IF(I130="","",B$9&amp;"-"&amp;B$10)</f>
        <v/>
      </c>
      <c r="M130" s="52" t="str">
        <f t="shared" si="45"/>
        <v/>
      </c>
    </row>
    <row r="131" spans="1:13" x14ac:dyDescent="0.35">
      <c r="A131" s="48"/>
      <c r="B131" s="48"/>
      <c r="C131" s="49"/>
      <c r="D131" s="50"/>
      <c r="E131" s="51" t="str">
        <f t="shared" si="44"/>
        <v/>
      </c>
      <c r="F131" s="71" t="str">
        <f t="shared" si="41"/>
        <v/>
      </c>
      <c r="G131" s="69" t="str">
        <f t="shared" si="43"/>
        <v/>
      </c>
      <c r="H131" s="70" t="str">
        <f t="shared" si="42"/>
        <v/>
      </c>
      <c r="I131" s="27" t="str">
        <f>IF(N(J131)=0,"",0&amp;"-"&amp;B$11)</f>
        <v/>
      </c>
      <c r="J131" s="52" t="str">
        <f>IF(N(B$11)=0,"",IF(AND(COUNT(H124:H135)=2,COUNT(F124:F135)=2),cubic_spline(F123:F125,H123:H125,B$11),IF(AND(COUNT(H124:H135)=3,COUNT(F124:F135)=3),cubic_spline(F123:F126,H123:H126,B$11),IF(AND(COUNT(H124:H135)=4,COUNT(F124:F135)=4),cubic_spline(F123:F127,H123:H127,B$11),IF(AND(COUNT(H124:H135)=5,COUNT(F124:F135)=5),cubic_spline(F123:F128,H123:H128,B$11),IF(AND(COUNT(H124:H135)=6,COUNT(F124:F135)=6),cubic_spline(F123:F129,H123:H129,B$11),IF(AND(COUNT(H124:H135)=7,COUNT(F124:F135)=7),cubic_spline(F123:F130,H123:H130,B$11),IF(AND(COUNT(H124:H135)=8,COUNT(F124:F135)=8),cubic_spline(F123:F131,H123:H131,B$11),IF(AND(COUNT(H124:H135)=9,COUNT(F124:F135)=9),cubic_spline(F123:F132,H123:H132,B$11),IF(AND(COUNT(H124:H135)=10,COUNT(F124:F135)=10),cubic_spline(F123:F133,H123:H133,B$11),IF(AND(COUNT(H124:H135)=11,COUNT(F124:F135)=11),cubic_spline(F123:F134,H123:H134,B$11),IF(AND(COUNT(H124:H135)=12,COUNT(F124:F135)=12),cubic_spline(F123:F135,H123:H135,B$11),""))))))))))))</f>
        <v/>
      </c>
      <c r="K131" s="52" t="str">
        <f>IF(N(B$11)=0,"",IF(AND(COUNT(A124:A135)=2,COUNT(F124:F135)=2),cubic_spline(F123:F125,A123:A125,B$11),IF(AND(COUNT(A124:A135)=3,COUNT(F124:F135)=3),cubic_spline(F123:F126,A123:A126,B$11),IF(AND(COUNT(A124:A135)=4,COUNT(F124:F135)=4),cubic_spline(F123:F127,A123:A127,B$11),IF(AND(COUNT(A124:A135)=5,COUNT(F124:F135)=5),cubic_spline(F123:F128,A123:A128,B$11),IF(AND(COUNT(A124:A135)=6,COUNT(F124:F135)=6),cubic_spline(F123:F129,A123:A129,B$11),IF(AND(COUNT(A124:A135)=7,COUNT(F124:F135)=7),cubic_spline(F123:F130,A123:A130,B$11),IF(AND(COUNT(A124:A135)=8,COUNT(F124:F135)=8),cubic_spline(F123:F131,A123:A131,B$11),IF(AND(COUNT(A124:A135)=9,COUNT(F124:F135)=9),cubic_spline(F123:F132,A123:A132,B$11),IF(AND(COUNT(A124:A135)=10,COUNT(F124:F135)=10),cubic_spline(F123:F133,A123:A133,B$11),IF(AND(COUNT(A124:A135)=11,COUNT(F124:F135)=11),cubic_spline(F123:F134,A123:A134,B$11),IF(AND(COUNT(A124:A135)=12,COUNT(F124:F135)=12),cubic_spline(F123:F135,A123:A135,B$11),""))))))))))))</f>
        <v/>
      </c>
      <c r="L131" s="27" t="str">
        <f>IF(I131="","",B$10&amp;"-"&amp;B$11)</f>
        <v/>
      </c>
      <c r="M131" s="52" t="str">
        <f t="shared" si="45"/>
        <v/>
      </c>
    </row>
    <row r="132" spans="1:13" x14ac:dyDescent="0.35">
      <c r="A132" s="48"/>
      <c r="B132" s="48"/>
      <c r="C132" s="49"/>
      <c r="D132" s="50"/>
      <c r="E132" s="51" t="str">
        <f t="shared" si="44"/>
        <v/>
      </c>
      <c r="F132" s="71" t="str">
        <f t="shared" si="41"/>
        <v/>
      </c>
      <c r="G132" s="69" t="str">
        <f t="shared" si="43"/>
        <v/>
      </c>
      <c r="H132" s="70" t="str">
        <f t="shared" si="42"/>
        <v/>
      </c>
      <c r="I132" s="27" t="str">
        <f>IF(N(J132)=0,"",0&amp;"-"&amp;B$12)</f>
        <v/>
      </c>
      <c r="J132" s="52" t="str">
        <f>IF(N(B$12)=0,"",IF(AND(COUNT(H124:H135)=2,COUNT(F124:F135)=2),cubic_spline(F123:F125,H123:H125,B$12),IF(AND(COUNT(H124:H135)=3,COUNT(F124:F135)=3),cubic_spline(F123:F126,H123:H126,B$12),IF(AND(COUNT(H124:H135)=4,COUNT(F124:F135)=4),cubic_spline(F123:F127,H123:H127,B$12),IF(AND(COUNT(H124:H135)=5,COUNT(F124:F135)=5),cubic_spline(F123:F128,H123:H128,B$12),IF(AND(COUNT(H124:H135)=6,COUNT(F124:F135)=6),cubic_spline(F123:F129,H123:H129,B$12),IF(AND(COUNT(H124:H135)=7,COUNT(F124:F135)=7),cubic_spline(F123:F130,H123:H130,B$12),IF(AND(COUNT(H124:H135)=8,COUNT(F124:F135)=8),cubic_spline(F123:F131,H123:H131,B$12),IF(AND(COUNT(H124:H135)=9,COUNT(F124:F135)=9),cubic_spline(F123:F132,H123:H132,B$12),IF(AND(COUNT(H124:H135)=10,COUNT(F124:F135)=10),cubic_spline(F123:F133,H123:H133,B$12),IF(AND(COUNT(H124:H135)=11,COUNT(F124:F135)=11),cubic_spline(F123:F134,H123:H134,B$12),IF(AND(COUNT(H124:H135)=12,COUNT(F124:F135)=12),cubic_spline(F123:F135,H123:H135,B$12),""))))))))))))</f>
        <v/>
      </c>
      <c r="K132" s="52" t="str">
        <f>IF(N(B$12)=0,"",IF(AND(COUNT(A124:A135)=2,COUNT(F124:F135)=2),cubic_spline(F123:F125,A123:A125,B$12),IF(AND(COUNT(A124:A135)=3,COUNT(F124:F135)=3),cubic_spline(F123:F126,A123:A126,B$12),IF(AND(COUNT(A124:A135)=4,COUNT(F124:F135)=4),cubic_spline(F123:F127,A123:A127,B$12),IF(AND(COUNT(A124:A135)=5,COUNT(F124:F135)=5),cubic_spline(F123:F128,A123:A128,B$12),IF(AND(COUNT(A124:A135)=6,COUNT(F124:F135)=6),cubic_spline(F123:F129,A123:A129,B$12),IF(AND(COUNT(A124:A135)=7,COUNT(F124:F135)=7),cubic_spline(F123:F130,A123:A130,B$12),IF(AND(COUNT(A124:A135)=8,COUNT(F124:F135)=8),cubic_spline(F123:F131,A123:A131,B$12),IF(AND(COUNT(A124:A135)=9,COUNT(F124:F135)=9),cubic_spline(F123:F132,A123:A132,B$12),IF(AND(COUNT(A124:A135)=10,COUNT(F124:F135)=10),cubic_spline(F123:F133,A123:A133,B$12),IF(AND(COUNT(A124:A135)=11,COUNT(F124:F135)=11),cubic_spline(F123:F134,A123:A134,B$12),IF(AND(COUNT(A124:A135)=12,COUNT(F124:F135)=12),cubic_spline(F123:F135,A123:A135,B$12),""))))))))))))</f>
        <v/>
      </c>
      <c r="L132" s="27" t="str">
        <f>IF(I132="","",B$11&amp;"-"&amp;B$12)</f>
        <v/>
      </c>
      <c r="M132" s="52" t="str">
        <f t="shared" si="45"/>
        <v/>
      </c>
    </row>
    <row r="133" spans="1:13" x14ac:dyDescent="0.35">
      <c r="A133" s="48"/>
      <c r="B133" s="48"/>
      <c r="C133" s="49"/>
      <c r="D133" s="50"/>
      <c r="E133" s="51" t="str">
        <f t="shared" si="44"/>
        <v/>
      </c>
      <c r="F133" s="71" t="str">
        <f t="shared" si="41"/>
        <v/>
      </c>
      <c r="G133" s="69" t="str">
        <f t="shared" si="43"/>
        <v/>
      </c>
      <c r="H133" s="70" t="str">
        <f t="shared" si="42"/>
        <v/>
      </c>
      <c r="I133" s="27" t="str">
        <f>IF(N(J133)=0,"",0&amp;"-"&amp;B$13)</f>
        <v/>
      </c>
      <c r="J133" s="52" t="str">
        <f>IF(N(B$13)=0,"",IF(AND(COUNT(H124:H135)=2,COUNT(F124:F135)=2),cubic_spline(F123:F125,H123:H125,B$13),IF(AND(COUNT(H124:H135)=3,COUNT(F124:F135)=3),cubic_spline(F123:F126,H123:H126,B$13),IF(AND(COUNT(H124:H135)=4,COUNT(F124:F135)=4),cubic_spline(F123:F127,H123:H127,B$13),IF(AND(COUNT(H124:H135)=5,COUNT(F124:F135)=5),cubic_spline(F123:F128,H123:H128,B$13),IF(AND(COUNT(H124:H135)=6,COUNT(F124:F135)=6),cubic_spline(F123:F129,H123:H129,B$13),IF(AND(COUNT(H124:H135)=7,COUNT(F124:F135)=7),cubic_spline(F123:F130,H123:H130,B$13),IF(AND(COUNT(H124:H135)=8,COUNT(F124:F135)=8),cubic_spline(F123:F131,H123:H131,B$13),IF(AND(COUNT(H124:H135)=9,COUNT(F124:F135)=9),cubic_spline(F123:F132,H123:H132,B$13),IF(AND(COUNT(H124:H135)=10,COUNT(F124:F135)=10),cubic_spline(F123:F133,H123:H133,B$13),IF(AND(COUNT(H124:H135)=11,COUNT(F124:F135)=11),cubic_spline(F123:F134,H123:H134,B$13),IF(AND(COUNT(H124:H135)=12,COUNT(F124:F135)=12),cubic_spline(F123:F135,H123:H135,B$13),""))))))))))))</f>
        <v/>
      </c>
      <c r="K133" s="52" t="str">
        <f>IF(N(B$13)=0,"",IF(AND(COUNT(A124:A135)=2,COUNT(F124:F135)=2),cubic_spline(F123:F125,A123:A125,B$13),IF(AND(COUNT(A124:A135)=3,COUNT(F124:F135)=3),cubic_spline(F123:F126,A123:A126,B$13),IF(AND(COUNT(A124:A135)=4,COUNT(F124:F135)=4),cubic_spline(F123:F127,A123:A127,B$13),IF(AND(COUNT(A124:A135)=5,COUNT(F124:F135)=5),cubic_spline(F123:F128,A123:A128,B$13),IF(AND(COUNT(A124:A135)=6,COUNT(F124:F135)=6),cubic_spline(F123:F129,A123:A129,B$13),IF(AND(COUNT(A124:A135)=7,COUNT(F124:F135)=7),cubic_spline(F123:F130,A123:A130,B$13),IF(AND(COUNT(A124:A135)=8,COUNT(F124:F135)=8),cubic_spline(F123:F131,A123:A131,B$13),IF(AND(COUNT(A124:A135)=9,COUNT(F124:F135)=9),cubic_spline(F123:F132,A123:A132,B$13),IF(AND(COUNT(A124:A135)=10,COUNT(F124:F135)=10),cubic_spline(F123:F133,A123:A133,B$13),IF(AND(COUNT(A124:A135)=11,COUNT(F124:F135)=11),cubic_spline(F123:F134,A123:A134,B$13),IF(AND(COUNT(A124:A135)=12,COUNT(F124:F135)=12),cubic_spline(F123:F135,A123:A135,B$13),""))))))))))))</f>
        <v/>
      </c>
      <c r="L133" s="27" t="str">
        <f>IF(I133="","",B$12&amp;"-"&amp;B$13)</f>
        <v/>
      </c>
      <c r="M133" s="52" t="str">
        <f t="shared" si="45"/>
        <v/>
      </c>
    </row>
    <row r="134" spans="1:13" x14ac:dyDescent="0.35">
      <c r="A134" s="48"/>
      <c r="B134" s="48"/>
      <c r="C134" s="49"/>
      <c r="D134" s="50"/>
      <c r="E134" s="51" t="str">
        <f t="shared" si="44"/>
        <v/>
      </c>
      <c r="F134" s="71" t="str">
        <f t="shared" si="41"/>
        <v/>
      </c>
      <c r="G134" s="69" t="str">
        <f t="shared" si="43"/>
        <v/>
      </c>
      <c r="H134" s="70" t="str">
        <f t="shared" si="42"/>
        <v/>
      </c>
      <c r="I134" s="27" t="str">
        <f>IF(N(J134)=0,"",0&amp;"-"&amp;B$14)</f>
        <v/>
      </c>
      <c r="J134" s="52" t="str">
        <f>IF(N(B$14)=0,"",IF(AND(COUNT(H124:H135)=2,COUNT(F124:F135)=2),cubic_spline(F123:F125,H123:H125,B$14),IF(AND(COUNT(H124:H135)=3,COUNT(F124:F135)=3),cubic_spline(F123:F126,H123:H126,B$14),IF(AND(COUNT(H124:H135)=4,COUNT(F124:F135)=4),cubic_spline(F123:F127,H123:H127,B$14),IF(AND(COUNT(H124:H135)=5,COUNT(F124:F135)=5),cubic_spline(F123:F128,H123:H128,B$14),IF(AND(COUNT(H124:H135)=6,COUNT(F124:F135)=6),cubic_spline(F123:F129,H123:H129,B$14),IF(AND(COUNT(H124:H135)=7,COUNT(F124:F135)=7),cubic_spline(F123:F130,H123:H130,B$14),IF(AND(COUNT(H124:H135)=8,COUNT(F124:F135)=8),cubic_spline(F123:F131,H123:H131,B$14),IF(AND(COUNT(H124:H135)=9,COUNT(F124:F135)=9),cubic_spline(F123:F132,H123:H132,B$14),IF(AND(COUNT(H124:H135)=10,COUNT(F124:F135)=10),cubic_spline(F123:F133,H123:H133,B$14),IF(AND(COUNT(H124:H135)=11,COUNT(F124:F135)=11),cubic_spline(F123:F134,H123:H134,B$14),IF(AND(COUNT(H124:H135)=12,COUNT(F124:F135)=12),cubic_spline(F123:F135,H123:H135,B$14),""))))))))))))</f>
        <v/>
      </c>
      <c r="K134" s="52" t="str">
        <f>IF(N(B$14)=0,"",IF(AND(COUNT(A124:A135)=2,COUNT(F124:F135)=2),cubic_spline(F123:F125,A123:A125,B$14),IF(AND(COUNT(A124:A135)=3,COUNT(F124:F135)=3),cubic_spline(F123:F126,A123:A126,B$14),IF(AND(COUNT(A124:A135)=4,COUNT(F124:F135)=4),cubic_spline(F123:F127,A123:A127,B$14),IF(AND(COUNT(A124:A135)=5,COUNT(F124:F135)=5),cubic_spline(F123:F128,A123:A128,B$14),IF(AND(COUNT(A124:A135)=6,COUNT(F124:F135)=6),cubic_spline(F123:F129,A123:A129,B$14),IF(AND(COUNT(A124:A135)=7,COUNT(F124:F135)=7),cubic_spline(F123:F130,A123:A130,B$14),IF(AND(COUNT(A124:A135)=8,COUNT(F124:F135)=8),cubic_spline(F123:F131,A123:A131,B$14),IF(AND(COUNT(A124:A135)=9,COUNT(F124:F135)=9),cubic_spline(F123:F132,A123:A132,B$14),IF(AND(COUNT(A124:A135)=10,COUNT(F124:F135)=10),cubic_spline(F123:F133,A123:A133,B$14),IF(AND(COUNT(A124:A135)=11,COUNT(F124:F135)=11),cubic_spline(F123:F134,A123:A134,B$14),IF(AND(COUNT(A124:A135)=12,COUNT(F124:F135)=12),cubic_spline(F123:F135,A123:A135,B$14),""))))))))))))</f>
        <v/>
      </c>
      <c r="L134" s="27" t="str">
        <f>IF(I134="","",B$13&amp;"-"&amp;B$14)</f>
        <v/>
      </c>
      <c r="M134" s="52" t="str">
        <f t="shared" si="45"/>
        <v/>
      </c>
    </row>
    <row r="135" spans="1:13" x14ac:dyDescent="0.35">
      <c r="A135" s="48"/>
      <c r="B135" s="48"/>
      <c r="C135" s="49"/>
      <c r="D135" s="50"/>
      <c r="E135" s="51" t="str">
        <f t="shared" si="44"/>
        <v/>
      </c>
      <c r="F135" s="71" t="str">
        <f t="shared" si="41"/>
        <v/>
      </c>
      <c r="G135" s="69" t="str">
        <f t="shared" si="43"/>
        <v/>
      </c>
      <c r="H135" s="70" t="str">
        <f t="shared" si="42"/>
        <v/>
      </c>
      <c r="I135" s="27" t="str">
        <f>IF(N(J135)=0,"",0&amp;"-"&amp;B$15)</f>
        <v/>
      </c>
      <c r="J135" s="52" t="str">
        <f>IF(N(B$15)=0,"",IF(AND(COUNT(H124:H135)=2,COUNT(F124:F135)=2),cubic_spline(F123:F125,H123:H125,B$15),IF(AND(COUNT(H124:H135)=3,COUNT(F124:F135)=3),cubic_spline(F123:F126,H123:H126,B$15),IF(AND(COUNT(H124:H135)=4,COUNT(F124:F135)=4),cubic_spline(F123:F127,H123:H127,B$15),IF(AND(COUNT(H124:H135)=5,COUNT(F124:F135)=5),cubic_spline(F123:F128,H123:H128,B$15),IF(AND(COUNT(H124:H135)=6,COUNT(F124:F135)=6),cubic_spline(F123:F129,H123:H129,B$15),IF(AND(COUNT(H124:H135)=7,COUNT(F124:F135)=7),cubic_spline(F123:F130,H123:H130,B$15),IF(AND(COUNT(H124:H135)=8,COUNT(F124:F135)=8),cubic_spline(F123:F131,H123:H131,B$15),IF(AND(COUNT(H124:H135)=9,COUNT(F124:F135)=9),cubic_spline(F123:F132,H123:H132,B$15),IF(AND(COUNT(H124:H135)=10,COUNT(F124:F135)=10),cubic_spline(F123:F133,H123:H133,B$15),IF(AND(COUNT(H124:H135)=11,COUNT(F124:F135)=11),cubic_spline(F123:F134,H123:H134,B$15),IF(AND(COUNT(H124:H135)=12,COUNT(F124:F135)=12),cubic_spline(F123:F135,H123:H135,B$15),""))))))))))))</f>
        <v/>
      </c>
      <c r="K135" s="52" t="str">
        <f>IF(N(B$15)=0,"",IF(AND(COUNT(A124:A135)=2,COUNT(F124:F135)=2),cubic_spline(F123:F125,A123:A125,B$15),IF(AND(COUNT(A124:A135)=3,COUNT(F124:F135)=3),cubic_spline(F123:F126,A123:A126,B$15),IF(AND(COUNT(A124:A135)=4,COUNT(F124:F135)=4),cubic_spline(F123:F127,A123:A127,B$15),IF(AND(COUNT(A124:A135)=5,COUNT(F124:F135)=5),cubic_spline(F123:F128,A123:A128,B$15),IF(AND(COUNT(A124:A135)=6,COUNT(F124:F135)=6),cubic_spline(F123:F129,A123:A129,B$15),IF(AND(COUNT(A124:A135)=7,COUNT(F124:F135)=7),cubic_spline(F123:F130,A123:A130,B$15),IF(AND(COUNT(A124:A135)=8,COUNT(F124:F135)=8),cubic_spline(F123:F131,A123:A131,B$15),IF(AND(COUNT(A124:A135)=9,COUNT(F124:F135)=9),cubic_spline(F123:F132,A123:A132,B$15),IF(AND(COUNT(A124:A135)=10,COUNT(F124:F135)=10),cubic_spline(F123:F133,A123:A133,B$15),IF(AND(COUNT(A124:A135)=11,COUNT(F124:F135)=11),cubic_spline(F123:F134,A123:A134,B$15),IF(AND(COUNT(A124:A135)=12,COUNT(F124:F135)=12),cubic_spline(F123:F135,A123:A135,B$15),""))))))))))))</f>
        <v/>
      </c>
      <c r="L135" s="27" t="str">
        <f>IF(I135="","",B$14&amp;"-"&amp;B$15)</f>
        <v/>
      </c>
      <c r="M135" s="52" t="str">
        <f t="shared" si="45"/>
        <v/>
      </c>
    </row>
    <row r="136" spans="1:13" ht="5.15" customHeight="1" x14ac:dyDescent="0.35">
      <c r="A136" s="47"/>
      <c r="B136" s="47"/>
      <c r="C136" s="47"/>
      <c r="D136" s="53"/>
      <c r="E136" s="54"/>
      <c r="F136" s="55"/>
      <c r="G136" s="72"/>
      <c r="H136" s="73"/>
      <c r="I136" s="47"/>
      <c r="J136" s="57"/>
      <c r="K136" s="57"/>
      <c r="L136" s="55"/>
      <c r="M136" s="57"/>
    </row>
    <row r="137" spans="1:13" x14ac:dyDescent="0.35">
      <c r="A137" s="48"/>
      <c r="B137" s="48"/>
      <c r="C137" s="49"/>
      <c r="D137" s="50"/>
      <c r="E137" s="51" t="str">
        <f>IF(N(C137)=0,"",C137/PI()/($D$1/2)^2/$D$2*10000)</f>
        <v/>
      </c>
      <c r="F137" s="68" t="str">
        <f t="shared" ref="F137:F148" si="46">IF(N(E137)=0,"",(N(E137)+N(F136)))</f>
        <v/>
      </c>
      <c r="G137" s="69" t="str">
        <f>IF(OR(N(D137)=0,N(E137)=0),"",(E137*D137)/1000)</f>
        <v/>
      </c>
      <c r="H137" s="70" t="str">
        <f t="shared" ref="H137:H148" si="47">IF(N(G137)=0,"",(N(G137)+N(H136)))</f>
        <v/>
      </c>
      <c r="I137" s="27" t="str">
        <f>IF(N(J137)=0,"",0&amp;"-"&amp;B$4)</f>
        <v/>
      </c>
      <c r="J137" s="52" t="str">
        <f>IF(N(B$4)=0,"",IF(AND(COUNT(H137:H148)=2,COUNT(F137:F148)=2),cubic_spline(F136:F138,H136:H138,B$4),IF(AND(COUNT(H137:H148)=3,COUNT(F137:F148)=3),cubic_spline(F136:F139,H136:H139,B$4),IF(AND(COUNT(H137:H148)=4,COUNT(F137:F148)=4),cubic_spline(F136:F140,H136:H140,B$4),IF(AND(COUNT(H137:H148)=5,COUNT(F137:F148)=5),cubic_spline(F136:F141,H136:H141,B$4),IF(AND(COUNT(H137:H148)=6,COUNT(F137:F148)=6),cubic_spline(F136:F142,H136:H142,B$4),IF(AND(COUNT(H137:H148)=7,COUNT(F137:F148)=7),cubic_spline(F136:F143,H136:H143,B$4),IF(AND(COUNT(H137:H148)=8,COUNT(F137:F148)=8),cubic_spline(F136:F144,H136:H144,B$4),IF(AND(COUNT(H137:H148)=9,COUNT(F137:F148)=9),cubic_spline(F136:F145,H136:H145,B$4),IF(AND(COUNT(H137:H148)=10,COUNT(F137:F148)=10),cubic_spline(F136:F146,H136:H146,B$4),IF(AND(COUNT(H137:H148)=11,COUNT(F137:F148)=11),cubic_spline(F136:F147,H136:H147,B$4),IF(AND(COUNT(H137:H148)=12,COUNT(F137:F148)=12),cubic_spline(F136:F148,H136:H148,B$4),""))))))))))))</f>
        <v/>
      </c>
      <c r="K137" s="52" t="str">
        <f>IF(N(B$4)=0,"",IF(AND(COUNT(A137:A148)=2,COUNT(F137:F148)=2),cubic_spline(F136:F138,A136:A138,B$4),IF(AND(COUNT(A137:A148)=3,COUNT(F137:F148)=3),cubic_spline(F136:F139,A136:A139,B$4),IF(AND(COUNT(A137:A148)=4,COUNT(F137:F148)=4),cubic_spline(F136:F140,A136:A140,B$4),IF(AND(COUNT(A137:A148)=5,COUNT(F137:F148)=5),cubic_spline(F136:F141,A136:A141,B$4),IF(AND(COUNT(A137:A148)=6,COUNT(F137:F148)=6),cubic_spline(F136:F142,A136:A142,B$4),IF(AND(COUNT(A137:A148)=7,COUNT(F137:F148)=7),cubic_spline(F136:F143,A136:A143,B$4),IF(AND(COUNT(A137:A148)=8,COUNT(F137:F148)=8),cubic_spline(F136:F144,A136:A144,B$4),IF(AND(COUNT(A137:A148)=9,COUNT(F137:F148)=9),cubic_spline(F136:F145,A136:A145,B$4),IF(AND(COUNT(A137:A148)=10,COUNT(F137:F148)=10),cubic_spline(F136:F146,A136:A146,B$4),IF(AND(COUNT(A137:A148)=11,COUNT(F137:F148)=11),cubic_spline(F136:F147,A136:A147,B$4),IF(AND(COUNT(A137:A148)=12,COUNT(F137:F148)=12),cubic_spline(F136:F148,A136:A148,B$4),""))))))))))))</f>
        <v/>
      </c>
      <c r="L137" s="27" t="str">
        <f>IF(I137="","",0&amp;"-"&amp;B$4)</f>
        <v/>
      </c>
      <c r="M137" s="52" t="str">
        <f>IF(N(J137)=0,"",J137-J136)</f>
        <v/>
      </c>
    </row>
    <row r="138" spans="1:13" x14ac:dyDescent="0.35">
      <c r="A138" s="48"/>
      <c r="B138" s="48"/>
      <c r="C138" s="49"/>
      <c r="D138" s="50"/>
      <c r="E138" s="51" t="str">
        <f>IF(N(C138)=0,"",C138/PI()/($D$1/2)^2/$D$2*10000)</f>
        <v/>
      </c>
      <c r="F138" s="68" t="str">
        <f t="shared" si="46"/>
        <v/>
      </c>
      <c r="G138" s="69" t="str">
        <f t="shared" ref="G138:G148" si="48">IF(OR(N(D138)=0,N(E138)=0),"",(E138*D138)/1000)</f>
        <v/>
      </c>
      <c r="H138" s="70" t="str">
        <f t="shared" si="47"/>
        <v/>
      </c>
      <c r="I138" s="27" t="str">
        <f>IF(N(J138)=0,"",0&amp;"-"&amp;B$5)</f>
        <v/>
      </c>
      <c r="J138" s="52" t="str">
        <f>IF(N(B$5)=0,"",IF(AND(COUNT(H137:H148)=2,COUNT(F137:F148)=2),cubic_spline(F136:F138,H136:H138,B$5),IF(AND(COUNT(H137:H148)=3,COUNT(F137:F148)=3),cubic_spline(F136:F139,H136:H139,B$5),IF(AND(COUNT(H137:H148)=4,COUNT(F137:F148)=4),cubic_spline(F136:F140,H136:H140,B$5),IF(AND(COUNT(H137:H148)=5,COUNT(F137:F148)=5),cubic_spline(F136:F141,H136:H141,B$5),IF(AND(COUNT(H137:H148)=6,COUNT(F137:F148)=6),cubic_spline(F136:F142,H136:H142,B$5),IF(AND(COUNT(H137:H148)=7,COUNT(F137:F148)=7),cubic_spline(F136:F143,H136:H143,B$5),IF(AND(COUNT(H137:H148)=8,COUNT(F137:F148)=8),cubic_spline(F136:F144,H136:H144,B$5),IF(AND(COUNT(H137:H148)=9,COUNT(F137:F148)=9),cubic_spline(F136:F145,H136:H145,B$5),IF(AND(COUNT(H137:H148)=10,COUNT(F137:F148)=10),cubic_spline(F136:F146,H136:H146,B$5),IF(AND(COUNT(H137:H148)=11,COUNT(F137:F148)=11),cubic_spline(F136:F147,H136:H147,B$5),IF(AND(COUNT(H137:H148)=12,COUNT(F137:F148)=12),cubic_spline(F136:F148,H136:H148,B$5),""))))))))))))</f>
        <v/>
      </c>
      <c r="K138" s="52" t="str">
        <f>IF(N(B$5)=0,"",IF(AND(COUNT(A137:A148)=2,COUNT(F137:F148)=2),cubic_spline(F136:F138,A136:A138,B$5),IF(AND(COUNT(A137:A148)=3,COUNT(F137:F148)=3),cubic_spline(F136:F139,A136:A139,B$5),IF(AND(COUNT(A137:A148)=4,COUNT(F137:F148)=4),cubic_spline(F136:F140,A136:A140,B$5),IF(AND(COUNT(A137:A148)=5,COUNT(F137:F148)=5),cubic_spline(F136:F141,A136:A141,B$5),IF(AND(COUNT(A137:A148)=6,COUNT(F137:F148)=6),cubic_spline(F136:F142,A136:A142,B$5),IF(AND(COUNT(A137:A148)=7,COUNT(F137:F148)=7),cubic_spline(F136:F143,A136:A143,B$5),IF(AND(COUNT(A137:A148)=8,COUNT(F137:F148)=8),cubic_spline(F136:F144,A136:A144,B$5),IF(AND(COUNT(A137:A148)=9,COUNT(F137:F148)=9),cubic_spline(F136:F145,A136:A145,B$5),IF(AND(COUNT(A137:A148)=10,COUNT(F137:F148)=10),cubic_spline(F136:F146,A136:A146,B$5),IF(AND(COUNT(A137:A148)=11,COUNT(F137:F148)=11),cubic_spline(F136:F147,A136:A147,B$5),IF(AND(COUNT(A137:A148)=12,COUNT(F137:F148)=12),cubic_spline(F136:F148,A136:A148,B$5),""))))))))))))</f>
        <v/>
      </c>
      <c r="L138" s="27" t="str">
        <f>IF(I138="","",B$4&amp;"-"&amp;B$5)</f>
        <v/>
      </c>
      <c r="M138" s="52" t="str">
        <f>IF(N(J138)=0,"",J138-J137)</f>
        <v/>
      </c>
    </row>
    <row r="139" spans="1:13" x14ac:dyDescent="0.35">
      <c r="A139" s="48"/>
      <c r="B139" s="48"/>
      <c r="C139" s="49"/>
      <c r="D139" s="50"/>
      <c r="E139" s="51" t="str">
        <f>IF(N(C139)=0,"",C139/PI()/($D$1/2)^2/$D$2*10000)</f>
        <v/>
      </c>
      <c r="F139" s="68" t="str">
        <f t="shared" si="46"/>
        <v/>
      </c>
      <c r="G139" s="69" t="str">
        <f t="shared" si="48"/>
        <v/>
      </c>
      <c r="H139" s="70" t="str">
        <f t="shared" si="47"/>
        <v/>
      </c>
      <c r="I139" s="27" t="str">
        <f>IF(N(J139)=0,"",0&amp;"-"&amp;B$6)</f>
        <v/>
      </c>
      <c r="J139" s="52" t="str">
        <f>IF(N(B$6)=0,"",IF(AND(COUNT(H137:H148)=2,COUNT(F137:F148)=2),cubic_spline(F136:F138,H136:H138,B$6),IF(AND(COUNT(H137:H148)=3,COUNT(F137:F148)=3),cubic_spline(F136:F139,H136:H139,B$6),IF(AND(COUNT(H137:H148)=4,COUNT(F137:F148)=4),cubic_spline(F136:F140,H136:H140,B$6),IF(AND(COUNT(H137:H148)=5,COUNT(F137:F148)=5),cubic_spline(F136:F141,H136:H141,B$6),IF(AND(COUNT(H137:H148)=6,COUNT(F137:F148)=6),cubic_spline(F136:F142,H136:H142,B$6),IF(AND(COUNT(H137:H148)=7,COUNT(F137:F148)=7),cubic_spline(F136:F143,H136:H143,B$6),IF(AND(COUNT(H137:H148)=8,COUNT(F137:F148)=8),cubic_spline(F136:F144,H136:H144,B$6),IF(AND(COUNT(H137:H148)=9,COUNT(F137:F148)=9),cubic_spline(F136:F145,H136:H145,B$6),IF(AND(COUNT(H137:H148)=10,COUNT(F137:F148)=10),cubic_spline(F136:F146,H136:H146,B$6),IF(AND(COUNT(H137:H148)=11,COUNT(F137:F148)=11),cubic_spline(F136:F147,H136:H147,B$6),IF(AND(COUNT(H137:H148)=12,COUNT(F137:F148)=12),cubic_spline(F136:F148,H136:H148,B$6),""))))))))))))</f>
        <v/>
      </c>
      <c r="K139" s="52" t="str">
        <f>IF(N(B$6)=0,"",IF(AND(COUNT(A137:A148)=2,COUNT(F137:F148)=2),cubic_spline(F136:F138,A136:A138,B$6),IF(AND(COUNT(A137:A148)=3,COUNT(F137:F148)=3),cubic_spline(F136:F139,A136:A139,B$6),IF(AND(COUNT(A137:A148)=4,COUNT(F137:F148)=4),cubic_spline(F136:F140,A136:A140,B$6),IF(AND(COUNT(A137:A148)=5,COUNT(F137:F148)=5),cubic_spline(F136:F141,A136:A141,B$6),IF(AND(COUNT(A137:A148)=6,COUNT(F137:F148)=6),cubic_spline(F136:F142,A136:A142,B$6),IF(AND(COUNT(A137:A148)=7,COUNT(F137:F148)=7),cubic_spline(F136:F143,A136:A143,B$6),IF(AND(COUNT(A137:A148)=8,COUNT(F137:F148)=8),cubic_spline(F136:F144,A136:A144,B$6),IF(AND(COUNT(A137:A148)=9,COUNT(F137:F148)=9),cubic_spline(F136:F145,A136:A145,B$6),IF(AND(COUNT(A137:A148)=10,COUNT(F137:F148)=10),cubic_spline(F136:F146,A136:A146,B$6),IF(AND(COUNT(A137:A148)=11,COUNT(F137:F148)=11),cubic_spline(F136:F147,A136:A147,B$6),IF(AND(COUNT(A137:A148)=12,COUNT(F137:F148)=12),cubic_spline(F136:F148,A136:A148,B$6),""))))))))))))</f>
        <v/>
      </c>
      <c r="L139" s="27" t="str">
        <f>IF(I139="","",B$5&amp;"-"&amp;B$6)</f>
        <v/>
      </c>
      <c r="M139" s="52" t="str">
        <f>IF(N(J139)=0,"",J139-J138)</f>
        <v/>
      </c>
    </row>
    <row r="140" spans="1:13" x14ac:dyDescent="0.35">
      <c r="A140" s="48"/>
      <c r="B140" s="48"/>
      <c r="C140" s="49"/>
      <c r="D140" s="50"/>
      <c r="E140" s="51" t="str">
        <f>IF(N(C140)=0,"",C140/PI()/($D$1/2)^2/$D$2*10000)</f>
        <v/>
      </c>
      <c r="F140" s="68" t="str">
        <f t="shared" si="46"/>
        <v/>
      </c>
      <c r="G140" s="69" t="str">
        <f t="shared" si="48"/>
        <v/>
      </c>
      <c r="H140" s="70" t="str">
        <f t="shared" si="47"/>
        <v/>
      </c>
      <c r="I140" s="27" t="str">
        <f>IF(N(J140)=0,"",0&amp;"-"&amp;B$7)</f>
        <v/>
      </c>
      <c r="J140" s="52" t="str">
        <f>IF(N(B$7)=0,"",IF(AND(COUNT(H137:H148)=2,COUNT(F137:F148)=2),cubic_spline(F136:F138,H136:H138,B$7),IF(AND(COUNT(H137:H148)=3,COUNT(F137:F148)=3),cubic_spline(F136:F139,H136:H139,B$7),IF(AND(COUNT(H137:H148)=4,COUNT(F137:F148)=4),cubic_spline(F136:F140,H136:H140,B$7),IF(AND(COUNT(H137:H148)=5,COUNT(F137:F148)=5),cubic_spline(F136:F141,H136:H141,B$7),IF(AND(COUNT(H137:H148)=6,COUNT(F137:F148)=6),cubic_spline(F136:F142,H136:H142,B$7),IF(AND(COUNT(H137:H148)=7,COUNT(F137:F148)=7),cubic_spline(F136:F143,H136:H143,B$7),IF(AND(COUNT(H137:H148)=8,COUNT(F137:F148)=8),cubic_spline(F136:F144,H136:H144,B$7),IF(AND(COUNT(H137:H148)=9,COUNT(F137:F148)=9),cubic_spline(F136:F145,H136:H145,B$7),IF(AND(COUNT(H137:H148)=10,COUNT(F137:F148)=10),cubic_spline(F136:F146,H136:H146,B$7),IF(AND(COUNT(H137:H148)=11,COUNT(F137:F148)=11),cubic_spline(F136:F147,H136:H147,B$7),IF(AND(COUNT(H137:H148)=12,COUNT(F137:F148)=12),cubic_spline(F136:F148,H136:H148,B$7),""))))))))))))</f>
        <v/>
      </c>
      <c r="K140" s="52" t="str">
        <f>IF(N(B$7)=0,"",IF(AND(COUNT(A137:A148)=2,COUNT(F137:F148)=2),cubic_spline(F136:F138,A136:A138,B$7),IF(AND(COUNT(A137:A148)=3,COUNT(F137:F148)=3),cubic_spline(F136:F139,A136:A139,B$7),IF(AND(COUNT(A137:A148)=4,COUNT(F137:F148)=4),cubic_spline(F136:F140,A136:A140,B$7),IF(AND(COUNT(A137:A148)=5,COUNT(F137:F148)=5),cubic_spline(F136:F141,A136:A141,B$7),IF(AND(COUNT(A137:A148)=6,COUNT(F137:F148)=6),cubic_spline(F136:F142,A136:A142,B$7),IF(AND(COUNT(A137:A148)=7,COUNT(F137:F148)=7),cubic_spline(F136:F143,A136:A143,B$7),IF(AND(COUNT(A137:A148)=8,COUNT(F137:F148)=8),cubic_spline(F136:F144,A136:A144,B$7),IF(AND(COUNT(A137:A148)=9,COUNT(F137:F148)=9),cubic_spline(F136:F145,A136:A145,B$7),IF(AND(COUNT(A137:A148)=10,COUNT(F137:F148)=10),cubic_spline(F136:F146,A136:A146,B$7),IF(AND(COUNT(A137:A148)=11,COUNT(F137:F148)=11),cubic_spline(F136:F147,A136:A147,B$7),IF(AND(COUNT(A137:A148)=12,COUNT(F137:F148)=12),cubic_spline(F136:F148,A136:A148,B$7),""))))))))))))</f>
        <v/>
      </c>
      <c r="L140" s="27" t="str">
        <f>IF(I140="","",B$6&amp;"-"&amp;B$7)</f>
        <v/>
      </c>
      <c r="M140" s="52" t="str">
        <f>IF(N(J140)=0,"",J140-J139)</f>
        <v/>
      </c>
    </row>
    <row r="141" spans="1:13" x14ac:dyDescent="0.35">
      <c r="A141" s="48"/>
      <c r="B141" s="48"/>
      <c r="C141" s="49"/>
      <c r="D141" s="50"/>
      <c r="E141" s="51" t="str">
        <f t="shared" ref="E141:E148" si="49">IF(N(C141)=0,"",C141/PI()/($D$1/2)^2/$D$2*10000)</f>
        <v/>
      </c>
      <c r="F141" s="71" t="str">
        <f t="shared" si="46"/>
        <v/>
      </c>
      <c r="G141" s="69" t="str">
        <f t="shared" si="48"/>
        <v/>
      </c>
      <c r="H141" s="70" t="str">
        <f t="shared" si="47"/>
        <v/>
      </c>
      <c r="I141" s="27" t="str">
        <f>IF(N(J141)=0,"",0&amp;"-"&amp;B$8)</f>
        <v/>
      </c>
      <c r="J141" s="52" t="str">
        <f>IF(N(B$8)=0,"",IF(AND(COUNT(H137:H148)=2,COUNT(F137:F148)=2),cubic_spline(F136:F138,H136:H138,B$8),IF(AND(COUNT(H137:H148)=3,COUNT(F137:F148)=3),cubic_spline(F136:F139,H136:H139,B$8),IF(AND(COUNT(H137:H148)=4,COUNT(F137:F148)=4),cubic_spline(F136:F140,H136:H140,B$8),IF(AND(COUNT(H137:H148)=5,COUNT(F137:F148)=5),cubic_spline(F136:F141,H136:H141,B$8),IF(AND(COUNT(H137:H148)=6,COUNT(F137:F148)=6),cubic_spline(F136:F142,H136:H142,B$8),IF(AND(COUNT(H137:H148)=7,COUNT(F137:F148)=7),cubic_spline(F136:F143,H136:H143,B$8),IF(AND(COUNT(H137:H148)=8,COUNT(F137:F148)=8),cubic_spline(F136:F144,H136:H144,B$8),IF(AND(COUNT(H137:H148)=9,COUNT(F137:F148)=9),cubic_spline(F136:F145,H136:H145,B$8),IF(AND(COUNT(H137:H148)=10,COUNT(F137:F148)=10),cubic_spline(F136:F146,H136:H146,B$8),IF(AND(COUNT(H137:H148)=11,COUNT(F137:F148)=11),cubic_spline(F136:F147,H136:H147,B$8),IF(AND(COUNT(H137:H148)=12,COUNT(F137:F148)=12),cubic_spline(F136:F148,H136:H148,B$8),""))))))))))))</f>
        <v/>
      </c>
      <c r="K141" s="52" t="str">
        <f>IF(N(B$8)=0,"",IF(AND(COUNT(A137:A148)=2,COUNT(F137:F148)=2),cubic_spline(F136:F138,A136:A138,B$8),IF(AND(COUNT(A137:A148)=3,COUNT(F137:F148)=3),cubic_spline(F136:F139,A136:A139,B$8),IF(AND(COUNT(A137:A148)=4,COUNT(F137:F148)=4),cubic_spline(F136:F140,A136:A140,B$8),IF(AND(COUNT(A137:A148)=5,COUNT(F137:F148)=5),cubic_spline(F136:F141,A136:A141,B$8),IF(AND(COUNT(A137:A148)=6,COUNT(F137:F148)=6),cubic_spline(F136:F142,A136:A142,B$8),IF(AND(COUNT(A137:A148)=7,COUNT(F137:F148)=7),cubic_spline(F136:F143,A136:A143,B$8),IF(AND(COUNT(A137:A148)=8,COUNT(F137:F148)=8),cubic_spline(F136:F144,A136:A144,B$8),IF(AND(COUNT(A137:A148)=9,COUNT(F137:F148)=9),cubic_spline(F136:F145,A136:A145,B$8),IF(AND(COUNT(A137:A148)=10,COUNT(F137:F148)=10),cubic_spline(F136:F146,A136:A146,B$8),IF(AND(COUNT(A137:A148)=11,COUNT(F137:F148)=11),cubic_spline(F136:F147,A136:A147,B$8),IF(AND(COUNT(A137:A148)=12,COUNT(F137:F148)=12),cubic_spline(F136:F148,A136:A148,B$8),""))))))))))))</f>
        <v/>
      </c>
      <c r="L141" s="27" t="str">
        <f>IF(I141="","",B$7&amp;"-"&amp;B$8)</f>
        <v/>
      </c>
      <c r="M141" s="52" t="str">
        <f>IF(N(J141)=0,"",J141-J140)</f>
        <v/>
      </c>
    </row>
    <row r="142" spans="1:13" x14ac:dyDescent="0.35">
      <c r="A142" s="48"/>
      <c r="B142" s="48"/>
      <c r="C142" s="49"/>
      <c r="D142" s="50"/>
      <c r="E142" s="51" t="str">
        <f t="shared" si="49"/>
        <v/>
      </c>
      <c r="F142" s="71" t="str">
        <f t="shared" si="46"/>
        <v/>
      </c>
      <c r="G142" s="69" t="str">
        <f t="shared" si="48"/>
        <v/>
      </c>
      <c r="H142" s="70" t="str">
        <f t="shared" si="47"/>
        <v/>
      </c>
      <c r="I142" s="27" t="str">
        <f>IF(N(J142)=0,"",0&amp;"-"&amp;B$9)</f>
        <v/>
      </c>
      <c r="J142" s="52" t="str">
        <f>IF(N(B$9)=0,"",IF(AND(COUNT(H137:H148)=2,COUNT(F137:F148)=2),cubic_spline(F136:F138,H136:H138,B$9),IF(AND(COUNT(H137:H148)=3,COUNT(F137:F148)=3),cubic_spline(F136:F139,H136:H139,B$9),IF(AND(COUNT(H137:H148)=4,COUNT(F137:F148)=4),cubic_spline(F136:F140,H136:H140,B$9),IF(AND(COUNT(H137:H148)=5,COUNT(F137:F148)=5),cubic_spline(F136:F141,H136:H141,B$9),IF(AND(COUNT(H137:H148)=6,COUNT(F137:F148)=6),cubic_spline(F136:F142,H136:H142,B$9),IF(AND(COUNT(H137:H148)=7,COUNT(F137:F148)=7),cubic_spline(F136:F143,H136:H143,B$9),IF(AND(COUNT(H137:H148)=8,COUNT(F137:F148)=8),cubic_spline(F136:F144,H136:H144,B$9),IF(AND(COUNT(H137:H148)=9,COUNT(F137:F148)=9),cubic_spline(F136:F145,H136:H145,B$9),IF(AND(COUNT(H137:H148)=10,COUNT(F137:F148)=10),cubic_spline(F136:F146,H136:H146,B$9),IF(AND(COUNT(H137:H148)=11,COUNT(F137:F148)=11),cubic_spline(F136:F147,H136:H147,B$9),IF(AND(COUNT(H137:H148)=12,COUNT(F137:F148)=12),cubic_spline(F136:F148,H136:H148,B$9),""))))))))))))</f>
        <v/>
      </c>
      <c r="K142" s="52" t="str">
        <f>IF(N(B$9)=0,"",IF(AND(COUNT(A137:A148)=2,COUNT(F137:F148)=2),cubic_spline(F136:F138,A136:A138,B$9),IF(AND(COUNT(A137:A148)=3,COUNT(F137:F148)=3),cubic_spline(F136:F139,A136:A139,B$9),IF(AND(COUNT(A137:A148)=4,COUNT(F137:F148)=4),cubic_spline(F136:F140,A136:A140,B$9),IF(AND(COUNT(A137:A148)=5,COUNT(F137:F148)=5),cubic_spline(F136:F141,A136:A141,B$9),IF(AND(COUNT(A137:A148)=6,COUNT(F137:F148)=6),cubic_spline(F136:F142,A136:A142,B$9),IF(AND(COUNT(A137:A148)=7,COUNT(F137:F148)=7),cubic_spline(F136:F143,A136:A143,B$9),IF(AND(COUNT(A137:A148)=8,COUNT(F137:F148)=8),cubic_spline(F136:F144,A136:A144,B$9),IF(AND(COUNT(A137:A148)=9,COUNT(F137:F148)=9),cubic_spline(F136:F145,A136:A145,B$9),IF(AND(COUNT(A137:A148)=10,COUNT(F137:F148)=10),cubic_spline(F136:F146,A136:A146,B$9),IF(AND(COUNT(A137:A148)=11,COUNT(F137:F148)=11),cubic_spline(F136:F147,A136:A147,B$9),IF(AND(COUNT(A137:A148)=12,COUNT(F137:F148)=12),cubic_spline(F136:F148,A136:A148,B$9),""))))))))))))</f>
        <v/>
      </c>
      <c r="L142" s="27" t="str">
        <f>IF(I142="","",B$8&amp;"-"&amp;B$9)</f>
        <v/>
      </c>
      <c r="M142" s="52" t="str">
        <f t="shared" ref="M142:M148" si="50">IF(N(J142)=0,"",J142-J141)</f>
        <v/>
      </c>
    </row>
    <row r="143" spans="1:13" x14ac:dyDescent="0.35">
      <c r="A143" s="48"/>
      <c r="B143" s="48"/>
      <c r="C143" s="49"/>
      <c r="D143" s="50"/>
      <c r="E143" s="51" t="str">
        <f t="shared" si="49"/>
        <v/>
      </c>
      <c r="F143" s="71" t="str">
        <f t="shared" si="46"/>
        <v/>
      </c>
      <c r="G143" s="69" t="str">
        <f t="shared" si="48"/>
        <v/>
      </c>
      <c r="H143" s="70" t="str">
        <f t="shared" si="47"/>
        <v/>
      </c>
      <c r="I143" s="27" t="str">
        <f>IF(N(J143)=0,"",0&amp;"-"&amp;B$10)</f>
        <v/>
      </c>
      <c r="J143" s="52" t="str">
        <f>IF(N(B$10)=0,"",IF(AND(COUNT(H137:H148)=2,COUNT(F137:F148)=2),cubic_spline(F136:F138,H136:H138,B$10),IF(AND(COUNT(H137:H148)=3,COUNT(F137:F148)=3),cubic_spline(F136:F139,H136:H139,B$10),IF(AND(COUNT(H137:H148)=4,COUNT(F137:F148)=4),cubic_spline(F136:F140,H136:H140,B$10),IF(AND(COUNT(H137:H148)=5,COUNT(F137:F148)=5),cubic_spline(F136:F141,H136:H141,B$10),IF(AND(COUNT(H137:H148)=6,COUNT(F137:F148)=6),cubic_spline(F136:F142,H136:H142,B$10),IF(AND(COUNT(H137:H148)=7,COUNT(F137:F148)=7),cubic_spline(F136:F143,H136:H143,B$10),IF(AND(COUNT(H137:H148)=8,COUNT(F137:F148)=8),cubic_spline(F136:F144,H136:H144,B$10),IF(AND(COUNT(H137:H148)=9,COUNT(F137:F148)=9),cubic_spline(F136:F145,H136:H145,B$10),IF(AND(COUNT(H137:H148)=10,COUNT(F137:F148)=10),cubic_spline(F136:F146,H136:H146,B$10),IF(AND(COUNT(H137:H148)=11,COUNT(F137:F148)=11),cubic_spline(F136:F147,H136:H147,B$10),IF(AND(COUNT(H137:H148)=12,COUNT(F137:F148)=12),cubic_spline(F136:F148,H136:H148,B$10),""))))))))))))</f>
        <v/>
      </c>
      <c r="K143" s="52" t="str">
        <f>IF(N(B$10)=0,"",IF(AND(COUNT(A137:A148)=2,COUNT(F137:F148)=2),cubic_spline(F136:F138,A136:A138,B$10),IF(AND(COUNT(A137:A148)=3,COUNT(F137:F148)=3),cubic_spline(F136:F139,A136:A139,B$10),IF(AND(COUNT(A137:A148)=4,COUNT(F137:F148)=4),cubic_spline(F136:F140,A136:A140,B$10),IF(AND(COUNT(A137:A148)=5,COUNT(F137:F148)=5),cubic_spline(F136:F141,A136:A141,B$10),IF(AND(COUNT(A137:A148)=6,COUNT(F137:F148)=6),cubic_spline(F136:F142,A136:A142,B$10),IF(AND(COUNT(A137:A148)=7,COUNT(F137:F148)=7),cubic_spline(F136:F143,A136:A143,B$10),IF(AND(COUNT(A137:A148)=8,COUNT(F137:F148)=8),cubic_spline(F136:F144,A136:A144,B$10),IF(AND(COUNT(A137:A148)=9,COUNT(F137:F148)=9),cubic_spline(F136:F145,A136:A145,B$10),IF(AND(COUNT(A137:A148)=10,COUNT(F137:F148)=10),cubic_spline(F136:F146,A136:A146,B$10),IF(AND(COUNT(A137:A148)=11,COUNT(F137:F148)=11),cubic_spline(F136:F147,A136:A147,B$10),IF(AND(COUNT(A137:A148)=12,COUNT(F137:F148)=12),cubic_spline(F136:F148,A136:A148,B$10),""))))))))))))</f>
        <v/>
      </c>
      <c r="L143" s="27" t="str">
        <f>IF(I143="","",B$9&amp;"-"&amp;B$10)</f>
        <v/>
      </c>
      <c r="M143" s="52" t="str">
        <f t="shared" si="50"/>
        <v/>
      </c>
    </row>
    <row r="144" spans="1:13" x14ac:dyDescent="0.35">
      <c r="A144" s="48"/>
      <c r="B144" s="48"/>
      <c r="C144" s="49"/>
      <c r="D144" s="50"/>
      <c r="E144" s="51" t="str">
        <f t="shared" si="49"/>
        <v/>
      </c>
      <c r="F144" s="71" t="str">
        <f t="shared" si="46"/>
        <v/>
      </c>
      <c r="G144" s="69" t="str">
        <f t="shared" si="48"/>
        <v/>
      </c>
      <c r="H144" s="70" t="str">
        <f t="shared" si="47"/>
        <v/>
      </c>
      <c r="I144" s="27" t="str">
        <f>IF(N(J144)=0,"",0&amp;"-"&amp;B$11)</f>
        <v/>
      </c>
      <c r="J144" s="52" t="str">
        <f>IF(N(B$11)=0,"",IF(AND(COUNT(H137:H148)=2,COUNT(F137:F148)=2),cubic_spline(F136:F138,H136:H138,B$11),IF(AND(COUNT(H137:H148)=3,COUNT(F137:F148)=3),cubic_spline(F136:F139,H136:H139,B$11),IF(AND(COUNT(H137:H148)=4,COUNT(F137:F148)=4),cubic_spline(F136:F140,H136:H140,B$11),IF(AND(COUNT(H137:H148)=5,COUNT(F137:F148)=5),cubic_spline(F136:F141,H136:H141,B$11),IF(AND(COUNT(H137:H148)=6,COUNT(F137:F148)=6),cubic_spline(F136:F142,H136:H142,B$11),IF(AND(COUNT(H137:H148)=7,COUNT(F137:F148)=7),cubic_spline(F136:F143,H136:H143,B$11),IF(AND(COUNT(H137:H148)=8,COUNT(F137:F148)=8),cubic_spline(F136:F144,H136:H144,B$11),IF(AND(COUNT(H137:H148)=9,COUNT(F137:F148)=9),cubic_spline(F136:F145,H136:H145,B$11),IF(AND(COUNT(H137:H148)=10,COUNT(F137:F148)=10),cubic_spline(F136:F146,H136:H146,B$11),IF(AND(COUNT(H137:H148)=11,COUNT(F137:F148)=11),cubic_spline(F136:F147,H136:H147,B$11),IF(AND(COUNT(H137:H148)=12,COUNT(F137:F148)=12),cubic_spline(F136:F148,H136:H148,B$11),""))))))))))))</f>
        <v/>
      </c>
      <c r="K144" s="52" t="str">
        <f>IF(N(B$11)=0,"",IF(AND(COUNT(A137:A148)=2,COUNT(F137:F148)=2),cubic_spline(F136:F138,A136:A138,B$11),IF(AND(COUNT(A137:A148)=3,COUNT(F137:F148)=3),cubic_spline(F136:F139,A136:A139,B$11),IF(AND(COUNT(A137:A148)=4,COUNT(F137:F148)=4),cubic_spline(F136:F140,A136:A140,B$11),IF(AND(COUNT(A137:A148)=5,COUNT(F137:F148)=5),cubic_spline(F136:F141,A136:A141,B$11),IF(AND(COUNT(A137:A148)=6,COUNT(F137:F148)=6),cubic_spline(F136:F142,A136:A142,B$11),IF(AND(COUNT(A137:A148)=7,COUNT(F137:F148)=7),cubic_spline(F136:F143,A136:A143,B$11),IF(AND(COUNT(A137:A148)=8,COUNT(F137:F148)=8),cubic_spline(F136:F144,A136:A144,B$11),IF(AND(COUNT(A137:A148)=9,COUNT(F137:F148)=9),cubic_spline(F136:F145,A136:A145,B$11),IF(AND(COUNT(A137:A148)=10,COUNT(F137:F148)=10),cubic_spline(F136:F146,A136:A146,B$11),IF(AND(COUNT(A137:A148)=11,COUNT(F137:F148)=11),cubic_spline(F136:F147,A136:A147,B$11),IF(AND(COUNT(A137:A148)=12,COUNT(F137:F148)=12),cubic_spline(F136:F148,A136:A148,B$11),""))))))))))))</f>
        <v/>
      </c>
      <c r="L144" s="27" t="str">
        <f>IF(I144="","",B$10&amp;"-"&amp;B$11)</f>
        <v/>
      </c>
      <c r="M144" s="52" t="str">
        <f t="shared" si="50"/>
        <v/>
      </c>
    </row>
    <row r="145" spans="1:13" x14ac:dyDescent="0.35">
      <c r="A145" s="48"/>
      <c r="B145" s="48"/>
      <c r="C145" s="49"/>
      <c r="D145" s="50"/>
      <c r="E145" s="51" t="str">
        <f t="shared" si="49"/>
        <v/>
      </c>
      <c r="F145" s="71" t="str">
        <f t="shared" si="46"/>
        <v/>
      </c>
      <c r="G145" s="69" t="str">
        <f t="shared" si="48"/>
        <v/>
      </c>
      <c r="H145" s="70" t="str">
        <f t="shared" si="47"/>
        <v/>
      </c>
      <c r="I145" s="27" t="str">
        <f>IF(N(J145)=0,"",0&amp;"-"&amp;B$12)</f>
        <v/>
      </c>
      <c r="J145" s="52" t="str">
        <f>IF(N(B$12)=0,"",IF(AND(COUNT(H137:H148)=2,COUNT(F137:F148)=2),cubic_spline(F136:F138,H136:H138,B$12),IF(AND(COUNT(H137:H148)=3,COUNT(F137:F148)=3),cubic_spline(F136:F139,H136:H139,B$12),IF(AND(COUNT(H137:H148)=4,COUNT(F137:F148)=4),cubic_spline(F136:F140,H136:H140,B$12),IF(AND(COUNT(H137:H148)=5,COUNT(F137:F148)=5),cubic_spline(F136:F141,H136:H141,B$12),IF(AND(COUNT(H137:H148)=6,COUNT(F137:F148)=6),cubic_spline(F136:F142,H136:H142,B$12),IF(AND(COUNT(H137:H148)=7,COUNT(F137:F148)=7),cubic_spline(F136:F143,H136:H143,B$12),IF(AND(COUNT(H137:H148)=8,COUNT(F137:F148)=8),cubic_spline(F136:F144,H136:H144,B$12),IF(AND(COUNT(H137:H148)=9,COUNT(F137:F148)=9),cubic_spline(F136:F145,H136:H145,B$12),IF(AND(COUNT(H137:H148)=10,COUNT(F137:F148)=10),cubic_spline(F136:F146,H136:H146,B$12),IF(AND(COUNT(H137:H148)=11,COUNT(F137:F148)=11),cubic_spline(F136:F147,H136:H147,B$12),IF(AND(COUNT(H137:H148)=12,COUNT(F137:F148)=12),cubic_spline(F136:F148,H136:H148,B$12),""))))))))))))</f>
        <v/>
      </c>
      <c r="K145" s="52" t="str">
        <f>IF(N(B$12)=0,"",IF(AND(COUNT(A137:A148)=2,COUNT(F137:F148)=2),cubic_spline(F136:F138,A136:A138,B$12),IF(AND(COUNT(A137:A148)=3,COUNT(F137:F148)=3),cubic_spline(F136:F139,A136:A139,B$12),IF(AND(COUNT(A137:A148)=4,COUNT(F137:F148)=4),cubic_spline(F136:F140,A136:A140,B$12),IF(AND(COUNT(A137:A148)=5,COUNT(F137:F148)=5),cubic_spline(F136:F141,A136:A141,B$12),IF(AND(COUNT(A137:A148)=6,COUNT(F137:F148)=6),cubic_spline(F136:F142,A136:A142,B$12),IF(AND(COUNT(A137:A148)=7,COUNT(F137:F148)=7),cubic_spline(F136:F143,A136:A143,B$12),IF(AND(COUNT(A137:A148)=8,COUNT(F137:F148)=8),cubic_spline(F136:F144,A136:A144,B$12),IF(AND(COUNT(A137:A148)=9,COUNT(F137:F148)=9),cubic_spline(F136:F145,A136:A145,B$12),IF(AND(COUNT(A137:A148)=10,COUNT(F137:F148)=10),cubic_spline(F136:F146,A136:A146,B$12),IF(AND(COUNT(A137:A148)=11,COUNT(F137:F148)=11),cubic_spline(F136:F147,A136:A147,B$12),IF(AND(COUNT(A137:A148)=12,COUNT(F137:F148)=12),cubic_spline(F136:F148,A136:A148,B$12),""))))))))))))</f>
        <v/>
      </c>
      <c r="L145" s="27" t="str">
        <f>IF(I145="","",B$11&amp;"-"&amp;B$12)</f>
        <v/>
      </c>
      <c r="M145" s="52" t="str">
        <f t="shared" si="50"/>
        <v/>
      </c>
    </row>
    <row r="146" spans="1:13" x14ac:dyDescent="0.35">
      <c r="A146" s="48"/>
      <c r="B146" s="48"/>
      <c r="C146" s="49"/>
      <c r="D146" s="50"/>
      <c r="E146" s="51" t="str">
        <f t="shared" si="49"/>
        <v/>
      </c>
      <c r="F146" s="71" t="str">
        <f t="shared" si="46"/>
        <v/>
      </c>
      <c r="G146" s="69" t="str">
        <f t="shared" si="48"/>
        <v/>
      </c>
      <c r="H146" s="70" t="str">
        <f t="shared" si="47"/>
        <v/>
      </c>
      <c r="I146" s="27" t="str">
        <f>IF(N(J146)=0,"",0&amp;"-"&amp;B$13)</f>
        <v/>
      </c>
      <c r="J146" s="52" t="str">
        <f>IF(N(B$13)=0,"",IF(AND(COUNT(H137:H148)=2,COUNT(F137:F148)=2),cubic_spline(F136:F138,H136:H138,B$13),IF(AND(COUNT(H137:H148)=3,COUNT(F137:F148)=3),cubic_spline(F136:F139,H136:H139,B$13),IF(AND(COUNT(H137:H148)=4,COUNT(F137:F148)=4),cubic_spline(F136:F140,H136:H140,B$13),IF(AND(COUNT(H137:H148)=5,COUNT(F137:F148)=5),cubic_spline(F136:F141,H136:H141,B$13),IF(AND(COUNT(H137:H148)=6,COUNT(F137:F148)=6),cubic_spline(F136:F142,H136:H142,B$13),IF(AND(COUNT(H137:H148)=7,COUNT(F137:F148)=7),cubic_spline(F136:F143,H136:H143,B$13),IF(AND(COUNT(H137:H148)=8,COUNT(F137:F148)=8),cubic_spline(F136:F144,H136:H144,B$13),IF(AND(COUNT(H137:H148)=9,COUNT(F137:F148)=9),cubic_spline(F136:F145,H136:H145,B$13),IF(AND(COUNT(H137:H148)=10,COUNT(F137:F148)=10),cubic_spline(F136:F146,H136:H146,B$13),IF(AND(COUNT(H137:H148)=11,COUNT(F137:F148)=11),cubic_spline(F136:F147,H136:H147,B$13),IF(AND(COUNT(H137:H148)=12,COUNT(F137:F148)=12),cubic_spline(F136:F148,H136:H148,B$13),""))))))))))))</f>
        <v/>
      </c>
      <c r="K146" s="52" t="str">
        <f>IF(N(B$13)=0,"",IF(AND(COUNT(A137:A148)=2,COUNT(F137:F148)=2),cubic_spline(F136:F138,A136:A138,B$13),IF(AND(COUNT(A137:A148)=3,COUNT(F137:F148)=3),cubic_spline(F136:F139,A136:A139,B$13),IF(AND(COUNT(A137:A148)=4,COUNT(F137:F148)=4),cubic_spline(F136:F140,A136:A140,B$13),IF(AND(COUNT(A137:A148)=5,COUNT(F137:F148)=5),cubic_spline(F136:F141,A136:A141,B$13),IF(AND(COUNT(A137:A148)=6,COUNT(F137:F148)=6),cubic_spline(F136:F142,A136:A142,B$13),IF(AND(COUNT(A137:A148)=7,COUNT(F137:F148)=7),cubic_spline(F136:F143,A136:A143,B$13),IF(AND(COUNT(A137:A148)=8,COUNT(F137:F148)=8),cubic_spline(F136:F144,A136:A144,B$13),IF(AND(COUNT(A137:A148)=9,COUNT(F137:F148)=9),cubic_spline(F136:F145,A136:A145,B$13),IF(AND(COUNT(A137:A148)=10,COUNT(F137:F148)=10),cubic_spline(F136:F146,A136:A146,B$13),IF(AND(COUNT(A137:A148)=11,COUNT(F137:F148)=11),cubic_spline(F136:F147,A136:A147,B$13),IF(AND(COUNT(A137:A148)=12,COUNT(F137:F148)=12),cubic_spline(F136:F148,A136:A148,B$13),""))))))))))))</f>
        <v/>
      </c>
      <c r="L146" s="27" t="str">
        <f>IF(I146="","",B$12&amp;"-"&amp;B$13)</f>
        <v/>
      </c>
      <c r="M146" s="52" t="str">
        <f t="shared" si="50"/>
        <v/>
      </c>
    </row>
    <row r="147" spans="1:13" x14ac:dyDescent="0.35">
      <c r="A147" s="48"/>
      <c r="B147" s="48"/>
      <c r="C147" s="49"/>
      <c r="D147" s="50"/>
      <c r="E147" s="51" t="str">
        <f t="shared" si="49"/>
        <v/>
      </c>
      <c r="F147" s="71" t="str">
        <f t="shared" si="46"/>
        <v/>
      </c>
      <c r="G147" s="69" t="str">
        <f t="shared" si="48"/>
        <v/>
      </c>
      <c r="H147" s="70" t="str">
        <f t="shared" si="47"/>
        <v/>
      </c>
      <c r="I147" s="27" t="str">
        <f>IF(N(J147)=0,"",0&amp;"-"&amp;B$14)</f>
        <v/>
      </c>
      <c r="J147" s="52" t="str">
        <f>IF(N(B$14)=0,"",IF(AND(COUNT(H137:H148)=2,COUNT(F137:F148)=2),cubic_spline(F136:F138,H136:H138,B$14),IF(AND(COUNT(H137:H148)=3,COUNT(F137:F148)=3),cubic_spline(F136:F139,H136:H139,B$14),IF(AND(COUNT(H137:H148)=4,COUNT(F137:F148)=4),cubic_spline(F136:F140,H136:H140,B$14),IF(AND(COUNT(H137:H148)=5,COUNT(F137:F148)=5),cubic_spline(F136:F141,H136:H141,B$14),IF(AND(COUNT(H137:H148)=6,COUNT(F137:F148)=6),cubic_spline(F136:F142,H136:H142,B$14),IF(AND(COUNT(H137:H148)=7,COUNT(F137:F148)=7),cubic_spline(F136:F143,H136:H143,B$14),IF(AND(COUNT(H137:H148)=8,COUNT(F137:F148)=8),cubic_spline(F136:F144,H136:H144,B$14),IF(AND(COUNT(H137:H148)=9,COUNT(F137:F148)=9),cubic_spline(F136:F145,H136:H145,B$14),IF(AND(COUNT(H137:H148)=10,COUNT(F137:F148)=10),cubic_spline(F136:F146,H136:H146,B$14),IF(AND(COUNT(H137:H148)=11,COUNT(F137:F148)=11),cubic_spline(F136:F147,H136:H147,B$14),IF(AND(COUNT(H137:H148)=12,COUNT(F137:F148)=12),cubic_spline(F136:F148,H136:H148,B$14),""))))))))))))</f>
        <v/>
      </c>
      <c r="K147" s="52" t="str">
        <f>IF(N(B$14)=0,"",IF(AND(COUNT(A137:A148)=2,COUNT(F137:F148)=2),cubic_spline(F136:F138,A136:A138,B$14),IF(AND(COUNT(A137:A148)=3,COUNT(F137:F148)=3),cubic_spline(F136:F139,A136:A139,B$14),IF(AND(COUNT(A137:A148)=4,COUNT(F137:F148)=4),cubic_spline(F136:F140,A136:A140,B$14),IF(AND(COUNT(A137:A148)=5,COUNT(F137:F148)=5),cubic_spline(F136:F141,A136:A141,B$14),IF(AND(COUNT(A137:A148)=6,COUNT(F137:F148)=6),cubic_spline(F136:F142,A136:A142,B$14),IF(AND(COUNT(A137:A148)=7,COUNT(F137:F148)=7),cubic_spline(F136:F143,A136:A143,B$14),IF(AND(COUNT(A137:A148)=8,COUNT(F137:F148)=8),cubic_spline(F136:F144,A136:A144,B$14),IF(AND(COUNT(A137:A148)=9,COUNT(F137:F148)=9),cubic_spline(F136:F145,A136:A145,B$14),IF(AND(COUNT(A137:A148)=10,COUNT(F137:F148)=10),cubic_spline(F136:F146,A136:A146,B$14),IF(AND(COUNT(A137:A148)=11,COUNT(F137:F148)=11),cubic_spline(F136:F147,A136:A147,B$14),IF(AND(COUNT(A137:A148)=12,COUNT(F137:F148)=12),cubic_spline(F136:F148,A136:A148,B$14),""))))))))))))</f>
        <v/>
      </c>
      <c r="L147" s="27" t="str">
        <f>IF(I147="","",B$13&amp;"-"&amp;B$14)</f>
        <v/>
      </c>
      <c r="M147" s="52" t="str">
        <f t="shared" si="50"/>
        <v/>
      </c>
    </row>
    <row r="148" spans="1:13" x14ac:dyDescent="0.35">
      <c r="A148" s="48"/>
      <c r="B148" s="48"/>
      <c r="C148" s="49"/>
      <c r="D148" s="50"/>
      <c r="E148" s="51" t="str">
        <f t="shared" si="49"/>
        <v/>
      </c>
      <c r="F148" s="71" t="str">
        <f t="shared" si="46"/>
        <v/>
      </c>
      <c r="G148" s="69" t="str">
        <f t="shared" si="48"/>
        <v/>
      </c>
      <c r="H148" s="70" t="str">
        <f t="shared" si="47"/>
        <v/>
      </c>
      <c r="I148" s="27" t="str">
        <f>IF(N(J148)=0,"",0&amp;"-"&amp;B$15)</f>
        <v/>
      </c>
      <c r="J148" s="52" t="str">
        <f>IF(N(B$15)=0,"",IF(AND(COUNT(H137:H148)=2,COUNT(F137:F148)=2),cubic_spline(F136:F138,H136:H138,B$15),IF(AND(COUNT(H137:H148)=3,COUNT(F137:F148)=3),cubic_spline(F136:F139,H136:H139,B$15),IF(AND(COUNT(H137:H148)=4,COUNT(F137:F148)=4),cubic_spline(F136:F140,H136:H140,B$15),IF(AND(COUNT(H137:H148)=5,COUNT(F137:F148)=5),cubic_spline(F136:F141,H136:H141,B$15),IF(AND(COUNT(H137:H148)=6,COUNT(F137:F148)=6),cubic_spline(F136:F142,H136:H142,B$15),IF(AND(COUNT(H137:H148)=7,COUNT(F137:F148)=7),cubic_spline(F136:F143,H136:H143,B$15),IF(AND(COUNT(H137:H148)=8,COUNT(F137:F148)=8),cubic_spline(F136:F144,H136:H144,B$15),IF(AND(COUNT(H137:H148)=9,COUNT(F137:F148)=9),cubic_spline(F136:F145,H136:H145,B$15),IF(AND(COUNT(H137:H148)=10,COUNT(F137:F148)=10),cubic_spline(F136:F146,H136:H146,B$15),IF(AND(COUNT(H137:H148)=11,COUNT(F137:F148)=11),cubic_spline(F136:F147,H136:H147,B$15),IF(AND(COUNT(H137:H148)=12,COUNT(F137:F148)=12),cubic_spline(F136:F148,H136:H148,B$15),""))))))))))))</f>
        <v/>
      </c>
      <c r="K148" s="52" t="str">
        <f>IF(N(B$15)=0,"",IF(AND(COUNT(A137:A148)=2,COUNT(F137:F148)=2),cubic_spline(F136:F138,A136:A138,B$15),IF(AND(COUNT(A137:A148)=3,COUNT(F137:F148)=3),cubic_spline(F136:F139,A136:A139,B$15),IF(AND(COUNT(A137:A148)=4,COUNT(F137:F148)=4),cubic_spline(F136:F140,A136:A140,B$15),IF(AND(COUNT(A137:A148)=5,COUNT(F137:F148)=5),cubic_spline(F136:F141,A136:A141,B$15),IF(AND(COUNT(A137:A148)=6,COUNT(F137:F148)=6),cubic_spline(F136:F142,A136:A142,B$15),IF(AND(COUNT(A137:A148)=7,COUNT(F137:F148)=7),cubic_spline(F136:F143,A136:A143,B$15),IF(AND(COUNT(A137:A148)=8,COUNT(F137:F148)=8),cubic_spline(F136:F144,A136:A144,B$15),IF(AND(COUNT(A137:A148)=9,COUNT(F137:F148)=9),cubic_spline(F136:F145,A136:A145,B$15),IF(AND(COUNT(A137:A148)=10,COUNT(F137:F148)=10),cubic_spline(F136:F146,A136:A146,B$15),IF(AND(COUNT(A137:A148)=11,COUNT(F137:F148)=11),cubic_spline(F136:F147,A136:A147,B$15),IF(AND(COUNT(A137:A148)=12,COUNT(F137:F148)=12),cubic_spline(F136:F148,A136:A148,B$15),""))))))))))))</f>
        <v/>
      </c>
      <c r="L148" s="27" t="str">
        <f>IF(I148="","",B$14&amp;"-"&amp;B$15)</f>
        <v/>
      </c>
      <c r="M148" s="52" t="str">
        <f t="shared" si="50"/>
        <v/>
      </c>
    </row>
    <row r="149" spans="1:13" ht="5.15" customHeight="1" x14ac:dyDescent="0.35">
      <c r="A149" s="47"/>
      <c r="B149" s="47"/>
      <c r="C149" s="47"/>
      <c r="D149" s="53"/>
      <c r="E149" s="54"/>
      <c r="F149" s="55"/>
      <c r="G149" s="72"/>
      <c r="H149" s="73"/>
      <c r="I149" s="47"/>
      <c r="J149" s="57"/>
      <c r="K149" s="57"/>
      <c r="L149" s="55"/>
      <c r="M149" s="57"/>
    </row>
    <row r="150" spans="1:13" x14ac:dyDescent="0.35">
      <c r="A150" s="48"/>
      <c r="B150" s="48"/>
      <c r="C150" s="49"/>
      <c r="D150" s="50"/>
      <c r="E150" s="51" t="str">
        <f>IF(N(C150)=0,"",C150/PI()/($D$1/2)^2/$D$2*10000)</f>
        <v/>
      </c>
      <c r="F150" s="68" t="str">
        <f t="shared" ref="F150:F161" si="51">IF(N(E150)=0,"",(N(E150)+N(F149)))</f>
        <v/>
      </c>
      <c r="G150" s="69" t="str">
        <f>IF(OR(N(D150)=0,N(E150)=0),"",(E150*D150)/1000)</f>
        <v/>
      </c>
      <c r="H150" s="70" t="str">
        <f t="shared" ref="H150:H161" si="52">IF(N(G150)=0,"",(N(G150)+N(H149)))</f>
        <v/>
      </c>
      <c r="I150" s="27" t="str">
        <f>IF(N(J150)=0,"",0&amp;"-"&amp;B$4)</f>
        <v/>
      </c>
      <c r="J150" s="52" t="str">
        <f>IF(N(B$4)=0,"",IF(AND(COUNT(H150:H161)=2,COUNT(F150:F161)=2),cubic_spline(F149:F151,H149:H151,B$4),IF(AND(COUNT(H150:H161)=3,COUNT(F150:F161)=3),cubic_spline(F149:F152,H149:H152,B$4),IF(AND(COUNT(H150:H161)=4,COUNT(F150:F161)=4),cubic_spline(F149:F153,H149:H153,B$4),IF(AND(COUNT(H150:H161)=5,COUNT(F150:F161)=5),cubic_spline(F149:F154,H149:H154,B$4),IF(AND(COUNT(H150:H161)=6,COUNT(F150:F161)=6),cubic_spline(F149:F155,H149:H155,B$4),IF(AND(COUNT(H150:H161)=7,COUNT(F150:F161)=7),cubic_spline(F149:F156,H149:H156,B$4),IF(AND(COUNT(H150:H161)=8,COUNT(F150:F161)=8),cubic_spline(F149:F157,H149:H157,B$4),IF(AND(COUNT(H150:H161)=9,COUNT(F150:F161)=9),cubic_spline(F149:F158,H149:H158,B$4),IF(AND(COUNT(H150:H161)=10,COUNT(F150:F161)=10),cubic_spline(F149:F159,H149:H159,B$4),IF(AND(COUNT(H150:H161)=11,COUNT(F150:F161)=11),cubic_spline(F149:F160,H149:H160,B$4),IF(AND(COUNT(H150:H161)=12,COUNT(F150:F161)=12),cubic_spline(F149:F161,H149:H161,B$4),""))))))))))))</f>
        <v/>
      </c>
      <c r="K150" s="52" t="str">
        <f>IF(N(B$4)=0,"",IF(AND(COUNT(A150:A161)=2,COUNT(F150:F161)=2),cubic_spline(F149:F151,A149:A151,B$4),IF(AND(COUNT(A150:A161)=3,COUNT(F150:F161)=3),cubic_spline(F149:F152,A149:A152,B$4),IF(AND(COUNT(A150:A161)=4,COUNT(F150:F161)=4),cubic_spline(F149:F153,A149:A153,B$4),IF(AND(COUNT(A150:A161)=5,COUNT(F150:F161)=5),cubic_spline(F149:F154,A149:A154,B$4),IF(AND(COUNT(A150:A161)=6,COUNT(F150:F161)=6),cubic_spline(F149:F155,A149:A155,B$4),IF(AND(COUNT(A150:A161)=7,COUNT(F150:F161)=7),cubic_spline(F149:F156,A149:A156,B$4),IF(AND(COUNT(A150:A161)=8,COUNT(F150:F161)=8),cubic_spline(F149:F157,A149:A157,B$4),IF(AND(COUNT(A150:A161)=9,COUNT(F150:F161)=9),cubic_spline(F149:F158,A149:A158,B$4),IF(AND(COUNT(A150:A161)=10,COUNT(F150:F161)=10),cubic_spline(F149:F159,A149:A159,B$4),IF(AND(COUNT(A150:A161)=11,COUNT(F150:F161)=11),cubic_spline(F149:F160,A149:A160,B$4),IF(AND(COUNT(A150:A161)=12,COUNT(F150:F161)=12),cubic_spline(F149:F161,A149:A161,B$4),""))))))))))))</f>
        <v/>
      </c>
      <c r="L150" s="27" t="str">
        <f>IF(I150="","",0&amp;"-"&amp;B$4)</f>
        <v/>
      </c>
      <c r="M150" s="52" t="str">
        <f>IF(N(J150)=0,"",J150-J149)</f>
        <v/>
      </c>
    </row>
    <row r="151" spans="1:13" x14ac:dyDescent="0.35">
      <c r="A151" s="48"/>
      <c r="B151" s="48"/>
      <c r="C151" s="49"/>
      <c r="D151" s="50"/>
      <c r="E151" s="51" t="str">
        <f>IF(N(C151)=0,"",C151/PI()/($D$1/2)^2/$D$2*10000)</f>
        <v/>
      </c>
      <c r="F151" s="68" t="str">
        <f t="shared" si="51"/>
        <v/>
      </c>
      <c r="G151" s="69" t="str">
        <f t="shared" ref="G151:G161" si="53">IF(OR(N(D151)=0,N(E151)=0),"",(E151*D151)/1000)</f>
        <v/>
      </c>
      <c r="H151" s="70" t="str">
        <f t="shared" si="52"/>
        <v/>
      </c>
      <c r="I151" s="27" t="str">
        <f>IF(N(J151)=0,"",0&amp;"-"&amp;B$5)</f>
        <v/>
      </c>
      <c r="J151" s="52" t="str">
        <f>IF(N(B$5)=0,"",IF(AND(COUNT(H150:H161)=2,COUNT(F150:F161)=2),cubic_spline(F149:F151,H149:H151,B$5),IF(AND(COUNT(H150:H161)=3,COUNT(F150:F161)=3),cubic_spline(F149:F152,H149:H152,B$5),IF(AND(COUNT(H150:H161)=4,COUNT(F150:F161)=4),cubic_spline(F149:F153,H149:H153,B$5),IF(AND(COUNT(H150:H161)=5,COUNT(F150:F161)=5),cubic_spline(F149:F154,H149:H154,B$5),IF(AND(COUNT(H150:H161)=6,COUNT(F150:F161)=6),cubic_spline(F149:F155,H149:H155,B$5),IF(AND(COUNT(H150:H161)=7,COUNT(F150:F161)=7),cubic_spline(F149:F156,H149:H156,B$5),IF(AND(COUNT(H150:H161)=8,COUNT(F150:F161)=8),cubic_spline(F149:F157,H149:H157,B$5),IF(AND(COUNT(H150:H161)=9,COUNT(F150:F161)=9),cubic_spline(F149:F158,H149:H158,B$5),IF(AND(COUNT(H150:H161)=10,COUNT(F150:F161)=10),cubic_spline(F149:F159,H149:H159,B$5),IF(AND(COUNT(H150:H161)=11,COUNT(F150:F161)=11),cubic_spline(F149:F160,H149:H160,B$5),IF(AND(COUNT(H150:H161)=12,COUNT(F150:F161)=12),cubic_spline(F149:F161,H149:H161,B$5),""))))))))))))</f>
        <v/>
      </c>
      <c r="K151" s="52" t="str">
        <f>IF(N(B$5)=0,"",IF(AND(COUNT(A150:A161)=2,COUNT(F150:F161)=2),cubic_spline(F149:F151,A149:A151,B$5),IF(AND(COUNT(A150:A161)=3,COUNT(F150:F161)=3),cubic_spline(F149:F152,A149:A152,B$5),IF(AND(COUNT(A150:A161)=4,COUNT(F150:F161)=4),cubic_spline(F149:F153,A149:A153,B$5),IF(AND(COUNT(A150:A161)=5,COUNT(F150:F161)=5),cubic_spline(F149:F154,A149:A154,B$5),IF(AND(COUNT(A150:A161)=6,COUNT(F150:F161)=6),cubic_spline(F149:F155,A149:A155,B$5),IF(AND(COUNT(A150:A161)=7,COUNT(F150:F161)=7),cubic_spline(F149:F156,A149:A156,B$5),IF(AND(COUNT(A150:A161)=8,COUNT(F150:F161)=8),cubic_spline(F149:F157,A149:A157,B$5),IF(AND(COUNT(A150:A161)=9,COUNT(F150:F161)=9),cubic_spline(F149:F158,A149:A158,B$5),IF(AND(COUNT(A150:A161)=10,COUNT(F150:F161)=10),cubic_spline(F149:F159,A149:A159,B$5),IF(AND(COUNT(A150:A161)=11,COUNT(F150:F161)=11),cubic_spline(F149:F160,A149:A160,B$5),IF(AND(COUNT(A150:A161)=12,COUNT(F150:F161)=12),cubic_spline(F149:F161,A149:A161,B$5),""))))))))))))</f>
        <v/>
      </c>
      <c r="L151" s="27" t="str">
        <f>IF(I151="","",B$4&amp;"-"&amp;B$5)</f>
        <v/>
      </c>
      <c r="M151" s="52" t="str">
        <f>IF(N(J151)=0,"",J151-J150)</f>
        <v/>
      </c>
    </row>
    <row r="152" spans="1:13" x14ac:dyDescent="0.35">
      <c r="A152" s="48"/>
      <c r="B152" s="48"/>
      <c r="C152" s="49"/>
      <c r="D152" s="50"/>
      <c r="E152" s="51" t="str">
        <f>IF(N(C152)=0,"",C152/PI()/($D$1/2)^2/$D$2*10000)</f>
        <v/>
      </c>
      <c r="F152" s="68" t="str">
        <f t="shared" si="51"/>
        <v/>
      </c>
      <c r="G152" s="69" t="str">
        <f t="shared" si="53"/>
        <v/>
      </c>
      <c r="H152" s="70" t="str">
        <f t="shared" si="52"/>
        <v/>
      </c>
      <c r="I152" s="27" t="str">
        <f>IF(N(J152)=0,"",0&amp;"-"&amp;B$6)</f>
        <v/>
      </c>
      <c r="J152" s="52" t="str">
        <f>IF(N(B$6)=0,"",IF(AND(COUNT(H150:H161)=2,COUNT(F150:F161)=2),cubic_spline(F149:F151,H149:H151,B$6),IF(AND(COUNT(H150:H161)=3,COUNT(F150:F161)=3),cubic_spline(F149:F152,H149:H152,B$6),IF(AND(COUNT(H150:H161)=4,COUNT(F150:F161)=4),cubic_spline(F149:F153,H149:H153,B$6),IF(AND(COUNT(H150:H161)=5,COUNT(F150:F161)=5),cubic_spline(F149:F154,H149:H154,B$6),IF(AND(COUNT(H150:H161)=6,COUNT(F150:F161)=6),cubic_spline(F149:F155,H149:H155,B$6),IF(AND(COUNT(H150:H161)=7,COUNT(F150:F161)=7),cubic_spline(F149:F156,H149:H156,B$6),IF(AND(COUNT(H150:H161)=8,COUNT(F150:F161)=8),cubic_spline(F149:F157,H149:H157,B$6),IF(AND(COUNT(H150:H161)=9,COUNT(F150:F161)=9),cubic_spline(F149:F158,H149:H158,B$6),IF(AND(COUNT(H150:H161)=10,COUNT(F150:F161)=10),cubic_spline(F149:F159,H149:H159,B$6),IF(AND(COUNT(H150:H161)=11,COUNT(F150:F161)=11),cubic_spline(F149:F160,H149:H160,B$6),IF(AND(COUNT(H150:H161)=12,COUNT(F150:F161)=12),cubic_spline(F149:F161,H149:H161,B$6),""))))))))))))</f>
        <v/>
      </c>
      <c r="K152" s="52" t="str">
        <f>IF(N(B$6)=0,"",IF(AND(COUNT(A150:A161)=2,COUNT(F150:F161)=2),cubic_spline(F149:F151,A149:A151,B$6),IF(AND(COUNT(A150:A161)=3,COUNT(F150:F161)=3),cubic_spline(F149:F152,A149:A152,B$6),IF(AND(COUNT(A150:A161)=4,COUNT(F150:F161)=4),cubic_spline(F149:F153,A149:A153,B$6),IF(AND(COUNT(A150:A161)=5,COUNT(F150:F161)=5),cubic_spline(F149:F154,A149:A154,B$6),IF(AND(COUNT(A150:A161)=6,COUNT(F150:F161)=6),cubic_spline(F149:F155,A149:A155,B$6),IF(AND(COUNT(A150:A161)=7,COUNT(F150:F161)=7),cubic_spline(F149:F156,A149:A156,B$6),IF(AND(COUNT(A150:A161)=8,COUNT(F150:F161)=8),cubic_spline(F149:F157,A149:A157,B$6),IF(AND(COUNT(A150:A161)=9,COUNT(F150:F161)=9),cubic_spline(F149:F158,A149:A158,B$6),IF(AND(COUNT(A150:A161)=10,COUNT(F150:F161)=10),cubic_spline(F149:F159,A149:A159,B$6),IF(AND(COUNT(A150:A161)=11,COUNT(F150:F161)=11),cubic_spline(F149:F160,A149:A160,B$6),IF(AND(COUNT(A150:A161)=12,COUNT(F150:F161)=12),cubic_spline(F149:F161,A149:A161,B$6),""))))))))))))</f>
        <v/>
      </c>
      <c r="L152" s="27" t="str">
        <f>IF(I152="","",B$5&amp;"-"&amp;B$6)</f>
        <v/>
      </c>
      <c r="M152" s="52" t="str">
        <f>IF(N(J152)=0,"",J152-J151)</f>
        <v/>
      </c>
    </row>
    <row r="153" spans="1:13" x14ac:dyDescent="0.35">
      <c r="A153" s="48"/>
      <c r="B153" s="48"/>
      <c r="C153" s="49"/>
      <c r="D153" s="50"/>
      <c r="E153" s="51" t="str">
        <f>IF(N(C153)=0,"",C153/PI()/($D$1/2)^2/$D$2*10000)</f>
        <v/>
      </c>
      <c r="F153" s="68" t="str">
        <f t="shared" si="51"/>
        <v/>
      </c>
      <c r="G153" s="69" t="str">
        <f t="shared" si="53"/>
        <v/>
      </c>
      <c r="H153" s="70" t="str">
        <f t="shared" si="52"/>
        <v/>
      </c>
      <c r="I153" s="27" t="str">
        <f>IF(N(J153)=0,"",0&amp;"-"&amp;B$7)</f>
        <v/>
      </c>
      <c r="J153" s="52" t="str">
        <f>IF(N(B$7)=0,"",IF(AND(COUNT(H150:H161)=2,COUNT(F150:F161)=2),cubic_spline(F149:F151,H149:H151,B$7),IF(AND(COUNT(H150:H161)=3,COUNT(F150:F161)=3),cubic_spline(F149:F152,H149:H152,B$7),IF(AND(COUNT(H150:H161)=4,COUNT(F150:F161)=4),cubic_spline(F149:F153,H149:H153,B$7),IF(AND(COUNT(H150:H161)=5,COUNT(F150:F161)=5),cubic_spline(F149:F154,H149:H154,B$7),IF(AND(COUNT(H150:H161)=6,COUNT(F150:F161)=6),cubic_spline(F149:F155,H149:H155,B$7),IF(AND(COUNT(H150:H161)=7,COUNT(F150:F161)=7),cubic_spline(F149:F156,H149:H156,B$7),IF(AND(COUNT(H150:H161)=8,COUNT(F150:F161)=8),cubic_spline(F149:F157,H149:H157,B$7),IF(AND(COUNT(H150:H161)=9,COUNT(F150:F161)=9),cubic_spline(F149:F158,H149:H158,B$7),IF(AND(COUNT(H150:H161)=10,COUNT(F150:F161)=10),cubic_spline(F149:F159,H149:H159,B$7),IF(AND(COUNT(H150:H161)=11,COUNT(F150:F161)=11),cubic_spline(F149:F160,H149:H160,B$7),IF(AND(COUNT(H150:H161)=12,COUNT(F150:F161)=12),cubic_spline(F149:F161,H149:H161,B$7),""))))))))))))</f>
        <v/>
      </c>
      <c r="K153" s="52" t="str">
        <f>IF(N(B$7)=0,"",IF(AND(COUNT(A150:A161)=2,COUNT(F150:F161)=2),cubic_spline(F149:F151,A149:A151,B$7),IF(AND(COUNT(A150:A161)=3,COUNT(F150:F161)=3),cubic_spline(F149:F152,A149:A152,B$7),IF(AND(COUNT(A150:A161)=4,COUNT(F150:F161)=4),cubic_spline(F149:F153,A149:A153,B$7),IF(AND(COUNT(A150:A161)=5,COUNT(F150:F161)=5),cubic_spline(F149:F154,A149:A154,B$7),IF(AND(COUNT(A150:A161)=6,COUNT(F150:F161)=6),cubic_spline(F149:F155,A149:A155,B$7),IF(AND(COUNT(A150:A161)=7,COUNT(F150:F161)=7),cubic_spline(F149:F156,A149:A156,B$7),IF(AND(COUNT(A150:A161)=8,COUNT(F150:F161)=8),cubic_spline(F149:F157,A149:A157,B$7),IF(AND(COUNT(A150:A161)=9,COUNT(F150:F161)=9),cubic_spline(F149:F158,A149:A158,B$7),IF(AND(COUNT(A150:A161)=10,COUNT(F150:F161)=10),cubic_spline(F149:F159,A149:A159,B$7),IF(AND(COUNT(A150:A161)=11,COUNT(F150:F161)=11),cubic_spline(F149:F160,A149:A160,B$7),IF(AND(COUNT(A150:A161)=12,COUNT(F150:F161)=12),cubic_spline(F149:F161,A149:A161,B$7),""))))))))))))</f>
        <v/>
      </c>
      <c r="L153" s="27" t="str">
        <f>IF(I153="","",B$6&amp;"-"&amp;B$7)</f>
        <v/>
      </c>
      <c r="M153" s="52" t="str">
        <f>IF(N(J153)=0,"",J153-J152)</f>
        <v/>
      </c>
    </row>
    <row r="154" spans="1:13" x14ac:dyDescent="0.35">
      <c r="A154" s="48"/>
      <c r="B154" s="48"/>
      <c r="C154" s="49"/>
      <c r="D154" s="50"/>
      <c r="E154" s="51" t="str">
        <f t="shared" ref="E154:E161" si="54">IF(N(C154)=0,"",C154/PI()/($D$1/2)^2/$D$2*10000)</f>
        <v/>
      </c>
      <c r="F154" s="71" t="str">
        <f t="shared" si="51"/>
        <v/>
      </c>
      <c r="G154" s="69" t="str">
        <f t="shared" si="53"/>
        <v/>
      </c>
      <c r="H154" s="70" t="str">
        <f t="shared" si="52"/>
        <v/>
      </c>
      <c r="I154" s="27" t="str">
        <f>IF(N(J154)=0,"",0&amp;"-"&amp;B$8)</f>
        <v/>
      </c>
      <c r="J154" s="52" t="str">
        <f>IF(N(B$8)=0,"",IF(AND(COUNT(H150:H161)=2,COUNT(F150:F161)=2),cubic_spline(F149:F151,H149:H151,B$8),IF(AND(COUNT(H150:H161)=3,COUNT(F150:F161)=3),cubic_spline(F149:F152,H149:H152,B$8),IF(AND(COUNT(H150:H161)=4,COUNT(F150:F161)=4),cubic_spline(F149:F153,H149:H153,B$8),IF(AND(COUNT(H150:H161)=5,COUNT(F150:F161)=5),cubic_spline(F149:F154,H149:H154,B$8),IF(AND(COUNT(H150:H161)=6,COUNT(F150:F161)=6),cubic_spline(F149:F155,H149:H155,B$8),IF(AND(COUNT(H150:H161)=7,COUNT(F150:F161)=7),cubic_spline(F149:F156,H149:H156,B$8),IF(AND(COUNT(H150:H161)=8,COUNT(F150:F161)=8),cubic_spline(F149:F157,H149:H157,B$8),IF(AND(COUNT(H150:H161)=9,COUNT(F150:F161)=9),cubic_spline(F149:F158,H149:H158,B$8),IF(AND(COUNT(H150:H161)=10,COUNT(F150:F161)=10),cubic_spline(F149:F159,H149:H159,B$8),IF(AND(COUNT(H150:H161)=11,COUNT(F150:F161)=11),cubic_spline(F149:F160,H149:H160,B$8),IF(AND(COUNT(H150:H161)=12,COUNT(F150:F161)=12),cubic_spline(F149:F161,H149:H161,B$8),""))))))))))))</f>
        <v/>
      </c>
      <c r="K154" s="52" t="str">
        <f>IF(N(B$8)=0,"",IF(AND(COUNT(A150:A161)=2,COUNT(F150:F161)=2),cubic_spline(F149:F151,A149:A151,B$8),IF(AND(COUNT(A150:A161)=3,COUNT(F150:F161)=3),cubic_spline(F149:F152,A149:A152,B$8),IF(AND(COUNT(A150:A161)=4,COUNT(F150:F161)=4),cubic_spline(F149:F153,A149:A153,B$8),IF(AND(COUNT(A150:A161)=5,COUNT(F150:F161)=5),cubic_spline(F149:F154,A149:A154,B$8),IF(AND(COUNT(A150:A161)=6,COUNT(F150:F161)=6),cubic_spline(F149:F155,A149:A155,B$8),IF(AND(COUNT(A150:A161)=7,COUNT(F150:F161)=7),cubic_spline(F149:F156,A149:A156,B$8),IF(AND(COUNT(A150:A161)=8,COUNT(F150:F161)=8),cubic_spline(F149:F157,A149:A157,B$8),IF(AND(COUNT(A150:A161)=9,COUNT(F150:F161)=9),cubic_spline(F149:F158,A149:A158,B$8),IF(AND(COUNT(A150:A161)=10,COUNT(F150:F161)=10),cubic_spline(F149:F159,A149:A159,B$8),IF(AND(COUNT(A150:A161)=11,COUNT(F150:F161)=11),cubic_spline(F149:F160,A149:A160,B$8),IF(AND(COUNT(A150:A161)=12,COUNT(F150:F161)=12),cubic_spline(F149:F161,A149:A161,B$8),""))))))))))))</f>
        <v/>
      </c>
      <c r="L154" s="27" t="str">
        <f>IF(I154="","",B$7&amp;"-"&amp;B$8)</f>
        <v/>
      </c>
      <c r="M154" s="52" t="str">
        <f>IF(N(J154)=0,"",J154-J153)</f>
        <v/>
      </c>
    </row>
    <row r="155" spans="1:13" x14ac:dyDescent="0.35">
      <c r="A155" s="48"/>
      <c r="B155" s="48"/>
      <c r="C155" s="49"/>
      <c r="D155" s="50"/>
      <c r="E155" s="51" t="str">
        <f t="shared" si="54"/>
        <v/>
      </c>
      <c r="F155" s="71" t="str">
        <f t="shared" si="51"/>
        <v/>
      </c>
      <c r="G155" s="69" t="str">
        <f t="shared" si="53"/>
        <v/>
      </c>
      <c r="H155" s="70" t="str">
        <f t="shared" si="52"/>
        <v/>
      </c>
      <c r="I155" s="27" t="str">
        <f>IF(N(J155)=0,"",0&amp;"-"&amp;B$9)</f>
        <v/>
      </c>
      <c r="J155" s="52" t="str">
        <f>IF(N(B$9)=0,"",IF(AND(COUNT(H150:H161)=2,COUNT(F150:F161)=2),cubic_spline(F149:F151,H149:H151,B$9),IF(AND(COUNT(H150:H161)=3,COUNT(F150:F161)=3),cubic_spline(F149:F152,H149:H152,B$9),IF(AND(COUNT(H150:H161)=4,COUNT(F150:F161)=4),cubic_spline(F149:F153,H149:H153,B$9),IF(AND(COUNT(H150:H161)=5,COUNT(F150:F161)=5),cubic_spline(F149:F154,H149:H154,B$9),IF(AND(COUNT(H150:H161)=6,COUNT(F150:F161)=6),cubic_spline(F149:F155,H149:H155,B$9),IF(AND(COUNT(H150:H161)=7,COUNT(F150:F161)=7),cubic_spline(F149:F156,H149:H156,B$9),IF(AND(COUNT(H150:H161)=8,COUNT(F150:F161)=8),cubic_spline(F149:F157,H149:H157,B$9),IF(AND(COUNT(H150:H161)=9,COUNT(F150:F161)=9),cubic_spline(F149:F158,H149:H158,B$9),IF(AND(COUNT(H150:H161)=10,COUNT(F150:F161)=10),cubic_spline(F149:F159,H149:H159,B$9),IF(AND(COUNT(H150:H161)=11,COUNT(F150:F161)=11),cubic_spline(F149:F160,H149:H160,B$9),IF(AND(COUNT(H150:H161)=12,COUNT(F150:F161)=12),cubic_spline(F149:F161,H149:H161,B$9),""))))))))))))</f>
        <v/>
      </c>
      <c r="K155" s="52" t="str">
        <f>IF(N(B$9)=0,"",IF(AND(COUNT(A150:A161)=2,COUNT(F150:F161)=2),cubic_spline(F149:F151,A149:A151,B$9),IF(AND(COUNT(A150:A161)=3,COUNT(F150:F161)=3),cubic_spline(F149:F152,A149:A152,B$9),IF(AND(COUNT(A150:A161)=4,COUNT(F150:F161)=4),cubic_spline(F149:F153,A149:A153,B$9),IF(AND(COUNT(A150:A161)=5,COUNT(F150:F161)=5),cubic_spline(F149:F154,A149:A154,B$9),IF(AND(COUNT(A150:A161)=6,COUNT(F150:F161)=6),cubic_spline(F149:F155,A149:A155,B$9),IF(AND(COUNT(A150:A161)=7,COUNT(F150:F161)=7),cubic_spline(F149:F156,A149:A156,B$9),IF(AND(COUNT(A150:A161)=8,COUNT(F150:F161)=8),cubic_spline(F149:F157,A149:A157,B$9),IF(AND(COUNT(A150:A161)=9,COUNT(F150:F161)=9),cubic_spline(F149:F158,A149:A158,B$9),IF(AND(COUNT(A150:A161)=10,COUNT(F150:F161)=10),cubic_spline(F149:F159,A149:A159,B$9),IF(AND(COUNT(A150:A161)=11,COUNT(F150:F161)=11),cubic_spline(F149:F160,A149:A160,B$9),IF(AND(COUNT(A150:A161)=12,COUNT(F150:F161)=12),cubic_spline(F149:F161,A149:A161,B$9),""))))))))))))</f>
        <v/>
      </c>
      <c r="L155" s="27" t="str">
        <f>IF(I155="","",B$8&amp;"-"&amp;B$9)</f>
        <v/>
      </c>
      <c r="M155" s="52" t="str">
        <f t="shared" ref="M155:M161" si="55">IF(N(J155)=0,"",J155-J154)</f>
        <v/>
      </c>
    </row>
    <row r="156" spans="1:13" x14ac:dyDescent="0.35">
      <c r="A156" s="48"/>
      <c r="B156" s="48"/>
      <c r="C156" s="49"/>
      <c r="D156" s="50"/>
      <c r="E156" s="51" t="str">
        <f t="shared" si="54"/>
        <v/>
      </c>
      <c r="F156" s="71" t="str">
        <f t="shared" si="51"/>
        <v/>
      </c>
      <c r="G156" s="69" t="str">
        <f t="shared" si="53"/>
        <v/>
      </c>
      <c r="H156" s="70" t="str">
        <f t="shared" si="52"/>
        <v/>
      </c>
      <c r="I156" s="27" t="str">
        <f>IF(N(J156)=0,"",0&amp;"-"&amp;B$10)</f>
        <v/>
      </c>
      <c r="J156" s="52" t="str">
        <f>IF(N(B$10)=0,"",IF(AND(COUNT(H150:H161)=2,COUNT(F150:F161)=2),cubic_spline(F149:F151,H149:H151,B$10),IF(AND(COUNT(H150:H161)=3,COUNT(F150:F161)=3),cubic_spline(F149:F152,H149:H152,B$10),IF(AND(COUNT(H150:H161)=4,COUNT(F150:F161)=4),cubic_spline(F149:F153,H149:H153,B$10),IF(AND(COUNT(H150:H161)=5,COUNT(F150:F161)=5),cubic_spline(F149:F154,H149:H154,B$10),IF(AND(COUNT(H150:H161)=6,COUNT(F150:F161)=6),cubic_spline(F149:F155,H149:H155,B$10),IF(AND(COUNT(H150:H161)=7,COUNT(F150:F161)=7),cubic_spline(F149:F156,H149:H156,B$10),IF(AND(COUNT(H150:H161)=8,COUNT(F150:F161)=8),cubic_spline(F149:F157,H149:H157,B$10),IF(AND(COUNT(H150:H161)=9,COUNT(F150:F161)=9),cubic_spline(F149:F158,H149:H158,B$10),IF(AND(COUNT(H150:H161)=10,COUNT(F150:F161)=10),cubic_spline(F149:F159,H149:H159,B$10),IF(AND(COUNT(H150:H161)=11,COUNT(F150:F161)=11),cubic_spline(F149:F160,H149:H160,B$10),IF(AND(COUNT(H150:H161)=12,COUNT(F150:F161)=12),cubic_spline(F149:F161,H149:H161,B$10),""))))))))))))</f>
        <v/>
      </c>
      <c r="K156" s="52" t="str">
        <f>IF(N(B$10)=0,"",IF(AND(COUNT(A150:A161)=2,COUNT(F150:F161)=2),cubic_spline(F149:F151,A149:A151,B$10),IF(AND(COUNT(A150:A161)=3,COUNT(F150:F161)=3),cubic_spline(F149:F152,A149:A152,B$10),IF(AND(COUNT(A150:A161)=4,COUNT(F150:F161)=4),cubic_spline(F149:F153,A149:A153,B$10),IF(AND(COUNT(A150:A161)=5,COUNT(F150:F161)=5),cubic_spline(F149:F154,A149:A154,B$10),IF(AND(COUNT(A150:A161)=6,COUNT(F150:F161)=6),cubic_spline(F149:F155,A149:A155,B$10),IF(AND(COUNT(A150:A161)=7,COUNT(F150:F161)=7),cubic_spline(F149:F156,A149:A156,B$10),IF(AND(COUNT(A150:A161)=8,COUNT(F150:F161)=8),cubic_spline(F149:F157,A149:A157,B$10),IF(AND(COUNT(A150:A161)=9,COUNT(F150:F161)=9),cubic_spline(F149:F158,A149:A158,B$10),IF(AND(COUNT(A150:A161)=10,COUNT(F150:F161)=10),cubic_spline(F149:F159,A149:A159,B$10),IF(AND(COUNT(A150:A161)=11,COUNT(F150:F161)=11),cubic_spline(F149:F160,A149:A160,B$10),IF(AND(COUNT(A150:A161)=12,COUNT(F150:F161)=12),cubic_spline(F149:F161,A149:A161,B$10),""))))))))))))</f>
        <v/>
      </c>
      <c r="L156" s="27" t="str">
        <f>IF(I156="","",B$9&amp;"-"&amp;B$10)</f>
        <v/>
      </c>
      <c r="M156" s="52" t="str">
        <f t="shared" si="55"/>
        <v/>
      </c>
    </row>
    <row r="157" spans="1:13" x14ac:dyDescent="0.35">
      <c r="A157" s="48"/>
      <c r="B157" s="48"/>
      <c r="C157" s="49"/>
      <c r="D157" s="50"/>
      <c r="E157" s="51" t="str">
        <f t="shared" si="54"/>
        <v/>
      </c>
      <c r="F157" s="71" t="str">
        <f t="shared" si="51"/>
        <v/>
      </c>
      <c r="G157" s="69" t="str">
        <f t="shared" si="53"/>
        <v/>
      </c>
      <c r="H157" s="70" t="str">
        <f t="shared" si="52"/>
        <v/>
      </c>
      <c r="I157" s="27" t="str">
        <f>IF(N(J157)=0,"",0&amp;"-"&amp;B$11)</f>
        <v/>
      </c>
      <c r="J157" s="52" t="str">
        <f>IF(N(B$11)=0,"",IF(AND(COUNT(H150:H161)=2,COUNT(F150:F161)=2),cubic_spline(F149:F151,H149:H151,B$11),IF(AND(COUNT(H150:H161)=3,COUNT(F150:F161)=3),cubic_spline(F149:F152,H149:H152,B$11),IF(AND(COUNT(H150:H161)=4,COUNT(F150:F161)=4),cubic_spline(F149:F153,H149:H153,B$11),IF(AND(COUNT(H150:H161)=5,COUNT(F150:F161)=5),cubic_spline(F149:F154,H149:H154,B$11),IF(AND(COUNT(H150:H161)=6,COUNT(F150:F161)=6),cubic_spline(F149:F155,H149:H155,B$11),IF(AND(COUNT(H150:H161)=7,COUNT(F150:F161)=7),cubic_spline(F149:F156,H149:H156,B$11),IF(AND(COUNT(H150:H161)=8,COUNT(F150:F161)=8),cubic_spline(F149:F157,H149:H157,B$11),IF(AND(COUNT(H150:H161)=9,COUNT(F150:F161)=9),cubic_spline(F149:F158,H149:H158,B$11),IF(AND(COUNT(H150:H161)=10,COUNT(F150:F161)=10),cubic_spline(F149:F159,H149:H159,B$11),IF(AND(COUNT(H150:H161)=11,COUNT(F150:F161)=11),cubic_spline(F149:F160,H149:H160,B$11),IF(AND(COUNT(H150:H161)=12,COUNT(F150:F161)=12),cubic_spline(F149:F161,H149:H161,B$11),""))))))))))))</f>
        <v/>
      </c>
      <c r="K157" s="52" t="str">
        <f>IF(N(B$11)=0,"",IF(AND(COUNT(A150:A161)=2,COUNT(F150:F161)=2),cubic_spline(F149:F151,A149:A151,B$11),IF(AND(COUNT(A150:A161)=3,COUNT(F150:F161)=3),cubic_spline(F149:F152,A149:A152,B$11),IF(AND(COUNT(A150:A161)=4,COUNT(F150:F161)=4),cubic_spline(F149:F153,A149:A153,B$11),IF(AND(COUNT(A150:A161)=5,COUNT(F150:F161)=5),cubic_spline(F149:F154,A149:A154,B$11),IF(AND(COUNT(A150:A161)=6,COUNT(F150:F161)=6),cubic_spline(F149:F155,A149:A155,B$11),IF(AND(COUNT(A150:A161)=7,COUNT(F150:F161)=7),cubic_spline(F149:F156,A149:A156,B$11),IF(AND(COUNT(A150:A161)=8,COUNT(F150:F161)=8),cubic_spline(F149:F157,A149:A157,B$11),IF(AND(COUNT(A150:A161)=9,COUNT(F150:F161)=9),cubic_spline(F149:F158,A149:A158,B$11),IF(AND(COUNT(A150:A161)=10,COUNT(F150:F161)=10),cubic_spline(F149:F159,A149:A159,B$11),IF(AND(COUNT(A150:A161)=11,COUNT(F150:F161)=11),cubic_spline(F149:F160,A149:A160,B$11),IF(AND(COUNT(A150:A161)=12,COUNT(F150:F161)=12),cubic_spline(F149:F161,A149:A161,B$11),""))))))))))))</f>
        <v/>
      </c>
      <c r="L157" s="27" t="str">
        <f>IF(I157="","",B$10&amp;"-"&amp;B$11)</f>
        <v/>
      </c>
      <c r="M157" s="52" t="str">
        <f t="shared" si="55"/>
        <v/>
      </c>
    </row>
    <row r="158" spans="1:13" x14ac:dyDescent="0.35">
      <c r="A158" s="48"/>
      <c r="B158" s="48"/>
      <c r="C158" s="49"/>
      <c r="D158" s="50"/>
      <c r="E158" s="51" t="str">
        <f t="shared" si="54"/>
        <v/>
      </c>
      <c r="F158" s="71" t="str">
        <f t="shared" si="51"/>
        <v/>
      </c>
      <c r="G158" s="69" t="str">
        <f t="shared" si="53"/>
        <v/>
      </c>
      <c r="H158" s="70" t="str">
        <f t="shared" si="52"/>
        <v/>
      </c>
      <c r="I158" s="27" t="str">
        <f>IF(N(J158)=0,"",0&amp;"-"&amp;B$12)</f>
        <v/>
      </c>
      <c r="J158" s="52" t="str">
        <f>IF(N(B$12)=0,"",IF(AND(COUNT(H150:H161)=2,COUNT(F150:F161)=2),cubic_spline(F149:F151,H149:H151,B$12),IF(AND(COUNT(H150:H161)=3,COUNT(F150:F161)=3),cubic_spline(F149:F152,H149:H152,B$12),IF(AND(COUNT(H150:H161)=4,COUNT(F150:F161)=4),cubic_spline(F149:F153,H149:H153,B$12),IF(AND(COUNT(H150:H161)=5,COUNT(F150:F161)=5),cubic_spline(F149:F154,H149:H154,B$12),IF(AND(COUNT(H150:H161)=6,COUNT(F150:F161)=6),cubic_spline(F149:F155,H149:H155,B$12),IF(AND(COUNT(H150:H161)=7,COUNT(F150:F161)=7),cubic_spline(F149:F156,H149:H156,B$12),IF(AND(COUNT(H150:H161)=8,COUNT(F150:F161)=8),cubic_spline(F149:F157,H149:H157,B$12),IF(AND(COUNT(H150:H161)=9,COUNT(F150:F161)=9),cubic_spline(F149:F158,H149:H158,B$12),IF(AND(COUNT(H150:H161)=10,COUNT(F150:F161)=10),cubic_spline(F149:F159,H149:H159,B$12),IF(AND(COUNT(H150:H161)=11,COUNT(F150:F161)=11),cubic_spline(F149:F160,H149:H160,B$12),IF(AND(COUNT(H150:H161)=12,COUNT(F150:F161)=12),cubic_spline(F149:F161,H149:H161,B$12),""))))))))))))</f>
        <v/>
      </c>
      <c r="K158" s="52" t="str">
        <f>IF(N(B$12)=0,"",IF(AND(COUNT(A150:A161)=2,COUNT(F150:F161)=2),cubic_spline(F149:F151,A149:A151,B$12),IF(AND(COUNT(A150:A161)=3,COUNT(F150:F161)=3),cubic_spline(F149:F152,A149:A152,B$12),IF(AND(COUNT(A150:A161)=4,COUNT(F150:F161)=4),cubic_spline(F149:F153,A149:A153,B$12),IF(AND(COUNT(A150:A161)=5,COUNT(F150:F161)=5),cubic_spline(F149:F154,A149:A154,B$12),IF(AND(COUNT(A150:A161)=6,COUNT(F150:F161)=6),cubic_spline(F149:F155,A149:A155,B$12),IF(AND(COUNT(A150:A161)=7,COUNT(F150:F161)=7),cubic_spline(F149:F156,A149:A156,B$12),IF(AND(COUNT(A150:A161)=8,COUNT(F150:F161)=8),cubic_spline(F149:F157,A149:A157,B$12),IF(AND(COUNT(A150:A161)=9,COUNT(F150:F161)=9),cubic_spline(F149:F158,A149:A158,B$12),IF(AND(COUNT(A150:A161)=10,COUNT(F150:F161)=10),cubic_spline(F149:F159,A149:A159,B$12),IF(AND(COUNT(A150:A161)=11,COUNT(F150:F161)=11),cubic_spline(F149:F160,A149:A160,B$12),IF(AND(COUNT(A150:A161)=12,COUNT(F150:F161)=12),cubic_spline(F149:F161,A149:A161,B$12),""))))))))))))</f>
        <v/>
      </c>
      <c r="L158" s="27" t="str">
        <f>IF(I158="","",B$11&amp;"-"&amp;B$12)</f>
        <v/>
      </c>
      <c r="M158" s="52" t="str">
        <f t="shared" si="55"/>
        <v/>
      </c>
    </row>
    <row r="159" spans="1:13" x14ac:dyDescent="0.35">
      <c r="A159" s="48"/>
      <c r="B159" s="48"/>
      <c r="C159" s="49"/>
      <c r="D159" s="50"/>
      <c r="E159" s="51" t="str">
        <f t="shared" si="54"/>
        <v/>
      </c>
      <c r="F159" s="71" t="str">
        <f t="shared" si="51"/>
        <v/>
      </c>
      <c r="G159" s="69" t="str">
        <f t="shared" si="53"/>
        <v/>
      </c>
      <c r="H159" s="70" t="str">
        <f t="shared" si="52"/>
        <v/>
      </c>
      <c r="I159" s="27" t="str">
        <f>IF(N(J159)=0,"",0&amp;"-"&amp;B$13)</f>
        <v/>
      </c>
      <c r="J159" s="52" t="str">
        <f>IF(N(B$13)=0,"",IF(AND(COUNT(H150:H161)=2,COUNT(F150:F161)=2),cubic_spline(F149:F151,H149:H151,B$13),IF(AND(COUNT(H150:H161)=3,COUNT(F150:F161)=3),cubic_spline(F149:F152,H149:H152,B$13),IF(AND(COUNT(H150:H161)=4,COUNT(F150:F161)=4),cubic_spline(F149:F153,H149:H153,B$13),IF(AND(COUNT(H150:H161)=5,COUNT(F150:F161)=5),cubic_spline(F149:F154,H149:H154,B$13),IF(AND(COUNT(H150:H161)=6,COUNT(F150:F161)=6),cubic_spline(F149:F155,H149:H155,B$13),IF(AND(COUNT(H150:H161)=7,COUNT(F150:F161)=7),cubic_spline(F149:F156,H149:H156,B$13),IF(AND(COUNT(H150:H161)=8,COUNT(F150:F161)=8),cubic_spline(F149:F157,H149:H157,B$13),IF(AND(COUNT(H150:H161)=9,COUNT(F150:F161)=9),cubic_spline(F149:F158,H149:H158,B$13),IF(AND(COUNT(H150:H161)=10,COUNT(F150:F161)=10),cubic_spline(F149:F159,H149:H159,B$13),IF(AND(COUNT(H150:H161)=11,COUNT(F150:F161)=11),cubic_spline(F149:F160,H149:H160,B$13),IF(AND(COUNT(H150:H161)=12,COUNT(F150:F161)=12),cubic_spline(F149:F161,H149:H161,B$13),""))))))))))))</f>
        <v/>
      </c>
      <c r="K159" s="52" t="str">
        <f>IF(N(B$13)=0,"",IF(AND(COUNT(A150:A161)=2,COUNT(F150:F161)=2),cubic_spline(F149:F151,A149:A151,B$13),IF(AND(COUNT(A150:A161)=3,COUNT(F150:F161)=3),cubic_spline(F149:F152,A149:A152,B$13),IF(AND(COUNT(A150:A161)=4,COUNT(F150:F161)=4),cubic_spline(F149:F153,A149:A153,B$13),IF(AND(COUNT(A150:A161)=5,COUNT(F150:F161)=5),cubic_spline(F149:F154,A149:A154,B$13),IF(AND(COUNT(A150:A161)=6,COUNT(F150:F161)=6),cubic_spline(F149:F155,A149:A155,B$13),IF(AND(COUNT(A150:A161)=7,COUNT(F150:F161)=7),cubic_spline(F149:F156,A149:A156,B$13),IF(AND(COUNT(A150:A161)=8,COUNT(F150:F161)=8),cubic_spline(F149:F157,A149:A157,B$13),IF(AND(COUNT(A150:A161)=9,COUNT(F150:F161)=9),cubic_spline(F149:F158,A149:A158,B$13),IF(AND(COUNT(A150:A161)=10,COUNT(F150:F161)=10),cubic_spline(F149:F159,A149:A159,B$13),IF(AND(COUNT(A150:A161)=11,COUNT(F150:F161)=11),cubic_spline(F149:F160,A149:A160,B$13),IF(AND(COUNT(A150:A161)=12,COUNT(F150:F161)=12),cubic_spline(F149:F161,A149:A161,B$13),""))))))))))))</f>
        <v/>
      </c>
      <c r="L159" s="27" t="str">
        <f>IF(I159="","",B$12&amp;"-"&amp;B$13)</f>
        <v/>
      </c>
      <c r="M159" s="52" t="str">
        <f t="shared" si="55"/>
        <v/>
      </c>
    </row>
    <row r="160" spans="1:13" x14ac:dyDescent="0.35">
      <c r="A160" s="48"/>
      <c r="B160" s="48"/>
      <c r="C160" s="49"/>
      <c r="D160" s="50"/>
      <c r="E160" s="51" t="str">
        <f t="shared" si="54"/>
        <v/>
      </c>
      <c r="F160" s="71" t="str">
        <f t="shared" si="51"/>
        <v/>
      </c>
      <c r="G160" s="69" t="str">
        <f t="shared" si="53"/>
        <v/>
      </c>
      <c r="H160" s="70" t="str">
        <f t="shared" si="52"/>
        <v/>
      </c>
      <c r="I160" s="27" t="str">
        <f>IF(N(J160)=0,"",0&amp;"-"&amp;B$14)</f>
        <v/>
      </c>
      <c r="J160" s="52" t="str">
        <f>IF(N(B$14)=0,"",IF(AND(COUNT(H150:H161)=2,COUNT(F150:F161)=2),cubic_spline(F149:F151,H149:H151,B$14),IF(AND(COUNT(H150:H161)=3,COUNT(F150:F161)=3),cubic_spline(F149:F152,H149:H152,B$14),IF(AND(COUNT(H150:H161)=4,COUNT(F150:F161)=4),cubic_spline(F149:F153,H149:H153,B$14),IF(AND(COUNT(H150:H161)=5,COUNT(F150:F161)=5),cubic_spline(F149:F154,H149:H154,B$14),IF(AND(COUNT(H150:H161)=6,COUNT(F150:F161)=6),cubic_spline(F149:F155,H149:H155,B$14),IF(AND(COUNT(H150:H161)=7,COUNT(F150:F161)=7),cubic_spline(F149:F156,H149:H156,B$14),IF(AND(COUNT(H150:H161)=8,COUNT(F150:F161)=8),cubic_spline(F149:F157,H149:H157,B$14),IF(AND(COUNT(H150:H161)=9,COUNT(F150:F161)=9),cubic_spline(F149:F158,H149:H158,B$14),IF(AND(COUNT(H150:H161)=10,COUNT(F150:F161)=10),cubic_spline(F149:F159,H149:H159,B$14),IF(AND(COUNT(H150:H161)=11,COUNT(F150:F161)=11),cubic_spline(F149:F160,H149:H160,B$14),IF(AND(COUNT(H150:H161)=12,COUNT(F150:F161)=12),cubic_spline(F149:F161,H149:H161,B$14),""))))))))))))</f>
        <v/>
      </c>
      <c r="K160" s="52" t="str">
        <f>IF(N(B$14)=0,"",IF(AND(COUNT(A150:A161)=2,COUNT(F150:F161)=2),cubic_spline(F149:F151,A149:A151,B$14),IF(AND(COUNT(A150:A161)=3,COUNT(F150:F161)=3),cubic_spline(F149:F152,A149:A152,B$14),IF(AND(COUNT(A150:A161)=4,COUNT(F150:F161)=4),cubic_spline(F149:F153,A149:A153,B$14),IF(AND(COUNT(A150:A161)=5,COUNT(F150:F161)=5),cubic_spline(F149:F154,A149:A154,B$14),IF(AND(COUNT(A150:A161)=6,COUNT(F150:F161)=6),cubic_spline(F149:F155,A149:A155,B$14),IF(AND(COUNT(A150:A161)=7,COUNT(F150:F161)=7),cubic_spline(F149:F156,A149:A156,B$14),IF(AND(COUNT(A150:A161)=8,COUNT(F150:F161)=8),cubic_spline(F149:F157,A149:A157,B$14),IF(AND(COUNT(A150:A161)=9,COUNT(F150:F161)=9),cubic_spline(F149:F158,A149:A158,B$14),IF(AND(COUNT(A150:A161)=10,COUNT(F150:F161)=10),cubic_spline(F149:F159,A149:A159,B$14),IF(AND(COUNT(A150:A161)=11,COUNT(F150:F161)=11),cubic_spline(F149:F160,A149:A160,B$14),IF(AND(COUNT(A150:A161)=12,COUNT(F150:F161)=12),cubic_spline(F149:F161,A149:A161,B$14),""))))))))))))</f>
        <v/>
      </c>
      <c r="L160" s="27" t="str">
        <f>IF(I160="","",B$13&amp;"-"&amp;B$14)</f>
        <v/>
      </c>
      <c r="M160" s="52" t="str">
        <f t="shared" si="55"/>
        <v/>
      </c>
    </row>
    <row r="161" spans="1:13" x14ac:dyDescent="0.35">
      <c r="A161" s="48"/>
      <c r="B161" s="48"/>
      <c r="C161" s="49"/>
      <c r="D161" s="50"/>
      <c r="E161" s="51" t="str">
        <f t="shared" si="54"/>
        <v/>
      </c>
      <c r="F161" s="71" t="str">
        <f t="shared" si="51"/>
        <v/>
      </c>
      <c r="G161" s="69" t="str">
        <f t="shared" si="53"/>
        <v/>
      </c>
      <c r="H161" s="70" t="str">
        <f t="shared" si="52"/>
        <v/>
      </c>
      <c r="I161" s="27" t="str">
        <f>IF(N(J161)=0,"",0&amp;"-"&amp;B$15)</f>
        <v/>
      </c>
      <c r="J161" s="52" t="str">
        <f>IF(N(B$15)=0,"",IF(AND(COUNT(H150:H161)=2,COUNT(F150:F161)=2),cubic_spline(F149:F151,H149:H151,B$15),IF(AND(COUNT(H150:H161)=3,COUNT(F150:F161)=3),cubic_spline(F149:F152,H149:H152,B$15),IF(AND(COUNT(H150:H161)=4,COUNT(F150:F161)=4),cubic_spline(F149:F153,H149:H153,B$15),IF(AND(COUNT(H150:H161)=5,COUNT(F150:F161)=5),cubic_spline(F149:F154,H149:H154,B$15),IF(AND(COUNT(H150:H161)=6,COUNT(F150:F161)=6),cubic_spline(F149:F155,H149:H155,B$15),IF(AND(COUNT(H150:H161)=7,COUNT(F150:F161)=7),cubic_spline(F149:F156,H149:H156,B$15),IF(AND(COUNT(H150:H161)=8,COUNT(F150:F161)=8),cubic_spline(F149:F157,H149:H157,B$15),IF(AND(COUNT(H150:H161)=9,COUNT(F150:F161)=9),cubic_spline(F149:F158,H149:H158,B$15),IF(AND(COUNT(H150:H161)=10,COUNT(F150:F161)=10),cubic_spline(F149:F159,H149:H159,B$15),IF(AND(COUNT(H150:H161)=11,COUNT(F150:F161)=11),cubic_spline(F149:F160,H149:H160,B$15),IF(AND(COUNT(H150:H161)=12,COUNT(F150:F161)=12),cubic_spline(F149:F161,H149:H161,B$15),""))))))))))))</f>
        <v/>
      </c>
      <c r="K161" s="52" t="str">
        <f>IF(N(B$15)=0,"",IF(AND(COUNT(A150:A161)=2,COUNT(F150:F161)=2),cubic_spline(F149:F151,A149:A151,B$15),IF(AND(COUNT(A150:A161)=3,COUNT(F150:F161)=3),cubic_spline(F149:F152,A149:A152,B$15),IF(AND(COUNT(A150:A161)=4,COUNT(F150:F161)=4),cubic_spline(F149:F153,A149:A153,B$15),IF(AND(COUNT(A150:A161)=5,COUNT(F150:F161)=5),cubic_spline(F149:F154,A149:A154,B$15),IF(AND(COUNT(A150:A161)=6,COUNT(F150:F161)=6),cubic_spline(F149:F155,A149:A155,B$15),IF(AND(COUNT(A150:A161)=7,COUNT(F150:F161)=7),cubic_spline(F149:F156,A149:A156,B$15),IF(AND(COUNT(A150:A161)=8,COUNT(F150:F161)=8),cubic_spline(F149:F157,A149:A157,B$15),IF(AND(COUNT(A150:A161)=9,COUNT(F150:F161)=9),cubic_spline(F149:F158,A149:A158,B$15),IF(AND(COUNT(A150:A161)=10,COUNT(F150:F161)=10),cubic_spline(F149:F159,A149:A159,B$15),IF(AND(COUNT(A150:A161)=11,COUNT(F150:F161)=11),cubic_spline(F149:F160,A149:A160,B$15),IF(AND(COUNT(A150:A161)=12,COUNT(F150:F161)=12),cubic_spline(F149:F161,A149:A161,B$15),""))))))))))))</f>
        <v/>
      </c>
      <c r="L161" s="27" t="str">
        <f>IF(I161="","",B$14&amp;"-"&amp;B$15)</f>
        <v/>
      </c>
      <c r="M161" s="52" t="str">
        <f t="shared" si="55"/>
        <v/>
      </c>
    </row>
    <row r="162" spans="1:13" ht="5.15" customHeight="1" x14ac:dyDescent="0.35">
      <c r="A162" s="47"/>
      <c r="B162" s="47"/>
      <c r="C162" s="47"/>
      <c r="D162" s="53"/>
      <c r="E162" s="54"/>
      <c r="F162" s="55"/>
      <c r="G162" s="72"/>
      <c r="H162" s="73"/>
      <c r="I162" s="47"/>
      <c r="J162" s="57"/>
      <c r="K162" s="57"/>
      <c r="L162" s="55"/>
      <c r="M162" s="57"/>
    </row>
    <row r="163" spans="1:13" x14ac:dyDescent="0.35">
      <c r="A163" s="48"/>
      <c r="B163" s="48"/>
      <c r="C163" s="49"/>
      <c r="D163" s="50"/>
      <c r="E163" s="51" t="str">
        <f>IF(N(C163)=0,"",C163/PI()/($D$1/2)^2/$D$2*10000)</f>
        <v/>
      </c>
      <c r="F163" s="68" t="str">
        <f t="shared" ref="F163:F174" si="56">IF(N(E163)=0,"",(N(E163)+N(F162)))</f>
        <v/>
      </c>
      <c r="G163" s="69" t="str">
        <f>IF(OR(N(D163)=0,N(E163)=0),"",(E163*D163)/1000)</f>
        <v/>
      </c>
      <c r="H163" s="70" t="str">
        <f t="shared" ref="H163:H174" si="57">IF(N(G163)=0,"",(N(G163)+N(H162)))</f>
        <v/>
      </c>
      <c r="I163" s="27" t="str">
        <f>IF(N(J163)=0,"",0&amp;"-"&amp;B$4)</f>
        <v/>
      </c>
      <c r="J163" s="52" t="str">
        <f>IF(N(B$4)=0,"",IF(AND(COUNT(H163:H174)=2,COUNT(F163:F174)=2),cubic_spline(F162:F164,H162:H164,B$4),IF(AND(COUNT(H163:H174)=3,COUNT(F163:F174)=3),cubic_spline(F162:F165,H162:H165,B$4),IF(AND(COUNT(H163:H174)=4,COUNT(F163:F174)=4),cubic_spline(F162:F166,H162:H166,B$4),IF(AND(COUNT(H163:H174)=5,COUNT(F163:F174)=5),cubic_spline(F162:F167,H162:H167,B$4),IF(AND(COUNT(H163:H174)=6,COUNT(F163:F174)=6),cubic_spline(F162:F168,H162:H168,B$4),IF(AND(COUNT(H163:H174)=7,COUNT(F163:F174)=7),cubic_spline(F162:F169,H162:H169,B$4),IF(AND(COUNT(H163:H174)=8,COUNT(F163:F174)=8),cubic_spline(F162:F170,H162:H170,B$4),IF(AND(COUNT(H163:H174)=9,COUNT(F163:F174)=9),cubic_spline(F162:F171,H162:H171,B$4),IF(AND(COUNT(H163:H174)=10,COUNT(F163:F174)=10),cubic_spline(F162:F172,H162:H172,B$4),IF(AND(COUNT(H163:H174)=11,COUNT(F163:F174)=11),cubic_spline(F162:F173,H162:H173,B$4),IF(AND(COUNT(H163:H174)=12,COUNT(F163:F174)=12),cubic_spline(F162:F174,H162:H174,B$4),""))))))))))))</f>
        <v/>
      </c>
      <c r="K163" s="52" t="str">
        <f>IF(N(B$4)=0,"",IF(AND(COUNT(A163:A174)=2,COUNT(F163:F174)=2),cubic_spline(F162:F164,A162:A164,B$4),IF(AND(COUNT(A163:A174)=3,COUNT(F163:F174)=3),cubic_spline(F162:F165,A162:A165,B$4),IF(AND(COUNT(A163:A174)=4,COUNT(F163:F174)=4),cubic_spline(F162:F166,A162:A166,B$4),IF(AND(COUNT(A163:A174)=5,COUNT(F163:F174)=5),cubic_spline(F162:F167,A162:A167,B$4),IF(AND(COUNT(A163:A174)=6,COUNT(F163:F174)=6),cubic_spline(F162:F168,A162:A168,B$4),IF(AND(COUNT(A163:A174)=7,COUNT(F163:F174)=7),cubic_spline(F162:F169,A162:A169,B$4),IF(AND(COUNT(A163:A174)=8,COUNT(F163:F174)=8),cubic_spline(F162:F170,A162:A170,B$4),IF(AND(COUNT(A163:A174)=9,COUNT(F163:F174)=9),cubic_spline(F162:F171,A162:A171,B$4),IF(AND(COUNT(A163:A174)=10,COUNT(F163:F174)=10),cubic_spline(F162:F172,A162:A172,B$4),IF(AND(COUNT(A163:A174)=11,COUNT(F163:F174)=11),cubic_spline(F162:F173,A162:A173,B$4),IF(AND(COUNT(A163:A174)=12,COUNT(F163:F174)=12),cubic_spline(F162:F174,A162:A174,B$4),""))))))))))))</f>
        <v/>
      </c>
      <c r="L163" s="27" t="str">
        <f>IF(I163="","",0&amp;"-"&amp;B$4)</f>
        <v/>
      </c>
      <c r="M163" s="52" t="str">
        <f>IF(N(J163)=0,"",J163-J162)</f>
        <v/>
      </c>
    </row>
    <row r="164" spans="1:13" x14ac:dyDescent="0.35">
      <c r="A164" s="48"/>
      <c r="B164" s="48"/>
      <c r="C164" s="49"/>
      <c r="D164" s="50"/>
      <c r="E164" s="51" t="str">
        <f>IF(N(C164)=0,"",C164/PI()/($D$1/2)^2/$D$2*10000)</f>
        <v/>
      </c>
      <c r="F164" s="68" t="str">
        <f t="shared" si="56"/>
        <v/>
      </c>
      <c r="G164" s="69" t="str">
        <f t="shared" ref="G164:G174" si="58">IF(OR(N(D164)=0,N(E164)=0),"",(E164*D164)/1000)</f>
        <v/>
      </c>
      <c r="H164" s="70" t="str">
        <f t="shared" si="57"/>
        <v/>
      </c>
      <c r="I164" s="27" t="str">
        <f>IF(N(J164)=0,"",0&amp;"-"&amp;B$5)</f>
        <v/>
      </c>
      <c r="J164" s="52" t="str">
        <f>IF(N(B$5)=0,"",IF(AND(COUNT(H163:H174)=2,COUNT(F163:F174)=2),cubic_spline(F162:F164,H162:H164,B$5),IF(AND(COUNT(H163:H174)=3,COUNT(F163:F174)=3),cubic_spline(F162:F165,H162:H165,B$5),IF(AND(COUNT(H163:H174)=4,COUNT(F163:F174)=4),cubic_spline(F162:F166,H162:H166,B$5),IF(AND(COUNT(H163:H174)=5,COUNT(F163:F174)=5),cubic_spline(F162:F167,H162:H167,B$5),IF(AND(COUNT(H163:H174)=6,COUNT(F163:F174)=6),cubic_spline(F162:F168,H162:H168,B$5),IF(AND(COUNT(H163:H174)=7,COUNT(F163:F174)=7),cubic_spline(F162:F169,H162:H169,B$5),IF(AND(COUNT(H163:H174)=8,COUNT(F163:F174)=8),cubic_spline(F162:F170,H162:H170,B$5),IF(AND(COUNT(H163:H174)=9,COUNT(F163:F174)=9),cubic_spline(F162:F171,H162:H171,B$5),IF(AND(COUNT(H163:H174)=10,COUNT(F163:F174)=10),cubic_spline(F162:F172,H162:H172,B$5),IF(AND(COUNT(H163:H174)=11,COUNT(F163:F174)=11),cubic_spline(F162:F173,H162:H173,B$5),IF(AND(COUNT(H163:H174)=12,COUNT(F163:F174)=12),cubic_spline(F162:F174,H162:H174,B$5),""))))))))))))</f>
        <v/>
      </c>
      <c r="K164" s="52" t="str">
        <f>IF(N(B$5)=0,"",IF(AND(COUNT(A163:A174)=2,COUNT(F163:F174)=2),cubic_spline(F162:F164,A162:A164,B$5),IF(AND(COUNT(A163:A174)=3,COUNT(F163:F174)=3),cubic_spline(F162:F165,A162:A165,B$5),IF(AND(COUNT(A163:A174)=4,COUNT(F163:F174)=4),cubic_spline(F162:F166,A162:A166,B$5),IF(AND(COUNT(A163:A174)=5,COUNT(F163:F174)=5),cubic_spline(F162:F167,A162:A167,B$5),IF(AND(COUNT(A163:A174)=6,COUNT(F163:F174)=6),cubic_spline(F162:F168,A162:A168,B$5),IF(AND(COUNT(A163:A174)=7,COUNT(F163:F174)=7),cubic_spline(F162:F169,A162:A169,B$5),IF(AND(COUNT(A163:A174)=8,COUNT(F163:F174)=8),cubic_spline(F162:F170,A162:A170,B$5),IF(AND(COUNT(A163:A174)=9,COUNT(F163:F174)=9),cubic_spline(F162:F171,A162:A171,B$5),IF(AND(COUNT(A163:A174)=10,COUNT(F163:F174)=10),cubic_spline(F162:F172,A162:A172,B$5),IF(AND(COUNT(A163:A174)=11,COUNT(F163:F174)=11),cubic_spline(F162:F173,A162:A173,B$5),IF(AND(COUNT(A163:A174)=12,COUNT(F163:F174)=12),cubic_spline(F162:F174,A162:A174,B$5),""))))))))))))</f>
        <v/>
      </c>
      <c r="L164" s="27" t="str">
        <f>IF(I164="","",B$4&amp;"-"&amp;B$5)</f>
        <v/>
      </c>
      <c r="M164" s="52" t="str">
        <f>IF(N(J164)=0,"",J164-J163)</f>
        <v/>
      </c>
    </row>
    <row r="165" spans="1:13" x14ac:dyDescent="0.35">
      <c r="A165" s="48"/>
      <c r="B165" s="48"/>
      <c r="C165" s="49"/>
      <c r="D165" s="50"/>
      <c r="E165" s="51" t="str">
        <f>IF(N(C165)=0,"",C165/PI()/($D$1/2)^2/$D$2*10000)</f>
        <v/>
      </c>
      <c r="F165" s="68" t="str">
        <f t="shared" si="56"/>
        <v/>
      </c>
      <c r="G165" s="69" t="str">
        <f t="shared" si="58"/>
        <v/>
      </c>
      <c r="H165" s="70" t="str">
        <f t="shared" si="57"/>
        <v/>
      </c>
      <c r="I165" s="27" t="str">
        <f>IF(N(J165)=0,"",0&amp;"-"&amp;B$6)</f>
        <v/>
      </c>
      <c r="J165" s="52" t="str">
        <f>IF(N(B$6)=0,"",IF(AND(COUNT(H163:H174)=2,COUNT(F163:F174)=2),cubic_spline(F162:F164,H162:H164,B$6),IF(AND(COUNT(H163:H174)=3,COUNT(F163:F174)=3),cubic_spline(F162:F165,H162:H165,B$6),IF(AND(COUNT(H163:H174)=4,COUNT(F163:F174)=4),cubic_spline(F162:F166,H162:H166,B$6),IF(AND(COUNT(H163:H174)=5,COUNT(F163:F174)=5),cubic_spline(F162:F167,H162:H167,B$6),IF(AND(COUNT(H163:H174)=6,COUNT(F163:F174)=6),cubic_spline(F162:F168,H162:H168,B$6),IF(AND(COUNT(H163:H174)=7,COUNT(F163:F174)=7),cubic_spline(F162:F169,H162:H169,B$6),IF(AND(COUNT(H163:H174)=8,COUNT(F163:F174)=8),cubic_spline(F162:F170,H162:H170,B$6),IF(AND(COUNT(H163:H174)=9,COUNT(F163:F174)=9),cubic_spline(F162:F171,H162:H171,B$6),IF(AND(COUNT(H163:H174)=10,COUNT(F163:F174)=10),cubic_spline(F162:F172,H162:H172,B$6),IF(AND(COUNT(H163:H174)=11,COUNT(F163:F174)=11),cubic_spline(F162:F173,H162:H173,B$6),IF(AND(COUNT(H163:H174)=12,COUNT(F163:F174)=12),cubic_spline(F162:F174,H162:H174,B$6),""))))))))))))</f>
        <v/>
      </c>
      <c r="K165" s="52" t="str">
        <f>IF(N(B$6)=0,"",IF(AND(COUNT(A163:A174)=2,COUNT(F163:F174)=2),cubic_spline(F162:F164,A162:A164,B$6),IF(AND(COUNT(A163:A174)=3,COUNT(F163:F174)=3),cubic_spline(F162:F165,A162:A165,B$6),IF(AND(COUNT(A163:A174)=4,COUNT(F163:F174)=4),cubic_spline(F162:F166,A162:A166,B$6),IF(AND(COUNT(A163:A174)=5,COUNT(F163:F174)=5),cubic_spline(F162:F167,A162:A167,B$6),IF(AND(COUNT(A163:A174)=6,COUNT(F163:F174)=6),cubic_spline(F162:F168,A162:A168,B$6),IF(AND(COUNT(A163:A174)=7,COUNT(F163:F174)=7),cubic_spline(F162:F169,A162:A169,B$6),IF(AND(COUNT(A163:A174)=8,COUNT(F163:F174)=8),cubic_spline(F162:F170,A162:A170,B$6),IF(AND(COUNT(A163:A174)=9,COUNT(F163:F174)=9),cubic_spline(F162:F171,A162:A171,B$6),IF(AND(COUNT(A163:A174)=10,COUNT(F163:F174)=10),cubic_spline(F162:F172,A162:A172,B$6),IF(AND(COUNT(A163:A174)=11,COUNT(F163:F174)=11),cubic_spline(F162:F173,A162:A173,B$6),IF(AND(COUNT(A163:A174)=12,COUNT(F163:F174)=12),cubic_spline(F162:F174,A162:A174,B$6),""))))))))))))</f>
        <v/>
      </c>
      <c r="L165" s="27" t="str">
        <f>IF(I165="","",B$5&amp;"-"&amp;B$6)</f>
        <v/>
      </c>
      <c r="M165" s="52" t="str">
        <f>IF(N(J165)=0,"",J165-J164)</f>
        <v/>
      </c>
    </row>
    <row r="166" spans="1:13" x14ac:dyDescent="0.35">
      <c r="A166" s="48"/>
      <c r="B166" s="48"/>
      <c r="C166" s="49"/>
      <c r="D166" s="50"/>
      <c r="E166" s="51" t="str">
        <f>IF(N(C166)=0,"",C166/PI()/($D$1/2)^2/$D$2*10000)</f>
        <v/>
      </c>
      <c r="F166" s="68" t="str">
        <f t="shared" si="56"/>
        <v/>
      </c>
      <c r="G166" s="69" t="str">
        <f t="shared" si="58"/>
        <v/>
      </c>
      <c r="H166" s="70" t="str">
        <f t="shared" si="57"/>
        <v/>
      </c>
      <c r="I166" s="27" t="str">
        <f>IF(N(J166)=0,"",0&amp;"-"&amp;B$7)</f>
        <v/>
      </c>
      <c r="J166" s="52" t="str">
        <f>IF(N(B$7)=0,"",IF(AND(COUNT(H163:H174)=2,COUNT(F163:F174)=2),cubic_spline(F162:F164,H162:H164,B$7),IF(AND(COUNT(H163:H174)=3,COUNT(F163:F174)=3),cubic_spline(F162:F165,H162:H165,B$7),IF(AND(COUNT(H163:H174)=4,COUNT(F163:F174)=4),cubic_spline(F162:F166,H162:H166,B$7),IF(AND(COUNT(H163:H174)=5,COUNT(F163:F174)=5),cubic_spline(F162:F167,H162:H167,B$7),IF(AND(COUNT(H163:H174)=6,COUNT(F163:F174)=6),cubic_spline(F162:F168,H162:H168,B$7),IF(AND(COUNT(H163:H174)=7,COUNT(F163:F174)=7),cubic_spline(F162:F169,H162:H169,B$7),IF(AND(COUNT(H163:H174)=8,COUNT(F163:F174)=8),cubic_spline(F162:F170,H162:H170,B$7),IF(AND(COUNT(H163:H174)=9,COUNT(F163:F174)=9),cubic_spline(F162:F171,H162:H171,B$7),IF(AND(COUNT(H163:H174)=10,COUNT(F163:F174)=10),cubic_spline(F162:F172,H162:H172,B$7),IF(AND(COUNT(H163:H174)=11,COUNT(F163:F174)=11),cubic_spline(F162:F173,H162:H173,B$7),IF(AND(COUNT(H163:H174)=12,COUNT(F163:F174)=12),cubic_spline(F162:F174,H162:H174,B$7),""))))))))))))</f>
        <v/>
      </c>
      <c r="K166" s="52" t="str">
        <f>IF(N(B$7)=0,"",IF(AND(COUNT(A163:A174)=2,COUNT(F163:F174)=2),cubic_spline(F162:F164,A162:A164,B$7),IF(AND(COUNT(A163:A174)=3,COUNT(F163:F174)=3),cubic_spline(F162:F165,A162:A165,B$7),IF(AND(COUNT(A163:A174)=4,COUNT(F163:F174)=4),cubic_spline(F162:F166,A162:A166,B$7),IF(AND(COUNT(A163:A174)=5,COUNT(F163:F174)=5),cubic_spline(F162:F167,A162:A167,B$7),IF(AND(COUNT(A163:A174)=6,COUNT(F163:F174)=6),cubic_spline(F162:F168,A162:A168,B$7),IF(AND(COUNT(A163:A174)=7,COUNT(F163:F174)=7),cubic_spline(F162:F169,A162:A169,B$7),IF(AND(COUNT(A163:A174)=8,COUNT(F163:F174)=8),cubic_spline(F162:F170,A162:A170,B$7),IF(AND(COUNT(A163:A174)=9,COUNT(F163:F174)=9),cubic_spline(F162:F171,A162:A171,B$7),IF(AND(COUNT(A163:A174)=10,COUNT(F163:F174)=10),cubic_spline(F162:F172,A162:A172,B$7),IF(AND(COUNT(A163:A174)=11,COUNT(F163:F174)=11),cubic_spline(F162:F173,A162:A173,B$7),IF(AND(COUNT(A163:A174)=12,COUNT(F163:F174)=12),cubic_spline(F162:F174,A162:A174,B$7),""))))))))))))</f>
        <v/>
      </c>
      <c r="L166" s="27" t="str">
        <f>IF(I166="","",B$6&amp;"-"&amp;B$7)</f>
        <v/>
      </c>
      <c r="M166" s="52" t="str">
        <f>IF(N(J166)=0,"",J166-J165)</f>
        <v/>
      </c>
    </row>
    <row r="167" spans="1:13" x14ac:dyDescent="0.35">
      <c r="A167" s="48"/>
      <c r="B167" s="48"/>
      <c r="C167" s="49"/>
      <c r="D167" s="50"/>
      <c r="E167" s="51" t="str">
        <f t="shared" ref="E167:E174" si="59">IF(N(C167)=0,"",C167/PI()/($D$1/2)^2/$D$2*10000)</f>
        <v/>
      </c>
      <c r="F167" s="71" t="str">
        <f t="shared" si="56"/>
        <v/>
      </c>
      <c r="G167" s="69" t="str">
        <f t="shared" si="58"/>
        <v/>
      </c>
      <c r="H167" s="70" t="str">
        <f t="shared" si="57"/>
        <v/>
      </c>
      <c r="I167" s="27" t="str">
        <f>IF(N(J167)=0,"",0&amp;"-"&amp;B$8)</f>
        <v/>
      </c>
      <c r="J167" s="52" t="str">
        <f>IF(N(B$8)=0,"",IF(AND(COUNT(H163:H174)=2,COUNT(F163:F174)=2),cubic_spline(F162:F164,H162:H164,B$8),IF(AND(COUNT(H163:H174)=3,COUNT(F163:F174)=3),cubic_spline(F162:F165,H162:H165,B$8),IF(AND(COUNT(H163:H174)=4,COUNT(F163:F174)=4),cubic_spline(F162:F166,H162:H166,B$8),IF(AND(COUNT(H163:H174)=5,COUNT(F163:F174)=5),cubic_spline(F162:F167,H162:H167,B$8),IF(AND(COUNT(H163:H174)=6,COUNT(F163:F174)=6),cubic_spline(F162:F168,H162:H168,B$8),IF(AND(COUNT(H163:H174)=7,COUNT(F163:F174)=7),cubic_spline(F162:F169,H162:H169,B$8),IF(AND(COUNT(H163:H174)=8,COUNT(F163:F174)=8),cubic_spline(F162:F170,H162:H170,B$8),IF(AND(COUNT(H163:H174)=9,COUNT(F163:F174)=9),cubic_spline(F162:F171,H162:H171,B$8),IF(AND(COUNT(H163:H174)=10,COUNT(F163:F174)=10),cubic_spline(F162:F172,H162:H172,B$8),IF(AND(COUNT(H163:H174)=11,COUNT(F163:F174)=11),cubic_spline(F162:F173,H162:H173,B$8),IF(AND(COUNT(H163:H174)=12,COUNT(F163:F174)=12),cubic_spline(F162:F174,H162:H174,B$8),""))))))))))))</f>
        <v/>
      </c>
      <c r="K167" s="52" t="str">
        <f>IF(N(B$8)=0,"",IF(AND(COUNT(A163:A174)=2,COUNT(F163:F174)=2),cubic_spline(F162:F164,A162:A164,B$8),IF(AND(COUNT(A163:A174)=3,COUNT(F163:F174)=3),cubic_spline(F162:F165,A162:A165,B$8),IF(AND(COUNT(A163:A174)=4,COUNT(F163:F174)=4),cubic_spline(F162:F166,A162:A166,B$8),IF(AND(COUNT(A163:A174)=5,COUNT(F163:F174)=5),cubic_spline(F162:F167,A162:A167,B$8),IF(AND(COUNT(A163:A174)=6,COUNT(F163:F174)=6),cubic_spline(F162:F168,A162:A168,B$8),IF(AND(COUNT(A163:A174)=7,COUNT(F163:F174)=7),cubic_spline(F162:F169,A162:A169,B$8),IF(AND(COUNT(A163:A174)=8,COUNT(F163:F174)=8),cubic_spline(F162:F170,A162:A170,B$8),IF(AND(COUNT(A163:A174)=9,COUNT(F163:F174)=9),cubic_spline(F162:F171,A162:A171,B$8),IF(AND(COUNT(A163:A174)=10,COUNT(F163:F174)=10),cubic_spline(F162:F172,A162:A172,B$8),IF(AND(COUNT(A163:A174)=11,COUNT(F163:F174)=11),cubic_spline(F162:F173,A162:A173,B$8),IF(AND(COUNT(A163:A174)=12,COUNT(F163:F174)=12),cubic_spline(F162:F174,A162:A174,B$8),""))))))))))))</f>
        <v/>
      </c>
      <c r="L167" s="27" t="str">
        <f>IF(I167="","",B$7&amp;"-"&amp;B$8)</f>
        <v/>
      </c>
      <c r="M167" s="52" t="str">
        <f>IF(N(J167)=0,"",J167-J166)</f>
        <v/>
      </c>
    </row>
    <row r="168" spans="1:13" x14ac:dyDescent="0.35">
      <c r="A168" s="48"/>
      <c r="B168" s="48"/>
      <c r="C168" s="49"/>
      <c r="D168" s="50"/>
      <c r="E168" s="51" t="str">
        <f t="shared" si="59"/>
        <v/>
      </c>
      <c r="F168" s="71" t="str">
        <f t="shared" si="56"/>
        <v/>
      </c>
      <c r="G168" s="69" t="str">
        <f t="shared" si="58"/>
        <v/>
      </c>
      <c r="H168" s="70" t="str">
        <f t="shared" si="57"/>
        <v/>
      </c>
      <c r="I168" s="27" t="str">
        <f>IF(N(J168)=0,"",0&amp;"-"&amp;B$9)</f>
        <v/>
      </c>
      <c r="J168" s="52" t="str">
        <f>IF(N(B$9)=0,"",IF(AND(COUNT(H163:H174)=2,COUNT(F163:F174)=2),cubic_spline(F162:F164,H162:H164,B$9),IF(AND(COUNT(H163:H174)=3,COUNT(F163:F174)=3),cubic_spline(F162:F165,H162:H165,B$9),IF(AND(COUNT(H163:H174)=4,COUNT(F163:F174)=4),cubic_spline(F162:F166,H162:H166,B$9),IF(AND(COUNT(H163:H174)=5,COUNT(F163:F174)=5),cubic_spline(F162:F167,H162:H167,B$9),IF(AND(COUNT(H163:H174)=6,COUNT(F163:F174)=6),cubic_spline(F162:F168,H162:H168,B$9),IF(AND(COUNT(H163:H174)=7,COUNT(F163:F174)=7),cubic_spline(F162:F169,H162:H169,B$9),IF(AND(COUNT(H163:H174)=8,COUNT(F163:F174)=8),cubic_spline(F162:F170,H162:H170,B$9),IF(AND(COUNT(H163:H174)=9,COUNT(F163:F174)=9),cubic_spline(F162:F171,H162:H171,B$9),IF(AND(COUNT(H163:H174)=10,COUNT(F163:F174)=10),cubic_spline(F162:F172,H162:H172,B$9),IF(AND(COUNT(H163:H174)=11,COUNT(F163:F174)=11),cubic_spline(F162:F173,H162:H173,B$9),IF(AND(COUNT(H163:H174)=12,COUNT(F163:F174)=12),cubic_spline(F162:F174,H162:H174,B$9),""))))))))))))</f>
        <v/>
      </c>
      <c r="K168" s="52" t="str">
        <f>IF(N(B$9)=0,"",IF(AND(COUNT(A163:A174)=2,COUNT(F163:F174)=2),cubic_spline(F162:F164,A162:A164,B$9),IF(AND(COUNT(A163:A174)=3,COUNT(F163:F174)=3),cubic_spline(F162:F165,A162:A165,B$9),IF(AND(COUNT(A163:A174)=4,COUNT(F163:F174)=4),cubic_spline(F162:F166,A162:A166,B$9),IF(AND(COUNT(A163:A174)=5,COUNT(F163:F174)=5),cubic_spline(F162:F167,A162:A167,B$9),IF(AND(COUNT(A163:A174)=6,COUNT(F163:F174)=6),cubic_spline(F162:F168,A162:A168,B$9),IF(AND(COUNT(A163:A174)=7,COUNT(F163:F174)=7),cubic_spline(F162:F169,A162:A169,B$9),IF(AND(COUNT(A163:A174)=8,COUNT(F163:F174)=8),cubic_spline(F162:F170,A162:A170,B$9),IF(AND(COUNT(A163:A174)=9,COUNT(F163:F174)=9),cubic_spline(F162:F171,A162:A171,B$9),IF(AND(COUNT(A163:A174)=10,COUNT(F163:F174)=10),cubic_spline(F162:F172,A162:A172,B$9),IF(AND(COUNT(A163:A174)=11,COUNT(F163:F174)=11),cubic_spline(F162:F173,A162:A173,B$9),IF(AND(COUNT(A163:A174)=12,COUNT(F163:F174)=12),cubic_spline(F162:F174,A162:A174,B$9),""))))))))))))</f>
        <v/>
      </c>
      <c r="L168" s="27" t="str">
        <f>IF(I168="","",B$8&amp;"-"&amp;B$9)</f>
        <v/>
      </c>
      <c r="M168" s="52" t="str">
        <f t="shared" ref="M168:M174" si="60">IF(N(J168)=0,"",J168-J167)</f>
        <v/>
      </c>
    </row>
    <row r="169" spans="1:13" x14ac:dyDescent="0.35">
      <c r="A169" s="48"/>
      <c r="B169" s="48"/>
      <c r="C169" s="49"/>
      <c r="D169" s="50"/>
      <c r="E169" s="51" t="str">
        <f t="shared" si="59"/>
        <v/>
      </c>
      <c r="F169" s="71" t="str">
        <f t="shared" si="56"/>
        <v/>
      </c>
      <c r="G169" s="69" t="str">
        <f t="shared" si="58"/>
        <v/>
      </c>
      <c r="H169" s="70" t="str">
        <f t="shared" si="57"/>
        <v/>
      </c>
      <c r="I169" s="27" t="str">
        <f>IF(N(J169)=0,"",0&amp;"-"&amp;B$10)</f>
        <v/>
      </c>
      <c r="J169" s="52" t="str">
        <f>IF(N(B$10)=0,"",IF(AND(COUNT(H163:H174)=2,COUNT(F163:F174)=2),cubic_spline(F162:F164,H162:H164,B$10),IF(AND(COUNT(H163:H174)=3,COUNT(F163:F174)=3),cubic_spline(F162:F165,H162:H165,B$10),IF(AND(COUNT(H163:H174)=4,COUNT(F163:F174)=4),cubic_spline(F162:F166,H162:H166,B$10),IF(AND(COUNT(H163:H174)=5,COUNT(F163:F174)=5),cubic_spline(F162:F167,H162:H167,B$10),IF(AND(COUNT(H163:H174)=6,COUNT(F163:F174)=6),cubic_spline(F162:F168,H162:H168,B$10),IF(AND(COUNT(H163:H174)=7,COUNT(F163:F174)=7),cubic_spline(F162:F169,H162:H169,B$10),IF(AND(COUNT(H163:H174)=8,COUNT(F163:F174)=8),cubic_spline(F162:F170,H162:H170,B$10),IF(AND(COUNT(H163:H174)=9,COUNT(F163:F174)=9),cubic_spline(F162:F171,H162:H171,B$10),IF(AND(COUNT(H163:H174)=10,COUNT(F163:F174)=10),cubic_spline(F162:F172,H162:H172,B$10),IF(AND(COUNT(H163:H174)=11,COUNT(F163:F174)=11),cubic_spline(F162:F173,H162:H173,B$10),IF(AND(COUNT(H163:H174)=12,COUNT(F163:F174)=12),cubic_spline(F162:F174,H162:H174,B$10),""))))))))))))</f>
        <v/>
      </c>
      <c r="K169" s="52" t="str">
        <f>IF(N(B$10)=0,"",IF(AND(COUNT(A163:A174)=2,COUNT(F163:F174)=2),cubic_spline(F162:F164,A162:A164,B$10),IF(AND(COUNT(A163:A174)=3,COUNT(F163:F174)=3),cubic_spline(F162:F165,A162:A165,B$10),IF(AND(COUNT(A163:A174)=4,COUNT(F163:F174)=4),cubic_spline(F162:F166,A162:A166,B$10),IF(AND(COUNT(A163:A174)=5,COUNT(F163:F174)=5),cubic_spline(F162:F167,A162:A167,B$10),IF(AND(COUNT(A163:A174)=6,COUNT(F163:F174)=6),cubic_spline(F162:F168,A162:A168,B$10),IF(AND(COUNT(A163:A174)=7,COUNT(F163:F174)=7),cubic_spline(F162:F169,A162:A169,B$10),IF(AND(COUNT(A163:A174)=8,COUNT(F163:F174)=8),cubic_spline(F162:F170,A162:A170,B$10),IF(AND(COUNT(A163:A174)=9,COUNT(F163:F174)=9),cubic_spline(F162:F171,A162:A171,B$10),IF(AND(COUNT(A163:A174)=10,COUNT(F163:F174)=10),cubic_spline(F162:F172,A162:A172,B$10),IF(AND(COUNT(A163:A174)=11,COUNT(F163:F174)=11),cubic_spline(F162:F173,A162:A173,B$10),IF(AND(COUNT(A163:A174)=12,COUNT(F163:F174)=12),cubic_spline(F162:F174,A162:A174,B$10),""))))))))))))</f>
        <v/>
      </c>
      <c r="L169" s="27" t="str">
        <f>IF(I169="","",B$9&amp;"-"&amp;B$10)</f>
        <v/>
      </c>
      <c r="M169" s="52" t="str">
        <f t="shared" si="60"/>
        <v/>
      </c>
    </row>
    <row r="170" spans="1:13" x14ac:dyDescent="0.35">
      <c r="A170" s="48"/>
      <c r="B170" s="48"/>
      <c r="C170" s="49"/>
      <c r="D170" s="50"/>
      <c r="E170" s="51" t="str">
        <f t="shared" si="59"/>
        <v/>
      </c>
      <c r="F170" s="71" t="str">
        <f t="shared" si="56"/>
        <v/>
      </c>
      <c r="G170" s="69" t="str">
        <f t="shared" si="58"/>
        <v/>
      </c>
      <c r="H170" s="70" t="str">
        <f t="shared" si="57"/>
        <v/>
      </c>
      <c r="I170" s="27" t="str">
        <f>IF(N(J170)=0,"",0&amp;"-"&amp;B$11)</f>
        <v/>
      </c>
      <c r="J170" s="52" t="str">
        <f>IF(N(B$11)=0,"",IF(AND(COUNT(H163:H174)=2,COUNT(F163:F174)=2),cubic_spline(F162:F164,H162:H164,B$11),IF(AND(COUNT(H163:H174)=3,COUNT(F163:F174)=3),cubic_spline(F162:F165,H162:H165,B$11),IF(AND(COUNT(H163:H174)=4,COUNT(F163:F174)=4),cubic_spline(F162:F166,H162:H166,B$11),IF(AND(COUNT(H163:H174)=5,COUNT(F163:F174)=5),cubic_spline(F162:F167,H162:H167,B$11),IF(AND(COUNT(H163:H174)=6,COUNT(F163:F174)=6),cubic_spline(F162:F168,H162:H168,B$11),IF(AND(COUNT(H163:H174)=7,COUNT(F163:F174)=7),cubic_spline(F162:F169,H162:H169,B$11),IF(AND(COUNT(H163:H174)=8,COUNT(F163:F174)=8),cubic_spline(F162:F170,H162:H170,B$11),IF(AND(COUNT(H163:H174)=9,COUNT(F163:F174)=9),cubic_spline(F162:F171,H162:H171,B$11),IF(AND(COUNT(H163:H174)=10,COUNT(F163:F174)=10),cubic_spline(F162:F172,H162:H172,B$11),IF(AND(COUNT(H163:H174)=11,COUNT(F163:F174)=11),cubic_spline(F162:F173,H162:H173,B$11),IF(AND(COUNT(H163:H174)=12,COUNT(F163:F174)=12),cubic_spline(F162:F174,H162:H174,B$11),""))))))))))))</f>
        <v/>
      </c>
      <c r="K170" s="52" t="str">
        <f>IF(N(B$11)=0,"",IF(AND(COUNT(A163:A174)=2,COUNT(F163:F174)=2),cubic_spline(F162:F164,A162:A164,B$11),IF(AND(COUNT(A163:A174)=3,COUNT(F163:F174)=3),cubic_spline(F162:F165,A162:A165,B$11),IF(AND(COUNT(A163:A174)=4,COUNT(F163:F174)=4),cubic_spline(F162:F166,A162:A166,B$11),IF(AND(COUNT(A163:A174)=5,COUNT(F163:F174)=5),cubic_spline(F162:F167,A162:A167,B$11),IF(AND(COUNT(A163:A174)=6,COUNT(F163:F174)=6),cubic_spline(F162:F168,A162:A168,B$11),IF(AND(COUNT(A163:A174)=7,COUNT(F163:F174)=7),cubic_spline(F162:F169,A162:A169,B$11),IF(AND(COUNT(A163:A174)=8,COUNT(F163:F174)=8),cubic_spline(F162:F170,A162:A170,B$11),IF(AND(COUNT(A163:A174)=9,COUNT(F163:F174)=9),cubic_spline(F162:F171,A162:A171,B$11),IF(AND(COUNT(A163:A174)=10,COUNT(F163:F174)=10),cubic_spline(F162:F172,A162:A172,B$11),IF(AND(COUNT(A163:A174)=11,COUNT(F163:F174)=11),cubic_spline(F162:F173,A162:A173,B$11),IF(AND(COUNT(A163:A174)=12,COUNT(F163:F174)=12),cubic_spline(F162:F174,A162:A174,B$11),""))))))))))))</f>
        <v/>
      </c>
      <c r="L170" s="27" t="str">
        <f>IF(I170="","",B$10&amp;"-"&amp;B$11)</f>
        <v/>
      </c>
      <c r="M170" s="52" t="str">
        <f t="shared" si="60"/>
        <v/>
      </c>
    </row>
    <row r="171" spans="1:13" x14ac:dyDescent="0.35">
      <c r="A171" s="48"/>
      <c r="B171" s="48"/>
      <c r="C171" s="49"/>
      <c r="D171" s="50"/>
      <c r="E171" s="51" t="str">
        <f t="shared" si="59"/>
        <v/>
      </c>
      <c r="F171" s="71" t="str">
        <f t="shared" si="56"/>
        <v/>
      </c>
      <c r="G171" s="69" t="str">
        <f t="shared" si="58"/>
        <v/>
      </c>
      <c r="H171" s="70" t="str">
        <f t="shared" si="57"/>
        <v/>
      </c>
      <c r="I171" s="27" t="str">
        <f>IF(N(J171)=0,"",0&amp;"-"&amp;B$12)</f>
        <v/>
      </c>
      <c r="J171" s="52" t="str">
        <f>IF(N(B$12)=0,"",IF(AND(COUNT(H163:H174)=2,COUNT(F163:F174)=2),cubic_spline(F162:F164,H162:H164,B$12),IF(AND(COUNT(H163:H174)=3,COUNT(F163:F174)=3),cubic_spline(F162:F165,H162:H165,B$12),IF(AND(COUNT(H163:H174)=4,COUNT(F163:F174)=4),cubic_spline(F162:F166,H162:H166,B$12),IF(AND(COUNT(H163:H174)=5,COUNT(F163:F174)=5),cubic_spline(F162:F167,H162:H167,B$12),IF(AND(COUNT(H163:H174)=6,COUNT(F163:F174)=6),cubic_spline(F162:F168,H162:H168,B$12),IF(AND(COUNT(H163:H174)=7,COUNT(F163:F174)=7),cubic_spline(F162:F169,H162:H169,B$12),IF(AND(COUNT(H163:H174)=8,COUNT(F163:F174)=8),cubic_spline(F162:F170,H162:H170,B$12),IF(AND(COUNT(H163:H174)=9,COUNT(F163:F174)=9),cubic_spline(F162:F171,H162:H171,B$12),IF(AND(COUNT(H163:H174)=10,COUNT(F163:F174)=10),cubic_spline(F162:F172,H162:H172,B$12),IF(AND(COUNT(H163:H174)=11,COUNT(F163:F174)=11),cubic_spline(F162:F173,H162:H173,B$12),IF(AND(COUNT(H163:H174)=12,COUNT(F163:F174)=12),cubic_spline(F162:F174,H162:H174,B$12),""))))))))))))</f>
        <v/>
      </c>
      <c r="K171" s="52" t="str">
        <f>IF(N(B$12)=0,"",IF(AND(COUNT(A163:A174)=2,COUNT(F163:F174)=2),cubic_spline(F162:F164,A162:A164,B$12),IF(AND(COUNT(A163:A174)=3,COUNT(F163:F174)=3),cubic_spline(F162:F165,A162:A165,B$12),IF(AND(COUNT(A163:A174)=4,COUNT(F163:F174)=4),cubic_spline(F162:F166,A162:A166,B$12),IF(AND(COUNT(A163:A174)=5,COUNT(F163:F174)=5),cubic_spline(F162:F167,A162:A167,B$12),IF(AND(COUNT(A163:A174)=6,COUNT(F163:F174)=6),cubic_spline(F162:F168,A162:A168,B$12),IF(AND(COUNT(A163:A174)=7,COUNT(F163:F174)=7),cubic_spline(F162:F169,A162:A169,B$12),IF(AND(COUNT(A163:A174)=8,COUNT(F163:F174)=8),cubic_spline(F162:F170,A162:A170,B$12),IF(AND(COUNT(A163:A174)=9,COUNT(F163:F174)=9),cubic_spline(F162:F171,A162:A171,B$12),IF(AND(COUNT(A163:A174)=10,COUNT(F163:F174)=10),cubic_spline(F162:F172,A162:A172,B$12),IF(AND(COUNT(A163:A174)=11,COUNT(F163:F174)=11),cubic_spline(F162:F173,A162:A173,B$12),IF(AND(COUNT(A163:A174)=12,COUNT(F163:F174)=12),cubic_spline(F162:F174,A162:A174,B$12),""))))))))))))</f>
        <v/>
      </c>
      <c r="L171" s="27" t="str">
        <f>IF(I171="","",B$11&amp;"-"&amp;B$12)</f>
        <v/>
      </c>
      <c r="M171" s="52" t="str">
        <f t="shared" si="60"/>
        <v/>
      </c>
    </row>
    <row r="172" spans="1:13" x14ac:dyDescent="0.35">
      <c r="A172" s="48"/>
      <c r="B172" s="48"/>
      <c r="C172" s="49"/>
      <c r="D172" s="50"/>
      <c r="E172" s="51" t="str">
        <f t="shared" si="59"/>
        <v/>
      </c>
      <c r="F172" s="71" t="str">
        <f t="shared" si="56"/>
        <v/>
      </c>
      <c r="G172" s="69" t="str">
        <f t="shared" si="58"/>
        <v/>
      </c>
      <c r="H172" s="70" t="str">
        <f t="shared" si="57"/>
        <v/>
      </c>
      <c r="I172" s="27" t="str">
        <f>IF(N(J172)=0,"",0&amp;"-"&amp;B$13)</f>
        <v/>
      </c>
      <c r="J172" s="52" t="str">
        <f>IF(N(B$13)=0,"",IF(AND(COUNT(H163:H174)=2,COUNT(F163:F174)=2),cubic_spline(F162:F164,H162:H164,B$13),IF(AND(COUNT(H163:H174)=3,COUNT(F163:F174)=3),cubic_spline(F162:F165,H162:H165,B$13),IF(AND(COUNT(H163:H174)=4,COUNT(F163:F174)=4),cubic_spline(F162:F166,H162:H166,B$13),IF(AND(COUNT(H163:H174)=5,COUNT(F163:F174)=5),cubic_spline(F162:F167,H162:H167,B$13),IF(AND(COUNT(H163:H174)=6,COUNT(F163:F174)=6),cubic_spline(F162:F168,H162:H168,B$13),IF(AND(COUNT(H163:H174)=7,COUNT(F163:F174)=7),cubic_spline(F162:F169,H162:H169,B$13),IF(AND(COUNT(H163:H174)=8,COUNT(F163:F174)=8),cubic_spline(F162:F170,H162:H170,B$13),IF(AND(COUNT(H163:H174)=9,COUNT(F163:F174)=9),cubic_spline(F162:F171,H162:H171,B$13),IF(AND(COUNT(H163:H174)=10,COUNT(F163:F174)=10),cubic_spline(F162:F172,H162:H172,B$13),IF(AND(COUNT(H163:H174)=11,COUNT(F163:F174)=11),cubic_spline(F162:F173,H162:H173,B$13),IF(AND(COUNT(H163:H174)=12,COUNT(F163:F174)=12),cubic_spline(F162:F174,H162:H174,B$13),""))))))))))))</f>
        <v/>
      </c>
      <c r="K172" s="52" t="str">
        <f>IF(N(B$13)=0,"",IF(AND(COUNT(A163:A174)=2,COUNT(F163:F174)=2),cubic_spline(F162:F164,A162:A164,B$13),IF(AND(COUNT(A163:A174)=3,COUNT(F163:F174)=3),cubic_spline(F162:F165,A162:A165,B$13),IF(AND(COUNT(A163:A174)=4,COUNT(F163:F174)=4),cubic_spline(F162:F166,A162:A166,B$13),IF(AND(COUNT(A163:A174)=5,COUNT(F163:F174)=5),cubic_spline(F162:F167,A162:A167,B$13),IF(AND(COUNT(A163:A174)=6,COUNT(F163:F174)=6),cubic_spline(F162:F168,A162:A168,B$13),IF(AND(COUNT(A163:A174)=7,COUNT(F163:F174)=7),cubic_spline(F162:F169,A162:A169,B$13),IF(AND(COUNT(A163:A174)=8,COUNT(F163:F174)=8),cubic_spline(F162:F170,A162:A170,B$13),IF(AND(COUNT(A163:A174)=9,COUNT(F163:F174)=9),cubic_spline(F162:F171,A162:A171,B$13),IF(AND(COUNT(A163:A174)=10,COUNT(F163:F174)=10),cubic_spline(F162:F172,A162:A172,B$13),IF(AND(COUNT(A163:A174)=11,COUNT(F163:F174)=11),cubic_spline(F162:F173,A162:A173,B$13),IF(AND(COUNT(A163:A174)=12,COUNT(F163:F174)=12),cubic_spline(F162:F174,A162:A174,B$13),""))))))))))))</f>
        <v/>
      </c>
      <c r="L172" s="27" t="str">
        <f>IF(I172="","",B$12&amp;"-"&amp;B$13)</f>
        <v/>
      </c>
      <c r="M172" s="52" t="str">
        <f t="shared" si="60"/>
        <v/>
      </c>
    </row>
    <row r="173" spans="1:13" x14ac:dyDescent="0.35">
      <c r="A173" s="48"/>
      <c r="B173" s="48"/>
      <c r="C173" s="49"/>
      <c r="D173" s="50"/>
      <c r="E173" s="51" t="str">
        <f t="shared" si="59"/>
        <v/>
      </c>
      <c r="F173" s="71" t="str">
        <f t="shared" si="56"/>
        <v/>
      </c>
      <c r="G173" s="69" t="str">
        <f t="shared" si="58"/>
        <v/>
      </c>
      <c r="H173" s="70" t="str">
        <f t="shared" si="57"/>
        <v/>
      </c>
      <c r="I173" s="27" t="str">
        <f>IF(N(J173)=0,"",0&amp;"-"&amp;B$14)</f>
        <v/>
      </c>
      <c r="J173" s="52" t="str">
        <f>IF(N(B$14)=0,"",IF(AND(COUNT(H163:H174)=2,COUNT(F163:F174)=2),cubic_spline(F162:F164,H162:H164,B$14),IF(AND(COUNT(H163:H174)=3,COUNT(F163:F174)=3),cubic_spline(F162:F165,H162:H165,B$14),IF(AND(COUNT(H163:H174)=4,COUNT(F163:F174)=4),cubic_spline(F162:F166,H162:H166,B$14),IF(AND(COUNT(H163:H174)=5,COUNT(F163:F174)=5),cubic_spline(F162:F167,H162:H167,B$14),IF(AND(COUNT(H163:H174)=6,COUNT(F163:F174)=6),cubic_spline(F162:F168,H162:H168,B$14),IF(AND(COUNT(H163:H174)=7,COUNT(F163:F174)=7),cubic_spline(F162:F169,H162:H169,B$14),IF(AND(COUNT(H163:H174)=8,COUNT(F163:F174)=8),cubic_spline(F162:F170,H162:H170,B$14),IF(AND(COUNT(H163:H174)=9,COUNT(F163:F174)=9),cubic_spline(F162:F171,H162:H171,B$14),IF(AND(COUNT(H163:H174)=10,COUNT(F163:F174)=10),cubic_spline(F162:F172,H162:H172,B$14),IF(AND(COUNT(H163:H174)=11,COUNT(F163:F174)=11),cubic_spline(F162:F173,H162:H173,B$14),IF(AND(COUNT(H163:H174)=12,COUNT(F163:F174)=12),cubic_spline(F162:F174,H162:H174,B$14),""))))))))))))</f>
        <v/>
      </c>
      <c r="K173" s="52" t="str">
        <f>IF(N(B$14)=0,"",IF(AND(COUNT(A163:A174)=2,COUNT(F163:F174)=2),cubic_spline(F162:F164,A162:A164,B$14),IF(AND(COUNT(A163:A174)=3,COUNT(F163:F174)=3),cubic_spline(F162:F165,A162:A165,B$14),IF(AND(COUNT(A163:A174)=4,COUNT(F163:F174)=4),cubic_spline(F162:F166,A162:A166,B$14),IF(AND(COUNT(A163:A174)=5,COUNT(F163:F174)=5),cubic_spline(F162:F167,A162:A167,B$14),IF(AND(COUNT(A163:A174)=6,COUNT(F163:F174)=6),cubic_spline(F162:F168,A162:A168,B$14),IF(AND(COUNT(A163:A174)=7,COUNT(F163:F174)=7),cubic_spline(F162:F169,A162:A169,B$14),IF(AND(COUNT(A163:A174)=8,COUNT(F163:F174)=8),cubic_spline(F162:F170,A162:A170,B$14),IF(AND(COUNT(A163:A174)=9,COUNT(F163:F174)=9),cubic_spline(F162:F171,A162:A171,B$14),IF(AND(COUNT(A163:A174)=10,COUNT(F163:F174)=10),cubic_spline(F162:F172,A162:A172,B$14),IF(AND(COUNT(A163:A174)=11,COUNT(F163:F174)=11),cubic_spline(F162:F173,A162:A173,B$14),IF(AND(COUNT(A163:A174)=12,COUNT(F163:F174)=12),cubic_spline(F162:F174,A162:A174,B$14),""))))))))))))</f>
        <v/>
      </c>
      <c r="L173" s="27" t="str">
        <f>IF(I173="","",B$13&amp;"-"&amp;B$14)</f>
        <v/>
      </c>
      <c r="M173" s="52" t="str">
        <f t="shared" si="60"/>
        <v/>
      </c>
    </row>
    <row r="174" spans="1:13" x14ac:dyDescent="0.35">
      <c r="A174" s="48"/>
      <c r="B174" s="48"/>
      <c r="C174" s="49"/>
      <c r="D174" s="50"/>
      <c r="E174" s="51" t="str">
        <f t="shared" si="59"/>
        <v/>
      </c>
      <c r="F174" s="71" t="str">
        <f t="shared" si="56"/>
        <v/>
      </c>
      <c r="G174" s="69" t="str">
        <f t="shared" si="58"/>
        <v/>
      </c>
      <c r="H174" s="70" t="str">
        <f t="shared" si="57"/>
        <v/>
      </c>
      <c r="I174" s="27" t="str">
        <f>IF(N(J174)=0,"",0&amp;"-"&amp;B$15)</f>
        <v/>
      </c>
      <c r="J174" s="52" t="str">
        <f>IF(N(B$15)=0,"",IF(AND(COUNT(H163:H174)=2,COUNT(F163:F174)=2),cubic_spline(F162:F164,H162:H164,B$15),IF(AND(COUNT(H163:H174)=3,COUNT(F163:F174)=3),cubic_spline(F162:F165,H162:H165,B$15),IF(AND(COUNT(H163:H174)=4,COUNT(F163:F174)=4),cubic_spline(F162:F166,H162:H166,B$15),IF(AND(COUNT(H163:H174)=5,COUNT(F163:F174)=5),cubic_spline(F162:F167,H162:H167,B$15),IF(AND(COUNT(H163:H174)=6,COUNT(F163:F174)=6),cubic_spline(F162:F168,H162:H168,B$15),IF(AND(COUNT(H163:H174)=7,COUNT(F163:F174)=7),cubic_spline(F162:F169,H162:H169,B$15),IF(AND(COUNT(H163:H174)=8,COUNT(F163:F174)=8),cubic_spline(F162:F170,H162:H170,B$15),IF(AND(COUNT(H163:H174)=9,COUNT(F163:F174)=9),cubic_spline(F162:F171,H162:H171,B$15),IF(AND(COUNT(H163:H174)=10,COUNT(F163:F174)=10),cubic_spline(F162:F172,H162:H172,B$15),IF(AND(COUNT(H163:H174)=11,COUNT(F163:F174)=11),cubic_spline(F162:F173,H162:H173,B$15),IF(AND(COUNT(H163:H174)=12,COUNT(F163:F174)=12),cubic_spline(F162:F174,H162:H174,B$15),""))))))))))))</f>
        <v/>
      </c>
      <c r="K174" s="52" t="str">
        <f>IF(N(B$15)=0,"",IF(AND(COUNT(A163:A174)=2,COUNT(F163:F174)=2),cubic_spline(F162:F164,A162:A164,B$15),IF(AND(COUNT(A163:A174)=3,COUNT(F163:F174)=3),cubic_spline(F162:F165,A162:A165,B$15),IF(AND(COUNT(A163:A174)=4,COUNT(F163:F174)=4),cubic_spline(F162:F166,A162:A166,B$15),IF(AND(COUNT(A163:A174)=5,COUNT(F163:F174)=5),cubic_spline(F162:F167,A162:A167,B$15),IF(AND(COUNT(A163:A174)=6,COUNT(F163:F174)=6),cubic_spline(F162:F168,A162:A168,B$15),IF(AND(COUNT(A163:A174)=7,COUNT(F163:F174)=7),cubic_spline(F162:F169,A162:A169,B$15),IF(AND(COUNT(A163:A174)=8,COUNT(F163:F174)=8),cubic_spline(F162:F170,A162:A170,B$15),IF(AND(COUNT(A163:A174)=9,COUNT(F163:F174)=9),cubic_spline(F162:F171,A162:A171,B$15),IF(AND(COUNT(A163:A174)=10,COUNT(F163:F174)=10),cubic_spline(F162:F172,A162:A172,B$15),IF(AND(COUNT(A163:A174)=11,COUNT(F163:F174)=11),cubic_spline(F162:F173,A162:A173,B$15),IF(AND(COUNT(A163:A174)=12,COUNT(F163:F174)=12),cubic_spline(F162:F174,A162:A174,B$15),""))))))))))))</f>
        <v/>
      </c>
      <c r="L174" s="27" t="str">
        <f>IF(I174="","",B$14&amp;"-"&amp;B$15)</f>
        <v/>
      </c>
      <c r="M174" s="52" t="str">
        <f t="shared" si="60"/>
        <v/>
      </c>
    </row>
    <row r="175" spans="1:13" ht="5.15" customHeight="1" x14ac:dyDescent="0.35">
      <c r="A175" s="47"/>
      <c r="B175" s="47"/>
      <c r="C175" s="47"/>
      <c r="D175" s="53"/>
      <c r="E175" s="54"/>
      <c r="F175" s="55"/>
      <c r="G175" s="72"/>
      <c r="H175" s="73"/>
      <c r="I175" s="47"/>
      <c r="J175" s="57"/>
      <c r="K175" s="57"/>
      <c r="L175" s="55"/>
      <c r="M175" s="57"/>
    </row>
    <row r="176" spans="1:13" x14ac:dyDescent="0.35">
      <c r="A176" s="48"/>
      <c r="B176" s="48"/>
      <c r="C176" s="49"/>
      <c r="D176" s="50"/>
      <c r="E176" s="51" t="str">
        <f>IF(N(C176)=0,"",C176/PI()/($D$1/2)^2/$D$2*10000)</f>
        <v/>
      </c>
      <c r="F176" s="68" t="str">
        <f t="shared" ref="F176:F187" si="61">IF(N(E176)=0,"",(N(E176)+N(F175)))</f>
        <v/>
      </c>
      <c r="G176" s="69" t="str">
        <f>IF(OR(N(D176)=0,N(E176)=0),"",(E176*D176)/1000)</f>
        <v/>
      </c>
      <c r="H176" s="70" t="str">
        <f t="shared" ref="H176:H187" si="62">IF(N(G176)=0,"",(N(G176)+N(H175)))</f>
        <v/>
      </c>
      <c r="I176" s="27" t="str">
        <f>IF(N(J176)=0,"",0&amp;"-"&amp;B$4)</f>
        <v/>
      </c>
      <c r="J176" s="52" t="str">
        <f>IF(N(B$4)=0,"",IF(AND(COUNT(H176:H187)=2,COUNT(F176:F187)=2),cubic_spline(F175:F177,H175:H177,B$4),IF(AND(COUNT(H176:H187)=3,COUNT(F176:F187)=3),cubic_spline(F175:F178,H175:H178,B$4),IF(AND(COUNT(H176:H187)=4,COUNT(F176:F187)=4),cubic_spline(F175:F179,H175:H179,B$4),IF(AND(COUNT(H176:H187)=5,COUNT(F176:F187)=5),cubic_spline(F175:F180,H175:H180,B$4),IF(AND(COUNT(H176:H187)=6,COUNT(F176:F187)=6),cubic_spline(F175:F181,H175:H181,B$4),IF(AND(COUNT(H176:H187)=7,COUNT(F176:F187)=7),cubic_spline(F175:F182,H175:H182,B$4),IF(AND(COUNT(H176:H187)=8,COUNT(F176:F187)=8),cubic_spline(F175:F183,H175:H183,B$4),IF(AND(COUNT(H176:H187)=9,COUNT(F176:F187)=9),cubic_spline(F175:F184,H175:H184,B$4),IF(AND(COUNT(H176:H187)=10,COUNT(F176:F187)=10),cubic_spline(F175:F185,H175:H185,B$4),IF(AND(COUNT(H176:H187)=11,COUNT(F176:F187)=11),cubic_spline(F175:F186,H175:H186,B$4),IF(AND(COUNT(H176:H187)=12,COUNT(F176:F187)=12),cubic_spline(F175:F187,H175:H187,B$4),""))))))))))))</f>
        <v/>
      </c>
      <c r="K176" s="52" t="str">
        <f>IF(N(B$4)=0,"",IF(AND(COUNT(A176:A187)=2,COUNT(F176:F187)=2),cubic_spline(F175:F177,A175:A177,B$4),IF(AND(COUNT(A176:A187)=3,COUNT(F176:F187)=3),cubic_spline(F175:F178,A175:A178,B$4),IF(AND(COUNT(A176:A187)=4,COUNT(F176:F187)=4),cubic_spline(F175:F179,A175:A179,B$4),IF(AND(COUNT(A176:A187)=5,COUNT(F176:F187)=5),cubic_spline(F175:F180,A175:A180,B$4),IF(AND(COUNT(A176:A187)=6,COUNT(F176:F187)=6),cubic_spline(F175:F181,A175:A181,B$4),IF(AND(COUNT(A176:A187)=7,COUNT(F176:F187)=7),cubic_spline(F175:F182,A175:A182,B$4),IF(AND(COUNT(A176:A187)=8,COUNT(F176:F187)=8),cubic_spline(F175:F183,A175:A183,B$4),IF(AND(COUNT(A176:A187)=9,COUNT(F176:F187)=9),cubic_spline(F175:F184,A175:A184,B$4),IF(AND(COUNT(A176:A187)=10,COUNT(F176:F187)=10),cubic_spline(F175:F185,A175:A185,B$4),IF(AND(COUNT(A176:A187)=11,COUNT(F176:F187)=11),cubic_spline(F175:F186,A175:A186,B$4),IF(AND(COUNT(A176:A187)=12,COUNT(F176:F187)=12),cubic_spline(F175:F187,A175:A187,B$4),""))))))))))))</f>
        <v/>
      </c>
      <c r="L176" s="27" t="str">
        <f>IF(I176="","",0&amp;"-"&amp;B$4)</f>
        <v/>
      </c>
      <c r="M176" s="52" t="str">
        <f>IF(N(J176)=0,"",J176-J175)</f>
        <v/>
      </c>
    </row>
    <row r="177" spans="1:13" x14ac:dyDescent="0.35">
      <c r="A177" s="48"/>
      <c r="B177" s="48"/>
      <c r="C177" s="49"/>
      <c r="D177" s="50"/>
      <c r="E177" s="51" t="str">
        <f>IF(N(C177)=0,"",C177/PI()/($D$1/2)^2/$D$2*10000)</f>
        <v/>
      </c>
      <c r="F177" s="68" t="str">
        <f t="shared" si="61"/>
        <v/>
      </c>
      <c r="G177" s="69" t="str">
        <f t="shared" ref="G177:G187" si="63">IF(OR(N(D177)=0,N(E177)=0),"",(E177*D177)/1000)</f>
        <v/>
      </c>
      <c r="H177" s="70" t="str">
        <f t="shared" si="62"/>
        <v/>
      </c>
      <c r="I177" s="27" t="str">
        <f>IF(N(J177)=0,"",0&amp;"-"&amp;B$5)</f>
        <v/>
      </c>
      <c r="J177" s="52" t="str">
        <f>IF(N(B$5)=0,"",IF(AND(COUNT(H176:H187)=2,COUNT(F176:F187)=2),cubic_spline(F175:F177,H175:H177,B$5),IF(AND(COUNT(H176:H187)=3,COUNT(F176:F187)=3),cubic_spline(F175:F178,H175:H178,B$5),IF(AND(COUNT(H176:H187)=4,COUNT(F176:F187)=4),cubic_spline(F175:F179,H175:H179,B$5),IF(AND(COUNT(H176:H187)=5,COUNT(F176:F187)=5),cubic_spline(F175:F180,H175:H180,B$5),IF(AND(COUNT(H176:H187)=6,COUNT(F176:F187)=6),cubic_spline(F175:F181,H175:H181,B$5),IF(AND(COUNT(H176:H187)=7,COUNT(F176:F187)=7),cubic_spline(F175:F182,H175:H182,B$5),IF(AND(COUNT(H176:H187)=8,COUNT(F176:F187)=8),cubic_spline(F175:F183,H175:H183,B$5),IF(AND(COUNT(H176:H187)=9,COUNT(F176:F187)=9),cubic_spline(F175:F184,H175:H184,B$5),IF(AND(COUNT(H176:H187)=10,COUNT(F176:F187)=10),cubic_spline(F175:F185,H175:H185,B$5),IF(AND(COUNT(H176:H187)=11,COUNT(F176:F187)=11),cubic_spline(F175:F186,H175:H186,B$5),IF(AND(COUNT(H176:H187)=12,COUNT(F176:F187)=12),cubic_spline(F175:F187,H175:H187,B$5),""))))))))))))</f>
        <v/>
      </c>
      <c r="K177" s="52" t="str">
        <f>IF(N(B$5)=0,"",IF(AND(COUNT(A176:A187)=2,COUNT(F176:F187)=2),cubic_spline(F175:F177,A175:A177,B$5),IF(AND(COUNT(A176:A187)=3,COUNT(F176:F187)=3),cubic_spline(F175:F178,A175:A178,B$5),IF(AND(COUNT(A176:A187)=4,COUNT(F176:F187)=4),cubic_spline(F175:F179,A175:A179,B$5),IF(AND(COUNT(A176:A187)=5,COUNT(F176:F187)=5),cubic_spline(F175:F180,A175:A180,B$5),IF(AND(COUNT(A176:A187)=6,COUNT(F176:F187)=6),cubic_spline(F175:F181,A175:A181,B$5),IF(AND(COUNT(A176:A187)=7,COUNT(F176:F187)=7),cubic_spline(F175:F182,A175:A182,B$5),IF(AND(COUNT(A176:A187)=8,COUNT(F176:F187)=8),cubic_spline(F175:F183,A175:A183,B$5),IF(AND(COUNT(A176:A187)=9,COUNT(F176:F187)=9),cubic_spline(F175:F184,A175:A184,B$5),IF(AND(COUNT(A176:A187)=10,COUNT(F176:F187)=10),cubic_spline(F175:F185,A175:A185,B$5),IF(AND(COUNT(A176:A187)=11,COUNT(F176:F187)=11),cubic_spline(F175:F186,A175:A186,B$5),IF(AND(COUNT(A176:A187)=12,COUNT(F176:F187)=12),cubic_spline(F175:F187,A175:A187,B$5),""))))))))))))</f>
        <v/>
      </c>
      <c r="L177" s="27" t="str">
        <f>IF(I177="","",B$4&amp;"-"&amp;B$5)</f>
        <v/>
      </c>
      <c r="M177" s="52" t="str">
        <f>IF(N(J177)=0,"",J177-J176)</f>
        <v/>
      </c>
    </row>
    <row r="178" spans="1:13" x14ac:dyDescent="0.35">
      <c r="A178" s="48"/>
      <c r="B178" s="48"/>
      <c r="C178" s="49"/>
      <c r="D178" s="50"/>
      <c r="E178" s="51" t="str">
        <f>IF(N(C178)=0,"",C178/PI()/($D$1/2)^2/$D$2*10000)</f>
        <v/>
      </c>
      <c r="F178" s="68" t="str">
        <f t="shared" si="61"/>
        <v/>
      </c>
      <c r="G178" s="69" t="str">
        <f t="shared" si="63"/>
        <v/>
      </c>
      <c r="H178" s="70" t="str">
        <f t="shared" si="62"/>
        <v/>
      </c>
      <c r="I178" s="27" t="str">
        <f>IF(N(J178)=0,"",0&amp;"-"&amp;B$6)</f>
        <v/>
      </c>
      <c r="J178" s="52" t="str">
        <f>IF(N(B$6)=0,"",IF(AND(COUNT(H176:H187)=2,COUNT(F176:F187)=2),cubic_spline(F175:F177,H175:H177,B$6),IF(AND(COUNT(H176:H187)=3,COUNT(F176:F187)=3),cubic_spline(F175:F178,H175:H178,B$6),IF(AND(COUNT(H176:H187)=4,COUNT(F176:F187)=4),cubic_spline(F175:F179,H175:H179,B$6),IF(AND(COUNT(H176:H187)=5,COUNT(F176:F187)=5),cubic_spline(F175:F180,H175:H180,B$6),IF(AND(COUNT(H176:H187)=6,COUNT(F176:F187)=6),cubic_spline(F175:F181,H175:H181,B$6),IF(AND(COUNT(H176:H187)=7,COUNT(F176:F187)=7),cubic_spline(F175:F182,H175:H182,B$6),IF(AND(COUNT(H176:H187)=8,COUNT(F176:F187)=8),cubic_spline(F175:F183,H175:H183,B$6),IF(AND(COUNT(H176:H187)=9,COUNT(F176:F187)=9),cubic_spline(F175:F184,H175:H184,B$6),IF(AND(COUNT(H176:H187)=10,COUNT(F176:F187)=10),cubic_spline(F175:F185,H175:H185,B$6),IF(AND(COUNT(H176:H187)=11,COUNT(F176:F187)=11),cubic_spline(F175:F186,H175:H186,B$6),IF(AND(COUNT(H176:H187)=12,COUNT(F176:F187)=12),cubic_spline(F175:F187,H175:H187,B$6),""))))))))))))</f>
        <v/>
      </c>
      <c r="K178" s="52" t="str">
        <f>IF(N(B$6)=0,"",IF(AND(COUNT(A176:A187)=2,COUNT(F176:F187)=2),cubic_spline(F175:F177,A175:A177,B$6),IF(AND(COUNT(A176:A187)=3,COUNT(F176:F187)=3),cubic_spline(F175:F178,A175:A178,B$6),IF(AND(COUNT(A176:A187)=4,COUNT(F176:F187)=4),cubic_spline(F175:F179,A175:A179,B$6),IF(AND(COUNT(A176:A187)=5,COUNT(F176:F187)=5),cubic_spline(F175:F180,A175:A180,B$6),IF(AND(COUNT(A176:A187)=6,COUNT(F176:F187)=6),cubic_spline(F175:F181,A175:A181,B$6),IF(AND(COUNT(A176:A187)=7,COUNT(F176:F187)=7),cubic_spline(F175:F182,A175:A182,B$6),IF(AND(COUNT(A176:A187)=8,COUNT(F176:F187)=8),cubic_spline(F175:F183,A175:A183,B$6),IF(AND(COUNT(A176:A187)=9,COUNT(F176:F187)=9),cubic_spline(F175:F184,A175:A184,B$6),IF(AND(COUNT(A176:A187)=10,COUNT(F176:F187)=10),cubic_spline(F175:F185,A175:A185,B$6),IF(AND(COUNT(A176:A187)=11,COUNT(F176:F187)=11),cubic_spline(F175:F186,A175:A186,B$6),IF(AND(COUNT(A176:A187)=12,COUNT(F176:F187)=12),cubic_spline(F175:F187,A175:A187,B$6),""))))))))))))</f>
        <v/>
      </c>
      <c r="L178" s="27" t="str">
        <f>IF(I178="","",B$5&amp;"-"&amp;B$6)</f>
        <v/>
      </c>
      <c r="M178" s="52" t="str">
        <f>IF(N(J178)=0,"",J178-J177)</f>
        <v/>
      </c>
    </row>
    <row r="179" spans="1:13" x14ac:dyDescent="0.35">
      <c r="A179" s="48"/>
      <c r="B179" s="48"/>
      <c r="C179" s="49"/>
      <c r="D179" s="50"/>
      <c r="E179" s="51" t="str">
        <f>IF(N(C179)=0,"",C179/PI()/($D$1/2)^2/$D$2*10000)</f>
        <v/>
      </c>
      <c r="F179" s="68" t="str">
        <f t="shared" si="61"/>
        <v/>
      </c>
      <c r="G179" s="69" t="str">
        <f t="shared" si="63"/>
        <v/>
      </c>
      <c r="H179" s="70" t="str">
        <f t="shared" si="62"/>
        <v/>
      </c>
      <c r="I179" s="27" t="str">
        <f>IF(N(J179)=0,"",0&amp;"-"&amp;B$7)</f>
        <v/>
      </c>
      <c r="J179" s="52" t="str">
        <f>IF(N(B$7)=0,"",IF(AND(COUNT(H176:H187)=2,COUNT(F176:F187)=2),cubic_spline(F175:F177,H175:H177,B$7),IF(AND(COUNT(H176:H187)=3,COUNT(F176:F187)=3),cubic_spline(F175:F178,H175:H178,B$7),IF(AND(COUNT(H176:H187)=4,COUNT(F176:F187)=4),cubic_spline(F175:F179,H175:H179,B$7),IF(AND(COUNT(H176:H187)=5,COUNT(F176:F187)=5),cubic_spline(F175:F180,H175:H180,B$7),IF(AND(COUNT(H176:H187)=6,COUNT(F176:F187)=6),cubic_spline(F175:F181,H175:H181,B$7),IF(AND(COUNT(H176:H187)=7,COUNT(F176:F187)=7),cubic_spline(F175:F182,H175:H182,B$7),IF(AND(COUNT(H176:H187)=8,COUNT(F176:F187)=8),cubic_spline(F175:F183,H175:H183,B$7),IF(AND(COUNT(H176:H187)=9,COUNT(F176:F187)=9),cubic_spline(F175:F184,H175:H184,B$7),IF(AND(COUNT(H176:H187)=10,COUNT(F176:F187)=10),cubic_spline(F175:F185,H175:H185,B$7),IF(AND(COUNT(H176:H187)=11,COUNT(F176:F187)=11),cubic_spline(F175:F186,H175:H186,B$7),IF(AND(COUNT(H176:H187)=12,COUNT(F176:F187)=12),cubic_spline(F175:F187,H175:H187,B$7),""))))))))))))</f>
        <v/>
      </c>
      <c r="K179" s="52" t="str">
        <f>IF(N(B$7)=0,"",IF(AND(COUNT(A176:A187)=2,COUNT(F176:F187)=2),cubic_spline(F175:F177,A175:A177,B$7),IF(AND(COUNT(A176:A187)=3,COUNT(F176:F187)=3),cubic_spline(F175:F178,A175:A178,B$7),IF(AND(COUNT(A176:A187)=4,COUNT(F176:F187)=4),cubic_spline(F175:F179,A175:A179,B$7),IF(AND(COUNT(A176:A187)=5,COUNT(F176:F187)=5),cubic_spline(F175:F180,A175:A180,B$7),IF(AND(COUNT(A176:A187)=6,COUNT(F176:F187)=6),cubic_spline(F175:F181,A175:A181,B$7),IF(AND(COUNT(A176:A187)=7,COUNT(F176:F187)=7),cubic_spline(F175:F182,A175:A182,B$7),IF(AND(COUNT(A176:A187)=8,COUNT(F176:F187)=8),cubic_spline(F175:F183,A175:A183,B$7),IF(AND(COUNT(A176:A187)=9,COUNT(F176:F187)=9),cubic_spline(F175:F184,A175:A184,B$7),IF(AND(COUNT(A176:A187)=10,COUNT(F176:F187)=10),cubic_spline(F175:F185,A175:A185,B$7),IF(AND(COUNT(A176:A187)=11,COUNT(F176:F187)=11),cubic_spline(F175:F186,A175:A186,B$7),IF(AND(COUNT(A176:A187)=12,COUNT(F176:F187)=12),cubic_spline(F175:F187,A175:A187,B$7),""))))))))))))</f>
        <v/>
      </c>
      <c r="L179" s="27" t="str">
        <f>IF(I179="","",B$6&amp;"-"&amp;B$7)</f>
        <v/>
      </c>
      <c r="M179" s="52" t="str">
        <f>IF(N(J179)=0,"",J179-J178)</f>
        <v/>
      </c>
    </row>
    <row r="180" spans="1:13" x14ac:dyDescent="0.35">
      <c r="A180" s="48"/>
      <c r="B180" s="48"/>
      <c r="C180" s="49"/>
      <c r="D180" s="50"/>
      <c r="E180" s="51" t="str">
        <f t="shared" ref="E180:E187" si="64">IF(N(C180)=0,"",C180/PI()/($D$1/2)^2/$D$2*10000)</f>
        <v/>
      </c>
      <c r="F180" s="71" t="str">
        <f t="shared" si="61"/>
        <v/>
      </c>
      <c r="G180" s="69" t="str">
        <f t="shared" si="63"/>
        <v/>
      </c>
      <c r="H180" s="70" t="str">
        <f t="shared" si="62"/>
        <v/>
      </c>
      <c r="I180" s="27" t="str">
        <f>IF(N(J180)=0,"",0&amp;"-"&amp;B$8)</f>
        <v/>
      </c>
      <c r="J180" s="52" t="str">
        <f>IF(N(B$8)=0,"",IF(AND(COUNT(H176:H187)=2,COUNT(F176:F187)=2),cubic_spline(F175:F177,H175:H177,B$8),IF(AND(COUNT(H176:H187)=3,COUNT(F176:F187)=3),cubic_spline(F175:F178,H175:H178,B$8),IF(AND(COUNT(H176:H187)=4,COUNT(F176:F187)=4),cubic_spline(F175:F179,H175:H179,B$8),IF(AND(COUNT(H176:H187)=5,COUNT(F176:F187)=5),cubic_spline(F175:F180,H175:H180,B$8),IF(AND(COUNT(H176:H187)=6,COUNT(F176:F187)=6),cubic_spline(F175:F181,H175:H181,B$8),IF(AND(COUNT(H176:H187)=7,COUNT(F176:F187)=7),cubic_spline(F175:F182,H175:H182,B$8),IF(AND(COUNT(H176:H187)=8,COUNT(F176:F187)=8),cubic_spline(F175:F183,H175:H183,B$8),IF(AND(COUNT(H176:H187)=9,COUNT(F176:F187)=9),cubic_spline(F175:F184,H175:H184,B$8),IF(AND(COUNT(H176:H187)=10,COUNT(F176:F187)=10),cubic_spline(F175:F185,H175:H185,B$8),IF(AND(COUNT(H176:H187)=11,COUNT(F176:F187)=11),cubic_spline(F175:F186,H175:H186,B$8),IF(AND(COUNT(H176:H187)=12,COUNT(F176:F187)=12),cubic_spline(F175:F187,H175:H187,B$8),""))))))))))))</f>
        <v/>
      </c>
      <c r="K180" s="52" t="str">
        <f>IF(N(B$8)=0,"",IF(AND(COUNT(A176:A187)=2,COUNT(F176:F187)=2),cubic_spline(F175:F177,A175:A177,B$8),IF(AND(COUNT(A176:A187)=3,COUNT(F176:F187)=3),cubic_spline(F175:F178,A175:A178,B$8),IF(AND(COUNT(A176:A187)=4,COUNT(F176:F187)=4),cubic_spline(F175:F179,A175:A179,B$8),IF(AND(COUNT(A176:A187)=5,COUNT(F176:F187)=5),cubic_spline(F175:F180,A175:A180,B$8),IF(AND(COUNT(A176:A187)=6,COUNT(F176:F187)=6),cubic_spline(F175:F181,A175:A181,B$8),IF(AND(COUNT(A176:A187)=7,COUNT(F176:F187)=7),cubic_spline(F175:F182,A175:A182,B$8),IF(AND(COUNT(A176:A187)=8,COUNT(F176:F187)=8),cubic_spline(F175:F183,A175:A183,B$8),IF(AND(COUNT(A176:A187)=9,COUNT(F176:F187)=9),cubic_spline(F175:F184,A175:A184,B$8),IF(AND(COUNT(A176:A187)=10,COUNT(F176:F187)=10),cubic_spline(F175:F185,A175:A185,B$8),IF(AND(COUNT(A176:A187)=11,COUNT(F176:F187)=11),cubic_spline(F175:F186,A175:A186,B$8),IF(AND(COUNT(A176:A187)=12,COUNT(F176:F187)=12),cubic_spline(F175:F187,A175:A187,B$8),""))))))))))))</f>
        <v/>
      </c>
      <c r="L180" s="27" t="str">
        <f>IF(I180="","",B$7&amp;"-"&amp;B$8)</f>
        <v/>
      </c>
      <c r="M180" s="52" t="str">
        <f>IF(N(J180)=0,"",J180-J179)</f>
        <v/>
      </c>
    </row>
    <row r="181" spans="1:13" x14ac:dyDescent="0.35">
      <c r="A181" s="48"/>
      <c r="B181" s="48"/>
      <c r="C181" s="49"/>
      <c r="D181" s="50"/>
      <c r="E181" s="51" t="str">
        <f t="shared" si="64"/>
        <v/>
      </c>
      <c r="F181" s="71" t="str">
        <f t="shared" si="61"/>
        <v/>
      </c>
      <c r="G181" s="69" t="str">
        <f t="shared" si="63"/>
        <v/>
      </c>
      <c r="H181" s="70" t="str">
        <f t="shared" si="62"/>
        <v/>
      </c>
      <c r="I181" s="27" t="str">
        <f>IF(N(J181)=0,"",0&amp;"-"&amp;B$9)</f>
        <v/>
      </c>
      <c r="J181" s="52" t="str">
        <f>IF(N(B$9)=0,"",IF(AND(COUNT(H176:H187)=2,COUNT(F176:F187)=2),cubic_spline(F175:F177,H175:H177,B$9),IF(AND(COUNT(H176:H187)=3,COUNT(F176:F187)=3),cubic_spline(F175:F178,H175:H178,B$9),IF(AND(COUNT(H176:H187)=4,COUNT(F176:F187)=4),cubic_spline(F175:F179,H175:H179,B$9),IF(AND(COUNT(H176:H187)=5,COUNT(F176:F187)=5),cubic_spline(F175:F180,H175:H180,B$9),IF(AND(COUNT(H176:H187)=6,COUNT(F176:F187)=6),cubic_spline(F175:F181,H175:H181,B$9),IF(AND(COUNT(H176:H187)=7,COUNT(F176:F187)=7),cubic_spline(F175:F182,H175:H182,B$9),IF(AND(COUNT(H176:H187)=8,COUNT(F176:F187)=8),cubic_spline(F175:F183,H175:H183,B$9),IF(AND(COUNT(H176:H187)=9,COUNT(F176:F187)=9),cubic_spline(F175:F184,H175:H184,B$9),IF(AND(COUNT(H176:H187)=10,COUNT(F176:F187)=10),cubic_spline(F175:F185,H175:H185,B$9),IF(AND(COUNT(H176:H187)=11,COUNT(F176:F187)=11),cubic_spline(F175:F186,H175:H186,B$9),IF(AND(COUNT(H176:H187)=12,COUNT(F176:F187)=12),cubic_spline(F175:F187,H175:H187,B$9),""))))))))))))</f>
        <v/>
      </c>
      <c r="K181" s="52" t="str">
        <f>IF(N(B$9)=0,"",IF(AND(COUNT(A176:A187)=2,COUNT(F176:F187)=2),cubic_spline(F175:F177,A175:A177,B$9),IF(AND(COUNT(A176:A187)=3,COUNT(F176:F187)=3),cubic_spline(F175:F178,A175:A178,B$9),IF(AND(COUNT(A176:A187)=4,COUNT(F176:F187)=4),cubic_spline(F175:F179,A175:A179,B$9),IF(AND(COUNT(A176:A187)=5,COUNT(F176:F187)=5),cubic_spline(F175:F180,A175:A180,B$9),IF(AND(COUNT(A176:A187)=6,COUNT(F176:F187)=6),cubic_spline(F175:F181,A175:A181,B$9),IF(AND(COUNT(A176:A187)=7,COUNT(F176:F187)=7),cubic_spline(F175:F182,A175:A182,B$9),IF(AND(COUNT(A176:A187)=8,COUNT(F176:F187)=8),cubic_spline(F175:F183,A175:A183,B$9),IF(AND(COUNT(A176:A187)=9,COUNT(F176:F187)=9),cubic_spline(F175:F184,A175:A184,B$9),IF(AND(COUNT(A176:A187)=10,COUNT(F176:F187)=10),cubic_spline(F175:F185,A175:A185,B$9),IF(AND(COUNT(A176:A187)=11,COUNT(F176:F187)=11),cubic_spline(F175:F186,A175:A186,B$9),IF(AND(COUNT(A176:A187)=12,COUNT(F176:F187)=12),cubic_spline(F175:F187,A175:A187,B$9),""))))))))))))</f>
        <v/>
      </c>
      <c r="L181" s="27" t="str">
        <f>IF(I181="","",B$8&amp;"-"&amp;B$9)</f>
        <v/>
      </c>
      <c r="M181" s="52" t="str">
        <f t="shared" ref="M181:M187" si="65">IF(N(J181)=0,"",J181-J180)</f>
        <v/>
      </c>
    </row>
    <row r="182" spans="1:13" x14ac:dyDescent="0.35">
      <c r="A182" s="48"/>
      <c r="B182" s="48"/>
      <c r="C182" s="49"/>
      <c r="D182" s="50"/>
      <c r="E182" s="51" t="str">
        <f t="shared" si="64"/>
        <v/>
      </c>
      <c r="F182" s="71" t="str">
        <f t="shared" si="61"/>
        <v/>
      </c>
      <c r="G182" s="69" t="str">
        <f t="shared" si="63"/>
        <v/>
      </c>
      <c r="H182" s="70" t="str">
        <f t="shared" si="62"/>
        <v/>
      </c>
      <c r="I182" s="27" t="str">
        <f>IF(N(J182)=0,"",0&amp;"-"&amp;B$10)</f>
        <v/>
      </c>
      <c r="J182" s="52" t="str">
        <f>IF(N(B$10)=0,"",IF(AND(COUNT(H176:H187)=2,COUNT(F176:F187)=2),cubic_spline(F175:F177,H175:H177,B$10),IF(AND(COUNT(H176:H187)=3,COUNT(F176:F187)=3),cubic_spline(F175:F178,H175:H178,B$10),IF(AND(COUNT(H176:H187)=4,COUNT(F176:F187)=4),cubic_spline(F175:F179,H175:H179,B$10),IF(AND(COUNT(H176:H187)=5,COUNT(F176:F187)=5),cubic_spline(F175:F180,H175:H180,B$10),IF(AND(COUNT(H176:H187)=6,COUNT(F176:F187)=6),cubic_spline(F175:F181,H175:H181,B$10),IF(AND(COUNT(H176:H187)=7,COUNT(F176:F187)=7),cubic_spline(F175:F182,H175:H182,B$10),IF(AND(COUNT(H176:H187)=8,COUNT(F176:F187)=8),cubic_spline(F175:F183,H175:H183,B$10),IF(AND(COUNT(H176:H187)=9,COUNT(F176:F187)=9),cubic_spline(F175:F184,H175:H184,B$10),IF(AND(COUNT(H176:H187)=10,COUNT(F176:F187)=10),cubic_spline(F175:F185,H175:H185,B$10),IF(AND(COUNT(H176:H187)=11,COUNT(F176:F187)=11),cubic_spline(F175:F186,H175:H186,B$10),IF(AND(COUNT(H176:H187)=12,COUNT(F176:F187)=12),cubic_spline(F175:F187,H175:H187,B$10),""))))))))))))</f>
        <v/>
      </c>
      <c r="K182" s="52" t="str">
        <f>IF(N(B$10)=0,"",IF(AND(COUNT(A176:A187)=2,COUNT(F176:F187)=2),cubic_spline(F175:F177,A175:A177,B$10),IF(AND(COUNT(A176:A187)=3,COUNT(F176:F187)=3),cubic_spline(F175:F178,A175:A178,B$10),IF(AND(COUNT(A176:A187)=4,COUNT(F176:F187)=4),cubic_spline(F175:F179,A175:A179,B$10),IF(AND(COUNT(A176:A187)=5,COUNT(F176:F187)=5),cubic_spline(F175:F180,A175:A180,B$10),IF(AND(COUNT(A176:A187)=6,COUNT(F176:F187)=6),cubic_spline(F175:F181,A175:A181,B$10),IF(AND(COUNT(A176:A187)=7,COUNT(F176:F187)=7),cubic_spline(F175:F182,A175:A182,B$10),IF(AND(COUNT(A176:A187)=8,COUNT(F176:F187)=8),cubic_spline(F175:F183,A175:A183,B$10),IF(AND(COUNT(A176:A187)=9,COUNT(F176:F187)=9),cubic_spline(F175:F184,A175:A184,B$10),IF(AND(COUNT(A176:A187)=10,COUNT(F176:F187)=10),cubic_spline(F175:F185,A175:A185,B$10),IF(AND(COUNT(A176:A187)=11,COUNT(F176:F187)=11),cubic_spline(F175:F186,A175:A186,B$10),IF(AND(COUNT(A176:A187)=12,COUNT(F176:F187)=12),cubic_spline(F175:F187,A175:A187,B$10),""))))))))))))</f>
        <v/>
      </c>
      <c r="L182" s="27" t="str">
        <f>IF(I182="","",B$9&amp;"-"&amp;B$10)</f>
        <v/>
      </c>
      <c r="M182" s="52" t="str">
        <f t="shared" si="65"/>
        <v/>
      </c>
    </row>
    <row r="183" spans="1:13" x14ac:dyDescent="0.35">
      <c r="A183" s="48"/>
      <c r="B183" s="48"/>
      <c r="C183" s="49"/>
      <c r="D183" s="50"/>
      <c r="E183" s="51" t="str">
        <f t="shared" si="64"/>
        <v/>
      </c>
      <c r="F183" s="71" t="str">
        <f t="shared" si="61"/>
        <v/>
      </c>
      <c r="G183" s="69" t="str">
        <f t="shared" si="63"/>
        <v/>
      </c>
      <c r="H183" s="70" t="str">
        <f t="shared" si="62"/>
        <v/>
      </c>
      <c r="I183" s="27" t="str">
        <f>IF(N(J183)=0,"",0&amp;"-"&amp;B$11)</f>
        <v/>
      </c>
      <c r="J183" s="52" t="str">
        <f>IF(N(B$11)=0,"",IF(AND(COUNT(H176:H187)=2,COUNT(F176:F187)=2),cubic_spline(F175:F177,H175:H177,B$11),IF(AND(COUNT(H176:H187)=3,COUNT(F176:F187)=3),cubic_spline(F175:F178,H175:H178,B$11),IF(AND(COUNT(H176:H187)=4,COUNT(F176:F187)=4),cubic_spline(F175:F179,H175:H179,B$11),IF(AND(COUNT(H176:H187)=5,COUNT(F176:F187)=5),cubic_spline(F175:F180,H175:H180,B$11),IF(AND(COUNT(H176:H187)=6,COUNT(F176:F187)=6),cubic_spline(F175:F181,H175:H181,B$11),IF(AND(COUNT(H176:H187)=7,COUNT(F176:F187)=7),cubic_spline(F175:F182,H175:H182,B$11),IF(AND(COUNT(H176:H187)=8,COUNT(F176:F187)=8),cubic_spline(F175:F183,H175:H183,B$11),IF(AND(COUNT(H176:H187)=9,COUNT(F176:F187)=9),cubic_spline(F175:F184,H175:H184,B$11),IF(AND(COUNT(H176:H187)=10,COUNT(F176:F187)=10),cubic_spline(F175:F185,H175:H185,B$11),IF(AND(COUNT(H176:H187)=11,COUNT(F176:F187)=11),cubic_spline(F175:F186,H175:H186,B$11),IF(AND(COUNT(H176:H187)=12,COUNT(F176:F187)=12),cubic_spline(F175:F187,H175:H187,B$11),""))))))))))))</f>
        <v/>
      </c>
      <c r="K183" s="52" t="str">
        <f>IF(N(B$11)=0,"",IF(AND(COUNT(A176:A187)=2,COUNT(F176:F187)=2),cubic_spline(F175:F177,A175:A177,B$11),IF(AND(COUNT(A176:A187)=3,COUNT(F176:F187)=3),cubic_spline(F175:F178,A175:A178,B$11),IF(AND(COUNT(A176:A187)=4,COUNT(F176:F187)=4),cubic_spline(F175:F179,A175:A179,B$11),IF(AND(COUNT(A176:A187)=5,COUNT(F176:F187)=5),cubic_spline(F175:F180,A175:A180,B$11),IF(AND(COUNT(A176:A187)=6,COUNT(F176:F187)=6),cubic_spline(F175:F181,A175:A181,B$11),IF(AND(COUNT(A176:A187)=7,COUNT(F176:F187)=7),cubic_spline(F175:F182,A175:A182,B$11),IF(AND(COUNT(A176:A187)=8,COUNT(F176:F187)=8),cubic_spline(F175:F183,A175:A183,B$11),IF(AND(COUNT(A176:A187)=9,COUNT(F176:F187)=9),cubic_spline(F175:F184,A175:A184,B$11),IF(AND(COUNT(A176:A187)=10,COUNT(F176:F187)=10),cubic_spline(F175:F185,A175:A185,B$11),IF(AND(COUNT(A176:A187)=11,COUNT(F176:F187)=11),cubic_spline(F175:F186,A175:A186,B$11),IF(AND(COUNT(A176:A187)=12,COUNT(F176:F187)=12),cubic_spline(F175:F187,A175:A187,B$11),""))))))))))))</f>
        <v/>
      </c>
      <c r="L183" s="27" t="str">
        <f>IF(I183="","",B$10&amp;"-"&amp;B$11)</f>
        <v/>
      </c>
      <c r="M183" s="52" t="str">
        <f t="shared" si="65"/>
        <v/>
      </c>
    </row>
    <row r="184" spans="1:13" x14ac:dyDescent="0.35">
      <c r="A184" s="48"/>
      <c r="B184" s="48"/>
      <c r="C184" s="49"/>
      <c r="D184" s="50"/>
      <c r="E184" s="51" t="str">
        <f t="shared" si="64"/>
        <v/>
      </c>
      <c r="F184" s="71" t="str">
        <f t="shared" si="61"/>
        <v/>
      </c>
      <c r="G184" s="69" t="str">
        <f t="shared" si="63"/>
        <v/>
      </c>
      <c r="H184" s="70" t="str">
        <f t="shared" si="62"/>
        <v/>
      </c>
      <c r="I184" s="27" t="str">
        <f>IF(N(J184)=0,"",0&amp;"-"&amp;B$12)</f>
        <v/>
      </c>
      <c r="J184" s="52" t="str">
        <f>IF(N(B$12)=0,"",IF(AND(COUNT(H176:H187)=2,COUNT(F176:F187)=2),cubic_spline(F175:F177,H175:H177,B$12),IF(AND(COUNT(H176:H187)=3,COUNT(F176:F187)=3),cubic_spline(F175:F178,H175:H178,B$12),IF(AND(COUNT(H176:H187)=4,COUNT(F176:F187)=4),cubic_spline(F175:F179,H175:H179,B$12),IF(AND(COUNT(H176:H187)=5,COUNT(F176:F187)=5),cubic_spline(F175:F180,H175:H180,B$12),IF(AND(COUNT(H176:H187)=6,COUNT(F176:F187)=6),cubic_spline(F175:F181,H175:H181,B$12),IF(AND(COUNT(H176:H187)=7,COUNT(F176:F187)=7),cubic_spline(F175:F182,H175:H182,B$12),IF(AND(COUNT(H176:H187)=8,COUNT(F176:F187)=8),cubic_spline(F175:F183,H175:H183,B$12),IF(AND(COUNT(H176:H187)=9,COUNT(F176:F187)=9),cubic_spline(F175:F184,H175:H184,B$12),IF(AND(COUNT(H176:H187)=10,COUNT(F176:F187)=10),cubic_spline(F175:F185,H175:H185,B$12),IF(AND(COUNT(H176:H187)=11,COUNT(F176:F187)=11),cubic_spline(F175:F186,H175:H186,B$12),IF(AND(COUNT(H176:H187)=12,COUNT(F176:F187)=12),cubic_spline(F175:F187,H175:H187,B$12),""))))))))))))</f>
        <v/>
      </c>
      <c r="K184" s="52" t="str">
        <f>IF(N(B$12)=0,"",IF(AND(COUNT(A176:A187)=2,COUNT(F176:F187)=2),cubic_spline(F175:F177,A175:A177,B$12),IF(AND(COUNT(A176:A187)=3,COUNT(F176:F187)=3),cubic_spline(F175:F178,A175:A178,B$12),IF(AND(COUNT(A176:A187)=4,COUNT(F176:F187)=4),cubic_spline(F175:F179,A175:A179,B$12),IF(AND(COUNT(A176:A187)=5,COUNT(F176:F187)=5),cubic_spline(F175:F180,A175:A180,B$12),IF(AND(COUNT(A176:A187)=6,COUNT(F176:F187)=6),cubic_spline(F175:F181,A175:A181,B$12),IF(AND(COUNT(A176:A187)=7,COUNT(F176:F187)=7),cubic_spline(F175:F182,A175:A182,B$12),IF(AND(COUNT(A176:A187)=8,COUNT(F176:F187)=8),cubic_spline(F175:F183,A175:A183,B$12),IF(AND(COUNT(A176:A187)=9,COUNT(F176:F187)=9),cubic_spline(F175:F184,A175:A184,B$12),IF(AND(COUNT(A176:A187)=10,COUNT(F176:F187)=10),cubic_spline(F175:F185,A175:A185,B$12),IF(AND(COUNT(A176:A187)=11,COUNT(F176:F187)=11),cubic_spline(F175:F186,A175:A186,B$12),IF(AND(COUNT(A176:A187)=12,COUNT(F176:F187)=12),cubic_spline(F175:F187,A175:A187,B$12),""))))))))))))</f>
        <v/>
      </c>
      <c r="L184" s="27" t="str">
        <f>IF(I184="","",B$11&amp;"-"&amp;B$12)</f>
        <v/>
      </c>
      <c r="M184" s="52" t="str">
        <f t="shared" si="65"/>
        <v/>
      </c>
    </row>
    <row r="185" spans="1:13" x14ac:dyDescent="0.35">
      <c r="A185" s="48"/>
      <c r="B185" s="48"/>
      <c r="C185" s="49"/>
      <c r="D185" s="50"/>
      <c r="E185" s="51" t="str">
        <f t="shared" si="64"/>
        <v/>
      </c>
      <c r="F185" s="71" t="str">
        <f t="shared" si="61"/>
        <v/>
      </c>
      <c r="G185" s="69" t="str">
        <f t="shared" si="63"/>
        <v/>
      </c>
      <c r="H185" s="70" t="str">
        <f t="shared" si="62"/>
        <v/>
      </c>
      <c r="I185" s="27" t="str">
        <f>IF(N(J185)=0,"",0&amp;"-"&amp;B$13)</f>
        <v/>
      </c>
      <c r="J185" s="52" t="str">
        <f>IF(N(B$13)=0,"",IF(AND(COUNT(H176:H187)=2,COUNT(F176:F187)=2),cubic_spline(F175:F177,H175:H177,B$13),IF(AND(COUNT(H176:H187)=3,COUNT(F176:F187)=3),cubic_spline(F175:F178,H175:H178,B$13),IF(AND(COUNT(H176:H187)=4,COUNT(F176:F187)=4),cubic_spline(F175:F179,H175:H179,B$13),IF(AND(COUNT(H176:H187)=5,COUNT(F176:F187)=5),cubic_spline(F175:F180,H175:H180,B$13),IF(AND(COUNT(H176:H187)=6,COUNT(F176:F187)=6),cubic_spline(F175:F181,H175:H181,B$13),IF(AND(COUNT(H176:H187)=7,COUNT(F176:F187)=7),cubic_spline(F175:F182,H175:H182,B$13),IF(AND(COUNT(H176:H187)=8,COUNT(F176:F187)=8),cubic_spline(F175:F183,H175:H183,B$13),IF(AND(COUNT(H176:H187)=9,COUNT(F176:F187)=9),cubic_spline(F175:F184,H175:H184,B$13),IF(AND(COUNT(H176:H187)=10,COUNT(F176:F187)=10),cubic_spline(F175:F185,H175:H185,B$13),IF(AND(COUNT(H176:H187)=11,COUNT(F176:F187)=11),cubic_spline(F175:F186,H175:H186,B$13),IF(AND(COUNT(H176:H187)=12,COUNT(F176:F187)=12),cubic_spline(F175:F187,H175:H187,B$13),""))))))))))))</f>
        <v/>
      </c>
      <c r="K185" s="52" t="str">
        <f>IF(N(B$13)=0,"",IF(AND(COUNT(A176:A187)=2,COUNT(F176:F187)=2),cubic_spline(F175:F177,A175:A177,B$13),IF(AND(COUNT(A176:A187)=3,COUNT(F176:F187)=3),cubic_spline(F175:F178,A175:A178,B$13),IF(AND(COUNT(A176:A187)=4,COUNT(F176:F187)=4),cubic_spline(F175:F179,A175:A179,B$13),IF(AND(COUNT(A176:A187)=5,COUNT(F176:F187)=5),cubic_spline(F175:F180,A175:A180,B$13),IF(AND(COUNT(A176:A187)=6,COUNT(F176:F187)=6),cubic_spline(F175:F181,A175:A181,B$13),IF(AND(COUNT(A176:A187)=7,COUNT(F176:F187)=7),cubic_spline(F175:F182,A175:A182,B$13),IF(AND(COUNT(A176:A187)=8,COUNT(F176:F187)=8),cubic_spline(F175:F183,A175:A183,B$13),IF(AND(COUNT(A176:A187)=9,COUNT(F176:F187)=9),cubic_spline(F175:F184,A175:A184,B$13),IF(AND(COUNT(A176:A187)=10,COUNT(F176:F187)=10),cubic_spline(F175:F185,A175:A185,B$13),IF(AND(COUNT(A176:A187)=11,COUNT(F176:F187)=11),cubic_spline(F175:F186,A175:A186,B$13),IF(AND(COUNT(A176:A187)=12,COUNT(F176:F187)=12),cubic_spline(F175:F187,A175:A187,B$13),""))))))))))))</f>
        <v/>
      </c>
      <c r="L185" s="27" t="str">
        <f>IF(I185="","",B$12&amp;"-"&amp;B$13)</f>
        <v/>
      </c>
      <c r="M185" s="52" t="str">
        <f t="shared" si="65"/>
        <v/>
      </c>
    </row>
    <row r="186" spans="1:13" x14ac:dyDescent="0.35">
      <c r="A186" s="48"/>
      <c r="B186" s="48"/>
      <c r="C186" s="49"/>
      <c r="D186" s="50"/>
      <c r="E186" s="51" t="str">
        <f t="shared" si="64"/>
        <v/>
      </c>
      <c r="F186" s="71" t="str">
        <f t="shared" si="61"/>
        <v/>
      </c>
      <c r="G186" s="69" t="str">
        <f t="shared" si="63"/>
        <v/>
      </c>
      <c r="H186" s="70" t="str">
        <f t="shared" si="62"/>
        <v/>
      </c>
      <c r="I186" s="27" t="str">
        <f>IF(N(J186)=0,"",0&amp;"-"&amp;B$14)</f>
        <v/>
      </c>
      <c r="J186" s="52" t="str">
        <f>IF(N(B$14)=0,"",IF(AND(COUNT(H176:H187)=2,COUNT(F176:F187)=2),cubic_spline(F175:F177,H175:H177,B$14),IF(AND(COUNT(H176:H187)=3,COUNT(F176:F187)=3),cubic_spline(F175:F178,H175:H178,B$14),IF(AND(COUNT(H176:H187)=4,COUNT(F176:F187)=4),cubic_spline(F175:F179,H175:H179,B$14),IF(AND(COUNT(H176:H187)=5,COUNT(F176:F187)=5),cubic_spline(F175:F180,H175:H180,B$14),IF(AND(COUNT(H176:H187)=6,COUNT(F176:F187)=6),cubic_spline(F175:F181,H175:H181,B$14),IF(AND(COUNT(H176:H187)=7,COUNT(F176:F187)=7),cubic_spline(F175:F182,H175:H182,B$14),IF(AND(COUNT(H176:H187)=8,COUNT(F176:F187)=8),cubic_spline(F175:F183,H175:H183,B$14),IF(AND(COUNT(H176:H187)=9,COUNT(F176:F187)=9),cubic_spline(F175:F184,H175:H184,B$14),IF(AND(COUNT(H176:H187)=10,COUNT(F176:F187)=10),cubic_spline(F175:F185,H175:H185,B$14),IF(AND(COUNT(H176:H187)=11,COUNT(F176:F187)=11),cubic_spline(F175:F186,H175:H186,B$14),IF(AND(COUNT(H176:H187)=12,COUNT(F176:F187)=12),cubic_spline(F175:F187,H175:H187,B$14),""))))))))))))</f>
        <v/>
      </c>
      <c r="K186" s="52" t="str">
        <f>IF(N(B$14)=0,"",IF(AND(COUNT(A176:A187)=2,COUNT(F176:F187)=2),cubic_spline(F175:F177,A175:A177,B$14),IF(AND(COUNT(A176:A187)=3,COUNT(F176:F187)=3),cubic_spline(F175:F178,A175:A178,B$14),IF(AND(COUNT(A176:A187)=4,COUNT(F176:F187)=4),cubic_spline(F175:F179,A175:A179,B$14),IF(AND(COUNT(A176:A187)=5,COUNT(F176:F187)=5),cubic_spline(F175:F180,A175:A180,B$14),IF(AND(COUNT(A176:A187)=6,COUNT(F176:F187)=6),cubic_spline(F175:F181,A175:A181,B$14),IF(AND(COUNT(A176:A187)=7,COUNT(F176:F187)=7),cubic_spline(F175:F182,A175:A182,B$14),IF(AND(COUNT(A176:A187)=8,COUNT(F176:F187)=8),cubic_spline(F175:F183,A175:A183,B$14),IF(AND(COUNT(A176:A187)=9,COUNT(F176:F187)=9),cubic_spline(F175:F184,A175:A184,B$14),IF(AND(COUNT(A176:A187)=10,COUNT(F176:F187)=10),cubic_spline(F175:F185,A175:A185,B$14),IF(AND(COUNT(A176:A187)=11,COUNT(F176:F187)=11),cubic_spline(F175:F186,A175:A186,B$14),IF(AND(COUNT(A176:A187)=12,COUNT(F176:F187)=12),cubic_spline(F175:F187,A175:A187,B$14),""))))))))))))</f>
        <v/>
      </c>
      <c r="L186" s="27" t="str">
        <f>IF(I186="","",B$13&amp;"-"&amp;B$14)</f>
        <v/>
      </c>
      <c r="M186" s="52" t="str">
        <f t="shared" si="65"/>
        <v/>
      </c>
    </row>
    <row r="187" spans="1:13" x14ac:dyDescent="0.35">
      <c r="A187" s="48"/>
      <c r="B187" s="48"/>
      <c r="C187" s="49"/>
      <c r="D187" s="50"/>
      <c r="E187" s="51" t="str">
        <f t="shared" si="64"/>
        <v/>
      </c>
      <c r="F187" s="71" t="str">
        <f t="shared" si="61"/>
        <v/>
      </c>
      <c r="G187" s="69" t="str">
        <f t="shared" si="63"/>
        <v/>
      </c>
      <c r="H187" s="70" t="str">
        <f t="shared" si="62"/>
        <v/>
      </c>
      <c r="I187" s="27" t="str">
        <f>IF(N(J187)=0,"",0&amp;"-"&amp;B$15)</f>
        <v/>
      </c>
      <c r="J187" s="52" t="str">
        <f>IF(N(B$15)=0,"",IF(AND(COUNT(H176:H187)=2,COUNT(F176:F187)=2),cubic_spline(F175:F177,H175:H177,B$15),IF(AND(COUNT(H176:H187)=3,COUNT(F176:F187)=3),cubic_spline(F175:F178,H175:H178,B$15),IF(AND(COUNT(H176:H187)=4,COUNT(F176:F187)=4),cubic_spline(F175:F179,H175:H179,B$15),IF(AND(COUNT(H176:H187)=5,COUNT(F176:F187)=5),cubic_spline(F175:F180,H175:H180,B$15),IF(AND(COUNT(H176:H187)=6,COUNT(F176:F187)=6),cubic_spline(F175:F181,H175:H181,B$15),IF(AND(COUNT(H176:H187)=7,COUNT(F176:F187)=7),cubic_spline(F175:F182,H175:H182,B$15),IF(AND(COUNT(H176:H187)=8,COUNT(F176:F187)=8),cubic_spline(F175:F183,H175:H183,B$15),IF(AND(COUNT(H176:H187)=9,COUNT(F176:F187)=9),cubic_spline(F175:F184,H175:H184,B$15),IF(AND(COUNT(H176:H187)=10,COUNT(F176:F187)=10),cubic_spline(F175:F185,H175:H185,B$15),IF(AND(COUNT(H176:H187)=11,COUNT(F176:F187)=11),cubic_spline(F175:F186,H175:H186,B$15),IF(AND(COUNT(H176:H187)=12,COUNT(F176:F187)=12),cubic_spline(F175:F187,H175:H187,B$15),""))))))))))))</f>
        <v/>
      </c>
      <c r="K187" s="52" t="str">
        <f>IF(N(B$15)=0,"",IF(AND(COUNT(A176:A187)=2,COUNT(F176:F187)=2),cubic_spline(F175:F177,A175:A177,B$15),IF(AND(COUNT(A176:A187)=3,COUNT(F176:F187)=3),cubic_spline(F175:F178,A175:A178,B$15),IF(AND(COUNT(A176:A187)=4,COUNT(F176:F187)=4),cubic_spline(F175:F179,A175:A179,B$15),IF(AND(COUNT(A176:A187)=5,COUNT(F176:F187)=5),cubic_spline(F175:F180,A175:A180,B$15),IF(AND(COUNT(A176:A187)=6,COUNT(F176:F187)=6),cubic_spline(F175:F181,A175:A181,B$15),IF(AND(COUNT(A176:A187)=7,COUNT(F176:F187)=7),cubic_spline(F175:F182,A175:A182,B$15),IF(AND(COUNT(A176:A187)=8,COUNT(F176:F187)=8),cubic_spline(F175:F183,A175:A183,B$15),IF(AND(COUNT(A176:A187)=9,COUNT(F176:F187)=9),cubic_spline(F175:F184,A175:A184,B$15),IF(AND(COUNT(A176:A187)=10,COUNT(F176:F187)=10),cubic_spline(F175:F185,A175:A185,B$15),IF(AND(COUNT(A176:A187)=11,COUNT(F176:F187)=11),cubic_spline(F175:F186,A175:A186,B$15),IF(AND(COUNT(A176:A187)=12,COUNT(F176:F187)=12),cubic_spline(F175:F187,A175:A187,B$15),""))))))))))))</f>
        <v/>
      </c>
      <c r="L187" s="27" t="str">
        <f>IF(I187="","",B$14&amp;"-"&amp;B$15)</f>
        <v/>
      </c>
      <c r="M187" s="52" t="str">
        <f t="shared" si="65"/>
        <v/>
      </c>
    </row>
    <row r="188" spans="1:13" ht="5.15" customHeight="1" x14ac:dyDescent="0.35">
      <c r="A188" s="47"/>
      <c r="B188" s="47"/>
      <c r="C188" s="47"/>
      <c r="D188" s="53"/>
      <c r="E188" s="54"/>
      <c r="F188" s="55"/>
      <c r="G188" s="72"/>
      <c r="H188" s="73"/>
      <c r="I188" s="47"/>
      <c r="J188" s="57"/>
      <c r="K188" s="57"/>
      <c r="L188" s="55"/>
      <c r="M188" s="57"/>
    </row>
    <row r="189" spans="1:13" x14ac:dyDescent="0.35">
      <c r="A189" s="48"/>
      <c r="B189" s="48"/>
      <c r="C189" s="49"/>
      <c r="D189" s="50"/>
      <c r="E189" s="51" t="str">
        <f>IF(N(C189)=0,"",C189/PI()/($D$1/2)^2/$D$2*10000)</f>
        <v/>
      </c>
      <c r="F189" s="68" t="str">
        <f t="shared" ref="F189:F200" si="66">IF(N(E189)=0,"",(N(E189)+N(F188)))</f>
        <v/>
      </c>
      <c r="G189" s="69" t="str">
        <f>IF(OR(N(D189)=0,N(E189)=0),"",(E189*D189)/1000)</f>
        <v/>
      </c>
      <c r="H189" s="70" t="str">
        <f t="shared" ref="H189:H200" si="67">IF(N(G189)=0,"",(N(G189)+N(H188)))</f>
        <v/>
      </c>
      <c r="I189" s="27" t="str">
        <f>IF(N(J189)=0,"",0&amp;"-"&amp;B$4)</f>
        <v/>
      </c>
      <c r="J189" s="52" t="str">
        <f>IF(N(B$4)=0,"",IF(AND(COUNT(H189:H200)=2,COUNT(F189:F200)=2),cubic_spline(F188:F190,H188:H190,B$4),IF(AND(COUNT(H189:H200)=3,COUNT(F189:F200)=3),cubic_spline(F188:F191,H188:H191,B$4),IF(AND(COUNT(H189:H200)=4,COUNT(F189:F200)=4),cubic_spline(F188:F192,H188:H192,B$4),IF(AND(COUNT(H189:H200)=5,COUNT(F189:F200)=5),cubic_spline(F188:F193,H188:H193,B$4),IF(AND(COUNT(H189:H200)=6,COUNT(F189:F200)=6),cubic_spline(F188:F194,H188:H194,B$4),IF(AND(COUNT(H189:H200)=7,COUNT(F189:F200)=7),cubic_spline(F188:F195,H188:H195,B$4),IF(AND(COUNT(H189:H200)=8,COUNT(F189:F200)=8),cubic_spline(F188:F196,H188:H196,B$4),IF(AND(COUNT(H189:H200)=9,COUNT(F189:F200)=9),cubic_spline(F188:F197,H188:H197,B$4),IF(AND(COUNT(H189:H200)=10,COUNT(F189:F200)=10),cubic_spline(F188:F198,H188:H198,B$4),IF(AND(COUNT(H189:H200)=11,COUNT(F189:F200)=11),cubic_spline(F188:F199,H188:H199,B$4),IF(AND(COUNT(H189:H200)=12,COUNT(F189:F200)=12),cubic_spline(F188:F200,H188:H200,B$4),""))))))))))))</f>
        <v/>
      </c>
      <c r="K189" s="52" t="str">
        <f>IF(N(B$4)=0,"",IF(AND(COUNT(A189:A200)=2,COUNT(F189:F200)=2),cubic_spline(F188:F190,A188:A190,B$4),IF(AND(COUNT(A189:A200)=3,COUNT(F189:F200)=3),cubic_spline(F188:F191,A188:A191,B$4),IF(AND(COUNT(A189:A200)=4,COUNT(F189:F200)=4),cubic_spline(F188:F192,A188:A192,B$4),IF(AND(COUNT(A189:A200)=5,COUNT(F189:F200)=5),cubic_spline(F188:F193,A188:A193,B$4),IF(AND(COUNT(A189:A200)=6,COUNT(F189:F200)=6),cubic_spline(F188:F194,A188:A194,B$4),IF(AND(COUNT(A189:A200)=7,COUNT(F189:F200)=7),cubic_spline(F188:F195,A188:A195,B$4),IF(AND(COUNT(A189:A200)=8,COUNT(F189:F200)=8),cubic_spline(F188:F196,A188:A196,B$4),IF(AND(COUNT(A189:A200)=9,COUNT(F189:F200)=9),cubic_spline(F188:F197,A188:A197,B$4),IF(AND(COUNT(A189:A200)=10,COUNT(F189:F200)=10),cubic_spline(F188:F198,A188:A198,B$4),IF(AND(COUNT(A189:A200)=11,COUNT(F189:F200)=11),cubic_spline(F188:F199,A188:A199,B$4),IF(AND(COUNT(A189:A200)=12,COUNT(F189:F200)=12),cubic_spline(F188:F200,A188:A200,B$4),""))))))))))))</f>
        <v/>
      </c>
      <c r="L189" s="27" t="str">
        <f>IF(I189="","",0&amp;"-"&amp;B$4)</f>
        <v/>
      </c>
      <c r="M189" s="52" t="str">
        <f>IF(N(J189)=0,"",J189-J188)</f>
        <v/>
      </c>
    </row>
    <row r="190" spans="1:13" x14ac:dyDescent="0.35">
      <c r="A190" s="48"/>
      <c r="B190" s="48"/>
      <c r="C190" s="49"/>
      <c r="D190" s="50"/>
      <c r="E190" s="51" t="str">
        <f>IF(N(C190)=0,"",C190/PI()/($D$1/2)^2/$D$2*10000)</f>
        <v/>
      </c>
      <c r="F190" s="68" t="str">
        <f t="shared" si="66"/>
        <v/>
      </c>
      <c r="G190" s="69" t="str">
        <f t="shared" ref="G190:G200" si="68">IF(OR(N(D190)=0,N(E190)=0),"",(E190*D190)/1000)</f>
        <v/>
      </c>
      <c r="H190" s="70" t="str">
        <f t="shared" si="67"/>
        <v/>
      </c>
      <c r="I190" s="27" t="str">
        <f>IF(N(J190)=0,"",0&amp;"-"&amp;B$5)</f>
        <v/>
      </c>
      <c r="J190" s="52" t="str">
        <f>IF(N(B$5)=0,"",IF(AND(COUNT(H189:H200)=2,COUNT(F189:F200)=2),cubic_spline(F188:F190,H188:H190,B$5),IF(AND(COUNT(H189:H200)=3,COUNT(F189:F200)=3),cubic_spline(F188:F191,H188:H191,B$5),IF(AND(COUNT(H189:H200)=4,COUNT(F189:F200)=4),cubic_spline(F188:F192,H188:H192,B$5),IF(AND(COUNT(H189:H200)=5,COUNT(F189:F200)=5),cubic_spline(F188:F193,H188:H193,B$5),IF(AND(COUNT(H189:H200)=6,COUNT(F189:F200)=6),cubic_spline(F188:F194,H188:H194,B$5),IF(AND(COUNT(H189:H200)=7,COUNT(F189:F200)=7),cubic_spline(F188:F195,H188:H195,B$5),IF(AND(COUNT(H189:H200)=8,COUNT(F189:F200)=8),cubic_spline(F188:F196,H188:H196,B$5),IF(AND(COUNT(H189:H200)=9,COUNT(F189:F200)=9),cubic_spline(F188:F197,H188:H197,B$5),IF(AND(COUNT(H189:H200)=10,COUNT(F189:F200)=10),cubic_spline(F188:F198,H188:H198,B$5),IF(AND(COUNT(H189:H200)=11,COUNT(F189:F200)=11),cubic_spline(F188:F199,H188:H199,B$5),IF(AND(COUNT(H189:H200)=12,COUNT(F189:F200)=12),cubic_spline(F188:F200,H188:H200,B$5),""))))))))))))</f>
        <v/>
      </c>
      <c r="K190" s="52" t="str">
        <f>IF(N(B$5)=0,"",IF(AND(COUNT(A189:A200)=2,COUNT(F189:F200)=2),cubic_spline(F188:F190,A188:A190,B$5),IF(AND(COUNT(A189:A200)=3,COUNT(F189:F200)=3),cubic_spline(F188:F191,A188:A191,B$5),IF(AND(COUNT(A189:A200)=4,COUNT(F189:F200)=4),cubic_spline(F188:F192,A188:A192,B$5),IF(AND(COUNT(A189:A200)=5,COUNT(F189:F200)=5),cubic_spline(F188:F193,A188:A193,B$5),IF(AND(COUNT(A189:A200)=6,COUNT(F189:F200)=6),cubic_spline(F188:F194,A188:A194,B$5),IF(AND(COUNT(A189:A200)=7,COUNT(F189:F200)=7),cubic_spline(F188:F195,A188:A195,B$5),IF(AND(COUNT(A189:A200)=8,COUNT(F189:F200)=8),cubic_spline(F188:F196,A188:A196,B$5),IF(AND(COUNT(A189:A200)=9,COUNT(F189:F200)=9),cubic_spline(F188:F197,A188:A197,B$5),IF(AND(COUNT(A189:A200)=10,COUNT(F189:F200)=10),cubic_spline(F188:F198,A188:A198,B$5),IF(AND(COUNT(A189:A200)=11,COUNT(F189:F200)=11),cubic_spline(F188:F199,A188:A199,B$5),IF(AND(COUNT(A189:A200)=12,COUNT(F189:F200)=12),cubic_spline(F188:F200,A188:A200,B$5),""))))))))))))</f>
        <v/>
      </c>
      <c r="L190" s="27" t="str">
        <f>IF(I190="","",B$4&amp;"-"&amp;B$5)</f>
        <v/>
      </c>
      <c r="M190" s="52" t="str">
        <f>IF(N(J190)=0,"",J190-J189)</f>
        <v/>
      </c>
    </row>
    <row r="191" spans="1:13" x14ac:dyDescent="0.35">
      <c r="A191" s="48"/>
      <c r="B191" s="48"/>
      <c r="C191" s="49"/>
      <c r="D191" s="50"/>
      <c r="E191" s="51" t="str">
        <f>IF(N(C191)=0,"",C191/PI()/($D$1/2)^2/$D$2*10000)</f>
        <v/>
      </c>
      <c r="F191" s="68" t="str">
        <f t="shared" si="66"/>
        <v/>
      </c>
      <c r="G191" s="69" t="str">
        <f t="shared" si="68"/>
        <v/>
      </c>
      <c r="H191" s="70" t="str">
        <f t="shared" si="67"/>
        <v/>
      </c>
      <c r="I191" s="27" t="str">
        <f>IF(N(J191)=0,"",0&amp;"-"&amp;B$6)</f>
        <v/>
      </c>
      <c r="J191" s="52" t="str">
        <f>IF(N(B$6)=0,"",IF(AND(COUNT(H189:H200)=2,COUNT(F189:F200)=2),cubic_spline(F188:F190,H188:H190,B$6),IF(AND(COUNT(H189:H200)=3,COUNT(F189:F200)=3),cubic_spline(F188:F191,H188:H191,B$6),IF(AND(COUNT(H189:H200)=4,COUNT(F189:F200)=4),cubic_spline(F188:F192,H188:H192,B$6),IF(AND(COUNT(H189:H200)=5,COUNT(F189:F200)=5),cubic_spline(F188:F193,H188:H193,B$6),IF(AND(COUNT(H189:H200)=6,COUNT(F189:F200)=6),cubic_spline(F188:F194,H188:H194,B$6),IF(AND(COUNT(H189:H200)=7,COUNT(F189:F200)=7),cubic_spline(F188:F195,H188:H195,B$6),IF(AND(COUNT(H189:H200)=8,COUNT(F189:F200)=8),cubic_spline(F188:F196,H188:H196,B$6),IF(AND(COUNT(H189:H200)=9,COUNT(F189:F200)=9),cubic_spline(F188:F197,H188:H197,B$6),IF(AND(COUNT(H189:H200)=10,COUNT(F189:F200)=10),cubic_spline(F188:F198,H188:H198,B$6),IF(AND(COUNT(H189:H200)=11,COUNT(F189:F200)=11),cubic_spline(F188:F199,H188:H199,B$6),IF(AND(COUNT(H189:H200)=12,COUNT(F189:F200)=12),cubic_spline(F188:F200,H188:H200,B$6),""))))))))))))</f>
        <v/>
      </c>
      <c r="K191" s="52" t="str">
        <f>IF(N(B$6)=0,"",IF(AND(COUNT(A189:A200)=2,COUNT(F189:F200)=2),cubic_spline(F188:F190,A188:A190,B$6),IF(AND(COUNT(A189:A200)=3,COUNT(F189:F200)=3),cubic_spline(F188:F191,A188:A191,B$6),IF(AND(COUNT(A189:A200)=4,COUNT(F189:F200)=4),cubic_spline(F188:F192,A188:A192,B$6),IF(AND(COUNT(A189:A200)=5,COUNT(F189:F200)=5),cubic_spline(F188:F193,A188:A193,B$6),IF(AND(COUNT(A189:A200)=6,COUNT(F189:F200)=6),cubic_spline(F188:F194,A188:A194,B$6),IF(AND(COUNT(A189:A200)=7,COUNT(F189:F200)=7),cubic_spline(F188:F195,A188:A195,B$6),IF(AND(COUNT(A189:A200)=8,COUNT(F189:F200)=8),cubic_spline(F188:F196,A188:A196,B$6),IF(AND(COUNT(A189:A200)=9,COUNT(F189:F200)=9),cubic_spline(F188:F197,A188:A197,B$6),IF(AND(COUNT(A189:A200)=10,COUNT(F189:F200)=10),cubic_spline(F188:F198,A188:A198,B$6),IF(AND(COUNT(A189:A200)=11,COUNT(F189:F200)=11),cubic_spline(F188:F199,A188:A199,B$6),IF(AND(COUNT(A189:A200)=12,COUNT(F189:F200)=12),cubic_spline(F188:F200,A188:A200,B$6),""))))))))))))</f>
        <v/>
      </c>
      <c r="L191" s="27" t="str">
        <f>IF(I191="","",B$5&amp;"-"&amp;B$6)</f>
        <v/>
      </c>
      <c r="M191" s="52" t="str">
        <f>IF(N(J191)=0,"",J191-J190)</f>
        <v/>
      </c>
    </row>
    <row r="192" spans="1:13" x14ac:dyDescent="0.35">
      <c r="A192" s="48"/>
      <c r="B192" s="48"/>
      <c r="C192" s="49"/>
      <c r="D192" s="50"/>
      <c r="E192" s="51" t="str">
        <f>IF(N(C192)=0,"",C192/PI()/($D$1/2)^2/$D$2*10000)</f>
        <v/>
      </c>
      <c r="F192" s="68" t="str">
        <f t="shared" si="66"/>
        <v/>
      </c>
      <c r="G192" s="69" t="str">
        <f t="shared" si="68"/>
        <v/>
      </c>
      <c r="H192" s="70" t="str">
        <f t="shared" si="67"/>
        <v/>
      </c>
      <c r="I192" s="27" t="str">
        <f>IF(N(J192)=0,"",0&amp;"-"&amp;B$7)</f>
        <v/>
      </c>
      <c r="J192" s="52" t="str">
        <f>IF(N(B$7)=0,"",IF(AND(COUNT(H189:H200)=2,COUNT(F189:F200)=2),cubic_spline(F188:F190,H188:H190,B$7),IF(AND(COUNT(H189:H200)=3,COUNT(F189:F200)=3),cubic_spline(F188:F191,H188:H191,B$7),IF(AND(COUNT(H189:H200)=4,COUNT(F189:F200)=4),cubic_spline(F188:F192,H188:H192,B$7),IF(AND(COUNT(H189:H200)=5,COUNT(F189:F200)=5),cubic_spline(F188:F193,H188:H193,B$7),IF(AND(COUNT(H189:H200)=6,COUNT(F189:F200)=6),cubic_spline(F188:F194,H188:H194,B$7),IF(AND(COUNT(H189:H200)=7,COUNT(F189:F200)=7),cubic_spline(F188:F195,H188:H195,B$7),IF(AND(COUNT(H189:H200)=8,COUNT(F189:F200)=8),cubic_spline(F188:F196,H188:H196,B$7),IF(AND(COUNT(H189:H200)=9,COUNT(F189:F200)=9),cubic_spline(F188:F197,H188:H197,B$7),IF(AND(COUNT(H189:H200)=10,COUNT(F189:F200)=10),cubic_spline(F188:F198,H188:H198,B$7),IF(AND(COUNT(H189:H200)=11,COUNT(F189:F200)=11),cubic_spline(F188:F199,H188:H199,B$7),IF(AND(COUNT(H189:H200)=12,COUNT(F189:F200)=12),cubic_spline(F188:F200,H188:H200,B$7),""))))))))))))</f>
        <v/>
      </c>
      <c r="K192" s="52" t="str">
        <f>IF(N(B$7)=0,"",IF(AND(COUNT(A189:A200)=2,COUNT(F189:F200)=2),cubic_spline(F188:F190,A188:A190,B$7),IF(AND(COUNT(A189:A200)=3,COUNT(F189:F200)=3),cubic_spline(F188:F191,A188:A191,B$7),IF(AND(COUNT(A189:A200)=4,COUNT(F189:F200)=4),cubic_spline(F188:F192,A188:A192,B$7),IF(AND(COUNT(A189:A200)=5,COUNT(F189:F200)=5),cubic_spline(F188:F193,A188:A193,B$7),IF(AND(COUNT(A189:A200)=6,COUNT(F189:F200)=6),cubic_spline(F188:F194,A188:A194,B$7),IF(AND(COUNT(A189:A200)=7,COUNT(F189:F200)=7),cubic_spline(F188:F195,A188:A195,B$7),IF(AND(COUNT(A189:A200)=8,COUNT(F189:F200)=8),cubic_spline(F188:F196,A188:A196,B$7),IF(AND(COUNT(A189:A200)=9,COUNT(F189:F200)=9),cubic_spline(F188:F197,A188:A197,B$7),IF(AND(COUNT(A189:A200)=10,COUNT(F189:F200)=10),cubic_spline(F188:F198,A188:A198,B$7),IF(AND(COUNT(A189:A200)=11,COUNT(F189:F200)=11),cubic_spline(F188:F199,A188:A199,B$7),IF(AND(COUNT(A189:A200)=12,COUNT(F189:F200)=12),cubic_spline(F188:F200,A188:A200,B$7),""))))))))))))</f>
        <v/>
      </c>
      <c r="L192" s="27" t="str">
        <f>IF(I192="","",B$6&amp;"-"&amp;B$7)</f>
        <v/>
      </c>
      <c r="M192" s="52" t="str">
        <f>IF(N(J192)=0,"",J192-J191)</f>
        <v/>
      </c>
    </row>
    <row r="193" spans="1:13" x14ac:dyDescent="0.35">
      <c r="A193" s="48"/>
      <c r="B193" s="48"/>
      <c r="C193" s="49"/>
      <c r="D193" s="50"/>
      <c r="E193" s="51" t="str">
        <f t="shared" ref="E193:E200" si="69">IF(N(C193)=0,"",C193/PI()/($D$1/2)^2/$D$2*10000)</f>
        <v/>
      </c>
      <c r="F193" s="71" t="str">
        <f t="shared" si="66"/>
        <v/>
      </c>
      <c r="G193" s="69" t="str">
        <f t="shared" si="68"/>
        <v/>
      </c>
      <c r="H193" s="70" t="str">
        <f t="shared" si="67"/>
        <v/>
      </c>
      <c r="I193" s="27" t="str">
        <f>IF(N(J193)=0,"",0&amp;"-"&amp;B$8)</f>
        <v/>
      </c>
      <c r="J193" s="52" t="str">
        <f>IF(N(B$8)=0,"",IF(AND(COUNT(H189:H200)=2,COUNT(F189:F200)=2),cubic_spline(F188:F190,H188:H190,B$8),IF(AND(COUNT(H189:H200)=3,COUNT(F189:F200)=3),cubic_spline(F188:F191,H188:H191,B$8),IF(AND(COUNT(H189:H200)=4,COUNT(F189:F200)=4),cubic_spline(F188:F192,H188:H192,B$8),IF(AND(COUNT(H189:H200)=5,COUNT(F189:F200)=5),cubic_spline(F188:F193,H188:H193,B$8),IF(AND(COUNT(H189:H200)=6,COUNT(F189:F200)=6),cubic_spline(F188:F194,H188:H194,B$8),IF(AND(COUNT(H189:H200)=7,COUNT(F189:F200)=7),cubic_spline(F188:F195,H188:H195,B$8),IF(AND(COUNT(H189:H200)=8,COUNT(F189:F200)=8),cubic_spline(F188:F196,H188:H196,B$8),IF(AND(COUNT(H189:H200)=9,COUNT(F189:F200)=9),cubic_spline(F188:F197,H188:H197,B$8),IF(AND(COUNT(H189:H200)=10,COUNT(F189:F200)=10),cubic_spline(F188:F198,H188:H198,B$8),IF(AND(COUNT(H189:H200)=11,COUNT(F189:F200)=11),cubic_spline(F188:F199,H188:H199,B$8),IF(AND(COUNT(H189:H200)=12,COUNT(F189:F200)=12),cubic_spline(F188:F200,H188:H200,B$8),""))))))))))))</f>
        <v/>
      </c>
      <c r="K193" s="52" t="str">
        <f>IF(N(B$8)=0,"",IF(AND(COUNT(A189:A200)=2,COUNT(F189:F200)=2),cubic_spline(F188:F190,A188:A190,B$8),IF(AND(COUNT(A189:A200)=3,COUNT(F189:F200)=3),cubic_spline(F188:F191,A188:A191,B$8),IF(AND(COUNT(A189:A200)=4,COUNT(F189:F200)=4),cubic_spline(F188:F192,A188:A192,B$8),IF(AND(COUNT(A189:A200)=5,COUNT(F189:F200)=5),cubic_spline(F188:F193,A188:A193,B$8),IF(AND(COUNT(A189:A200)=6,COUNT(F189:F200)=6),cubic_spline(F188:F194,A188:A194,B$8),IF(AND(COUNT(A189:A200)=7,COUNT(F189:F200)=7),cubic_spline(F188:F195,A188:A195,B$8),IF(AND(COUNT(A189:A200)=8,COUNT(F189:F200)=8),cubic_spline(F188:F196,A188:A196,B$8),IF(AND(COUNT(A189:A200)=9,COUNT(F189:F200)=9),cubic_spline(F188:F197,A188:A197,B$8),IF(AND(COUNT(A189:A200)=10,COUNT(F189:F200)=10),cubic_spline(F188:F198,A188:A198,B$8),IF(AND(COUNT(A189:A200)=11,COUNT(F189:F200)=11),cubic_spline(F188:F199,A188:A199,B$8),IF(AND(COUNT(A189:A200)=12,COUNT(F189:F200)=12),cubic_spline(F188:F200,A188:A200,B$8),""))))))))))))</f>
        <v/>
      </c>
      <c r="L193" s="27" t="str">
        <f>IF(I193="","",B$7&amp;"-"&amp;B$8)</f>
        <v/>
      </c>
      <c r="M193" s="52" t="str">
        <f>IF(N(J193)=0,"",J193-J192)</f>
        <v/>
      </c>
    </row>
    <row r="194" spans="1:13" x14ac:dyDescent="0.35">
      <c r="A194" s="48"/>
      <c r="B194" s="48"/>
      <c r="C194" s="49"/>
      <c r="D194" s="50"/>
      <c r="E194" s="51" t="str">
        <f t="shared" si="69"/>
        <v/>
      </c>
      <c r="F194" s="71" t="str">
        <f t="shared" si="66"/>
        <v/>
      </c>
      <c r="G194" s="69" t="str">
        <f t="shared" si="68"/>
        <v/>
      </c>
      <c r="H194" s="70" t="str">
        <f t="shared" si="67"/>
        <v/>
      </c>
      <c r="I194" s="27" t="str">
        <f>IF(N(J194)=0,"",0&amp;"-"&amp;B$9)</f>
        <v/>
      </c>
      <c r="J194" s="52" t="str">
        <f>IF(N(B$9)=0,"",IF(AND(COUNT(H189:H200)=2,COUNT(F189:F200)=2),cubic_spline(F188:F190,H188:H190,B$9),IF(AND(COUNT(H189:H200)=3,COUNT(F189:F200)=3),cubic_spline(F188:F191,H188:H191,B$9),IF(AND(COUNT(H189:H200)=4,COUNT(F189:F200)=4),cubic_spline(F188:F192,H188:H192,B$9),IF(AND(COUNT(H189:H200)=5,COUNT(F189:F200)=5),cubic_spline(F188:F193,H188:H193,B$9),IF(AND(COUNT(H189:H200)=6,COUNT(F189:F200)=6),cubic_spline(F188:F194,H188:H194,B$9),IF(AND(COUNT(H189:H200)=7,COUNT(F189:F200)=7),cubic_spline(F188:F195,H188:H195,B$9),IF(AND(COUNT(H189:H200)=8,COUNT(F189:F200)=8),cubic_spline(F188:F196,H188:H196,B$9),IF(AND(COUNT(H189:H200)=9,COUNT(F189:F200)=9),cubic_spline(F188:F197,H188:H197,B$9),IF(AND(COUNT(H189:H200)=10,COUNT(F189:F200)=10),cubic_spline(F188:F198,H188:H198,B$9),IF(AND(COUNT(H189:H200)=11,COUNT(F189:F200)=11),cubic_spline(F188:F199,H188:H199,B$9),IF(AND(COUNT(H189:H200)=12,COUNT(F189:F200)=12),cubic_spline(F188:F200,H188:H200,B$9),""))))))))))))</f>
        <v/>
      </c>
      <c r="K194" s="52" t="str">
        <f>IF(N(B$9)=0,"",IF(AND(COUNT(A189:A200)=2,COUNT(F189:F200)=2),cubic_spline(F188:F190,A188:A190,B$9),IF(AND(COUNT(A189:A200)=3,COUNT(F189:F200)=3),cubic_spline(F188:F191,A188:A191,B$9),IF(AND(COUNT(A189:A200)=4,COUNT(F189:F200)=4),cubic_spline(F188:F192,A188:A192,B$9),IF(AND(COUNT(A189:A200)=5,COUNT(F189:F200)=5),cubic_spline(F188:F193,A188:A193,B$9),IF(AND(COUNT(A189:A200)=6,COUNT(F189:F200)=6),cubic_spline(F188:F194,A188:A194,B$9),IF(AND(COUNT(A189:A200)=7,COUNT(F189:F200)=7),cubic_spline(F188:F195,A188:A195,B$9),IF(AND(COUNT(A189:A200)=8,COUNT(F189:F200)=8),cubic_spline(F188:F196,A188:A196,B$9),IF(AND(COUNT(A189:A200)=9,COUNT(F189:F200)=9),cubic_spline(F188:F197,A188:A197,B$9),IF(AND(COUNT(A189:A200)=10,COUNT(F189:F200)=10),cubic_spline(F188:F198,A188:A198,B$9),IF(AND(COUNT(A189:A200)=11,COUNT(F189:F200)=11),cubic_spline(F188:F199,A188:A199,B$9),IF(AND(COUNT(A189:A200)=12,COUNT(F189:F200)=12),cubic_spline(F188:F200,A188:A200,B$9),""))))))))))))</f>
        <v/>
      </c>
      <c r="L194" s="27" t="str">
        <f>IF(I194="","",B$8&amp;"-"&amp;B$9)</f>
        <v/>
      </c>
      <c r="M194" s="52" t="str">
        <f t="shared" ref="M194:M200" si="70">IF(N(J194)=0,"",J194-J193)</f>
        <v/>
      </c>
    </row>
    <row r="195" spans="1:13" x14ac:dyDescent="0.35">
      <c r="A195" s="48"/>
      <c r="B195" s="48"/>
      <c r="C195" s="49"/>
      <c r="D195" s="50"/>
      <c r="E195" s="51" t="str">
        <f t="shared" si="69"/>
        <v/>
      </c>
      <c r="F195" s="71" t="str">
        <f t="shared" si="66"/>
        <v/>
      </c>
      <c r="G195" s="69" t="str">
        <f t="shared" si="68"/>
        <v/>
      </c>
      <c r="H195" s="70" t="str">
        <f t="shared" si="67"/>
        <v/>
      </c>
      <c r="I195" s="27" t="str">
        <f>IF(N(J195)=0,"",0&amp;"-"&amp;B$10)</f>
        <v/>
      </c>
      <c r="J195" s="52" t="str">
        <f>IF(N(B$10)=0,"",IF(AND(COUNT(H189:H200)=2,COUNT(F189:F200)=2),cubic_spline(F188:F190,H188:H190,B$10),IF(AND(COUNT(H189:H200)=3,COUNT(F189:F200)=3),cubic_spline(F188:F191,H188:H191,B$10),IF(AND(COUNT(H189:H200)=4,COUNT(F189:F200)=4),cubic_spline(F188:F192,H188:H192,B$10),IF(AND(COUNT(H189:H200)=5,COUNT(F189:F200)=5),cubic_spline(F188:F193,H188:H193,B$10),IF(AND(COUNT(H189:H200)=6,COUNT(F189:F200)=6),cubic_spline(F188:F194,H188:H194,B$10),IF(AND(COUNT(H189:H200)=7,COUNT(F189:F200)=7),cubic_spline(F188:F195,H188:H195,B$10),IF(AND(COUNT(H189:H200)=8,COUNT(F189:F200)=8),cubic_spline(F188:F196,H188:H196,B$10),IF(AND(COUNT(H189:H200)=9,COUNT(F189:F200)=9),cubic_spline(F188:F197,H188:H197,B$10),IF(AND(COUNT(H189:H200)=10,COUNT(F189:F200)=10),cubic_spline(F188:F198,H188:H198,B$10),IF(AND(COUNT(H189:H200)=11,COUNT(F189:F200)=11),cubic_spline(F188:F199,H188:H199,B$10),IF(AND(COUNT(H189:H200)=12,COUNT(F189:F200)=12),cubic_spline(F188:F200,H188:H200,B$10),""))))))))))))</f>
        <v/>
      </c>
      <c r="K195" s="52" t="str">
        <f>IF(N(B$10)=0,"",IF(AND(COUNT(A189:A200)=2,COUNT(F189:F200)=2),cubic_spline(F188:F190,A188:A190,B$10),IF(AND(COUNT(A189:A200)=3,COUNT(F189:F200)=3),cubic_spline(F188:F191,A188:A191,B$10),IF(AND(COUNT(A189:A200)=4,COUNT(F189:F200)=4),cubic_spline(F188:F192,A188:A192,B$10),IF(AND(COUNT(A189:A200)=5,COUNT(F189:F200)=5),cubic_spline(F188:F193,A188:A193,B$10),IF(AND(COUNT(A189:A200)=6,COUNT(F189:F200)=6),cubic_spline(F188:F194,A188:A194,B$10),IF(AND(COUNT(A189:A200)=7,COUNT(F189:F200)=7),cubic_spline(F188:F195,A188:A195,B$10),IF(AND(COUNT(A189:A200)=8,COUNT(F189:F200)=8),cubic_spline(F188:F196,A188:A196,B$10),IF(AND(COUNT(A189:A200)=9,COUNT(F189:F200)=9),cubic_spline(F188:F197,A188:A197,B$10),IF(AND(COUNT(A189:A200)=10,COUNT(F189:F200)=10),cubic_spline(F188:F198,A188:A198,B$10),IF(AND(COUNT(A189:A200)=11,COUNT(F189:F200)=11),cubic_spline(F188:F199,A188:A199,B$10),IF(AND(COUNT(A189:A200)=12,COUNT(F189:F200)=12),cubic_spline(F188:F200,A188:A200,B$10),""))))))))))))</f>
        <v/>
      </c>
      <c r="L195" s="27" t="str">
        <f>IF(I195="","",B$9&amp;"-"&amp;B$10)</f>
        <v/>
      </c>
      <c r="M195" s="52" t="str">
        <f t="shared" si="70"/>
        <v/>
      </c>
    </row>
    <row r="196" spans="1:13" x14ac:dyDescent="0.35">
      <c r="A196" s="48"/>
      <c r="B196" s="48"/>
      <c r="C196" s="49"/>
      <c r="D196" s="50"/>
      <c r="E196" s="51" t="str">
        <f t="shared" si="69"/>
        <v/>
      </c>
      <c r="F196" s="71" t="str">
        <f t="shared" si="66"/>
        <v/>
      </c>
      <c r="G196" s="69" t="str">
        <f t="shared" si="68"/>
        <v/>
      </c>
      <c r="H196" s="70" t="str">
        <f t="shared" si="67"/>
        <v/>
      </c>
      <c r="I196" s="27" t="str">
        <f>IF(N(J196)=0,"",0&amp;"-"&amp;B$11)</f>
        <v/>
      </c>
      <c r="J196" s="52" t="str">
        <f>IF(N(B$11)=0,"",IF(AND(COUNT(H189:H200)=2,COUNT(F189:F200)=2),cubic_spline(F188:F190,H188:H190,B$11),IF(AND(COUNT(H189:H200)=3,COUNT(F189:F200)=3),cubic_spline(F188:F191,H188:H191,B$11),IF(AND(COUNT(H189:H200)=4,COUNT(F189:F200)=4),cubic_spline(F188:F192,H188:H192,B$11),IF(AND(COUNT(H189:H200)=5,COUNT(F189:F200)=5),cubic_spline(F188:F193,H188:H193,B$11),IF(AND(COUNT(H189:H200)=6,COUNT(F189:F200)=6),cubic_spline(F188:F194,H188:H194,B$11),IF(AND(COUNT(H189:H200)=7,COUNT(F189:F200)=7),cubic_spline(F188:F195,H188:H195,B$11),IF(AND(COUNT(H189:H200)=8,COUNT(F189:F200)=8),cubic_spline(F188:F196,H188:H196,B$11),IF(AND(COUNT(H189:H200)=9,COUNT(F189:F200)=9),cubic_spline(F188:F197,H188:H197,B$11),IF(AND(COUNT(H189:H200)=10,COUNT(F189:F200)=10),cubic_spline(F188:F198,H188:H198,B$11),IF(AND(COUNT(H189:H200)=11,COUNT(F189:F200)=11),cubic_spline(F188:F199,H188:H199,B$11),IF(AND(COUNT(H189:H200)=12,COUNT(F189:F200)=12),cubic_spline(F188:F200,H188:H200,B$11),""))))))))))))</f>
        <v/>
      </c>
      <c r="K196" s="52" t="str">
        <f>IF(N(B$11)=0,"",IF(AND(COUNT(A189:A200)=2,COUNT(F189:F200)=2),cubic_spline(F188:F190,A188:A190,B$11),IF(AND(COUNT(A189:A200)=3,COUNT(F189:F200)=3),cubic_spline(F188:F191,A188:A191,B$11),IF(AND(COUNT(A189:A200)=4,COUNT(F189:F200)=4),cubic_spline(F188:F192,A188:A192,B$11),IF(AND(COUNT(A189:A200)=5,COUNT(F189:F200)=5),cubic_spline(F188:F193,A188:A193,B$11),IF(AND(COUNT(A189:A200)=6,COUNT(F189:F200)=6),cubic_spline(F188:F194,A188:A194,B$11),IF(AND(COUNT(A189:A200)=7,COUNT(F189:F200)=7),cubic_spline(F188:F195,A188:A195,B$11),IF(AND(COUNT(A189:A200)=8,COUNT(F189:F200)=8),cubic_spline(F188:F196,A188:A196,B$11),IF(AND(COUNT(A189:A200)=9,COUNT(F189:F200)=9),cubic_spline(F188:F197,A188:A197,B$11),IF(AND(COUNT(A189:A200)=10,COUNT(F189:F200)=10),cubic_spline(F188:F198,A188:A198,B$11),IF(AND(COUNT(A189:A200)=11,COUNT(F189:F200)=11),cubic_spline(F188:F199,A188:A199,B$11),IF(AND(COUNT(A189:A200)=12,COUNT(F189:F200)=12),cubic_spline(F188:F200,A188:A200,B$11),""))))))))))))</f>
        <v/>
      </c>
      <c r="L196" s="27" t="str">
        <f>IF(I196="","",B$10&amp;"-"&amp;B$11)</f>
        <v/>
      </c>
      <c r="M196" s="52" t="str">
        <f t="shared" si="70"/>
        <v/>
      </c>
    </row>
    <row r="197" spans="1:13" x14ac:dyDescent="0.35">
      <c r="A197" s="48"/>
      <c r="B197" s="48"/>
      <c r="C197" s="49"/>
      <c r="D197" s="50"/>
      <c r="E197" s="51" t="str">
        <f t="shared" si="69"/>
        <v/>
      </c>
      <c r="F197" s="71" t="str">
        <f t="shared" si="66"/>
        <v/>
      </c>
      <c r="G197" s="69" t="str">
        <f t="shared" si="68"/>
        <v/>
      </c>
      <c r="H197" s="70" t="str">
        <f t="shared" si="67"/>
        <v/>
      </c>
      <c r="I197" s="27" t="str">
        <f>IF(N(J197)=0,"",0&amp;"-"&amp;B$12)</f>
        <v/>
      </c>
      <c r="J197" s="52" t="str">
        <f>IF(N(B$12)=0,"",IF(AND(COUNT(H189:H200)=2,COUNT(F189:F200)=2),cubic_spline(F188:F190,H188:H190,B$12),IF(AND(COUNT(H189:H200)=3,COUNT(F189:F200)=3),cubic_spline(F188:F191,H188:H191,B$12),IF(AND(COUNT(H189:H200)=4,COUNT(F189:F200)=4),cubic_spline(F188:F192,H188:H192,B$12),IF(AND(COUNT(H189:H200)=5,COUNT(F189:F200)=5),cubic_spline(F188:F193,H188:H193,B$12),IF(AND(COUNT(H189:H200)=6,COUNT(F189:F200)=6),cubic_spline(F188:F194,H188:H194,B$12),IF(AND(COUNT(H189:H200)=7,COUNT(F189:F200)=7),cubic_spline(F188:F195,H188:H195,B$12),IF(AND(COUNT(H189:H200)=8,COUNT(F189:F200)=8),cubic_spline(F188:F196,H188:H196,B$12),IF(AND(COUNT(H189:H200)=9,COUNT(F189:F200)=9),cubic_spline(F188:F197,H188:H197,B$12),IF(AND(COUNT(H189:H200)=10,COUNT(F189:F200)=10),cubic_spline(F188:F198,H188:H198,B$12),IF(AND(COUNT(H189:H200)=11,COUNT(F189:F200)=11),cubic_spline(F188:F199,H188:H199,B$12),IF(AND(COUNT(H189:H200)=12,COUNT(F189:F200)=12),cubic_spline(F188:F200,H188:H200,B$12),""))))))))))))</f>
        <v/>
      </c>
      <c r="K197" s="52" t="str">
        <f>IF(N(B$12)=0,"",IF(AND(COUNT(A189:A200)=2,COUNT(F189:F200)=2),cubic_spline(F188:F190,A188:A190,B$12),IF(AND(COUNT(A189:A200)=3,COUNT(F189:F200)=3),cubic_spline(F188:F191,A188:A191,B$12),IF(AND(COUNT(A189:A200)=4,COUNT(F189:F200)=4),cubic_spline(F188:F192,A188:A192,B$12),IF(AND(COUNT(A189:A200)=5,COUNT(F189:F200)=5),cubic_spline(F188:F193,A188:A193,B$12),IF(AND(COUNT(A189:A200)=6,COUNT(F189:F200)=6),cubic_spline(F188:F194,A188:A194,B$12),IF(AND(COUNT(A189:A200)=7,COUNT(F189:F200)=7),cubic_spline(F188:F195,A188:A195,B$12),IF(AND(COUNT(A189:A200)=8,COUNT(F189:F200)=8),cubic_spline(F188:F196,A188:A196,B$12),IF(AND(COUNT(A189:A200)=9,COUNT(F189:F200)=9),cubic_spline(F188:F197,A188:A197,B$12),IF(AND(COUNT(A189:A200)=10,COUNT(F189:F200)=10),cubic_spline(F188:F198,A188:A198,B$12),IF(AND(COUNT(A189:A200)=11,COUNT(F189:F200)=11),cubic_spline(F188:F199,A188:A199,B$12),IF(AND(COUNT(A189:A200)=12,COUNT(F189:F200)=12),cubic_spline(F188:F200,A188:A200,B$12),""))))))))))))</f>
        <v/>
      </c>
      <c r="L197" s="27" t="str">
        <f>IF(I197="","",B$11&amp;"-"&amp;B$12)</f>
        <v/>
      </c>
      <c r="M197" s="52" t="str">
        <f t="shared" si="70"/>
        <v/>
      </c>
    </row>
    <row r="198" spans="1:13" x14ac:dyDescent="0.35">
      <c r="A198" s="48"/>
      <c r="B198" s="48"/>
      <c r="C198" s="49"/>
      <c r="D198" s="50"/>
      <c r="E198" s="51" t="str">
        <f t="shared" si="69"/>
        <v/>
      </c>
      <c r="F198" s="71" t="str">
        <f t="shared" si="66"/>
        <v/>
      </c>
      <c r="G198" s="69" t="str">
        <f t="shared" si="68"/>
        <v/>
      </c>
      <c r="H198" s="70" t="str">
        <f t="shared" si="67"/>
        <v/>
      </c>
      <c r="I198" s="27" t="str">
        <f>IF(N(J198)=0,"",0&amp;"-"&amp;B$13)</f>
        <v/>
      </c>
      <c r="J198" s="52" t="str">
        <f>IF(N(B$13)=0,"",IF(AND(COUNT(H189:H200)=2,COUNT(F189:F200)=2),cubic_spline(F188:F190,H188:H190,B$13),IF(AND(COUNT(H189:H200)=3,COUNT(F189:F200)=3),cubic_spline(F188:F191,H188:H191,B$13),IF(AND(COUNT(H189:H200)=4,COUNT(F189:F200)=4),cubic_spline(F188:F192,H188:H192,B$13),IF(AND(COUNT(H189:H200)=5,COUNT(F189:F200)=5),cubic_spline(F188:F193,H188:H193,B$13),IF(AND(COUNT(H189:H200)=6,COUNT(F189:F200)=6),cubic_spline(F188:F194,H188:H194,B$13),IF(AND(COUNT(H189:H200)=7,COUNT(F189:F200)=7),cubic_spline(F188:F195,H188:H195,B$13),IF(AND(COUNT(H189:H200)=8,COUNT(F189:F200)=8),cubic_spline(F188:F196,H188:H196,B$13),IF(AND(COUNT(H189:H200)=9,COUNT(F189:F200)=9),cubic_spline(F188:F197,H188:H197,B$13),IF(AND(COUNT(H189:H200)=10,COUNT(F189:F200)=10),cubic_spline(F188:F198,H188:H198,B$13),IF(AND(COUNT(H189:H200)=11,COUNT(F189:F200)=11),cubic_spline(F188:F199,H188:H199,B$13),IF(AND(COUNT(H189:H200)=12,COUNT(F189:F200)=12),cubic_spline(F188:F200,H188:H200,B$13),""))))))))))))</f>
        <v/>
      </c>
      <c r="K198" s="52" t="str">
        <f>IF(N(B$13)=0,"",IF(AND(COUNT(A189:A200)=2,COUNT(F189:F200)=2),cubic_spline(F188:F190,A188:A190,B$13),IF(AND(COUNT(A189:A200)=3,COUNT(F189:F200)=3),cubic_spline(F188:F191,A188:A191,B$13),IF(AND(COUNT(A189:A200)=4,COUNT(F189:F200)=4),cubic_spline(F188:F192,A188:A192,B$13),IF(AND(COUNT(A189:A200)=5,COUNT(F189:F200)=5),cubic_spline(F188:F193,A188:A193,B$13),IF(AND(COUNT(A189:A200)=6,COUNT(F189:F200)=6),cubic_spline(F188:F194,A188:A194,B$13),IF(AND(COUNT(A189:A200)=7,COUNT(F189:F200)=7),cubic_spline(F188:F195,A188:A195,B$13),IF(AND(COUNT(A189:A200)=8,COUNT(F189:F200)=8),cubic_spline(F188:F196,A188:A196,B$13),IF(AND(COUNT(A189:A200)=9,COUNT(F189:F200)=9),cubic_spline(F188:F197,A188:A197,B$13),IF(AND(COUNT(A189:A200)=10,COUNT(F189:F200)=10),cubic_spline(F188:F198,A188:A198,B$13),IF(AND(COUNT(A189:A200)=11,COUNT(F189:F200)=11),cubic_spline(F188:F199,A188:A199,B$13),IF(AND(COUNT(A189:A200)=12,COUNT(F189:F200)=12),cubic_spline(F188:F200,A188:A200,B$13),""))))))))))))</f>
        <v/>
      </c>
      <c r="L198" s="27" t="str">
        <f>IF(I198="","",B$12&amp;"-"&amp;B$13)</f>
        <v/>
      </c>
      <c r="M198" s="52" t="str">
        <f t="shared" si="70"/>
        <v/>
      </c>
    </row>
    <row r="199" spans="1:13" x14ac:dyDescent="0.35">
      <c r="A199" s="48"/>
      <c r="B199" s="48"/>
      <c r="C199" s="49"/>
      <c r="D199" s="50"/>
      <c r="E199" s="51" t="str">
        <f t="shared" si="69"/>
        <v/>
      </c>
      <c r="F199" s="71" t="str">
        <f t="shared" si="66"/>
        <v/>
      </c>
      <c r="G199" s="69" t="str">
        <f t="shared" si="68"/>
        <v/>
      </c>
      <c r="H199" s="70" t="str">
        <f t="shared" si="67"/>
        <v/>
      </c>
      <c r="I199" s="27" t="str">
        <f>IF(N(J199)=0,"",0&amp;"-"&amp;B$14)</f>
        <v/>
      </c>
      <c r="J199" s="52" t="str">
        <f>IF(N(B$14)=0,"",IF(AND(COUNT(H189:H200)=2,COUNT(F189:F200)=2),cubic_spline(F188:F190,H188:H190,B$14),IF(AND(COUNT(H189:H200)=3,COUNT(F189:F200)=3),cubic_spline(F188:F191,H188:H191,B$14),IF(AND(COUNT(H189:H200)=4,COUNT(F189:F200)=4),cubic_spline(F188:F192,H188:H192,B$14),IF(AND(COUNT(H189:H200)=5,COUNT(F189:F200)=5),cubic_spline(F188:F193,H188:H193,B$14),IF(AND(COUNT(H189:H200)=6,COUNT(F189:F200)=6),cubic_spline(F188:F194,H188:H194,B$14),IF(AND(COUNT(H189:H200)=7,COUNT(F189:F200)=7),cubic_spline(F188:F195,H188:H195,B$14),IF(AND(COUNT(H189:H200)=8,COUNT(F189:F200)=8),cubic_spline(F188:F196,H188:H196,B$14),IF(AND(COUNT(H189:H200)=9,COUNT(F189:F200)=9),cubic_spline(F188:F197,H188:H197,B$14),IF(AND(COUNT(H189:H200)=10,COUNT(F189:F200)=10),cubic_spline(F188:F198,H188:H198,B$14),IF(AND(COUNT(H189:H200)=11,COUNT(F189:F200)=11),cubic_spline(F188:F199,H188:H199,B$14),IF(AND(COUNT(H189:H200)=12,COUNT(F189:F200)=12),cubic_spline(F188:F200,H188:H200,B$14),""))))))))))))</f>
        <v/>
      </c>
      <c r="K199" s="52" t="str">
        <f>IF(N(B$14)=0,"",IF(AND(COUNT(A189:A200)=2,COUNT(F189:F200)=2),cubic_spline(F188:F190,A188:A190,B$14),IF(AND(COUNT(A189:A200)=3,COUNT(F189:F200)=3),cubic_spline(F188:F191,A188:A191,B$14),IF(AND(COUNT(A189:A200)=4,COUNT(F189:F200)=4),cubic_spline(F188:F192,A188:A192,B$14),IF(AND(COUNT(A189:A200)=5,COUNT(F189:F200)=5),cubic_spline(F188:F193,A188:A193,B$14),IF(AND(COUNT(A189:A200)=6,COUNT(F189:F200)=6),cubic_spline(F188:F194,A188:A194,B$14),IF(AND(COUNT(A189:A200)=7,COUNT(F189:F200)=7),cubic_spline(F188:F195,A188:A195,B$14),IF(AND(COUNT(A189:A200)=8,COUNT(F189:F200)=8),cubic_spline(F188:F196,A188:A196,B$14),IF(AND(COUNT(A189:A200)=9,COUNT(F189:F200)=9),cubic_spline(F188:F197,A188:A197,B$14),IF(AND(COUNT(A189:A200)=10,COUNT(F189:F200)=10),cubic_spline(F188:F198,A188:A198,B$14),IF(AND(COUNT(A189:A200)=11,COUNT(F189:F200)=11),cubic_spline(F188:F199,A188:A199,B$14),IF(AND(COUNT(A189:A200)=12,COUNT(F189:F200)=12),cubic_spline(F188:F200,A188:A200,B$14),""))))))))))))</f>
        <v/>
      </c>
      <c r="L199" s="27" t="str">
        <f>IF(I199="","",B$13&amp;"-"&amp;B$14)</f>
        <v/>
      </c>
      <c r="M199" s="52" t="str">
        <f t="shared" si="70"/>
        <v/>
      </c>
    </row>
    <row r="200" spans="1:13" x14ac:dyDescent="0.35">
      <c r="A200" s="48"/>
      <c r="B200" s="48"/>
      <c r="C200" s="49"/>
      <c r="D200" s="50"/>
      <c r="E200" s="51" t="str">
        <f t="shared" si="69"/>
        <v/>
      </c>
      <c r="F200" s="71" t="str">
        <f t="shared" si="66"/>
        <v/>
      </c>
      <c r="G200" s="69" t="str">
        <f t="shared" si="68"/>
        <v/>
      </c>
      <c r="H200" s="70" t="str">
        <f t="shared" si="67"/>
        <v/>
      </c>
      <c r="I200" s="27" t="str">
        <f>IF(N(J200)=0,"",0&amp;"-"&amp;B$15)</f>
        <v/>
      </c>
      <c r="J200" s="52" t="str">
        <f>IF(N(B$15)=0,"",IF(AND(COUNT(H189:H200)=2,COUNT(F189:F200)=2),cubic_spline(F188:F190,H188:H190,B$15),IF(AND(COUNT(H189:H200)=3,COUNT(F189:F200)=3),cubic_spline(F188:F191,H188:H191,B$15),IF(AND(COUNT(H189:H200)=4,COUNT(F189:F200)=4),cubic_spline(F188:F192,H188:H192,B$15),IF(AND(COUNT(H189:H200)=5,COUNT(F189:F200)=5),cubic_spline(F188:F193,H188:H193,B$15),IF(AND(COUNT(H189:H200)=6,COUNT(F189:F200)=6),cubic_spline(F188:F194,H188:H194,B$15),IF(AND(COUNT(H189:H200)=7,COUNT(F189:F200)=7),cubic_spline(F188:F195,H188:H195,B$15),IF(AND(COUNT(H189:H200)=8,COUNT(F189:F200)=8),cubic_spline(F188:F196,H188:H196,B$15),IF(AND(COUNT(H189:H200)=9,COUNT(F189:F200)=9),cubic_spline(F188:F197,H188:H197,B$15),IF(AND(COUNT(H189:H200)=10,COUNT(F189:F200)=10),cubic_spline(F188:F198,H188:H198,B$15),IF(AND(COUNT(H189:H200)=11,COUNT(F189:F200)=11),cubic_spline(F188:F199,H188:H199,B$15),IF(AND(COUNT(H189:H200)=12,COUNT(F189:F200)=12),cubic_spline(F188:F200,H188:H200,B$15),""))))))))))))</f>
        <v/>
      </c>
      <c r="K200" s="52" t="str">
        <f>IF(N(B$15)=0,"",IF(AND(COUNT(A189:A200)=2,COUNT(F189:F200)=2),cubic_spline(F188:F190,A188:A190,B$15),IF(AND(COUNT(A189:A200)=3,COUNT(F189:F200)=3),cubic_spline(F188:F191,A188:A191,B$15),IF(AND(COUNT(A189:A200)=4,COUNT(F189:F200)=4),cubic_spline(F188:F192,A188:A192,B$15),IF(AND(COUNT(A189:A200)=5,COUNT(F189:F200)=5),cubic_spline(F188:F193,A188:A193,B$15),IF(AND(COUNT(A189:A200)=6,COUNT(F189:F200)=6),cubic_spline(F188:F194,A188:A194,B$15),IF(AND(COUNT(A189:A200)=7,COUNT(F189:F200)=7),cubic_spline(F188:F195,A188:A195,B$15),IF(AND(COUNT(A189:A200)=8,COUNT(F189:F200)=8),cubic_spline(F188:F196,A188:A196,B$15),IF(AND(COUNT(A189:A200)=9,COUNT(F189:F200)=9),cubic_spline(F188:F197,A188:A197,B$15),IF(AND(COUNT(A189:A200)=10,COUNT(F189:F200)=10),cubic_spline(F188:F198,A188:A198,B$15),IF(AND(COUNT(A189:A200)=11,COUNT(F189:F200)=11),cubic_spline(F188:F199,A188:A199,B$15),IF(AND(COUNT(A189:A200)=12,COUNT(F189:F200)=12),cubic_spline(F188:F200,A188:A200,B$15),""))))))))))))</f>
        <v/>
      </c>
      <c r="L200" s="27" t="str">
        <f>IF(I200="","",B$14&amp;"-"&amp;B$15)</f>
        <v/>
      </c>
      <c r="M200" s="52" t="str">
        <f t="shared" si="70"/>
        <v/>
      </c>
    </row>
    <row r="201" spans="1:13" ht="5.15" customHeight="1" x14ac:dyDescent="0.35">
      <c r="A201" s="47"/>
      <c r="B201" s="47"/>
      <c r="C201" s="47"/>
      <c r="D201" s="53"/>
      <c r="E201" s="54"/>
      <c r="F201" s="55"/>
      <c r="G201" s="72"/>
      <c r="H201" s="73"/>
      <c r="I201" s="47"/>
      <c r="J201" s="57"/>
      <c r="K201" s="57"/>
      <c r="L201" s="55"/>
      <c r="M201" s="57"/>
    </row>
    <row r="202" spans="1:13" x14ac:dyDescent="0.35">
      <c r="A202" s="48"/>
      <c r="B202" s="48"/>
      <c r="C202" s="49"/>
      <c r="D202" s="50"/>
      <c r="E202" s="51" t="str">
        <f>IF(N(C202)=0,"",C202/PI()/($D$1/2)^2/$D$2*10000)</f>
        <v/>
      </c>
      <c r="F202" s="68" t="str">
        <f t="shared" ref="F202:F213" si="71">IF(N(E202)=0,"",(N(E202)+N(F201)))</f>
        <v/>
      </c>
      <c r="G202" s="69" t="str">
        <f>IF(OR(N(D202)=0,N(E202)=0),"",(E202*D202)/1000)</f>
        <v/>
      </c>
      <c r="H202" s="70" t="str">
        <f t="shared" ref="H202:H213" si="72">IF(N(G202)=0,"",(N(G202)+N(H201)))</f>
        <v/>
      </c>
      <c r="I202" s="27" t="str">
        <f>IF(N(J202)=0,"",0&amp;"-"&amp;B$4)</f>
        <v/>
      </c>
      <c r="J202" s="52" t="str">
        <f>IF(N(B$4)=0,"",IF(AND(COUNT(H202:H213)=2,COUNT(F202:F213)=2),cubic_spline(F201:F203,H201:H203,B$4),IF(AND(COUNT(H202:H213)=3,COUNT(F202:F213)=3),cubic_spline(F201:F204,H201:H204,B$4),IF(AND(COUNT(H202:H213)=4,COUNT(F202:F213)=4),cubic_spline(F201:F205,H201:H205,B$4),IF(AND(COUNT(H202:H213)=5,COUNT(F202:F213)=5),cubic_spline(F201:F206,H201:H206,B$4),IF(AND(COUNT(H202:H213)=6,COUNT(F202:F213)=6),cubic_spline(F201:F207,H201:H207,B$4),IF(AND(COUNT(H202:H213)=7,COUNT(F202:F213)=7),cubic_spline(F201:F208,H201:H208,B$4),IF(AND(COUNT(H202:H213)=8,COUNT(F202:F213)=8),cubic_spline(F201:F209,H201:H209,B$4),IF(AND(COUNT(H202:H213)=9,COUNT(F202:F213)=9),cubic_spline(F201:F210,H201:H210,B$4),IF(AND(COUNT(H202:H213)=10,COUNT(F202:F213)=10),cubic_spline(F201:F211,H201:H211,B$4),IF(AND(COUNT(H202:H213)=11,COUNT(F202:F213)=11),cubic_spline(F201:F212,H201:H212,B$4),IF(AND(COUNT(H202:H213)=12,COUNT(F202:F213)=12),cubic_spline(F201:F213,H201:H213,B$4),""))))))))))))</f>
        <v/>
      </c>
      <c r="K202" s="52" t="str">
        <f>IF(N(B$4)=0,"",IF(AND(COUNT(A202:A213)=2,COUNT(F202:F213)=2),cubic_spline(F201:F203,A201:A203,B$4),IF(AND(COUNT(A202:A213)=3,COUNT(F202:F213)=3),cubic_spline(F201:F204,A201:A204,B$4),IF(AND(COUNT(A202:A213)=4,COUNT(F202:F213)=4),cubic_spline(F201:F205,A201:A205,B$4),IF(AND(COUNT(A202:A213)=5,COUNT(F202:F213)=5),cubic_spline(F201:F206,A201:A206,B$4),IF(AND(COUNT(A202:A213)=6,COUNT(F202:F213)=6),cubic_spline(F201:F207,A201:A207,B$4),IF(AND(COUNT(A202:A213)=7,COUNT(F202:F213)=7),cubic_spline(F201:F208,A201:A208,B$4),IF(AND(COUNT(A202:A213)=8,COUNT(F202:F213)=8),cubic_spline(F201:F209,A201:A209,B$4),IF(AND(COUNT(A202:A213)=9,COUNT(F202:F213)=9),cubic_spline(F201:F210,A201:A210,B$4),IF(AND(COUNT(A202:A213)=10,COUNT(F202:F213)=10),cubic_spline(F201:F211,A201:A211,B$4),IF(AND(COUNT(A202:A213)=11,COUNT(F202:F213)=11),cubic_spline(F201:F212,A201:A212,B$4),IF(AND(COUNT(A202:A213)=12,COUNT(F202:F213)=12),cubic_spline(F201:F213,A201:A213,B$4),""))))))))))))</f>
        <v/>
      </c>
      <c r="L202" s="27" t="str">
        <f>IF(I202="","",0&amp;"-"&amp;B$4)</f>
        <v/>
      </c>
      <c r="M202" s="52" t="str">
        <f>IF(N(J202)=0,"",J202-J201)</f>
        <v/>
      </c>
    </row>
    <row r="203" spans="1:13" x14ac:dyDescent="0.35">
      <c r="A203" s="48"/>
      <c r="B203" s="48"/>
      <c r="C203" s="49"/>
      <c r="D203" s="50"/>
      <c r="E203" s="51" t="str">
        <f>IF(N(C203)=0,"",C203/PI()/($D$1/2)^2/$D$2*10000)</f>
        <v/>
      </c>
      <c r="F203" s="68" t="str">
        <f t="shared" si="71"/>
        <v/>
      </c>
      <c r="G203" s="69" t="str">
        <f t="shared" ref="G203:G213" si="73">IF(OR(N(D203)=0,N(E203)=0),"",(E203*D203)/1000)</f>
        <v/>
      </c>
      <c r="H203" s="70" t="str">
        <f t="shared" si="72"/>
        <v/>
      </c>
      <c r="I203" s="27" t="str">
        <f>IF(N(J203)=0,"",0&amp;"-"&amp;B$5)</f>
        <v/>
      </c>
      <c r="J203" s="52" t="str">
        <f>IF(N(B$5)=0,"",IF(AND(COUNT(H202:H213)=2,COUNT(F202:F213)=2),cubic_spline(F201:F203,H201:H203,B$5),IF(AND(COUNT(H202:H213)=3,COUNT(F202:F213)=3),cubic_spline(F201:F204,H201:H204,B$5),IF(AND(COUNT(H202:H213)=4,COUNT(F202:F213)=4),cubic_spline(F201:F205,H201:H205,B$5),IF(AND(COUNT(H202:H213)=5,COUNT(F202:F213)=5),cubic_spline(F201:F206,H201:H206,B$5),IF(AND(COUNT(H202:H213)=6,COUNT(F202:F213)=6),cubic_spline(F201:F207,H201:H207,B$5),IF(AND(COUNT(H202:H213)=7,COUNT(F202:F213)=7),cubic_spline(F201:F208,H201:H208,B$5),IF(AND(COUNT(H202:H213)=8,COUNT(F202:F213)=8),cubic_spline(F201:F209,H201:H209,B$5),IF(AND(COUNT(H202:H213)=9,COUNT(F202:F213)=9),cubic_spline(F201:F210,H201:H210,B$5),IF(AND(COUNT(H202:H213)=10,COUNT(F202:F213)=10),cubic_spline(F201:F211,H201:H211,B$5),IF(AND(COUNT(H202:H213)=11,COUNT(F202:F213)=11),cubic_spline(F201:F212,H201:H212,B$5),IF(AND(COUNT(H202:H213)=12,COUNT(F202:F213)=12),cubic_spline(F201:F213,H201:H213,B$5),""))))))))))))</f>
        <v/>
      </c>
      <c r="K203" s="52" t="str">
        <f>IF(N(B$5)=0,"",IF(AND(COUNT(A202:A213)=2,COUNT(F202:F213)=2),cubic_spline(F201:F203,A201:A203,B$5),IF(AND(COUNT(A202:A213)=3,COUNT(F202:F213)=3),cubic_spline(F201:F204,A201:A204,B$5),IF(AND(COUNT(A202:A213)=4,COUNT(F202:F213)=4),cubic_spline(F201:F205,A201:A205,B$5),IF(AND(COUNT(A202:A213)=5,COUNT(F202:F213)=5),cubic_spline(F201:F206,A201:A206,B$5),IF(AND(COUNT(A202:A213)=6,COUNT(F202:F213)=6),cubic_spline(F201:F207,A201:A207,B$5),IF(AND(COUNT(A202:A213)=7,COUNT(F202:F213)=7),cubic_spline(F201:F208,A201:A208,B$5),IF(AND(COUNT(A202:A213)=8,COUNT(F202:F213)=8),cubic_spline(F201:F209,A201:A209,B$5),IF(AND(COUNT(A202:A213)=9,COUNT(F202:F213)=9),cubic_spline(F201:F210,A201:A210,B$5),IF(AND(COUNT(A202:A213)=10,COUNT(F202:F213)=10),cubic_spline(F201:F211,A201:A211,B$5),IF(AND(COUNT(A202:A213)=11,COUNT(F202:F213)=11),cubic_spline(F201:F212,A201:A212,B$5),IF(AND(COUNT(A202:A213)=12,COUNT(F202:F213)=12),cubic_spline(F201:F213,A201:A213,B$5),""))))))))))))</f>
        <v/>
      </c>
      <c r="L203" s="27" t="str">
        <f>IF(I203="","",B$4&amp;"-"&amp;B$5)</f>
        <v/>
      </c>
      <c r="M203" s="52" t="str">
        <f>IF(N(J203)=0,"",J203-J202)</f>
        <v/>
      </c>
    </row>
    <row r="204" spans="1:13" x14ac:dyDescent="0.35">
      <c r="A204" s="48"/>
      <c r="B204" s="48"/>
      <c r="C204" s="49"/>
      <c r="D204" s="50"/>
      <c r="E204" s="51" t="str">
        <f>IF(N(C204)=0,"",C204/PI()/($D$1/2)^2/$D$2*10000)</f>
        <v/>
      </c>
      <c r="F204" s="68" t="str">
        <f t="shared" si="71"/>
        <v/>
      </c>
      <c r="G204" s="69" t="str">
        <f t="shared" si="73"/>
        <v/>
      </c>
      <c r="H204" s="70" t="str">
        <f t="shared" si="72"/>
        <v/>
      </c>
      <c r="I204" s="27" t="str">
        <f>IF(N(J204)=0,"",0&amp;"-"&amp;B$6)</f>
        <v/>
      </c>
      <c r="J204" s="52" t="str">
        <f>IF(N(B$6)=0,"",IF(AND(COUNT(H202:H213)=2,COUNT(F202:F213)=2),cubic_spline(F201:F203,H201:H203,B$6),IF(AND(COUNT(H202:H213)=3,COUNT(F202:F213)=3),cubic_spline(F201:F204,H201:H204,B$6),IF(AND(COUNT(H202:H213)=4,COUNT(F202:F213)=4),cubic_spline(F201:F205,H201:H205,B$6),IF(AND(COUNT(H202:H213)=5,COUNT(F202:F213)=5),cubic_spline(F201:F206,H201:H206,B$6),IF(AND(COUNT(H202:H213)=6,COUNT(F202:F213)=6),cubic_spline(F201:F207,H201:H207,B$6),IF(AND(COUNT(H202:H213)=7,COUNT(F202:F213)=7),cubic_spline(F201:F208,H201:H208,B$6),IF(AND(COUNT(H202:H213)=8,COUNT(F202:F213)=8),cubic_spline(F201:F209,H201:H209,B$6),IF(AND(COUNT(H202:H213)=9,COUNT(F202:F213)=9),cubic_spline(F201:F210,H201:H210,B$6),IF(AND(COUNT(H202:H213)=10,COUNT(F202:F213)=10),cubic_spline(F201:F211,H201:H211,B$6),IF(AND(COUNT(H202:H213)=11,COUNT(F202:F213)=11),cubic_spline(F201:F212,H201:H212,B$6),IF(AND(COUNT(H202:H213)=12,COUNT(F202:F213)=12),cubic_spline(F201:F213,H201:H213,B$6),""))))))))))))</f>
        <v/>
      </c>
      <c r="K204" s="52" t="str">
        <f>IF(N(B$6)=0,"",IF(AND(COUNT(A202:A213)=2,COUNT(F202:F213)=2),cubic_spline(F201:F203,A201:A203,B$6),IF(AND(COUNT(A202:A213)=3,COUNT(F202:F213)=3),cubic_spline(F201:F204,A201:A204,B$6),IF(AND(COUNT(A202:A213)=4,COUNT(F202:F213)=4),cubic_spline(F201:F205,A201:A205,B$6),IF(AND(COUNT(A202:A213)=5,COUNT(F202:F213)=5),cubic_spline(F201:F206,A201:A206,B$6),IF(AND(COUNT(A202:A213)=6,COUNT(F202:F213)=6),cubic_spline(F201:F207,A201:A207,B$6),IF(AND(COUNT(A202:A213)=7,COUNT(F202:F213)=7),cubic_spline(F201:F208,A201:A208,B$6),IF(AND(COUNT(A202:A213)=8,COUNT(F202:F213)=8),cubic_spline(F201:F209,A201:A209,B$6),IF(AND(COUNT(A202:A213)=9,COUNT(F202:F213)=9),cubic_spline(F201:F210,A201:A210,B$6),IF(AND(COUNT(A202:A213)=10,COUNT(F202:F213)=10),cubic_spline(F201:F211,A201:A211,B$6),IF(AND(COUNT(A202:A213)=11,COUNT(F202:F213)=11),cubic_spline(F201:F212,A201:A212,B$6),IF(AND(COUNT(A202:A213)=12,COUNT(F202:F213)=12),cubic_spline(F201:F213,A201:A213,B$6),""))))))))))))</f>
        <v/>
      </c>
      <c r="L204" s="27" t="str">
        <f>IF(I204="","",B$5&amp;"-"&amp;B$6)</f>
        <v/>
      </c>
      <c r="M204" s="52" t="str">
        <f>IF(N(J204)=0,"",J204-J203)</f>
        <v/>
      </c>
    </row>
    <row r="205" spans="1:13" x14ac:dyDescent="0.35">
      <c r="A205" s="48"/>
      <c r="B205" s="48"/>
      <c r="C205" s="49"/>
      <c r="D205" s="50"/>
      <c r="E205" s="51" t="str">
        <f>IF(N(C205)=0,"",C205/PI()/($D$1/2)^2/$D$2*10000)</f>
        <v/>
      </c>
      <c r="F205" s="68" t="str">
        <f t="shared" si="71"/>
        <v/>
      </c>
      <c r="G205" s="69" t="str">
        <f t="shared" si="73"/>
        <v/>
      </c>
      <c r="H205" s="70" t="str">
        <f t="shared" si="72"/>
        <v/>
      </c>
      <c r="I205" s="27" t="str">
        <f>IF(N(J205)=0,"",0&amp;"-"&amp;B$7)</f>
        <v/>
      </c>
      <c r="J205" s="52" t="str">
        <f>IF(N(B$7)=0,"",IF(AND(COUNT(H202:H213)=2,COUNT(F202:F213)=2),cubic_spline(F201:F203,H201:H203,B$7),IF(AND(COUNT(H202:H213)=3,COUNT(F202:F213)=3),cubic_spline(F201:F204,H201:H204,B$7),IF(AND(COUNT(H202:H213)=4,COUNT(F202:F213)=4),cubic_spline(F201:F205,H201:H205,B$7),IF(AND(COUNT(H202:H213)=5,COUNT(F202:F213)=5),cubic_spline(F201:F206,H201:H206,B$7),IF(AND(COUNT(H202:H213)=6,COUNT(F202:F213)=6),cubic_spline(F201:F207,H201:H207,B$7),IF(AND(COUNT(H202:H213)=7,COUNT(F202:F213)=7),cubic_spline(F201:F208,H201:H208,B$7),IF(AND(COUNT(H202:H213)=8,COUNT(F202:F213)=8),cubic_spline(F201:F209,H201:H209,B$7),IF(AND(COUNT(H202:H213)=9,COUNT(F202:F213)=9),cubic_spline(F201:F210,H201:H210,B$7),IF(AND(COUNT(H202:H213)=10,COUNT(F202:F213)=10),cubic_spline(F201:F211,H201:H211,B$7),IF(AND(COUNT(H202:H213)=11,COUNT(F202:F213)=11),cubic_spline(F201:F212,H201:H212,B$7),IF(AND(COUNT(H202:H213)=12,COUNT(F202:F213)=12),cubic_spline(F201:F213,H201:H213,B$7),""))))))))))))</f>
        <v/>
      </c>
      <c r="K205" s="52" t="str">
        <f>IF(N(B$7)=0,"",IF(AND(COUNT(A202:A213)=2,COUNT(F202:F213)=2),cubic_spline(F201:F203,A201:A203,B$7),IF(AND(COUNT(A202:A213)=3,COUNT(F202:F213)=3),cubic_spline(F201:F204,A201:A204,B$7),IF(AND(COUNT(A202:A213)=4,COUNT(F202:F213)=4),cubic_spline(F201:F205,A201:A205,B$7),IF(AND(COUNT(A202:A213)=5,COUNT(F202:F213)=5),cubic_spline(F201:F206,A201:A206,B$7),IF(AND(COUNT(A202:A213)=6,COUNT(F202:F213)=6),cubic_spline(F201:F207,A201:A207,B$7),IF(AND(COUNT(A202:A213)=7,COUNT(F202:F213)=7),cubic_spline(F201:F208,A201:A208,B$7),IF(AND(COUNT(A202:A213)=8,COUNT(F202:F213)=8),cubic_spline(F201:F209,A201:A209,B$7),IF(AND(COUNT(A202:A213)=9,COUNT(F202:F213)=9),cubic_spline(F201:F210,A201:A210,B$7),IF(AND(COUNT(A202:A213)=10,COUNT(F202:F213)=10),cubic_spline(F201:F211,A201:A211,B$7),IF(AND(COUNT(A202:A213)=11,COUNT(F202:F213)=11),cubic_spline(F201:F212,A201:A212,B$7),IF(AND(COUNT(A202:A213)=12,COUNT(F202:F213)=12),cubic_spline(F201:F213,A201:A213,B$7),""))))))))))))</f>
        <v/>
      </c>
      <c r="L205" s="27" t="str">
        <f>IF(I205="","",B$6&amp;"-"&amp;B$7)</f>
        <v/>
      </c>
      <c r="M205" s="52" t="str">
        <f>IF(N(J205)=0,"",J205-J204)</f>
        <v/>
      </c>
    </row>
    <row r="206" spans="1:13" x14ac:dyDescent="0.35">
      <c r="A206" s="48"/>
      <c r="B206" s="48"/>
      <c r="C206" s="49"/>
      <c r="D206" s="50"/>
      <c r="E206" s="51" t="str">
        <f t="shared" ref="E206:E213" si="74">IF(N(C206)=0,"",C206/PI()/($D$1/2)^2/$D$2*10000)</f>
        <v/>
      </c>
      <c r="F206" s="71" t="str">
        <f t="shared" si="71"/>
        <v/>
      </c>
      <c r="G206" s="69" t="str">
        <f t="shared" si="73"/>
        <v/>
      </c>
      <c r="H206" s="70" t="str">
        <f t="shared" si="72"/>
        <v/>
      </c>
      <c r="I206" s="27" t="str">
        <f>IF(N(J206)=0,"",0&amp;"-"&amp;B$8)</f>
        <v/>
      </c>
      <c r="J206" s="52" t="str">
        <f>IF(N(B$8)=0,"",IF(AND(COUNT(H202:H213)=2,COUNT(F202:F213)=2),cubic_spline(F201:F203,H201:H203,B$8),IF(AND(COUNT(H202:H213)=3,COUNT(F202:F213)=3),cubic_spline(F201:F204,H201:H204,B$8),IF(AND(COUNT(H202:H213)=4,COUNT(F202:F213)=4),cubic_spline(F201:F205,H201:H205,B$8),IF(AND(COUNT(H202:H213)=5,COUNT(F202:F213)=5),cubic_spline(F201:F206,H201:H206,B$8),IF(AND(COUNT(H202:H213)=6,COUNT(F202:F213)=6),cubic_spline(F201:F207,H201:H207,B$8),IF(AND(COUNT(H202:H213)=7,COUNT(F202:F213)=7),cubic_spline(F201:F208,H201:H208,B$8),IF(AND(COUNT(H202:H213)=8,COUNT(F202:F213)=8),cubic_spline(F201:F209,H201:H209,B$8),IF(AND(COUNT(H202:H213)=9,COUNT(F202:F213)=9),cubic_spline(F201:F210,H201:H210,B$8),IF(AND(COUNT(H202:H213)=10,COUNT(F202:F213)=10),cubic_spline(F201:F211,H201:H211,B$8),IF(AND(COUNT(H202:H213)=11,COUNT(F202:F213)=11),cubic_spline(F201:F212,H201:H212,B$8),IF(AND(COUNT(H202:H213)=12,COUNT(F202:F213)=12),cubic_spline(F201:F213,H201:H213,B$8),""))))))))))))</f>
        <v/>
      </c>
      <c r="K206" s="52" t="str">
        <f>IF(N(B$8)=0,"",IF(AND(COUNT(A202:A213)=2,COUNT(F202:F213)=2),cubic_spline(F201:F203,A201:A203,B$8),IF(AND(COUNT(A202:A213)=3,COUNT(F202:F213)=3),cubic_spline(F201:F204,A201:A204,B$8),IF(AND(COUNT(A202:A213)=4,COUNT(F202:F213)=4),cubic_spline(F201:F205,A201:A205,B$8),IF(AND(COUNT(A202:A213)=5,COUNT(F202:F213)=5),cubic_spline(F201:F206,A201:A206,B$8),IF(AND(COUNT(A202:A213)=6,COUNT(F202:F213)=6),cubic_spline(F201:F207,A201:A207,B$8),IF(AND(COUNT(A202:A213)=7,COUNT(F202:F213)=7),cubic_spline(F201:F208,A201:A208,B$8),IF(AND(COUNT(A202:A213)=8,COUNT(F202:F213)=8),cubic_spline(F201:F209,A201:A209,B$8),IF(AND(COUNT(A202:A213)=9,COUNT(F202:F213)=9),cubic_spline(F201:F210,A201:A210,B$8),IF(AND(COUNT(A202:A213)=10,COUNT(F202:F213)=10),cubic_spline(F201:F211,A201:A211,B$8),IF(AND(COUNT(A202:A213)=11,COUNT(F202:F213)=11),cubic_spline(F201:F212,A201:A212,B$8),IF(AND(COUNT(A202:A213)=12,COUNT(F202:F213)=12),cubic_spline(F201:F213,A201:A213,B$8),""))))))))))))</f>
        <v/>
      </c>
      <c r="L206" s="27" t="str">
        <f>IF(I206="","",B$7&amp;"-"&amp;B$8)</f>
        <v/>
      </c>
      <c r="M206" s="52" t="str">
        <f>IF(N(J206)=0,"",J206-J205)</f>
        <v/>
      </c>
    </row>
    <row r="207" spans="1:13" x14ac:dyDescent="0.35">
      <c r="A207" s="48"/>
      <c r="B207" s="48"/>
      <c r="C207" s="49"/>
      <c r="D207" s="50"/>
      <c r="E207" s="51" t="str">
        <f t="shared" si="74"/>
        <v/>
      </c>
      <c r="F207" s="71" t="str">
        <f t="shared" si="71"/>
        <v/>
      </c>
      <c r="G207" s="69" t="str">
        <f t="shared" si="73"/>
        <v/>
      </c>
      <c r="H207" s="70" t="str">
        <f t="shared" si="72"/>
        <v/>
      </c>
      <c r="I207" s="27" t="str">
        <f>IF(N(J207)=0,"",0&amp;"-"&amp;B$9)</f>
        <v/>
      </c>
      <c r="J207" s="52" t="str">
        <f>IF(N(B$9)=0,"",IF(AND(COUNT(H202:H213)=2,COUNT(F202:F213)=2),cubic_spline(F201:F203,H201:H203,B$9),IF(AND(COUNT(H202:H213)=3,COUNT(F202:F213)=3),cubic_spline(F201:F204,H201:H204,B$9),IF(AND(COUNT(H202:H213)=4,COUNT(F202:F213)=4),cubic_spline(F201:F205,H201:H205,B$9),IF(AND(COUNT(H202:H213)=5,COUNT(F202:F213)=5),cubic_spline(F201:F206,H201:H206,B$9),IF(AND(COUNT(H202:H213)=6,COUNT(F202:F213)=6),cubic_spline(F201:F207,H201:H207,B$9),IF(AND(COUNT(H202:H213)=7,COUNT(F202:F213)=7),cubic_spline(F201:F208,H201:H208,B$9),IF(AND(COUNT(H202:H213)=8,COUNT(F202:F213)=8),cubic_spline(F201:F209,H201:H209,B$9),IF(AND(COUNT(H202:H213)=9,COUNT(F202:F213)=9),cubic_spline(F201:F210,H201:H210,B$9),IF(AND(COUNT(H202:H213)=10,COUNT(F202:F213)=10),cubic_spline(F201:F211,H201:H211,B$9),IF(AND(COUNT(H202:H213)=11,COUNT(F202:F213)=11),cubic_spline(F201:F212,H201:H212,B$9),IF(AND(COUNT(H202:H213)=12,COUNT(F202:F213)=12),cubic_spline(F201:F213,H201:H213,B$9),""))))))))))))</f>
        <v/>
      </c>
      <c r="K207" s="52" t="str">
        <f>IF(N(B$9)=0,"",IF(AND(COUNT(A202:A213)=2,COUNT(F202:F213)=2),cubic_spline(F201:F203,A201:A203,B$9),IF(AND(COUNT(A202:A213)=3,COUNT(F202:F213)=3),cubic_spline(F201:F204,A201:A204,B$9),IF(AND(COUNT(A202:A213)=4,COUNT(F202:F213)=4),cubic_spline(F201:F205,A201:A205,B$9),IF(AND(COUNT(A202:A213)=5,COUNT(F202:F213)=5),cubic_spline(F201:F206,A201:A206,B$9),IF(AND(COUNT(A202:A213)=6,COUNT(F202:F213)=6),cubic_spline(F201:F207,A201:A207,B$9),IF(AND(COUNT(A202:A213)=7,COUNT(F202:F213)=7),cubic_spline(F201:F208,A201:A208,B$9),IF(AND(COUNT(A202:A213)=8,COUNT(F202:F213)=8),cubic_spline(F201:F209,A201:A209,B$9),IF(AND(COUNT(A202:A213)=9,COUNT(F202:F213)=9),cubic_spline(F201:F210,A201:A210,B$9),IF(AND(COUNT(A202:A213)=10,COUNT(F202:F213)=10),cubic_spline(F201:F211,A201:A211,B$9),IF(AND(COUNT(A202:A213)=11,COUNT(F202:F213)=11),cubic_spline(F201:F212,A201:A212,B$9),IF(AND(COUNT(A202:A213)=12,COUNT(F202:F213)=12),cubic_spline(F201:F213,A201:A213,B$9),""))))))))))))</f>
        <v/>
      </c>
      <c r="L207" s="27" t="str">
        <f>IF(I207="","",B$8&amp;"-"&amp;B$9)</f>
        <v/>
      </c>
      <c r="M207" s="52" t="str">
        <f t="shared" ref="M207:M213" si="75">IF(N(J207)=0,"",J207-J206)</f>
        <v/>
      </c>
    </row>
    <row r="208" spans="1:13" x14ac:dyDescent="0.35">
      <c r="A208" s="48"/>
      <c r="B208" s="48"/>
      <c r="C208" s="49"/>
      <c r="D208" s="50"/>
      <c r="E208" s="51" t="str">
        <f t="shared" si="74"/>
        <v/>
      </c>
      <c r="F208" s="71" t="str">
        <f t="shared" si="71"/>
        <v/>
      </c>
      <c r="G208" s="69" t="str">
        <f t="shared" si="73"/>
        <v/>
      </c>
      <c r="H208" s="70" t="str">
        <f t="shared" si="72"/>
        <v/>
      </c>
      <c r="I208" s="27" t="str">
        <f>IF(N(J208)=0,"",0&amp;"-"&amp;B$10)</f>
        <v/>
      </c>
      <c r="J208" s="52" t="str">
        <f>IF(N(B$10)=0,"",IF(AND(COUNT(H202:H213)=2,COUNT(F202:F213)=2),cubic_spline(F201:F203,H201:H203,B$10),IF(AND(COUNT(H202:H213)=3,COUNT(F202:F213)=3),cubic_spline(F201:F204,H201:H204,B$10),IF(AND(COUNT(H202:H213)=4,COUNT(F202:F213)=4),cubic_spline(F201:F205,H201:H205,B$10),IF(AND(COUNT(H202:H213)=5,COUNT(F202:F213)=5),cubic_spline(F201:F206,H201:H206,B$10),IF(AND(COUNT(H202:H213)=6,COUNT(F202:F213)=6),cubic_spline(F201:F207,H201:H207,B$10),IF(AND(COUNT(H202:H213)=7,COUNT(F202:F213)=7),cubic_spline(F201:F208,H201:H208,B$10),IF(AND(COUNT(H202:H213)=8,COUNT(F202:F213)=8),cubic_spline(F201:F209,H201:H209,B$10),IF(AND(COUNT(H202:H213)=9,COUNT(F202:F213)=9),cubic_spline(F201:F210,H201:H210,B$10),IF(AND(COUNT(H202:H213)=10,COUNT(F202:F213)=10),cubic_spline(F201:F211,H201:H211,B$10),IF(AND(COUNT(H202:H213)=11,COUNT(F202:F213)=11),cubic_spline(F201:F212,H201:H212,B$10),IF(AND(COUNT(H202:H213)=12,COUNT(F202:F213)=12),cubic_spline(F201:F213,H201:H213,B$10),""))))))))))))</f>
        <v/>
      </c>
      <c r="K208" s="52" t="str">
        <f>IF(N(B$10)=0,"",IF(AND(COUNT(A202:A213)=2,COUNT(F202:F213)=2),cubic_spline(F201:F203,A201:A203,B$10),IF(AND(COUNT(A202:A213)=3,COUNT(F202:F213)=3),cubic_spline(F201:F204,A201:A204,B$10),IF(AND(COUNT(A202:A213)=4,COUNT(F202:F213)=4),cubic_spline(F201:F205,A201:A205,B$10),IF(AND(COUNT(A202:A213)=5,COUNT(F202:F213)=5),cubic_spline(F201:F206,A201:A206,B$10),IF(AND(COUNT(A202:A213)=6,COUNT(F202:F213)=6),cubic_spline(F201:F207,A201:A207,B$10),IF(AND(COUNT(A202:A213)=7,COUNT(F202:F213)=7),cubic_spline(F201:F208,A201:A208,B$10),IF(AND(COUNT(A202:A213)=8,COUNT(F202:F213)=8),cubic_spline(F201:F209,A201:A209,B$10),IF(AND(COUNT(A202:A213)=9,COUNT(F202:F213)=9),cubic_spline(F201:F210,A201:A210,B$10),IF(AND(COUNT(A202:A213)=10,COUNT(F202:F213)=10),cubic_spline(F201:F211,A201:A211,B$10),IF(AND(COUNT(A202:A213)=11,COUNT(F202:F213)=11),cubic_spline(F201:F212,A201:A212,B$10),IF(AND(COUNT(A202:A213)=12,COUNT(F202:F213)=12),cubic_spline(F201:F213,A201:A213,B$10),""))))))))))))</f>
        <v/>
      </c>
      <c r="L208" s="27" t="str">
        <f>IF(I208="","",B$9&amp;"-"&amp;B$10)</f>
        <v/>
      </c>
      <c r="M208" s="52" t="str">
        <f t="shared" si="75"/>
        <v/>
      </c>
    </row>
    <row r="209" spans="1:13" x14ac:dyDescent="0.35">
      <c r="A209" s="48"/>
      <c r="B209" s="48"/>
      <c r="C209" s="49"/>
      <c r="D209" s="50"/>
      <c r="E209" s="51" t="str">
        <f t="shared" si="74"/>
        <v/>
      </c>
      <c r="F209" s="71" t="str">
        <f t="shared" si="71"/>
        <v/>
      </c>
      <c r="G209" s="69" t="str">
        <f t="shared" si="73"/>
        <v/>
      </c>
      <c r="H209" s="70" t="str">
        <f t="shared" si="72"/>
        <v/>
      </c>
      <c r="I209" s="27" t="str">
        <f>IF(N(J209)=0,"",0&amp;"-"&amp;B$11)</f>
        <v/>
      </c>
      <c r="J209" s="52" t="str">
        <f>IF(N(B$11)=0,"",IF(AND(COUNT(H202:H213)=2,COUNT(F202:F213)=2),cubic_spline(F201:F203,H201:H203,B$11),IF(AND(COUNT(H202:H213)=3,COUNT(F202:F213)=3),cubic_spline(F201:F204,H201:H204,B$11),IF(AND(COUNT(H202:H213)=4,COUNT(F202:F213)=4),cubic_spline(F201:F205,H201:H205,B$11),IF(AND(COUNT(H202:H213)=5,COUNT(F202:F213)=5),cubic_spline(F201:F206,H201:H206,B$11),IF(AND(COUNT(H202:H213)=6,COUNT(F202:F213)=6),cubic_spline(F201:F207,H201:H207,B$11),IF(AND(COUNT(H202:H213)=7,COUNT(F202:F213)=7),cubic_spline(F201:F208,H201:H208,B$11),IF(AND(COUNT(H202:H213)=8,COUNT(F202:F213)=8),cubic_spline(F201:F209,H201:H209,B$11),IF(AND(COUNT(H202:H213)=9,COUNT(F202:F213)=9),cubic_spline(F201:F210,H201:H210,B$11),IF(AND(COUNT(H202:H213)=10,COUNT(F202:F213)=10),cubic_spline(F201:F211,H201:H211,B$11),IF(AND(COUNT(H202:H213)=11,COUNT(F202:F213)=11),cubic_spline(F201:F212,H201:H212,B$11),IF(AND(COUNT(H202:H213)=12,COUNT(F202:F213)=12),cubic_spline(F201:F213,H201:H213,B$11),""))))))))))))</f>
        <v/>
      </c>
      <c r="K209" s="52" t="str">
        <f>IF(N(B$11)=0,"",IF(AND(COUNT(A202:A213)=2,COUNT(F202:F213)=2),cubic_spline(F201:F203,A201:A203,B$11),IF(AND(COUNT(A202:A213)=3,COUNT(F202:F213)=3),cubic_spline(F201:F204,A201:A204,B$11),IF(AND(COUNT(A202:A213)=4,COUNT(F202:F213)=4),cubic_spline(F201:F205,A201:A205,B$11),IF(AND(COUNT(A202:A213)=5,COUNT(F202:F213)=5),cubic_spline(F201:F206,A201:A206,B$11),IF(AND(COUNT(A202:A213)=6,COUNT(F202:F213)=6),cubic_spline(F201:F207,A201:A207,B$11),IF(AND(COUNT(A202:A213)=7,COUNT(F202:F213)=7),cubic_spline(F201:F208,A201:A208,B$11),IF(AND(COUNT(A202:A213)=8,COUNT(F202:F213)=8),cubic_spline(F201:F209,A201:A209,B$11),IF(AND(COUNT(A202:A213)=9,COUNT(F202:F213)=9),cubic_spline(F201:F210,A201:A210,B$11),IF(AND(COUNT(A202:A213)=10,COUNT(F202:F213)=10),cubic_spline(F201:F211,A201:A211,B$11),IF(AND(COUNT(A202:A213)=11,COUNT(F202:F213)=11),cubic_spline(F201:F212,A201:A212,B$11),IF(AND(COUNT(A202:A213)=12,COUNT(F202:F213)=12),cubic_spline(F201:F213,A201:A213,B$11),""))))))))))))</f>
        <v/>
      </c>
      <c r="L209" s="27" t="str">
        <f>IF(I209="","",B$10&amp;"-"&amp;B$11)</f>
        <v/>
      </c>
      <c r="M209" s="52" t="str">
        <f t="shared" si="75"/>
        <v/>
      </c>
    </row>
    <row r="210" spans="1:13" x14ac:dyDescent="0.35">
      <c r="A210" s="48"/>
      <c r="B210" s="48"/>
      <c r="C210" s="49"/>
      <c r="D210" s="50"/>
      <c r="E210" s="51" t="str">
        <f t="shared" si="74"/>
        <v/>
      </c>
      <c r="F210" s="71" t="str">
        <f t="shared" si="71"/>
        <v/>
      </c>
      <c r="G210" s="69" t="str">
        <f t="shared" si="73"/>
        <v/>
      </c>
      <c r="H210" s="70" t="str">
        <f t="shared" si="72"/>
        <v/>
      </c>
      <c r="I210" s="27" t="str">
        <f>IF(N(J210)=0,"",0&amp;"-"&amp;B$12)</f>
        <v/>
      </c>
      <c r="J210" s="52" t="str">
        <f>IF(N(B$12)=0,"",IF(AND(COUNT(H202:H213)=2,COUNT(F202:F213)=2),cubic_spline(F201:F203,H201:H203,B$12),IF(AND(COUNT(H202:H213)=3,COUNT(F202:F213)=3),cubic_spline(F201:F204,H201:H204,B$12),IF(AND(COUNT(H202:H213)=4,COUNT(F202:F213)=4),cubic_spline(F201:F205,H201:H205,B$12),IF(AND(COUNT(H202:H213)=5,COUNT(F202:F213)=5),cubic_spline(F201:F206,H201:H206,B$12),IF(AND(COUNT(H202:H213)=6,COUNT(F202:F213)=6),cubic_spline(F201:F207,H201:H207,B$12),IF(AND(COUNT(H202:H213)=7,COUNT(F202:F213)=7),cubic_spline(F201:F208,H201:H208,B$12),IF(AND(COUNT(H202:H213)=8,COUNT(F202:F213)=8),cubic_spline(F201:F209,H201:H209,B$12),IF(AND(COUNT(H202:H213)=9,COUNT(F202:F213)=9),cubic_spline(F201:F210,H201:H210,B$12),IF(AND(COUNT(H202:H213)=10,COUNT(F202:F213)=10),cubic_spline(F201:F211,H201:H211,B$12),IF(AND(COUNT(H202:H213)=11,COUNT(F202:F213)=11),cubic_spline(F201:F212,H201:H212,B$12),IF(AND(COUNT(H202:H213)=12,COUNT(F202:F213)=12),cubic_spline(F201:F213,H201:H213,B$12),""))))))))))))</f>
        <v/>
      </c>
      <c r="K210" s="52" t="str">
        <f>IF(N(B$12)=0,"",IF(AND(COUNT(A202:A213)=2,COUNT(F202:F213)=2),cubic_spline(F201:F203,A201:A203,B$12),IF(AND(COUNT(A202:A213)=3,COUNT(F202:F213)=3),cubic_spline(F201:F204,A201:A204,B$12),IF(AND(COUNT(A202:A213)=4,COUNT(F202:F213)=4),cubic_spline(F201:F205,A201:A205,B$12),IF(AND(COUNT(A202:A213)=5,COUNT(F202:F213)=5),cubic_spline(F201:F206,A201:A206,B$12),IF(AND(COUNT(A202:A213)=6,COUNT(F202:F213)=6),cubic_spline(F201:F207,A201:A207,B$12),IF(AND(COUNT(A202:A213)=7,COUNT(F202:F213)=7),cubic_spline(F201:F208,A201:A208,B$12),IF(AND(COUNT(A202:A213)=8,COUNT(F202:F213)=8),cubic_spline(F201:F209,A201:A209,B$12),IF(AND(COUNT(A202:A213)=9,COUNT(F202:F213)=9),cubic_spline(F201:F210,A201:A210,B$12),IF(AND(COUNT(A202:A213)=10,COUNT(F202:F213)=10),cubic_spline(F201:F211,A201:A211,B$12),IF(AND(COUNT(A202:A213)=11,COUNT(F202:F213)=11),cubic_spline(F201:F212,A201:A212,B$12),IF(AND(COUNT(A202:A213)=12,COUNT(F202:F213)=12),cubic_spline(F201:F213,A201:A213,B$12),""))))))))))))</f>
        <v/>
      </c>
      <c r="L210" s="27" t="str">
        <f>IF(I210="","",B$11&amp;"-"&amp;B$12)</f>
        <v/>
      </c>
      <c r="M210" s="52" t="str">
        <f t="shared" si="75"/>
        <v/>
      </c>
    </row>
    <row r="211" spans="1:13" x14ac:dyDescent="0.35">
      <c r="A211" s="48"/>
      <c r="B211" s="48"/>
      <c r="C211" s="49"/>
      <c r="D211" s="50"/>
      <c r="E211" s="51" t="str">
        <f t="shared" si="74"/>
        <v/>
      </c>
      <c r="F211" s="71" t="str">
        <f t="shared" si="71"/>
        <v/>
      </c>
      <c r="G211" s="69" t="str">
        <f t="shared" si="73"/>
        <v/>
      </c>
      <c r="H211" s="70" t="str">
        <f t="shared" si="72"/>
        <v/>
      </c>
      <c r="I211" s="27" t="str">
        <f>IF(N(J211)=0,"",0&amp;"-"&amp;B$13)</f>
        <v/>
      </c>
      <c r="J211" s="52" t="str">
        <f>IF(N(B$13)=0,"",IF(AND(COUNT(H202:H213)=2,COUNT(F202:F213)=2),cubic_spline(F201:F203,H201:H203,B$13),IF(AND(COUNT(H202:H213)=3,COUNT(F202:F213)=3),cubic_spline(F201:F204,H201:H204,B$13),IF(AND(COUNT(H202:H213)=4,COUNT(F202:F213)=4),cubic_spline(F201:F205,H201:H205,B$13),IF(AND(COUNT(H202:H213)=5,COUNT(F202:F213)=5),cubic_spline(F201:F206,H201:H206,B$13),IF(AND(COUNT(H202:H213)=6,COUNT(F202:F213)=6),cubic_spline(F201:F207,H201:H207,B$13),IF(AND(COUNT(H202:H213)=7,COUNT(F202:F213)=7),cubic_spline(F201:F208,H201:H208,B$13),IF(AND(COUNT(H202:H213)=8,COUNT(F202:F213)=8),cubic_spline(F201:F209,H201:H209,B$13),IF(AND(COUNT(H202:H213)=9,COUNT(F202:F213)=9),cubic_spline(F201:F210,H201:H210,B$13),IF(AND(COUNT(H202:H213)=10,COUNT(F202:F213)=10),cubic_spline(F201:F211,H201:H211,B$13),IF(AND(COUNT(H202:H213)=11,COUNT(F202:F213)=11),cubic_spline(F201:F212,H201:H212,B$13),IF(AND(COUNT(H202:H213)=12,COUNT(F202:F213)=12),cubic_spline(F201:F213,H201:H213,B$13),""))))))))))))</f>
        <v/>
      </c>
      <c r="K211" s="52" t="str">
        <f>IF(N(B$13)=0,"",IF(AND(COUNT(A202:A213)=2,COUNT(F202:F213)=2),cubic_spline(F201:F203,A201:A203,B$13),IF(AND(COUNT(A202:A213)=3,COUNT(F202:F213)=3),cubic_spline(F201:F204,A201:A204,B$13),IF(AND(COUNT(A202:A213)=4,COUNT(F202:F213)=4),cubic_spline(F201:F205,A201:A205,B$13),IF(AND(COUNT(A202:A213)=5,COUNT(F202:F213)=5),cubic_spline(F201:F206,A201:A206,B$13),IF(AND(COUNT(A202:A213)=6,COUNT(F202:F213)=6),cubic_spline(F201:F207,A201:A207,B$13),IF(AND(COUNT(A202:A213)=7,COUNT(F202:F213)=7),cubic_spline(F201:F208,A201:A208,B$13),IF(AND(COUNT(A202:A213)=8,COUNT(F202:F213)=8),cubic_spline(F201:F209,A201:A209,B$13),IF(AND(COUNT(A202:A213)=9,COUNT(F202:F213)=9),cubic_spline(F201:F210,A201:A210,B$13),IF(AND(COUNT(A202:A213)=10,COUNT(F202:F213)=10),cubic_spline(F201:F211,A201:A211,B$13),IF(AND(COUNT(A202:A213)=11,COUNT(F202:F213)=11),cubic_spline(F201:F212,A201:A212,B$13),IF(AND(COUNT(A202:A213)=12,COUNT(F202:F213)=12),cubic_spline(F201:F213,A201:A213,B$13),""))))))))))))</f>
        <v/>
      </c>
      <c r="L211" s="27" t="str">
        <f>IF(I211="","",B$12&amp;"-"&amp;B$13)</f>
        <v/>
      </c>
      <c r="M211" s="52" t="str">
        <f t="shared" si="75"/>
        <v/>
      </c>
    </row>
    <row r="212" spans="1:13" x14ac:dyDescent="0.35">
      <c r="A212" s="48"/>
      <c r="B212" s="48"/>
      <c r="C212" s="49"/>
      <c r="D212" s="50"/>
      <c r="E212" s="51" t="str">
        <f t="shared" si="74"/>
        <v/>
      </c>
      <c r="F212" s="71" t="str">
        <f t="shared" si="71"/>
        <v/>
      </c>
      <c r="G212" s="69" t="str">
        <f t="shared" si="73"/>
        <v/>
      </c>
      <c r="H212" s="70" t="str">
        <f t="shared" si="72"/>
        <v/>
      </c>
      <c r="I212" s="27" t="str">
        <f>IF(N(J212)=0,"",0&amp;"-"&amp;B$14)</f>
        <v/>
      </c>
      <c r="J212" s="52" t="str">
        <f>IF(N(B$14)=0,"",IF(AND(COUNT(H202:H213)=2,COUNT(F202:F213)=2),cubic_spline(F201:F203,H201:H203,B$14),IF(AND(COUNT(H202:H213)=3,COUNT(F202:F213)=3),cubic_spline(F201:F204,H201:H204,B$14),IF(AND(COUNT(H202:H213)=4,COUNT(F202:F213)=4),cubic_spline(F201:F205,H201:H205,B$14),IF(AND(COUNT(H202:H213)=5,COUNT(F202:F213)=5),cubic_spline(F201:F206,H201:H206,B$14),IF(AND(COUNT(H202:H213)=6,COUNT(F202:F213)=6),cubic_spline(F201:F207,H201:H207,B$14),IF(AND(COUNT(H202:H213)=7,COUNT(F202:F213)=7),cubic_spline(F201:F208,H201:H208,B$14),IF(AND(COUNT(H202:H213)=8,COUNT(F202:F213)=8),cubic_spline(F201:F209,H201:H209,B$14),IF(AND(COUNT(H202:H213)=9,COUNT(F202:F213)=9),cubic_spline(F201:F210,H201:H210,B$14),IF(AND(COUNT(H202:H213)=10,COUNT(F202:F213)=10),cubic_spline(F201:F211,H201:H211,B$14),IF(AND(COUNT(H202:H213)=11,COUNT(F202:F213)=11),cubic_spline(F201:F212,H201:H212,B$14),IF(AND(COUNT(H202:H213)=12,COUNT(F202:F213)=12),cubic_spline(F201:F213,H201:H213,B$14),""))))))))))))</f>
        <v/>
      </c>
      <c r="K212" s="52" t="str">
        <f>IF(N(B$14)=0,"",IF(AND(COUNT(A202:A213)=2,COUNT(F202:F213)=2),cubic_spline(F201:F203,A201:A203,B$14),IF(AND(COUNT(A202:A213)=3,COUNT(F202:F213)=3),cubic_spline(F201:F204,A201:A204,B$14),IF(AND(COUNT(A202:A213)=4,COUNT(F202:F213)=4),cubic_spline(F201:F205,A201:A205,B$14),IF(AND(COUNT(A202:A213)=5,COUNT(F202:F213)=5),cubic_spline(F201:F206,A201:A206,B$14),IF(AND(COUNT(A202:A213)=6,COUNT(F202:F213)=6),cubic_spline(F201:F207,A201:A207,B$14),IF(AND(COUNT(A202:A213)=7,COUNT(F202:F213)=7),cubic_spline(F201:F208,A201:A208,B$14),IF(AND(COUNT(A202:A213)=8,COUNT(F202:F213)=8),cubic_spline(F201:F209,A201:A209,B$14),IF(AND(COUNT(A202:A213)=9,COUNT(F202:F213)=9),cubic_spline(F201:F210,A201:A210,B$14),IF(AND(COUNT(A202:A213)=10,COUNT(F202:F213)=10),cubic_spline(F201:F211,A201:A211,B$14),IF(AND(COUNT(A202:A213)=11,COUNT(F202:F213)=11),cubic_spline(F201:F212,A201:A212,B$14),IF(AND(COUNT(A202:A213)=12,COUNT(F202:F213)=12),cubic_spline(F201:F213,A201:A213,B$14),""))))))))))))</f>
        <v/>
      </c>
      <c r="L212" s="27" t="str">
        <f>IF(I212="","",B$13&amp;"-"&amp;B$14)</f>
        <v/>
      </c>
      <c r="M212" s="52" t="str">
        <f t="shared" si="75"/>
        <v/>
      </c>
    </row>
    <row r="213" spans="1:13" x14ac:dyDescent="0.35">
      <c r="A213" s="48"/>
      <c r="B213" s="48"/>
      <c r="C213" s="49"/>
      <c r="D213" s="50"/>
      <c r="E213" s="51" t="str">
        <f t="shared" si="74"/>
        <v/>
      </c>
      <c r="F213" s="71" t="str">
        <f t="shared" si="71"/>
        <v/>
      </c>
      <c r="G213" s="69" t="str">
        <f t="shared" si="73"/>
        <v/>
      </c>
      <c r="H213" s="70" t="str">
        <f t="shared" si="72"/>
        <v/>
      </c>
      <c r="I213" s="27" t="str">
        <f>IF(N(J213)=0,"",0&amp;"-"&amp;B$15)</f>
        <v/>
      </c>
      <c r="J213" s="52" t="str">
        <f>IF(N(B$15)=0,"",IF(AND(COUNT(H202:H213)=2,COUNT(F202:F213)=2),cubic_spline(F201:F203,H201:H203,B$15),IF(AND(COUNT(H202:H213)=3,COUNT(F202:F213)=3),cubic_spline(F201:F204,H201:H204,B$15),IF(AND(COUNT(H202:H213)=4,COUNT(F202:F213)=4),cubic_spline(F201:F205,H201:H205,B$15),IF(AND(COUNT(H202:H213)=5,COUNT(F202:F213)=5),cubic_spline(F201:F206,H201:H206,B$15),IF(AND(COUNT(H202:H213)=6,COUNT(F202:F213)=6),cubic_spline(F201:F207,H201:H207,B$15),IF(AND(COUNT(H202:H213)=7,COUNT(F202:F213)=7),cubic_spline(F201:F208,H201:H208,B$15),IF(AND(COUNT(H202:H213)=8,COUNT(F202:F213)=8),cubic_spline(F201:F209,H201:H209,B$15),IF(AND(COUNT(H202:H213)=9,COUNT(F202:F213)=9),cubic_spline(F201:F210,H201:H210,B$15),IF(AND(COUNT(H202:H213)=10,COUNT(F202:F213)=10),cubic_spline(F201:F211,H201:H211,B$15),IF(AND(COUNT(H202:H213)=11,COUNT(F202:F213)=11),cubic_spline(F201:F212,H201:H212,B$15),IF(AND(COUNT(H202:H213)=12,COUNT(F202:F213)=12),cubic_spline(F201:F213,H201:H213,B$15),""))))))))))))</f>
        <v/>
      </c>
      <c r="K213" s="52" t="str">
        <f>IF(N(B$15)=0,"",IF(AND(COUNT(A202:A213)=2,COUNT(F202:F213)=2),cubic_spline(F201:F203,A201:A203,B$15),IF(AND(COUNT(A202:A213)=3,COUNT(F202:F213)=3),cubic_spline(F201:F204,A201:A204,B$15),IF(AND(COUNT(A202:A213)=4,COUNT(F202:F213)=4),cubic_spline(F201:F205,A201:A205,B$15),IF(AND(COUNT(A202:A213)=5,COUNT(F202:F213)=5),cubic_spline(F201:F206,A201:A206,B$15),IF(AND(COUNT(A202:A213)=6,COUNT(F202:F213)=6),cubic_spline(F201:F207,A201:A207,B$15),IF(AND(COUNT(A202:A213)=7,COUNT(F202:F213)=7),cubic_spline(F201:F208,A201:A208,B$15),IF(AND(COUNT(A202:A213)=8,COUNT(F202:F213)=8),cubic_spline(F201:F209,A201:A209,B$15),IF(AND(COUNT(A202:A213)=9,COUNT(F202:F213)=9),cubic_spline(F201:F210,A201:A210,B$15),IF(AND(COUNT(A202:A213)=10,COUNT(F202:F213)=10),cubic_spline(F201:F211,A201:A211,B$15),IF(AND(COUNT(A202:A213)=11,COUNT(F202:F213)=11),cubic_spline(F201:F212,A201:A212,B$15),IF(AND(COUNT(A202:A213)=12,COUNT(F202:F213)=12),cubic_spline(F201:F213,A201:A213,B$15),""))))))))))))</f>
        <v/>
      </c>
      <c r="L213" s="27" t="str">
        <f>IF(I213="","",B$14&amp;"-"&amp;B$15)</f>
        <v/>
      </c>
      <c r="M213" s="52" t="str">
        <f t="shared" si="75"/>
        <v/>
      </c>
    </row>
    <row r="214" spans="1:13" ht="5.15" customHeight="1" x14ac:dyDescent="0.35">
      <c r="A214" s="47"/>
      <c r="B214" s="47"/>
      <c r="C214" s="47"/>
      <c r="D214" s="53"/>
      <c r="E214" s="54"/>
      <c r="F214" s="55"/>
      <c r="G214" s="72"/>
      <c r="H214" s="73"/>
      <c r="I214" s="47"/>
      <c r="J214" s="57"/>
      <c r="K214" s="57"/>
      <c r="L214" s="55"/>
      <c r="M214" s="57"/>
    </row>
    <row r="215" spans="1:13" ht="15" customHeight="1" x14ac:dyDescent="0.35">
      <c r="A215" s="48"/>
      <c r="B215" s="48"/>
      <c r="C215" s="49"/>
      <c r="D215" s="50"/>
      <c r="E215" s="51" t="str">
        <f>IF(N(C215)=0,"",C215/PI()/($D$1/2)^2/$D$2*10000)</f>
        <v/>
      </c>
      <c r="F215" s="68" t="str">
        <f t="shared" ref="F215:F226" si="76">IF(N(E215)=0,"",(N(E215)+N(F214)))</f>
        <v/>
      </c>
      <c r="G215" s="69" t="str">
        <f>IF(OR(N(D215)=0,N(E215)=0),"",(E215*D215)/1000)</f>
        <v/>
      </c>
      <c r="H215" s="70" t="str">
        <f t="shared" ref="H215:H226" si="77">IF(N(G215)=0,"",(N(G215)+N(H214)))</f>
        <v/>
      </c>
      <c r="I215" s="27" t="str">
        <f>IF(N(J215)=0,"",0&amp;"-"&amp;B$4)</f>
        <v/>
      </c>
      <c r="J215" s="52" t="str">
        <f>IF(N(B$4)=0,"",IF(AND(COUNT(H215:H226)=2,COUNT(F215:F226)=2),cubic_spline(F214:F216,H214:H216,B$4),IF(AND(COUNT(H215:H226)=3,COUNT(F215:F226)=3),cubic_spline(F214:F217,H214:H217,B$4),IF(AND(COUNT(H215:H226)=4,COUNT(F215:F226)=4),cubic_spline(F214:F218,H214:H218,B$4),IF(AND(COUNT(H215:H226)=5,COUNT(F215:F226)=5),cubic_spline(F214:F219,H214:H219,B$4),IF(AND(COUNT(H215:H226)=6,COUNT(F215:F226)=6),cubic_spline(F214:F220,H214:H220,B$4),IF(AND(COUNT(H215:H226)=7,COUNT(F215:F226)=7),cubic_spline(F214:F221,H214:H221,B$4),IF(AND(COUNT(H215:H226)=8,COUNT(F215:F226)=8),cubic_spline(F214:F222,H214:H222,B$4),IF(AND(COUNT(H215:H226)=9,COUNT(F215:F226)=9),cubic_spline(F214:F223,H214:H223,B$4),IF(AND(COUNT(H215:H226)=10,COUNT(F215:F226)=10),cubic_spline(F214:F224,H214:H224,B$4),IF(AND(COUNT(H215:H226)=11,COUNT(F215:F226)=11),cubic_spline(F214:F225,H214:H225,B$4),IF(AND(COUNT(H215:H226)=12,COUNT(F215:F226)=12),cubic_spline(F214:F226,H214:H226,B$4),""))))))))))))</f>
        <v/>
      </c>
      <c r="K215" s="52" t="str">
        <f>IF(N(B$4)=0,"",IF(AND(COUNT(A215:A226)=2,COUNT(F215:F226)=2),cubic_spline(F214:F216,A214:A216,B$4),IF(AND(COUNT(A215:A226)=3,COUNT(F215:F226)=3),cubic_spline(F214:F217,A214:A217,B$4),IF(AND(COUNT(A215:A226)=4,COUNT(F215:F226)=4),cubic_spline(F214:F218,A214:A218,B$4),IF(AND(COUNT(A215:A226)=5,COUNT(F215:F226)=5),cubic_spline(F214:F219,A214:A219,B$4),IF(AND(COUNT(A215:A226)=6,COUNT(F215:F226)=6),cubic_spline(F214:F220,A214:A220,B$4),IF(AND(COUNT(A215:A226)=7,COUNT(F215:F226)=7),cubic_spline(F214:F221,A214:A221,B$4),IF(AND(COUNT(A215:A226)=8,COUNT(F215:F226)=8),cubic_spline(F214:F222,A214:A222,B$4),IF(AND(COUNT(A215:A226)=9,COUNT(F215:F226)=9),cubic_spline(F214:F223,A214:A223,B$4),IF(AND(COUNT(A215:A226)=10,COUNT(F215:F226)=10),cubic_spline(F214:F224,A214:A224,B$4),IF(AND(COUNT(A215:A226)=11,COUNT(F215:F226)=11),cubic_spline(F214:F225,A214:A225,B$4),IF(AND(COUNT(A215:A226)=12,COUNT(F215:F226)=12),cubic_spline(F214:F226,A214:A226,B$4),""))))))))))))</f>
        <v/>
      </c>
      <c r="L215" s="27" t="str">
        <f>IF(I215="","",0&amp;"-"&amp;B$4)</f>
        <v/>
      </c>
      <c r="M215" s="52" t="str">
        <f>IF(N(J215)=0,"",J215-J214)</f>
        <v/>
      </c>
    </row>
    <row r="216" spans="1:13" ht="15" customHeight="1" x14ac:dyDescent="0.35">
      <c r="A216" s="48"/>
      <c r="B216" s="48"/>
      <c r="C216" s="49"/>
      <c r="D216" s="50"/>
      <c r="E216" s="51" t="str">
        <f>IF(N(C216)=0,"",C216/PI()/($D$1/2)^2/$D$2*10000)</f>
        <v/>
      </c>
      <c r="F216" s="68" t="str">
        <f t="shared" si="76"/>
        <v/>
      </c>
      <c r="G216" s="69" t="str">
        <f t="shared" ref="G216:G226" si="78">IF(OR(N(D216)=0,N(E216)=0),"",(E216*D216)/1000)</f>
        <v/>
      </c>
      <c r="H216" s="70" t="str">
        <f t="shared" si="77"/>
        <v/>
      </c>
      <c r="I216" s="27" t="str">
        <f>IF(N(J216)=0,"",0&amp;"-"&amp;B$5)</f>
        <v/>
      </c>
      <c r="J216" s="52" t="str">
        <f>IF(N(B$5)=0,"",IF(AND(COUNT(H215:H226)=2,COUNT(F215:F226)=2),cubic_spline(F214:F216,H214:H216,B$5),IF(AND(COUNT(H215:H226)=3,COUNT(F215:F226)=3),cubic_spline(F214:F217,H214:H217,B$5),IF(AND(COUNT(H215:H226)=4,COUNT(F215:F226)=4),cubic_spline(F214:F218,H214:H218,B$5),IF(AND(COUNT(H215:H226)=5,COUNT(F215:F226)=5),cubic_spline(F214:F219,H214:H219,B$5),IF(AND(COUNT(H215:H226)=6,COUNT(F215:F226)=6),cubic_spline(F214:F220,H214:H220,B$5),IF(AND(COUNT(H215:H226)=7,COUNT(F215:F226)=7),cubic_spline(F214:F221,H214:H221,B$5),IF(AND(COUNT(H215:H226)=8,COUNT(F215:F226)=8),cubic_spline(F214:F222,H214:H222,B$5),IF(AND(COUNT(H215:H226)=9,COUNT(F215:F226)=9),cubic_spline(F214:F223,H214:H223,B$5),IF(AND(COUNT(H215:H226)=10,COUNT(F215:F226)=10),cubic_spline(F214:F224,H214:H224,B$5),IF(AND(COUNT(H215:H226)=11,COUNT(F215:F226)=11),cubic_spline(F214:F225,H214:H225,B$5),IF(AND(COUNT(H215:H226)=12,COUNT(F215:F226)=12),cubic_spline(F214:F226,H214:H226,B$5),""))))))))))))</f>
        <v/>
      </c>
      <c r="K216" s="52" t="str">
        <f>IF(N(B$5)=0,"",IF(AND(COUNT(A215:A226)=2,COUNT(F215:F226)=2),cubic_spline(F214:F216,A214:A216,B$5),IF(AND(COUNT(A215:A226)=3,COUNT(F215:F226)=3),cubic_spline(F214:F217,A214:A217,B$5),IF(AND(COUNT(A215:A226)=4,COUNT(F215:F226)=4),cubic_spline(F214:F218,A214:A218,B$5),IF(AND(COUNT(A215:A226)=5,COUNT(F215:F226)=5),cubic_spline(F214:F219,A214:A219,B$5),IF(AND(COUNT(A215:A226)=6,COUNT(F215:F226)=6),cubic_spline(F214:F220,A214:A220,B$5),IF(AND(COUNT(A215:A226)=7,COUNT(F215:F226)=7),cubic_spline(F214:F221,A214:A221,B$5),IF(AND(COUNT(A215:A226)=8,COUNT(F215:F226)=8),cubic_spline(F214:F222,A214:A222,B$5),IF(AND(COUNT(A215:A226)=9,COUNT(F215:F226)=9),cubic_spline(F214:F223,A214:A223,B$5),IF(AND(COUNT(A215:A226)=10,COUNT(F215:F226)=10),cubic_spline(F214:F224,A214:A224,B$5),IF(AND(COUNT(A215:A226)=11,COUNT(F215:F226)=11),cubic_spline(F214:F225,A214:A225,B$5),IF(AND(COUNT(A215:A226)=12,COUNT(F215:F226)=12),cubic_spline(F214:F226,A214:A226,B$5),""))))))))))))</f>
        <v/>
      </c>
      <c r="L216" s="27" t="str">
        <f>IF(I216="","",B$4&amp;"-"&amp;B$5)</f>
        <v/>
      </c>
      <c r="M216" s="52" t="str">
        <f>IF(N(J216)=0,"",J216-J215)</f>
        <v/>
      </c>
    </row>
    <row r="217" spans="1:13" x14ac:dyDescent="0.35">
      <c r="A217" s="48"/>
      <c r="B217" s="48"/>
      <c r="C217" s="49"/>
      <c r="D217" s="50"/>
      <c r="E217" s="51" t="str">
        <f>IF(N(C217)=0,"",C217/PI()/($D$1/2)^2/$D$2*10000)</f>
        <v/>
      </c>
      <c r="F217" s="68" t="str">
        <f t="shared" si="76"/>
        <v/>
      </c>
      <c r="G217" s="69" t="str">
        <f t="shared" si="78"/>
        <v/>
      </c>
      <c r="H217" s="70" t="str">
        <f t="shared" si="77"/>
        <v/>
      </c>
      <c r="I217" s="27" t="str">
        <f>IF(N(J217)=0,"",0&amp;"-"&amp;B$6)</f>
        <v/>
      </c>
      <c r="J217" s="52" t="str">
        <f>IF(N(B$6)=0,"",IF(AND(COUNT(H215:H226)=2,COUNT(F215:F226)=2),cubic_spline(F214:F216,H214:H216,B$6),IF(AND(COUNT(H215:H226)=3,COUNT(F215:F226)=3),cubic_spline(F214:F217,H214:H217,B$6),IF(AND(COUNT(H215:H226)=4,COUNT(F215:F226)=4),cubic_spline(F214:F218,H214:H218,B$6),IF(AND(COUNT(H215:H226)=5,COUNT(F215:F226)=5),cubic_spline(F214:F219,H214:H219,B$6),IF(AND(COUNT(H215:H226)=6,COUNT(F215:F226)=6),cubic_spline(F214:F220,H214:H220,B$6),IF(AND(COUNT(H215:H226)=7,COUNT(F215:F226)=7),cubic_spline(F214:F221,H214:H221,B$6),IF(AND(COUNT(H215:H226)=8,COUNT(F215:F226)=8),cubic_spline(F214:F222,H214:H222,B$6),IF(AND(COUNT(H215:H226)=9,COUNT(F215:F226)=9),cubic_spline(F214:F223,H214:H223,B$6),IF(AND(COUNT(H215:H226)=10,COUNT(F215:F226)=10),cubic_spline(F214:F224,H214:H224,B$6),IF(AND(COUNT(H215:H226)=11,COUNT(F215:F226)=11),cubic_spline(F214:F225,H214:H225,B$6),IF(AND(COUNT(H215:H226)=12,COUNT(F215:F226)=12),cubic_spline(F214:F226,H214:H226,B$6),""))))))))))))</f>
        <v/>
      </c>
      <c r="K217" s="52" t="str">
        <f>IF(N(B$6)=0,"",IF(AND(COUNT(A215:A226)=2,COUNT(F215:F226)=2),cubic_spline(F214:F216,A214:A216,B$6),IF(AND(COUNT(A215:A226)=3,COUNT(F215:F226)=3),cubic_spline(F214:F217,A214:A217,B$6),IF(AND(COUNT(A215:A226)=4,COUNT(F215:F226)=4),cubic_spline(F214:F218,A214:A218,B$6),IF(AND(COUNT(A215:A226)=5,COUNT(F215:F226)=5),cubic_spline(F214:F219,A214:A219,B$6),IF(AND(COUNT(A215:A226)=6,COUNT(F215:F226)=6),cubic_spline(F214:F220,A214:A220,B$6),IF(AND(COUNT(A215:A226)=7,COUNT(F215:F226)=7),cubic_spline(F214:F221,A214:A221,B$6),IF(AND(COUNT(A215:A226)=8,COUNT(F215:F226)=8),cubic_spline(F214:F222,A214:A222,B$6),IF(AND(COUNT(A215:A226)=9,COUNT(F215:F226)=9),cubic_spline(F214:F223,A214:A223,B$6),IF(AND(COUNT(A215:A226)=10,COUNT(F215:F226)=10),cubic_spline(F214:F224,A214:A224,B$6),IF(AND(COUNT(A215:A226)=11,COUNT(F215:F226)=11),cubic_spline(F214:F225,A214:A225,B$6),IF(AND(COUNT(A215:A226)=12,COUNT(F215:F226)=12),cubic_spline(F214:F226,A214:A226,B$6),""))))))))))))</f>
        <v/>
      </c>
      <c r="L217" s="27" t="str">
        <f>IF(I217="","",B$5&amp;"-"&amp;B$6)</f>
        <v/>
      </c>
      <c r="M217" s="52" t="str">
        <f>IF(N(J217)=0,"",J217-J216)</f>
        <v/>
      </c>
    </row>
    <row r="218" spans="1:13" x14ac:dyDescent="0.35">
      <c r="A218" s="48"/>
      <c r="B218" s="48"/>
      <c r="C218" s="49"/>
      <c r="D218" s="50"/>
      <c r="E218" s="51" t="str">
        <f>IF(N(C218)=0,"",C218/PI()/($D$1/2)^2/$D$2*10000)</f>
        <v/>
      </c>
      <c r="F218" s="68" t="str">
        <f t="shared" si="76"/>
        <v/>
      </c>
      <c r="G218" s="69" t="str">
        <f t="shared" si="78"/>
        <v/>
      </c>
      <c r="H218" s="70" t="str">
        <f t="shared" si="77"/>
        <v/>
      </c>
      <c r="I218" s="27" t="str">
        <f>IF(N(J218)=0,"",0&amp;"-"&amp;B$7)</f>
        <v/>
      </c>
      <c r="J218" s="52" t="str">
        <f>IF(N(B$7)=0,"",IF(AND(COUNT(H215:H226)=2,COUNT(F215:F226)=2),cubic_spline(F214:F216,H214:H216,B$7),IF(AND(COUNT(H215:H226)=3,COUNT(F215:F226)=3),cubic_spline(F214:F217,H214:H217,B$7),IF(AND(COUNT(H215:H226)=4,COUNT(F215:F226)=4),cubic_spline(F214:F218,H214:H218,B$7),IF(AND(COUNT(H215:H226)=5,COUNT(F215:F226)=5),cubic_spline(F214:F219,H214:H219,B$7),IF(AND(COUNT(H215:H226)=6,COUNT(F215:F226)=6),cubic_spline(F214:F220,H214:H220,B$7),IF(AND(COUNT(H215:H226)=7,COUNT(F215:F226)=7),cubic_spline(F214:F221,H214:H221,B$7),IF(AND(COUNT(H215:H226)=8,COUNT(F215:F226)=8),cubic_spline(F214:F222,H214:H222,B$7),IF(AND(COUNT(H215:H226)=9,COUNT(F215:F226)=9),cubic_spline(F214:F223,H214:H223,B$7),IF(AND(COUNT(H215:H226)=10,COUNT(F215:F226)=10),cubic_spline(F214:F224,H214:H224,B$7),IF(AND(COUNT(H215:H226)=11,COUNT(F215:F226)=11),cubic_spline(F214:F225,H214:H225,B$7),IF(AND(COUNT(H215:H226)=12,COUNT(F215:F226)=12),cubic_spline(F214:F226,H214:H226,B$7),""))))))))))))</f>
        <v/>
      </c>
      <c r="K218" s="52" t="str">
        <f>IF(N(B$7)=0,"",IF(AND(COUNT(A215:A226)=2,COUNT(F215:F226)=2),cubic_spline(F214:F216,A214:A216,B$7),IF(AND(COUNT(A215:A226)=3,COUNT(F215:F226)=3),cubic_spline(F214:F217,A214:A217,B$7),IF(AND(COUNT(A215:A226)=4,COUNT(F215:F226)=4),cubic_spline(F214:F218,A214:A218,B$7),IF(AND(COUNT(A215:A226)=5,COUNT(F215:F226)=5),cubic_spline(F214:F219,A214:A219,B$7),IF(AND(COUNT(A215:A226)=6,COUNT(F215:F226)=6),cubic_spline(F214:F220,A214:A220,B$7),IF(AND(COUNT(A215:A226)=7,COUNT(F215:F226)=7),cubic_spline(F214:F221,A214:A221,B$7),IF(AND(COUNT(A215:A226)=8,COUNT(F215:F226)=8),cubic_spline(F214:F222,A214:A222,B$7),IF(AND(COUNT(A215:A226)=9,COUNT(F215:F226)=9),cubic_spline(F214:F223,A214:A223,B$7),IF(AND(COUNT(A215:A226)=10,COUNT(F215:F226)=10),cubic_spline(F214:F224,A214:A224,B$7),IF(AND(COUNT(A215:A226)=11,COUNT(F215:F226)=11),cubic_spline(F214:F225,A214:A225,B$7),IF(AND(COUNT(A215:A226)=12,COUNT(F215:F226)=12),cubic_spline(F214:F226,A214:A226,B$7),""))))))))))))</f>
        <v/>
      </c>
      <c r="L218" s="27" t="str">
        <f>IF(I218="","",B$6&amp;"-"&amp;B$7)</f>
        <v/>
      </c>
      <c r="M218" s="52" t="str">
        <f>IF(N(J218)=0,"",J218-J217)</f>
        <v/>
      </c>
    </row>
    <row r="219" spans="1:13" x14ac:dyDescent="0.35">
      <c r="A219" s="48"/>
      <c r="B219" s="48"/>
      <c r="C219" s="49"/>
      <c r="D219" s="50"/>
      <c r="E219" s="51" t="str">
        <f t="shared" ref="E219:E226" si="79">IF(N(C219)=0,"",C219/PI()/($D$1/2)^2/$D$2*10000)</f>
        <v/>
      </c>
      <c r="F219" s="71" t="str">
        <f t="shared" si="76"/>
        <v/>
      </c>
      <c r="G219" s="69" t="str">
        <f t="shared" si="78"/>
        <v/>
      </c>
      <c r="H219" s="70" t="str">
        <f t="shared" si="77"/>
        <v/>
      </c>
      <c r="I219" s="27" t="str">
        <f>IF(N(J219)=0,"",0&amp;"-"&amp;B$8)</f>
        <v/>
      </c>
      <c r="J219" s="52" t="str">
        <f>IF(N(B$8)=0,"",IF(AND(COUNT(H215:H226)=2,COUNT(F215:F226)=2),cubic_spline(F214:F216,H214:H216,B$8),IF(AND(COUNT(H215:H226)=3,COUNT(F215:F226)=3),cubic_spline(F214:F217,H214:H217,B$8),IF(AND(COUNT(H215:H226)=4,COUNT(F215:F226)=4),cubic_spline(F214:F218,H214:H218,B$8),IF(AND(COUNT(H215:H226)=5,COUNT(F215:F226)=5),cubic_spline(F214:F219,H214:H219,B$8),IF(AND(COUNT(H215:H226)=6,COUNT(F215:F226)=6),cubic_spline(F214:F220,H214:H220,B$8),IF(AND(COUNT(H215:H226)=7,COUNT(F215:F226)=7),cubic_spline(F214:F221,H214:H221,B$8),IF(AND(COUNT(H215:H226)=8,COUNT(F215:F226)=8),cubic_spline(F214:F222,H214:H222,B$8),IF(AND(COUNT(H215:H226)=9,COUNT(F215:F226)=9),cubic_spline(F214:F223,H214:H223,B$8),IF(AND(COUNT(H215:H226)=10,COUNT(F215:F226)=10),cubic_spline(F214:F224,H214:H224,B$8),IF(AND(COUNT(H215:H226)=11,COUNT(F215:F226)=11),cubic_spline(F214:F225,H214:H225,B$8),IF(AND(COUNT(H215:H226)=12,COUNT(F215:F226)=12),cubic_spline(F214:F226,H214:H226,B$8),""))))))))))))</f>
        <v/>
      </c>
      <c r="K219" s="52" t="str">
        <f>IF(N(B$8)=0,"",IF(AND(COUNT(A215:A226)=2,COUNT(F215:F226)=2),cubic_spline(F214:F216,A214:A216,B$8),IF(AND(COUNT(A215:A226)=3,COUNT(F215:F226)=3),cubic_spline(F214:F217,A214:A217,B$8),IF(AND(COUNT(A215:A226)=4,COUNT(F215:F226)=4),cubic_spline(F214:F218,A214:A218,B$8),IF(AND(COUNT(A215:A226)=5,COUNT(F215:F226)=5),cubic_spline(F214:F219,A214:A219,B$8),IF(AND(COUNT(A215:A226)=6,COUNT(F215:F226)=6),cubic_spline(F214:F220,A214:A220,B$8),IF(AND(COUNT(A215:A226)=7,COUNT(F215:F226)=7),cubic_spline(F214:F221,A214:A221,B$8),IF(AND(COUNT(A215:A226)=8,COUNT(F215:F226)=8),cubic_spline(F214:F222,A214:A222,B$8),IF(AND(COUNT(A215:A226)=9,COUNT(F215:F226)=9),cubic_spline(F214:F223,A214:A223,B$8),IF(AND(COUNT(A215:A226)=10,COUNT(F215:F226)=10),cubic_spline(F214:F224,A214:A224,B$8),IF(AND(COUNT(A215:A226)=11,COUNT(F215:F226)=11),cubic_spline(F214:F225,A214:A225,B$8),IF(AND(COUNT(A215:A226)=12,COUNT(F215:F226)=12),cubic_spline(F214:F226,A214:A226,B$8),""))))))))))))</f>
        <v/>
      </c>
      <c r="L219" s="27" t="str">
        <f>IF(I219="","",B$7&amp;"-"&amp;B$8)</f>
        <v/>
      </c>
      <c r="M219" s="52" t="str">
        <f>IF(N(J219)=0,"",J219-J218)</f>
        <v/>
      </c>
    </row>
    <row r="220" spans="1:13" x14ac:dyDescent="0.35">
      <c r="A220" s="48"/>
      <c r="B220" s="48"/>
      <c r="C220" s="49"/>
      <c r="D220" s="50"/>
      <c r="E220" s="51" t="str">
        <f t="shared" si="79"/>
        <v/>
      </c>
      <c r="F220" s="71" t="str">
        <f t="shared" si="76"/>
        <v/>
      </c>
      <c r="G220" s="69" t="str">
        <f t="shared" si="78"/>
        <v/>
      </c>
      <c r="H220" s="70" t="str">
        <f t="shared" si="77"/>
        <v/>
      </c>
      <c r="I220" s="27" t="str">
        <f>IF(N(J220)=0,"",0&amp;"-"&amp;B$9)</f>
        <v/>
      </c>
      <c r="J220" s="52" t="str">
        <f>IF(N(B$9)=0,"",IF(AND(COUNT(H215:H226)=2,COUNT(F215:F226)=2),cubic_spline(F214:F216,H214:H216,B$9),IF(AND(COUNT(H215:H226)=3,COUNT(F215:F226)=3),cubic_spline(F214:F217,H214:H217,B$9),IF(AND(COUNT(H215:H226)=4,COUNT(F215:F226)=4),cubic_spline(F214:F218,H214:H218,B$9),IF(AND(COUNT(H215:H226)=5,COUNT(F215:F226)=5),cubic_spline(F214:F219,H214:H219,B$9),IF(AND(COUNT(H215:H226)=6,COUNT(F215:F226)=6),cubic_spline(F214:F220,H214:H220,B$9),IF(AND(COUNT(H215:H226)=7,COUNT(F215:F226)=7),cubic_spline(F214:F221,H214:H221,B$9),IF(AND(COUNT(H215:H226)=8,COUNT(F215:F226)=8),cubic_spline(F214:F222,H214:H222,B$9),IF(AND(COUNT(H215:H226)=9,COUNT(F215:F226)=9),cubic_spline(F214:F223,H214:H223,B$9),IF(AND(COUNT(H215:H226)=10,COUNT(F215:F226)=10),cubic_spline(F214:F224,H214:H224,B$9),IF(AND(COUNT(H215:H226)=11,COUNT(F215:F226)=11),cubic_spline(F214:F225,H214:H225,B$9),IF(AND(COUNT(H215:H226)=12,COUNT(F215:F226)=12),cubic_spline(F214:F226,H214:H226,B$9),""))))))))))))</f>
        <v/>
      </c>
      <c r="K220" s="52" t="str">
        <f>IF(N(B$9)=0,"",IF(AND(COUNT(A215:A226)=2,COUNT(F215:F226)=2),cubic_spline(F214:F216,A214:A216,B$9),IF(AND(COUNT(A215:A226)=3,COUNT(F215:F226)=3),cubic_spline(F214:F217,A214:A217,B$9),IF(AND(COUNT(A215:A226)=4,COUNT(F215:F226)=4),cubic_spline(F214:F218,A214:A218,B$9),IF(AND(COUNT(A215:A226)=5,COUNT(F215:F226)=5),cubic_spline(F214:F219,A214:A219,B$9),IF(AND(COUNT(A215:A226)=6,COUNT(F215:F226)=6),cubic_spline(F214:F220,A214:A220,B$9),IF(AND(COUNT(A215:A226)=7,COUNT(F215:F226)=7),cubic_spline(F214:F221,A214:A221,B$9),IF(AND(COUNT(A215:A226)=8,COUNT(F215:F226)=8),cubic_spline(F214:F222,A214:A222,B$9),IF(AND(COUNT(A215:A226)=9,COUNT(F215:F226)=9),cubic_spline(F214:F223,A214:A223,B$9),IF(AND(COUNT(A215:A226)=10,COUNT(F215:F226)=10),cubic_spline(F214:F224,A214:A224,B$9),IF(AND(COUNT(A215:A226)=11,COUNT(F215:F226)=11),cubic_spline(F214:F225,A214:A225,B$9),IF(AND(COUNT(A215:A226)=12,COUNT(F215:F226)=12),cubic_spline(F214:F226,A214:A226,B$9),""))))))))))))</f>
        <v/>
      </c>
      <c r="L220" s="27" t="str">
        <f>IF(I220="","",B$8&amp;"-"&amp;B$9)</f>
        <v/>
      </c>
      <c r="M220" s="52" t="str">
        <f t="shared" ref="M220:M226" si="80">IF(N(J220)=0,"",J220-J219)</f>
        <v/>
      </c>
    </row>
    <row r="221" spans="1:13" x14ac:dyDescent="0.35">
      <c r="A221" s="48"/>
      <c r="B221" s="48"/>
      <c r="C221" s="49"/>
      <c r="D221" s="50"/>
      <c r="E221" s="51" t="str">
        <f t="shared" si="79"/>
        <v/>
      </c>
      <c r="F221" s="71" t="str">
        <f t="shared" si="76"/>
        <v/>
      </c>
      <c r="G221" s="69" t="str">
        <f t="shared" si="78"/>
        <v/>
      </c>
      <c r="H221" s="70" t="str">
        <f t="shared" si="77"/>
        <v/>
      </c>
      <c r="I221" s="27" t="str">
        <f>IF(N(J221)=0,"",0&amp;"-"&amp;B$10)</f>
        <v/>
      </c>
      <c r="J221" s="52" t="str">
        <f>IF(N(B$10)=0,"",IF(AND(COUNT(H215:H226)=2,COUNT(F215:F226)=2),cubic_spline(F214:F216,H214:H216,B$10),IF(AND(COUNT(H215:H226)=3,COUNT(F215:F226)=3),cubic_spline(F214:F217,H214:H217,B$10),IF(AND(COUNT(H215:H226)=4,COUNT(F215:F226)=4),cubic_spline(F214:F218,H214:H218,B$10),IF(AND(COUNT(H215:H226)=5,COUNT(F215:F226)=5),cubic_spline(F214:F219,H214:H219,B$10),IF(AND(COUNT(H215:H226)=6,COUNT(F215:F226)=6),cubic_spline(F214:F220,H214:H220,B$10),IF(AND(COUNT(H215:H226)=7,COUNT(F215:F226)=7),cubic_spline(F214:F221,H214:H221,B$10),IF(AND(COUNT(H215:H226)=8,COUNT(F215:F226)=8),cubic_spline(F214:F222,H214:H222,B$10),IF(AND(COUNT(H215:H226)=9,COUNT(F215:F226)=9),cubic_spline(F214:F223,H214:H223,B$10),IF(AND(COUNT(H215:H226)=10,COUNT(F215:F226)=10),cubic_spline(F214:F224,H214:H224,B$10),IF(AND(COUNT(H215:H226)=11,COUNT(F215:F226)=11),cubic_spline(F214:F225,H214:H225,B$10),IF(AND(COUNT(H215:H226)=12,COUNT(F215:F226)=12),cubic_spline(F214:F226,H214:H226,B$10),""))))))))))))</f>
        <v/>
      </c>
      <c r="K221" s="52" t="str">
        <f>IF(N(B$10)=0,"",IF(AND(COUNT(A215:A226)=2,COUNT(F215:F226)=2),cubic_spline(F214:F216,A214:A216,B$10),IF(AND(COUNT(A215:A226)=3,COUNT(F215:F226)=3),cubic_spline(F214:F217,A214:A217,B$10),IF(AND(COUNT(A215:A226)=4,COUNT(F215:F226)=4),cubic_spline(F214:F218,A214:A218,B$10),IF(AND(COUNT(A215:A226)=5,COUNT(F215:F226)=5),cubic_spline(F214:F219,A214:A219,B$10),IF(AND(COUNT(A215:A226)=6,COUNT(F215:F226)=6),cubic_spline(F214:F220,A214:A220,B$10),IF(AND(COUNT(A215:A226)=7,COUNT(F215:F226)=7),cubic_spline(F214:F221,A214:A221,B$10),IF(AND(COUNT(A215:A226)=8,COUNT(F215:F226)=8),cubic_spline(F214:F222,A214:A222,B$10),IF(AND(COUNT(A215:A226)=9,COUNT(F215:F226)=9),cubic_spline(F214:F223,A214:A223,B$10),IF(AND(COUNT(A215:A226)=10,COUNT(F215:F226)=10),cubic_spline(F214:F224,A214:A224,B$10),IF(AND(COUNT(A215:A226)=11,COUNT(F215:F226)=11),cubic_spline(F214:F225,A214:A225,B$10),IF(AND(COUNT(A215:A226)=12,COUNT(F215:F226)=12),cubic_spline(F214:F226,A214:A226,B$10),""))))))))))))</f>
        <v/>
      </c>
      <c r="L221" s="27" t="str">
        <f>IF(I221="","",B$9&amp;"-"&amp;B$10)</f>
        <v/>
      </c>
      <c r="M221" s="52" t="str">
        <f t="shared" si="80"/>
        <v/>
      </c>
    </row>
    <row r="222" spans="1:13" x14ac:dyDescent="0.35">
      <c r="A222" s="48"/>
      <c r="B222" s="48"/>
      <c r="C222" s="49"/>
      <c r="D222" s="50"/>
      <c r="E222" s="51" t="str">
        <f t="shared" si="79"/>
        <v/>
      </c>
      <c r="F222" s="71" t="str">
        <f t="shared" si="76"/>
        <v/>
      </c>
      <c r="G222" s="69" t="str">
        <f t="shared" si="78"/>
        <v/>
      </c>
      <c r="H222" s="70" t="str">
        <f t="shared" si="77"/>
        <v/>
      </c>
      <c r="I222" s="27" t="str">
        <f>IF(N(J222)=0,"",0&amp;"-"&amp;B$11)</f>
        <v/>
      </c>
      <c r="J222" s="52" t="str">
        <f>IF(N(B$11)=0,"",IF(AND(COUNT(H215:H226)=2,COUNT(F215:F226)=2),cubic_spline(F214:F216,H214:H216,B$11),IF(AND(COUNT(H215:H226)=3,COUNT(F215:F226)=3),cubic_spline(F214:F217,H214:H217,B$11),IF(AND(COUNT(H215:H226)=4,COUNT(F215:F226)=4),cubic_spline(F214:F218,H214:H218,B$11),IF(AND(COUNT(H215:H226)=5,COUNT(F215:F226)=5),cubic_spline(F214:F219,H214:H219,B$11),IF(AND(COUNT(H215:H226)=6,COUNT(F215:F226)=6),cubic_spline(F214:F220,H214:H220,B$11),IF(AND(COUNT(H215:H226)=7,COUNT(F215:F226)=7),cubic_spline(F214:F221,H214:H221,B$11),IF(AND(COUNT(H215:H226)=8,COUNT(F215:F226)=8),cubic_spline(F214:F222,H214:H222,B$11),IF(AND(COUNT(H215:H226)=9,COUNT(F215:F226)=9),cubic_spline(F214:F223,H214:H223,B$11),IF(AND(COUNT(H215:H226)=10,COUNT(F215:F226)=10),cubic_spline(F214:F224,H214:H224,B$11),IF(AND(COUNT(H215:H226)=11,COUNT(F215:F226)=11),cubic_spline(F214:F225,H214:H225,B$11),IF(AND(COUNT(H215:H226)=12,COUNT(F215:F226)=12),cubic_spline(F214:F226,H214:H226,B$11),""))))))))))))</f>
        <v/>
      </c>
      <c r="K222" s="52" t="str">
        <f>IF(N(B$11)=0,"",IF(AND(COUNT(A215:A226)=2,COUNT(F215:F226)=2),cubic_spline(F214:F216,A214:A216,B$11),IF(AND(COUNT(A215:A226)=3,COUNT(F215:F226)=3),cubic_spline(F214:F217,A214:A217,B$11),IF(AND(COUNT(A215:A226)=4,COUNT(F215:F226)=4),cubic_spline(F214:F218,A214:A218,B$11),IF(AND(COUNT(A215:A226)=5,COUNT(F215:F226)=5),cubic_spline(F214:F219,A214:A219,B$11),IF(AND(COUNT(A215:A226)=6,COUNT(F215:F226)=6),cubic_spline(F214:F220,A214:A220,B$11),IF(AND(COUNT(A215:A226)=7,COUNT(F215:F226)=7),cubic_spline(F214:F221,A214:A221,B$11),IF(AND(COUNT(A215:A226)=8,COUNT(F215:F226)=8),cubic_spline(F214:F222,A214:A222,B$11),IF(AND(COUNT(A215:A226)=9,COUNT(F215:F226)=9),cubic_spline(F214:F223,A214:A223,B$11),IF(AND(COUNT(A215:A226)=10,COUNT(F215:F226)=10),cubic_spline(F214:F224,A214:A224,B$11),IF(AND(COUNT(A215:A226)=11,COUNT(F215:F226)=11),cubic_spline(F214:F225,A214:A225,B$11),IF(AND(COUNT(A215:A226)=12,COUNT(F215:F226)=12),cubic_spline(F214:F226,A214:A226,B$11),""))))))))))))</f>
        <v/>
      </c>
      <c r="L222" s="27" t="str">
        <f>IF(I222="","",B$10&amp;"-"&amp;B$11)</f>
        <v/>
      </c>
      <c r="M222" s="52" t="str">
        <f t="shared" si="80"/>
        <v/>
      </c>
    </row>
    <row r="223" spans="1:13" x14ac:dyDescent="0.35">
      <c r="A223" s="48"/>
      <c r="B223" s="48"/>
      <c r="C223" s="49"/>
      <c r="D223" s="50"/>
      <c r="E223" s="51" t="str">
        <f t="shared" si="79"/>
        <v/>
      </c>
      <c r="F223" s="71" t="str">
        <f t="shared" si="76"/>
        <v/>
      </c>
      <c r="G223" s="69" t="str">
        <f t="shared" si="78"/>
        <v/>
      </c>
      <c r="H223" s="70" t="str">
        <f t="shared" si="77"/>
        <v/>
      </c>
      <c r="I223" s="27" t="str">
        <f>IF(N(J223)=0,"",0&amp;"-"&amp;B$12)</f>
        <v/>
      </c>
      <c r="J223" s="52" t="str">
        <f>IF(N(B$12)=0,"",IF(AND(COUNT(H215:H226)=2,COUNT(F215:F226)=2),cubic_spline(F214:F216,H214:H216,B$12),IF(AND(COUNT(H215:H226)=3,COUNT(F215:F226)=3),cubic_spline(F214:F217,H214:H217,B$12),IF(AND(COUNT(H215:H226)=4,COUNT(F215:F226)=4),cubic_spline(F214:F218,H214:H218,B$12),IF(AND(COUNT(H215:H226)=5,COUNT(F215:F226)=5),cubic_spline(F214:F219,H214:H219,B$12),IF(AND(COUNT(H215:H226)=6,COUNT(F215:F226)=6),cubic_spline(F214:F220,H214:H220,B$12),IF(AND(COUNT(H215:H226)=7,COUNT(F215:F226)=7),cubic_spline(F214:F221,H214:H221,B$12),IF(AND(COUNT(H215:H226)=8,COUNT(F215:F226)=8),cubic_spline(F214:F222,H214:H222,B$12),IF(AND(COUNT(H215:H226)=9,COUNT(F215:F226)=9),cubic_spline(F214:F223,H214:H223,B$12),IF(AND(COUNT(H215:H226)=10,COUNT(F215:F226)=10),cubic_spline(F214:F224,H214:H224,B$12),IF(AND(COUNT(H215:H226)=11,COUNT(F215:F226)=11),cubic_spline(F214:F225,H214:H225,B$12),IF(AND(COUNT(H215:H226)=12,COUNT(F215:F226)=12),cubic_spline(F214:F226,H214:H226,B$12),""))))))))))))</f>
        <v/>
      </c>
      <c r="K223" s="52" t="str">
        <f>IF(N(B$12)=0,"",IF(AND(COUNT(A215:A226)=2,COUNT(F215:F226)=2),cubic_spline(F214:F216,A214:A216,B$12),IF(AND(COUNT(A215:A226)=3,COUNT(F215:F226)=3),cubic_spline(F214:F217,A214:A217,B$12),IF(AND(COUNT(A215:A226)=4,COUNT(F215:F226)=4),cubic_spline(F214:F218,A214:A218,B$12),IF(AND(COUNT(A215:A226)=5,COUNT(F215:F226)=5),cubic_spline(F214:F219,A214:A219,B$12),IF(AND(COUNT(A215:A226)=6,COUNT(F215:F226)=6),cubic_spline(F214:F220,A214:A220,B$12),IF(AND(COUNT(A215:A226)=7,COUNT(F215:F226)=7),cubic_spline(F214:F221,A214:A221,B$12),IF(AND(COUNT(A215:A226)=8,COUNT(F215:F226)=8),cubic_spline(F214:F222,A214:A222,B$12),IF(AND(COUNT(A215:A226)=9,COUNT(F215:F226)=9),cubic_spline(F214:F223,A214:A223,B$12),IF(AND(COUNT(A215:A226)=10,COUNT(F215:F226)=10),cubic_spline(F214:F224,A214:A224,B$12),IF(AND(COUNT(A215:A226)=11,COUNT(F215:F226)=11),cubic_spline(F214:F225,A214:A225,B$12),IF(AND(COUNT(A215:A226)=12,COUNT(F215:F226)=12),cubic_spline(F214:F226,A214:A226,B$12),""))))))))))))</f>
        <v/>
      </c>
      <c r="L223" s="27" t="str">
        <f>IF(I223="","",B$11&amp;"-"&amp;B$12)</f>
        <v/>
      </c>
      <c r="M223" s="52" t="str">
        <f t="shared" si="80"/>
        <v/>
      </c>
    </row>
    <row r="224" spans="1:13" x14ac:dyDescent="0.35">
      <c r="A224" s="48"/>
      <c r="B224" s="48"/>
      <c r="C224" s="49"/>
      <c r="D224" s="50"/>
      <c r="E224" s="51" t="str">
        <f t="shared" si="79"/>
        <v/>
      </c>
      <c r="F224" s="71" t="str">
        <f t="shared" si="76"/>
        <v/>
      </c>
      <c r="G224" s="69" t="str">
        <f t="shared" si="78"/>
        <v/>
      </c>
      <c r="H224" s="70" t="str">
        <f t="shared" si="77"/>
        <v/>
      </c>
      <c r="I224" s="27" t="str">
        <f>IF(N(J224)=0,"",0&amp;"-"&amp;B$13)</f>
        <v/>
      </c>
      <c r="J224" s="52" t="str">
        <f>IF(N(B$13)=0,"",IF(AND(COUNT(H215:H226)=2,COUNT(F215:F226)=2),cubic_spline(F214:F216,H214:H216,B$13),IF(AND(COUNT(H215:H226)=3,COUNT(F215:F226)=3),cubic_spline(F214:F217,H214:H217,B$13),IF(AND(COUNT(H215:H226)=4,COUNT(F215:F226)=4),cubic_spline(F214:F218,H214:H218,B$13),IF(AND(COUNT(H215:H226)=5,COUNT(F215:F226)=5),cubic_spline(F214:F219,H214:H219,B$13),IF(AND(COUNT(H215:H226)=6,COUNT(F215:F226)=6),cubic_spline(F214:F220,H214:H220,B$13),IF(AND(COUNT(H215:H226)=7,COUNT(F215:F226)=7),cubic_spline(F214:F221,H214:H221,B$13),IF(AND(COUNT(H215:H226)=8,COUNT(F215:F226)=8),cubic_spline(F214:F222,H214:H222,B$13),IF(AND(COUNT(H215:H226)=9,COUNT(F215:F226)=9),cubic_spline(F214:F223,H214:H223,B$13),IF(AND(COUNT(H215:H226)=10,COUNT(F215:F226)=10),cubic_spline(F214:F224,H214:H224,B$13),IF(AND(COUNT(H215:H226)=11,COUNT(F215:F226)=11),cubic_spline(F214:F225,H214:H225,B$13),IF(AND(COUNT(H215:H226)=12,COUNT(F215:F226)=12),cubic_spline(F214:F226,H214:H226,B$13),""))))))))))))</f>
        <v/>
      </c>
      <c r="K224" s="52" t="str">
        <f>IF(N(B$13)=0,"",IF(AND(COUNT(A215:A226)=2,COUNT(F215:F226)=2),cubic_spline(F214:F216,A214:A216,B$13),IF(AND(COUNT(A215:A226)=3,COUNT(F215:F226)=3),cubic_spline(F214:F217,A214:A217,B$13),IF(AND(COUNT(A215:A226)=4,COUNT(F215:F226)=4),cubic_spline(F214:F218,A214:A218,B$13),IF(AND(COUNT(A215:A226)=5,COUNT(F215:F226)=5),cubic_spline(F214:F219,A214:A219,B$13),IF(AND(COUNT(A215:A226)=6,COUNT(F215:F226)=6),cubic_spline(F214:F220,A214:A220,B$13),IF(AND(COUNT(A215:A226)=7,COUNT(F215:F226)=7),cubic_spline(F214:F221,A214:A221,B$13),IF(AND(COUNT(A215:A226)=8,COUNT(F215:F226)=8),cubic_spline(F214:F222,A214:A222,B$13),IF(AND(COUNT(A215:A226)=9,COUNT(F215:F226)=9),cubic_spline(F214:F223,A214:A223,B$13),IF(AND(COUNT(A215:A226)=10,COUNT(F215:F226)=10),cubic_spline(F214:F224,A214:A224,B$13),IF(AND(COUNT(A215:A226)=11,COUNT(F215:F226)=11),cubic_spline(F214:F225,A214:A225,B$13),IF(AND(COUNT(A215:A226)=12,COUNT(F215:F226)=12),cubic_spline(F214:F226,A214:A226,B$13),""))))))))))))</f>
        <v/>
      </c>
      <c r="L224" s="27" t="str">
        <f>IF(I224="","",B$12&amp;"-"&amp;B$13)</f>
        <v/>
      </c>
      <c r="M224" s="52" t="str">
        <f t="shared" si="80"/>
        <v/>
      </c>
    </row>
    <row r="225" spans="1:13" x14ac:dyDescent="0.35">
      <c r="A225" s="48"/>
      <c r="B225" s="48"/>
      <c r="C225" s="49"/>
      <c r="D225" s="50"/>
      <c r="E225" s="51" t="str">
        <f t="shared" si="79"/>
        <v/>
      </c>
      <c r="F225" s="71" t="str">
        <f t="shared" si="76"/>
        <v/>
      </c>
      <c r="G225" s="69" t="str">
        <f t="shared" si="78"/>
        <v/>
      </c>
      <c r="H225" s="70" t="str">
        <f t="shared" si="77"/>
        <v/>
      </c>
      <c r="I225" s="27" t="str">
        <f>IF(N(J225)=0,"",0&amp;"-"&amp;B$14)</f>
        <v/>
      </c>
      <c r="J225" s="52" t="str">
        <f>IF(N(B$14)=0,"",IF(AND(COUNT(H215:H226)=2,COUNT(F215:F226)=2),cubic_spline(F214:F216,H214:H216,B$14),IF(AND(COUNT(H215:H226)=3,COUNT(F215:F226)=3),cubic_spline(F214:F217,H214:H217,B$14),IF(AND(COUNT(H215:H226)=4,COUNT(F215:F226)=4),cubic_spline(F214:F218,H214:H218,B$14),IF(AND(COUNT(H215:H226)=5,COUNT(F215:F226)=5),cubic_spline(F214:F219,H214:H219,B$14),IF(AND(COUNT(H215:H226)=6,COUNT(F215:F226)=6),cubic_spline(F214:F220,H214:H220,B$14),IF(AND(COUNT(H215:H226)=7,COUNT(F215:F226)=7),cubic_spline(F214:F221,H214:H221,B$14),IF(AND(COUNT(H215:H226)=8,COUNT(F215:F226)=8),cubic_spline(F214:F222,H214:H222,B$14),IF(AND(COUNT(H215:H226)=9,COUNT(F215:F226)=9),cubic_spline(F214:F223,H214:H223,B$14),IF(AND(COUNT(H215:H226)=10,COUNT(F215:F226)=10),cubic_spline(F214:F224,H214:H224,B$14),IF(AND(COUNT(H215:H226)=11,COUNT(F215:F226)=11),cubic_spline(F214:F225,H214:H225,B$14),IF(AND(COUNT(H215:H226)=12,COUNT(F215:F226)=12),cubic_spline(F214:F226,H214:H226,B$14),""))))))))))))</f>
        <v/>
      </c>
      <c r="K225" s="52" t="str">
        <f>IF(N(B$14)=0,"",IF(AND(COUNT(A215:A226)=2,COUNT(F215:F226)=2),cubic_spline(F214:F216,A214:A216,B$14),IF(AND(COUNT(A215:A226)=3,COUNT(F215:F226)=3),cubic_spline(F214:F217,A214:A217,B$14),IF(AND(COUNT(A215:A226)=4,COUNT(F215:F226)=4),cubic_spline(F214:F218,A214:A218,B$14),IF(AND(COUNT(A215:A226)=5,COUNT(F215:F226)=5),cubic_spline(F214:F219,A214:A219,B$14),IF(AND(COUNT(A215:A226)=6,COUNT(F215:F226)=6),cubic_spline(F214:F220,A214:A220,B$14),IF(AND(COUNT(A215:A226)=7,COUNT(F215:F226)=7),cubic_spline(F214:F221,A214:A221,B$14),IF(AND(COUNT(A215:A226)=8,COUNT(F215:F226)=8),cubic_spline(F214:F222,A214:A222,B$14),IF(AND(COUNT(A215:A226)=9,COUNT(F215:F226)=9),cubic_spline(F214:F223,A214:A223,B$14),IF(AND(COUNT(A215:A226)=10,COUNT(F215:F226)=10),cubic_spline(F214:F224,A214:A224,B$14),IF(AND(COUNT(A215:A226)=11,COUNT(F215:F226)=11),cubic_spline(F214:F225,A214:A225,B$14),IF(AND(COUNT(A215:A226)=12,COUNT(F215:F226)=12),cubic_spline(F214:F226,A214:A226,B$14),""))))))))))))</f>
        <v/>
      </c>
      <c r="L225" s="27" t="str">
        <f>IF(I225="","",B$13&amp;"-"&amp;B$14)</f>
        <v/>
      </c>
      <c r="M225" s="52" t="str">
        <f t="shared" si="80"/>
        <v/>
      </c>
    </row>
    <row r="226" spans="1:13" x14ac:dyDescent="0.35">
      <c r="A226" s="48"/>
      <c r="B226" s="48"/>
      <c r="C226" s="49"/>
      <c r="D226" s="50"/>
      <c r="E226" s="51" t="str">
        <f t="shared" si="79"/>
        <v/>
      </c>
      <c r="F226" s="71" t="str">
        <f t="shared" si="76"/>
        <v/>
      </c>
      <c r="G226" s="69" t="str">
        <f t="shared" si="78"/>
        <v/>
      </c>
      <c r="H226" s="70" t="str">
        <f t="shared" si="77"/>
        <v/>
      </c>
      <c r="I226" s="27" t="str">
        <f>IF(N(J226)=0,"",0&amp;"-"&amp;B$15)</f>
        <v/>
      </c>
      <c r="J226" s="52" t="str">
        <f>IF(N(B$15)=0,"",IF(AND(COUNT(H215:H226)=2,COUNT(F215:F226)=2),cubic_spline(F214:F216,H214:H216,B$15),IF(AND(COUNT(H215:H226)=3,COUNT(F215:F226)=3),cubic_spline(F214:F217,H214:H217,B$15),IF(AND(COUNT(H215:H226)=4,COUNT(F215:F226)=4),cubic_spline(F214:F218,H214:H218,B$15),IF(AND(COUNT(H215:H226)=5,COUNT(F215:F226)=5),cubic_spline(F214:F219,H214:H219,B$15),IF(AND(COUNT(H215:H226)=6,COUNT(F215:F226)=6),cubic_spline(F214:F220,H214:H220,B$15),IF(AND(COUNT(H215:H226)=7,COUNT(F215:F226)=7),cubic_spline(F214:F221,H214:H221,B$15),IF(AND(COUNT(H215:H226)=8,COUNT(F215:F226)=8),cubic_spline(F214:F222,H214:H222,B$15),IF(AND(COUNT(H215:H226)=9,COUNT(F215:F226)=9),cubic_spline(F214:F223,H214:H223,B$15),IF(AND(COUNT(H215:H226)=10,COUNT(F215:F226)=10),cubic_spline(F214:F224,H214:H224,B$15),IF(AND(COUNT(H215:H226)=11,COUNT(F215:F226)=11),cubic_spline(F214:F225,H214:H225,B$15),IF(AND(COUNT(H215:H226)=12,COUNT(F215:F226)=12),cubic_spline(F214:F226,H214:H226,B$15),""))))))))))))</f>
        <v/>
      </c>
      <c r="K226" s="52" t="str">
        <f>IF(N(B$15)=0,"",IF(AND(COUNT(A215:A226)=2,COUNT(F215:F226)=2),cubic_spline(F214:F216,A214:A216,B$15),IF(AND(COUNT(A215:A226)=3,COUNT(F215:F226)=3),cubic_spline(F214:F217,A214:A217,B$15),IF(AND(COUNT(A215:A226)=4,COUNT(F215:F226)=4),cubic_spline(F214:F218,A214:A218,B$15),IF(AND(COUNT(A215:A226)=5,COUNT(F215:F226)=5),cubic_spline(F214:F219,A214:A219,B$15),IF(AND(COUNT(A215:A226)=6,COUNT(F215:F226)=6),cubic_spline(F214:F220,A214:A220,B$15),IF(AND(COUNT(A215:A226)=7,COUNT(F215:F226)=7),cubic_spline(F214:F221,A214:A221,B$15),IF(AND(COUNT(A215:A226)=8,COUNT(F215:F226)=8),cubic_spline(F214:F222,A214:A222,B$15),IF(AND(COUNT(A215:A226)=9,COUNT(F215:F226)=9),cubic_spline(F214:F223,A214:A223,B$15),IF(AND(COUNT(A215:A226)=10,COUNT(F215:F226)=10),cubic_spline(F214:F224,A214:A224,B$15),IF(AND(COUNT(A215:A226)=11,COUNT(F215:F226)=11),cubic_spline(F214:F225,A214:A225,B$15),IF(AND(COUNT(A215:A226)=12,COUNT(F215:F226)=12),cubic_spline(F214:F226,A214:A226,B$15),""))))))))))))</f>
        <v/>
      </c>
      <c r="L226" s="27" t="str">
        <f>IF(I226="","",B$14&amp;"-"&amp;B$15)</f>
        <v/>
      </c>
      <c r="M226" s="52" t="str">
        <f t="shared" si="80"/>
        <v/>
      </c>
    </row>
    <row r="227" spans="1:13" ht="5.15" customHeight="1" x14ac:dyDescent="0.35">
      <c r="A227" s="47"/>
      <c r="B227" s="47"/>
      <c r="C227" s="47"/>
      <c r="D227" s="53"/>
      <c r="E227" s="54"/>
      <c r="F227" s="55"/>
      <c r="G227" s="72"/>
      <c r="H227" s="73"/>
      <c r="I227" s="47"/>
      <c r="J227" s="57"/>
      <c r="K227" s="57"/>
      <c r="L227" s="55"/>
      <c r="M227" s="57"/>
    </row>
    <row r="228" spans="1:13" x14ac:dyDescent="0.35">
      <c r="A228" s="48"/>
      <c r="B228" s="48"/>
      <c r="C228" s="49"/>
      <c r="D228" s="50"/>
      <c r="E228" s="51" t="str">
        <f>IF(N(C228)=0,"",C228/PI()/($D$1/2)^2/$D$2*10000)</f>
        <v/>
      </c>
      <c r="F228" s="68" t="str">
        <f t="shared" ref="F228:F239" si="81">IF(N(E228)=0,"",(N(E228)+N(F227)))</f>
        <v/>
      </c>
      <c r="G228" s="69" t="str">
        <f>IF(OR(N(D228)=0,N(E228)=0),"",(E228*D228)/1000)</f>
        <v/>
      </c>
      <c r="H228" s="70" t="str">
        <f t="shared" ref="H228:H239" si="82">IF(N(G228)=0,"",(N(G228)+N(H227)))</f>
        <v/>
      </c>
      <c r="I228" s="27" t="str">
        <f>IF(N(J228)=0,"",0&amp;"-"&amp;B$4)</f>
        <v/>
      </c>
      <c r="J228" s="52" t="str">
        <f>IF(N(B$4)=0,"",IF(AND(COUNT(H228:H239)=2,COUNT(F228:F239)=2),cubic_spline(F227:F229,H227:H229,B$4),IF(AND(COUNT(H228:H239)=3,COUNT(F228:F239)=3),cubic_spline(F227:F230,H227:H230,B$4),IF(AND(COUNT(H228:H239)=4,COUNT(F228:F239)=4),cubic_spline(F227:F231,H227:H231,B$4),IF(AND(COUNT(H228:H239)=5,COUNT(F228:F239)=5),cubic_spline(F227:F232,H227:H232,B$4),IF(AND(COUNT(H228:H239)=6,COUNT(F228:F239)=6),cubic_spline(F227:F233,H227:H233,B$4),IF(AND(COUNT(H228:H239)=7,COUNT(F228:F239)=7),cubic_spline(F227:F234,H227:H234,B$4),IF(AND(COUNT(H228:H239)=8,COUNT(F228:F239)=8),cubic_spline(F227:F235,H227:H235,B$4),IF(AND(COUNT(H228:H239)=9,COUNT(F228:F239)=9),cubic_spline(F227:F236,H227:H236,B$4),IF(AND(COUNT(H228:H239)=10,COUNT(F228:F239)=10),cubic_spline(F227:F237,H227:H237,B$4),IF(AND(COUNT(H228:H239)=11,COUNT(F228:F239)=11),cubic_spline(F227:F238,H227:H238,B$4),IF(AND(COUNT(H228:H239)=12,COUNT(F228:F239)=12),cubic_spline(F227:F239,H227:H239,B$4),""))))))))))))</f>
        <v/>
      </c>
      <c r="K228" s="52" t="str">
        <f>IF(N(B$4)=0,"",IF(AND(COUNT(A228:A239)=2,COUNT(F228:F239)=2),cubic_spline(F227:F229,A227:A229,B$4),IF(AND(COUNT(A228:A239)=3,COUNT(F228:F239)=3),cubic_spline(F227:F230,A227:A230,B$4),IF(AND(COUNT(A228:A239)=4,COUNT(F228:F239)=4),cubic_spline(F227:F231,A227:A231,B$4),IF(AND(COUNT(A228:A239)=5,COUNT(F228:F239)=5),cubic_spline(F227:F232,A227:A232,B$4),IF(AND(COUNT(A228:A239)=6,COUNT(F228:F239)=6),cubic_spline(F227:F233,A227:A233,B$4),IF(AND(COUNT(A228:A239)=7,COUNT(F228:F239)=7),cubic_spline(F227:F234,A227:A234,B$4),IF(AND(COUNT(A228:A239)=8,COUNT(F228:F239)=8),cubic_spline(F227:F235,A227:A235,B$4),IF(AND(COUNT(A228:A239)=9,COUNT(F228:F239)=9),cubic_spline(F227:F236,A227:A236,B$4),IF(AND(COUNT(A228:A239)=10,COUNT(F228:F239)=10),cubic_spline(F227:F237,A227:A237,B$4),IF(AND(COUNT(A228:A239)=11,COUNT(F228:F239)=11),cubic_spline(F227:F238,A227:A238,B$4),IF(AND(COUNT(A228:A239)=12,COUNT(F228:F239)=12),cubic_spline(F227:F239,A227:A239,B$4),""))))))))))))</f>
        <v/>
      </c>
      <c r="L228" s="27" t="str">
        <f>IF(I228="","",0&amp;"-"&amp;B$4)</f>
        <v/>
      </c>
      <c r="M228" s="52" t="str">
        <f>IF(N(J228)=0,"",J228-J227)</f>
        <v/>
      </c>
    </row>
    <row r="229" spans="1:13" x14ac:dyDescent="0.35">
      <c r="A229" s="48"/>
      <c r="B229" s="48"/>
      <c r="C229" s="49"/>
      <c r="D229" s="50"/>
      <c r="E229" s="51" t="str">
        <f>IF(N(C229)=0,"",C229/PI()/($D$1/2)^2/$D$2*10000)</f>
        <v/>
      </c>
      <c r="F229" s="68" t="str">
        <f t="shared" si="81"/>
        <v/>
      </c>
      <c r="G229" s="69" t="str">
        <f t="shared" ref="G229:G239" si="83">IF(OR(N(D229)=0,N(E229)=0),"",(E229*D229)/1000)</f>
        <v/>
      </c>
      <c r="H229" s="70" t="str">
        <f t="shared" si="82"/>
        <v/>
      </c>
      <c r="I229" s="27" t="str">
        <f>IF(N(J229)=0,"",0&amp;"-"&amp;B$5)</f>
        <v/>
      </c>
      <c r="J229" s="52" t="str">
        <f>IF(N(B$5)=0,"",IF(AND(COUNT(H228:H239)=2,COUNT(F228:F239)=2),cubic_spline(F227:F229,H227:H229,B$5),IF(AND(COUNT(H228:H239)=3,COUNT(F228:F239)=3),cubic_spline(F227:F230,H227:H230,B$5),IF(AND(COUNT(H228:H239)=4,COUNT(F228:F239)=4),cubic_spline(F227:F231,H227:H231,B$5),IF(AND(COUNT(H228:H239)=5,COUNT(F228:F239)=5),cubic_spline(F227:F232,H227:H232,B$5),IF(AND(COUNT(H228:H239)=6,COUNT(F228:F239)=6),cubic_spline(F227:F233,H227:H233,B$5),IF(AND(COUNT(H228:H239)=7,COUNT(F228:F239)=7),cubic_spline(F227:F234,H227:H234,B$5),IF(AND(COUNT(H228:H239)=8,COUNT(F228:F239)=8),cubic_spline(F227:F235,H227:H235,B$5),IF(AND(COUNT(H228:H239)=9,COUNT(F228:F239)=9),cubic_spline(F227:F236,H227:H236,B$5),IF(AND(COUNT(H228:H239)=10,COUNT(F228:F239)=10),cubic_spline(F227:F237,H227:H237,B$5),IF(AND(COUNT(H228:H239)=11,COUNT(F228:F239)=11),cubic_spline(F227:F238,H227:H238,B$5),IF(AND(COUNT(H228:H239)=12,COUNT(F228:F239)=12),cubic_spline(F227:F239,H227:H239,B$5),""))))))))))))</f>
        <v/>
      </c>
      <c r="K229" s="52" t="str">
        <f>IF(N(B$5)=0,"",IF(AND(COUNT(A228:A239)=2,COUNT(F228:F239)=2),cubic_spline(F227:F229,A227:A229,B$5),IF(AND(COUNT(A228:A239)=3,COUNT(F228:F239)=3),cubic_spline(F227:F230,A227:A230,B$5),IF(AND(COUNT(A228:A239)=4,COUNT(F228:F239)=4),cubic_spline(F227:F231,A227:A231,B$5),IF(AND(COUNT(A228:A239)=5,COUNT(F228:F239)=5),cubic_spline(F227:F232,A227:A232,B$5),IF(AND(COUNT(A228:A239)=6,COUNT(F228:F239)=6),cubic_spline(F227:F233,A227:A233,B$5),IF(AND(COUNT(A228:A239)=7,COUNT(F228:F239)=7),cubic_spline(F227:F234,A227:A234,B$5),IF(AND(COUNT(A228:A239)=8,COUNT(F228:F239)=8),cubic_spline(F227:F235,A227:A235,B$5),IF(AND(COUNT(A228:A239)=9,COUNT(F228:F239)=9),cubic_spline(F227:F236,A227:A236,B$5),IF(AND(COUNT(A228:A239)=10,COUNT(F228:F239)=10),cubic_spline(F227:F237,A227:A237,B$5),IF(AND(COUNT(A228:A239)=11,COUNT(F228:F239)=11),cubic_spline(F227:F238,A227:A238,B$5),IF(AND(COUNT(A228:A239)=12,COUNT(F228:F239)=12),cubic_spline(F227:F239,A227:A239,B$5),""))))))))))))</f>
        <v/>
      </c>
      <c r="L229" s="27" t="str">
        <f>IF(I229="","",B$4&amp;"-"&amp;B$5)</f>
        <v/>
      </c>
      <c r="M229" s="52" t="str">
        <f>IF(N(J229)=0,"",J229-J228)</f>
        <v/>
      </c>
    </row>
    <row r="230" spans="1:13" x14ac:dyDescent="0.35">
      <c r="A230" s="48"/>
      <c r="B230" s="48"/>
      <c r="C230" s="49"/>
      <c r="D230" s="50"/>
      <c r="E230" s="51" t="str">
        <f>IF(N(C230)=0,"",C230/PI()/($D$1/2)^2/$D$2*10000)</f>
        <v/>
      </c>
      <c r="F230" s="68" t="str">
        <f t="shared" si="81"/>
        <v/>
      </c>
      <c r="G230" s="69" t="str">
        <f t="shared" si="83"/>
        <v/>
      </c>
      <c r="H230" s="70" t="str">
        <f t="shared" si="82"/>
        <v/>
      </c>
      <c r="I230" s="27" t="str">
        <f>IF(N(J230)=0,"",0&amp;"-"&amp;B$6)</f>
        <v/>
      </c>
      <c r="J230" s="52" t="str">
        <f>IF(N(B$6)=0,"",IF(AND(COUNT(H228:H239)=2,COUNT(F228:F239)=2),cubic_spline(F227:F229,H227:H229,B$6),IF(AND(COUNT(H228:H239)=3,COUNT(F228:F239)=3),cubic_spline(F227:F230,H227:H230,B$6),IF(AND(COUNT(H228:H239)=4,COUNT(F228:F239)=4),cubic_spline(F227:F231,H227:H231,B$6),IF(AND(COUNT(H228:H239)=5,COUNT(F228:F239)=5),cubic_spline(F227:F232,H227:H232,B$6),IF(AND(COUNT(H228:H239)=6,COUNT(F228:F239)=6),cubic_spline(F227:F233,H227:H233,B$6),IF(AND(COUNT(H228:H239)=7,COUNT(F228:F239)=7),cubic_spline(F227:F234,H227:H234,B$6),IF(AND(COUNT(H228:H239)=8,COUNT(F228:F239)=8),cubic_spline(F227:F235,H227:H235,B$6),IF(AND(COUNT(H228:H239)=9,COUNT(F228:F239)=9),cubic_spline(F227:F236,H227:H236,B$6),IF(AND(COUNT(H228:H239)=10,COUNT(F228:F239)=10),cubic_spline(F227:F237,H227:H237,B$6),IF(AND(COUNT(H228:H239)=11,COUNT(F228:F239)=11),cubic_spline(F227:F238,H227:H238,B$6),IF(AND(COUNT(H228:H239)=12,COUNT(F228:F239)=12),cubic_spline(F227:F239,H227:H239,B$6),""))))))))))))</f>
        <v/>
      </c>
      <c r="K230" s="52" t="str">
        <f>IF(N(B$6)=0,"",IF(AND(COUNT(A228:A239)=2,COUNT(F228:F239)=2),cubic_spline(F227:F229,A227:A229,B$6),IF(AND(COUNT(A228:A239)=3,COUNT(F228:F239)=3),cubic_spline(F227:F230,A227:A230,B$6),IF(AND(COUNT(A228:A239)=4,COUNT(F228:F239)=4),cubic_spline(F227:F231,A227:A231,B$6),IF(AND(COUNT(A228:A239)=5,COUNT(F228:F239)=5),cubic_spline(F227:F232,A227:A232,B$6),IF(AND(COUNT(A228:A239)=6,COUNT(F228:F239)=6),cubic_spline(F227:F233,A227:A233,B$6),IF(AND(COUNT(A228:A239)=7,COUNT(F228:F239)=7),cubic_spline(F227:F234,A227:A234,B$6),IF(AND(COUNT(A228:A239)=8,COUNT(F228:F239)=8),cubic_spline(F227:F235,A227:A235,B$6),IF(AND(COUNT(A228:A239)=9,COUNT(F228:F239)=9),cubic_spline(F227:F236,A227:A236,B$6),IF(AND(COUNT(A228:A239)=10,COUNT(F228:F239)=10),cubic_spline(F227:F237,A227:A237,B$6),IF(AND(COUNT(A228:A239)=11,COUNT(F228:F239)=11),cubic_spline(F227:F238,A227:A238,B$6),IF(AND(COUNT(A228:A239)=12,COUNT(F228:F239)=12),cubic_spline(F227:F239,A227:A239,B$6),""))))))))))))</f>
        <v/>
      </c>
      <c r="L230" s="27" t="str">
        <f>IF(I230="","",B$5&amp;"-"&amp;B$6)</f>
        <v/>
      </c>
      <c r="M230" s="52" t="str">
        <f>IF(N(J230)=0,"",J230-J229)</f>
        <v/>
      </c>
    </row>
    <row r="231" spans="1:13" x14ac:dyDescent="0.35">
      <c r="A231" s="48"/>
      <c r="B231" s="48"/>
      <c r="C231" s="49"/>
      <c r="D231" s="50"/>
      <c r="E231" s="51" t="str">
        <f>IF(N(C231)=0,"",C231/PI()/($D$1/2)^2/$D$2*10000)</f>
        <v/>
      </c>
      <c r="F231" s="68" t="str">
        <f t="shared" si="81"/>
        <v/>
      </c>
      <c r="G231" s="69" t="str">
        <f t="shared" si="83"/>
        <v/>
      </c>
      <c r="H231" s="70" t="str">
        <f t="shared" si="82"/>
        <v/>
      </c>
      <c r="I231" s="27" t="str">
        <f>IF(N(J231)=0,"",0&amp;"-"&amp;B$7)</f>
        <v/>
      </c>
      <c r="J231" s="52" t="str">
        <f>IF(N(B$7)=0,"",IF(AND(COUNT(H228:H239)=2,COUNT(F228:F239)=2),cubic_spline(F227:F229,H227:H229,B$7),IF(AND(COUNT(H228:H239)=3,COUNT(F228:F239)=3),cubic_spline(F227:F230,H227:H230,B$7),IF(AND(COUNT(H228:H239)=4,COUNT(F228:F239)=4),cubic_spline(F227:F231,H227:H231,B$7),IF(AND(COUNT(H228:H239)=5,COUNT(F228:F239)=5),cubic_spline(F227:F232,H227:H232,B$7),IF(AND(COUNT(H228:H239)=6,COUNT(F228:F239)=6),cubic_spline(F227:F233,H227:H233,B$7),IF(AND(COUNT(H228:H239)=7,COUNT(F228:F239)=7),cubic_spline(F227:F234,H227:H234,B$7),IF(AND(COUNT(H228:H239)=8,COUNT(F228:F239)=8),cubic_spline(F227:F235,H227:H235,B$7),IF(AND(COUNT(H228:H239)=9,COUNT(F228:F239)=9),cubic_spline(F227:F236,H227:H236,B$7),IF(AND(COUNT(H228:H239)=10,COUNT(F228:F239)=10),cubic_spline(F227:F237,H227:H237,B$7),IF(AND(COUNT(H228:H239)=11,COUNT(F228:F239)=11),cubic_spline(F227:F238,H227:H238,B$7),IF(AND(COUNT(H228:H239)=12,COUNT(F228:F239)=12),cubic_spline(F227:F239,H227:H239,B$7),""))))))))))))</f>
        <v/>
      </c>
      <c r="K231" s="52" t="str">
        <f>IF(N(B$7)=0,"",IF(AND(COUNT(A228:A239)=2,COUNT(F228:F239)=2),cubic_spline(F227:F229,A227:A229,B$7),IF(AND(COUNT(A228:A239)=3,COUNT(F228:F239)=3),cubic_spline(F227:F230,A227:A230,B$7),IF(AND(COUNT(A228:A239)=4,COUNT(F228:F239)=4),cubic_spline(F227:F231,A227:A231,B$7),IF(AND(COUNT(A228:A239)=5,COUNT(F228:F239)=5),cubic_spline(F227:F232,A227:A232,B$7),IF(AND(COUNT(A228:A239)=6,COUNT(F228:F239)=6),cubic_spline(F227:F233,A227:A233,B$7),IF(AND(COUNT(A228:A239)=7,COUNT(F228:F239)=7),cubic_spline(F227:F234,A227:A234,B$7),IF(AND(COUNT(A228:A239)=8,COUNT(F228:F239)=8),cubic_spline(F227:F235,A227:A235,B$7),IF(AND(COUNT(A228:A239)=9,COUNT(F228:F239)=9),cubic_spline(F227:F236,A227:A236,B$7),IF(AND(COUNT(A228:A239)=10,COUNT(F228:F239)=10),cubic_spline(F227:F237,A227:A237,B$7),IF(AND(COUNT(A228:A239)=11,COUNT(F228:F239)=11),cubic_spline(F227:F238,A227:A238,B$7),IF(AND(COUNT(A228:A239)=12,COUNT(F228:F239)=12),cubic_spline(F227:F239,A227:A239,B$7),""))))))))))))</f>
        <v/>
      </c>
      <c r="L231" s="27" t="str">
        <f>IF(I231="","",B$6&amp;"-"&amp;B$7)</f>
        <v/>
      </c>
      <c r="M231" s="52" t="str">
        <f>IF(N(J231)=0,"",J231-J230)</f>
        <v/>
      </c>
    </row>
    <row r="232" spans="1:13" x14ac:dyDescent="0.35">
      <c r="A232" s="48"/>
      <c r="B232" s="48"/>
      <c r="C232" s="49"/>
      <c r="D232" s="50"/>
      <c r="E232" s="51" t="str">
        <f t="shared" ref="E232:E239" si="84">IF(N(C232)=0,"",C232/PI()/($D$1/2)^2/$D$2*10000)</f>
        <v/>
      </c>
      <c r="F232" s="71" t="str">
        <f t="shared" si="81"/>
        <v/>
      </c>
      <c r="G232" s="69" t="str">
        <f t="shared" si="83"/>
        <v/>
      </c>
      <c r="H232" s="70" t="str">
        <f t="shared" si="82"/>
        <v/>
      </c>
      <c r="I232" s="27" t="str">
        <f>IF(N(J232)=0,"",0&amp;"-"&amp;B$8)</f>
        <v/>
      </c>
      <c r="J232" s="52" t="str">
        <f>IF(N(B$8)=0,"",IF(AND(COUNT(H228:H239)=2,COUNT(F228:F239)=2),cubic_spline(F227:F229,H227:H229,B$8),IF(AND(COUNT(H228:H239)=3,COUNT(F228:F239)=3),cubic_spline(F227:F230,H227:H230,B$8),IF(AND(COUNT(H228:H239)=4,COUNT(F228:F239)=4),cubic_spline(F227:F231,H227:H231,B$8),IF(AND(COUNT(H228:H239)=5,COUNT(F228:F239)=5),cubic_spline(F227:F232,H227:H232,B$8),IF(AND(COUNT(H228:H239)=6,COUNT(F228:F239)=6),cubic_spline(F227:F233,H227:H233,B$8),IF(AND(COUNT(H228:H239)=7,COUNT(F228:F239)=7),cubic_spline(F227:F234,H227:H234,B$8),IF(AND(COUNT(H228:H239)=8,COUNT(F228:F239)=8),cubic_spline(F227:F235,H227:H235,B$8),IF(AND(COUNT(H228:H239)=9,COUNT(F228:F239)=9),cubic_spline(F227:F236,H227:H236,B$8),IF(AND(COUNT(H228:H239)=10,COUNT(F228:F239)=10),cubic_spline(F227:F237,H227:H237,B$8),IF(AND(COUNT(H228:H239)=11,COUNT(F228:F239)=11),cubic_spline(F227:F238,H227:H238,B$8),IF(AND(COUNT(H228:H239)=12,COUNT(F228:F239)=12),cubic_spline(F227:F239,H227:H239,B$8),""))))))))))))</f>
        <v/>
      </c>
      <c r="K232" s="52" t="str">
        <f>IF(N(B$8)=0,"",IF(AND(COUNT(A228:A239)=2,COUNT(F228:F239)=2),cubic_spline(F227:F229,A227:A229,B$8),IF(AND(COUNT(A228:A239)=3,COUNT(F228:F239)=3),cubic_spline(F227:F230,A227:A230,B$8),IF(AND(COUNT(A228:A239)=4,COUNT(F228:F239)=4),cubic_spline(F227:F231,A227:A231,B$8),IF(AND(COUNT(A228:A239)=5,COUNT(F228:F239)=5),cubic_spline(F227:F232,A227:A232,B$8),IF(AND(COUNT(A228:A239)=6,COUNT(F228:F239)=6),cubic_spline(F227:F233,A227:A233,B$8),IF(AND(COUNT(A228:A239)=7,COUNT(F228:F239)=7),cubic_spline(F227:F234,A227:A234,B$8),IF(AND(COUNT(A228:A239)=8,COUNT(F228:F239)=8),cubic_spline(F227:F235,A227:A235,B$8),IF(AND(COUNT(A228:A239)=9,COUNT(F228:F239)=9),cubic_spline(F227:F236,A227:A236,B$8),IF(AND(COUNT(A228:A239)=10,COUNT(F228:F239)=10),cubic_spline(F227:F237,A227:A237,B$8),IF(AND(COUNT(A228:A239)=11,COUNT(F228:F239)=11),cubic_spline(F227:F238,A227:A238,B$8),IF(AND(COUNT(A228:A239)=12,COUNT(F228:F239)=12),cubic_spline(F227:F239,A227:A239,B$8),""))))))))))))</f>
        <v/>
      </c>
      <c r="L232" s="27" t="str">
        <f>IF(I232="","",B$7&amp;"-"&amp;B$8)</f>
        <v/>
      </c>
      <c r="M232" s="52" t="str">
        <f>IF(N(J232)=0,"",J232-J231)</f>
        <v/>
      </c>
    </row>
    <row r="233" spans="1:13" x14ac:dyDescent="0.35">
      <c r="A233" s="48"/>
      <c r="B233" s="48"/>
      <c r="C233" s="49"/>
      <c r="D233" s="50"/>
      <c r="E233" s="51" t="str">
        <f t="shared" si="84"/>
        <v/>
      </c>
      <c r="F233" s="71" t="str">
        <f t="shared" si="81"/>
        <v/>
      </c>
      <c r="G233" s="69" t="str">
        <f t="shared" si="83"/>
        <v/>
      </c>
      <c r="H233" s="70" t="str">
        <f t="shared" si="82"/>
        <v/>
      </c>
      <c r="I233" s="27" t="str">
        <f>IF(N(J233)=0,"",0&amp;"-"&amp;B$9)</f>
        <v/>
      </c>
      <c r="J233" s="52" t="str">
        <f>IF(N(B$9)=0,"",IF(AND(COUNT(H228:H239)=2,COUNT(F228:F239)=2),cubic_spline(F227:F229,H227:H229,B$9),IF(AND(COUNT(H228:H239)=3,COUNT(F228:F239)=3),cubic_spline(F227:F230,H227:H230,B$9),IF(AND(COUNT(H228:H239)=4,COUNT(F228:F239)=4),cubic_spline(F227:F231,H227:H231,B$9),IF(AND(COUNT(H228:H239)=5,COUNT(F228:F239)=5),cubic_spline(F227:F232,H227:H232,B$9),IF(AND(COUNT(H228:H239)=6,COUNT(F228:F239)=6),cubic_spline(F227:F233,H227:H233,B$9),IF(AND(COUNT(H228:H239)=7,COUNT(F228:F239)=7),cubic_spline(F227:F234,H227:H234,B$9),IF(AND(COUNT(H228:H239)=8,COUNT(F228:F239)=8),cubic_spline(F227:F235,H227:H235,B$9),IF(AND(COUNT(H228:H239)=9,COUNT(F228:F239)=9),cubic_spline(F227:F236,H227:H236,B$9),IF(AND(COUNT(H228:H239)=10,COUNT(F228:F239)=10),cubic_spline(F227:F237,H227:H237,B$9),IF(AND(COUNT(H228:H239)=11,COUNT(F228:F239)=11),cubic_spline(F227:F238,H227:H238,B$9),IF(AND(COUNT(H228:H239)=12,COUNT(F228:F239)=12),cubic_spline(F227:F239,H227:H239,B$9),""))))))))))))</f>
        <v/>
      </c>
      <c r="K233" s="52" t="str">
        <f>IF(N(B$9)=0,"",IF(AND(COUNT(A228:A239)=2,COUNT(F228:F239)=2),cubic_spline(F227:F229,A227:A229,B$9),IF(AND(COUNT(A228:A239)=3,COUNT(F228:F239)=3),cubic_spline(F227:F230,A227:A230,B$9),IF(AND(COUNT(A228:A239)=4,COUNT(F228:F239)=4),cubic_spline(F227:F231,A227:A231,B$9),IF(AND(COUNT(A228:A239)=5,COUNT(F228:F239)=5),cubic_spline(F227:F232,A227:A232,B$9),IF(AND(COUNT(A228:A239)=6,COUNT(F228:F239)=6),cubic_spline(F227:F233,A227:A233,B$9),IF(AND(COUNT(A228:A239)=7,COUNT(F228:F239)=7),cubic_spline(F227:F234,A227:A234,B$9),IF(AND(COUNT(A228:A239)=8,COUNT(F228:F239)=8),cubic_spline(F227:F235,A227:A235,B$9),IF(AND(COUNT(A228:A239)=9,COUNT(F228:F239)=9),cubic_spline(F227:F236,A227:A236,B$9),IF(AND(COUNT(A228:A239)=10,COUNT(F228:F239)=10),cubic_spline(F227:F237,A227:A237,B$9),IF(AND(COUNT(A228:A239)=11,COUNT(F228:F239)=11),cubic_spline(F227:F238,A227:A238,B$9),IF(AND(COUNT(A228:A239)=12,COUNT(F228:F239)=12),cubic_spline(F227:F239,A227:A239,B$9),""))))))))))))</f>
        <v/>
      </c>
      <c r="L233" s="27" t="str">
        <f>IF(I233="","",B$8&amp;"-"&amp;B$9)</f>
        <v/>
      </c>
      <c r="M233" s="52" t="str">
        <f t="shared" ref="M233:M239" si="85">IF(N(J233)=0,"",J233-J232)</f>
        <v/>
      </c>
    </row>
    <row r="234" spans="1:13" x14ac:dyDescent="0.35">
      <c r="A234" s="48"/>
      <c r="B234" s="48"/>
      <c r="C234" s="49"/>
      <c r="D234" s="50"/>
      <c r="E234" s="51" t="str">
        <f t="shared" si="84"/>
        <v/>
      </c>
      <c r="F234" s="71" t="str">
        <f t="shared" si="81"/>
        <v/>
      </c>
      <c r="G234" s="69" t="str">
        <f t="shared" si="83"/>
        <v/>
      </c>
      <c r="H234" s="70" t="str">
        <f t="shared" si="82"/>
        <v/>
      </c>
      <c r="I234" s="27" t="str">
        <f>IF(N(J234)=0,"",0&amp;"-"&amp;B$10)</f>
        <v/>
      </c>
      <c r="J234" s="52" t="str">
        <f>IF(N(B$10)=0,"",IF(AND(COUNT(H228:H239)=2,COUNT(F228:F239)=2),cubic_spline(F227:F229,H227:H229,B$10),IF(AND(COUNT(H228:H239)=3,COUNT(F228:F239)=3),cubic_spline(F227:F230,H227:H230,B$10),IF(AND(COUNT(H228:H239)=4,COUNT(F228:F239)=4),cubic_spline(F227:F231,H227:H231,B$10),IF(AND(COUNT(H228:H239)=5,COUNT(F228:F239)=5),cubic_spline(F227:F232,H227:H232,B$10),IF(AND(COUNT(H228:H239)=6,COUNT(F228:F239)=6),cubic_spline(F227:F233,H227:H233,B$10),IF(AND(COUNT(H228:H239)=7,COUNT(F228:F239)=7),cubic_spline(F227:F234,H227:H234,B$10),IF(AND(COUNT(H228:H239)=8,COUNT(F228:F239)=8),cubic_spline(F227:F235,H227:H235,B$10),IF(AND(COUNT(H228:H239)=9,COUNT(F228:F239)=9),cubic_spline(F227:F236,H227:H236,B$10),IF(AND(COUNT(H228:H239)=10,COUNT(F228:F239)=10),cubic_spline(F227:F237,H227:H237,B$10),IF(AND(COUNT(H228:H239)=11,COUNT(F228:F239)=11),cubic_spline(F227:F238,H227:H238,B$10),IF(AND(COUNT(H228:H239)=12,COUNT(F228:F239)=12),cubic_spline(F227:F239,H227:H239,B$10),""))))))))))))</f>
        <v/>
      </c>
      <c r="K234" s="52" t="str">
        <f>IF(N(B$10)=0,"",IF(AND(COUNT(A228:A239)=2,COUNT(F228:F239)=2),cubic_spline(F227:F229,A227:A229,B$10),IF(AND(COUNT(A228:A239)=3,COUNT(F228:F239)=3),cubic_spline(F227:F230,A227:A230,B$10),IF(AND(COUNT(A228:A239)=4,COUNT(F228:F239)=4),cubic_spline(F227:F231,A227:A231,B$10),IF(AND(COUNT(A228:A239)=5,COUNT(F228:F239)=5),cubic_spline(F227:F232,A227:A232,B$10),IF(AND(COUNT(A228:A239)=6,COUNT(F228:F239)=6),cubic_spline(F227:F233,A227:A233,B$10),IF(AND(COUNT(A228:A239)=7,COUNT(F228:F239)=7),cubic_spline(F227:F234,A227:A234,B$10),IF(AND(COUNT(A228:A239)=8,COUNT(F228:F239)=8),cubic_spline(F227:F235,A227:A235,B$10),IF(AND(COUNT(A228:A239)=9,COUNT(F228:F239)=9),cubic_spline(F227:F236,A227:A236,B$10),IF(AND(COUNT(A228:A239)=10,COUNT(F228:F239)=10),cubic_spline(F227:F237,A227:A237,B$10),IF(AND(COUNT(A228:A239)=11,COUNT(F228:F239)=11),cubic_spline(F227:F238,A227:A238,B$10),IF(AND(COUNT(A228:A239)=12,COUNT(F228:F239)=12),cubic_spline(F227:F239,A227:A239,B$10),""))))))))))))</f>
        <v/>
      </c>
      <c r="L234" s="27" t="str">
        <f>IF(I234="","",B$9&amp;"-"&amp;B$10)</f>
        <v/>
      </c>
      <c r="M234" s="52" t="str">
        <f t="shared" si="85"/>
        <v/>
      </c>
    </row>
    <row r="235" spans="1:13" x14ac:dyDescent="0.35">
      <c r="A235" s="48"/>
      <c r="B235" s="48"/>
      <c r="C235" s="49"/>
      <c r="D235" s="50"/>
      <c r="E235" s="51" t="str">
        <f t="shared" si="84"/>
        <v/>
      </c>
      <c r="F235" s="71" t="str">
        <f t="shared" si="81"/>
        <v/>
      </c>
      <c r="G235" s="69" t="str">
        <f t="shared" si="83"/>
        <v/>
      </c>
      <c r="H235" s="70" t="str">
        <f t="shared" si="82"/>
        <v/>
      </c>
      <c r="I235" s="27" t="str">
        <f>IF(N(J235)=0,"",0&amp;"-"&amp;B$11)</f>
        <v/>
      </c>
      <c r="J235" s="52" t="str">
        <f>IF(N(B$11)=0,"",IF(AND(COUNT(H228:H239)=2,COUNT(F228:F239)=2),cubic_spline(F227:F229,H227:H229,B$11),IF(AND(COUNT(H228:H239)=3,COUNT(F228:F239)=3),cubic_spline(F227:F230,H227:H230,B$11),IF(AND(COUNT(H228:H239)=4,COUNT(F228:F239)=4),cubic_spline(F227:F231,H227:H231,B$11),IF(AND(COUNT(H228:H239)=5,COUNT(F228:F239)=5),cubic_spline(F227:F232,H227:H232,B$11),IF(AND(COUNT(H228:H239)=6,COUNT(F228:F239)=6),cubic_spline(F227:F233,H227:H233,B$11),IF(AND(COUNT(H228:H239)=7,COUNT(F228:F239)=7),cubic_spline(F227:F234,H227:H234,B$11),IF(AND(COUNT(H228:H239)=8,COUNT(F228:F239)=8),cubic_spline(F227:F235,H227:H235,B$11),IF(AND(COUNT(H228:H239)=9,COUNT(F228:F239)=9),cubic_spline(F227:F236,H227:H236,B$11),IF(AND(COUNT(H228:H239)=10,COUNT(F228:F239)=10),cubic_spline(F227:F237,H227:H237,B$11),IF(AND(COUNT(H228:H239)=11,COUNT(F228:F239)=11),cubic_spline(F227:F238,H227:H238,B$11),IF(AND(COUNT(H228:H239)=12,COUNT(F228:F239)=12),cubic_spline(F227:F239,H227:H239,B$11),""))))))))))))</f>
        <v/>
      </c>
      <c r="K235" s="52" t="str">
        <f>IF(N(B$11)=0,"",IF(AND(COUNT(A228:A239)=2,COUNT(F228:F239)=2),cubic_spline(F227:F229,A227:A229,B$11),IF(AND(COUNT(A228:A239)=3,COUNT(F228:F239)=3),cubic_spline(F227:F230,A227:A230,B$11),IF(AND(COUNT(A228:A239)=4,COUNT(F228:F239)=4),cubic_spline(F227:F231,A227:A231,B$11),IF(AND(COUNT(A228:A239)=5,COUNT(F228:F239)=5),cubic_spline(F227:F232,A227:A232,B$11),IF(AND(COUNT(A228:A239)=6,COUNT(F228:F239)=6),cubic_spline(F227:F233,A227:A233,B$11),IF(AND(COUNT(A228:A239)=7,COUNT(F228:F239)=7),cubic_spline(F227:F234,A227:A234,B$11),IF(AND(COUNT(A228:A239)=8,COUNT(F228:F239)=8),cubic_spline(F227:F235,A227:A235,B$11),IF(AND(COUNT(A228:A239)=9,COUNT(F228:F239)=9),cubic_spline(F227:F236,A227:A236,B$11),IF(AND(COUNT(A228:A239)=10,COUNT(F228:F239)=10),cubic_spline(F227:F237,A227:A237,B$11),IF(AND(COUNT(A228:A239)=11,COUNT(F228:F239)=11),cubic_spline(F227:F238,A227:A238,B$11),IF(AND(COUNT(A228:A239)=12,COUNT(F228:F239)=12),cubic_spline(F227:F239,A227:A239,B$11),""))))))))))))</f>
        <v/>
      </c>
      <c r="L235" s="27" t="str">
        <f>IF(I235="","",B$10&amp;"-"&amp;B$11)</f>
        <v/>
      </c>
      <c r="M235" s="52" t="str">
        <f t="shared" si="85"/>
        <v/>
      </c>
    </row>
    <row r="236" spans="1:13" x14ac:dyDescent="0.35">
      <c r="A236" s="48"/>
      <c r="B236" s="48"/>
      <c r="C236" s="49"/>
      <c r="D236" s="50"/>
      <c r="E236" s="51" t="str">
        <f t="shared" si="84"/>
        <v/>
      </c>
      <c r="F236" s="71" t="str">
        <f t="shared" si="81"/>
        <v/>
      </c>
      <c r="G236" s="69" t="str">
        <f t="shared" si="83"/>
        <v/>
      </c>
      <c r="H236" s="70" t="str">
        <f t="shared" si="82"/>
        <v/>
      </c>
      <c r="I236" s="27" t="str">
        <f>IF(N(J236)=0,"",0&amp;"-"&amp;B$12)</f>
        <v/>
      </c>
      <c r="J236" s="52" t="str">
        <f>IF(N(B$12)=0,"",IF(AND(COUNT(H228:H239)=2,COUNT(F228:F239)=2),cubic_spline(F227:F229,H227:H229,B$12),IF(AND(COUNT(H228:H239)=3,COUNT(F228:F239)=3),cubic_spline(F227:F230,H227:H230,B$12),IF(AND(COUNT(H228:H239)=4,COUNT(F228:F239)=4),cubic_spline(F227:F231,H227:H231,B$12),IF(AND(COUNT(H228:H239)=5,COUNT(F228:F239)=5),cubic_spline(F227:F232,H227:H232,B$12),IF(AND(COUNT(H228:H239)=6,COUNT(F228:F239)=6),cubic_spline(F227:F233,H227:H233,B$12),IF(AND(COUNT(H228:H239)=7,COUNT(F228:F239)=7),cubic_spline(F227:F234,H227:H234,B$12),IF(AND(COUNT(H228:H239)=8,COUNT(F228:F239)=8),cubic_spline(F227:F235,H227:H235,B$12),IF(AND(COUNT(H228:H239)=9,COUNT(F228:F239)=9),cubic_spline(F227:F236,H227:H236,B$12),IF(AND(COUNT(H228:H239)=10,COUNT(F228:F239)=10),cubic_spline(F227:F237,H227:H237,B$12),IF(AND(COUNT(H228:H239)=11,COUNT(F228:F239)=11),cubic_spline(F227:F238,H227:H238,B$12),IF(AND(COUNT(H228:H239)=12,COUNT(F228:F239)=12),cubic_spline(F227:F239,H227:H239,B$12),""))))))))))))</f>
        <v/>
      </c>
      <c r="K236" s="52" t="str">
        <f>IF(N(B$12)=0,"",IF(AND(COUNT(A228:A239)=2,COUNT(F228:F239)=2),cubic_spline(F227:F229,A227:A229,B$12),IF(AND(COUNT(A228:A239)=3,COUNT(F228:F239)=3),cubic_spline(F227:F230,A227:A230,B$12),IF(AND(COUNT(A228:A239)=4,COUNT(F228:F239)=4),cubic_spline(F227:F231,A227:A231,B$12),IF(AND(COUNT(A228:A239)=5,COUNT(F228:F239)=5),cubic_spline(F227:F232,A227:A232,B$12),IF(AND(COUNT(A228:A239)=6,COUNT(F228:F239)=6),cubic_spline(F227:F233,A227:A233,B$12),IF(AND(COUNT(A228:A239)=7,COUNT(F228:F239)=7),cubic_spline(F227:F234,A227:A234,B$12),IF(AND(COUNT(A228:A239)=8,COUNT(F228:F239)=8),cubic_spline(F227:F235,A227:A235,B$12),IF(AND(COUNT(A228:A239)=9,COUNT(F228:F239)=9),cubic_spline(F227:F236,A227:A236,B$12),IF(AND(COUNT(A228:A239)=10,COUNT(F228:F239)=10),cubic_spline(F227:F237,A227:A237,B$12),IF(AND(COUNT(A228:A239)=11,COUNT(F228:F239)=11),cubic_spline(F227:F238,A227:A238,B$12),IF(AND(COUNT(A228:A239)=12,COUNT(F228:F239)=12),cubic_spline(F227:F239,A227:A239,B$12),""))))))))))))</f>
        <v/>
      </c>
      <c r="L236" s="27" t="str">
        <f>IF(I236="","",B$11&amp;"-"&amp;B$12)</f>
        <v/>
      </c>
      <c r="M236" s="52" t="str">
        <f t="shared" si="85"/>
        <v/>
      </c>
    </row>
    <row r="237" spans="1:13" x14ac:dyDescent="0.35">
      <c r="A237" s="48"/>
      <c r="B237" s="48"/>
      <c r="C237" s="49"/>
      <c r="D237" s="50"/>
      <c r="E237" s="51" t="str">
        <f t="shared" si="84"/>
        <v/>
      </c>
      <c r="F237" s="71" t="str">
        <f t="shared" si="81"/>
        <v/>
      </c>
      <c r="G237" s="69" t="str">
        <f t="shared" si="83"/>
        <v/>
      </c>
      <c r="H237" s="70" t="str">
        <f t="shared" si="82"/>
        <v/>
      </c>
      <c r="I237" s="27" t="str">
        <f>IF(N(J237)=0,"",0&amp;"-"&amp;B$13)</f>
        <v/>
      </c>
      <c r="J237" s="52" t="str">
        <f>IF(N(B$13)=0,"",IF(AND(COUNT(H228:H239)=2,COUNT(F228:F239)=2),cubic_spline(F227:F229,H227:H229,B$13),IF(AND(COUNT(H228:H239)=3,COUNT(F228:F239)=3),cubic_spline(F227:F230,H227:H230,B$13),IF(AND(COUNT(H228:H239)=4,COUNT(F228:F239)=4),cubic_spline(F227:F231,H227:H231,B$13),IF(AND(COUNT(H228:H239)=5,COUNT(F228:F239)=5),cubic_spline(F227:F232,H227:H232,B$13),IF(AND(COUNT(H228:H239)=6,COUNT(F228:F239)=6),cubic_spline(F227:F233,H227:H233,B$13),IF(AND(COUNT(H228:H239)=7,COUNT(F228:F239)=7),cubic_spline(F227:F234,H227:H234,B$13),IF(AND(COUNT(H228:H239)=8,COUNT(F228:F239)=8),cubic_spline(F227:F235,H227:H235,B$13),IF(AND(COUNT(H228:H239)=9,COUNT(F228:F239)=9),cubic_spline(F227:F236,H227:H236,B$13),IF(AND(COUNT(H228:H239)=10,COUNT(F228:F239)=10),cubic_spline(F227:F237,H227:H237,B$13),IF(AND(COUNT(H228:H239)=11,COUNT(F228:F239)=11),cubic_spline(F227:F238,H227:H238,B$13),IF(AND(COUNT(H228:H239)=12,COUNT(F228:F239)=12),cubic_spline(F227:F239,H227:H239,B$13),""))))))))))))</f>
        <v/>
      </c>
      <c r="K237" s="52" t="str">
        <f>IF(N(B$13)=0,"",IF(AND(COUNT(A228:A239)=2,COUNT(F228:F239)=2),cubic_spline(F227:F229,A227:A229,B$13),IF(AND(COUNT(A228:A239)=3,COUNT(F228:F239)=3),cubic_spline(F227:F230,A227:A230,B$13),IF(AND(COUNT(A228:A239)=4,COUNT(F228:F239)=4),cubic_spline(F227:F231,A227:A231,B$13),IF(AND(COUNT(A228:A239)=5,COUNT(F228:F239)=5),cubic_spline(F227:F232,A227:A232,B$13),IF(AND(COUNT(A228:A239)=6,COUNT(F228:F239)=6),cubic_spline(F227:F233,A227:A233,B$13),IF(AND(COUNT(A228:A239)=7,COUNT(F228:F239)=7),cubic_spline(F227:F234,A227:A234,B$13),IF(AND(COUNT(A228:A239)=8,COUNT(F228:F239)=8),cubic_spline(F227:F235,A227:A235,B$13),IF(AND(COUNT(A228:A239)=9,COUNT(F228:F239)=9),cubic_spline(F227:F236,A227:A236,B$13),IF(AND(COUNT(A228:A239)=10,COUNT(F228:F239)=10),cubic_spline(F227:F237,A227:A237,B$13),IF(AND(COUNT(A228:A239)=11,COUNT(F228:F239)=11),cubic_spline(F227:F238,A227:A238,B$13),IF(AND(COUNT(A228:A239)=12,COUNT(F228:F239)=12),cubic_spline(F227:F239,A227:A239,B$13),""))))))))))))</f>
        <v/>
      </c>
      <c r="L237" s="27" t="str">
        <f>IF(I237="","",B$12&amp;"-"&amp;B$13)</f>
        <v/>
      </c>
      <c r="M237" s="52" t="str">
        <f t="shared" si="85"/>
        <v/>
      </c>
    </row>
    <row r="238" spans="1:13" x14ac:dyDescent="0.35">
      <c r="A238" s="48"/>
      <c r="B238" s="48"/>
      <c r="C238" s="49"/>
      <c r="D238" s="50"/>
      <c r="E238" s="51" t="str">
        <f t="shared" si="84"/>
        <v/>
      </c>
      <c r="F238" s="71" t="str">
        <f t="shared" si="81"/>
        <v/>
      </c>
      <c r="G238" s="69" t="str">
        <f t="shared" si="83"/>
        <v/>
      </c>
      <c r="H238" s="70" t="str">
        <f t="shared" si="82"/>
        <v/>
      </c>
      <c r="I238" s="27" t="str">
        <f>IF(N(J238)=0,"",0&amp;"-"&amp;B$14)</f>
        <v/>
      </c>
      <c r="J238" s="52" t="str">
        <f>IF(N(B$14)=0,"",IF(AND(COUNT(H228:H239)=2,COUNT(F228:F239)=2),cubic_spline(F227:F229,H227:H229,B$14),IF(AND(COUNT(H228:H239)=3,COUNT(F228:F239)=3),cubic_spline(F227:F230,H227:H230,B$14),IF(AND(COUNT(H228:H239)=4,COUNT(F228:F239)=4),cubic_spline(F227:F231,H227:H231,B$14),IF(AND(COUNT(H228:H239)=5,COUNT(F228:F239)=5),cubic_spline(F227:F232,H227:H232,B$14),IF(AND(COUNT(H228:H239)=6,COUNT(F228:F239)=6),cubic_spline(F227:F233,H227:H233,B$14),IF(AND(COUNT(H228:H239)=7,COUNT(F228:F239)=7),cubic_spline(F227:F234,H227:H234,B$14),IF(AND(COUNT(H228:H239)=8,COUNT(F228:F239)=8),cubic_spline(F227:F235,H227:H235,B$14),IF(AND(COUNT(H228:H239)=9,COUNT(F228:F239)=9),cubic_spline(F227:F236,H227:H236,B$14),IF(AND(COUNT(H228:H239)=10,COUNT(F228:F239)=10),cubic_spline(F227:F237,H227:H237,B$14),IF(AND(COUNT(H228:H239)=11,COUNT(F228:F239)=11),cubic_spline(F227:F238,H227:H238,B$14),IF(AND(COUNT(H228:H239)=12,COUNT(F228:F239)=12),cubic_spline(F227:F239,H227:H239,B$14),""))))))))))))</f>
        <v/>
      </c>
      <c r="K238" s="52" t="str">
        <f>IF(N(B$14)=0,"",IF(AND(COUNT(A228:A239)=2,COUNT(F228:F239)=2),cubic_spline(F227:F229,A227:A229,B$14),IF(AND(COUNT(A228:A239)=3,COUNT(F228:F239)=3),cubic_spline(F227:F230,A227:A230,B$14),IF(AND(COUNT(A228:A239)=4,COUNT(F228:F239)=4),cubic_spline(F227:F231,A227:A231,B$14),IF(AND(COUNT(A228:A239)=5,COUNT(F228:F239)=5),cubic_spline(F227:F232,A227:A232,B$14),IF(AND(COUNT(A228:A239)=6,COUNT(F228:F239)=6),cubic_spline(F227:F233,A227:A233,B$14),IF(AND(COUNT(A228:A239)=7,COUNT(F228:F239)=7),cubic_spline(F227:F234,A227:A234,B$14),IF(AND(COUNT(A228:A239)=8,COUNT(F228:F239)=8),cubic_spline(F227:F235,A227:A235,B$14),IF(AND(COUNT(A228:A239)=9,COUNT(F228:F239)=9),cubic_spline(F227:F236,A227:A236,B$14),IF(AND(COUNT(A228:A239)=10,COUNT(F228:F239)=10),cubic_spline(F227:F237,A227:A237,B$14),IF(AND(COUNT(A228:A239)=11,COUNT(F228:F239)=11),cubic_spline(F227:F238,A227:A238,B$14),IF(AND(COUNT(A228:A239)=12,COUNT(F228:F239)=12),cubic_spline(F227:F239,A227:A239,B$14),""))))))))))))</f>
        <v/>
      </c>
      <c r="L238" s="27" t="str">
        <f>IF(I238="","",B$13&amp;"-"&amp;B$14)</f>
        <v/>
      </c>
      <c r="M238" s="52" t="str">
        <f t="shared" si="85"/>
        <v/>
      </c>
    </row>
    <row r="239" spans="1:13" x14ac:dyDescent="0.35">
      <c r="A239" s="48"/>
      <c r="B239" s="48"/>
      <c r="C239" s="49"/>
      <c r="D239" s="50"/>
      <c r="E239" s="51" t="str">
        <f t="shared" si="84"/>
        <v/>
      </c>
      <c r="F239" s="71" t="str">
        <f t="shared" si="81"/>
        <v/>
      </c>
      <c r="G239" s="69" t="str">
        <f t="shared" si="83"/>
        <v/>
      </c>
      <c r="H239" s="70" t="str">
        <f t="shared" si="82"/>
        <v/>
      </c>
      <c r="I239" s="27" t="str">
        <f>IF(N(J239)=0,"",0&amp;"-"&amp;B$15)</f>
        <v/>
      </c>
      <c r="J239" s="52" t="str">
        <f>IF(N(B$15)=0,"",IF(AND(COUNT(H228:H239)=2,COUNT(F228:F239)=2),cubic_spline(F227:F229,H227:H229,B$15),IF(AND(COUNT(H228:H239)=3,COUNT(F228:F239)=3),cubic_spline(F227:F230,H227:H230,B$15),IF(AND(COUNT(H228:H239)=4,COUNT(F228:F239)=4),cubic_spline(F227:F231,H227:H231,B$15),IF(AND(COUNT(H228:H239)=5,COUNT(F228:F239)=5),cubic_spline(F227:F232,H227:H232,B$15),IF(AND(COUNT(H228:H239)=6,COUNT(F228:F239)=6),cubic_spline(F227:F233,H227:H233,B$15),IF(AND(COUNT(H228:H239)=7,COUNT(F228:F239)=7),cubic_spline(F227:F234,H227:H234,B$15),IF(AND(COUNT(H228:H239)=8,COUNT(F228:F239)=8),cubic_spline(F227:F235,H227:H235,B$15),IF(AND(COUNT(H228:H239)=9,COUNT(F228:F239)=9),cubic_spline(F227:F236,H227:H236,B$15),IF(AND(COUNT(H228:H239)=10,COUNT(F228:F239)=10),cubic_spline(F227:F237,H227:H237,B$15),IF(AND(COUNT(H228:H239)=11,COUNT(F228:F239)=11),cubic_spline(F227:F238,H227:H238,B$15),IF(AND(COUNT(H228:H239)=12,COUNT(F228:F239)=12),cubic_spline(F227:F239,H227:H239,B$15),""))))))))))))</f>
        <v/>
      </c>
      <c r="K239" s="52" t="str">
        <f>IF(N(B$15)=0,"",IF(AND(COUNT(A228:A239)=2,COUNT(F228:F239)=2),cubic_spline(F227:F229,A227:A229,B$15),IF(AND(COUNT(A228:A239)=3,COUNT(F228:F239)=3),cubic_spline(F227:F230,A227:A230,B$15),IF(AND(COUNT(A228:A239)=4,COUNT(F228:F239)=4),cubic_spline(F227:F231,A227:A231,B$15),IF(AND(COUNT(A228:A239)=5,COUNT(F228:F239)=5),cubic_spline(F227:F232,A227:A232,B$15),IF(AND(COUNT(A228:A239)=6,COUNT(F228:F239)=6),cubic_spline(F227:F233,A227:A233,B$15),IF(AND(COUNT(A228:A239)=7,COUNT(F228:F239)=7),cubic_spline(F227:F234,A227:A234,B$15),IF(AND(COUNT(A228:A239)=8,COUNT(F228:F239)=8),cubic_spline(F227:F235,A227:A235,B$15),IF(AND(COUNT(A228:A239)=9,COUNT(F228:F239)=9),cubic_spline(F227:F236,A227:A236,B$15),IF(AND(COUNT(A228:A239)=10,COUNT(F228:F239)=10),cubic_spline(F227:F237,A227:A237,B$15),IF(AND(COUNT(A228:A239)=11,COUNT(F228:F239)=11),cubic_spline(F227:F238,A227:A238,B$15),IF(AND(COUNT(A228:A239)=12,COUNT(F228:F239)=12),cubic_spline(F227:F239,A227:A239,B$15),""))))))))))))</f>
        <v/>
      </c>
      <c r="L239" s="27" t="str">
        <f>IF(I239="","",B$14&amp;"-"&amp;B$15)</f>
        <v/>
      </c>
      <c r="M239" s="52" t="str">
        <f t="shared" si="85"/>
        <v/>
      </c>
    </row>
    <row r="240" spans="1:13" ht="5.15" customHeight="1" x14ac:dyDescent="0.35">
      <c r="A240" s="47"/>
      <c r="B240" s="47"/>
      <c r="C240" s="47"/>
      <c r="D240" s="53"/>
      <c r="E240" s="54"/>
      <c r="F240" s="55"/>
      <c r="G240" s="72"/>
      <c r="H240" s="73"/>
      <c r="I240" s="47"/>
      <c r="J240" s="57"/>
      <c r="K240" s="57"/>
      <c r="L240" s="55"/>
      <c r="M240" s="57"/>
    </row>
    <row r="241" spans="1:13" x14ac:dyDescent="0.35">
      <c r="A241" s="48"/>
      <c r="B241" s="48"/>
      <c r="C241" s="49"/>
      <c r="D241" s="50"/>
      <c r="E241" s="51" t="str">
        <f>IF(N(C241)=0,"",C241/PI()/($D$1/2)^2/$D$2*10000)</f>
        <v/>
      </c>
      <c r="F241" s="68" t="str">
        <f t="shared" ref="F241:F252" si="86">IF(N(E241)=0,"",(N(E241)+N(F240)))</f>
        <v/>
      </c>
      <c r="G241" s="69" t="str">
        <f>IF(OR(N(D241)=0,N(E241)=0),"",(E241*D241)/1000)</f>
        <v/>
      </c>
      <c r="H241" s="70" t="str">
        <f t="shared" ref="H241:H252" si="87">IF(N(G241)=0,"",(N(G241)+N(H240)))</f>
        <v/>
      </c>
      <c r="I241" s="27" t="str">
        <f>IF(N(J241)=0,"",0&amp;"-"&amp;B$4)</f>
        <v/>
      </c>
      <c r="J241" s="52" t="str">
        <f>IF(N(B$4)=0,"",IF(AND(COUNT(H241:H252)=2,COUNT(F241:F252)=2),cubic_spline(F240:F242,H240:H242,B$4),IF(AND(COUNT(H241:H252)=3,COUNT(F241:F252)=3),cubic_spline(F240:F243,H240:H243,B$4),IF(AND(COUNT(H241:H252)=4,COUNT(F241:F252)=4),cubic_spline(F240:F244,H240:H244,B$4),IF(AND(COUNT(H241:H252)=5,COUNT(F241:F252)=5),cubic_spline(F240:F245,H240:H245,B$4),IF(AND(COUNT(H241:H252)=6,COUNT(F241:F252)=6),cubic_spline(F240:F246,H240:H246,B$4),IF(AND(COUNT(H241:H252)=7,COUNT(F241:F252)=7),cubic_spline(F240:F247,H240:H247,B$4),IF(AND(COUNT(H241:H252)=8,COUNT(F241:F252)=8),cubic_spline(F240:F248,H240:H248,B$4),IF(AND(COUNT(H241:H252)=9,COUNT(F241:F252)=9),cubic_spline(F240:F249,H240:H249,B$4),IF(AND(COUNT(H241:H252)=10,COUNT(F241:F252)=10),cubic_spline(F240:F250,H240:H250,B$4),IF(AND(COUNT(H241:H252)=11,COUNT(F241:F252)=11),cubic_spline(F240:F251,H240:H251,B$4),IF(AND(COUNT(H241:H252)=12,COUNT(F241:F252)=12),cubic_spline(F240:F252,H240:H252,B$4),""))))))))))))</f>
        <v/>
      </c>
      <c r="K241" s="52" t="str">
        <f>IF(N(B$4)=0,"",IF(AND(COUNT(A241:A252)=2,COUNT(F241:F252)=2),cubic_spline(F240:F242,A240:A242,B$4),IF(AND(COUNT(A241:A252)=3,COUNT(F241:F252)=3),cubic_spline(F240:F243,A240:A243,B$4),IF(AND(COUNT(A241:A252)=4,COUNT(F241:F252)=4),cubic_spline(F240:F244,A240:A244,B$4),IF(AND(COUNT(A241:A252)=5,COUNT(F241:F252)=5),cubic_spline(F240:F245,A240:A245,B$4),IF(AND(COUNT(A241:A252)=6,COUNT(F241:F252)=6),cubic_spline(F240:F246,A240:A246,B$4),IF(AND(COUNT(A241:A252)=7,COUNT(F241:F252)=7),cubic_spline(F240:F247,A240:A247,B$4),IF(AND(COUNT(A241:A252)=8,COUNT(F241:F252)=8),cubic_spline(F240:F248,A240:A248,B$4),IF(AND(COUNT(A241:A252)=9,COUNT(F241:F252)=9),cubic_spline(F240:F249,A240:A249,B$4),IF(AND(COUNT(A241:A252)=10,COUNT(F241:F252)=10),cubic_spline(F240:F250,A240:A250,B$4),IF(AND(COUNT(A241:A252)=11,COUNT(F241:F252)=11),cubic_spline(F240:F251,A240:A251,B$4),IF(AND(COUNT(A241:A252)=12,COUNT(F241:F252)=12),cubic_spline(F240:F252,A240:A252,B$4),""))))))))))))</f>
        <v/>
      </c>
      <c r="L241" s="27" t="str">
        <f>IF(I241="","",0&amp;"-"&amp;B$4)</f>
        <v/>
      </c>
      <c r="M241" s="52" t="str">
        <f>IF(N(J241)=0,"",J241-J240)</f>
        <v/>
      </c>
    </row>
    <row r="242" spans="1:13" x14ac:dyDescent="0.35">
      <c r="A242" s="48"/>
      <c r="B242" s="48"/>
      <c r="C242" s="49"/>
      <c r="D242" s="50"/>
      <c r="E242" s="51" t="str">
        <f>IF(N(C242)=0,"",C242/PI()/($D$1/2)^2/$D$2*10000)</f>
        <v/>
      </c>
      <c r="F242" s="68" t="str">
        <f t="shared" si="86"/>
        <v/>
      </c>
      <c r="G242" s="69" t="str">
        <f t="shared" ref="G242:G252" si="88">IF(OR(N(D242)=0,N(E242)=0),"",(E242*D242)/1000)</f>
        <v/>
      </c>
      <c r="H242" s="70" t="str">
        <f t="shared" si="87"/>
        <v/>
      </c>
      <c r="I242" s="27" t="str">
        <f>IF(N(J242)=0,"",0&amp;"-"&amp;B$5)</f>
        <v/>
      </c>
      <c r="J242" s="52" t="str">
        <f>IF(N(B$5)=0,"",IF(AND(COUNT(H241:H252)=2,COUNT(F241:F252)=2),cubic_spline(F240:F242,H240:H242,B$5),IF(AND(COUNT(H241:H252)=3,COUNT(F241:F252)=3),cubic_spline(F240:F243,H240:H243,B$5),IF(AND(COUNT(H241:H252)=4,COUNT(F241:F252)=4),cubic_spline(F240:F244,H240:H244,B$5),IF(AND(COUNT(H241:H252)=5,COUNT(F241:F252)=5),cubic_spline(F240:F245,H240:H245,B$5),IF(AND(COUNT(H241:H252)=6,COUNT(F241:F252)=6),cubic_spline(F240:F246,H240:H246,B$5),IF(AND(COUNT(H241:H252)=7,COUNT(F241:F252)=7),cubic_spline(F240:F247,H240:H247,B$5),IF(AND(COUNT(H241:H252)=8,COUNT(F241:F252)=8),cubic_spline(F240:F248,H240:H248,B$5),IF(AND(COUNT(H241:H252)=9,COUNT(F241:F252)=9),cubic_spline(F240:F249,H240:H249,B$5),IF(AND(COUNT(H241:H252)=10,COUNT(F241:F252)=10),cubic_spline(F240:F250,H240:H250,B$5),IF(AND(COUNT(H241:H252)=11,COUNT(F241:F252)=11),cubic_spline(F240:F251,H240:H251,B$5),IF(AND(COUNT(H241:H252)=12,COUNT(F241:F252)=12),cubic_spline(F240:F252,H240:H252,B$5),""))))))))))))</f>
        <v/>
      </c>
      <c r="K242" s="52" t="str">
        <f>IF(N(B$5)=0,"",IF(AND(COUNT(A241:A252)=2,COUNT(F241:F252)=2),cubic_spline(F240:F242,A240:A242,B$5),IF(AND(COUNT(A241:A252)=3,COUNT(F241:F252)=3),cubic_spline(F240:F243,A240:A243,B$5),IF(AND(COUNT(A241:A252)=4,COUNT(F241:F252)=4),cubic_spline(F240:F244,A240:A244,B$5),IF(AND(COUNT(A241:A252)=5,COUNT(F241:F252)=5),cubic_spline(F240:F245,A240:A245,B$5),IF(AND(COUNT(A241:A252)=6,COUNT(F241:F252)=6),cubic_spline(F240:F246,A240:A246,B$5),IF(AND(COUNT(A241:A252)=7,COUNT(F241:F252)=7),cubic_spline(F240:F247,A240:A247,B$5),IF(AND(COUNT(A241:A252)=8,COUNT(F241:F252)=8),cubic_spline(F240:F248,A240:A248,B$5),IF(AND(COUNT(A241:A252)=9,COUNT(F241:F252)=9),cubic_spline(F240:F249,A240:A249,B$5),IF(AND(COUNT(A241:A252)=10,COUNT(F241:F252)=10),cubic_spline(F240:F250,A240:A250,B$5),IF(AND(COUNT(A241:A252)=11,COUNT(F241:F252)=11),cubic_spline(F240:F251,A240:A251,B$5),IF(AND(COUNT(A241:A252)=12,COUNT(F241:F252)=12),cubic_spline(F240:F252,A240:A252,B$5),""))))))))))))</f>
        <v/>
      </c>
      <c r="L242" s="27" t="str">
        <f>IF(I242="","",B$4&amp;"-"&amp;B$5)</f>
        <v/>
      </c>
      <c r="M242" s="52" t="str">
        <f>IF(N(J242)=0,"",J242-J241)</f>
        <v/>
      </c>
    </row>
    <row r="243" spans="1:13" x14ac:dyDescent="0.35">
      <c r="A243" s="48"/>
      <c r="B243" s="48"/>
      <c r="C243" s="49"/>
      <c r="D243" s="50"/>
      <c r="E243" s="51" t="str">
        <f>IF(N(C243)=0,"",C243/PI()/($D$1/2)^2/$D$2*10000)</f>
        <v/>
      </c>
      <c r="F243" s="68" t="str">
        <f t="shared" si="86"/>
        <v/>
      </c>
      <c r="G243" s="69" t="str">
        <f t="shared" si="88"/>
        <v/>
      </c>
      <c r="H243" s="70" t="str">
        <f t="shared" si="87"/>
        <v/>
      </c>
      <c r="I243" s="27" t="str">
        <f>IF(N(J243)=0,"",0&amp;"-"&amp;B$6)</f>
        <v/>
      </c>
      <c r="J243" s="52" t="str">
        <f>IF(N(B$6)=0,"",IF(AND(COUNT(H241:H252)=2,COUNT(F241:F252)=2),cubic_spline(F240:F242,H240:H242,B$6),IF(AND(COUNT(H241:H252)=3,COUNT(F241:F252)=3),cubic_spline(F240:F243,H240:H243,B$6),IF(AND(COUNT(H241:H252)=4,COUNT(F241:F252)=4),cubic_spline(F240:F244,H240:H244,B$6),IF(AND(COUNT(H241:H252)=5,COUNT(F241:F252)=5),cubic_spline(F240:F245,H240:H245,B$6),IF(AND(COUNT(H241:H252)=6,COUNT(F241:F252)=6),cubic_spline(F240:F246,H240:H246,B$6),IF(AND(COUNT(H241:H252)=7,COUNT(F241:F252)=7),cubic_spline(F240:F247,H240:H247,B$6),IF(AND(COUNT(H241:H252)=8,COUNT(F241:F252)=8),cubic_spline(F240:F248,H240:H248,B$6),IF(AND(COUNT(H241:H252)=9,COUNT(F241:F252)=9),cubic_spline(F240:F249,H240:H249,B$6),IF(AND(COUNT(H241:H252)=10,COUNT(F241:F252)=10),cubic_spline(F240:F250,H240:H250,B$6),IF(AND(COUNT(H241:H252)=11,COUNT(F241:F252)=11),cubic_spline(F240:F251,H240:H251,B$6),IF(AND(COUNT(H241:H252)=12,COUNT(F241:F252)=12),cubic_spline(F240:F252,H240:H252,B$6),""))))))))))))</f>
        <v/>
      </c>
      <c r="K243" s="52" t="str">
        <f>IF(N(B$6)=0,"",IF(AND(COUNT(A241:A252)=2,COUNT(F241:F252)=2),cubic_spline(F240:F242,A240:A242,B$6),IF(AND(COUNT(A241:A252)=3,COUNT(F241:F252)=3),cubic_spline(F240:F243,A240:A243,B$6),IF(AND(COUNT(A241:A252)=4,COUNT(F241:F252)=4),cubic_spline(F240:F244,A240:A244,B$6),IF(AND(COUNT(A241:A252)=5,COUNT(F241:F252)=5),cubic_spline(F240:F245,A240:A245,B$6),IF(AND(COUNT(A241:A252)=6,COUNT(F241:F252)=6),cubic_spline(F240:F246,A240:A246,B$6),IF(AND(COUNT(A241:A252)=7,COUNT(F241:F252)=7),cubic_spline(F240:F247,A240:A247,B$6),IF(AND(COUNT(A241:A252)=8,COUNT(F241:F252)=8),cubic_spline(F240:F248,A240:A248,B$6),IF(AND(COUNT(A241:A252)=9,COUNT(F241:F252)=9),cubic_spline(F240:F249,A240:A249,B$6),IF(AND(COUNT(A241:A252)=10,COUNT(F241:F252)=10),cubic_spline(F240:F250,A240:A250,B$6),IF(AND(COUNT(A241:A252)=11,COUNT(F241:F252)=11),cubic_spline(F240:F251,A240:A251,B$6),IF(AND(COUNT(A241:A252)=12,COUNT(F241:F252)=12),cubic_spline(F240:F252,A240:A252,B$6),""))))))))))))</f>
        <v/>
      </c>
      <c r="L243" s="27" t="str">
        <f>IF(I243="","",B$5&amp;"-"&amp;B$6)</f>
        <v/>
      </c>
      <c r="M243" s="52" t="str">
        <f>IF(N(J243)=0,"",J243-J242)</f>
        <v/>
      </c>
    </row>
    <row r="244" spans="1:13" x14ac:dyDescent="0.35">
      <c r="A244" s="48"/>
      <c r="B244" s="48"/>
      <c r="C244" s="49"/>
      <c r="D244" s="50"/>
      <c r="E244" s="51" t="str">
        <f>IF(N(C244)=0,"",C244/PI()/($D$1/2)^2/$D$2*10000)</f>
        <v/>
      </c>
      <c r="F244" s="68" t="str">
        <f t="shared" si="86"/>
        <v/>
      </c>
      <c r="G244" s="69" t="str">
        <f t="shared" si="88"/>
        <v/>
      </c>
      <c r="H244" s="70" t="str">
        <f t="shared" si="87"/>
        <v/>
      </c>
      <c r="I244" s="27" t="str">
        <f>IF(N(J244)=0,"",0&amp;"-"&amp;B$7)</f>
        <v/>
      </c>
      <c r="J244" s="52" t="str">
        <f>IF(N(B$7)=0,"",IF(AND(COUNT(H241:H252)=2,COUNT(F241:F252)=2),cubic_spline(F240:F242,H240:H242,B$7),IF(AND(COUNT(H241:H252)=3,COUNT(F241:F252)=3),cubic_spline(F240:F243,H240:H243,B$7),IF(AND(COUNT(H241:H252)=4,COUNT(F241:F252)=4),cubic_spline(F240:F244,H240:H244,B$7),IF(AND(COUNT(H241:H252)=5,COUNT(F241:F252)=5),cubic_spline(F240:F245,H240:H245,B$7),IF(AND(COUNT(H241:H252)=6,COUNT(F241:F252)=6),cubic_spline(F240:F246,H240:H246,B$7),IF(AND(COUNT(H241:H252)=7,COUNT(F241:F252)=7),cubic_spline(F240:F247,H240:H247,B$7),IF(AND(COUNT(H241:H252)=8,COUNT(F241:F252)=8),cubic_spline(F240:F248,H240:H248,B$7),IF(AND(COUNT(H241:H252)=9,COUNT(F241:F252)=9),cubic_spline(F240:F249,H240:H249,B$7),IF(AND(COUNT(H241:H252)=10,COUNT(F241:F252)=10),cubic_spline(F240:F250,H240:H250,B$7),IF(AND(COUNT(H241:H252)=11,COUNT(F241:F252)=11),cubic_spline(F240:F251,H240:H251,B$7),IF(AND(COUNT(H241:H252)=12,COUNT(F241:F252)=12),cubic_spline(F240:F252,H240:H252,B$7),""))))))))))))</f>
        <v/>
      </c>
      <c r="K244" s="52" t="str">
        <f>IF(N(B$7)=0,"",IF(AND(COUNT(A241:A252)=2,COUNT(F241:F252)=2),cubic_spline(F240:F242,A240:A242,B$7),IF(AND(COUNT(A241:A252)=3,COUNT(F241:F252)=3),cubic_spline(F240:F243,A240:A243,B$7),IF(AND(COUNT(A241:A252)=4,COUNT(F241:F252)=4),cubic_spline(F240:F244,A240:A244,B$7),IF(AND(COUNT(A241:A252)=5,COUNT(F241:F252)=5),cubic_spline(F240:F245,A240:A245,B$7),IF(AND(COUNT(A241:A252)=6,COUNT(F241:F252)=6),cubic_spline(F240:F246,A240:A246,B$7),IF(AND(COUNT(A241:A252)=7,COUNT(F241:F252)=7),cubic_spline(F240:F247,A240:A247,B$7),IF(AND(COUNT(A241:A252)=8,COUNT(F241:F252)=8),cubic_spline(F240:F248,A240:A248,B$7),IF(AND(COUNT(A241:A252)=9,COUNT(F241:F252)=9),cubic_spline(F240:F249,A240:A249,B$7),IF(AND(COUNT(A241:A252)=10,COUNT(F241:F252)=10),cubic_spline(F240:F250,A240:A250,B$7),IF(AND(COUNT(A241:A252)=11,COUNT(F241:F252)=11),cubic_spline(F240:F251,A240:A251,B$7),IF(AND(COUNT(A241:A252)=12,COUNT(F241:F252)=12),cubic_spline(F240:F252,A240:A252,B$7),""))))))))))))</f>
        <v/>
      </c>
      <c r="L244" s="27" t="str">
        <f>IF(I244="","",B$6&amp;"-"&amp;B$7)</f>
        <v/>
      </c>
      <c r="M244" s="52" t="str">
        <f>IF(N(J244)=0,"",J244-J243)</f>
        <v/>
      </c>
    </row>
    <row r="245" spans="1:13" x14ac:dyDescent="0.35">
      <c r="A245" s="48"/>
      <c r="B245" s="48"/>
      <c r="C245" s="49"/>
      <c r="D245" s="50"/>
      <c r="E245" s="51" t="str">
        <f t="shared" ref="E245:E252" si="89">IF(N(C245)=0,"",C245/PI()/($D$1/2)^2/$D$2*10000)</f>
        <v/>
      </c>
      <c r="F245" s="71" t="str">
        <f t="shared" si="86"/>
        <v/>
      </c>
      <c r="G245" s="69" t="str">
        <f t="shared" si="88"/>
        <v/>
      </c>
      <c r="H245" s="70" t="str">
        <f t="shared" si="87"/>
        <v/>
      </c>
      <c r="I245" s="27" t="str">
        <f>IF(N(J245)=0,"",0&amp;"-"&amp;B$8)</f>
        <v/>
      </c>
      <c r="J245" s="52" t="str">
        <f>IF(N(B$8)=0,"",IF(AND(COUNT(H241:H252)=2,COUNT(F241:F252)=2),cubic_spline(F240:F242,H240:H242,B$8),IF(AND(COUNT(H241:H252)=3,COUNT(F241:F252)=3),cubic_spline(F240:F243,H240:H243,B$8),IF(AND(COUNT(H241:H252)=4,COUNT(F241:F252)=4),cubic_spline(F240:F244,H240:H244,B$8),IF(AND(COUNT(H241:H252)=5,COUNT(F241:F252)=5),cubic_spline(F240:F245,H240:H245,B$8),IF(AND(COUNT(H241:H252)=6,COUNT(F241:F252)=6),cubic_spline(F240:F246,H240:H246,B$8),IF(AND(COUNT(H241:H252)=7,COUNT(F241:F252)=7),cubic_spline(F240:F247,H240:H247,B$8),IF(AND(COUNT(H241:H252)=8,COUNT(F241:F252)=8),cubic_spline(F240:F248,H240:H248,B$8),IF(AND(COUNT(H241:H252)=9,COUNT(F241:F252)=9),cubic_spline(F240:F249,H240:H249,B$8),IF(AND(COUNT(H241:H252)=10,COUNT(F241:F252)=10),cubic_spline(F240:F250,H240:H250,B$8),IF(AND(COUNT(H241:H252)=11,COUNT(F241:F252)=11),cubic_spline(F240:F251,H240:H251,B$8),IF(AND(COUNT(H241:H252)=12,COUNT(F241:F252)=12),cubic_spline(F240:F252,H240:H252,B$8),""))))))))))))</f>
        <v/>
      </c>
      <c r="K245" s="52" t="str">
        <f>IF(N(B$8)=0,"",IF(AND(COUNT(A241:A252)=2,COUNT(F241:F252)=2),cubic_spline(F240:F242,A240:A242,B$8),IF(AND(COUNT(A241:A252)=3,COUNT(F241:F252)=3),cubic_spline(F240:F243,A240:A243,B$8),IF(AND(COUNT(A241:A252)=4,COUNT(F241:F252)=4),cubic_spline(F240:F244,A240:A244,B$8),IF(AND(COUNT(A241:A252)=5,COUNT(F241:F252)=5),cubic_spline(F240:F245,A240:A245,B$8),IF(AND(COUNT(A241:A252)=6,COUNT(F241:F252)=6),cubic_spline(F240:F246,A240:A246,B$8),IF(AND(COUNT(A241:A252)=7,COUNT(F241:F252)=7),cubic_spline(F240:F247,A240:A247,B$8),IF(AND(COUNT(A241:A252)=8,COUNT(F241:F252)=8),cubic_spline(F240:F248,A240:A248,B$8),IF(AND(COUNT(A241:A252)=9,COUNT(F241:F252)=9),cubic_spline(F240:F249,A240:A249,B$8),IF(AND(COUNT(A241:A252)=10,COUNT(F241:F252)=10),cubic_spline(F240:F250,A240:A250,B$8),IF(AND(COUNT(A241:A252)=11,COUNT(F241:F252)=11),cubic_spline(F240:F251,A240:A251,B$8),IF(AND(COUNT(A241:A252)=12,COUNT(F241:F252)=12),cubic_spline(F240:F252,A240:A252,B$8),""))))))))))))</f>
        <v/>
      </c>
      <c r="L245" s="27" t="str">
        <f>IF(I245="","",B$7&amp;"-"&amp;B$8)</f>
        <v/>
      </c>
      <c r="M245" s="52" t="str">
        <f>IF(N(J245)=0,"",J245-J244)</f>
        <v/>
      </c>
    </row>
    <row r="246" spans="1:13" x14ac:dyDescent="0.35">
      <c r="A246" s="48"/>
      <c r="B246" s="48"/>
      <c r="C246" s="49"/>
      <c r="D246" s="50"/>
      <c r="E246" s="51" t="str">
        <f t="shared" si="89"/>
        <v/>
      </c>
      <c r="F246" s="71" t="str">
        <f t="shared" si="86"/>
        <v/>
      </c>
      <c r="G246" s="69" t="str">
        <f t="shared" si="88"/>
        <v/>
      </c>
      <c r="H246" s="70" t="str">
        <f t="shared" si="87"/>
        <v/>
      </c>
      <c r="I246" s="27" t="str">
        <f>IF(N(J246)=0,"",0&amp;"-"&amp;B$9)</f>
        <v/>
      </c>
      <c r="J246" s="52" t="str">
        <f>IF(N(B$9)=0,"",IF(AND(COUNT(H241:H252)=2,COUNT(F241:F252)=2),cubic_spline(F240:F242,H240:H242,B$9),IF(AND(COUNT(H241:H252)=3,COUNT(F241:F252)=3),cubic_spline(F240:F243,H240:H243,B$9),IF(AND(COUNT(H241:H252)=4,COUNT(F241:F252)=4),cubic_spline(F240:F244,H240:H244,B$9),IF(AND(COUNT(H241:H252)=5,COUNT(F241:F252)=5),cubic_spline(F240:F245,H240:H245,B$9),IF(AND(COUNT(H241:H252)=6,COUNT(F241:F252)=6),cubic_spline(F240:F246,H240:H246,B$9),IF(AND(COUNT(H241:H252)=7,COUNT(F241:F252)=7),cubic_spline(F240:F247,H240:H247,B$9),IF(AND(COUNT(H241:H252)=8,COUNT(F241:F252)=8),cubic_spline(F240:F248,H240:H248,B$9),IF(AND(COUNT(H241:H252)=9,COUNT(F241:F252)=9),cubic_spline(F240:F249,H240:H249,B$9),IF(AND(COUNT(H241:H252)=10,COUNT(F241:F252)=10),cubic_spline(F240:F250,H240:H250,B$9),IF(AND(COUNT(H241:H252)=11,COUNT(F241:F252)=11),cubic_spline(F240:F251,H240:H251,B$9),IF(AND(COUNT(H241:H252)=12,COUNT(F241:F252)=12),cubic_spline(F240:F252,H240:H252,B$9),""))))))))))))</f>
        <v/>
      </c>
      <c r="K246" s="52" t="str">
        <f>IF(N(B$9)=0,"",IF(AND(COUNT(A241:A252)=2,COUNT(F241:F252)=2),cubic_spline(F240:F242,A240:A242,B$9),IF(AND(COUNT(A241:A252)=3,COUNT(F241:F252)=3),cubic_spline(F240:F243,A240:A243,B$9),IF(AND(COUNT(A241:A252)=4,COUNT(F241:F252)=4),cubic_spline(F240:F244,A240:A244,B$9),IF(AND(COUNT(A241:A252)=5,COUNT(F241:F252)=5),cubic_spline(F240:F245,A240:A245,B$9),IF(AND(COUNT(A241:A252)=6,COUNT(F241:F252)=6),cubic_spline(F240:F246,A240:A246,B$9),IF(AND(COUNT(A241:A252)=7,COUNT(F241:F252)=7),cubic_spline(F240:F247,A240:A247,B$9),IF(AND(COUNT(A241:A252)=8,COUNT(F241:F252)=8),cubic_spline(F240:F248,A240:A248,B$9),IF(AND(COUNT(A241:A252)=9,COUNT(F241:F252)=9),cubic_spline(F240:F249,A240:A249,B$9),IF(AND(COUNT(A241:A252)=10,COUNT(F241:F252)=10),cubic_spline(F240:F250,A240:A250,B$9),IF(AND(COUNT(A241:A252)=11,COUNT(F241:F252)=11),cubic_spline(F240:F251,A240:A251,B$9),IF(AND(COUNT(A241:A252)=12,COUNT(F241:F252)=12),cubic_spline(F240:F252,A240:A252,B$9),""))))))))))))</f>
        <v/>
      </c>
      <c r="L246" s="27" t="str">
        <f>IF(I246="","",B$8&amp;"-"&amp;B$9)</f>
        <v/>
      </c>
      <c r="M246" s="52" t="str">
        <f t="shared" ref="M246:M252" si="90">IF(N(J246)=0,"",J246-J245)</f>
        <v/>
      </c>
    </row>
    <row r="247" spans="1:13" x14ac:dyDescent="0.35">
      <c r="A247" s="48"/>
      <c r="B247" s="48"/>
      <c r="C247" s="49"/>
      <c r="D247" s="50"/>
      <c r="E247" s="51" t="str">
        <f t="shared" si="89"/>
        <v/>
      </c>
      <c r="F247" s="71" t="str">
        <f t="shared" si="86"/>
        <v/>
      </c>
      <c r="G247" s="69" t="str">
        <f t="shared" si="88"/>
        <v/>
      </c>
      <c r="H247" s="70" t="str">
        <f t="shared" si="87"/>
        <v/>
      </c>
      <c r="I247" s="27" t="str">
        <f>IF(N(J247)=0,"",0&amp;"-"&amp;B$10)</f>
        <v/>
      </c>
      <c r="J247" s="52" t="str">
        <f>IF(N(B$10)=0,"",IF(AND(COUNT(H241:H252)=2,COUNT(F241:F252)=2),cubic_spline(F240:F242,H240:H242,B$10),IF(AND(COUNT(H241:H252)=3,COUNT(F241:F252)=3),cubic_spline(F240:F243,H240:H243,B$10),IF(AND(COUNT(H241:H252)=4,COUNT(F241:F252)=4),cubic_spline(F240:F244,H240:H244,B$10),IF(AND(COUNT(H241:H252)=5,COUNT(F241:F252)=5),cubic_spline(F240:F245,H240:H245,B$10),IF(AND(COUNT(H241:H252)=6,COUNT(F241:F252)=6),cubic_spline(F240:F246,H240:H246,B$10),IF(AND(COUNT(H241:H252)=7,COUNT(F241:F252)=7),cubic_spline(F240:F247,H240:H247,B$10),IF(AND(COUNT(H241:H252)=8,COUNT(F241:F252)=8),cubic_spline(F240:F248,H240:H248,B$10),IF(AND(COUNT(H241:H252)=9,COUNT(F241:F252)=9),cubic_spline(F240:F249,H240:H249,B$10),IF(AND(COUNT(H241:H252)=10,COUNT(F241:F252)=10),cubic_spline(F240:F250,H240:H250,B$10),IF(AND(COUNT(H241:H252)=11,COUNT(F241:F252)=11),cubic_spline(F240:F251,H240:H251,B$10),IF(AND(COUNT(H241:H252)=12,COUNT(F241:F252)=12),cubic_spline(F240:F252,H240:H252,B$10),""))))))))))))</f>
        <v/>
      </c>
      <c r="K247" s="52" t="str">
        <f>IF(N(B$10)=0,"",IF(AND(COUNT(A241:A252)=2,COUNT(F241:F252)=2),cubic_spline(F240:F242,A240:A242,B$10),IF(AND(COUNT(A241:A252)=3,COUNT(F241:F252)=3),cubic_spline(F240:F243,A240:A243,B$10),IF(AND(COUNT(A241:A252)=4,COUNT(F241:F252)=4),cubic_spline(F240:F244,A240:A244,B$10),IF(AND(COUNT(A241:A252)=5,COUNT(F241:F252)=5),cubic_spline(F240:F245,A240:A245,B$10),IF(AND(COUNT(A241:A252)=6,COUNT(F241:F252)=6),cubic_spline(F240:F246,A240:A246,B$10),IF(AND(COUNT(A241:A252)=7,COUNT(F241:F252)=7),cubic_spline(F240:F247,A240:A247,B$10),IF(AND(COUNT(A241:A252)=8,COUNT(F241:F252)=8),cubic_spline(F240:F248,A240:A248,B$10),IF(AND(COUNT(A241:A252)=9,COUNT(F241:F252)=9),cubic_spline(F240:F249,A240:A249,B$10),IF(AND(COUNT(A241:A252)=10,COUNT(F241:F252)=10),cubic_spline(F240:F250,A240:A250,B$10),IF(AND(COUNT(A241:A252)=11,COUNT(F241:F252)=11),cubic_spline(F240:F251,A240:A251,B$10),IF(AND(COUNT(A241:A252)=12,COUNT(F241:F252)=12),cubic_spline(F240:F252,A240:A252,B$10),""))))))))))))</f>
        <v/>
      </c>
      <c r="L247" s="27" t="str">
        <f>IF(I247="","",B$9&amp;"-"&amp;B$10)</f>
        <v/>
      </c>
      <c r="M247" s="52" t="str">
        <f t="shared" si="90"/>
        <v/>
      </c>
    </row>
    <row r="248" spans="1:13" x14ac:dyDescent="0.35">
      <c r="A248" s="48"/>
      <c r="B248" s="48"/>
      <c r="C248" s="49"/>
      <c r="D248" s="50"/>
      <c r="E248" s="51" t="str">
        <f t="shared" si="89"/>
        <v/>
      </c>
      <c r="F248" s="71" t="str">
        <f t="shared" si="86"/>
        <v/>
      </c>
      <c r="G248" s="69" t="str">
        <f t="shared" si="88"/>
        <v/>
      </c>
      <c r="H248" s="70" t="str">
        <f t="shared" si="87"/>
        <v/>
      </c>
      <c r="I248" s="27" t="str">
        <f>IF(N(J248)=0,"",0&amp;"-"&amp;B$11)</f>
        <v/>
      </c>
      <c r="J248" s="52" t="str">
        <f>IF(N(B$11)=0,"",IF(AND(COUNT(H241:H252)=2,COUNT(F241:F252)=2),cubic_spline(F240:F242,H240:H242,B$11),IF(AND(COUNT(H241:H252)=3,COUNT(F241:F252)=3),cubic_spline(F240:F243,H240:H243,B$11),IF(AND(COUNT(H241:H252)=4,COUNT(F241:F252)=4),cubic_spline(F240:F244,H240:H244,B$11),IF(AND(COUNT(H241:H252)=5,COUNT(F241:F252)=5),cubic_spline(F240:F245,H240:H245,B$11),IF(AND(COUNT(H241:H252)=6,COUNT(F241:F252)=6),cubic_spline(F240:F246,H240:H246,B$11),IF(AND(COUNT(H241:H252)=7,COUNT(F241:F252)=7),cubic_spline(F240:F247,H240:H247,B$11),IF(AND(COUNT(H241:H252)=8,COUNT(F241:F252)=8),cubic_spline(F240:F248,H240:H248,B$11),IF(AND(COUNT(H241:H252)=9,COUNT(F241:F252)=9),cubic_spline(F240:F249,H240:H249,B$11),IF(AND(COUNT(H241:H252)=10,COUNT(F241:F252)=10),cubic_spline(F240:F250,H240:H250,B$11),IF(AND(COUNT(H241:H252)=11,COUNT(F241:F252)=11),cubic_spline(F240:F251,H240:H251,B$11),IF(AND(COUNT(H241:H252)=12,COUNT(F241:F252)=12),cubic_spline(F240:F252,H240:H252,B$11),""))))))))))))</f>
        <v/>
      </c>
      <c r="K248" s="52" t="str">
        <f>IF(N(B$11)=0,"",IF(AND(COUNT(A241:A252)=2,COUNT(F241:F252)=2),cubic_spline(F240:F242,A240:A242,B$11),IF(AND(COUNT(A241:A252)=3,COUNT(F241:F252)=3),cubic_spline(F240:F243,A240:A243,B$11),IF(AND(COUNT(A241:A252)=4,COUNT(F241:F252)=4),cubic_spline(F240:F244,A240:A244,B$11),IF(AND(COUNT(A241:A252)=5,COUNT(F241:F252)=5),cubic_spline(F240:F245,A240:A245,B$11),IF(AND(COUNT(A241:A252)=6,COUNT(F241:F252)=6),cubic_spline(F240:F246,A240:A246,B$11),IF(AND(COUNT(A241:A252)=7,COUNT(F241:F252)=7),cubic_spline(F240:F247,A240:A247,B$11),IF(AND(COUNT(A241:A252)=8,COUNT(F241:F252)=8),cubic_spline(F240:F248,A240:A248,B$11),IF(AND(COUNT(A241:A252)=9,COUNT(F241:F252)=9),cubic_spline(F240:F249,A240:A249,B$11),IF(AND(COUNT(A241:A252)=10,COUNT(F241:F252)=10),cubic_spline(F240:F250,A240:A250,B$11),IF(AND(COUNT(A241:A252)=11,COUNT(F241:F252)=11),cubic_spline(F240:F251,A240:A251,B$11),IF(AND(COUNT(A241:A252)=12,COUNT(F241:F252)=12),cubic_spline(F240:F252,A240:A252,B$11),""))))))))))))</f>
        <v/>
      </c>
      <c r="L248" s="27" t="str">
        <f>IF(I248="","",B$10&amp;"-"&amp;B$11)</f>
        <v/>
      </c>
      <c r="M248" s="52" t="str">
        <f t="shared" si="90"/>
        <v/>
      </c>
    </row>
    <row r="249" spans="1:13" x14ac:dyDescent="0.35">
      <c r="A249" s="48"/>
      <c r="B249" s="48"/>
      <c r="C249" s="49"/>
      <c r="D249" s="50"/>
      <c r="E249" s="51" t="str">
        <f t="shared" si="89"/>
        <v/>
      </c>
      <c r="F249" s="71" t="str">
        <f t="shared" si="86"/>
        <v/>
      </c>
      <c r="G249" s="69" t="str">
        <f t="shared" si="88"/>
        <v/>
      </c>
      <c r="H249" s="70" t="str">
        <f t="shared" si="87"/>
        <v/>
      </c>
      <c r="I249" s="27" t="str">
        <f>IF(N(J249)=0,"",0&amp;"-"&amp;B$12)</f>
        <v/>
      </c>
      <c r="J249" s="52" t="str">
        <f>IF(N(B$12)=0,"",IF(AND(COUNT(H241:H252)=2,COUNT(F241:F252)=2),cubic_spline(F240:F242,H240:H242,B$12),IF(AND(COUNT(H241:H252)=3,COUNT(F241:F252)=3),cubic_spline(F240:F243,H240:H243,B$12),IF(AND(COUNT(H241:H252)=4,COUNT(F241:F252)=4),cubic_spline(F240:F244,H240:H244,B$12),IF(AND(COUNT(H241:H252)=5,COUNT(F241:F252)=5),cubic_spline(F240:F245,H240:H245,B$12),IF(AND(COUNT(H241:H252)=6,COUNT(F241:F252)=6),cubic_spline(F240:F246,H240:H246,B$12),IF(AND(COUNT(H241:H252)=7,COUNT(F241:F252)=7),cubic_spline(F240:F247,H240:H247,B$12),IF(AND(COUNT(H241:H252)=8,COUNT(F241:F252)=8),cubic_spline(F240:F248,H240:H248,B$12),IF(AND(COUNT(H241:H252)=9,COUNT(F241:F252)=9),cubic_spline(F240:F249,H240:H249,B$12),IF(AND(COUNT(H241:H252)=10,COUNT(F241:F252)=10),cubic_spline(F240:F250,H240:H250,B$12),IF(AND(COUNT(H241:H252)=11,COUNT(F241:F252)=11),cubic_spline(F240:F251,H240:H251,B$12),IF(AND(COUNT(H241:H252)=12,COUNT(F241:F252)=12),cubic_spline(F240:F252,H240:H252,B$12),""))))))))))))</f>
        <v/>
      </c>
      <c r="K249" s="52" t="str">
        <f>IF(N(B$12)=0,"",IF(AND(COUNT(A241:A252)=2,COUNT(F241:F252)=2),cubic_spline(F240:F242,A240:A242,B$12),IF(AND(COUNT(A241:A252)=3,COUNT(F241:F252)=3),cubic_spline(F240:F243,A240:A243,B$12),IF(AND(COUNT(A241:A252)=4,COUNT(F241:F252)=4),cubic_spline(F240:F244,A240:A244,B$12),IF(AND(COUNT(A241:A252)=5,COUNT(F241:F252)=5),cubic_spline(F240:F245,A240:A245,B$12),IF(AND(COUNT(A241:A252)=6,COUNT(F241:F252)=6),cubic_spline(F240:F246,A240:A246,B$12),IF(AND(COUNT(A241:A252)=7,COUNT(F241:F252)=7),cubic_spline(F240:F247,A240:A247,B$12),IF(AND(COUNT(A241:A252)=8,COUNT(F241:F252)=8),cubic_spline(F240:F248,A240:A248,B$12),IF(AND(COUNT(A241:A252)=9,COUNT(F241:F252)=9),cubic_spline(F240:F249,A240:A249,B$12),IF(AND(COUNT(A241:A252)=10,COUNT(F241:F252)=10),cubic_spline(F240:F250,A240:A250,B$12),IF(AND(COUNT(A241:A252)=11,COUNT(F241:F252)=11),cubic_spline(F240:F251,A240:A251,B$12),IF(AND(COUNT(A241:A252)=12,COUNT(F241:F252)=12),cubic_spline(F240:F252,A240:A252,B$12),""))))))))))))</f>
        <v/>
      </c>
      <c r="L249" s="27" t="str">
        <f>IF(I249="","",B$11&amp;"-"&amp;B$12)</f>
        <v/>
      </c>
      <c r="M249" s="52" t="str">
        <f t="shared" si="90"/>
        <v/>
      </c>
    </row>
    <row r="250" spans="1:13" x14ac:dyDescent="0.35">
      <c r="A250" s="48"/>
      <c r="B250" s="48"/>
      <c r="C250" s="49"/>
      <c r="D250" s="50"/>
      <c r="E250" s="51" t="str">
        <f t="shared" si="89"/>
        <v/>
      </c>
      <c r="F250" s="71" t="str">
        <f t="shared" si="86"/>
        <v/>
      </c>
      <c r="G250" s="69" t="str">
        <f t="shared" si="88"/>
        <v/>
      </c>
      <c r="H250" s="70" t="str">
        <f t="shared" si="87"/>
        <v/>
      </c>
      <c r="I250" s="27" t="str">
        <f>IF(N(J250)=0,"",0&amp;"-"&amp;B$13)</f>
        <v/>
      </c>
      <c r="J250" s="52" t="str">
        <f>IF(N(B$13)=0,"",IF(AND(COUNT(H241:H252)=2,COUNT(F241:F252)=2),cubic_spline(F240:F242,H240:H242,B$13),IF(AND(COUNT(H241:H252)=3,COUNT(F241:F252)=3),cubic_spline(F240:F243,H240:H243,B$13),IF(AND(COUNT(H241:H252)=4,COUNT(F241:F252)=4),cubic_spline(F240:F244,H240:H244,B$13),IF(AND(COUNT(H241:H252)=5,COUNT(F241:F252)=5),cubic_spline(F240:F245,H240:H245,B$13),IF(AND(COUNT(H241:H252)=6,COUNT(F241:F252)=6),cubic_spline(F240:F246,H240:H246,B$13),IF(AND(COUNT(H241:H252)=7,COUNT(F241:F252)=7),cubic_spline(F240:F247,H240:H247,B$13),IF(AND(COUNT(H241:H252)=8,COUNT(F241:F252)=8),cubic_spline(F240:F248,H240:H248,B$13),IF(AND(COUNT(H241:H252)=9,COUNT(F241:F252)=9),cubic_spline(F240:F249,H240:H249,B$13),IF(AND(COUNT(H241:H252)=10,COUNT(F241:F252)=10),cubic_spline(F240:F250,H240:H250,B$13),IF(AND(COUNT(H241:H252)=11,COUNT(F241:F252)=11),cubic_spline(F240:F251,H240:H251,B$13),IF(AND(COUNT(H241:H252)=12,COUNT(F241:F252)=12),cubic_spline(F240:F252,H240:H252,B$13),""))))))))))))</f>
        <v/>
      </c>
      <c r="K250" s="52" t="str">
        <f>IF(N(B$13)=0,"",IF(AND(COUNT(A241:A252)=2,COUNT(F241:F252)=2),cubic_spline(F240:F242,A240:A242,B$13),IF(AND(COUNT(A241:A252)=3,COUNT(F241:F252)=3),cubic_spline(F240:F243,A240:A243,B$13),IF(AND(COUNT(A241:A252)=4,COUNT(F241:F252)=4),cubic_spline(F240:F244,A240:A244,B$13),IF(AND(COUNT(A241:A252)=5,COUNT(F241:F252)=5),cubic_spline(F240:F245,A240:A245,B$13),IF(AND(COUNT(A241:A252)=6,COUNT(F241:F252)=6),cubic_spline(F240:F246,A240:A246,B$13),IF(AND(COUNT(A241:A252)=7,COUNT(F241:F252)=7),cubic_spline(F240:F247,A240:A247,B$13),IF(AND(COUNT(A241:A252)=8,COUNT(F241:F252)=8),cubic_spline(F240:F248,A240:A248,B$13),IF(AND(COUNT(A241:A252)=9,COUNT(F241:F252)=9),cubic_spline(F240:F249,A240:A249,B$13),IF(AND(COUNT(A241:A252)=10,COUNT(F241:F252)=10),cubic_spline(F240:F250,A240:A250,B$13),IF(AND(COUNT(A241:A252)=11,COUNT(F241:F252)=11),cubic_spline(F240:F251,A240:A251,B$13),IF(AND(COUNT(A241:A252)=12,COUNT(F241:F252)=12),cubic_spline(F240:F252,A240:A252,B$13),""))))))))))))</f>
        <v/>
      </c>
      <c r="L250" s="27" t="str">
        <f>IF(I250="","",B$12&amp;"-"&amp;B$13)</f>
        <v/>
      </c>
      <c r="M250" s="52" t="str">
        <f t="shared" si="90"/>
        <v/>
      </c>
    </row>
    <row r="251" spans="1:13" x14ac:dyDescent="0.35">
      <c r="A251" s="48"/>
      <c r="B251" s="48"/>
      <c r="C251" s="49"/>
      <c r="D251" s="50"/>
      <c r="E251" s="51" t="str">
        <f t="shared" si="89"/>
        <v/>
      </c>
      <c r="F251" s="71" t="str">
        <f t="shared" si="86"/>
        <v/>
      </c>
      <c r="G251" s="69" t="str">
        <f t="shared" si="88"/>
        <v/>
      </c>
      <c r="H251" s="70" t="str">
        <f t="shared" si="87"/>
        <v/>
      </c>
      <c r="I251" s="27" t="str">
        <f>IF(N(J251)=0,"",0&amp;"-"&amp;B$14)</f>
        <v/>
      </c>
      <c r="J251" s="52" t="str">
        <f>IF(N(B$14)=0,"",IF(AND(COUNT(H241:H252)=2,COUNT(F241:F252)=2),cubic_spline(F240:F242,H240:H242,B$14),IF(AND(COUNT(H241:H252)=3,COUNT(F241:F252)=3),cubic_spline(F240:F243,H240:H243,B$14),IF(AND(COUNT(H241:H252)=4,COUNT(F241:F252)=4),cubic_spline(F240:F244,H240:H244,B$14),IF(AND(COUNT(H241:H252)=5,COUNT(F241:F252)=5),cubic_spline(F240:F245,H240:H245,B$14),IF(AND(COUNT(H241:H252)=6,COUNT(F241:F252)=6),cubic_spline(F240:F246,H240:H246,B$14),IF(AND(COUNT(H241:H252)=7,COUNT(F241:F252)=7),cubic_spline(F240:F247,H240:H247,B$14),IF(AND(COUNT(H241:H252)=8,COUNT(F241:F252)=8),cubic_spline(F240:F248,H240:H248,B$14),IF(AND(COUNT(H241:H252)=9,COUNT(F241:F252)=9),cubic_spline(F240:F249,H240:H249,B$14),IF(AND(COUNT(H241:H252)=10,COUNT(F241:F252)=10),cubic_spline(F240:F250,H240:H250,B$14),IF(AND(COUNT(H241:H252)=11,COUNT(F241:F252)=11),cubic_spline(F240:F251,H240:H251,B$14),IF(AND(COUNT(H241:H252)=12,COUNT(F241:F252)=12),cubic_spline(F240:F252,H240:H252,B$14),""))))))))))))</f>
        <v/>
      </c>
      <c r="K251" s="52" t="str">
        <f>IF(N(B$14)=0,"",IF(AND(COUNT(A241:A252)=2,COUNT(F241:F252)=2),cubic_spline(F240:F242,A240:A242,B$14),IF(AND(COUNT(A241:A252)=3,COUNT(F241:F252)=3),cubic_spline(F240:F243,A240:A243,B$14),IF(AND(COUNT(A241:A252)=4,COUNT(F241:F252)=4),cubic_spline(F240:F244,A240:A244,B$14),IF(AND(COUNT(A241:A252)=5,COUNT(F241:F252)=5),cubic_spline(F240:F245,A240:A245,B$14),IF(AND(COUNT(A241:A252)=6,COUNT(F241:F252)=6),cubic_spline(F240:F246,A240:A246,B$14),IF(AND(COUNT(A241:A252)=7,COUNT(F241:F252)=7),cubic_spline(F240:F247,A240:A247,B$14),IF(AND(COUNT(A241:A252)=8,COUNT(F241:F252)=8),cubic_spline(F240:F248,A240:A248,B$14),IF(AND(COUNT(A241:A252)=9,COUNT(F241:F252)=9),cubic_spline(F240:F249,A240:A249,B$14),IF(AND(COUNT(A241:A252)=10,COUNT(F241:F252)=10),cubic_spline(F240:F250,A240:A250,B$14),IF(AND(COUNT(A241:A252)=11,COUNT(F241:F252)=11),cubic_spline(F240:F251,A240:A251,B$14),IF(AND(COUNT(A241:A252)=12,COUNT(F241:F252)=12),cubic_spline(F240:F252,A240:A252,B$14),""))))))))))))</f>
        <v/>
      </c>
      <c r="L251" s="27" t="str">
        <f>IF(I251="","",B$13&amp;"-"&amp;B$14)</f>
        <v/>
      </c>
      <c r="M251" s="52" t="str">
        <f t="shared" si="90"/>
        <v/>
      </c>
    </row>
    <row r="252" spans="1:13" x14ac:dyDescent="0.35">
      <c r="A252" s="48"/>
      <c r="B252" s="48"/>
      <c r="C252" s="49"/>
      <c r="D252" s="50"/>
      <c r="E252" s="51" t="str">
        <f t="shared" si="89"/>
        <v/>
      </c>
      <c r="F252" s="71" t="str">
        <f t="shared" si="86"/>
        <v/>
      </c>
      <c r="G252" s="69" t="str">
        <f t="shared" si="88"/>
        <v/>
      </c>
      <c r="H252" s="70" t="str">
        <f t="shared" si="87"/>
        <v/>
      </c>
      <c r="I252" s="27" t="str">
        <f>IF(N(J252)=0,"",0&amp;"-"&amp;B$15)</f>
        <v/>
      </c>
      <c r="J252" s="52" t="str">
        <f>IF(N(B$15)=0,"",IF(AND(COUNT(H241:H252)=2,COUNT(F241:F252)=2),cubic_spline(F240:F242,H240:H242,B$15),IF(AND(COUNT(H241:H252)=3,COUNT(F241:F252)=3),cubic_spline(F240:F243,H240:H243,B$15),IF(AND(COUNT(H241:H252)=4,COUNT(F241:F252)=4),cubic_spline(F240:F244,H240:H244,B$15),IF(AND(COUNT(H241:H252)=5,COUNT(F241:F252)=5),cubic_spline(F240:F245,H240:H245,B$15),IF(AND(COUNT(H241:H252)=6,COUNT(F241:F252)=6),cubic_spline(F240:F246,H240:H246,B$15),IF(AND(COUNT(H241:H252)=7,COUNT(F241:F252)=7),cubic_spline(F240:F247,H240:H247,B$15),IF(AND(COUNT(H241:H252)=8,COUNT(F241:F252)=8),cubic_spline(F240:F248,H240:H248,B$15),IF(AND(COUNT(H241:H252)=9,COUNT(F241:F252)=9),cubic_spline(F240:F249,H240:H249,B$15),IF(AND(COUNT(H241:H252)=10,COUNT(F241:F252)=10),cubic_spline(F240:F250,H240:H250,B$15),IF(AND(COUNT(H241:H252)=11,COUNT(F241:F252)=11),cubic_spline(F240:F251,H240:H251,B$15),IF(AND(COUNT(H241:H252)=12,COUNT(F241:F252)=12),cubic_spline(F240:F252,H240:H252,B$15),""))))))))))))</f>
        <v/>
      </c>
      <c r="K252" s="52" t="str">
        <f>IF(N(B$15)=0,"",IF(AND(COUNT(A241:A252)=2,COUNT(F241:F252)=2),cubic_spline(F240:F242,A240:A242,B$15),IF(AND(COUNT(A241:A252)=3,COUNT(F241:F252)=3),cubic_spline(F240:F243,A240:A243,B$15),IF(AND(COUNT(A241:A252)=4,COUNT(F241:F252)=4),cubic_spline(F240:F244,A240:A244,B$15),IF(AND(COUNT(A241:A252)=5,COUNT(F241:F252)=5),cubic_spline(F240:F245,A240:A245,B$15),IF(AND(COUNT(A241:A252)=6,COUNT(F241:F252)=6),cubic_spline(F240:F246,A240:A246,B$15),IF(AND(COUNT(A241:A252)=7,COUNT(F241:F252)=7),cubic_spline(F240:F247,A240:A247,B$15),IF(AND(COUNT(A241:A252)=8,COUNT(F241:F252)=8),cubic_spline(F240:F248,A240:A248,B$15),IF(AND(COUNT(A241:A252)=9,COUNT(F241:F252)=9),cubic_spline(F240:F249,A240:A249,B$15),IF(AND(COUNT(A241:A252)=10,COUNT(F241:F252)=10),cubic_spline(F240:F250,A240:A250,B$15),IF(AND(COUNT(A241:A252)=11,COUNT(F241:F252)=11),cubic_spline(F240:F251,A240:A251,B$15),IF(AND(COUNT(A241:A252)=12,COUNT(F241:F252)=12),cubic_spline(F240:F252,A240:A252,B$15),""))))))))))))</f>
        <v/>
      </c>
      <c r="L252" s="27" t="str">
        <f>IF(I252="","",B$14&amp;"-"&amp;B$15)</f>
        <v/>
      </c>
      <c r="M252" s="52" t="str">
        <f t="shared" si="90"/>
        <v/>
      </c>
    </row>
    <row r="253" spans="1:13" ht="5.15" customHeight="1" x14ac:dyDescent="0.35">
      <c r="A253" s="47"/>
      <c r="B253" s="47"/>
      <c r="C253" s="47"/>
      <c r="D253" s="53"/>
      <c r="E253" s="54"/>
      <c r="F253" s="55"/>
      <c r="G253" s="72"/>
      <c r="H253" s="73"/>
      <c r="I253" s="47"/>
      <c r="J253" s="57"/>
      <c r="K253" s="57"/>
      <c r="L253" s="55"/>
      <c r="M253" s="57"/>
    </row>
    <row r="254" spans="1:13" x14ac:dyDescent="0.35">
      <c r="A254" s="48"/>
      <c r="B254" s="48"/>
      <c r="C254" s="49"/>
      <c r="D254" s="50"/>
      <c r="E254" s="51" t="str">
        <f>IF(N(C254)=0,"",C254/PI()/($D$1/2)^2/$D$2*10000)</f>
        <v/>
      </c>
      <c r="F254" s="68" t="str">
        <f t="shared" ref="F254:F265" si="91">IF(N(E254)=0,"",(N(E254)+N(F253)))</f>
        <v/>
      </c>
      <c r="G254" s="69" t="str">
        <f>IF(OR(N(D254)=0,N(E254)=0),"",(E254*D254)/1000)</f>
        <v/>
      </c>
      <c r="H254" s="70" t="str">
        <f t="shared" ref="H254:H265" si="92">IF(N(G254)=0,"",(N(G254)+N(H253)))</f>
        <v/>
      </c>
      <c r="I254" s="27" t="str">
        <f>IF(N(J254)=0,"",0&amp;"-"&amp;B$4)</f>
        <v/>
      </c>
      <c r="J254" s="52" t="str">
        <f>IF(N(B$4)=0,"",IF(AND(COUNT(H254:H265)=2,COUNT(F254:F265)=2),cubic_spline(F253:F255,H253:H255,B$4),IF(AND(COUNT(H254:H265)=3,COUNT(F254:F265)=3),cubic_spline(F253:F256,H253:H256,B$4),IF(AND(COUNT(H254:H265)=4,COUNT(F254:F265)=4),cubic_spline(F253:F257,H253:H257,B$4),IF(AND(COUNT(H254:H265)=5,COUNT(F254:F265)=5),cubic_spline(F253:F258,H253:H258,B$4),IF(AND(COUNT(H254:H265)=6,COUNT(F254:F265)=6),cubic_spline(F253:F259,H253:H259,B$4),IF(AND(COUNT(H254:H265)=7,COUNT(F254:F265)=7),cubic_spline(F253:F260,H253:H260,B$4),IF(AND(COUNT(H254:H265)=8,COUNT(F254:F265)=8),cubic_spline(F253:F261,H253:H261,B$4),IF(AND(COUNT(H254:H265)=9,COUNT(F254:F265)=9),cubic_spline(F253:F262,H253:H262,B$4),IF(AND(COUNT(H254:H265)=10,COUNT(F254:F265)=10),cubic_spline(F253:F263,H253:H263,B$4),IF(AND(COUNT(H254:H265)=11,COUNT(F254:F265)=11),cubic_spline(F253:F264,H253:H264,B$4),IF(AND(COUNT(H254:H265)=12,COUNT(F254:F265)=12),cubic_spline(F253:F265,H253:H265,B$4),""))))))))))))</f>
        <v/>
      </c>
      <c r="K254" s="52" t="str">
        <f>IF(N(B$4)=0,"",IF(AND(COUNT(A254:A265)=2,COUNT(F254:F265)=2),cubic_spline(F253:F255,A253:A255,B$4),IF(AND(COUNT(A254:A265)=3,COUNT(F254:F265)=3),cubic_spline(F253:F256,A253:A256,B$4),IF(AND(COUNT(A254:A265)=4,COUNT(F254:F265)=4),cubic_spline(F253:F257,A253:A257,B$4),IF(AND(COUNT(A254:A265)=5,COUNT(F254:F265)=5),cubic_spline(F253:F258,A253:A258,B$4),IF(AND(COUNT(A254:A265)=6,COUNT(F254:F265)=6),cubic_spline(F253:F259,A253:A259,B$4),IF(AND(COUNT(A254:A265)=7,COUNT(F254:F265)=7),cubic_spline(F253:F260,A253:A260,B$4),IF(AND(COUNT(A254:A265)=8,COUNT(F254:F265)=8),cubic_spline(F253:F261,A253:A261,B$4),IF(AND(COUNT(A254:A265)=9,COUNT(F254:F265)=9),cubic_spline(F253:F262,A253:A262,B$4),IF(AND(COUNT(A254:A265)=10,COUNT(F254:F265)=10),cubic_spline(F253:F263,A253:A263,B$4),IF(AND(COUNT(A254:A265)=11,COUNT(F254:F265)=11),cubic_spline(F253:F264,A253:A264,B$4),IF(AND(COUNT(A254:A265)=12,COUNT(F254:F265)=12),cubic_spline(F253:F265,A253:A265,B$4),""))))))))))))</f>
        <v/>
      </c>
      <c r="L254" s="27" t="str">
        <f>IF(I254="","",0&amp;"-"&amp;B$4)</f>
        <v/>
      </c>
      <c r="M254" s="52" t="str">
        <f>IF(N(J254)=0,"",J254-J253)</f>
        <v/>
      </c>
    </row>
    <row r="255" spans="1:13" x14ac:dyDescent="0.35">
      <c r="A255" s="48"/>
      <c r="B255" s="48"/>
      <c r="C255" s="49"/>
      <c r="D255" s="50"/>
      <c r="E255" s="51" t="str">
        <f>IF(N(C255)=0,"",C255/PI()/($D$1/2)^2/$D$2*10000)</f>
        <v/>
      </c>
      <c r="F255" s="68" t="str">
        <f t="shared" si="91"/>
        <v/>
      </c>
      <c r="G255" s="69" t="str">
        <f t="shared" ref="G255:G265" si="93">IF(OR(N(D255)=0,N(E255)=0),"",(E255*D255)/1000)</f>
        <v/>
      </c>
      <c r="H255" s="70" t="str">
        <f t="shared" si="92"/>
        <v/>
      </c>
      <c r="I255" s="27" t="str">
        <f>IF(N(J255)=0,"",0&amp;"-"&amp;B$5)</f>
        <v/>
      </c>
      <c r="J255" s="52" t="str">
        <f>IF(N(B$5)=0,"",IF(AND(COUNT(H254:H265)=2,COUNT(F254:F265)=2),cubic_spline(F253:F255,H253:H255,B$5),IF(AND(COUNT(H254:H265)=3,COUNT(F254:F265)=3),cubic_spline(F253:F256,H253:H256,B$5),IF(AND(COUNT(H254:H265)=4,COUNT(F254:F265)=4),cubic_spline(F253:F257,H253:H257,B$5),IF(AND(COUNT(H254:H265)=5,COUNT(F254:F265)=5),cubic_spline(F253:F258,H253:H258,B$5),IF(AND(COUNT(H254:H265)=6,COUNT(F254:F265)=6),cubic_spline(F253:F259,H253:H259,B$5),IF(AND(COUNT(H254:H265)=7,COUNT(F254:F265)=7),cubic_spline(F253:F260,H253:H260,B$5),IF(AND(COUNT(H254:H265)=8,COUNT(F254:F265)=8),cubic_spline(F253:F261,H253:H261,B$5),IF(AND(COUNT(H254:H265)=9,COUNT(F254:F265)=9),cubic_spline(F253:F262,H253:H262,B$5),IF(AND(COUNT(H254:H265)=10,COUNT(F254:F265)=10),cubic_spline(F253:F263,H253:H263,B$5),IF(AND(COUNT(H254:H265)=11,COUNT(F254:F265)=11),cubic_spline(F253:F264,H253:H264,B$5),IF(AND(COUNT(H254:H265)=12,COUNT(F254:F265)=12),cubic_spline(F253:F265,H253:H265,B$5),""))))))))))))</f>
        <v/>
      </c>
      <c r="K255" s="52" t="str">
        <f>IF(N(B$5)=0,"",IF(AND(COUNT(A254:A265)=2,COUNT(F254:F265)=2),cubic_spline(F253:F255,A253:A255,B$5),IF(AND(COUNT(A254:A265)=3,COUNT(F254:F265)=3),cubic_spline(F253:F256,A253:A256,B$5),IF(AND(COUNT(A254:A265)=4,COUNT(F254:F265)=4),cubic_spline(F253:F257,A253:A257,B$5),IF(AND(COUNT(A254:A265)=5,COUNT(F254:F265)=5),cubic_spline(F253:F258,A253:A258,B$5),IF(AND(COUNT(A254:A265)=6,COUNT(F254:F265)=6),cubic_spline(F253:F259,A253:A259,B$5),IF(AND(COUNT(A254:A265)=7,COUNT(F254:F265)=7),cubic_spline(F253:F260,A253:A260,B$5),IF(AND(COUNT(A254:A265)=8,COUNT(F254:F265)=8),cubic_spline(F253:F261,A253:A261,B$5),IF(AND(COUNT(A254:A265)=9,COUNT(F254:F265)=9),cubic_spline(F253:F262,A253:A262,B$5),IF(AND(COUNT(A254:A265)=10,COUNT(F254:F265)=10),cubic_spline(F253:F263,A253:A263,B$5),IF(AND(COUNT(A254:A265)=11,COUNT(F254:F265)=11),cubic_spline(F253:F264,A253:A264,B$5),IF(AND(COUNT(A254:A265)=12,COUNT(F254:F265)=12),cubic_spline(F253:F265,A253:A265,B$5),""))))))))))))</f>
        <v/>
      </c>
      <c r="L255" s="27" t="str">
        <f>IF(I255="","",B$4&amp;"-"&amp;B$5)</f>
        <v/>
      </c>
      <c r="M255" s="52" t="str">
        <f>IF(N(J255)=0,"",J255-J254)</f>
        <v/>
      </c>
    </row>
    <row r="256" spans="1:13" x14ac:dyDescent="0.35">
      <c r="A256" s="48"/>
      <c r="B256" s="48"/>
      <c r="C256" s="49"/>
      <c r="D256" s="50"/>
      <c r="E256" s="51" t="str">
        <f>IF(N(C256)=0,"",C256/PI()/($D$1/2)^2/$D$2*10000)</f>
        <v/>
      </c>
      <c r="F256" s="68" t="str">
        <f t="shared" si="91"/>
        <v/>
      </c>
      <c r="G256" s="69" t="str">
        <f t="shared" si="93"/>
        <v/>
      </c>
      <c r="H256" s="70" t="str">
        <f t="shared" si="92"/>
        <v/>
      </c>
      <c r="I256" s="27" t="str">
        <f>IF(N(J256)=0,"",0&amp;"-"&amp;B$6)</f>
        <v/>
      </c>
      <c r="J256" s="52" t="str">
        <f>IF(N(B$6)=0,"",IF(AND(COUNT(H254:H265)=2,COUNT(F254:F265)=2),cubic_spline(F253:F255,H253:H255,B$6),IF(AND(COUNT(H254:H265)=3,COUNT(F254:F265)=3),cubic_spline(F253:F256,H253:H256,B$6),IF(AND(COUNT(H254:H265)=4,COUNT(F254:F265)=4),cubic_spline(F253:F257,H253:H257,B$6),IF(AND(COUNT(H254:H265)=5,COUNT(F254:F265)=5),cubic_spline(F253:F258,H253:H258,B$6),IF(AND(COUNT(H254:H265)=6,COUNT(F254:F265)=6),cubic_spline(F253:F259,H253:H259,B$6),IF(AND(COUNT(H254:H265)=7,COUNT(F254:F265)=7),cubic_spline(F253:F260,H253:H260,B$6),IF(AND(COUNT(H254:H265)=8,COUNT(F254:F265)=8),cubic_spline(F253:F261,H253:H261,B$6),IF(AND(COUNT(H254:H265)=9,COUNT(F254:F265)=9),cubic_spline(F253:F262,H253:H262,B$6),IF(AND(COUNT(H254:H265)=10,COUNT(F254:F265)=10),cubic_spline(F253:F263,H253:H263,B$6),IF(AND(COUNT(H254:H265)=11,COUNT(F254:F265)=11),cubic_spline(F253:F264,H253:H264,B$6),IF(AND(COUNT(H254:H265)=12,COUNT(F254:F265)=12),cubic_spline(F253:F265,H253:H265,B$6),""))))))))))))</f>
        <v/>
      </c>
      <c r="K256" s="52" t="str">
        <f>IF(N(B$6)=0,"",IF(AND(COUNT(A254:A265)=2,COUNT(F254:F265)=2),cubic_spline(F253:F255,A253:A255,B$6),IF(AND(COUNT(A254:A265)=3,COUNT(F254:F265)=3),cubic_spline(F253:F256,A253:A256,B$6),IF(AND(COUNT(A254:A265)=4,COUNT(F254:F265)=4),cubic_spline(F253:F257,A253:A257,B$6),IF(AND(COUNT(A254:A265)=5,COUNT(F254:F265)=5),cubic_spline(F253:F258,A253:A258,B$6),IF(AND(COUNT(A254:A265)=6,COUNT(F254:F265)=6),cubic_spline(F253:F259,A253:A259,B$6),IF(AND(COUNT(A254:A265)=7,COUNT(F254:F265)=7),cubic_spline(F253:F260,A253:A260,B$6),IF(AND(COUNT(A254:A265)=8,COUNT(F254:F265)=8),cubic_spline(F253:F261,A253:A261,B$6),IF(AND(COUNT(A254:A265)=9,COUNT(F254:F265)=9),cubic_spline(F253:F262,A253:A262,B$6),IF(AND(COUNT(A254:A265)=10,COUNT(F254:F265)=10),cubic_spline(F253:F263,A253:A263,B$6),IF(AND(COUNT(A254:A265)=11,COUNT(F254:F265)=11),cubic_spline(F253:F264,A253:A264,B$6),IF(AND(COUNT(A254:A265)=12,COUNT(F254:F265)=12),cubic_spline(F253:F265,A253:A265,B$6),""))))))))))))</f>
        <v/>
      </c>
      <c r="L256" s="27" t="str">
        <f>IF(I256="","",B$5&amp;"-"&amp;B$6)</f>
        <v/>
      </c>
      <c r="M256" s="52" t="str">
        <f>IF(N(J256)=0,"",J256-J255)</f>
        <v/>
      </c>
    </row>
    <row r="257" spans="1:13" x14ac:dyDescent="0.35">
      <c r="A257" s="48"/>
      <c r="B257" s="48"/>
      <c r="C257" s="49"/>
      <c r="D257" s="50"/>
      <c r="E257" s="51" t="str">
        <f>IF(N(C257)=0,"",C257/PI()/($D$1/2)^2/$D$2*10000)</f>
        <v/>
      </c>
      <c r="F257" s="68" t="str">
        <f t="shared" si="91"/>
        <v/>
      </c>
      <c r="G257" s="69" t="str">
        <f t="shared" si="93"/>
        <v/>
      </c>
      <c r="H257" s="70" t="str">
        <f t="shared" si="92"/>
        <v/>
      </c>
      <c r="I257" s="27" t="str">
        <f>IF(N(J257)=0,"",0&amp;"-"&amp;B$7)</f>
        <v/>
      </c>
      <c r="J257" s="52" t="str">
        <f>IF(N(B$7)=0,"",IF(AND(COUNT(H254:H265)=2,COUNT(F254:F265)=2),cubic_spline(F253:F255,H253:H255,B$7),IF(AND(COUNT(H254:H265)=3,COUNT(F254:F265)=3),cubic_spline(F253:F256,H253:H256,B$7),IF(AND(COUNT(H254:H265)=4,COUNT(F254:F265)=4),cubic_spline(F253:F257,H253:H257,B$7),IF(AND(COUNT(H254:H265)=5,COUNT(F254:F265)=5),cubic_spline(F253:F258,H253:H258,B$7),IF(AND(COUNT(H254:H265)=6,COUNT(F254:F265)=6),cubic_spline(F253:F259,H253:H259,B$7),IF(AND(COUNT(H254:H265)=7,COUNT(F254:F265)=7),cubic_spline(F253:F260,H253:H260,B$7),IF(AND(COUNT(H254:H265)=8,COUNT(F254:F265)=8),cubic_spline(F253:F261,H253:H261,B$7),IF(AND(COUNT(H254:H265)=9,COUNT(F254:F265)=9),cubic_spline(F253:F262,H253:H262,B$7),IF(AND(COUNT(H254:H265)=10,COUNT(F254:F265)=10),cubic_spline(F253:F263,H253:H263,B$7),IF(AND(COUNT(H254:H265)=11,COUNT(F254:F265)=11),cubic_spline(F253:F264,H253:H264,B$7),IF(AND(COUNT(H254:H265)=12,COUNT(F254:F265)=12),cubic_spline(F253:F265,H253:H265,B$7),""))))))))))))</f>
        <v/>
      </c>
      <c r="K257" s="52" t="str">
        <f>IF(N(B$7)=0,"",IF(AND(COUNT(A254:A265)=2,COUNT(F254:F265)=2),cubic_spline(F253:F255,A253:A255,B$7),IF(AND(COUNT(A254:A265)=3,COUNT(F254:F265)=3),cubic_spline(F253:F256,A253:A256,B$7),IF(AND(COUNT(A254:A265)=4,COUNT(F254:F265)=4),cubic_spline(F253:F257,A253:A257,B$7),IF(AND(COUNT(A254:A265)=5,COUNT(F254:F265)=5),cubic_spline(F253:F258,A253:A258,B$7),IF(AND(COUNT(A254:A265)=6,COUNT(F254:F265)=6),cubic_spline(F253:F259,A253:A259,B$7),IF(AND(COUNT(A254:A265)=7,COUNT(F254:F265)=7),cubic_spline(F253:F260,A253:A260,B$7),IF(AND(COUNT(A254:A265)=8,COUNT(F254:F265)=8),cubic_spline(F253:F261,A253:A261,B$7),IF(AND(COUNT(A254:A265)=9,COUNT(F254:F265)=9),cubic_spline(F253:F262,A253:A262,B$7),IF(AND(COUNT(A254:A265)=10,COUNT(F254:F265)=10),cubic_spline(F253:F263,A253:A263,B$7),IF(AND(COUNT(A254:A265)=11,COUNT(F254:F265)=11),cubic_spline(F253:F264,A253:A264,B$7),IF(AND(COUNT(A254:A265)=12,COUNT(F254:F265)=12),cubic_spline(F253:F265,A253:A265,B$7),""))))))))))))</f>
        <v/>
      </c>
      <c r="L257" s="27" t="str">
        <f>IF(I257="","",B$6&amp;"-"&amp;B$7)</f>
        <v/>
      </c>
      <c r="M257" s="52" t="str">
        <f>IF(N(J257)=0,"",J257-J256)</f>
        <v/>
      </c>
    </row>
    <row r="258" spans="1:13" x14ac:dyDescent="0.35">
      <c r="A258" s="48"/>
      <c r="B258" s="48"/>
      <c r="C258" s="49"/>
      <c r="D258" s="50"/>
      <c r="E258" s="51" t="str">
        <f t="shared" ref="E258:E265" si="94">IF(N(C258)=0,"",C258/PI()/($D$1/2)^2/$D$2*10000)</f>
        <v/>
      </c>
      <c r="F258" s="71" t="str">
        <f t="shared" si="91"/>
        <v/>
      </c>
      <c r="G258" s="69" t="str">
        <f t="shared" si="93"/>
        <v/>
      </c>
      <c r="H258" s="70" t="str">
        <f t="shared" si="92"/>
        <v/>
      </c>
      <c r="I258" s="27" t="str">
        <f>IF(N(J258)=0,"",0&amp;"-"&amp;B$8)</f>
        <v/>
      </c>
      <c r="J258" s="52" t="str">
        <f>IF(N(B$8)=0,"",IF(AND(COUNT(H254:H265)=2,COUNT(F254:F265)=2),cubic_spline(F253:F255,H253:H255,B$8),IF(AND(COUNT(H254:H265)=3,COUNT(F254:F265)=3),cubic_spline(F253:F256,H253:H256,B$8),IF(AND(COUNT(H254:H265)=4,COUNT(F254:F265)=4),cubic_spline(F253:F257,H253:H257,B$8),IF(AND(COUNT(H254:H265)=5,COUNT(F254:F265)=5),cubic_spline(F253:F258,H253:H258,B$8),IF(AND(COUNT(H254:H265)=6,COUNT(F254:F265)=6),cubic_spline(F253:F259,H253:H259,B$8),IF(AND(COUNT(H254:H265)=7,COUNT(F254:F265)=7),cubic_spline(F253:F260,H253:H260,B$8),IF(AND(COUNT(H254:H265)=8,COUNT(F254:F265)=8),cubic_spline(F253:F261,H253:H261,B$8),IF(AND(COUNT(H254:H265)=9,COUNT(F254:F265)=9),cubic_spline(F253:F262,H253:H262,B$8),IF(AND(COUNT(H254:H265)=10,COUNT(F254:F265)=10),cubic_spline(F253:F263,H253:H263,B$8),IF(AND(COUNT(H254:H265)=11,COUNT(F254:F265)=11),cubic_spline(F253:F264,H253:H264,B$8),IF(AND(COUNT(H254:H265)=12,COUNT(F254:F265)=12),cubic_spline(F253:F265,H253:H265,B$8),""))))))))))))</f>
        <v/>
      </c>
      <c r="K258" s="52" t="str">
        <f>IF(N(B$8)=0,"",IF(AND(COUNT(A254:A265)=2,COUNT(F254:F265)=2),cubic_spline(F253:F255,A253:A255,B$8),IF(AND(COUNT(A254:A265)=3,COUNT(F254:F265)=3),cubic_spline(F253:F256,A253:A256,B$8),IF(AND(COUNT(A254:A265)=4,COUNT(F254:F265)=4),cubic_spline(F253:F257,A253:A257,B$8),IF(AND(COUNT(A254:A265)=5,COUNT(F254:F265)=5),cubic_spline(F253:F258,A253:A258,B$8),IF(AND(COUNT(A254:A265)=6,COUNT(F254:F265)=6),cubic_spline(F253:F259,A253:A259,B$8),IF(AND(COUNT(A254:A265)=7,COUNT(F254:F265)=7),cubic_spline(F253:F260,A253:A260,B$8),IF(AND(COUNT(A254:A265)=8,COUNT(F254:F265)=8),cubic_spline(F253:F261,A253:A261,B$8),IF(AND(COUNT(A254:A265)=9,COUNT(F254:F265)=9),cubic_spline(F253:F262,A253:A262,B$8),IF(AND(COUNT(A254:A265)=10,COUNT(F254:F265)=10),cubic_spline(F253:F263,A253:A263,B$8),IF(AND(COUNT(A254:A265)=11,COUNT(F254:F265)=11),cubic_spline(F253:F264,A253:A264,B$8),IF(AND(COUNT(A254:A265)=12,COUNT(F254:F265)=12),cubic_spline(F253:F265,A253:A265,B$8),""))))))))))))</f>
        <v/>
      </c>
      <c r="L258" s="27" t="str">
        <f>IF(I258="","",B$7&amp;"-"&amp;B$8)</f>
        <v/>
      </c>
      <c r="M258" s="52" t="str">
        <f>IF(N(J258)=0,"",J258-J257)</f>
        <v/>
      </c>
    </row>
    <row r="259" spans="1:13" x14ac:dyDescent="0.35">
      <c r="A259" s="48"/>
      <c r="B259" s="48"/>
      <c r="C259" s="49"/>
      <c r="D259" s="50"/>
      <c r="E259" s="51" t="str">
        <f t="shared" si="94"/>
        <v/>
      </c>
      <c r="F259" s="71" t="str">
        <f t="shared" si="91"/>
        <v/>
      </c>
      <c r="G259" s="69" t="str">
        <f t="shared" si="93"/>
        <v/>
      </c>
      <c r="H259" s="70" t="str">
        <f t="shared" si="92"/>
        <v/>
      </c>
      <c r="I259" s="27" t="str">
        <f>IF(N(J259)=0,"",0&amp;"-"&amp;B$9)</f>
        <v/>
      </c>
      <c r="J259" s="52" t="str">
        <f>IF(N(B$9)=0,"",IF(AND(COUNT(H254:H265)=2,COUNT(F254:F265)=2),cubic_spline(F253:F255,H253:H255,B$9),IF(AND(COUNT(H254:H265)=3,COUNT(F254:F265)=3),cubic_spline(F253:F256,H253:H256,B$9),IF(AND(COUNT(H254:H265)=4,COUNT(F254:F265)=4),cubic_spline(F253:F257,H253:H257,B$9),IF(AND(COUNT(H254:H265)=5,COUNT(F254:F265)=5),cubic_spline(F253:F258,H253:H258,B$9),IF(AND(COUNT(H254:H265)=6,COUNT(F254:F265)=6),cubic_spline(F253:F259,H253:H259,B$9),IF(AND(COUNT(H254:H265)=7,COUNT(F254:F265)=7),cubic_spline(F253:F260,H253:H260,B$9),IF(AND(COUNT(H254:H265)=8,COUNT(F254:F265)=8),cubic_spline(F253:F261,H253:H261,B$9),IF(AND(COUNT(H254:H265)=9,COUNT(F254:F265)=9),cubic_spline(F253:F262,H253:H262,B$9),IF(AND(COUNT(H254:H265)=10,COUNT(F254:F265)=10),cubic_spline(F253:F263,H253:H263,B$9),IF(AND(COUNT(H254:H265)=11,COUNT(F254:F265)=11),cubic_spline(F253:F264,H253:H264,B$9),IF(AND(COUNT(H254:H265)=12,COUNT(F254:F265)=12),cubic_spline(F253:F265,H253:H265,B$9),""))))))))))))</f>
        <v/>
      </c>
      <c r="K259" s="52" t="str">
        <f>IF(N(B$9)=0,"",IF(AND(COUNT(A254:A265)=2,COUNT(F254:F265)=2),cubic_spline(F253:F255,A253:A255,B$9),IF(AND(COUNT(A254:A265)=3,COUNT(F254:F265)=3),cubic_spline(F253:F256,A253:A256,B$9),IF(AND(COUNT(A254:A265)=4,COUNT(F254:F265)=4),cubic_spline(F253:F257,A253:A257,B$9),IF(AND(COUNT(A254:A265)=5,COUNT(F254:F265)=5),cubic_spline(F253:F258,A253:A258,B$9),IF(AND(COUNT(A254:A265)=6,COUNT(F254:F265)=6),cubic_spline(F253:F259,A253:A259,B$9),IF(AND(COUNT(A254:A265)=7,COUNT(F254:F265)=7),cubic_spline(F253:F260,A253:A260,B$9),IF(AND(COUNT(A254:A265)=8,COUNT(F254:F265)=8),cubic_spline(F253:F261,A253:A261,B$9),IF(AND(COUNT(A254:A265)=9,COUNT(F254:F265)=9),cubic_spline(F253:F262,A253:A262,B$9),IF(AND(COUNT(A254:A265)=10,COUNT(F254:F265)=10),cubic_spline(F253:F263,A253:A263,B$9),IF(AND(COUNT(A254:A265)=11,COUNT(F254:F265)=11),cubic_spline(F253:F264,A253:A264,B$9),IF(AND(COUNT(A254:A265)=12,COUNT(F254:F265)=12),cubic_spline(F253:F265,A253:A265,B$9),""))))))))))))</f>
        <v/>
      </c>
      <c r="L259" s="27" t="str">
        <f>IF(I259="","",B$8&amp;"-"&amp;B$9)</f>
        <v/>
      </c>
      <c r="M259" s="52" t="str">
        <f t="shared" ref="M259:M265" si="95">IF(N(J259)=0,"",J259-J258)</f>
        <v/>
      </c>
    </row>
    <row r="260" spans="1:13" x14ac:dyDescent="0.35">
      <c r="A260" s="48"/>
      <c r="B260" s="48"/>
      <c r="C260" s="49"/>
      <c r="D260" s="50"/>
      <c r="E260" s="51" t="str">
        <f t="shared" si="94"/>
        <v/>
      </c>
      <c r="F260" s="71" t="str">
        <f t="shared" si="91"/>
        <v/>
      </c>
      <c r="G260" s="69" t="str">
        <f t="shared" si="93"/>
        <v/>
      </c>
      <c r="H260" s="70" t="str">
        <f t="shared" si="92"/>
        <v/>
      </c>
      <c r="I260" s="27" t="str">
        <f>IF(N(J260)=0,"",0&amp;"-"&amp;B$10)</f>
        <v/>
      </c>
      <c r="J260" s="52" t="str">
        <f>IF(N(B$10)=0,"",IF(AND(COUNT(H254:H265)=2,COUNT(F254:F265)=2),cubic_spline(F253:F255,H253:H255,B$10),IF(AND(COUNT(H254:H265)=3,COUNT(F254:F265)=3),cubic_spline(F253:F256,H253:H256,B$10),IF(AND(COUNT(H254:H265)=4,COUNT(F254:F265)=4),cubic_spline(F253:F257,H253:H257,B$10),IF(AND(COUNT(H254:H265)=5,COUNT(F254:F265)=5),cubic_spline(F253:F258,H253:H258,B$10),IF(AND(COUNT(H254:H265)=6,COUNT(F254:F265)=6),cubic_spline(F253:F259,H253:H259,B$10),IF(AND(COUNT(H254:H265)=7,COUNT(F254:F265)=7),cubic_spline(F253:F260,H253:H260,B$10),IF(AND(COUNT(H254:H265)=8,COUNT(F254:F265)=8),cubic_spline(F253:F261,H253:H261,B$10),IF(AND(COUNT(H254:H265)=9,COUNT(F254:F265)=9),cubic_spline(F253:F262,H253:H262,B$10),IF(AND(COUNT(H254:H265)=10,COUNT(F254:F265)=10),cubic_spline(F253:F263,H253:H263,B$10),IF(AND(COUNT(H254:H265)=11,COUNT(F254:F265)=11),cubic_spline(F253:F264,H253:H264,B$10),IF(AND(COUNT(H254:H265)=12,COUNT(F254:F265)=12),cubic_spline(F253:F265,H253:H265,B$10),""))))))))))))</f>
        <v/>
      </c>
      <c r="K260" s="52" t="str">
        <f>IF(N(B$10)=0,"",IF(AND(COUNT(A254:A265)=2,COUNT(F254:F265)=2),cubic_spline(F253:F255,A253:A255,B$10),IF(AND(COUNT(A254:A265)=3,COUNT(F254:F265)=3),cubic_spline(F253:F256,A253:A256,B$10),IF(AND(COUNT(A254:A265)=4,COUNT(F254:F265)=4),cubic_spline(F253:F257,A253:A257,B$10),IF(AND(COUNT(A254:A265)=5,COUNT(F254:F265)=5),cubic_spline(F253:F258,A253:A258,B$10),IF(AND(COUNT(A254:A265)=6,COUNT(F254:F265)=6),cubic_spline(F253:F259,A253:A259,B$10),IF(AND(COUNT(A254:A265)=7,COUNT(F254:F265)=7),cubic_spline(F253:F260,A253:A260,B$10),IF(AND(COUNT(A254:A265)=8,COUNT(F254:F265)=8),cubic_spline(F253:F261,A253:A261,B$10),IF(AND(COUNT(A254:A265)=9,COUNT(F254:F265)=9),cubic_spline(F253:F262,A253:A262,B$10),IF(AND(COUNT(A254:A265)=10,COUNT(F254:F265)=10),cubic_spline(F253:F263,A253:A263,B$10),IF(AND(COUNT(A254:A265)=11,COUNT(F254:F265)=11),cubic_spline(F253:F264,A253:A264,B$10),IF(AND(COUNT(A254:A265)=12,COUNT(F254:F265)=12),cubic_spline(F253:F265,A253:A265,B$10),""))))))))))))</f>
        <v/>
      </c>
      <c r="L260" s="27" t="str">
        <f>IF(I260="","",B$9&amp;"-"&amp;B$10)</f>
        <v/>
      </c>
      <c r="M260" s="52" t="str">
        <f t="shared" si="95"/>
        <v/>
      </c>
    </row>
    <row r="261" spans="1:13" x14ac:dyDescent="0.35">
      <c r="A261" s="48"/>
      <c r="B261" s="48"/>
      <c r="C261" s="49"/>
      <c r="D261" s="50"/>
      <c r="E261" s="51" t="str">
        <f t="shared" si="94"/>
        <v/>
      </c>
      <c r="F261" s="71" t="str">
        <f t="shared" si="91"/>
        <v/>
      </c>
      <c r="G261" s="69" t="str">
        <f t="shared" si="93"/>
        <v/>
      </c>
      <c r="H261" s="70" t="str">
        <f t="shared" si="92"/>
        <v/>
      </c>
      <c r="I261" s="27" t="str">
        <f>IF(N(J261)=0,"",0&amp;"-"&amp;B$11)</f>
        <v/>
      </c>
      <c r="J261" s="52" t="str">
        <f>IF(N(B$11)=0,"",IF(AND(COUNT(H254:H265)=2,COUNT(F254:F265)=2),cubic_spline(F253:F255,H253:H255,B$11),IF(AND(COUNT(H254:H265)=3,COUNT(F254:F265)=3),cubic_spline(F253:F256,H253:H256,B$11),IF(AND(COUNT(H254:H265)=4,COUNT(F254:F265)=4),cubic_spline(F253:F257,H253:H257,B$11),IF(AND(COUNT(H254:H265)=5,COUNT(F254:F265)=5),cubic_spline(F253:F258,H253:H258,B$11),IF(AND(COUNT(H254:H265)=6,COUNT(F254:F265)=6),cubic_spline(F253:F259,H253:H259,B$11),IF(AND(COUNT(H254:H265)=7,COUNT(F254:F265)=7),cubic_spline(F253:F260,H253:H260,B$11),IF(AND(COUNT(H254:H265)=8,COUNT(F254:F265)=8),cubic_spline(F253:F261,H253:H261,B$11),IF(AND(COUNT(H254:H265)=9,COUNT(F254:F265)=9),cubic_spline(F253:F262,H253:H262,B$11),IF(AND(COUNT(H254:H265)=10,COUNT(F254:F265)=10),cubic_spline(F253:F263,H253:H263,B$11),IF(AND(COUNT(H254:H265)=11,COUNT(F254:F265)=11),cubic_spline(F253:F264,H253:H264,B$11),IF(AND(COUNT(H254:H265)=12,COUNT(F254:F265)=12),cubic_spline(F253:F265,H253:H265,B$11),""))))))))))))</f>
        <v/>
      </c>
      <c r="K261" s="52" t="str">
        <f>IF(N(B$11)=0,"",IF(AND(COUNT(A254:A265)=2,COUNT(F254:F265)=2),cubic_spline(F253:F255,A253:A255,B$11),IF(AND(COUNT(A254:A265)=3,COUNT(F254:F265)=3),cubic_spline(F253:F256,A253:A256,B$11),IF(AND(COUNT(A254:A265)=4,COUNT(F254:F265)=4),cubic_spline(F253:F257,A253:A257,B$11),IF(AND(COUNT(A254:A265)=5,COUNT(F254:F265)=5),cubic_spline(F253:F258,A253:A258,B$11),IF(AND(COUNT(A254:A265)=6,COUNT(F254:F265)=6),cubic_spline(F253:F259,A253:A259,B$11),IF(AND(COUNT(A254:A265)=7,COUNT(F254:F265)=7),cubic_spline(F253:F260,A253:A260,B$11),IF(AND(COUNT(A254:A265)=8,COUNT(F254:F265)=8),cubic_spline(F253:F261,A253:A261,B$11),IF(AND(COUNT(A254:A265)=9,COUNT(F254:F265)=9),cubic_spline(F253:F262,A253:A262,B$11),IF(AND(COUNT(A254:A265)=10,COUNT(F254:F265)=10),cubic_spline(F253:F263,A253:A263,B$11),IF(AND(COUNT(A254:A265)=11,COUNT(F254:F265)=11),cubic_spline(F253:F264,A253:A264,B$11),IF(AND(COUNT(A254:A265)=12,COUNT(F254:F265)=12),cubic_spline(F253:F265,A253:A265,B$11),""))))))))))))</f>
        <v/>
      </c>
      <c r="L261" s="27" t="str">
        <f>IF(I261="","",B$10&amp;"-"&amp;B$11)</f>
        <v/>
      </c>
      <c r="M261" s="52" t="str">
        <f t="shared" si="95"/>
        <v/>
      </c>
    </row>
    <row r="262" spans="1:13" x14ac:dyDescent="0.35">
      <c r="A262" s="48"/>
      <c r="B262" s="48"/>
      <c r="C262" s="49"/>
      <c r="D262" s="50"/>
      <c r="E262" s="51" t="str">
        <f t="shared" si="94"/>
        <v/>
      </c>
      <c r="F262" s="71" t="str">
        <f t="shared" si="91"/>
        <v/>
      </c>
      <c r="G262" s="69" t="str">
        <f t="shared" si="93"/>
        <v/>
      </c>
      <c r="H262" s="70" t="str">
        <f t="shared" si="92"/>
        <v/>
      </c>
      <c r="I262" s="27" t="str">
        <f>IF(N(J262)=0,"",0&amp;"-"&amp;B$12)</f>
        <v/>
      </c>
      <c r="J262" s="52" t="str">
        <f>IF(N(B$12)=0,"",IF(AND(COUNT(H254:H265)=2,COUNT(F254:F265)=2),cubic_spline(F253:F255,H253:H255,B$12),IF(AND(COUNT(H254:H265)=3,COUNT(F254:F265)=3),cubic_spline(F253:F256,H253:H256,B$12),IF(AND(COUNT(H254:H265)=4,COUNT(F254:F265)=4),cubic_spline(F253:F257,H253:H257,B$12),IF(AND(COUNT(H254:H265)=5,COUNT(F254:F265)=5),cubic_spline(F253:F258,H253:H258,B$12),IF(AND(COUNT(H254:H265)=6,COUNT(F254:F265)=6),cubic_spline(F253:F259,H253:H259,B$12),IF(AND(COUNT(H254:H265)=7,COUNT(F254:F265)=7),cubic_spline(F253:F260,H253:H260,B$12),IF(AND(COUNT(H254:H265)=8,COUNT(F254:F265)=8),cubic_spline(F253:F261,H253:H261,B$12),IF(AND(COUNT(H254:H265)=9,COUNT(F254:F265)=9),cubic_spline(F253:F262,H253:H262,B$12),IF(AND(COUNT(H254:H265)=10,COUNT(F254:F265)=10),cubic_spline(F253:F263,H253:H263,B$12),IF(AND(COUNT(H254:H265)=11,COUNT(F254:F265)=11),cubic_spline(F253:F264,H253:H264,B$12),IF(AND(COUNT(H254:H265)=12,COUNT(F254:F265)=12),cubic_spline(F253:F265,H253:H265,B$12),""))))))))))))</f>
        <v/>
      </c>
      <c r="K262" s="52" t="str">
        <f>IF(N(B$12)=0,"",IF(AND(COUNT(A254:A265)=2,COUNT(F254:F265)=2),cubic_spline(F253:F255,A253:A255,B$12),IF(AND(COUNT(A254:A265)=3,COUNT(F254:F265)=3),cubic_spline(F253:F256,A253:A256,B$12),IF(AND(COUNT(A254:A265)=4,COUNT(F254:F265)=4),cubic_spline(F253:F257,A253:A257,B$12),IF(AND(COUNT(A254:A265)=5,COUNT(F254:F265)=5),cubic_spline(F253:F258,A253:A258,B$12),IF(AND(COUNT(A254:A265)=6,COUNT(F254:F265)=6),cubic_spline(F253:F259,A253:A259,B$12),IF(AND(COUNT(A254:A265)=7,COUNT(F254:F265)=7),cubic_spline(F253:F260,A253:A260,B$12),IF(AND(COUNT(A254:A265)=8,COUNT(F254:F265)=8),cubic_spline(F253:F261,A253:A261,B$12),IF(AND(COUNT(A254:A265)=9,COUNT(F254:F265)=9),cubic_spline(F253:F262,A253:A262,B$12),IF(AND(COUNT(A254:A265)=10,COUNT(F254:F265)=10),cubic_spline(F253:F263,A253:A263,B$12),IF(AND(COUNT(A254:A265)=11,COUNT(F254:F265)=11),cubic_spline(F253:F264,A253:A264,B$12),IF(AND(COUNT(A254:A265)=12,COUNT(F254:F265)=12),cubic_spline(F253:F265,A253:A265,B$12),""))))))))))))</f>
        <v/>
      </c>
      <c r="L262" s="27" t="str">
        <f>IF(I262="","",B$11&amp;"-"&amp;B$12)</f>
        <v/>
      </c>
      <c r="M262" s="52" t="str">
        <f t="shared" si="95"/>
        <v/>
      </c>
    </row>
    <row r="263" spans="1:13" x14ac:dyDescent="0.35">
      <c r="A263" s="48"/>
      <c r="B263" s="48"/>
      <c r="C263" s="49"/>
      <c r="D263" s="50"/>
      <c r="E263" s="51" t="str">
        <f t="shared" si="94"/>
        <v/>
      </c>
      <c r="F263" s="71" t="str">
        <f t="shared" si="91"/>
        <v/>
      </c>
      <c r="G263" s="69" t="str">
        <f t="shared" si="93"/>
        <v/>
      </c>
      <c r="H263" s="70" t="str">
        <f t="shared" si="92"/>
        <v/>
      </c>
      <c r="I263" s="27" t="str">
        <f>IF(N(J263)=0,"",0&amp;"-"&amp;B$13)</f>
        <v/>
      </c>
      <c r="J263" s="52" t="str">
        <f>IF(N(B$13)=0,"",IF(AND(COUNT(H254:H265)=2,COUNT(F254:F265)=2),cubic_spline(F253:F255,H253:H255,B$13),IF(AND(COUNT(H254:H265)=3,COUNT(F254:F265)=3),cubic_spline(F253:F256,H253:H256,B$13),IF(AND(COUNT(H254:H265)=4,COUNT(F254:F265)=4),cubic_spline(F253:F257,H253:H257,B$13),IF(AND(COUNT(H254:H265)=5,COUNT(F254:F265)=5),cubic_spline(F253:F258,H253:H258,B$13),IF(AND(COUNT(H254:H265)=6,COUNT(F254:F265)=6),cubic_spline(F253:F259,H253:H259,B$13),IF(AND(COUNT(H254:H265)=7,COUNT(F254:F265)=7),cubic_spline(F253:F260,H253:H260,B$13),IF(AND(COUNT(H254:H265)=8,COUNT(F254:F265)=8),cubic_spline(F253:F261,H253:H261,B$13),IF(AND(COUNT(H254:H265)=9,COUNT(F254:F265)=9),cubic_spline(F253:F262,H253:H262,B$13),IF(AND(COUNT(H254:H265)=10,COUNT(F254:F265)=10),cubic_spline(F253:F263,H253:H263,B$13),IF(AND(COUNT(H254:H265)=11,COUNT(F254:F265)=11),cubic_spline(F253:F264,H253:H264,B$13),IF(AND(COUNT(H254:H265)=12,COUNT(F254:F265)=12),cubic_spline(F253:F265,H253:H265,B$13),""))))))))))))</f>
        <v/>
      </c>
      <c r="K263" s="52" t="str">
        <f>IF(N(B$13)=0,"",IF(AND(COUNT(A254:A265)=2,COUNT(F254:F265)=2),cubic_spline(F253:F255,A253:A255,B$13),IF(AND(COUNT(A254:A265)=3,COUNT(F254:F265)=3),cubic_spline(F253:F256,A253:A256,B$13),IF(AND(COUNT(A254:A265)=4,COUNT(F254:F265)=4),cubic_spline(F253:F257,A253:A257,B$13),IF(AND(COUNT(A254:A265)=5,COUNT(F254:F265)=5),cubic_spline(F253:F258,A253:A258,B$13),IF(AND(COUNT(A254:A265)=6,COUNT(F254:F265)=6),cubic_spline(F253:F259,A253:A259,B$13),IF(AND(COUNT(A254:A265)=7,COUNT(F254:F265)=7),cubic_spline(F253:F260,A253:A260,B$13),IF(AND(COUNT(A254:A265)=8,COUNT(F254:F265)=8),cubic_spline(F253:F261,A253:A261,B$13),IF(AND(COUNT(A254:A265)=9,COUNT(F254:F265)=9),cubic_spline(F253:F262,A253:A262,B$13),IF(AND(COUNT(A254:A265)=10,COUNT(F254:F265)=10),cubic_spline(F253:F263,A253:A263,B$13),IF(AND(COUNT(A254:A265)=11,COUNT(F254:F265)=11),cubic_spline(F253:F264,A253:A264,B$13),IF(AND(COUNT(A254:A265)=12,COUNT(F254:F265)=12),cubic_spline(F253:F265,A253:A265,B$13),""))))))))))))</f>
        <v/>
      </c>
      <c r="L263" s="27" t="str">
        <f>IF(I263="","",B$12&amp;"-"&amp;B$13)</f>
        <v/>
      </c>
      <c r="M263" s="52" t="str">
        <f t="shared" si="95"/>
        <v/>
      </c>
    </row>
    <row r="264" spans="1:13" x14ac:dyDescent="0.35">
      <c r="A264" s="48"/>
      <c r="B264" s="48"/>
      <c r="C264" s="49"/>
      <c r="D264" s="50"/>
      <c r="E264" s="51" t="str">
        <f t="shared" si="94"/>
        <v/>
      </c>
      <c r="F264" s="71" t="str">
        <f t="shared" si="91"/>
        <v/>
      </c>
      <c r="G264" s="69" t="str">
        <f t="shared" si="93"/>
        <v/>
      </c>
      <c r="H264" s="70" t="str">
        <f t="shared" si="92"/>
        <v/>
      </c>
      <c r="I264" s="27" t="str">
        <f>IF(N(J264)=0,"",0&amp;"-"&amp;B$14)</f>
        <v/>
      </c>
      <c r="J264" s="52" t="str">
        <f>IF(N(B$14)=0,"",IF(AND(COUNT(H254:H265)=2,COUNT(F254:F265)=2),cubic_spline(F253:F255,H253:H255,B$14),IF(AND(COUNT(H254:H265)=3,COUNT(F254:F265)=3),cubic_spline(F253:F256,H253:H256,B$14),IF(AND(COUNT(H254:H265)=4,COUNT(F254:F265)=4),cubic_spline(F253:F257,H253:H257,B$14),IF(AND(COUNT(H254:H265)=5,COUNT(F254:F265)=5),cubic_spline(F253:F258,H253:H258,B$14),IF(AND(COUNT(H254:H265)=6,COUNT(F254:F265)=6),cubic_spline(F253:F259,H253:H259,B$14),IF(AND(COUNT(H254:H265)=7,COUNT(F254:F265)=7),cubic_spline(F253:F260,H253:H260,B$14),IF(AND(COUNT(H254:H265)=8,COUNT(F254:F265)=8),cubic_spline(F253:F261,H253:H261,B$14),IF(AND(COUNT(H254:H265)=9,COUNT(F254:F265)=9),cubic_spline(F253:F262,H253:H262,B$14),IF(AND(COUNT(H254:H265)=10,COUNT(F254:F265)=10),cubic_spline(F253:F263,H253:H263,B$14),IF(AND(COUNT(H254:H265)=11,COUNT(F254:F265)=11),cubic_spline(F253:F264,H253:H264,B$14),IF(AND(COUNT(H254:H265)=12,COUNT(F254:F265)=12),cubic_spline(F253:F265,H253:H265,B$14),""))))))))))))</f>
        <v/>
      </c>
      <c r="K264" s="52" t="str">
        <f>IF(N(B$14)=0,"",IF(AND(COUNT(A254:A265)=2,COUNT(F254:F265)=2),cubic_spline(F253:F255,A253:A255,B$14),IF(AND(COUNT(A254:A265)=3,COUNT(F254:F265)=3),cubic_spline(F253:F256,A253:A256,B$14),IF(AND(COUNT(A254:A265)=4,COUNT(F254:F265)=4),cubic_spline(F253:F257,A253:A257,B$14),IF(AND(COUNT(A254:A265)=5,COUNT(F254:F265)=5),cubic_spline(F253:F258,A253:A258,B$14),IF(AND(COUNT(A254:A265)=6,COUNT(F254:F265)=6),cubic_spline(F253:F259,A253:A259,B$14),IF(AND(COUNT(A254:A265)=7,COUNT(F254:F265)=7),cubic_spline(F253:F260,A253:A260,B$14),IF(AND(COUNT(A254:A265)=8,COUNT(F254:F265)=8),cubic_spline(F253:F261,A253:A261,B$14),IF(AND(COUNT(A254:A265)=9,COUNT(F254:F265)=9),cubic_spline(F253:F262,A253:A262,B$14),IF(AND(COUNT(A254:A265)=10,COUNT(F254:F265)=10),cubic_spline(F253:F263,A253:A263,B$14),IF(AND(COUNT(A254:A265)=11,COUNT(F254:F265)=11),cubic_spline(F253:F264,A253:A264,B$14),IF(AND(COUNT(A254:A265)=12,COUNT(F254:F265)=12),cubic_spline(F253:F265,A253:A265,B$14),""))))))))))))</f>
        <v/>
      </c>
      <c r="L264" s="27" t="str">
        <f>IF(I264="","",B$13&amp;"-"&amp;B$14)</f>
        <v/>
      </c>
      <c r="M264" s="52" t="str">
        <f t="shared" si="95"/>
        <v/>
      </c>
    </row>
    <row r="265" spans="1:13" x14ac:dyDescent="0.35">
      <c r="A265" s="48"/>
      <c r="B265" s="48"/>
      <c r="C265" s="49"/>
      <c r="D265" s="50"/>
      <c r="E265" s="51" t="str">
        <f t="shared" si="94"/>
        <v/>
      </c>
      <c r="F265" s="71" t="str">
        <f t="shared" si="91"/>
        <v/>
      </c>
      <c r="G265" s="69" t="str">
        <f t="shared" si="93"/>
        <v/>
      </c>
      <c r="H265" s="70" t="str">
        <f t="shared" si="92"/>
        <v/>
      </c>
      <c r="I265" s="27" t="str">
        <f>IF(N(J265)=0,"",0&amp;"-"&amp;B$15)</f>
        <v/>
      </c>
      <c r="J265" s="52" t="str">
        <f>IF(N(B$15)=0,"",IF(AND(COUNT(H254:H265)=2,COUNT(F254:F265)=2),cubic_spline(F253:F255,H253:H255,B$15),IF(AND(COUNT(H254:H265)=3,COUNT(F254:F265)=3),cubic_spline(F253:F256,H253:H256,B$15),IF(AND(COUNT(H254:H265)=4,COUNT(F254:F265)=4),cubic_spline(F253:F257,H253:H257,B$15),IF(AND(COUNT(H254:H265)=5,COUNT(F254:F265)=5),cubic_spline(F253:F258,H253:H258,B$15),IF(AND(COUNT(H254:H265)=6,COUNT(F254:F265)=6),cubic_spline(F253:F259,H253:H259,B$15),IF(AND(COUNT(H254:H265)=7,COUNT(F254:F265)=7),cubic_spline(F253:F260,H253:H260,B$15),IF(AND(COUNT(H254:H265)=8,COUNT(F254:F265)=8),cubic_spline(F253:F261,H253:H261,B$15),IF(AND(COUNT(H254:H265)=9,COUNT(F254:F265)=9),cubic_spline(F253:F262,H253:H262,B$15),IF(AND(COUNT(H254:H265)=10,COUNT(F254:F265)=10),cubic_spline(F253:F263,H253:H263,B$15),IF(AND(COUNT(H254:H265)=11,COUNT(F254:F265)=11),cubic_spline(F253:F264,H253:H264,B$15),IF(AND(COUNT(H254:H265)=12,COUNT(F254:F265)=12),cubic_spline(F253:F265,H253:H265,B$15),""))))))))))))</f>
        <v/>
      </c>
      <c r="K265" s="52" t="str">
        <f>IF(N(B$15)=0,"",IF(AND(COUNT(A254:A265)=2,COUNT(F254:F265)=2),cubic_spline(F253:F255,A253:A255,B$15),IF(AND(COUNT(A254:A265)=3,COUNT(F254:F265)=3),cubic_spline(F253:F256,A253:A256,B$15),IF(AND(COUNT(A254:A265)=4,COUNT(F254:F265)=4),cubic_spline(F253:F257,A253:A257,B$15),IF(AND(COUNT(A254:A265)=5,COUNT(F254:F265)=5),cubic_spline(F253:F258,A253:A258,B$15),IF(AND(COUNT(A254:A265)=6,COUNT(F254:F265)=6),cubic_spline(F253:F259,A253:A259,B$15),IF(AND(COUNT(A254:A265)=7,COUNT(F254:F265)=7),cubic_spline(F253:F260,A253:A260,B$15),IF(AND(COUNT(A254:A265)=8,COUNT(F254:F265)=8),cubic_spline(F253:F261,A253:A261,B$15),IF(AND(COUNT(A254:A265)=9,COUNT(F254:F265)=9),cubic_spline(F253:F262,A253:A262,B$15),IF(AND(COUNT(A254:A265)=10,COUNT(F254:F265)=10),cubic_spline(F253:F263,A253:A263,B$15),IF(AND(COUNT(A254:A265)=11,COUNT(F254:F265)=11),cubic_spline(F253:F264,A253:A264,B$15),IF(AND(COUNT(A254:A265)=12,COUNT(F254:F265)=12),cubic_spline(F253:F265,A253:A265,B$15),""))))))))))))</f>
        <v/>
      </c>
      <c r="L265" s="27" t="str">
        <f>IF(I265="","",B$14&amp;"-"&amp;B$15)</f>
        <v/>
      </c>
      <c r="M265" s="52" t="str">
        <f t="shared" si="95"/>
        <v/>
      </c>
    </row>
    <row r="266" spans="1:13" ht="5.15" customHeight="1" x14ac:dyDescent="0.35">
      <c r="A266" s="47"/>
      <c r="B266" s="47"/>
      <c r="C266" s="47"/>
      <c r="D266" s="53"/>
      <c r="E266" s="54"/>
      <c r="F266" s="55"/>
      <c r="G266" s="72"/>
      <c r="H266" s="73"/>
      <c r="I266" s="47"/>
      <c r="J266" s="57"/>
      <c r="K266" s="57"/>
      <c r="L266" s="55"/>
      <c r="M266" s="57"/>
    </row>
    <row r="267" spans="1:13" x14ac:dyDescent="0.35">
      <c r="A267" s="48"/>
      <c r="B267" s="48"/>
      <c r="C267" s="49"/>
      <c r="D267" s="50"/>
      <c r="E267" s="51" t="str">
        <f>IF(N(C267)=0,"",C267/PI()/($D$1/2)^2/$D$2*10000)</f>
        <v/>
      </c>
      <c r="F267" s="68" t="str">
        <f t="shared" ref="F267:F278" si="96">IF(N(E267)=0,"",(N(E267)+N(F266)))</f>
        <v/>
      </c>
      <c r="G267" s="69" t="str">
        <f>IF(OR(N(D267)=0,N(E267)=0),"",(E267*D267)/1000)</f>
        <v/>
      </c>
      <c r="H267" s="70" t="str">
        <f t="shared" ref="H267:H278" si="97">IF(N(G267)=0,"",(N(G267)+N(H266)))</f>
        <v/>
      </c>
      <c r="I267" s="27" t="str">
        <f>IF(N(J267)=0,"",0&amp;"-"&amp;B$4)</f>
        <v/>
      </c>
      <c r="J267" s="52" t="str">
        <f>IF(N(B$4)=0,"",IF(AND(COUNT(H267:H278)=2,COUNT(F267:F278)=2),cubic_spline(F266:F268,H266:H268,B$4),IF(AND(COUNT(H267:H278)=3,COUNT(F267:F278)=3),cubic_spline(F266:F269,H266:H269,B$4),IF(AND(COUNT(H267:H278)=4,COUNT(F267:F278)=4),cubic_spline(F266:F270,H266:H270,B$4),IF(AND(COUNT(H267:H278)=5,COUNT(F267:F278)=5),cubic_spline(F266:F271,H266:H271,B$4),IF(AND(COUNT(H267:H278)=6,COUNT(F267:F278)=6),cubic_spline(F266:F272,H266:H272,B$4),IF(AND(COUNT(H267:H278)=7,COUNT(F267:F278)=7),cubic_spline(F266:F273,H266:H273,B$4),IF(AND(COUNT(H267:H278)=8,COUNT(F267:F278)=8),cubic_spline(F266:F274,H266:H274,B$4),IF(AND(COUNT(H267:H278)=9,COUNT(F267:F278)=9),cubic_spline(F266:F275,H266:H275,B$4),IF(AND(COUNT(H267:H278)=10,COUNT(F267:F278)=10),cubic_spline(F266:F276,H266:H276,B$4),IF(AND(COUNT(H267:H278)=11,COUNT(F267:F278)=11),cubic_spline(F266:F277,H266:H277,B$4),IF(AND(COUNT(H267:H278)=12,COUNT(F267:F278)=12),cubic_spline(F266:F278,H266:H278,B$4),""))))))))))))</f>
        <v/>
      </c>
      <c r="K267" s="52" t="str">
        <f>IF(N(B$4)=0,"",IF(AND(COUNT(A267:A278)=2,COUNT(F267:F278)=2),cubic_spline(F266:F268,A266:A268,B$4),IF(AND(COUNT(A267:A278)=3,COUNT(F267:F278)=3),cubic_spline(F266:F269,A266:A269,B$4),IF(AND(COUNT(A267:A278)=4,COUNT(F267:F278)=4),cubic_spline(F266:F270,A266:A270,B$4),IF(AND(COUNT(A267:A278)=5,COUNT(F267:F278)=5),cubic_spline(F266:F271,A266:A271,B$4),IF(AND(COUNT(A267:A278)=6,COUNT(F267:F278)=6),cubic_spline(F266:F272,A266:A272,B$4),IF(AND(COUNT(A267:A278)=7,COUNT(F267:F278)=7),cubic_spline(F266:F273,A266:A273,B$4),IF(AND(COUNT(A267:A278)=8,COUNT(F267:F278)=8),cubic_spline(F266:F274,A266:A274,B$4),IF(AND(COUNT(A267:A278)=9,COUNT(F267:F278)=9),cubic_spline(F266:F275,A266:A275,B$4),IF(AND(COUNT(A267:A278)=10,COUNT(F267:F278)=10),cubic_spline(F266:F276,A266:A276,B$4),IF(AND(COUNT(A267:A278)=11,COUNT(F267:F278)=11),cubic_spline(F266:F277,A266:A277,B$4),IF(AND(COUNT(A267:A278)=12,COUNT(F267:F278)=12),cubic_spline(F266:F278,A266:A278,B$4),""))))))))))))</f>
        <v/>
      </c>
      <c r="L267" s="27" t="str">
        <f>IF(I267="","",0&amp;"-"&amp;B$4)</f>
        <v/>
      </c>
      <c r="M267" s="52" t="str">
        <f>IF(N(J267)=0,"",J267-J266)</f>
        <v/>
      </c>
    </row>
    <row r="268" spans="1:13" x14ac:dyDescent="0.35">
      <c r="A268" s="48"/>
      <c r="B268" s="48"/>
      <c r="C268" s="49"/>
      <c r="D268" s="50"/>
      <c r="E268" s="51" t="str">
        <f>IF(N(C268)=0,"",C268/PI()/($D$1/2)^2/$D$2*10000)</f>
        <v/>
      </c>
      <c r="F268" s="68" t="str">
        <f t="shared" si="96"/>
        <v/>
      </c>
      <c r="G268" s="69" t="str">
        <f t="shared" ref="G268:G278" si="98">IF(OR(N(D268)=0,N(E268)=0),"",(E268*D268)/1000)</f>
        <v/>
      </c>
      <c r="H268" s="70" t="str">
        <f t="shared" si="97"/>
        <v/>
      </c>
      <c r="I268" s="27" t="str">
        <f>IF(N(J268)=0,"",0&amp;"-"&amp;B$5)</f>
        <v/>
      </c>
      <c r="J268" s="52" t="str">
        <f>IF(N(B$5)=0,"",IF(AND(COUNT(H267:H278)=2,COUNT(F267:F278)=2),cubic_spline(F266:F268,H266:H268,B$5),IF(AND(COUNT(H267:H278)=3,COUNT(F267:F278)=3),cubic_spline(F266:F269,H266:H269,B$5),IF(AND(COUNT(H267:H278)=4,COUNT(F267:F278)=4),cubic_spline(F266:F270,H266:H270,B$5),IF(AND(COUNT(H267:H278)=5,COUNT(F267:F278)=5),cubic_spline(F266:F271,H266:H271,B$5),IF(AND(COUNT(H267:H278)=6,COUNT(F267:F278)=6),cubic_spline(F266:F272,H266:H272,B$5),IF(AND(COUNT(H267:H278)=7,COUNT(F267:F278)=7),cubic_spline(F266:F273,H266:H273,B$5),IF(AND(COUNT(H267:H278)=8,COUNT(F267:F278)=8),cubic_spline(F266:F274,H266:H274,B$5),IF(AND(COUNT(H267:H278)=9,COUNT(F267:F278)=9),cubic_spline(F266:F275,H266:H275,B$5),IF(AND(COUNT(H267:H278)=10,COUNT(F267:F278)=10),cubic_spline(F266:F276,H266:H276,B$5),IF(AND(COUNT(H267:H278)=11,COUNT(F267:F278)=11),cubic_spline(F266:F277,H266:H277,B$5),IF(AND(COUNT(H267:H278)=12,COUNT(F267:F278)=12),cubic_spline(F266:F278,H266:H278,B$5),""))))))))))))</f>
        <v/>
      </c>
      <c r="K268" s="52" t="str">
        <f>IF(N(B$5)=0,"",IF(AND(COUNT(A267:A278)=2,COUNT(F267:F278)=2),cubic_spline(F266:F268,A266:A268,B$5),IF(AND(COUNT(A267:A278)=3,COUNT(F267:F278)=3),cubic_spline(F266:F269,A266:A269,B$5),IF(AND(COUNT(A267:A278)=4,COUNT(F267:F278)=4),cubic_spline(F266:F270,A266:A270,B$5),IF(AND(COUNT(A267:A278)=5,COUNT(F267:F278)=5),cubic_spline(F266:F271,A266:A271,B$5),IF(AND(COUNT(A267:A278)=6,COUNT(F267:F278)=6),cubic_spline(F266:F272,A266:A272,B$5),IF(AND(COUNT(A267:A278)=7,COUNT(F267:F278)=7),cubic_spline(F266:F273,A266:A273,B$5),IF(AND(COUNT(A267:A278)=8,COUNT(F267:F278)=8),cubic_spline(F266:F274,A266:A274,B$5),IF(AND(COUNT(A267:A278)=9,COUNT(F267:F278)=9),cubic_spline(F266:F275,A266:A275,B$5),IF(AND(COUNT(A267:A278)=10,COUNT(F267:F278)=10),cubic_spline(F266:F276,A266:A276,B$5),IF(AND(COUNT(A267:A278)=11,COUNT(F267:F278)=11),cubic_spline(F266:F277,A266:A277,B$5),IF(AND(COUNT(A267:A278)=12,COUNT(F267:F278)=12),cubic_spline(F266:F278,A266:A278,B$5),""))))))))))))</f>
        <v/>
      </c>
      <c r="L268" s="27" t="str">
        <f>IF(I268="","",B$4&amp;"-"&amp;B$5)</f>
        <v/>
      </c>
      <c r="M268" s="52" t="str">
        <f>IF(N(J268)=0,"",J268-J267)</f>
        <v/>
      </c>
    </row>
    <row r="269" spans="1:13" x14ac:dyDescent="0.35">
      <c r="A269" s="48"/>
      <c r="B269" s="48"/>
      <c r="C269" s="49"/>
      <c r="D269" s="50"/>
      <c r="E269" s="51" t="str">
        <f>IF(N(C269)=0,"",C269/PI()/($D$1/2)^2/$D$2*10000)</f>
        <v/>
      </c>
      <c r="F269" s="68" t="str">
        <f t="shared" si="96"/>
        <v/>
      </c>
      <c r="G269" s="69" t="str">
        <f t="shared" si="98"/>
        <v/>
      </c>
      <c r="H269" s="70" t="str">
        <f t="shared" si="97"/>
        <v/>
      </c>
      <c r="I269" s="27" t="str">
        <f>IF(N(J269)=0,"",0&amp;"-"&amp;B$6)</f>
        <v/>
      </c>
      <c r="J269" s="52" t="str">
        <f>IF(N(B$6)=0,"",IF(AND(COUNT(H267:H278)=2,COUNT(F267:F278)=2),cubic_spline(F266:F268,H266:H268,B$6),IF(AND(COUNT(H267:H278)=3,COUNT(F267:F278)=3),cubic_spline(F266:F269,H266:H269,B$6),IF(AND(COUNT(H267:H278)=4,COUNT(F267:F278)=4),cubic_spline(F266:F270,H266:H270,B$6),IF(AND(COUNT(H267:H278)=5,COUNT(F267:F278)=5),cubic_spline(F266:F271,H266:H271,B$6),IF(AND(COUNT(H267:H278)=6,COUNT(F267:F278)=6),cubic_spline(F266:F272,H266:H272,B$6),IF(AND(COUNT(H267:H278)=7,COUNT(F267:F278)=7),cubic_spline(F266:F273,H266:H273,B$6),IF(AND(COUNT(H267:H278)=8,COUNT(F267:F278)=8),cubic_spline(F266:F274,H266:H274,B$6),IF(AND(COUNT(H267:H278)=9,COUNT(F267:F278)=9),cubic_spline(F266:F275,H266:H275,B$6),IF(AND(COUNT(H267:H278)=10,COUNT(F267:F278)=10),cubic_spline(F266:F276,H266:H276,B$6),IF(AND(COUNT(H267:H278)=11,COUNT(F267:F278)=11),cubic_spline(F266:F277,H266:H277,B$6),IF(AND(COUNT(H267:H278)=12,COUNT(F267:F278)=12),cubic_spline(F266:F278,H266:H278,B$6),""))))))))))))</f>
        <v/>
      </c>
      <c r="K269" s="52" t="str">
        <f>IF(N(B$6)=0,"",IF(AND(COUNT(A267:A278)=2,COUNT(F267:F278)=2),cubic_spline(F266:F268,A266:A268,B$6),IF(AND(COUNT(A267:A278)=3,COUNT(F267:F278)=3),cubic_spline(F266:F269,A266:A269,B$6),IF(AND(COUNT(A267:A278)=4,COUNT(F267:F278)=4),cubic_spline(F266:F270,A266:A270,B$6),IF(AND(COUNT(A267:A278)=5,COUNT(F267:F278)=5),cubic_spline(F266:F271,A266:A271,B$6),IF(AND(COUNT(A267:A278)=6,COUNT(F267:F278)=6),cubic_spline(F266:F272,A266:A272,B$6),IF(AND(COUNT(A267:A278)=7,COUNT(F267:F278)=7),cubic_spline(F266:F273,A266:A273,B$6),IF(AND(COUNT(A267:A278)=8,COUNT(F267:F278)=8),cubic_spline(F266:F274,A266:A274,B$6),IF(AND(COUNT(A267:A278)=9,COUNT(F267:F278)=9),cubic_spline(F266:F275,A266:A275,B$6),IF(AND(COUNT(A267:A278)=10,COUNT(F267:F278)=10),cubic_spline(F266:F276,A266:A276,B$6),IF(AND(COUNT(A267:A278)=11,COUNT(F267:F278)=11),cubic_spline(F266:F277,A266:A277,B$6),IF(AND(COUNT(A267:A278)=12,COUNT(F267:F278)=12),cubic_spline(F266:F278,A266:A278,B$6),""))))))))))))</f>
        <v/>
      </c>
      <c r="L269" s="27" t="str">
        <f>IF(I269="","",B$5&amp;"-"&amp;B$6)</f>
        <v/>
      </c>
      <c r="M269" s="52" t="str">
        <f>IF(N(J269)=0,"",J269-J268)</f>
        <v/>
      </c>
    </row>
    <row r="270" spans="1:13" x14ac:dyDescent="0.35">
      <c r="A270" s="48"/>
      <c r="B270" s="48"/>
      <c r="C270" s="49"/>
      <c r="D270" s="50"/>
      <c r="E270" s="51" t="str">
        <f>IF(N(C270)=0,"",C270/PI()/($D$1/2)^2/$D$2*10000)</f>
        <v/>
      </c>
      <c r="F270" s="68" t="str">
        <f t="shared" si="96"/>
        <v/>
      </c>
      <c r="G270" s="69" t="str">
        <f t="shared" si="98"/>
        <v/>
      </c>
      <c r="H270" s="70" t="str">
        <f t="shared" si="97"/>
        <v/>
      </c>
      <c r="I270" s="27" t="str">
        <f>IF(N(J270)=0,"",0&amp;"-"&amp;B$7)</f>
        <v/>
      </c>
      <c r="J270" s="52" t="str">
        <f>IF(N(B$7)=0,"",IF(AND(COUNT(H267:H278)=2,COUNT(F267:F278)=2),cubic_spline(F266:F268,H266:H268,B$7),IF(AND(COUNT(H267:H278)=3,COUNT(F267:F278)=3),cubic_spline(F266:F269,H266:H269,B$7),IF(AND(COUNT(H267:H278)=4,COUNT(F267:F278)=4),cubic_spline(F266:F270,H266:H270,B$7),IF(AND(COUNT(H267:H278)=5,COUNT(F267:F278)=5),cubic_spline(F266:F271,H266:H271,B$7),IF(AND(COUNT(H267:H278)=6,COUNT(F267:F278)=6),cubic_spline(F266:F272,H266:H272,B$7),IF(AND(COUNT(H267:H278)=7,COUNT(F267:F278)=7),cubic_spline(F266:F273,H266:H273,B$7),IF(AND(COUNT(H267:H278)=8,COUNT(F267:F278)=8),cubic_spline(F266:F274,H266:H274,B$7),IF(AND(COUNT(H267:H278)=9,COUNT(F267:F278)=9),cubic_spline(F266:F275,H266:H275,B$7),IF(AND(COUNT(H267:H278)=10,COUNT(F267:F278)=10),cubic_spline(F266:F276,H266:H276,B$7),IF(AND(COUNT(H267:H278)=11,COUNT(F267:F278)=11),cubic_spline(F266:F277,H266:H277,B$7),IF(AND(COUNT(H267:H278)=12,COUNT(F267:F278)=12),cubic_spline(F266:F278,H266:H278,B$7),""))))))))))))</f>
        <v/>
      </c>
      <c r="K270" s="52" t="str">
        <f>IF(N(B$7)=0,"",IF(AND(COUNT(A267:A278)=2,COUNT(F267:F278)=2),cubic_spline(F266:F268,A266:A268,B$7),IF(AND(COUNT(A267:A278)=3,COUNT(F267:F278)=3),cubic_spline(F266:F269,A266:A269,B$7),IF(AND(COUNT(A267:A278)=4,COUNT(F267:F278)=4),cubic_spline(F266:F270,A266:A270,B$7),IF(AND(COUNT(A267:A278)=5,COUNT(F267:F278)=5),cubic_spline(F266:F271,A266:A271,B$7),IF(AND(COUNT(A267:A278)=6,COUNT(F267:F278)=6),cubic_spline(F266:F272,A266:A272,B$7),IF(AND(COUNT(A267:A278)=7,COUNT(F267:F278)=7),cubic_spline(F266:F273,A266:A273,B$7),IF(AND(COUNT(A267:A278)=8,COUNT(F267:F278)=8),cubic_spline(F266:F274,A266:A274,B$7),IF(AND(COUNT(A267:A278)=9,COUNT(F267:F278)=9),cubic_spline(F266:F275,A266:A275,B$7),IF(AND(COUNT(A267:A278)=10,COUNT(F267:F278)=10),cubic_spline(F266:F276,A266:A276,B$7),IF(AND(COUNT(A267:A278)=11,COUNT(F267:F278)=11),cubic_spline(F266:F277,A266:A277,B$7),IF(AND(COUNT(A267:A278)=12,COUNT(F267:F278)=12),cubic_spline(F266:F278,A266:A278,B$7),""))))))))))))</f>
        <v/>
      </c>
      <c r="L270" s="27" t="str">
        <f>IF(I270="","",B$6&amp;"-"&amp;B$7)</f>
        <v/>
      </c>
      <c r="M270" s="52" t="str">
        <f>IF(N(J270)=0,"",J270-J269)</f>
        <v/>
      </c>
    </row>
    <row r="271" spans="1:13" x14ac:dyDescent="0.35">
      <c r="A271" s="48"/>
      <c r="B271" s="48"/>
      <c r="C271" s="49"/>
      <c r="D271" s="50"/>
      <c r="E271" s="51" t="str">
        <f t="shared" ref="E271:E278" si="99">IF(N(C271)=0,"",C271/PI()/($D$1/2)^2/$D$2*10000)</f>
        <v/>
      </c>
      <c r="F271" s="71" t="str">
        <f t="shared" si="96"/>
        <v/>
      </c>
      <c r="G271" s="69" t="str">
        <f t="shared" si="98"/>
        <v/>
      </c>
      <c r="H271" s="70" t="str">
        <f t="shared" si="97"/>
        <v/>
      </c>
      <c r="I271" s="27" t="str">
        <f>IF(N(J271)=0,"",0&amp;"-"&amp;B$8)</f>
        <v/>
      </c>
      <c r="J271" s="52" t="str">
        <f>IF(N(B$8)=0,"",IF(AND(COUNT(H267:H278)=2,COUNT(F267:F278)=2),cubic_spline(F266:F268,H266:H268,B$8),IF(AND(COUNT(H267:H278)=3,COUNT(F267:F278)=3),cubic_spline(F266:F269,H266:H269,B$8),IF(AND(COUNT(H267:H278)=4,COUNT(F267:F278)=4),cubic_spline(F266:F270,H266:H270,B$8),IF(AND(COUNT(H267:H278)=5,COUNT(F267:F278)=5),cubic_spline(F266:F271,H266:H271,B$8),IF(AND(COUNT(H267:H278)=6,COUNT(F267:F278)=6),cubic_spline(F266:F272,H266:H272,B$8),IF(AND(COUNT(H267:H278)=7,COUNT(F267:F278)=7),cubic_spline(F266:F273,H266:H273,B$8),IF(AND(COUNT(H267:H278)=8,COUNT(F267:F278)=8),cubic_spline(F266:F274,H266:H274,B$8),IF(AND(COUNT(H267:H278)=9,COUNT(F267:F278)=9),cubic_spline(F266:F275,H266:H275,B$8),IF(AND(COUNT(H267:H278)=10,COUNT(F267:F278)=10),cubic_spline(F266:F276,H266:H276,B$8),IF(AND(COUNT(H267:H278)=11,COUNT(F267:F278)=11),cubic_spline(F266:F277,H266:H277,B$8),IF(AND(COUNT(H267:H278)=12,COUNT(F267:F278)=12),cubic_spline(F266:F278,H266:H278,B$8),""))))))))))))</f>
        <v/>
      </c>
      <c r="K271" s="52" t="str">
        <f>IF(N(B$8)=0,"",IF(AND(COUNT(A267:A278)=2,COUNT(F267:F278)=2),cubic_spline(F266:F268,A266:A268,B$8),IF(AND(COUNT(A267:A278)=3,COUNT(F267:F278)=3),cubic_spline(F266:F269,A266:A269,B$8),IF(AND(COUNT(A267:A278)=4,COUNT(F267:F278)=4),cubic_spline(F266:F270,A266:A270,B$8),IF(AND(COUNT(A267:A278)=5,COUNT(F267:F278)=5),cubic_spline(F266:F271,A266:A271,B$8),IF(AND(COUNT(A267:A278)=6,COUNT(F267:F278)=6),cubic_spline(F266:F272,A266:A272,B$8),IF(AND(COUNT(A267:A278)=7,COUNT(F267:F278)=7),cubic_spline(F266:F273,A266:A273,B$8),IF(AND(COUNT(A267:A278)=8,COUNT(F267:F278)=8),cubic_spline(F266:F274,A266:A274,B$8),IF(AND(COUNT(A267:A278)=9,COUNT(F267:F278)=9),cubic_spline(F266:F275,A266:A275,B$8),IF(AND(COUNT(A267:A278)=10,COUNT(F267:F278)=10),cubic_spline(F266:F276,A266:A276,B$8),IF(AND(COUNT(A267:A278)=11,COUNT(F267:F278)=11),cubic_spline(F266:F277,A266:A277,B$8),IF(AND(COUNT(A267:A278)=12,COUNT(F267:F278)=12),cubic_spline(F266:F278,A266:A278,B$8),""))))))))))))</f>
        <v/>
      </c>
      <c r="L271" s="27" t="str">
        <f>IF(I271="","",B$7&amp;"-"&amp;B$8)</f>
        <v/>
      </c>
      <c r="M271" s="52" t="str">
        <f>IF(N(J271)=0,"",J271-J270)</f>
        <v/>
      </c>
    </row>
    <row r="272" spans="1:13" x14ac:dyDescent="0.35">
      <c r="A272" s="48"/>
      <c r="B272" s="48"/>
      <c r="C272" s="49"/>
      <c r="D272" s="50"/>
      <c r="E272" s="51" t="str">
        <f t="shared" si="99"/>
        <v/>
      </c>
      <c r="F272" s="71" t="str">
        <f t="shared" si="96"/>
        <v/>
      </c>
      <c r="G272" s="69" t="str">
        <f t="shared" si="98"/>
        <v/>
      </c>
      <c r="H272" s="70" t="str">
        <f t="shared" si="97"/>
        <v/>
      </c>
      <c r="I272" s="27" t="str">
        <f>IF(N(J272)=0,"",0&amp;"-"&amp;B$9)</f>
        <v/>
      </c>
      <c r="J272" s="52" t="str">
        <f>IF(N(B$9)=0,"",IF(AND(COUNT(H267:H278)=2,COUNT(F267:F278)=2),cubic_spline(F266:F268,H266:H268,B$9),IF(AND(COUNT(H267:H278)=3,COUNT(F267:F278)=3),cubic_spline(F266:F269,H266:H269,B$9),IF(AND(COUNT(H267:H278)=4,COUNT(F267:F278)=4),cubic_spline(F266:F270,H266:H270,B$9),IF(AND(COUNT(H267:H278)=5,COUNT(F267:F278)=5),cubic_spline(F266:F271,H266:H271,B$9),IF(AND(COUNT(H267:H278)=6,COUNT(F267:F278)=6),cubic_spline(F266:F272,H266:H272,B$9),IF(AND(COUNT(H267:H278)=7,COUNT(F267:F278)=7),cubic_spline(F266:F273,H266:H273,B$9),IF(AND(COUNT(H267:H278)=8,COUNT(F267:F278)=8),cubic_spline(F266:F274,H266:H274,B$9),IF(AND(COUNT(H267:H278)=9,COUNT(F267:F278)=9),cubic_spline(F266:F275,H266:H275,B$9),IF(AND(COUNT(H267:H278)=10,COUNT(F267:F278)=10),cubic_spline(F266:F276,H266:H276,B$9),IF(AND(COUNT(H267:H278)=11,COUNT(F267:F278)=11),cubic_spline(F266:F277,H266:H277,B$9),IF(AND(COUNT(H267:H278)=12,COUNT(F267:F278)=12),cubic_spline(F266:F278,H266:H278,B$9),""))))))))))))</f>
        <v/>
      </c>
      <c r="K272" s="52" t="str">
        <f>IF(N(B$9)=0,"",IF(AND(COUNT(A267:A278)=2,COUNT(F267:F278)=2),cubic_spline(F266:F268,A266:A268,B$9),IF(AND(COUNT(A267:A278)=3,COUNT(F267:F278)=3),cubic_spline(F266:F269,A266:A269,B$9),IF(AND(COUNT(A267:A278)=4,COUNT(F267:F278)=4),cubic_spline(F266:F270,A266:A270,B$9),IF(AND(COUNT(A267:A278)=5,COUNT(F267:F278)=5),cubic_spline(F266:F271,A266:A271,B$9),IF(AND(COUNT(A267:A278)=6,COUNT(F267:F278)=6),cubic_spline(F266:F272,A266:A272,B$9),IF(AND(COUNT(A267:A278)=7,COUNT(F267:F278)=7),cubic_spline(F266:F273,A266:A273,B$9),IF(AND(COUNT(A267:A278)=8,COUNT(F267:F278)=8),cubic_spline(F266:F274,A266:A274,B$9),IF(AND(COUNT(A267:A278)=9,COUNT(F267:F278)=9),cubic_spline(F266:F275,A266:A275,B$9),IF(AND(COUNT(A267:A278)=10,COUNT(F267:F278)=10),cubic_spline(F266:F276,A266:A276,B$9),IF(AND(COUNT(A267:A278)=11,COUNT(F267:F278)=11),cubic_spline(F266:F277,A266:A277,B$9),IF(AND(COUNT(A267:A278)=12,COUNT(F267:F278)=12),cubic_spline(F266:F278,A266:A278,B$9),""))))))))))))</f>
        <v/>
      </c>
      <c r="L272" s="27" t="str">
        <f>IF(I272="","",B$8&amp;"-"&amp;B$9)</f>
        <v/>
      </c>
      <c r="M272" s="52" t="str">
        <f t="shared" ref="M272:M278" si="100">IF(N(J272)=0,"",J272-J271)</f>
        <v/>
      </c>
    </row>
    <row r="273" spans="1:13" x14ac:dyDescent="0.35">
      <c r="A273" s="48"/>
      <c r="B273" s="48"/>
      <c r="C273" s="49"/>
      <c r="D273" s="50"/>
      <c r="E273" s="51" t="str">
        <f t="shared" si="99"/>
        <v/>
      </c>
      <c r="F273" s="71" t="str">
        <f t="shared" si="96"/>
        <v/>
      </c>
      <c r="G273" s="69" t="str">
        <f t="shared" si="98"/>
        <v/>
      </c>
      <c r="H273" s="70" t="str">
        <f t="shared" si="97"/>
        <v/>
      </c>
      <c r="I273" s="27" t="str">
        <f>IF(N(J273)=0,"",0&amp;"-"&amp;B$10)</f>
        <v/>
      </c>
      <c r="J273" s="52" t="str">
        <f>IF(N(B$10)=0,"",IF(AND(COUNT(H267:H278)=2,COUNT(F267:F278)=2),cubic_spline(F266:F268,H266:H268,B$10),IF(AND(COUNT(H267:H278)=3,COUNT(F267:F278)=3),cubic_spline(F266:F269,H266:H269,B$10),IF(AND(COUNT(H267:H278)=4,COUNT(F267:F278)=4),cubic_spline(F266:F270,H266:H270,B$10),IF(AND(COUNT(H267:H278)=5,COUNT(F267:F278)=5),cubic_spline(F266:F271,H266:H271,B$10),IF(AND(COUNT(H267:H278)=6,COUNT(F267:F278)=6),cubic_spline(F266:F272,H266:H272,B$10),IF(AND(COUNT(H267:H278)=7,COUNT(F267:F278)=7),cubic_spline(F266:F273,H266:H273,B$10),IF(AND(COUNT(H267:H278)=8,COUNT(F267:F278)=8),cubic_spline(F266:F274,H266:H274,B$10),IF(AND(COUNT(H267:H278)=9,COUNT(F267:F278)=9),cubic_spline(F266:F275,H266:H275,B$10),IF(AND(COUNT(H267:H278)=10,COUNT(F267:F278)=10),cubic_spline(F266:F276,H266:H276,B$10),IF(AND(COUNT(H267:H278)=11,COUNT(F267:F278)=11),cubic_spline(F266:F277,H266:H277,B$10),IF(AND(COUNT(H267:H278)=12,COUNT(F267:F278)=12),cubic_spline(F266:F278,H266:H278,B$10),""))))))))))))</f>
        <v/>
      </c>
      <c r="K273" s="52" t="str">
        <f>IF(N(B$10)=0,"",IF(AND(COUNT(A267:A278)=2,COUNT(F267:F278)=2),cubic_spline(F266:F268,A266:A268,B$10),IF(AND(COUNT(A267:A278)=3,COUNT(F267:F278)=3),cubic_spline(F266:F269,A266:A269,B$10),IF(AND(COUNT(A267:A278)=4,COUNT(F267:F278)=4),cubic_spline(F266:F270,A266:A270,B$10),IF(AND(COUNT(A267:A278)=5,COUNT(F267:F278)=5),cubic_spline(F266:F271,A266:A271,B$10),IF(AND(COUNT(A267:A278)=6,COUNT(F267:F278)=6),cubic_spline(F266:F272,A266:A272,B$10),IF(AND(COUNT(A267:A278)=7,COUNT(F267:F278)=7),cubic_spline(F266:F273,A266:A273,B$10),IF(AND(COUNT(A267:A278)=8,COUNT(F267:F278)=8),cubic_spline(F266:F274,A266:A274,B$10),IF(AND(COUNT(A267:A278)=9,COUNT(F267:F278)=9),cubic_spline(F266:F275,A266:A275,B$10),IF(AND(COUNT(A267:A278)=10,COUNT(F267:F278)=10),cubic_spline(F266:F276,A266:A276,B$10),IF(AND(COUNT(A267:A278)=11,COUNT(F267:F278)=11),cubic_spline(F266:F277,A266:A277,B$10),IF(AND(COUNT(A267:A278)=12,COUNT(F267:F278)=12),cubic_spline(F266:F278,A266:A278,B$10),""))))))))))))</f>
        <v/>
      </c>
      <c r="L273" s="27" t="str">
        <f>IF(I273="","",B$9&amp;"-"&amp;B$10)</f>
        <v/>
      </c>
      <c r="M273" s="52" t="str">
        <f t="shared" si="100"/>
        <v/>
      </c>
    </row>
    <row r="274" spans="1:13" x14ac:dyDescent="0.35">
      <c r="A274" s="48"/>
      <c r="B274" s="48"/>
      <c r="C274" s="49"/>
      <c r="D274" s="50"/>
      <c r="E274" s="51" t="str">
        <f t="shared" si="99"/>
        <v/>
      </c>
      <c r="F274" s="71" t="str">
        <f t="shared" si="96"/>
        <v/>
      </c>
      <c r="G274" s="69" t="str">
        <f t="shared" si="98"/>
        <v/>
      </c>
      <c r="H274" s="70" t="str">
        <f t="shared" si="97"/>
        <v/>
      </c>
      <c r="I274" s="27" t="str">
        <f>IF(N(J274)=0,"",0&amp;"-"&amp;B$11)</f>
        <v/>
      </c>
      <c r="J274" s="52" t="str">
        <f>IF(N(B$11)=0,"",IF(AND(COUNT(H267:H278)=2,COUNT(F267:F278)=2),cubic_spline(F266:F268,H266:H268,B$11),IF(AND(COUNT(H267:H278)=3,COUNT(F267:F278)=3),cubic_spline(F266:F269,H266:H269,B$11),IF(AND(COUNT(H267:H278)=4,COUNT(F267:F278)=4),cubic_spline(F266:F270,H266:H270,B$11),IF(AND(COUNT(H267:H278)=5,COUNT(F267:F278)=5),cubic_spline(F266:F271,H266:H271,B$11),IF(AND(COUNT(H267:H278)=6,COUNT(F267:F278)=6),cubic_spline(F266:F272,H266:H272,B$11),IF(AND(COUNT(H267:H278)=7,COUNT(F267:F278)=7),cubic_spline(F266:F273,H266:H273,B$11),IF(AND(COUNT(H267:H278)=8,COUNT(F267:F278)=8),cubic_spline(F266:F274,H266:H274,B$11),IF(AND(COUNT(H267:H278)=9,COUNT(F267:F278)=9),cubic_spline(F266:F275,H266:H275,B$11),IF(AND(COUNT(H267:H278)=10,COUNT(F267:F278)=10),cubic_spline(F266:F276,H266:H276,B$11),IF(AND(COUNT(H267:H278)=11,COUNT(F267:F278)=11),cubic_spline(F266:F277,H266:H277,B$11),IF(AND(COUNT(H267:H278)=12,COUNT(F267:F278)=12),cubic_spline(F266:F278,H266:H278,B$11),""))))))))))))</f>
        <v/>
      </c>
      <c r="K274" s="52" t="str">
        <f>IF(N(B$11)=0,"",IF(AND(COUNT(A267:A278)=2,COUNT(F267:F278)=2),cubic_spline(F266:F268,A266:A268,B$11),IF(AND(COUNT(A267:A278)=3,COUNT(F267:F278)=3),cubic_spline(F266:F269,A266:A269,B$11),IF(AND(COUNT(A267:A278)=4,COUNT(F267:F278)=4),cubic_spline(F266:F270,A266:A270,B$11),IF(AND(COUNT(A267:A278)=5,COUNT(F267:F278)=5),cubic_spline(F266:F271,A266:A271,B$11),IF(AND(COUNT(A267:A278)=6,COUNT(F267:F278)=6),cubic_spline(F266:F272,A266:A272,B$11),IF(AND(COUNT(A267:A278)=7,COUNT(F267:F278)=7),cubic_spline(F266:F273,A266:A273,B$11),IF(AND(COUNT(A267:A278)=8,COUNT(F267:F278)=8),cubic_spline(F266:F274,A266:A274,B$11),IF(AND(COUNT(A267:A278)=9,COUNT(F267:F278)=9),cubic_spline(F266:F275,A266:A275,B$11),IF(AND(COUNT(A267:A278)=10,COUNT(F267:F278)=10),cubic_spline(F266:F276,A266:A276,B$11),IF(AND(COUNT(A267:A278)=11,COUNT(F267:F278)=11),cubic_spline(F266:F277,A266:A277,B$11),IF(AND(COUNT(A267:A278)=12,COUNT(F267:F278)=12),cubic_spline(F266:F278,A266:A278,B$11),""))))))))))))</f>
        <v/>
      </c>
      <c r="L274" s="27" t="str">
        <f>IF(I274="","",B$10&amp;"-"&amp;B$11)</f>
        <v/>
      </c>
      <c r="M274" s="52" t="str">
        <f t="shared" si="100"/>
        <v/>
      </c>
    </row>
    <row r="275" spans="1:13" x14ac:dyDescent="0.35">
      <c r="A275" s="48"/>
      <c r="B275" s="48"/>
      <c r="C275" s="49"/>
      <c r="D275" s="50"/>
      <c r="E275" s="51" t="str">
        <f t="shared" si="99"/>
        <v/>
      </c>
      <c r="F275" s="71" t="str">
        <f t="shared" si="96"/>
        <v/>
      </c>
      <c r="G275" s="69" t="str">
        <f t="shared" si="98"/>
        <v/>
      </c>
      <c r="H275" s="70" t="str">
        <f t="shared" si="97"/>
        <v/>
      </c>
      <c r="I275" s="27" t="str">
        <f>IF(N(J275)=0,"",0&amp;"-"&amp;B$12)</f>
        <v/>
      </c>
      <c r="J275" s="52" t="str">
        <f>IF(N(B$12)=0,"",IF(AND(COUNT(H267:H278)=2,COUNT(F267:F278)=2),cubic_spline(F266:F268,H266:H268,B$12),IF(AND(COUNT(H267:H278)=3,COUNT(F267:F278)=3),cubic_spline(F266:F269,H266:H269,B$12),IF(AND(COUNT(H267:H278)=4,COUNT(F267:F278)=4),cubic_spline(F266:F270,H266:H270,B$12),IF(AND(COUNT(H267:H278)=5,COUNT(F267:F278)=5),cubic_spline(F266:F271,H266:H271,B$12),IF(AND(COUNT(H267:H278)=6,COUNT(F267:F278)=6),cubic_spline(F266:F272,H266:H272,B$12),IF(AND(COUNT(H267:H278)=7,COUNT(F267:F278)=7),cubic_spline(F266:F273,H266:H273,B$12),IF(AND(COUNT(H267:H278)=8,COUNT(F267:F278)=8),cubic_spline(F266:F274,H266:H274,B$12),IF(AND(COUNT(H267:H278)=9,COUNT(F267:F278)=9),cubic_spline(F266:F275,H266:H275,B$12),IF(AND(COUNT(H267:H278)=10,COUNT(F267:F278)=10),cubic_spline(F266:F276,H266:H276,B$12),IF(AND(COUNT(H267:H278)=11,COUNT(F267:F278)=11),cubic_spline(F266:F277,H266:H277,B$12),IF(AND(COUNT(H267:H278)=12,COUNT(F267:F278)=12),cubic_spline(F266:F278,H266:H278,B$12),""))))))))))))</f>
        <v/>
      </c>
      <c r="K275" s="52" t="str">
        <f>IF(N(B$12)=0,"",IF(AND(COUNT(A267:A278)=2,COUNT(F267:F278)=2),cubic_spline(F266:F268,A266:A268,B$12),IF(AND(COUNT(A267:A278)=3,COUNT(F267:F278)=3),cubic_spline(F266:F269,A266:A269,B$12),IF(AND(COUNT(A267:A278)=4,COUNT(F267:F278)=4),cubic_spline(F266:F270,A266:A270,B$12),IF(AND(COUNT(A267:A278)=5,COUNT(F267:F278)=5),cubic_spline(F266:F271,A266:A271,B$12),IF(AND(COUNT(A267:A278)=6,COUNT(F267:F278)=6),cubic_spline(F266:F272,A266:A272,B$12),IF(AND(COUNT(A267:A278)=7,COUNT(F267:F278)=7),cubic_spline(F266:F273,A266:A273,B$12),IF(AND(COUNT(A267:A278)=8,COUNT(F267:F278)=8),cubic_spline(F266:F274,A266:A274,B$12),IF(AND(COUNT(A267:A278)=9,COUNT(F267:F278)=9),cubic_spline(F266:F275,A266:A275,B$12),IF(AND(COUNT(A267:A278)=10,COUNT(F267:F278)=10),cubic_spline(F266:F276,A266:A276,B$12),IF(AND(COUNT(A267:A278)=11,COUNT(F267:F278)=11),cubic_spline(F266:F277,A266:A277,B$12),IF(AND(COUNT(A267:A278)=12,COUNT(F267:F278)=12),cubic_spline(F266:F278,A266:A278,B$12),""))))))))))))</f>
        <v/>
      </c>
      <c r="L275" s="27" t="str">
        <f>IF(I275="","",B$11&amp;"-"&amp;B$12)</f>
        <v/>
      </c>
      <c r="M275" s="52" t="str">
        <f t="shared" si="100"/>
        <v/>
      </c>
    </row>
    <row r="276" spans="1:13" x14ac:dyDescent="0.35">
      <c r="A276" s="48"/>
      <c r="B276" s="48"/>
      <c r="C276" s="49"/>
      <c r="D276" s="50"/>
      <c r="E276" s="51" t="str">
        <f t="shared" si="99"/>
        <v/>
      </c>
      <c r="F276" s="71" t="str">
        <f t="shared" si="96"/>
        <v/>
      </c>
      <c r="G276" s="69" t="str">
        <f t="shared" si="98"/>
        <v/>
      </c>
      <c r="H276" s="70" t="str">
        <f t="shared" si="97"/>
        <v/>
      </c>
      <c r="I276" s="27" t="str">
        <f>IF(N(J276)=0,"",0&amp;"-"&amp;B$13)</f>
        <v/>
      </c>
      <c r="J276" s="52" t="str">
        <f>IF(N(B$13)=0,"",IF(AND(COUNT(H267:H278)=2,COUNT(F267:F278)=2),cubic_spline(F266:F268,H266:H268,B$13),IF(AND(COUNT(H267:H278)=3,COUNT(F267:F278)=3),cubic_spline(F266:F269,H266:H269,B$13),IF(AND(COUNT(H267:H278)=4,COUNT(F267:F278)=4),cubic_spline(F266:F270,H266:H270,B$13),IF(AND(COUNT(H267:H278)=5,COUNT(F267:F278)=5),cubic_spline(F266:F271,H266:H271,B$13),IF(AND(COUNT(H267:H278)=6,COUNT(F267:F278)=6),cubic_spline(F266:F272,H266:H272,B$13),IF(AND(COUNT(H267:H278)=7,COUNT(F267:F278)=7),cubic_spline(F266:F273,H266:H273,B$13),IF(AND(COUNT(H267:H278)=8,COUNT(F267:F278)=8),cubic_spline(F266:F274,H266:H274,B$13),IF(AND(COUNT(H267:H278)=9,COUNT(F267:F278)=9),cubic_spline(F266:F275,H266:H275,B$13),IF(AND(COUNT(H267:H278)=10,COUNT(F267:F278)=10),cubic_spline(F266:F276,H266:H276,B$13),IF(AND(COUNT(H267:H278)=11,COUNT(F267:F278)=11),cubic_spline(F266:F277,H266:H277,B$13),IF(AND(COUNT(H267:H278)=12,COUNT(F267:F278)=12),cubic_spline(F266:F278,H266:H278,B$13),""))))))))))))</f>
        <v/>
      </c>
      <c r="K276" s="52" t="str">
        <f>IF(N(B$13)=0,"",IF(AND(COUNT(A267:A278)=2,COUNT(F267:F278)=2),cubic_spline(F266:F268,A266:A268,B$13),IF(AND(COUNT(A267:A278)=3,COUNT(F267:F278)=3),cubic_spline(F266:F269,A266:A269,B$13),IF(AND(COUNT(A267:A278)=4,COUNT(F267:F278)=4),cubic_spline(F266:F270,A266:A270,B$13),IF(AND(COUNT(A267:A278)=5,COUNT(F267:F278)=5),cubic_spline(F266:F271,A266:A271,B$13),IF(AND(COUNT(A267:A278)=6,COUNT(F267:F278)=6),cubic_spline(F266:F272,A266:A272,B$13),IF(AND(COUNT(A267:A278)=7,COUNT(F267:F278)=7),cubic_spline(F266:F273,A266:A273,B$13),IF(AND(COUNT(A267:A278)=8,COUNT(F267:F278)=8),cubic_spline(F266:F274,A266:A274,B$13),IF(AND(COUNT(A267:A278)=9,COUNT(F267:F278)=9),cubic_spline(F266:F275,A266:A275,B$13),IF(AND(COUNT(A267:A278)=10,COUNT(F267:F278)=10),cubic_spline(F266:F276,A266:A276,B$13),IF(AND(COUNT(A267:A278)=11,COUNT(F267:F278)=11),cubic_spline(F266:F277,A266:A277,B$13),IF(AND(COUNT(A267:A278)=12,COUNT(F267:F278)=12),cubic_spline(F266:F278,A266:A278,B$13),""))))))))))))</f>
        <v/>
      </c>
      <c r="L276" s="27" t="str">
        <f>IF(I276="","",B$12&amp;"-"&amp;B$13)</f>
        <v/>
      </c>
      <c r="M276" s="52" t="str">
        <f t="shared" si="100"/>
        <v/>
      </c>
    </row>
    <row r="277" spans="1:13" x14ac:dyDescent="0.35">
      <c r="A277" s="48"/>
      <c r="B277" s="48"/>
      <c r="C277" s="49"/>
      <c r="D277" s="50"/>
      <c r="E277" s="51" t="str">
        <f t="shared" si="99"/>
        <v/>
      </c>
      <c r="F277" s="71" t="str">
        <f t="shared" si="96"/>
        <v/>
      </c>
      <c r="G277" s="69" t="str">
        <f t="shared" si="98"/>
        <v/>
      </c>
      <c r="H277" s="70" t="str">
        <f t="shared" si="97"/>
        <v/>
      </c>
      <c r="I277" s="27" t="str">
        <f>IF(N(J277)=0,"",0&amp;"-"&amp;B$14)</f>
        <v/>
      </c>
      <c r="J277" s="52" t="str">
        <f>IF(N(B$14)=0,"",IF(AND(COUNT(H267:H278)=2,COUNT(F267:F278)=2),cubic_spline(F266:F268,H266:H268,B$14),IF(AND(COUNT(H267:H278)=3,COUNT(F267:F278)=3),cubic_spline(F266:F269,H266:H269,B$14),IF(AND(COUNT(H267:H278)=4,COUNT(F267:F278)=4),cubic_spline(F266:F270,H266:H270,B$14),IF(AND(COUNT(H267:H278)=5,COUNT(F267:F278)=5),cubic_spline(F266:F271,H266:H271,B$14),IF(AND(COUNT(H267:H278)=6,COUNT(F267:F278)=6),cubic_spline(F266:F272,H266:H272,B$14),IF(AND(COUNT(H267:H278)=7,COUNT(F267:F278)=7),cubic_spline(F266:F273,H266:H273,B$14),IF(AND(COUNT(H267:H278)=8,COUNT(F267:F278)=8),cubic_spline(F266:F274,H266:H274,B$14),IF(AND(COUNT(H267:H278)=9,COUNT(F267:F278)=9),cubic_spline(F266:F275,H266:H275,B$14),IF(AND(COUNT(H267:H278)=10,COUNT(F267:F278)=10),cubic_spline(F266:F276,H266:H276,B$14),IF(AND(COUNT(H267:H278)=11,COUNT(F267:F278)=11),cubic_spline(F266:F277,H266:H277,B$14),IF(AND(COUNT(H267:H278)=12,COUNT(F267:F278)=12),cubic_spline(F266:F278,H266:H278,B$14),""))))))))))))</f>
        <v/>
      </c>
      <c r="K277" s="52" t="str">
        <f>IF(N(B$14)=0,"",IF(AND(COUNT(A267:A278)=2,COUNT(F267:F278)=2),cubic_spline(F266:F268,A266:A268,B$14),IF(AND(COUNT(A267:A278)=3,COUNT(F267:F278)=3),cubic_spline(F266:F269,A266:A269,B$14),IF(AND(COUNT(A267:A278)=4,COUNT(F267:F278)=4),cubic_spline(F266:F270,A266:A270,B$14),IF(AND(COUNT(A267:A278)=5,COUNT(F267:F278)=5),cubic_spline(F266:F271,A266:A271,B$14),IF(AND(COUNT(A267:A278)=6,COUNT(F267:F278)=6),cubic_spline(F266:F272,A266:A272,B$14),IF(AND(COUNT(A267:A278)=7,COUNT(F267:F278)=7),cubic_spline(F266:F273,A266:A273,B$14),IF(AND(COUNT(A267:A278)=8,COUNT(F267:F278)=8),cubic_spline(F266:F274,A266:A274,B$14),IF(AND(COUNT(A267:A278)=9,COUNT(F267:F278)=9),cubic_spline(F266:F275,A266:A275,B$14),IF(AND(COUNT(A267:A278)=10,COUNT(F267:F278)=10),cubic_spline(F266:F276,A266:A276,B$14),IF(AND(COUNT(A267:A278)=11,COUNT(F267:F278)=11),cubic_spline(F266:F277,A266:A277,B$14),IF(AND(COUNT(A267:A278)=12,COUNT(F267:F278)=12),cubic_spline(F266:F278,A266:A278,B$14),""))))))))))))</f>
        <v/>
      </c>
      <c r="L277" s="27" t="str">
        <f>IF(I277="","",B$13&amp;"-"&amp;B$14)</f>
        <v/>
      </c>
      <c r="M277" s="52" t="str">
        <f t="shared" si="100"/>
        <v/>
      </c>
    </row>
    <row r="278" spans="1:13" x14ac:dyDescent="0.35">
      <c r="A278" s="48"/>
      <c r="B278" s="48"/>
      <c r="C278" s="49"/>
      <c r="D278" s="50"/>
      <c r="E278" s="51" t="str">
        <f t="shared" si="99"/>
        <v/>
      </c>
      <c r="F278" s="71" t="str">
        <f t="shared" si="96"/>
        <v/>
      </c>
      <c r="G278" s="69" t="str">
        <f t="shared" si="98"/>
        <v/>
      </c>
      <c r="H278" s="70" t="str">
        <f t="shared" si="97"/>
        <v/>
      </c>
      <c r="I278" s="27" t="str">
        <f>IF(N(J278)=0,"",0&amp;"-"&amp;B$15)</f>
        <v/>
      </c>
      <c r="J278" s="52" t="str">
        <f>IF(N(B$15)=0,"",IF(AND(COUNT(H267:H278)=2,COUNT(F267:F278)=2),cubic_spline(F266:F268,H266:H268,B$15),IF(AND(COUNT(H267:H278)=3,COUNT(F267:F278)=3),cubic_spline(F266:F269,H266:H269,B$15),IF(AND(COUNT(H267:H278)=4,COUNT(F267:F278)=4),cubic_spline(F266:F270,H266:H270,B$15),IF(AND(COUNT(H267:H278)=5,COUNT(F267:F278)=5),cubic_spline(F266:F271,H266:H271,B$15),IF(AND(COUNT(H267:H278)=6,COUNT(F267:F278)=6),cubic_spline(F266:F272,H266:H272,B$15),IF(AND(COUNT(H267:H278)=7,COUNT(F267:F278)=7),cubic_spline(F266:F273,H266:H273,B$15),IF(AND(COUNT(H267:H278)=8,COUNT(F267:F278)=8),cubic_spline(F266:F274,H266:H274,B$15),IF(AND(COUNT(H267:H278)=9,COUNT(F267:F278)=9),cubic_spline(F266:F275,H266:H275,B$15),IF(AND(COUNT(H267:H278)=10,COUNT(F267:F278)=10),cubic_spline(F266:F276,H266:H276,B$15),IF(AND(COUNT(H267:H278)=11,COUNT(F267:F278)=11),cubic_spline(F266:F277,H266:H277,B$15),IF(AND(COUNT(H267:H278)=12,COUNT(F267:F278)=12),cubic_spline(F266:F278,H266:H278,B$15),""))))))))))))</f>
        <v/>
      </c>
      <c r="K278" s="52" t="str">
        <f>IF(N(B$15)=0,"",IF(AND(COUNT(A267:A278)=2,COUNT(F267:F278)=2),cubic_spline(F266:F268,A266:A268,B$15),IF(AND(COUNT(A267:A278)=3,COUNT(F267:F278)=3),cubic_spline(F266:F269,A266:A269,B$15),IF(AND(COUNT(A267:A278)=4,COUNT(F267:F278)=4),cubic_spline(F266:F270,A266:A270,B$15),IF(AND(COUNT(A267:A278)=5,COUNT(F267:F278)=5),cubic_spline(F266:F271,A266:A271,B$15),IF(AND(COUNT(A267:A278)=6,COUNT(F267:F278)=6),cubic_spline(F266:F272,A266:A272,B$15),IF(AND(COUNT(A267:A278)=7,COUNT(F267:F278)=7),cubic_spline(F266:F273,A266:A273,B$15),IF(AND(COUNT(A267:A278)=8,COUNT(F267:F278)=8),cubic_spline(F266:F274,A266:A274,B$15),IF(AND(COUNT(A267:A278)=9,COUNT(F267:F278)=9),cubic_spline(F266:F275,A266:A275,B$15),IF(AND(COUNT(A267:A278)=10,COUNT(F267:F278)=10),cubic_spline(F266:F276,A266:A276,B$15),IF(AND(COUNT(A267:A278)=11,COUNT(F267:F278)=11),cubic_spline(F266:F277,A266:A277,B$15),IF(AND(COUNT(A267:A278)=12,COUNT(F267:F278)=12),cubic_spline(F266:F278,A266:A278,B$15),""))))))))))))</f>
        <v/>
      </c>
      <c r="L278" s="27" t="str">
        <f>IF(I278="","",B$14&amp;"-"&amp;B$15)</f>
        <v/>
      </c>
      <c r="M278" s="52" t="str">
        <f t="shared" si="100"/>
        <v/>
      </c>
    </row>
    <row r="279" spans="1:13" ht="5.15" customHeight="1" x14ac:dyDescent="0.35">
      <c r="A279" s="47"/>
      <c r="B279" s="47"/>
      <c r="C279" s="47"/>
      <c r="D279" s="53"/>
      <c r="E279" s="54"/>
      <c r="F279" s="55"/>
      <c r="G279" s="72"/>
      <c r="H279" s="73"/>
      <c r="I279" s="47"/>
      <c r="J279" s="57"/>
      <c r="K279" s="57"/>
      <c r="L279" s="55"/>
      <c r="M279" s="57"/>
    </row>
    <row r="280" spans="1:13" x14ac:dyDescent="0.35">
      <c r="A280" s="48"/>
      <c r="B280" s="48"/>
      <c r="C280" s="49"/>
      <c r="D280" s="50"/>
      <c r="E280" s="51" t="str">
        <f>IF(N(C280)=0,"",C280/PI()/($D$1/2)^2/$D$2*10000)</f>
        <v/>
      </c>
      <c r="F280" s="68" t="str">
        <f t="shared" ref="F280:F291" si="101">IF(N(E280)=0,"",(N(E280)+N(F279)))</f>
        <v/>
      </c>
      <c r="G280" s="69" t="str">
        <f>IF(OR(N(D280)=0,N(E280)=0),"",(E280*D280)/1000)</f>
        <v/>
      </c>
      <c r="H280" s="70" t="str">
        <f t="shared" ref="H280:H291" si="102">IF(N(G280)=0,"",(N(G280)+N(H279)))</f>
        <v/>
      </c>
      <c r="I280" s="27" t="str">
        <f>IF(N(J280)=0,"",0&amp;"-"&amp;B$4)</f>
        <v/>
      </c>
      <c r="J280" s="52" t="str">
        <f>IF(N(B$4)=0,"",IF(AND(COUNT(H280:H291)=2,COUNT(F280:F291)=2),cubic_spline(F279:F281,H279:H281,B$4),IF(AND(COUNT(H280:H291)=3,COUNT(F280:F291)=3),cubic_spline(F279:F282,H279:H282,B$4),IF(AND(COUNT(H280:H291)=4,COUNT(F280:F291)=4),cubic_spline(F279:F283,H279:H283,B$4),IF(AND(COUNT(H280:H291)=5,COUNT(F280:F291)=5),cubic_spline(F279:F284,H279:H284,B$4),IF(AND(COUNT(H280:H291)=6,COUNT(F280:F291)=6),cubic_spline(F279:F285,H279:H285,B$4),IF(AND(COUNT(H280:H291)=7,COUNT(F280:F291)=7),cubic_spline(F279:F286,H279:H286,B$4),IF(AND(COUNT(H280:H291)=8,COUNT(F280:F291)=8),cubic_spline(F279:F287,H279:H287,B$4),IF(AND(COUNT(H280:H291)=9,COUNT(F280:F291)=9),cubic_spline(F279:F288,H279:H288,B$4),IF(AND(COUNT(H280:H291)=10,COUNT(F280:F291)=10),cubic_spline(F279:F289,H279:H289,B$4),IF(AND(COUNT(H280:H291)=11,COUNT(F280:F291)=11),cubic_spline(F279:F290,H279:H290,B$4),IF(AND(COUNT(H280:H291)=12,COUNT(F280:F291)=12),cubic_spline(F279:F291,H279:H291,B$4),""))))))))))))</f>
        <v/>
      </c>
      <c r="K280" s="52" t="str">
        <f>IF(N(B$4)=0,"",IF(AND(COUNT(A280:A291)=2,COUNT(F280:F291)=2),cubic_spline(F279:F281,A279:A281,B$4),IF(AND(COUNT(A280:A291)=3,COUNT(F280:F291)=3),cubic_spline(F279:F282,A279:A282,B$4),IF(AND(COUNT(A280:A291)=4,COUNT(F280:F291)=4),cubic_spline(F279:F283,A279:A283,B$4),IF(AND(COUNT(A280:A291)=5,COUNT(F280:F291)=5),cubic_spline(F279:F284,A279:A284,B$4),IF(AND(COUNT(A280:A291)=6,COUNT(F280:F291)=6),cubic_spline(F279:F285,A279:A285,B$4),IF(AND(COUNT(A280:A291)=7,COUNT(F280:F291)=7),cubic_spline(F279:F286,A279:A286,B$4),IF(AND(COUNT(A280:A291)=8,COUNT(F280:F291)=8),cubic_spline(F279:F287,A279:A287,B$4),IF(AND(COUNT(A280:A291)=9,COUNT(F280:F291)=9),cubic_spline(F279:F288,A279:A288,B$4),IF(AND(COUNT(A280:A291)=10,COUNT(F280:F291)=10),cubic_spline(F279:F289,A279:A289,B$4),IF(AND(COUNT(A280:A291)=11,COUNT(F280:F291)=11),cubic_spline(F279:F290,A279:A290,B$4),IF(AND(COUNT(A280:A291)=12,COUNT(F280:F291)=12),cubic_spline(F279:F291,A279:A291,B$4),""))))))))))))</f>
        <v/>
      </c>
      <c r="L280" s="27" t="str">
        <f>IF(I280="","",0&amp;"-"&amp;B$4)</f>
        <v/>
      </c>
      <c r="M280" s="52" t="str">
        <f>IF(N(J280)=0,"",J280-J279)</f>
        <v/>
      </c>
    </row>
    <row r="281" spans="1:13" x14ac:dyDescent="0.35">
      <c r="A281" s="48"/>
      <c r="B281" s="48"/>
      <c r="C281" s="49"/>
      <c r="D281" s="50"/>
      <c r="E281" s="51" t="str">
        <f>IF(N(C281)=0,"",C281/PI()/($D$1/2)^2/$D$2*10000)</f>
        <v/>
      </c>
      <c r="F281" s="68" t="str">
        <f t="shared" si="101"/>
        <v/>
      </c>
      <c r="G281" s="69" t="str">
        <f t="shared" ref="G281:G291" si="103">IF(OR(N(D281)=0,N(E281)=0),"",(E281*D281)/1000)</f>
        <v/>
      </c>
      <c r="H281" s="70" t="str">
        <f t="shared" si="102"/>
        <v/>
      </c>
      <c r="I281" s="27" t="str">
        <f>IF(N(J281)=0,"",0&amp;"-"&amp;B$5)</f>
        <v/>
      </c>
      <c r="J281" s="52" t="str">
        <f>IF(N(B$5)=0,"",IF(AND(COUNT(H280:H291)=2,COUNT(F280:F291)=2),cubic_spline(F279:F281,H279:H281,B$5),IF(AND(COUNT(H280:H291)=3,COUNT(F280:F291)=3),cubic_spline(F279:F282,H279:H282,B$5),IF(AND(COUNT(H280:H291)=4,COUNT(F280:F291)=4),cubic_spline(F279:F283,H279:H283,B$5),IF(AND(COUNT(H280:H291)=5,COUNT(F280:F291)=5),cubic_spline(F279:F284,H279:H284,B$5),IF(AND(COUNT(H280:H291)=6,COUNT(F280:F291)=6),cubic_spline(F279:F285,H279:H285,B$5),IF(AND(COUNT(H280:H291)=7,COUNT(F280:F291)=7),cubic_spline(F279:F286,H279:H286,B$5),IF(AND(COUNT(H280:H291)=8,COUNT(F280:F291)=8),cubic_spline(F279:F287,H279:H287,B$5),IF(AND(COUNT(H280:H291)=9,COUNT(F280:F291)=9),cubic_spline(F279:F288,H279:H288,B$5),IF(AND(COUNT(H280:H291)=10,COUNT(F280:F291)=10),cubic_spline(F279:F289,H279:H289,B$5),IF(AND(COUNT(H280:H291)=11,COUNT(F280:F291)=11),cubic_spline(F279:F290,H279:H290,B$5),IF(AND(COUNT(H280:H291)=12,COUNT(F280:F291)=12),cubic_spline(F279:F291,H279:H291,B$5),""))))))))))))</f>
        <v/>
      </c>
      <c r="K281" s="52" t="str">
        <f>IF(N(B$5)=0,"",IF(AND(COUNT(A280:A291)=2,COUNT(F280:F291)=2),cubic_spline(F279:F281,A279:A281,B$5),IF(AND(COUNT(A280:A291)=3,COUNT(F280:F291)=3),cubic_spline(F279:F282,A279:A282,B$5),IF(AND(COUNT(A280:A291)=4,COUNT(F280:F291)=4),cubic_spline(F279:F283,A279:A283,B$5),IF(AND(COUNT(A280:A291)=5,COUNT(F280:F291)=5),cubic_spline(F279:F284,A279:A284,B$5),IF(AND(COUNT(A280:A291)=6,COUNT(F280:F291)=6),cubic_spline(F279:F285,A279:A285,B$5),IF(AND(COUNT(A280:A291)=7,COUNT(F280:F291)=7),cubic_spline(F279:F286,A279:A286,B$5),IF(AND(COUNT(A280:A291)=8,COUNT(F280:F291)=8),cubic_spline(F279:F287,A279:A287,B$5),IF(AND(COUNT(A280:A291)=9,COUNT(F280:F291)=9),cubic_spline(F279:F288,A279:A288,B$5),IF(AND(COUNT(A280:A291)=10,COUNT(F280:F291)=10),cubic_spline(F279:F289,A279:A289,B$5),IF(AND(COUNT(A280:A291)=11,COUNT(F280:F291)=11),cubic_spline(F279:F290,A279:A290,B$5),IF(AND(COUNT(A280:A291)=12,COUNT(F280:F291)=12),cubic_spline(F279:F291,A279:A291,B$5),""))))))))))))</f>
        <v/>
      </c>
      <c r="L281" s="27" t="str">
        <f>IF(I281="","",B$4&amp;"-"&amp;B$5)</f>
        <v/>
      </c>
      <c r="M281" s="52" t="str">
        <f>IF(N(J281)=0,"",J281-J280)</f>
        <v/>
      </c>
    </row>
    <row r="282" spans="1:13" x14ac:dyDescent="0.35">
      <c r="A282" s="48"/>
      <c r="B282" s="48"/>
      <c r="C282" s="49"/>
      <c r="D282" s="50"/>
      <c r="E282" s="51" t="str">
        <f>IF(N(C282)=0,"",C282/PI()/($D$1/2)^2/$D$2*10000)</f>
        <v/>
      </c>
      <c r="F282" s="68" t="str">
        <f t="shared" si="101"/>
        <v/>
      </c>
      <c r="G282" s="69" t="str">
        <f t="shared" si="103"/>
        <v/>
      </c>
      <c r="H282" s="70" t="str">
        <f t="shared" si="102"/>
        <v/>
      </c>
      <c r="I282" s="27" t="str">
        <f>IF(N(J282)=0,"",0&amp;"-"&amp;B$6)</f>
        <v/>
      </c>
      <c r="J282" s="52" t="str">
        <f>IF(N(B$6)=0,"",IF(AND(COUNT(H280:H291)=2,COUNT(F280:F291)=2),cubic_spline(F279:F281,H279:H281,B$6),IF(AND(COUNT(H280:H291)=3,COUNT(F280:F291)=3),cubic_spline(F279:F282,H279:H282,B$6),IF(AND(COUNT(H280:H291)=4,COUNT(F280:F291)=4),cubic_spline(F279:F283,H279:H283,B$6),IF(AND(COUNT(H280:H291)=5,COUNT(F280:F291)=5),cubic_spline(F279:F284,H279:H284,B$6),IF(AND(COUNT(H280:H291)=6,COUNT(F280:F291)=6),cubic_spline(F279:F285,H279:H285,B$6),IF(AND(COUNT(H280:H291)=7,COUNT(F280:F291)=7),cubic_spline(F279:F286,H279:H286,B$6),IF(AND(COUNT(H280:H291)=8,COUNT(F280:F291)=8),cubic_spline(F279:F287,H279:H287,B$6),IF(AND(COUNT(H280:H291)=9,COUNT(F280:F291)=9),cubic_spline(F279:F288,H279:H288,B$6),IF(AND(COUNT(H280:H291)=10,COUNT(F280:F291)=10),cubic_spline(F279:F289,H279:H289,B$6),IF(AND(COUNT(H280:H291)=11,COUNT(F280:F291)=11),cubic_spline(F279:F290,H279:H290,B$6),IF(AND(COUNT(H280:H291)=12,COUNT(F280:F291)=12),cubic_spline(F279:F291,H279:H291,B$6),""))))))))))))</f>
        <v/>
      </c>
      <c r="K282" s="52" t="str">
        <f>IF(N(B$6)=0,"",IF(AND(COUNT(A280:A291)=2,COUNT(F280:F291)=2),cubic_spline(F279:F281,A279:A281,B$6),IF(AND(COUNT(A280:A291)=3,COUNT(F280:F291)=3),cubic_spline(F279:F282,A279:A282,B$6),IF(AND(COUNT(A280:A291)=4,COUNT(F280:F291)=4),cubic_spline(F279:F283,A279:A283,B$6),IF(AND(COUNT(A280:A291)=5,COUNT(F280:F291)=5),cubic_spline(F279:F284,A279:A284,B$6),IF(AND(COUNT(A280:A291)=6,COUNT(F280:F291)=6),cubic_spline(F279:F285,A279:A285,B$6),IF(AND(COUNT(A280:A291)=7,COUNT(F280:F291)=7),cubic_spline(F279:F286,A279:A286,B$6),IF(AND(COUNT(A280:A291)=8,COUNT(F280:F291)=8),cubic_spline(F279:F287,A279:A287,B$6),IF(AND(COUNT(A280:A291)=9,COUNT(F280:F291)=9),cubic_spline(F279:F288,A279:A288,B$6),IF(AND(COUNT(A280:A291)=10,COUNT(F280:F291)=10),cubic_spline(F279:F289,A279:A289,B$6),IF(AND(COUNT(A280:A291)=11,COUNT(F280:F291)=11),cubic_spline(F279:F290,A279:A290,B$6),IF(AND(COUNT(A280:A291)=12,COUNT(F280:F291)=12),cubic_spline(F279:F291,A279:A291,B$6),""))))))))))))</f>
        <v/>
      </c>
      <c r="L282" s="27" t="str">
        <f>IF(I282="","",B$5&amp;"-"&amp;B$6)</f>
        <v/>
      </c>
      <c r="M282" s="52" t="str">
        <f>IF(N(J282)=0,"",J282-J281)</f>
        <v/>
      </c>
    </row>
    <row r="283" spans="1:13" x14ac:dyDescent="0.35">
      <c r="A283" s="48"/>
      <c r="B283" s="48"/>
      <c r="C283" s="49"/>
      <c r="D283" s="50"/>
      <c r="E283" s="51" t="str">
        <f>IF(N(C283)=0,"",C283/PI()/($D$1/2)^2/$D$2*10000)</f>
        <v/>
      </c>
      <c r="F283" s="68" t="str">
        <f t="shared" si="101"/>
        <v/>
      </c>
      <c r="G283" s="69" t="str">
        <f t="shared" si="103"/>
        <v/>
      </c>
      <c r="H283" s="70" t="str">
        <f t="shared" si="102"/>
        <v/>
      </c>
      <c r="I283" s="27" t="str">
        <f>IF(N(J283)=0,"",0&amp;"-"&amp;B$7)</f>
        <v/>
      </c>
      <c r="J283" s="52" t="str">
        <f>IF(N(B$7)=0,"",IF(AND(COUNT(H280:H291)=2,COUNT(F280:F291)=2),cubic_spline(F279:F281,H279:H281,B$7),IF(AND(COUNT(H280:H291)=3,COUNT(F280:F291)=3),cubic_spline(F279:F282,H279:H282,B$7),IF(AND(COUNT(H280:H291)=4,COUNT(F280:F291)=4),cubic_spline(F279:F283,H279:H283,B$7),IF(AND(COUNT(H280:H291)=5,COUNT(F280:F291)=5),cubic_spline(F279:F284,H279:H284,B$7),IF(AND(COUNT(H280:H291)=6,COUNT(F280:F291)=6),cubic_spline(F279:F285,H279:H285,B$7),IF(AND(COUNT(H280:H291)=7,COUNT(F280:F291)=7),cubic_spline(F279:F286,H279:H286,B$7),IF(AND(COUNT(H280:H291)=8,COUNT(F280:F291)=8),cubic_spline(F279:F287,H279:H287,B$7),IF(AND(COUNT(H280:H291)=9,COUNT(F280:F291)=9),cubic_spline(F279:F288,H279:H288,B$7),IF(AND(COUNT(H280:H291)=10,COUNT(F280:F291)=10),cubic_spline(F279:F289,H279:H289,B$7),IF(AND(COUNT(H280:H291)=11,COUNT(F280:F291)=11),cubic_spline(F279:F290,H279:H290,B$7),IF(AND(COUNT(H280:H291)=12,COUNT(F280:F291)=12),cubic_spline(F279:F291,H279:H291,B$7),""))))))))))))</f>
        <v/>
      </c>
      <c r="K283" s="52" t="str">
        <f>IF(N(B$7)=0,"",IF(AND(COUNT(A280:A291)=2,COUNT(F280:F291)=2),cubic_spline(F279:F281,A279:A281,B$7),IF(AND(COUNT(A280:A291)=3,COUNT(F280:F291)=3),cubic_spline(F279:F282,A279:A282,B$7),IF(AND(COUNT(A280:A291)=4,COUNT(F280:F291)=4),cubic_spline(F279:F283,A279:A283,B$7),IF(AND(COUNT(A280:A291)=5,COUNT(F280:F291)=5),cubic_spline(F279:F284,A279:A284,B$7),IF(AND(COUNT(A280:A291)=6,COUNT(F280:F291)=6),cubic_spline(F279:F285,A279:A285,B$7),IF(AND(COUNT(A280:A291)=7,COUNT(F280:F291)=7),cubic_spline(F279:F286,A279:A286,B$7),IF(AND(COUNT(A280:A291)=8,COUNT(F280:F291)=8),cubic_spline(F279:F287,A279:A287,B$7),IF(AND(COUNT(A280:A291)=9,COUNT(F280:F291)=9),cubic_spline(F279:F288,A279:A288,B$7),IF(AND(COUNT(A280:A291)=10,COUNT(F280:F291)=10),cubic_spline(F279:F289,A279:A289,B$7),IF(AND(COUNT(A280:A291)=11,COUNT(F280:F291)=11),cubic_spline(F279:F290,A279:A290,B$7),IF(AND(COUNT(A280:A291)=12,COUNT(F280:F291)=12),cubic_spline(F279:F291,A279:A291,B$7),""))))))))))))</f>
        <v/>
      </c>
      <c r="L283" s="27" t="str">
        <f>IF(I283="","",B$6&amp;"-"&amp;B$7)</f>
        <v/>
      </c>
      <c r="M283" s="52" t="str">
        <f>IF(N(J283)=0,"",J283-J282)</f>
        <v/>
      </c>
    </row>
    <row r="284" spans="1:13" x14ac:dyDescent="0.35">
      <c r="A284" s="48"/>
      <c r="B284" s="48"/>
      <c r="C284" s="49"/>
      <c r="D284" s="50"/>
      <c r="E284" s="51" t="str">
        <f t="shared" ref="E284:E291" si="104">IF(N(C284)=0,"",C284/PI()/($D$1/2)^2/$D$2*10000)</f>
        <v/>
      </c>
      <c r="F284" s="71" t="str">
        <f t="shared" si="101"/>
        <v/>
      </c>
      <c r="G284" s="69" t="str">
        <f t="shared" si="103"/>
        <v/>
      </c>
      <c r="H284" s="70" t="str">
        <f t="shared" si="102"/>
        <v/>
      </c>
      <c r="I284" s="27" t="str">
        <f>IF(N(J284)=0,"",0&amp;"-"&amp;B$8)</f>
        <v/>
      </c>
      <c r="J284" s="52" t="str">
        <f>IF(N(B$8)=0,"",IF(AND(COUNT(H280:H291)=2,COUNT(F280:F291)=2),cubic_spline(F279:F281,H279:H281,B$8),IF(AND(COUNT(H280:H291)=3,COUNT(F280:F291)=3),cubic_spline(F279:F282,H279:H282,B$8),IF(AND(COUNT(H280:H291)=4,COUNT(F280:F291)=4),cubic_spline(F279:F283,H279:H283,B$8),IF(AND(COUNT(H280:H291)=5,COUNT(F280:F291)=5),cubic_spline(F279:F284,H279:H284,B$8),IF(AND(COUNT(H280:H291)=6,COUNT(F280:F291)=6),cubic_spline(F279:F285,H279:H285,B$8),IF(AND(COUNT(H280:H291)=7,COUNT(F280:F291)=7),cubic_spline(F279:F286,H279:H286,B$8),IF(AND(COUNT(H280:H291)=8,COUNT(F280:F291)=8),cubic_spline(F279:F287,H279:H287,B$8),IF(AND(COUNT(H280:H291)=9,COUNT(F280:F291)=9),cubic_spline(F279:F288,H279:H288,B$8),IF(AND(COUNT(H280:H291)=10,COUNT(F280:F291)=10),cubic_spline(F279:F289,H279:H289,B$8),IF(AND(COUNT(H280:H291)=11,COUNT(F280:F291)=11),cubic_spline(F279:F290,H279:H290,B$8),IF(AND(COUNT(H280:H291)=12,COUNT(F280:F291)=12),cubic_spline(F279:F291,H279:H291,B$8),""))))))))))))</f>
        <v/>
      </c>
      <c r="K284" s="52" t="str">
        <f>IF(N(B$8)=0,"",IF(AND(COUNT(A280:A291)=2,COUNT(F280:F291)=2),cubic_spline(F279:F281,A279:A281,B$8),IF(AND(COUNT(A280:A291)=3,COUNT(F280:F291)=3),cubic_spline(F279:F282,A279:A282,B$8),IF(AND(COUNT(A280:A291)=4,COUNT(F280:F291)=4),cubic_spline(F279:F283,A279:A283,B$8),IF(AND(COUNT(A280:A291)=5,COUNT(F280:F291)=5),cubic_spline(F279:F284,A279:A284,B$8),IF(AND(COUNT(A280:A291)=6,COUNT(F280:F291)=6),cubic_spline(F279:F285,A279:A285,B$8),IF(AND(COUNT(A280:A291)=7,COUNT(F280:F291)=7),cubic_spline(F279:F286,A279:A286,B$8),IF(AND(COUNT(A280:A291)=8,COUNT(F280:F291)=8),cubic_spline(F279:F287,A279:A287,B$8),IF(AND(COUNT(A280:A291)=9,COUNT(F280:F291)=9),cubic_spline(F279:F288,A279:A288,B$8),IF(AND(COUNT(A280:A291)=10,COUNT(F280:F291)=10),cubic_spline(F279:F289,A279:A289,B$8),IF(AND(COUNT(A280:A291)=11,COUNT(F280:F291)=11),cubic_spline(F279:F290,A279:A290,B$8),IF(AND(COUNT(A280:A291)=12,COUNT(F280:F291)=12),cubic_spline(F279:F291,A279:A291,B$8),""))))))))))))</f>
        <v/>
      </c>
      <c r="L284" s="27" t="str">
        <f>IF(I284="","",B$7&amp;"-"&amp;B$8)</f>
        <v/>
      </c>
      <c r="M284" s="52" t="str">
        <f>IF(N(J284)=0,"",J284-J283)</f>
        <v/>
      </c>
    </row>
    <row r="285" spans="1:13" x14ac:dyDescent="0.35">
      <c r="A285" s="48"/>
      <c r="B285" s="48"/>
      <c r="C285" s="49"/>
      <c r="D285" s="50"/>
      <c r="E285" s="51" t="str">
        <f t="shared" si="104"/>
        <v/>
      </c>
      <c r="F285" s="71" t="str">
        <f t="shared" si="101"/>
        <v/>
      </c>
      <c r="G285" s="69" t="str">
        <f t="shared" si="103"/>
        <v/>
      </c>
      <c r="H285" s="70" t="str">
        <f t="shared" si="102"/>
        <v/>
      </c>
      <c r="I285" s="27" t="str">
        <f>IF(N(J285)=0,"",0&amp;"-"&amp;B$9)</f>
        <v/>
      </c>
      <c r="J285" s="52" t="str">
        <f>IF(N(B$9)=0,"",IF(AND(COUNT(H280:H291)=2,COUNT(F280:F291)=2),cubic_spline(F279:F281,H279:H281,B$9),IF(AND(COUNT(H280:H291)=3,COUNT(F280:F291)=3),cubic_spline(F279:F282,H279:H282,B$9),IF(AND(COUNT(H280:H291)=4,COUNT(F280:F291)=4),cubic_spline(F279:F283,H279:H283,B$9),IF(AND(COUNT(H280:H291)=5,COUNT(F280:F291)=5),cubic_spline(F279:F284,H279:H284,B$9),IF(AND(COUNT(H280:H291)=6,COUNT(F280:F291)=6),cubic_spline(F279:F285,H279:H285,B$9),IF(AND(COUNT(H280:H291)=7,COUNT(F280:F291)=7),cubic_spline(F279:F286,H279:H286,B$9),IF(AND(COUNT(H280:H291)=8,COUNT(F280:F291)=8),cubic_spline(F279:F287,H279:H287,B$9),IF(AND(COUNT(H280:H291)=9,COUNT(F280:F291)=9),cubic_spline(F279:F288,H279:H288,B$9),IF(AND(COUNT(H280:H291)=10,COUNT(F280:F291)=10),cubic_spline(F279:F289,H279:H289,B$9),IF(AND(COUNT(H280:H291)=11,COUNT(F280:F291)=11),cubic_spline(F279:F290,H279:H290,B$9),IF(AND(COUNT(H280:H291)=12,COUNT(F280:F291)=12),cubic_spline(F279:F291,H279:H291,B$9),""))))))))))))</f>
        <v/>
      </c>
      <c r="K285" s="52" t="str">
        <f>IF(N(B$9)=0,"",IF(AND(COUNT(A280:A291)=2,COUNT(F280:F291)=2),cubic_spline(F279:F281,A279:A281,B$9),IF(AND(COUNT(A280:A291)=3,COUNT(F280:F291)=3),cubic_spline(F279:F282,A279:A282,B$9),IF(AND(COUNT(A280:A291)=4,COUNT(F280:F291)=4),cubic_spline(F279:F283,A279:A283,B$9),IF(AND(COUNT(A280:A291)=5,COUNT(F280:F291)=5),cubic_spline(F279:F284,A279:A284,B$9),IF(AND(COUNT(A280:A291)=6,COUNT(F280:F291)=6),cubic_spline(F279:F285,A279:A285,B$9),IF(AND(COUNT(A280:A291)=7,COUNT(F280:F291)=7),cubic_spline(F279:F286,A279:A286,B$9),IF(AND(COUNT(A280:A291)=8,COUNT(F280:F291)=8),cubic_spline(F279:F287,A279:A287,B$9),IF(AND(COUNT(A280:A291)=9,COUNT(F280:F291)=9),cubic_spline(F279:F288,A279:A288,B$9),IF(AND(COUNT(A280:A291)=10,COUNT(F280:F291)=10),cubic_spline(F279:F289,A279:A289,B$9),IF(AND(COUNT(A280:A291)=11,COUNT(F280:F291)=11),cubic_spline(F279:F290,A279:A290,B$9),IF(AND(COUNT(A280:A291)=12,COUNT(F280:F291)=12),cubic_spline(F279:F291,A279:A291,B$9),""))))))))))))</f>
        <v/>
      </c>
      <c r="L285" s="27" t="str">
        <f>IF(I285="","",B$8&amp;"-"&amp;B$9)</f>
        <v/>
      </c>
      <c r="M285" s="52" t="str">
        <f t="shared" ref="M285:M291" si="105">IF(N(J285)=0,"",J285-J284)</f>
        <v/>
      </c>
    </row>
    <row r="286" spans="1:13" x14ac:dyDescent="0.35">
      <c r="A286" s="48"/>
      <c r="B286" s="48"/>
      <c r="C286" s="49"/>
      <c r="D286" s="50"/>
      <c r="E286" s="51" t="str">
        <f t="shared" si="104"/>
        <v/>
      </c>
      <c r="F286" s="71" t="str">
        <f t="shared" si="101"/>
        <v/>
      </c>
      <c r="G286" s="69" t="str">
        <f t="shared" si="103"/>
        <v/>
      </c>
      <c r="H286" s="70" t="str">
        <f t="shared" si="102"/>
        <v/>
      </c>
      <c r="I286" s="27" t="str">
        <f>IF(N(J286)=0,"",0&amp;"-"&amp;B$10)</f>
        <v/>
      </c>
      <c r="J286" s="52" t="str">
        <f>IF(N(B$10)=0,"",IF(AND(COUNT(H280:H291)=2,COUNT(F280:F291)=2),cubic_spline(F279:F281,H279:H281,B$10),IF(AND(COUNT(H280:H291)=3,COUNT(F280:F291)=3),cubic_spline(F279:F282,H279:H282,B$10),IF(AND(COUNT(H280:H291)=4,COUNT(F280:F291)=4),cubic_spline(F279:F283,H279:H283,B$10),IF(AND(COUNT(H280:H291)=5,COUNT(F280:F291)=5),cubic_spline(F279:F284,H279:H284,B$10),IF(AND(COUNT(H280:H291)=6,COUNT(F280:F291)=6),cubic_spline(F279:F285,H279:H285,B$10),IF(AND(COUNT(H280:H291)=7,COUNT(F280:F291)=7),cubic_spline(F279:F286,H279:H286,B$10),IF(AND(COUNT(H280:H291)=8,COUNT(F280:F291)=8),cubic_spline(F279:F287,H279:H287,B$10),IF(AND(COUNT(H280:H291)=9,COUNT(F280:F291)=9),cubic_spline(F279:F288,H279:H288,B$10),IF(AND(COUNT(H280:H291)=10,COUNT(F280:F291)=10),cubic_spline(F279:F289,H279:H289,B$10),IF(AND(COUNT(H280:H291)=11,COUNT(F280:F291)=11),cubic_spline(F279:F290,H279:H290,B$10),IF(AND(COUNT(H280:H291)=12,COUNT(F280:F291)=12),cubic_spline(F279:F291,H279:H291,B$10),""))))))))))))</f>
        <v/>
      </c>
      <c r="K286" s="52" t="str">
        <f>IF(N(B$10)=0,"",IF(AND(COUNT(A280:A291)=2,COUNT(F280:F291)=2),cubic_spline(F279:F281,A279:A281,B$10),IF(AND(COUNT(A280:A291)=3,COUNT(F280:F291)=3),cubic_spline(F279:F282,A279:A282,B$10),IF(AND(COUNT(A280:A291)=4,COUNT(F280:F291)=4),cubic_spline(F279:F283,A279:A283,B$10),IF(AND(COUNT(A280:A291)=5,COUNT(F280:F291)=5),cubic_spline(F279:F284,A279:A284,B$10),IF(AND(COUNT(A280:A291)=6,COUNT(F280:F291)=6),cubic_spline(F279:F285,A279:A285,B$10),IF(AND(COUNT(A280:A291)=7,COUNT(F280:F291)=7),cubic_spline(F279:F286,A279:A286,B$10),IF(AND(COUNT(A280:A291)=8,COUNT(F280:F291)=8),cubic_spline(F279:F287,A279:A287,B$10),IF(AND(COUNT(A280:A291)=9,COUNT(F280:F291)=9),cubic_spline(F279:F288,A279:A288,B$10),IF(AND(COUNT(A280:A291)=10,COUNT(F280:F291)=10),cubic_spline(F279:F289,A279:A289,B$10),IF(AND(COUNT(A280:A291)=11,COUNT(F280:F291)=11),cubic_spline(F279:F290,A279:A290,B$10),IF(AND(COUNT(A280:A291)=12,COUNT(F280:F291)=12),cubic_spline(F279:F291,A279:A291,B$10),""))))))))))))</f>
        <v/>
      </c>
      <c r="L286" s="27" t="str">
        <f>IF(I286="","",B$9&amp;"-"&amp;B$10)</f>
        <v/>
      </c>
      <c r="M286" s="52" t="str">
        <f t="shared" si="105"/>
        <v/>
      </c>
    </row>
    <row r="287" spans="1:13" x14ac:dyDescent="0.35">
      <c r="A287" s="48"/>
      <c r="B287" s="48"/>
      <c r="C287" s="49"/>
      <c r="D287" s="50"/>
      <c r="E287" s="51" t="str">
        <f t="shared" si="104"/>
        <v/>
      </c>
      <c r="F287" s="71" t="str">
        <f t="shared" si="101"/>
        <v/>
      </c>
      <c r="G287" s="69" t="str">
        <f t="shared" si="103"/>
        <v/>
      </c>
      <c r="H287" s="70" t="str">
        <f t="shared" si="102"/>
        <v/>
      </c>
      <c r="I287" s="27" t="str">
        <f>IF(N(J287)=0,"",0&amp;"-"&amp;B$11)</f>
        <v/>
      </c>
      <c r="J287" s="52" t="str">
        <f>IF(N(B$11)=0,"",IF(AND(COUNT(H280:H291)=2,COUNT(F280:F291)=2),cubic_spline(F279:F281,H279:H281,B$11),IF(AND(COUNT(H280:H291)=3,COUNT(F280:F291)=3),cubic_spline(F279:F282,H279:H282,B$11),IF(AND(COUNT(H280:H291)=4,COUNT(F280:F291)=4),cubic_spline(F279:F283,H279:H283,B$11),IF(AND(COUNT(H280:H291)=5,COUNT(F280:F291)=5),cubic_spline(F279:F284,H279:H284,B$11),IF(AND(COUNT(H280:H291)=6,COUNT(F280:F291)=6),cubic_spline(F279:F285,H279:H285,B$11),IF(AND(COUNT(H280:H291)=7,COUNT(F280:F291)=7),cubic_spline(F279:F286,H279:H286,B$11),IF(AND(COUNT(H280:H291)=8,COUNT(F280:F291)=8),cubic_spline(F279:F287,H279:H287,B$11),IF(AND(COUNT(H280:H291)=9,COUNT(F280:F291)=9),cubic_spline(F279:F288,H279:H288,B$11),IF(AND(COUNT(H280:H291)=10,COUNT(F280:F291)=10),cubic_spline(F279:F289,H279:H289,B$11),IF(AND(COUNT(H280:H291)=11,COUNT(F280:F291)=11),cubic_spline(F279:F290,H279:H290,B$11),IF(AND(COUNT(H280:H291)=12,COUNT(F280:F291)=12),cubic_spline(F279:F291,H279:H291,B$11),""))))))))))))</f>
        <v/>
      </c>
      <c r="K287" s="52" t="str">
        <f>IF(N(B$11)=0,"",IF(AND(COUNT(A280:A291)=2,COUNT(F280:F291)=2),cubic_spline(F279:F281,A279:A281,B$11),IF(AND(COUNT(A280:A291)=3,COUNT(F280:F291)=3),cubic_spline(F279:F282,A279:A282,B$11),IF(AND(COUNT(A280:A291)=4,COUNT(F280:F291)=4),cubic_spline(F279:F283,A279:A283,B$11),IF(AND(COUNT(A280:A291)=5,COUNT(F280:F291)=5),cubic_spline(F279:F284,A279:A284,B$11),IF(AND(COUNT(A280:A291)=6,COUNT(F280:F291)=6),cubic_spline(F279:F285,A279:A285,B$11),IF(AND(COUNT(A280:A291)=7,COUNT(F280:F291)=7),cubic_spline(F279:F286,A279:A286,B$11),IF(AND(COUNT(A280:A291)=8,COUNT(F280:F291)=8),cubic_spline(F279:F287,A279:A287,B$11),IF(AND(COUNT(A280:A291)=9,COUNT(F280:F291)=9),cubic_spline(F279:F288,A279:A288,B$11),IF(AND(COUNT(A280:A291)=10,COUNT(F280:F291)=10),cubic_spline(F279:F289,A279:A289,B$11),IF(AND(COUNT(A280:A291)=11,COUNT(F280:F291)=11),cubic_spline(F279:F290,A279:A290,B$11),IF(AND(COUNT(A280:A291)=12,COUNT(F280:F291)=12),cubic_spline(F279:F291,A279:A291,B$11),""))))))))))))</f>
        <v/>
      </c>
      <c r="L287" s="27" t="str">
        <f>IF(I287="","",B$10&amp;"-"&amp;B$11)</f>
        <v/>
      </c>
      <c r="M287" s="52" t="str">
        <f t="shared" si="105"/>
        <v/>
      </c>
    </row>
    <row r="288" spans="1:13" x14ac:dyDescent="0.35">
      <c r="A288" s="48"/>
      <c r="B288" s="48"/>
      <c r="C288" s="49"/>
      <c r="D288" s="50"/>
      <c r="E288" s="51" t="str">
        <f t="shared" si="104"/>
        <v/>
      </c>
      <c r="F288" s="71" t="str">
        <f t="shared" si="101"/>
        <v/>
      </c>
      <c r="G288" s="69" t="str">
        <f t="shared" si="103"/>
        <v/>
      </c>
      <c r="H288" s="70" t="str">
        <f t="shared" si="102"/>
        <v/>
      </c>
      <c r="I288" s="27" t="str">
        <f>IF(N(J288)=0,"",0&amp;"-"&amp;B$12)</f>
        <v/>
      </c>
      <c r="J288" s="52" t="str">
        <f>IF(N(B$12)=0,"",IF(AND(COUNT(H280:H291)=2,COUNT(F280:F291)=2),cubic_spline(F279:F281,H279:H281,B$12),IF(AND(COUNT(H280:H291)=3,COUNT(F280:F291)=3),cubic_spline(F279:F282,H279:H282,B$12),IF(AND(COUNT(H280:H291)=4,COUNT(F280:F291)=4),cubic_spline(F279:F283,H279:H283,B$12),IF(AND(COUNT(H280:H291)=5,COUNT(F280:F291)=5),cubic_spline(F279:F284,H279:H284,B$12),IF(AND(COUNT(H280:H291)=6,COUNT(F280:F291)=6),cubic_spline(F279:F285,H279:H285,B$12),IF(AND(COUNT(H280:H291)=7,COUNT(F280:F291)=7),cubic_spline(F279:F286,H279:H286,B$12),IF(AND(COUNT(H280:H291)=8,COUNT(F280:F291)=8),cubic_spline(F279:F287,H279:H287,B$12),IF(AND(COUNT(H280:H291)=9,COUNT(F280:F291)=9),cubic_spline(F279:F288,H279:H288,B$12),IF(AND(COUNT(H280:H291)=10,COUNT(F280:F291)=10),cubic_spline(F279:F289,H279:H289,B$12),IF(AND(COUNT(H280:H291)=11,COUNT(F280:F291)=11),cubic_spline(F279:F290,H279:H290,B$12),IF(AND(COUNT(H280:H291)=12,COUNT(F280:F291)=12),cubic_spline(F279:F291,H279:H291,B$12),""))))))))))))</f>
        <v/>
      </c>
      <c r="K288" s="52" t="str">
        <f>IF(N(B$12)=0,"",IF(AND(COUNT(A280:A291)=2,COUNT(F280:F291)=2),cubic_spline(F279:F281,A279:A281,B$12),IF(AND(COUNT(A280:A291)=3,COUNT(F280:F291)=3),cubic_spline(F279:F282,A279:A282,B$12),IF(AND(COUNT(A280:A291)=4,COUNT(F280:F291)=4),cubic_spline(F279:F283,A279:A283,B$12),IF(AND(COUNT(A280:A291)=5,COUNT(F280:F291)=5),cubic_spline(F279:F284,A279:A284,B$12),IF(AND(COUNT(A280:A291)=6,COUNT(F280:F291)=6),cubic_spline(F279:F285,A279:A285,B$12),IF(AND(COUNT(A280:A291)=7,COUNT(F280:F291)=7),cubic_spline(F279:F286,A279:A286,B$12),IF(AND(COUNT(A280:A291)=8,COUNT(F280:F291)=8),cubic_spline(F279:F287,A279:A287,B$12),IF(AND(COUNT(A280:A291)=9,COUNT(F280:F291)=9),cubic_spline(F279:F288,A279:A288,B$12),IF(AND(COUNT(A280:A291)=10,COUNT(F280:F291)=10),cubic_spline(F279:F289,A279:A289,B$12),IF(AND(COUNT(A280:A291)=11,COUNT(F280:F291)=11),cubic_spline(F279:F290,A279:A290,B$12),IF(AND(COUNT(A280:A291)=12,COUNT(F280:F291)=12),cubic_spline(F279:F291,A279:A291,B$12),""))))))))))))</f>
        <v/>
      </c>
      <c r="L288" s="27" t="str">
        <f>IF(I288="","",B$11&amp;"-"&amp;B$12)</f>
        <v/>
      </c>
      <c r="M288" s="52" t="str">
        <f t="shared" si="105"/>
        <v/>
      </c>
    </row>
    <row r="289" spans="1:13" x14ac:dyDescent="0.35">
      <c r="A289" s="48"/>
      <c r="B289" s="48"/>
      <c r="C289" s="49"/>
      <c r="D289" s="50"/>
      <c r="E289" s="51" t="str">
        <f t="shared" si="104"/>
        <v/>
      </c>
      <c r="F289" s="71" t="str">
        <f t="shared" si="101"/>
        <v/>
      </c>
      <c r="G289" s="69" t="str">
        <f t="shared" si="103"/>
        <v/>
      </c>
      <c r="H289" s="70" t="str">
        <f t="shared" si="102"/>
        <v/>
      </c>
      <c r="I289" s="27" t="str">
        <f>IF(N(J289)=0,"",0&amp;"-"&amp;B$13)</f>
        <v/>
      </c>
      <c r="J289" s="52" t="str">
        <f>IF(N(B$13)=0,"",IF(AND(COUNT(H280:H291)=2,COUNT(F280:F291)=2),cubic_spline(F279:F281,H279:H281,B$13),IF(AND(COUNT(H280:H291)=3,COUNT(F280:F291)=3),cubic_spline(F279:F282,H279:H282,B$13),IF(AND(COUNT(H280:H291)=4,COUNT(F280:F291)=4),cubic_spline(F279:F283,H279:H283,B$13),IF(AND(COUNT(H280:H291)=5,COUNT(F280:F291)=5),cubic_spline(F279:F284,H279:H284,B$13),IF(AND(COUNT(H280:H291)=6,COUNT(F280:F291)=6),cubic_spline(F279:F285,H279:H285,B$13),IF(AND(COUNT(H280:H291)=7,COUNT(F280:F291)=7),cubic_spline(F279:F286,H279:H286,B$13),IF(AND(COUNT(H280:H291)=8,COUNT(F280:F291)=8),cubic_spline(F279:F287,H279:H287,B$13),IF(AND(COUNT(H280:H291)=9,COUNT(F280:F291)=9),cubic_spline(F279:F288,H279:H288,B$13),IF(AND(COUNT(H280:H291)=10,COUNT(F280:F291)=10),cubic_spline(F279:F289,H279:H289,B$13),IF(AND(COUNT(H280:H291)=11,COUNT(F280:F291)=11),cubic_spline(F279:F290,H279:H290,B$13),IF(AND(COUNT(H280:H291)=12,COUNT(F280:F291)=12),cubic_spline(F279:F291,H279:H291,B$13),""))))))))))))</f>
        <v/>
      </c>
      <c r="K289" s="52" t="str">
        <f>IF(N(B$13)=0,"",IF(AND(COUNT(A280:A291)=2,COUNT(F280:F291)=2),cubic_spline(F279:F281,A279:A281,B$13),IF(AND(COUNT(A280:A291)=3,COUNT(F280:F291)=3),cubic_spline(F279:F282,A279:A282,B$13),IF(AND(COUNT(A280:A291)=4,COUNT(F280:F291)=4),cubic_spline(F279:F283,A279:A283,B$13),IF(AND(COUNT(A280:A291)=5,COUNT(F280:F291)=5),cubic_spline(F279:F284,A279:A284,B$13),IF(AND(COUNT(A280:A291)=6,COUNT(F280:F291)=6),cubic_spline(F279:F285,A279:A285,B$13),IF(AND(COUNT(A280:A291)=7,COUNT(F280:F291)=7),cubic_spline(F279:F286,A279:A286,B$13),IF(AND(COUNT(A280:A291)=8,COUNT(F280:F291)=8),cubic_spline(F279:F287,A279:A287,B$13),IF(AND(COUNT(A280:A291)=9,COUNT(F280:F291)=9),cubic_spline(F279:F288,A279:A288,B$13),IF(AND(COUNT(A280:A291)=10,COUNT(F280:F291)=10),cubic_spline(F279:F289,A279:A289,B$13),IF(AND(COUNT(A280:A291)=11,COUNT(F280:F291)=11),cubic_spline(F279:F290,A279:A290,B$13),IF(AND(COUNT(A280:A291)=12,COUNT(F280:F291)=12),cubic_spline(F279:F291,A279:A291,B$13),""))))))))))))</f>
        <v/>
      </c>
      <c r="L289" s="27" t="str">
        <f>IF(I289="","",B$12&amp;"-"&amp;B$13)</f>
        <v/>
      </c>
      <c r="M289" s="52" t="str">
        <f t="shared" si="105"/>
        <v/>
      </c>
    </row>
    <row r="290" spans="1:13" x14ac:dyDescent="0.35">
      <c r="A290" s="48"/>
      <c r="B290" s="48"/>
      <c r="C290" s="49"/>
      <c r="D290" s="50"/>
      <c r="E290" s="51" t="str">
        <f t="shared" si="104"/>
        <v/>
      </c>
      <c r="F290" s="71" t="str">
        <f t="shared" si="101"/>
        <v/>
      </c>
      <c r="G290" s="69" t="str">
        <f t="shared" si="103"/>
        <v/>
      </c>
      <c r="H290" s="70" t="str">
        <f t="shared" si="102"/>
        <v/>
      </c>
      <c r="I290" s="27" t="str">
        <f>IF(N(J290)=0,"",0&amp;"-"&amp;B$14)</f>
        <v/>
      </c>
      <c r="J290" s="52" t="str">
        <f>IF(N(B$14)=0,"",IF(AND(COUNT(H280:H291)=2,COUNT(F280:F291)=2),cubic_spline(F279:F281,H279:H281,B$14),IF(AND(COUNT(H280:H291)=3,COUNT(F280:F291)=3),cubic_spline(F279:F282,H279:H282,B$14),IF(AND(COUNT(H280:H291)=4,COUNT(F280:F291)=4),cubic_spline(F279:F283,H279:H283,B$14),IF(AND(COUNT(H280:H291)=5,COUNT(F280:F291)=5),cubic_spline(F279:F284,H279:H284,B$14),IF(AND(COUNT(H280:H291)=6,COUNT(F280:F291)=6),cubic_spline(F279:F285,H279:H285,B$14),IF(AND(COUNT(H280:H291)=7,COUNT(F280:F291)=7),cubic_spline(F279:F286,H279:H286,B$14),IF(AND(COUNT(H280:H291)=8,COUNT(F280:F291)=8),cubic_spline(F279:F287,H279:H287,B$14),IF(AND(COUNT(H280:H291)=9,COUNT(F280:F291)=9),cubic_spline(F279:F288,H279:H288,B$14),IF(AND(COUNT(H280:H291)=10,COUNT(F280:F291)=10),cubic_spline(F279:F289,H279:H289,B$14),IF(AND(COUNT(H280:H291)=11,COUNT(F280:F291)=11),cubic_spline(F279:F290,H279:H290,B$14),IF(AND(COUNT(H280:H291)=12,COUNT(F280:F291)=12),cubic_spline(F279:F291,H279:H291,B$14),""))))))))))))</f>
        <v/>
      </c>
      <c r="K290" s="52" t="str">
        <f>IF(N(B$14)=0,"",IF(AND(COUNT(A280:A291)=2,COUNT(F280:F291)=2),cubic_spline(F279:F281,A279:A281,B$14),IF(AND(COUNT(A280:A291)=3,COUNT(F280:F291)=3),cubic_spline(F279:F282,A279:A282,B$14),IF(AND(COUNT(A280:A291)=4,COUNT(F280:F291)=4),cubic_spline(F279:F283,A279:A283,B$14),IF(AND(COUNT(A280:A291)=5,COUNT(F280:F291)=5),cubic_spline(F279:F284,A279:A284,B$14),IF(AND(COUNT(A280:A291)=6,COUNT(F280:F291)=6),cubic_spline(F279:F285,A279:A285,B$14),IF(AND(COUNT(A280:A291)=7,COUNT(F280:F291)=7),cubic_spline(F279:F286,A279:A286,B$14),IF(AND(COUNT(A280:A291)=8,COUNT(F280:F291)=8),cubic_spline(F279:F287,A279:A287,B$14),IF(AND(COUNT(A280:A291)=9,COUNT(F280:F291)=9),cubic_spline(F279:F288,A279:A288,B$14),IF(AND(COUNT(A280:A291)=10,COUNT(F280:F291)=10),cubic_spline(F279:F289,A279:A289,B$14),IF(AND(COUNT(A280:A291)=11,COUNT(F280:F291)=11),cubic_spline(F279:F290,A279:A290,B$14),IF(AND(COUNT(A280:A291)=12,COUNT(F280:F291)=12),cubic_spline(F279:F291,A279:A291,B$14),""))))))))))))</f>
        <v/>
      </c>
      <c r="L290" s="27" t="str">
        <f>IF(I290="","",B$13&amp;"-"&amp;B$14)</f>
        <v/>
      </c>
      <c r="M290" s="52" t="str">
        <f t="shared" si="105"/>
        <v/>
      </c>
    </row>
    <row r="291" spans="1:13" x14ac:dyDescent="0.35">
      <c r="A291" s="48"/>
      <c r="B291" s="48"/>
      <c r="C291" s="49"/>
      <c r="D291" s="50"/>
      <c r="E291" s="51" t="str">
        <f t="shared" si="104"/>
        <v/>
      </c>
      <c r="F291" s="71" t="str">
        <f t="shared" si="101"/>
        <v/>
      </c>
      <c r="G291" s="69" t="str">
        <f t="shared" si="103"/>
        <v/>
      </c>
      <c r="H291" s="70" t="str">
        <f t="shared" si="102"/>
        <v/>
      </c>
      <c r="I291" s="27" t="str">
        <f>IF(N(J291)=0,"",0&amp;"-"&amp;B$15)</f>
        <v/>
      </c>
      <c r="J291" s="52" t="str">
        <f>IF(N(B$15)=0,"",IF(AND(COUNT(H280:H291)=2,COUNT(F280:F291)=2),cubic_spline(F279:F281,H279:H281,B$15),IF(AND(COUNT(H280:H291)=3,COUNT(F280:F291)=3),cubic_spline(F279:F282,H279:H282,B$15),IF(AND(COUNT(H280:H291)=4,COUNT(F280:F291)=4),cubic_spline(F279:F283,H279:H283,B$15),IF(AND(COUNT(H280:H291)=5,COUNT(F280:F291)=5),cubic_spline(F279:F284,H279:H284,B$15),IF(AND(COUNT(H280:H291)=6,COUNT(F280:F291)=6),cubic_spline(F279:F285,H279:H285,B$15),IF(AND(COUNT(H280:H291)=7,COUNT(F280:F291)=7),cubic_spline(F279:F286,H279:H286,B$15),IF(AND(COUNT(H280:H291)=8,COUNT(F280:F291)=8),cubic_spline(F279:F287,H279:H287,B$15),IF(AND(COUNT(H280:H291)=9,COUNT(F280:F291)=9),cubic_spline(F279:F288,H279:H288,B$15),IF(AND(COUNT(H280:H291)=10,COUNT(F280:F291)=10),cubic_spline(F279:F289,H279:H289,B$15),IF(AND(COUNT(H280:H291)=11,COUNT(F280:F291)=11),cubic_spline(F279:F290,H279:H290,B$15),IF(AND(COUNT(H280:H291)=12,COUNT(F280:F291)=12),cubic_spline(F279:F291,H279:H291,B$15),""))))))))))))</f>
        <v/>
      </c>
      <c r="K291" s="52" t="str">
        <f>IF(N(B$15)=0,"",IF(AND(COUNT(A280:A291)=2,COUNT(F280:F291)=2),cubic_spline(F279:F281,A279:A281,B$15),IF(AND(COUNT(A280:A291)=3,COUNT(F280:F291)=3),cubic_spline(F279:F282,A279:A282,B$15),IF(AND(COUNT(A280:A291)=4,COUNT(F280:F291)=4),cubic_spline(F279:F283,A279:A283,B$15),IF(AND(COUNT(A280:A291)=5,COUNT(F280:F291)=5),cubic_spline(F279:F284,A279:A284,B$15),IF(AND(COUNT(A280:A291)=6,COUNT(F280:F291)=6),cubic_spline(F279:F285,A279:A285,B$15),IF(AND(COUNT(A280:A291)=7,COUNT(F280:F291)=7),cubic_spline(F279:F286,A279:A286,B$15),IF(AND(COUNT(A280:A291)=8,COUNT(F280:F291)=8),cubic_spline(F279:F287,A279:A287,B$15),IF(AND(COUNT(A280:A291)=9,COUNT(F280:F291)=9),cubic_spline(F279:F288,A279:A288,B$15),IF(AND(COUNT(A280:A291)=10,COUNT(F280:F291)=10),cubic_spline(F279:F289,A279:A289,B$15),IF(AND(COUNT(A280:A291)=11,COUNT(F280:F291)=11),cubic_spline(F279:F290,A279:A290,B$15),IF(AND(COUNT(A280:A291)=12,COUNT(F280:F291)=12),cubic_spline(F279:F291,A279:A291,B$15),""))))))))))))</f>
        <v/>
      </c>
      <c r="L291" s="27" t="str">
        <f>IF(I291="","",B$14&amp;"-"&amp;B$15)</f>
        <v/>
      </c>
      <c r="M291" s="52" t="str">
        <f t="shared" si="105"/>
        <v/>
      </c>
    </row>
    <row r="292" spans="1:13" ht="5.15" customHeight="1" x14ac:dyDescent="0.35">
      <c r="A292" s="47"/>
      <c r="B292" s="47"/>
      <c r="C292" s="47"/>
      <c r="D292" s="53"/>
      <c r="E292" s="54"/>
      <c r="F292" s="55"/>
      <c r="G292" s="72"/>
      <c r="H292" s="73"/>
      <c r="I292" s="47"/>
      <c r="J292" s="57"/>
      <c r="K292" s="57"/>
      <c r="L292" s="55"/>
      <c r="M292" s="57"/>
    </row>
    <row r="293" spans="1:13" x14ac:dyDescent="0.35">
      <c r="A293" s="48"/>
      <c r="B293" s="48"/>
      <c r="C293" s="49"/>
      <c r="D293" s="50"/>
      <c r="E293" s="51" t="str">
        <f>IF(N(C293)=0,"",C293/PI()/($D$1/2)^2/$D$2*10000)</f>
        <v/>
      </c>
      <c r="F293" s="68" t="str">
        <f t="shared" ref="F293:F304" si="106">IF(N(E293)=0,"",(N(E293)+N(F292)))</f>
        <v/>
      </c>
      <c r="G293" s="69" t="str">
        <f>IF(OR(N(D293)=0,N(E293)=0),"",(E293*D293)/1000)</f>
        <v/>
      </c>
      <c r="H293" s="70" t="str">
        <f t="shared" ref="H293:H304" si="107">IF(N(G293)=0,"",(N(G293)+N(H292)))</f>
        <v/>
      </c>
      <c r="I293" s="27" t="str">
        <f>IF(N(J293)=0,"",0&amp;"-"&amp;B$4)</f>
        <v/>
      </c>
      <c r="J293" s="52" t="str">
        <f>IF(N(B$4)=0,"",IF(AND(COUNT(H293:H304)=2,COUNT(F293:F304)=2),cubic_spline(F292:F294,H292:H294,B$4),IF(AND(COUNT(H293:H304)=3,COUNT(F293:F304)=3),cubic_spline(F292:F295,H292:H295,B$4),IF(AND(COUNT(H293:H304)=4,COUNT(F293:F304)=4),cubic_spline(F292:F296,H292:H296,B$4),IF(AND(COUNT(H293:H304)=5,COUNT(F293:F304)=5),cubic_spline(F292:F297,H292:H297,B$4),IF(AND(COUNT(H293:H304)=6,COUNT(F293:F304)=6),cubic_spline(F292:F298,H292:H298,B$4),IF(AND(COUNT(H293:H304)=7,COUNT(F293:F304)=7),cubic_spline(F292:F299,H292:H299,B$4),IF(AND(COUNT(H293:H304)=8,COUNT(F293:F304)=8),cubic_spline(F292:F300,H292:H300,B$4),IF(AND(COUNT(H293:H304)=9,COUNT(F293:F304)=9),cubic_spline(F292:F301,H292:H301,B$4),IF(AND(COUNT(H293:H304)=10,COUNT(F293:F304)=10),cubic_spline(F292:F302,H292:H302,B$4),IF(AND(COUNT(H293:H304)=11,COUNT(F293:F304)=11),cubic_spline(F292:F303,H292:H303,B$4),IF(AND(COUNT(H293:H304)=12,COUNT(F293:F304)=12),cubic_spline(F292:F304,H292:H304,B$4),""))))))))))))</f>
        <v/>
      </c>
      <c r="K293" s="52" t="str">
        <f>IF(N(B$4)=0,"",IF(AND(COUNT(A293:A304)=2,COUNT(F293:F304)=2),cubic_spline(F292:F294,A292:A294,B$4),IF(AND(COUNT(A293:A304)=3,COUNT(F293:F304)=3),cubic_spline(F292:F295,A292:A295,B$4),IF(AND(COUNT(A293:A304)=4,COUNT(F293:F304)=4),cubic_spline(F292:F296,A292:A296,B$4),IF(AND(COUNT(A293:A304)=5,COUNT(F293:F304)=5),cubic_spline(F292:F297,A292:A297,B$4),IF(AND(COUNT(A293:A304)=6,COUNT(F293:F304)=6),cubic_spline(F292:F298,A292:A298,B$4),IF(AND(COUNT(A293:A304)=7,COUNT(F293:F304)=7),cubic_spline(F292:F299,A292:A299,B$4),IF(AND(COUNT(A293:A304)=8,COUNT(F293:F304)=8),cubic_spline(F292:F300,A292:A300,B$4),IF(AND(COUNT(A293:A304)=9,COUNT(F293:F304)=9),cubic_spline(F292:F301,A292:A301,B$4),IF(AND(COUNT(A293:A304)=10,COUNT(F293:F304)=10),cubic_spline(F292:F302,A292:A302,B$4),IF(AND(COUNT(A293:A304)=11,COUNT(F293:F304)=11),cubic_spline(F292:F303,A292:A303,B$4),IF(AND(COUNT(A293:A304)=12,COUNT(F293:F304)=12),cubic_spline(F292:F304,A292:A304,B$4),""))))))))))))</f>
        <v/>
      </c>
      <c r="L293" s="27" t="str">
        <f>IF(I293="","",0&amp;"-"&amp;B$4)</f>
        <v/>
      </c>
      <c r="M293" s="52" t="str">
        <f>IF(N(J293)=0,"",J293-J292)</f>
        <v/>
      </c>
    </row>
    <row r="294" spans="1:13" x14ac:dyDescent="0.35">
      <c r="A294" s="48"/>
      <c r="B294" s="48"/>
      <c r="C294" s="49"/>
      <c r="D294" s="50"/>
      <c r="E294" s="51" t="str">
        <f>IF(N(C294)=0,"",C294/PI()/($D$1/2)^2/$D$2*10000)</f>
        <v/>
      </c>
      <c r="F294" s="68" t="str">
        <f t="shared" si="106"/>
        <v/>
      </c>
      <c r="G294" s="69" t="str">
        <f t="shared" ref="G294:G304" si="108">IF(OR(N(D294)=0,N(E294)=0),"",(E294*D294)/1000)</f>
        <v/>
      </c>
      <c r="H294" s="70" t="str">
        <f t="shared" si="107"/>
        <v/>
      </c>
      <c r="I294" s="27" t="str">
        <f>IF(N(J294)=0,"",0&amp;"-"&amp;B$5)</f>
        <v/>
      </c>
      <c r="J294" s="52" t="str">
        <f>IF(N(B$5)=0,"",IF(AND(COUNT(H293:H304)=2,COUNT(F293:F304)=2),cubic_spline(F292:F294,H292:H294,B$5),IF(AND(COUNT(H293:H304)=3,COUNT(F293:F304)=3),cubic_spline(F292:F295,H292:H295,B$5),IF(AND(COUNT(H293:H304)=4,COUNT(F293:F304)=4),cubic_spline(F292:F296,H292:H296,B$5),IF(AND(COUNT(H293:H304)=5,COUNT(F293:F304)=5),cubic_spline(F292:F297,H292:H297,B$5),IF(AND(COUNT(H293:H304)=6,COUNT(F293:F304)=6),cubic_spline(F292:F298,H292:H298,B$5),IF(AND(COUNT(H293:H304)=7,COUNT(F293:F304)=7),cubic_spline(F292:F299,H292:H299,B$5),IF(AND(COUNT(H293:H304)=8,COUNT(F293:F304)=8),cubic_spline(F292:F300,H292:H300,B$5),IF(AND(COUNT(H293:H304)=9,COUNT(F293:F304)=9),cubic_spline(F292:F301,H292:H301,B$5),IF(AND(COUNT(H293:H304)=10,COUNT(F293:F304)=10),cubic_spline(F292:F302,H292:H302,B$5),IF(AND(COUNT(H293:H304)=11,COUNT(F293:F304)=11),cubic_spline(F292:F303,H292:H303,B$5),IF(AND(COUNT(H293:H304)=12,COUNT(F293:F304)=12),cubic_spline(F292:F304,H292:H304,B$5),""))))))))))))</f>
        <v/>
      </c>
      <c r="K294" s="52" t="str">
        <f>IF(N(B$5)=0,"",IF(AND(COUNT(A293:A304)=2,COUNT(F293:F304)=2),cubic_spline(F292:F294,A292:A294,B$5),IF(AND(COUNT(A293:A304)=3,COUNT(F293:F304)=3),cubic_spline(F292:F295,A292:A295,B$5),IF(AND(COUNT(A293:A304)=4,COUNT(F293:F304)=4),cubic_spline(F292:F296,A292:A296,B$5),IF(AND(COUNT(A293:A304)=5,COUNT(F293:F304)=5),cubic_spline(F292:F297,A292:A297,B$5),IF(AND(COUNT(A293:A304)=6,COUNT(F293:F304)=6),cubic_spline(F292:F298,A292:A298,B$5),IF(AND(COUNT(A293:A304)=7,COUNT(F293:F304)=7),cubic_spline(F292:F299,A292:A299,B$5),IF(AND(COUNT(A293:A304)=8,COUNT(F293:F304)=8),cubic_spline(F292:F300,A292:A300,B$5),IF(AND(COUNT(A293:A304)=9,COUNT(F293:F304)=9),cubic_spline(F292:F301,A292:A301,B$5),IF(AND(COUNT(A293:A304)=10,COUNT(F293:F304)=10),cubic_spline(F292:F302,A292:A302,B$5),IF(AND(COUNT(A293:A304)=11,COUNT(F293:F304)=11),cubic_spline(F292:F303,A292:A303,B$5),IF(AND(COUNT(A293:A304)=12,COUNT(F293:F304)=12),cubic_spline(F292:F304,A292:A304,B$5),""))))))))))))</f>
        <v/>
      </c>
      <c r="L294" s="27" t="str">
        <f>IF(I294="","",B$4&amp;"-"&amp;B$5)</f>
        <v/>
      </c>
      <c r="M294" s="52" t="str">
        <f>IF(N(J294)=0,"",J294-J293)</f>
        <v/>
      </c>
    </row>
    <row r="295" spans="1:13" x14ac:dyDescent="0.35">
      <c r="A295" s="48"/>
      <c r="B295" s="48"/>
      <c r="C295" s="49"/>
      <c r="D295" s="50"/>
      <c r="E295" s="51" t="str">
        <f>IF(N(C295)=0,"",C295/PI()/($D$1/2)^2/$D$2*10000)</f>
        <v/>
      </c>
      <c r="F295" s="68" t="str">
        <f t="shared" si="106"/>
        <v/>
      </c>
      <c r="G295" s="69" t="str">
        <f t="shared" si="108"/>
        <v/>
      </c>
      <c r="H295" s="70" t="str">
        <f t="shared" si="107"/>
        <v/>
      </c>
      <c r="I295" s="27" t="str">
        <f>IF(N(J295)=0,"",0&amp;"-"&amp;B$6)</f>
        <v/>
      </c>
      <c r="J295" s="52" t="str">
        <f>IF(N(B$6)=0,"",IF(AND(COUNT(H293:H304)=2,COUNT(F293:F304)=2),cubic_spline(F292:F294,H292:H294,B$6),IF(AND(COUNT(H293:H304)=3,COUNT(F293:F304)=3),cubic_spline(F292:F295,H292:H295,B$6),IF(AND(COUNT(H293:H304)=4,COUNT(F293:F304)=4),cubic_spline(F292:F296,H292:H296,B$6),IF(AND(COUNT(H293:H304)=5,COUNT(F293:F304)=5),cubic_spline(F292:F297,H292:H297,B$6),IF(AND(COUNT(H293:H304)=6,COUNT(F293:F304)=6),cubic_spline(F292:F298,H292:H298,B$6),IF(AND(COUNT(H293:H304)=7,COUNT(F293:F304)=7),cubic_spline(F292:F299,H292:H299,B$6),IF(AND(COUNT(H293:H304)=8,COUNT(F293:F304)=8),cubic_spline(F292:F300,H292:H300,B$6),IF(AND(COUNT(H293:H304)=9,COUNT(F293:F304)=9),cubic_spline(F292:F301,H292:H301,B$6),IF(AND(COUNT(H293:H304)=10,COUNT(F293:F304)=10),cubic_spline(F292:F302,H292:H302,B$6),IF(AND(COUNT(H293:H304)=11,COUNT(F293:F304)=11),cubic_spline(F292:F303,H292:H303,B$6),IF(AND(COUNT(H293:H304)=12,COUNT(F293:F304)=12),cubic_spline(F292:F304,H292:H304,B$6),""))))))))))))</f>
        <v/>
      </c>
      <c r="K295" s="52" t="str">
        <f>IF(N(B$6)=0,"",IF(AND(COUNT(A293:A304)=2,COUNT(F293:F304)=2),cubic_spline(F292:F294,A292:A294,B$6),IF(AND(COUNT(A293:A304)=3,COUNT(F293:F304)=3),cubic_spline(F292:F295,A292:A295,B$6),IF(AND(COUNT(A293:A304)=4,COUNT(F293:F304)=4),cubic_spline(F292:F296,A292:A296,B$6),IF(AND(COUNT(A293:A304)=5,COUNT(F293:F304)=5),cubic_spline(F292:F297,A292:A297,B$6),IF(AND(COUNT(A293:A304)=6,COUNT(F293:F304)=6),cubic_spline(F292:F298,A292:A298,B$6),IF(AND(COUNT(A293:A304)=7,COUNT(F293:F304)=7),cubic_spline(F292:F299,A292:A299,B$6),IF(AND(COUNT(A293:A304)=8,COUNT(F293:F304)=8),cubic_spline(F292:F300,A292:A300,B$6),IF(AND(COUNT(A293:A304)=9,COUNT(F293:F304)=9),cubic_spline(F292:F301,A292:A301,B$6),IF(AND(COUNT(A293:A304)=10,COUNT(F293:F304)=10),cubic_spline(F292:F302,A292:A302,B$6),IF(AND(COUNT(A293:A304)=11,COUNT(F293:F304)=11),cubic_spline(F292:F303,A292:A303,B$6),IF(AND(COUNT(A293:A304)=12,COUNT(F293:F304)=12),cubic_spline(F292:F304,A292:A304,B$6),""))))))))))))</f>
        <v/>
      </c>
      <c r="L295" s="27" t="str">
        <f>IF(I295="","",B$5&amp;"-"&amp;B$6)</f>
        <v/>
      </c>
      <c r="M295" s="52" t="str">
        <f>IF(N(J295)=0,"",J295-J294)</f>
        <v/>
      </c>
    </row>
    <row r="296" spans="1:13" x14ac:dyDescent="0.35">
      <c r="A296" s="48"/>
      <c r="B296" s="48"/>
      <c r="C296" s="49"/>
      <c r="D296" s="50"/>
      <c r="E296" s="51" t="str">
        <f>IF(N(C296)=0,"",C296/PI()/($D$1/2)^2/$D$2*10000)</f>
        <v/>
      </c>
      <c r="F296" s="68" t="str">
        <f t="shared" si="106"/>
        <v/>
      </c>
      <c r="G296" s="69" t="str">
        <f t="shared" si="108"/>
        <v/>
      </c>
      <c r="H296" s="70" t="str">
        <f t="shared" si="107"/>
        <v/>
      </c>
      <c r="I296" s="27" t="str">
        <f>IF(N(J296)=0,"",0&amp;"-"&amp;B$7)</f>
        <v/>
      </c>
      <c r="J296" s="52" t="str">
        <f>IF(N(B$7)=0,"",IF(AND(COUNT(H293:H304)=2,COUNT(F293:F304)=2),cubic_spline(F292:F294,H292:H294,B$7),IF(AND(COUNT(H293:H304)=3,COUNT(F293:F304)=3),cubic_spline(F292:F295,H292:H295,B$7),IF(AND(COUNT(H293:H304)=4,COUNT(F293:F304)=4),cubic_spline(F292:F296,H292:H296,B$7),IF(AND(COUNT(H293:H304)=5,COUNT(F293:F304)=5),cubic_spline(F292:F297,H292:H297,B$7),IF(AND(COUNT(H293:H304)=6,COUNT(F293:F304)=6),cubic_spline(F292:F298,H292:H298,B$7),IF(AND(COUNT(H293:H304)=7,COUNT(F293:F304)=7),cubic_spline(F292:F299,H292:H299,B$7),IF(AND(COUNT(H293:H304)=8,COUNT(F293:F304)=8),cubic_spline(F292:F300,H292:H300,B$7),IF(AND(COUNT(H293:H304)=9,COUNT(F293:F304)=9),cubic_spline(F292:F301,H292:H301,B$7),IF(AND(COUNT(H293:H304)=10,COUNT(F293:F304)=10),cubic_spline(F292:F302,H292:H302,B$7),IF(AND(COUNT(H293:H304)=11,COUNT(F293:F304)=11),cubic_spline(F292:F303,H292:H303,B$7),IF(AND(COUNT(H293:H304)=12,COUNT(F293:F304)=12),cubic_spline(F292:F304,H292:H304,B$7),""))))))))))))</f>
        <v/>
      </c>
      <c r="K296" s="52" t="str">
        <f>IF(N(B$7)=0,"",IF(AND(COUNT(A293:A304)=2,COUNT(F293:F304)=2),cubic_spline(F292:F294,A292:A294,B$7),IF(AND(COUNT(A293:A304)=3,COUNT(F293:F304)=3),cubic_spline(F292:F295,A292:A295,B$7),IF(AND(COUNT(A293:A304)=4,COUNT(F293:F304)=4),cubic_spline(F292:F296,A292:A296,B$7),IF(AND(COUNT(A293:A304)=5,COUNT(F293:F304)=5),cubic_spline(F292:F297,A292:A297,B$7),IF(AND(COUNT(A293:A304)=6,COUNT(F293:F304)=6),cubic_spline(F292:F298,A292:A298,B$7),IF(AND(COUNT(A293:A304)=7,COUNT(F293:F304)=7),cubic_spline(F292:F299,A292:A299,B$7),IF(AND(COUNT(A293:A304)=8,COUNT(F293:F304)=8),cubic_spline(F292:F300,A292:A300,B$7),IF(AND(COUNT(A293:A304)=9,COUNT(F293:F304)=9),cubic_spline(F292:F301,A292:A301,B$7),IF(AND(COUNT(A293:A304)=10,COUNT(F293:F304)=10),cubic_spline(F292:F302,A292:A302,B$7),IF(AND(COUNT(A293:A304)=11,COUNT(F293:F304)=11),cubic_spline(F292:F303,A292:A303,B$7),IF(AND(COUNT(A293:A304)=12,COUNT(F293:F304)=12),cubic_spline(F292:F304,A292:A304,B$7),""))))))))))))</f>
        <v/>
      </c>
      <c r="L296" s="27" t="str">
        <f>IF(I296="","",B$6&amp;"-"&amp;B$7)</f>
        <v/>
      </c>
      <c r="M296" s="52" t="str">
        <f>IF(N(J296)=0,"",J296-J295)</f>
        <v/>
      </c>
    </row>
    <row r="297" spans="1:13" x14ac:dyDescent="0.35">
      <c r="A297" s="48"/>
      <c r="B297" s="48"/>
      <c r="C297" s="49"/>
      <c r="D297" s="50"/>
      <c r="E297" s="51" t="str">
        <f t="shared" ref="E297:E304" si="109">IF(N(C297)=0,"",C297/PI()/($D$1/2)^2/$D$2*10000)</f>
        <v/>
      </c>
      <c r="F297" s="71" t="str">
        <f t="shared" si="106"/>
        <v/>
      </c>
      <c r="G297" s="69" t="str">
        <f t="shared" si="108"/>
        <v/>
      </c>
      <c r="H297" s="70" t="str">
        <f t="shared" si="107"/>
        <v/>
      </c>
      <c r="I297" s="27" t="str">
        <f>IF(N(J297)=0,"",0&amp;"-"&amp;B$8)</f>
        <v/>
      </c>
      <c r="J297" s="52" t="str">
        <f>IF(N(B$8)=0,"",IF(AND(COUNT(H293:H304)=2,COUNT(F293:F304)=2),cubic_spline(F292:F294,H292:H294,B$8),IF(AND(COUNT(H293:H304)=3,COUNT(F293:F304)=3),cubic_spline(F292:F295,H292:H295,B$8),IF(AND(COUNT(H293:H304)=4,COUNT(F293:F304)=4),cubic_spline(F292:F296,H292:H296,B$8),IF(AND(COUNT(H293:H304)=5,COUNT(F293:F304)=5),cubic_spline(F292:F297,H292:H297,B$8),IF(AND(COUNT(H293:H304)=6,COUNT(F293:F304)=6),cubic_spline(F292:F298,H292:H298,B$8),IF(AND(COUNT(H293:H304)=7,COUNT(F293:F304)=7),cubic_spline(F292:F299,H292:H299,B$8),IF(AND(COUNT(H293:H304)=8,COUNT(F293:F304)=8),cubic_spline(F292:F300,H292:H300,B$8),IF(AND(COUNT(H293:H304)=9,COUNT(F293:F304)=9),cubic_spline(F292:F301,H292:H301,B$8),IF(AND(COUNT(H293:H304)=10,COUNT(F293:F304)=10),cubic_spline(F292:F302,H292:H302,B$8),IF(AND(COUNT(H293:H304)=11,COUNT(F293:F304)=11),cubic_spline(F292:F303,H292:H303,B$8),IF(AND(COUNT(H293:H304)=12,COUNT(F293:F304)=12),cubic_spline(F292:F304,H292:H304,B$8),""))))))))))))</f>
        <v/>
      </c>
      <c r="K297" s="52" t="str">
        <f>IF(N(B$8)=0,"",IF(AND(COUNT(A293:A304)=2,COUNT(F293:F304)=2),cubic_spline(F292:F294,A292:A294,B$8),IF(AND(COUNT(A293:A304)=3,COUNT(F293:F304)=3),cubic_spline(F292:F295,A292:A295,B$8),IF(AND(COUNT(A293:A304)=4,COUNT(F293:F304)=4),cubic_spline(F292:F296,A292:A296,B$8),IF(AND(COUNT(A293:A304)=5,COUNT(F293:F304)=5),cubic_spline(F292:F297,A292:A297,B$8),IF(AND(COUNT(A293:A304)=6,COUNT(F293:F304)=6),cubic_spline(F292:F298,A292:A298,B$8),IF(AND(COUNT(A293:A304)=7,COUNT(F293:F304)=7),cubic_spline(F292:F299,A292:A299,B$8),IF(AND(COUNT(A293:A304)=8,COUNT(F293:F304)=8),cubic_spline(F292:F300,A292:A300,B$8),IF(AND(COUNT(A293:A304)=9,COUNT(F293:F304)=9),cubic_spline(F292:F301,A292:A301,B$8),IF(AND(COUNT(A293:A304)=10,COUNT(F293:F304)=10),cubic_spline(F292:F302,A292:A302,B$8),IF(AND(COUNT(A293:A304)=11,COUNT(F293:F304)=11),cubic_spline(F292:F303,A292:A303,B$8),IF(AND(COUNT(A293:A304)=12,COUNT(F293:F304)=12),cubic_spline(F292:F304,A292:A304,B$8),""))))))))))))</f>
        <v/>
      </c>
      <c r="L297" s="27" t="str">
        <f>IF(I297="","",B$7&amp;"-"&amp;B$8)</f>
        <v/>
      </c>
      <c r="M297" s="52" t="str">
        <f>IF(N(J297)=0,"",J297-J296)</f>
        <v/>
      </c>
    </row>
    <row r="298" spans="1:13" x14ac:dyDescent="0.35">
      <c r="A298" s="48"/>
      <c r="B298" s="48"/>
      <c r="C298" s="49"/>
      <c r="D298" s="50"/>
      <c r="E298" s="51" t="str">
        <f t="shared" si="109"/>
        <v/>
      </c>
      <c r="F298" s="71" t="str">
        <f t="shared" si="106"/>
        <v/>
      </c>
      <c r="G298" s="69" t="str">
        <f t="shared" si="108"/>
        <v/>
      </c>
      <c r="H298" s="70" t="str">
        <f t="shared" si="107"/>
        <v/>
      </c>
      <c r="I298" s="27" t="str">
        <f>IF(N(J298)=0,"",0&amp;"-"&amp;B$9)</f>
        <v/>
      </c>
      <c r="J298" s="52" t="str">
        <f>IF(N(B$9)=0,"",IF(AND(COUNT(H293:H304)=2,COUNT(F293:F304)=2),cubic_spline(F292:F294,H292:H294,B$9),IF(AND(COUNT(H293:H304)=3,COUNT(F293:F304)=3),cubic_spline(F292:F295,H292:H295,B$9),IF(AND(COUNT(H293:H304)=4,COUNT(F293:F304)=4),cubic_spline(F292:F296,H292:H296,B$9),IF(AND(COUNT(H293:H304)=5,COUNT(F293:F304)=5),cubic_spline(F292:F297,H292:H297,B$9),IF(AND(COUNT(H293:H304)=6,COUNT(F293:F304)=6),cubic_spline(F292:F298,H292:H298,B$9),IF(AND(COUNT(H293:H304)=7,COUNT(F293:F304)=7),cubic_spline(F292:F299,H292:H299,B$9),IF(AND(COUNT(H293:H304)=8,COUNT(F293:F304)=8),cubic_spline(F292:F300,H292:H300,B$9),IF(AND(COUNT(H293:H304)=9,COUNT(F293:F304)=9),cubic_spline(F292:F301,H292:H301,B$9),IF(AND(COUNT(H293:H304)=10,COUNT(F293:F304)=10),cubic_spline(F292:F302,H292:H302,B$9),IF(AND(COUNT(H293:H304)=11,COUNT(F293:F304)=11),cubic_spline(F292:F303,H292:H303,B$9),IF(AND(COUNT(H293:H304)=12,COUNT(F293:F304)=12),cubic_spline(F292:F304,H292:H304,B$9),""))))))))))))</f>
        <v/>
      </c>
      <c r="K298" s="52" t="str">
        <f>IF(N(B$9)=0,"",IF(AND(COUNT(A293:A304)=2,COUNT(F293:F304)=2),cubic_spline(F292:F294,A292:A294,B$9),IF(AND(COUNT(A293:A304)=3,COUNT(F293:F304)=3),cubic_spline(F292:F295,A292:A295,B$9),IF(AND(COUNT(A293:A304)=4,COUNT(F293:F304)=4),cubic_spline(F292:F296,A292:A296,B$9),IF(AND(COUNT(A293:A304)=5,COUNT(F293:F304)=5),cubic_spline(F292:F297,A292:A297,B$9),IF(AND(COUNT(A293:A304)=6,COUNT(F293:F304)=6),cubic_spline(F292:F298,A292:A298,B$9),IF(AND(COUNT(A293:A304)=7,COUNT(F293:F304)=7),cubic_spline(F292:F299,A292:A299,B$9),IF(AND(COUNT(A293:A304)=8,COUNT(F293:F304)=8),cubic_spline(F292:F300,A292:A300,B$9),IF(AND(COUNT(A293:A304)=9,COUNT(F293:F304)=9),cubic_spline(F292:F301,A292:A301,B$9),IF(AND(COUNT(A293:A304)=10,COUNT(F293:F304)=10),cubic_spline(F292:F302,A292:A302,B$9),IF(AND(COUNT(A293:A304)=11,COUNT(F293:F304)=11),cubic_spline(F292:F303,A292:A303,B$9),IF(AND(COUNT(A293:A304)=12,COUNT(F293:F304)=12),cubic_spline(F292:F304,A292:A304,B$9),""))))))))))))</f>
        <v/>
      </c>
      <c r="L298" s="27" t="str">
        <f>IF(I298="","",B$8&amp;"-"&amp;B$9)</f>
        <v/>
      </c>
      <c r="M298" s="52" t="str">
        <f t="shared" ref="M298:M304" si="110">IF(N(J298)=0,"",J298-J297)</f>
        <v/>
      </c>
    </row>
    <row r="299" spans="1:13" x14ac:dyDescent="0.35">
      <c r="A299" s="48"/>
      <c r="B299" s="48"/>
      <c r="C299" s="49"/>
      <c r="D299" s="50"/>
      <c r="E299" s="51" t="str">
        <f t="shared" si="109"/>
        <v/>
      </c>
      <c r="F299" s="71" t="str">
        <f t="shared" si="106"/>
        <v/>
      </c>
      <c r="G299" s="69" t="str">
        <f t="shared" si="108"/>
        <v/>
      </c>
      <c r="H299" s="70" t="str">
        <f t="shared" si="107"/>
        <v/>
      </c>
      <c r="I299" s="27" t="str">
        <f>IF(N(J299)=0,"",0&amp;"-"&amp;B$10)</f>
        <v/>
      </c>
      <c r="J299" s="52" t="str">
        <f>IF(N(B$10)=0,"",IF(AND(COUNT(H293:H304)=2,COUNT(F293:F304)=2),cubic_spline(F292:F294,H292:H294,B$10),IF(AND(COUNT(H293:H304)=3,COUNT(F293:F304)=3),cubic_spline(F292:F295,H292:H295,B$10),IF(AND(COUNT(H293:H304)=4,COUNT(F293:F304)=4),cubic_spline(F292:F296,H292:H296,B$10),IF(AND(COUNT(H293:H304)=5,COUNT(F293:F304)=5),cubic_spline(F292:F297,H292:H297,B$10),IF(AND(COUNT(H293:H304)=6,COUNT(F293:F304)=6),cubic_spline(F292:F298,H292:H298,B$10),IF(AND(COUNT(H293:H304)=7,COUNT(F293:F304)=7),cubic_spline(F292:F299,H292:H299,B$10),IF(AND(COUNT(H293:H304)=8,COUNT(F293:F304)=8),cubic_spline(F292:F300,H292:H300,B$10),IF(AND(COUNT(H293:H304)=9,COUNT(F293:F304)=9),cubic_spline(F292:F301,H292:H301,B$10),IF(AND(COUNT(H293:H304)=10,COUNT(F293:F304)=10),cubic_spline(F292:F302,H292:H302,B$10),IF(AND(COUNT(H293:H304)=11,COUNT(F293:F304)=11),cubic_spline(F292:F303,H292:H303,B$10),IF(AND(COUNT(H293:H304)=12,COUNT(F293:F304)=12),cubic_spline(F292:F304,H292:H304,B$10),""))))))))))))</f>
        <v/>
      </c>
      <c r="K299" s="52" t="str">
        <f>IF(N(B$10)=0,"",IF(AND(COUNT(A293:A304)=2,COUNT(F293:F304)=2),cubic_spline(F292:F294,A292:A294,B$10),IF(AND(COUNT(A293:A304)=3,COUNT(F293:F304)=3),cubic_spline(F292:F295,A292:A295,B$10),IF(AND(COUNT(A293:A304)=4,COUNT(F293:F304)=4),cubic_spline(F292:F296,A292:A296,B$10),IF(AND(COUNT(A293:A304)=5,COUNT(F293:F304)=5),cubic_spline(F292:F297,A292:A297,B$10),IF(AND(COUNT(A293:A304)=6,COUNT(F293:F304)=6),cubic_spline(F292:F298,A292:A298,B$10),IF(AND(COUNT(A293:A304)=7,COUNT(F293:F304)=7),cubic_spline(F292:F299,A292:A299,B$10),IF(AND(COUNT(A293:A304)=8,COUNT(F293:F304)=8),cubic_spline(F292:F300,A292:A300,B$10),IF(AND(COUNT(A293:A304)=9,COUNT(F293:F304)=9),cubic_spline(F292:F301,A292:A301,B$10),IF(AND(COUNT(A293:A304)=10,COUNT(F293:F304)=10),cubic_spline(F292:F302,A292:A302,B$10),IF(AND(COUNT(A293:A304)=11,COUNT(F293:F304)=11),cubic_spline(F292:F303,A292:A303,B$10),IF(AND(COUNT(A293:A304)=12,COUNT(F293:F304)=12),cubic_spline(F292:F304,A292:A304,B$10),""))))))))))))</f>
        <v/>
      </c>
      <c r="L299" s="27" t="str">
        <f>IF(I299="","",B$9&amp;"-"&amp;B$10)</f>
        <v/>
      </c>
      <c r="M299" s="52" t="str">
        <f t="shared" si="110"/>
        <v/>
      </c>
    </row>
    <row r="300" spans="1:13" x14ac:dyDescent="0.35">
      <c r="A300" s="48"/>
      <c r="B300" s="48"/>
      <c r="C300" s="49"/>
      <c r="D300" s="50"/>
      <c r="E300" s="51" t="str">
        <f t="shared" si="109"/>
        <v/>
      </c>
      <c r="F300" s="71" t="str">
        <f t="shared" si="106"/>
        <v/>
      </c>
      <c r="G300" s="69" t="str">
        <f t="shared" si="108"/>
        <v/>
      </c>
      <c r="H300" s="70" t="str">
        <f t="shared" si="107"/>
        <v/>
      </c>
      <c r="I300" s="27" t="str">
        <f>IF(N(J300)=0,"",0&amp;"-"&amp;B$11)</f>
        <v/>
      </c>
      <c r="J300" s="52" t="str">
        <f>IF(N(B$11)=0,"",IF(AND(COUNT(H293:H304)=2,COUNT(F293:F304)=2),cubic_spline(F292:F294,H292:H294,B$11),IF(AND(COUNT(H293:H304)=3,COUNT(F293:F304)=3),cubic_spline(F292:F295,H292:H295,B$11),IF(AND(COUNT(H293:H304)=4,COUNT(F293:F304)=4),cubic_spline(F292:F296,H292:H296,B$11),IF(AND(COUNT(H293:H304)=5,COUNT(F293:F304)=5),cubic_spline(F292:F297,H292:H297,B$11),IF(AND(COUNT(H293:H304)=6,COUNT(F293:F304)=6),cubic_spline(F292:F298,H292:H298,B$11),IF(AND(COUNT(H293:H304)=7,COUNT(F293:F304)=7),cubic_spline(F292:F299,H292:H299,B$11),IF(AND(COUNT(H293:H304)=8,COUNT(F293:F304)=8),cubic_spline(F292:F300,H292:H300,B$11),IF(AND(COUNT(H293:H304)=9,COUNT(F293:F304)=9),cubic_spline(F292:F301,H292:H301,B$11),IF(AND(COUNT(H293:H304)=10,COUNT(F293:F304)=10),cubic_spline(F292:F302,H292:H302,B$11),IF(AND(COUNT(H293:H304)=11,COUNT(F293:F304)=11),cubic_spline(F292:F303,H292:H303,B$11),IF(AND(COUNT(H293:H304)=12,COUNT(F293:F304)=12),cubic_spline(F292:F304,H292:H304,B$11),""))))))))))))</f>
        <v/>
      </c>
      <c r="K300" s="52" t="str">
        <f>IF(N(B$11)=0,"",IF(AND(COUNT(A293:A304)=2,COUNT(F293:F304)=2),cubic_spline(F292:F294,A292:A294,B$11),IF(AND(COUNT(A293:A304)=3,COUNT(F293:F304)=3),cubic_spline(F292:F295,A292:A295,B$11),IF(AND(COUNT(A293:A304)=4,COUNT(F293:F304)=4),cubic_spline(F292:F296,A292:A296,B$11),IF(AND(COUNT(A293:A304)=5,COUNT(F293:F304)=5),cubic_spline(F292:F297,A292:A297,B$11),IF(AND(COUNT(A293:A304)=6,COUNT(F293:F304)=6),cubic_spline(F292:F298,A292:A298,B$11),IF(AND(COUNT(A293:A304)=7,COUNT(F293:F304)=7),cubic_spline(F292:F299,A292:A299,B$11),IF(AND(COUNT(A293:A304)=8,COUNT(F293:F304)=8),cubic_spline(F292:F300,A292:A300,B$11),IF(AND(COUNT(A293:A304)=9,COUNT(F293:F304)=9),cubic_spline(F292:F301,A292:A301,B$11),IF(AND(COUNT(A293:A304)=10,COUNT(F293:F304)=10),cubic_spline(F292:F302,A292:A302,B$11),IF(AND(COUNT(A293:A304)=11,COUNT(F293:F304)=11),cubic_spline(F292:F303,A292:A303,B$11),IF(AND(COUNT(A293:A304)=12,COUNT(F293:F304)=12),cubic_spline(F292:F304,A292:A304,B$11),""))))))))))))</f>
        <v/>
      </c>
      <c r="L300" s="27" t="str">
        <f>IF(I300="","",B$10&amp;"-"&amp;B$11)</f>
        <v/>
      </c>
      <c r="M300" s="52" t="str">
        <f t="shared" si="110"/>
        <v/>
      </c>
    </row>
    <row r="301" spans="1:13" x14ac:dyDescent="0.35">
      <c r="A301" s="48"/>
      <c r="B301" s="48"/>
      <c r="C301" s="49"/>
      <c r="D301" s="50"/>
      <c r="E301" s="51" t="str">
        <f t="shared" si="109"/>
        <v/>
      </c>
      <c r="F301" s="71" t="str">
        <f t="shared" si="106"/>
        <v/>
      </c>
      <c r="G301" s="69" t="str">
        <f t="shared" si="108"/>
        <v/>
      </c>
      <c r="H301" s="70" t="str">
        <f t="shared" si="107"/>
        <v/>
      </c>
      <c r="I301" s="27" t="str">
        <f>IF(N(J301)=0,"",0&amp;"-"&amp;B$12)</f>
        <v/>
      </c>
      <c r="J301" s="52" t="str">
        <f>IF(N(B$12)=0,"",IF(AND(COUNT(H293:H304)=2,COUNT(F293:F304)=2),cubic_spline(F292:F294,H292:H294,B$12),IF(AND(COUNT(H293:H304)=3,COUNT(F293:F304)=3),cubic_spline(F292:F295,H292:H295,B$12),IF(AND(COUNT(H293:H304)=4,COUNT(F293:F304)=4),cubic_spline(F292:F296,H292:H296,B$12),IF(AND(COUNT(H293:H304)=5,COUNT(F293:F304)=5),cubic_spline(F292:F297,H292:H297,B$12),IF(AND(COUNT(H293:H304)=6,COUNT(F293:F304)=6),cubic_spline(F292:F298,H292:H298,B$12),IF(AND(COUNT(H293:H304)=7,COUNT(F293:F304)=7),cubic_spline(F292:F299,H292:H299,B$12),IF(AND(COUNT(H293:H304)=8,COUNT(F293:F304)=8),cubic_spline(F292:F300,H292:H300,B$12),IF(AND(COUNT(H293:H304)=9,COUNT(F293:F304)=9),cubic_spline(F292:F301,H292:H301,B$12),IF(AND(COUNT(H293:H304)=10,COUNT(F293:F304)=10),cubic_spline(F292:F302,H292:H302,B$12),IF(AND(COUNT(H293:H304)=11,COUNT(F293:F304)=11),cubic_spline(F292:F303,H292:H303,B$12),IF(AND(COUNT(H293:H304)=12,COUNT(F293:F304)=12),cubic_spline(F292:F304,H292:H304,B$12),""))))))))))))</f>
        <v/>
      </c>
      <c r="K301" s="52" t="str">
        <f>IF(N(B$12)=0,"",IF(AND(COUNT(A293:A304)=2,COUNT(F293:F304)=2),cubic_spline(F292:F294,A292:A294,B$12),IF(AND(COUNT(A293:A304)=3,COUNT(F293:F304)=3),cubic_spline(F292:F295,A292:A295,B$12),IF(AND(COUNT(A293:A304)=4,COUNT(F293:F304)=4),cubic_spline(F292:F296,A292:A296,B$12),IF(AND(COUNT(A293:A304)=5,COUNT(F293:F304)=5),cubic_spline(F292:F297,A292:A297,B$12),IF(AND(COUNT(A293:A304)=6,COUNT(F293:F304)=6),cubic_spline(F292:F298,A292:A298,B$12),IF(AND(COUNT(A293:A304)=7,COUNT(F293:F304)=7),cubic_spline(F292:F299,A292:A299,B$12),IF(AND(COUNT(A293:A304)=8,COUNT(F293:F304)=8),cubic_spline(F292:F300,A292:A300,B$12),IF(AND(COUNT(A293:A304)=9,COUNT(F293:F304)=9),cubic_spline(F292:F301,A292:A301,B$12),IF(AND(COUNT(A293:A304)=10,COUNT(F293:F304)=10),cubic_spline(F292:F302,A292:A302,B$12),IF(AND(COUNT(A293:A304)=11,COUNT(F293:F304)=11),cubic_spline(F292:F303,A292:A303,B$12),IF(AND(COUNT(A293:A304)=12,COUNT(F293:F304)=12),cubic_spline(F292:F304,A292:A304,B$12),""))))))))))))</f>
        <v/>
      </c>
      <c r="L301" s="27" t="str">
        <f>IF(I301="","",B$11&amp;"-"&amp;B$12)</f>
        <v/>
      </c>
      <c r="M301" s="52" t="str">
        <f t="shared" si="110"/>
        <v/>
      </c>
    </row>
    <row r="302" spans="1:13" x14ac:dyDescent="0.35">
      <c r="A302" s="48"/>
      <c r="B302" s="48"/>
      <c r="C302" s="49"/>
      <c r="D302" s="50"/>
      <c r="E302" s="51" t="str">
        <f t="shared" si="109"/>
        <v/>
      </c>
      <c r="F302" s="71" t="str">
        <f t="shared" si="106"/>
        <v/>
      </c>
      <c r="G302" s="69" t="str">
        <f t="shared" si="108"/>
        <v/>
      </c>
      <c r="H302" s="70" t="str">
        <f t="shared" si="107"/>
        <v/>
      </c>
      <c r="I302" s="27" t="str">
        <f>IF(N(J302)=0,"",0&amp;"-"&amp;B$13)</f>
        <v/>
      </c>
      <c r="J302" s="52" t="str">
        <f>IF(N(B$13)=0,"",IF(AND(COUNT(H293:H304)=2,COUNT(F293:F304)=2),cubic_spline(F292:F294,H292:H294,B$13),IF(AND(COUNT(H293:H304)=3,COUNT(F293:F304)=3),cubic_spline(F292:F295,H292:H295,B$13),IF(AND(COUNT(H293:H304)=4,COUNT(F293:F304)=4),cubic_spline(F292:F296,H292:H296,B$13),IF(AND(COUNT(H293:H304)=5,COUNT(F293:F304)=5),cubic_spline(F292:F297,H292:H297,B$13),IF(AND(COUNT(H293:H304)=6,COUNT(F293:F304)=6),cubic_spline(F292:F298,H292:H298,B$13),IF(AND(COUNT(H293:H304)=7,COUNT(F293:F304)=7),cubic_spline(F292:F299,H292:H299,B$13),IF(AND(COUNT(H293:H304)=8,COUNT(F293:F304)=8),cubic_spline(F292:F300,H292:H300,B$13),IF(AND(COUNT(H293:H304)=9,COUNT(F293:F304)=9),cubic_spline(F292:F301,H292:H301,B$13),IF(AND(COUNT(H293:H304)=10,COUNT(F293:F304)=10),cubic_spline(F292:F302,H292:H302,B$13),IF(AND(COUNT(H293:H304)=11,COUNT(F293:F304)=11),cubic_spline(F292:F303,H292:H303,B$13),IF(AND(COUNT(H293:H304)=12,COUNT(F293:F304)=12),cubic_spline(F292:F304,H292:H304,B$13),""))))))))))))</f>
        <v/>
      </c>
      <c r="K302" s="52" t="str">
        <f>IF(N(B$13)=0,"",IF(AND(COUNT(A293:A304)=2,COUNT(F293:F304)=2),cubic_spline(F292:F294,A292:A294,B$13),IF(AND(COUNT(A293:A304)=3,COUNT(F293:F304)=3),cubic_spline(F292:F295,A292:A295,B$13),IF(AND(COUNT(A293:A304)=4,COUNT(F293:F304)=4),cubic_spline(F292:F296,A292:A296,B$13),IF(AND(COUNT(A293:A304)=5,COUNT(F293:F304)=5),cubic_spline(F292:F297,A292:A297,B$13),IF(AND(COUNT(A293:A304)=6,COUNT(F293:F304)=6),cubic_spline(F292:F298,A292:A298,B$13),IF(AND(COUNT(A293:A304)=7,COUNT(F293:F304)=7),cubic_spline(F292:F299,A292:A299,B$13),IF(AND(COUNT(A293:A304)=8,COUNT(F293:F304)=8),cubic_spline(F292:F300,A292:A300,B$13),IF(AND(COUNT(A293:A304)=9,COUNT(F293:F304)=9),cubic_spline(F292:F301,A292:A301,B$13),IF(AND(COUNT(A293:A304)=10,COUNT(F293:F304)=10),cubic_spline(F292:F302,A292:A302,B$13),IF(AND(COUNT(A293:A304)=11,COUNT(F293:F304)=11),cubic_spline(F292:F303,A292:A303,B$13),IF(AND(COUNT(A293:A304)=12,COUNT(F293:F304)=12),cubic_spline(F292:F304,A292:A304,B$13),""))))))))))))</f>
        <v/>
      </c>
      <c r="L302" s="27" t="str">
        <f>IF(I302="","",B$12&amp;"-"&amp;B$13)</f>
        <v/>
      </c>
      <c r="M302" s="52" t="str">
        <f t="shared" si="110"/>
        <v/>
      </c>
    </row>
    <row r="303" spans="1:13" x14ac:dyDescent="0.35">
      <c r="A303" s="48"/>
      <c r="B303" s="48"/>
      <c r="C303" s="49"/>
      <c r="D303" s="50"/>
      <c r="E303" s="51" t="str">
        <f t="shared" si="109"/>
        <v/>
      </c>
      <c r="F303" s="71" t="str">
        <f t="shared" si="106"/>
        <v/>
      </c>
      <c r="G303" s="69" t="str">
        <f t="shared" si="108"/>
        <v/>
      </c>
      <c r="H303" s="70" t="str">
        <f t="shared" si="107"/>
        <v/>
      </c>
      <c r="I303" s="27" t="str">
        <f>IF(N(J303)=0,"",0&amp;"-"&amp;B$14)</f>
        <v/>
      </c>
      <c r="J303" s="52" t="str">
        <f>IF(N(B$14)=0,"",IF(AND(COUNT(H293:H304)=2,COUNT(F293:F304)=2),cubic_spline(F292:F294,H292:H294,B$14),IF(AND(COUNT(H293:H304)=3,COUNT(F293:F304)=3),cubic_spline(F292:F295,H292:H295,B$14),IF(AND(COUNT(H293:H304)=4,COUNT(F293:F304)=4),cubic_spline(F292:F296,H292:H296,B$14),IF(AND(COUNT(H293:H304)=5,COUNT(F293:F304)=5),cubic_spline(F292:F297,H292:H297,B$14),IF(AND(COUNT(H293:H304)=6,COUNT(F293:F304)=6),cubic_spline(F292:F298,H292:H298,B$14),IF(AND(COUNT(H293:H304)=7,COUNT(F293:F304)=7),cubic_spline(F292:F299,H292:H299,B$14),IF(AND(COUNT(H293:H304)=8,COUNT(F293:F304)=8),cubic_spline(F292:F300,H292:H300,B$14),IF(AND(COUNT(H293:H304)=9,COUNT(F293:F304)=9),cubic_spline(F292:F301,H292:H301,B$14),IF(AND(COUNT(H293:H304)=10,COUNT(F293:F304)=10),cubic_spline(F292:F302,H292:H302,B$14),IF(AND(COUNT(H293:H304)=11,COUNT(F293:F304)=11),cubic_spline(F292:F303,H292:H303,B$14),IF(AND(COUNT(H293:H304)=12,COUNT(F293:F304)=12),cubic_spline(F292:F304,H292:H304,B$14),""))))))))))))</f>
        <v/>
      </c>
      <c r="K303" s="52" t="str">
        <f>IF(N(B$14)=0,"",IF(AND(COUNT(A293:A304)=2,COUNT(F293:F304)=2),cubic_spline(F292:F294,A292:A294,B$14),IF(AND(COUNT(A293:A304)=3,COUNT(F293:F304)=3),cubic_spline(F292:F295,A292:A295,B$14),IF(AND(COUNT(A293:A304)=4,COUNT(F293:F304)=4),cubic_spline(F292:F296,A292:A296,B$14),IF(AND(COUNT(A293:A304)=5,COUNT(F293:F304)=5),cubic_spline(F292:F297,A292:A297,B$14),IF(AND(COUNT(A293:A304)=6,COUNT(F293:F304)=6),cubic_spline(F292:F298,A292:A298,B$14),IF(AND(COUNT(A293:A304)=7,COUNT(F293:F304)=7),cubic_spline(F292:F299,A292:A299,B$14),IF(AND(COUNT(A293:A304)=8,COUNT(F293:F304)=8),cubic_spline(F292:F300,A292:A300,B$14),IF(AND(COUNT(A293:A304)=9,COUNT(F293:F304)=9),cubic_spline(F292:F301,A292:A301,B$14),IF(AND(COUNT(A293:A304)=10,COUNT(F293:F304)=10),cubic_spline(F292:F302,A292:A302,B$14),IF(AND(COUNT(A293:A304)=11,COUNT(F293:F304)=11),cubic_spline(F292:F303,A292:A303,B$14),IF(AND(COUNT(A293:A304)=12,COUNT(F293:F304)=12),cubic_spline(F292:F304,A292:A304,B$14),""))))))))))))</f>
        <v/>
      </c>
      <c r="L303" s="27" t="str">
        <f>IF(I303="","",B$13&amp;"-"&amp;B$14)</f>
        <v/>
      </c>
      <c r="M303" s="52" t="str">
        <f t="shared" si="110"/>
        <v/>
      </c>
    </row>
    <row r="304" spans="1:13" x14ac:dyDescent="0.35">
      <c r="A304" s="48"/>
      <c r="B304" s="48"/>
      <c r="C304" s="49"/>
      <c r="D304" s="50"/>
      <c r="E304" s="51" t="str">
        <f t="shared" si="109"/>
        <v/>
      </c>
      <c r="F304" s="71" t="str">
        <f t="shared" si="106"/>
        <v/>
      </c>
      <c r="G304" s="69" t="str">
        <f t="shared" si="108"/>
        <v/>
      </c>
      <c r="H304" s="70" t="str">
        <f t="shared" si="107"/>
        <v/>
      </c>
      <c r="I304" s="27" t="str">
        <f>IF(N(J304)=0,"",0&amp;"-"&amp;B$15)</f>
        <v/>
      </c>
      <c r="J304" s="52" t="str">
        <f>IF(N(B$15)=0,"",IF(AND(COUNT(H293:H304)=2,COUNT(F293:F304)=2),cubic_spline(F292:F294,H292:H294,B$15),IF(AND(COUNT(H293:H304)=3,COUNT(F293:F304)=3),cubic_spline(F292:F295,H292:H295,B$15),IF(AND(COUNT(H293:H304)=4,COUNT(F293:F304)=4),cubic_spline(F292:F296,H292:H296,B$15),IF(AND(COUNT(H293:H304)=5,COUNT(F293:F304)=5),cubic_spline(F292:F297,H292:H297,B$15),IF(AND(COUNT(H293:H304)=6,COUNT(F293:F304)=6),cubic_spline(F292:F298,H292:H298,B$15),IF(AND(COUNT(H293:H304)=7,COUNT(F293:F304)=7),cubic_spline(F292:F299,H292:H299,B$15),IF(AND(COUNT(H293:H304)=8,COUNT(F293:F304)=8),cubic_spline(F292:F300,H292:H300,B$15),IF(AND(COUNT(H293:H304)=9,COUNT(F293:F304)=9),cubic_spline(F292:F301,H292:H301,B$15),IF(AND(COUNT(H293:H304)=10,COUNT(F293:F304)=10),cubic_spline(F292:F302,H292:H302,B$15),IF(AND(COUNT(H293:H304)=11,COUNT(F293:F304)=11),cubic_spline(F292:F303,H292:H303,B$15),IF(AND(COUNT(H293:H304)=12,COUNT(F293:F304)=12),cubic_spline(F292:F304,H292:H304,B$15),""))))))))))))</f>
        <v/>
      </c>
      <c r="K304" s="52" t="str">
        <f>IF(N(B$15)=0,"",IF(AND(COUNT(A293:A304)=2,COUNT(F293:F304)=2),cubic_spline(F292:F294,A292:A294,B$15),IF(AND(COUNT(A293:A304)=3,COUNT(F293:F304)=3),cubic_spline(F292:F295,A292:A295,B$15),IF(AND(COUNT(A293:A304)=4,COUNT(F293:F304)=4),cubic_spline(F292:F296,A292:A296,B$15),IF(AND(COUNT(A293:A304)=5,COUNT(F293:F304)=5),cubic_spline(F292:F297,A292:A297,B$15),IF(AND(COUNT(A293:A304)=6,COUNT(F293:F304)=6),cubic_spline(F292:F298,A292:A298,B$15),IF(AND(COUNT(A293:A304)=7,COUNT(F293:F304)=7),cubic_spline(F292:F299,A292:A299,B$15),IF(AND(COUNT(A293:A304)=8,COUNT(F293:F304)=8),cubic_spline(F292:F300,A292:A300,B$15),IF(AND(COUNT(A293:A304)=9,COUNT(F293:F304)=9),cubic_spline(F292:F301,A292:A301,B$15),IF(AND(COUNT(A293:A304)=10,COUNT(F293:F304)=10),cubic_spline(F292:F302,A292:A302,B$15),IF(AND(COUNT(A293:A304)=11,COUNT(F293:F304)=11),cubic_spline(F292:F303,A292:A303,B$15),IF(AND(COUNT(A293:A304)=12,COUNT(F293:F304)=12),cubic_spline(F292:F304,A292:A304,B$15),""))))))))))))</f>
        <v/>
      </c>
      <c r="L304" s="27" t="str">
        <f>IF(I304="","",B$14&amp;"-"&amp;B$15)</f>
        <v/>
      </c>
      <c r="M304" s="52" t="str">
        <f t="shared" si="110"/>
        <v/>
      </c>
    </row>
    <row r="305" spans="1:13" ht="5.15" customHeight="1" x14ac:dyDescent="0.35">
      <c r="A305" s="47"/>
      <c r="B305" s="47"/>
      <c r="C305" s="47"/>
      <c r="D305" s="53"/>
      <c r="E305" s="54"/>
      <c r="F305" s="55"/>
      <c r="G305" s="72"/>
      <c r="H305" s="73"/>
      <c r="I305" s="47"/>
      <c r="J305" s="57"/>
      <c r="K305" s="57"/>
      <c r="L305" s="55"/>
      <c r="M305" s="57"/>
    </row>
    <row r="306" spans="1:13" x14ac:dyDescent="0.35">
      <c r="A306" s="48"/>
      <c r="B306" s="48"/>
      <c r="C306" s="49"/>
      <c r="D306" s="50"/>
      <c r="E306" s="51" t="str">
        <f>IF(N(C306)=0,"",C306/PI()/($D$1/2)^2/$D$2*10000)</f>
        <v/>
      </c>
      <c r="F306" s="68" t="str">
        <f t="shared" ref="F306:F317" si="111">IF(N(E306)=0,"",(N(E306)+N(F305)))</f>
        <v/>
      </c>
      <c r="G306" s="69" t="str">
        <f>IF(OR(N(D306)=0,N(E306)=0),"",(E306*D306)/1000)</f>
        <v/>
      </c>
      <c r="H306" s="70" t="str">
        <f t="shared" ref="H306:H317" si="112">IF(N(G306)=0,"",(N(G306)+N(H305)))</f>
        <v/>
      </c>
      <c r="I306" s="27" t="str">
        <f>IF(N(J306)=0,"",0&amp;"-"&amp;B$4)</f>
        <v/>
      </c>
      <c r="J306" s="52" t="str">
        <f>IF(N(B$4)=0,"",IF(AND(COUNT(H306:H317)=2,COUNT(F306:F317)=2),cubic_spline(F305:F307,H305:H307,B$4),IF(AND(COUNT(H306:H317)=3,COUNT(F306:F317)=3),cubic_spline(F305:F308,H305:H308,B$4),IF(AND(COUNT(H306:H317)=4,COUNT(F306:F317)=4),cubic_spline(F305:F309,H305:H309,B$4),IF(AND(COUNT(H306:H317)=5,COUNT(F306:F317)=5),cubic_spline(F305:F310,H305:H310,B$4),IF(AND(COUNT(H306:H317)=6,COUNT(F306:F317)=6),cubic_spline(F305:F311,H305:H311,B$4),IF(AND(COUNT(H306:H317)=7,COUNT(F306:F317)=7),cubic_spline(F305:F312,H305:H312,B$4),IF(AND(COUNT(H306:H317)=8,COUNT(F306:F317)=8),cubic_spline(F305:F313,H305:H313,B$4),IF(AND(COUNT(H306:H317)=9,COUNT(F306:F317)=9),cubic_spline(F305:F314,H305:H314,B$4),IF(AND(COUNT(H306:H317)=10,COUNT(F306:F317)=10),cubic_spline(F305:F315,H305:H315,B$4),IF(AND(COUNT(H306:H317)=11,COUNT(F306:F317)=11),cubic_spline(F305:F316,H305:H316,B$4),IF(AND(COUNT(H306:H317)=12,COUNT(F306:F317)=12),cubic_spline(F305:F317,H305:H317,B$4),""))))))))))))</f>
        <v/>
      </c>
      <c r="K306" s="52" t="str">
        <f>IF(N(B$4)=0,"",IF(AND(COUNT(A306:A317)=2,COUNT(F306:F317)=2),cubic_spline(F305:F307,A305:A307,B$4),IF(AND(COUNT(A306:A317)=3,COUNT(F306:F317)=3),cubic_spline(F305:F308,A305:A308,B$4),IF(AND(COUNT(A306:A317)=4,COUNT(F306:F317)=4),cubic_spline(F305:F309,A305:A309,B$4),IF(AND(COUNT(A306:A317)=5,COUNT(F306:F317)=5),cubic_spline(F305:F310,A305:A310,B$4),IF(AND(COUNT(A306:A317)=6,COUNT(F306:F317)=6),cubic_spline(F305:F311,A305:A311,B$4),IF(AND(COUNT(A306:A317)=7,COUNT(F306:F317)=7),cubic_spline(F305:F312,A305:A312,B$4),IF(AND(COUNT(A306:A317)=8,COUNT(F306:F317)=8),cubic_spline(F305:F313,A305:A313,B$4),IF(AND(COUNT(A306:A317)=9,COUNT(F306:F317)=9),cubic_spline(F305:F314,A305:A314,B$4),IF(AND(COUNT(A306:A317)=10,COUNT(F306:F317)=10),cubic_spline(F305:F315,A305:A315,B$4),IF(AND(COUNT(A306:A317)=11,COUNT(F306:F317)=11),cubic_spline(F305:F316,A305:A316,B$4),IF(AND(COUNT(A306:A317)=12,COUNT(F306:F317)=12),cubic_spline(F305:F317,A305:A317,B$4),""))))))))))))</f>
        <v/>
      </c>
      <c r="L306" s="27" t="str">
        <f>IF(I306="","",0&amp;"-"&amp;B$4)</f>
        <v/>
      </c>
      <c r="M306" s="52" t="str">
        <f>IF(N(J306)=0,"",J306-J305)</f>
        <v/>
      </c>
    </row>
    <row r="307" spans="1:13" x14ac:dyDescent="0.35">
      <c r="A307" s="48"/>
      <c r="B307" s="48"/>
      <c r="C307" s="49"/>
      <c r="D307" s="50"/>
      <c r="E307" s="51" t="str">
        <f>IF(N(C307)=0,"",C307/PI()/($D$1/2)^2/$D$2*10000)</f>
        <v/>
      </c>
      <c r="F307" s="68" t="str">
        <f t="shared" si="111"/>
        <v/>
      </c>
      <c r="G307" s="69" t="str">
        <f t="shared" ref="G307:G317" si="113">IF(OR(N(D307)=0,N(E307)=0),"",(E307*D307)/1000)</f>
        <v/>
      </c>
      <c r="H307" s="70" t="str">
        <f t="shared" si="112"/>
        <v/>
      </c>
      <c r="I307" s="27" t="str">
        <f>IF(N(J307)=0,"",0&amp;"-"&amp;B$5)</f>
        <v/>
      </c>
      <c r="J307" s="52" t="str">
        <f>IF(N(B$5)=0,"",IF(AND(COUNT(H306:H317)=2,COUNT(F306:F317)=2),cubic_spline(F305:F307,H305:H307,B$5),IF(AND(COUNT(H306:H317)=3,COUNT(F306:F317)=3),cubic_spline(F305:F308,H305:H308,B$5),IF(AND(COUNT(H306:H317)=4,COUNT(F306:F317)=4),cubic_spline(F305:F309,H305:H309,B$5),IF(AND(COUNT(H306:H317)=5,COUNT(F306:F317)=5),cubic_spline(F305:F310,H305:H310,B$5),IF(AND(COUNT(H306:H317)=6,COUNT(F306:F317)=6),cubic_spline(F305:F311,H305:H311,B$5),IF(AND(COUNT(H306:H317)=7,COUNT(F306:F317)=7),cubic_spline(F305:F312,H305:H312,B$5),IF(AND(COUNT(H306:H317)=8,COUNT(F306:F317)=8),cubic_spline(F305:F313,H305:H313,B$5),IF(AND(COUNT(H306:H317)=9,COUNT(F306:F317)=9),cubic_spline(F305:F314,H305:H314,B$5),IF(AND(COUNT(H306:H317)=10,COUNT(F306:F317)=10),cubic_spline(F305:F315,H305:H315,B$5),IF(AND(COUNT(H306:H317)=11,COUNT(F306:F317)=11),cubic_spline(F305:F316,H305:H316,B$5),IF(AND(COUNT(H306:H317)=12,COUNT(F306:F317)=12),cubic_spline(F305:F317,H305:H317,B$5),""))))))))))))</f>
        <v/>
      </c>
      <c r="K307" s="52" t="str">
        <f>IF(N(B$5)=0,"",IF(AND(COUNT(A306:A317)=2,COUNT(F306:F317)=2),cubic_spline(F305:F307,A305:A307,B$5),IF(AND(COUNT(A306:A317)=3,COUNT(F306:F317)=3),cubic_spline(F305:F308,A305:A308,B$5),IF(AND(COUNT(A306:A317)=4,COUNT(F306:F317)=4),cubic_spline(F305:F309,A305:A309,B$5),IF(AND(COUNT(A306:A317)=5,COUNT(F306:F317)=5),cubic_spline(F305:F310,A305:A310,B$5),IF(AND(COUNT(A306:A317)=6,COUNT(F306:F317)=6),cubic_spline(F305:F311,A305:A311,B$5),IF(AND(COUNT(A306:A317)=7,COUNT(F306:F317)=7),cubic_spline(F305:F312,A305:A312,B$5),IF(AND(COUNT(A306:A317)=8,COUNT(F306:F317)=8),cubic_spline(F305:F313,A305:A313,B$5),IF(AND(COUNT(A306:A317)=9,COUNT(F306:F317)=9),cubic_spline(F305:F314,A305:A314,B$5),IF(AND(COUNT(A306:A317)=10,COUNT(F306:F317)=10),cubic_spline(F305:F315,A305:A315,B$5),IF(AND(COUNT(A306:A317)=11,COUNT(F306:F317)=11),cubic_spline(F305:F316,A305:A316,B$5),IF(AND(COUNT(A306:A317)=12,COUNT(F306:F317)=12),cubic_spline(F305:F317,A305:A317,B$5),""))))))))))))</f>
        <v/>
      </c>
      <c r="L307" s="27" t="str">
        <f>IF(I307="","",B$4&amp;"-"&amp;B$5)</f>
        <v/>
      </c>
      <c r="M307" s="52" t="str">
        <f>IF(N(J307)=0,"",J307-J306)</f>
        <v/>
      </c>
    </row>
    <row r="308" spans="1:13" x14ac:dyDescent="0.35">
      <c r="A308" s="48"/>
      <c r="B308" s="48"/>
      <c r="C308" s="49"/>
      <c r="D308" s="50"/>
      <c r="E308" s="51" t="str">
        <f>IF(N(C308)=0,"",C308/PI()/($D$1/2)^2/$D$2*10000)</f>
        <v/>
      </c>
      <c r="F308" s="68" t="str">
        <f t="shared" si="111"/>
        <v/>
      </c>
      <c r="G308" s="69" t="str">
        <f t="shared" si="113"/>
        <v/>
      </c>
      <c r="H308" s="70" t="str">
        <f t="shared" si="112"/>
        <v/>
      </c>
      <c r="I308" s="27" t="str">
        <f>IF(N(J308)=0,"",0&amp;"-"&amp;B$6)</f>
        <v/>
      </c>
      <c r="J308" s="52" t="str">
        <f>IF(N(B$6)=0,"",IF(AND(COUNT(H306:H317)=2,COUNT(F306:F317)=2),cubic_spline(F305:F307,H305:H307,B$6),IF(AND(COUNT(H306:H317)=3,COUNT(F306:F317)=3),cubic_spline(F305:F308,H305:H308,B$6),IF(AND(COUNT(H306:H317)=4,COUNT(F306:F317)=4),cubic_spline(F305:F309,H305:H309,B$6),IF(AND(COUNT(H306:H317)=5,COUNT(F306:F317)=5),cubic_spline(F305:F310,H305:H310,B$6),IF(AND(COUNT(H306:H317)=6,COUNT(F306:F317)=6),cubic_spline(F305:F311,H305:H311,B$6),IF(AND(COUNT(H306:H317)=7,COUNT(F306:F317)=7),cubic_spline(F305:F312,H305:H312,B$6),IF(AND(COUNT(H306:H317)=8,COUNT(F306:F317)=8),cubic_spline(F305:F313,H305:H313,B$6),IF(AND(COUNT(H306:H317)=9,COUNT(F306:F317)=9),cubic_spline(F305:F314,H305:H314,B$6),IF(AND(COUNT(H306:H317)=10,COUNT(F306:F317)=10),cubic_spline(F305:F315,H305:H315,B$6),IF(AND(COUNT(H306:H317)=11,COUNT(F306:F317)=11),cubic_spline(F305:F316,H305:H316,B$6),IF(AND(COUNT(H306:H317)=12,COUNT(F306:F317)=12),cubic_spline(F305:F317,H305:H317,B$6),""))))))))))))</f>
        <v/>
      </c>
      <c r="K308" s="52" t="str">
        <f>IF(N(B$6)=0,"",IF(AND(COUNT(A306:A317)=2,COUNT(F306:F317)=2),cubic_spline(F305:F307,A305:A307,B$6),IF(AND(COUNT(A306:A317)=3,COUNT(F306:F317)=3),cubic_spline(F305:F308,A305:A308,B$6),IF(AND(COUNT(A306:A317)=4,COUNT(F306:F317)=4),cubic_spline(F305:F309,A305:A309,B$6),IF(AND(COUNT(A306:A317)=5,COUNT(F306:F317)=5),cubic_spline(F305:F310,A305:A310,B$6),IF(AND(COUNT(A306:A317)=6,COUNT(F306:F317)=6),cubic_spline(F305:F311,A305:A311,B$6),IF(AND(COUNT(A306:A317)=7,COUNT(F306:F317)=7),cubic_spline(F305:F312,A305:A312,B$6),IF(AND(COUNT(A306:A317)=8,COUNT(F306:F317)=8),cubic_spline(F305:F313,A305:A313,B$6),IF(AND(COUNT(A306:A317)=9,COUNT(F306:F317)=9),cubic_spline(F305:F314,A305:A314,B$6),IF(AND(COUNT(A306:A317)=10,COUNT(F306:F317)=10),cubic_spline(F305:F315,A305:A315,B$6),IF(AND(COUNT(A306:A317)=11,COUNT(F306:F317)=11),cubic_spline(F305:F316,A305:A316,B$6),IF(AND(COUNT(A306:A317)=12,COUNT(F306:F317)=12),cubic_spline(F305:F317,A305:A317,B$6),""))))))))))))</f>
        <v/>
      </c>
      <c r="L308" s="27" t="str">
        <f>IF(I308="","",B$5&amp;"-"&amp;B$6)</f>
        <v/>
      </c>
      <c r="M308" s="52" t="str">
        <f>IF(N(J308)=0,"",J308-J307)</f>
        <v/>
      </c>
    </row>
    <row r="309" spans="1:13" x14ac:dyDescent="0.35">
      <c r="A309" s="48"/>
      <c r="B309" s="48"/>
      <c r="C309" s="49"/>
      <c r="D309" s="50"/>
      <c r="E309" s="51" t="str">
        <f>IF(N(C309)=0,"",C309/PI()/($D$1/2)^2/$D$2*10000)</f>
        <v/>
      </c>
      <c r="F309" s="68" t="str">
        <f t="shared" si="111"/>
        <v/>
      </c>
      <c r="G309" s="69" t="str">
        <f t="shared" si="113"/>
        <v/>
      </c>
      <c r="H309" s="70" t="str">
        <f t="shared" si="112"/>
        <v/>
      </c>
      <c r="I309" s="27" t="str">
        <f>IF(N(J309)=0,"",0&amp;"-"&amp;B$7)</f>
        <v/>
      </c>
      <c r="J309" s="52" t="str">
        <f>IF(N(B$7)=0,"",IF(AND(COUNT(H306:H317)=2,COUNT(F306:F317)=2),cubic_spline(F305:F307,H305:H307,B$7),IF(AND(COUNT(H306:H317)=3,COUNT(F306:F317)=3),cubic_spline(F305:F308,H305:H308,B$7),IF(AND(COUNT(H306:H317)=4,COUNT(F306:F317)=4),cubic_spline(F305:F309,H305:H309,B$7),IF(AND(COUNT(H306:H317)=5,COUNT(F306:F317)=5),cubic_spline(F305:F310,H305:H310,B$7),IF(AND(COUNT(H306:H317)=6,COUNT(F306:F317)=6),cubic_spline(F305:F311,H305:H311,B$7),IF(AND(COUNT(H306:H317)=7,COUNT(F306:F317)=7),cubic_spline(F305:F312,H305:H312,B$7),IF(AND(COUNT(H306:H317)=8,COUNT(F306:F317)=8),cubic_spline(F305:F313,H305:H313,B$7),IF(AND(COUNT(H306:H317)=9,COUNT(F306:F317)=9),cubic_spline(F305:F314,H305:H314,B$7),IF(AND(COUNT(H306:H317)=10,COUNT(F306:F317)=10),cubic_spline(F305:F315,H305:H315,B$7),IF(AND(COUNT(H306:H317)=11,COUNT(F306:F317)=11),cubic_spline(F305:F316,H305:H316,B$7),IF(AND(COUNT(H306:H317)=12,COUNT(F306:F317)=12),cubic_spline(F305:F317,H305:H317,B$7),""))))))))))))</f>
        <v/>
      </c>
      <c r="K309" s="52" t="str">
        <f>IF(N(B$7)=0,"",IF(AND(COUNT(A306:A317)=2,COUNT(F306:F317)=2),cubic_spline(F305:F307,A305:A307,B$7),IF(AND(COUNT(A306:A317)=3,COUNT(F306:F317)=3),cubic_spline(F305:F308,A305:A308,B$7),IF(AND(COUNT(A306:A317)=4,COUNT(F306:F317)=4),cubic_spline(F305:F309,A305:A309,B$7),IF(AND(COUNT(A306:A317)=5,COUNT(F306:F317)=5),cubic_spline(F305:F310,A305:A310,B$7),IF(AND(COUNT(A306:A317)=6,COUNT(F306:F317)=6),cubic_spline(F305:F311,A305:A311,B$7),IF(AND(COUNT(A306:A317)=7,COUNT(F306:F317)=7),cubic_spline(F305:F312,A305:A312,B$7),IF(AND(COUNT(A306:A317)=8,COUNT(F306:F317)=8),cubic_spline(F305:F313,A305:A313,B$7),IF(AND(COUNT(A306:A317)=9,COUNT(F306:F317)=9),cubic_spline(F305:F314,A305:A314,B$7),IF(AND(COUNT(A306:A317)=10,COUNT(F306:F317)=10),cubic_spline(F305:F315,A305:A315,B$7),IF(AND(COUNT(A306:A317)=11,COUNT(F306:F317)=11),cubic_spline(F305:F316,A305:A316,B$7),IF(AND(COUNT(A306:A317)=12,COUNT(F306:F317)=12),cubic_spline(F305:F317,A305:A317,B$7),""))))))))))))</f>
        <v/>
      </c>
      <c r="L309" s="27" t="str">
        <f>IF(I309="","",B$6&amp;"-"&amp;B$7)</f>
        <v/>
      </c>
      <c r="M309" s="52" t="str">
        <f>IF(N(J309)=0,"",J309-J308)</f>
        <v/>
      </c>
    </row>
    <row r="310" spans="1:13" x14ac:dyDescent="0.35">
      <c r="A310" s="48"/>
      <c r="B310" s="48"/>
      <c r="C310" s="49"/>
      <c r="D310" s="50"/>
      <c r="E310" s="51" t="str">
        <f t="shared" ref="E310:E317" si="114">IF(N(C310)=0,"",C310/PI()/($D$1/2)^2/$D$2*10000)</f>
        <v/>
      </c>
      <c r="F310" s="71" t="str">
        <f t="shared" si="111"/>
        <v/>
      </c>
      <c r="G310" s="69" t="str">
        <f t="shared" si="113"/>
        <v/>
      </c>
      <c r="H310" s="70" t="str">
        <f t="shared" si="112"/>
        <v/>
      </c>
      <c r="I310" s="27" t="str">
        <f>IF(N(J310)=0,"",0&amp;"-"&amp;B$8)</f>
        <v/>
      </c>
      <c r="J310" s="52" t="str">
        <f>IF(N(B$8)=0,"",IF(AND(COUNT(H306:H317)=2,COUNT(F306:F317)=2),cubic_spline(F305:F307,H305:H307,B$8),IF(AND(COUNT(H306:H317)=3,COUNT(F306:F317)=3),cubic_spline(F305:F308,H305:H308,B$8),IF(AND(COUNT(H306:H317)=4,COUNT(F306:F317)=4),cubic_spline(F305:F309,H305:H309,B$8),IF(AND(COUNT(H306:H317)=5,COUNT(F306:F317)=5),cubic_spline(F305:F310,H305:H310,B$8),IF(AND(COUNT(H306:H317)=6,COUNT(F306:F317)=6),cubic_spline(F305:F311,H305:H311,B$8),IF(AND(COUNT(H306:H317)=7,COUNT(F306:F317)=7),cubic_spline(F305:F312,H305:H312,B$8),IF(AND(COUNT(H306:H317)=8,COUNT(F306:F317)=8),cubic_spline(F305:F313,H305:H313,B$8),IF(AND(COUNT(H306:H317)=9,COUNT(F306:F317)=9),cubic_spline(F305:F314,H305:H314,B$8),IF(AND(COUNT(H306:H317)=10,COUNT(F306:F317)=10),cubic_spline(F305:F315,H305:H315,B$8),IF(AND(COUNT(H306:H317)=11,COUNT(F306:F317)=11),cubic_spline(F305:F316,H305:H316,B$8),IF(AND(COUNT(H306:H317)=12,COUNT(F306:F317)=12),cubic_spline(F305:F317,H305:H317,B$8),""))))))))))))</f>
        <v/>
      </c>
      <c r="K310" s="52" t="str">
        <f>IF(N(B$8)=0,"",IF(AND(COUNT(A306:A317)=2,COUNT(F306:F317)=2),cubic_spline(F305:F307,A305:A307,B$8),IF(AND(COUNT(A306:A317)=3,COUNT(F306:F317)=3),cubic_spline(F305:F308,A305:A308,B$8),IF(AND(COUNT(A306:A317)=4,COUNT(F306:F317)=4),cubic_spline(F305:F309,A305:A309,B$8),IF(AND(COUNT(A306:A317)=5,COUNT(F306:F317)=5),cubic_spline(F305:F310,A305:A310,B$8),IF(AND(COUNT(A306:A317)=6,COUNT(F306:F317)=6),cubic_spline(F305:F311,A305:A311,B$8),IF(AND(COUNT(A306:A317)=7,COUNT(F306:F317)=7),cubic_spline(F305:F312,A305:A312,B$8),IF(AND(COUNT(A306:A317)=8,COUNT(F306:F317)=8),cubic_spline(F305:F313,A305:A313,B$8),IF(AND(COUNT(A306:A317)=9,COUNT(F306:F317)=9),cubic_spline(F305:F314,A305:A314,B$8),IF(AND(COUNT(A306:A317)=10,COUNT(F306:F317)=10),cubic_spline(F305:F315,A305:A315,B$8),IF(AND(COUNT(A306:A317)=11,COUNT(F306:F317)=11),cubic_spline(F305:F316,A305:A316,B$8),IF(AND(COUNT(A306:A317)=12,COUNT(F306:F317)=12),cubic_spline(F305:F317,A305:A317,B$8),""))))))))))))</f>
        <v/>
      </c>
      <c r="L310" s="27" t="str">
        <f>IF(I310="","",B$7&amp;"-"&amp;B$8)</f>
        <v/>
      </c>
      <c r="M310" s="52" t="str">
        <f>IF(N(J310)=0,"",J310-J309)</f>
        <v/>
      </c>
    </row>
    <row r="311" spans="1:13" x14ac:dyDescent="0.35">
      <c r="A311" s="48"/>
      <c r="B311" s="48"/>
      <c r="C311" s="49"/>
      <c r="D311" s="50"/>
      <c r="E311" s="51" t="str">
        <f t="shared" si="114"/>
        <v/>
      </c>
      <c r="F311" s="71" t="str">
        <f t="shared" si="111"/>
        <v/>
      </c>
      <c r="G311" s="69" t="str">
        <f t="shared" si="113"/>
        <v/>
      </c>
      <c r="H311" s="70" t="str">
        <f t="shared" si="112"/>
        <v/>
      </c>
      <c r="I311" s="27" t="str">
        <f>IF(N(J311)=0,"",0&amp;"-"&amp;B$9)</f>
        <v/>
      </c>
      <c r="J311" s="52" t="str">
        <f>IF(N(B$9)=0,"",IF(AND(COUNT(H306:H317)=2,COUNT(F306:F317)=2),cubic_spline(F305:F307,H305:H307,B$9),IF(AND(COUNT(H306:H317)=3,COUNT(F306:F317)=3),cubic_spline(F305:F308,H305:H308,B$9),IF(AND(COUNT(H306:H317)=4,COUNT(F306:F317)=4),cubic_spline(F305:F309,H305:H309,B$9),IF(AND(COUNT(H306:H317)=5,COUNT(F306:F317)=5),cubic_spline(F305:F310,H305:H310,B$9),IF(AND(COUNT(H306:H317)=6,COUNT(F306:F317)=6),cubic_spline(F305:F311,H305:H311,B$9),IF(AND(COUNT(H306:H317)=7,COUNT(F306:F317)=7),cubic_spline(F305:F312,H305:H312,B$9),IF(AND(COUNT(H306:H317)=8,COUNT(F306:F317)=8),cubic_spline(F305:F313,H305:H313,B$9),IF(AND(COUNT(H306:H317)=9,COUNT(F306:F317)=9),cubic_spline(F305:F314,H305:H314,B$9),IF(AND(COUNT(H306:H317)=10,COUNT(F306:F317)=10),cubic_spline(F305:F315,H305:H315,B$9),IF(AND(COUNT(H306:H317)=11,COUNT(F306:F317)=11),cubic_spline(F305:F316,H305:H316,B$9),IF(AND(COUNT(H306:H317)=12,COUNT(F306:F317)=12),cubic_spline(F305:F317,H305:H317,B$9),""))))))))))))</f>
        <v/>
      </c>
      <c r="K311" s="52" t="str">
        <f>IF(N(B$9)=0,"",IF(AND(COUNT(A306:A317)=2,COUNT(F306:F317)=2),cubic_spline(F305:F307,A305:A307,B$9),IF(AND(COUNT(A306:A317)=3,COUNT(F306:F317)=3),cubic_spline(F305:F308,A305:A308,B$9),IF(AND(COUNT(A306:A317)=4,COUNT(F306:F317)=4),cubic_spline(F305:F309,A305:A309,B$9),IF(AND(COUNT(A306:A317)=5,COUNT(F306:F317)=5),cubic_spline(F305:F310,A305:A310,B$9),IF(AND(COUNT(A306:A317)=6,COUNT(F306:F317)=6),cubic_spline(F305:F311,A305:A311,B$9),IF(AND(COUNT(A306:A317)=7,COUNT(F306:F317)=7),cubic_spline(F305:F312,A305:A312,B$9),IF(AND(COUNT(A306:A317)=8,COUNT(F306:F317)=8),cubic_spline(F305:F313,A305:A313,B$9),IF(AND(COUNT(A306:A317)=9,COUNT(F306:F317)=9),cubic_spline(F305:F314,A305:A314,B$9),IF(AND(COUNT(A306:A317)=10,COUNT(F306:F317)=10),cubic_spline(F305:F315,A305:A315,B$9),IF(AND(COUNT(A306:A317)=11,COUNT(F306:F317)=11),cubic_spline(F305:F316,A305:A316,B$9),IF(AND(COUNT(A306:A317)=12,COUNT(F306:F317)=12),cubic_spline(F305:F317,A305:A317,B$9),""))))))))))))</f>
        <v/>
      </c>
      <c r="L311" s="27" t="str">
        <f>IF(I311="","",B$8&amp;"-"&amp;B$9)</f>
        <v/>
      </c>
      <c r="M311" s="52" t="str">
        <f t="shared" ref="M311:M317" si="115">IF(N(J311)=0,"",J311-J310)</f>
        <v/>
      </c>
    </row>
    <row r="312" spans="1:13" x14ac:dyDescent="0.35">
      <c r="A312" s="48"/>
      <c r="B312" s="48"/>
      <c r="C312" s="49"/>
      <c r="D312" s="50"/>
      <c r="E312" s="51" t="str">
        <f t="shared" si="114"/>
        <v/>
      </c>
      <c r="F312" s="71" t="str">
        <f t="shared" si="111"/>
        <v/>
      </c>
      <c r="G312" s="69" t="str">
        <f t="shared" si="113"/>
        <v/>
      </c>
      <c r="H312" s="70" t="str">
        <f t="shared" si="112"/>
        <v/>
      </c>
      <c r="I312" s="27" t="str">
        <f>IF(N(J312)=0,"",0&amp;"-"&amp;B$10)</f>
        <v/>
      </c>
      <c r="J312" s="52" t="str">
        <f>IF(N(B$10)=0,"",IF(AND(COUNT(H306:H317)=2,COUNT(F306:F317)=2),cubic_spline(F305:F307,H305:H307,B$10),IF(AND(COUNT(H306:H317)=3,COUNT(F306:F317)=3),cubic_spline(F305:F308,H305:H308,B$10),IF(AND(COUNT(H306:H317)=4,COUNT(F306:F317)=4),cubic_spline(F305:F309,H305:H309,B$10),IF(AND(COUNT(H306:H317)=5,COUNT(F306:F317)=5),cubic_spline(F305:F310,H305:H310,B$10),IF(AND(COUNT(H306:H317)=6,COUNT(F306:F317)=6),cubic_spline(F305:F311,H305:H311,B$10),IF(AND(COUNT(H306:H317)=7,COUNT(F306:F317)=7),cubic_spline(F305:F312,H305:H312,B$10),IF(AND(COUNT(H306:H317)=8,COUNT(F306:F317)=8),cubic_spline(F305:F313,H305:H313,B$10),IF(AND(COUNT(H306:H317)=9,COUNT(F306:F317)=9),cubic_spline(F305:F314,H305:H314,B$10),IF(AND(COUNT(H306:H317)=10,COUNT(F306:F317)=10),cubic_spline(F305:F315,H305:H315,B$10),IF(AND(COUNT(H306:H317)=11,COUNT(F306:F317)=11),cubic_spline(F305:F316,H305:H316,B$10),IF(AND(COUNT(H306:H317)=12,COUNT(F306:F317)=12),cubic_spline(F305:F317,H305:H317,B$10),""))))))))))))</f>
        <v/>
      </c>
      <c r="K312" s="52" t="str">
        <f>IF(N(B$10)=0,"",IF(AND(COUNT(A306:A317)=2,COUNT(F306:F317)=2),cubic_spline(F305:F307,A305:A307,B$10),IF(AND(COUNT(A306:A317)=3,COUNT(F306:F317)=3),cubic_spline(F305:F308,A305:A308,B$10),IF(AND(COUNT(A306:A317)=4,COUNT(F306:F317)=4),cubic_spline(F305:F309,A305:A309,B$10),IF(AND(COUNT(A306:A317)=5,COUNT(F306:F317)=5),cubic_spline(F305:F310,A305:A310,B$10),IF(AND(COUNT(A306:A317)=6,COUNT(F306:F317)=6),cubic_spline(F305:F311,A305:A311,B$10),IF(AND(COUNT(A306:A317)=7,COUNT(F306:F317)=7),cubic_spline(F305:F312,A305:A312,B$10),IF(AND(COUNT(A306:A317)=8,COUNT(F306:F317)=8),cubic_spline(F305:F313,A305:A313,B$10),IF(AND(COUNT(A306:A317)=9,COUNT(F306:F317)=9),cubic_spline(F305:F314,A305:A314,B$10),IF(AND(COUNT(A306:A317)=10,COUNT(F306:F317)=10),cubic_spline(F305:F315,A305:A315,B$10),IF(AND(COUNT(A306:A317)=11,COUNT(F306:F317)=11),cubic_spline(F305:F316,A305:A316,B$10),IF(AND(COUNT(A306:A317)=12,COUNT(F306:F317)=12),cubic_spline(F305:F317,A305:A317,B$10),""))))))))))))</f>
        <v/>
      </c>
      <c r="L312" s="27" t="str">
        <f>IF(I312="","",B$9&amp;"-"&amp;B$10)</f>
        <v/>
      </c>
      <c r="M312" s="52" t="str">
        <f t="shared" si="115"/>
        <v/>
      </c>
    </row>
    <row r="313" spans="1:13" x14ac:dyDescent="0.35">
      <c r="A313" s="48"/>
      <c r="B313" s="48"/>
      <c r="C313" s="49"/>
      <c r="D313" s="50"/>
      <c r="E313" s="51" t="str">
        <f t="shared" si="114"/>
        <v/>
      </c>
      <c r="F313" s="71" t="str">
        <f t="shared" si="111"/>
        <v/>
      </c>
      <c r="G313" s="69" t="str">
        <f t="shared" si="113"/>
        <v/>
      </c>
      <c r="H313" s="70" t="str">
        <f t="shared" si="112"/>
        <v/>
      </c>
      <c r="I313" s="27" t="str">
        <f>IF(N(J313)=0,"",0&amp;"-"&amp;B$11)</f>
        <v/>
      </c>
      <c r="J313" s="52" t="str">
        <f>IF(N(B$11)=0,"",IF(AND(COUNT(H306:H317)=2,COUNT(F306:F317)=2),cubic_spline(F305:F307,H305:H307,B$11),IF(AND(COUNT(H306:H317)=3,COUNT(F306:F317)=3),cubic_spline(F305:F308,H305:H308,B$11),IF(AND(COUNT(H306:H317)=4,COUNT(F306:F317)=4),cubic_spline(F305:F309,H305:H309,B$11),IF(AND(COUNT(H306:H317)=5,COUNT(F306:F317)=5),cubic_spline(F305:F310,H305:H310,B$11),IF(AND(COUNT(H306:H317)=6,COUNT(F306:F317)=6),cubic_spline(F305:F311,H305:H311,B$11),IF(AND(COUNT(H306:H317)=7,COUNT(F306:F317)=7),cubic_spline(F305:F312,H305:H312,B$11),IF(AND(COUNT(H306:H317)=8,COUNT(F306:F317)=8),cubic_spline(F305:F313,H305:H313,B$11),IF(AND(COUNT(H306:H317)=9,COUNT(F306:F317)=9),cubic_spline(F305:F314,H305:H314,B$11),IF(AND(COUNT(H306:H317)=10,COUNT(F306:F317)=10),cubic_spline(F305:F315,H305:H315,B$11),IF(AND(COUNT(H306:H317)=11,COUNT(F306:F317)=11),cubic_spline(F305:F316,H305:H316,B$11),IF(AND(COUNT(H306:H317)=12,COUNT(F306:F317)=12),cubic_spline(F305:F317,H305:H317,B$11),""))))))))))))</f>
        <v/>
      </c>
      <c r="K313" s="52" t="str">
        <f>IF(N(B$11)=0,"",IF(AND(COUNT(A306:A317)=2,COUNT(F306:F317)=2),cubic_spline(F305:F307,A305:A307,B$11),IF(AND(COUNT(A306:A317)=3,COUNT(F306:F317)=3),cubic_spline(F305:F308,A305:A308,B$11),IF(AND(COUNT(A306:A317)=4,COUNT(F306:F317)=4),cubic_spline(F305:F309,A305:A309,B$11),IF(AND(COUNT(A306:A317)=5,COUNT(F306:F317)=5),cubic_spline(F305:F310,A305:A310,B$11),IF(AND(COUNT(A306:A317)=6,COUNT(F306:F317)=6),cubic_spline(F305:F311,A305:A311,B$11),IF(AND(COUNT(A306:A317)=7,COUNT(F306:F317)=7),cubic_spline(F305:F312,A305:A312,B$11),IF(AND(COUNT(A306:A317)=8,COUNT(F306:F317)=8),cubic_spline(F305:F313,A305:A313,B$11),IF(AND(COUNT(A306:A317)=9,COUNT(F306:F317)=9),cubic_spline(F305:F314,A305:A314,B$11),IF(AND(COUNT(A306:A317)=10,COUNT(F306:F317)=10),cubic_spline(F305:F315,A305:A315,B$11),IF(AND(COUNT(A306:A317)=11,COUNT(F306:F317)=11),cubic_spline(F305:F316,A305:A316,B$11),IF(AND(COUNT(A306:A317)=12,COUNT(F306:F317)=12),cubic_spline(F305:F317,A305:A317,B$11),""))))))))))))</f>
        <v/>
      </c>
      <c r="L313" s="27" t="str">
        <f>IF(I313="","",B$10&amp;"-"&amp;B$11)</f>
        <v/>
      </c>
      <c r="M313" s="52" t="str">
        <f t="shared" si="115"/>
        <v/>
      </c>
    </row>
    <row r="314" spans="1:13" x14ac:dyDescent="0.35">
      <c r="A314" s="48"/>
      <c r="B314" s="48"/>
      <c r="C314" s="49"/>
      <c r="D314" s="50"/>
      <c r="E314" s="51" t="str">
        <f t="shared" si="114"/>
        <v/>
      </c>
      <c r="F314" s="71" t="str">
        <f t="shared" si="111"/>
        <v/>
      </c>
      <c r="G314" s="69" t="str">
        <f t="shared" si="113"/>
        <v/>
      </c>
      <c r="H314" s="70" t="str">
        <f t="shared" si="112"/>
        <v/>
      </c>
      <c r="I314" s="27" t="str">
        <f>IF(N(J314)=0,"",0&amp;"-"&amp;B$12)</f>
        <v/>
      </c>
      <c r="J314" s="52" t="str">
        <f>IF(N(B$12)=0,"",IF(AND(COUNT(H306:H317)=2,COUNT(F306:F317)=2),cubic_spline(F305:F307,H305:H307,B$12),IF(AND(COUNT(H306:H317)=3,COUNT(F306:F317)=3),cubic_spline(F305:F308,H305:H308,B$12),IF(AND(COUNT(H306:H317)=4,COUNT(F306:F317)=4),cubic_spline(F305:F309,H305:H309,B$12),IF(AND(COUNT(H306:H317)=5,COUNT(F306:F317)=5),cubic_spline(F305:F310,H305:H310,B$12),IF(AND(COUNT(H306:H317)=6,COUNT(F306:F317)=6),cubic_spline(F305:F311,H305:H311,B$12),IF(AND(COUNT(H306:H317)=7,COUNT(F306:F317)=7),cubic_spline(F305:F312,H305:H312,B$12),IF(AND(COUNT(H306:H317)=8,COUNT(F306:F317)=8),cubic_spline(F305:F313,H305:H313,B$12),IF(AND(COUNT(H306:H317)=9,COUNT(F306:F317)=9),cubic_spline(F305:F314,H305:H314,B$12),IF(AND(COUNT(H306:H317)=10,COUNT(F306:F317)=10),cubic_spline(F305:F315,H305:H315,B$12),IF(AND(COUNT(H306:H317)=11,COUNT(F306:F317)=11),cubic_spline(F305:F316,H305:H316,B$12),IF(AND(COUNT(H306:H317)=12,COUNT(F306:F317)=12),cubic_spline(F305:F317,H305:H317,B$12),""))))))))))))</f>
        <v/>
      </c>
      <c r="K314" s="52" t="str">
        <f>IF(N(B$12)=0,"",IF(AND(COUNT(A306:A317)=2,COUNT(F306:F317)=2),cubic_spline(F305:F307,A305:A307,B$12),IF(AND(COUNT(A306:A317)=3,COUNT(F306:F317)=3),cubic_spline(F305:F308,A305:A308,B$12),IF(AND(COUNT(A306:A317)=4,COUNT(F306:F317)=4),cubic_spline(F305:F309,A305:A309,B$12),IF(AND(COUNT(A306:A317)=5,COUNT(F306:F317)=5),cubic_spline(F305:F310,A305:A310,B$12),IF(AND(COUNT(A306:A317)=6,COUNT(F306:F317)=6),cubic_spline(F305:F311,A305:A311,B$12),IF(AND(COUNT(A306:A317)=7,COUNT(F306:F317)=7),cubic_spline(F305:F312,A305:A312,B$12),IF(AND(COUNT(A306:A317)=8,COUNT(F306:F317)=8),cubic_spline(F305:F313,A305:A313,B$12),IF(AND(COUNT(A306:A317)=9,COUNT(F306:F317)=9),cubic_spline(F305:F314,A305:A314,B$12),IF(AND(COUNT(A306:A317)=10,COUNT(F306:F317)=10),cubic_spline(F305:F315,A305:A315,B$12),IF(AND(COUNT(A306:A317)=11,COUNT(F306:F317)=11),cubic_spline(F305:F316,A305:A316,B$12),IF(AND(COUNT(A306:A317)=12,COUNT(F306:F317)=12),cubic_spline(F305:F317,A305:A317,B$12),""))))))))))))</f>
        <v/>
      </c>
      <c r="L314" s="27" t="str">
        <f>IF(I314="","",B$11&amp;"-"&amp;B$12)</f>
        <v/>
      </c>
      <c r="M314" s="52" t="str">
        <f t="shared" si="115"/>
        <v/>
      </c>
    </row>
    <row r="315" spans="1:13" x14ac:dyDescent="0.35">
      <c r="A315" s="48"/>
      <c r="B315" s="48"/>
      <c r="C315" s="49"/>
      <c r="D315" s="50"/>
      <c r="E315" s="51" t="str">
        <f t="shared" si="114"/>
        <v/>
      </c>
      <c r="F315" s="71" t="str">
        <f t="shared" si="111"/>
        <v/>
      </c>
      <c r="G315" s="69" t="str">
        <f t="shared" si="113"/>
        <v/>
      </c>
      <c r="H315" s="70" t="str">
        <f t="shared" si="112"/>
        <v/>
      </c>
      <c r="I315" s="27" t="str">
        <f>IF(N(J315)=0,"",0&amp;"-"&amp;B$13)</f>
        <v/>
      </c>
      <c r="J315" s="52" t="str">
        <f>IF(N(B$13)=0,"",IF(AND(COUNT(H306:H317)=2,COUNT(F306:F317)=2),cubic_spline(F305:F307,H305:H307,B$13),IF(AND(COUNT(H306:H317)=3,COUNT(F306:F317)=3),cubic_spline(F305:F308,H305:H308,B$13),IF(AND(COUNT(H306:H317)=4,COUNT(F306:F317)=4),cubic_spline(F305:F309,H305:H309,B$13),IF(AND(COUNT(H306:H317)=5,COUNT(F306:F317)=5),cubic_spline(F305:F310,H305:H310,B$13),IF(AND(COUNT(H306:H317)=6,COUNT(F306:F317)=6),cubic_spline(F305:F311,H305:H311,B$13),IF(AND(COUNT(H306:H317)=7,COUNT(F306:F317)=7),cubic_spline(F305:F312,H305:H312,B$13),IF(AND(COUNT(H306:H317)=8,COUNT(F306:F317)=8),cubic_spline(F305:F313,H305:H313,B$13),IF(AND(COUNT(H306:H317)=9,COUNT(F306:F317)=9),cubic_spline(F305:F314,H305:H314,B$13),IF(AND(COUNT(H306:H317)=10,COUNT(F306:F317)=10),cubic_spline(F305:F315,H305:H315,B$13),IF(AND(COUNT(H306:H317)=11,COUNT(F306:F317)=11),cubic_spline(F305:F316,H305:H316,B$13),IF(AND(COUNT(H306:H317)=12,COUNT(F306:F317)=12),cubic_spline(F305:F317,H305:H317,B$13),""))))))))))))</f>
        <v/>
      </c>
      <c r="K315" s="52" t="str">
        <f>IF(N(B$13)=0,"",IF(AND(COUNT(A306:A317)=2,COUNT(F306:F317)=2),cubic_spline(F305:F307,A305:A307,B$13),IF(AND(COUNT(A306:A317)=3,COUNT(F306:F317)=3),cubic_spline(F305:F308,A305:A308,B$13),IF(AND(COUNT(A306:A317)=4,COUNT(F306:F317)=4),cubic_spline(F305:F309,A305:A309,B$13),IF(AND(COUNT(A306:A317)=5,COUNT(F306:F317)=5),cubic_spline(F305:F310,A305:A310,B$13),IF(AND(COUNT(A306:A317)=6,COUNT(F306:F317)=6),cubic_spline(F305:F311,A305:A311,B$13),IF(AND(COUNT(A306:A317)=7,COUNT(F306:F317)=7),cubic_spline(F305:F312,A305:A312,B$13),IF(AND(COUNT(A306:A317)=8,COUNT(F306:F317)=8),cubic_spline(F305:F313,A305:A313,B$13),IF(AND(COUNT(A306:A317)=9,COUNT(F306:F317)=9),cubic_spline(F305:F314,A305:A314,B$13),IF(AND(COUNT(A306:A317)=10,COUNT(F306:F317)=10),cubic_spline(F305:F315,A305:A315,B$13),IF(AND(COUNT(A306:A317)=11,COUNT(F306:F317)=11),cubic_spline(F305:F316,A305:A316,B$13),IF(AND(COUNT(A306:A317)=12,COUNT(F306:F317)=12),cubic_spline(F305:F317,A305:A317,B$13),""))))))))))))</f>
        <v/>
      </c>
      <c r="L315" s="27" t="str">
        <f>IF(I315="","",B$12&amp;"-"&amp;B$13)</f>
        <v/>
      </c>
      <c r="M315" s="52" t="str">
        <f t="shared" si="115"/>
        <v/>
      </c>
    </row>
    <row r="316" spans="1:13" x14ac:dyDescent="0.35">
      <c r="A316" s="48"/>
      <c r="B316" s="48"/>
      <c r="C316" s="49"/>
      <c r="D316" s="50"/>
      <c r="E316" s="51" t="str">
        <f t="shared" si="114"/>
        <v/>
      </c>
      <c r="F316" s="71" t="str">
        <f t="shared" si="111"/>
        <v/>
      </c>
      <c r="G316" s="69" t="str">
        <f t="shared" si="113"/>
        <v/>
      </c>
      <c r="H316" s="70" t="str">
        <f t="shared" si="112"/>
        <v/>
      </c>
      <c r="I316" s="27" t="str">
        <f>IF(N(J316)=0,"",0&amp;"-"&amp;B$14)</f>
        <v/>
      </c>
      <c r="J316" s="52" t="str">
        <f>IF(N(B$14)=0,"",IF(AND(COUNT(H306:H317)=2,COUNT(F306:F317)=2),cubic_spline(F305:F307,H305:H307,B$14),IF(AND(COUNT(H306:H317)=3,COUNT(F306:F317)=3),cubic_spline(F305:F308,H305:H308,B$14),IF(AND(COUNT(H306:H317)=4,COUNT(F306:F317)=4),cubic_spline(F305:F309,H305:H309,B$14),IF(AND(COUNT(H306:H317)=5,COUNT(F306:F317)=5),cubic_spline(F305:F310,H305:H310,B$14),IF(AND(COUNT(H306:H317)=6,COUNT(F306:F317)=6),cubic_spline(F305:F311,H305:H311,B$14),IF(AND(COUNT(H306:H317)=7,COUNT(F306:F317)=7),cubic_spline(F305:F312,H305:H312,B$14),IF(AND(COUNT(H306:H317)=8,COUNT(F306:F317)=8),cubic_spline(F305:F313,H305:H313,B$14),IF(AND(COUNT(H306:H317)=9,COUNT(F306:F317)=9),cubic_spline(F305:F314,H305:H314,B$14),IF(AND(COUNT(H306:H317)=10,COUNT(F306:F317)=10),cubic_spline(F305:F315,H305:H315,B$14),IF(AND(COUNT(H306:H317)=11,COUNT(F306:F317)=11),cubic_spline(F305:F316,H305:H316,B$14),IF(AND(COUNT(H306:H317)=12,COUNT(F306:F317)=12),cubic_spline(F305:F317,H305:H317,B$14),""))))))))))))</f>
        <v/>
      </c>
      <c r="K316" s="52" t="str">
        <f>IF(N(B$14)=0,"",IF(AND(COUNT(A306:A317)=2,COUNT(F306:F317)=2),cubic_spline(F305:F307,A305:A307,B$14),IF(AND(COUNT(A306:A317)=3,COUNT(F306:F317)=3),cubic_spline(F305:F308,A305:A308,B$14),IF(AND(COUNT(A306:A317)=4,COUNT(F306:F317)=4),cubic_spline(F305:F309,A305:A309,B$14),IF(AND(COUNT(A306:A317)=5,COUNT(F306:F317)=5),cubic_spline(F305:F310,A305:A310,B$14),IF(AND(COUNT(A306:A317)=6,COUNT(F306:F317)=6),cubic_spline(F305:F311,A305:A311,B$14),IF(AND(COUNT(A306:A317)=7,COUNT(F306:F317)=7),cubic_spline(F305:F312,A305:A312,B$14),IF(AND(COUNT(A306:A317)=8,COUNT(F306:F317)=8),cubic_spline(F305:F313,A305:A313,B$14),IF(AND(COUNT(A306:A317)=9,COUNT(F306:F317)=9),cubic_spline(F305:F314,A305:A314,B$14),IF(AND(COUNT(A306:A317)=10,COUNT(F306:F317)=10),cubic_spline(F305:F315,A305:A315,B$14),IF(AND(COUNT(A306:A317)=11,COUNT(F306:F317)=11),cubic_spline(F305:F316,A305:A316,B$14),IF(AND(COUNT(A306:A317)=12,COUNT(F306:F317)=12),cubic_spline(F305:F317,A305:A317,B$14),""))))))))))))</f>
        <v/>
      </c>
      <c r="L316" s="27" t="str">
        <f>IF(I316="","",B$13&amp;"-"&amp;B$14)</f>
        <v/>
      </c>
      <c r="M316" s="52" t="str">
        <f t="shared" si="115"/>
        <v/>
      </c>
    </row>
    <row r="317" spans="1:13" x14ac:dyDescent="0.35">
      <c r="A317" s="48"/>
      <c r="B317" s="48"/>
      <c r="C317" s="49"/>
      <c r="D317" s="50"/>
      <c r="E317" s="51" t="str">
        <f t="shared" si="114"/>
        <v/>
      </c>
      <c r="F317" s="71" t="str">
        <f t="shared" si="111"/>
        <v/>
      </c>
      <c r="G317" s="69" t="str">
        <f t="shared" si="113"/>
        <v/>
      </c>
      <c r="H317" s="70" t="str">
        <f t="shared" si="112"/>
        <v/>
      </c>
      <c r="I317" s="27" t="str">
        <f>IF(N(J317)=0,"",0&amp;"-"&amp;B$15)</f>
        <v/>
      </c>
      <c r="J317" s="52" t="str">
        <f>IF(N(B$15)=0,"",IF(AND(COUNT(H306:H317)=2,COUNT(F306:F317)=2),cubic_spline(F305:F307,H305:H307,B$15),IF(AND(COUNT(H306:H317)=3,COUNT(F306:F317)=3),cubic_spline(F305:F308,H305:H308,B$15),IF(AND(COUNT(H306:H317)=4,COUNT(F306:F317)=4),cubic_spline(F305:F309,H305:H309,B$15),IF(AND(COUNT(H306:H317)=5,COUNT(F306:F317)=5),cubic_spline(F305:F310,H305:H310,B$15),IF(AND(COUNT(H306:H317)=6,COUNT(F306:F317)=6),cubic_spline(F305:F311,H305:H311,B$15),IF(AND(COUNT(H306:H317)=7,COUNT(F306:F317)=7),cubic_spline(F305:F312,H305:H312,B$15),IF(AND(COUNT(H306:H317)=8,COUNT(F306:F317)=8),cubic_spline(F305:F313,H305:H313,B$15),IF(AND(COUNT(H306:H317)=9,COUNT(F306:F317)=9),cubic_spline(F305:F314,H305:H314,B$15),IF(AND(COUNT(H306:H317)=10,COUNT(F306:F317)=10),cubic_spline(F305:F315,H305:H315,B$15),IF(AND(COUNT(H306:H317)=11,COUNT(F306:F317)=11),cubic_spline(F305:F316,H305:H316,B$15),IF(AND(COUNT(H306:H317)=12,COUNT(F306:F317)=12),cubic_spline(F305:F317,H305:H317,B$15),""))))))))))))</f>
        <v/>
      </c>
      <c r="K317" s="52" t="str">
        <f>IF(N(B$15)=0,"",IF(AND(COUNT(A306:A317)=2,COUNT(F306:F317)=2),cubic_spline(F305:F307,A305:A307,B$15),IF(AND(COUNT(A306:A317)=3,COUNT(F306:F317)=3),cubic_spline(F305:F308,A305:A308,B$15),IF(AND(COUNT(A306:A317)=4,COUNT(F306:F317)=4),cubic_spline(F305:F309,A305:A309,B$15),IF(AND(COUNT(A306:A317)=5,COUNT(F306:F317)=5),cubic_spline(F305:F310,A305:A310,B$15),IF(AND(COUNT(A306:A317)=6,COUNT(F306:F317)=6),cubic_spline(F305:F311,A305:A311,B$15),IF(AND(COUNT(A306:A317)=7,COUNT(F306:F317)=7),cubic_spline(F305:F312,A305:A312,B$15),IF(AND(COUNT(A306:A317)=8,COUNT(F306:F317)=8),cubic_spline(F305:F313,A305:A313,B$15),IF(AND(COUNT(A306:A317)=9,COUNT(F306:F317)=9),cubic_spline(F305:F314,A305:A314,B$15),IF(AND(COUNT(A306:A317)=10,COUNT(F306:F317)=10),cubic_spline(F305:F315,A305:A315,B$15),IF(AND(COUNT(A306:A317)=11,COUNT(F306:F317)=11),cubic_spline(F305:F316,A305:A316,B$15),IF(AND(COUNT(A306:A317)=12,COUNT(F306:F317)=12),cubic_spline(F305:F317,A305:A317,B$15),""))))))))))))</f>
        <v/>
      </c>
      <c r="L317" s="27" t="str">
        <f>IF(I317="","",B$14&amp;"-"&amp;B$15)</f>
        <v/>
      </c>
      <c r="M317" s="52" t="str">
        <f t="shared" si="115"/>
        <v/>
      </c>
    </row>
    <row r="318" spans="1:13" ht="5.15" customHeight="1" x14ac:dyDescent="0.35">
      <c r="A318" s="47"/>
      <c r="B318" s="47"/>
      <c r="C318" s="47"/>
      <c r="D318" s="53"/>
      <c r="E318" s="54"/>
      <c r="F318" s="55"/>
      <c r="G318" s="72"/>
      <c r="H318" s="73"/>
      <c r="I318" s="47"/>
      <c r="J318" s="57"/>
      <c r="K318" s="57"/>
      <c r="L318" s="55"/>
      <c r="M318" s="57"/>
    </row>
    <row r="319" spans="1:13" x14ac:dyDescent="0.35">
      <c r="A319" s="48"/>
      <c r="B319" s="48"/>
      <c r="C319" s="49"/>
      <c r="D319" s="50"/>
      <c r="E319" s="51" t="str">
        <f>IF(N(C319)=0,"",C319/PI()/($D$1/2)^2/$D$2*10000)</f>
        <v/>
      </c>
      <c r="F319" s="68" t="str">
        <f t="shared" ref="F319:F330" si="116">IF(N(E319)=0,"",(N(E319)+N(F318)))</f>
        <v/>
      </c>
      <c r="G319" s="69" t="str">
        <f>IF(OR(N(D319)=0,N(E319)=0),"",(E319*D319)/1000)</f>
        <v/>
      </c>
      <c r="H319" s="70" t="str">
        <f t="shared" ref="H319:H330" si="117">IF(N(G319)=0,"",(N(G319)+N(H318)))</f>
        <v/>
      </c>
      <c r="I319" s="27" t="str">
        <f>IF(N(J319)=0,"",0&amp;"-"&amp;B$4)</f>
        <v/>
      </c>
      <c r="J319" s="52" t="str">
        <f>IF(N(B$4)=0,"",IF(AND(COUNT(H319:H330)=2,COUNT(F319:F330)=2),cubic_spline(F318:F320,H318:H320,B$4),IF(AND(COUNT(H319:H330)=3,COUNT(F319:F330)=3),cubic_spline(F318:F321,H318:H321,B$4),IF(AND(COUNT(H319:H330)=4,COUNT(F319:F330)=4),cubic_spline(F318:F322,H318:H322,B$4),IF(AND(COUNT(H319:H330)=5,COUNT(F319:F330)=5),cubic_spline(F318:F323,H318:H323,B$4),IF(AND(COUNT(H319:H330)=6,COUNT(F319:F330)=6),cubic_spline(F318:F324,H318:H324,B$4),IF(AND(COUNT(H319:H330)=7,COUNT(F319:F330)=7),cubic_spline(F318:F325,H318:H325,B$4),IF(AND(COUNT(H319:H330)=8,COUNT(F319:F330)=8),cubic_spline(F318:F326,H318:H326,B$4),IF(AND(COUNT(H319:H330)=9,COUNT(F319:F330)=9),cubic_spline(F318:F327,H318:H327,B$4),IF(AND(COUNT(H319:H330)=10,COUNT(F319:F330)=10),cubic_spline(F318:F328,H318:H328,B$4),IF(AND(COUNT(H319:H330)=11,COUNT(F319:F330)=11),cubic_spline(F318:F329,H318:H329,B$4),IF(AND(COUNT(H319:H330)=12,COUNT(F319:F330)=12),cubic_spline(F318:F330,H318:H330,B$4),""))))))))))))</f>
        <v/>
      </c>
      <c r="K319" s="52" t="str">
        <f>IF(N(B$4)=0,"",IF(AND(COUNT(A319:A330)=2,COUNT(F319:F330)=2),cubic_spline(F318:F320,A318:A320,B$4),IF(AND(COUNT(A319:A330)=3,COUNT(F319:F330)=3),cubic_spline(F318:F321,A318:A321,B$4),IF(AND(COUNT(A319:A330)=4,COUNT(F319:F330)=4),cubic_spline(F318:F322,A318:A322,B$4),IF(AND(COUNT(A319:A330)=5,COUNT(F319:F330)=5),cubic_spline(F318:F323,A318:A323,B$4),IF(AND(COUNT(A319:A330)=6,COUNT(F319:F330)=6),cubic_spline(F318:F324,A318:A324,B$4),IF(AND(COUNT(A319:A330)=7,COUNT(F319:F330)=7),cubic_spline(F318:F325,A318:A325,B$4),IF(AND(COUNT(A319:A330)=8,COUNT(F319:F330)=8),cubic_spline(F318:F326,A318:A326,B$4),IF(AND(COUNT(A319:A330)=9,COUNT(F319:F330)=9),cubic_spline(F318:F327,A318:A327,B$4),IF(AND(COUNT(A319:A330)=10,COUNT(F319:F330)=10),cubic_spline(F318:F328,A318:A328,B$4),IF(AND(COUNT(A319:A330)=11,COUNT(F319:F330)=11),cubic_spline(F318:F329,A318:A329,B$4),IF(AND(COUNT(A319:A330)=12,COUNT(F319:F330)=12),cubic_spline(F318:F330,A318:A330,B$4),""))))))))))))</f>
        <v/>
      </c>
      <c r="L319" s="27" t="str">
        <f>IF(I319="","",0&amp;"-"&amp;B$4)</f>
        <v/>
      </c>
      <c r="M319" s="52" t="str">
        <f>IF(N(J319)=0,"",J319-J318)</f>
        <v/>
      </c>
    </row>
    <row r="320" spans="1:13" x14ac:dyDescent="0.35">
      <c r="A320" s="48"/>
      <c r="B320" s="48"/>
      <c r="C320" s="49"/>
      <c r="D320" s="50"/>
      <c r="E320" s="51" t="str">
        <f>IF(N(C320)=0,"",C320/PI()/($D$1/2)^2/$D$2*10000)</f>
        <v/>
      </c>
      <c r="F320" s="68" t="str">
        <f t="shared" si="116"/>
        <v/>
      </c>
      <c r="G320" s="69" t="str">
        <f t="shared" ref="G320:G330" si="118">IF(OR(N(D320)=0,N(E320)=0),"",(E320*D320)/1000)</f>
        <v/>
      </c>
      <c r="H320" s="70" t="str">
        <f t="shared" si="117"/>
        <v/>
      </c>
      <c r="I320" s="27" t="str">
        <f>IF(N(J320)=0,"",0&amp;"-"&amp;B$5)</f>
        <v/>
      </c>
      <c r="J320" s="52" t="str">
        <f>IF(N(B$5)=0,"",IF(AND(COUNT(H319:H330)=2,COUNT(F319:F330)=2),cubic_spline(F318:F320,H318:H320,B$5),IF(AND(COUNT(H319:H330)=3,COUNT(F319:F330)=3),cubic_spline(F318:F321,H318:H321,B$5),IF(AND(COUNT(H319:H330)=4,COUNT(F319:F330)=4),cubic_spline(F318:F322,H318:H322,B$5),IF(AND(COUNT(H319:H330)=5,COUNT(F319:F330)=5),cubic_spline(F318:F323,H318:H323,B$5),IF(AND(COUNT(H319:H330)=6,COUNT(F319:F330)=6),cubic_spline(F318:F324,H318:H324,B$5),IF(AND(COUNT(H319:H330)=7,COUNT(F319:F330)=7),cubic_spline(F318:F325,H318:H325,B$5),IF(AND(COUNT(H319:H330)=8,COUNT(F319:F330)=8),cubic_spline(F318:F326,H318:H326,B$5),IF(AND(COUNT(H319:H330)=9,COUNT(F319:F330)=9),cubic_spline(F318:F327,H318:H327,B$5),IF(AND(COUNT(H319:H330)=10,COUNT(F319:F330)=10),cubic_spline(F318:F328,H318:H328,B$5),IF(AND(COUNT(H319:H330)=11,COUNT(F319:F330)=11),cubic_spline(F318:F329,H318:H329,B$5),IF(AND(COUNT(H319:H330)=12,COUNT(F319:F330)=12),cubic_spline(F318:F330,H318:H330,B$5),""))))))))))))</f>
        <v/>
      </c>
      <c r="K320" s="52" t="str">
        <f>IF(N(B$5)=0,"",IF(AND(COUNT(A319:A330)=2,COUNT(F319:F330)=2),cubic_spline(F318:F320,A318:A320,B$5),IF(AND(COUNT(A319:A330)=3,COUNT(F319:F330)=3),cubic_spline(F318:F321,A318:A321,B$5),IF(AND(COUNT(A319:A330)=4,COUNT(F319:F330)=4),cubic_spline(F318:F322,A318:A322,B$5),IF(AND(COUNT(A319:A330)=5,COUNT(F319:F330)=5),cubic_spline(F318:F323,A318:A323,B$5),IF(AND(COUNT(A319:A330)=6,COUNT(F319:F330)=6),cubic_spline(F318:F324,A318:A324,B$5),IF(AND(COUNT(A319:A330)=7,COUNT(F319:F330)=7),cubic_spline(F318:F325,A318:A325,B$5),IF(AND(COUNT(A319:A330)=8,COUNT(F319:F330)=8),cubic_spline(F318:F326,A318:A326,B$5),IF(AND(COUNT(A319:A330)=9,COUNT(F319:F330)=9),cubic_spline(F318:F327,A318:A327,B$5),IF(AND(COUNT(A319:A330)=10,COUNT(F319:F330)=10),cubic_spline(F318:F328,A318:A328,B$5),IF(AND(COUNT(A319:A330)=11,COUNT(F319:F330)=11),cubic_spline(F318:F329,A318:A329,B$5),IF(AND(COUNT(A319:A330)=12,COUNT(F319:F330)=12),cubic_spline(F318:F330,A318:A330,B$5),""))))))))))))</f>
        <v/>
      </c>
      <c r="L320" s="27" t="str">
        <f>IF(I320="","",B$4&amp;"-"&amp;B$5)</f>
        <v/>
      </c>
      <c r="M320" s="52" t="str">
        <f>IF(N(J320)=0,"",J320-J319)</f>
        <v/>
      </c>
    </row>
    <row r="321" spans="1:13" x14ac:dyDescent="0.35">
      <c r="A321" s="48"/>
      <c r="B321" s="48"/>
      <c r="C321" s="49"/>
      <c r="D321" s="50"/>
      <c r="E321" s="51" t="str">
        <f>IF(N(C321)=0,"",C321/PI()/($D$1/2)^2/$D$2*10000)</f>
        <v/>
      </c>
      <c r="F321" s="68" t="str">
        <f t="shared" si="116"/>
        <v/>
      </c>
      <c r="G321" s="69" t="str">
        <f t="shared" si="118"/>
        <v/>
      </c>
      <c r="H321" s="70" t="str">
        <f t="shared" si="117"/>
        <v/>
      </c>
      <c r="I321" s="27" t="str">
        <f>IF(N(J321)=0,"",0&amp;"-"&amp;B$6)</f>
        <v/>
      </c>
      <c r="J321" s="52" t="str">
        <f>IF(N(B$6)=0,"",IF(AND(COUNT(H319:H330)=2,COUNT(F319:F330)=2),cubic_spline(F318:F320,H318:H320,B$6),IF(AND(COUNT(H319:H330)=3,COUNT(F319:F330)=3),cubic_spline(F318:F321,H318:H321,B$6),IF(AND(COUNT(H319:H330)=4,COUNT(F319:F330)=4),cubic_spline(F318:F322,H318:H322,B$6),IF(AND(COUNT(H319:H330)=5,COUNT(F319:F330)=5),cubic_spline(F318:F323,H318:H323,B$6),IF(AND(COUNT(H319:H330)=6,COUNT(F319:F330)=6),cubic_spline(F318:F324,H318:H324,B$6),IF(AND(COUNT(H319:H330)=7,COUNT(F319:F330)=7),cubic_spline(F318:F325,H318:H325,B$6),IF(AND(COUNT(H319:H330)=8,COUNT(F319:F330)=8),cubic_spline(F318:F326,H318:H326,B$6),IF(AND(COUNT(H319:H330)=9,COUNT(F319:F330)=9),cubic_spline(F318:F327,H318:H327,B$6),IF(AND(COUNT(H319:H330)=10,COUNT(F319:F330)=10),cubic_spline(F318:F328,H318:H328,B$6),IF(AND(COUNT(H319:H330)=11,COUNT(F319:F330)=11),cubic_spline(F318:F329,H318:H329,B$6),IF(AND(COUNT(H319:H330)=12,COUNT(F319:F330)=12),cubic_spline(F318:F330,H318:H330,B$6),""))))))))))))</f>
        <v/>
      </c>
      <c r="K321" s="52" t="str">
        <f>IF(N(B$6)=0,"",IF(AND(COUNT(A319:A330)=2,COUNT(F319:F330)=2),cubic_spline(F318:F320,A318:A320,B$6),IF(AND(COUNT(A319:A330)=3,COUNT(F319:F330)=3),cubic_spline(F318:F321,A318:A321,B$6),IF(AND(COUNT(A319:A330)=4,COUNT(F319:F330)=4),cubic_spline(F318:F322,A318:A322,B$6),IF(AND(COUNT(A319:A330)=5,COUNT(F319:F330)=5),cubic_spline(F318:F323,A318:A323,B$6),IF(AND(COUNT(A319:A330)=6,COUNT(F319:F330)=6),cubic_spline(F318:F324,A318:A324,B$6),IF(AND(COUNT(A319:A330)=7,COUNT(F319:F330)=7),cubic_spline(F318:F325,A318:A325,B$6),IF(AND(COUNT(A319:A330)=8,COUNT(F319:F330)=8),cubic_spline(F318:F326,A318:A326,B$6),IF(AND(COUNT(A319:A330)=9,COUNT(F319:F330)=9),cubic_spline(F318:F327,A318:A327,B$6),IF(AND(COUNT(A319:A330)=10,COUNT(F319:F330)=10),cubic_spline(F318:F328,A318:A328,B$6),IF(AND(COUNT(A319:A330)=11,COUNT(F319:F330)=11),cubic_spline(F318:F329,A318:A329,B$6),IF(AND(COUNT(A319:A330)=12,COUNT(F319:F330)=12),cubic_spline(F318:F330,A318:A330,B$6),""))))))))))))</f>
        <v/>
      </c>
      <c r="L321" s="27" t="str">
        <f>IF(I321="","",B$5&amp;"-"&amp;B$6)</f>
        <v/>
      </c>
      <c r="M321" s="52" t="str">
        <f>IF(N(J321)=0,"",J321-J320)</f>
        <v/>
      </c>
    </row>
    <row r="322" spans="1:13" x14ac:dyDescent="0.35">
      <c r="A322" s="48"/>
      <c r="B322" s="48"/>
      <c r="C322" s="49"/>
      <c r="D322" s="50"/>
      <c r="E322" s="51" t="str">
        <f>IF(N(C322)=0,"",C322/PI()/($D$1/2)^2/$D$2*10000)</f>
        <v/>
      </c>
      <c r="F322" s="68" t="str">
        <f t="shared" si="116"/>
        <v/>
      </c>
      <c r="G322" s="69" t="str">
        <f t="shared" si="118"/>
        <v/>
      </c>
      <c r="H322" s="70" t="str">
        <f t="shared" si="117"/>
        <v/>
      </c>
      <c r="I322" s="27" t="str">
        <f>IF(N(J322)=0,"",0&amp;"-"&amp;B$7)</f>
        <v/>
      </c>
      <c r="J322" s="52" t="str">
        <f>IF(N(B$7)=0,"",IF(AND(COUNT(H319:H330)=2,COUNT(F319:F330)=2),cubic_spline(F318:F320,H318:H320,B$7),IF(AND(COUNT(H319:H330)=3,COUNT(F319:F330)=3),cubic_spline(F318:F321,H318:H321,B$7),IF(AND(COUNT(H319:H330)=4,COUNT(F319:F330)=4),cubic_spline(F318:F322,H318:H322,B$7),IF(AND(COUNT(H319:H330)=5,COUNT(F319:F330)=5),cubic_spline(F318:F323,H318:H323,B$7),IF(AND(COUNT(H319:H330)=6,COUNT(F319:F330)=6),cubic_spline(F318:F324,H318:H324,B$7),IF(AND(COUNT(H319:H330)=7,COUNT(F319:F330)=7),cubic_spline(F318:F325,H318:H325,B$7),IF(AND(COUNT(H319:H330)=8,COUNT(F319:F330)=8),cubic_spline(F318:F326,H318:H326,B$7),IF(AND(COUNT(H319:H330)=9,COUNT(F319:F330)=9),cubic_spline(F318:F327,H318:H327,B$7),IF(AND(COUNT(H319:H330)=10,COUNT(F319:F330)=10),cubic_spline(F318:F328,H318:H328,B$7),IF(AND(COUNT(H319:H330)=11,COUNT(F319:F330)=11),cubic_spline(F318:F329,H318:H329,B$7),IF(AND(COUNT(H319:H330)=12,COUNT(F319:F330)=12),cubic_spline(F318:F330,H318:H330,B$7),""))))))))))))</f>
        <v/>
      </c>
      <c r="K322" s="52" t="str">
        <f>IF(N(B$7)=0,"",IF(AND(COUNT(A319:A330)=2,COUNT(F319:F330)=2),cubic_spline(F318:F320,A318:A320,B$7),IF(AND(COUNT(A319:A330)=3,COUNT(F319:F330)=3),cubic_spline(F318:F321,A318:A321,B$7),IF(AND(COUNT(A319:A330)=4,COUNT(F319:F330)=4),cubic_spline(F318:F322,A318:A322,B$7),IF(AND(COUNT(A319:A330)=5,COUNT(F319:F330)=5),cubic_spline(F318:F323,A318:A323,B$7),IF(AND(COUNT(A319:A330)=6,COUNT(F319:F330)=6),cubic_spline(F318:F324,A318:A324,B$7),IF(AND(COUNT(A319:A330)=7,COUNT(F319:F330)=7),cubic_spline(F318:F325,A318:A325,B$7),IF(AND(COUNT(A319:A330)=8,COUNT(F319:F330)=8),cubic_spline(F318:F326,A318:A326,B$7),IF(AND(COUNT(A319:A330)=9,COUNT(F319:F330)=9),cubic_spline(F318:F327,A318:A327,B$7),IF(AND(COUNT(A319:A330)=10,COUNT(F319:F330)=10),cubic_spline(F318:F328,A318:A328,B$7),IF(AND(COUNT(A319:A330)=11,COUNT(F319:F330)=11),cubic_spline(F318:F329,A318:A329,B$7),IF(AND(COUNT(A319:A330)=12,COUNT(F319:F330)=12),cubic_spline(F318:F330,A318:A330,B$7),""))))))))))))</f>
        <v/>
      </c>
      <c r="L322" s="27" t="str">
        <f>IF(I322="","",B$6&amp;"-"&amp;B$7)</f>
        <v/>
      </c>
      <c r="M322" s="52" t="str">
        <f>IF(N(J322)=0,"",J322-J321)</f>
        <v/>
      </c>
    </row>
    <row r="323" spans="1:13" x14ac:dyDescent="0.35">
      <c r="A323" s="48"/>
      <c r="B323" s="48"/>
      <c r="C323" s="49"/>
      <c r="D323" s="50"/>
      <c r="E323" s="51" t="str">
        <f t="shared" ref="E323:E330" si="119">IF(N(C323)=0,"",C323/PI()/($D$1/2)^2/$D$2*10000)</f>
        <v/>
      </c>
      <c r="F323" s="71" t="str">
        <f t="shared" si="116"/>
        <v/>
      </c>
      <c r="G323" s="69" t="str">
        <f t="shared" si="118"/>
        <v/>
      </c>
      <c r="H323" s="70" t="str">
        <f t="shared" si="117"/>
        <v/>
      </c>
      <c r="I323" s="27" t="str">
        <f>IF(N(J323)=0,"",0&amp;"-"&amp;B$8)</f>
        <v/>
      </c>
      <c r="J323" s="52" t="str">
        <f>IF(N(B$8)=0,"",IF(AND(COUNT(H319:H330)=2,COUNT(F319:F330)=2),cubic_spline(F318:F320,H318:H320,B$8),IF(AND(COUNT(H319:H330)=3,COUNT(F319:F330)=3),cubic_spline(F318:F321,H318:H321,B$8),IF(AND(COUNT(H319:H330)=4,COUNT(F319:F330)=4),cubic_spline(F318:F322,H318:H322,B$8),IF(AND(COUNT(H319:H330)=5,COUNT(F319:F330)=5),cubic_spline(F318:F323,H318:H323,B$8),IF(AND(COUNT(H319:H330)=6,COUNT(F319:F330)=6),cubic_spline(F318:F324,H318:H324,B$8),IF(AND(COUNT(H319:H330)=7,COUNT(F319:F330)=7),cubic_spline(F318:F325,H318:H325,B$8),IF(AND(COUNT(H319:H330)=8,COUNT(F319:F330)=8),cubic_spline(F318:F326,H318:H326,B$8),IF(AND(COUNT(H319:H330)=9,COUNT(F319:F330)=9),cubic_spline(F318:F327,H318:H327,B$8),IF(AND(COUNT(H319:H330)=10,COUNT(F319:F330)=10),cubic_spline(F318:F328,H318:H328,B$8),IF(AND(COUNT(H319:H330)=11,COUNT(F319:F330)=11),cubic_spline(F318:F329,H318:H329,B$8),IF(AND(COUNT(H319:H330)=12,COUNT(F319:F330)=12),cubic_spline(F318:F330,H318:H330,B$8),""))))))))))))</f>
        <v/>
      </c>
      <c r="K323" s="52" t="str">
        <f>IF(N(B$8)=0,"",IF(AND(COUNT(A319:A330)=2,COUNT(F319:F330)=2),cubic_spline(F318:F320,A318:A320,B$8),IF(AND(COUNT(A319:A330)=3,COUNT(F319:F330)=3),cubic_spline(F318:F321,A318:A321,B$8),IF(AND(COUNT(A319:A330)=4,COUNT(F319:F330)=4),cubic_spline(F318:F322,A318:A322,B$8),IF(AND(COUNT(A319:A330)=5,COUNT(F319:F330)=5),cubic_spline(F318:F323,A318:A323,B$8),IF(AND(COUNT(A319:A330)=6,COUNT(F319:F330)=6),cubic_spline(F318:F324,A318:A324,B$8),IF(AND(COUNT(A319:A330)=7,COUNT(F319:F330)=7),cubic_spline(F318:F325,A318:A325,B$8),IF(AND(COUNT(A319:A330)=8,COUNT(F319:F330)=8),cubic_spline(F318:F326,A318:A326,B$8),IF(AND(COUNT(A319:A330)=9,COUNT(F319:F330)=9),cubic_spline(F318:F327,A318:A327,B$8),IF(AND(COUNT(A319:A330)=10,COUNT(F319:F330)=10),cubic_spline(F318:F328,A318:A328,B$8),IF(AND(COUNT(A319:A330)=11,COUNT(F319:F330)=11),cubic_spline(F318:F329,A318:A329,B$8),IF(AND(COUNT(A319:A330)=12,COUNT(F319:F330)=12),cubic_spline(F318:F330,A318:A330,B$8),""))))))))))))</f>
        <v/>
      </c>
      <c r="L323" s="27" t="str">
        <f>IF(I323="","",B$7&amp;"-"&amp;B$8)</f>
        <v/>
      </c>
      <c r="M323" s="52" t="str">
        <f>IF(N(J323)=0,"",J323-J322)</f>
        <v/>
      </c>
    </row>
    <row r="324" spans="1:13" x14ac:dyDescent="0.35">
      <c r="A324" s="48"/>
      <c r="B324" s="48"/>
      <c r="C324" s="49"/>
      <c r="D324" s="50"/>
      <c r="E324" s="51" t="str">
        <f t="shared" si="119"/>
        <v/>
      </c>
      <c r="F324" s="71" t="str">
        <f t="shared" si="116"/>
        <v/>
      </c>
      <c r="G324" s="69" t="str">
        <f t="shared" si="118"/>
        <v/>
      </c>
      <c r="H324" s="70" t="str">
        <f t="shared" si="117"/>
        <v/>
      </c>
      <c r="I324" s="27" t="str">
        <f>IF(N(J324)=0,"",0&amp;"-"&amp;B$9)</f>
        <v/>
      </c>
      <c r="J324" s="52" t="str">
        <f>IF(N(B$9)=0,"",IF(AND(COUNT(H319:H330)=2,COUNT(F319:F330)=2),cubic_spline(F318:F320,H318:H320,B$9),IF(AND(COUNT(H319:H330)=3,COUNT(F319:F330)=3),cubic_spline(F318:F321,H318:H321,B$9),IF(AND(COUNT(H319:H330)=4,COUNT(F319:F330)=4),cubic_spline(F318:F322,H318:H322,B$9),IF(AND(COUNT(H319:H330)=5,COUNT(F319:F330)=5),cubic_spline(F318:F323,H318:H323,B$9),IF(AND(COUNT(H319:H330)=6,COUNT(F319:F330)=6),cubic_spline(F318:F324,H318:H324,B$9),IF(AND(COUNT(H319:H330)=7,COUNT(F319:F330)=7),cubic_spline(F318:F325,H318:H325,B$9),IF(AND(COUNT(H319:H330)=8,COUNT(F319:F330)=8),cubic_spline(F318:F326,H318:H326,B$9),IF(AND(COUNT(H319:H330)=9,COUNT(F319:F330)=9),cubic_spline(F318:F327,H318:H327,B$9),IF(AND(COUNT(H319:H330)=10,COUNT(F319:F330)=10),cubic_spline(F318:F328,H318:H328,B$9),IF(AND(COUNT(H319:H330)=11,COUNT(F319:F330)=11),cubic_spline(F318:F329,H318:H329,B$9),IF(AND(COUNT(H319:H330)=12,COUNT(F319:F330)=12),cubic_spline(F318:F330,H318:H330,B$9),""))))))))))))</f>
        <v/>
      </c>
      <c r="K324" s="52" t="str">
        <f>IF(N(B$9)=0,"",IF(AND(COUNT(A319:A330)=2,COUNT(F319:F330)=2),cubic_spline(F318:F320,A318:A320,B$9),IF(AND(COUNT(A319:A330)=3,COUNT(F319:F330)=3),cubic_spline(F318:F321,A318:A321,B$9),IF(AND(COUNT(A319:A330)=4,COUNT(F319:F330)=4),cubic_spline(F318:F322,A318:A322,B$9),IF(AND(COUNT(A319:A330)=5,COUNT(F319:F330)=5),cubic_spline(F318:F323,A318:A323,B$9),IF(AND(COUNT(A319:A330)=6,COUNT(F319:F330)=6),cubic_spline(F318:F324,A318:A324,B$9),IF(AND(COUNT(A319:A330)=7,COUNT(F319:F330)=7),cubic_spline(F318:F325,A318:A325,B$9),IF(AND(COUNT(A319:A330)=8,COUNT(F319:F330)=8),cubic_spline(F318:F326,A318:A326,B$9),IF(AND(COUNT(A319:A330)=9,COUNT(F319:F330)=9),cubic_spline(F318:F327,A318:A327,B$9),IF(AND(COUNT(A319:A330)=10,COUNT(F319:F330)=10),cubic_spline(F318:F328,A318:A328,B$9),IF(AND(COUNT(A319:A330)=11,COUNT(F319:F330)=11),cubic_spline(F318:F329,A318:A329,B$9),IF(AND(COUNT(A319:A330)=12,COUNT(F319:F330)=12),cubic_spline(F318:F330,A318:A330,B$9),""))))))))))))</f>
        <v/>
      </c>
      <c r="L324" s="27" t="str">
        <f>IF(I324="","",B$8&amp;"-"&amp;B$9)</f>
        <v/>
      </c>
      <c r="M324" s="52" t="str">
        <f t="shared" ref="M324:M330" si="120">IF(N(J324)=0,"",J324-J323)</f>
        <v/>
      </c>
    </row>
    <row r="325" spans="1:13" x14ac:dyDescent="0.35">
      <c r="A325" s="48"/>
      <c r="B325" s="48"/>
      <c r="C325" s="49"/>
      <c r="D325" s="50"/>
      <c r="E325" s="51" t="str">
        <f t="shared" si="119"/>
        <v/>
      </c>
      <c r="F325" s="71" t="str">
        <f t="shared" si="116"/>
        <v/>
      </c>
      <c r="G325" s="69" t="str">
        <f t="shared" si="118"/>
        <v/>
      </c>
      <c r="H325" s="70" t="str">
        <f t="shared" si="117"/>
        <v/>
      </c>
      <c r="I325" s="27" t="str">
        <f>IF(N(J325)=0,"",0&amp;"-"&amp;B$10)</f>
        <v/>
      </c>
      <c r="J325" s="52" t="str">
        <f>IF(N(B$10)=0,"",IF(AND(COUNT(H319:H330)=2,COUNT(F319:F330)=2),cubic_spline(F318:F320,H318:H320,B$10),IF(AND(COUNT(H319:H330)=3,COUNT(F319:F330)=3),cubic_spline(F318:F321,H318:H321,B$10),IF(AND(COUNT(H319:H330)=4,COUNT(F319:F330)=4),cubic_spline(F318:F322,H318:H322,B$10),IF(AND(COUNT(H319:H330)=5,COUNT(F319:F330)=5),cubic_spline(F318:F323,H318:H323,B$10),IF(AND(COUNT(H319:H330)=6,COUNT(F319:F330)=6),cubic_spline(F318:F324,H318:H324,B$10),IF(AND(COUNT(H319:H330)=7,COUNT(F319:F330)=7),cubic_spline(F318:F325,H318:H325,B$10),IF(AND(COUNT(H319:H330)=8,COUNT(F319:F330)=8),cubic_spline(F318:F326,H318:H326,B$10),IF(AND(COUNT(H319:H330)=9,COUNT(F319:F330)=9),cubic_spline(F318:F327,H318:H327,B$10),IF(AND(COUNT(H319:H330)=10,COUNT(F319:F330)=10),cubic_spline(F318:F328,H318:H328,B$10),IF(AND(COUNT(H319:H330)=11,COUNT(F319:F330)=11),cubic_spline(F318:F329,H318:H329,B$10),IF(AND(COUNT(H319:H330)=12,COUNT(F319:F330)=12),cubic_spline(F318:F330,H318:H330,B$10),""))))))))))))</f>
        <v/>
      </c>
      <c r="K325" s="52" t="str">
        <f>IF(N(B$10)=0,"",IF(AND(COUNT(A319:A330)=2,COUNT(F319:F330)=2),cubic_spline(F318:F320,A318:A320,B$10),IF(AND(COUNT(A319:A330)=3,COUNT(F319:F330)=3),cubic_spline(F318:F321,A318:A321,B$10),IF(AND(COUNT(A319:A330)=4,COUNT(F319:F330)=4),cubic_spline(F318:F322,A318:A322,B$10),IF(AND(COUNT(A319:A330)=5,COUNT(F319:F330)=5),cubic_spline(F318:F323,A318:A323,B$10),IF(AND(COUNT(A319:A330)=6,COUNT(F319:F330)=6),cubic_spline(F318:F324,A318:A324,B$10),IF(AND(COUNT(A319:A330)=7,COUNT(F319:F330)=7),cubic_spline(F318:F325,A318:A325,B$10),IF(AND(COUNT(A319:A330)=8,COUNT(F319:F330)=8),cubic_spline(F318:F326,A318:A326,B$10),IF(AND(COUNT(A319:A330)=9,COUNT(F319:F330)=9),cubic_spline(F318:F327,A318:A327,B$10),IF(AND(COUNT(A319:A330)=10,COUNT(F319:F330)=10),cubic_spline(F318:F328,A318:A328,B$10),IF(AND(COUNT(A319:A330)=11,COUNT(F319:F330)=11),cubic_spline(F318:F329,A318:A329,B$10),IF(AND(COUNT(A319:A330)=12,COUNT(F319:F330)=12),cubic_spline(F318:F330,A318:A330,B$10),""))))))))))))</f>
        <v/>
      </c>
      <c r="L325" s="27" t="str">
        <f>IF(I325="","",B$9&amp;"-"&amp;B$10)</f>
        <v/>
      </c>
      <c r="M325" s="52" t="str">
        <f t="shared" si="120"/>
        <v/>
      </c>
    </row>
    <row r="326" spans="1:13" x14ac:dyDescent="0.35">
      <c r="A326" s="48"/>
      <c r="B326" s="48"/>
      <c r="C326" s="49"/>
      <c r="D326" s="50"/>
      <c r="E326" s="51" t="str">
        <f t="shared" si="119"/>
        <v/>
      </c>
      <c r="F326" s="71" t="str">
        <f t="shared" si="116"/>
        <v/>
      </c>
      <c r="G326" s="69" t="str">
        <f t="shared" si="118"/>
        <v/>
      </c>
      <c r="H326" s="70" t="str">
        <f t="shared" si="117"/>
        <v/>
      </c>
      <c r="I326" s="27" t="str">
        <f>IF(N(J326)=0,"",0&amp;"-"&amp;B$11)</f>
        <v/>
      </c>
      <c r="J326" s="52" t="str">
        <f>IF(N(B$11)=0,"",IF(AND(COUNT(H319:H330)=2,COUNT(F319:F330)=2),cubic_spline(F318:F320,H318:H320,B$11),IF(AND(COUNT(H319:H330)=3,COUNT(F319:F330)=3),cubic_spline(F318:F321,H318:H321,B$11),IF(AND(COUNT(H319:H330)=4,COUNT(F319:F330)=4),cubic_spline(F318:F322,H318:H322,B$11),IF(AND(COUNT(H319:H330)=5,COUNT(F319:F330)=5),cubic_spline(F318:F323,H318:H323,B$11),IF(AND(COUNT(H319:H330)=6,COUNT(F319:F330)=6),cubic_spline(F318:F324,H318:H324,B$11),IF(AND(COUNT(H319:H330)=7,COUNT(F319:F330)=7),cubic_spline(F318:F325,H318:H325,B$11),IF(AND(COUNT(H319:H330)=8,COUNT(F319:F330)=8),cubic_spline(F318:F326,H318:H326,B$11),IF(AND(COUNT(H319:H330)=9,COUNT(F319:F330)=9),cubic_spline(F318:F327,H318:H327,B$11),IF(AND(COUNT(H319:H330)=10,COUNT(F319:F330)=10),cubic_spline(F318:F328,H318:H328,B$11),IF(AND(COUNT(H319:H330)=11,COUNT(F319:F330)=11),cubic_spline(F318:F329,H318:H329,B$11),IF(AND(COUNT(H319:H330)=12,COUNT(F319:F330)=12),cubic_spline(F318:F330,H318:H330,B$11),""))))))))))))</f>
        <v/>
      </c>
      <c r="K326" s="52" t="str">
        <f>IF(N(B$11)=0,"",IF(AND(COUNT(A319:A330)=2,COUNT(F319:F330)=2),cubic_spline(F318:F320,A318:A320,B$11),IF(AND(COUNT(A319:A330)=3,COUNT(F319:F330)=3),cubic_spline(F318:F321,A318:A321,B$11),IF(AND(COUNT(A319:A330)=4,COUNT(F319:F330)=4),cubic_spline(F318:F322,A318:A322,B$11),IF(AND(COUNT(A319:A330)=5,COUNT(F319:F330)=5),cubic_spline(F318:F323,A318:A323,B$11),IF(AND(COUNT(A319:A330)=6,COUNT(F319:F330)=6),cubic_spline(F318:F324,A318:A324,B$11),IF(AND(COUNT(A319:A330)=7,COUNT(F319:F330)=7),cubic_spline(F318:F325,A318:A325,B$11),IF(AND(COUNT(A319:A330)=8,COUNT(F319:F330)=8),cubic_spline(F318:F326,A318:A326,B$11),IF(AND(COUNT(A319:A330)=9,COUNT(F319:F330)=9),cubic_spline(F318:F327,A318:A327,B$11),IF(AND(COUNT(A319:A330)=10,COUNT(F319:F330)=10),cubic_spline(F318:F328,A318:A328,B$11),IF(AND(COUNT(A319:A330)=11,COUNT(F319:F330)=11),cubic_spline(F318:F329,A318:A329,B$11),IF(AND(COUNT(A319:A330)=12,COUNT(F319:F330)=12),cubic_spline(F318:F330,A318:A330,B$11),""))))))))))))</f>
        <v/>
      </c>
      <c r="L326" s="27" t="str">
        <f>IF(I326="","",B$10&amp;"-"&amp;B$11)</f>
        <v/>
      </c>
      <c r="M326" s="52" t="str">
        <f t="shared" si="120"/>
        <v/>
      </c>
    </row>
    <row r="327" spans="1:13" x14ac:dyDescent="0.35">
      <c r="A327" s="48"/>
      <c r="B327" s="48"/>
      <c r="C327" s="49"/>
      <c r="D327" s="50"/>
      <c r="E327" s="51" t="str">
        <f t="shared" si="119"/>
        <v/>
      </c>
      <c r="F327" s="71" t="str">
        <f t="shared" si="116"/>
        <v/>
      </c>
      <c r="G327" s="69" t="str">
        <f t="shared" si="118"/>
        <v/>
      </c>
      <c r="H327" s="70" t="str">
        <f t="shared" si="117"/>
        <v/>
      </c>
      <c r="I327" s="27" t="str">
        <f>IF(N(J327)=0,"",0&amp;"-"&amp;B$12)</f>
        <v/>
      </c>
      <c r="J327" s="52" t="str">
        <f>IF(N(B$12)=0,"",IF(AND(COUNT(H319:H330)=2,COUNT(F319:F330)=2),cubic_spline(F318:F320,H318:H320,B$12),IF(AND(COUNT(H319:H330)=3,COUNT(F319:F330)=3),cubic_spline(F318:F321,H318:H321,B$12),IF(AND(COUNT(H319:H330)=4,COUNT(F319:F330)=4),cubic_spline(F318:F322,H318:H322,B$12),IF(AND(COUNT(H319:H330)=5,COUNT(F319:F330)=5),cubic_spline(F318:F323,H318:H323,B$12),IF(AND(COUNT(H319:H330)=6,COUNT(F319:F330)=6),cubic_spline(F318:F324,H318:H324,B$12),IF(AND(COUNT(H319:H330)=7,COUNT(F319:F330)=7),cubic_spline(F318:F325,H318:H325,B$12),IF(AND(COUNT(H319:H330)=8,COUNT(F319:F330)=8),cubic_spline(F318:F326,H318:H326,B$12),IF(AND(COUNT(H319:H330)=9,COUNT(F319:F330)=9),cubic_spline(F318:F327,H318:H327,B$12),IF(AND(COUNT(H319:H330)=10,COUNT(F319:F330)=10),cubic_spline(F318:F328,H318:H328,B$12),IF(AND(COUNT(H319:H330)=11,COUNT(F319:F330)=11),cubic_spline(F318:F329,H318:H329,B$12),IF(AND(COUNT(H319:H330)=12,COUNT(F319:F330)=12),cubic_spline(F318:F330,H318:H330,B$12),""))))))))))))</f>
        <v/>
      </c>
      <c r="K327" s="52" t="str">
        <f>IF(N(B$12)=0,"",IF(AND(COUNT(A319:A330)=2,COUNT(F319:F330)=2),cubic_spline(F318:F320,A318:A320,B$12),IF(AND(COUNT(A319:A330)=3,COUNT(F319:F330)=3),cubic_spline(F318:F321,A318:A321,B$12),IF(AND(COUNT(A319:A330)=4,COUNT(F319:F330)=4),cubic_spline(F318:F322,A318:A322,B$12),IF(AND(COUNT(A319:A330)=5,COUNT(F319:F330)=5),cubic_spline(F318:F323,A318:A323,B$12),IF(AND(COUNT(A319:A330)=6,COUNT(F319:F330)=6),cubic_spline(F318:F324,A318:A324,B$12),IF(AND(COUNT(A319:A330)=7,COUNT(F319:F330)=7),cubic_spline(F318:F325,A318:A325,B$12),IF(AND(COUNT(A319:A330)=8,COUNT(F319:F330)=8),cubic_spline(F318:F326,A318:A326,B$12),IF(AND(COUNT(A319:A330)=9,COUNT(F319:F330)=9),cubic_spline(F318:F327,A318:A327,B$12),IF(AND(COUNT(A319:A330)=10,COUNT(F319:F330)=10),cubic_spline(F318:F328,A318:A328,B$12),IF(AND(COUNT(A319:A330)=11,COUNT(F319:F330)=11),cubic_spline(F318:F329,A318:A329,B$12),IF(AND(COUNT(A319:A330)=12,COUNT(F319:F330)=12),cubic_spline(F318:F330,A318:A330,B$12),""))))))))))))</f>
        <v/>
      </c>
      <c r="L327" s="27" t="str">
        <f>IF(I327="","",B$11&amp;"-"&amp;B$12)</f>
        <v/>
      </c>
      <c r="M327" s="52" t="str">
        <f t="shared" si="120"/>
        <v/>
      </c>
    </row>
    <row r="328" spans="1:13" x14ac:dyDescent="0.35">
      <c r="A328" s="48"/>
      <c r="B328" s="48"/>
      <c r="C328" s="49"/>
      <c r="D328" s="50"/>
      <c r="E328" s="51" t="str">
        <f t="shared" si="119"/>
        <v/>
      </c>
      <c r="F328" s="71" t="str">
        <f t="shared" si="116"/>
        <v/>
      </c>
      <c r="G328" s="69" t="str">
        <f t="shared" si="118"/>
        <v/>
      </c>
      <c r="H328" s="70" t="str">
        <f t="shared" si="117"/>
        <v/>
      </c>
      <c r="I328" s="27" t="str">
        <f>IF(N(J328)=0,"",0&amp;"-"&amp;B$13)</f>
        <v/>
      </c>
      <c r="J328" s="52" t="str">
        <f>IF(N(B$13)=0,"",IF(AND(COUNT(H319:H330)=2,COUNT(F319:F330)=2),cubic_spline(F318:F320,H318:H320,B$13),IF(AND(COUNT(H319:H330)=3,COUNT(F319:F330)=3),cubic_spline(F318:F321,H318:H321,B$13),IF(AND(COUNT(H319:H330)=4,COUNT(F319:F330)=4),cubic_spline(F318:F322,H318:H322,B$13),IF(AND(COUNT(H319:H330)=5,COUNT(F319:F330)=5),cubic_spline(F318:F323,H318:H323,B$13),IF(AND(COUNT(H319:H330)=6,COUNT(F319:F330)=6),cubic_spline(F318:F324,H318:H324,B$13),IF(AND(COUNT(H319:H330)=7,COUNT(F319:F330)=7),cubic_spline(F318:F325,H318:H325,B$13),IF(AND(COUNT(H319:H330)=8,COUNT(F319:F330)=8),cubic_spline(F318:F326,H318:H326,B$13),IF(AND(COUNT(H319:H330)=9,COUNT(F319:F330)=9),cubic_spline(F318:F327,H318:H327,B$13),IF(AND(COUNT(H319:H330)=10,COUNT(F319:F330)=10),cubic_spline(F318:F328,H318:H328,B$13),IF(AND(COUNT(H319:H330)=11,COUNT(F319:F330)=11),cubic_spline(F318:F329,H318:H329,B$13),IF(AND(COUNT(H319:H330)=12,COUNT(F319:F330)=12),cubic_spline(F318:F330,H318:H330,B$13),""))))))))))))</f>
        <v/>
      </c>
      <c r="K328" s="52" t="str">
        <f>IF(N(B$13)=0,"",IF(AND(COUNT(A319:A330)=2,COUNT(F319:F330)=2),cubic_spline(F318:F320,A318:A320,B$13),IF(AND(COUNT(A319:A330)=3,COUNT(F319:F330)=3),cubic_spline(F318:F321,A318:A321,B$13),IF(AND(COUNT(A319:A330)=4,COUNT(F319:F330)=4),cubic_spline(F318:F322,A318:A322,B$13),IF(AND(COUNT(A319:A330)=5,COUNT(F319:F330)=5),cubic_spline(F318:F323,A318:A323,B$13),IF(AND(COUNT(A319:A330)=6,COUNT(F319:F330)=6),cubic_spline(F318:F324,A318:A324,B$13),IF(AND(COUNT(A319:A330)=7,COUNT(F319:F330)=7),cubic_spline(F318:F325,A318:A325,B$13),IF(AND(COUNT(A319:A330)=8,COUNT(F319:F330)=8),cubic_spline(F318:F326,A318:A326,B$13),IF(AND(COUNT(A319:A330)=9,COUNT(F319:F330)=9),cubic_spline(F318:F327,A318:A327,B$13),IF(AND(COUNT(A319:A330)=10,COUNT(F319:F330)=10),cubic_spline(F318:F328,A318:A328,B$13),IF(AND(COUNT(A319:A330)=11,COUNT(F319:F330)=11),cubic_spline(F318:F329,A318:A329,B$13),IF(AND(COUNT(A319:A330)=12,COUNT(F319:F330)=12),cubic_spline(F318:F330,A318:A330,B$13),""))))))))))))</f>
        <v/>
      </c>
      <c r="L328" s="27" t="str">
        <f>IF(I328="","",B$12&amp;"-"&amp;B$13)</f>
        <v/>
      </c>
      <c r="M328" s="52" t="str">
        <f t="shared" si="120"/>
        <v/>
      </c>
    </row>
    <row r="329" spans="1:13" x14ac:dyDescent="0.35">
      <c r="A329" s="48"/>
      <c r="B329" s="48"/>
      <c r="C329" s="49"/>
      <c r="D329" s="50"/>
      <c r="E329" s="51" t="str">
        <f t="shared" si="119"/>
        <v/>
      </c>
      <c r="F329" s="71" t="str">
        <f t="shared" si="116"/>
        <v/>
      </c>
      <c r="G329" s="69" t="str">
        <f t="shared" si="118"/>
        <v/>
      </c>
      <c r="H329" s="70" t="str">
        <f t="shared" si="117"/>
        <v/>
      </c>
      <c r="I329" s="27" t="str">
        <f>IF(N(J329)=0,"",0&amp;"-"&amp;B$14)</f>
        <v/>
      </c>
      <c r="J329" s="52" t="str">
        <f>IF(N(B$14)=0,"",IF(AND(COUNT(H319:H330)=2,COUNT(F319:F330)=2),cubic_spline(F318:F320,H318:H320,B$14),IF(AND(COUNT(H319:H330)=3,COUNT(F319:F330)=3),cubic_spline(F318:F321,H318:H321,B$14),IF(AND(COUNT(H319:H330)=4,COUNT(F319:F330)=4),cubic_spline(F318:F322,H318:H322,B$14),IF(AND(COUNT(H319:H330)=5,COUNT(F319:F330)=5),cubic_spline(F318:F323,H318:H323,B$14),IF(AND(COUNT(H319:H330)=6,COUNT(F319:F330)=6),cubic_spline(F318:F324,H318:H324,B$14),IF(AND(COUNT(H319:H330)=7,COUNT(F319:F330)=7),cubic_spline(F318:F325,H318:H325,B$14),IF(AND(COUNT(H319:H330)=8,COUNT(F319:F330)=8),cubic_spline(F318:F326,H318:H326,B$14),IF(AND(COUNT(H319:H330)=9,COUNT(F319:F330)=9),cubic_spline(F318:F327,H318:H327,B$14),IF(AND(COUNT(H319:H330)=10,COUNT(F319:F330)=10),cubic_spline(F318:F328,H318:H328,B$14),IF(AND(COUNT(H319:H330)=11,COUNT(F319:F330)=11),cubic_spline(F318:F329,H318:H329,B$14),IF(AND(COUNT(H319:H330)=12,COUNT(F319:F330)=12),cubic_spline(F318:F330,H318:H330,B$14),""))))))))))))</f>
        <v/>
      </c>
      <c r="K329" s="52" t="str">
        <f>IF(N(B$14)=0,"",IF(AND(COUNT(A319:A330)=2,COUNT(F319:F330)=2),cubic_spline(F318:F320,A318:A320,B$14),IF(AND(COUNT(A319:A330)=3,COUNT(F319:F330)=3),cubic_spline(F318:F321,A318:A321,B$14),IF(AND(COUNT(A319:A330)=4,COUNT(F319:F330)=4),cubic_spline(F318:F322,A318:A322,B$14),IF(AND(COUNT(A319:A330)=5,COUNT(F319:F330)=5),cubic_spline(F318:F323,A318:A323,B$14),IF(AND(COUNT(A319:A330)=6,COUNT(F319:F330)=6),cubic_spline(F318:F324,A318:A324,B$14),IF(AND(COUNT(A319:A330)=7,COUNT(F319:F330)=7),cubic_spline(F318:F325,A318:A325,B$14),IF(AND(COUNT(A319:A330)=8,COUNT(F319:F330)=8),cubic_spline(F318:F326,A318:A326,B$14),IF(AND(COUNT(A319:A330)=9,COUNT(F319:F330)=9),cubic_spline(F318:F327,A318:A327,B$14),IF(AND(COUNT(A319:A330)=10,COUNT(F319:F330)=10),cubic_spline(F318:F328,A318:A328,B$14),IF(AND(COUNT(A319:A330)=11,COUNT(F319:F330)=11),cubic_spline(F318:F329,A318:A329,B$14),IF(AND(COUNT(A319:A330)=12,COUNT(F319:F330)=12),cubic_spline(F318:F330,A318:A330,B$14),""))))))))))))</f>
        <v/>
      </c>
      <c r="L329" s="27" t="str">
        <f>IF(I329="","",B$13&amp;"-"&amp;B$14)</f>
        <v/>
      </c>
      <c r="M329" s="52" t="str">
        <f t="shared" si="120"/>
        <v/>
      </c>
    </row>
    <row r="330" spans="1:13" x14ac:dyDescent="0.35">
      <c r="A330" s="48"/>
      <c r="B330" s="48"/>
      <c r="C330" s="49"/>
      <c r="D330" s="50"/>
      <c r="E330" s="51" t="str">
        <f t="shared" si="119"/>
        <v/>
      </c>
      <c r="F330" s="71" t="str">
        <f t="shared" si="116"/>
        <v/>
      </c>
      <c r="G330" s="69" t="str">
        <f t="shared" si="118"/>
        <v/>
      </c>
      <c r="H330" s="70" t="str">
        <f t="shared" si="117"/>
        <v/>
      </c>
      <c r="I330" s="27" t="str">
        <f>IF(N(J330)=0,"",0&amp;"-"&amp;B$15)</f>
        <v/>
      </c>
      <c r="J330" s="52" t="str">
        <f>IF(N(B$15)=0,"",IF(AND(COUNT(H319:H330)=2,COUNT(F319:F330)=2),cubic_spline(F318:F320,H318:H320,B$15),IF(AND(COUNT(H319:H330)=3,COUNT(F319:F330)=3),cubic_spline(F318:F321,H318:H321,B$15),IF(AND(COUNT(H319:H330)=4,COUNT(F319:F330)=4),cubic_spline(F318:F322,H318:H322,B$15),IF(AND(COUNT(H319:H330)=5,COUNT(F319:F330)=5),cubic_spline(F318:F323,H318:H323,B$15),IF(AND(COUNT(H319:H330)=6,COUNT(F319:F330)=6),cubic_spline(F318:F324,H318:H324,B$15),IF(AND(COUNT(H319:H330)=7,COUNT(F319:F330)=7),cubic_spline(F318:F325,H318:H325,B$15),IF(AND(COUNT(H319:H330)=8,COUNT(F319:F330)=8),cubic_spline(F318:F326,H318:H326,B$15),IF(AND(COUNT(H319:H330)=9,COUNT(F319:F330)=9),cubic_spline(F318:F327,H318:H327,B$15),IF(AND(COUNT(H319:H330)=10,COUNT(F319:F330)=10),cubic_spline(F318:F328,H318:H328,B$15),IF(AND(COUNT(H319:H330)=11,COUNT(F319:F330)=11),cubic_spline(F318:F329,H318:H329,B$15),IF(AND(COUNT(H319:H330)=12,COUNT(F319:F330)=12),cubic_spline(F318:F330,H318:H330,B$15),""))))))))))))</f>
        <v/>
      </c>
      <c r="K330" s="52" t="str">
        <f>IF(N(B$15)=0,"",IF(AND(COUNT(A319:A330)=2,COUNT(F319:F330)=2),cubic_spline(F318:F320,A318:A320,B$15),IF(AND(COUNT(A319:A330)=3,COUNT(F319:F330)=3),cubic_spline(F318:F321,A318:A321,B$15),IF(AND(COUNT(A319:A330)=4,COUNT(F319:F330)=4),cubic_spline(F318:F322,A318:A322,B$15),IF(AND(COUNT(A319:A330)=5,COUNT(F319:F330)=5),cubic_spline(F318:F323,A318:A323,B$15),IF(AND(COUNT(A319:A330)=6,COUNT(F319:F330)=6),cubic_spline(F318:F324,A318:A324,B$15),IF(AND(COUNT(A319:A330)=7,COUNT(F319:F330)=7),cubic_spline(F318:F325,A318:A325,B$15),IF(AND(COUNT(A319:A330)=8,COUNT(F319:F330)=8),cubic_spline(F318:F326,A318:A326,B$15),IF(AND(COUNT(A319:A330)=9,COUNT(F319:F330)=9),cubic_spline(F318:F327,A318:A327,B$15),IF(AND(COUNT(A319:A330)=10,COUNT(F319:F330)=10),cubic_spline(F318:F328,A318:A328,B$15),IF(AND(COUNT(A319:A330)=11,COUNT(F319:F330)=11),cubic_spline(F318:F329,A318:A329,B$15),IF(AND(COUNT(A319:A330)=12,COUNT(F319:F330)=12),cubic_spline(F318:F330,A318:A330,B$15),""))))))))))))</f>
        <v/>
      </c>
      <c r="L330" s="27" t="str">
        <f>IF(I330="","",B$14&amp;"-"&amp;B$15)</f>
        <v/>
      </c>
      <c r="M330" s="52" t="str">
        <f t="shared" si="120"/>
        <v/>
      </c>
    </row>
    <row r="331" spans="1:13" ht="5.15" customHeight="1" x14ac:dyDescent="0.35">
      <c r="A331" s="47"/>
      <c r="B331" s="47"/>
      <c r="C331" s="47"/>
      <c r="D331" s="53"/>
      <c r="E331" s="54"/>
      <c r="F331" s="55"/>
      <c r="G331" s="72"/>
      <c r="H331" s="73"/>
      <c r="I331" s="47"/>
      <c r="J331" s="57"/>
      <c r="K331" s="57"/>
      <c r="L331" s="55"/>
      <c r="M331" s="57"/>
    </row>
    <row r="332" spans="1:13" x14ac:dyDescent="0.35">
      <c r="A332" s="48"/>
      <c r="B332" s="48"/>
      <c r="C332" s="49"/>
      <c r="D332" s="50"/>
      <c r="E332" s="51" t="str">
        <f>IF(N(C332)=0,"",C332/PI()/($D$1/2)^2/$D$2*10000)</f>
        <v/>
      </c>
      <c r="F332" s="68" t="str">
        <f t="shared" ref="F332:F343" si="121">IF(N(E332)=0,"",(N(E332)+N(F331)))</f>
        <v/>
      </c>
      <c r="G332" s="69" t="str">
        <f>IF(OR(N(D332)=0,N(E332)=0),"",(E332*D332)/1000)</f>
        <v/>
      </c>
      <c r="H332" s="70" t="str">
        <f t="shared" ref="H332:H343" si="122">IF(N(G332)=0,"",(N(G332)+N(H331)))</f>
        <v/>
      </c>
      <c r="I332" s="27" t="str">
        <f>IF(N(J332)=0,"",0&amp;"-"&amp;B$4)</f>
        <v/>
      </c>
      <c r="J332" s="52" t="str">
        <f>IF(N(B$4)=0,"",IF(AND(COUNT(H332:H343)=2,COUNT(F332:F343)=2),cubic_spline(F331:F333,H331:H333,B$4),IF(AND(COUNT(H332:H343)=3,COUNT(F332:F343)=3),cubic_spline(F331:F334,H331:H334,B$4),IF(AND(COUNT(H332:H343)=4,COUNT(F332:F343)=4),cubic_spline(F331:F335,H331:H335,B$4),IF(AND(COUNT(H332:H343)=5,COUNT(F332:F343)=5),cubic_spline(F331:F336,H331:H336,B$4),IF(AND(COUNT(H332:H343)=6,COUNT(F332:F343)=6),cubic_spline(F331:F337,H331:H337,B$4),IF(AND(COUNT(H332:H343)=7,COUNT(F332:F343)=7),cubic_spline(F331:F338,H331:H338,B$4),IF(AND(COUNT(H332:H343)=8,COUNT(F332:F343)=8),cubic_spline(F331:F339,H331:H339,B$4),IF(AND(COUNT(H332:H343)=9,COUNT(F332:F343)=9),cubic_spline(F331:F340,H331:H340,B$4),IF(AND(COUNT(H332:H343)=10,COUNT(F332:F343)=10),cubic_spline(F331:F341,H331:H341,B$4),IF(AND(COUNT(H332:H343)=11,COUNT(F332:F343)=11),cubic_spline(F331:F342,H331:H342,B$4),IF(AND(COUNT(H332:H343)=12,COUNT(F332:F343)=12),cubic_spline(F331:F343,H331:H343,B$4),""))))))))))))</f>
        <v/>
      </c>
      <c r="K332" s="52" t="str">
        <f>IF(N(B$4)=0,"",IF(AND(COUNT(A332:A343)=2,COUNT(F332:F343)=2),cubic_spline(F331:F333,A331:A333,B$4),IF(AND(COUNT(A332:A343)=3,COUNT(F332:F343)=3),cubic_spline(F331:F334,A331:A334,B$4),IF(AND(COUNT(A332:A343)=4,COUNT(F332:F343)=4),cubic_spline(F331:F335,A331:A335,B$4),IF(AND(COUNT(A332:A343)=5,COUNT(F332:F343)=5),cubic_spline(F331:F336,A331:A336,B$4),IF(AND(COUNT(A332:A343)=6,COUNT(F332:F343)=6),cubic_spline(F331:F337,A331:A337,B$4),IF(AND(COUNT(A332:A343)=7,COUNT(F332:F343)=7),cubic_spline(F331:F338,A331:A338,B$4),IF(AND(COUNT(A332:A343)=8,COUNT(F332:F343)=8),cubic_spline(F331:F339,A331:A339,B$4),IF(AND(COUNT(A332:A343)=9,COUNT(F332:F343)=9),cubic_spline(F331:F340,A331:A340,B$4),IF(AND(COUNT(A332:A343)=10,COUNT(F332:F343)=10),cubic_spline(F331:F341,A331:A341,B$4),IF(AND(COUNT(A332:A343)=11,COUNT(F332:F343)=11),cubic_spline(F331:F342,A331:A342,B$4),IF(AND(COUNT(A332:A343)=12,COUNT(F332:F343)=12),cubic_spline(F331:F343,A331:A343,B$4),""))))))))))))</f>
        <v/>
      </c>
      <c r="L332" s="27" t="str">
        <f>IF(I332="","",0&amp;"-"&amp;B$4)</f>
        <v/>
      </c>
      <c r="M332" s="52" t="str">
        <f>IF(N(J332)=0,"",J332-J331)</f>
        <v/>
      </c>
    </row>
    <row r="333" spans="1:13" x14ac:dyDescent="0.35">
      <c r="A333" s="48"/>
      <c r="B333" s="48"/>
      <c r="C333" s="49"/>
      <c r="D333" s="50"/>
      <c r="E333" s="51" t="str">
        <f>IF(N(C333)=0,"",C333/PI()/($D$1/2)^2/$D$2*10000)</f>
        <v/>
      </c>
      <c r="F333" s="68" t="str">
        <f t="shared" si="121"/>
        <v/>
      </c>
      <c r="G333" s="69" t="str">
        <f t="shared" ref="G333:G343" si="123">IF(OR(N(D333)=0,N(E333)=0),"",(E333*D333)/1000)</f>
        <v/>
      </c>
      <c r="H333" s="70" t="str">
        <f t="shared" si="122"/>
        <v/>
      </c>
      <c r="I333" s="27" t="str">
        <f>IF(N(J333)=0,"",0&amp;"-"&amp;B$5)</f>
        <v/>
      </c>
      <c r="J333" s="52" t="str">
        <f>IF(N(B$5)=0,"",IF(AND(COUNT(H332:H343)=2,COUNT(F332:F343)=2),cubic_spline(F331:F333,H331:H333,B$5),IF(AND(COUNT(H332:H343)=3,COUNT(F332:F343)=3),cubic_spline(F331:F334,H331:H334,B$5),IF(AND(COUNT(H332:H343)=4,COUNT(F332:F343)=4),cubic_spline(F331:F335,H331:H335,B$5),IF(AND(COUNT(H332:H343)=5,COUNT(F332:F343)=5),cubic_spline(F331:F336,H331:H336,B$5),IF(AND(COUNT(H332:H343)=6,COUNT(F332:F343)=6),cubic_spline(F331:F337,H331:H337,B$5),IF(AND(COUNT(H332:H343)=7,COUNT(F332:F343)=7),cubic_spline(F331:F338,H331:H338,B$5),IF(AND(COUNT(H332:H343)=8,COUNT(F332:F343)=8),cubic_spline(F331:F339,H331:H339,B$5),IF(AND(COUNT(H332:H343)=9,COUNT(F332:F343)=9),cubic_spline(F331:F340,H331:H340,B$5),IF(AND(COUNT(H332:H343)=10,COUNT(F332:F343)=10),cubic_spline(F331:F341,H331:H341,B$5),IF(AND(COUNT(H332:H343)=11,COUNT(F332:F343)=11),cubic_spline(F331:F342,H331:H342,B$5),IF(AND(COUNT(H332:H343)=12,COUNT(F332:F343)=12),cubic_spline(F331:F343,H331:H343,B$5),""))))))))))))</f>
        <v/>
      </c>
      <c r="K333" s="52" t="str">
        <f>IF(N(B$5)=0,"",IF(AND(COUNT(A332:A343)=2,COUNT(F332:F343)=2),cubic_spline(F331:F333,A331:A333,B$5),IF(AND(COUNT(A332:A343)=3,COUNT(F332:F343)=3),cubic_spline(F331:F334,A331:A334,B$5),IF(AND(COUNT(A332:A343)=4,COUNT(F332:F343)=4),cubic_spline(F331:F335,A331:A335,B$5),IF(AND(COUNT(A332:A343)=5,COUNT(F332:F343)=5),cubic_spline(F331:F336,A331:A336,B$5),IF(AND(COUNT(A332:A343)=6,COUNT(F332:F343)=6),cubic_spline(F331:F337,A331:A337,B$5),IF(AND(COUNT(A332:A343)=7,COUNT(F332:F343)=7),cubic_spline(F331:F338,A331:A338,B$5),IF(AND(COUNT(A332:A343)=8,COUNT(F332:F343)=8),cubic_spline(F331:F339,A331:A339,B$5),IF(AND(COUNT(A332:A343)=9,COUNT(F332:F343)=9),cubic_spline(F331:F340,A331:A340,B$5),IF(AND(COUNT(A332:A343)=10,COUNT(F332:F343)=10),cubic_spline(F331:F341,A331:A341,B$5),IF(AND(COUNT(A332:A343)=11,COUNT(F332:F343)=11),cubic_spline(F331:F342,A331:A342,B$5),IF(AND(COUNT(A332:A343)=12,COUNT(F332:F343)=12),cubic_spline(F331:F343,A331:A343,B$5),""))))))))))))</f>
        <v/>
      </c>
      <c r="L333" s="27" t="str">
        <f>IF(I333="","",B$4&amp;"-"&amp;B$5)</f>
        <v/>
      </c>
      <c r="M333" s="52" t="str">
        <f>IF(N(J333)=0,"",J333-J332)</f>
        <v/>
      </c>
    </row>
    <row r="334" spans="1:13" x14ac:dyDescent="0.35">
      <c r="A334" s="48"/>
      <c r="B334" s="48"/>
      <c r="C334" s="49"/>
      <c r="D334" s="50"/>
      <c r="E334" s="51" t="str">
        <f>IF(N(C334)=0,"",C334/PI()/($D$1/2)^2/$D$2*10000)</f>
        <v/>
      </c>
      <c r="F334" s="68" t="str">
        <f t="shared" si="121"/>
        <v/>
      </c>
      <c r="G334" s="69" t="str">
        <f t="shared" si="123"/>
        <v/>
      </c>
      <c r="H334" s="70" t="str">
        <f t="shared" si="122"/>
        <v/>
      </c>
      <c r="I334" s="27" t="str">
        <f>IF(N(J334)=0,"",0&amp;"-"&amp;B$6)</f>
        <v/>
      </c>
      <c r="J334" s="52" t="str">
        <f>IF(N(B$6)=0,"",IF(AND(COUNT(H332:H343)=2,COUNT(F332:F343)=2),cubic_spline(F331:F333,H331:H333,B$6),IF(AND(COUNT(H332:H343)=3,COUNT(F332:F343)=3),cubic_spline(F331:F334,H331:H334,B$6),IF(AND(COUNT(H332:H343)=4,COUNT(F332:F343)=4),cubic_spline(F331:F335,H331:H335,B$6),IF(AND(COUNT(H332:H343)=5,COUNT(F332:F343)=5),cubic_spline(F331:F336,H331:H336,B$6),IF(AND(COUNT(H332:H343)=6,COUNT(F332:F343)=6),cubic_spline(F331:F337,H331:H337,B$6),IF(AND(COUNT(H332:H343)=7,COUNT(F332:F343)=7),cubic_spline(F331:F338,H331:H338,B$6),IF(AND(COUNT(H332:H343)=8,COUNT(F332:F343)=8),cubic_spline(F331:F339,H331:H339,B$6),IF(AND(COUNT(H332:H343)=9,COUNT(F332:F343)=9),cubic_spline(F331:F340,H331:H340,B$6),IF(AND(COUNT(H332:H343)=10,COUNT(F332:F343)=10),cubic_spline(F331:F341,H331:H341,B$6),IF(AND(COUNT(H332:H343)=11,COUNT(F332:F343)=11),cubic_spline(F331:F342,H331:H342,B$6),IF(AND(COUNT(H332:H343)=12,COUNT(F332:F343)=12),cubic_spline(F331:F343,H331:H343,B$6),""))))))))))))</f>
        <v/>
      </c>
      <c r="K334" s="52" t="str">
        <f>IF(N(B$6)=0,"",IF(AND(COUNT(A332:A343)=2,COUNT(F332:F343)=2),cubic_spline(F331:F333,A331:A333,B$6),IF(AND(COUNT(A332:A343)=3,COUNT(F332:F343)=3),cubic_spline(F331:F334,A331:A334,B$6),IF(AND(COUNT(A332:A343)=4,COUNT(F332:F343)=4),cubic_spline(F331:F335,A331:A335,B$6),IF(AND(COUNT(A332:A343)=5,COUNT(F332:F343)=5),cubic_spline(F331:F336,A331:A336,B$6),IF(AND(COUNT(A332:A343)=6,COUNT(F332:F343)=6),cubic_spline(F331:F337,A331:A337,B$6),IF(AND(COUNT(A332:A343)=7,COUNT(F332:F343)=7),cubic_spline(F331:F338,A331:A338,B$6),IF(AND(COUNT(A332:A343)=8,COUNT(F332:F343)=8),cubic_spline(F331:F339,A331:A339,B$6),IF(AND(COUNT(A332:A343)=9,COUNT(F332:F343)=9),cubic_spline(F331:F340,A331:A340,B$6),IF(AND(COUNT(A332:A343)=10,COUNT(F332:F343)=10),cubic_spline(F331:F341,A331:A341,B$6),IF(AND(COUNT(A332:A343)=11,COUNT(F332:F343)=11),cubic_spline(F331:F342,A331:A342,B$6),IF(AND(COUNT(A332:A343)=12,COUNT(F332:F343)=12),cubic_spline(F331:F343,A331:A343,B$6),""))))))))))))</f>
        <v/>
      </c>
      <c r="L334" s="27" t="str">
        <f>IF(I334="","",B$5&amp;"-"&amp;B$6)</f>
        <v/>
      </c>
      <c r="M334" s="52" t="str">
        <f>IF(N(J334)=0,"",J334-J333)</f>
        <v/>
      </c>
    </row>
    <row r="335" spans="1:13" x14ac:dyDescent="0.35">
      <c r="A335" s="48"/>
      <c r="B335" s="48"/>
      <c r="C335" s="49"/>
      <c r="D335" s="50"/>
      <c r="E335" s="51" t="str">
        <f>IF(N(C335)=0,"",C335/PI()/($D$1/2)^2/$D$2*10000)</f>
        <v/>
      </c>
      <c r="F335" s="68" t="str">
        <f t="shared" si="121"/>
        <v/>
      </c>
      <c r="G335" s="69" t="str">
        <f t="shared" si="123"/>
        <v/>
      </c>
      <c r="H335" s="70" t="str">
        <f t="shared" si="122"/>
        <v/>
      </c>
      <c r="I335" s="27" t="str">
        <f>IF(N(J335)=0,"",0&amp;"-"&amp;B$7)</f>
        <v/>
      </c>
      <c r="J335" s="52" t="str">
        <f>IF(N(B$7)=0,"",IF(AND(COUNT(H332:H343)=2,COUNT(F332:F343)=2),cubic_spline(F331:F333,H331:H333,B$7),IF(AND(COUNT(H332:H343)=3,COUNT(F332:F343)=3),cubic_spline(F331:F334,H331:H334,B$7),IF(AND(COUNT(H332:H343)=4,COUNT(F332:F343)=4),cubic_spline(F331:F335,H331:H335,B$7),IF(AND(COUNT(H332:H343)=5,COUNT(F332:F343)=5),cubic_spline(F331:F336,H331:H336,B$7),IF(AND(COUNT(H332:H343)=6,COUNT(F332:F343)=6),cubic_spline(F331:F337,H331:H337,B$7),IF(AND(COUNT(H332:H343)=7,COUNT(F332:F343)=7),cubic_spline(F331:F338,H331:H338,B$7),IF(AND(COUNT(H332:H343)=8,COUNT(F332:F343)=8),cubic_spline(F331:F339,H331:H339,B$7),IF(AND(COUNT(H332:H343)=9,COUNT(F332:F343)=9),cubic_spline(F331:F340,H331:H340,B$7),IF(AND(COUNT(H332:H343)=10,COUNT(F332:F343)=10),cubic_spline(F331:F341,H331:H341,B$7),IF(AND(COUNT(H332:H343)=11,COUNT(F332:F343)=11),cubic_spline(F331:F342,H331:H342,B$7),IF(AND(COUNT(H332:H343)=12,COUNT(F332:F343)=12),cubic_spline(F331:F343,H331:H343,B$7),""))))))))))))</f>
        <v/>
      </c>
      <c r="K335" s="52" t="str">
        <f>IF(N(B$7)=0,"",IF(AND(COUNT(A332:A343)=2,COUNT(F332:F343)=2),cubic_spline(F331:F333,A331:A333,B$7),IF(AND(COUNT(A332:A343)=3,COUNT(F332:F343)=3),cubic_spline(F331:F334,A331:A334,B$7),IF(AND(COUNT(A332:A343)=4,COUNT(F332:F343)=4),cubic_spline(F331:F335,A331:A335,B$7),IF(AND(COUNT(A332:A343)=5,COUNT(F332:F343)=5),cubic_spline(F331:F336,A331:A336,B$7),IF(AND(COUNT(A332:A343)=6,COUNT(F332:F343)=6),cubic_spline(F331:F337,A331:A337,B$7),IF(AND(COUNT(A332:A343)=7,COUNT(F332:F343)=7),cubic_spline(F331:F338,A331:A338,B$7),IF(AND(COUNT(A332:A343)=8,COUNT(F332:F343)=8),cubic_spline(F331:F339,A331:A339,B$7),IF(AND(COUNT(A332:A343)=9,COUNT(F332:F343)=9),cubic_spline(F331:F340,A331:A340,B$7),IF(AND(COUNT(A332:A343)=10,COUNT(F332:F343)=10),cubic_spline(F331:F341,A331:A341,B$7),IF(AND(COUNT(A332:A343)=11,COUNT(F332:F343)=11),cubic_spline(F331:F342,A331:A342,B$7),IF(AND(COUNT(A332:A343)=12,COUNT(F332:F343)=12),cubic_spline(F331:F343,A331:A343,B$7),""))))))))))))</f>
        <v/>
      </c>
      <c r="L335" s="27" t="str">
        <f>IF(I335="","",B$6&amp;"-"&amp;B$7)</f>
        <v/>
      </c>
      <c r="M335" s="52" t="str">
        <f>IF(N(J335)=0,"",J335-J334)</f>
        <v/>
      </c>
    </row>
    <row r="336" spans="1:13" x14ac:dyDescent="0.35">
      <c r="A336" s="48"/>
      <c r="B336" s="48"/>
      <c r="C336" s="49"/>
      <c r="D336" s="50"/>
      <c r="E336" s="51" t="str">
        <f t="shared" ref="E336:E343" si="124">IF(N(C336)=0,"",C336/PI()/($D$1/2)^2/$D$2*10000)</f>
        <v/>
      </c>
      <c r="F336" s="71" t="str">
        <f t="shared" si="121"/>
        <v/>
      </c>
      <c r="G336" s="69" t="str">
        <f t="shared" si="123"/>
        <v/>
      </c>
      <c r="H336" s="70" t="str">
        <f t="shared" si="122"/>
        <v/>
      </c>
      <c r="I336" s="27" t="str">
        <f>IF(N(J336)=0,"",0&amp;"-"&amp;B$8)</f>
        <v/>
      </c>
      <c r="J336" s="52" t="str">
        <f>IF(N(B$8)=0,"",IF(AND(COUNT(H332:H343)=2,COUNT(F332:F343)=2),cubic_spline(F331:F333,H331:H333,B$8),IF(AND(COUNT(H332:H343)=3,COUNT(F332:F343)=3),cubic_spline(F331:F334,H331:H334,B$8),IF(AND(COUNT(H332:H343)=4,COUNT(F332:F343)=4),cubic_spline(F331:F335,H331:H335,B$8),IF(AND(COUNT(H332:H343)=5,COUNT(F332:F343)=5),cubic_spline(F331:F336,H331:H336,B$8),IF(AND(COUNT(H332:H343)=6,COUNT(F332:F343)=6),cubic_spline(F331:F337,H331:H337,B$8),IF(AND(COUNT(H332:H343)=7,COUNT(F332:F343)=7),cubic_spline(F331:F338,H331:H338,B$8),IF(AND(COUNT(H332:H343)=8,COUNT(F332:F343)=8),cubic_spline(F331:F339,H331:H339,B$8),IF(AND(COUNT(H332:H343)=9,COUNT(F332:F343)=9),cubic_spline(F331:F340,H331:H340,B$8),IF(AND(COUNT(H332:H343)=10,COUNT(F332:F343)=10),cubic_spline(F331:F341,H331:H341,B$8),IF(AND(COUNT(H332:H343)=11,COUNT(F332:F343)=11),cubic_spline(F331:F342,H331:H342,B$8),IF(AND(COUNT(H332:H343)=12,COUNT(F332:F343)=12),cubic_spline(F331:F343,H331:H343,B$8),""))))))))))))</f>
        <v/>
      </c>
      <c r="K336" s="52" t="str">
        <f>IF(N(B$8)=0,"",IF(AND(COUNT(A332:A343)=2,COUNT(F332:F343)=2),cubic_spline(F331:F333,A331:A333,B$8),IF(AND(COUNT(A332:A343)=3,COUNT(F332:F343)=3),cubic_spline(F331:F334,A331:A334,B$8),IF(AND(COUNT(A332:A343)=4,COUNT(F332:F343)=4),cubic_spline(F331:F335,A331:A335,B$8),IF(AND(COUNT(A332:A343)=5,COUNT(F332:F343)=5),cubic_spline(F331:F336,A331:A336,B$8),IF(AND(COUNT(A332:A343)=6,COUNT(F332:F343)=6),cubic_spline(F331:F337,A331:A337,B$8),IF(AND(COUNT(A332:A343)=7,COUNT(F332:F343)=7),cubic_spline(F331:F338,A331:A338,B$8),IF(AND(COUNT(A332:A343)=8,COUNT(F332:F343)=8),cubic_spline(F331:F339,A331:A339,B$8),IF(AND(COUNT(A332:A343)=9,COUNT(F332:F343)=9),cubic_spline(F331:F340,A331:A340,B$8),IF(AND(COUNT(A332:A343)=10,COUNT(F332:F343)=10),cubic_spline(F331:F341,A331:A341,B$8),IF(AND(COUNT(A332:A343)=11,COUNT(F332:F343)=11),cubic_spline(F331:F342,A331:A342,B$8),IF(AND(COUNT(A332:A343)=12,COUNT(F332:F343)=12),cubic_spline(F331:F343,A331:A343,B$8),""))))))))))))</f>
        <v/>
      </c>
      <c r="L336" s="27" t="str">
        <f>IF(I336="","",B$7&amp;"-"&amp;B$8)</f>
        <v/>
      </c>
      <c r="M336" s="52" t="str">
        <f>IF(N(J336)=0,"",J336-J335)</f>
        <v/>
      </c>
    </row>
    <row r="337" spans="1:13" x14ac:dyDescent="0.35">
      <c r="A337" s="48"/>
      <c r="B337" s="48"/>
      <c r="C337" s="49"/>
      <c r="D337" s="50"/>
      <c r="E337" s="51" t="str">
        <f t="shared" si="124"/>
        <v/>
      </c>
      <c r="F337" s="71" t="str">
        <f t="shared" si="121"/>
        <v/>
      </c>
      <c r="G337" s="69" t="str">
        <f t="shared" si="123"/>
        <v/>
      </c>
      <c r="H337" s="70" t="str">
        <f t="shared" si="122"/>
        <v/>
      </c>
      <c r="I337" s="27" t="str">
        <f>IF(N(J337)=0,"",0&amp;"-"&amp;B$9)</f>
        <v/>
      </c>
      <c r="J337" s="52" t="str">
        <f>IF(N(B$9)=0,"",IF(AND(COUNT(H332:H343)=2,COUNT(F332:F343)=2),cubic_spline(F331:F333,H331:H333,B$9),IF(AND(COUNT(H332:H343)=3,COUNT(F332:F343)=3),cubic_spline(F331:F334,H331:H334,B$9),IF(AND(COUNT(H332:H343)=4,COUNT(F332:F343)=4),cubic_spline(F331:F335,H331:H335,B$9),IF(AND(COUNT(H332:H343)=5,COUNT(F332:F343)=5),cubic_spline(F331:F336,H331:H336,B$9),IF(AND(COUNT(H332:H343)=6,COUNT(F332:F343)=6),cubic_spline(F331:F337,H331:H337,B$9),IF(AND(COUNT(H332:H343)=7,COUNT(F332:F343)=7),cubic_spline(F331:F338,H331:H338,B$9),IF(AND(COUNT(H332:H343)=8,COUNT(F332:F343)=8),cubic_spline(F331:F339,H331:H339,B$9),IF(AND(COUNT(H332:H343)=9,COUNT(F332:F343)=9),cubic_spline(F331:F340,H331:H340,B$9),IF(AND(COUNT(H332:H343)=10,COUNT(F332:F343)=10),cubic_spline(F331:F341,H331:H341,B$9),IF(AND(COUNT(H332:H343)=11,COUNT(F332:F343)=11),cubic_spline(F331:F342,H331:H342,B$9),IF(AND(COUNT(H332:H343)=12,COUNT(F332:F343)=12),cubic_spline(F331:F343,H331:H343,B$9),""))))))))))))</f>
        <v/>
      </c>
      <c r="K337" s="52" t="str">
        <f>IF(N(B$9)=0,"",IF(AND(COUNT(A332:A343)=2,COUNT(F332:F343)=2),cubic_spline(F331:F333,A331:A333,B$9),IF(AND(COUNT(A332:A343)=3,COUNT(F332:F343)=3),cubic_spline(F331:F334,A331:A334,B$9),IF(AND(COUNT(A332:A343)=4,COUNT(F332:F343)=4),cubic_spline(F331:F335,A331:A335,B$9),IF(AND(COUNT(A332:A343)=5,COUNT(F332:F343)=5),cubic_spline(F331:F336,A331:A336,B$9),IF(AND(COUNT(A332:A343)=6,COUNT(F332:F343)=6),cubic_spline(F331:F337,A331:A337,B$9),IF(AND(COUNT(A332:A343)=7,COUNT(F332:F343)=7),cubic_spline(F331:F338,A331:A338,B$9),IF(AND(COUNT(A332:A343)=8,COUNT(F332:F343)=8),cubic_spline(F331:F339,A331:A339,B$9),IF(AND(COUNT(A332:A343)=9,COUNT(F332:F343)=9),cubic_spline(F331:F340,A331:A340,B$9),IF(AND(COUNT(A332:A343)=10,COUNT(F332:F343)=10),cubic_spline(F331:F341,A331:A341,B$9),IF(AND(COUNT(A332:A343)=11,COUNT(F332:F343)=11),cubic_spline(F331:F342,A331:A342,B$9),IF(AND(COUNT(A332:A343)=12,COUNT(F332:F343)=12),cubic_spline(F331:F343,A331:A343,B$9),""))))))))))))</f>
        <v/>
      </c>
      <c r="L337" s="27" t="str">
        <f>IF(I337="","",B$8&amp;"-"&amp;B$9)</f>
        <v/>
      </c>
      <c r="M337" s="52" t="str">
        <f t="shared" ref="M337:M343" si="125">IF(N(J337)=0,"",J337-J336)</f>
        <v/>
      </c>
    </row>
    <row r="338" spans="1:13" x14ac:dyDescent="0.35">
      <c r="A338" s="48"/>
      <c r="B338" s="48"/>
      <c r="C338" s="49"/>
      <c r="D338" s="50"/>
      <c r="E338" s="51" t="str">
        <f t="shared" si="124"/>
        <v/>
      </c>
      <c r="F338" s="71" t="str">
        <f t="shared" si="121"/>
        <v/>
      </c>
      <c r="G338" s="69" t="str">
        <f t="shared" si="123"/>
        <v/>
      </c>
      <c r="H338" s="70" t="str">
        <f t="shared" si="122"/>
        <v/>
      </c>
      <c r="I338" s="27" t="str">
        <f>IF(N(J338)=0,"",0&amp;"-"&amp;B$10)</f>
        <v/>
      </c>
      <c r="J338" s="52" t="str">
        <f>IF(N(B$10)=0,"",IF(AND(COUNT(H332:H343)=2,COUNT(F332:F343)=2),cubic_spline(F331:F333,H331:H333,B$10),IF(AND(COUNT(H332:H343)=3,COUNT(F332:F343)=3),cubic_spline(F331:F334,H331:H334,B$10),IF(AND(COUNT(H332:H343)=4,COUNT(F332:F343)=4),cubic_spline(F331:F335,H331:H335,B$10),IF(AND(COUNT(H332:H343)=5,COUNT(F332:F343)=5),cubic_spline(F331:F336,H331:H336,B$10),IF(AND(COUNT(H332:H343)=6,COUNT(F332:F343)=6),cubic_spline(F331:F337,H331:H337,B$10),IF(AND(COUNT(H332:H343)=7,COUNT(F332:F343)=7),cubic_spline(F331:F338,H331:H338,B$10),IF(AND(COUNT(H332:H343)=8,COUNT(F332:F343)=8),cubic_spline(F331:F339,H331:H339,B$10),IF(AND(COUNT(H332:H343)=9,COUNT(F332:F343)=9),cubic_spline(F331:F340,H331:H340,B$10),IF(AND(COUNT(H332:H343)=10,COUNT(F332:F343)=10),cubic_spline(F331:F341,H331:H341,B$10),IF(AND(COUNT(H332:H343)=11,COUNT(F332:F343)=11),cubic_spline(F331:F342,H331:H342,B$10),IF(AND(COUNT(H332:H343)=12,COUNT(F332:F343)=12),cubic_spline(F331:F343,H331:H343,B$10),""))))))))))))</f>
        <v/>
      </c>
      <c r="K338" s="52" t="str">
        <f>IF(N(B$10)=0,"",IF(AND(COUNT(A332:A343)=2,COUNT(F332:F343)=2),cubic_spline(F331:F333,A331:A333,B$10),IF(AND(COUNT(A332:A343)=3,COUNT(F332:F343)=3),cubic_spline(F331:F334,A331:A334,B$10),IF(AND(COUNT(A332:A343)=4,COUNT(F332:F343)=4),cubic_spline(F331:F335,A331:A335,B$10),IF(AND(COUNT(A332:A343)=5,COUNT(F332:F343)=5),cubic_spline(F331:F336,A331:A336,B$10),IF(AND(COUNT(A332:A343)=6,COUNT(F332:F343)=6),cubic_spline(F331:F337,A331:A337,B$10),IF(AND(COUNT(A332:A343)=7,COUNT(F332:F343)=7),cubic_spline(F331:F338,A331:A338,B$10),IF(AND(COUNT(A332:A343)=8,COUNT(F332:F343)=8),cubic_spline(F331:F339,A331:A339,B$10),IF(AND(COUNT(A332:A343)=9,COUNT(F332:F343)=9),cubic_spline(F331:F340,A331:A340,B$10),IF(AND(COUNT(A332:A343)=10,COUNT(F332:F343)=10),cubic_spline(F331:F341,A331:A341,B$10),IF(AND(COUNT(A332:A343)=11,COUNT(F332:F343)=11),cubic_spline(F331:F342,A331:A342,B$10),IF(AND(COUNT(A332:A343)=12,COUNT(F332:F343)=12),cubic_spline(F331:F343,A331:A343,B$10),""))))))))))))</f>
        <v/>
      </c>
      <c r="L338" s="27" t="str">
        <f>IF(I338="","",B$9&amp;"-"&amp;B$10)</f>
        <v/>
      </c>
      <c r="M338" s="52" t="str">
        <f t="shared" si="125"/>
        <v/>
      </c>
    </row>
    <row r="339" spans="1:13" x14ac:dyDescent="0.35">
      <c r="A339" s="48"/>
      <c r="B339" s="48"/>
      <c r="C339" s="49"/>
      <c r="D339" s="50"/>
      <c r="E339" s="51" t="str">
        <f t="shared" si="124"/>
        <v/>
      </c>
      <c r="F339" s="71" t="str">
        <f t="shared" si="121"/>
        <v/>
      </c>
      <c r="G339" s="69" t="str">
        <f t="shared" si="123"/>
        <v/>
      </c>
      <c r="H339" s="70" t="str">
        <f t="shared" si="122"/>
        <v/>
      </c>
      <c r="I339" s="27" t="str">
        <f>IF(N(J339)=0,"",0&amp;"-"&amp;B$11)</f>
        <v/>
      </c>
      <c r="J339" s="52" t="str">
        <f>IF(N(B$11)=0,"",IF(AND(COUNT(H332:H343)=2,COUNT(F332:F343)=2),cubic_spline(F331:F333,H331:H333,B$11),IF(AND(COUNT(H332:H343)=3,COUNT(F332:F343)=3),cubic_spline(F331:F334,H331:H334,B$11),IF(AND(COUNT(H332:H343)=4,COUNT(F332:F343)=4),cubic_spline(F331:F335,H331:H335,B$11),IF(AND(COUNT(H332:H343)=5,COUNT(F332:F343)=5),cubic_spline(F331:F336,H331:H336,B$11),IF(AND(COUNT(H332:H343)=6,COUNT(F332:F343)=6),cubic_spline(F331:F337,H331:H337,B$11),IF(AND(COUNT(H332:H343)=7,COUNT(F332:F343)=7),cubic_spline(F331:F338,H331:H338,B$11),IF(AND(COUNT(H332:H343)=8,COUNT(F332:F343)=8),cubic_spline(F331:F339,H331:H339,B$11),IF(AND(COUNT(H332:H343)=9,COUNT(F332:F343)=9),cubic_spline(F331:F340,H331:H340,B$11),IF(AND(COUNT(H332:H343)=10,COUNT(F332:F343)=10),cubic_spline(F331:F341,H331:H341,B$11),IF(AND(COUNT(H332:H343)=11,COUNT(F332:F343)=11),cubic_spline(F331:F342,H331:H342,B$11),IF(AND(COUNT(H332:H343)=12,COUNT(F332:F343)=12),cubic_spline(F331:F343,H331:H343,B$11),""))))))))))))</f>
        <v/>
      </c>
      <c r="K339" s="52" t="str">
        <f>IF(N(B$11)=0,"",IF(AND(COUNT(A332:A343)=2,COUNT(F332:F343)=2),cubic_spline(F331:F333,A331:A333,B$11),IF(AND(COUNT(A332:A343)=3,COUNT(F332:F343)=3),cubic_spline(F331:F334,A331:A334,B$11),IF(AND(COUNT(A332:A343)=4,COUNT(F332:F343)=4),cubic_spline(F331:F335,A331:A335,B$11),IF(AND(COUNT(A332:A343)=5,COUNT(F332:F343)=5),cubic_spline(F331:F336,A331:A336,B$11),IF(AND(COUNT(A332:A343)=6,COUNT(F332:F343)=6),cubic_spline(F331:F337,A331:A337,B$11),IF(AND(COUNT(A332:A343)=7,COUNT(F332:F343)=7),cubic_spline(F331:F338,A331:A338,B$11),IF(AND(COUNT(A332:A343)=8,COUNT(F332:F343)=8),cubic_spline(F331:F339,A331:A339,B$11),IF(AND(COUNT(A332:A343)=9,COUNT(F332:F343)=9),cubic_spline(F331:F340,A331:A340,B$11),IF(AND(COUNT(A332:A343)=10,COUNT(F332:F343)=10),cubic_spline(F331:F341,A331:A341,B$11),IF(AND(COUNT(A332:A343)=11,COUNT(F332:F343)=11),cubic_spline(F331:F342,A331:A342,B$11),IF(AND(COUNT(A332:A343)=12,COUNT(F332:F343)=12),cubic_spline(F331:F343,A331:A343,B$11),""))))))))))))</f>
        <v/>
      </c>
      <c r="L339" s="27" t="str">
        <f>IF(I339="","",B$10&amp;"-"&amp;B$11)</f>
        <v/>
      </c>
      <c r="M339" s="52" t="str">
        <f t="shared" si="125"/>
        <v/>
      </c>
    </row>
    <row r="340" spans="1:13" x14ac:dyDescent="0.35">
      <c r="A340" s="48"/>
      <c r="B340" s="48"/>
      <c r="C340" s="49"/>
      <c r="D340" s="50"/>
      <c r="E340" s="51" t="str">
        <f t="shared" si="124"/>
        <v/>
      </c>
      <c r="F340" s="71" t="str">
        <f t="shared" si="121"/>
        <v/>
      </c>
      <c r="G340" s="69" t="str">
        <f t="shared" si="123"/>
        <v/>
      </c>
      <c r="H340" s="70" t="str">
        <f t="shared" si="122"/>
        <v/>
      </c>
      <c r="I340" s="27" t="str">
        <f>IF(N(J340)=0,"",0&amp;"-"&amp;B$12)</f>
        <v/>
      </c>
      <c r="J340" s="52" t="str">
        <f>IF(N(B$12)=0,"",IF(AND(COUNT(H332:H343)=2,COUNT(F332:F343)=2),cubic_spline(F331:F333,H331:H333,B$12),IF(AND(COUNT(H332:H343)=3,COUNT(F332:F343)=3),cubic_spline(F331:F334,H331:H334,B$12),IF(AND(COUNT(H332:H343)=4,COUNT(F332:F343)=4),cubic_spline(F331:F335,H331:H335,B$12),IF(AND(COUNT(H332:H343)=5,COUNT(F332:F343)=5),cubic_spline(F331:F336,H331:H336,B$12),IF(AND(COUNT(H332:H343)=6,COUNT(F332:F343)=6),cubic_spline(F331:F337,H331:H337,B$12),IF(AND(COUNT(H332:H343)=7,COUNT(F332:F343)=7),cubic_spline(F331:F338,H331:H338,B$12),IF(AND(COUNT(H332:H343)=8,COUNT(F332:F343)=8),cubic_spline(F331:F339,H331:H339,B$12),IF(AND(COUNT(H332:H343)=9,COUNT(F332:F343)=9),cubic_spline(F331:F340,H331:H340,B$12),IF(AND(COUNT(H332:H343)=10,COUNT(F332:F343)=10),cubic_spline(F331:F341,H331:H341,B$12),IF(AND(COUNT(H332:H343)=11,COUNT(F332:F343)=11),cubic_spline(F331:F342,H331:H342,B$12),IF(AND(COUNT(H332:H343)=12,COUNT(F332:F343)=12),cubic_spline(F331:F343,H331:H343,B$12),""))))))))))))</f>
        <v/>
      </c>
      <c r="K340" s="52" t="str">
        <f>IF(N(B$12)=0,"",IF(AND(COUNT(A332:A343)=2,COUNT(F332:F343)=2),cubic_spline(F331:F333,A331:A333,B$12),IF(AND(COUNT(A332:A343)=3,COUNT(F332:F343)=3),cubic_spline(F331:F334,A331:A334,B$12),IF(AND(COUNT(A332:A343)=4,COUNT(F332:F343)=4),cubic_spline(F331:F335,A331:A335,B$12),IF(AND(COUNT(A332:A343)=5,COUNT(F332:F343)=5),cubic_spline(F331:F336,A331:A336,B$12),IF(AND(COUNT(A332:A343)=6,COUNT(F332:F343)=6),cubic_spline(F331:F337,A331:A337,B$12),IF(AND(COUNT(A332:A343)=7,COUNT(F332:F343)=7),cubic_spline(F331:F338,A331:A338,B$12),IF(AND(COUNT(A332:A343)=8,COUNT(F332:F343)=8),cubic_spline(F331:F339,A331:A339,B$12),IF(AND(COUNT(A332:A343)=9,COUNT(F332:F343)=9),cubic_spline(F331:F340,A331:A340,B$12),IF(AND(COUNT(A332:A343)=10,COUNT(F332:F343)=10),cubic_spline(F331:F341,A331:A341,B$12),IF(AND(COUNT(A332:A343)=11,COUNT(F332:F343)=11),cubic_spline(F331:F342,A331:A342,B$12),IF(AND(COUNT(A332:A343)=12,COUNT(F332:F343)=12),cubic_spline(F331:F343,A331:A343,B$12),""))))))))))))</f>
        <v/>
      </c>
      <c r="L340" s="27" t="str">
        <f>IF(I340="","",B$11&amp;"-"&amp;B$12)</f>
        <v/>
      </c>
      <c r="M340" s="52" t="str">
        <f t="shared" si="125"/>
        <v/>
      </c>
    </row>
    <row r="341" spans="1:13" x14ac:dyDescent="0.35">
      <c r="A341" s="48"/>
      <c r="B341" s="48"/>
      <c r="C341" s="49"/>
      <c r="D341" s="50"/>
      <c r="E341" s="51" t="str">
        <f t="shared" si="124"/>
        <v/>
      </c>
      <c r="F341" s="71" t="str">
        <f t="shared" si="121"/>
        <v/>
      </c>
      <c r="G341" s="69" t="str">
        <f t="shared" si="123"/>
        <v/>
      </c>
      <c r="H341" s="70" t="str">
        <f t="shared" si="122"/>
        <v/>
      </c>
      <c r="I341" s="27" t="str">
        <f>IF(N(J341)=0,"",0&amp;"-"&amp;B$13)</f>
        <v/>
      </c>
      <c r="J341" s="52" t="str">
        <f>IF(N(B$13)=0,"",IF(AND(COUNT(H332:H343)=2,COUNT(F332:F343)=2),cubic_spline(F331:F333,H331:H333,B$13),IF(AND(COUNT(H332:H343)=3,COUNT(F332:F343)=3),cubic_spline(F331:F334,H331:H334,B$13),IF(AND(COUNT(H332:H343)=4,COUNT(F332:F343)=4),cubic_spline(F331:F335,H331:H335,B$13),IF(AND(COUNT(H332:H343)=5,COUNT(F332:F343)=5),cubic_spline(F331:F336,H331:H336,B$13),IF(AND(COUNT(H332:H343)=6,COUNT(F332:F343)=6),cubic_spline(F331:F337,H331:H337,B$13),IF(AND(COUNT(H332:H343)=7,COUNT(F332:F343)=7),cubic_spline(F331:F338,H331:H338,B$13),IF(AND(COUNT(H332:H343)=8,COUNT(F332:F343)=8),cubic_spline(F331:F339,H331:H339,B$13),IF(AND(COUNT(H332:H343)=9,COUNT(F332:F343)=9),cubic_spline(F331:F340,H331:H340,B$13),IF(AND(COUNT(H332:H343)=10,COUNT(F332:F343)=10),cubic_spline(F331:F341,H331:H341,B$13),IF(AND(COUNT(H332:H343)=11,COUNT(F332:F343)=11),cubic_spline(F331:F342,H331:H342,B$13),IF(AND(COUNT(H332:H343)=12,COUNT(F332:F343)=12),cubic_spline(F331:F343,H331:H343,B$13),""))))))))))))</f>
        <v/>
      </c>
      <c r="K341" s="52" t="str">
        <f>IF(N(B$13)=0,"",IF(AND(COUNT(A332:A343)=2,COUNT(F332:F343)=2),cubic_spline(F331:F333,A331:A333,B$13),IF(AND(COUNT(A332:A343)=3,COUNT(F332:F343)=3),cubic_spline(F331:F334,A331:A334,B$13),IF(AND(COUNT(A332:A343)=4,COUNT(F332:F343)=4),cubic_spline(F331:F335,A331:A335,B$13),IF(AND(COUNT(A332:A343)=5,COUNT(F332:F343)=5),cubic_spline(F331:F336,A331:A336,B$13),IF(AND(COUNT(A332:A343)=6,COUNT(F332:F343)=6),cubic_spline(F331:F337,A331:A337,B$13),IF(AND(COUNT(A332:A343)=7,COUNT(F332:F343)=7),cubic_spline(F331:F338,A331:A338,B$13),IF(AND(COUNT(A332:A343)=8,COUNT(F332:F343)=8),cubic_spline(F331:F339,A331:A339,B$13),IF(AND(COUNT(A332:A343)=9,COUNT(F332:F343)=9),cubic_spline(F331:F340,A331:A340,B$13),IF(AND(COUNT(A332:A343)=10,COUNT(F332:F343)=10),cubic_spline(F331:F341,A331:A341,B$13),IF(AND(COUNT(A332:A343)=11,COUNT(F332:F343)=11),cubic_spline(F331:F342,A331:A342,B$13),IF(AND(COUNT(A332:A343)=12,COUNT(F332:F343)=12),cubic_spline(F331:F343,A331:A343,B$13),""))))))))))))</f>
        <v/>
      </c>
      <c r="L341" s="27" t="str">
        <f>IF(I341="","",B$12&amp;"-"&amp;B$13)</f>
        <v/>
      </c>
      <c r="M341" s="52" t="str">
        <f t="shared" si="125"/>
        <v/>
      </c>
    </row>
    <row r="342" spans="1:13" x14ac:dyDescent="0.35">
      <c r="A342" s="48"/>
      <c r="B342" s="48"/>
      <c r="C342" s="49"/>
      <c r="D342" s="50"/>
      <c r="E342" s="51" t="str">
        <f t="shared" si="124"/>
        <v/>
      </c>
      <c r="F342" s="71" t="str">
        <f t="shared" si="121"/>
        <v/>
      </c>
      <c r="G342" s="69" t="str">
        <f t="shared" si="123"/>
        <v/>
      </c>
      <c r="H342" s="70" t="str">
        <f t="shared" si="122"/>
        <v/>
      </c>
      <c r="I342" s="27" t="str">
        <f>IF(N(J342)=0,"",0&amp;"-"&amp;B$14)</f>
        <v/>
      </c>
      <c r="J342" s="52" t="str">
        <f>IF(N(B$14)=0,"",IF(AND(COUNT(H332:H343)=2,COUNT(F332:F343)=2),cubic_spline(F331:F333,H331:H333,B$14),IF(AND(COUNT(H332:H343)=3,COUNT(F332:F343)=3),cubic_spline(F331:F334,H331:H334,B$14),IF(AND(COUNT(H332:H343)=4,COUNT(F332:F343)=4),cubic_spline(F331:F335,H331:H335,B$14),IF(AND(COUNT(H332:H343)=5,COUNT(F332:F343)=5),cubic_spline(F331:F336,H331:H336,B$14),IF(AND(COUNT(H332:H343)=6,COUNT(F332:F343)=6),cubic_spline(F331:F337,H331:H337,B$14),IF(AND(COUNT(H332:H343)=7,COUNT(F332:F343)=7),cubic_spline(F331:F338,H331:H338,B$14),IF(AND(COUNT(H332:H343)=8,COUNT(F332:F343)=8),cubic_spline(F331:F339,H331:H339,B$14),IF(AND(COUNT(H332:H343)=9,COUNT(F332:F343)=9),cubic_spline(F331:F340,H331:H340,B$14),IF(AND(COUNT(H332:H343)=10,COUNT(F332:F343)=10),cubic_spline(F331:F341,H331:H341,B$14),IF(AND(COUNT(H332:H343)=11,COUNT(F332:F343)=11),cubic_spline(F331:F342,H331:H342,B$14),IF(AND(COUNT(H332:H343)=12,COUNT(F332:F343)=12),cubic_spline(F331:F343,H331:H343,B$14),""))))))))))))</f>
        <v/>
      </c>
      <c r="K342" s="52" t="str">
        <f>IF(N(B$14)=0,"",IF(AND(COUNT(A332:A343)=2,COUNT(F332:F343)=2),cubic_spline(F331:F333,A331:A333,B$14),IF(AND(COUNT(A332:A343)=3,COUNT(F332:F343)=3),cubic_spline(F331:F334,A331:A334,B$14),IF(AND(COUNT(A332:A343)=4,COUNT(F332:F343)=4),cubic_spline(F331:F335,A331:A335,B$14),IF(AND(COUNT(A332:A343)=5,COUNT(F332:F343)=5),cubic_spline(F331:F336,A331:A336,B$14),IF(AND(COUNT(A332:A343)=6,COUNT(F332:F343)=6),cubic_spline(F331:F337,A331:A337,B$14),IF(AND(COUNT(A332:A343)=7,COUNT(F332:F343)=7),cubic_spline(F331:F338,A331:A338,B$14),IF(AND(COUNT(A332:A343)=8,COUNT(F332:F343)=8),cubic_spline(F331:F339,A331:A339,B$14),IF(AND(COUNT(A332:A343)=9,COUNT(F332:F343)=9),cubic_spline(F331:F340,A331:A340,B$14),IF(AND(COUNT(A332:A343)=10,COUNT(F332:F343)=10),cubic_spline(F331:F341,A331:A341,B$14),IF(AND(COUNT(A332:A343)=11,COUNT(F332:F343)=11),cubic_spline(F331:F342,A331:A342,B$14),IF(AND(COUNT(A332:A343)=12,COUNT(F332:F343)=12),cubic_spline(F331:F343,A331:A343,B$14),""))))))))))))</f>
        <v/>
      </c>
      <c r="L342" s="27" t="str">
        <f>IF(I342="","",B$13&amp;"-"&amp;B$14)</f>
        <v/>
      </c>
      <c r="M342" s="52" t="str">
        <f t="shared" si="125"/>
        <v/>
      </c>
    </row>
    <row r="343" spans="1:13" x14ac:dyDescent="0.35">
      <c r="A343" s="48"/>
      <c r="B343" s="48"/>
      <c r="C343" s="49"/>
      <c r="D343" s="50"/>
      <c r="E343" s="51" t="str">
        <f t="shared" si="124"/>
        <v/>
      </c>
      <c r="F343" s="71" t="str">
        <f t="shared" si="121"/>
        <v/>
      </c>
      <c r="G343" s="69" t="str">
        <f t="shared" si="123"/>
        <v/>
      </c>
      <c r="H343" s="70" t="str">
        <f t="shared" si="122"/>
        <v/>
      </c>
      <c r="I343" s="27" t="str">
        <f>IF(N(J343)=0,"",0&amp;"-"&amp;B$15)</f>
        <v/>
      </c>
      <c r="J343" s="52" t="str">
        <f>IF(N(B$15)=0,"",IF(AND(COUNT(H332:H343)=2,COUNT(F332:F343)=2),cubic_spline(F331:F333,H331:H333,B$15),IF(AND(COUNT(H332:H343)=3,COUNT(F332:F343)=3),cubic_spline(F331:F334,H331:H334,B$15),IF(AND(COUNT(H332:H343)=4,COUNT(F332:F343)=4),cubic_spline(F331:F335,H331:H335,B$15),IF(AND(COUNT(H332:H343)=5,COUNT(F332:F343)=5),cubic_spline(F331:F336,H331:H336,B$15),IF(AND(COUNT(H332:H343)=6,COUNT(F332:F343)=6),cubic_spline(F331:F337,H331:H337,B$15),IF(AND(COUNT(H332:H343)=7,COUNT(F332:F343)=7),cubic_spline(F331:F338,H331:H338,B$15),IF(AND(COUNT(H332:H343)=8,COUNT(F332:F343)=8),cubic_spline(F331:F339,H331:H339,B$15),IF(AND(COUNT(H332:H343)=9,COUNT(F332:F343)=9),cubic_spline(F331:F340,H331:H340,B$15),IF(AND(COUNT(H332:H343)=10,COUNT(F332:F343)=10),cubic_spline(F331:F341,H331:H341,B$15),IF(AND(COUNT(H332:H343)=11,COUNT(F332:F343)=11),cubic_spline(F331:F342,H331:H342,B$15),IF(AND(COUNT(H332:H343)=12,COUNT(F332:F343)=12),cubic_spline(F331:F343,H331:H343,B$15),""))))))))))))</f>
        <v/>
      </c>
      <c r="K343" s="52" t="str">
        <f>IF(N(B$15)=0,"",IF(AND(COUNT(A332:A343)=2,COUNT(F332:F343)=2),cubic_spline(F331:F333,A331:A333,B$15),IF(AND(COUNT(A332:A343)=3,COUNT(F332:F343)=3),cubic_spline(F331:F334,A331:A334,B$15),IF(AND(COUNT(A332:A343)=4,COUNT(F332:F343)=4),cubic_spline(F331:F335,A331:A335,B$15),IF(AND(COUNT(A332:A343)=5,COUNT(F332:F343)=5),cubic_spline(F331:F336,A331:A336,B$15),IF(AND(COUNT(A332:A343)=6,COUNT(F332:F343)=6),cubic_spline(F331:F337,A331:A337,B$15),IF(AND(COUNT(A332:A343)=7,COUNT(F332:F343)=7),cubic_spline(F331:F338,A331:A338,B$15),IF(AND(COUNT(A332:A343)=8,COUNT(F332:F343)=8),cubic_spline(F331:F339,A331:A339,B$15),IF(AND(COUNT(A332:A343)=9,COUNT(F332:F343)=9),cubic_spline(F331:F340,A331:A340,B$15),IF(AND(COUNT(A332:A343)=10,COUNT(F332:F343)=10),cubic_spline(F331:F341,A331:A341,B$15),IF(AND(COUNT(A332:A343)=11,COUNT(F332:F343)=11),cubic_spline(F331:F342,A331:A342,B$15),IF(AND(COUNT(A332:A343)=12,COUNT(F332:F343)=12),cubic_spline(F331:F343,A331:A343,B$15),""))))))))))))</f>
        <v/>
      </c>
      <c r="L343" s="27" t="str">
        <f>IF(I343="","",B$14&amp;"-"&amp;B$15)</f>
        <v/>
      </c>
      <c r="M343" s="52" t="str">
        <f t="shared" si="125"/>
        <v/>
      </c>
    </row>
    <row r="344" spans="1:13" ht="5.15" customHeight="1" x14ac:dyDescent="0.35">
      <c r="A344" s="47"/>
      <c r="B344" s="47"/>
      <c r="C344" s="47"/>
      <c r="D344" s="53"/>
      <c r="E344" s="54"/>
      <c r="F344" s="55"/>
      <c r="G344" s="72"/>
      <c r="H344" s="73"/>
      <c r="I344" s="47"/>
      <c r="J344" s="57"/>
      <c r="K344" s="57"/>
      <c r="L344" s="55"/>
      <c r="M344" s="57"/>
    </row>
    <row r="345" spans="1:13" x14ac:dyDescent="0.35">
      <c r="A345" s="48"/>
      <c r="B345" s="48"/>
      <c r="C345" s="49"/>
      <c r="D345" s="50"/>
      <c r="E345" s="51" t="str">
        <f>IF(N(C345)=0,"",C345/PI()/($D$1/2)^2/$D$2*10000)</f>
        <v/>
      </c>
      <c r="F345" s="68" t="str">
        <f t="shared" ref="F345:F356" si="126">IF(N(E345)=0,"",(N(E345)+N(F344)))</f>
        <v/>
      </c>
      <c r="G345" s="69" t="str">
        <f>IF(OR(N(D345)=0,N(E345)=0),"",(E345*D345)/1000)</f>
        <v/>
      </c>
      <c r="H345" s="70" t="str">
        <f t="shared" ref="H345:H356" si="127">IF(N(G345)=0,"",(N(G345)+N(H344)))</f>
        <v/>
      </c>
      <c r="I345" s="27" t="str">
        <f>IF(N(J345)=0,"",0&amp;"-"&amp;B$4)</f>
        <v/>
      </c>
      <c r="J345" s="52" t="str">
        <f>IF(N(B$4)=0,"",IF(AND(COUNT(H345:H356)=2,COUNT(F345:F356)=2),cubic_spline(F344:F346,H344:H346,B$4),IF(AND(COUNT(H345:H356)=3,COUNT(F345:F356)=3),cubic_spline(F344:F347,H344:H347,B$4),IF(AND(COUNT(H345:H356)=4,COUNT(F345:F356)=4),cubic_spline(F344:F348,H344:H348,B$4),IF(AND(COUNT(H345:H356)=5,COUNT(F345:F356)=5),cubic_spline(F344:F349,H344:H349,B$4),IF(AND(COUNT(H345:H356)=6,COUNT(F345:F356)=6),cubic_spline(F344:F350,H344:H350,B$4),IF(AND(COUNT(H345:H356)=7,COUNT(F345:F356)=7),cubic_spline(F344:F351,H344:H351,B$4),IF(AND(COUNT(H345:H356)=8,COUNT(F345:F356)=8),cubic_spline(F344:F352,H344:H352,B$4),IF(AND(COUNT(H345:H356)=9,COUNT(F345:F356)=9),cubic_spline(F344:F353,H344:H353,B$4),IF(AND(COUNT(H345:H356)=10,COUNT(F345:F356)=10),cubic_spline(F344:F354,H344:H354,B$4),IF(AND(COUNT(H345:H356)=11,COUNT(F345:F356)=11),cubic_spline(F344:F355,H344:H355,B$4),IF(AND(COUNT(H345:H356)=12,COUNT(F345:F356)=12),cubic_spline(F344:F356,H344:H356,B$4),""))))))))))))</f>
        <v/>
      </c>
      <c r="K345" s="52" t="str">
        <f>IF(N(B$4)=0,"",IF(AND(COUNT(A345:A356)=2,COUNT(F345:F356)=2),cubic_spline(F344:F346,A344:A346,B$4),IF(AND(COUNT(A345:A356)=3,COUNT(F345:F356)=3),cubic_spline(F344:F347,A344:A347,B$4),IF(AND(COUNT(A345:A356)=4,COUNT(F345:F356)=4),cubic_spline(F344:F348,A344:A348,B$4),IF(AND(COUNT(A345:A356)=5,COUNT(F345:F356)=5),cubic_spline(F344:F349,A344:A349,B$4),IF(AND(COUNT(A345:A356)=6,COUNT(F345:F356)=6),cubic_spline(F344:F350,A344:A350,B$4),IF(AND(COUNT(A345:A356)=7,COUNT(F345:F356)=7),cubic_spline(F344:F351,A344:A351,B$4),IF(AND(COUNT(A345:A356)=8,COUNT(F345:F356)=8),cubic_spline(F344:F352,A344:A352,B$4),IF(AND(COUNT(A345:A356)=9,COUNT(F345:F356)=9),cubic_spline(F344:F353,A344:A353,B$4),IF(AND(COUNT(A345:A356)=10,COUNT(F345:F356)=10),cubic_spline(F344:F354,A344:A354,B$4),IF(AND(COUNT(A345:A356)=11,COUNT(F345:F356)=11),cubic_spline(F344:F355,A344:A355,B$4),IF(AND(COUNT(A345:A356)=12,COUNT(F345:F356)=12),cubic_spline(F344:F356,A344:A356,B$4),""))))))))))))</f>
        <v/>
      </c>
      <c r="L345" s="27" t="str">
        <f>IF(I345="","",0&amp;"-"&amp;B$4)</f>
        <v/>
      </c>
      <c r="M345" s="52" t="str">
        <f>IF(N(J345)=0,"",J345-J344)</f>
        <v/>
      </c>
    </row>
    <row r="346" spans="1:13" x14ac:dyDescent="0.35">
      <c r="A346" s="48"/>
      <c r="B346" s="48"/>
      <c r="C346" s="49"/>
      <c r="D346" s="50"/>
      <c r="E346" s="51" t="str">
        <f>IF(N(C346)=0,"",C346/PI()/($D$1/2)^2/$D$2*10000)</f>
        <v/>
      </c>
      <c r="F346" s="68" t="str">
        <f t="shared" si="126"/>
        <v/>
      </c>
      <c r="G346" s="69" t="str">
        <f t="shared" ref="G346:G356" si="128">IF(OR(N(D346)=0,N(E346)=0),"",(E346*D346)/1000)</f>
        <v/>
      </c>
      <c r="H346" s="70" t="str">
        <f t="shared" si="127"/>
        <v/>
      </c>
      <c r="I346" s="27" t="str">
        <f>IF(N(J346)=0,"",0&amp;"-"&amp;B$5)</f>
        <v/>
      </c>
      <c r="J346" s="52" t="str">
        <f>IF(N(B$5)=0,"",IF(AND(COUNT(H345:H356)=2,COUNT(F345:F356)=2),cubic_spline(F344:F346,H344:H346,B$5),IF(AND(COUNT(H345:H356)=3,COUNT(F345:F356)=3),cubic_spline(F344:F347,H344:H347,B$5),IF(AND(COUNT(H345:H356)=4,COUNT(F345:F356)=4),cubic_spline(F344:F348,H344:H348,B$5),IF(AND(COUNT(H345:H356)=5,COUNT(F345:F356)=5),cubic_spline(F344:F349,H344:H349,B$5),IF(AND(COUNT(H345:H356)=6,COUNT(F345:F356)=6),cubic_spline(F344:F350,H344:H350,B$5),IF(AND(COUNT(H345:H356)=7,COUNT(F345:F356)=7),cubic_spline(F344:F351,H344:H351,B$5),IF(AND(COUNT(H345:H356)=8,COUNT(F345:F356)=8),cubic_spline(F344:F352,H344:H352,B$5),IF(AND(COUNT(H345:H356)=9,COUNT(F345:F356)=9),cubic_spline(F344:F353,H344:H353,B$5),IF(AND(COUNT(H345:H356)=10,COUNT(F345:F356)=10),cubic_spline(F344:F354,H344:H354,B$5),IF(AND(COUNT(H345:H356)=11,COUNT(F345:F356)=11),cubic_spline(F344:F355,H344:H355,B$5),IF(AND(COUNT(H345:H356)=12,COUNT(F345:F356)=12),cubic_spline(F344:F356,H344:H356,B$5),""))))))))))))</f>
        <v/>
      </c>
      <c r="K346" s="52" t="str">
        <f>IF(N(B$5)=0,"",IF(AND(COUNT(A345:A356)=2,COUNT(F345:F356)=2),cubic_spline(F344:F346,A344:A346,B$5),IF(AND(COUNT(A345:A356)=3,COUNT(F345:F356)=3),cubic_spline(F344:F347,A344:A347,B$5),IF(AND(COUNT(A345:A356)=4,COUNT(F345:F356)=4),cubic_spline(F344:F348,A344:A348,B$5),IF(AND(COUNT(A345:A356)=5,COUNT(F345:F356)=5),cubic_spline(F344:F349,A344:A349,B$5),IF(AND(COUNT(A345:A356)=6,COUNT(F345:F356)=6),cubic_spline(F344:F350,A344:A350,B$5),IF(AND(COUNT(A345:A356)=7,COUNT(F345:F356)=7),cubic_spline(F344:F351,A344:A351,B$5),IF(AND(COUNT(A345:A356)=8,COUNT(F345:F356)=8),cubic_spline(F344:F352,A344:A352,B$5),IF(AND(COUNT(A345:A356)=9,COUNT(F345:F356)=9),cubic_spline(F344:F353,A344:A353,B$5),IF(AND(COUNT(A345:A356)=10,COUNT(F345:F356)=10),cubic_spline(F344:F354,A344:A354,B$5),IF(AND(COUNT(A345:A356)=11,COUNT(F345:F356)=11),cubic_spline(F344:F355,A344:A355,B$5),IF(AND(COUNT(A345:A356)=12,COUNT(F345:F356)=12),cubic_spline(F344:F356,A344:A356,B$5),""))))))))))))</f>
        <v/>
      </c>
      <c r="L346" s="27" t="str">
        <f>IF(I346="","",B$4&amp;"-"&amp;B$5)</f>
        <v/>
      </c>
      <c r="M346" s="52" t="str">
        <f>IF(N(J346)=0,"",J346-J345)</f>
        <v/>
      </c>
    </row>
    <row r="347" spans="1:13" x14ac:dyDescent="0.35">
      <c r="A347" s="48"/>
      <c r="B347" s="48"/>
      <c r="C347" s="49"/>
      <c r="D347" s="50"/>
      <c r="E347" s="51" t="str">
        <f>IF(N(C347)=0,"",C347/PI()/($D$1/2)^2/$D$2*10000)</f>
        <v/>
      </c>
      <c r="F347" s="68" t="str">
        <f t="shared" si="126"/>
        <v/>
      </c>
      <c r="G347" s="69" t="str">
        <f t="shared" si="128"/>
        <v/>
      </c>
      <c r="H347" s="70" t="str">
        <f t="shared" si="127"/>
        <v/>
      </c>
      <c r="I347" s="27" t="str">
        <f>IF(N(J347)=0,"",0&amp;"-"&amp;B$6)</f>
        <v/>
      </c>
      <c r="J347" s="52" t="str">
        <f>IF(N(B$6)=0,"",IF(AND(COUNT(H345:H356)=2,COUNT(F345:F356)=2),cubic_spline(F344:F346,H344:H346,B$6),IF(AND(COUNT(H345:H356)=3,COUNT(F345:F356)=3),cubic_spline(F344:F347,H344:H347,B$6),IF(AND(COUNT(H345:H356)=4,COUNT(F345:F356)=4),cubic_spline(F344:F348,H344:H348,B$6),IF(AND(COUNT(H345:H356)=5,COUNT(F345:F356)=5),cubic_spline(F344:F349,H344:H349,B$6),IF(AND(COUNT(H345:H356)=6,COUNT(F345:F356)=6),cubic_spline(F344:F350,H344:H350,B$6),IF(AND(COUNT(H345:H356)=7,COUNT(F345:F356)=7),cubic_spline(F344:F351,H344:H351,B$6),IF(AND(COUNT(H345:H356)=8,COUNT(F345:F356)=8),cubic_spline(F344:F352,H344:H352,B$6),IF(AND(COUNT(H345:H356)=9,COUNT(F345:F356)=9),cubic_spline(F344:F353,H344:H353,B$6),IF(AND(COUNT(H345:H356)=10,COUNT(F345:F356)=10),cubic_spline(F344:F354,H344:H354,B$6),IF(AND(COUNT(H345:H356)=11,COUNT(F345:F356)=11),cubic_spline(F344:F355,H344:H355,B$6),IF(AND(COUNT(H345:H356)=12,COUNT(F345:F356)=12),cubic_spline(F344:F356,H344:H356,B$6),""))))))))))))</f>
        <v/>
      </c>
      <c r="K347" s="52" t="str">
        <f>IF(N(B$6)=0,"",IF(AND(COUNT(A345:A356)=2,COUNT(F345:F356)=2),cubic_spline(F344:F346,A344:A346,B$6),IF(AND(COUNT(A345:A356)=3,COUNT(F345:F356)=3),cubic_spline(F344:F347,A344:A347,B$6),IF(AND(COUNT(A345:A356)=4,COUNT(F345:F356)=4),cubic_spline(F344:F348,A344:A348,B$6),IF(AND(COUNT(A345:A356)=5,COUNT(F345:F356)=5),cubic_spline(F344:F349,A344:A349,B$6),IF(AND(COUNT(A345:A356)=6,COUNT(F345:F356)=6),cubic_spline(F344:F350,A344:A350,B$6),IF(AND(COUNT(A345:A356)=7,COUNT(F345:F356)=7),cubic_spline(F344:F351,A344:A351,B$6),IF(AND(COUNT(A345:A356)=8,COUNT(F345:F356)=8),cubic_spline(F344:F352,A344:A352,B$6),IF(AND(COUNT(A345:A356)=9,COUNT(F345:F356)=9),cubic_spline(F344:F353,A344:A353,B$6),IF(AND(COUNT(A345:A356)=10,COUNT(F345:F356)=10),cubic_spline(F344:F354,A344:A354,B$6),IF(AND(COUNT(A345:A356)=11,COUNT(F345:F356)=11),cubic_spline(F344:F355,A344:A355,B$6),IF(AND(COUNT(A345:A356)=12,COUNT(F345:F356)=12),cubic_spline(F344:F356,A344:A356,B$6),""))))))))))))</f>
        <v/>
      </c>
      <c r="L347" s="27" t="str">
        <f>IF(I347="","",B$5&amp;"-"&amp;B$6)</f>
        <v/>
      </c>
      <c r="M347" s="52" t="str">
        <f>IF(N(J347)=0,"",J347-J346)</f>
        <v/>
      </c>
    </row>
    <row r="348" spans="1:13" x14ac:dyDescent="0.35">
      <c r="A348" s="48"/>
      <c r="B348" s="48"/>
      <c r="C348" s="49"/>
      <c r="D348" s="50"/>
      <c r="E348" s="51" t="str">
        <f>IF(N(C348)=0,"",C348/PI()/($D$1/2)^2/$D$2*10000)</f>
        <v/>
      </c>
      <c r="F348" s="68" t="str">
        <f t="shared" si="126"/>
        <v/>
      </c>
      <c r="G348" s="69" t="str">
        <f t="shared" si="128"/>
        <v/>
      </c>
      <c r="H348" s="70" t="str">
        <f t="shared" si="127"/>
        <v/>
      </c>
      <c r="I348" s="27" t="str">
        <f>IF(N(J348)=0,"",0&amp;"-"&amp;B$7)</f>
        <v/>
      </c>
      <c r="J348" s="52" t="str">
        <f>IF(N(B$7)=0,"",IF(AND(COUNT(H345:H356)=2,COUNT(F345:F356)=2),cubic_spline(F344:F346,H344:H346,B$7),IF(AND(COUNT(H345:H356)=3,COUNT(F345:F356)=3),cubic_spline(F344:F347,H344:H347,B$7),IF(AND(COUNT(H345:H356)=4,COUNT(F345:F356)=4),cubic_spline(F344:F348,H344:H348,B$7),IF(AND(COUNT(H345:H356)=5,COUNT(F345:F356)=5),cubic_spline(F344:F349,H344:H349,B$7),IF(AND(COUNT(H345:H356)=6,COUNT(F345:F356)=6),cubic_spline(F344:F350,H344:H350,B$7),IF(AND(COUNT(H345:H356)=7,COUNT(F345:F356)=7),cubic_spline(F344:F351,H344:H351,B$7),IF(AND(COUNT(H345:H356)=8,COUNT(F345:F356)=8),cubic_spline(F344:F352,H344:H352,B$7),IF(AND(COUNT(H345:H356)=9,COUNT(F345:F356)=9),cubic_spline(F344:F353,H344:H353,B$7),IF(AND(COUNT(H345:H356)=10,COUNT(F345:F356)=10),cubic_spline(F344:F354,H344:H354,B$7),IF(AND(COUNT(H345:H356)=11,COUNT(F345:F356)=11),cubic_spline(F344:F355,H344:H355,B$7),IF(AND(COUNT(H345:H356)=12,COUNT(F345:F356)=12),cubic_spline(F344:F356,H344:H356,B$7),""))))))))))))</f>
        <v/>
      </c>
      <c r="K348" s="52" t="str">
        <f>IF(N(B$7)=0,"",IF(AND(COUNT(A345:A356)=2,COUNT(F345:F356)=2),cubic_spline(F344:F346,A344:A346,B$7),IF(AND(COUNT(A345:A356)=3,COUNT(F345:F356)=3),cubic_spline(F344:F347,A344:A347,B$7),IF(AND(COUNT(A345:A356)=4,COUNT(F345:F356)=4),cubic_spline(F344:F348,A344:A348,B$7),IF(AND(COUNT(A345:A356)=5,COUNT(F345:F356)=5),cubic_spline(F344:F349,A344:A349,B$7),IF(AND(COUNT(A345:A356)=6,COUNT(F345:F356)=6),cubic_spline(F344:F350,A344:A350,B$7),IF(AND(COUNT(A345:A356)=7,COUNT(F345:F356)=7),cubic_spline(F344:F351,A344:A351,B$7),IF(AND(COUNT(A345:A356)=8,COUNT(F345:F356)=8),cubic_spline(F344:F352,A344:A352,B$7),IF(AND(COUNT(A345:A356)=9,COUNT(F345:F356)=9),cubic_spline(F344:F353,A344:A353,B$7),IF(AND(COUNT(A345:A356)=10,COUNT(F345:F356)=10),cubic_spline(F344:F354,A344:A354,B$7),IF(AND(COUNT(A345:A356)=11,COUNT(F345:F356)=11),cubic_spline(F344:F355,A344:A355,B$7),IF(AND(COUNT(A345:A356)=12,COUNT(F345:F356)=12),cubic_spline(F344:F356,A344:A356,B$7),""))))))))))))</f>
        <v/>
      </c>
      <c r="L348" s="27" t="str">
        <f>IF(I348="","",B$6&amp;"-"&amp;B$7)</f>
        <v/>
      </c>
      <c r="M348" s="52" t="str">
        <f>IF(N(J348)=0,"",J348-J347)</f>
        <v/>
      </c>
    </row>
    <row r="349" spans="1:13" x14ac:dyDescent="0.35">
      <c r="A349" s="48"/>
      <c r="B349" s="48"/>
      <c r="C349" s="49"/>
      <c r="D349" s="50"/>
      <c r="E349" s="51" t="str">
        <f t="shared" ref="E349:E356" si="129">IF(N(C349)=0,"",C349/PI()/($D$1/2)^2/$D$2*10000)</f>
        <v/>
      </c>
      <c r="F349" s="71" t="str">
        <f t="shared" si="126"/>
        <v/>
      </c>
      <c r="G349" s="69" t="str">
        <f t="shared" si="128"/>
        <v/>
      </c>
      <c r="H349" s="70" t="str">
        <f t="shared" si="127"/>
        <v/>
      </c>
      <c r="I349" s="27" t="str">
        <f>IF(N(J349)=0,"",0&amp;"-"&amp;B$8)</f>
        <v/>
      </c>
      <c r="J349" s="52" t="str">
        <f>IF(N(B$8)=0,"",IF(AND(COUNT(H345:H356)=2,COUNT(F345:F356)=2),cubic_spline(F344:F346,H344:H346,B$8),IF(AND(COUNT(H345:H356)=3,COUNT(F345:F356)=3),cubic_spline(F344:F347,H344:H347,B$8),IF(AND(COUNT(H345:H356)=4,COUNT(F345:F356)=4),cubic_spline(F344:F348,H344:H348,B$8),IF(AND(COUNT(H345:H356)=5,COUNT(F345:F356)=5),cubic_spline(F344:F349,H344:H349,B$8),IF(AND(COUNT(H345:H356)=6,COUNT(F345:F356)=6),cubic_spline(F344:F350,H344:H350,B$8),IF(AND(COUNT(H345:H356)=7,COUNT(F345:F356)=7),cubic_spline(F344:F351,H344:H351,B$8),IF(AND(COUNT(H345:H356)=8,COUNT(F345:F356)=8),cubic_spline(F344:F352,H344:H352,B$8),IF(AND(COUNT(H345:H356)=9,COUNT(F345:F356)=9),cubic_spline(F344:F353,H344:H353,B$8),IF(AND(COUNT(H345:H356)=10,COUNT(F345:F356)=10),cubic_spline(F344:F354,H344:H354,B$8),IF(AND(COUNT(H345:H356)=11,COUNT(F345:F356)=11),cubic_spline(F344:F355,H344:H355,B$8),IF(AND(COUNT(H345:H356)=12,COUNT(F345:F356)=12),cubic_spline(F344:F356,H344:H356,B$8),""))))))))))))</f>
        <v/>
      </c>
      <c r="K349" s="52" t="str">
        <f>IF(N(B$8)=0,"",IF(AND(COUNT(A345:A356)=2,COUNT(F345:F356)=2),cubic_spline(F344:F346,A344:A346,B$8),IF(AND(COUNT(A345:A356)=3,COUNT(F345:F356)=3),cubic_spline(F344:F347,A344:A347,B$8),IF(AND(COUNT(A345:A356)=4,COUNT(F345:F356)=4),cubic_spline(F344:F348,A344:A348,B$8),IF(AND(COUNT(A345:A356)=5,COUNT(F345:F356)=5),cubic_spline(F344:F349,A344:A349,B$8),IF(AND(COUNT(A345:A356)=6,COUNT(F345:F356)=6),cubic_spline(F344:F350,A344:A350,B$8),IF(AND(COUNT(A345:A356)=7,COUNT(F345:F356)=7),cubic_spline(F344:F351,A344:A351,B$8),IF(AND(COUNT(A345:A356)=8,COUNT(F345:F356)=8),cubic_spline(F344:F352,A344:A352,B$8),IF(AND(COUNT(A345:A356)=9,COUNT(F345:F356)=9),cubic_spline(F344:F353,A344:A353,B$8),IF(AND(COUNT(A345:A356)=10,COUNT(F345:F356)=10),cubic_spline(F344:F354,A344:A354,B$8),IF(AND(COUNT(A345:A356)=11,COUNT(F345:F356)=11),cubic_spline(F344:F355,A344:A355,B$8),IF(AND(COUNT(A345:A356)=12,COUNT(F345:F356)=12),cubic_spline(F344:F356,A344:A356,B$8),""))))))))))))</f>
        <v/>
      </c>
      <c r="L349" s="27" t="str">
        <f>IF(I349="","",B$7&amp;"-"&amp;B$8)</f>
        <v/>
      </c>
      <c r="M349" s="52" t="str">
        <f>IF(N(J349)=0,"",J349-J348)</f>
        <v/>
      </c>
    </row>
    <row r="350" spans="1:13" x14ac:dyDescent="0.35">
      <c r="A350" s="48"/>
      <c r="B350" s="48"/>
      <c r="C350" s="49"/>
      <c r="D350" s="50"/>
      <c r="E350" s="51" t="str">
        <f t="shared" si="129"/>
        <v/>
      </c>
      <c r="F350" s="71" t="str">
        <f t="shared" si="126"/>
        <v/>
      </c>
      <c r="G350" s="69" t="str">
        <f t="shared" si="128"/>
        <v/>
      </c>
      <c r="H350" s="70" t="str">
        <f t="shared" si="127"/>
        <v/>
      </c>
      <c r="I350" s="27" t="str">
        <f>IF(N(J350)=0,"",0&amp;"-"&amp;B$9)</f>
        <v/>
      </c>
      <c r="J350" s="52" t="str">
        <f>IF(N(B$9)=0,"",IF(AND(COUNT(H345:H356)=2,COUNT(F345:F356)=2),cubic_spline(F344:F346,H344:H346,B$9),IF(AND(COUNT(H345:H356)=3,COUNT(F345:F356)=3),cubic_spline(F344:F347,H344:H347,B$9),IF(AND(COUNT(H345:H356)=4,COUNT(F345:F356)=4),cubic_spline(F344:F348,H344:H348,B$9),IF(AND(COUNT(H345:H356)=5,COUNT(F345:F356)=5),cubic_spline(F344:F349,H344:H349,B$9),IF(AND(COUNT(H345:H356)=6,COUNT(F345:F356)=6),cubic_spline(F344:F350,H344:H350,B$9),IF(AND(COUNT(H345:H356)=7,COUNT(F345:F356)=7),cubic_spline(F344:F351,H344:H351,B$9),IF(AND(COUNT(H345:H356)=8,COUNT(F345:F356)=8),cubic_spline(F344:F352,H344:H352,B$9),IF(AND(COUNT(H345:H356)=9,COUNT(F345:F356)=9),cubic_spline(F344:F353,H344:H353,B$9),IF(AND(COUNT(H345:H356)=10,COUNT(F345:F356)=10),cubic_spline(F344:F354,H344:H354,B$9),IF(AND(COUNT(H345:H356)=11,COUNT(F345:F356)=11),cubic_spline(F344:F355,H344:H355,B$9),IF(AND(COUNT(H345:H356)=12,COUNT(F345:F356)=12),cubic_spline(F344:F356,H344:H356,B$9),""))))))))))))</f>
        <v/>
      </c>
      <c r="K350" s="52" t="str">
        <f>IF(N(B$9)=0,"",IF(AND(COUNT(A345:A356)=2,COUNT(F345:F356)=2),cubic_spline(F344:F346,A344:A346,B$9),IF(AND(COUNT(A345:A356)=3,COUNT(F345:F356)=3),cubic_spline(F344:F347,A344:A347,B$9),IF(AND(COUNT(A345:A356)=4,COUNT(F345:F356)=4),cubic_spline(F344:F348,A344:A348,B$9),IF(AND(COUNT(A345:A356)=5,COUNT(F345:F356)=5),cubic_spline(F344:F349,A344:A349,B$9),IF(AND(COUNT(A345:A356)=6,COUNT(F345:F356)=6),cubic_spline(F344:F350,A344:A350,B$9),IF(AND(COUNT(A345:A356)=7,COUNT(F345:F356)=7),cubic_spline(F344:F351,A344:A351,B$9),IF(AND(COUNT(A345:A356)=8,COUNT(F345:F356)=8),cubic_spline(F344:F352,A344:A352,B$9),IF(AND(COUNT(A345:A356)=9,COUNT(F345:F356)=9),cubic_spline(F344:F353,A344:A353,B$9),IF(AND(COUNT(A345:A356)=10,COUNT(F345:F356)=10),cubic_spline(F344:F354,A344:A354,B$9),IF(AND(COUNT(A345:A356)=11,COUNT(F345:F356)=11),cubic_spline(F344:F355,A344:A355,B$9),IF(AND(COUNT(A345:A356)=12,COUNT(F345:F356)=12),cubic_spline(F344:F356,A344:A356,B$9),""))))))))))))</f>
        <v/>
      </c>
      <c r="L350" s="27" t="str">
        <f>IF(I350="","",B$8&amp;"-"&amp;B$9)</f>
        <v/>
      </c>
      <c r="M350" s="52" t="str">
        <f t="shared" ref="M350:M356" si="130">IF(N(J350)=0,"",J350-J349)</f>
        <v/>
      </c>
    </row>
    <row r="351" spans="1:13" x14ac:dyDescent="0.35">
      <c r="A351" s="48"/>
      <c r="B351" s="48"/>
      <c r="C351" s="49"/>
      <c r="D351" s="50"/>
      <c r="E351" s="51" t="str">
        <f t="shared" si="129"/>
        <v/>
      </c>
      <c r="F351" s="71" t="str">
        <f t="shared" si="126"/>
        <v/>
      </c>
      <c r="G351" s="69" t="str">
        <f t="shared" si="128"/>
        <v/>
      </c>
      <c r="H351" s="70" t="str">
        <f t="shared" si="127"/>
        <v/>
      </c>
      <c r="I351" s="27" t="str">
        <f>IF(N(J351)=0,"",0&amp;"-"&amp;B$10)</f>
        <v/>
      </c>
      <c r="J351" s="52" t="str">
        <f>IF(N(B$10)=0,"",IF(AND(COUNT(H345:H356)=2,COUNT(F345:F356)=2),cubic_spline(F344:F346,H344:H346,B$10),IF(AND(COUNT(H345:H356)=3,COUNT(F345:F356)=3),cubic_spline(F344:F347,H344:H347,B$10),IF(AND(COUNT(H345:H356)=4,COUNT(F345:F356)=4),cubic_spline(F344:F348,H344:H348,B$10),IF(AND(COUNT(H345:H356)=5,COUNT(F345:F356)=5),cubic_spline(F344:F349,H344:H349,B$10),IF(AND(COUNT(H345:H356)=6,COUNT(F345:F356)=6),cubic_spline(F344:F350,H344:H350,B$10),IF(AND(COUNT(H345:H356)=7,COUNT(F345:F356)=7),cubic_spline(F344:F351,H344:H351,B$10),IF(AND(COUNT(H345:H356)=8,COUNT(F345:F356)=8),cubic_spline(F344:F352,H344:H352,B$10),IF(AND(COUNT(H345:H356)=9,COUNT(F345:F356)=9),cubic_spline(F344:F353,H344:H353,B$10),IF(AND(COUNT(H345:H356)=10,COUNT(F345:F356)=10),cubic_spline(F344:F354,H344:H354,B$10),IF(AND(COUNT(H345:H356)=11,COUNT(F345:F356)=11),cubic_spline(F344:F355,H344:H355,B$10),IF(AND(COUNT(H345:H356)=12,COUNT(F345:F356)=12),cubic_spline(F344:F356,H344:H356,B$10),""))))))))))))</f>
        <v/>
      </c>
      <c r="K351" s="52" t="str">
        <f>IF(N(B$10)=0,"",IF(AND(COUNT(A345:A356)=2,COUNT(F345:F356)=2),cubic_spline(F344:F346,A344:A346,B$10),IF(AND(COUNT(A345:A356)=3,COUNT(F345:F356)=3),cubic_spline(F344:F347,A344:A347,B$10),IF(AND(COUNT(A345:A356)=4,COUNT(F345:F356)=4),cubic_spline(F344:F348,A344:A348,B$10),IF(AND(COUNT(A345:A356)=5,COUNT(F345:F356)=5),cubic_spline(F344:F349,A344:A349,B$10),IF(AND(COUNT(A345:A356)=6,COUNT(F345:F356)=6),cubic_spline(F344:F350,A344:A350,B$10),IF(AND(COUNT(A345:A356)=7,COUNT(F345:F356)=7),cubic_spline(F344:F351,A344:A351,B$10),IF(AND(COUNT(A345:A356)=8,COUNT(F345:F356)=8),cubic_spline(F344:F352,A344:A352,B$10),IF(AND(COUNT(A345:A356)=9,COUNT(F345:F356)=9),cubic_spline(F344:F353,A344:A353,B$10),IF(AND(COUNT(A345:A356)=10,COUNT(F345:F356)=10),cubic_spline(F344:F354,A344:A354,B$10),IF(AND(COUNT(A345:A356)=11,COUNT(F345:F356)=11),cubic_spline(F344:F355,A344:A355,B$10),IF(AND(COUNT(A345:A356)=12,COUNT(F345:F356)=12),cubic_spline(F344:F356,A344:A356,B$10),""))))))))))))</f>
        <v/>
      </c>
      <c r="L351" s="27" t="str">
        <f>IF(I351="","",B$9&amp;"-"&amp;B$10)</f>
        <v/>
      </c>
      <c r="M351" s="52" t="str">
        <f t="shared" si="130"/>
        <v/>
      </c>
    </row>
    <row r="352" spans="1:13" x14ac:dyDescent="0.35">
      <c r="A352" s="48"/>
      <c r="B352" s="48"/>
      <c r="C352" s="49"/>
      <c r="D352" s="50"/>
      <c r="E352" s="51" t="str">
        <f t="shared" si="129"/>
        <v/>
      </c>
      <c r="F352" s="71" t="str">
        <f t="shared" si="126"/>
        <v/>
      </c>
      <c r="G352" s="69" t="str">
        <f t="shared" si="128"/>
        <v/>
      </c>
      <c r="H352" s="70" t="str">
        <f t="shared" si="127"/>
        <v/>
      </c>
      <c r="I352" s="27" t="str">
        <f>IF(N(J352)=0,"",0&amp;"-"&amp;B$11)</f>
        <v/>
      </c>
      <c r="J352" s="52" t="str">
        <f>IF(N(B$11)=0,"",IF(AND(COUNT(H345:H356)=2,COUNT(F345:F356)=2),cubic_spline(F344:F346,H344:H346,B$11),IF(AND(COUNT(H345:H356)=3,COUNT(F345:F356)=3),cubic_spline(F344:F347,H344:H347,B$11),IF(AND(COUNT(H345:H356)=4,COUNT(F345:F356)=4),cubic_spline(F344:F348,H344:H348,B$11),IF(AND(COUNT(H345:H356)=5,COUNT(F345:F356)=5),cubic_spline(F344:F349,H344:H349,B$11),IF(AND(COUNT(H345:H356)=6,COUNT(F345:F356)=6),cubic_spline(F344:F350,H344:H350,B$11),IF(AND(COUNT(H345:H356)=7,COUNT(F345:F356)=7),cubic_spline(F344:F351,H344:H351,B$11),IF(AND(COUNT(H345:H356)=8,COUNT(F345:F356)=8),cubic_spline(F344:F352,H344:H352,B$11),IF(AND(COUNT(H345:H356)=9,COUNT(F345:F356)=9),cubic_spline(F344:F353,H344:H353,B$11),IF(AND(COUNT(H345:H356)=10,COUNT(F345:F356)=10),cubic_spline(F344:F354,H344:H354,B$11),IF(AND(COUNT(H345:H356)=11,COUNT(F345:F356)=11),cubic_spline(F344:F355,H344:H355,B$11),IF(AND(COUNT(H345:H356)=12,COUNT(F345:F356)=12),cubic_spline(F344:F356,H344:H356,B$11),""))))))))))))</f>
        <v/>
      </c>
      <c r="K352" s="52" t="str">
        <f>IF(N(B$11)=0,"",IF(AND(COUNT(A345:A356)=2,COUNT(F345:F356)=2),cubic_spline(F344:F346,A344:A346,B$11),IF(AND(COUNT(A345:A356)=3,COUNT(F345:F356)=3),cubic_spline(F344:F347,A344:A347,B$11),IF(AND(COUNT(A345:A356)=4,COUNT(F345:F356)=4),cubic_spline(F344:F348,A344:A348,B$11),IF(AND(COUNT(A345:A356)=5,COUNT(F345:F356)=5),cubic_spline(F344:F349,A344:A349,B$11),IF(AND(COUNT(A345:A356)=6,COUNT(F345:F356)=6),cubic_spline(F344:F350,A344:A350,B$11),IF(AND(COUNT(A345:A356)=7,COUNT(F345:F356)=7),cubic_spline(F344:F351,A344:A351,B$11),IF(AND(COUNT(A345:A356)=8,COUNT(F345:F356)=8),cubic_spline(F344:F352,A344:A352,B$11),IF(AND(COUNT(A345:A356)=9,COUNT(F345:F356)=9),cubic_spline(F344:F353,A344:A353,B$11),IF(AND(COUNT(A345:A356)=10,COUNT(F345:F356)=10),cubic_spline(F344:F354,A344:A354,B$11),IF(AND(COUNT(A345:A356)=11,COUNT(F345:F356)=11),cubic_spline(F344:F355,A344:A355,B$11),IF(AND(COUNT(A345:A356)=12,COUNT(F345:F356)=12),cubic_spline(F344:F356,A344:A356,B$11),""))))))))))))</f>
        <v/>
      </c>
      <c r="L352" s="27" t="str">
        <f>IF(I352="","",B$10&amp;"-"&amp;B$11)</f>
        <v/>
      </c>
      <c r="M352" s="52" t="str">
        <f t="shared" si="130"/>
        <v/>
      </c>
    </row>
    <row r="353" spans="1:13" x14ac:dyDescent="0.35">
      <c r="A353" s="48"/>
      <c r="B353" s="48"/>
      <c r="C353" s="49"/>
      <c r="D353" s="50"/>
      <c r="E353" s="51" t="str">
        <f t="shared" si="129"/>
        <v/>
      </c>
      <c r="F353" s="71" t="str">
        <f t="shared" si="126"/>
        <v/>
      </c>
      <c r="G353" s="69" t="str">
        <f t="shared" si="128"/>
        <v/>
      </c>
      <c r="H353" s="70" t="str">
        <f t="shared" si="127"/>
        <v/>
      </c>
      <c r="I353" s="27" t="str">
        <f>IF(N(J353)=0,"",0&amp;"-"&amp;B$12)</f>
        <v/>
      </c>
      <c r="J353" s="52" t="str">
        <f>IF(N(B$12)=0,"",IF(AND(COUNT(H345:H356)=2,COUNT(F345:F356)=2),cubic_spline(F344:F346,H344:H346,B$12),IF(AND(COUNT(H345:H356)=3,COUNT(F345:F356)=3),cubic_spline(F344:F347,H344:H347,B$12),IF(AND(COUNT(H345:H356)=4,COUNT(F345:F356)=4),cubic_spline(F344:F348,H344:H348,B$12),IF(AND(COUNT(H345:H356)=5,COUNT(F345:F356)=5),cubic_spline(F344:F349,H344:H349,B$12),IF(AND(COUNT(H345:H356)=6,COUNT(F345:F356)=6),cubic_spline(F344:F350,H344:H350,B$12),IF(AND(COUNT(H345:H356)=7,COUNT(F345:F356)=7),cubic_spline(F344:F351,H344:H351,B$12),IF(AND(COUNT(H345:H356)=8,COUNT(F345:F356)=8),cubic_spline(F344:F352,H344:H352,B$12),IF(AND(COUNT(H345:H356)=9,COUNT(F345:F356)=9),cubic_spline(F344:F353,H344:H353,B$12),IF(AND(COUNT(H345:H356)=10,COUNT(F345:F356)=10),cubic_spline(F344:F354,H344:H354,B$12),IF(AND(COUNT(H345:H356)=11,COUNT(F345:F356)=11),cubic_spline(F344:F355,H344:H355,B$12),IF(AND(COUNT(H345:H356)=12,COUNT(F345:F356)=12),cubic_spline(F344:F356,H344:H356,B$12),""))))))))))))</f>
        <v/>
      </c>
      <c r="K353" s="52" t="str">
        <f>IF(N(B$12)=0,"",IF(AND(COUNT(A345:A356)=2,COUNT(F345:F356)=2),cubic_spline(F344:F346,A344:A346,B$12),IF(AND(COUNT(A345:A356)=3,COUNT(F345:F356)=3),cubic_spline(F344:F347,A344:A347,B$12),IF(AND(COUNT(A345:A356)=4,COUNT(F345:F356)=4),cubic_spline(F344:F348,A344:A348,B$12),IF(AND(COUNT(A345:A356)=5,COUNT(F345:F356)=5),cubic_spline(F344:F349,A344:A349,B$12),IF(AND(COUNT(A345:A356)=6,COUNT(F345:F356)=6),cubic_spline(F344:F350,A344:A350,B$12),IF(AND(COUNT(A345:A356)=7,COUNT(F345:F356)=7),cubic_spline(F344:F351,A344:A351,B$12),IF(AND(COUNT(A345:A356)=8,COUNT(F345:F356)=8),cubic_spline(F344:F352,A344:A352,B$12),IF(AND(COUNT(A345:A356)=9,COUNT(F345:F356)=9),cubic_spline(F344:F353,A344:A353,B$12),IF(AND(COUNT(A345:A356)=10,COUNT(F345:F356)=10),cubic_spline(F344:F354,A344:A354,B$12),IF(AND(COUNT(A345:A356)=11,COUNT(F345:F356)=11),cubic_spline(F344:F355,A344:A355,B$12),IF(AND(COUNT(A345:A356)=12,COUNT(F345:F356)=12),cubic_spline(F344:F356,A344:A356,B$12),""))))))))))))</f>
        <v/>
      </c>
      <c r="L353" s="27" t="str">
        <f>IF(I353="","",B$11&amp;"-"&amp;B$12)</f>
        <v/>
      </c>
      <c r="M353" s="52" t="str">
        <f t="shared" si="130"/>
        <v/>
      </c>
    </row>
    <row r="354" spans="1:13" x14ac:dyDescent="0.35">
      <c r="A354" s="48"/>
      <c r="B354" s="48"/>
      <c r="C354" s="49"/>
      <c r="D354" s="50"/>
      <c r="E354" s="51" t="str">
        <f t="shared" si="129"/>
        <v/>
      </c>
      <c r="F354" s="71" t="str">
        <f t="shared" si="126"/>
        <v/>
      </c>
      <c r="G354" s="69" t="str">
        <f t="shared" si="128"/>
        <v/>
      </c>
      <c r="H354" s="70" t="str">
        <f t="shared" si="127"/>
        <v/>
      </c>
      <c r="I354" s="27" t="str">
        <f>IF(N(J354)=0,"",0&amp;"-"&amp;B$13)</f>
        <v/>
      </c>
      <c r="J354" s="52" t="str">
        <f>IF(N(B$13)=0,"",IF(AND(COUNT(H345:H356)=2,COUNT(F345:F356)=2),cubic_spline(F344:F346,H344:H346,B$13),IF(AND(COUNT(H345:H356)=3,COUNT(F345:F356)=3),cubic_spline(F344:F347,H344:H347,B$13),IF(AND(COUNT(H345:H356)=4,COUNT(F345:F356)=4),cubic_spline(F344:F348,H344:H348,B$13),IF(AND(COUNT(H345:H356)=5,COUNT(F345:F356)=5),cubic_spline(F344:F349,H344:H349,B$13),IF(AND(COUNT(H345:H356)=6,COUNT(F345:F356)=6),cubic_spline(F344:F350,H344:H350,B$13),IF(AND(COUNT(H345:H356)=7,COUNT(F345:F356)=7),cubic_spline(F344:F351,H344:H351,B$13),IF(AND(COUNT(H345:H356)=8,COUNT(F345:F356)=8),cubic_spline(F344:F352,H344:H352,B$13),IF(AND(COUNT(H345:H356)=9,COUNT(F345:F356)=9),cubic_spline(F344:F353,H344:H353,B$13),IF(AND(COUNT(H345:H356)=10,COUNT(F345:F356)=10),cubic_spline(F344:F354,H344:H354,B$13),IF(AND(COUNT(H345:H356)=11,COUNT(F345:F356)=11),cubic_spline(F344:F355,H344:H355,B$13),IF(AND(COUNT(H345:H356)=12,COUNT(F345:F356)=12),cubic_spline(F344:F356,H344:H356,B$13),""))))))))))))</f>
        <v/>
      </c>
      <c r="K354" s="52" t="str">
        <f>IF(N(B$13)=0,"",IF(AND(COUNT(A345:A356)=2,COUNT(F345:F356)=2),cubic_spline(F344:F346,A344:A346,B$13),IF(AND(COUNT(A345:A356)=3,COUNT(F345:F356)=3),cubic_spline(F344:F347,A344:A347,B$13),IF(AND(COUNT(A345:A356)=4,COUNT(F345:F356)=4),cubic_spline(F344:F348,A344:A348,B$13),IF(AND(COUNT(A345:A356)=5,COUNT(F345:F356)=5),cubic_spline(F344:F349,A344:A349,B$13),IF(AND(COUNT(A345:A356)=6,COUNT(F345:F356)=6),cubic_spline(F344:F350,A344:A350,B$13),IF(AND(COUNT(A345:A356)=7,COUNT(F345:F356)=7),cubic_spline(F344:F351,A344:A351,B$13),IF(AND(COUNT(A345:A356)=8,COUNT(F345:F356)=8),cubic_spline(F344:F352,A344:A352,B$13),IF(AND(COUNT(A345:A356)=9,COUNT(F345:F356)=9),cubic_spline(F344:F353,A344:A353,B$13),IF(AND(COUNT(A345:A356)=10,COUNT(F345:F356)=10),cubic_spline(F344:F354,A344:A354,B$13),IF(AND(COUNT(A345:A356)=11,COUNT(F345:F356)=11),cubic_spline(F344:F355,A344:A355,B$13),IF(AND(COUNT(A345:A356)=12,COUNT(F345:F356)=12),cubic_spline(F344:F356,A344:A356,B$13),""))))))))))))</f>
        <v/>
      </c>
      <c r="L354" s="27" t="str">
        <f>IF(I354="","",B$12&amp;"-"&amp;B$13)</f>
        <v/>
      </c>
      <c r="M354" s="52" t="str">
        <f t="shared" si="130"/>
        <v/>
      </c>
    </row>
    <row r="355" spans="1:13" x14ac:dyDescent="0.35">
      <c r="A355" s="48"/>
      <c r="B355" s="48"/>
      <c r="C355" s="49"/>
      <c r="D355" s="50"/>
      <c r="E355" s="51" t="str">
        <f t="shared" si="129"/>
        <v/>
      </c>
      <c r="F355" s="71" t="str">
        <f t="shared" si="126"/>
        <v/>
      </c>
      <c r="G355" s="69" t="str">
        <f t="shared" si="128"/>
        <v/>
      </c>
      <c r="H355" s="70" t="str">
        <f t="shared" si="127"/>
        <v/>
      </c>
      <c r="I355" s="27" t="str">
        <f>IF(N(J355)=0,"",0&amp;"-"&amp;B$14)</f>
        <v/>
      </c>
      <c r="J355" s="52" t="str">
        <f>IF(N(B$14)=0,"",IF(AND(COUNT(H345:H356)=2,COUNT(F345:F356)=2),cubic_spline(F344:F346,H344:H346,B$14),IF(AND(COUNT(H345:H356)=3,COUNT(F345:F356)=3),cubic_spline(F344:F347,H344:H347,B$14),IF(AND(COUNT(H345:H356)=4,COUNT(F345:F356)=4),cubic_spline(F344:F348,H344:H348,B$14),IF(AND(COUNT(H345:H356)=5,COUNT(F345:F356)=5),cubic_spline(F344:F349,H344:H349,B$14),IF(AND(COUNT(H345:H356)=6,COUNT(F345:F356)=6),cubic_spline(F344:F350,H344:H350,B$14),IF(AND(COUNT(H345:H356)=7,COUNT(F345:F356)=7),cubic_spline(F344:F351,H344:H351,B$14),IF(AND(COUNT(H345:H356)=8,COUNT(F345:F356)=8),cubic_spline(F344:F352,H344:H352,B$14),IF(AND(COUNT(H345:H356)=9,COUNT(F345:F356)=9),cubic_spline(F344:F353,H344:H353,B$14),IF(AND(COUNT(H345:H356)=10,COUNT(F345:F356)=10),cubic_spline(F344:F354,H344:H354,B$14),IF(AND(COUNT(H345:H356)=11,COUNT(F345:F356)=11),cubic_spline(F344:F355,H344:H355,B$14),IF(AND(COUNT(H345:H356)=12,COUNT(F345:F356)=12),cubic_spline(F344:F356,H344:H356,B$14),""))))))))))))</f>
        <v/>
      </c>
      <c r="K355" s="52" t="str">
        <f>IF(N(B$14)=0,"",IF(AND(COUNT(A345:A356)=2,COUNT(F345:F356)=2),cubic_spline(F344:F346,A344:A346,B$14),IF(AND(COUNT(A345:A356)=3,COUNT(F345:F356)=3),cubic_spline(F344:F347,A344:A347,B$14),IF(AND(COUNT(A345:A356)=4,COUNT(F345:F356)=4),cubic_spline(F344:F348,A344:A348,B$14),IF(AND(COUNT(A345:A356)=5,COUNT(F345:F356)=5),cubic_spline(F344:F349,A344:A349,B$14),IF(AND(COUNT(A345:A356)=6,COUNT(F345:F356)=6),cubic_spline(F344:F350,A344:A350,B$14),IF(AND(COUNT(A345:A356)=7,COUNT(F345:F356)=7),cubic_spline(F344:F351,A344:A351,B$14),IF(AND(COUNT(A345:A356)=8,COUNT(F345:F356)=8),cubic_spline(F344:F352,A344:A352,B$14),IF(AND(COUNT(A345:A356)=9,COUNT(F345:F356)=9),cubic_spline(F344:F353,A344:A353,B$14),IF(AND(COUNT(A345:A356)=10,COUNT(F345:F356)=10),cubic_spline(F344:F354,A344:A354,B$14),IF(AND(COUNT(A345:A356)=11,COUNT(F345:F356)=11),cubic_spline(F344:F355,A344:A355,B$14),IF(AND(COUNT(A345:A356)=12,COUNT(F345:F356)=12),cubic_spline(F344:F356,A344:A356,B$14),""))))))))))))</f>
        <v/>
      </c>
      <c r="L355" s="27" t="str">
        <f>IF(I355="","",B$13&amp;"-"&amp;B$14)</f>
        <v/>
      </c>
      <c r="M355" s="52" t="str">
        <f t="shared" si="130"/>
        <v/>
      </c>
    </row>
    <row r="356" spans="1:13" x14ac:dyDescent="0.35">
      <c r="A356" s="48"/>
      <c r="B356" s="48"/>
      <c r="C356" s="49"/>
      <c r="D356" s="50"/>
      <c r="E356" s="51" t="str">
        <f t="shared" si="129"/>
        <v/>
      </c>
      <c r="F356" s="71" t="str">
        <f t="shared" si="126"/>
        <v/>
      </c>
      <c r="G356" s="69" t="str">
        <f t="shared" si="128"/>
        <v/>
      </c>
      <c r="H356" s="70" t="str">
        <f t="shared" si="127"/>
        <v/>
      </c>
      <c r="I356" s="27" t="str">
        <f>IF(N(J356)=0,"",0&amp;"-"&amp;B$15)</f>
        <v/>
      </c>
      <c r="J356" s="52" t="str">
        <f>IF(N(B$15)=0,"",IF(AND(COUNT(H345:H356)=2,COUNT(F345:F356)=2),cubic_spline(F344:F346,H344:H346,B$15),IF(AND(COUNT(H345:H356)=3,COUNT(F345:F356)=3),cubic_spline(F344:F347,H344:H347,B$15),IF(AND(COUNT(H345:H356)=4,COUNT(F345:F356)=4),cubic_spline(F344:F348,H344:H348,B$15),IF(AND(COUNT(H345:H356)=5,COUNT(F345:F356)=5),cubic_spline(F344:F349,H344:H349,B$15),IF(AND(COUNT(H345:H356)=6,COUNT(F345:F356)=6),cubic_spline(F344:F350,H344:H350,B$15),IF(AND(COUNT(H345:H356)=7,COUNT(F345:F356)=7),cubic_spline(F344:F351,H344:H351,B$15),IF(AND(COUNT(H345:H356)=8,COUNT(F345:F356)=8),cubic_spline(F344:F352,H344:H352,B$15),IF(AND(COUNT(H345:H356)=9,COUNT(F345:F356)=9),cubic_spline(F344:F353,H344:H353,B$15),IF(AND(COUNT(H345:H356)=10,COUNT(F345:F356)=10),cubic_spline(F344:F354,H344:H354,B$15),IF(AND(COUNT(H345:H356)=11,COUNT(F345:F356)=11),cubic_spline(F344:F355,H344:H355,B$15),IF(AND(COUNT(H345:H356)=12,COUNT(F345:F356)=12),cubic_spline(F344:F356,H344:H356,B$15),""))))))))))))</f>
        <v/>
      </c>
      <c r="K356" s="52" t="str">
        <f>IF(N(B$15)=0,"",IF(AND(COUNT(A345:A356)=2,COUNT(F345:F356)=2),cubic_spline(F344:F346,A344:A346,B$15),IF(AND(COUNT(A345:A356)=3,COUNT(F345:F356)=3),cubic_spline(F344:F347,A344:A347,B$15),IF(AND(COUNT(A345:A356)=4,COUNT(F345:F356)=4),cubic_spline(F344:F348,A344:A348,B$15),IF(AND(COUNT(A345:A356)=5,COUNT(F345:F356)=5),cubic_spline(F344:F349,A344:A349,B$15),IF(AND(COUNT(A345:A356)=6,COUNT(F345:F356)=6),cubic_spline(F344:F350,A344:A350,B$15),IF(AND(COUNT(A345:A356)=7,COUNT(F345:F356)=7),cubic_spline(F344:F351,A344:A351,B$15),IF(AND(COUNT(A345:A356)=8,COUNT(F345:F356)=8),cubic_spline(F344:F352,A344:A352,B$15),IF(AND(COUNT(A345:A356)=9,COUNT(F345:F356)=9),cubic_spline(F344:F353,A344:A353,B$15),IF(AND(COUNT(A345:A356)=10,COUNT(F345:F356)=10),cubic_spline(F344:F354,A344:A354,B$15),IF(AND(COUNT(A345:A356)=11,COUNT(F345:F356)=11),cubic_spline(F344:F355,A344:A355,B$15),IF(AND(COUNT(A345:A356)=12,COUNT(F345:F356)=12),cubic_spline(F344:F356,A344:A356,B$15),""))))))))))))</f>
        <v/>
      </c>
      <c r="L356" s="27" t="str">
        <f>IF(I356="","",B$14&amp;"-"&amp;B$15)</f>
        <v/>
      </c>
      <c r="M356" s="52" t="str">
        <f t="shared" si="130"/>
        <v/>
      </c>
    </row>
    <row r="357" spans="1:13" ht="5.15" customHeight="1" x14ac:dyDescent="0.35">
      <c r="A357" s="47"/>
      <c r="B357" s="47"/>
      <c r="C357" s="47"/>
      <c r="D357" s="53"/>
      <c r="E357" s="54"/>
      <c r="F357" s="55"/>
      <c r="G357" s="72"/>
      <c r="H357" s="73"/>
      <c r="I357" s="47"/>
      <c r="J357" s="57"/>
      <c r="K357" s="57"/>
      <c r="L357" s="55"/>
      <c r="M357" s="57"/>
    </row>
    <row r="358" spans="1:13" x14ac:dyDescent="0.35">
      <c r="A358" s="48"/>
      <c r="B358" s="48"/>
      <c r="C358" s="49"/>
      <c r="D358" s="50"/>
      <c r="E358" s="51" t="str">
        <f>IF(N(C358)=0,"",C358/PI()/($D$1/2)^2/$D$2*10000)</f>
        <v/>
      </c>
      <c r="F358" s="68" t="str">
        <f t="shared" ref="F358:F369" si="131">IF(N(E358)=0,"",(N(E358)+N(F357)))</f>
        <v/>
      </c>
      <c r="G358" s="69" t="str">
        <f>IF(OR(N(D358)=0,N(E358)=0),"",(E358*D358)/1000)</f>
        <v/>
      </c>
      <c r="H358" s="70" t="str">
        <f t="shared" ref="H358:H369" si="132">IF(N(G358)=0,"",(N(G358)+N(H357)))</f>
        <v/>
      </c>
      <c r="I358" s="27" t="str">
        <f>IF(N(J358)=0,"",0&amp;"-"&amp;B$4)</f>
        <v/>
      </c>
      <c r="J358" s="52" t="str">
        <f>IF(N(B$4)=0,"",IF(AND(COUNT(H358:H369)=2,COUNT(F358:F369)=2),cubic_spline(F357:F359,H357:H359,B$4),IF(AND(COUNT(H358:H369)=3,COUNT(F358:F369)=3),cubic_spline(F357:F360,H357:H360,B$4),IF(AND(COUNT(H358:H369)=4,COUNT(F358:F369)=4),cubic_spline(F357:F361,H357:H361,B$4),IF(AND(COUNT(H358:H369)=5,COUNT(F358:F369)=5),cubic_spline(F357:F362,H357:H362,B$4),IF(AND(COUNT(H358:H369)=6,COUNT(F358:F369)=6),cubic_spline(F357:F363,H357:H363,B$4),IF(AND(COUNT(H358:H369)=7,COUNT(F358:F369)=7),cubic_spline(F357:F364,H357:H364,B$4),IF(AND(COUNT(H358:H369)=8,COUNT(F358:F369)=8),cubic_spline(F357:F365,H357:H365,B$4),IF(AND(COUNT(H358:H369)=9,COUNT(F358:F369)=9),cubic_spline(F357:F366,H357:H366,B$4),IF(AND(COUNT(H358:H369)=10,COUNT(F358:F369)=10),cubic_spline(F357:F367,H357:H367,B$4),IF(AND(COUNT(H358:H369)=11,COUNT(F358:F369)=11),cubic_spline(F357:F368,H357:H368,B$4),IF(AND(COUNT(H358:H369)=12,COUNT(F358:F369)=12),cubic_spline(F357:F369,H357:H369,B$4),""))))))))))))</f>
        <v/>
      </c>
      <c r="K358" s="52" t="str">
        <f>IF(N(B$4)=0,"",IF(AND(COUNT(A358:A369)=2,COUNT(F358:F369)=2),cubic_spline(F357:F359,A357:A359,B$4),IF(AND(COUNT(A358:A369)=3,COUNT(F358:F369)=3),cubic_spline(F357:F360,A357:A360,B$4),IF(AND(COUNT(A358:A369)=4,COUNT(F358:F369)=4),cubic_spline(F357:F361,A357:A361,B$4),IF(AND(COUNT(A358:A369)=5,COUNT(F358:F369)=5),cubic_spline(F357:F362,A357:A362,B$4),IF(AND(COUNT(A358:A369)=6,COUNT(F358:F369)=6),cubic_spline(F357:F363,A357:A363,B$4),IF(AND(COUNT(A358:A369)=7,COUNT(F358:F369)=7),cubic_spline(F357:F364,A357:A364,B$4),IF(AND(COUNT(A358:A369)=8,COUNT(F358:F369)=8),cubic_spline(F357:F365,A357:A365,B$4),IF(AND(COUNT(A358:A369)=9,COUNT(F358:F369)=9),cubic_spline(F357:F366,A357:A366,B$4),IF(AND(COUNT(A358:A369)=10,COUNT(F358:F369)=10),cubic_spline(F357:F367,A357:A367,B$4),IF(AND(COUNT(A358:A369)=11,COUNT(F358:F369)=11),cubic_spline(F357:F368,A357:A368,B$4),IF(AND(COUNT(A358:A369)=12,COUNT(F358:F369)=12),cubic_spline(F357:F369,A357:A369,B$4),""))))))))))))</f>
        <v/>
      </c>
      <c r="L358" s="27" t="str">
        <f>IF(I358="","",0&amp;"-"&amp;B$4)</f>
        <v/>
      </c>
      <c r="M358" s="52" t="str">
        <f>IF(N(J358)=0,"",J358-J357)</f>
        <v/>
      </c>
    </row>
    <row r="359" spans="1:13" x14ac:dyDescent="0.35">
      <c r="A359" s="48"/>
      <c r="B359" s="48"/>
      <c r="C359" s="49"/>
      <c r="D359" s="50"/>
      <c r="E359" s="51" t="str">
        <f>IF(N(C359)=0,"",C359/PI()/($D$1/2)^2/$D$2*10000)</f>
        <v/>
      </c>
      <c r="F359" s="68" t="str">
        <f t="shared" si="131"/>
        <v/>
      </c>
      <c r="G359" s="69" t="str">
        <f t="shared" ref="G359:G369" si="133">IF(OR(N(D359)=0,N(E359)=0),"",(E359*D359)/1000)</f>
        <v/>
      </c>
      <c r="H359" s="70" t="str">
        <f t="shared" si="132"/>
        <v/>
      </c>
      <c r="I359" s="27" t="str">
        <f>IF(N(J359)=0,"",0&amp;"-"&amp;B$5)</f>
        <v/>
      </c>
      <c r="J359" s="52" t="str">
        <f>IF(N(B$5)=0,"",IF(AND(COUNT(H358:H369)=2,COUNT(F358:F369)=2),cubic_spline(F357:F359,H357:H359,B$5),IF(AND(COUNT(H358:H369)=3,COUNT(F358:F369)=3),cubic_spline(F357:F360,H357:H360,B$5),IF(AND(COUNT(H358:H369)=4,COUNT(F358:F369)=4),cubic_spline(F357:F361,H357:H361,B$5),IF(AND(COUNT(H358:H369)=5,COUNT(F358:F369)=5),cubic_spline(F357:F362,H357:H362,B$5),IF(AND(COUNT(H358:H369)=6,COUNT(F358:F369)=6),cubic_spline(F357:F363,H357:H363,B$5),IF(AND(COUNT(H358:H369)=7,COUNT(F358:F369)=7),cubic_spline(F357:F364,H357:H364,B$5),IF(AND(COUNT(H358:H369)=8,COUNT(F358:F369)=8),cubic_spline(F357:F365,H357:H365,B$5),IF(AND(COUNT(H358:H369)=9,COUNT(F358:F369)=9),cubic_spline(F357:F366,H357:H366,B$5),IF(AND(COUNT(H358:H369)=10,COUNT(F358:F369)=10),cubic_spline(F357:F367,H357:H367,B$5),IF(AND(COUNT(H358:H369)=11,COUNT(F358:F369)=11),cubic_spline(F357:F368,H357:H368,B$5),IF(AND(COUNT(H358:H369)=12,COUNT(F358:F369)=12),cubic_spline(F357:F369,H357:H369,B$5),""))))))))))))</f>
        <v/>
      </c>
      <c r="K359" s="52" t="str">
        <f>IF(N(B$5)=0,"",IF(AND(COUNT(A358:A369)=2,COUNT(F358:F369)=2),cubic_spline(F357:F359,A357:A359,B$5),IF(AND(COUNT(A358:A369)=3,COUNT(F358:F369)=3),cubic_spline(F357:F360,A357:A360,B$5),IF(AND(COUNT(A358:A369)=4,COUNT(F358:F369)=4),cubic_spline(F357:F361,A357:A361,B$5),IF(AND(COUNT(A358:A369)=5,COUNT(F358:F369)=5),cubic_spline(F357:F362,A357:A362,B$5),IF(AND(COUNT(A358:A369)=6,COUNT(F358:F369)=6),cubic_spline(F357:F363,A357:A363,B$5),IF(AND(COUNT(A358:A369)=7,COUNT(F358:F369)=7),cubic_spline(F357:F364,A357:A364,B$5),IF(AND(COUNT(A358:A369)=8,COUNT(F358:F369)=8),cubic_spline(F357:F365,A357:A365,B$5),IF(AND(COUNT(A358:A369)=9,COUNT(F358:F369)=9),cubic_spline(F357:F366,A357:A366,B$5),IF(AND(COUNT(A358:A369)=10,COUNT(F358:F369)=10),cubic_spline(F357:F367,A357:A367,B$5),IF(AND(COUNT(A358:A369)=11,COUNT(F358:F369)=11),cubic_spline(F357:F368,A357:A368,B$5),IF(AND(COUNT(A358:A369)=12,COUNT(F358:F369)=12),cubic_spline(F357:F369,A357:A369,B$5),""))))))))))))</f>
        <v/>
      </c>
      <c r="L359" s="27" t="str">
        <f>IF(I359="","",B$4&amp;"-"&amp;B$5)</f>
        <v/>
      </c>
      <c r="M359" s="52" t="str">
        <f>IF(N(J359)=0,"",J359-J358)</f>
        <v/>
      </c>
    </row>
    <row r="360" spans="1:13" x14ac:dyDescent="0.35">
      <c r="A360" s="48"/>
      <c r="B360" s="48"/>
      <c r="C360" s="49"/>
      <c r="D360" s="50"/>
      <c r="E360" s="51" t="str">
        <f>IF(N(C360)=0,"",C360/PI()/($D$1/2)^2/$D$2*10000)</f>
        <v/>
      </c>
      <c r="F360" s="68" t="str">
        <f t="shared" si="131"/>
        <v/>
      </c>
      <c r="G360" s="69" t="str">
        <f t="shared" si="133"/>
        <v/>
      </c>
      <c r="H360" s="70" t="str">
        <f t="shared" si="132"/>
        <v/>
      </c>
      <c r="I360" s="27" t="str">
        <f>IF(N(J360)=0,"",0&amp;"-"&amp;B$6)</f>
        <v/>
      </c>
      <c r="J360" s="52" t="str">
        <f>IF(N(B$6)=0,"",IF(AND(COUNT(H358:H369)=2,COUNT(F358:F369)=2),cubic_spline(F357:F359,H357:H359,B$6),IF(AND(COUNT(H358:H369)=3,COUNT(F358:F369)=3),cubic_spline(F357:F360,H357:H360,B$6),IF(AND(COUNT(H358:H369)=4,COUNT(F358:F369)=4),cubic_spline(F357:F361,H357:H361,B$6),IF(AND(COUNT(H358:H369)=5,COUNT(F358:F369)=5),cubic_spline(F357:F362,H357:H362,B$6),IF(AND(COUNT(H358:H369)=6,COUNT(F358:F369)=6),cubic_spline(F357:F363,H357:H363,B$6),IF(AND(COUNT(H358:H369)=7,COUNT(F358:F369)=7),cubic_spline(F357:F364,H357:H364,B$6),IF(AND(COUNT(H358:H369)=8,COUNT(F358:F369)=8),cubic_spline(F357:F365,H357:H365,B$6),IF(AND(COUNT(H358:H369)=9,COUNT(F358:F369)=9),cubic_spline(F357:F366,H357:H366,B$6),IF(AND(COUNT(H358:H369)=10,COUNT(F358:F369)=10),cubic_spline(F357:F367,H357:H367,B$6),IF(AND(COUNT(H358:H369)=11,COUNT(F358:F369)=11),cubic_spline(F357:F368,H357:H368,B$6),IF(AND(COUNT(H358:H369)=12,COUNT(F358:F369)=12),cubic_spline(F357:F369,H357:H369,B$6),""))))))))))))</f>
        <v/>
      </c>
      <c r="K360" s="52" t="str">
        <f>IF(N(B$6)=0,"",IF(AND(COUNT(A358:A369)=2,COUNT(F358:F369)=2),cubic_spline(F357:F359,A357:A359,B$6),IF(AND(COUNT(A358:A369)=3,COUNT(F358:F369)=3),cubic_spline(F357:F360,A357:A360,B$6),IF(AND(COUNT(A358:A369)=4,COUNT(F358:F369)=4),cubic_spline(F357:F361,A357:A361,B$6),IF(AND(COUNT(A358:A369)=5,COUNT(F358:F369)=5),cubic_spline(F357:F362,A357:A362,B$6),IF(AND(COUNT(A358:A369)=6,COUNT(F358:F369)=6),cubic_spline(F357:F363,A357:A363,B$6),IF(AND(COUNT(A358:A369)=7,COUNT(F358:F369)=7),cubic_spline(F357:F364,A357:A364,B$6),IF(AND(COUNT(A358:A369)=8,COUNT(F358:F369)=8),cubic_spline(F357:F365,A357:A365,B$6),IF(AND(COUNT(A358:A369)=9,COUNT(F358:F369)=9),cubic_spline(F357:F366,A357:A366,B$6),IF(AND(COUNT(A358:A369)=10,COUNT(F358:F369)=10),cubic_spline(F357:F367,A357:A367,B$6),IF(AND(COUNT(A358:A369)=11,COUNT(F358:F369)=11),cubic_spline(F357:F368,A357:A368,B$6),IF(AND(COUNT(A358:A369)=12,COUNT(F358:F369)=12),cubic_spline(F357:F369,A357:A369,B$6),""))))))))))))</f>
        <v/>
      </c>
      <c r="L360" s="27" t="str">
        <f>IF(I360="","",B$5&amp;"-"&amp;B$6)</f>
        <v/>
      </c>
      <c r="M360" s="52" t="str">
        <f>IF(N(J360)=0,"",J360-J359)</f>
        <v/>
      </c>
    </row>
    <row r="361" spans="1:13" x14ac:dyDescent="0.35">
      <c r="A361" s="48"/>
      <c r="B361" s="48"/>
      <c r="C361" s="49"/>
      <c r="D361" s="50"/>
      <c r="E361" s="51" t="str">
        <f>IF(N(C361)=0,"",C361/PI()/($D$1/2)^2/$D$2*10000)</f>
        <v/>
      </c>
      <c r="F361" s="68" t="str">
        <f t="shared" si="131"/>
        <v/>
      </c>
      <c r="G361" s="69" t="str">
        <f t="shared" si="133"/>
        <v/>
      </c>
      <c r="H361" s="70" t="str">
        <f t="shared" si="132"/>
        <v/>
      </c>
      <c r="I361" s="27" t="str">
        <f>IF(N(J361)=0,"",0&amp;"-"&amp;B$7)</f>
        <v/>
      </c>
      <c r="J361" s="52" t="str">
        <f>IF(N(B$7)=0,"",IF(AND(COUNT(H358:H369)=2,COUNT(F358:F369)=2),cubic_spline(F357:F359,H357:H359,B$7),IF(AND(COUNT(H358:H369)=3,COUNT(F358:F369)=3),cubic_spline(F357:F360,H357:H360,B$7),IF(AND(COUNT(H358:H369)=4,COUNT(F358:F369)=4),cubic_spline(F357:F361,H357:H361,B$7),IF(AND(COUNT(H358:H369)=5,COUNT(F358:F369)=5),cubic_spline(F357:F362,H357:H362,B$7),IF(AND(COUNT(H358:H369)=6,COUNT(F358:F369)=6),cubic_spline(F357:F363,H357:H363,B$7),IF(AND(COUNT(H358:H369)=7,COUNT(F358:F369)=7),cubic_spline(F357:F364,H357:H364,B$7),IF(AND(COUNT(H358:H369)=8,COUNT(F358:F369)=8),cubic_spline(F357:F365,H357:H365,B$7),IF(AND(COUNT(H358:H369)=9,COUNT(F358:F369)=9),cubic_spline(F357:F366,H357:H366,B$7),IF(AND(COUNT(H358:H369)=10,COUNT(F358:F369)=10),cubic_spline(F357:F367,H357:H367,B$7),IF(AND(COUNT(H358:H369)=11,COUNT(F358:F369)=11),cubic_spline(F357:F368,H357:H368,B$7),IF(AND(COUNT(H358:H369)=12,COUNT(F358:F369)=12),cubic_spline(F357:F369,H357:H369,B$7),""))))))))))))</f>
        <v/>
      </c>
      <c r="K361" s="52" t="str">
        <f>IF(N(B$7)=0,"",IF(AND(COUNT(A358:A369)=2,COUNT(F358:F369)=2),cubic_spline(F357:F359,A357:A359,B$7),IF(AND(COUNT(A358:A369)=3,COUNT(F358:F369)=3),cubic_spline(F357:F360,A357:A360,B$7),IF(AND(COUNT(A358:A369)=4,COUNT(F358:F369)=4),cubic_spline(F357:F361,A357:A361,B$7),IF(AND(COUNT(A358:A369)=5,COUNT(F358:F369)=5),cubic_spline(F357:F362,A357:A362,B$7),IF(AND(COUNT(A358:A369)=6,COUNT(F358:F369)=6),cubic_spline(F357:F363,A357:A363,B$7),IF(AND(COUNT(A358:A369)=7,COUNT(F358:F369)=7),cubic_spline(F357:F364,A357:A364,B$7),IF(AND(COUNT(A358:A369)=8,COUNT(F358:F369)=8),cubic_spline(F357:F365,A357:A365,B$7),IF(AND(COUNT(A358:A369)=9,COUNT(F358:F369)=9),cubic_spline(F357:F366,A357:A366,B$7),IF(AND(COUNT(A358:A369)=10,COUNT(F358:F369)=10),cubic_spline(F357:F367,A357:A367,B$7),IF(AND(COUNT(A358:A369)=11,COUNT(F358:F369)=11),cubic_spline(F357:F368,A357:A368,B$7),IF(AND(COUNT(A358:A369)=12,COUNT(F358:F369)=12),cubic_spline(F357:F369,A357:A369,B$7),""))))))))))))</f>
        <v/>
      </c>
      <c r="L361" s="27" t="str">
        <f>IF(I361="","",B$6&amp;"-"&amp;B$7)</f>
        <v/>
      </c>
      <c r="M361" s="52" t="str">
        <f>IF(N(J361)=0,"",J361-J360)</f>
        <v/>
      </c>
    </row>
    <row r="362" spans="1:13" x14ac:dyDescent="0.35">
      <c r="A362" s="48"/>
      <c r="B362" s="48"/>
      <c r="C362" s="49"/>
      <c r="D362" s="50"/>
      <c r="E362" s="51" t="str">
        <f t="shared" ref="E362:E369" si="134">IF(N(C362)=0,"",C362/PI()/($D$1/2)^2/$D$2*10000)</f>
        <v/>
      </c>
      <c r="F362" s="71" t="str">
        <f t="shared" si="131"/>
        <v/>
      </c>
      <c r="G362" s="69" t="str">
        <f t="shared" si="133"/>
        <v/>
      </c>
      <c r="H362" s="70" t="str">
        <f t="shared" si="132"/>
        <v/>
      </c>
      <c r="I362" s="27" t="str">
        <f>IF(N(J362)=0,"",0&amp;"-"&amp;B$8)</f>
        <v/>
      </c>
      <c r="J362" s="52" t="str">
        <f>IF(N(B$8)=0,"",IF(AND(COUNT(H358:H369)=2,COUNT(F358:F369)=2),cubic_spline(F357:F359,H357:H359,B$8),IF(AND(COUNT(H358:H369)=3,COUNT(F358:F369)=3),cubic_spline(F357:F360,H357:H360,B$8),IF(AND(COUNT(H358:H369)=4,COUNT(F358:F369)=4),cubic_spline(F357:F361,H357:H361,B$8),IF(AND(COUNT(H358:H369)=5,COUNT(F358:F369)=5),cubic_spline(F357:F362,H357:H362,B$8),IF(AND(COUNT(H358:H369)=6,COUNT(F358:F369)=6),cubic_spline(F357:F363,H357:H363,B$8),IF(AND(COUNT(H358:H369)=7,COUNT(F358:F369)=7),cubic_spline(F357:F364,H357:H364,B$8),IF(AND(COUNT(H358:H369)=8,COUNT(F358:F369)=8),cubic_spline(F357:F365,H357:H365,B$8),IF(AND(COUNT(H358:H369)=9,COUNT(F358:F369)=9),cubic_spline(F357:F366,H357:H366,B$8),IF(AND(COUNT(H358:H369)=10,COUNT(F358:F369)=10),cubic_spline(F357:F367,H357:H367,B$8),IF(AND(COUNT(H358:H369)=11,COUNT(F358:F369)=11),cubic_spline(F357:F368,H357:H368,B$8),IF(AND(COUNT(H358:H369)=12,COUNT(F358:F369)=12),cubic_spline(F357:F369,H357:H369,B$8),""))))))))))))</f>
        <v/>
      </c>
      <c r="K362" s="52" t="str">
        <f>IF(N(B$8)=0,"",IF(AND(COUNT(A358:A369)=2,COUNT(F358:F369)=2),cubic_spline(F357:F359,A357:A359,B$8),IF(AND(COUNT(A358:A369)=3,COUNT(F358:F369)=3),cubic_spline(F357:F360,A357:A360,B$8),IF(AND(COUNT(A358:A369)=4,COUNT(F358:F369)=4),cubic_spline(F357:F361,A357:A361,B$8),IF(AND(COUNT(A358:A369)=5,COUNT(F358:F369)=5),cubic_spline(F357:F362,A357:A362,B$8),IF(AND(COUNT(A358:A369)=6,COUNT(F358:F369)=6),cubic_spline(F357:F363,A357:A363,B$8),IF(AND(COUNT(A358:A369)=7,COUNT(F358:F369)=7),cubic_spline(F357:F364,A357:A364,B$8),IF(AND(COUNT(A358:A369)=8,COUNT(F358:F369)=8),cubic_spline(F357:F365,A357:A365,B$8),IF(AND(COUNT(A358:A369)=9,COUNT(F358:F369)=9),cubic_spline(F357:F366,A357:A366,B$8),IF(AND(COUNT(A358:A369)=10,COUNT(F358:F369)=10),cubic_spline(F357:F367,A357:A367,B$8),IF(AND(COUNT(A358:A369)=11,COUNT(F358:F369)=11),cubic_spline(F357:F368,A357:A368,B$8),IF(AND(COUNT(A358:A369)=12,COUNT(F358:F369)=12),cubic_spline(F357:F369,A357:A369,B$8),""))))))))))))</f>
        <v/>
      </c>
      <c r="L362" s="27" t="str">
        <f>IF(I362="","",B$7&amp;"-"&amp;B$8)</f>
        <v/>
      </c>
      <c r="M362" s="52" t="str">
        <f>IF(N(J362)=0,"",J362-J361)</f>
        <v/>
      </c>
    </row>
    <row r="363" spans="1:13" x14ac:dyDescent="0.35">
      <c r="A363" s="48"/>
      <c r="B363" s="48"/>
      <c r="C363" s="49"/>
      <c r="D363" s="50"/>
      <c r="E363" s="51" t="str">
        <f t="shared" si="134"/>
        <v/>
      </c>
      <c r="F363" s="71" t="str">
        <f t="shared" si="131"/>
        <v/>
      </c>
      <c r="G363" s="69" t="str">
        <f t="shared" si="133"/>
        <v/>
      </c>
      <c r="H363" s="70" t="str">
        <f t="shared" si="132"/>
        <v/>
      </c>
      <c r="I363" s="27" t="str">
        <f>IF(N(J363)=0,"",0&amp;"-"&amp;B$9)</f>
        <v/>
      </c>
      <c r="J363" s="52" t="str">
        <f>IF(N(B$9)=0,"",IF(AND(COUNT(H358:H369)=2,COUNT(F358:F369)=2),cubic_spline(F357:F359,H357:H359,B$9),IF(AND(COUNT(H358:H369)=3,COUNT(F358:F369)=3),cubic_spline(F357:F360,H357:H360,B$9),IF(AND(COUNT(H358:H369)=4,COUNT(F358:F369)=4),cubic_spline(F357:F361,H357:H361,B$9),IF(AND(COUNT(H358:H369)=5,COUNT(F358:F369)=5),cubic_spline(F357:F362,H357:H362,B$9),IF(AND(COUNT(H358:H369)=6,COUNT(F358:F369)=6),cubic_spline(F357:F363,H357:H363,B$9),IF(AND(COUNT(H358:H369)=7,COUNT(F358:F369)=7),cubic_spline(F357:F364,H357:H364,B$9),IF(AND(COUNT(H358:H369)=8,COUNT(F358:F369)=8),cubic_spline(F357:F365,H357:H365,B$9),IF(AND(COUNT(H358:H369)=9,COUNT(F358:F369)=9),cubic_spline(F357:F366,H357:H366,B$9),IF(AND(COUNT(H358:H369)=10,COUNT(F358:F369)=10),cubic_spline(F357:F367,H357:H367,B$9),IF(AND(COUNT(H358:H369)=11,COUNT(F358:F369)=11),cubic_spline(F357:F368,H357:H368,B$9),IF(AND(COUNT(H358:H369)=12,COUNT(F358:F369)=12),cubic_spline(F357:F369,H357:H369,B$9),""))))))))))))</f>
        <v/>
      </c>
      <c r="K363" s="52" t="str">
        <f>IF(N(B$9)=0,"",IF(AND(COUNT(A358:A369)=2,COUNT(F358:F369)=2),cubic_spline(F357:F359,A357:A359,B$9),IF(AND(COUNT(A358:A369)=3,COUNT(F358:F369)=3),cubic_spline(F357:F360,A357:A360,B$9),IF(AND(COUNT(A358:A369)=4,COUNT(F358:F369)=4),cubic_spline(F357:F361,A357:A361,B$9),IF(AND(COUNT(A358:A369)=5,COUNT(F358:F369)=5),cubic_spline(F357:F362,A357:A362,B$9),IF(AND(COUNT(A358:A369)=6,COUNT(F358:F369)=6),cubic_spline(F357:F363,A357:A363,B$9),IF(AND(COUNT(A358:A369)=7,COUNT(F358:F369)=7),cubic_spline(F357:F364,A357:A364,B$9),IF(AND(COUNT(A358:A369)=8,COUNT(F358:F369)=8),cubic_spline(F357:F365,A357:A365,B$9),IF(AND(COUNT(A358:A369)=9,COUNT(F358:F369)=9),cubic_spline(F357:F366,A357:A366,B$9),IF(AND(COUNT(A358:A369)=10,COUNT(F358:F369)=10),cubic_spline(F357:F367,A357:A367,B$9),IF(AND(COUNT(A358:A369)=11,COUNT(F358:F369)=11),cubic_spline(F357:F368,A357:A368,B$9),IF(AND(COUNT(A358:A369)=12,COUNT(F358:F369)=12),cubic_spline(F357:F369,A357:A369,B$9),""))))))))))))</f>
        <v/>
      </c>
      <c r="L363" s="27" t="str">
        <f>IF(I363="","",B$8&amp;"-"&amp;B$9)</f>
        <v/>
      </c>
      <c r="M363" s="52" t="str">
        <f t="shared" ref="M363:M369" si="135">IF(N(J363)=0,"",J363-J362)</f>
        <v/>
      </c>
    </row>
    <row r="364" spans="1:13" x14ac:dyDescent="0.35">
      <c r="A364" s="48"/>
      <c r="B364" s="48"/>
      <c r="C364" s="49"/>
      <c r="D364" s="50"/>
      <c r="E364" s="51" t="str">
        <f t="shared" si="134"/>
        <v/>
      </c>
      <c r="F364" s="71" t="str">
        <f t="shared" si="131"/>
        <v/>
      </c>
      <c r="G364" s="69" t="str">
        <f t="shared" si="133"/>
        <v/>
      </c>
      <c r="H364" s="70" t="str">
        <f t="shared" si="132"/>
        <v/>
      </c>
      <c r="I364" s="27" t="str">
        <f>IF(N(J364)=0,"",0&amp;"-"&amp;B$10)</f>
        <v/>
      </c>
      <c r="J364" s="52" t="str">
        <f>IF(N(B$10)=0,"",IF(AND(COUNT(H358:H369)=2,COUNT(F358:F369)=2),cubic_spline(F357:F359,H357:H359,B$10),IF(AND(COUNT(H358:H369)=3,COUNT(F358:F369)=3),cubic_spline(F357:F360,H357:H360,B$10),IF(AND(COUNT(H358:H369)=4,COUNT(F358:F369)=4),cubic_spline(F357:F361,H357:H361,B$10),IF(AND(COUNT(H358:H369)=5,COUNT(F358:F369)=5),cubic_spline(F357:F362,H357:H362,B$10),IF(AND(COUNT(H358:H369)=6,COUNT(F358:F369)=6),cubic_spline(F357:F363,H357:H363,B$10),IF(AND(COUNT(H358:H369)=7,COUNT(F358:F369)=7),cubic_spline(F357:F364,H357:H364,B$10),IF(AND(COUNT(H358:H369)=8,COUNT(F358:F369)=8),cubic_spline(F357:F365,H357:H365,B$10),IF(AND(COUNT(H358:H369)=9,COUNT(F358:F369)=9),cubic_spline(F357:F366,H357:H366,B$10),IF(AND(COUNT(H358:H369)=10,COUNT(F358:F369)=10),cubic_spline(F357:F367,H357:H367,B$10),IF(AND(COUNT(H358:H369)=11,COUNT(F358:F369)=11),cubic_spline(F357:F368,H357:H368,B$10),IF(AND(COUNT(H358:H369)=12,COUNT(F358:F369)=12),cubic_spline(F357:F369,H357:H369,B$10),""))))))))))))</f>
        <v/>
      </c>
      <c r="K364" s="52" t="str">
        <f>IF(N(B$10)=0,"",IF(AND(COUNT(A358:A369)=2,COUNT(F358:F369)=2),cubic_spline(F357:F359,A357:A359,B$10),IF(AND(COUNT(A358:A369)=3,COUNT(F358:F369)=3),cubic_spline(F357:F360,A357:A360,B$10),IF(AND(COUNT(A358:A369)=4,COUNT(F358:F369)=4),cubic_spline(F357:F361,A357:A361,B$10),IF(AND(COUNT(A358:A369)=5,COUNT(F358:F369)=5),cubic_spline(F357:F362,A357:A362,B$10),IF(AND(COUNT(A358:A369)=6,COUNT(F358:F369)=6),cubic_spline(F357:F363,A357:A363,B$10),IF(AND(COUNT(A358:A369)=7,COUNT(F358:F369)=7),cubic_spline(F357:F364,A357:A364,B$10),IF(AND(COUNT(A358:A369)=8,COUNT(F358:F369)=8),cubic_spline(F357:F365,A357:A365,B$10),IF(AND(COUNT(A358:A369)=9,COUNT(F358:F369)=9),cubic_spline(F357:F366,A357:A366,B$10),IF(AND(COUNT(A358:A369)=10,COUNT(F358:F369)=10),cubic_spline(F357:F367,A357:A367,B$10),IF(AND(COUNT(A358:A369)=11,COUNT(F358:F369)=11),cubic_spline(F357:F368,A357:A368,B$10),IF(AND(COUNT(A358:A369)=12,COUNT(F358:F369)=12),cubic_spline(F357:F369,A357:A369,B$10),""))))))))))))</f>
        <v/>
      </c>
      <c r="L364" s="27" t="str">
        <f>IF(I364="","",B$9&amp;"-"&amp;B$10)</f>
        <v/>
      </c>
      <c r="M364" s="52" t="str">
        <f t="shared" si="135"/>
        <v/>
      </c>
    </row>
    <row r="365" spans="1:13" x14ac:dyDescent="0.35">
      <c r="A365" s="48"/>
      <c r="B365" s="48"/>
      <c r="C365" s="49"/>
      <c r="D365" s="50"/>
      <c r="E365" s="51" t="str">
        <f t="shared" si="134"/>
        <v/>
      </c>
      <c r="F365" s="71" t="str">
        <f t="shared" si="131"/>
        <v/>
      </c>
      <c r="G365" s="69" t="str">
        <f t="shared" si="133"/>
        <v/>
      </c>
      <c r="H365" s="70" t="str">
        <f t="shared" si="132"/>
        <v/>
      </c>
      <c r="I365" s="27" t="str">
        <f>IF(N(J365)=0,"",0&amp;"-"&amp;B$11)</f>
        <v/>
      </c>
      <c r="J365" s="52" t="str">
        <f>IF(N(B$11)=0,"",IF(AND(COUNT(H358:H369)=2,COUNT(F358:F369)=2),cubic_spline(F357:F359,H357:H359,B$11),IF(AND(COUNT(H358:H369)=3,COUNT(F358:F369)=3),cubic_spline(F357:F360,H357:H360,B$11),IF(AND(COUNT(H358:H369)=4,COUNT(F358:F369)=4),cubic_spline(F357:F361,H357:H361,B$11),IF(AND(COUNT(H358:H369)=5,COUNT(F358:F369)=5),cubic_spline(F357:F362,H357:H362,B$11),IF(AND(COUNT(H358:H369)=6,COUNT(F358:F369)=6),cubic_spline(F357:F363,H357:H363,B$11),IF(AND(COUNT(H358:H369)=7,COUNT(F358:F369)=7),cubic_spline(F357:F364,H357:H364,B$11),IF(AND(COUNT(H358:H369)=8,COUNT(F358:F369)=8),cubic_spline(F357:F365,H357:H365,B$11),IF(AND(COUNT(H358:H369)=9,COUNT(F358:F369)=9),cubic_spline(F357:F366,H357:H366,B$11),IF(AND(COUNT(H358:H369)=10,COUNT(F358:F369)=10),cubic_spline(F357:F367,H357:H367,B$11),IF(AND(COUNT(H358:H369)=11,COUNT(F358:F369)=11),cubic_spline(F357:F368,H357:H368,B$11),IF(AND(COUNT(H358:H369)=12,COUNT(F358:F369)=12),cubic_spline(F357:F369,H357:H369,B$11),""))))))))))))</f>
        <v/>
      </c>
      <c r="K365" s="52" t="str">
        <f>IF(N(B$11)=0,"",IF(AND(COUNT(A358:A369)=2,COUNT(F358:F369)=2),cubic_spline(F357:F359,A357:A359,B$11),IF(AND(COUNT(A358:A369)=3,COUNT(F358:F369)=3),cubic_spline(F357:F360,A357:A360,B$11),IF(AND(COUNT(A358:A369)=4,COUNT(F358:F369)=4),cubic_spline(F357:F361,A357:A361,B$11),IF(AND(COUNT(A358:A369)=5,COUNT(F358:F369)=5),cubic_spline(F357:F362,A357:A362,B$11),IF(AND(COUNT(A358:A369)=6,COUNT(F358:F369)=6),cubic_spline(F357:F363,A357:A363,B$11),IF(AND(COUNT(A358:A369)=7,COUNT(F358:F369)=7),cubic_spline(F357:F364,A357:A364,B$11),IF(AND(COUNT(A358:A369)=8,COUNT(F358:F369)=8),cubic_spline(F357:F365,A357:A365,B$11),IF(AND(COUNT(A358:A369)=9,COUNT(F358:F369)=9),cubic_spline(F357:F366,A357:A366,B$11),IF(AND(COUNT(A358:A369)=10,COUNT(F358:F369)=10),cubic_spline(F357:F367,A357:A367,B$11),IF(AND(COUNT(A358:A369)=11,COUNT(F358:F369)=11),cubic_spline(F357:F368,A357:A368,B$11),IF(AND(COUNT(A358:A369)=12,COUNT(F358:F369)=12),cubic_spline(F357:F369,A357:A369,B$11),""))))))))))))</f>
        <v/>
      </c>
      <c r="L365" s="27" t="str">
        <f>IF(I365="","",B$10&amp;"-"&amp;B$11)</f>
        <v/>
      </c>
      <c r="M365" s="52" t="str">
        <f t="shared" si="135"/>
        <v/>
      </c>
    </row>
    <row r="366" spans="1:13" x14ac:dyDescent="0.35">
      <c r="A366" s="48"/>
      <c r="B366" s="48"/>
      <c r="C366" s="49"/>
      <c r="D366" s="50"/>
      <c r="E366" s="51" t="str">
        <f t="shared" si="134"/>
        <v/>
      </c>
      <c r="F366" s="71" t="str">
        <f t="shared" si="131"/>
        <v/>
      </c>
      <c r="G366" s="69" t="str">
        <f t="shared" si="133"/>
        <v/>
      </c>
      <c r="H366" s="70" t="str">
        <f t="shared" si="132"/>
        <v/>
      </c>
      <c r="I366" s="27" t="str">
        <f>IF(N(J366)=0,"",0&amp;"-"&amp;B$12)</f>
        <v/>
      </c>
      <c r="J366" s="52" t="str">
        <f>IF(N(B$12)=0,"",IF(AND(COUNT(H358:H369)=2,COUNT(F358:F369)=2),cubic_spline(F357:F359,H357:H359,B$12),IF(AND(COUNT(H358:H369)=3,COUNT(F358:F369)=3),cubic_spline(F357:F360,H357:H360,B$12),IF(AND(COUNT(H358:H369)=4,COUNT(F358:F369)=4),cubic_spline(F357:F361,H357:H361,B$12),IF(AND(COUNT(H358:H369)=5,COUNT(F358:F369)=5),cubic_spline(F357:F362,H357:H362,B$12),IF(AND(COUNT(H358:H369)=6,COUNT(F358:F369)=6),cubic_spline(F357:F363,H357:H363,B$12),IF(AND(COUNT(H358:H369)=7,COUNT(F358:F369)=7),cubic_spline(F357:F364,H357:H364,B$12),IF(AND(COUNT(H358:H369)=8,COUNT(F358:F369)=8),cubic_spline(F357:F365,H357:H365,B$12),IF(AND(COUNT(H358:H369)=9,COUNT(F358:F369)=9),cubic_spline(F357:F366,H357:H366,B$12),IF(AND(COUNT(H358:H369)=10,COUNT(F358:F369)=10),cubic_spline(F357:F367,H357:H367,B$12),IF(AND(COUNT(H358:H369)=11,COUNT(F358:F369)=11),cubic_spline(F357:F368,H357:H368,B$12),IF(AND(COUNT(H358:H369)=12,COUNT(F358:F369)=12),cubic_spline(F357:F369,H357:H369,B$12),""))))))))))))</f>
        <v/>
      </c>
      <c r="K366" s="52" t="str">
        <f>IF(N(B$12)=0,"",IF(AND(COUNT(A358:A369)=2,COUNT(F358:F369)=2),cubic_spline(F357:F359,A357:A359,B$12),IF(AND(COUNT(A358:A369)=3,COUNT(F358:F369)=3),cubic_spline(F357:F360,A357:A360,B$12),IF(AND(COUNT(A358:A369)=4,COUNT(F358:F369)=4),cubic_spline(F357:F361,A357:A361,B$12),IF(AND(COUNT(A358:A369)=5,COUNT(F358:F369)=5),cubic_spline(F357:F362,A357:A362,B$12),IF(AND(COUNT(A358:A369)=6,COUNT(F358:F369)=6),cubic_spline(F357:F363,A357:A363,B$12),IF(AND(COUNT(A358:A369)=7,COUNT(F358:F369)=7),cubic_spline(F357:F364,A357:A364,B$12),IF(AND(COUNT(A358:A369)=8,COUNT(F358:F369)=8),cubic_spline(F357:F365,A357:A365,B$12),IF(AND(COUNT(A358:A369)=9,COUNT(F358:F369)=9),cubic_spline(F357:F366,A357:A366,B$12),IF(AND(COUNT(A358:A369)=10,COUNT(F358:F369)=10),cubic_spline(F357:F367,A357:A367,B$12),IF(AND(COUNT(A358:A369)=11,COUNT(F358:F369)=11),cubic_spline(F357:F368,A357:A368,B$12),IF(AND(COUNT(A358:A369)=12,COUNT(F358:F369)=12),cubic_spline(F357:F369,A357:A369,B$12),""))))))))))))</f>
        <v/>
      </c>
      <c r="L366" s="27" t="str">
        <f>IF(I366="","",B$11&amp;"-"&amp;B$12)</f>
        <v/>
      </c>
      <c r="M366" s="52" t="str">
        <f t="shared" si="135"/>
        <v/>
      </c>
    </row>
    <row r="367" spans="1:13" x14ac:dyDescent="0.35">
      <c r="A367" s="48"/>
      <c r="B367" s="48"/>
      <c r="C367" s="49"/>
      <c r="D367" s="50"/>
      <c r="E367" s="51" t="str">
        <f t="shared" si="134"/>
        <v/>
      </c>
      <c r="F367" s="71" t="str">
        <f t="shared" si="131"/>
        <v/>
      </c>
      <c r="G367" s="69" t="str">
        <f t="shared" si="133"/>
        <v/>
      </c>
      <c r="H367" s="70" t="str">
        <f t="shared" si="132"/>
        <v/>
      </c>
      <c r="I367" s="27" t="str">
        <f>IF(N(J367)=0,"",0&amp;"-"&amp;B$13)</f>
        <v/>
      </c>
      <c r="J367" s="52" t="str">
        <f>IF(N(B$13)=0,"",IF(AND(COUNT(H358:H369)=2,COUNT(F358:F369)=2),cubic_spline(F357:F359,H357:H359,B$13),IF(AND(COUNT(H358:H369)=3,COUNT(F358:F369)=3),cubic_spline(F357:F360,H357:H360,B$13),IF(AND(COUNT(H358:H369)=4,COUNT(F358:F369)=4),cubic_spline(F357:F361,H357:H361,B$13),IF(AND(COUNT(H358:H369)=5,COUNT(F358:F369)=5),cubic_spline(F357:F362,H357:H362,B$13),IF(AND(COUNT(H358:H369)=6,COUNT(F358:F369)=6),cubic_spline(F357:F363,H357:H363,B$13),IF(AND(COUNT(H358:H369)=7,COUNT(F358:F369)=7),cubic_spline(F357:F364,H357:H364,B$13),IF(AND(COUNT(H358:H369)=8,COUNT(F358:F369)=8),cubic_spline(F357:F365,H357:H365,B$13),IF(AND(COUNT(H358:H369)=9,COUNT(F358:F369)=9),cubic_spline(F357:F366,H357:H366,B$13),IF(AND(COUNT(H358:H369)=10,COUNT(F358:F369)=10),cubic_spline(F357:F367,H357:H367,B$13),IF(AND(COUNT(H358:H369)=11,COUNT(F358:F369)=11),cubic_spline(F357:F368,H357:H368,B$13),IF(AND(COUNT(H358:H369)=12,COUNT(F358:F369)=12),cubic_spline(F357:F369,H357:H369,B$13),""))))))))))))</f>
        <v/>
      </c>
      <c r="K367" s="52" t="str">
        <f>IF(N(B$13)=0,"",IF(AND(COUNT(A358:A369)=2,COUNT(F358:F369)=2),cubic_spline(F357:F359,A357:A359,B$13),IF(AND(COUNT(A358:A369)=3,COUNT(F358:F369)=3),cubic_spline(F357:F360,A357:A360,B$13),IF(AND(COUNT(A358:A369)=4,COUNT(F358:F369)=4),cubic_spline(F357:F361,A357:A361,B$13),IF(AND(COUNT(A358:A369)=5,COUNT(F358:F369)=5),cubic_spline(F357:F362,A357:A362,B$13),IF(AND(COUNT(A358:A369)=6,COUNT(F358:F369)=6),cubic_spline(F357:F363,A357:A363,B$13),IF(AND(COUNT(A358:A369)=7,COUNT(F358:F369)=7),cubic_spline(F357:F364,A357:A364,B$13),IF(AND(COUNT(A358:A369)=8,COUNT(F358:F369)=8),cubic_spline(F357:F365,A357:A365,B$13),IF(AND(COUNT(A358:A369)=9,COUNT(F358:F369)=9),cubic_spline(F357:F366,A357:A366,B$13),IF(AND(COUNT(A358:A369)=10,COUNT(F358:F369)=10),cubic_spline(F357:F367,A357:A367,B$13),IF(AND(COUNT(A358:A369)=11,COUNT(F358:F369)=11),cubic_spline(F357:F368,A357:A368,B$13),IF(AND(COUNT(A358:A369)=12,COUNT(F358:F369)=12),cubic_spline(F357:F369,A357:A369,B$13),""))))))))))))</f>
        <v/>
      </c>
      <c r="L367" s="27" t="str">
        <f>IF(I367="","",B$12&amp;"-"&amp;B$13)</f>
        <v/>
      </c>
      <c r="M367" s="52" t="str">
        <f t="shared" si="135"/>
        <v/>
      </c>
    </row>
    <row r="368" spans="1:13" x14ac:dyDescent="0.35">
      <c r="A368" s="48"/>
      <c r="B368" s="48"/>
      <c r="C368" s="49"/>
      <c r="D368" s="50"/>
      <c r="E368" s="51" t="str">
        <f t="shared" si="134"/>
        <v/>
      </c>
      <c r="F368" s="71" t="str">
        <f t="shared" si="131"/>
        <v/>
      </c>
      <c r="G368" s="69" t="str">
        <f t="shared" si="133"/>
        <v/>
      </c>
      <c r="H368" s="70" t="str">
        <f t="shared" si="132"/>
        <v/>
      </c>
      <c r="I368" s="27" t="str">
        <f>IF(N(J368)=0,"",0&amp;"-"&amp;B$14)</f>
        <v/>
      </c>
      <c r="J368" s="52" t="str">
        <f>IF(N(B$14)=0,"",IF(AND(COUNT(H358:H369)=2,COUNT(F358:F369)=2),cubic_spline(F357:F359,H357:H359,B$14),IF(AND(COUNT(H358:H369)=3,COUNT(F358:F369)=3),cubic_spline(F357:F360,H357:H360,B$14),IF(AND(COUNT(H358:H369)=4,COUNT(F358:F369)=4),cubic_spline(F357:F361,H357:H361,B$14),IF(AND(COUNT(H358:H369)=5,COUNT(F358:F369)=5),cubic_spline(F357:F362,H357:H362,B$14),IF(AND(COUNT(H358:H369)=6,COUNT(F358:F369)=6),cubic_spline(F357:F363,H357:H363,B$14),IF(AND(COUNT(H358:H369)=7,COUNT(F358:F369)=7),cubic_spline(F357:F364,H357:H364,B$14),IF(AND(COUNT(H358:H369)=8,COUNT(F358:F369)=8),cubic_spline(F357:F365,H357:H365,B$14),IF(AND(COUNT(H358:H369)=9,COUNT(F358:F369)=9),cubic_spline(F357:F366,H357:H366,B$14),IF(AND(COUNT(H358:H369)=10,COUNT(F358:F369)=10),cubic_spline(F357:F367,H357:H367,B$14),IF(AND(COUNT(H358:H369)=11,COUNT(F358:F369)=11),cubic_spline(F357:F368,H357:H368,B$14),IF(AND(COUNT(H358:H369)=12,COUNT(F358:F369)=12),cubic_spline(F357:F369,H357:H369,B$14),""))))))))))))</f>
        <v/>
      </c>
      <c r="K368" s="52" t="str">
        <f>IF(N(B$14)=0,"",IF(AND(COUNT(A358:A369)=2,COUNT(F358:F369)=2),cubic_spline(F357:F359,A357:A359,B$14),IF(AND(COUNT(A358:A369)=3,COUNT(F358:F369)=3),cubic_spline(F357:F360,A357:A360,B$14),IF(AND(COUNT(A358:A369)=4,COUNT(F358:F369)=4),cubic_spline(F357:F361,A357:A361,B$14),IF(AND(COUNT(A358:A369)=5,COUNT(F358:F369)=5),cubic_spline(F357:F362,A357:A362,B$14),IF(AND(COUNT(A358:A369)=6,COUNT(F358:F369)=6),cubic_spline(F357:F363,A357:A363,B$14),IF(AND(COUNT(A358:A369)=7,COUNT(F358:F369)=7),cubic_spline(F357:F364,A357:A364,B$14),IF(AND(COUNT(A358:A369)=8,COUNT(F358:F369)=8),cubic_spline(F357:F365,A357:A365,B$14),IF(AND(COUNT(A358:A369)=9,COUNT(F358:F369)=9),cubic_spline(F357:F366,A357:A366,B$14),IF(AND(COUNT(A358:A369)=10,COUNT(F358:F369)=10),cubic_spline(F357:F367,A357:A367,B$14),IF(AND(COUNT(A358:A369)=11,COUNT(F358:F369)=11),cubic_spline(F357:F368,A357:A368,B$14),IF(AND(COUNT(A358:A369)=12,COUNT(F358:F369)=12),cubic_spline(F357:F369,A357:A369,B$14),""))))))))))))</f>
        <v/>
      </c>
      <c r="L368" s="27" t="str">
        <f>IF(I368="","",B$13&amp;"-"&amp;B$14)</f>
        <v/>
      </c>
      <c r="M368" s="52" t="str">
        <f t="shared" si="135"/>
        <v/>
      </c>
    </row>
    <row r="369" spans="1:13" x14ac:dyDescent="0.35">
      <c r="A369" s="48"/>
      <c r="B369" s="48"/>
      <c r="C369" s="49"/>
      <c r="D369" s="50"/>
      <c r="E369" s="51" t="str">
        <f t="shared" si="134"/>
        <v/>
      </c>
      <c r="F369" s="71" t="str">
        <f t="shared" si="131"/>
        <v/>
      </c>
      <c r="G369" s="69" t="str">
        <f t="shared" si="133"/>
        <v/>
      </c>
      <c r="H369" s="70" t="str">
        <f t="shared" si="132"/>
        <v/>
      </c>
      <c r="I369" s="27" t="str">
        <f>IF(N(J369)=0,"",0&amp;"-"&amp;B$15)</f>
        <v/>
      </c>
      <c r="J369" s="52" t="str">
        <f>IF(N(B$15)=0,"",IF(AND(COUNT(H358:H369)=2,COUNT(F358:F369)=2),cubic_spline(F357:F359,H357:H359,B$15),IF(AND(COUNT(H358:H369)=3,COUNT(F358:F369)=3),cubic_spline(F357:F360,H357:H360,B$15),IF(AND(COUNT(H358:H369)=4,COUNT(F358:F369)=4),cubic_spline(F357:F361,H357:H361,B$15),IF(AND(COUNT(H358:H369)=5,COUNT(F358:F369)=5),cubic_spline(F357:F362,H357:H362,B$15),IF(AND(COUNT(H358:H369)=6,COUNT(F358:F369)=6),cubic_spline(F357:F363,H357:H363,B$15),IF(AND(COUNT(H358:H369)=7,COUNT(F358:F369)=7),cubic_spline(F357:F364,H357:H364,B$15),IF(AND(COUNT(H358:H369)=8,COUNT(F358:F369)=8),cubic_spline(F357:F365,H357:H365,B$15),IF(AND(COUNT(H358:H369)=9,COUNT(F358:F369)=9),cubic_spline(F357:F366,H357:H366,B$15),IF(AND(COUNT(H358:H369)=10,COUNT(F358:F369)=10),cubic_spline(F357:F367,H357:H367,B$15),IF(AND(COUNT(H358:H369)=11,COUNT(F358:F369)=11),cubic_spline(F357:F368,H357:H368,B$15),IF(AND(COUNT(H358:H369)=12,COUNT(F358:F369)=12),cubic_spline(F357:F369,H357:H369,B$15),""))))))))))))</f>
        <v/>
      </c>
      <c r="K369" s="52" t="str">
        <f>IF(N(B$15)=0,"",IF(AND(COUNT(A358:A369)=2,COUNT(F358:F369)=2),cubic_spline(F357:F359,A357:A359,B$15),IF(AND(COUNT(A358:A369)=3,COUNT(F358:F369)=3),cubic_spline(F357:F360,A357:A360,B$15),IF(AND(COUNT(A358:A369)=4,COUNT(F358:F369)=4),cubic_spline(F357:F361,A357:A361,B$15),IF(AND(COUNT(A358:A369)=5,COUNT(F358:F369)=5),cubic_spline(F357:F362,A357:A362,B$15),IF(AND(COUNT(A358:A369)=6,COUNT(F358:F369)=6),cubic_spline(F357:F363,A357:A363,B$15),IF(AND(COUNT(A358:A369)=7,COUNT(F358:F369)=7),cubic_spline(F357:F364,A357:A364,B$15),IF(AND(COUNT(A358:A369)=8,COUNT(F358:F369)=8),cubic_spline(F357:F365,A357:A365,B$15),IF(AND(COUNT(A358:A369)=9,COUNT(F358:F369)=9),cubic_spline(F357:F366,A357:A366,B$15),IF(AND(COUNT(A358:A369)=10,COUNT(F358:F369)=10),cubic_spline(F357:F367,A357:A367,B$15),IF(AND(COUNT(A358:A369)=11,COUNT(F358:F369)=11),cubic_spline(F357:F368,A357:A368,B$15),IF(AND(COUNT(A358:A369)=12,COUNT(F358:F369)=12),cubic_spline(F357:F369,A357:A369,B$15),""))))))))))))</f>
        <v/>
      </c>
      <c r="L369" s="27" t="str">
        <f>IF(I369="","",B$14&amp;"-"&amp;B$15)</f>
        <v/>
      </c>
      <c r="M369" s="52" t="str">
        <f t="shared" si="135"/>
        <v/>
      </c>
    </row>
    <row r="370" spans="1:13" ht="5.15" customHeight="1" x14ac:dyDescent="0.35">
      <c r="A370" s="47"/>
      <c r="B370" s="47"/>
      <c r="C370" s="47"/>
      <c r="D370" s="53"/>
      <c r="E370" s="54"/>
      <c r="F370" s="55"/>
      <c r="G370" s="72"/>
      <c r="H370" s="73"/>
      <c r="I370" s="47"/>
      <c r="J370" s="57"/>
      <c r="K370" s="57"/>
      <c r="L370" s="55"/>
      <c r="M370" s="57"/>
    </row>
    <row r="371" spans="1:13" x14ac:dyDescent="0.35">
      <c r="A371" s="48"/>
      <c r="B371" s="48"/>
      <c r="C371" s="49"/>
      <c r="D371" s="50"/>
      <c r="E371" s="51" t="str">
        <f>IF(N(C371)=0,"",C371/PI()/($D$1/2)^2/$D$2*10000)</f>
        <v/>
      </c>
      <c r="F371" s="68" t="str">
        <f t="shared" ref="F371:F382" si="136">IF(N(E371)=0,"",(N(E371)+N(F370)))</f>
        <v/>
      </c>
      <c r="G371" s="69" t="str">
        <f>IF(OR(N(D371)=0,N(E371)=0),"",(E371*D371)/1000)</f>
        <v/>
      </c>
      <c r="H371" s="70" t="str">
        <f t="shared" ref="H371:H382" si="137">IF(N(G371)=0,"",(N(G371)+N(H370)))</f>
        <v/>
      </c>
      <c r="I371" s="27" t="str">
        <f>IF(N(J371)=0,"",0&amp;"-"&amp;B$4)</f>
        <v/>
      </c>
      <c r="J371" s="52" t="str">
        <f>IF(N(B$4)=0,"",IF(AND(COUNT(H371:H382)=2,COUNT(F371:F382)=2),cubic_spline(F370:F372,H370:H372,B$4),IF(AND(COUNT(H371:H382)=3,COUNT(F371:F382)=3),cubic_spline(F370:F373,H370:H373,B$4),IF(AND(COUNT(H371:H382)=4,COUNT(F371:F382)=4),cubic_spline(F370:F374,H370:H374,B$4),IF(AND(COUNT(H371:H382)=5,COUNT(F371:F382)=5),cubic_spline(F370:F375,H370:H375,B$4),IF(AND(COUNT(H371:H382)=6,COUNT(F371:F382)=6),cubic_spline(F370:F376,H370:H376,B$4),IF(AND(COUNT(H371:H382)=7,COUNT(F371:F382)=7),cubic_spline(F370:F377,H370:H377,B$4),IF(AND(COUNT(H371:H382)=8,COUNT(F371:F382)=8),cubic_spline(F370:F378,H370:H378,B$4),IF(AND(COUNT(H371:H382)=9,COUNT(F371:F382)=9),cubic_spline(F370:F379,H370:H379,B$4),IF(AND(COUNT(H371:H382)=10,COUNT(F371:F382)=10),cubic_spline(F370:F380,H370:H380,B$4),IF(AND(COUNT(H371:H382)=11,COUNT(F371:F382)=11),cubic_spline(F370:F381,H370:H381,B$4),IF(AND(COUNT(H371:H382)=12,COUNT(F371:F382)=12),cubic_spline(F370:F382,H370:H382,B$4),""))))))))))))</f>
        <v/>
      </c>
      <c r="K371" s="52" t="str">
        <f>IF(N(B$4)=0,"",IF(AND(COUNT(A371:A382)=2,COUNT(F371:F382)=2),cubic_spline(F370:F372,A370:A372,B$4),IF(AND(COUNT(A371:A382)=3,COUNT(F371:F382)=3),cubic_spline(F370:F373,A370:A373,B$4),IF(AND(COUNT(A371:A382)=4,COUNT(F371:F382)=4),cubic_spline(F370:F374,A370:A374,B$4),IF(AND(COUNT(A371:A382)=5,COUNT(F371:F382)=5),cubic_spline(F370:F375,A370:A375,B$4),IF(AND(COUNT(A371:A382)=6,COUNT(F371:F382)=6),cubic_spline(F370:F376,A370:A376,B$4),IF(AND(COUNT(A371:A382)=7,COUNT(F371:F382)=7),cubic_spline(F370:F377,A370:A377,B$4),IF(AND(COUNT(A371:A382)=8,COUNT(F371:F382)=8),cubic_spline(F370:F378,A370:A378,B$4),IF(AND(COUNT(A371:A382)=9,COUNT(F371:F382)=9),cubic_spline(F370:F379,A370:A379,B$4),IF(AND(COUNT(A371:A382)=10,COUNT(F371:F382)=10),cubic_spline(F370:F380,A370:A380,B$4),IF(AND(COUNT(A371:A382)=11,COUNT(F371:F382)=11),cubic_spline(F370:F381,A370:A381,B$4),IF(AND(COUNT(A371:A382)=12,COUNT(F371:F382)=12),cubic_spline(F370:F382,A370:A382,B$4),""))))))))))))</f>
        <v/>
      </c>
      <c r="L371" s="27" t="str">
        <f>IF(I371="","",0&amp;"-"&amp;B$4)</f>
        <v/>
      </c>
      <c r="M371" s="52" t="str">
        <f>IF(N(J371)=0,"",J371-J370)</f>
        <v/>
      </c>
    </row>
    <row r="372" spans="1:13" x14ac:dyDescent="0.35">
      <c r="A372" s="48"/>
      <c r="B372" s="48"/>
      <c r="C372" s="49"/>
      <c r="D372" s="50"/>
      <c r="E372" s="51" t="str">
        <f>IF(N(C372)=0,"",C372/PI()/($D$1/2)^2/$D$2*10000)</f>
        <v/>
      </c>
      <c r="F372" s="68" t="str">
        <f t="shared" si="136"/>
        <v/>
      </c>
      <c r="G372" s="69" t="str">
        <f t="shared" ref="G372:G382" si="138">IF(OR(N(D372)=0,N(E372)=0),"",(E372*D372)/1000)</f>
        <v/>
      </c>
      <c r="H372" s="70" t="str">
        <f t="shared" si="137"/>
        <v/>
      </c>
      <c r="I372" s="27" t="str">
        <f>IF(N(J372)=0,"",0&amp;"-"&amp;B$5)</f>
        <v/>
      </c>
      <c r="J372" s="52" t="str">
        <f>IF(N(B$5)=0,"",IF(AND(COUNT(H371:H382)=2,COUNT(F371:F382)=2),cubic_spline(F370:F372,H370:H372,B$5),IF(AND(COUNT(H371:H382)=3,COUNT(F371:F382)=3),cubic_spline(F370:F373,H370:H373,B$5),IF(AND(COUNT(H371:H382)=4,COUNT(F371:F382)=4),cubic_spline(F370:F374,H370:H374,B$5),IF(AND(COUNT(H371:H382)=5,COUNT(F371:F382)=5),cubic_spline(F370:F375,H370:H375,B$5),IF(AND(COUNT(H371:H382)=6,COUNT(F371:F382)=6),cubic_spline(F370:F376,H370:H376,B$5),IF(AND(COUNT(H371:H382)=7,COUNT(F371:F382)=7),cubic_spline(F370:F377,H370:H377,B$5),IF(AND(COUNT(H371:H382)=8,COUNT(F371:F382)=8),cubic_spline(F370:F378,H370:H378,B$5),IF(AND(COUNT(H371:H382)=9,COUNT(F371:F382)=9),cubic_spline(F370:F379,H370:H379,B$5),IF(AND(COUNT(H371:H382)=10,COUNT(F371:F382)=10),cubic_spline(F370:F380,H370:H380,B$5),IF(AND(COUNT(H371:H382)=11,COUNT(F371:F382)=11),cubic_spline(F370:F381,H370:H381,B$5),IF(AND(COUNT(H371:H382)=12,COUNT(F371:F382)=12),cubic_spline(F370:F382,H370:H382,B$5),""))))))))))))</f>
        <v/>
      </c>
      <c r="K372" s="52" t="str">
        <f>IF(N(B$5)=0,"",IF(AND(COUNT(A371:A382)=2,COUNT(F371:F382)=2),cubic_spline(F370:F372,A370:A372,B$5),IF(AND(COUNT(A371:A382)=3,COUNT(F371:F382)=3),cubic_spline(F370:F373,A370:A373,B$5),IF(AND(COUNT(A371:A382)=4,COUNT(F371:F382)=4),cubic_spline(F370:F374,A370:A374,B$5),IF(AND(COUNT(A371:A382)=5,COUNT(F371:F382)=5),cubic_spline(F370:F375,A370:A375,B$5),IF(AND(COUNT(A371:A382)=6,COUNT(F371:F382)=6),cubic_spline(F370:F376,A370:A376,B$5),IF(AND(COUNT(A371:A382)=7,COUNT(F371:F382)=7),cubic_spline(F370:F377,A370:A377,B$5),IF(AND(COUNT(A371:A382)=8,COUNT(F371:F382)=8),cubic_spline(F370:F378,A370:A378,B$5),IF(AND(COUNT(A371:A382)=9,COUNT(F371:F382)=9),cubic_spline(F370:F379,A370:A379,B$5),IF(AND(COUNT(A371:A382)=10,COUNT(F371:F382)=10),cubic_spline(F370:F380,A370:A380,B$5),IF(AND(COUNT(A371:A382)=11,COUNT(F371:F382)=11),cubic_spline(F370:F381,A370:A381,B$5),IF(AND(COUNT(A371:A382)=12,COUNT(F371:F382)=12),cubic_spline(F370:F382,A370:A382,B$5),""))))))))))))</f>
        <v/>
      </c>
      <c r="L372" s="27" t="str">
        <f>IF(I372="","",B$4&amp;"-"&amp;B$5)</f>
        <v/>
      </c>
      <c r="M372" s="52" t="str">
        <f>IF(N(J372)=0,"",J372-J371)</f>
        <v/>
      </c>
    </row>
    <row r="373" spans="1:13" x14ac:dyDescent="0.35">
      <c r="A373" s="48"/>
      <c r="B373" s="48"/>
      <c r="C373" s="49"/>
      <c r="D373" s="50"/>
      <c r="E373" s="51" t="str">
        <f>IF(N(C373)=0,"",C373/PI()/($D$1/2)^2/$D$2*10000)</f>
        <v/>
      </c>
      <c r="F373" s="68" t="str">
        <f t="shared" si="136"/>
        <v/>
      </c>
      <c r="G373" s="69" t="str">
        <f t="shared" si="138"/>
        <v/>
      </c>
      <c r="H373" s="70" t="str">
        <f t="shared" si="137"/>
        <v/>
      </c>
      <c r="I373" s="27" t="str">
        <f>IF(N(J373)=0,"",0&amp;"-"&amp;B$6)</f>
        <v/>
      </c>
      <c r="J373" s="52" t="str">
        <f>IF(N(B$6)=0,"",IF(AND(COUNT(H371:H382)=2,COUNT(F371:F382)=2),cubic_spline(F370:F372,H370:H372,B$6),IF(AND(COUNT(H371:H382)=3,COUNT(F371:F382)=3),cubic_spline(F370:F373,H370:H373,B$6),IF(AND(COUNT(H371:H382)=4,COUNT(F371:F382)=4),cubic_spline(F370:F374,H370:H374,B$6),IF(AND(COUNT(H371:H382)=5,COUNT(F371:F382)=5),cubic_spline(F370:F375,H370:H375,B$6),IF(AND(COUNT(H371:H382)=6,COUNT(F371:F382)=6),cubic_spline(F370:F376,H370:H376,B$6),IF(AND(COUNT(H371:H382)=7,COUNT(F371:F382)=7),cubic_spline(F370:F377,H370:H377,B$6),IF(AND(COUNT(H371:H382)=8,COUNT(F371:F382)=8),cubic_spline(F370:F378,H370:H378,B$6),IF(AND(COUNT(H371:H382)=9,COUNT(F371:F382)=9),cubic_spline(F370:F379,H370:H379,B$6),IF(AND(COUNT(H371:H382)=10,COUNT(F371:F382)=10),cubic_spline(F370:F380,H370:H380,B$6),IF(AND(COUNT(H371:H382)=11,COUNT(F371:F382)=11),cubic_spline(F370:F381,H370:H381,B$6),IF(AND(COUNT(H371:H382)=12,COUNT(F371:F382)=12),cubic_spline(F370:F382,H370:H382,B$6),""))))))))))))</f>
        <v/>
      </c>
      <c r="K373" s="52" t="str">
        <f>IF(N(B$6)=0,"",IF(AND(COUNT(A371:A382)=2,COUNT(F371:F382)=2),cubic_spline(F370:F372,A370:A372,B$6),IF(AND(COUNT(A371:A382)=3,COUNT(F371:F382)=3),cubic_spline(F370:F373,A370:A373,B$6),IF(AND(COUNT(A371:A382)=4,COUNT(F371:F382)=4),cubic_spline(F370:F374,A370:A374,B$6),IF(AND(COUNT(A371:A382)=5,COUNT(F371:F382)=5),cubic_spline(F370:F375,A370:A375,B$6),IF(AND(COUNT(A371:A382)=6,COUNT(F371:F382)=6),cubic_spline(F370:F376,A370:A376,B$6),IF(AND(COUNT(A371:A382)=7,COUNT(F371:F382)=7),cubic_spline(F370:F377,A370:A377,B$6),IF(AND(COUNT(A371:A382)=8,COUNT(F371:F382)=8),cubic_spline(F370:F378,A370:A378,B$6),IF(AND(COUNT(A371:A382)=9,COUNT(F371:F382)=9),cubic_spline(F370:F379,A370:A379,B$6),IF(AND(COUNT(A371:A382)=10,COUNT(F371:F382)=10),cubic_spline(F370:F380,A370:A380,B$6),IF(AND(COUNT(A371:A382)=11,COUNT(F371:F382)=11),cubic_spline(F370:F381,A370:A381,B$6),IF(AND(COUNT(A371:A382)=12,COUNT(F371:F382)=12),cubic_spline(F370:F382,A370:A382,B$6),""))))))))))))</f>
        <v/>
      </c>
      <c r="L373" s="27" t="str">
        <f>IF(I373="","",B$5&amp;"-"&amp;B$6)</f>
        <v/>
      </c>
      <c r="M373" s="52" t="str">
        <f>IF(N(J373)=0,"",J373-J372)</f>
        <v/>
      </c>
    </row>
    <row r="374" spans="1:13" x14ac:dyDescent="0.35">
      <c r="A374" s="48"/>
      <c r="B374" s="48"/>
      <c r="C374" s="49"/>
      <c r="D374" s="50"/>
      <c r="E374" s="51" t="str">
        <f>IF(N(C374)=0,"",C374/PI()/($D$1/2)^2/$D$2*10000)</f>
        <v/>
      </c>
      <c r="F374" s="68" t="str">
        <f t="shared" si="136"/>
        <v/>
      </c>
      <c r="G374" s="69" t="str">
        <f t="shared" si="138"/>
        <v/>
      </c>
      <c r="H374" s="70" t="str">
        <f t="shared" si="137"/>
        <v/>
      </c>
      <c r="I374" s="27" t="str">
        <f>IF(N(J374)=0,"",0&amp;"-"&amp;B$7)</f>
        <v/>
      </c>
      <c r="J374" s="52" t="str">
        <f>IF(N(B$7)=0,"",IF(AND(COUNT(H371:H382)=2,COUNT(F371:F382)=2),cubic_spline(F370:F372,H370:H372,B$7),IF(AND(COUNT(H371:H382)=3,COUNT(F371:F382)=3),cubic_spline(F370:F373,H370:H373,B$7),IF(AND(COUNT(H371:H382)=4,COUNT(F371:F382)=4),cubic_spline(F370:F374,H370:H374,B$7),IF(AND(COUNT(H371:H382)=5,COUNT(F371:F382)=5),cubic_spline(F370:F375,H370:H375,B$7),IF(AND(COUNT(H371:H382)=6,COUNT(F371:F382)=6),cubic_spline(F370:F376,H370:H376,B$7),IF(AND(COUNT(H371:H382)=7,COUNT(F371:F382)=7),cubic_spline(F370:F377,H370:H377,B$7),IF(AND(COUNT(H371:H382)=8,COUNT(F371:F382)=8),cubic_spline(F370:F378,H370:H378,B$7),IF(AND(COUNT(H371:H382)=9,COUNT(F371:F382)=9),cubic_spline(F370:F379,H370:H379,B$7),IF(AND(COUNT(H371:H382)=10,COUNT(F371:F382)=10),cubic_spline(F370:F380,H370:H380,B$7),IF(AND(COUNT(H371:H382)=11,COUNT(F371:F382)=11),cubic_spline(F370:F381,H370:H381,B$7),IF(AND(COUNT(H371:H382)=12,COUNT(F371:F382)=12),cubic_spline(F370:F382,H370:H382,B$7),""))))))))))))</f>
        <v/>
      </c>
      <c r="K374" s="52" t="str">
        <f>IF(N(B$7)=0,"",IF(AND(COUNT(A371:A382)=2,COUNT(F371:F382)=2),cubic_spline(F370:F372,A370:A372,B$7),IF(AND(COUNT(A371:A382)=3,COUNT(F371:F382)=3),cubic_spline(F370:F373,A370:A373,B$7),IF(AND(COUNT(A371:A382)=4,COUNT(F371:F382)=4),cubic_spline(F370:F374,A370:A374,B$7),IF(AND(COUNT(A371:A382)=5,COUNT(F371:F382)=5),cubic_spline(F370:F375,A370:A375,B$7),IF(AND(COUNT(A371:A382)=6,COUNT(F371:F382)=6),cubic_spline(F370:F376,A370:A376,B$7),IF(AND(COUNT(A371:A382)=7,COUNT(F371:F382)=7),cubic_spline(F370:F377,A370:A377,B$7),IF(AND(COUNT(A371:A382)=8,COUNT(F371:F382)=8),cubic_spline(F370:F378,A370:A378,B$7),IF(AND(COUNT(A371:A382)=9,COUNT(F371:F382)=9),cubic_spline(F370:F379,A370:A379,B$7),IF(AND(COUNT(A371:A382)=10,COUNT(F371:F382)=10),cubic_spline(F370:F380,A370:A380,B$7),IF(AND(COUNT(A371:A382)=11,COUNT(F371:F382)=11),cubic_spline(F370:F381,A370:A381,B$7),IF(AND(COUNT(A371:A382)=12,COUNT(F371:F382)=12),cubic_spline(F370:F382,A370:A382,B$7),""))))))))))))</f>
        <v/>
      </c>
      <c r="L374" s="27" t="str">
        <f>IF(I374="","",B$6&amp;"-"&amp;B$7)</f>
        <v/>
      </c>
      <c r="M374" s="52" t="str">
        <f>IF(N(J374)=0,"",J374-J373)</f>
        <v/>
      </c>
    </row>
    <row r="375" spans="1:13" x14ac:dyDescent="0.35">
      <c r="A375" s="48"/>
      <c r="B375" s="48"/>
      <c r="C375" s="49"/>
      <c r="D375" s="50"/>
      <c r="E375" s="51" t="str">
        <f t="shared" ref="E375:E382" si="139">IF(N(C375)=0,"",C375/PI()/($D$1/2)^2/$D$2*10000)</f>
        <v/>
      </c>
      <c r="F375" s="71" t="str">
        <f t="shared" si="136"/>
        <v/>
      </c>
      <c r="G375" s="69" t="str">
        <f t="shared" si="138"/>
        <v/>
      </c>
      <c r="H375" s="70" t="str">
        <f t="shared" si="137"/>
        <v/>
      </c>
      <c r="I375" s="27" t="str">
        <f>IF(N(J375)=0,"",0&amp;"-"&amp;B$8)</f>
        <v/>
      </c>
      <c r="J375" s="52" t="str">
        <f>IF(N(B$8)=0,"",IF(AND(COUNT(H371:H382)=2,COUNT(F371:F382)=2),cubic_spline(F370:F372,H370:H372,B$8),IF(AND(COUNT(H371:H382)=3,COUNT(F371:F382)=3),cubic_spline(F370:F373,H370:H373,B$8),IF(AND(COUNT(H371:H382)=4,COUNT(F371:F382)=4),cubic_spline(F370:F374,H370:H374,B$8),IF(AND(COUNT(H371:H382)=5,COUNT(F371:F382)=5),cubic_spline(F370:F375,H370:H375,B$8),IF(AND(COUNT(H371:H382)=6,COUNT(F371:F382)=6),cubic_spline(F370:F376,H370:H376,B$8),IF(AND(COUNT(H371:H382)=7,COUNT(F371:F382)=7),cubic_spline(F370:F377,H370:H377,B$8),IF(AND(COUNT(H371:H382)=8,COUNT(F371:F382)=8),cubic_spline(F370:F378,H370:H378,B$8),IF(AND(COUNT(H371:H382)=9,COUNT(F371:F382)=9),cubic_spline(F370:F379,H370:H379,B$8),IF(AND(COUNT(H371:H382)=10,COUNT(F371:F382)=10),cubic_spline(F370:F380,H370:H380,B$8),IF(AND(COUNT(H371:H382)=11,COUNT(F371:F382)=11),cubic_spline(F370:F381,H370:H381,B$8),IF(AND(COUNT(H371:H382)=12,COUNT(F371:F382)=12),cubic_spline(F370:F382,H370:H382,B$8),""))))))))))))</f>
        <v/>
      </c>
      <c r="K375" s="52" t="str">
        <f>IF(N(B$8)=0,"",IF(AND(COUNT(A371:A382)=2,COUNT(F371:F382)=2),cubic_spline(F370:F372,A370:A372,B$8),IF(AND(COUNT(A371:A382)=3,COUNT(F371:F382)=3),cubic_spline(F370:F373,A370:A373,B$8),IF(AND(COUNT(A371:A382)=4,COUNT(F371:F382)=4),cubic_spline(F370:F374,A370:A374,B$8),IF(AND(COUNT(A371:A382)=5,COUNT(F371:F382)=5),cubic_spline(F370:F375,A370:A375,B$8),IF(AND(COUNT(A371:A382)=6,COUNT(F371:F382)=6),cubic_spline(F370:F376,A370:A376,B$8),IF(AND(COUNT(A371:A382)=7,COUNT(F371:F382)=7),cubic_spline(F370:F377,A370:A377,B$8),IF(AND(COUNT(A371:A382)=8,COUNT(F371:F382)=8),cubic_spline(F370:F378,A370:A378,B$8),IF(AND(COUNT(A371:A382)=9,COUNT(F371:F382)=9),cubic_spline(F370:F379,A370:A379,B$8),IF(AND(COUNT(A371:A382)=10,COUNT(F371:F382)=10),cubic_spline(F370:F380,A370:A380,B$8),IF(AND(COUNT(A371:A382)=11,COUNT(F371:F382)=11),cubic_spline(F370:F381,A370:A381,B$8),IF(AND(COUNT(A371:A382)=12,COUNT(F371:F382)=12),cubic_spline(F370:F382,A370:A382,B$8),""))))))))))))</f>
        <v/>
      </c>
      <c r="L375" s="27" t="str">
        <f>IF(I375="","",B$7&amp;"-"&amp;B$8)</f>
        <v/>
      </c>
      <c r="M375" s="52" t="str">
        <f>IF(N(J375)=0,"",J375-J374)</f>
        <v/>
      </c>
    </row>
    <row r="376" spans="1:13" x14ac:dyDescent="0.35">
      <c r="A376" s="48"/>
      <c r="B376" s="48"/>
      <c r="C376" s="49"/>
      <c r="D376" s="50"/>
      <c r="E376" s="51" t="str">
        <f t="shared" si="139"/>
        <v/>
      </c>
      <c r="F376" s="71" t="str">
        <f t="shared" si="136"/>
        <v/>
      </c>
      <c r="G376" s="69" t="str">
        <f t="shared" si="138"/>
        <v/>
      </c>
      <c r="H376" s="70" t="str">
        <f t="shared" si="137"/>
        <v/>
      </c>
      <c r="I376" s="27" t="str">
        <f>IF(N(J376)=0,"",0&amp;"-"&amp;B$9)</f>
        <v/>
      </c>
      <c r="J376" s="52" t="str">
        <f>IF(N(B$9)=0,"",IF(AND(COUNT(H371:H382)=2,COUNT(F371:F382)=2),cubic_spline(F370:F372,H370:H372,B$9),IF(AND(COUNT(H371:H382)=3,COUNT(F371:F382)=3),cubic_spline(F370:F373,H370:H373,B$9),IF(AND(COUNT(H371:H382)=4,COUNT(F371:F382)=4),cubic_spline(F370:F374,H370:H374,B$9),IF(AND(COUNT(H371:H382)=5,COUNT(F371:F382)=5),cubic_spline(F370:F375,H370:H375,B$9),IF(AND(COUNT(H371:H382)=6,COUNT(F371:F382)=6),cubic_spline(F370:F376,H370:H376,B$9),IF(AND(COUNT(H371:H382)=7,COUNT(F371:F382)=7),cubic_spline(F370:F377,H370:H377,B$9),IF(AND(COUNT(H371:H382)=8,COUNT(F371:F382)=8),cubic_spline(F370:F378,H370:H378,B$9),IF(AND(COUNT(H371:H382)=9,COUNT(F371:F382)=9),cubic_spline(F370:F379,H370:H379,B$9),IF(AND(COUNT(H371:H382)=10,COUNT(F371:F382)=10),cubic_spline(F370:F380,H370:H380,B$9),IF(AND(COUNT(H371:H382)=11,COUNT(F371:F382)=11),cubic_spline(F370:F381,H370:H381,B$9),IF(AND(COUNT(H371:H382)=12,COUNT(F371:F382)=12),cubic_spline(F370:F382,H370:H382,B$9),""))))))))))))</f>
        <v/>
      </c>
      <c r="K376" s="52" t="str">
        <f>IF(N(B$9)=0,"",IF(AND(COUNT(A371:A382)=2,COUNT(F371:F382)=2),cubic_spline(F370:F372,A370:A372,B$9),IF(AND(COUNT(A371:A382)=3,COUNT(F371:F382)=3),cubic_spline(F370:F373,A370:A373,B$9),IF(AND(COUNT(A371:A382)=4,COUNT(F371:F382)=4),cubic_spline(F370:F374,A370:A374,B$9),IF(AND(COUNT(A371:A382)=5,COUNT(F371:F382)=5),cubic_spline(F370:F375,A370:A375,B$9),IF(AND(COUNT(A371:A382)=6,COUNT(F371:F382)=6),cubic_spline(F370:F376,A370:A376,B$9),IF(AND(COUNT(A371:A382)=7,COUNT(F371:F382)=7),cubic_spline(F370:F377,A370:A377,B$9),IF(AND(COUNT(A371:A382)=8,COUNT(F371:F382)=8),cubic_spline(F370:F378,A370:A378,B$9),IF(AND(COUNT(A371:A382)=9,COUNT(F371:F382)=9),cubic_spline(F370:F379,A370:A379,B$9),IF(AND(COUNT(A371:A382)=10,COUNT(F371:F382)=10),cubic_spline(F370:F380,A370:A380,B$9),IF(AND(COUNT(A371:A382)=11,COUNT(F371:F382)=11),cubic_spline(F370:F381,A370:A381,B$9),IF(AND(COUNT(A371:A382)=12,COUNT(F371:F382)=12),cubic_spline(F370:F382,A370:A382,B$9),""))))))))))))</f>
        <v/>
      </c>
      <c r="L376" s="27" t="str">
        <f>IF(I376="","",B$8&amp;"-"&amp;B$9)</f>
        <v/>
      </c>
      <c r="M376" s="52" t="str">
        <f t="shared" ref="M376:M382" si="140">IF(N(J376)=0,"",J376-J375)</f>
        <v/>
      </c>
    </row>
    <row r="377" spans="1:13" x14ac:dyDescent="0.35">
      <c r="A377" s="48"/>
      <c r="B377" s="48"/>
      <c r="C377" s="49"/>
      <c r="D377" s="50"/>
      <c r="E377" s="51" t="str">
        <f t="shared" si="139"/>
        <v/>
      </c>
      <c r="F377" s="71" t="str">
        <f t="shared" si="136"/>
        <v/>
      </c>
      <c r="G377" s="69" t="str">
        <f t="shared" si="138"/>
        <v/>
      </c>
      <c r="H377" s="70" t="str">
        <f t="shared" si="137"/>
        <v/>
      </c>
      <c r="I377" s="27" t="str">
        <f>IF(N(J377)=0,"",0&amp;"-"&amp;B$10)</f>
        <v/>
      </c>
      <c r="J377" s="52" t="str">
        <f>IF(N(B$10)=0,"",IF(AND(COUNT(H371:H382)=2,COUNT(F371:F382)=2),cubic_spline(F370:F372,H370:H372,B$10),IF(AND(COUNT(H371:H382)=3,COUNT(F371:F382)=3),cubic_spline(F370:F373,H370:H373,B$10),IF(AND(COUNT(H371:H382)=4,COUNT(F371:F382)=4),cubic_spline(F370:F374,H370:H374,B$10),IF(AND(COUNT(H371:H382)=5,COUNT(F371:F382)=5),cubic_spline(F370:F375,H370:H375,B$10),IF(AND(COUNT(H371:H382)=6,COUNT(F371:F382)=6),cubic_spline(F370:F376,H370:H376,B$10),IF(AND(COUNT(H371:H382)=7,COUNT(F371:F382)=7),cubic_spline(F370:F377,H370:H377,B$10),IF(AND(COUNT(H371:H382)=8,COUNT(F371:F382)=8),cubic_spline(F370:F378,H370:H378,B$10),IF(AND(COUNT(H371:H382)=9,COUNT(F371:F382)=9),cubic_spline(F370:F379,H370:H379,B$10),IF(AND(COUNT(H371:H382)=10,COUNT(F371:F382)=10),cubic_spline(F370:F380,H370:H380,B$10),IF(AND(COUNT(H371:H382)=11,COUNT(F371:F382)=11),cubic_spline(F370:F381,H370:H381,B$10),IF(AND(COUNT(H371:H382)=12,COUNT(F371:F382)=12),cubic_spline(F370:F382,H370:H382,B$10),""))))))))))))</f>
        <v/>
      </c>
      <c r="K377" s="52" t="str">
        <f>IF(N(B$10)=0,"",IF(AND(COUNT(A371:A382)=2,COUNT(F371:F382)=2),cubic_spline(F370:F372,A370:A372,B$10),IF(AND(COUNT(A371:A382)=3,COUNT(F371:F382)=3),cubic_spline(F370:F373,A370:A373,B$10),IF(AND(COUNT(A371:A382)=4,COUNT(F371:F382)=4),cubic_spline(F370:F374,A370:A374,B$10),IF(AND(COUNT(A371:A382)=5,COUNT(F371:F382)=5),cubic_spline(F370:F375,A370:A375,B$10),IF(AND(COUNT(A371:A382)=6,COUNT(F371:F382)=6),cubic_spline(F370:F376,A370:A376,B$10),IF(AND(COUNT(A371:A382)=7,COUNT(F371:F382)=7),cubic_spline(F370:F377,A370:A377,B$10),IF(AND(COUNT(A371:A382)=8,COUNT(F371:F382)=8),cubic_spline(F370:F378,A370:A378,B$10),IF(AND(COUNT(A371:A382)=9,COUNT(F371:F382)=9),cubic_spline(F370:F379,A370:A379,B$10),IF(AND(COUNT(A371:A382)=10,COUNT(F371:F382)=10),cubic_spline(F370:F380,A370:A380,B$10),IF(AND(COUNT(A371:A382)=11,COUNT(F371:F382)=11),cubic_spline(F370:F381,A370:A381,B$10),IF(AND(COUNT(A371:A382)=12,COUNT(F371:F382)=12),cubic_spline(F370:F382,A370:A382,B$10),""))))))))))))</f>
        <v/>
      </c>
      <c r="L377" s="27" t="str">
        <f>IF(I377="","",B$9&amp;"-"&amp;B$10)</f>
        <v/>
      </c>
      <c r="M377" s="52" t="str">
        <f t="shared" si="140"/>
        <v/>
      </c>
    </row>
    <row r="378" spans="1:13" x14ac:dyDescent="0.35">
      <c r="A378" s="48"/>
      <c r="B378" s="48"/>
      <c r="C378" s="49"/>
      <c r="D378" s="50"/>
      <c r="E378" s="51" t="str">
        <f t="shared" si="139"/>
        <v/>
      </c>
      <c r="F378" s="71" t="str">
        <f t="shared" si="136"/>
        <v/>
      </c>
      <c r="G378" s="69" t="str">
        <f t="shared" si="138"/>
        <v/>
      </c>
      <c r="H378" s="70" t="str">
        <f t="shared" si="137"/>
        <v/>
      </c>
      <c r="I378" s="27" t="str">
        <f>IF(N(J378)=0,"",0&amp;"-"&amp;B$11)</f>
        <v/>
      </c>
      <c r="J378" s="52" t="str">
        <f>IF(N(B$11)=0,"",IF(AND(COUNT(H371:H382)=2,COUNT(F371:F382)=2),cubic_spline(F370:F372,H370:H372,B$11),IF(AND(COUNT(H371:H382)=3,COUNT(F371:F382)=3),cubic_spline(F370:F373,H370:H373,B$11),IF(AND(COUNT(H371:H382)=4,COUNT(F371:F382)=4),cubic_spline(F370:F374,H370:H374,B$11),IF(AND(COUNT(H371:H382)=5,COUNT(F371:F382)=5),cubic_spline(F370:F375,H370:H375,B$11),IF(AND(COUNT(H371:H382)=6,COUNT(F371:F382)=6),cubic_spline(F370:F376,H370:H376,B$11),IF(AND(COUNT(H371:H382)=7,COUNT(F371:F382)=7),cubic_spline(F370:F377,H370:H377,B$11),IF(AND(COUNT(H371:H382)=8,COUNT(F371:F382)=8),cubic_spline(F370:F378,H370:H378,B$11),IF(AND(COUNT(H371:H382)=9,COUNT(F371:F382)=9),cubic_spline(F370:F379,H370:H379,B$11),IF(AND(COUNT(H371:H382)=10,COUNT(F371:F382)=10),cubic_spline(F370:F380,H370:H380,B$11),IF(AND(COUNT(H371:H382)=11,COUNT(F371:F382)=11),cubic_spline(F370:F381,H370:H381,B$11),IF(AND(COUNT(H371:H382)=12,COUNT(F371:F382)=12),cubic_spline(F370:F382,H370:H382,B$11),""))))))))))))</f>
        <v/>
      </c>
      <c r="K378" s="52" t="str">
        <f>IF(N(B$11)=0,"",IF(AND(COUNT(A371:A382)=2,COUNT(F371:F382)=2),cubic_spline(F370:F372,A370:A372,B$11),IF(AND(COUNT(A371:A382)=3,COUNT(F371:F382)=3),cubic_spline(F370:F373,A370:A373,B$11),IF(AND(COUNT(A371:A382)=4,COUNT(F371:F382)=4),cubic_spline(F370:F374,A370:A374,B$11),IF(AND(COUNT(A371:A382)=5,COUNT(F371:F382)=5),cubic_spline(F370:F375,A370:A375,B$11),IF(AND(COUNT(A371:A382)=6,COUNT(F371:F382)=6),cubic_spline(F370:F376,A370:A376,B$11),IF(AND(COUNT(A371:A382)=7,COUNT(F371:F382)=7),cubic_spline(F370:F377,A370:A377,B$11),IF(AND(COUNT(A371:A382)=8,COUNT(F371:F382)=8),cubic_spline(F370:F378,A370:A378,B$11),IF(AND(COUNT(A371:A382)=9,COUNT(F371:F382)=9),cubic_spline(F370:F379,A370:A379,B$11),IF(AND(COUNT(A371:A382)=10,COUNT(F371:F382)=10),cubic_spline(F370:F380,A370:A380,B$11),IF(AND(COUNT(A371:A382)=11,COUNT(F371:F382)=11),cubic_spline(F370:F381,A370:A381,B$11),IF(AND(COUNT(A371:A382)=12,COUNT(F371:F382)=12),cubic_spline(F370:F382,A370:A382,B$11),""))))))))))))</f>
        <v/>
      </c>
      <c r="L378" s="27" t="str">
        <f>IF(I378="","",B$10&amp;"-"&amp;B$11)</f>
        <v/>
      </c>
      <c r="M378" s="52" t="str">
        <f t="shared" si="140"/>
        <v/>
      </c>
    </row>
    <row r="379" spans="1:13" x14ac:dyDescent="0.35">
      <c r="A379" s="48"/>
      <c r="B379" s="48"/>
      <c r="C379" s="49"/>
      <c r="D379" s="50"/>
      <c r="E379" s="51" t="str">
        <f t="shared" si="139"/>
        <v/>
      </c>
      <c r="F379" s="71" t="str">
        <f t="shared" si="136"/>
        <v/>
      </c>
      <c r="G379" s="69" t="str">
        <f t="shared" si="138"/>
        <v/>
      </c>
      <c r="H379" s="70" t="str">
        <f t="shared" si="137"/>
        <v/>
      </c>
      <c r="I379" s="27" t="str">
        <f>IF(N(J379)=0,"",0&amp;"-"&amp;B$12)</f>
        <v/>
      </c>
      <c r="J379" s="52" t="str">
        <f>IF(N(B$12)=0,"",IF(AND(COUNT(H371:H382)=2,COUNT(F371:F382)=2),cubic_spline(F370:F372,H370:H372,B$12),IF(AND(COUNT(H371:H382)=3,COUNT(F371:F382)=3),cubic_spline(F370:F373,H370:H373,B$12),IF(AND(COUNT(H371:H382)=4,COUNT(F371:F382)=4),cubic_spline(F370:F374,H370:H374,B$12),IF(AND(COUNT(H371:H382)=5,COUNT(F371:F382)=5),cubic_spline(F370:F375,H370:H375,B$12),IF(AND(COUNT(H371:H382)=6,COUNT(F371:F382)=6),cubic_spline(F370:F376,H370:H376,B$12),IF(AND(COUNT(H371:H382)=7,COUNT(F371:F382)=7),cubic_spline(F370:F377,H370:H377,B$12),IF(AND(COUNT(H371:H382)=8,COUNT(F371:F382)=8),cubic_spline(F370:F378,H370:H378,B$12),IF(AND(COUNT(H371:H382)=9,COUNT(F371:F382)=9),cubic_spline(F370:F379,H370:H379,B$12),IF(AND(COUNT(H371:H382)=10,COUNT(F371:F382)=10),cubic_spline(F370:F380,H370:H380,B$12),IF(AND(COUNT(H371:H382)=11,COUNT(F371:F382)=11),cubic_spline(F370:F381,H370:H381,B$12),IF(AND(COUNT(H371:H382)=12,COUNT(F371:F382)=12),cubic_spline(F370:F382,H370:H382,B$12),""))))))))))))</f>
        <v/>
      </c>
      <c r="K379" s="52" t="str">
        <f>IF(N(B$12)=0,"",IF(AND(COUNT(A371:A382)=2,COUNT(F371:F382)=2),cubic_spline(F370:F372,A370:A372,B$12),IF(AND(COUNT(A371:A382)=3,COUNT(F371:F382)=3),cubic_spline(F370:F373,A370:A373,B$12),IF(AND(COUNT(A371:A382)=4,COUNT(F371:F382)=4),cubic_spline(F370:F374,A370:A374,B$12),IF(AND(COUNT(A371:A382)=5,COUNT(F371:F382)=5),cubic_spline(F370:F375,A370:A375,B$12),IF(AND(COUNT(A371:A382)=6,COUNT(F371:F382)=6),cubic_spline(F370:F376,A370:A376,B$12),IF(AND(COUNT(A371:A382)=7,COUNT(F371:F382)=7),cubic_spline(F370:F377,A370:A377,B$12),IF(AND(COUNT(A371:A382)=8,COUNT(F371:F382)=8),cubic_spline(F370:F378,A370:A378,B$12),IF(AND(COUNT(A371:A382)=9,COUNT(F371:F382)=9),cubic_spline(F370:F379,A370:A379,B$12),IF(AND(COUNT(A371:A382)=10,COUNT(F371:F382)=10),cubic_spline(F370:F380,A370:A380,B$12),IF(AND(COUNT(A371:A382)=11,COUNT(F371:F382)=11),cubic_spline(F370:F381,A370:A381,B$12),IF(AND(COUNT(A371:A382)=12,COUNT(F371:F382)=12),cubic_spline(F370:F382,A370:A382,B$12),""))))))))))))</f>
        <v/>
      </c>
      <c r="L379" s="27" t="str">
        <f>IF(I379="","",B$11&amp;"-"&amp;B$12)</f>
        <v/>
      </c>
      <c r="M379" s="52" t="str">
        <f t="shared" si="140"/>
        <v/>
      </c>
    </row>
    <row r="380" spans="1:13" x14ac:dyDescent="0.35">
      <c r="A380" s="48"/>
      <c r="B380" s="48"/>
      <c r="C380" s="49"/>
      <c r="D380" s="50"/>
      <c r="E380" s="51" t="str">
        <f t="shared" si="139"/>
        <v/>
      </c>
      <c r="F380" s="71" t="str">
        <f t="shared" si="136"/>
        <v/>
      </c>
      <c r="G380" s="69" t="str">
        <f t="shared" si="138"/>
        <v/>
      </c>
      <c r="H380" s="70" t="str">
        <f t="shared" si="137"/>
        <v/>
      </c>
      <c r="I380" s="27" t="str">
        <f>IF(N(J380)=0,"",0&amp;"-"&amp;B$13)</f>
        <v/>
      </c>
      <c r="J380" s="52" t="str">
        <f>IF(N(B$13)=0,"",IF(AND(COUNT(H371:H382)=2,COUNT(F371:F382)=2),cubic_spline(F370:F372,H370:H372,B$13),IF(AND(COUNT(H371:H382)=3,COUNT(F371:F382)=3),cubic_spline(F370:F373,H370:H373,B$13),IF(AND(COUNT(H371:H382)=4,COUNT(F371:F382)=4),cubic_spline(F370:F374,H370:H374,B$13),IF(AND(COUNT(H371:H382)=5,COUNT(F371:F382)=5),cubic_spline(F370:F375,H370:H375,B$13),IF(AND(COUNT(H371:H382)=6,COUNT(F371:F382)=6),cubic_spline(F370:F376,H370:H376,B$13),IF(AND(COUNT(H371:H382)=7,COUNT(F371:F382)=7),cubic_spline(F370:F377,H370:H377,B$13),IF(AND(COUNT(H371:H382)=8,COUNT(F371:F382)=8),cubic_spline(F370:F378,H370:H378,B$13),IF(AND(COUNT(H371:H382)=9,COUNT(F371:F382)=9),cubic_spline(F370:F379,H370:H379,B$13),IF(AND(COUNT(H371:H382)=10,COUNT(F371:F382)=10),cubic_spline(F370:F380,H370:H380,B$13),IF(AND(COUNT(H371:H382)=11,COUNT(F371:F382)=11),cubic_spline(F370:F381,H370:H381,B$13),IF(AND(COUNT(H371:H382)=12,COUNT(F371:F382)=12),cubic_spline(F370:F382,H370:H382,B$13),""))))))))))))</f>
        <v/>
      </c>
      <c r="K380" s="52" t="str">
        <f>IF(N(B$13)=0,"",IF(AND(COUNT(A371:A382)=2,COUNT(F371:F382)=2),cubic_spline(F370:F372,A370:A372,B$13),IF(AND(COUNT(A371:A382)=3,COUNT(F371:F382)=3),cubic_spline(F370:F373,A370:A373,B$13),IF(AND(COUNT(A371:A382)=4,COUNT(F371:F382)=4),cubic_spline(F370:F374,A370:A374,B$13),IF(AND(COUNT(A371:A382)=5,COUNT(F371:F382)=5),cubic_spline(F370:F375,A370:A375,B$13),IF(AND(COUNT(A371:A382)=6,COUNT(F371:F382)=6),cubic_spline(F370:F376,A370:A376,B$13),IF(AND(COUNT(A371:A382)=7,COUNT(F371:F382)=7),cubic_spline(F370:F377,A370:A377,B$13),IF(AND(COUNT(A371:A382)=8,COUNT(F371:F382)=8),cubic_spline(F370:F378,A370:A378,B$13),IF(AND(COUNT(A371:A382)=9,COUNT(F371:F382)=9),cubic_spline(F370:F379,A370:A379,B$13),IF(AND(COUNT(A371:A382)=10,COUNT(F371:F382)=10),cubic_spline(F370:F380,A370:A380,B$13),IF(AND(COUNT(A371:A382)=11,COUNT(F371:F382)=11),cubic_spline(F370:F381,A370:A381,B$13),IF(AND(COUNT(A371:A382)=12,COUNT(F371:F382)=12),cubic_spline(F370:F382,A370:A382,B$13),""))))))))))))</f>
        <v/>
      </c>
      <c r="L380" s="27" t="str">
        <f>IF(I380="","",B$12&amp;"-"&amp;B$13)</f>
        <v/>
      </c>
      <c r="M380" s="52" t="str">
        <f t="shared" si="140"/>
        <v/>
      </c>
    </row>
    <row r="381" spans="1:13" x14ac:dyDescent="0.35">
      <c r="A381" s="48"/>
      <c r="B381" s="48"/>
      <c r="C381" s="49"/>
      <c r="D381" s="50"/>
      <c r="E381" s="51" t="str">
        <f t="shared" si="139"/>
        <v/>
      </c>
      <c r="F381" s="71" t="str">
        <f t="shared" si="136"/>
        <v/>
      </c>
      <c r="G381" s="69" t="str">
        <f t="shared" si="138"/>
        <v/>
      </c>
      <c r="H381" s="70" t="str">
        <f t="shared" si="137"/>
        <v/>
      </c>
      <c r="I381" s="27" t="str">
        <f>IF(N(J381)=0,"",0&amp;"-"&amp;B$14)</f>
        <v/>
      </c>
      <c r="J381" s="52" t="str">
        <f>IF(N(B$14)=0,"",IF(AND(COUNT(H371:H382)=2,COUNT(F371:F382)=2),cubic_spline(F370:F372,H370:H372,B$14),IF(AND(COUNT(H371:H382)=3,COUNT(F371:F382)=3),cubic_spline(F370:F373,H370:H373,B$14),IF(AND(COUNT(H371:H382)=4,COUNT(F371:F382)=4),cubic_spline(F370:F374,H370:H374,B$14),IF(AND(COUNT(H371:H382)=5,COUNT(F371:F382)=5),cubic_spline(F370:F375,H370:H375,B$14),IF(AND(COUNT(H371:H382)=6,COUNT(F371:F382)=6),cubic_spline(F370:F376,H370:H376,B$14),IF(AND(COUNT(H371:H382)=7,COUNT(F371:F382)=7),cubic_spline(F370:F377,H370:H377,B$14),IF(AND(COUNT(H371:H382)=8,COUNT(F371:F382)=8),cubic_spline(F370:F378,H370:H378,B$14),IF(AND(COUNT(H371:H382)=9,COUNT(F371:F382)=9),cubic_spline(F370:F379,H370:H379,B$14),IF(AND(COUNT(H371:H382)=10,COUNT(F371:F382)=10),cubic_spline(F370:F380,H370:H380,B$14),IF(AND(COUNT(H371:H382)=11,COUNT(F371:F382)=11),cubic_spline(F370:F381,H370:H381,B$14),IF(AND(COUNT(H371:H382)=12,COUNT(F371:F382)=12),cubic_spline(F370:F382,H370:H382,B$14),""))))))))))))</f>
        <v/>
      </c>
      <c r="K381" s="52" t="str">
        <f>IF(N(B$14)=0,"",IF(AND(COUNT(A371:A382)=2,COUNT(F371:F382)=2),cubic_spline(F370:F372,A370:A372,B$14),IF(AND(COUNT(A371:A382)=3,COUNT(F371:F382)=3),cubic_spline(F370:F373,A370:A373,B$14),IF(AND(COUNT(A371:A382)=4,COUNT(F371:F382)=4),cubic_spline(F370:F374,A370:A374,B$14),IF(AND(COUNT(A371:A382)=5,COUNT(F371:F382)=5),cubic_spline(F370:F375,A370:A375,B$14),IF(AND(COUNT(A371:A382)=6,COUNT(F371:F382)=6),cubic_spline(F370:F376,A370:A376,B$14),IF(AND(COUNT(A371:A382)=7,COUNT(F371:F382)=7),cubic_spline(F370:F377,A370:A377,B$14),IF(AND(COUNT(A371:A382)=8,COUNT(F371:F382)=8),cubic_spline(F370:F378,A370:A378,B$14),IF(AND(COUNT(A371:A382)=9,COUNT(F371:F382)=9),cubic_spline(F370:F379,A370:A379,B$14),IF(AND(COUNT(A371:A382)=10,COUNT(F371:F382)=10),cubic_spline(F370:F380,A370:A380,B$14),IF(AND(COUNT(A371:A382)=11,COUNT(F371:F382)=11),cubic_spline(F370:F381,A370:A381,B$14),IF(AND(COUNT(A371:A382)=12,COUNT(F371:F382)=12),cubic_spline(F370:F382,A370:A382,B$14),""))))))))))))</f>
        <v/>
      </c>
      <c r="L381" s="27" t="str">
        <f>IF(I381="","",B$13&amp;"-"&amp;B$14)</f>
        <v/>
      </c>
      <c r="M381" s="52" t="str">
        <f t="shared" si="140"/>
        <v/>
      </c>
    </row>
    <row r="382" spans="1:13" x14ac:dyDescent="0.35">
      <c r="A382" s="48"/>
      <c r="B382" s="48"/>
      <c r="C382" s="49"/>
      <c r="D382" s="50"/>
      <c r="E382" s="51" t="str">
        <f t="shared" si="139"/>
        <v/>
      </c>
      <c r="F382" s="71" t="str">
        <f t="shared" si="136"/>
        <v/>
      </c>
      <c r="G382" s="69" t="str">
        <f t="shared" si="138"/>
        <v/>
      </c>
      <c r="H382" s="70" t="str">
        <f t="shared" si="137"/>
        <v/>
      </c>
      <c r="I382" s="27" t="str">
        <f>IF(N(J382)=0,"",0&amp;"-"&amp;B$15)</f>
        <v/>
      </c>
      <c r="J382" s="52" t="str">
        <f>IF(N(B$15)=0,"",IF(AND(COUNT(H371:H382)=2,COUNT(F371:F382)=2),cubic_spline(F370:F372,H370:H372,B$15),IF(AND(COUNT(H371:H382)=3,COUNT(F371:F382)=3),cubic_spline(F370:F373,H370:H373,B$15),IF(AND(COUNT(H371:H382)=4,COUNT(F371:F382)=4),cubic_spline(F370:F374,H370:H374,B$15),IF(AND(COUNT(H371:H382)=5,COUNT(F371:F382)=5),cubic_spline(F370:F375,H370:H375,B$15),IF(AND(COUNT(H371:H382)=6,COUNT(F371:F382)=6),cubic_spline(F370:F376,H370:H376,B$15),IF(AND(COUNT(H371:H382)=7,COUNT(F371:F382)=7),cubic_spline(F370:F377,H370:H377,B$15),IF(AND(COUNT(H371:H382)=8,COUNT(F371:F382)=8),cubic_spline(F370:F378,H370:H378,B$15),IF(AND(COUNT(H371:H382)=9,COUNT(F371:F382)=9),cubic_spline(F370:F379,H370:H379,B$15),IF(AND(COUNT(H371:H382)=10,COUNT(F371:F382)=10),cubic_spline(F370:F380,H370:H380,B$15),IF(AND(COUNT(H371:H382)=11,COUNT(F371:F382)=11),cubic_spline(F370:F381,H370:H381,B$15),IF(AND(COUNT(H371:H382)=12,COUNT(F371:F382)=12),cubic_spline(F370:F382,H370:H382,B$15),""))))))))))))</f>
        <v/>
      </c>
      <c r="K382" s="52" t="str">
        <f>IF(N(B$15)=0,"",IF(AND(COUNT(A371:A382)=2,COUNT(F371:F382)=2),cubic_spline(F370:F372,A370:A372,B$15),IF(AND(COUNT(A371:A382)=3,COUNT(F371:F382)=3),cubic_spline(F370:F373,A370:A373,B$15),IF(AND(COUNT(A371:A382)=4,COUNT(F371:F382)=4),cubic_spline(F370:F374,A370:A374,B$15),IF(AND(COUNT(A371:A382)=5,COUNT(F371:F382)=5),cubic_spline(F370:F375,A370:A375,B$15),IF(AND(COUNT(A371:A382)=6,COUNT(F371:F382)=6),cubic_spline(F370:F376,A370:A376,B$15),IF(AND(COUNT(A371:A382)=7,COUNT(F371:F382)=7),cubic_spline(F370:F377,A370:A377,B$15),IF(AND(COUNT(A371:A382)=8,COUNT(F371:F382)=8),cubic_spline(F370:F378,A370:A378,B$15),IF(AND(COUNT(A371:A382)=9,COUNT(F371:F382)=9),cubic_spline(F370:F379,A370:A379,B$15),IF(AND(COUNT(A371:A382)=10,COUNT(F371:F382)=10),cubic_spline(F370:F380,A370:A380,B$15),IF(AND(COUNT(A371:A382)=11,COUNT(F371:F382)=11),cubic_spline(F370:F381,A370:A381,B$15),IF(AND(COUNT(A371:A382)=12,COUNT(F371:F382)=12),cubic_spline(F370:F382,A370:A382,B$15),""))))))))))))</f>
        <v/>
      </c>
      <c r="L382" s="27" t="str">
        <f>IF(I382="","",B$14&amp;"-"&amp;B$15)</f>
        <v/>
      </c>
      <c r="M382" s="52" t="str">
        <f t="shared" si="140"/>
        <v/>
      </c>
    </row>
    <row r="383" spans="1:13" ht="5.15" customHeight="1" x14ac:dyDescent="0.35">
      <c r="A383" s="47"/>
      <c r="B383" s="47"/>
      <c r="C383" s="47"/>
      <c r="D383" s="53"/>
      <c r="E383" s="54"/>
      <c r="F383" s="55"/>
      <c r="G383" s="72"/>
      <c r="H383" s="73"/>
      <c r="I383" s="47"/>
      <c r="J383" s="57"/>
      <c r="K383" s="57"/>
      <c r="L383" s="55"/>
      <c r="M383" s="57"/>
    </row>
    <row r="384" spans="1:13" x14ac:dyDescent="0.35">
      <c r="A384" s="48"/>
      <c r="B384" s="48"/>
      <c r="C384" s="49"/>
      <c r="D384" s="50"/>
      <c r="E384" s="51" t="str">
        <f>IF(N(C384)=0,"",C384/PI()/($D$1/2)^2/$D$2*10000)</f>
        <v/>
      </c>
      <c r="F384" s="68" t="str">
        <f t="shared" ref="F384:F395" si="141">IF(N(E384)=0,"",(N(E384)+N(F383)))</f>
        <v/>
      </c>
      <c r="G384" s="69" t="str">
        <f>IF(OR(N(D384)=0,N(E384)=0),"",(E384*D384)/1000)</f>
        <v/>
      </c>
      <c r="H384" s="70" t="str">
        <f t="shared" ref="H384:H395" si="142">IF(N(G384)=0,"",(N(G384)+N(H383)))</f>
        <v/>
      </c>
      <c r="I384" s="27" t="str">
        <f>IF(N(J384)=0,"",0&amp;"-"&amp;B$4)</f>
        <v/>
      </c>
      <c r="J384" s="52" t="str">
        <f>IF(N(B$4)=0,"",IF(AND(COUNT(H384:H395)=2,COUNT(F384:F395)=2),cubic_spline(F383:F385,H383:H385,B$4),IF(AND(COUNT(H384:H395)=3,COUNT(F384:F395)=3),cubic_spline(F383:F386,H383:H386,B$4),IF(AND(COUNT(H384:H395)=4,COUNT(F384:F395)=4),cubic_spline(F383:F387,H383:H387,B$4),IF(AND(COUNT(H384:H395)=5,COUNT(F384:F395)=5),cubic_spline(F383:F388,H383:H388,B$4),IF(AND(COUNT(H384:H395)=6,COUNT(F384:F395)=6),cubic_spline(F383:F389,H383:H389,B$4),IF(AND(COUNT(H384:H395)=7,COUNT(F384:F395)=7),cubic_spline(F383:F390,H383:H390,B$4),IF(AND(COUNT(H384:H395)=8,COUNT(F384:F395)=8),cubic_spline(F383:F391,H383:H391,B$4),IF(AND(COUNT(H384:H395)=9,COUNT(F384:F395)=9),cubic_spline(F383:F392,H383:H392,B$4),IF(AND(COUNT(H384:H395)=10,COUNT(F384:F395)=10),cubic_spline(F383:F393,H383:H393,B$4),IF(AND(COUNT(H384:H395)=11,COUNT(F384:F395)=11),cubic_spline(F383:F394,H383:H394,B$4),IF(AND(COUNT(H384:H395)=12,COUNT(F384:F395)=12),cubic_spline(F383:F395,H383:H395,B$4),""))))))))))))</f>
        <v/>
      </c>
      <c r="K384" s="52" t="str">
        <f>IF(N(B$4)=0,"",IF(AND(COUNT(A384:A395)=2,COUNT(F384:F395)=2),cubic_spline(F383:F385,A383:A385,B$4),IF(AND(COUNT(A384:A395)=3,COUNT(F384:F395)=3),cubic_spline(F383:F386,A383:A386,B$4),IF(AND(COUNT(A384:A395)=4,COUNT(F384:F395)=4),cubic_spline(F383:F387,A383:A387,B$4),IF(AND(COUNT(A384:A395)=5,COUNT(F384:F395)=5),cubic_spline(F383:F388,A383:A388,B$4),IF(AND(COUNT(A384:A395)=6,COUNT(F384:F395)=6),cubic_spline(F383:F389,A383:A389,B$4),IF(AND(COUNT(A384:A395)=7,COUNT(F384:F395)=7),cubic_spline(F383:F390,A383:A390,B$4),IF(AND(COUNT(A384:A395)=8,COUNT(F384:F395)=8),cubic_spline(F383:F391,A383:A391,B$4),IF(AND(COUNT(A384:A395)=9,COUNT(F384:F395)=9),cubic_spline(F383:F392,A383:A392,B$4),IF(AND(COUNT(A384:A395)=10,COUNT(F384:F395)=10),cubic_spline(F383:F393,A383:A393,B$4),IF(AND(COUNT(A384:A395)=11,COUNT(F384:F395)=11),cubic_spline(F383:F394,A383:A394,B$4),IF(AND(COUNT(A384:A395)=12,COUNT(F384:F395)=12),cubic_spline(F383:F395,A383:A395,B$4),""))))))))))))</f>
        <v/>
      </c>
      <c r="L384" s="27" t="str">
        <f>IF(I384="","",0&amp;"-"&amp;B$4)</f>
        <v/>
      </c>
      <c r="M384" s="52" t="str">
        <f>IF(N(J384)=0,"",J384-J383)</f>
        <v/>
      </c>
    </row>
    <row r="385" spans="1:13" x14ac:dyDescent="0.35">
      <c r="A385" s="48"/>
      <c r="B385" s="48"/>
      <c r="C385" s="49"/>
      <c r="D385" s="50"/>
      <c r="E385" s="51" t="str">
        <f>IF(N(C385)=0,"",C385/PI()/($D$1/2)^2/$D$2*10000)</f>
        <v/>
      </c>
      <c r="F385" s="68" t="str">
        <f t="shared" si="141"/>
        <v/>
      </c>
      <c r="G385" s="69" t="str">
        <f t="shared" ref="G385:G395" si="143">IF(OR(N(D385)=0,N(E385)=0),"",(E385*D385)/1000)</f>
        <v/>
      </c>
      <c r="H385" s="70" t="str">
        <f t="shared" si="142"/>
        <v/>
      </c>
      <c r="I385" s="27" t="str">
        <f>IF(N(J385)=0,"",0&amp;"-"&amp;B$5)</f>
        <v/>
      </c>
      <c r="J385" s="52" t="str">
        <f>IF(N(B$5)=0,"",IF(AND(COUNT(H384:H395)=2,COUNT(F384:F395)=2),cubic_spline(F383:F385,H383:H385,B$5),IF(AND(COUNT(H384:H395)=3,COUNT(F384:F395)=3),cubic_spline(F383:F386,H383:H386,B$5),IF(AND(COUNT(H384:H395)=4,COUNT(F384:F395)=4),cubic_spline(F383:F387,H383:H387,B$5),IF(AND(COUNT(H384:H395)=5,COUNT(F384:F395)=5),cubic_spline(F383:F388,H383:H388,B$5),IF(AND(COUNT(H384:H395)=6,COUNT(F384:F395)=6),cubic_spline(F383:F389,H383:H389,B$5),IF(AND(COUNT(H384:H395)=7,COUNT(F384:F395)=7),cubic_spline(F383:F390,H383:H390,B$5),IF(AND(COUNT(H384:H395)=8,COUNT(F384:F395)=8),cubic_spline(F383:F391,H383:H391,B$5),IF(AND(COUNT(H384:H395)=9,COUNT(F384:F395)=9),cubic_spline(F383:F392,H383:H392,B$5),IF(AND(COUNT(H384:H395)=10,COUNT(F384:F395)=10),cubic_spline(F383:F393,H383:H393,B$5),IF(AND(COUNT(H384:H395)=11,COUNT(F384:F395)=11),cubic_spline(F383:F394,H383:H394,B$5),IF(AND(COUNT(H384:H395)=12,COUNT(F384:F395)=12),cubic_spline(F383:F395,H383:H395,B$5),""))))))))))))</f>
        <v/>
      </c>
      <c r="K385" s="52" t="str">
        <f>IF(N(B$5)=0,"",IF(AND(COUNT(A384:A395)=2,COUNT(F384:F395)=2),cubic_spline(F383:F385,A383:A385,B$5),IF(AND(COUNT(A384:A395)=3,COUNT(F384:F395)=3),cubic_spline(F383:F386,A383:A386,B$5),IF(AND(COUNT(A384:A395)=4,COUNT(F384:F395)=4),cubic_spline(F383:F387,A383:A387,B$5),IF(AND(COUNT(A384:A395)=5,COUNT(F384:F395)=5),cubic_spline(F383:F388,A383:A388,B$5),IF(AND(COUNT(A384:A395)=6,COUNT(F384:F395)=6),cubic_spline(F383:F389,A383:A389,B$5),IF(AND(COUNT(A384:A395)=7,COUNT(F384:F395)=7),cubic_spline(F383:F390,A383:A390,B$5),IF(AND(COUNT(A384:A395)=8,COUNT(F384:F395)=8),cubic_spline(F383:F391,A383:A391,B$5),IF(AND(COUNT(A384:A395)=9,COUNT(F384:F395)=9),cubic_spline(F383:F392,A383:A392,B$5),IF(AND(COUNT(A384:A395)=10,COUNT(F384:F395)=10),cubic_spline(F383:F393,A383:A393,B$5),IF(AND(COUNT(A384:A395)=11,COUNT(F384:F395)=11),cubic_spline(F383:F394,A383:A394,B$5),IF(AND(COUNT(A384:A395)=12,COUNT(F384:F395)=12),cubic_spline(F383:F395,A383:A395,B$5),""))))))))))))</f>
        <v/>
      </c>
      <c r="L385" s="27" t="str">
        <f>IF(I385="","",B$4&amp;"-"&amp;B$5)</f>
        <v/>
      </c>
      <c r="M385" s="52" t="str">
        <f>IF(N(J385)=0,"",J385-J384)</f>
        <v/>
      </c>
    </row>
    <row r="386" spans="1:13" x14ac:dyDescent="0.35">
      <c r="A386" s="48"/>
      <c r="B386" s="48"/>
      <c r="C386" s="49"/>
      <c r="D386" s="50"/>
      <c r="E386" s="51" t="str">
        <f>IF(N(C386)=0,"",C386/PI()/($D$1/2)^2/$D$2*10000)</f>
        <v/>
      </c>
      <c r="F386" s="68" t="str">
        <f t="shared" si="141"/>
        <v/>
      </c>
      <c r="G386" s="69" t="str">
        <f t="shared" si="143"/>
        <v/>
      </c>
      <c r="H386" s="70" t="str">
        <f t="shared" si="142"/>
        <v/>
      </c>
      <c r="I386" s="27" t="str">
        <f>IF(N(J386)=0,"",0&amp;"-"&amp;B$6)</f>
        <v/>
      </c>
      <c r="J386" s="52" t="str">
        <f>IF(N(B$6)=0,"",IF(AND(COUNT(H384:H395)=2,COUNT(F384:F395)=2),cubic_spline(F383:F385,H383:H385,B$6),IF(AND(COUNT(H384:H395)=3,COUNT(F384:F395)=3),cubic_spline(F383:F386,H383:H386,B$6),IF(AND(COUNT(H384:H395)=4,COUNT(F384:F395)=4),cubic_spline(F383:F387,H383:H387,B$6),IF(AND(COUNT(H384:H395)=5,COUNT(F384:F395)=5),cubic_spline(F383:F388,H383:H388,B$6),IF(AND(COUNT(H384:H395)=6,COUNT(F384:F395)=6),cubic_spline(F383:F389,H383:H389,B$6),IF(AND(COUNT(H384:H395)=7,COUNT(F384:F395)=7),cubic_spline(F383:F390,H383:H390,B$6),IF(AND(COUNT(H384:H395)=8,COUNT(F384:F395)=8),cubic_spline(F383:F391,H383:H391,B$6),IF(AND(COUNT(H384:H395)=9,COUNT(F384:F395)=9),cubic_spline(F383:F392,H383:H392,B$6),IF(AND(COUNT(H384:H395)=10,COUNT(F384:F395)=10),cubic_spline(F383:F393,H383:H393,B$6),IF(AND(COUNT(H384:H395)=11,COUNT(F384:F395)=11),cubic_spline(F383:F394,H383:H394,B$6),IF(AND(COUNT(H384:H395)=12,COUNT(F384:F395)=12),cubic_spline(F383:F395,H383:H395,B$6),""))))))))))))</f>
        <v/>
      </c>
      <c r="K386" s="52" t="str">
        <f>IF(N(B$6)=0,"",IF(AND(COUNT(A384:A395)=2,COUNT(F384:F395)=2),cubic_spline(F383:F385,A383:A385,B$6),IF(AND(COUNT(A384:A395)=3,COUNT(F384:F395)=3),cubic_spline(F383:F386,A383:A386,B$6),IF(AND(COUNT(A384:A395)=4,COUNT(F384:F395)=4),cubic_spline(F383:F387,A383:A387,B$6),IF(AND(COUNT(A384:A395)=5,COUNT(F384:F395)=5),cubic_spline(F383:F388,A383:A388,B$6),IF(AND(COUNT(A384:A395)=6,COUNT(F384:F395)=6),cubic_spline(F383:F389,A383:A389,B$6),IF(AND(COUNT(A384:A395)=7,COUNT(F384:F395)=7),cubic_spline(F383:F390,A383:A390,B$6),IF(AND(COUNT(A384:A395)=8,COUNT(F384:F395)=8),cubic_spline(F383:F391,A383:A391,B$6),IF(AND(COUNT(A384:A395)=9,COUNT(F384:F395)=9),cubic_spline(F383:F392,A383:A392,B$6),IF(AND(COUNT(A384:A395)=10,COUNT(F384:F395)=10),cubic_spline(F383:F393,A383:A393,B$6),IF(AND(COUNT(A384:A395)=11,COUNT(F384:F395)=11),cubic_spline(F383:F394,A383:A394,B$6),IF(AND(COUNT(A384:A395)=12,COUNT(F384:F395)=12),cubic_spline(F383:F395,A383:A395,B$6),""))))))))))))</f>
        <v/>
      </c>
      <c r="L386" s="27" t="str">
        <f>IF(I386="","",B$5&amp;"-"&amp;B$6)</f>
        <v/>
      </c>
      <c r="M386" s="52" t="str">
        <f>IF(N(J386)=0,"",J386-J385)</f>
        <v/>
      </c>
    </row>
    <row r="387" spans="1:13" x14ac:dyDescent="0.35">
      <c r="A387" s="48"/>
      <c r="B387" s="48"/>
      <c r="C387" s="49"/>
      <c r="D387" s="50"/>
      <c r="E387" s="51" t="str">
        <f>IF(N(C387)=0,"",C387/PI()/($D$1/2)^2/$D$2*10000)</f>
        <v/>
      </c>
      <c r="F387" s="68" t="str">
        <f t="shared" si="141"/>
        <v/>
      </c>
      <c r="G387" s="69" t="str">
        <f t="shared" si="143"/>
        <v/>
      </c>
      <c r="H387" s="70" t="str">
        <f t="shared" si="142"/>
        <v/>
      </c>
      <c r="I387" s="27" t="str">
        <f>IF(N(J387)=0,"",0&amp;"-"&amp;B$7)</f>
        <v/>
      </c>
      <c r="J387" s="52" t="str">
        <f>IF(N(B$7)=0,"",IF(AND(COUNT(H384:H395)=2,COUNT(F384:F395)=2),cubic_spline(F383:F385,H383:H385,B$7),IF(AND(COUNT(H384:H395)=3,COUNT(F384:F395)=3),cubic_spline(F383:F386,H383:H386,B$7),IF(AND(COUNT(H384:H395)=4,COUNT(F384:F395)=4),cubic_spline(F383:F387,H383:H387,B$7),IF(AND(COUNT(H384:H395)=5,COUNT(F384:F395)=5),cubic_spline(F383:F388,H383:H388,B$7),IF(AND(COUNT(H384:H395)=6,COUNT(F384:F395)=6),cubic_spline(F383:F389,H383:H389,B$7),IF(AND(COUNT(H384:H395)=7,COUNT(F384:F395)=7),cubic_spline(F383:F390,H383:H390,B$7),IF(AND(COUNT(H384:H395)=8,COUNT(F384:F395)=8),cubic_spline(F383:F391,H383:H391,B$7),IF(AND(COUNT(H384:H395)=9,COUNT(F384:F395)=9),cubic_spline(F383:F392,H383:H392,B$7),IF(AND(COUNT(H384:H395)=10,COUNT(F384:F395)=10),cubic_spline(F383:F393,H383:H393,B$7),IF(AND(COUNT(H384:H395)=11,COUNT(F384:F395)=11),cubic_spline(F383:F394,H383:H394,B$7),IF(AND(COUNT(H384:H395)=12,COUNT(F384:F395)=12),cubic_spline(F383:F395,H383:H395,B$7),""))))))))))))</f>
        <v/>
      </c>
      <c r="K387" s="52" t="str">
        <f>IF(N(B$7)=0,"",IF(AND(COUNT(A384:A395)=2,COUNT(F384:F395)=2),cubic_spline(F383:F385,A383:A385,B$7),IF(AND(COUNT(A384:A395)=3,COUNT(F384:F395)=3),cubic_spline(F383:F386,A383:A386,B$7),IF(AND(COUNT(A384:A395)=4,COUNT(F384:F395)=4),cubic_spline(F383:F387,A383:A387,B$7),IF(AND(COUNT(A384:A395)=5,COUNT(F384:F395)=5),cubic_spline(F383:F388,A383:A388,B$7),IF(AND(COUNT(A384:A395)=6,COUNT(F384:F395)=6),cubic_spline(F383:F389,A383:A389,B$7),IF(AND(COUNT(A384:A395)=7,COUNT(F384:F395)=7),cubic_spline(F383:F390,A383:A390,B$7),IF(AND(COUNT(A384:A395)=8,COUNT(F384:F395)=8),cubic_spline(F383:F391,A383:A391,B$7),IF(AND(COUNT(A384:A395)=9,COUNT(F384:F395)=9),cubic_spline(F383:F392,A383:A392,B$7),IF(AND(COUNT(A384:A395)=10,COUNT(F384:F395)=10),cubic_spline(F383:F393,A383:A393,B$7),IF(AND(COUNT(A384:A395)=11,COUNT(F384:F395)=11),cubic_spline(F383:F394,A383:A394,B$7),IF(AND(COUNT(A384:A395)=12,COUNT(F384:F395)=12),cubic_spline(F383:F395,A383:A395,B$7),""))))))))))))</f>
        <v/>
      </c>
      <c r="L387" s="27" t="str">
        <f>IF(I387="","",B$6&amp;"-"&amp;B$7)</f>
        <v/>
      </c>
      <c r="M387" s="52" t="str">
        <f>IF(N(J387)=0,"",J387-J386)</f>
        <v/>
      </c>
    </row>
    <row r="388" spans="1:13" x14ac:dyDescent="0.35">
      <c r="A388" s="48"/>
      <c r="B388" s="48"/>
      <c r="C388" s="49"/>
      <c r="D388" s="50"/>
      <c r="E388" s="51" t="str">
        <f t="shared" ref="E388:E395" si="144">IF(N(C388)=0,"",C388/PI()/($D$1/2)^2/$D$2*10000)</f>
        <v/>
      </c>
      <c r="F388" s="71" t="str">
        <f t="shared" si="141"/>
        <v/>
      </c>
      <c r="G388" s="69" t="str">
        <f t="shared" si="143"/>
        <v/>
      </c>
      <c r="H388" s="70" t="str">
        <f t="shared" si="142"/>
        <v/>
      </c>
      <c r="I388" s="27" t="str">
        <f>IF(N(J388)=0,"",0&amp;"-"&amp;B$8)</f>
        <v/>
      </c>
      <c r="J388" s="52" t="str">
        <f>IF(N(B$8)=0,"",IF(AND(COUNT(H384:H395)=2,COUNT(F384:F395)=2),cubic_spline(F383:F385,H383:H385,B$8),IF(AND(COUNT(H384:H395)=3,COUNT(F384:F395)=3),cubic_spline(F383:F386,H383:H386,B$8),IF(AND(COUNT(H384:H395)=4,COUNT(F384:F395)=4),cubic_spline(F383:F387,H383:H387,B$8),IF(AND(COUNT(H384:H395)=5,COUNT(F384:F395)=5),cubic_spline(F383:F388,H383:H388,B$8),IF(AND(COUNT(H384:H395)=6,COUNT(F384:F395)=6),cubic_spline(F383:F389,H383:H389,B$8),IF(AND(COUNT(H384:H395)=7,COUNT(F384:F395)=7),cubic_spline(F383:F390,H383:H390,B$8),IF(AND(COUNT(H384:H395)=8,COUNT(F384:F395)=8),cubic_spline(F383:F391,H383:H391,B$8),IF(AND(COUNT(H384:H395)=9,COUNT(F384:F395)=9),cubic_spline(F383:F392,H383:H392,B$8),IF(AND(COUNT(H384:H395)=10,COUNT(F384:F395)=10),cubic_spline(F383:F393,H383:H393,B$8),IF(AND(COUNT(H384:H395)=11,COUNT(F384:F395)=11),cubic_spline(F383:F394,H383:H394,B$8),IF(AND(COUNT(H384:H395)=12,COUNT(F384:F395)=12),cubic_spline(F383:F395,H383:H395,B$8),""))))))))))))</f>
        <v/>
      </c>
      <c r="K388" s="52" t="str">
        <f>IF(N(B$8)=0,"",IF(AND(COUNT(A384:A395)=2,COUNT(F384:F395)=2),cubic_spline(F383:F385,A383:A385,B$8),IF(AND(COUNT(A384:A395)=3,COUNT(F384:F395)=3),cubic_spline(F383:F386,A383:A386,B$8),IF(AND(COUNT(A384:A395)=4,COUNT(F384:F395)=4),cubic_spline(F383:F387,A383:A387,B$8),IF(AND(COUNT(A384:A395)=5,COUNT(F384:F395)=5),cubic_spline(F383:F388,A383:A388,B$8),IF(AND(COUNT(A384:A395)=6,COUNT(F384:F395)=6),cubic_spline(F383:F389,A383:A389,B$8),IF(AND(COUNT(A384:A395)=7,COUNT(F384:F395)=7),cubic_spline(F383:F390,A383:A390,B$8),IF(AND(COUNT(A384:A395)=8,COUNT(F384:F395)=8),cubic_spline(F383:F391,A383:A391,B$8),IF(AND(COUNT(A384:A395)=9,COUNT(F384:F395)=9),cubic_spline(F383:F392,A383:A392,B$8),IF(AND(COUNT(A384:A395)=10,COUNT(F384:F395)=10),cubic_spline(F383:F393,A383:A393,B$8),IF(AND(COUNT(A384:A395)=11,COUNT(F384:F395)=11),cubic_spline(F383:F394,A383:A394,B$8),IF(AND(COUNT(A384:A395)=12,COUNT(F384:F395)=12),cubic_spline(F383:F395,A383:A395,B$8),""))))))))))))</f>
        <v/>
      </c>
      <c r="L388" s="27" t="str">
        <f>IF(I388="","",B$7&amp;"-"&amp;B$8)</f>
        <v/>
      </c>
      <c r="M388" s="52" t="str">
        <f>IF(N(J388)=0,"",J388-J387)</f>
        <v/>
      </c>
    </row>
    <row r="389" spans="1:13" x14ac:dyDescent="0.35">
      <c r="A389" s="48"/>
      <c r="B389" s="48"/>
      <c r="C389" s="49"/>
      <c r="D389" s="50"/>
      <c r="E389" s="51" t="str">
        <f t="shared" si="144"/>
        <v/>
      </c>
      <c r="F389" s="71" t="str">
        <f t="shared" si="141"/>
        <v/>
      </c>
      <c r="G389" s="69" t="str">
        <f t="shared" si="143"/>
        <v/>
      </c>
      <c r="H389" s="70" t="str">
        <f t="shared" si="142"/>
        <v/>
      </c>
      <c r="I389" s="27" t="str">
        <f>IF(N(J389)=0,"",0&amp;"-"&amp;B$9)</f>
        <v/>
      </c>
      <c r="J389" s="52" t="str">
        <f>IF(N(B$9)=0,"",IF(AND(COUNT(H384:H395)=2,COUNT(F384:F395)=2),cubic_spline(F383:F385,H383:H385,B$9),IF(AND(COUNT(H384:H395)=3,COUNT(F384:F395)=3),cubic_spline(F383:F386,H383:H386,B$9),IF(AND(COUNT(H384:H395)=4,COUNT(F384:F395)=4),cubic_spline(F383:F387,H383:H387,B$9),IF(AND(COUNT(H384:H395)=5,COUNT(F384:F395)=5),cubic_spline(F383:F388,H383:H388,B$9),IF(AND(COUNT(H384:H395)=6,COUNT(F384:F395)=6),cubic_spline(F383:F389,H383:H389,B$9),IF(AND(COUNT(H384:H395)=7,COUNT(F384:F395)=7),cubic_spline(F383:F390,H383:H390,B$9),IF(AND(COUNT(H384:H395)=8,COUNT(F384:F395)=8),cubic_spline(F383:F391,H383:H391,B$9),IF(AND(COUNT(H384:H395)=9,COUNT(F384:F395)=9),cubic_spline(F383:F392,H383:H392,B$9),IF(AND(COUNT(H384:H395)=10,COUNT(F384:F395)=10),cubic_spline(F383:F393,H383:H393,B$9),IF(AND(COUNT(H384:H395)=11,COUNT(F384:F395)=11),cubic_spline(F383:F394,H383:H394,B$9),IF(AND(COUNT(H384:H395)=12,COUNT(F384:F395)=12),cubic_spline(F383:F395,H383:H395,B$9),""))))))))))))</f>
        <v/>
      </c>
      <c r="K389" s="52" t="str">
        <f>IF(N(B$9)=0,"",IF(AND(COUNT(A384:A395)=2,COUNT(F384:F395)=2),cubic_spline(F383:F385,A383:A385,B$9),IF(AND(COUNT(A384:A395)=3,COUNT(F384:F395)=3),cubic_spline(F383:F386,A383:A386,B$9),IF(AND(COUNT(A384:A395)=4,COUNT(F384:F395)=4),cubic_spline(F383:F387,A383:A387,B$9),IF(AND(COUNT(A384:A395)=5,COUNT(F384:F395)=5),cubic_spline(F383:F388,A383:A388,B$9),IF(AND(COUNT(A384:A395)=6,COUNT(F384:F395)=6),cubic_spline(F383:F389,A383:A389,B$9),IF(AND(COUNT(A384:A395)=7,COUNT(F384:F395)=7),cubic_spline(F383:F390,A383:A390,B$9),IF(AND(COUNT(A384:A395)=8,COUNT(F384:F395)=8),cubic_spline(F383:F391,A383:A391,B$9),IF(AND(COUNT(A384:A395)=9,COUNT(F384:F395)=9),cubic_spline(F383:F392,A383:A392,B$9),IF(AND(COUNT(A384:A395)=10,COUNT(F384:F395)=10),cubic_spline(F383:F393,A383:A393,B$9),IF(AND(COUNT(A384:A395)=11,COUNT(F384:F395)=11),cubic_spline(F383:F394,A383:A394,B$9),IF(AND(COUNT(A384:A395)=12,COUNT(F384:F395)=12),cubic_spline(F383:F395,A383:A395,B$9),""))))))))))))</f>
        <v/>
      </c>
      <c r="L389" s="27" t="str">
        <f>IF(I389="","",B$8&amp;"-"&amp;B$9)</f>
        <v/>
      </c>
      <c r="M389" s="52" t="str">
        <f t="shared" ref="M389:M395" si="145">IF(N(J389)=0,"",J389-J388)</f>
        <v/>
      </c>
    </row>
    <row r="390" spans="1:13" x14ac:dyDescent="0.35">
      <c r="A390" s="48"/>
      <c r="B390" s="48"/>
      <c r="C390" s="49"/>
      <c r="D390" s="50"/>
      <c r="E390" s="51" t="str">
        <f t="shared" si="144"/>
        <v/>
      </c>
      <c r="F390" s="71" t="str">
        <f t="shared" si="141"/>
        <v/>
      </c>
      <c r="G390" s="69" t="str">
        <f t="shared" si="143"/>
        <v/>
      </c>
      <c r="H390" s="70" t="str">
        <f t="shared" si="142"/>
        <v/>
      </c>
      <c r="I390" s="27" t="str">
        <f>IF(N(J390)=0,"",0&amp;"-"&amp;B$10)</f>
        <v/>
      </c>
      <c r="J390" s="52" t="str">
        <f>IF(N(B$10)=0,"",IF(AND(COUNT(H384:H395)=2,COUNT(F384:F395)=2),cubic_spline(F383:F385,H383:H385,B$10),IF(AND(COUNT(H384:H395)=3,COUNT(F384:F395)=3),cubic_spline(F383:F386,H383:H386,B$10),IF(AND(COUNT(H384:H395)=4,COUNT(F384:F395)=4),cubic_spline(F383:F387,H383:H387,B$10),IF(AND(COUNT(H384:H395)=5,COUNT(F384:F395)=5),cubic_spline(F383:F388,H383:H388,B$10),IF(AND(COUNT(H384:H395)=6,COUNT(F384:F395)=6),cubic_spline(F383:F389,H383:H389,B$10),IF(AND(COUNT(H384:H395)=7,COUNT(F384:F395)=7),cubic_spline(F383:F390,H383:H390,B$10),IF(AND(COUNT(H384:H395)=8,COUNT(F384:F395)=8),cubic_spline(F383:F391,H383:H391,B$10),IF(AND(COUNT(H384:H395)=9,COUNT(F384:F395)=9),cubic_spline(F383:F392,H383:H392,B$10),IF(AND(COUNT(H384:H395)=10,COUNT(F384:F395)=10),cubic_spline(F383:F393,H383:H393,B$10),IF(AND(COUNT(H384:H395)=11,COUNT(F384:F395)=11),cubic_spline(F383:F394,H383:H394,B$10),IF(AND(COUNT(H384:H395)=12,COUNT(F384:F395)=12),cubic_spline(F383:F395,H383:H395,B$10),""))))))))))))</f>
        <v/>
      </c>
      <c r="K390" s="52" t="str">
        <f>IF(N(B$10)=0,"",IF(AND(COUNT(A384:A395)=2,COUNT(F384:F395)=2),cubic_spline(F383:F385,A383:A385,B$10),IF(AND(COUNT(A384:A395)=3,COUNT(F384:F395)=3),cubic_spline(F383:F386,A383:A386,B$10),IF(AND(COUNT(A384:A395)=4,COUNT(F384:F395)=4),cubic_spline(F383:F387,A383:A387,B$10),IF(AND(COUNT(A384:A395)=5,COUNT(F384:F395)=5),cubic_spline(F383:F388,A383:A388,B$10),IF(AND(COUNT(A384:A395)=6,COUNT(F384:F395)=6),cubic_spline(F383:F389,A383:A389,B$10),IF(AND(COUNT(A384:A395)=7,COUNT(F384:F395)=7),cubic_spline(F383:F390,A383:A390,B$10),IF(AND(COUNT(A384:A395)=8,COUNT(F384:F395)=8),cubic_spline(F383:F391,A383:A391,B$10),IF(AND(COUNT(A384:A395)=9,COUNT(F384:F395)=9),cubic_spline(F383:F392,A383:A392,B$10),IF(AND(COUNT(A384:A395)=10,COUNT(F384:F395)=10),cubic_spline(F383:F393,A383:A393,B$10),IF(AND(COUNT(A384:A395)=11,COUNT(F384:F395)=11),cubic_spline(F383:F394,A383:A394,B$10),IF(AND(COUNT(A384:A395)=12,COUNT(F384:F395)=12),cubic_spline(F383:F395,A383:A395,B$10),""))))))))))))</f>
        <v/>
      </c>
      <c r="L390" s="27" t="str">
        <f>IF(I390="","",B$9&amp;"-"&amp;B$10)</f>
        <v/>
      </c>
      <c r="M390" s="52" t="str">
        <f t="shared" si="145"/>
        <v/>
      </c>
    </row>
    <row r="391" spans="1:13" x14ac:dyDescent="0.35">
      <c r="A391" s="48"/>
      <c r="B391" s="48"/>
      <c r="C391" s="49"/>
      <c r="D391" s="50"/>
      <c r="E391" s="51" t="str">
        <f t="shared" si="144"/>
        <v/>
      </c>
      <c r="F391" s="71" t="str">
        <f t="shared" si="141"/>
        <v/>
      </c>
      <c r="G391" s="69" t="str">
        <f t="shared" si="143"/>
        <v/>
      </c>
      <c r="H391" s="70" t="str">
        <f t="shared" si="142"/>
        <v/>
      </c>
      <c r="I391" s="27" t="str">
        <f>IF(N(J391)=0,"",0&amp;"-"&amp;B$11)</f>
        <v/>
      </c>
      <c r="J391" s="52" t="str">
        <f>IF(N(B$11)=0,"",IF(AND(COUNT(H384:H395)=2,COUNT(F384:F395)=2),cubic_spline(F383:F385,H383:H385,B$11),IF(AND(COUNT(H384:H395)=3,COUNT(F384:F395)=3),cubic_spline(F383:F386,H383:H386,B$11),IF(AND(COUNT(H384:H395)=4,COUNT(F384:F395)=4),cubic_spline(F383:F387,H383:H387,B$11),IF(AND(COUNT(H384:H395)=5,COUNT(F384:F395)=5),cubic_spline(F383:F388,H383:H388,B$11),IF(AND(COUNT(H384:H395)=6,COUNT(F384:F395)=6),cubic_spline(F383:F389,H383:H389,B$11),IF(AND(COUNT(H384:H395)=7,COUNT(F384:F395)=7),cubic_spline(F383:F390,H383:H390,B$11),IF(AND(COUNT(H384:H395)=8,COUNT(F384:F395)=8),cubic_spline(F383:F391,H383:H391,B$11),IF(AND(COUNT(H384:H395)=9,COUNT(F384:F395)=9),cubic_spline(F383:F392,H383:H392,B$11),IF(AND(COUNT(H384:H395)=10,COUNT(F384:F395)=10),cubic_spline(F383:F393,H383:H393,B$11),IF(AND(COUNT(H384:H395)=11,COUNT(F384:F395)=11),cubic_spline(F383:F394,H383:H394,B$11),IF(AND(COUNT(H384:H395)=12,COUNT(F384:F395)=12),cubic_spline(F383:F395,H383:H395,B$11),""))))))))))))</f>
        <v/>
      </c>
      <c r="K391" s="52" t="str">
        <f>IF(N(B$11)=0,"",IF(AND(COUNT(A384:A395)=2,COUNT(F384:F395)=2),cubic_spline(F383:F385,A383:A385,B$11),IF(AND(COUNT(A384:A395)=3,COUNT(F384:F395)=3),cubic_spline(F383:F386,A383:A386,B$11),IF(AND(COUNT(A384:A395)=4,COUNT(F384:F395)=4),cubic_spline(F383:F387,A383:A387,B$11),IF(AND(COUNT(A384:A395)=5,COUNT(F384:F395)=5),cubic_spline(F383:F388,A383:A388,B$11),IF(AND(COUNT(A384:A395)=6,COUNT(F384:F395)=6),cubic_spline(F383:F389,A383:A389,B$11),IF(AND(COUNT(A384:A395)=7,COUNT(F384:F395)=7),cubic_spline(F383:F390,A383:A390,B$11),IF(AND(COUNT(A384:A395)=8,COUNT(F384:F395)=8),cubic_spline(F383:F391,A383:A391,B$11),IF(AND(COUNT(A384:A395)=9,COUNT(F384:F395)=9),cubic_spline(F383:F392,A383:A392,B$11),IF(AND(COUNT(A384:A395)=10,COUNT(F384:F395)=10),cubic_spline(F383:F393,A383:A393,B$11),IF(AND(COUNT(A384:A395)=11,COUNT(F384:F395)=11),cubic_spline(F383:F394,A383:A394,B$11),IF(AND(COUNT(A384:A395)=12,COUNT(F384:F395)=12),cubic_spline(F383:F395,A383:A395,B$11),""))))))))))))</f>
        <v/>
      </c>
      <c r="L391" s="27" t="str">
        <f>IF(I391="","",B$10&amp;"-"&amp;B$11)</f>
        <v/>
      </c>
      <c r="M391" s="52" t="str">
        <f t="shared" si="145"/>
        <v/>
      </c>
    </row>
    <row r="392" spans="1:13" x14ac:dyDescent="0.35">
      <c r="A392" s="48"/>
      <c r="B392" s="48"/>
      <c r="C392" s="49"/>
      <c r="D392" s="50"/>
      <c r="E392" s="51" t="str">
        <f t="shared" si="144"/>
        <v/>
      </c>
      <c r="F392" s="71" t="str">
        <f t="shared" si="141"/>
        <v/>
      </c>
      <c r="G392" s="69" t="str">
        <f t="shared" si="143"/>
        <v/>
      </c>
      <c r="H392" s="70" t="str">
        <f t="shared" si="142"/>
        <v/>
      </c>
      <c r="I392" s="27" t="str">
        <f>IF(N(J392)=0,"",0&amp;"-"&amp;B$12)</f>
        <v/>
      </c>
      <c r="J392" s="52" t="str">
        <f>IF(N(B$12)=0,"",IF(AND(COUNT(H384:H395)=2,COUNT(F384:F395)=2),cubic_spline(F383:F385,H383:H385,B$12),IF(AND(COUNT(H384:H395)=3,COUNT(F384:F395)=3),cubic_spline(F383:F386,H383:H386,B$12),IF(AND(COUNT(H384:H395)=4,COUNT(F384:F395)=4),cubic_spline(F383:F387,H383:H387,B$12),IF(AND(COUNT(H384:H395)=5,COUNT(F384:F395)=5),cubic_spline(F383:F388,H383:H388,B$12),IF(AND(COUNT(H384:H395)=6,COUNT(F384:F395)=6),cubic_spline(F383:F389,H383:H389,B$12),IF(AND(COUNT(H384:H395)=7,COUNT(F384:F395)=7),cubic_spline(F383:F390,H383:H390,B$12),IF(AND(COUNT(H384:H395)=8,COUNT(F384:F395)=8),cubic_spline(F383:F391,H383:H391,B$12),IF(AND(COUNT(H384:H395)=9,COUNT(F384:F395)=9),cubic_spline(F383:F392,H383:H392,B$12),IF(AND(COUNT(H384:H395)=10,COUNT(F384:F395)=10),cubic_spline(F383:F393,H383:H393,B$12),IF(AND(COUNT(H384:H395)=11,COUNT(F384:F395)=11),cubic_spline(F383:F394,H383:H394,B$12),IF(AND(COUNT(H384:H395)=12,COUNT(F384:F395)=12),cubic_spline(F383:F395,H383:H395,B$12),""))))))))))))</f>
        <v/>
      </c>
      <c r="K392" s="52" t="str">
        <f>IF(N(B$12)=0,"",IF(AND(COUNT(A384:A395)=2,COUNT(F384:F395)=2),cubic_spline(F383:F385,A383:A385,B$12),IF(AND(COUNT(A384:A395)=3,COUNT(F384:F395)=3),cubic_spline(F383:F386,A383:A386,B$12),IF(AND(COUNT(A384:A395)=4,COUNT(F384:F395)=4),cubic_spline(F383:F387,A383:A387,B$12),IF(AND(COUNT(A384:A395)=5,COUNT(F384:F395)=5),cubic_spline(F383:F388,A383:A388,B$12),IF(AND(COUNT(A384:A395)=6,COUNT(F384:F395)=6),cubic_spline(F383:F389,A383:A389,B$12),IF(AND(COUNT(A384:A395)=7,COUNT(F384:F395)=7),cubic_spline(F383:F390,A383:A390,B$12),IF(AND(COUNT(A384:A395)=8,COUNT(F384:F395)=8),cubic_spline(F383:F391,A383:A391,B$12),IF(AND(COUNT(A384:A395)=9,COUNT(F384:F395)=9),cubic_spline(F383:F392,A383:A392,B$12),IF(AND(COUNT(A384:A395)=10,COUNT(F384:F395)=10),cubic_spline(F383:F393,A383:A393,B$12),IF(AND(COUNT(A384:A395)=11,COUNT(F384:F395)=11),cubic_spline(F383:F394,A383:A394,B$12),IF(AND(COUNT(A384:A395)=12,COUNT(F384:F395)=12),cubic_spline(F383:F395,A383:A395,B$12),""))))))))))))</f>
        <v/>
      </c>
      <c r="L392" s="27" t="str">
        <f>IF(I392="","",B$11&amp;"-"&amp;B$12)</f>
        <v/>
      </c>
      <c r="M392" s="52" t="str">
        <f t="shared" si="145"/>
        <v/>
      </c>
    </row>
    <row r="393" spans="1:13" x14ac:dyDescent="0.35">
      <c r="A393" s="48"/>
      <c r="B393" s="48"/>
      <c r="C393" s="49"/>
      <c r="D393" s="50"/>
      <c r="E393" s="51" t="str">
        <f t="shared" si="144"/>
        <v/>
      </c>
      <c r="F393" s="71" t="str">
        <f t="shared" si="141"/>
        <v/>
      </c>
      <c r="G393" s="69" t="str">
        <f t="shared" si="143"/>
        <v/>
      </c>
      <c r="H393" s="70" t="str">
        <f t="shared" si="142"/>
        <v/>
      </c>
      <c r="I393" s="27" t="str">
        <f>IF(N(J393)=0,"",0&amp;"-"&amp;B$13)</f>
        <v/>
      </c>
      <c r="J393" s="52" t="str">
        <f>IF(N(B$13)=0,"",IF(AND(COUNT(H384:H395)=2,COUNT(F384:F395)=2),cubic_spline(F383:F385,H383:H385,B$13),IF(AND(COUNT(H384:H395)=3,COUNT(F384:F395)=3),cubic_spline(F383:F386,H383:H386,B$13),IF(AND(COUNT(H384:H395)=4,COUNT(F384:F395)=4),cubic_spline(F383:F387,H383:H387,B$13),IF(AND(COUNT(H384:H395)=5,COUNT(F384:F395)=5),cubic_spline(F383:F388,H383:H388,B$13),IF(AND(COUNT(H384:H395)=6,COUNT(F384:F395)=6),cubic_spline(F383:F389,H383:H389,B$13),IF(AND(COUNT(H384:H395)=7,COUNT(F384:F395)=7),cubic_spline(F383:F390,H383:H390,B$13),IF(AND(COUNT(H384:H395)=8,COUNT(F384:F395)=8),cubic_spline(F383:F391,H383:H391,B$13),IF(AND(COUNT(H384:H395)=9,COUNT(F384:F395)=9),cubic_spline(F383:F392,H383:H392,B$13),IF(AND(COUNT(H384:H395)=10,COUNT(F384:F395)=10),cubic_spline(F383:F393,H383:H393,B$13),IF(AND(COUNT(H384:H395)=11,COUNT(F384:F395)=11),cubic_spline(F383:F394,H383:H394,B$13),IF(AND(COUNT(H384:H395)=12,COUNT(F384:F395)=12),cubic_spline(F383:F395,H383:H395,B$13),""))))))))))))</f>
        <v/>
      </c>
      <c r="K393" s="52" t="str">
        <f>IF(N(B$13)=0,"",IF(AND(COUNT(A384:A395)=2,COUNT(F384:F395)=2),cubic_spline(F383:F385,A383:A385,B$13),IF(AND(COUNT(A384:A395)=3,COUNT(F384:F395)=3),cubic_spline(F383:F386,A383:A386,B$13),IF(AND(COUNT(A384:A395)=4,COUNT(F384:F395)=4),cubic_spline(F383:F387,A383:A387,B$13),IF(AND(COUNT(A384:A395)=5,COUNT(F384:F395)=5),cubic_spline(F383:F388,A383:A388,B$13),IF(AND(COUNT(A384:A395)=6,COUNT(F384:F395)=6),cubic_spline(F383:F389,A383:A389,B$13),IF(AND(COUNT(A384:A395)=7,COUNT(F384:F395)=7),cubic_spline(F383:F390,A383:A390,B$13),IF(AND(COUNT(A384:A395)=8,COUNT(F384:F395)=8),cubic_spline(F383:F391,A383:A391,B$13),IF(AND(COUNT(A384:A395)=9,COUNT(F384:F395)=9),cubic_spline(F383:F392,A383:A392,B$13),IF(AND(COUNT(A384:A395)=10,COUNT(F384:F395)=10),cubic_spline(F383:F393,A383:A393,B$13),IF(AND(COUNT(A384:A395)=11,COUNT(F384:F395)=11),cubic_spline(F383:F394,A383:A394,B$13),IF(AND(COUNT(A384:A395)=12,COUNT(F384:F395)=12),cubic_spline(F383:F395,A383:A395,B$13),""))))))))))))</f>
        <v/>
      </c>
      <c r="L393" s="27" t="str">
        <f>IF(I393="","",B$12&amp;"-"&amp;B$13)</f>
        <v/>
      </c>
      <c r="M393" s="52" t="str">
        <f t="shared" si="145"/>
        <v/>
      </c>
    </row>
    <row r="394" spans="1:13" x14ac:dyDescent="0.35">
      <c r="A394" s="48"/>
      <c r="B394" s="48"/>
      <c r="C394" s="49"/>
      <c r="D394" s="50"/>
      <c r="E394" s="51" t="str">
        <f t="shared" si="144"/>
        <v/>
      </c>
      <c r="F394" s="71" t="str">
        <f t="shared" si="141"/>
        <v/>
      </c>
      <c r="G394" s="69" t="str">
        <f t="shared" si="143"/>
        <v/>
      </c>
      <c r="H394" s="70" t="str">
        <f t="shared" si="142"/>
        <v/>
      </c>
      <c r="I394" s="27" t="str">
        <f>IF(N(J394)=0,"",0&amp;"-"&amp;B$14)</f>
        <v/>
      </c>
      <c r="J394" s="52" t="str">
        <f>IF(N(B$14)=0,"",IF(AND(COUNT(H384:H395)=2,COUNT(F384:F395)=2),cubic_spline(F383:F385,H383:H385,B$14),IF(AND(COUNT(H384:H395)=3,COUNT(F384:F395)=3),cubic_spline(F383:F386,H383:H386,B$14),IF(AND(COUNT(H384:H395)=4,COUNT(F384:F395)=4),cubic_spline(F383:F387,H383:H387,B$14),IF(AND(COUNT(H384:H395)=5,COUNT(F384:F395)=5),cubic_spline(F383:F388,H383:H388,B$14),IF(AND(COUNT(H384:H395)=6,COUNT(F384:F395)=6),cubic_spline(F383:F389,H383:H389,B$14),IF(AND(COUNT(H384:H395)=7,COUNT(F384:F395)=7),cubic_spline(F383:F390,H383:H390,B$14),IF(AND(COUNT(H384:H395)=8,COUNT(F384:F395)=8),cubic_spline(F383:F391,H383:H391,B$14),IF(AND(COUNT(H384:H395)=9,COUNT(F384:F395)=9),cubic_spline(F383:F392,H383:H392,B$14),IF(AND(COUNT(H384:H395)=10,COUNT(F384:F395)=10),cubic_spline(F383:F393,H383:H393,B$14),IF(AND(COUNT(H384:H395)=11,COUNT(F384:F395)=11),cubic_spline(F383:F394,H383:H394,B$14),IF(AND(COUNT(H384:H395)=12,COUNT(F384:F395)=12),cubic_spline(F383:F395,H383:H395,B$14),""))))))))))))</f>
        <v/>
      </c>
      <c r="K394" s="52" t="str">
        <f>IF(N(B$14)=0,"",IF(AND(COUNT(A384:A395)=2,COUNT(F384:F395)=2),cubic_spline(F383:F385,A383:A385,B$14),IF(AND(COUNT(A384:A395)=3,COUNT(F384:F395)=3),cubic_spline(F383:F386,A383:A386,B$14),IF(AND(COUNT(A384:A395)=4,COUNT(F384:F395)=4),cubic_spline(F383:F387,A383:A387,B$14),IF(AND(COUNT(A384:A395)=5,COUNT(F384:F395)=5),cubic_spline(F383:F388,A383:A388,B$14),IF(AND(COUNT(A384:A395)=6,COUNT(F384:F395)=6),cubic_spline(F383:F389,A383:A389,B$14),IF(AND(COUNT(A384:A395)=7,COUNT(F384:F395)=7),cubic_spline(F383:F390,A383:A390,B$14),IF(AND(COUNT(A384:A395)=8,COUNT(F384:F395)=8),cubic_spline(F383:F391,A383:A391,B$14),IF(AND(COUNT(A384:A395)=9,COUNT(F384:F395)=9),cubic_spline(F383:F392,A383:A392,B$14),IF(AND(COUNT(A384:A395)=10,COUNT(F384:F395)=10),cubic_spline(F383:F393,A383:A393,B$14),IF(AND(COUNT(A384:A395)=11,COUNT(F384:F395)=11),cubic_spline(F383:F394,A383:A394,B$14),IF(AND(COUNT(A384:A395)=12,COUNT(F384:F395)=12),cubic_spline(F383:F395,A383:A395,B$14),""))))))))))))</f>
        <v/>
      </c>
      <c r="L394" s="27" t="str">
        <f>IF(I394="","",B$13&amp;"-"&amp;B$14)</f>
        <v/>
      </c>
      <c r="M394" s="52" t="str">
        <f t="shared" si="145"/>
        <v/>
      </c>
    </row>
    <row r="395" spans="1:13" x14ac:dyDescent="0.35">
      <c r="A395" s="48"/>
      <c r="B395" s="48"/>
      <c r="C395" s="49"/>
      <c r="D395" s="50"/>
      <c r="E395" s="51" t="str">
        <f t="shared" si="144"/>
        <v/>
      </c>
      <c r="F395" s="71" t="str">
        <f t="shared" si="141"/>
        <v/>
      </c>
      <c r="G395" s="69" t="str">
        <f t="shared" si="143"/>
        <v/>
      </c>
      <c r="H395" s="70" t="str">
        <f t="shared" si="142"/>
        <v/>
      </c>
      <c r="I395" s="27" t="str">
        <f>IF(N(J395)=0,"",0&amp;"-"&amp;B$15)</f>
        <v/>
      </c>
      <c r="J395" s="52" t="str">
        <f>IF(N(B$15)=0,"",IF(AND(COUNT(H384:H395)=2,COUNT(F384:F395)=2),cubic_spline(F383:F385,H383:H385,B$15),IF(AND(COUNT(H384:H395)=3,COUNT(F384:F395)=3),cubic_spline(F383:F386,H383:H386,B$15),IF(AND(COUNT(H384:H395)=4,COUNT(F384:F395)=4),cubic_spline(F383:F387,H383:H387,B$15),IF(AND(COUNT(H384:H395)=5,COUNT(F384:F395)=5),cubic_spline(F383:F388,H383:H388,B$15),IF(AND(COUNT(H384:H395)=6,COUNT(F384:F395)=6),cubic_spline(F383:F389,H383:H389,B$15),IF(AND(COUNT(H384:H395)=7,COUNT(F384:F395)=7),cubic_spline(F383:F390,H383:H390,B$15),IF(AND(COUNT(H384:H395)=8,COUNT(F384:F395)=8),cubic_spline(F383:F391,H383:H391,B$15),IF(AND(COUNT(H384:H395)=9,COUNT(F384:F395)=9),cubic_spline(F383:F392,H383:H392,B$15),IF(AND(COUNT(H384:H395)=10,COUNT(F384:F395)=10),cubic_spline(F383:F393,H383:H393,B$15),IF(AND(COUNT(H384:H395)=11,COUNT(F384:F395)=11),cubic_spline(F383:F394,H383:H394,B$15),IF(AND(COUNT(H384:H395)=12,COUNT(F384:F395)=12),cubic_spline(F383:F395,H383:H395,B$15),""))))))))))))</f>
        <v/>
      </c>
      <c r="K395" s="52" t="str">
        <f>IF(N(B$15)=0,"",IF(AND(COUNT(A384:A395)=2,COUNT(F384:F395)=2),cubic_spline(F383:F385,A383:A385,B$15),IF(AND(COUNT(A384:A395)=3,COUNT(F384:F395)=3),cubic_spline(F383:F386,A383:A386,B$15),IF(AND(COUNT(A384:A395)=4,COUNT(F384:F395)=4),cubic_spline(F383:F387,A383:A387,B$15),IF(AND(COUNT(A384:A395)=5,COUNT(F384:F395)=5),cubic_spline(F383:F388,A383:A388,B$15),IF(AND(COUNT(A384:A395)=6,COUNT(F384:F395)=6),cubic_spline(F383:F389,A383:A389,B$15),IF(AND(COUNT(A384:A395)=7,COUNT(F384:F395)=7),cubic_spline(F383:F390,A383:A390,B$15),IF(AND(COUNT(A384:A395)=8,COUNT(F384:F395)=8),cubic_spline(F383:F391,A383:A391,B$15),IF(AND(COUNT(A384:A395)=9,COUNT(F384:F395)=9),cubic_spline(F383:F392,A383:A392,B$15),IF(AND(COUNT(A384:A395)=10,COUNT(F384:F395)=10),cubic_spline(F383:F393,A383:A393,B$15),IF(AND(COUNT(A384:A395)=11,COUNT(F384:F395)=11),cubic_spline(F383:F394,A383:A394,B$15),IF(AND(COUNT(A384:A395)=12,COUNT(F384:F395)=12),cubic_spline(F383:F395,A383:A395,B$15),""))))))))))))</f>
        <v/>
      </c>
      <c r="L395" s="27" t="str">
        <f>IF(I395="","",B$14&amp;"-"&amp;B$15)</f>
        <v/>
      </c>
      <c r="M395" s="52" t="str">
        <f t="shared" si="145"/>
        <v/>
      </c>
    </row>
    <row r="396" spans="1:13" ht="5.15" customHeight="1" x14ac:dyDescent="0.35">
      <c r="A396" s="47"/>
      <c r="B396" s="47"/>
      <c r="C396" s="47"/>
      <c r="D396" s="53"/>
      <c r="E396" s="54"/>
      <c r="F396" s="55"/>
      <c r="G396" s="72"/>
      <c r="H396" s="73"/>
      <c r="I396" s="47"/>
      <c r="J396" s="57"/>
      <c r="K396" s="57"/>
      <c r="L396" s="55"/>
      <c r="M396" s="57"/>
    </row>
    <row r="397" spans="1:13" x14ac:dyDescent="0.35">
      <c r="A397" s="48"/>
      <c r="B397" s="48"/>
      <c r="C397" s="49"/>
      <c r="D397" s="50"/>
      <c r="E397" s="51" t="str">
        <f>IF(N(C397)=0,"",C397/PI()/($D$1/2)^2/$D$2*10000)</f>
        <v/>
      </c>
      <c r="F397" s="68" t="str">
        <f t="shared" ref="F397:F408" si="146">IF(N(E397)=0,"",(N(E397)+N(F396)))</f>
        <v/>
      </c>
      <c r="G397" s="69" t="str">
        <f>IF(OR(N(D397)=0,N(E397)=0),"",(E397*D397)/1000)</f>
        <v/>
      </c>
      <c r="H397" s="70" t="str">
        <f t="shared" ref="H397:H408" si="147">IF(N(G397)=0,"",(N(G397)+N(H396)))</f>
        <v/>
      </c>
      <c r="I397" s="27" t="str">
        <f>IF(N(J397)=0,"",0&amp;"-"&amp;B$4)</f>
        <v/>
      </c>
      <c r="J397" s="52" t="str">
        <f>IF(N(B$4)=0,"",IF(AND(COUNT(H397:H408)=2,COUNT(F397:F408)=2),cubic_spline(F396:F398,H396:H398,B$4),IF(AND(COUNT(H397:H408)=3,COUNT(F397:F408)=3),cubic_spline(F396:F399,H396:H399,B$4),IF(AND(COUNT(H397:H408)=4,COUNT(F397:F408)=4),cubic_spline(F396:F400,H396:H400,B$4),IF(AND(COUNT(H397:H408)=5,COUNT(F397:F408)=5),cubic_spline(F396:F401,H396:H401,B$4),IF(AND(COUNT(H397:H408)=6,COUNT(F397:F408)=6),cubic_spline(F396:F402,H396:H402,B$4),IF(AND(COUNT(H397:H408)=7,COUNT(F397:F408)=7),cubic_spline(F396:F403,H396:H403,B$4),IF(AND(COUNT(H397:H408)=8,COUNT(F397:F408)=8),cubic_spline(F396:F404,H396:H404,B$4),IF(AND(COUNT(H397:H408)=9,COUNT(F397:F408)=9),cubic_spline(F396:F405,H396:H405,B$4),IF(AND(COUNT(H397:H408)=10,COUNT(F397:F408)=10),cubic_spline(F396:F406,H396:H406,B$4),IF(AND(COUNT(H397:H408)=11,COUNT(F397:F408)=11),cubic_spline(F396:F407,H396:H407,B$4),IF(AND(COUNT(H397:H408)=12,COUNT(F397:F408)=12),cubic_spline(F396:F408,H396:H408,B$4),""))))))))))))</f>
        <v/>
      </c>
      <c r="K397" s="52" t="str">
        <f>IF(N(B$4)=0,"",IF(AND(COUNT(A397:A408)=2,COUNT(F397:F408)=2),cubic_spline(F396:F398,A396:A398,B$4),IF(AND(COUNT(A397:A408)=3,COUNT(F397:F408)=3),cubic_spline(F396:F399,A396:A399,B$4),IF(AND(COUNT(A397:A408)=4,COUNT(F397:F408)=4),cubic_spline(F396:F400,A396:A400,B$4),IF(AND(COUNT(A397:A408)=5,COUNT(F397:F408)=5),cubic_spline(F396:F401,A396:A401,B$4),IF(AND(COUNT(A397:A408)=6,COUNT(F397:F408)=6),cubic_spline(F396:F402,A396:A402,B$4),IF(AND(COUNT(A397:A408)=7,COUNT(F397:F408)=7),cubic_spline(F396:F403,A396:A403,B$4),IF(AND(COUNT(A397:A408)=8,COUNT(F397:F408)=8),cubic_spline(F396:F404,A396:A404,B$4),IF(AND(COUNT(A397:A408)=9,COUNT(F397:F408)=9),cubic_spline(F396:F405,A396:A405,B$4),IF(AND(COUNT(A397:A408)=10,COUNT(F397:F408)=10),cubic_spline(F396:F406,A396:A406,B$4),IF(AND(COUNT(A397:A408)=11,COUNT(F397:F408)=11),cubic_spline(F396:F407,A396:A407,B$4),IF(AND(COUNT(A397:A408)=12,COUNT(F397:F408)=12),cubic_spline(F396:F408,A396:A408,B$4),""))))))))))))</f>
        <v/>
      </c>
      <c r="L397" s="27" t="str">
        <f>IF(I397="","",0&amp;"-"&amp;B$4)</f>
        <v/>
      </c>
      <c r="M397" s="52" t="str">
        <f>IF(N(J397)=0,"",J397-J396)</f>
        <v/>
      </c>
    </row>
    <row r="398" spans="1:13" x14ac:dyDescent="0.35">
      <c r="A398" s="48"/>
      <c r="B398" s="48"/>
      <c r="C398" s="49"/>
      <c r="D398" s="50"/>
      <c r="E398" s="51" t="str">
        <f>IF(N(C398)=0,"",C398/PI()/($D$1/2)^2/$D$2*10000)</f>
        <v/>
      </c>
      <c r="F398" s="68" t="str">
        <f t="shared" si="146"/>
        <v/>
      </c>
      <c r="G398" s="69" t="str">
        <f t="shared" ref="G398:G408" si="148">IF(OR(N(D398)=0,N(E398)=0),"",(E398*D398)/1000)</f>
        <v/>
      </c>
      <c r="H398" s="70" t="str">
        <f t="shared" si="147"/>
        <v/>
      </c>
      <c r="I398" s="27" t="str">
        <f>IF(N(J398)=0,"",0&amp;"-"&amp;B$5)</f>
        <v/>
      </c>
      <c r="J398" s="52" t="str">
        <f>IF(N(B$5)=0,"",IF(AND(COUNT(H397:H408)=2,COUNT(F397:F408)=2),cubic_spline(F396:F398,H396:H398,B$5),IF(AND(COUNT(H397:H408)=3,COUNT(F397:F408)=3),cubic_spline(F396:F399,H396:H399,B$5),IF(AND(COUNT(H397:H408)=4,COUNT(F397:F408)=4),cubic_spline(F396:F400,H396:H400,B$5),IF(AND(COUNT(H397:H408)=5,COUNT(F397:F408)=5),cubic_spline(F396:F401,H396:H401,B$5),IF(AND(COUNT(H397:H408)=6,COUNT(F397:F408)=6),cubic_spline(F396:F402,H396:H402,B$5),IF(AND(COUNT(H397:H408)=7,COUNT(F397:F408)=7),cubic_spline(F396:F403,H396:H403,B$5),IF(AND(COUNT(H397:H408)=8,COUNT(F397:F408)=8),cubic_spline(F396:F404,H396:H404,B$5),IF(AND(COUNT(H397:H408)=9,COUNT(F397:F408)=9),cubic_spline(F396:F405,H396:H405,B$5),IF(AND(COUNT(H397:H408)=10,COUNT(F397:F408)=10),cubic_spline(F396:F406,H396:H406,B$5),IF(AND(COUNT(H397:H408)=11,COUNT(F397:F408)=11),cubic_spline(F396:F407,H396:H407,B$5),IF(AND(COUNT(H397:H408)=12,COUNT(F397:F408)=12),cubic_spline(F396:F408,H396:H408,B$5),""))))))))))))</f>
        <v/>
      </c>
      <c r="K398" s="52" t="str">
        <f>IF(N(B$5)=0,"",IF(AND(COUNT(A397:A408)=2,COUNT(F397:F408)=2),cubic_spline(F396:F398,A396:A398,B$5),IF(AND(COUNT(A397:A408)=3,COUNT(F397:F408)=3),cubic_spline(F396:F399,A396:A399,B$5),IF(AND(COUNT(A397:A408)=4,COUNT(F397:F408)=4),cubic_spline(F396:F400,A396:A400,B$5),IF(AND(COUNT(A397:A408)=5,COUNT(F397:F408)=5),cubic_spline(F396:F401,A396:A401,B$5),IF(AND(COUNT(A397:A408)=6,COUNT(F397:F408)=6),cubic_spline(F396:F402,A396:A402,B$5),IF(AND(COUNT(A397:A408)=7,COUNT(F397:F408)=7),cubic_spline(F396:F403,A396:A403,B$5),IF(AND(COUNT(A397:A408)=8,COUNT(F397:F408)=8),cubic_spline(F396:F404,A396:A404,B$5),IF(AND(COUNT(A397:A408)=9,COUNT(F397:F408)=9),cubic_spline(F396:F405,A396:A405,B$5),IF(AND(COUNT(A397:A408)=10,COUNT(F397:F408)=10),cubic_spline(F396:F406,A396:A406,B$5),IF(AND(COUNT(A397:A408)=11,COUNT(F397:F408)=11),cubic_spline(F396:F407,A396:A407,B$5),IF(AND(COUNT(A397:A408)=12,COUNT(F397:F408)=12),cubic_spline(F396:F408,A396:A408,B$5),""))))))))))))</f>
        <v/>
      </c>
      <c r="L398" s="27" t="str">
        <f>IF(I398="","",B$4&amp;"-"&amp;B$5)</f>
        <v/>
      </c>
      <c r="M398" s="52" t="str">
        <f>IF(N(J398)=0,"",J398-J397)</f>
        <v/>
      </c>
    </row>
    <row r="399" spans="1:13" x14ac:dyDescent="0.35">
      <c r="A399" s="48"/>
      <c r="B399" s="48"/>
      <c r="C399" s="49"/>
      <c r="D399" s="50"/>
      <c r="E399" s="51" t="str">
        <f>IF(N(C399)=0,"",C399/PI()/($D$1/2)^2/$D$2*10000)</f>
        <v/>
      </c>
      <c r="F399" s="68" t="str">
        <f t="shared" si="146"/>
        <v/>
      </c>
      <c r="G399" s="69" t="str">
        <f t="shared" si="148"/>
        <v/>
      </c>
      <c r="H399" s="70" t="str">
        <f t="shared" si="147"/>
        <v/>
      </c>
      <c r="I399" s="27" t="str">
        <f>IF(N(J399)=0,"",0&amp;"-"&amp;B$6)</f>
        <v/>
      </c>
      <c r="J399" s="52" t="str">
        <f>IF(N(B$6)=0,"",IF(AND(COUNT(H397:H408)=2,COUNT(F397:F408)=2),cubic_spline(F396:F398,H396:H398,B$6),IF(AND(COUNT(H397:H408)=3,COUNT(F397:F408)=3),cubic_spline(F396:F399,H396:H399,B$6),IF(AND(COUNT(H397:H408)=4,COUNT(F397:F408)=4),cubic_spline(F396:F400,H396:H400,B$6),IF(AND(COUNT(H397:H408)=5,COUNT(F397:F408)=5),cubic_spline(F396:F401,H396:H401,B$6),IF(AND(COUNT(H397:H408)=6,COUNT(F397:F408)=6),cubic_spline(F396:F402,H396:H402,B$6),IF(AND(COUNT(H397:H408)=7,COUNT(F397:F408)=7),cubic_spline(F396:F403,H396:H403,B$6),IF(AND(COUNT(H397:H408)=8,COUNT(F397:F408)=8),cubic_spline(F396:F404,H396:H404,B$6),IF(AND(COUNT(H397:H408)=9,COUNT(F397:F408)=9),cubic_spline(F396:F405,H396:H405,B$6),IF(AND(COUNT(H397:H408)=10,COUNT(F397:F408)=10),cubic_spline(F396:F406,H396:H406,B$6),IF(AND(COUNT(H397:H408)=11,COUNT(F397:F408)=11),cubic_spline(F396:F407,H396:H407,B$6),IF(AND(COUNT(H397:H408)=12,COUNT(F397:F408)=12),cubic_spline(F396:F408,H396:H408,B$6),""))))))))))))</f>
        <v/>
      </c>
      <c r="K399" s="52" t="str">
        <f>IF(N(B$6)=0,"",IF(AND(COUNT(A397:A408)=2,COUNT(F397:F408)=2),cubic_spline(F396:F398,A396:A398,B$6),IF(AND(COUNT(A397:A408)=3,COUNT(F397:F408)=3),cubic_spline(F396:F399,A396:A399,B$6),IF(AND(COUNT(A397:A408)=4,COUNT(F397:F408)=4),cubic_spline(F396:F400,A396:A400,B$6),IF(AND(COUNT(A397:A408)=5,COUNT(F397:F408)=5),cubic_spline(F396:F401,A396:A401,B$6),IF(AND(COUNT(A397:A408)=6,COUNT(F397:F408)=6),cubic_spline(F396:F402,A396:A402,B$6),IF(AND(COUNT(A397:A408)=7,COUNT(F397:F408)=7),cubic_spline(F396:F403,A396:A403,B$6),IF(AND(COUNT(A397:A408)=8,COUNT(F397:F408)=8),cubic_spline(F396:F404,A396:A404,B$6),IF(AND(COUNT(A397:A408)=9,COUNT(F397:F408)=9),cubic_spline(F396:F405,A396:A405,B$6),IF(AND(COUNT(A397:A408)=10,COUNT(F397:F408)=10),cubic_spline(F396:F406,A396:A406,B$6),IF(AND(COUNT(A397:A408)=11,COUNT(F397:F408)=11),cubic_spline(F396:F407,A396:A407,B$6),IF(AND(COUNT(A397:A408)=12,COUNT(F397:F408)=12),cubic_spline(F396:F408,A396:A408,B$6),""))))))))))))</f>
        <v/>
      </c>
      <c r="L399" s="27" t="str">
        <f>IF(I399="","",B$5&amp;"-"&amp;B$6)</f>
        <v/>
      </c>
      <c r="M399" s="52" t="str">
        <f>IF(N(J399)=0,"",J399-J398)</f>
        <v/>
      </c>
    </row>
    <row r="400" spans="1:13" x14ac:dyDescent="0.35">
      <c r="A400" s="48"/>
      <c r="B400" s="48"/>
      <c r="C400" s="49"/>
      <c r="D400" s="50"/>
      <c r="E400" s="51" t="str">
        <f>IF(N(C400)=0,"",C400/PI()/($D$1/2)^2/$D$2*10000)</f>
        <v/>
      </c>
      <c r="F400" s="68" t="str">
        <f t="shared" si="146"/>
        <v/>
      </c>
      <c r="G400" s="69" t="str">
        <f t="shared" si="148"/>
        <v/>
      </c>
      <c r="H400" s="70" t="str">
        <f t="shared" si="147"/>
        <v/>
      </c>
      <c r="I400" s="27" t="str">
        <f>IF(N(J400)=0,"",0&amp;"-"&amp;B$7)</f>
        <v/>
      </c>
      <c r="J400" s="52" t="str">
        <f>IF(N(B$7)=0,"",IF(AND(COUNT(H397:H408)=2,COUNT(F397:F408)=2),cubic_spline(F396:F398,H396:H398,B$7),IF(AND(COUNT(H397:H408)=3,COUNT(F397:F408)=3),cubic_spline(F396:F399,H396:H399,B$7),IF(AND(COUNT(H397:H408)=4,COUNT(F397:F408)=4),cubic_spline(F396:F400,H396:H400,B$7),IF(AND(COUNT(H397:H408)=5,COUNT(F397:F408)=5),cubic_spline(F396:F401,H396:H401,B$7),IF(AND(COUNT(H397:H408)=6,COUNT(F397:F408)=6),cubic_spline(F396:F402,H396:H402,B$7),IF(AND(COUNT(H397:H408)=7,COUNT(F397:F408)=7),cubic_spline(F396:F403,H396:H403,B$7),IF(AND(COUNT(H397:H408)=8,COUNT(F397:F408)=8),cubic_spline(F396:F404,H396:H404,B$7),IF(AND(COUNT(H397:H408)=9,COUNT(F397:F408)=9),cubic_spline(F396:F405,H396:H405,B$7),IF(AND(COUNT(H397:H408)=10,COUNT(F397:F408)=10),cubic_spline(F396:F406,H396:H406,B$7),IF(AND(COUNT(H397:H408)=11,COUNT(F397:F408)=11),cubic_spline(F396:F407,H396:H407,B$7),IF(AND(COUNT(H397:H408)=12,COUNT(F397:F408)=12),cubic_spline(F396:F408,H396:H408,B$7),""))))))))))))</f>
        <v/>
      </c>
      <c r="K400" s="52" t="str">
        <f>IF(N(B$7)=0,"",IF(AND(COUNT(A397:A408)=2,COUNT(F397:F408)=2),cubic_spline(F396:F398,A396:A398,B$7),IF(AND(COUNT(A397:A408)=3,COUNT(F397:F408)=3),cubic_spline(F396:F399,A396:A399,B$7),IF(AND(COUNT(A397:A408)=4,COUNT(F397:F408)=4),cubic_spline(F396:F400,A396:A400,B$7),IF(AND(COUNT(A397:A408)=5,COUNT(F397:F408)=5),cubic_spline(F396:F401,A396:A401,B$7),IF(AND(COUNT(A397:A408)=6,COUNT(F397:F408)=6),cubic_spline(F396:F402,A396:A402,B$7),IF(AND(COUNT(A397:A408)=7,COUNT(F397:F408)=7),cubic_spline(F396:F403,A396:A403,B$7),IF(AND(COUNT(A397:A408)=8,COUNT(F397:F408)=8),cubic_spline(F396:F404,A396:A404,B$7),IF(AND(COUNT(A397:A408)=9,COUNT(F397:F408)=9),cubic_spline(F396:F405,A396:A405,B$7),IF(AND(COUNT(A397:A408)=10,COUNT(F397:F408)=10),cubic_spline(F396:F406,A396:A406,B$7),IF(AND(COUNT(A397:A408)=11,COUNT(F397:F408)=11),cubic_spline(F396:F407,A396:A407,B$7),IF(AND(COUNT(A397:A408)=12,COUNT(F397:F408)=12),cubic_spline(F396:F408,A396:A408,B$7),""))))))))))))</f>
        <v/>
      </c>
      <c r="L400" s="27" t="str">
        <f>IF(I400="","",B$6&amp;"-"&amp;B$7)</f>
        <v/>
      </c>
      <c r="M400" s="52" t="str">
        <f>IF(N(J400)=0,"",J400-J399)</f>
        <v/>
      </c>
    </row>
    <row r="401" spans="1:13" x14ac:dyDescent="0.35">
      <c r="A401" s="48"/>
      <c r="B401" s="48"/>
      <c r="C401" s="49"/>
      <c r="D401" s="50"/>
      <c r="E401" s="51" t="str">
        <f t="shared" ref="E401:E408" si="149">IF(N(C401)=0,"",C401/PI()/($D$1/2)^2/$D$2*10000)</f>
        <v/>
      </c>
      <c r="F401" s="71" t="str">
        <f t="shared" si="146"/>
        <v/>
      </c>
      <c r="G401" s="69" t="str">
        <f t="shared" si="148"/>
        <v/>
      </c>
      <c r="H401" s="70" t="str">
        <f t="shared" si="147"/>
        <v/>
      </c>
      <c r="I401" s="27" t="str">
        <f>IF(N(J401)=0,"",0&amp;"-"&amp;B$8)</f>
        <v/>
      </c>
      <c r="J401" s="52" t="str">
        <f>IF(N(B$8)=0,"",IF(AND(COUNT(H397:H408)=2,COUNT(F397:F408)=2),cubic_spline(F396:F398,H396:H398,B$8),IF(AND(COUNT(H397:H408)=3,COUNT(F397:F408)=3),cubic_spline(F396:F399,H396:H399,B$8),IF(AND(COUNT(H397:H408)=4,COUNT(F397:F408)=4),cubic_spline(F396:F400,H396:H400,B$8),IF(AND(COUNT(H397:H408)=5,COUNT(F397:F408)=5),cubic_spline(F396:F401,H396:H401,B$8),IF(AND(COUNT(H397:H408)=6,COUNT(F397:F408)=6),cubic_spline(F396:F402,H396:H402,B$8),IF(AND(COUNT(H397:H408)=7,COUNT(F397:F408)=7),cubic_spline(F396:F403,H396:H403,B$8),IF(AND(COUNT(H397:H408)=8,COUNT(F397:F408)=8),cubic_spline(F396:F404,H396:H404,B$8),IF(AND(COUNT(H397:H408)=9,COUNT(F397:F408)=9),cubic_spline(F396:F405,H396:H405,B$8),IF(AND(COUNT(H397:H408)=10,COUNT(F397:F408)=10),cubic_spline(F396:F406,H396:H406,B$8),IF(AND(COUNT(H397:H408)=11,COUNT(F397:F408)=11),cubic_spline(F396:F407,H396:H407,B$8),IF(AND(COUNT(H397:H408)=12,COUNT(F397:F408)=12),cubic_spline(F396:F408,H396:H408,B$8),""))))))))))))</f>
        <v/>
      </c>
      <c r="K401" s="52" t="str">
        <f>IF(N(B$8)=0,"",IF(AND(COUNT(A397:A408)=2,COUNT(F397:F408)=2),cubic_spline(F396:F398,A396:A398,B$8),IF(AND(COUNT(A397:A408)=3,COUNT(F397:F408)=3),cubic_spline(F396:F399,A396:A399,B$8),IF(AND(COUNT(A397:A408)=4,COUNT(F397:F408)=4),cubic_spline(F396:F400,A396:A400,B$8),IF(AND(COUNT(A397:A408)=5,COUNT(F397:F408)=5),cubic_spline(F396:F401,A396:A401,B$8),IF(AND(COUNT(A397:A408)=6,COUNT(F397:F408)=6),cubic_spline(F396:F402,A396:A402,B$8),IF(AND(COUNT(A397:A408)=7,COUNT(F397:F408)=7),cubic_spline(F396:F403,A396:A403,B$8),IF(AND(COUNT(A397:A408)=8,COUNT(F397:F408)=8),cubic_spline(F396:F404,A396:A404,B$8),IF(AND(COUNT(A397:A408)=9,COUNT(F397:F408)=9),cubic_spline(F396:F405,A396:A405,B$8),IF(AND(COUNT(A397:A408)=10,COUNT(F397:F408)=10),cubic_spline(F396:F406,A396:A406,B$8),IF(AND(COUNT(A397:A408)=11,COUNT(F397:F408)=11),cubic_spline(F396:F407,A396:A407,B$8),IF(AND(COUNT(A397:A408)=12,COUNT(F397:F408)=12),cubic_spline(F396:F408,A396:A408,B$8),""))))))))))))</f>
        <v/>
      </c>
      <c r="L401" s="27" t="str">
        <f>IF(I401="","",B$7&amp;"-"&amp;B$8)</f>
        <v/>
      </c>
      <c r="M401" s="52" t="str">
        <f>IF(N(J401)=0,"",J401-J400)</f>
        <v/>
      </c>
    </row>
    <row r="402" spans="1:13" x14ac:dyDescent="0.35">
      <c r="A402" s="48"/>
      <c r="B402" s="48"/>
      <c r="C402" s="49"/>
      <c r="D402" s="50"/>
      <c r="E402" s="51" t="str">
        <f t="shared" si="149"/>
        <v/>
      </c>
      <c r="F402" s="71" t="str">
        <f t="shared" si="146"/>
        <v/>
      </c>
      <c r="G402" s="69" t="str">
        <f t="shared" si="148"/>
        <v/>
      </c>
      <c r="H402" s="70" t="str">
        <f t="shared" si="147"/>
        <v/>
      </c>
      <c r="I402" s="27" t="str">
        <f>IF(N(J402)=0,"",0&amp;"-"&amp;B$9)</f>
        <v/>
      </c>
      <c r="J402" s="52" t="str">
        <f>IF(N(B$9)=0,"",IF(AND(COUNT(H397:H408)=2,COUNT(F397:F408)=2),cubic_spline(F396:F398,H396:H398,B$9),IF(AND(COUNT(H397:H408)=3,COUNT(F397:F408)=3),cubic_spline(F396:F399,H396:H399,B$9),IF(AND(COUNT(H397:H408)=4,COUNT(F397:F408)=4),cubic_spline(F396:F400,H396:H400,B$9),IF(AND(COUNT(H397:H408)=5,COUNT(F397:F408)=5),cubic_spline(F396:F401,H396:H401,B$9),IF(AND(COUNT(H397:H408)=6,COUNT(F397:F408)=6),cubic_spline(F396:F402,H396:H402,B$9),IF(AND(COUNT(H397:H408)=7,COUNT(F397:F408)=7),cubic_spline(F396:F403,H396:H403,B$9),IF(AND(COUNT(H397:H408)=8,COUNT(F397:F408)=8),cubic_spline(F396:F404,H396:H404,B$9),IF(AND(COUNT(H397:H408)=9,COUNT(F397:F408)=9),cubic_spline(F396:F405,H396:H405,B$9),IF(AND(COUNT(H397:H408)=10,COUNT(F397:F408)=10),cubic_spline(F396:F406,H396:H406,B$9),IF(AND(COUNT(H397:H408)=11,COUNT(F397:F408)=11),cubic_spline(F396:F407,H396:H407,B$9),IF(AND(COUNT(H397:H408)=12,COUNT(F397:F408)=12),cubic_spline(F396:F408,H396:H408,B$9),""))))))))))))</f>
        <v/>
      </c>
      <c r="K402" s="52" t="str">
        <f>IF(N(B$9)=0,"",IF(AND(COUNT(A397:A408)=2,COUNT(F397:F408)=2),cubic_spline(F396:F398,A396:A398,B$9),IF(AND(COUNT(A397:A408)=3,COUNT(F397:F408)=3),cubic_spline(F396:F399,A396:A399,B$9),IF(AND(COUNT(A397:A408)=4,COUNT(F397:F408)=4),cubic_spline(F396:F400,A396:A400,B$9),IF(AND(COUNT(A397:A408)=5,COUNT(F397:F408)=5),cubic_spline(F396:F401,A396:A401,B$9),IF(AND(COUNT(A397:A408)=6,COUNT(F397:F408)=6),cubic_spline(F396:F402,A396:A402,B$9),IF(AND(COUNT(A397:A408)=7,COUNT(F397:F408)=7),cubic_spline(F396:F403,A396:A403,B$9),IF(AND(COUNT(A397:A408)=8,COUNT(F397:F408)=8),cubic_spline(F396:F404,A396:A404,B$9),IF(AND(COUNT(A397:A408)=9,COUNT(F397:F408)=9),cubic_spline(F396:F405,A396:A405,B$9),IF(AND(COUNT(A397:A408)=10,COUNT(F397:F408)=10),cubic_spline(F396:F406,A396:A406,B$9),IF(AND(COUNT(A397:A408)=11,COUNT(F397:F408)=11),cubic_spline(F396:F407,A396:A407,B$9),IF(AND(COUNT(A397:A408)=12,COUNT(F397:F408)=12),cubic_spline(F396:F408,A396:A408,B$9),""))))))))))))</f>
        <v/>
      </c>
      <c r="L402" s="27" t="str">
        <f>IF(I402="","",B$8&amp;"-"&amp;B$9)</f>
        <v/>
      </c>
      <c r="M402" s="52" t="str">
        <f t="shared" ref="M402:M408" si="150">IF(N(J402)=0,"",J402-J401)</f>
        <v/>
      </c>
    </row>
    <row r="403" spans="1:13" x14ac:dyDescent="0.35">
      <c r="A403" s="48"/>
      <c r="B403" s="48"/>
      <c r="C403" s="49"/>
      <c r="D403" s="50"/>
      <c r="E403" s="51" t="str">
        <f t="shared" si="149"/>
        <v/>
      </c>
      <c r="F403" s="71" t="str">
        <f t="shared" si="146"/>
        <v/>
      </c>
      <c r="G403" s="69" t="str">
        <f t="shared" si="148"/>
        <v/>
      </c>
      <c r="H403" s="70" t="str">
        <f t="shared" si="147"/>
        <v/>
      </c>
      <c r="I403" s="27" t="str">
        <f>IF(N(J403)=0,"",0&amp;"-"&amp;B$10)</f>
        <v/>
      </c>
      <c r="J403" s="52" t="str">
        <f>IF(N(B$10)=0,"",IF(AND(COUNT(H397:H408)=2,COUNT(F397:F408)=2),cubic_spline(F396:F398,H396:H398,B$10),IF(AND(COUNT(H397:H408)=3,COUNT(F397:F408)=3),cubic_spline(F396:F399,H396:H399,B$10),IF(AND(COUNT(H397:H408)=4,COUNT(F397:F408)=4),cubic_spline(F396:F400,H396:H400,B$10),IF(AND(COUNT(H397:H408)=5,COUNT(F397:F408)=5),cubic_spline(F396:F401,H396:H401,B$10),IF(AND(COUNT(H397:H408)=6,COUNT(F397:F408)=6),cubic_spline(F396:F402,H396:H402,B$10),IF(AND(COUNT(H397:H408)=7,COUNT(F397:F408)=7),cubic_spline(F396:F403,H396:H403,B$10),IF(AND(COUNT(H397:H408)=8,COUNT(F397:F408)=8),cubic_spline(F396:F404,H396:H404,B$10),IF(AND(COUNT(H397:H408)=9,COUNT(F397:F408)=9),cubic_spline(F396:F405,H396:H405,B$10),IF(AND(COUNT(H397:H408)=10,COUNT(F397:F408)=10),cubic_spline(F396:F406,H396:H406,B$10),IF(AND(COUNT(H397:H408)=11,COUNT(F397:F408)=11),cubic_spline(F396:F407,H396:H407,B$10),IF(AND(COUNT(H397:H408)=12,COUNT(F397:F408)=12),cubic_spline(F396:F408,H396:H408,B$10),""))))))))))))</f>
        <v/>
      </c>
      <c r="K403" s="52" t="str">
        <f>IF(N(B$10)=0,"",IF(AND(COUNT(A397:A408)=2,COUNT(F397:F408)=2),cubic_spline(F396:F398,A396:A398,B$10),IF(AND(COUNT(A397:A408)=3,COUNT(F397:F408)=3),cubic_spline(F396:F399,A396:A399,B$10),IF(AND(COUNT(A397:A408)=4,COUNT(F397:F408)=4),cubic_spline(F396:F400,A396:A400,B$10),IF(AND(COUNT(A397:A408)=5,COUNT(F397:F408)=5),cubic_spline(F396:F401,A396:A401,B$10),IF(AND(COUNT(A397:A408)=6,COUNT(F397:F408)=6),cubic_spline(F396:F402,A396:A402,B$10),IF(AND(COUNT(A397:A408)=7,COUNT(F397:F408)=7),cubic_spline(F396:F403,A396:A403,B$10),IF(AND(COUNT(A397:A408)=8,COUNT(F397:F408)=8),cubic_spline(F396:F404,A396:A404,B$10),IF(AND(COUNT(A397:A408)=9,COUNT(F397:F408)=9),cubic_spline(F396:F405,A396:A405,B$10),IF(AND(COUNT(A397:A408)=10,COUNT(F397:F408)=10),cubic_spline(F396:F406,A396:A406,B$10),IF(AND(COUNT(A397:A408)=11,COUNT(F397:F408)=11),cubic_spline(F396:F407,A396:A407,B$10),IF(AND(COUNT(A397:A408)=12,COUNT(F397:F408)=12),cubic_spline(F396:F408,A396:A408,B$10),""))))))))))))</f>
        <v/>
      </c>
      <c r="L403" s="27" t="str">
        <f>IF(I403="","",B$9&amp;"-"&amp;B$10)</f>
        <v/>
      </c>
      <c r="M403" s="52" t="str">
        <f t="shared" si="150"/>
        <v/>
      </c>
    </row>
    <row r="404" spans="1:13" x14ac:dyDescent="0.35">
      <c r="A404" s="48"/>
      <c r="B404" s="48"/>
      <c r="C404" s="49"/>
      <c r="D404" s="50"/>
      <c r="E404" s="51" t="str">
        <f t="shared" si="149"/>
        <v/>
      </c>
      <c r="F404" s="71" t="str">
        <f t="shared" si="146"/>
        <v/>
      </c>
      <c r="G404" s="69" t="str">
        <f t="shared" si="148"/>
        <v/>
      </c>
      <c r="H404" s="70" t="str">
        <f t="shared" si="147"/>
        <v/>
      </c>
      <c r="I404" s="27" t="str">
        <f>IF(N(J404)=0,"",0&amp;"-"&amp;B$11)</f>
        <v/>
      </c>
      <c r="J404" s="52" t="str">
        <f>IF(N(B$11)=0,"",IF(AND(COUNT(H397:H408)=2,COUNT(F397:F408)=2),cubic_spline(F396:F398,H396:H398,B$11),IF(AND(COUNT(H397:H408)=3,COUNT(F397:F408)=3),cubic_spline(F396:F399,H396:H399,B$11),IF(AND(COUNT(H397:H408)=4,COUNT(F397:F408)=4),cubic_spline(F396:F400,H396:H400,B$11),IF(AND(COUNT(H397:H408)=5,COUNT(F397:F408)=5),cubic_spline(F396:F401,H396:H401,B$11),IF(AND(COUNT(H397:H408)=6,COUNT(F397:F408)=6),cubic_spline(F396:F402,H396:H402,B$11),IF(AND(COUNT(H397:H408)=7,COUNT(F397:F408)=7),cubic_spline(F396:F403,H396:H403,B$11),IF(AND(COUNT(H397:H408)=8,COUNT(F397:F408)=8),cubic_spline(F396:F404,H396:H404,B$11),IF(AND(COUNT(H397:H408)=9,COUNT(F397:F408)=9),cubic_spline(F396:F405,H396:H405,B$11),IF(AND(COUNT(H397:H408)=10,COUNT(F397:F408)=10),cubic_spline(F396:F406,H396:H406,B$11),IF(AND(COUNT(H397:H408)=11,COUNT(F397:F408)=11),cubic_spline(F396:F407,H396:H407,B$11),IF(AND(COUNT(H397:H408)=12,COUNT(F397:F408)=12),cubic_spline(F396:F408,H396:H408,B$11),""))))))))))))</f>
        <v/>
      </c>
      <c r="K404" s="52" t="str">
        <f>IF(N(B$11)=0,"",IF(AND(COUNT(A397:A408)=2,COUNT(F397:F408)=2),cubic_spline(F396:F398,A396:A398,B$11),IF(AND(COUNT(A397:A408)=3,COUNT(F397:F408)=3),cubic_spline(F396:F399,A396:A399,B$11),IF(AND(COUNT(A397:A408)=4,COUNT(F397:F408)=4),cubic_spline(F396:F400,A396:A400,B$11),IF(AND(COUNT(A397:A408)=5,COUNT(F397:F408)=5),cubic_spline(F396:F401,A396:A401,B$11),IF(AND(COUNT(A397:A408)=6,COUNT(F397:F408)=6),cubic_spline(F396:F402,A396:A402,B$11),IF(AND(COUNT(A397:A408)=7,COUNT(F397:F408)=7),cubic_spline(F396:F403,A396:A403,B$11),IF(AND(COUNT(A397:A408)=8,COUNT(F397:F408)=8),cubic_spline(F396:F404,A396:A404,B$11),IF(AND(COUNT(A397:A408)=9,COUNT(F397:F408)=9),cubic_spline(F396:F405,A396:A405,B$11),IF(AND(COUNT(A397:A408)=10,COUNT(F397:F408)=10),cubic_spline(F396:F406,A396:A406,B$11),IF(AND(COUNT(A397:A408)=11,COUNT(F397:F408)=11),cubic_spline(F396:F407,A396:A407,B$11),IF(AND(COUNT(A397:A408)=12,COUNT(F397:F408)=12),cubic_spline(F396:F408,A396:A408,B$11),""))))))))))))</f>
        <v/>
      </c>
      <c r="L404" s="27" t="str">
        <f>IF(I404="","",B$10&amp;"-"&amp;B$11)</f>
        <v/>
      </c>
      <c r="M404" s="52" t="str">
        <f t="shared" si="150"/>
        <v/>
      </c>
    </row>
    <row r="405" spans="1:13" x14ac:dyDescent="0.35">
      <c r="A405" s="48"/>
      <c r="B405" s="48"/>
      <c r="C405" s="49"/>
      <c r="D405" s="50"/>
      <c r="E405" s="51" t="str">
        <f t="shared" si="149"/>
        <v/>
      </c>
      <c r="F405" s="71" t="str">
        <f t="shared" si="146"/>
        <v/>
      </c>
      <c r="G405" s="69" t="str">
        <f t="shared" si="148"/>
        <v/>
      </c>
      <c r="H405" s="70" t="str">
        <f t="shared" si="147"/>
        <v/>
      </c>
      <c r="I405" s="27" t="str">
        <f>IF(N(J405)=0,"",0&amp;"-"&amp;B$12)</f>
        <v/>
      </c>
      <c r="J405" s="52" t="str">
        <f>IF(N(B$12)=0,"",IF(AND(COUNT(H397:H408)=2,COUNT(F397:F408)=2),cubic_spline(F396:F398,H396:H398,B$12),IF(AND(COUNT(H397:H408)=3,COUNT(F397:F408)=3),cubic_spline(F396:F399,H396:H399,B$12),IF(AND(COUNT(H397:H408)=4,COUNT(F397:F408)=4),cubic_spline(F396:F400,H396:H400,B$12),IF(AND(COUNT(H397:H408)=5,COUNT(F397:F408)=5),cubic_spline(F396:F401,H396:H401,B$12),IF(AND(COUNT(H397:H408)=6,COUNT(F397:F408)=6),cubic_spline(F396:F402,H396:H402,B$12),IF(AND(COUNT(H397:H408)=7,COUNT(F397:F408)=7),cubic_spline(F396:F403,H396:H403,B$12),IF(AND(COUNT(H397:H408)=8,COUNT(F397:F408)=8),cubic_spline(F396:F404,H396:H404,B$12),IF(AND(COUNT(H397:H408)=9,COUNT(F397:F408)=9),cubic_spline(F396:F405,H396:H405,B$12),IF(AND(COUNT(H397:H408)=10,COUNT(F397:F408)=10),cubic_spline(F396:F406,H396:H406,B$12),IF(AND(COUNT(H397:H408)=11,COUNT(F397:F408)=11),cubic_spline(F396:F407,H396:H407,B$12),IF(AND(COUNT(H397:H408)=12,COUNT(F397:F408)=12),cubic_spline(F396:F408,H396:H408,B$12),""))))))))))))</f>
        <v/>
      </c>
      <c r="K405" s="52" t="str">
        <f>IF(N(B$12)=0,"",IF(AND(COUNT(A397:A408)=2,COUNT(F397:F408)=2),cubic_spline(F396:F398,A396:A398,B$12),IF(AND(COUNT(A397:A408)=3,COUNT(F397:F408)=3),cubic_spline(F396:F399,A396:A399,B$12),IF(AND(COUNT(A397:A408)=4,COUNT(F397:F408)=4),cubic_spline(F396:F400,A396:A400,B$12),IF(AND(COUNT(A397:A408)=5,COUNT(F397:F408)=5),cubic_spline(F396:F401,A396:A401,B$12),IF(AND(COUNT(A397:A408)=6,COUNT(F397:F408)=6),cubic_spline(F396:F402,A396:A402,B$12),IF(AND(COUNT(A397:A408)=7,COUNT(F397:F408)=7),cubic_spline(F396:F403,A396:A403,B$12),IF(AND(COUNT(A397:A408)=8,COUNT(F397:F408)=8),cubic_spline(F396:F404,A396:A404,B$12),IF(AND(COUNT(A397:A408)=9,COUNT(F397:F408)=9),cubic_spline(F396:F405,A396:A405,B$12),IF(AND(COUNT(A397:A408)=10,COUNT(F397:F408)=10),cubic_spline(F396:F406,A396:A406,B$12),IF(AND(COUNT(A397:A408)=11,COUNT(F397:F408)=11),cubic_spline(F396:F407,A396:A407,B$12),IF(AND(COUNT(A397:A408)=12,COUNT(F397:F408)=12),cubic_spline(F396:F408,A396:A408,B$12),""))))))))))))</f>
        <v/>
      </c>
      <c r="L405" s="27" t="str">
        <f>IF(I405="","",B$11&amp;"-"&amp;B$12)</f>
        <v/>
      </c>
      <c r="M405" s="52" t="str">
        <f t="shared" si="150"/>
        <v/>
      </c>
    </row>
    <row r="406" spans="1:13" x14ac:dyDescent="0.35">
      <c r="A406" s="48"/>
      <c r="B406" s="48"/>
      <c r="C406" s="49"/>
      <c r="D406" s="50"/>
      <c r="E406" s="51" t="str">
        <f t="shared" si="149"/>
        <v/>
      </c>
      <c r="F406" s="71" t="str">
        <f t="shared" si="146"/>
        <v/>
      </c>
      <c r="G406" s="69" t="str">
        <f t="shared" si="148"/>
        <v/>
      </c>
      <c r="H406" s="70" t="str">
        <f t="shared" si="147"/>
        <v/>
      </c>
      <c r="I406" s="27" t="str">
        <f>IF(N(J406)=0,"",0&amp;"-"&amp;B$13)</f>
        <v/>
      </c>
      <c r="J406" s="52" t="str">
        <f>IF(N(B$13)=0,"",IF(AND(COUNT(H397:H408)=2,COUNT(F397:F408)=2),cubic_spline(F396:F398,H396:H398,B$13),IF(AND(COUNT(H397:H408)=3,COUNT(F397:F408)=3),cubic_spline(F396:F399,H396:H399,B$13),IF(AND(COUNT(H397:H408)=4,COUNT(F397:F408)=4),cubic_spline(F396:F400,H396:H400,B$13),IF(AND(COUNT(H397:H408)=5,COUNT(F397:F408)=5),cubic_spline(F396:F401,H396:H401,B$13),IF(AND(COUNT(H397:H408)=6,COUNT(F397:F408)=6),cubic_spline(F396:F402,H396:H402,B$13),IF(AND(COUNT(H397:H408)=7,COUNT(F397:F408)=7),cubic_spline(F396:F403,H396:H403,B$13),IF(AND(COUNT(H397:H408)=8,COUNT(F397:F408)=8),cubic_spline(F396:F404,H396:H404,B$13),IF(AND(COUNT(H397:H408)=9,COUNT(F397:F408)=9),cubic_spline(F396:F405,H396:H405,B$13),IF(AND(COUNT(H397:H408)=10,COUNT(F397:F408)=10),cubic_spline(F396:F406,H396:H406,B$13),IF(AND(COUNT(H397:H408)=11,COUNT(F397:F408)=11),cubic_spline(F396:F407,H396:H407,B$13),IF(AND(COUNT(H397:H408)=12,COUNT(F397:F408)=12),cubic_spline(F396:F408,H396:H408,B$13),""))))))))))))</f>
        <v/>
      </c>
      <c r="K406" s="52" t="str">
        <f>IF(N(B$13)=0,"",IF(AND(COUNT(A397:A408)=2,COUNT(F397:F408)=2),cubic_spline(F396:F398,A396:A398,B$13),IF(AND(COUNT(A397:A408)=3,COUNT(F397:F408)=3),cubic_spline(F396:F399,A396:A399,B$13),IF(AND(COUNT(A397:A408)=4,COUNT(F397:F408)=4),cubic_spline(F396:F400,A396:A400,B$13),IF(AND(COUNT(A397:A408)=5,COUNT(F397:F408)=5),cubic_spline(F396:F401,A396:A401,B$13),IF(AND(COUNT(A397:A408)=6,COUNT(F397:F408)=6),cubic_spline(F396:F402,A396:A402,B$13),IF(AND(COUNT(A397:A408)=7,COUNT(F397:F408)=7),cubic_spline(F396:F403,A396:A403,B$13),IF(AND(COUNT(A397:A408)=8,COUNT(F397:F408)=8),cubic_spline(F396:F404,A396:A404,B$13),IF(AND(COUNT(A397:A408)=9,COUNT(F397:F408)=9),cubic_spline(F396:F405,A396:A405,B$13),IF(AND(COUNT(A397:A408)=10,COUNT(F397:F408)=10),cubic_spline(F396:F406,A396:A406,B$13),IF(AND(COUNT(A397:A408)=11,COUNT(F397:F408)=11),cubic_spline(F396:F407,A396:A407,B$13),IF(AND(COUNT(A397:A408)=12,COUNT(F397:F408)=12),cubic_spline(F396:F408,A396:A408,B$13),""))))))))))))</f>
        <v/>
      </c>
      <c r="L406" s="27" t="str">
        <f>IF(I406="","",B$12&amp;"-"&amp;B$13)</f>
        <v/>
      </c>
      <c r="M406" s="52" t="str">
        <f t="shared" si="150"/>
        <v/>
      </c>
    </row>
    <row r="407" spans="1:13" x14ac:dyDescent="0.35">
      <c r="A407" s="48"/>
      <c r="B407" s="48"/>
      <c r="C407" s="49"/>
      <c r="D407" s="50"/>
      <c r="E407" s="51" t="str">
        <f t="shared" si="149"/>
        <v/>
      </c>
      <c r="F407" s="71" t="str">
        <f t="shared" si="146"/>
        <v/>
      </c>
      <c r="G407" s="69" t="str">
        <f t="shared" si="148"/>
        <v/>
      </c>
      <c r="H407" s="70" t="str">
        <f t="shared" si="147"/>
        <v/>
      </c>
      <c r="I407" s="27" t="str">
        <f>IF(N(J407)=0,"",0&amp;"-"&amp;B$14)</f>
        <v/>
      </c>
      <c r="J407" s="52" t="str">
        <f>IF(N(B$14)=0,"",IF(AND(COUNT(H397:H408)=2,COUNT(F397:F408)=2),cubic_spline(F396:F398,H396:H398,B$14),IF(AND(COUNT(H397:H408)=3,COUNT(F397:F408)=3),cubic_spline(F396:F399,H396:H399,B$14),IF(AND(COUNT(H397:H408)=4,COUNT(F397:F408)=4),cubic_spline(F396:F400,H396:H400,B$14),IF(AND(COUNT(H397:H408)=5,COUNT(F397:F408)=5),cubic_spline(F396:F401,H396:H401,B$14),IF(AND(COUNT(H397:H408)=6,COUNT(F397:F408)=6),cubic_spline(F396:F402,H396:H402,B$14),IF(AND(COUNT(H397:H408)=7,COUNT(F397:F408)=7),cubic_spline(F396:F403,H396:H403,B$14),IF(AND(COUNT(H397:H408)=8,COUNT(F397:F408)=8),cubic_spline(F396:F404,H396:H404,B$14),IF(AND(COUNT(H397:H408)=9,COUNT(F397:F408)=9),cubic_spline(F396:F405,H396:H405,B$14),IF(AND(COUNT(H397:H408)=10,COUNT(F397:F408)=10),cubic_spline(F396:F406,H396:H406,B$14),IF(AND(COUNT(H397:H408)=11,COUNT(F397:F408)=11),cubic_spline(F396:F407,H396:H407,B$14),IF(AND(COUNT(H397:H408)=12,COUNT(F397:F408)=12),cubic_spline(F396:F408,H396:H408,B$14),""))))))))))))</f>
        <v/>
      </c>
      <c r="K407" s="52" t="str">
        <f>IF(N(B$14)=0,"",IF(AND(COUNT(A397:A408)=2,COUNT(F397:F408)=2),cubic_spline(F396:F398,A396:A398,B$14),IF(AND(COUNT(A397:A408)=3,COUNT(F397:F408)=3),cubic_spline(F396:F399,A396:A399,B$14),IF(AND(COUNT(A397:A408)=4,COUNT(F397:F408)=4),cubic_spline(F396:F400,A396:A400,B$14),IF(AND(COUNT(A397:A408)=5,COUNT(F397:F408)=5),cubic_spline(F396:F401,A396:A401,B$14),IF(AND(COUNT(A397:A408)=6,COUNT(F397:F408)=6),cubic_spline(F396:F402,A396:A402,B$14),IF(AND(COUNT(A397:A408)=7,COUNT(F397:F408)=7),cubic_spline(F396:F403,A396:A403,B$14),IF(AND(COUNT(A397:A408)=8,COUNT(F397:F408)=8),cubic_spline(F396:F404,A396:A404,B$14),IF(AND(COUNT(A397:A408)=9,COUNT(F397:F408)=9),cubic_spline(F396:F405,A396:A405,B$14),IF(AND(COUNT(A397:A408)=10,COUNT(F397:F408)=10),cubic_spline(F396:F406,A396:A406,B$14),IF(AND(COUNT(A397:A408)=11,COUNT(F397:F408)=11),cubic_spline(F396:F407,A396:A407,B$14),IF(AND(COUNT(A397:A408)=12,COUNT(F397:F408)=12),cubic_spline(F396:F408,A396:A408,B$14),""))))))))))))</f>
        <v/>
      </c>
      <c r="L407" s="27" t="str">
        <f>IF(I407="","",B$13&amp;"-"&amp;B$14)</f>
        <v/>
      </c>
      <c r="M407" s="52" t="str">
        <f t="shared" si="150"/>
        <v/>
      </c>
    </row>
    <row r="408" spans="1:13" x14ac:dyDescent="0.35">
      <c r="A408" s="48"/>
      <c r="B408" s="48"/>
      <c r="C408" s="49"/>
      <c r="D408" s="50"/>
      <c r="E408" s="51" t="str">
        <f t="shared" si="149"/>
        <v/>
      </c>
      <c r="F408" s="71" t="str">
        <f t="shared" si="146"/>
        <v/>
      </c>
      <c r="G408" s="69" t="str">
        <f t="shared" si="148"/>
        <v/>
      </c>
      <c r="H408" s="70" t="str">
        <f t="shared" si="147"/>
        <v/>
      </c>
      <c r="I408" s="27" t="str">
        <f>IF(N(J408)=0,"",0&amp;"-"&amp;B$15)</f>
        <v/>
      </c>
      <c r="J408" s="52" t="str">
        <f>IF(N(B$15)=0,"",IF(AND(COUNT(H397:H408)=2,COUNT(F397:F408)=2),cubic_spline(F396:F398,H396:H398,B$15),IF(AND(COUNT(H397:H408)=3,COUNT(F397:F408)=3),cubic_spline(F396:F399,H396:H399,B$15),IF(AND(COUNT(H397:H408)=4,COUNT(F397:F408)=4),cubic_spline(F396:F400,H396:H400,B$15),IF(AND(COUNT(H397:H408)=5,COUNT(F397:F408)=5),cubic_spline(F396:F401,H396:H401,B$15),IF(AND(COUNT(H397:H408)=6,COUNT(F397:F408)=6),cubic_spline(F396:F402,H396:H402,B$15),IF(AND(COUNT(H397:H408)=7,COUNT(F397:F408)=7),cubic_spline(F396:F403,H396:H403,B$15),IF(AND(COUNT(H397:H408)=8,COUNT(F397:F408)=8),cubic_spline(F396:F404,H396:H404,B$15),IF(AND(COUNT(H397:H408)=9,COUNT(F397:F408)=9),cubic_spline(F396:F405,H396:H405,B$15),IF(AND(COUNT(H397:H408)=10,COUNT(F397:F408)=10),cubic_spline(F396:F406,H396:H406,B$15),IF(AND(COUNT(H397:H408)=11,COUNT(F397:F408)=11),cubic_spline(F396:F407,H396:H407,B$15),IF(AND(COUNT(H397:H408)=12,COUNT(F397:F408)=12),cubic_spline(F396:F408,H396:H408,B$15),""))))))))))))</f>
        <v/>
      </c>
      <c r="K408" s="52" t="str">
        <f>IF(N(B$15)=0,"",IF(AND(COUNT(A397:A408)=2,COUNT(F397:F408)=2),cubic_spline(F396:F398,A396:A398,B$15),IF(AND(COUNT(A397:A408)=3,COUNT(F397:F408)=3),cubic_spline(F396:F399,A396:A399,B$15),IF(AND(COUNT(A397:A408)=4,COUNT(F397:F408)=4),cubic_spline(F396:F400,A396:A400,B$15),IF(AND(COUNT(A397:A408)=5,COUNT(F397:F408)=5),cubic_spline(F396:F401,A396:A401,B$15),IF(AND(COUNT(A397:A408)=6,COUNT(F397:F408)=6),cubic_spline(F396:F402,A396:A402,B$15),IF(AND(COUNT(A397:A408)=7,COUNT(F397:F408)=7),cubic_spline(F396:F403,A396:A403,B$15),IF(AND(COUNT(A397:A408)=8,COUNT(F397:F408)=8),cubic_spline(F396:F404,A396:A404,B$15),IF(AND(COUNT(A397:A408)=9,COUNT(F397:F408)=9),cubic_spline(F396:F405,A396:A405,B$15),IF(AND(COUNT(A397:A408)=10,COUNT(F397:F408)=10),cubic_spline(F396:F406,A396:A406,B$15),IF(AND(COUNT(A397:A408)=11,COUNT(F397:F408)=11),cubic_spline(F396:F407,A396:A407,B$15),IF(AND(COUNT(A397:A408)=12,COUNT(F397:F408)=12),cubic_spline(F396:F408,A396:A408,B$15),""))))))))))))</f>
        <v/>
      </c>
      <c r="L408" s="27" t="str">
        <f>IF(I408="","",B$14&amp;"-"&amp;B$15)</f>
        <v/>
      </c>
      <c r="M408" s="52" t="str">
        <f t="shared" si="150"/>
        <v/>
      </c>
    </row>
    <row r="409" spans="1:13" ht="5.15" customHeight="1" x14ac:dyDescent="0.35">
      <c r="A409" s="47"/>
      <c r="B409" s="47"/>
      <c r="C409" s="47"/>
      <c r="D409" s="53"/>
      <c r="E409" s="54"/>
      <c r="F409" s="55"/>
      <c r="G409" s="72"/>
      <c r="H409" s="73"/>
      <c r="I409" s="47"/>
      <c r="J409" s="57"/>
      <c r="K409" s="57"/>
      <c r="L409" s="55"/>
      <c r="M409" s="57"/>
    </row>
    <row r="410" spans="1:13" x14ac:dyDescent="0.35">
      <c r="A410" s="48"/>
      <c r="B410" s="48"/>
      <c r="C410" s="49"/>
      <c r="D410" s="50"/>
      <c r="E410" s="51" t="str">
        <f>IF(N(C410)=0,"",C410/PI()/($D$1/2)^2/$D$2*10000)</f>
        <v/>
      </c>
      <c r="F410" s="68" t="str">
        <f t="shared" ref="F410:F421" si="151">IF(N(E410)=0,"",(N(E410)+N(F409)))</f>
        <v/>
      </c>
      <c r="G410" s="69" t="str">
        <f>IF(OR(N(D410)=0,N(E410)=0),"",(E410*D410)/1000)</f>
        <v/>
      </c>
      <c r="H410" s="70" t="str">
        <f t="shared" ref="H410:H421" si="152">IF(N(G410)=0,"",(N(G410)+N(H409)))</f>
        <v/>
      </c>
      <c r="I410" s="27" t="str">
        <f>IF(N(J410)=0,"",0&amp;"-"&amp;B$4)</f>
        <v/>
      </c>
      <c r="J410" s="52" t="str">
        <f>IF(N(B$4)=0,"",IF(AND(COUNT(H410:H421)=2,COUNT(F410:F421)=2),cubic_spline(F409:F411,H409:H411,B$4),IF(AND(COUNT(H410:H421)=3,COUNT(F410:F421)=3),cubic_spline(F409:F412,H409:H412,B$4),IF(AND(COUNT(H410:H421)=4,COUNT(F410:F421)=4),cubic_spline(F409:F413,H409:H413,B$4),IF(AND(COUNT(H410:H421)=5,COUNT(F410:F421)=5),cubic_spline(F409:F414,H409:H414,B$4),IF(AND(COUNT(H410:H421)=6,COUNT(F410:F421)=6),cubic_spline(F409:F415,H409:H415,B$4),IF(AND(COUNT(H410:H421)=7,COUNT(F410:F421)=7),cubic_spline(F409:F416,H409:H416,B$4),IF(AND(COUNT(H410:H421)=8,COUNT(F410:F421)=8),cubic_spline(F409:F417,H409:H417,B$4),IF(AND(COUNT(H410:H421)=9,COUNT(F410:F421)=9),cubic_spline(F409:F418,H409:H418,B$4),IF(AND(COUNT(H410:H421)=10,COUNT(F410:F421)=10),cubic_spline(F409:F419,H409:H419,B$4),IF(AND(COUNT(H410:H421)=11,COUNT(F410:F421)=11),cubic_spline(F409:F420,H409:H420,B$4),IF(AND(COUNT(H410:H421)=12,COUNT(F410:F421)=12),cubic_spline(F409:F421,H409:H421,B$4),""))))))))))))</f>
        <v/>
      </c>
      <c r="K410" s="52" t="str">
        <f>IF(N(B$4)=0,"",IF(AND(COUNT(A410:A421)=2,COUNT(F410:F421)=2),cubic_spline(F409:F411,A409:A411,B$4),IF(AND(COUNT(A410:A421)=3,COUNT(F410:F421)=3),cubic_spline(F409:F412,A409:A412,B$4),IF(AND(COUNT(A410:A421)=4,COUNT(F410:F421)=4),cubic_spline(F409:F413,A409:A413,B$4),IF(AND(COUNT(A410:A421)=5,COUNT(F410:F421)=5),cubic_spline(F409:F414,A409:A414,B$4),IF(AND(COUNT(A410:A421)=6,COUNT(F410:F421)=6),cubic_spline(F409:F415,A409:A415,B$4),IF(AND(COUNT(A410:A421)=7,COUNT(F410:F421)=7),cubic_spline(F409:F416,A409:A416,B$4),IF(AND(COUNT(A410:A421)=8,COUNT(F410:F421)=8),cubic_spline(F409:F417,A409:A417,B$4),IF(AND(COUNT(A410:A421)=9,COUNT(F410:F421)=9),cubic_spline(F409:F418,A409:A418,B$4),IF(AND(COUNT(A410:A421)=10,COUNT(F410:F421)=10),cubic_spline(F409:F419,A409:A419,B$4),IF(AND(COUNT(A410:A421)=11,COUNT(F410:F421)=11),cubic_spline(F409:F420,A409:A420,B$4),IF(AND(COUNT(A410:A421)=12,COUNT(F410:F421)=12),cubic_spline(F409:F421,A409:A421,B$4),""))))))))))))</f>
        <v/>
      </c>
      <c r="L410" s="27" t="str">
        <f>IF(I410="","",0&amp;"-"&amp;B$4)</f>
        <v/>
      </c>
      <c r="M410" s="52" t="str">
        <f>IF(N(J410)=0,"",J410-J409)</f>
        <v/>
      </c>
    </row>
    <row r="411" spans="1:13" x14ac:dyDescent="0.35">
      <c r="A411" s="48"/>
      <c r="B411" s="48"/>
      <c r="C411" s="49"/>
      <c r="D411" s="50"/>
      <c r="E411" s="51" t="str">
        <f>IF(N(C411)=0,"",C411/PI()/($D$1/2)^2/$D$2*10000)</f>
        <v/>
      </c>
      <c r="F411" s="68" t="str">
        <f t="shared" si="151"/>
        <v/>
      </c>
      <c r="G411" s="69" t="str">
        <f t="shared" ref="G411:G421" si="153">IF(OR(N(D411)=0,N(E411)=0),"",(E411*D411)/1000)</f>
        <v/>
      </c>
      <c r="H411" s="70" t="str">
        <f t="shared" si="152"/>
        <v/>
      </c>
      <c r="I411" s="27" t="str">
        <f>IF(N(J411)=0,"",0&amp;"-"&amp;B$5)</f>
        <v/>
      </c>
      <c r="J411" s="52" t="str">
        <f>IF(N(B$5)=0,"",IF(AND(COUNT(H410:H421)=2,COUNT(F410:F421)=2),cubic_spline(F409:F411,H409:H411,B$5),IF(AND(COUNT(H410:H421)=3,COUNT(F410:F421)=3),cubic_spline(F409:F412,H409:H412,B$5),IF(AND(COUNT(H410:H421)=4,COUNT(F410:F421)=4),cubic_spline(F409:F413,H409:H413,B$5),IF(AND(COUNT(H410:H421)=5,COUNT(F410:F421)=5),cubic_spline(F409:F414,H409:H414,B$5),IF(AND(COUNT(H410:H421)=6,COUNT(F410:F421)=6),cubic_spline(F409:F415,H409:H415,B$5),IF(AND(COUNT(H410:H421)=7,COUNT(F410:F421)=7),cubic_spline(F409:F416,H409:H416,B$5),IF(AND(COUNT(H410:H421)=8,COUNT(F410:F421)=8),cubic_spline(F409:F417,H409:H417,B$5),IF(AND(COUNT(H410:H421)=9,COUNT(F410:F421)=9),cubic_spline(F409:F418,H409:H418,B$5),IF(AND(COUNT(H410:H421)=10,COUNT(F410:F421)=10),cubic_spline(F409:F419,H409:H419,B$5),IF(AND(COUNT(H410:H421)=11,COUNT(F410:F421)=11),cubic_spline(F409:F420,H409:H420,B$5),IF(AND(COUNT(H410:H421)=12,COUNT(F410:F421)=12),cubic_spline(F409:F421,H409:H421,B$5),""))))))))))))</f>
        <v/>
      </c>
      <c r="K411" s="52" t="str">
        <f>IF(N(B$5)=0,"",IF(AND(COUNT(A410:A421)=2,COUNT(F410:F421)=2),cubic_spline(F409:F411,A409:A411,B$5),IF(AND(COUNT(A410:A421)=3,COUNT(F410:F421)=3),cubic_spline(F409:F412,A409:A412,B$5),IF(AND(COUNT(A410:A421)=4,COUNT(F410:F421)=4),cubic_spline(F409:F413,A409:A413,B$5),IF(AND(COUNT(A410:A421)=5,COUNT(F410:F421)=5),cubic_spline(F409:F414,A409:A414,B$5),IF(AND(COUNT(A410:A421)=6,COUNT(F410:F421)=6),cubic_spline(F409:F415,A409:A415,B$5),IF(AND(COUNT(A410:A421)=7,COUNT(F410:F421)=7),cubic_spline(F409:F416,A409:A416,B$5),IF(AND(COUNT(A410:A421)=8,COUNT(F410:F421)=8),cubic_spline(F409:F417,A409:A417,B$5),IF(AND(COUNT(A410:A421)=9,COUNT(F410:F421)=9),cubic_spline(F409:F418,A409:A418,B$5),IF(AND(COUNT(A410:A421)=10,COUNT(F410:F421)=10),cubic_spline(F409:F419,A409:A419,B$5),IF(AND(COUNT(A410:A421)=11,COUNT(F410:F421)=11),cubic_spline(F409:F420,A409:A420,B$5),IF(AND(COUNT(A410:A421)=12,COUNT(F410:F421)=12),cubic_spline(F409:F421,A409:A421,B$5),""))))))))))))</f>
        <v/>
      </c>
      <c r="L411" s="27" t="str">
        <f>IF(I411="","",B$4&amp;"-"&amp;B$5)</f>
        <v/>
      </c>
      <c r="M411" s="52" t="str">
        <f>IF(N(J411)=0,"",J411-J410)</f>
        <v/>
      </c>
    </row>
    <row r="412" spans="1:13" x14ac:dyDescent="0.35">
      <c r="A412" s="48"/>
      <c r="B412" s="48"/>
      <c r="C412" s="49"/>
      <c r="D412" s="50"/>
      <c r="E412" s="51" t="str">
        <f>IF(N(C412)=0,"",C412/PI()/($D$1/2)^2/$D$2*10000)</f>
        <v/>
      </c>
      <c r="F412" s="68" t="str">
        <f t="shared" si="151"/>
        <v/>
      </c>
      <c r="G412" s="69" t="str">
        <f t="shared" si="153"/>
        <v/>
      </c>
      <c r="H412" s="70" t="str">
        <f t="shared" si="152"/>
        <v/>
      </c>
      <c r="I412" s="27" t="str">
        <f>IF(N(J412)=0,"",0&amp;"-"&amp;B$6)</f>
        <v/>
      </c>
      <c r="J412" s="52" t="str">
        <f>IF(N(B$6)=0,"",IF(AND(COUNT(H410:H421)=2,COUNT(F410:F421)=2),cubic_spline(F409:F411,H409:H411,B$6),IF(AND(COUNT(H410:H421)=3,COUNT(F410:F421)=3),cubic_spline(F409:F412,H409:H412,B$6),IF(AND(COUNT(H410:H421)=4,COUNT(F410:F421)=4),cubic_spline(F409:F413,H409:H413,B$6),IF(AND(COUNT(H410:H421)=5,COUNT(F410:F421)=5),cubic_spline(F409:F414,H409:H414,B$6),IF(AND(COUNT(H410:H421)=6,COUNT(F410:F421)=6),cubic_spline(F409:F415,H409:H415,B$6),IF(AND(COUNT(H410:H421)=7,COUNT(F410:F421)=7),cubic_spline(F409:F416,H409:H416,B$6),IF(AND(COUNT(H410:H421)=8,COUNT(F410:F421)=8),cubic_spline(F409:F417,H409:H417,B$6),IF(AND(COUNT(H410:H421)=9,COUNT(F410:F421)=9),cubic_spline(F409:F418,H409:H418,B$6),IF(AND(COUNT(H410:H421)=10,COUNT(F410:F421)=10),cubic_spline(F409:F419,H409:H419,B$6),IF(AND(COUNT(H410:H421)=11,COUNT(F410:F421)=11),cubic_spline(F409:F420,H409:H420,B$6),IF(AND(COUNT(H410:H421)=12,COUNT(F410:F421)=12),cubic_spline(F409:F421,H409:H421,B$6),""))))))))))))</f>
        <v/>
      </c>
      <c r="K412" s="52" t="str">
        <f>IF(N(B$6)=0,"",IF(AND(COUNT(A410:A421)=2,COUNT(F410:F421)=2),cubic_spline(F409:F411,A409:A411,B$6),IF(AND(COUNT(A410:A421)=3,COUNT(F410:F421)=3),cubic_spline(F409:F412,A409:A412,B$6),IF(AND(COUNT(A410:A421)=4,COUNT(F410:F421)=4),cubic_spline(F409:F413,A409:A413,B$6),IF(AND(COUNT(A410:A421)=5,COUNT(F410:F421)=5),cubic_spline(F409:F414,A409:A414,B$6),IF(AND(COUNT(A410:A421)=6,COUNT(F410:F421)=6),cubic_spline(F409:F415,A409:A415,B$6),IF(AND(COUNT(A410:A421)=7,COUNT(F410:F421)=7),cubic_spline(F409:F416,A409:A416,B$6),IF(AND(COUNT(A410:A421)=8,COUNT(F410:F421)=8),cubic_spline(F409:F417,A409:A417,B$6),IF(AND(COUNT(A410:A421)=9,COUNT(F410:F421)=9),cubic_spline(F409:F418,A409:A418,B$6),IF(AND(COUNT(A410:A421)=10,COUNT(F410:F421)=10),cubic_spline(F409:F419,A409:A419,B$6),IF(AND(COUNT(A410:A421)=11,COUNT(F410:F421)=11),cubic_spline(F409:F420,A409:A420,B$6),IF(AND(COUNT(A410:A421)=12,COUNT(F410:F421)=12),cubic_spline(F409:F421,A409:A421,B$6),""))))))))))))</f>
        <v/>
      </c>
      <c r="L412" s="27" t="str">
        <f>IF(I412="","",B$5&amp;"-"&amp;B$6)</f>
        <v/>
      </c>
      <c r="M412" s="52" t="str">
        <f>IF(N(J412)=0,"",J412-J411)</f>
        <v/>
      </c>
    </row>
    <row r="413" spans="1:13" x14ac:dyDescent="0.35">
      <c r="A413" s="48"/>
      <c r="B413" s="48"/>
      <c r="C413" s="49"/>
      <c r="D413" s="50"/>
      <c r="E413" s="51" t="str">
        <f>IF(N(C413)=0,"",C413/PI()/($D$1/2)^2/$D$2*10000)</f>
        <v/>
      </c>
      <c r="F413" s="68" t="str">
        <f t="shared" si="151"/>
        <v/>
      </c>
      <c r="G413" s="69" t="str">
        <f t="shared" si="153"/>
        <v/>
      </c>
      <c r="H413" s="70" t="str">
        <f t="shared" si="152"/>
        <v/>
      </c>
      <c r="I413" s="27" t="str">
        <f>IF(N(J413)=0,"",0&amp;"-"&amp;B$7)</f>
        <v/>
      </c>
      <c r="J413" s="52" t="str">
        <f>IF(N(B$7)=0,"",IF(AND(COUNT(H410:H421)=2,COUNT(F410:F421)=2),cubic_spline(F409:F411,H409:H411,B$7),IF(AND(COUNT(H410:H421)=3,COUNT(F410:F421)=3),cubic_spline(F409:F412,H409:H412,B$7),IF(AND(COUNT(H410:H421)=4,COUNT(F410:F421)=4),cubic_spline(F409:F413,H409:H413,B$7),IF(AND(COUNT(H410:H421)=5,COUNT(F410:F421)=5),cubic_spline(F409:F414,H409:H414,B$7),IF(AND(COUNT(H410:H421)=6,COUNT(F410:F421)=6),cubic_spline(F409:F415,H409:H415,B$7),IF(AND(COUNT(H410:H421)=7,COUNT(F410:F421)=7),cubic_spline(F409:F416,H409:H416,B$7),IF(AND(COUNT(H410:H421)=8,COUNT(F410:F421)=8),cubic_spline(F409:F417,H409:H417,B$7),IF(AND(COUNT(H410:H421)=9,COUNT(F410:F421)=9),cubic_spline(F409:F418,H409:H418,B$7),IF(AND(COUNT(H410:H421)=10,COUNT(F410:F421)=10),cubic_spline(F409:F419,H409:H419,B$7),IF(AND(COUNT(H410:H421)=11,COUNT(F410:F421)=11),cubic_spline(F409:F420,H409:H420,B$7),IF(AND(COUNT(H410:H421)=12,COUNT(F410:F421)=12),cubic_spline(F409:F421,H409:H421,B$7),""))))))))))))</f>
        <v/>
      </c>
      <c r="K413" s="52" t="str">
        <f>IF(N(B$7)=0,"",IF(AND(COUNT(A410:A421)=2,COUNT(F410:F421)=2),cubic_spline(F409:F411,A409:A411,B$7),IF(AND(COUNT(A410:A421)=3,COUNT(F410:F421)=3),cubic_spline(F409:F412,A409:A412,B$7),IF(AND(COUNT(A410:A421)=4,COUNT(F410:F421)=4),cubic_spline(F409:F413,A409:A413,B$7),IF(AND(COUNT(A410:A421)=5,COUNT(F410:F421)=5),cubic_spline(F409:F414,A409:A414,B$7),IF(AND(COUNT(A410:A421)=6,COUNT(F410:F421)=6),cubic_spline(F409:F415,A409:A415,B$7),IF(AND(COUNT(A410:A421)=7,COUNT(F410:F421)=7),cubic_spline(F409:F416,A409:A416,B$7),IF(AND(COUNT(A410:A421)=8,COUNT(F410:F421)=8),cubic_spline(F409:F417,A409:A417,B$7),IF(AND(COUNT(A410:A421)=9,COUNT(F410:F421)=9),cubic_spline(F409:F418,A409:A418,B$7),IF(AND(COUNT(A410:A421)=10,COUNT(F410:F421)=10),cubic_spline(F409:F419,A409:A419,B$7),IF(AND(COUNT(A410:A421)=11,COUNT(F410:F421)=11),cubic_spline(F409:F420,A409:A420,B$7),IF(AND(COUNT(A410:A421)=12,COUNT(F410:F421)=12),cubic_spline(F409:F421,A409:A421,B$7),""))))))))))))</f>
        <v/>
      </c>
      <c r="L413" s="27" t="str">
        <f>IF(I413="","",B$6&amp;"-"&amp;B$7)</f>
        <v/>
      </c>
      <c r="M413" s="52" t="str">
        <f>IF(N(J413)=0,"",J413-J412)</f>
        <v/>
      </c>
    </row>
    <row r="414" spans="1:13" x14ac:dyDescent="0.35">
      <c r="A414" s="48"/>
      <c r="B414" s="48"/>
      <c r="C414" s="49"/>
      <c r="D414" s="50"/>
      <c r="E414" s="51" t="str">
        <f t="shared" ref="E414:E421" si="154">IF(N(C414)=0,"",C414/PI()/($D$1/2)^2/$D$2*10000)</f>
        <v/>
      </c>
      <c r="F414" s="71" t="str">
        <f t="shared" si="151"/>
        <v/>
      </c>
      <c r="G414" s="69" t="str">
        <f t="shared" si="153"/>
        <v/>
      </c>
      <c r="H414" s="70" t="str">
        <f t="shared" si="152"/>
        <v/>
      </c>
      <c r="I414" s="27" t="str">
        <f>IF(N(J414)=0,"",0&amp;"-"&amp;B$8)</f>
        <v/>
      </c>
      <c r="J414" s="52" t="str">
        <f>IF(N(B$8)=0,"",IF(AND(COUNT(H410:H421)=2,COUNT(F410:F421)=2),cubic_spline(F409:F411,H409:H411,B$8),IF(AND(COUNT(H410:H421)=3,COUNT(F410:F421)=3),cubic_spline(F409:F412,H409:H412,B$8),IF(AND(COUNT(H410:H421)=4,COUNT(F410:F421)=4),cubic_spline(F409:F413,H409:H413,B$8),IF(AND(COUNT(H410:H421)=5,COUNT(F410:F421)=5),cubic_spline(F409:F414,H409:H414,B$8),IF(AND(COUNT(H410:H421)=6,COUNT(F410:F421)=6),cubic_spline(F409:F415,H409:H415,B$8),IF(AND(COUNT(H410:H421)=7,COUNT(F410:F421)=7),cubic_spline(F409:F416,H409:H416,B$8),IF(AND(COUNT(H410:H421)=8,COUNT(F410:F421)=8),cubic_spline(F409:F417,H409:H417,B$8),IF(AND(COUNT(H410:H421)=9,COUNT(F410:F421)=9),cubic_spline(F409:F418,H409:H418,B$8),IF(AND(COUNT(H410:H421)=10,COUNT(F410:F421)=10),cubic_spline(F409:F419,H409:H419,B$8),IF(AND(COUNT(H410:H421)=11,COUNT(F410:F421)=11),cubic_spline(F409:F420,H409:H420,B$8),IF(AND(COUNT(H410:H421)=12,COUNT(F410:F421)=12),cubic_spline(F409:F421,H409:H421,B$8),""))))))))))))</f>
        <v/>
      </c>
      <c r="K414" s="52" t="str">
        <f>IF(N(B$8)=0,"",IF(AND(COUNT(A410:A421)=2,COUNT(F410:F421)=2),cubic_spline(F409:F411,A409:A411,B$8),IF(AND(COUNT(A410:A421)=3,COUNT(F410:F421)=3),cubic_spline(F409:F412,A409:A412,B$8),IF(AND(COUNT(A410:A421)=4,COUNT(F410:F421)=4),cubic_spline(F409:F413,A409:A413,B$8),IF(AND(COUNT(A410:A421)=5,COUNT(F410:F421)=5),cubic_spline(F409:F414,A409:A414,B$8),IF(AND(COUNT(A410:A421)=6,COUNT(F410:F421)=6),cubic_spline(F409:F415,A409:A415,B$8),IF(AND(COUNT(A410:A421)=7,COUNT(F410:F421)=7),cubic_spline(F409:F416,A409:A416,B$8),IF(AND(COUNT(A410:A421)=8,COUNT(F410:F421)=8),cubic_spline(F409:F417,A409:A417,B$8),IF(AND(COUNT(A410:A421)=9,COUNT(F410:F421)=9),cubic_spline(F409:F418,A409:A418,B$8),IF(AND(COUNT(A410:A421)=10,COUNT(F410:F421)=10),cubic_spline(F409:F419,A409:A419,B$8),IF(AND(COUNT(A410:A421)=11,COUNT(F410:F421)=11),cubic_spline(F409:F420,A409:A420,B$8),IF(AND(COUNT(A410:A421)=12,COUNT(F410:F421)=12),cubic_spline(F409:F421,A409:A421,B$8),""))))))))))))</f>
        <v/>
      </c>
      <c r="L414" s="27" t="str">
        <f>IF(I414="","",B$7&amp;"-"&amp;B$8)</f>
        <v/>
      </c>
      <c r="M414" s="52" t="str">
        <f>IF(N(J414)=0,"",J414-J413)</f>
        <v/>
      </c>
    </row>
    <row r="415" spans="1:13" x14ac:dyDescent="0.35">
      <c r="A415" s="48"/>
      <c r="B415" s="48"/>
      <c r="C415" s="49"/>
      <c r="D415" s="50"/>
      <c r="E415" s="51" t="str">
        <f t="shared" si="154"/>
        <v/>
      </c>
      <c r="F415" s="71" t="str">
        <f t="shared" si="151"/>
        <v/>
      </c>
      <c r="G415" s="69" t="str">
        <f t="shared" si="153"/>
        <v/>
      </c>
      <c r="H415" s="70" t="str">
        <f t="shared" si="152"/>
        <v/>
      </c>
      <c r="I415" s="27" t="str">
        <f>IF(N(J415)=0,"",0&amp;"-"&amp;B$9)</f>
        <v/>
      </c>
      <c r="J415" s="52" t="str">
        <f>IF(N(B$9)=0,"",IF(AND(COUNT(H410:H421)=2,COUNT(F410:F421)=2),cubic_spline(F409:F411,H409:H411,B$9),IF(AND(COUNT(H410:H421)=3,COUNT(F410:F421)=3),cubic_spline(F409:F412,H409:H412,B$9),IF(AND(COUNT(H410:H421)=4,COUNT(F410:F421)=4),cubic_spline(F409:F413,H409:H413,B$9),IF(AND(COUNT(H410:H421)=5,COUNT(F410:F421)=5),cubic_spline(F409:F414,H409:H414,B$9),IF(AND(COUNT(H410:H421)=6,COUNT(F410:F421)=6),cubic_spline(F409:F415,H409:H415,B$9),IF(AND(COUNT(H410:H421)=7,COUNT(F410:F421)=7),cubic_spline(F409:F416,H409:H416,B$9),IF(AND(COUNT(H410:H421)=8,COUNT(F410:F421)=8),cubic_spline(F409:F417,H409:H417,B$9),IF(AND(COUNT(H410:H421)=9,COUNT(F410:F421)=9),cubic_spline(F409:F418,H409:H418,B$9),IF(AND(COUNT(H410:H421)=10,COUNT(F410:F421)=10),cubic_spline(F409:F419,H409:H419,B$9),IF(AND(COUNT(H410:H421)=11,COUNT(F410:F421)=11),cubic_spline(F409:F420,H409:H420,B$9),IF(AND(COUNT(H410:H421)=12,COUNT(F410:F421)=12),cubic_spline(F409:F421,H409:H421,B$9),""))))))))))))</f>
        <v/>
      </c>
      <c r="K415" s="52" t="str">
        <f>IF(N(B$9)=0,"",IF(AND(COUNT(A410:A421)=2,COUNT(F410:F421)=2),cubic_spline(F409:F411,A409:A411,B$9),IF(AND(COUNT(A410:A421)=3,COUNT(F410:F421)=3),cubic_spline(F409:F412,A409:A412,B$9),IF(AND(COUNT(A410:A421)=4,COUNT(F410:F421)=4),cubic_spline(F409:F413,A409:A413,B$9),IF(AND(COUNT(A410:A421)=5,COUNT(F410:F421)=5),cubic_spline(F409:F414,A409:A414,B$9),IF(AND(COUNT(A410:A421)=6,COUNT(F410:F421)=6),cubic_spline(F409:F415,A409:A415,B$9),IF(AND(COUNT(A410:A421)=7,COUNT(F410:F421)=7),cubic_spline(F409:F416,A409:A416,B$9),IF(AND(COUNT(A410:A421)=8,COUNT(F410:F421)=8),cubic_spline(F409:F417,A409:A417,B$9),IF(AND(COUNT(A410:A421)=9,COUNT(F410:F421)=9),cubic_spline(F409:F418,A409:A418,B$9),IF(AND(COUNT(A410:A421)=10,COUNT(F410:F421)=10),cubic_spline(F409:F419,A409:A419,B$9),IF(AND(COUNT(A410:A421)=11,COUNT(F410:F421)=11),cubic_spline(F409:F420,A409:A420,B$9),IF(AND(COUNT(A410:A421)=12,COUNT(F410:F421)=12),cubic_spline(F409:F421,A409:A421,B$9),""))))))))))))</f>
        <v/>
      </c>
      <c r="L415" s="27" t="str">
        <f>IF(I415="","",B$8&amp;"-"&amp;B$9)</f>
        <v/>
      </c>
      <c r="M415" s="52" t="str">
        <f t="shared" ref="M415:M421" si="155">IF(N(J415)=0,"",J415-J414)</f>
        <v/>
      </c>
    </row>
    <row r="416" spans="1:13" x14ac:dyDescent="0.35">
      <c r="A416" s="48"/>
      <c r="B416" s="48"/>
      <c r="C416" s="49"/>
      <c r="D416" s="50"/>
      <c r="E416" s="51" t="str">
        <f t="shared" si="154"/>
        <v/>
      </c>
      <c r="F416" s="71" t="str">
        <f t="shared" si="151"/>
        <v/>
      </c>
      <c r="G416" s="69" t="str">
        <f t="shared" si="153"/>
        <v/>
      </c>
      <c r="H416" s="70" t="str">
        <f t="shared" si="152"/>
        <v/>
      </c>
      <c r="I416" s="27" t="str">
        <f>IF(N(J416)=0,"",0&amp;"-"&amp;B$10)</f>
        <v/>
      </c>
      <c r="J416" s="52" t="str">
        <f>IF(N(B$10)=0,"",IF(AND(COUNT(H410:H421)=2,COUNT(F410:F421)=2),cubic_spline(F409:F411,H409:H411,B$10),IF(AND(COUNT(H410:H421)=3,COUNT(F410:F421)=3),cubic_spline(F409:F412,H409:H412,B$10),IF(AND(COUNT(H410:H421)=4,COUNT(F410:F421)=4),cubic_spline(F409:F413,H409:H413,B$10),IF(AND(COUNT(H410:H421)=5,COUNT(F410:F421)=5),cubic_spline(F409:F414,H409:H414,B$10),IF(AND(COUNT(H410:H421)=6,COUNT(F410:F421)=6),cubic_spline(F409:F415,H409:H415,B$10),IF(AND(COUNT(H410:H421)=7,COUNT(F410:F421)=7),cubic_spline(F409:F416,H409:H416,B$10),IF(AND(COUNT(H410:H421)=8,COUNT(F410:F421)=8),cubic_spline(F409:F417,H409:H417,B$10),IF(AND(COUNT(H410:H421)=9,COUNT(F410:F421)=9),cubic_spline(F409:F418,H409:H418,B$10),IF(AND(COUNT(H410:H421)=10,COUNT(F410:F421)=10),cubic_spline(F409:F419,H409:H419,B$10),IF(AND(COUNT(H410:H421)=11,COUNT(F410:F421)=11),cubic_spline(F409:F420,H409:H420,B$10),IF(AND(COUNT(H410:H421)=12,COUNT(F410:F421)=12),cubic_spline(F409:F421,H409:H421,B$10),""))))))))))))</f>
        <v/>
      </c>
      <c r="K416" s="52" t="str">
        <f>IF(N(B$10)=0,"",IF(AND(COUNT(A410:A421)=2,COUNT(F410:F421)=2),cubic_spline(F409:F411,A409:A411,B$10),IF(AND(COUNT(A410:A421)=3,COUNT(F410:F421)=3),cubic_spline(F409:F412,A409:A412,B$10),IF(AND(COUNT(A410:A421)=4,COUNT(F410:F421)=4),cubic_spline(F409:F413,A409:A413,B$10),IF(AND(COUNT(A410:A421)=5,COUNT(F410:F421)=5),cubic_spline(F409:F414,A409:A414,B$10),IF(AND(COUNT(A410:A421)=6,COUNT(F410:F421)=6),cubic_spline(F409:F415,A409:A415,B$10),IF(AND(COUNT(A410:A421)=7,COUNT(F410:F421)=7),cubic_spline(F409:F416,A409:A416,B$10),IF(AND(COUNT(A410:A421)=8,COUNT(F410:F421)=8),cubic_spline(F409:F417,A409:A417,B$10),IF(AND(COUNT(A410:A421)=9,COUNT(F410:F421)=9),cubic_spline(F409:F418,A409:A418,B$10),IF(AND(COUNT(A410:A421)=10,COUNT(F410:F421)=10),cubic_spline(F409:F419,A409:A419,B$10),IF(AND(COUNT(A410:A421)=11,COUNT(F410:F421)=11),cubic_spline(F409:F420,A409:A420,B$10),IF(AND(COUNT(A410:A421)=12,COUNT(F410:F421)=12),cubic_spline(F409:F421,A409:A421,B$10),""))))))))))))</f>
        <v/>
      </c>
      <c r="L416" s="27" t="str">
        <f>IF(I416="","",B$9&amp;"-"&amp;B$10)</f>
        <v/>
      </c>
      <c r="M416" s="52" t="str">
        <f t="shared" si="155"/>
        <v/>
      </c>
    </row>
    <row r="417" spans="1:13" x14ac:dyDescent="0.35">
      <c r="A417" s="48"/>
      <c r="B417" s="48"/>
      <c r="C417" s="49"/>
      <c r="D417" s="50"/>
      <c r="E417" s="51" t="str">
        <f t="shared" si="154"/>
        <v/>
      </c>
      <c r="F417" s="71" t="str">
        <f t="shared" si="151"/>
        <v/>
      </c>
      <c r="G417" s="69" t="str">
        <f t="shared" si="153"/>
        <v/>
      </c>
      <c r="H417" s="70" t="str">
        <f t="shared" si="152"/>
        <v/>
      </c>
      <c r="I417" s="27" t="str">
        <f>IF(N(J417)=0,"",0&amp;"-"&amp;B$11)</f>
        <v/>
      </c>
      <c r="J417" s="52" t="str">
        <f>IF(N(B$11)=0,"",IF(AND(COUNT(H410:H421)=2,COUNT(F410:F421)=2),cubic_spline(F409:F411,H409:H411,B$11),IF(AND(COUNT(H410:H421)=3,COUNT(F410:F421)=3),cubic_spline(F409:F412,H409:H412,B$11),IF(AND(COUNT(H410:H421)=4,COUNT(F410:F421)=4),cubic_spline(F409:F413,H409:H413,B$11),IF(AND(COUNT(H410:H421)=5,COUNT(F410:F421)=5),cubic_spline(F409:F414,H409:H414,B$11),IF(AND(COUNT(H410:H421)=6,COUNT(F410:F421)=6),cubic_spline(F409:F415,H409:H415,B$11),IF(AND(COUNT(H410:H421)=7,COUNT(F410:F421)=7),cubic_spline(F409:F416,H409:H416,B$11),IF(AND(COUNT(H410:H421)=8,COUNT(F410:F421)=8),cubic_spline(F409:F417,H409:H417,B$11),IF(AND(COUNT(H410:H421)=9,COUNT(F410:F421)=9),cubic_spline(F409:F418,H409:H418,B$11),IF(AND(COUNT(H410:H421)=10,COUNT(F410:F421)=10),cubic_spline(F409:F419,H409:H419,B$11),IF(AND(COUNT(H410:H421)=11,COUNT(F410:F421)=11),cubic_spline(F409:F420,H409:H420,B$11),IF(AND(COUNT(H410:H421)=12,COUNT(F410:F421)=12),cubic_spline(F409:F421,H409:H421,B$11),""))))))))))))</f>
        <v/>
      </c>
      <c r="K417" s="52" t="str">
        <f>IF(N(B$11)=0,"",IF(AND(COUNT(A410:A421)=2,COUNT(F410:F421)=2),cubic_spline(F409:F411,A409:A411,B$11),IF(AND(COUNT(A410:A421)=3,COUNT(F410:F421)=3),cubic_spline(F409:F412,A409:A412,B$11),IF(AND(COUNT(A410:A421)=4,COUNT(F410:F421)=4),cubic_spline(F409:F413,A409:A413,B$11),IF(AND(COUNT(A410:A421)=5,COUNT(F410:F421)=5),cubic_spline(F409:F414,A409:A414,B$11),IF(AND(COUNT(A410:A421)=6,COUNT(F410:F421)=6),cubic_spline(F409:F415,A409:A415,B$11),IF(AND(COUNT(A410:A421)=7,COUNT(F410:F421)=7),cubic_spline(F409:F416,A409:A416,B$11),IF(AND(COUNT(A410:A421)=8,COUNT(F410:F421)=8),cubic_spline(F409:F417,A409:A417,B$11),IF(AND(COUNT(A410:A421)=9,COUNT(F410:F421)=9),cubic_spline(F409:F418,A409:A418,B$11),IF(AND(COUNT(A410:A421)=10,COUNT(F410:F421)=10),cubic_spline(F409:F419,A409:A419,B$11),IF(AND(COUNT(A410:A421)=11,COUNT(F410:F421)=11),cubic_spline(F409:F420,A409:A420,B$11),IF(AND(COUNT(A410:A421)=12,COUNT(F410:F421)=12),cubic_spline(F409:F421,A409:A421,B$11),""))))))))))))</f>
        <v/>
      </c>
      <c r="L417" s="27" t="str">
        <f>IF(I417="","",B$10&amp;"-"&amp;B$11)</f>
        <v/>
      </c>
      <c r="M417" s="52" t="str">
        <f t="shared" si="155"/>
        <v/>
      </c>
    </row>
    <row r="418" spans="1:13" x14ac:dyDescent="0.35">
      <c r="A418" s="48"/>
      <c r="B418" s="48"/>
      <c r="C418" s="49"/>
      <c r="D418" s="50"/>
      <c r="E418" s="51" t="str">
        <f t="shared" si="154"/>
        <v/>
      </c>
      <c r="F418" s="71" t="str">
        <f t="shared" si="151"/>
        <v/>
      </c>
      <c r="G418" s="69" t="str">
        <f t="shared" si="153"/>
        <v/>
      </c>
      <c r="H418" s="70" t="str">
        <f t="shared" si="152"/>
        <v/>
      </c>
      <c r="I418" s="27" t="str">
        <f>IF(N(J418)=0,"",0&amp;"-"&amp;B$12)</f>
        <v/>
      </c>
      <c r="J418" s="52" t="str">
        <f>IF(N(B$12)=0,"",IF(AND(COUNT(H410:H421)=2,COUNT(F410:F421)=2),cubic_spline(F409:F411,H409:H411,B$12),IF(AND(COUNT(H410:H421)=3,COUNT(F410:F421)=3),cubic_spline(F409:F412,H409:H412,B$12),IF(AND(COUNT(H410:H421)=4,COUNT(F410:F421)=4),cubic_spline(F409:F413,H409:H413,B$12),IF(AND(COUNT(H410:H421)=5,COUNT(F410:F421)=5),cubic_spline(F409:F414,H409:H414,B$12),IF(AND(COUNT(H410:H421)=6,COUNT(F410:F421)=6),cubic_spline(F409:F415,H409:H415,B$12),IF(AND(COUNT(H410:H421)=7,COUNT(F410:F421)=7),cubic_spline(F409:F416,H409:H416,B$12),IF(AND(COUNT(H410:H421)=8,COUNT(F410:F421)=8),cubic_spline(F409:F417,H409:H417,B$12),IF(AND(COUNT(H410:H421)=9,COUNT(F410:F421)=9),cubic_spline(F409:F418,H409:H418,B$12),IF(AND(COUNT(H410:H421)=10,COUNT(F410:F421)=10),cubic_spline(F409:F419,H409:H419,B$12),IF(AND(COUNT(H410:H421)=11,COUNT(F410:F421)=11),cubic_spline(F409:F420,H409:H420,B$12),IF(AND(COUNT(H410:H421)=12,COUNT(F410:F421)=12),cubic_spline(F409:F421,H409:H421,B$12),""))))))))))))</f>
        <v/>
      </c>
      <c r="K418" s="52" t="str">
        <f>IF(N(B$12)=0,"",IF(AND(COUNT(A410:A421)=2,COUNT(F410:F421)=2),cubic_spline(F409:F411,A409:A411,B$12),IF(AND(COUNT(A410:A421)=3,COUNT(F410:F421)=3),cubic_spline(F409:F412,A409:A412,B$12),IF(AND(COUNT(A410:A421)=4,COUNT(F410:F421)=4),cubic_spline(F409:F413,A409:A413,B$12),IF(AND(COUNT(A410:A421)=5,COUNT(F410:F421)=5),cubic_spline(F409:F414,A409:A414,B$12),IF(AND(COUNT(A410:A421)=6,COUNT(F410:F421)=6),cubic_spline(F409:F415,A409:A415,B$12),IF(AND(COUNT(A410:A421)=7,COUNT(F410:F421)=7),cubic_spline(F409:F416,A409:A416,B$12),IF(AND(COUNT(A410:A421)=8,COUNT(F410:F421)=8),cubic_spline(F409:F417,A409:A417,B$12),IF(AND(COUNT(A410:A421)=9,COUNT(F410:F421)=9),cubic_spline(F409:F418,A409:A418,B$12),IF(AND(COUNT(A410:A421)=10,COUNT(F410:F421)=10),cubic_spline(F409:F419,A409:A419,B$12),IF(AND(COUNT(A410:A421)=11,COUNT(F410:F421)=11),cubic_spline(F409:F420,A409:A420,B$12),IF(AND(COUNT(A410:A421)=12,COUNT(F410:F421)=12),cubic_spline(F409:F421,A409:A421,B$12),""))))))))))))</f>
        <v/>
      </c>
      <c r="L418" s="27" t="str">
        <f>IF(I418="","",B$11&amp;"-"&amp;B$12)</f>
        <v/>
      </c>
      <c r="M418" s="52" t="str">
        <f t="shared" si="155"/>
        <v/>
      </c>
    </row>
    <row r="419" spans="1:13" x14ac:dyDescent="0.35">
      <c r="A419" s="48"/>
      <c r="B419" s="48"/>
      <c r="C419" s="49"/>
      <c r="D419" s="50"/>
      <c r="E419" s="51" t="str">
        <f t="shared" si="154"/>
        <v/>
      </c>
      <c r="F419" s="71" t="str">
        <f t="shared" si="151"/>
        <v/>
      </c>
      <c r="G419" s="69" t="str">
        <f t="shared" si="153"/>
        <v/>
      </c>
      <c r="H419" s="70" t="str">
        <f t="shared" si="152"/>
        <v/>
      </c>
      <c r="I419" s="27" t="str">
        <f>IF(N(J419)=0,"",0&amp;"-"&amp;B$13)</f>
        <v/>
      </c>
      <c r="J419" s="52" t="str">
        <f>IF(N(B$13)=0,"",IF(AND(COUNT(H410:H421)=2,COUNT(F410:F421)=2),cubic_spline(F409:F411,H409:H411,B$13),IF(AND(COUNT(H410:H421)=3,COUNT(F410:F421)=3),cubic_spline(F409:F412,H409:H412,B$13),IF(AND(COUNT(H410:H421)=4,COUNT(F410:F421)=4),cubic_spline(F409:F413,H409:H413,B$13),IF(AND(COUNT(H410:H421)=5,COUNT(F410:F421)=5),cubic_spline(F409:F414,H409:H414,B$13),IF(AND(COUNT(H410:H421)=6,COUNT(F410:F421)=6),cubic_spline(F409:F415,H409:H415,B$13),IF(AND(COUNT(H410:H421)=7,COUNT(F410:F421)=7),cubic_spline(F409:F416,H409:H416,B$13),IF(AND(COUNT(H410:H421)=8,COUNT(F410:F421)=8),cubic_spline(F409:F417,H409:H417,B$13),IF(AND(COUNT(H410:H421)=9,COUNT(F410:F421)=9),cubic_spline(F409:F418,H409:H418,B$13),IF(AND(COUNT(H410:H421)=10,COUNT(F410:F421)=10),cubic_spline(F409:F419,H409:H419,B$13),IF(AND(COUNT(H410:H421)=11,COUNT(F410:F421)=11),cubic_spline(F409:F420,H409:H420,B$13),IF(AND(COUNT(H410:H421)=12,COUNT(F410:F421)=12),cubic_spline(F409:F421,H409:H421,B$13),""))))))))))))</f>
        <v/>
      </c>
      <c r="K419" s="52" t="str">
        <f>IF(N(B$13)=0,"",IF(AND(COUNT(A410:A421)=2,COUNT(F410:F421)=2),cubic_spline(F409:F411,A409:A411,B$13),IF(AND(COUNT(A410:A421)=3,COUNT(F410:F421)=3),cubic_spline(F409:F412,A409:A412,B$13),IF(AND(COUNT(A410:A421)=4,COUNT(F410:F421)=4),cubic_spline(F409:F413,A409:A413,B$13),IF(AND(COUNT(A410:A421)=5,COUNT(F410:F421)=5),cubic_spline(F409:F414,A409:A414,B$13),IF(AND(COUNT(A410:A421)=6,COUNT(F410:F421)=6),cubic_spline(F409:F415,A409:A415,B$13),IF(AND(COUNT(A410:A421)=7,COUNT(F410:F421)=7),cubic_spline(F409:F416,A409:A416,B$13),IF(AND(COUNT(A410:A421)=8,COUNT(F410:F421)=8),cubic_spline(F409:F417,A409:A417,B$13),IF(AND(COUNT(A410:A421)=9,COUNT(F410:F421)=9),cubic_spline(F409:F418,A409:A418,B$13),IF(AND(COUNT(A410:A421)=10,COUNT(F410:F421)=10),cubic_spline(F409:F419,A409:A419,B$13),IF(AND(COUNT(A410:A421)=11,COUNT(F410:F421)=11),cubic_spline(F409:F420,A409:A420,B$13),IF(AND(COUNT(A410:A421)=12,COUNT(F410:F421)=12),cubic_spline(F409:F421,A409:A421,B$13),""))))))))))))</f>
        <v/>
      </c>
      <c r="L419" s="27" t="str">
        <f>IF(I419="","",B$12&amp;"-"&amp;B$13)</f>
        <v/>
      </c>
      <c r="M419" s="52" t="str">
        <f t="shared" si="155"/>
        <v/>
      </c>
    </row>
    <row r="420" spans="1:13" x14ac:dyDescent="0.35">
      <c r="A420" s="48"/>
      <c r="B420" s="48"/>
      <c r="C420" s="49"/>
      <c r="D420" s="50"/>
      <c r="E420" s="51" t="str">
        <f t="shared" si="154"/>
        <v/>
      </c>
      <c r="F420" s="71" t="str">
        <f t="shared" si="151"/>
        <v/>
      </c>
      <c r="G420" s="69" t="str">
        <f t="shared" si="153"/>
        <v/>
      </c>
      <c r="H420" s="70" t="str">
        <f t="shared" si="152"/>
        <v/>
      </c>
      <c r="I420" s="27" t="str">
        <f>IF(N(J420)=0,"",0&amp;"-"&amp;B$14)</f>
        <v/>
      </c>
      <c r="J420" s="52" t="str">
        <f>IF(N(B$14)=0,"",IF(AND(COUNT(H410:H421)=2,COUNT(F410:F421)=2),cubic_spline(F409:F411,H409:H411,B$14),IF(AND(COUNT(H410:H421)=3,COUNT(F410:F421)=3),cubic_spline(F409:F412,H409:H412,B$14),IF(AND(COUNT(H410:H421)=4,COUNT(F410:F421)=4),cubic_spline(F409:F413,H409:H413,B$14),IF(AND(COUNT(H410:H421)=5,COUNT(F410:F421)=5),cubic_spline(F409:F414,H409:H414,B$14),IF(AND(COUNT(H410:H421)=6,COUNT(F410:F421)=6),cubic_spline(F409:F415,H409:H415,B$14),IF(AND(COUNT(H410:H421)=7,COUNT(F410:F421)=7),cubic_spline(F409:F416,H409:H416,B$14),IF(AND(COUNT(H410:H421)=8,COUNT(F410:F421)=8),cubic_spline(F409:F417,H409:H417,B$14),IF(AND(COUNT(H410:H421)=9,COUNT(F410:F421)=9),cubic_spline(F409:F418,H409:H418,B$14),IF(AND(COUNT(H410:H421)=10,COUNT(F410:F421)=10),cubic_spline(F409:F419,H409:H419,B$14),IF(AND(COUNT(H410:H421)=11,COUNT(F410:F421)=11),cubic_spline(F409:F420,H409:H420,B$14),IF(AND(COUNT(H410:H421)=12,COUNT(F410:F421)=12),cubic_spline(F409:F421,H409:H421,B$14),""))))))))))))</f>
        <v/>
      </c>
      <c r="K420" s="52" t="str">
        <f>IF(N(B$14)=0,"",IF(AND(COUNT(A410:A421)=2,COUNT(F410:F421)=2),cubic_spline(F409:F411,A409:A411,B$14),IF(AND(COUNT(A410:A421)=3,COUNT(F410:F421)=3),cubic_spline(F409:F412,A409:A412,B$14),IF(AND(COUNT(A410:A421)=4,COUNT(F410:F421)=4),cubic_spline(F409:F413,A409:A413,B$14),IF(AND(COUNT(A410:A421)=5,COUNT(F410:F421)=5),cubic_spline(F409:F414,A409:A414,B$14),IF(AND(COUNT(A410:A421)=6,COUNT(F410:F421)=6),cubic_spline(F409:F415,A409:A415,B$14),IF(AND(COUNT(A410:A421)=7,COUNT(F410:F421)=7),cubic_spline(F409:F416,A409:A416,B$14),IF(AND(COUNT(A410:A421)=8,COUNT(F410:F421)=8),cubic_spline(F409:F417,A409:A417,B$14),IF(AND(COUNT(A410:A421)=9,COUNT(F410:F421)=9),cubic_spline(F409:F418,A409:A418,B$14),IF(AND(COUNT(A410:A421)=10,COUNT(F410:F421)=10),cubic_spline(F409:F419,A409:A419,B$14),IF(AND(COUNT(A410:A421)=11,COUNT(F410:F421)=11),cubic_spline(F409:F420,A409:A420,B$14),IF(AND(COUNT(A410:A421)=12,COUNT(F410:F421)=12),cubic_spline(F409:F421,A409:A421,B$14),""))))))))))))</f>
        <v/>
      </c>
      <c r="L420" s="27" t="str">
        <f>IF(I420="","",B$13&amp;"-"&amp;B$14)</f>
        <v/>
      </c>
      <c r="M420" s="52" t="str">
        <f t="shared" si="155"/>
        <v/>
      </c>
    </row>
    <row r="421" spans="1:13" x14ac:dyDescent="0.35">
      <c r="A421" s="48"/>
      <c r="B421" s="48"/>
      <c r="C421" s="49"/>
      <c r="D421" s="50"/>
      <c r="E421" s="51" t="str">
        <f t="shared" si="154"/>
        <v/>
      </c>
      <c r="F421" s="71" t="str">
        <f t="shared" si="151"/>
        <v/>
      </c>
      <c r="G421" s="69" t="str">
        <f t="shared" si="153"/>
        <v/>
      </c>
      <c r="H421" s="70" t="str">
        <f t="shared" si="152"/>
        <v/>
      </c>
      <c r="I421" s="27" t="str">
        <f>IF(N(J421)=0,"",0&amp;"-"&amp;B$15)</f>
        <v/>
      </c>
      <c r="J421" s="52" t="str">
        <f>IF(N(B$15)=0,"",IF(AND(COUNT(H410:H421)=2,COUNT(F410:F421)=2),cubic_spline(F409:F411,H409:H411,B$15),IF(AND(COUNT(H410:H421)=3,COUNT(F410:F421)=3),cubic_spline(F409:F412,H409:H412,B$15),IF(AND(COUNT(H410:H421)=4,COUNT(F410:F421)=4),cubic_spline(F409:F413,H409:H413,B$15),IF(AND(COUNT(H410:H421)=5,COUNT(F410:F421)=5),cubic_spline(F409:F414,H409:H414,B$15),IF(AND(COUNT(H410:H421)=6,COUNT(F410:F421)=6),cubic_spline(F409:F415,H409:H415,B$15),IF(AND(COUNT(H410:H421)=7,COUNT(F410:F421)=7),cubic_spline(F409:F416,H409:H416,B$15),IF(AND(COUNT(H410:H421)=8,COUNT(F410:F421)=8),cubic_spline(F409:F417,H409:H417,B$15),IF(AND(COUNT(H410:H421)=9,COUNT(F410:F421)=9),cubic_spline(F409:F418,H409:H418,B$15),IF(AND(COUNT(H410:H421)=10,COUNT(F410:F421)=10),cubic_spline(F409:F419,H409:H419,B$15),IF(AND(COUNT(H410:H421)=11,COUNT(F410:F421)=11),cubic_spline(F409:F420,H409:H420,B$15),IF(AND(COUNT(H410:H421)=12,COUNT(F410:F421)=12),cubic_spline(F409:F421,H409:H421,B$15),""))))))))))))</f>
        <v/>
      </c>
      <c r="K421" s="52" t="str">
        <f>IF(N(B$15)=0,"",IF(AND(COUNT(A410:A421)=2,COUNT(F410:F421)=2),cubic_spline(F409:F411,A409:A411,B$15),IF(AND(COUNT(A410:A421)=3,COUNT(F410:F421)=3),cubic_spline(F409:F412,A409:A412,B$15),IF(AND(COUNT(A410:A421)=4,COUNT(F410:F421)=4),cubic_spline(F409:F413,A409:A413,B$15),IF(AND(COUNT(A410:A421)=5,COUNT(F410:F421)=5),cubic_spline(F409:F414,A409:A414,B$15),IF(AND(COUNT(A410:A421)=6,COUNT(F410:F421)=6),cubic_spline(F409:F415,A409:A415,B$15),IF(AND(COUNT(A410:A421)=7,COUNT(F410:F421)=7),cubic_spline(F409:F416,A409:A416,B$15),IF(AND(COUNT(A410:A421)=8,COUNT(F410:F421)=8),cubic_spline(F409:F417,A409:A417,B$15),IF(AND(COUNT(A410:A421)=9,COUNT(F410:F421)=9),cubic_spline(F409:F418,A409:A418,B$15),IF(AND(COUNT(A410:A421)=10,COUNT(F410:F421)=10),cubic_spline(F409:F419,A409:A419,B$15),IF(AND(COUNT(A410:A421)=11,COUNT(F410:F421)=11),cubic_spline(F409:F420,A409:A420,B$15),IF(AND(COUNT(A410:A421)=12,COUNT(F410:F421)=12),cubic_spline(F409:F421,A409:A421,B$15),""))))))))))))</f>
        <v/>
      </c>
      <c r="L421" s="27" t="str">
        <f>IF(I421="","",B$14&amp;"-"&amp;B$15)</f>
        <v/>
      </c>
      <c r="M421" s="52" t="str">
        <f t="shared" si="155"/>
        <v/>
      </c>
    </row>
    <row r="422" spans="1:13" ht="5.15" customHeight="1" x14ac:dyDescent="0.35">
      <c r="A422" s="47"/>
      <c r="B422" s="47"/>
      <c r="C422" s="47"/>
      <c r="D422" s="53"/>
      <c r="E422" s="54"/>
      <c r="F422" s="55"/>
      <c r="G422" s="72"/>
      <c r="H422" s="73"/>
      <c r="I422" s="47"/>
      <c r="J422" s="57"/>
      <c r="K422" s="57"/>
      <c r="L422" s="55"/>
      <c r="M422" s="57"/>
    </row>
    <row r="423" spans="1:13" x14ac:dyDescent="0.35">
      <c r="A423" s="48"/>
      <c r="B423" s="48"/>
      <c r="C423" s="49"/>
      <c r="D423" s="50"/>
      <c r="E423" s="51" t="str">
        <f>IF(N(C423)=0,"",C423/PI()/($D$1/2)^2/$D$2*10000)</f>
        <v/>
      </c>
      <c r="F423" s="68" t="str">
        <f t="shared" ref="F423:F434" si="156">IF(N(E423)=0,"",(N(E423)+N(F422)))</f>
        <v/>
      </c>
      <c r="G423" s="69" t="str">
        <f>IF(OR(N(D423)=0,N(E423)=0),"",(E423*D423)/1000)</f>
        <v/>
      </c>
      <c r="H423" s="70" t="str">
        <f t="shared" ref="H423:H434" si="157">IF(N(G423)=0,"",(N(G423)+N(H422)))</f>
        <v/>
      </c>
      <c r="I423" s="27" t="str">
        <f>IF(N(J423)=0,"",0&amp;"-"&amp;B$4)</f>
        <v/>
      </c>
      <c r="J423" s="52" t="str">
        <f>IF(N(B$4)=0,"",IF(AND(COUNT(H423:H434)=2,COUNT(F423:F434)=2),cubic_spline(F422:F424,H422:H424,B$4),IF(AND(COUNT(H423:H434)=3,COUNT(F423:F434)=3),cubic_spline(F422:F425,H422:H425,B$4),IF(AND(COUNT(H423:H434)=4,COUNT(F423:F434)=4),cubic_spline(F422:F426,H422:H426,B$4),IF(AND(COUNT(H423:H434)=5,COUNT(F423:F434)=5),cubic_spline(F422:F427,H422:H427,B$4),IF(AND(COUNT(H423:H434)=6,COUNT(F423:F434)=6),cubic_spline(F422:F428,H422:H428,B$4),IF(AND(COUNT(H423:H434)=7,COUNT(F423:F434)=7),cubic_spline(F422:F429,H422:H429,B$4),IF(AND(COUNT(H423:H434)=8,COUNT(F423:F434)=8),cubic_spline(F422:F430,H422:H430,B$4),IF(AND(COUNT(H423:H434)=9,COUNT(F423:F434)=9),cubic_spline(F422:F431,H422:H431,B$4),IF(AND(COUNT(H423:H434)=10,COUNT(F423:F434)=10),cubic_spline(F422:F432,H422:H432,B$4),IF(AND(COUNT(H423:H434)=11,COUNT(F423:F434)=11),cubic_spline(F422:F433,H422:H433,B$4),IF(AND(COUNT(H423:H434)=12,COUNT(F423:F434)=12),cubic_spline(F422:F434,H422:H434,B$4),""))))))))))))</f>
        <v/>
      </c>
      <c r="K423" s="52" t="str">
        <f>IF(N(B$4)=0,"",IF(AND(COUNT(A423:A434)=2,COUNT(F423:F434)=2),cubic_spline(F422:F424,A422:A424,B$4),IF(AND(COUNT(A423:A434)=3,COUNT(F423:F434)=3),cubic_spline(F422:F425,A422:A425,B$4),IF(AND(COUNT(A423:A434)=4,COUNT(F423:F434)=4),cubic_spline(F422:F426,A422:A426,B$4),IF(AND(COUNT(A423:A434)=5,COUNT(F423:F434)=5),cubic_spline(F422:F427,A422:A427,B$4),IF(AND(COUNT(A423:A434)=6,COUNT(F423:F434)=6),cubic_spline(F422:F428,A422:A428,B$4),IF(AND(COUNT(A423:A434)=7,COUNT(F423:F434)=7),cubic_spline(F422:F429,A422:A429,B$4),IF(AND(COUNT(A423:A434)=8,COUNT(F423:F434)=8),cubic_spline(F422:F430,A422:A430,B$4),IF(AND(COUNT(A423:A434)=9,COUNT(F423:F434)=9),cubic_spline(F422:F431,A422:A431,B$4),IF(AND(COUNT(A423:A434)=10,COUNT(F423:F434)=10),cubic_spline(F422:F432,A422:A432,B$4),IF(AND(COUNT(A423:A434)=11,COUNT(F423:F434)=11),cubic_spline(F422:F433,A422:A433,B$4),IF(AND(COUNT(A423:A434)=12,COUNT(F423:F434)=12),cubic_spline(F422:F434,A422:A434,B$4),""))))))))))))</f>
        <v/>
      </c>
      <c r="L423" s="27" t="str">
        <f>IF(I423="","",0&amp;"-"&amp;B$4)</f>
        <v/>
      </c>
      <c r="M423" s="52" t="str">
        <f>IF(N(J423)=0,"",J423-J422)</f>
        <v/>
      </c>
    </row>
    <row r="424" spans="1:13" x14ac:dyDescent="0.35">
      <c r="A424" s="48"/>
      <c r="B424" s="48"/>
      <c r="C424" s="49"/>
      <c r="D424" s="50"/>
      <c r="E424" s="51" t="str">
        <f>IF(N(C424)=0,"",C424/PI()/($D$1/2)^2/$D$2*10000)</f>
        <v/>
      </c>
      <c r="F424" s="68" t="str">
        <f t="shared" si="156"/>
        <v/>
      </c>
      <c r="G424" s="69" t="str">
        <f t="shared" ref="G424:G434" si="158">IF(OR(N(D424)=0,N(E424)=0),"",(E424*D424)/1000)</f>
        <v/>
      </c>
      <c r="H424" s="70" t="str">
        <f t="shared" si="157"/>
        <v/>
      </c>
      <c r="I424" s="27" t="str">
        <f>IF(N(J424)=0,"",0&amp;"-"&amp;B$5)</f>
        <v/>
      </c>
      <c r="J424" s="52" t="str">
        <f>IF(N(B$5)=0,"",IF(AND(COUNT(H423:H434)=2,COUNT(F423:F434)=2),cubic_spline(F422:F424,H422:H424,B$5),IF(AND(COUNT(H423:H434)=3,COUNT(F423:F434)=3),cubic_spline(F422:F425,H422:H425,B$5),IF(AND(COUNT(H423:H434)=4,COUNT(F423:F434)=4),cubic_spline(F422:F426,H422:H426,B$5),IF(AND(COUNT(H423:H434)=5,COUNT(F423:F434)=5),cubic_spline(F422:F427,H422:H427,B$5),IF(AND(COUNT(H423:H434)=6,COUNT(F423:F434)=6),cubic_spline(F422:F428,H422:H428,B$5),IF(AND(COUNT(H423:H434)=7,COUNT(F423:F434)=7),cubic_spline(F422:F429,H422:H429,B$5),IF(AND(COUNT(H423:H434)=8,COUNT(F423:F434)=8),cubic_spline(F422:F430,H422:H430,B$5),IF(AND(COUNT(H423:H434)=9,COUNT(F423:F434)=9),cubic_spline(F422:F431,H422:H431,B$5),IF(AND(COUNT(H423:H434)=10,COUNT(F423:F434)=10),cubic_spline(F422:F432,H422:H432,B$5),IF(AND(COUNT(H423:H434)=11,COUNT(F423:F434)=11),cubic_spline(F422:F433,H422:H433,B$5),IF(AND(COUNT(H423:H434)=12,COUNT(F423:F434)=12),cubic_spline(F422:F434,H422:H434,B$5),""))))))))))))</f>
        <v/>
      </c>
      <c r="K424" s="52" t="str">
        <f>IF(N(B$5)=0,"",IF(AND(COUNT(A423:A434)=2,COUNT(F423:F434)=2),cubic_spline(F422:F424,A422:A424,B$5),IF(AND(COUNT(A423:A434)=3,COUNT(F423:F434)=3),cubic_spline(F422:F425,A422:A425,B$5),IF(AND(COUNT(A423:A434)=4,COUNT(F423:F434)=4),cubic_spline(F422:F426,A422:A426,B$5),IF(AND(COUNT(A423:A434)=5,COUNT(F423:F434)=5),cubic_spline(F422:F427,A422:A427,B$5),IF(AND(COUNT(A423:A434)=6,COUNT(F423:F434)=6),cubic_spline(F422:F428,A422:A428,B$5),IF(AND(COUNT(A423:A434)=7,COUNT(F423:F434)=7),cubic_spline(F422:F429,A422:A429,B$5),IF(AND(COUNT(A423:A434)=8,COUNT(F423:F434)=8),cubic_spline(F422:F430,A422:A430,B$5),IF(AND(COUNT(A423:A434)=9,COUNT(F423:F434)=9),cubic_spline(F422:F431,A422:A431,B$5),IF(AND(COUNT(A423:A434)=10,COUNT(F423:F434)=10),cubic_spline(F422:F432,A422:A432,B$5),IF(AND(COUNT(A423:A434)=11,COUNT(F423:F434)=11),cubic_spline(F422:F433,A422:A433,B$5),IF(AND(COUNT(A423:A434)=12,COUNT(F423:F434)=12),cubic_spline(F422:F434,A422:A434,B$5),""))))))))))))</f>
        <v/>
      </c>
      <c r="L424" s="27" t="str">
        <f>IF(I424="","",B$4&amp;"-"&amp;B$5)</f>
        <v/>
      </c>
      <c r="M424" s="52" t="str">
        <f>IF(N(J424)=0,"",J424-J423)</f>
        <v/>
      </c>
    </row>
    <row r="425" spans="1:13" x14ac:dyDescent="0.35">
      <c r="A425" s="48"/>
      <c r="B425" s="48"/>
      <c r="C425" s="49"/>
      <c r="D425" s="50"/>
      <c r="E425" s="51" t="str">
        <f>IF(N(C425)=0,"",C425/PI()/($D$1/2)^2/$D$2*10000)</f>
        <v/>
      </c>
      <c r="F425" s="68" t="str">
        <f t="shared" si="156"/>
        <v/>
      </c>
      <c r="G425" s="69" t="str">
        <f t="shared" si="158"/>
        <v/>
      </c>
      <c r="H425" s="70" t="str">
        <f t="shared" si="157"/>
        <v/>
      </c>
      <c r="I425" s="27" t="str">
        <f>IF(N(J425)=0,"",0&amp;"-"&amp;B$6)</f>
        <v/>
      </c>
      <c r="J425" s="52" t="str">
        <f>IF(N(B$6)=0,"",IF(AND(COUNT(H423:H434)=2,COUNT(F423:F434)=2),cubic_spline(F422:F424,H422:H424,B$6),IF(AND(COUNT(H423:H434)=3,COUNT(F423:F434)=3),cubic_spline(F422:F425,H422:H425,B$6),IF(AND(COUNT(H423:H434)=4,COUNT(F423:F434)=4),cubic_spline(F422:F426,H422:H426,B$6),IF(AND(COUNT(H423:H434)=5,COUNT(F423:F434)=5),cubic_spline(F422:F427,H422:H427,B$6),IF(AND(COUNT(H423:H434)=6,COUNT(F423:F434)=6),cubic_spline(F422:F428,H422:H428,B$6),IF(AND(COUNT(H423:H434)=7,COUNT(F423:F434)=7),cubic_spline(F422:F429,H422:H429,B$6),IF(AND(COUNT(H423:H434)=8,COUNT(F423:F434)=8),cubic_spline(F422:F430,H422:H430,B$6),IF(AND(COUNT(H423:H434)=9,COUNT(F423:F434)=9),cubic_spline(F422:F431,H422:H431,B$6),IF(AND(COUNT(H423:H434)=10,COUNT(F423:F434)=10),cubic_spline(F422:F432,H422:H432,B$6),IF(AND(COUNT(H423:H434)=11,COUNT(F423:F434)=11),cubic_spline(F422:F433,H422:H433,B$6),IF(AND(COUNT(H423:H434)=12,COUNT(F423:F434)=12),cubic_spline(F422:F434,H422:H434,B$6),""))))))))))))</f>
        <v/>
      </c>
      <c r="K425" s="52" t="str">
        <f>IF(N(B$6)=0,"",IF(AND(COUNT(A423:A434)=2,COUNT(F423:F434)=2),cubic_spline(F422:F424,A422:A424,B$6),IF(AND(COUNT(A423:A434)=3,COUNT(F423:F434)=3),cubic_spline(F422:F425,A422:A425,B$6),IF(AND(COUNT(A423:A434)=4,COUNT(F423:F434)=4),cubic_spline(F422:F426,A422:A426,B$6),IF(AND(COUNT(A423:A434)=5,COUNT(F423:F434)=5),cubic_spline(F422:F427,A422:A427,B$6),IF(AND(COUNT(A423:A434)=6,COUNT(F423:F434)=6),cubic_spline(F422:F428,A422:A428,B$6),IF(AND(COUNT(A423:A434)=7,COUNT(F423:F434)=7),cubic_spline(F422:F429,A422:A429,B$6),IF(AND(COUNT(A423:A434)=8,COUNT(F423:F434)=8),cubic_spline(F422:F430,A422:A430,B$6),IF(AND(COUNT(A423:A434)=9,COUNT(F423:F434)=9),cubic_spline(F422:F431,A422:A431,B$6),IF(AND(COUNT(A423:A434)=10,COUNT(F423:F434)=10),cubic_spline(F422:F432,A422:A432,B$6),IF(AND(COUNT(A423:A434)=11,COUNT(F423:F434)=11),cubic_spline(F422:F433,A422:A433,B$6),IF(AND(COUNT(A423:A434)=12,COUNT(F423:F434)=12),cubic_spline(F422:F434,A422:A434,B$6),""))))))))))))</f>
        <v/>
      </c>
      <c r="L425" s="27" t="str">
        <f>IF(I425="","",B$5&amp;"-"&amp;B$6)</f>
        <v/>
      </c>
      <c r="M425" s="52" t="str">
        <f>IF(N(J425)=0,"",J425-J424)</f>
        <v/>
      </c>
    </row>
    <row r="426" spans="1:13" x14ac:dyDescent="0.35">
      <c r="A426" s="48"/>
      <c r="B426" s="48"/>
      <c r="C426" s="49"/>
      <c r="D426" s="50"/>
      <c r="E426" s="51" t="str">
        <f>IF(N(C426)=0,"",C426/PI()/($D$1/2)^2/$D$2*10000)</f>
        <v/>
      </c>
      <c r="F426" s="68" t="str">
        <f t="shared" si="156"/>
        <v/>
      </c>
      <c r="G426" s="69" t="str">
        <f t="shared" si="158"/>
        <v/>
      </c>
      <c r="H426" s="70" t="str">
        <f t="shared" si="157"/>
        <v/>
      </c>
      <c r="I426" s="27" t="str">
        <f>IF(N(J426)=0,"",0&amp;"-"&amp;B$7)</f>
        <v/>
      </c>
      <c r="J426" s="52" t="str">
        <f>IF(N(B$7)=0,"",IF(AND(COUNT(H423:H434)=2,COUNT(F423:F434)=2),cubic_spline(F422:F424,H422:H424,B$7),IF(AND(COUNT(H423:H434)=3,COUNT(F423:F434)=3),cubic_spline(F422:F425,H422:H425,B$7),IF(AND(COUNT(H423:H434)=4,COUNT(F423:F434)=4),cubic_spline(F422:F426,H422:H426,B$7),IF(AND(COUNT(H423:H434)=5,COUNT(F423:F434)=5),cubic_spline(F422:F427,H422:H427,B$7),IF(AND(COUNT(H423:H434)=6,COUNT(F423:F434)=6),cubic_spline(F422:F428,H422:H428,B$7),IF(AND(COUNT(H423:H434)=7,COUNT(F423:F434)=7),cubic_spline(F422:F429,H422:H429,B$7),IF(AND(COUNT(H423:H434)=8,COUNT(F423:F434)=8),cubic_spline(F422:F430,H422:H430,B$7),IF(AND(COUNT(H423:H434)=9,COUNT(F423:F434)=9),cubic_spline(F422:F431,H422:H431,B$7),IF(AND(COUNT(H423:H434)=10,COUNT(F423:F434)=10),cubic_spline(F422:F432,H422:H432,B$7),IF(AND(COUNT(H423:H434)=11,COUNT(F423:F434)=11),cubic_spline(F422:F433,H422:H433,B$7),IF(AND(COUNT(H423:H434)=12,COUNT(F423:F434)=12),cubic_spline(F422:F434,H422:H434,B$7),""))))))))))))</f>
        <v/>
      </c>
      <c r="K426" s="52" t="str">
        <f>IF(N(B$7)=0,"",IF(AND(COUNT(A423:A434)=2,COUNT(F423:F434)=2),cubic_spline(F422:F424,A422:A424,B$7),IF(AND(COUNT(A423:A434)=3,COUNT(F423:F434)=3),cubic_spline(F422:F425,A422:A425,B$7),IF(AND(COUNT(A423:A434)=4,COUNT(F423:F434)=4),cubic_spline(F422:F426,A422:A426,B$7),IF(AND(COUNT(A423:A434)=5,COUNT(F423:F434)=5),cubic_spline(F422:F427,A422:A427,B$7),IF(AND(COUNT(A423:A434)=6,COUNT(F423:F434)=6),cubic_spline(F422:F428,A422:A428,B$7),IF(AND(COUNT(A423:A434)=7,COUNT(F423:F434)=7),cubic_spline(F422:F429,A422:A429,B$7),IF(AND(COUNT(A423:A434)=8,COUNT(F423:F434)=8),cubic_spline(F422:F430,A422:A430,B$7),IF(AND(COUNT(A423:A434)=9,COUNT(F423:F434)=9),cubic_spline(F422:F431,A422:A431,B$7),IF(AND(COUNT(A423:A434)=10,COUNT(F423:F434)=10),cubic_spline(F422:F432,A422:A432,B$7),IF(AND(COUNT(A423:A434)=11,COUNT(F423:F434)=11),cubic_spline(F422:F433,A422:A433,B$7),IF(AND(COUNT(A423:A434)=12,COUNT(F423:F434)=12),cubic_spline(F422:F434,A422:A434,B$7),""))))))))))))</f>
        <v/>
      </c>
      <c r="L426" s="27" t="str">
        <f>IF(I426="","",B$6&amp;"-"&amp;B$7)</f>
        <v/>
      </c>
      <c r="M426" s="52" t="str">
        <f>IF(N(J426)=0,"",J426-J425)</f>
        <v/>
      </c>
    </row>
    <row r="427" spans="1:13" x14ac:dyDescent="0.35">
      <c r="A427" s="48"/>
      <c r="B427" s="48"/>
      <c r="C427" s="49"/>
      <c r="D427" s="50"/>
      <c r="E427" s="51" t="str">
        <f t="shared" ref="E427:E434" si="159">IF(N(C427)=0,"",C427/PI()/($D$1/2)^2/$D$2*10000)</f>
        <v/>
      </c>
      <c r="F427" s="71" t="str">
        <f t="shared" si="156"/>
        <v/>
      </c>
      <c r="G427" s="69" t="str">
        <f t="shared" si="158"/>
        <v/>
      </c>
      <c r="H427" s="70" t="str">
        <f t="shared" si="157"/>
        <v/>
      </c>
      <c r="I427" s="27" t="str">
        <f>IF(N(J427)=0,"",0&amp;"-"&amp;B$8)</f>
        <v/>
      </c>
      <c r="J427" s="52" t="str">
        <f>IF(N(B$8)=0,"",IF(AND(COUNT(H423:H434)=2,COUNT(F423:F434)=2),cubic_spline(F422:F424,H422:H424,B$8),IF(AND(COUNT(H423:H434)=3,COUNT(F423:F434)=3),cubic_spline(F422:F425,H422:H425,B$8),IF(AND(COUNT(H423:H434)=4,COUNT(F423:F434)=4),cubic_spline(F422:F426,H422:H426,B$8),IF(AND(COUNT(H423:H434)=5,COUNT(F423:F434)=5),cubic_spline(F422:F427,H422:H427,B$8),IF(AND(COUNT(H423:H434)=6,COUNT(F423:F434)=6),cubic_spline(F422:F428,H422:H428,B$8),IF(AND(COUNT(H423:H434)=7,COUNT(F423:F434)=7),cubic_spline(F422:F429,H422:H429,B$8),IF(AND(COUNT(H423:H434)=8,COUNT(F423:F434)=8),cubic_spline(F422:F430,H422:H430,B$8),IF(AND(COUNT(H423:H434)=9,COUNT(F423:F434)=9),cubic_spline(F422:F431,H422:H431,B$8),IF(AND(COUNT(H423:H434)=10,COUNT(F423:F434)=10),cubic_spline(F422:F432,H422:H432,B$8),IF(AND(COUNT(H423:H434)=11,COUNT(F423:F434)=11),cubic_spline(F422:F433,H422:H433,B$8),IF(AND(COUNT(H423:H434)=12,COUNT(F423:F434)=12),cubic_spline(F422:F434,H422:H434,B$8),""))))))))))))</f>
        <v/>
      </c>
      <c r="K427" s="52" t="str">
        <f>IF(N(B$8)=0,"",IF(AND(COUNT(A423:A434)=2,COUNT(F423:F434)=2),cubic_spline(F422:F424,A422:A424,B$8),IF(AND(COUNT(A423:A434)=3,COUNT(F423:F434)=3),cubic_spline(F422:F425,A422:A425,B$8),IF(AND(COUNT(A423:A434)=4,COUNT(F423:F434)=4),cubic_spline(F422:F426,A422:A426,B$8),IF(AND(COUNT(A423:A434)=5,COUNT(F423:F434)=5),cubic_spline(F422:F427,A422:A427,B$8),IF(AND(COUNT(A423:A434)=6,COUNT(F423:F434)=6),cubic_spline(F422:F428,A422:A428,B$8),IF(AND(COUNT(A423:A434)=7,COUNT(F423:F434)=7),cubic_spline(F422:F429,A422:A429,B$8),IF(AND(COUNT(A423:A434)=8,COUNT(F423:F434)=8),cubic_spline(F422:F430,A422:A430,B$8),IF(AND(COUNT(A423:A434)=9,COUNT(F423:F434)=9),cubic_spline(F422:F431,A422:A431,B$8),IF(AND(COUNT(A423:A434)=10,COUNT(F423:F434)=10),cubic_spline(F422:F432,A422:A432,B$8),IF(AND(COUNT(A423:A434)=11,COUNT(F423:F434)=11),cubic_spline(F422:F433,A422:A433,B$8),IF(AND(COUNT(A423:A434)=12,COUNT(F423:F434)=12),cubic_spline(F422:F434,A422:A434,B$8),""))))))))))))</f>
        <v/>
      </c>
      <c r="L427" s="27" t="str">
        <f>IF(I427="","",B$7&amp;"-"&amp;B$8)</f>
        <v/>
      </c>
      <c r="M427" s="52" t="str">
        <f>IF(N(J427)=0,"",J427-J426)</f>
        <v/>
      </c>
    </row>
    <row r="428" spans="1:13" x14ac:dyDescent="0.35">
      <c r="A428" s="48"/>
      <c r="B428" s="48"/>
      <c r="C428" s="49"/>
      <c r="D428" s="50"/>
      <c r="E428" s="51" t="str">
        <f t="shared" si="159"/>
        <v/>
      </c>
      <c r="F428" s="71" t="str">
        <f t="shared" si="156"/>
        <v/>
      </c>
      <c r="G428" s="69" t="str">
        <f t="shared" si="158"/>
        <v/>
      </c>
      <c r="H428" s="70" t="str">
        <f t="shared" si="157"/>
        <v/>
      </c>
      <c r="I428" s="27" t="str">
        <f>IF(N(J428)=0,"",0&amp;"-"&amp;B$9)</f>
        <v/>
      </c>
      <c r="J428" s="52" t="str">
        <f>IF(N(B$9)=0,"",IF(AND(COUNT(H423:H434)=2,COUNT(F423:F434)=2),cubic_spline(F422:F424,H422:H424,B$9),IF(AND(COUNT(H423:H434)=3,COUNT(F423:F434)=3),cubic_spline(F422:F425,H422:H425,B$9),IF(AND(COUNT(H423:H434)=4,COUNT(F423:F434)=4),cubic_spline(F422:F426,H422:H426,B$9),IF(AND(COUNT(H423:H434)=5,COUNT(F423:F434)=5),cubic_spline(F422:F427,H422:H427,B$9),IF(AND(COUNT(H423:H434)=6,COUNT(F423:F434)=6),cubic_spline(F422:F428,H422:H428,B$9),IF(AND(COUNT(H423:H434)=7,COUNT(F423:F434)=7),cubic_spline(F422:F429,H422:H429,B$9),IF(AND(COUNT(H423:H434)=8,COUNT(F423:F434)=8),cubic_spline(F422:F430,H422:H430,B$9),IF(AND(COUNT(H423:H434)=9,COUNT(F423:F434)=9),cubic_spline(F422:F431,H422:H431,B$9),IF(AND(COUNT(H423:H434)=10,COUNT(F423:F434)=10),cubic_spline(F422:F432,H422:H432,B$9),IF(AND(COUNT(H423:H434)=11,COUNT(F423:F434)=11),cubic_spline(F422:F433,H422:H433,B$9),IF(AND(COUNT(H423:H434)=12,COUNT(F423:F434)=12),cubic_spline(F422:F434,H422:H434,B$9),""))))))))))))</f>
        <v/>
      </c>
      <c r="K428" s="52" t="str">
        <f>IF(N(B$9)=0,"",IF(AND(COUNT(A423:A434)=2,COUNT(F423:F434)=2),cubic_spline(F422:F424,A422:A424,B$9),IF(AND(COUNT(A423:A434)=3,COUNT(F423:F434)=3),cubic_spline(F422:F425,A422:A425,B$9),IF(AND(COUNT(A423:A434)=4,COUNT(F423:F434)=4),cubic_spline(F422:F426,A422:A426,B$9),IF(AND(COUNT(A423:A434)=5,COUNT(F423:F434)=5),cubic_spline(F422:F427,A422:A427,B$9),IF(AND(COUNT(A423:A434)=6,COUNT(F423:F434)=6),cubic_spline(F422:F428,A422:A428,B$9),IF(AND(COUNT(A423:A434)=7,COUNT(F423:F434)=7),cubic_spline(F422:F429,A422:A429,B$9),IF(AND(COUNT(A423:A434)=8,COUNT(F423:F434)=8),cubic_spline(F422:F430,A422:A430,B$9),IF(AND(COUNT(A423:A434)=9,COUNT(F423:F434)=9),cubic_spline(F422:F431,A422:A431,B$9),IF(AND(COUNT(A423:A434)=10,COUNT(F423:F434)=10),cubic_spline(F422:F432,A422:A432,B$9),IF(AND(COUNT(A423:A434)=11,COUNT(F423:F434)=11),cubic_spline(F422:F433,A422:A433,B$9),IF(AND(COUNT(A423:A434)=12,COUNT(F423:F434)=12),cubic_spline(F422:F434,A422:A434,B$9),""))))))))))))</f>
        <v/>
      </c>
      <c r="L428" s="27" t="str">
        <f>IF(I428="","",B$8&amp;"-"&amp;B$9)</f>
        <v/>
      </c>
      <c r="M428" s="52" t="str">
        <f t="shared" ref="M428:M434" si="160">IF(N(J428)=0,"",J428-J427)</f>
        <v/>
      </c>
    </row>
    <row r="429" spans="1:13" x14ac:dyDescent="0.35">
      <c r="A429" s="48"/>
      <c r="B429" s="48"/>
      <c r="C429" s="49"/>
      <c r="D429" s="50"/>
      <c r="E429" s="51" t="str">
        <f t="shared" si="159"/>
        <v/>
      </c>
      <c r="F429" s="71" t="str">
        <f t="shared" si="156"/>
        <v/>
      </c>
      <c r="G429" s="69" t="str">
        <f t="shared" si="158"/>
        <v/>
      </c>
      <c r="H429" s="70" t="str">
        <f t="shared" si="157"/>
        <v/>
      </c>
      <c r="I429" s="27" t="str">
        <f>IF(N(J429)=0,"",0&amp;"-"&amp;B$10)</f>
        <v/>
      </c>
      <c r="J429" s="52" t="str">
        <f>IF(N(B$10)=0,"",IF(AND(COUNT(H423:H434)=2,COUNT(F423:F434)=2),cubic_spline(F422:F424,H422:H424,B$10),IF(AND(COUNT(H423:H434)=3,COUNT(F423:F434)=3),cubic_spline(F422:F425,H422:H425,B$10),IF(AND(COUNT(H423:H434)=4,COUNT(F423:F434)=4),cubic_spline(F422:F426,H422:H426,B$10),IF(AND(COUNT(H423:H434)=5,COUNT(F423:F434)=5),cubic_spline(F422:F427,H422:H427,B$10),IF(AND(COUNT(H423:H434)=6,COUNT(F423:F434)=6),cubic_spline(F422:F428,H422:H428,B$10),IF(AND(COUNT(H423:H434)=7,COUNT(F423:F434)=7),cubic_spline(F422:F429,H422:H429,B$10),IF(AND(COUNT(H423:H434)=8,COUNT(F423:F434)=8),cubic_spline(F422:F430,H422:H430,B$10),IF(AND(COUNT(H423:H434)=9,COUNT(F423:F434)=9),cubic_spline(F422:F431,H422:H431,B$10),IF(AND(COUNT(H423:H434)=10,COUNT(F423:F434)=10),cubic_spline(F422:F432,H422:H432,B$10),IF(AND(COUNT(H423:H434)=11,COUNT(F423:F434)=11),cubic_spline(F422:F433,H422:H433,B$10),IF(AND(COUNT(H423:H434)=12,COUNT(F423:F434)=12),cubic_spline(F422:F434,H422:H434,B$10),""))))))))))))</f>
        <v/>
      </c>
      <c r="K429" s="52" t="str">
        <f>IF(N(B$10)=0,"",IF(AND(COUNT(A423:A434)=2,COUNT(F423:F434)=2),cubic_spline(F422:F424,A422:A424,B$10),IF(AND(COUNT(A423:A434)=3,COUNT(F423:F434)=3),cubic_spline(F422:F425,A422:A425,B$10),IF(AND(COUNT(A423:A434)=4,COUNT(F423:F434)=4),cubic_spline(F422:F426,A422:A426,B$10),IF(AND(COUNT(A423:A434)=5,COUNT(F423:F434)=5),cubic_spline(F422:F427,A422:A427,B$10),IF(AND(COUNT(A423:A434)=6,COUNT(F423:F434)=6),cubic_spline(F422:F428,A422:A428,B$10),IF(AND(COUNT(A423:A434)=7,COUNT(F423:F434)=7),cubic_spline(F422:F429,A422:A429,B$10),IF(AND(COUNT(A423:A434)=8,COUNT(F423:F434)=8),cubic_spline(F422:F430,A422:A430,B$10),IF(AND(COUNT(A423:A434)=9,COUNT(F423:F434)=9),cubic_spline(F422:F431,A422:A431,B$10),IF(AND(COUNT(A423:A434)=10,COUNT(F423:F434)=10),cubic_spline(F422:F432,A422:A432,B$10),IF(AND(COUNT(A423:A434)=11,COUNT(F423:F434)=11),cubic_spline(F422:F433,A422:A433,B$10),IF(AND(COUNT(A423:A434)=12,COUNT(F423:F434)=12),cubic_spline(F422:F434,A422:A434,B$10),""))))))))))))</f>
        <v/>
      </c>
      <c r="L429" s="27" t="str">
        <f>IF(I429="","",B$9&amp;"-"&amp;B$10)</f>
        <v/>
      </c>
      <c r="M429" s="52" t="str">
        <f t="shared" si="160"/>
        <v/>
      </c>
    </row>
    <row r="430" spans="1:13" x14ac:dyDescent="0.35">
      <c r="A430" s="48"/>
      <c r="B430" s="48"/>
      <c r="C430" s="49"/>
      <c r="D430" s="50"/>
      <c r="E430" s="51" t="str">
        <f t="shared" si="159"/>
        <v/>
      </c>
      <c r="F430" s="71" t="str">
        <f t="shared" si="156"/>
        <v/>
      </c>
      <c r="G430" s="69" t="str">
        <f t="shared" si="158"/>
        <v/>
      </c>
      <c r="H430" s="70" t="str">
        <f t="shared" si="157"/>
        <v/>
      </c>
      <c r="I430" s="27" t="str">
        <f>IF(N(J430)=0,"",0&amp;"-"&amp;B$11)</f>
        <v/>
      </c>
      <c r="J430" s="52" t="str">
        <f>IF(N(B$11)=0,"",IF(AND(COUNT(H423:H434)=2,COUNT(F423:F434)=2),cubic_spline(F422:F424,H422:H424,B$11),IF(AND(COUNT(H423:H434)=3,COUNT(F423:F434)=3),cubic_spline(F422:F425,H422:H425,B$11),IF(AND(COUNT(H423:H434)=4,COUNT(F423:F434)=4),cubic_spline(F422:F426,H422:H426,B$11),IF(AND(COUNT(H423:H434)=5,COUNT(F423:F434)=5),cubic_spline(F422:F427,H422:H427,B$11),IF(AND(COUNT(H423:H434)=6,COUNT(F423:F434)=6),cubic_spline(F422:F428,H422:H428,B$11),IF(AND(COUNT(H423:H434)=7,COUNT(F423:F434)=7),cubic_spline(F422:F429,H422:H429,B$11),IF(AND(COUNT(H423:H434)=8,COUNT(F423:F434)=8),cubic_spline(F422:F430,H422:H430,B$11),IF(AND(COUNT(H423:H434)=9,COUNT(F423:F434)=9),cubic_spline(F422:F431,H422:H431,B$11),IF(AND(COUNT(H423:H434)=10,COUNT(F423:F434)=10),cubic_spline(F422:F432,H422:H432,B$11),IF(AND(COUNT(H423:H434)=11,COUNT(F423:F434)=11),cubic_spline(F422:F433,H422:H433,B$11),IF(AND(COUNT(H423:H434)=12,COUNT(F423:F434)=12),cubic_spline(F422:F434,H422:H434,B$11),""))))))))))))</f>
        <v/>
      </c>
      <c r="K430" s="52" t="str">
        <f>IF(N(B$11)=0,"",IF(AND(COUNT(A423:A434)=2,COUNT(F423:F434)=2),cubic_spline(F422:F424,A422:A424,B$11),IF(AND(COUNT(A423:A434)=3,COUNT(F423:F434)=3),cubic_spline(F422:F425,A422:A425,B$11),IF(AND(COUNT(A423:A434)=4,COUNT(F423:F434)=4),cubic_spline(F422:F426,A422:A426,B$11),IF(AND(COUNT(A423:A434)=5,COUNT(F423:F434)=5),cubic_spline(F422:F427,A422:A427,B$11),IF(AND(COUNT(A423:A434)=6,COUNT(F423:F434)=6),cubic_spline(F422:F428,A422:A428,B$11),IF(AND(COUNT(A423:A434)=7,COUNT(F423:F434)=7),cubic_spline(F422:F429,A422:A429,B$11),IF(AND(COUNT(A423:A434)=8,COUNT(F423:F434)=8),cubic_spline(F422:F430,A422:A430,B$11),IF(AND(COUNT(A423:A434)=9,COUNT(F423:F434)=9),cubic_spline(F422:F431,A422:A431,B$11),IF(AND(COUNT(A423:A434)=10,COUNT(F423:F434)=10),cubic_spline(F422:F432,A422:A432,B$11),IF(AND(COUNT(A423:A434)=11,COUNT(F423:F434)=11),cubic_spline(F422:F433,A422:A433,B$11),IF(AND(COUNT(A423:A434)=12,COUNT(F423:F434)=12),cubic_spline(F422:F434,A422:A434,B$11),""))))))))))))</f>
        <v/>
      </c>
      <c r="L430" s="27" t="str">
        <f>IF(I430="","",B$10&amp;"-"&amp;B$11)</f>
        <v/>
      </c>
      <c r="M430" s="52" t="str">
        <f t="shared" si="160"/>
        <v/>
      </c>
    </row>
    <row r="431" spans="1:13" x14ac:dyDescent="0.35">
      <c r="A431" s="48"/>
      <c r="B431" s="48"/>
      <c r="C431" s="49"/>
      <c r="D431" s="50"/>
      <c r="E431" s="51" t="str">
        <f t="shared" si="159"/>
        <v/>
      </c>
      <c r="F431" s="71" t="str">
        <f t="shared" si="156"/>
        <v/>
      </c>
      <c r="G431" s="69" t="str">
        <f t="shared" si="158"/>
        <v/>
      </c>
      <c r="H431" s="70" t="str">
        <f t="shared" si="157"/>
        <v/>
      </c>
      <c r="I431" s="27" t="str">
        <f>IF(N(J431)=0,"",0&amp;"-"&amp;B$12)</f>
        <v/>
      </c>
      <c r="J431" s="52" t="str">
        <f>IF(N(B$12)=0,"",IF(AND(COUNT(H423:H434)=2,COUNT(F423:F434)=2),cubic_spline(F422:F424,H422:H424,B$12),IF(AND(COUNT(H423:H434)=3,COUNT(F423:F434)=3),cubic_spline(F422:F425,H422:H425,B$12),IF(AND(COUNT(H423:H434)=4,COUNT(F423:F434)=4),cubic_spline(F422:F426,H422:H426,B$12),IF(AND(COUNT(H423:H434)=5,COUNT(F423:F434)=5),cubic_spline(F422:F427,H422:H427,B$12),IF(AND(COUNT(H423:H434)=6,COUNT(F423:F434)=6),cubic_spline(F422:F428,H422:H428,B$12),IF(AND(COUNT(H423:H434)=7,COUNT(F423:F434)=7),cubic_spline(F422:F429,H422:H429,B$12),IF(AND(COUNT(H423:H434)=8,COUNT(F423:F434)=8),cubic_spline(F422:F430,H422:H430,B$12),IF(AND(COUNT(H423:H434)=9,COUNT(F423:F434)=9),cubic_spline(F422:F431,H422:H431,B$12),IF(AND(COUNT(H423:H434)=10,COUNT(F423:F434)=10),cubic_spline(F422:F432,H422:H432,B$12),IF(AND(COUNT(H423:H434)=11,COUNT(F423:F434)=11),cubic_spline(F422:F433,H422:H433,B$12),IF(AND(COUNT(H423:H434)=12,COUNT(F423:F434)=12),cubic_spline(F422:F434,H422:H434,B$12),""))))))))))))</f>
        <v/>
      </c>
      <c r="K431" s="52" t="str">
        <f>IF(N(B$12)=0,"",IF(AND(COUNT(A423:A434)=2,COUNT(F423:F434)=2),cubic_spline(F422:F424,A422:A424,B$12),IF(AND(COUNT(A423:A434)=3,COUNT(F423:F434)=3),cubic_spline(F422:F425,A422:A425,B$12),IF(AND(COUNT(A423:A434)=4,COUNT(F423:F434)=4),cubic_spline(F422:F426,A422:A426,B$12),IF(AND(COUNT(A423:A434)=5,COUNT(F423:F434)=5),cubic_spline(F422:F427,A422:A427,B$12),IF(AND(COUNT(A423:A434)=6,COUNT(F423:F434)=6),cubic_spline(F422:F428,A422:A428,B$12),IF(AND(COUNT(A423:A434)=7,COUNT(F423:F434)=7),cubic_spline(F422:F429,A422:A429,B$12),IF(AND(COUNT(A423:A434)=8,COUNT(F423:F434)=8),cubic_spline(F422:F430,A422:A430,B$12),IF(AND(COUNT(A423:A434)=9,COUNT(F423:F434)=9),cubic_spline(F422:F431,A422:A431,B$12),IF(AND(COUNT(A423:A434)=10,COUNT(F423:F434)=10),cubic_spline(F422:F432,A422:A432,B$12),IF(AND(COUNT(A423:A434)=11,COUNT(F423:F434)=11),cubic_spline(F422:F433,A422:A433,B$12),IF(AND(COUNT(A423:A434)=12,COUNT(F423:F434)=12),cubic_spline(F422:F434,A422:A434,B$12),""))))))))))))</f>
        <v/>
      </c>
      <c r="L431" s="27" t="str">
        <f>IF(I431="","",B$11&amp;"-"&amp;B$12)</f>
        <v/>
      </c>
      <c r="M431" s="52" t="str">
        <f t="shared" si="160"/>
        <v/>
      </c>
    </row>
    <row r="432" spans="1:13" x14ac:dyDescent="0.35">
      <c r="A432" s="48"/>
      <c r="B432" s="48"/>
      <c r="C432" s="49"/>
      <c r="D432" s="50"/>
      <c r="E432" s="51" t="str">
        <f t="shared" si="159"/>
        <v/>
      </c>
      <c r="F432" s="71" t="str">
        <f t="shared" si="156"/>
        <v/>
      </c>
      <c r="G432" s="69" t="str">
        <f t="shared" si="158"/>
        <v/>
      </c>
      <c r="H432" s="70" t="str">
        <f t="shared" si="157"/>
        <v/>
      </c>
      <c r="I432" s="27" t="str">
        <f>IF(N(J432)=0,"",0&amp;"-"&amp;B$13)</f>
        <v/>
      </c>
      <c r="J432" s="52" t="str">
        <f>IF(N(B$13)=0,"",IF(AND(COUNT(H423:H434)=2,COUNT(F423:F434)=2),cubic_spline(F422:F424,H422:H424,B$13),IF(AND(COUNT(H423:H434)=3,COUNT(F423:F434)=3),cubic_spline(F422:F425,H422:H425,B$13),IF(AND(COUNT(H423:H434)=4,COUNT(F423:F434)=4),cubic_spline(F422:F426,H422:H426,B$13),IF(AND(COUNT(H423:H434)=5,COUNT(F423:F434)=5),cubic_spline(F422:F427,H422:H427,B$13),IF(AND(COUNT(H423:H434)=6,COUNT(F423:F434)=6),cubic_spline(F422:F428,H422:H428,B$13),IF(AND(COUNT(H423:H434)=7,COUNT(F423:F434)=7),cubic_spline(F422:F429,H422:H429,B$13),IF(AND(COUNT(H423:H434)=8,COUNT(F423:F434)=8),cubic_spline(F422:F430,H422:H430,B$13),IF(AND(COUNT(H423:H434)=9,COUNT(F423:F434)=9),cubic_spline(F422:F431,H422:H431,B$13),IF(AND(COUNT(H423:H434)=10,COUNT(F423:F434)=10),cubic_spline(F422:F432,H422:H432,B$13),IF(AND(COUNT(H423:H434)=11,COUNT(F423:F434)=11),cubic_spline(F422:F433,H422:H433,B$13),IF(AND(COUNT(H423:H434)=12,COUNT(F423:F434)=12),cubic_spline(F422:F434,H422:H434,B$13),""))))))))))))</f>
        <v/>
      </c>
      <c r="K432" s="52" t="str">
        <f>IF(N(B$13)=0,"",IF(AND(COUNT(A423:A434)=2,COUNT(F423:F434)=2),cubic_spline(F422:F424,A422:A424,B$13),IF(AND(COUNT(A423:A434)=3,COUNT(F423:F434)=3),cubic_spline(F422:F425,A422:A425,B$13),IF(AND(COUNT(A423:A434)=4,COUNT(F423:F434)=4),cubic_spline(F422:F426,A422:A426,B$13),IF(AND(COUNT(A423:A434)=5,COUNT(F423:F434)=5),cubic_spline(F422:F427,A422:A427,B$13),IF(AND(COUNT(A423:A434)=6,COUNT(F423:F434)=6),cubic_spline(F422:F428,A422:A428,B$13),IF(AND(COUNT(A423:A434)=7,COUNT(F423:F434)=7),cubic_spline(F422:F429,A422:A429,B$13),IF(AND(COUNT(A423:A434)=8,COUNT(F423:F434)=8),cubic_spline(F422:F430,A422:A430,B$13),IF(AND(COUNT(A423:A434)=9,COUNT(F423:F434)=9),cubic_spline(F422:F431,A422:A431,B$13),IF(AND(COUNT(A423:A434)=10,COUNT(F423:F434)=10),cubic_spline(F422:F432,A422:A432,B$13),IF(AND(COUNT(A423:A434)=11,COUNT(F423:F434)=11),cubic_spline(F422:F433,A422:A433,B$13),IF(AND(COUNT(A423:A434)=12,COUNT(F423:F434)=12),cubic_spline(F422:F434,A422:A434,B$13),""))))))))))))</f>
        <v/>
      </c>
      <c r="L432" s="27" t="str">
        <f>IF(I432="","",B$12&amp;"-"&amp;B$13)</f>
        <v/>
      </c>
      <c r="M432" s="52" t="str">
        <f t="shared" si="160"/>
        <v/>
      </c>
    </row>
    <row r="433" spans="1:13" x14ac:dyDescent="0.35">
      <c r="A433" s="48"/>
      <c r="B433" s="48"/>
      <c r="C433" s="49"/>
      <c r="D433" s="50"/>
      <c r="E433" s="51" t="str">
        <f t="shared" si="159"/>
        <v/>
      </c>
      <c r="F433" s="71" t="str">
        <f t="shared" si="156"/>
        <v/>
      </c>
      <c r="G433" s="69" t="str">
        <f t="shared" si="158"/>
        <v/>
      </c>
      <c r="H433" s="70" t="str">
        <f t="shared" si="157"/>
        <v/>
      </c>
      <c r="I433" s="27" t="str">
        <f>IF(N(J433)=0,"",0&amp;"-"&amp;B$14)</f>
        <v/>
      </c>
      <c r="J433" s="52" t="str">
        <f>IF(N(B$14)=0,"",IF(AND(COUNT(H423:H434)=2,COUNT(F423:F434)=2),cubic_spline(F422:F424,H422:H424,B$14),IF(AND(COUNT(H423:H434)=3,COUNT(F423:F434)=3),cubic_spline(F422:F425,H422:H425,B$14),IF(AND(COUNT(H423:H434)=4,COUNT(F423:F434)=4),cubic_spline(F422:F426,H422:H426,B$14),IF(AND(COUNT(H423:H434)=5,COUNT(F423:F434)=5),cubic_spline(F422:F427,H422:H427,B$14),IF(AND(COUNT(H423:H434)=6,COUNT(F423:F434)=6),cubic_spline(F422:F428,H422:H428,B$14),IF(AND(COUNT(H423:H434)=7,COUNT(F423:F434)=7),cubic_spline(F422:F429,H422:H429,B$14),IF(AND(COUNT(H423:H434)=8,COUNT(F423:F434)=8),cubic_spline(F422:F430,H422:H430,B$14),IF(AND(COUNT(H423:H434)=9,COUNT(F423:F434)=9),cubic_spline(F422:F431,H422:H431,B$14),IF(AND(COUNT(H423:H434)=10,COUNT(F423:F434)=10),cubic_spline(F422:F432,H422:H432,B$14),IF(AND(COUNT(H423:H434)=11,COUNT(F423:F434)=11),cubic_spline(F422:F433,H422:H433,B$14),IF(AND(COUNT(H423:H434)=12,COUNT(F423:F434)=12),cubic_spline(F422:F434,H422:H434,B$14),""))))))))))))</f>
        <v/>
      </c>
      <c r="K433" s="52" t="str">
        <f>IF(N(B$14)=0,"",IF(AND(COUNT(A423:A434)=2,COUNT(F423:F434)=2),cubic_spline(F422:F424,A422:A424,B$14),IF(AND(COUNT(A423:A434)=3,COUNT(F423:F434)=3),cubic_spline(F422:F425,A422:A425,B$14),IF(AND(COUNT(A423:A434)=4,COUNT(F423:F434)=4),cubic_spline(F422:F426,A422:A426,B$14),IF(AND(COUNT(A423:A434)=5,COUNT(F423:F434)=5),cubic_spline(F422:F427,A422:A427,B$14),IF(AND(COUNT(A423:A434)=6,COUNT(F423:F434)=6),cubic_spline(F422:F428,A422:A428,B$14),IF(AND(COUNT(A423:A434)=7,COUNT(F423:F434)=7),cubic_spline(F422:F429,A422:A429,B$14),IF(AND(COUNT(A423:A434)=8,COUNT(F423:F434)=8),cubic_spline(F422:F430,A422:A430,B$14),IF(AND(COUNT(A423:A434)=9,COUNT(F423:F434)=9),cubic_spline(F422:F431,A422:A431,B$14),IF(AND(COUNT(A423:A434)=10,COUNT(F423:F434)=10),cubic_spline(F422:F432,A422:A432,B$14),IF(AND(COUNT(A423:A434)=11,COUNT(F423:F434)=11),cubic_spline(F422:F433,A422:A433,B$14),IF(AND(COUNT(A423:A434)=12,COUNT(F423:F434)=12),cubic_spline(F422:F434,A422:A434,B$14),""))))))))))))</f>
        <v/>
      </c>
      <c r="L433" s="27" t="str">
        <f>IF(I433="","",B$13&amp;"-"&amp;B$14)</f>
        <v/>
      </c>
      <c r="M433" s="52" t="str">
        <f t="shared" si="160"/>
        <v/>
      </c>
    </row>
    <row r="434" spans="1:13" x14ac:dyDescent="0.35">
      <c r="A434" s="48"/>
      <c r="B434" s="48"/>
      <c r="C434" s="49"/>
      <c r="D434" s="50"/>
      <c r="E434" s="51" t="str">
        <f t="shared" si="159"/>
        <v/>
      </c>
      <c r="F434" s="71" t="str">
        <f t="shared" si="156"/>
        <v/>
      </c>
      <c r="G434" s="69" t="str">
        <f t="shared" si="158"/>
        <v/>
      </c>
      <c r="H434" s="70" t="str">
        <f t="shared" si="157"/>
        <v/>
      </c>
      <c r="I434" s="27" t="str">
        <f>IF(N(J434)=0,"",0&amp;"-"&amp;B$15)</f>
        <v/>
      </c>
      <c r="J434" s="52" t="str">
        <f>IF(N(B$15)=0,"",IF(AND(COUNT(H423:H434)=2,COUNT(F423:F434)=2),cubic_spline(F422:F424,H422:H424,B$15),IF(AND(COUNT(H423:H434)=3,COUNT(F423:F434)=3),cubic_spline(F422:F425,H422:H425,B$15),IF(AND(COUNT(H423:H434)=4,COUNT(F423:F434)=4),cubic_spline(F422:F426,H422:H426,B$15),IF(AND(COUNT(H423:H434)=5,COUNT(F423:F434)=5),cubic_spline(F422:F427,H422:H427,B$15),IF(AND(COUNT(H423:H434)=6,COUNT(F423:F434)=6),cubic_spline(F422:F428,H422:H428,B$15),IF(AND(COUNT(H423:H434)=7,COUNT(F423:F434)=7),cubic_spline(F422:F429,H422:H429,B$15),IF(AND(COUNT(H423:H434)=8,COUNT(F423:F434)=8),cubic_spline(F422:F430,H422:H430,B$15),IF(AND(COUNT(H423:H434)=9,COUNT(F423:F434)=9),cubic_spline(F422:F431,H422:H431,B$15),IF(AND(COUNT(H423:H434)=10,COUNT(F423:F434)=10),cubic_spline(F422:F432,H422:H432,B$15),IF(AND(COUNT(H423:H434)=11,COUNT(F423:F434)=11),cubic_spline(F422:F433,H422:H433,B$15),IF(AND(COUNT(H423:H434)=12,COUNT(F423:F434)=12),cubic_spline(F422:F434,H422:H434,B$15),""))))))))))))</f>
        <v/>
      </c>
      <c r="K434" s="52" t="str">
        <f>IF(N(B$15)=0,"",IF(AND(COUNT(A423:A434)=2,COUNT(F423:F434)=2),cubic_spline(F422:F424,A422:A424,B$15),IF(AND(COUNT(A423:A434)=3,COUNT(F423:F434)=3),cubic_spline(F422:F425,A422:A425,B$15),IF(AND(COUNT(A423:A434)=4,COUNT(F423:F434)=4),cubic_spline(F422:F426,A422:A426,B$15),IF(AND(COUNT(A423:A434)=5,COUNT(F423:F434)=5),cubic_spline(F422:F427,A422:A427,B$15),IF(AND(COUNT(A423:A434)=6,COUNT(F423:F434)=6),cubic_spline(F422:F428,A422:A428,B$15),IF(AND(COUNT(A423:A434)=7,COUNT(F423:F434)=7),cubic_spline(F422:F429,A422:A429,B$15),IF(AND(COUNT(A423:A434)=8,COUNT(F423:F434)=8),cubic_spline(F422:F430,A422:A430,B$15),IF(AND(COUNT(A423:A434)=9,COUNT(F423:F434)=9),cubic_spline(F422:F431,A422:A431,B$15),IF(AND(COUNT(A423:A434)=10,COUNT(F423:F434)=10),cubic_spline(F422:F432,A422:A432,B$15),IF(AND(COUNT(A423:A434)=11,COUNT(F423:F434)=11),cubic_spline(F422:F433,A422:A433,B$15),IF(AND(COUNT(A423:A434)=12,COUNT(F423:F434)=12),cubic_spline(F422:F434,A422:A434,B$15),""))))))))))))</f>
        <v/>
      </c>
      <c r="L434" s="27" t="str">
        <f>IF(I434="","",B$14&amp;"-"&amp;B$15)</f>
        <v/>
      </c>
      <c r="M434" s="52" t="str">
        <f t="shared" si="160"/>
        <v/>
      </c>
    </row>
    <row r="435" spans="1:13" ht="5.15" customHeight="1" x14ac:dyDescent="0.35">
      <c r="A435" s="47"/>
      <c r="B435" s="47"/>
      <c r="C435" s="47"/>
      <c r="D435" s="53"/>
      <c r="E435" s="54"/>
      <c r="F435" s="55"/>
      <c r="G435" s="72"/>
      <c r="H435" s="73"/>
      <c r="I435" s="47"/>
      <c r="J435" s="57"/>
      <c r="K435" s="57"/>
      <c r="L435" s="55"/>
      <c r="M435" s="57"/>
    </row>
    <row r="436" spans="1:13" x14ac:dyDescent="0.35">
      <c r="A436" s="48"/>
      <c r="B436" s="48"/>
      <c r="C436" s="49"/>
      <c r="D436" s="50"/>
      <c r="E436" s="51" t="str">
        <f>IF(N(C436)=0,"",C436/PI()/($D$1/2)^2/$D$2*10000)</f>
        <v/>
      </c>
      <c r="F436" s="68" t="str">
        <f t="shared" ref="F436:F447" si="161">IF(N(E436)=0,"",(N(E436)+N(F435)))</f>
        <v/>
      </c>
      <c r="G436" s="69" t="str">
        <f>IF(OR(N(D436)=0,N(E436)=0),"",(E436*D436)/1000)</f>
        <v/>
      </c>
      <c r="H436" s="70" t="str">
        <f t="shared" ref="H436:H447" si="162">IF(N(G436)=0,"",(N(G436)+N(H435)))</f>
        <v/>
      </c>
      <c r="I436" s="27" t="str">
        <f>IF(N(J436)=0,"",0&amp;"-"&amp;B$4)</f>
        <v/>
      </c>
      <c r="J436" s="52" t="str">
        <f>IF(N(B$4)=0,"",IF(AND(COUNT(H436:H447)=2,COUNT(F436:F447)=2),cubic_spline(F435:F437,H435:H437,B$4),IF(AND(COUNT(H436:H447)=3,COUNT(F436:F447)=3),cubic_spline(F435:F438,H435:H438,B$4),IF(AND(COUNT(H436:H447)=4,COUNT(F436:F447)=4),cubic_spline(F435:F439,H435:H439,B$4),IF(AND(COUNT(H436:H447)=5,COUNT(F436:F447)=5),cubic_spline(F435:F440,H435:H440,B$4),IF(AND(COUNT(H436:H447)=6,COUNT(F436:F447)=6),cubic_spline(F435:F441,H435:H441,B$4),IF(AND(COUNT(H436:H447)=7,COUNT(F436:F447)=7),cubic_spline(F435:F442,H435:H442,B$4),IF(AND(COUNT(H436:H447)=8,COUNT(F436:F447)=8),cubic_spline(F435:F443,H435:H443,B$4),IF(AND(COUNT(H436:H447)=9,COUNT(F436:F447)=9),cubic_spline(F435:F444,H435:H444,B$4),IF(AND(COUNT(H436:H447)=10,COUNT(F436:F447)=10),cubic_spline(F435:F445,H435:H445,B$4),IF(AND(COUNT(H436:H447)=11,COUNT(F436:F447)=11),cubic_spline(F435:F446,H435:H446,B$4),IF(AND(COUNT(H436:H447)=12,COUNT(F436:F447)=12),cubic_spline(F435:F447,H435:H447,B$4),""))))))))))))</f>
        <v/>
      </c>
      <c r="K436" s="52" t="str">
        <f>IF(N(B$4)=0,"",IF(AND(COUNT(A436:A447)=2,COUNT(F436:F447)=2),cubic_spline(F435:F437,A435:A437,B$4),IF(AND(COUNT(A436:A447)=3,COUNT(F436:F447)=3),cubic_spline(F435:F438,A435:A438,B$4),IF(AND(COUNT(A436:A447)=4,COUNT(F436:F447)=4),cubic_spline(F435:F439,A435:A439,B$4),IF(AND(COUNT(A436:A447)=5,COUNT(F436:F447)=5),cubic_spline(F435:F440,A435:A440,B$4),IF(AND(COUNT(A436:A447)=6,COUNT(F436:F447)=6),cubic_spline(F435:F441,A435:A441,B$4),IF(AND(COUNT(A436:A447)=7,COUNT(F436:F447)=7),cubic_spline(F435:F442,A435:A442,B$4),IF(AND(COUNT(A436:A447)=8,COUNT(F436:F447)=8),cubic_spline(F435:F443,A435:A443,B$4),IF(AND(COUNT(A436:A447)=9,COUNT(F436:F447)=9),cubic_spline(F435:F444,A435:A444,B$4),IF(AND(COUNT(A436:A447)=10,COUNT(F436:F447)=10),cubic_spline(F435:F445,A435:A445,B$4),IF(AND(COUNT(A436:A447)=11,COUNT(F436:F447)=11),cubic_spline(F435:F446,A435:A446,B$4),IF(AND(COUNT(A436:A447)=12,COUNT(F436:F447)=12),cubic_spline(F435:F447,A435:A447,B$4),""))))))))))))</f>
        <v/>
      </c>
      <c r="L436" s="27" t="str">
        <f>IF(I436="","",0&amp;"-"&amp;B$4)</f>
        <v/>
      </c>
      <c r="M436" s="52" t="str">
        <f>IF(N(J436)=0,"",J436-J435)</f>
        <v/>
      </c>
    </row>
    <row r="437" spans="1:13" x14ac:dyDescent="0.35">
      <c r="A437" s="48"/>
      <c r="B437" s="48"/>
      <c r="C437" s="49"/>
      <c r="D437" s="50"/>
      <c r="E437" s="51" t="str">
        <f>IF(N(C437)=0,"",C437/PI()/($D$1/2)^2/$D$2*10000)</f>
        <v/>
      </c>
      <c r="F437" s="68" t="str">
        <f t="shared" si="161"/>
        <v/>
      </c>
      <c r="G437" s="69" t="str">
        <f t="shared" ref="G437:G447" si="163">IF(OR(N(D437)=0,N(E437)=0),"",(E437*D437)/1000)</f>
        <v/>
      </c>
      <c r="H437" s="70" t="str">
        <f t="shared" si="162"/>
        <v/>
      </c>
      <c r="I437" s="27" t="str">
        <f>IF(N(J437)=0,"",0&amp;"-"&amp;B$5)</f>
        <v/>
      </c>
      <c r="J437" s="52" t="str">
        <f>IF(N(B$5)=0,"",IF(AND(COUNT(H436:H447)=2,COUNT(F436:F447)=2),cubic_spline(F435:F437,H435:H437,B$5),IF(AND(COUNT(H436:H447)=3,COUNT(F436:F447)=3),cubic_spline(F435:F438,H435:H438,B$5),IF(AND(COUNT(H436:H447)=4,COUNT(F436:F447)=4),cubic_spline(F435:F439,H435:H439,B$5),IF(AND(COUNT(H436:H447)=5,COUNT(F436:F447)=5),cubic_spline(F435:F440,H435:H440,B$5),IF(AND(COUNT(H436:H447)=6,COUNT(F436:F447)=6),cubic_spline(F435:F441,H435:H441,B$5),IF(AND(COUNT(H436:H447)=7,COUNT(F436:F447)=7),cubic_spline(F435:F442,H435:H442,B$5),IF(AND(COUNT(H436:H447)=8,COUNT(F436:F447)=8),cubic_spline(F435:F443,H435:H443,B$5),IF(AND(COUNT(H436:H447)=9,COUNT(F436:F447)=9),cubic_spline(F435:F444,H435:H444,B$5),IF(AND(COUNT(H436:H447)=10,COUNT(F436:F447)=10),cubic_spline(F435:F445,H435:H445,B$5),IF(AND(COUNT(H436:H447)=11,COUNT(F436:F447)=11),cubic_spline(F435:F446,H435:H446,B$5),IF(AND(COUNT(H436:H447)=12,COUNT(F436:F447)=12),cubic_spline(F435:F447,H435:H447,B$5),""))))))))))))</f>
        <v/>
      </c>
      <c r="K437" s="52" t="str">
        <f>IF(N(B$5)=0,"",IF(AND(COUNT(A436:A447)=2,COUNT(F436:F447)=2),cubic_spline(F435:F437,A435:A437,B$5),IF(AND(COUNT(A436:A447)=3,COUNT(F436:F447)=3),cubic_spline(F435:F438,A435:A438,B$5),IF(AND(COUNT(A436:A447)=4,COUNT(F436:F447)=4),cubic_spline(F435:F439,A435:A439,B$5),IF(AND(COUNT(A436:A447)=5,COUNT(F436:F447)=5),cubic_spline(F435:F440,A435:A440,B$5),IF(AND(COUNT(A436:A447)=6,COUNT(F436:F447)=6),cubic_spline(F435:F441,A435:A441,B$5),IF(AND(COUNT(A436:A447)=7,COUNT(F436:F447)=7),cubic_spline(F435:F442,A435:A442,B$5),IF(AND(COUNT(A436:A447)=8,COUNT(F436:F447)=8),cubic_spline(F435:F443,A435:A443,B$5),IF(AND(COUNT(A436:A447)=9,COUNT(F436:F447)=9),cubic_spline(F435:F444,A435:A444,B$5),IF(AND(COUNT(A436:A447)=10,COUNT(F436:F447)=10),cubic_spline(F435:F445,A435:A445,B$5),IF(AND(COUNT(A436:A447)=11,COUNT(F436:F447)=11),cubic_spline(F435:F446,A435:A446,B$5),IF(AND(COUNT(A436:A447)=12,COUNT(F436:F447)=12),cubic_spline(F435:F447,A435:A447,B$5),""))))))))))))</f>
        <v/>
      </c>
      <c r="L437" s="27" t="str">
        <f>IF(I437="","",B$4&amp;"-"&amp;B$5)</f>
        <v/>
      </c>
      <c r="M437" s="52" t="str">
        <f>IF(N(J437)=0,"",J437-J436)</f>
        <v/>
      </c>
    </row>
    <row r="438" spans="1:13" x14ac:dyDescent="0.35">
      <c r="A438" s="48"/>
      <c r="B438" s="48"/>
      <c r="C438" s="49"/>
      <c r="D438" s="50"/>
      <c r="E438" s="51" t="str">
        <f>IF(N(C438)=0,"",C438/PI()/($D$1/2)^2/$D$2*10000)</f>
        <v/>
      </c>
      <c r="F438" s="68" t="str">
        <f t="shared" si="161"/>
        <v/>
      </c>
      <c r="G438" s="69" t="str">
        <f t="shared" si="163"/>
        <v/>
      </c>
      <c r="H438" s="70" t="str">
        <f t="shared" si="162"/>
        <v/>
      </c>
      <c r="I438" s="27" t="str">
        <f>IF(N(J438)=0,"",0&amp;"-"&amp;B$6)</f>
        <v/>
      </c>
      <c r="J438" s="52" t="str">
        <f>IF(N(B$6)=0,"",IF(AND(COUNT(H436:H447)=2,COUNT(F436:F447)=2),cubic_spline(F435:F437,H435:H437,B$6),IF(AND(COUNT(H436:H447)=3,COUNT(F436:F447)=3),cubic_spline(F435:F438,H435:H438,B$6),IF(AND(COUNT(H436:H447)=4,COUNT(F436:F447)=4),cubic_spline(F435:F439,H435:H439,B$6),IF(AND(COUNT(H436:H447)=5,COUNT(F436:F447)=5),cubic_spline(F435:F440,H435:H440,B$6),IF(AND(COUNT(H436:H447)=6,COUNT(F436:F447)=6),cubic_spline(F435:F441,H435:H441,B$6),IF(AND(COUNT(H436:H447)=7,COUNT(F436:F447)=7),cubic_spline(F435:F442,H435:H442,B$6),IF(AND(COUNT(H436:H447)=8,COUNT(F436:F447)=8),cubic_spline(F435:F443,H435:H443,B$6),IF(AND(COUNT(H436:H447)=9,COUNT(F436:F447)=9),cubic_spline(F435:F444,H435:H444,B$6),IF(AND(COUNT(H436:H447)=10,COUNT(F436:F447)=10),cubic_spline(F435:F445,H435:H445,B$6),IF(AND(COUNT(H436:H447)=11,COUNT(F436:F447)=11),cubic_spline(F435:F446,H435:H446,B$6),IF(AND(COUNT(H436:H447)=12,COUNT(F436:F447)=12),cubic_spline(F435:F447,H435:H447,B$6),""))))))))))))</f>
        <v/>
      </c>
      <c r="K438" s="52" t="str">
        <f>IF(N(B$6)=0,"",IF(AND(COUNT(A436:A447)=2,COUNT(F436:F447)=2),cubic_spline(F435:F437,A435:A437,B$6),IF(AND(COUNT(A436:A447)=3,COUNT(F436:F447)=3),cubic_spline(F435:F438,A435:A438,B$6),IF(AND(COUNT(A436:A447)=4,COUNT(F436:F447)=4),cubic_spline(F435:F439,A435:A439,B$6),IF(AND(COUNT(A436:A447)=5,COUNT(F436:F447)=5),cubic_spline(F435:F440,A435:A440,B$6),IF(AND(COUNT(A436:A447)=6,COUNT(F436:F447)=6),cubic_spline(F435:F441,A435:A441,B$6),IF(AND(COUNT(A436:A447)=7,COUNT(F436:F447)=7),cubic_spline(F435:F442,A435:A442,B$6),IF(AND(COUNT(A436:A447)=8,COUNT(F436:F447)=8),cubic_spline(F435:F443,A435:A443,B$6),IF(AND(COUNT(A436:A447)=9,COUNT(F436:F447)=9),cubic_spline(F435:F444,A435:A444,B$6),IF(AND(COUNT(A436:A447)=10,COUNT(F436:F447)=10),cubic_spline(F435:F445,A435:A445,B$6),IF(AND(COUNT(A436:A447)=11,COUNT(F436:F447)=11),cubic_spline(F435:F446,A435:A446,B$6),IF(AND(COUNT(A436:A447)=12,COUNT(F436:F447)=12),cubic_spline(F435:F447,A435:A447,B$6),""))))))))))))</f>
        <v/>
      </c>
      <c r="L438" s="27" t="str">
        <f>IF(I438="","",B$5&amp;"-"&amp;B$6)</f>
        <v/>
      </c>
      <c r="M438" s="52" t="str">
        <f>IF(N(J438)=0,"",J438-J437)</f>
        <v/>
      </c>
    </row>
    <row r="439" spans="1:13" x14ac:dyDescent="0.35">
      <c r="A439" s="48"/>
      <c r="B439" s="48"/>
      <c r="C439" s="49"/>
      <c r="D439" s="50"/>
      <c r="E439" s="51" t="str">
        <f>IF(N(C439)=0,"",C439/PI()/($D$1/2)^2/$D$2*10000)</f>
        <v/>
      </c>
      <c r="F439" s="68" t="str">
        <f t="shared" si="161"/>
        <v/>
      </c>
      <c r="G439" s="69" t="str">
        <f t="shared" si="163"/>
        <v/>
      </c>
      <c r="H439" s="70" t="str">
        <f t="shared" si="162"/>
        <v/>
      </c>
      <c r="I439" s="27" t="str">
        <f>IF(N(J439)=0,"",0&amp;"-"&amp;B$7)</f>
        <v/>
      </c>
      <c r="J439" s="52" t="str">
        <f>IF(N(B$7)=0,"",IF(AND(COUNT(H436:H447)=2,COUNT(F436:F447)=2),cubic_spline(F435:F437,H435:H437,B$7),IF(AND(COUNT(H436:H447)=3,COUNT(F436:F447)=3),cubic_spline(F435:F438,H435:H438,B$7),IF(AND(COUNT(H436:H447)=4,COUNT(F436:F447)=4),cubic_spline(F435:F439,H435:H439,B$7),IF(AND(COUNT(H436:H447)=5,COUNT(F436:F447)=5),cubic_spline(F435:F440,H435:H440,B$7),IF(AND(COUNT(H436:H447)=6,COUNT(F436:F447)=6),cubic_spline(F435:F441,H435:H441,B$7),IF(AND(COUNT(H436:H447)=7,COUNT(F436:F447)=7),cubic_spline(F435:F442,H435:H442,B$7),IF(AND(COUNT(H436:H447)=8,COUNT(F436:F447)=8),cubic_spline(F435:F443,H435:H443,B$7),IF(AND(COUNT(H436:H447)=9,COUNT(F436:F447)=9),cubic_spline(F435:F444,H435:H444,B$7),IF(AND(COUNT(H436:H447)=10,COUNT(F436:F447)=10),cubic_spline(F435:F445,H435:H445,B$7),IF(AND(COUNT(H436:H447)=11,COUNT(F436:F447)=11),cubic_spline(F435:F446,H435:H446,B$7),IF(AND(COUNT(H436:H447)=12,COUNT(F436:F447)=12),cubic_spline(F435:F447,H435:H447,B$7),""))))))))))))</f>
        <v/>
      </c>
      <c r="K439" s="52" t="str">
        <f>IF(N(B$7)=0,"",IF(AND(COUNT(A436:A447)=2,COUNT(F436:F447)=2),cubic_spline(F435:F437,A435:A437,B$7),IF(AND(COUNT(A436:A447)=3,COUNT(F436:F447)=3),cubic_spline(F435:F438,A435:A438,B$7),IF(AND(COUNT(A436:A447)=4,COUNT(F436:F447)=4),cubic_spline(F435:F439,A435:A439,B$7),IF(AND(COUNT(A436:A447)=5,COUNT(F436:F447)=5),cubic_spline(F435:F440,A435:A440,B$7),IF(AND(COUNT(A436:A447)=6,COUNT(F436:F447)=6),cubic_spline(F435:F441,A435:A441,B$7),IF(AND(COUNT(A436:A447)=7,COUNT(F436:F447)=7),cubic_spline(F435:F442,A435:A442,B$7),IF(AND(COUNT(A436:A447)=8,COUNT(F436:F447)=8),cubic_spline(F435:F443,A435:A443,B$7),IF(AND(COUNT(A436:A447)=9,COUNT(F436:F447)=9),cubic_spline(F435:F444,A435:A444,B$7),IF(AND(COUNT(A436:A447)=10,COUNT(F436:F447)=10),cubic_spline(F435:F445,A435:A445,B$7),IF(AND(COUNT(A436:A447)=11,COUNT(F436:F447)=11),cubic_spline(F435:F446,A435:A446,B$7),IF(AND(COUNT(A436:A447)=12,COUNT(F436:F447)=12),cubic_spline(F435:F447,A435:A447,B$7),""))))))))))))</f>
        <v/>
      </c>
      <c r="L439" s="27" t="str">
        <f>IF(I439="","",B$6&amp;"-"&amp;B$7)</f>
        <v/>
      </c>
      <c r="M439" s="52" t="str">
        <f>IF(N(J439)=0,"",J439-J438)</f>
        <v/>
      </c>
    </row>
    <row r="440" spans="1:13" x14ac:dyDescent="0.35">
      <c r="A440" s="48"/>
      <c r="B440" s="48"/>
      <c r="C440" s="49"/>
      <c r="D440" s="50"/>
      <c r="E440" s="51" t="str">
        <f t="shared" ref="E440:E447" si="164">IF(N(C440)=0,"",C440/PI()/($D$1/2)^2/$D$2*10000)</f>
        <v/>
      </c>
      <c r="F440" s="71" t="str">
        <f t="shared" si="161"/>
        <v/>
      </c>
      <c r="G440" s="69" t="str">
        <f t="shared" si="163"/>
        <v/>
      </c>
      <c r="H440" s="70" t="str">
        <f t="shared" si="162"/>
        <v/>
      </c>
      <c r="I440" s="27" t="str">
        <f>IF(N(J440)=0,"",0&amp;"-"&amp;B$8)</f>
        <v/>
      </c>
      <c r="J440" s="52" t="str">
        <f>IF(N(B$8)=0,"",IF(AND(COUNT(H436:H447)=2,COUNT(F436:F447)=2),cubic_spline(F435:F437,H435:H437,B$8),IF(AND(COUNT(H436:H447)=3,COUNT(F436:F447)=3),cubic_spline(F435:F438,H435:H438,B$8),IF(AND(COUNT(H436:H447)=4,COUNT(F436:F447)=4),cubic_spline(F435:F439,H435:H439,B$8),IF(AND(COUNT(H436:H447)=5,COUNT(F436:F447)=5),cubic_spline(F435:F440,H435:H440,B$8),IF(AND(COUNT(H436:H447)=6,COUNT(F436:F447)=6),cubic_spline(F435:F441,H435:H441,B$8),IF(AND(COUNT(H436:H447)=7,COUNT(F436:F447)=7),cubic_spline(F435:F442,H435:H442,B$8),IF(AND(COUNT(H436:H447)=8,COUNT(F436:F447)=8),cubic_spline(F435:F443,H435:H443,B$8),IF(AND(COUNT(H436:H447)=9,COUNT(F436:F447)=9),cubic_spline(F435:F444,H435:H444,B$8),IF(AND(COUNT(H436:H447)=10,COUNT(F436:F447)=10),cubic_spline(F435:F445,H435:H445,B$8),IF(AND(COUNT(H436:H447)=11,COUNT(F436:F447)=11),cubic_spline(F435:F446,H435:H446,B$8),IF(AND(COUNT(H436:H447)=12,COUNT(F436:F447)=12),cubic_spline(F435:F447,H435:H447,B$8),""))))))))))))</f>
        <v/>
      </c>
      <c r="K440" s="52" t="str">
        <f>IF(N(B$8)=0,"",IF(AND(COUNT(A436:A447)=2,COUNT(F436:F447)=2),cubic_spline(F435:F437,A435:A437,B$8),IF(AND(COUNT(A436:A447)=3,COUNT(F436:F447)=3),cubic_spline(F435:F438,A435:A438,B$8),IF(AND(COUNT(A436:A447)=4,COUNT(F436:F447)=4),cubic_spline(F435:F439,A435:A439,B$8),IF(AND(COUNT(A436:A447)=5,COUNT(F436:F447)=5),cubic_spline(F435:F440,A435:A440,B$8),IF(AND(COUNT(A436:A447)=6,COUNT(F436:F447)=6),cubic_spline(F435:F441,A435:A441,B$8),IF(AND(COUNT(A436:A447)=7,COUNT(F436:F447)=7),cubic_spline(F435:F442,A435:A442,B$8),IF(AND(COUNT(A436:A447)=8,COUNT(F436:F447)=8),cubic_spline(F435:F443,A435:A443,B$8),IF(AND(COUNT(A436:A447)=9,COUNT(F436:F447)=9),cubic_spline(F435:F444,A435:A444,B$8),IF(AND(COUNT(A436:A447)=10,COUNT(F436:F447)=10),cubic_spline(F435:F445,A435:A445,B$8),IF(AND(COUNT(A436:A447)=11,COUNT(F436:F447)=11),cubic_spline(F435:F446,A435:A446,B$8),IF(AND(COUNT(A436:A447)=12,COUNT(F436:F447)=12),cubic_spline(F435:F447,A435:A447,B$8),""))))))))))))</f>
        <v/>
      </c>
      <c r="L440" s="27" t="str">
        <f>IF(I440="","",B$7&amp;"-"&amp;B$8)</f>
        <v/>
      </c>
      <c r="M440" s="52" t="str">
        <f>IF(N(J440)=0,"",J440-J439)</f>
        <v/>
      </c>
    </row>
    <row r="441" spans="1:13" x14ac:dyDescent="0.35">
      <c r="A441" s="48"/>
      <c r="B441" s="48"/>
      <c r="C441" s="49"/>
      <c r="D441" s="50"/>
      <c r="E441" s="51" t="str">
        <f t="shared" si="164"/>
        <v/>
      </c>
      <c r="F441" s="71" t="str">
        <f t="shared" si="161"/>
        <v/>
      </c>
      <c r="G441" s="69" t="str">
        <f t="shared" si="163"/>
        <v/>
      </c>
      <c r="H441" s="70" t="str">
        <f t="shared" si="162"/>
        <v/>
      </c>
      <c r="I441" s="27" t="str">
        <f>IF(N(J441)=0,"",0&amp;"-"&amp;B$9)</f>
        <v/>
      </c>
      <c r="J441" s="52" t="str">
        <f>IF(N(B$9)=0,"",IF(AND(COUNT(H436:H447)=2,COUNT(F436:F447)=2),cubic_spline(F435:F437,H435:H437,B$9),IF(AND(COUNT(H436:H447)=3,COUNT(F436:F447)=3),cubic_spline(F435:F438,H435:H438,B$9),IF(AND(COUNT(H436:H447)=4,COUNT(F436:F447)=4),cubic_spline(F435:F439,H435:H439,B$9),IF(AND(COUNT(H436:H447)=5,COUNT(F436:F447)=5),cubic_spline(F435:F440,H435:H440,B$9),IF(AND(COUNT(H436:H447)=6,COUNT(F436:F447)=6),cubic_spline(F435:F441,H435:H441,B$9),IF(AND(COUNT(H436:H447)=7,COUNT(F436:F447)=7),cubic_spline(F435:F442,H435:H442,B$9),IF(AND(COUNT(H436:H447)=8,COUNT(F436:F447)=8),cubic_spline(F435:F443,H435:H443,B$9),IF(AND(COUNT(H436:H447)=9,COUNT(F436:F447)=9),cubic_spline(F435:F444,H435:H444,B$9),IF(AND(COUNT(H436:H447)=10,COUNT(F436:F447)=10),cubic_spline(F435:F445,H435:H445,B$9),IF(AND(COUNT(H436:H447)=11,COUNT(F436:F447)=11),cubic_spline(F435:F446,H435:H446,B$9),IF(AND(COUNT(H436:H447)=12,COUNT(F436:F447)=12),cubic_spline(F435:F447,H435:H447,B$9),""))))))))))))</f>
        <v/>
      </c>
      <c r="K441" s="52" t="str">
        <f>IF(N(B$9)=0,"",IF(AND(COUNT(A436:A447)=2,COUNT(F436:F447)=2),cubic_spline(F435:F437,A435:A437,B$9),IF(AND(COUNT(A436:A447)=3,COUNT(F436:F447)=3),cubic_spline(F435:F438,A435:A438,B$9),IF(AND(COUNT(A436:A447)=4,COUNT(F436:F447)=4),cubic_spline(F435:F439,A435:A439,B$9),IF(AND(COUNT(A436:A447)=5,COUNT(F436:F447)=5),cubic_spline(F435:F440,A435:A440,B$9),IF(AND(COUNT(A436:A447)=6,COUNT(F436:F447)=6),cubic_spline(F435:F441,A435:A441,B$9),IF(AND(COUNT(A436:A447)=7,COUNT(F436:F447)=7),cubic_spline(F435:F442,A435:A442,B$9),IF(AND(COUNT(A436:A447)=8,COUNT(F436:F447)=8),cubic_spline(F435:F443,A435:A443,B$9),IF(AND(COUNT(A436:A447)=9,COUNT(F436:F447)=9),cubic_spline(F435:F444,A435:A444,B$9),IF(AND(COUNT(A436:A447)=10,COUNT(F436:F447)=10),cubic_spline(F435:F445,A435:A445,B$9),IF(AND(COUNT(A436:A447)=11,COUNT(F436:F447)=11),cubic_spline(F435:F446,A435:A446,B$9),IF(AND(COUNT(A436:A447)=12,COUNT(F436:F447)=12),cubic_spline(F435:F447,A435:A447,B$9),""))))))))))))</f>
        <v/>
      </c>
      <c r="L441" s="27" t="str">
        <f>IF(I441="","",B$8&amp;"-"&amp;B$9)</f>
        <v/>
      </c>
      <c r="M441" s="52" t="str">
        <f t="shared" ref="M441:M447" si="165">IF(N(J441)=0,"",J441-J440)</f>
        <v/>
      </c>
    </row>
    <row r="442" spans="1:13" x14ac:dyDescent="0.35">
      <c r="A442" s="48"/>
      <c r="B442" s="48"/>
      <c r="C442" s="49"/>
      <c r="D442" s="50"/>
      <c r="E442" s="51" t="str">
        <f t="shared" si="164"/>
        <v/>
      </c>
      <c r="F442" s="71" t="str">
        <f t="shared" si="161"/>
        <v/>
      </c>
      <c r="G442" s="69" t="str">
        <f t="shared" si="163"/>
        <v/>
      </c>
      <c r="H442" s="70" t="str">
        <f t="shared" si="162"/>
        <v/>
      </c>
      <c r="I442" s="27" t="str">
        <f>IF(N(J442)=0,"",0&amp;"-"&amp;B$10)</f>
        <v/>
      </c>
      <c r="J442" s="52" t="str">
        <f>IF(N(B$10)=0,"",IF(AND(COUNT(H436:H447)=2,COUNT(F436:F447)=2),cubic_spline(F435:F437,H435:H437,B$10),IF(AND(COUNT(H436:H447)=3,COUNT(F436:F447)=3),cubic_spline(F435:F438,H435:H438,B$10),IF(AND(COUNT(H436:H447)=4,COUNT(F436:F447)=4),cubic_spline(F435:F439,H435:H439,B$10),IF(AND(COUNT(H436:H447)=5,COUNT(F436:F447)=5),cubic_spline(F435:F440,H435:H440,B$10),IF(AND(COUNT(H436:H447)=6,COUNT(F436:F447)=6),cubic_spline(F435:F441,H435:H441,B$10),IF(AND(COUNT(H436:H447)=7,COUNT(F436:F447)=7),cubic_spline(F435:F442,H435:H442,B$10),IF(AND(COUNT(H436:H447)=8,COUNT(F436:F447)=8),cubic_spline(F435:F443,H435:H443,B$10),IF(AND(COUNT(H436:H447)=9,COUNT(F436:F447)=9),cubic_spline(F435:F444,H435:H444,B$10),IF(AND(COUNT(H436:H447)=10,COUNT(F436:F447)=10),cubic_spline(F435:F445,H435:H445,B$10),IF(AND(COUNT(H436:H447)=11,COUNT(F436:F447)=11),cubic_spline(F435:F446,H435:H446,B$10),IF(AND(COUNT(H436:H447)=12,COUNT(F436:F447)=12),cubic_spline(F435:F447,H435:H447,B$10),""))))))))))))</f>
        <v/>
      </c>
      <c r="K442" s="52" t="str">
        <f>IF(N(B$10)=0,"",IF(AND(COUNT(A436:A447)=2,COUNT(F436:F447)=2),cubic_spline(F435:F437,A435:A437,B$10),IF(AND(COUNT(A436:A447)=3,COUNT(F436:F447)=3),cubic_spline(F435:F438,A435:A438,B$10),IF(AND(COUNT(A436:A447)=4,COUNT(F436:F447)=4),cubic_spline(F435:F439,A435:A439,B$10),IF(AND(COUNT(A436:A447)=5,COUNT(F436:F447)=5),cubic_spline(F435:F440,A435:A440,B$10),IF(AND(COUNT(A436:A447)=6,COUNT(F436:F447)=6),cubic_spline(F435:F441,A435:A441,B$10),IF(AND(COUNT(A436:A447)=7,COUNT(F436:F447)=7),cubic_spline(F435:F442,A435:A442,B$10),IF(AND(COUNT(A436:A447)=8,COUNT(F436:F447)=8),cubic_spline(F435:F443,A435:A443,B$10),IF(AND(COUNT(A436:A447)=9,COUNT(F436:F447)=9),cubic_spline(F435:F444,A435:A444,B$10),IF(AND(COUNT(A436:A447)=10,COUNT(F436:F447)=10),cubic_spline(F435:F445,A435:A445,B$10),IF(AND(COUNT(A436:A447)=11,COUNT(F436:F447)=11),cubic_spline(F435:F446,A435:A446,B$10),IF(AND(COUNT(A436:A447)=12,COUNT(F436:F447)=12),cubic_spline(F435:F447,A435:A447,B$10),""))))))))))))</f>
        <v/>
      </c>
      <c r="L442" s="27" t="str">
        <f>IF(I442="","",B$9&amp;"-"&amp;B$10)</f>
        <v/>
      </c>
      <c r="M442" s="52" t="str">
        <f t="shared" si="165"/>
        <v/>
      </c>
    </row>
    <row r="443" spans="1:13" x14ac:dyDescent="0.35">
      <c r="A443" s="48"/>
      <c r="B443" s="48"/>
      <c r="C443" s="49"/>
      <c r="D443" s="50"/>
      <c r="E443" s="51" t="str">
        <f t="shared" si="164"/>
        <v/>
      </c>
      <c r="F443" s="71" t="str">
        <f t="shared" si="161"/>
        <v/>
      </c>
      <c r="G443" s="69" t="str">
        <f t="shared" si="163"/>
        <v/>
      </c>
      <c r="H443" s="70" t="str">
        <f t="shared" si="162"/>
        <v/>
      </c>
      <c r="I443" s="27" t="str">
        <f>IF(N(J443)=0,"",0&amp;"-"&amp;B$11)</f>
        <v/>
      </c>
      <c r="J443" s="52" t="str">
        <f>IF(N(B$11)=0,"",IF(AND(COUNT(H436:H447)=2,COUNT(F436:F447)=2),cubic_spline(F435:F437,H435:H437,B$11),IF(AND(COUNT(H436:H447)=3,COUNT(F436:F447)=3),cubic_spline(F435:F438,H435:H438,B$11),IF(AND(COUNT(H436:H447)=4,COUNT(F436:F447)=4),cubic_spline(F435:F439,H435:H439,B$11),IF(AND(COUNT(H436:H447)=5,COUNT(F436:F447)=5),cubic_spline(F435:F440,H435:H440,B$11),IF(AND(COUNT(H436:H447)=6,COUNT(F436:F447)=6),cubic_spline(F435:F441,H435:H441,B$11),IF(AND(COUNT(H436:H447)=7,COUNT(F436:F447)=7),cubic_spline(F435:F442,H435:H442,B$11),IF(AND(COUNT(H436:H447)=8,COUNT(F436:F447)=8),cubic_spline(F435:F443,H435:H443,B$11),IF(AND(COUNT(H436:H447)=9,COUNT(F436:F447)=9),cubic_spline(F435:F444,H435:H444,B$11),IF(AND(COUNT(H436:H447)=10,COUNT(F436:F447)=10),cubic_spline(F435:F445,H435:H445,B$11),IF(AND(COUNT(H436:H447)=11,COUNT(F436:F447)=11),cubic_spline(F435:F446,H435:H446,B$11),IF(AND(COUNT(H436:H447)=12,COUNT(F436:F447)=12),cubic_spline(F435:F447,H435:H447,B$11),""))))))))))))</f>
        <v/>
      </c>
      <c r="K443" s="52" t="str">
        <f>IF(N(B$11)=0,"",IF(AND(COUNT(A436:A447)=2,COUNT(F436:F447)=2),cubic_spline(F435:F437,A435:A437,B$11),IF(AND(COUNT(A436:A447)=3,COUNT(F436:F447)=3),cubic_spline(F435:F438,A435:A438,B$11),IF(AND(COUNT(A436:A447)=4,COUNT(F436:F447)=4),cubic_spline(F435:F439,A435:A439,B$11),IF(AND(COUNT(A436:A447)=5,COUNT(F436:F447)=5),cubic_spline(F435:F440,A435:A440,B$11),IF(AND(COUNT(A436:A447)=6,COUNT(F436:F447)=6),cubic_spline(F435:F441,A435:A441,B$11),IF(AND(COUNT(A436:A447)=7,COUNT(F436:F447)=7),cubic_spline(F435:F442,A435:A442,B$11),IF(AND(COUNT(A436:A447)=8,COUNT(F436:F447)=8),cubic_spline(F435:F443,A435:A443,B$11),IF(AND(COUNT(A436:A447)=9,COUNT(F436:F447)=9),cubic_spline(F435:F444,A435:A444,B$11),IF(AND(COUNT(A436:A447)=10,COUNT(F436:F447)=10),cubic_spline(F435:F445,A435:A445,B$11),IF(AND(COUNT(A436:A447)=11,COUNT(F436:F447)=11),cubic_spline(F435:F446,A435:A446,B$11),IF(AND(COUNT(A436:A447)=12,COUNT(F436:F447)=12),cubic_spline(F435:F447,A435:A447,B$11),""))))))))))))</f>
        <v/>
      </c>
      <c r="L443" s="27" t="str">
        <f>IF(I443="","",B$10&amp;"-"&amp;B$11)</f>
        <v/>
      </c>
      <c r="M443" s="52" t="str">
        <f t="shared" si="165"/>
        <v/>
      </c>
    </row>
    <row r="444" spans="1:13" x14ac:dyDescent="0.35">
      <c r="A444" s="48"/>
      <c r="B444" s="48"/>
      <c r="C444" s="49"/>
      <c r="D444" s="50"/>
      <c r="E444" s="51" t="str">
        <f t="shared" si="164"/>
        <v/>
      </c>
      <c r="F444" s="71" t="str">
        <f t="shared" si="161"/>
        <v/>
      </c>
      <c r="G444" s="69" t="str">
        <f t="shared" si="163"/>
        <v/>
      </c>
      <c r="H444" s="70" t="str">
        <f t="shared" si="162"/>
        <v/>
      </c>
      <c r="I444" s="27" t="str">
        <f>IF(N(J444)=0,"",0&amp;"-"&amp;B$12)</f>
        <v/>
      </c>
      <c r="J444" s="52" t="str">
        <f>IF(N(B$12)=0,"",IF(AND(COUNT(H436:H447)=2,COUNT(F436:F447)=2),cubic_spline(F435:F437,H435:H437,B$12),IF(AND(COUNT(H436:H447)=3,COUNT(F436:F447)=3),cubic_spline(F435:F438,H435:H438,B$12),IF(AND(COUNT(H436:H447)=4,COUNT(F436:F447)=4),cubic_spline(F435:F439,H435:H439,B$12),IF(AND(COUNT(H436:H447)=5,COUNT(F436:F447)=5),cubic_spline(F435:F440,H435:H440,B$12),IF(AND(COUNT(H436:H447)=6,COUNT(F436:F447)=6),cubic_spline(F435:F441,H435:H441,B$12),IF(AND(COUNT(H436:H447)=7,COUNT(F436:F447)=7),cubic_spline(F435:F442,H435:H442,B$12),IF(AND(COUNT(H436:H447)=8,COUNT(F436:F447)=8),cubic_spline(F435:F443,H435:H443,B$12),IF(AND(COUNT(H436:H447)=9,COUNT(F436:F447)=9),cubic_spline(F435:F444,H435:H444,B$12),IF(AND(COUNT(H436:H447)=10,COUNT(F436:F447)=10),cubic_spline(F435:F445,H435:H445,B$12),IF(AND(COUNT(H436:H447)=11,COUNT(F436:F447)=11),cubic_spline(F435:F446,H435:H446,B$12),IF(AND(COUNT(H436:H447)=12,COUNT(F436:F447)=12),cubic_spline(F435:F447,H435:H447,B$12),""))))))))))))</f>
        <v/>
      </c>
      <c r="K444" s="52" t="str">
        <f>IF(N(B$12)=0,"",IF(AND(COUNT(A436:A447)=2,COUNT(F436:F447)=2),cubic_spline(F435:F437,A435:A437,B$12),IF(AND(COUNT(A436:A447)=3,COUNT(F436:F447)=3),cubic_spline(F435:F438,A435:A438,B$12),IF(AND(COUNT(A436:A447)=4,COUNT(F436:F447)=4),cubic_spline(F435:F439,A435:A439,B$12),IF(AND(COUNT(A436:A447)=5,COUNT(F436:F447)=5),cubic_spline(F435:F440,A435:A440,B$12),IF(AND(COUNT(A436:A447)=6,COUNT(F436:F447)=6),cubic_spline(F435:F441,A435:A441,B$12),IF(AND(COUNT(A436:A447)=7,COUNT(F436:F447)=7),cubic_spline(F435:F442,A435:A442,B$12),IF(AND(COUNT(A436:A447)=8,COUNT(F436:F447)=8),cubic_spline(F435:F443,A435:A443,B$12),IF(AND(COUNT(A436:A447)=9,COUNT(F436:F447)=9),cubic_spline(F435:F444,A435:A444,B$12),IF(AND(COUNT(A436:A447)=10,COUNT(F436:F447)=10),cubic_spline(F435:F445,A435:A445,B$12),IF(AND(COUNT(A436:A447)=11,COUNT(F436:F447)=11),cubic_spline(F435:F446,A435:A446,B$12),IF(AND(COUNT(A436:A447)=12,COUNT(F436:F447)=12),cubic_spline(F435:F447,A435:A447,B$12),""))))))))))))</f>
        <v/>
      </c>
      <c r="L444" s="27" t="str">
        <f>IF(I444="","",B$11&amp;"-"&amp;B$12)</f>
        <v/>
      </c>
      <c r="M444" s="52" t="str">
        <f t="shared" si="165"/>
        <v/>
      </c>
    </row>
    <row r="445" spans="1:13" x14ac:dyDescent="0.35">
      <c r="A445" s="48"/>
      <c r="B445" s="48"/>
      <c r="C445" s="49"/>
      <c r="D445" s="50"/>
      <c r="E445" s="51" t="str">
        <f t="shared" si="164"/>
        <v/>
      </c>
      <c r="F445" s="71" t="str">
        <f t="shared" si="161"/>
        <v/>
      </c>
      <c r="G445" s="69" t="str">
        <f t="shared" si="163"/>
        <v/>
      </c>
      <c r="H445" s="70" t="str">
        <f t="shared" si="162"/>
        <v/>
      </c>
      <c r="I445" s="27" t="str">
        <f>IF(N(J445)=0,"",0&amp;"-"&amp;B$13)</f>
        <v/>
      </c>
      <c r="J445" s="52" t="str">
        <f>IF(N(B$13)=0,"",IF(AND(COUNT(H436:H447)=2,COUNT(F436:F447)=2),cubic_spline(F435:F437,H435:H437,B$13),IF(AND(COUNT(H436:H447)=3,COUNT(F436:F447)=3),cubic_spline(F435:F438,H435:H438,B$13),IF(AND(COUNT(H436:H447)=4,COUNT(F436:F447)=4),cubic_spline(F435:F439,H435:H439,B$13),IF(AND(COUNT(H436:H447)=5,COUNT(F436:F447)=5),cubic_spline(F435:F440,H435:H440,B$13),IF(AND(COUNT(H436:H447)=6,COUNT(F436:F447)=6),cubic_spline(F435:F441,H435:H441,B$13),IF(AND(COUNT(H436:H447)=7,COUNT(F436:F447)=7),cubic_spline(F435:F442,H435:H442,B$13),IF(AND(COUNT(H436:H447)=8,COUNT(F436:F447)=8),cubic_spline(F435:F443,H435:H443,B$13),IF(AND(COUNT(H436:H447)=9,COUNT(F436:F447)=9),cubic_spline(F435:F444,H435:H444,B$13),IF(AND(COUNT(H436:H447)=10,COUNT(F436:F447)=10),cubic_spline(F435:F445,H435:H445,B$13),IF(AND(COUNT(H436:H447)=11,COUNT(F436:F447)=11),cubic_spline(F435:F446,H435:H446,B$13),IF(AND(COUNT(H436:H447)=12,COUNT(F436:F447)=12),cubic_spline(F435:F447,H435:H447,B$13),""))))))))))))</f>
        <v/>
      </c>
      <c r="K445" s="52" t="str">
        <f>IF(N(B$13)=0,"",IF(AND(COUNT(A436:A447)=2,COUNT(F436:F447)=2),cubic_spline(F435:F437,A435:A437,B$13),IF(AND(COUNT(A436:A447)=3,COUNT(F436:F447)=3),cubic_spline(F435:F438,A435:A438,B$13),IF(AND(COUNT(A436:A447)=4,COUNT(F436:F447)=4),cubic_spline(F435:F439,A435:A439,B$13),IF(AND(COUNT(A436:A447)=5,COUNT(F436:F447)=5),cubic_spline(F435:F440,A435:A440,B$13),IF(AND(COUNT(A436:A447)=6,COUNT(F436:F447)=6),cubic_spline(F435:F441,A435:A441,B$13),IF(AND(COUNT(A436:A447)=7,COUNT(F436:F447)=7),cubic_spline(F435:F442,A435:A442,B$13),IF(AND(COUNT(A436:A447)=8,COUNT(F436:F447)=8),cubic_spline(F435:F443,A435:A443,B$13),IF(AND(COUNT(A436:A447)=9,COUNT(F436:F447)=9),cubic_spline(F435:F444,A435:A444,B$13),IF(AND(COUNT(A436:A447)=10,COUNT(F436:F447)=10),cubic_spline(F435:F445,A435:A445,B$13),IF(AND(COUNT(A436:A447)=11,COUNT(F436:F447)=11),cubic_spline(F435:F446,A435:A446,B$13),IF(AND(COUNT(A436:A447)=12,COUNT(F436:F447)=12),cubic_spline(F435:F447,A435:A447,B$13),""))))))))))))</f>
        <v/>
      </c>
      <c r="L445" s="27" t="str">
        <f>IF(I445="","",B$12&amp;"-"&amp;B$13)</f>
        <v/>
      </c>
      <c r="M445" s="52" t="str">
        <f t="shared" si="165"/>
        <v/>
      </c>
    </row>
    <row r="446" spans="1:13" x14ac:dyDescent="0.35">
      <c r="A446" s="48"/>
      <c r="B446" s="48"/>
      <c r="C446" s="49"/>
      <c r="D446" s="50"/>
      <c r="E446" s="51" t="str">
        <f t="shared" si="164"/>
        <v/>
      </c>
      <c r="F446" s="71" t="str">
        <f t="shared" si="161"/>
        <v/>
      </c>
      <c r="G446" s="69" t="str">
        <f t="shared" si="163"/>
        <v/>
      </c>
      <c r="H446" s="70" t="str">
        <f t="shared" si="162"/>
        <v/>
      </c>
      <c r="I446" s="27" t="str">
        <f>IF(N(J446)=0,"",0&amp;"-"&amp;B$14)</f>
        <v/>
      </c>
      <c r="J446" s="52" t="str">
        <f>IF(N(B$14)=0,"",IF(AND(COUNT(H436:H447)=2,COUNT(F436:F447)=2),cubic_spline(F435:F437,H435:H437,B$14),IF(AND(COUNT(H436:H447)=3,COUNT(F436:F447)=3),cubic_spline(F435:F438,H435:H438,B$14),IF(AND(COUNT(H436:H447)=4,COUNT(F436:F447)=4),cubic_spline(F435:F439,H435:H439,B$14),IF(AND(COUNT(H436:H447)=5,COUNT(F436:F447)=5),cubic_spline(F435:F440,H435:H440,B$14),IF(AND(COUNT(H436:H447)=6,COUNT(F436:F447)=6),cubic_spline(F435:F441,H435:H441,B$14),IF(AND(COUNT(H436:H447)=7,COUNT(F436:F447)=7),cubic_spline(F435:F442,H435:H442,B$14),IF(AND(COUNT(H436:H447)=8,COUNT(F436:F447)=8),cubic_spline(F435:F443,H435:H443,B$14),IF(AND(COUNT(H436:H447)=9,COUNT(F436:F447)=9),cubic_spline(F435:F444,H435:H444,B$14),IF(AND(COUNT(H436:H447)=10,COUNT(F436:F447)=10),cubic_spline(F435:F445,H435:H445,B$14),IF(AND(COUNT(H436:H447)=11,COUNT(F436:F447)=11),cubic_spline(F435:F446,H435:H446,B$14),IF(AND(COUNT(H436:H447)=12,COUNT(F436:F447)=12),cubic_spline(F435:F447,H435:H447,B$14),""))))))))))))</f>
        <v/>
      </c>
      <c r="K446" s="52" t="str">
        <f>IF(N(B$14)=0,"",IF(AND(COUNT(A436:A447)=2,COUNT(F436:F447)=2),cubic_spline(F435:F437,A435:A437,B$14),IF(AND(COUNT(A436:A447)=3,COUNT(F436:F447)=3),cubic_spline(F435:F438,A435:A438,B$14),IF(AND(COUNT(A436:A447)=4,COUNT(F436:F447)=4),cubic_spline(F435:F439,A435:A439,B$14),IF(AND(COUNT(A436:A447)=5,COUNT(F436:F447)=5),cubic_spline(F435:F440,A435:A440,B$14),IF(AND(COUNT(A436:A447)=6,COUNT(F436:F447)=6),cubic_spline(F435:F441,A435:A441,B$14),IF(AND(COUNT(A436:A447)=7,COUNT(F436:F447)=7),cubic_spline(F435:F442,A435:A442,B$14),IF(AND(COUNT(A436:A447)=8,COUNT(F436:F447)=8),cubic_spline(F435:F443,A435:A443,B$14),IF(AND(COUNT(A436:A447)=9,COUNT(F436:F447)=9),cubic_spline(F435:F444,A435:A444,B$14),IF(AND(COUNT(A436:A447)=10,COUNT(F436:F447)=10),cubic_spline(F435:F445,A435:A445,B$14),IF(AND(COUNT(A436:A447)=11,COUNT(F436:F447)=11),cubic_spline(F435:F446,A435:A446,B$14),IF(AND(COUNT(A436:A447)=12,COUNT(F436:F447)=12),cubic_spline(F435:F447,A435:A447,B$14),""))))))))))))</f>
        <v/>
      </c>
      <c r="L446" s="27" t="str">
        <f>IF(I446="","",B$13&amp;"-"&amp;B$14)</f>
        <v/>
      </c>
      <c r="M446" s="52" t="str">
        <f t="shared" si="165"/>
        <v/>
      </c>
    </row>
    <row r="447" spans="1:13" x14ac:dyDescent="0.35">
      <c r="A447" s="48"/>
      <c r="B447" s="48"/>
      <c r="C447" s="49"/>
      <c r="D447" s="50"/>
      <c r="E447" s="51" t="str">
        <f t="shared" si="164"/>
        <v/>
      </c>
      <c r="F447" s="71" t="str">
        <f t="shared" si="161"/>
        <v/>
      </c>
      <c r="G447" s="69" t="str">
        <f t="shared" si="163"/>
        <v/>
      </c>
      <c r="H447" s="70" t="str">
        <f t="shared" si="162"/>
        <v/>
      </c>
      <c r="I447" s="27" t="str">
        <f>IF(N(J447)=0,"",0&amp;"-"&amp;B$15)</f>
        <v/>
      </c>
      <c r="J447" s="52" t="str">
        <f>IF(N(B$15)=0,"",IF(AND(COUNT(H436:H447)=2,COUNT(F436:F447)=2),cubic_spline(F435:F437,H435:H437,B$15),IF(AND(COUNT(H436:H447)=3,COUNT(F436:F447)=3),cubic_spline(F435:F438,H435:H438,B$15),IF(AND(COUNT(H436:H447)=4,COUNT(F436:F447)=4),cubic_spline(F435:F439,H435:H439,B$15),IF(AND(COUNT(H436:H447)=5,COUNT(F436:F447)=5),cubic_spline(F435:F440,H435:H440,B$15),IF(AND(COUNT(H436:H447)=6,COUNT(F436:F447)=6),cubic_spline(F435:F441,H435:H441,B$15),IF(AND(COUNT(H436:H447)=7,COUNT(F436:F447)=7),cubic_spline(F435:F442,H435:H442,B$15),IF(AND(COUNT(H436:H447)=8,COUNT(F436:F447)=8),cubic_spline(F435:F443,H435:H443,B$15),IF(AND(COUNT(H436:H447)=9,COUNT(F436:F447)=9),cubic_spline(F435:F444,H435:H444,B$15),IF(AND(COUNT(H436:H447)=10,COUNT(F436:F447)=10),cubic_spline(F435:F445,H435:H445,B$15),IF(AND(COUNT(H436:H447)=11,COUNT(F436:F447)=11),cubic_spline(F435:F446,H435:H446,B$15),IF(AND(COUNT(H436:H447)=12,COUNT(F436:F447)=12),cubic_spline(F435:F447,H435:H447,B$15),""))))))))))))</f>
        <v/>
      </c>
      <c r="K447" s="52" t="str">
        <f>IF(N(B$15)=0,"",IF(AND(COUNT(A436:A447)=2,COUNT(F436:F447)=2),cubic_spline(F435:F437,A435:A437,B$15),IF(AND(COUNT(A436:A447)=3,COUNT(F436:F447)=3),cubic_spline(F435:F438,A435:A438,B$15),IF(AND(COUNT(A436:A447)=4,COUNT(F436:F447)=4),cubic_spline(F435:F439,A435:A439,B$15),IF(AND(COUNT(A436:A447)=5,COUNT(F436:F447)=5),cubic_spline(F435:F440,A435:A440,B$15),IF(AND(COUNT(A436:A447)=6,COUNT(F436:F447)=6),cubic_spline(F435:F441,A435:A441,B$15),IF(AND(COUNT(A436:A447)=7,COUNT(F436:F447)=7),cubic_spline(F435:F442,A435:A442,B$15),IF(AND(COUNT(A436:A447)=8,COUNT(F436:F447)=8),cubic_spline(F435:F443,A435:A443,B$15),IF(AND(COUNT(A436:A447)=9,COUNT(F436:F447)=9),cubic_spline(F435:F444,A435:A444,B$15),IF(AND(COUNT(A436:A447)=10,COUNT(F436:F447)=10),cubic_spline(F435:F445,A435:A445,B$15),IF(AND(COUNT(A436:A447)=11,COUNT(F436:F447)=11),cubic_spline(F435:F446,A435:A446,B$15),IF(AND(COUNT(A436:A447)=12,COUNT(F436:F447)=12),cubic_spline(F435:F447,A435:A447,B$15),""))))))))))))</f>
        <v/>
      </c>
      <c r="L447" s="27" t="str">
        <f>IF(I447="","",B$14&amp;"-"&amp;B$15)</f>
        <v/>
      </c>
      <c r="M447" s="52" t="str">
        <f t="shared" si="165"/>
        <v/>
      </c>
    </row>
    <row r="448" spans="1:13" ht="5.15" customHeight="1" x14ac:dyDescent="0.35">
      <c r="A448" s="47"/>
      <c r="B448" s="47"/>
      <c r="C448" s="47"/>
      <c r="D448" s="53"/>
      <c r="E448" s="54"/>
      <c r="F448" s="55"/>
      <c r="G448" s="72"/>
      <c r="H448" s="73"/>
      <c r="I448" s="47"/>
      <c r="J448" s="57"/>
      <c r="K448" s="57"/>
      <c r="L448" s="55"/>
      <c r="M448" s="57"/>
    </row>
    <row r="449" spans="1:13" x14ac:dyDescent="0.35">
      <c r="A449" s="48"/>
      <c r="B449" s="48"/>
      <c r="C449" s="49"/>
      <c r="D449" s="50"/>
      <c r="E449" s="51" t="str">
        <f>IF(N(C449)=0,"",C449/PI()/($D$1/2)^2/$D$2*10000)</f>
        <v/>
      </c>
      <c r="F449" s="68" t="str">
        <f t="shared" ref="F449:F460" si="166">IF(N(E449)=0,"",(N(E449)+N(F448)))</f>
        <v/>
      </c>
      <c r="G449" s="69" t="str">
        <f>IF(OR(N(D449)=0,N(E449)=0),"",(E449*D449)/1000)</f>
        <v/>
      </c>
      <c r="H449" s="70" t="str">
        <f t="shared" ref="H449:H460" si="167">IF(N(G449)=0,"",(N(G449)+N(H448)))</f>
        <v/>
      </c>
      <c r="I449" s="27" t="str">
        <f>IF(N(J449)=0,"",0&amp;"-"&amp;B$4)</f>
        <v/>
      </c>
      <c r="J449" s="52" t="str">
        <f>IF(N(B$4)=0,"",IF(AND(COUNT(H449:H460)=2,COUNT(F449:F460)=2),cubic_spline(F448:F450,H448:H450,B$4),IF(AND(COUNT(H449:H460)=3,COUNT(F449:F460)=3),cubic_spline(F448:F451,H448:H451,B$4),IF(AND(COUNT(H449:H460)=4,COUNT(F449:F460)=4),cubic_spline(F448:F452,H448:H452,B$4),IF(AND(COUNT(H449:H460)=5,COUNT(F449:F460)=5),cubic_spline(F448:F453,H448:H453,B$4),IF(AND(COUNT(H449:H460)=6,COUNT(F449:F460)=6),cubic_spline(F448:F454,H448:H454,B$4),IF(AND(COUNT(H449:H460)=7,COUNT(F449:F460)=7),cubic_spline(F448:F455,H448:H455,B$4),IF(AND(COUNT(H449:H460)=8,COUNT(F449:F460)=8),cubic_spline(F448:F456,H448:H456,B$4),IF(AND(COUNT(H449:H460)=9,COUNT(F449:F460)=9),cubic_spline(F448:F457,H448:H457,B$4),IF(AND(COUNT(H449:H460)=10,COUNT(F449:F460)=10),cubic_spline(F448:F458,H448:H458,B$4),IF(AND(COUNT(H449:H460)=11,COUNT(F449:F460)=11),cubic_spline(F448:F459,H448:H459,B$4),IF(AND(COUNT(H449:H460)=12,COUNT(F449:F460)=12),cubic_spline(F448:F460,H448:H460,B$4),""))))))))))))</f>
        <v/>
      </c>
      <c r="K449" s="52" t="str">
        <f>IF(N(B$4)=0,"",IF(AND(COUNT(A449:A460)=2,COUNT(F449:F460)=2),cubic_spline(F448:F450,A448:A450,B$4),IF(AND(COUNT(A449:A460)=3,COUNT(F449:F460)=3),cubic_spline(F448:F451,A448:A451,B$4),IF(AND(COUNT(A449:A460)=4,COUNT(F449:F460)=4),cubic_spline(F448:F452,A448:A452,B$4),IF(AND(COUNT(A449:A460)=5,COUNT(F449:F460)=5),cubic_spline(F448:F453,A448:A453,B$4),IF(AND(COUNT(A449:A460)=6,COUNT(F449:F460)=6),cubic_spline(F448:F454,A448:A454,B$4),IF(AND(COUNT(A449:A460)=7,COUNT(F449:F460)=7),cubic_spline(F448:F455,A448:A455,B$4),IF(AND(COUNT(A449:A460)=8,COUNT(F449:F460)=8),cubic_spline(F448:F456,A448:A456,B$4),IF(AND(COUNT(A449:A460)=9,COUNT(F449:F460)=9),cubic_spline(F448:F457,A448:A457,B$4),IF(AND(COUNT(A449:A460)=10,COUNT(F449:F460)=10),cubic_spline(F448:F458,A448:A458,B$4),IF(AND(COUNT(A449:A460)=11,COUNT(F449:F460)=11),cubic_spline(F448:F459,A448:A459,B$4),IF(AND(COUNT(A449:A460)=12,COUNT(F449:F460)=12),cubic_spline(F448:F460,A448:A460,B$4),""))))))))))))</f>
        <v/>
      </c>
      <c r="L449" s="27" t="str">
        <f>IF(I449="","",0&amp;"-"&amp;B$4)</f>
        <v/>
      </c>
      <c r="M449" s="52" t="str">
        <f>IF(N(J449)=0,"",J449-J448)</f>
        <v/>
      </c>
    </row>
    <row r="450" spans="1:13" x14ac:dyDescent="0.35">
      <c r="A450" s="48"/>
      <c r="B450" s="48"/>
      <c r="C450" s="49"/>
      <c r="D450" s="50"/>
      <c r="E450" s="51" t="str">
        <f>IF(N(C450)=0,"",C450/PI()/($D$1/2)^2/$D$2*10000)</f>
        <v/>
      </c>
      <c r="F450" s="68" t="str">
        <f t="shared" si="166"/>
        <v/>
      </c>
      <c r="G450" s="69" t="str">
        <f t="shared" ref="G450:G460" si="168">IF(OR(N(D450)=0,N(E450)=0),"",(E450*D450)/1000)</f>
        <v/>
      </c>
      <c r="H450" s="70" t="str">
        <f t="shared" si="167"/>
        <v/>
      </c>
      <c r="I450" s="27" t="str">
        <f>IF(N(J450)=0,"",0&amp;"-"&amp;B$5)</f>
        <v/>
      </c>
      <c r="J450" s="52" t="str">
        <f>IF(N(B$5)=0,"",IF(AND(COUNT(H449:H460)=2,COUNT(F449:F460)=2),cubic_spline(F448:F450,H448:H450,B$5),IF(AND(COUNT(H449:H460)=3,COUNT(F449:F460)=3),cubic_spline(F448:F451,H448:H451,B$5),IF(AND(COUNT(H449:H460)=4,COUNT(F449:F460)=4),cubic_spline(F448:F452,H448:H452,B$5),IF(AND(COUNT(H449:H460)=5,COUNT(F449:F460)=5),cubic_spline(F448:F453,H448:H453,B$5),IF(AND(COUNT(H449:H460)=6,COUNT(F449:F460)=6),cubic_spline(F448:F454,H448:H454,B$5),IF(AND(COUNT(H449:H460)=7,COUNT(F449:F460)=7),cubic_spline(F448:F455,H448:H455,B$5),IF(AND(COUNT(H449:H460)=8,COUNT(F449:F460)=8),cubic_spline(F448:F456,H448:H456,B$5),IF(AND(COUNT(H449:H460)=9,COUNT(F449:F460)=9),cubic_spline(F448:F457,H448:H457,B$5),IF(AND(COUNT(H449:H460)=10,COUNT(F449:F460)=10),cubic_spline(F448:F458,H448:H458,B$5),IF(AND(COUNT(H449:H460)=11,COUNT(F449:F460)=11),cubic_spline(F448:F459,H448:H459,B$5),IF(AND(COUNT(H449:H460)=12,COUNT(F449:F460)=12),cubic_spline(F448:F460,H448:H460,B$5),""))))))))))))</f>
        <v/>
      </c>
      <c r="K450" s="52" t="str">
        <f>IF(N(B$5)=0,"",IF(AND(COUNT(A449:A460)=2,COUNT(F449:F460)=2),cubic_spline(F448:F450,A448:A450,B$5),IF(AND(COUNT(A449:A460)=3,COUNT(F449:F460)=3),cubic_spline(F448:F451,A448:A451,B$5),IF(AND(COUNT(A449:A460)=4,COUNT(F449:F460)=4),cubic_spline(F448:F452,A448:A452,B$5),IF(AND(COUNT(A449:A460)=5,COUNT(F449:F460)=5),cubic_spline(F448:F453,A448:A453,B$5),IF(AND(COUNT(A449:A460)=6,COUNT(F449:F460)=6),cubic_spline(F448:F454,A448:A454,B$5),IF(AND(COUNT(A449:A460)=7,COUNT(F449:F460)=7),cubic_spline(F448:F455,A448:A455,B$5),IF(AND(COUNT(A449:A460)=8,COUNT(F449:F460)=8),cubic_spline(F448:F456,A448:A456,B$5),IF(AND(COUNT(A449:A460)=9,COUNT(F449:F460)=9),cubic_spline(F448:F457,A448:A457,B$5),IF(AND(COUNT(A449:A460)=10,COUNT(F449:F460)=10),cubic_spline(F448:F458,A448:A458,B$5),IF(AND(COUNT(A449:A460)=11,COUNT(F449:F460)=11),cubic_spline(F448:F459,A448:A459,B$5),IF(AND(COUNT(A449:A460)=12,COUNT(F449:F460)=12),cubic_spline(F448:F460,A448:A460,B$5),""))))))))))))</f>
        <v/>
      </c>
      <c r="L450" s="27" t="str">
        <f>IF(I450="","",B$4&amp;"-"&amp;B$5)</f>
        <v/>
      </c>
      <c r="M450" s="52" t="str">
        <f>IF(N(J450)=0,"",J450-J449)</f>
        <v/>
      </c>
    </row>
    <row r="451" spans="1:13" x14ac:dyDescent="0.35">
      <c r="A451" s="48"/>
      <c r="B451" s="48"/>
      <c r="C451" s="49"/>
      <c r="D451" s="50"/>
      <c r="E451" s="51" t="str">
        <f>IF(N(C451)=0,"",C451/PI()/($D$1/2)^2/$D$2*10000)</f>
        <v/>
      </c>
      <c r="F451" s="68" t="str">
        <f t="shared" si="166"/>
        <v/>
      </c>
      <c r="G451" s="69" t="str">
        <f t="shared" si="168"/>
        <v/>
      </c>
      <c r="H451" s="70" t="str">
        <f t="shared" si="167"/>
        <v/>
      </c>
      <c r="I451" s="27" t="str">
        <f>IF(N(J451)=0,"",0&amp;"-"&amp;B$6)</f>
        <v/>
      </c>
      <c r="J451" s="52" t="str">
        <f>IF(N(B$6)=0,"",IF(AND(COUNT(H449:H460)=2,COUNT(F449:F460)=2),cubic_spline(F448:F450,H448:H450,B$6),IF(AND(COUNT(H449:H460)=3,COUNT(F449:F460)=3),cubic_spline(F448:F451,H448:H451,B$6),IF(AND(COUNT(H449:H460)=4,COUNT(F449:F460)=4),cubic_spline(F448:F452,H448:H452,B$6),IF(AND(COUNT(H449:H460)=5,COUNT(F449:F460)=5),cubic_spline(F448:F453,H448:H453,B$6),IF(AND(COUNT(H449:H460)=6,COUNT(F449:F460)=6),cubic_spline(F448:F454,H448:H454,B$6),IF(AND(COUNT(H449:H460)=7,COUNT(F449:F460)=7),cubic_spline(F448:F455,H448:H455,B$6),IF(AND(COUNT(H449:H460)=8,COUNT(F449:F460)=8),cubic_spline(F448:F456,H448:H456,B$6),IF(AND(COUNT(H449:H460)=9,COUNT(F449:F460)=9),cubic_spline(F448:F457,H448:H457,B$6),IF(AND(COUNT(H449:H460)=10,COUNT(F449:F460)=10),cubic_spline(F448:F458,H448:H458,B$6),IF(AND(COUNT(H449:H460)=11,COUNT(F449:F460)=11),cubic_spline(F448:F459,H448:H459,B$6),IF(AND(COUNT(H449:H460)=12,COUNT(F449:F460)=12),cubic_spline(F448:F460,H448:H460,B$6),""))))))))))))</f>
        <v/>
      </c>
      <c r="K451" s="52" t="str">
        <f>IF(N(B$6)=0,"",IF(AND(COUNT(A449:A460)=2,COUNT(F449:F460)=2),cubic_spline(F448:F450,A448:A450,B$6),IF(AND(COUNT(A449:A460)=3,COUNT(F449:F460)=3),cubic_spline(F448:F451,A448:A451,B$6),IF(AND(COUNT(A449:A460)=4,COUNT(F449:F460)=4),cubic_spline(F448:F452,A448:A452,B$6),IF(AND(COUNT(A449:A460)=5,COUNT(F449:F460)=5),cubic_spline(F448:F453,A448:A453,B$6),IF(AND(COUNT(A449:A460)=6,COUNT(F449:F460)=6),cubic_spline(F448:F454,A448:A454,B$6),IF(AND(COUNT(A449:A460)=7,COUNT(F449:F460)=7),cubic_spline(F448:F455,A448:A455,B$6),IF(AND(COUNT(A449:A460)=8,COUNT(F449:F460)=8),cubic_spline(F448:F456,A448:A456,B$6),IF(AND(COUNT(A449:A460)=9,COUNT(F449:F460)=9),cubic_spline(F448:F457,A448:A457,B$6),IF(AND(COUNT(A449:A460)=10,COUNT(F449:F460)=10),cubic_spline(F448:F458,A448:A458,B$6),IF(AND(COUNT(A449:A460)=11,COUNT(F449:F460)=11),cubic_spline(F448:F459,A448:A459,B$6),IF(AND(COUNT(A449:A460)=12,COUNT(F449:F460)=12),cubic_spline(F448:F460,A448:A460,B$6),""))))))))))))</f>
        <v/>
      </c>
      <c r="L451" s="27" t="str">
        <f>IF(I451="","",B$5&amp;"-"&amp;B$6)</f>
        <v/>
      </c>
      <c r="M451" s="52" t="str">
        <f>IF(N(J451)=0,"",J451-J450)</f>
        <v/>
      </c>
    </row>
    <row r="452" spans="1:13" x14ac:dyDescent="0.35">
      <c r="A452" s="48"/>
      <c r="B452" s="48"/>
      <c r="C452" s="49"/>
      <c r="D452" s="50"/>
      <c r="E452" s="51" t="str">
        <f>IF(N(C452)=0,"",C452/PI()/($D$1/2)^2/$D$2*10000)</f>
        <v/>
      </c>
      <c r="F452" s="68" t="str">
        <f t="shared" si="166"/>
        <v/>
      </c>
      <c r="G452" s="69" t="str">
        <f t="shared" si="168"/>
        <v/>
      </c>
      <c r="H452" s="70" t="str">
        <f t="shared" si="167"/>
        <v/>
      </c>
      <c r="I452" s="27" t="str">
        <f>IF(N(J452)=0,"",0&amp;"-"&amp;B$7)</f>
        <v/>
      </c>
      <c r="J452" s="52" t="str">
        <f>IF(N(B$7)=0,"",IF(AND(COUNT(H449:H460)=2,COUNT(F449:F460)=2),cubic_spline(F448:F450,H448:H450,B$7),IF(AND(COUNT(H449:H460)=3,COUNT(F449:F460)=3),cubic_spline(F448:F451,H448:H451,B$7),IF(AND(COUNT(H449:H460)=4,COUNT(F449:F460)=4),cubic_spline(F448:F452,H448:H452,B$7),IF(AND(COUNT(H449:H460)=5,COUNT(F449:F460)=5),cubic_spline(F448:F453,H448:H453,B$7),IF(AND(COUNT(H449:H460)=6,COUNT(F449:F460)=6),cubic_spline(F448:F454,H448:H454,B$7),IF(AND(COUNT(H449:H460)=7,COUNT(F449:F460)=7),cubic_spline(F448:F455,H448:H455,B$7),IF(AND(COUNT(H449:H460)=8,COUNT(F449:F460)=8),cubic_spline(F448:F456,H448:H456,B$7),IF(AND(COUNT(H449:H460)=9,COUNT(F449:F460)=9),cubic_spline(F448:F457,H448:H457,B$7),IF(AND(COUNT(H449:H460)=10,COUNT(F449:F460)=10),cubic_spline(F448:F458,H448:H458,B$7),IF(AND(COUNT(H449:H460)=11,COUNT(F449:F460)=11),cubic_spline(F448:F459,H448:H459,B$7),IF(AND(COUNT(H449:H460)=12,COUNT(F449:F460)=12),cubic_spline(F448:F460,H448:H460,B$7),""))))))))))))</f>
        <v/>
      </c>
      <c r="K452" s="52" t="str">
        <f>IF(N(B$7)=0,"",IF(AND(COUNT(A449:A460)=2,COUNT(F449:F460)=2),cubic_spline(F448:F450,A448:A450,B$7),IF(AND(COUNT(A449:A460)=3,COUNT(F449:F460)=3),cubic_spline(F448:F451,A448:A451,B$7),IF(AND(COUNT(A449:A460)=4,COUNT(F449:F460)=4),cubic_spline(F448:F452,A448:A452,B$7),IF(AND(COUNT(A449:A460)=5,COUNT(F449:F460)=5),cubic_spline(F448:F453,A448:A453,B$7),IF(AND(COUNT(A449:A460)=6,COUNT(F449:F460)=6),cubic_spline(F448:F454,A448:A454,B$7),IF(AND(COUNT(A449:A460)=7,COUNT(F449:F460)=7),cubic_spline(F448:F455,A448:A455,B$7),IF(AND(COUNT(A449:A460)=8,COUNT(F449:F460)=8),cubic_spline(F448:F456,A448:A456,B$7),IF(AND(COUNT(A449:A460)=9,COUNT(F449:F460)=9),cubic_spline(F448:F457,A448:A457,B$7),IF(AND(COUNT(A449:A460)=10,COUNT(F449:F460)=10),cubic_spline(F448:F458,A448:A458,B$7),IF(AND(COUNT(A449:A460)=11,COUNT(F449:F460)=11),cubic_spline(F448:F459,A448:A459,B$7),IF(AND(COUNT(A449:A460)=12,COUNT(F449:F460)=12),cubic_spline(F448:F460,A448:A460,B$7),""))))))))))))</f>
        <v/>
      </c>
      <c r="L452" s="27" t="str">
        <f>IF(I452="","",B$6&amp;"-"&amp;B$7)</f>
        <v/>
      </c>
      <c r="M452" s="52" t="str">
        <f>IF(N(J452)=0,"",J452-J451)</f>
        <v/>
      </c>
    </row>
    <row r="453" spans="1:13" x14ac:dyDescent="0.35">
      <c r="A453" s="48"/>
      <c r="B453" s="48"/>
      <c r="C453" s="49"/>
      <c r="D453" s="50"/>
      <c r="E453" s="51" t="str">
        <f t="shared" ref="E453:E460" si="169">IF(N(C453)=0,"",C453/PI()/($D$1/2)^2/$D$2*10000)</f>
        <v/>
      </c>
      <c r="F453" s="71" t="str">
        <f t="shared" si="166"/>
        <v/>
      </c>
      <c r="G453" s="69" t="str">
        <f t="shared" si="168"/>
        <v/>
      </c>
      <c r="H453" s="70" t="str">
        <f t="shared" si="167"/>
        <v/>
      </c>
      <c r="I453" s="27" t="str">
        <f>IF(N(J453)=0,"",0&amp;"-"&amp;B$8)</f>
        <v/>
      </c>
      <c r="J453" s="52" t="str">
        <f>IF(N(B$8)=0,"",IF(AND(COUNT(H449:H460)=2,COUNT(F449:F460)=2),cubic_spline(F448:F450,H448:H450,B$8),IF(AND(COUNT(H449:H460)=3,COUNT(F449:F460)=3),cubic_spline(F448:F451,H448:H451,B$8),IF(AND(COUNT(H449:H460)=4,COUNT(F449:F460)=4),cubic_spline(F448:F452,H448:H452,B$8),IF(AND(COUNT(H449:H460)=5,COUNT(F449:F460)=5),cubic_spline(F448:F453,H448:H453,B$8),IF(AND(COUNT(H449:H460)=6,COUNT(F449:F460)=6),cubic_spline(F448:F454,H448:H454,B$8),IF(AND(COUNT(H449:H460)=7,COUNT(F449:F460)=7),cubic_spline(F448:F455,H448:H455,B$8),IF(AND(COUNT(H449:H460)=8,COUNT(F449:F460)=8),cubic_spline(F448:F456,H448:H456,B$8),IF(AND(COUNT(H449:H460)=9,COUNT(F449:F460)=9),cubic_spline(F448:F457,H448:H457,B$8),IF(AND(COUNT(H449:H460)=10,COUNT(F449:F460)=10),cubic_spline(F448:F458,H448:H458,B$8),IF(AND(COUNT(H449:H460)=11,COUNT(F449:F460)=11),cubic_spline(F448:F459,H448:H459,B$8),IF(AND(COUNT(H449:H460)=12,COUNT(F449:F460)=12),cubic_spline(F448:F460,H448:H460,B$8),""))))))))))))</f>
        <v/>
      </c>
      <c r="K453" s="52" t="str">
        <f>IF(N(B$8)=0,"",IF(AND(COUNT(A449:A460)=2,COUNT(F449:F460)=2),cubic_spline(F448:F450,A448:A450,B$8),IF(AND(COUNT(A449:A460)=3,COUNT(F449:F460)=3),cubic_spline(F448:F451,A448:A451,B$8),IF(AND(COUNT(A449:A460)=4,COUNT(F449:F460)=4),cubic_spline(F448:F452,A448:A452,B$8),IF(AND(COUNT(A449:A460)=5,COUNT(F449:F460)=5),cubic_spline(F448:F453,A448:A453,B$8),IF(AND(COUNT(A449:A460)=6,COUNT(F449:F460)=6),cubic_spline(F448:F454,A448:A454,B$8),IF(AND(COUNT(A449:A460)=7,COUNT(F449:F460)=7),cubic_spline(F448:F455,A448:A455,B$8),IF(AND(COUNT(A449:A460)=8,COUNT(F449:F460)=8),cubic_spline(F448:F456,A448:A456,B$8),IF(AND(COUNT(A449:A460)=9,COUNT(F449:F460)=9),cubic_spline(F448:F457,A448:A457,B$8),IF(AND(COUNT(A449:A460)=10,COUNT(F449:F460)=10),cubic_spline(F448:F458,A448:A458,B$8),IF(AND(COUNT(A449:A460)=11,COUNT(F449:F460)=11),cubic_spline(F448:F459,A448:A459,B$8),IF(AND(COUNT(A449:A460)=12,COUNT(F449:F460)=12),cubic_spline(F448:F460,A448:A460,B$8),""))))))))))))</f>
        <v/>
      </c>
      <c r="L453" s="27" t="str">
        <f>IF(I453="","",B$7&amp;"-"&amp;B$8)</f>
        <v/>
      </c>
      <c r="M453" s="52" t="str">
        <f>IF(N(J453)=0,"",J453-J452)</f>
        <v/>
      </c>
    </row>
    <row r="454" spans="1:13" x14ac:dyDescent="0.35">
      <c r="A454" s="48"/>
      <c r="B454" s="48"/>
      <c r="C454" s="49"/>
      <c r="D454" s="50"/>
      <c r="E454" s="51" t="str">
        <f t="shared" si="169"/>
        <v/>
      </c>
      <c r="F454" s="71" t="str">
        <f t="shared" si="166"/>
        <v/>
      </c>
      <c r="G454" s="69" t="str">
        <f t="shared" si="168"/>
        <v/>
      </c>
      <c r="H454" s="70" t="str">
        <f t="shared" si="167"/>
        <v/>
      </c>
      <c r="I454" s="27" t="str">
        <f>IF(N(J454)=0,"",0&amp;"-"&amp;B$9)</f>
        <v/>
      </c>
      <c r="J454" s="52" t="str">
        <f>IF(N(B$9)=0,"",IF(AND(COUNT(H449:H460)=2,COUNT(F449:F460)=2),cubic_spline(F448:F450,H448:H450,B$9),IF(AND(COUNT(H449:H460)=3,COUNT(F449:F460)=3),cubic_spline(F448:F451,H448:H451,B$9),IF(AND(COUNT(H449:H460)=4,COUNT(F449:F460)=4),cubic_spline(F448:F452,H448:H452,B$9),IF(AND(COUNT(H449:H460)=5,COUNT(F449:F460)=5),cubic_spline(F448:F453,H448:H453,B$9),IF(AND(COUNT(H449:H460)=6,COUNT(F449:F460)=6),cubic_spline(F448:F454,H448:H454,B$9),IF(AND(COUNT(H449:H460)=7,COUNT(F449:F460)=7),cubic_spline(F448:F455,H448:H455,B$9),IF(AND(COUNT(H449:H460)=8,COUNT(F449:F460)=8),cubic_spline(F448:F456,H448:H456,B$9),IF(AND(COUNT(H449:H460)=9,COUNT(F449:F460)=9),cubic_spline(F448:F457,H448:H457,B$9),IF(AND(COUNT(H449:H460)=10,COUNT(F449:F460)=10),cubic_spline(F448:F458,H448:H458,B$9),IF(AND(COUNT(H449:H460)=11,COUNT(F449:F460)=11),cubic_spline(F448:F459,H448:H459,B$9),IF(AND(COUNT(H449:H460)=12,COUNT(F449:F460)=12),cubic_spline(F448:F460,H448:H460,B$9),""))))))))))))</f>
        <v/>
      </c>
      <c r="K454" s="52" t="str">
        <f>IF(N(B$9)=0,"",IF(AND(COUNT(A449:A460)=2,COUNT(F449:F460)=2),cubic_spline(F448:F450,A448:A450,B$9),IF(AND(COUNT(A449:A460)=3,COUNT(F449:F460)=3),cubic_spline(F448:F451,A448:A451,B$9),IF(AND(COUNT(A449:A460)=4,COUNT(F449:F460)=4),cubic_spline(F448:F452,A448:A452,B$9),IF(AND(COUNT(A449:A460)=5,COUNT(F449:F460)=5),cubic_spline(F448:F453,A448:A453,B$9),IF(AND(COUNT(A449:A460)=6,COUNT(F449:F460)=6),cubic_spline(F448:F454,A448:A454,B$9),IF(AND(COUNT(A449:A460)=7,COUNT(F449:F460)=7),cubic_spline(F448:F455,A448:A455,B$9),IF(AND(COUNT(A449:A460)=8,COUNT(F449:F460)=8),cubic_spline(F448:F456,A448:A456,B$9),IF(AND(COUNT(A449:A460)=9,COUNT(F449:F460)=9),cubic_spline(F448:F457,A448:A457,B$9),IF(AND(COUNT(A449:A460)=10,COUNT(F449:F460)=10),cubic_spline(F448:F458,A448:A458,B$9),IF(AND(COUNT(A449:A460)=11,COUNT(F449:F460)=11),cubic_spline(F448:F459,A448:A459,B$9),IF(AND(COUNT(A449:A460)=12,COUNT(F449:F460)=12),cubic_spline(F448:F460,A448:A460,B$9),""))))))))))))</f>
        <v/>
      </c>
      <c r="L454" s="27" t="str">
        <f>IF(I454="","",B$8&amp;"-"&amp;B$9)</f>
        <v/>
      </c>
      <c r="M454" s="52" t="str">
        <f t="shared" ref="M454:M460" si="170">IF(N(J454)=0,"",J454-J453)</f>
        <v/>
      </c>
    </row>
    <row r="455" spans="1:13" x14ac:dyDescent="0.35">
      <c r="A455" s="48"/>
      <c r="B455" s="48"/>
      <c r="C455" s="49"/>
      <c r="D455" s="50"/>
      <c r="E455" s="51" t="str">
        <f t="shared" si="169"/>
        <v/>
      </c>
      <c r="F455" s="71" t="str">
        <f t="shared" si="166"/>
        <v/>
      </c>
      <c r="G455" s="69" t="str">
        <f t="shared" si="168"/>
        <v/>
      </c>
      <c r="H455" s="70" t="str">
        <f t="shared" si="167"/>
        <v/>
      </c>
      <c r="I455" s="27" t="str">
        <f>IF(N(J455)=0,"",0&amp;"-"&amp;B$10)</f>
        <v/>
      </c>
      <c r="J455" s="52" t="str">
        <f>IF(N(B$10)=0,"",IF(AND(COUNT(H449:H460)=2,COUNT(F449:F460)=2),cubic_spline(F448:F450,H448:H450,B$10),IF(AND(COUNT(H449:H460)=3,COUNT(F449:F460)=3),cubic_spline(F448:F451,H448:H451,B$10),IF(AND(COUNT(H449:H460)=4,COUNT(F449:F460)=4),cubic_spline(F448:F452,H448:H452,B$10),IF(AND(COUNT(H449:H460)=5,COUNT(F449:F460)=5),cubic_spline(F448:F453,H448:H453,B$10),IF(AND(COUNT(H449:H460)=6,COUNT(F449:F460)=6),cubic_spline(F448:F454,H448:H454,B$10),IF(AND(COUNT(H449:H460)=7,COUNT(F449:F460)=7),cubic_spline(F448:F455,H448:H455,B$10),IF(AND(COUNT(H449:H460)=8,COUNT(F449:F460)=8),cubic_spline(F448:F456,H448:H456,B$10),IF(AND(COUNT(H449:H460)=9,COUNT(F449:F460)=9),cubic_spline(F448:F457,H448:H457,B$10),IF(AND(COUNT(H449:H460)=10,COUNT(F449:F460)=10),cubic_spline(F448:F458,H448:H458,B$10),IF(AND(COUNT(H449:H460)=11,COUNT(F449:F460)=11),cubic_spline(F448:F459,H448:H459,B$10),IF(AND(COUNT(H449:H460)=12,COUNT(F449:F460)=12),cubic_spline(F448:F460,H448:H460,B$10),""))))))))))))</f>
        <v/>
      </c>
      <c r="K455" s="52" t="str">
        <f>IF(N(B$10)=0,"",IF(AND(COUNT(A449:A460)=2,COUNT(F449:F460)=2),cubic_spline(F448:F450,A448:A450,B$10),IF(AND(COUNT(A449:A460)=3,COUNT(F449:F460)=3),cubic_spline(F448:F451,A448:A451,B$10),IF(AND(COUNT(A449:A460)=4,COUNT(F449:F460)=4),cubic_spline(F448:F452,A448:A452,B$10),IF(AND(COUNT(A449:A460)=5,COUNT(F449:F460)=5),cubic_spline(F448:F453,A448:A453,B$10),IF(AND(COUNT(A449:A460)=6,COUNT(F449:F460)=6),cubic_spline(F448:F454,A448:A454,B$10),IF(AND(COUNT(A449:A460)=7,COUNT(F449:F460)=7),cubic_spline(F448:F455,A448:A455,B$10),IF(AND(COUNT(A449:A460)=8,COUNT(F449:F460)=8),cubic_spline(F448:F456,A448:A456,B$10),IF(AND(COUNT(A449:A460)=9,COUNT(F449:F460)=9),cubic_spline(F448:F457,A448:A457,B$10),IF(AND(COUNT(A449:A460)=10,COUNT(F449:F460)=10),cubic_spline(F448:F458,A448:A458,B$10),IF(AND(COUNT(A449:A460)=11,COUNT(F449:F460)=11),cubic_spline(F448:F459,A448:A459,B$10),IF(AND(COUNT(A449:A460)=12,COUNT(F449:F460)=12),cubic_spline(F448:F460,A448:A460,B$10),""))))))))))))</f>
        <v/>
      </c>
      <c r="L455" s="27" t="str">
        <f>IF(I455="","",B$9&amp;"-"&amp;B$10)</f>
        <v/>
      </c>
      <c r="M455" s="52" t="str">
        <f t="shared" si="170"/>
        <v/>
      </c>
    </row>
    <row r="456" spans="1:13" x14ac:dyDescent="0.35">
      <c r="A456" s="48"/>
      <c r="B456" s="48"/>
      <c r="C456" s="49"/>
      <c r="D456" s="50"/>
      <c r="E456" s="51" t="str">
        <f t="shared" si="169"/>
        <v/>
      </c>
      <c r="F456" s="71" t="str">
        <f t="shared" si="166"/>
        <v/>
      </c>
      <c r="G456" s="69" t="str">
        <f t="shared" si="168"/>
        <v/>
      </c>
      <c r="H456" s="70" t="str">
        <f t="shared" si="167"/>
        <v/>
      </c>
      <c r="I456" s="27" t="str">
        <f>IF(N(J456)=0,"",0&amp;"-"&amp;B$11)</f>
        <v/>
      </c>
      <c r="J456" s="52" t="str">
        <f>IF(N(B$11)=0,"",IF(AND(COUNT(H449:H460)=2,COUNT(F449:F460)=2),cubic_spline(F448:F450,H448:H450,B$11),IF(AND(COUNT(H449:H460)=3,COUNT(F449:F460)=3),cubic_spline(F448:F451,H448:H451,B$11),IF(AND(COUNT(H449:H460)=4,COUNT(F449:F460)=4),cubic_spline(F448:F452,H448:H452,B$11),IF(AND(COUNT(H449:H460)=5,COUNT(F449:F460)=5),cubic_spline(F448:F453,H448:H453,B$11),IF(AND(COUNT(H449:H460)=6,COUNT(F449:F460)=6),cubic_spline(F448:F454,H448:H454,B$11),IF(AND(COUNT(H449:H460)=7,COUNT(F449:F460)=7),cubic_spline(F448:F455,H448:H455,B$11),IF(AND(COUNT(H449:H460)=8,COUNT(F449:F460)=8),cubic_spline(F448:F456,H448:H456,B$11),IF(AND(COUNT(H449:H460)=9,COUNT(F449:F460)=9),cubic_spline(F448:F457,H448:H457,B$11),IF(AND(COUNT(H449:H460)=10,COUNT(F449:F460)=10),cubic_spline(F448:F458,H448:H458,B$11),IF(AND(COUNT(H449:H460)=11,COUNT(F449:F460)=11),cubic_spline(F448:F459,H448:H459,B$11),IF(AND(COUNT(H449:H460)=12,COUNT(F449:F460)=12),cubic_spline(F448:F460,H448:H460,B$11),""))))))))))))</f>
        <v/>
      </c>
      <c r="K456" s="52" t="str">
        <f>IF(N(B$11)=0,"",IF(AND(COUNT(A449:A460)=2,COUNT(F449:F460)=2),cubic_spline(F448:F450,A448:A450,B$11),IF(AND(COUNT(A449:A460)=3,COUNT(F449:F460)=3),cubic_spline(F448:F451,A448:A451,B$11),IF(AND(COUNT(A449:A460)=4,COUNT(F449:F460)=4),cubic_spline(F448:F452,A448:A452,B$11),IF(AND(COUNT(A449:A460)=5,COUNT(F449:F460)=5),cubic_spline(F448:F453,A448:A453,B$11),IF(AND(COUNT(A449:A460)=6,COUNT(F449:F460)=6),cubic_spline(F448:F454,A448:A454,B$11),IF(AND(COUNT(A449:A460)=7,COUNT(F449:F460)=7),cubic_spline(F448:F455,A448:A455,B$11),IF(AND(COUNT(A449:A460)=8,COUNT(F449:F460)=8),cubic_spline(F448:F456,A448:A456,B$11),IF(AND(COUNT(A449:A460)=9,COUNT(F449:F460)=9),cubic_spline(F448:F457,A448:A457,B$11),IF(AND(COUNT(A449:A460)=10,COUNT(F449:F460)=10),cubic_spline(F448:F458,A448:A458,B$11),IF(AND(COUNT(A449:A460)=11,COUNT(F449:F460)=11),cubic_spline(F448:F459,A448:A459,B$11),IF(AND(COUNT(A449:A460)=12,COUNT(F449:F460)=12),cubic_spline(F448:F460,A448:A460,B$11),""))))))))))))</f>
        <v/>
      </c>
      <c r="L456" s="27" t="str">
        <f>IF(I456="","",B$10&amp;"-"&amp;B$11)</f>
        <v/>
      </c>
      <c r="M456" s="52" t="str">
        <f t="shared" si="170"/>
        <v/>
      </c>
    </row>
    <row r="457" spans="1:13" x14ac:dyDescent="0.35">
      <c r="A457" s="48"/>
      <c r="B457" s="48"/>
      <c r="C457" s="49"/>
      <c r="D457" s="50"/>
      <c r="E457" s="51" t="str">
        <f t="shared" si="169"/>
        <v/>
      </c>
      <c r="F457" s="71" t="str">
        <f t="shared" si="166"/>
        <v/>
      </c>
      <c r="G457" s="69" t="str">
        <f t="shared" si="168"/>
        <v/>
      </c>
      <c r="H457" s="70" t="str">
        <f t="shared" si="167"/>
        <v/>
      </c>
      <c r="I457" s="27" t="str">
        <f>IF(N(J457)=0,"",0&amp;"-"&amp;B$12)</f>
        <v/>
      </c>
      <c r="J457" s="52" t="str">
        <f>IF(N(B$12)=0,"",IF(AND(COUNT(H449:H460)=2,COUNT(F449:F460)=2),cubic_spline(F448:F450,H448:H450,B$12),IF(AND(COUNT(H449:H460)=3,COUNT(F449:F460)=3),cubic_spline(F448:F451,H448:H451,B$12),IF(AND(COUNT(H449:H460)=4,COUNT(F449:F460)=4),cubic_spline(F448:F452,H448:H452,B$12),IF(AND(COUNT(H449:H460)=5,COUNT(F449:F460)=5),cubic_spline(F448:F453,H448:H453,B$12),IF(AND(COUNT(H449:H460)=6,COUNT(F449:F460)=6),cubic_spline(F448:F454,H448:H454,B$12),IF(AND(COUNT(H449:H460)=7,COUNT(F449:F460)=7),cubic_spline(F448:F455,H448:H455,B$12),IF(AND(COUNT(H449:H460)=8,COUNT(F449:F460)=8),cubic_spline(F448:F456,H448:H456,B$12),IF(AND(COUNT(H449:H460)=9,COUNT(F449:F460)=9),cubic_spline(F448:F457,H448:H457,B$12),IF(AND(COUNT(H449:H460)=10,COUNT(F449:F460)=10),cubic_spline(F448:F458,H448:H458,B$12),IF(AND(COUNT(H449:H460)=11,COUNT(F449:F460)=11),cubic_spline(F448:F459,H448:H459,B$12),IF(AND(COUNT(H449:H460)=12,COUNT(F449:F460)=12),cubic_spline(F448:F460,H448:H460,B$12),""))))))))))))</f>
        <v/>
      </c>
      <c r="K457" s="52" t="str">
        <f>IF(N(B$12)=0,"",IF(AND(COUNT(A449:A460)=2,COUNT(F449:F460)=2),cubic_spline(F448:F450,A448:A450,B$12),IF(AND(COUNT(A449:A460)=3,COUNT(F449:F460)=3),cubic_spline(F448:F451,A448:A451,B$12),IF(AND(COUNT(A449:A460)=4,COUNT(F449:F460)=4),cubic_spline(F448:F452,A448:A452,B$12),IF(AND(COUNT(A449:A460)=5,COUNT(F449:F460)=5),cubic_spline(F448:F453,A448:A453,B$12),IF(AND(COUNT(A449:A460)=6,COUNT(F449:F460)=6),cubic_spline(F448:F454,A448:A454,B$12),IF(AND(COUNT(A449:A460)=7,COUNT(F449:F460)=7),cubic_spline(F448:F455,A448:A455,B$12),IF(AND(COUNT(A449:A460)=8,COUNT(F449:F460)=8),cubic_spline(F448:F456,A448:A456,B$12),IF(AND(COUNT(A449:A460)=9,COUNT(F449:F460)=9),cubic_spline(F448:F457,A448:A457,B$12),IF(AND(COUNT(A449:A460)=10,COUNT(F449:F460)=10),cubic_spline(F448:F458,A448:A458,B$12),IF(AND(COUNT(A449:A460)=11,COUNT(F449:F460)=11),cubic_spline(F448:F459,A448:A459,B$12),IF(AND(COUNT(A449:A460)=12,COUNT(F449:F460)=12),cubic_spline(F448:F460,A448:A460,B$12),""))))))))))))</f>
        <v/>
      </c>
      <c r="L457" s="27" t="str">
        <f>IF(I457="","",B$11&amp;"-"&amp;B$12)</f>
        <v/>
      </c>
      <c r="M457" s="52" t="str">
        <f t="shared" si="170"/>
        <v/>
      </c>
    </row>
    <row r="458" spans="1:13" x14ac:dyDescent="0.35">
      <c r="A458" s="48"/>
      <c r="B458" s="48"/>
      <c r="C458" s="49"/>
      <c r="D458" s="50"/>
      <c r="E458" s="51" t="str">
        <f t="shared" si="169"/>
        <v/>
      </c>
      <c r="F458" s="71" t="str">
        <f t="shared" si="166"/>
        <v/>
      </c>
      <c r="G458" s="69" t="str">
        <f t="shared" si="168"/>
        <v/>
      </c>
      <c r="H458" s="70" t="str">
        <f t="shared" si="167"/>
        <v/>
      </c>
      <c r="I458" s="27" t="str">
        <f>IF(N(J458)=0,"",0&amp;"-"&amp;B$13)</f>
        <v/>
      </c>
      <c r="J458" s="52" t="str">
        <f>IF(N(B$13)=0,"",IF(AND(COUNT(H449:H460)=2,COUNT(F449:F460)=2),cubic_spline(F448:F450,H448:H450,B$13),IF(AND(COUNT(H449:H460)=3,COUNT(F449:F460)=3),cubic_spline(F448:F451,H448:H451,B$13),IF(AND(COUNT(H449:H460)=4,COUNT(F449:F460)=4),cubic_spline(F448:F452,H448:H452,B$13),IF(AND(COUNT(H449:H460)=5,COUNT(F449:F460)=5),cubic_spline(F448:F453,H448:H453,B$13),IF(AND(COUNT(H449:H460)=6,COUNT(F449:F460)=6),cubic_spline(F448:F454,H448:H454,B$13),IF(AND(COUNT(H449:H460)=7,COUNT(F449:F460)=7),cubic_spline(F448:F455,H448:H455,B$13),IF(AND(COUNT(H449:H460)=8,COUNT(F449:F460)=8),cubic_spline(F448:F456,H448:H456,B$13),IF(AND(COUNT(H449:H460)=9,COUNT(F449:F460)=9),cubic_spline(F448:F457,H448:H457,B$13),IF(AND(COUNT(H449:H460)=10,COUNT(F449:F460)=10),cubic_spline(F448:F458,H448:H458,B$13),IF(AND(COUNT(H449:H460)=11,COUNT(F449:F460)=11),cubic_spline(F448:F459,H448:H459,B$13),IF(AND(COUNT(H449:H460)=12,COUNT(F449:F460)=12),cubic_spline(F448:F460,H448:H460,B$13),""))))))))))))</f>
        <v/>
      </c>
      <c r="K458" s="52" t="str">
        <f>IF(N(B$13)=0,"",IF(AND(COUNT(A449:A460)=2,COUNT(F449:F460)=2),cubic_spline(F448:F450,A448:A450,B$13),IF(AND(COUNT(A449:A460)=3,COUNT(F449:F460)=3),cubic_spline(F448:F451,A448:A451,B$13),IF(AND(COUNT(A449:A460)=4,COUNT(F449:F460)=4),cubic_spline(F448:F452,A448:A452,B$13),IF(AND(COUNT(A449:A460)=5,COUNT(F449:F460)=5),cubic_spline(F448:F453,A448:A453,B$13),IF(AND(COUNT(A449:A460)=6,COUNT(F449:F460)=6),cubic_spline(F448:F454,A448:A454,B$13),IF(AND(COUNT(A449:A460)=7,COUNT(F449:F460)=7),cubic_spline(F448:F455,A448:A455,B$13),IF(AND(COUNT(A449:A460)=8,COUNT(F449:F460)=8),cubic_spline(F448:F456,A448:A456,B$13),IF(AND(COUNT(A449:A460)=9,COUNT(F449:F460)=9),cubic_spline(F448:F457,A448:A457,B$13),IF(AND(COUNT(A449:A460)=10,COUNT(F449:F460)=10),cubic_spline(F448:F458,A448:A458,B$13),IF(AND(COUNT(A449:A460)=11,COUNT(F449:F460)=11),cubic_spline(F448:F459,A448:A459,B$13),IF(AND(COUNT(A449:A460)=12,COUNT(F449:F460)=12),cubic_spline(F448:F460,A448:A460,B$13),""))))))))))))</f>
        <v/>
      </c>
      <c r="L458" s="27" t="str">
        <f>IF(I458="","",B$12&amp;"-"&amp;B$13)</f>
        <v/>
      </c>
      <c r="M458" s="52" t="str">
        <f t="shared" si="170"/>
        <v/>
      </c>
    </row>
    <row r="459" spans="1:13" x14ac:dyDescent="0.35">
      <c r="A459" s="48"/>
      <c r="B459" s="48"/>
      <c r="C459" s="49"/>
      <c r="D459" s="50"/>
      <c r="E459" s="51" t="str">
        <f t="shared" si="169"/>
        <v/>
      </c>
      <c r="F459" s="71" t="str">
        <f t="shared" si="166"/>
        <v/>
      </c>
      <c r="G459" s="69" t="str">
        <f t="shared" si="168"/>
        <v/>
      </c>
      <c r="H459" s="70" t="str">
        <f t="shared" si="167"/>
        <v/>
      </c>
      <c r="I459" s="27" t="str">
        <f>IF(N(J459)=0,"",0&amp;"-"&amp;B$14)</f>
        <v/>
      </c>
      <c r="J459" s="52" t="str">
        <f>IF(N(B$14)=0,"",IF(AND(COUNT(H449:H460)=2,COUNT(F449:F460)=2),cubic_spline(F448:F450,H448:H450,B$14),IF(AND(COUNT(H449:H460)=3,COUNT(F449:F460)=3),cubic_spline(F448:F451,H448:H451,B$14),IF(AND(COUNT(H449:H460)=4,COUNT(F449:F460)=4),cubic_spline(F448:F452,H448:H452,B$14),IF(AND(COUNT(H449:H460)=5,COUNT(F449:F460)=5),cubic_spline(F448:F453,H448:H453,B$14),IF(AND(COUNT(H449:H460)=6,COUNT(F449:F460)=6),cubic_spline(F448:F454,H448:H454,B$14),IF(AND(COUNT(H449:H460)=7,COUNT(F449:F460)=7),cubic_spline(F448:F455,H448:H455,B$14),IF(AND(COUNT(H449:H460)=8,COUNT(F449:F460)=8),cubic_spline(F448:F456,H448:H456,B$14),IF(AND(COUNT(H449:H460)=9,COUNT(F449:F460)=9),cubic_spline(F448:F457,H448:H457,B$14),IF(AND(COUNT(H449:H460)=10,COUNT(F449:F460)=10),cubic_spline(F448:F458,H448:H458,B$14),IF(AND(COUNT(H449:H460)=11,COUNT(F449:F460)=11),cubic_spline(F448:F459,H448:H459,B$14),IF(AND(COUNT(H449:H460)=12,COUNT(F449:F460)=12),cubic_spline(F448:F460,H448:H460,B$14),""))))))))))))</f>
        <v/>
      </c>
      <c r="K459" s="52" t="str">
        <f>IF(N(B$14)=0,"",IF(AND(COUNT(A449:A460)=2,COUNT(F449:F460)=2),cubic_spline(F448:F450,A448:A450,B$14),IF(AND(COUNT(A449:A460)=3,COUNT(F449:F460)=3),cubic_spline(F448:F451,A448:A451,B$14),IF(AND(COUNT(A449:A460)=4,COUNT(F449:F460)=4),cubic_spline(F448:F452,A448:A452,B$14),IF(AND(COUNT(A449:A460)=5,COUNT(F449:F460)=5),cubic_spline(F448:F453,A448:A453,B$14),IF(AND(COUNT(A449:A460)=6,COUNT(F449:F460)=6),cubic_spline(F448:F454,A448:A454,B$14),IF(AND(COUNT(A449:A460)=7,COUNT(F449:F460)=7),cubic_spline(F448:F455,A448:A455,B$14),IF(AND(COUNT(A449:A460)=8,COUNT(F449:F460)=8),cubic_spline(F448:F456,A448:A456,B$14),IF(AND(COUNT(A449:A460)=9,COUNT(F449:F460)=9),cubic_spline(F448:F457,A448:A457,B$14),IF(AND(COUNT(A449:A460)=10,COUNT(F449:F460)=10),cubic_spline(F448:F458,A448:A458,B$14),IF(AND(COUNT(A449:A460)=11,COUNT(F449:F460)=11),cubic_spline(F448:F459,A448:A459,B$14),IF(AND(COUNT(A449:A460)=12,COUNT(F449:F460)=12),cubic_spline(F448:F460,A448:A460,B$14),""))))))))))))</f>
        <v/>
      </c>
      <c r="L459" s="27" t="str">
        <f>IF(I459="","",B$13&amp;"-"&amp;B$14)</f>
        <v/>
      </c>
      <c r="M459" s="52" t="str">
        <f t="shared" si="170"/>
        <v/>
      </c>
    </row>
    <row r="460" spans="1:13" x14ac:dyDescent="0.35">
      <c r="A460" s="48"/>
      <c r="B460" s="48"/>
      <c r="C460" s="49"/>
      <c r="D460" s="50"/>
      <c r="E460" s="51" t="str">
        <f t="shared" si="169"/>
        <v/>
      </c>
      <c r="F460" s="71" t="str">
        <f t="shared" si="166"/>
        <v/>
      </c>
      <c r="G460" s="69" t="str">
        <f t="shared" si="168"/>
        <v/>
      </c>
      <c r="H460" s="70" t="str">
        <f t="shared" si="167"/>
        <v/>
      </c>
      <c r="I460" s="27" t="str">
        <f>IF(N(J460)=0,"",0&amp;"-"&amp;B$15)</f>
        <v/>
      </c>
      <c r="J460" s="52" t="str">
        <f>IF(N(B$15)=0,"",IF(AND(COUNT(H449:H460)=2,COUNT(F449:F460)=2),cubic_spline(F448:F450,H448:H450,B$15),IF(AND(COUNT(H449:H460)=3,COUNT(F449:F460)=3),cubic_spline(F448:F451,H448:H451,B$15),IF(AND(COUNT(H449:H460)=4,COUNT(F449:F460)=4),cubic_spline(F448:F452,H448:H452,B$15),IF(AND(COUNT(H449:H460)=5,COUNT(F449:F460)=5),cubic_spline(F448:F453,H448:H453,B$15),IF(AND(COUNT(H449:H460)=6,COUNT(F449:F460)=6),cubic_spline(F448:F454,H448:H454,B$15),IF(AND(COUNT(H449:H460)=7,COUNT(F449:F460)=7),cubic_spline(F448:F455,H448:H455,B$15),IF(AND(COUNT(H449:H460)=8,COUNT(F449:F460)=8),cubic_spline(F448:F456,H448:H456,B$15),IF(AND(COUNT(H449:H460)=9,COUNT(F449:F460)=9),cubic_spline(F448:F457,H448:H457,B$15),IF(AND(COUNT(H449:H460)=10,COUNT(F449:F460)=10),cubic_spline(F448:F458,H448:H458,B$15),IF(AND(COUNT(H449:H460)=11,COUNT(F449:F460)=11),cubic_spline(F448:F459,H448:H459,B$15),IF(AND(COUNT(H449:H460)=12,COUNT(F449:F460)=12),cubic_spline(F448:F460,H448:H460,B$15),""))))))))))))</f>
        <v/>
      </c>
      <c r="K460" s="52" t="str">
        <f>IF(N(B$15)=0,"",IF(AND(COUNT(A449:A460)=2,COUNT(F449:F460)=2),cubic_spline(F448:F450,A448:A450,B$15),IF(AND(COUNT(A449:A460)=3,COUNT(F449:F460)=3),cubic_spline(F448:F451,A448:A451,B$15),IF(AND(COUNT(A449:A460)=4,COUNT(F449:F460)=4),cubic_spline(F448:F452,A448:A452,B$15),IF(AND(COUNT(A449:A460)=5,COUNT(F449:F460)=5),cubic_spline(F448:F453,A448:A453,B$15),IF(AND(COUNT(A449:A460)=6,COUNT(F449:F460)=6),cubic_spline(F448:F454,A448:A454,B$15),IF(AND(COUNT(A449:A460)=7,COUNT(F449:F460)=7),cubic_spline(F448:F455,A448:A455,B$15),IF(AND(COUNT(A449:A460)=8,COUNT(F449:F460)=8),cubic_spline(F448:F456,A448:A456,B$15),IF(AND(COUNT(A449:A460)=9,COUNT(F449:F460)=9),cubic_spline(F448:F457,A448:A457,B$15),IF(AND(COUNT(A449:A460)=10,COUNT(F449:F460)=10),cubic_spline(F448:F458,A448:A458,B$15),IF(AND(COUNT(A449:A460)=11,COUNT(F449:F460)=11),cubic_spline(F448:F459,A448:A459,B$15),IF(AND(COUNT(A449:A460)=12,COUNT(F449:F460)=12),cubic_spline(F448:F460,A448:A460,B$15),""))))))))))))</f>
        <v/>
      </c>
      <c r="L460" s="27" t="str">
        <f>IF(I460="","",B$14&amp;"-"&amp;B$15)</f>
        <v/>
      </c>
      <c r="M460" s="52" t="str">
        <f t="shared" si="170"/>
        <v/>
      </c>
    </row>
    <row r="461" spans="1:13" ht="5.15" customHeight="1" x14ac:dyDescent="0.35">
      <c r="A461" s="47"/>
      <c r="B461" s="47"/>
      <c r="C461" s="47"/>
      <c r="D461" s="53"/>
      <c r="E461" s="54"/>
      <c r="F461" s="55"/>
      <c r="G461" s="72"/>
      <c r="H461" s="73"/>
      <c r="I461" s="47"/>
      <c r="J461" s="57"/>
      <c r="K461" s="57"/>
      <c r="L461" s="55"/>
      <c r="M461" s="57"/>
    </row>
    <row r="462" spans="1:13" x14ac:dyDescent="0.35">
      <c r="A462" s="48"/>
      <c r="B462" s="48"/>
      <c r="C462" s="49"/>
      <c r="D462" s="50"/>
      <c r="E462" s="51" t="str">
        <f>IF(N(C462)=0,"",C462/PI()/($D$1/2)^2/$D$2*10000)</f>
        <v/>
      </c>
      <c r="F462" s="68" t="str">
        <f t="shared" ref="F462:F473" si="171">IF(N(E462)=0,"",(N(E462)+N(F461)))</f>
        <v/>
      </c>
      <c r="G462" s="69" t="str">
        <f>IF(OR(N(D462)=0,N(E462)=0),"",(E462*D462)/1000)</f>
        <v/>
      </c>
      <c r="H462" s="70" t="str">
        <f t="shared" ref="H462:H473" si="172">IF(N(G462)=0,"",(N(G462)+N(H461)))</f>
        <v/>
      </c>
      <c r="I462" s="27" t="str">
        <f>IF(N(J462)=0,"",0&amp;"-"&amp;B$4)</f>
        <v/>
      </c>
      <c r="J462" s="52" t="str">
        <f>IF(N(B$4)=0,"",IF(AND(COUNT(H462:H473)=2,COUNT(F462:F473)=2),cubic_spline(F461:F463,H461:H463,B$4),IF(AND(COUNT(H462:H473)=3,COUNT(F462:F473)=3),cubic_spline(F461:F464,H461:H464,B$4),IF(AND(COUNT(H462:H473)=4,COUNT(F462:F473)=4),cubic_spline(F461:F465,H461:H465,B$4),IF(AND(COUNT(H462:H473)=5,COUNT(F462:F473)=5),cubic_spline(F461:F466,H461:H466,B$4),IF(AND(COUNT(H462:H473)=6,COUNT(F462:F473)=6),cubic_spline(F461:F467,H461:H467,B$4),IF(AND(COUNT(H462:H473)=7,COUNT(F462:F473)=7),cubic_spline(F461:F468,H461:H468,B$4),IF(AND(COUNT(H462:H473)=8,COUNT(F462:F473)=8),cubic_spline(F461:F469,H461:H469,B$4),IF(AND(COUNT(H462:H473)=9,COUNT(F462:F473)=9),cubic_spline(F461:F470,H461:H470,B$4),IF(AND(COUNT(H462:H473)=10,COUNT(F462:F473)=10),cubic_spline(F461:F471,H461:H471,B$4),IF(AND(COUNT(H462:H473)=11,COUNT(F462:F473)=11),cubic_spline(F461:F472,H461:H472,B$4),IF(AND(COUNT(H462:H473)=12,COUNT(F462:F473)=12),cubic_spline(F461:F473,H461:H473,B$4),""))))))))))))</f>
        <v/>
      </c>
      <c r="K462" s="52" t="str">
        <f>IF(N(B$4)=0,"",IF(AND(COUNT(A462:A473)=2,COUNT(F462:F473)=2),cubic_spline(F461:F463,A461:A463,B$4),IF(AND(COUNT(A462:A473)=3,COUNT(F462:F473)=3),cubic_spline(F461:F464,A461:A464,B$4),IF(AND(COUNT(A462:A473)=4,COUNT(F462:F473)=4),cubic_spline(F461:F465,A461:A465,B$4),IF(AND(COUNT(A462:A473)=5,COUNT(F462:F473)=5),cubic_spline(F461:F466,A461:A466,B$4),IF(AND(COUNT(A462:A473)=6,COUNT(F462:F473)=6),cubic_spline(F461:F467,A461:A467,B$4),IF(AND(COUNT(A462:A473)=7,COUNT(F462:F473)=7),cubic_spline(F461:F468,A461:A468,B$4),IF(AND(COUNT(A462:A473)=8,COUNT(F462:F473)=8),cubic_spline(F461:F469,A461:A469,B$4),IF(AND(COUNT(A462:A473)=9,COUNT(F462:F473)=9),cubic_spline(F461:F470,A461:A470,B$4),IF(AND(COUNT(A462:A473)=10,COUNT(F462:F473)=10),cubic_spline(F461:F471,A461:A471,B$4),IF(AND(COUNT(A462:A473)=11,COUNT(F462:F473)=11),cubic_spline(F461:F472,A461:A472,B$4),IF(AND(COUNT(A462:A473)=12,COUNT(F462:F473)=12),cubic_spline(F461:F473,A461:A473,B$4),""))))))))))))</f>
        <v/>
      </c>
      <c r="L462" s="27" t="str">
        <f>IF(I462="","",0&amp;"-"&amp;B$4)</f>
        <v/>
      </c>
      <c r="M462" s="52" t="str">
        <f>IF(N(J462)=0,"",J462-J461)</f>
        <v/>
      </c>
    </row>
    <row r="463" spans="1:13" x14ac:dyDescent="0.35">
      <c r="A463" s="48"/>
      <c r="B463" s="48"/>
      <c r="C463" s="49"/>
      <c r="D463" s="50"/>
      <c r="E463" s="51" t="str">
        <f>IF(N(C463)=0,"",C463/PI()/($D$1/2)^2/$D$2*10000)</f>
        <v/>
      </c>
      <c r="F463" s="68" t="str">
        <f t="shared" si="171"/>
        <v/>
      </c>
      <c r="G463" s="69" t="str">
        <f t="shared" ref="G463:G473" si="173">IF(OR(N(D463)=0,N(E463)=0),"",(E463*D463)/1000)</f>
        <v/>
      </c>
      <c r="H463" s="70" t="str">
        <f t="shared" si="172"/>
        <v/>
      </c>
      <c r="I463" s="27" t="str">
        <f>IF(N(J463)=0,"",0&amp;"-"&amp;B$5)</f>
        <v/>
      </c>
      <c r="J463" s="52" t="str">
        <f>IF(N(B$5)=0,"",IF(AND(COUNT(H462:H473)=2,COUNT(F462:F473)=2),cubic_spline(F461:F463,H461:H463,B$5),IF(AND(COUNT(H462:H473)=3,COUNT(F462:F473)=3),cubic_spline(F461:F464,H461:H464,B$5),IF(AND(COUNT(H462:H473)=4,COUNT(F462:F473)=4),cubic_spline(F461:F465,H461:H465,B$5),IF(AND(COUNT(H462:H473)=5,COUNT(F462:F473)=5),cubic_spline(F461:F466,H461:H466,B$5),IF(AND(COUNT(H462:H473)=6,COUNT(F462:F473)=6),cubic_spline(F461:F467,H461:H467,B$5),IF(AND(COUNT(H462:H473)=7,COUNT(F462:F473)=7),cubic_spline(F461:F468,H461:H468,B$5),IF(AND(COUNT(H462:H473)=8,COUNT(F462:F473)=8),cubic_spline(F461:F469,H461:H469,B$5),IF(AND(COUNT(H462:H473)=9,COUNT(F462:F473)=9),cubic_spline(F461:F470,H461:H470,B$5),IF(AND(COUNT(H462:H473)=10,COUNT(F462:F473)=10),cubic_spline(F461:F471,H461:H471,B$5),IF(AND(COUNT(H462:H473)=11,COUNT(F462:F473)=11),cubic_spline(F461:F472,H461:H472,B$5),IF(AND(COUNT(H462:H473)=12,COUNT(F462:F473)=12),cubic_spline(F461:F473,H461:H473,B$5),""))))))))))))</f>
        <v/>
      </c>
      <c r="K463" s="52" t="str">
        <f>IF(N(B$5)=0,"",IF(AND(COUNT(A462:A473)=2,COUNT(F462:F473)=2),cubic_spline(F461:F463,A461:A463,B$5),IF(AND(COUNT(A462:A473)=3,COUNT(F462:F473)=3),cubic_spline(F461:F464,A461:A464,B$5),IF(AND(COUNT(A462:A473)=4,COUNT(F462:F473)=4),cubic_spline(F461:F465,A461:A465,B$5),IF(AND(COUNT(A462:A473)=5,COUNT(F462:F473)=5),cubic_spline(F461:F466,A461:A466,B$5),IF(AND(COUNT(A462:A473)=6,COUNT(F462:F473)=6),cubic_spline(F461:F467,A461:A467,B$5),IF(AND(COUNT(A462:A473)=7,COUNT(F462:F473)=7),cubic_spline(F461:F468,A461:A468,B$5),IF(AND(COUNT(A462:A473)=8,COUNT(F462:F473)=8),cubic_spline(F461:F469,A461:A469,B$5),IF(AND(COUNT(A462:A473)=9,COUNT(F462:F473)=9),cubic_spline(F461:F470,A461:A470,B$5),IF(AND(COUNT(A462:A473)=10,COUNT(F462:F473)=10),cubic_spline(F461:F471,A461:A471,B$5),IF(AND(COUNT(A462:A473)=11,COUNT(F462:F473)=11),cubic_spline(F461:F472,A461:A472,B$5),IF(AND(COUNT(A462:A473)=12,COUNT(F462:F473)=12),cubic_spline(F461:F473,A461:A473,B$5),""))))))))))))</f>
        <v/>
      </c>
      <c r="L463" s="27" t="str">
        <f>IF(I463="","",B$4&amp;"-"&amp;B$5)</f>
        <v/>
      </c>
      <c r="M463" s="52" t="str">
        <f>IF(N(J463)=0,"",J463-J462)</f>
        <v/>
      </c>
    </row>
    <row r="464" spans="1:13" x14ac:dyDescent="0.35">
      <c r="A464" s="48"/>
      <c r="B464" s="48"/>
      <c r="C464" s="49"/>
      <c r="D464" s="50"/>
      <c r="E464" s="51" t="str">
        <f>IF(N(C464)=0,"",C464/PI()/($D$1/2)^2/$D$2*10000)</f>
        <v/>
      </c>
      <c r="F464" s="68" t="str">
        <f t="shared" si="171"/>
        <v/>
      </c>
      <c r="G464" s="69" t="str">
        <f t="shared" si="173"/>
        <v/>
      </c>
      <c r="H464" s="70" t="str">
        <f t="shared" si="172"/>
        <v/>
      </c>
      <c r="I464" s="27" t="str">
        <f>IF(N(J464)=0,"",0&amp;"-"&amp;B$6)</f>
        <v/>
      </c>
      <c r="J464" s="52" t="str">
        <f>IF(N(B$6)=0,"",IF(AND(COUNT(H462:H473)=2,COUNT(F462:F473)=2),cubic_spline(F461:F463,H461:H463,B$6),IF(AND(COUNT(H462:H473)=3,COUNT(F462:F473)=3),cubic_spline(F461:F464,H461:H464,B$6),IF(AND(COUNT(H462:H473)=4,COUNT(F462:F473)=4),cubic_spline(F461:F465,H461:H465,B$6),IF(AND(COUNT(H462:H473)=5,COUNT(F462:F473)=5),cubic_spline(F461:F466,H461:H466,B$6),IF(AND(COUNT(H462:H473)=6,COUNT(F462:F473)=6),cubic_spline(F461:F467,H461:H467,B$6),IF(AND(COUNT(H462:H473)=7,COUNT(F462:F473)=7),cubic_spline(F461:F468,H461:H468,B$6),IF(AND(COUNT(H462:H473)=8,COUNT(F462:F473)=8),cubic_spline(F461:F469,H461:H469,B$6),IF(AND(COUNT(H462:H473)=9,COUNT(F462:F473)=9),cubic_spline(F461:F470,H461:H470,B$6),IF(AND(COUNT(H462:H473)=10,COUNT(F462:F473)=10),cubic_spline(F461:F471,H461:H471,B$6),IF(AND(COUNT(H462:H473)=11,COUNT(F462:F473)=11),cubic_spline(F461:F472,H461:H472,B$6),IF(AND(COUNT(H462:H473)=12,COUNT(F462:F473)=12),cubic_spline(F461:F473,H461:H473,B$6),""))))))))))))</f>
        <v/>
      </c>
      <c r="K464" s="52" t="str">
        <f>IF(N(B$6)=0,"",IF(AND(COUNT(A462:A473)=2,COUNT(F462:F473)=2),cubic_spline(F461:F463,A461:A463,B$6),IF(AND(COUNT(A462:A473)=3,COUNT(F462:F473)=3),cubic_spline(F461:F464,A461:A464,B$6),IF(AND(COUNT(A462:A473)=4,COUNT(F462:F473)=4),cubic_spline(F461:F465,A461:A465,B$6),IF(AND(COUNT(A462:A473)=5,COUNT(F462:F473)=5),cubic_spline(F461:F466,A461:A466,B$6),IF(AND(COUNT(A462:A473)=6,COUNT(F462:F473)=6),cubic_spline(F461:F467,A461:A467,B$6),IF(AND(COUNT(A462:A473)=7,COUNT(F462:F473)=7),cubic_spline(F461:F468,A461:A468,B$6),IF(AND(COUNT(A462:A473)=8,COUNT(F462:F473)=8),cubic_spline(F461:F469,A461:A469,B$6),IF(AND(COUNT(A462:A473)=9,COUNT(F462:F473)=9),cubic_spline(F461:F470,A461:A470,B$6),IF(AND(COUNT(A462:A473)=10,COUNT(F462:F473)=10),cubic_spline(F461:F471,A461:A471,B$6),IF(AND(COUNT(A462:A473)=11,COUNT(F462:F473)=11),cubic_spline(F461:F472,A461:A472,B$6),IF(AND(COUNT(A462:A473)=12,COUNT(F462:F473)=12),cubic_spline(F461:F473,A461:A473,B$6),""))))))))))))</f>
        <v/>
      </c>
      <c r="L464" s="27" t="str">
        <f>IF(I464="","",B$5&amp;"-"&amp;B$6)</f>
        <v/>
      </c>
      <c r="M464" s="52" t="str">
        <f>IF(N(J464)=0,"",J464-J463)</f>
        <v/>
      </c>
    </row>
    <row r="465" spans="1:13" x14ac:dyDescent="0.35">
      <c r="A465" s="48"/>
      <c r="B465" s="48"/>
      <c r="C465" s="49"/>
      <c r="D465" s="50"/>
      <c r="E465" s="51" t="str">
        <f>IF(N(C465)=0,"",C465/PI()/($D$1/2)^2/$D$2*10000)</f>
        <v/>
      </c>
      <c r="F465" s="68" t="str">
        <f t="shared" si="171"/>
        <v/>
      </c>
      <c r="G465" s="69" t="str">
        <f t="shared" si="173"/>
        <v/>
      </c>
      <c r="H465" s="70" t="str">
        <f t="shared" si="172"/>
        <v/>
      </c>
      <c r="I465" s="27" t="str">
        <f>IF(N(J465)=0,"",0&amp;"-"&amp;B$7)</f>
        <v/>
      </c>
      <c r="J465" s="52" t="str">
        <f>IF(N(B$7)=0,"",IF(AND(COUNT(H462:H473)=2,COUNT(F462:F473)=2),cubic_spline(F461:F463,H461:H463,B$7),IF(AND(COUNT(H462:H473)=3,COUNT(F462:F473)=3),cubic_spline(F461:F464,H461:H464,B$7),IF(AND(COUNT(H462:H473)=4,COUNT(F462:F473)=4),cubic_spline(F461:F465,H461:H465,B$7),IF(AND(COUNT(H462:H473)=5,COUNT(F462:F473)=5),cubic_spline(F461:F466,H461:H466,B$7),IF(AND(COUNT(H462:H473)=6,COUNT(F462:F473)=6),cubic_spline(F461:F467,H461:H467,B$7),IF(AND(COUNT(H462:H473)=7,COUNT(F462:F473)=7),cubic_spline(F461:F468,H461:H468,B$7),IF(AND(COUNT(H462:H473)=8,COUNT(F462:F473)=8),cubic_spline(F461:F469,H461:H469,B$7),IF(AND(COUNT(H462:H473)=9,COUNT(F462:F473)=9),cubic_spline(F461:F470,H461:H470,B$7),IF(AND(COUNT(H462:H473)=10,COUNT(F462:F473)=10),cubic_spline(F461:F471,H461:H471,B$7),IF(AND(COUNT(H462:H473)=11,COUNT(F462:F473)=11),cubic_spline(F461:F472,H461:H472,B$7),IF(AND(COUNT(H462:H473)=12,COUNT(F462:F473)=12),cubic_spline(F461:F473,H461:H473,B$7),""))))))))))))</f>
        <v/>
      </c>
      <c r="K465" s="52" t="str">
        <f>IF(N(B$7)=0,"",IF(AND(COUNT(A462:A473)=2,COUNT(F462:F473)=2),cubic_spline(F461:F463,A461:A463,B$7),IF(AND(COUNT(A462:A473)=3,COUNT(F462:F473)=3),cubic_spline(F461:F464,A461:A464,B$7),IF(AND(COUNT(A462:A473)=4,COUNT(F462:F473)=4),cubic_spline(F461:F465,A461:A465,B$7),IF(AND(COUNT(A462:A473)=5,COUNT(F462:F473)=5),cubic_spline(F461:F466,A461:A466,B$7),IF(AND(COUNT(A462:A473)=6,COUNT(F462:F473)=6),cubic_spline(F461:F467,A461:A467,B$7),IF(AND(COUNT(A462:A473)=7,COUNT(F462:F473)=7),cubic_spline(F461:F468,A461:A468,B$7),IF(AND(COUNT(A462:A473)=8,COUNT(F462:F473)=8),cubic_spline(F461:F469,A461:A469,B$7),IF(AND(COUNT(A462:A473)=9,COUNT(F462:F473)=9),cubic_spline(F461:F470,A461:A470,B$7),IF(AND(COUNT(A462:A473)=10,COUNT(F462:F473)=10),cubic_spline(F461:F471,A461:A471,B$7),IF(AND(COUNT(A462:A473)=11,COUNT(F462:F473)=11),cubic_spline(F461:F472,A461:A472,B$7),IF(AND(COUNT(A462:A473)=12,COUNT(F462:F473)=12),cubic_spline(F461:F473,A461:A473,B$7),""))))))))))))</f>
        <v/>
      </c>
      <c r="L465" s="27" t="str">
        <f>IF(I465="","",B$6&amp;"-"&amp;B$7)</f>
        <v/>
      </c>
      <c r="M465" s="52" t="str">
        <f>IF(N(J465)=0,"",J465-J464)</f>
        <v/>
      </c>
    </row>
    <row r="466" spans="1:13" x14ac:dyDescent="0.35">
      <c r="A466" s="48"/>
      <c r="B466" s="48"/>
      <c r="C466" s="49"/>
      <c r="D466" s="50"/>
      <c r="E466" s="51" t="str">
        <f t="shared" ref="E466:E473" si="174">IF(N(C466)=0,"",C466/PI()/($D$1/2)^2/$D$2*10000)</f>
        <v/>
      </c>
      <c r="F466" s="71" t="str">
        <f t="shared" si="171"/>
        <v/>
      </c>
      <c r="G466" s="69" t="str">
        <f t="shared" si="173"/>
        <v/>
      </c>
      <c r="H466" s="70" t="str">
        <f t="shared" si="172"/>
        <v/>
      </c>
      <c r="I466" s="27" t="str">
        <f>IF(N(J466)=0,"",0&amp;"-"&amp;B$8)</f>
        <v/>
      </c>
      <c r="J466" s="52" t="str">
        <f>IF(N(B$8)=0,"",IF(AND(COUNT(H462:H473)=2,COUNT(F462:F473)=2),cubic_spline(F461:F463,H461:H463,B$8),IF(AND(COUNT(H462:H473)=3,COUNT(F462:F473)=3),cubic_spline(F461:F464,H461:H464,B$8),IF(AND(COUNT(H462:H473)=4,COUNT(F462:F473)=4),cubic_spline(F461:F465,H461:H465,B$8),IF(AND(COUNT(H462:H473)=5,COUNT(F462:F473)=5),cubic_spline(F461:F466,H461:H466,B$8),IF(AND(COUNT(H462:H473)=6,COUNT(F462:F473)=6),cubic_spline(F461:F467,H461:H467,B$8),IF(AND(COUNT(H462:H473)=7,COUNT(F462:F473)=7),cubic_spline(F461:F468,H461:H468,B$8),IF(AND(COUNT(H462:H473)=8,COUNT(F462:F473)=8),cubic_spline(F461:F469,H461:H469,B$8),IF(AND(COUNT(H462:H473)=9,COUNT(F462:F473)=9),cubic_spline(F461:F470,H461:H470,B$8),IF(AND(COUNT(H462:H473)=10,COUNT(F462:F473)=10),cubic_spline(F461:F471,H461:H471,B$8),IF(AND(COUNT(H462:H473)=11,COUNT(F462:F473)=11),cubic_spline(F461:F472,H461:H472,B$8),IF(AND(COUNT(H462:H473)=12,COUNT(F462:F473)=12),cubic_spline(F461:F473,H461:H473,B$8),""))))))))))))</f>
        <v/>
      </c>
      <c r="K466" s="52" t="str">
        <f>IF(N(B$8)=0,"",IF(AND(COUNT(A462:A473)=2,COUNT(F462:F473)=2),cubic_spline(F461:F463,A461:A463,B$8),IF(AND(COUNT(A462:A473)=3,COUNT(F462:F473)=3),cubic_spline(F461:F464,A461:A464,B$8),IF(AND(COUNT(A462:A473)=4,COUNT(F462:F473)=4),cubic_spline(F461:F465,A461:A465,B$8),IF(AND(COUNT(A462:A473)=5,COUNT(F462:F473)=5),cubic_spline(F461:F466,A461:A466,B$8),IF(AND(COUNT(A462:A473)=6,COUNT(F462:F473)=6),cubic_spline(F461:F467,A461:A467,B$8),IF(AND(COUNT(A462:A473)=7,COUNT(F462:F473)=7),cubic_spline(F461:F468,A461:A468,B$8),IF(AND(COUNT(A462:A473)=8,COUNT(F462:F473)=8),cubic_spline(F461:F469,A461:A469,B$8),IF(AND(COUNT(A462:A473)=9,COUNT(F462:F473)=9),cubic_spline(F461:F470,A461:A470,B$8),IF(AND(COUNT(A462:A473)=10,COUNT(F462:F473)=10),cubic_spline(F461:F471,A461:A471,B$8),IF(AND(COUNT(A462:A473)=11,COUNT(F462:F473)=11),cubic_spline(F461:F472,A461:A472,B$8),IF(AND(COUNT(A462:A473)=12,COUNT(F462:F473)=12),cubic_spline(F461:F473,A461:A473,B$8),""))))))))))))</f>
        <v/>
      </c>
      <c r="L466" s="27" t="str">
        <f>IF(I466="","",B$7&amp;"-"&amp;B$8)</f>
        <v/>
      </c>
      <c r="M466" s="52" t="str">
        <f>IF(N(J466)=0,"",J466-J465)</f>
        <v/>
      </c>
    </row>
    <row r="467" spans="1:13" x14ac:dyDescent="0.35">
      <c r="A467" s="48"/>
      <c r="B467" s="48"/>
      <c r="C467" s="49"/>
      <c r="D467" s="50"/>
      <c r="E467" s="51" t="str">
        <f t="shared" si="174"/>
        <v/>
      </c>
      <c r="F467" s="71" t="str">
        <f t="shared" si="171"/>
        <v/>
      </c>
      <c r="G467" s="69" t="str">
        <f t="shared" si="173"/>
        <v/>
      </c>
      <c r="H467" s="70" t="str">
        <f t="shared" si="172"/>
        <v/>
      </c>
      <c r="I467" s="27" t="str">
        <f>IF(N(J467)=0,"",0&amp;"-"&amp;B$9)</f>
        <v/>
      </c>
      <c r="J467" s="52" t="str">
        <f>IF(N(B$9)=0,"",IF(AND(COUNT(H462:H473)=2,COUNT(F462:F473)=2),cubic_spline(F461:F463,H461:H463,B$9),IF(AND(COUNT(H462:H473)=3,COUNT(F462:F473)=3),cubic_spline(F461:F464,H461:H464,B$9),IF(AND(COUNT(H462:H473)=4,COUNT(F462:F473)=4),cubic_spline(F461:F465,H461:H465,B$9),IF(AND(COUNT(H462:H473)=5,COUNT(F462:F473)=5),cubic_spline(F461:F466,H461:H466,B$9),IF(AND(COUNT(H462:H473)=6,COUNT(F462:F473)=6),cubic_spline(F461:F467,H461:H467,B$9),IF(AND(COUNT(H462:H473)=7,COUNT(F462:F473)=7),cubic_spline(F461:F468,H461:H468,B$9),IF(AND(COUNT(H462:H473)=8,COUNT(F462:F473)=8),cubic_spline(F461:F469,H461:H469,B$9),IF(AND(COUNT(H462:H473)=9,COUNT(F462:F473)=9),cubic_spline(F461:F470,H461:H470,B$9),IF(AND(COUNT(H462:H473)=10,COUNT(F462:F473)=10),cubic_spline(F461:F471,H461:H471,B$9),IF(AND(COUNT(H462:H473)=11,COUNT(F462:F473)=11),cubic_spline(F461:F472,H461:H472,B$9),IF(AND(COUNT(H462:H473)=12,COUNT(F462:F473)=12),cubic_spline(F461:F473,H461:H473,B$9),""))))))))))))</f>
        <v/>
      </c>
      <c r="K467" s="52" t="str">
        <f>IF(N(B$9)=0,"",IF(AND(COUNT(A462:A473)=2,COUNT(F462:F473)=2),cubic_spline(F461:F463,A461:A463,B$9),IF(AND(COUNT(A462:A473)=3,COUNT(F462:F473)=3),cubic_spline(F461:F464,A461:A464,B$9),IF(AND(COUNT(A462:A473)=4,COUNT(F462:F473)=4),cubic_spline(F461:F465,A461:A465,B$9),IF(AND(COUNT(A462:A473)=5,COUNT(F462:F473)=5),cubic_spline(F461:F466,A461:A466,B$9),IF(AND(COUNT(A462:A473)=6,COUNT(F462:F473)=6),cubic_spline(F461:F467,A461:A467,B$9),IF(AND(COUNT(A462:A473)=7,COUNT(F462:F473)=7),cubic_spline(F461:F468,A461:A468,B$9),IF(AND(COUNT(A462:A473)=8,COUNT(F462:F473)=8),cubic_spline(F461:F469,A461:A469,B$9),IF(AND(COUNT(A462:A473)=9,COUNT(F462:F473)=9),cubic_spline(F461:F470,A461:A470,B$9),IF(AND(COUNT(A462:A473)=10,COUNT(F462:F473)=10),cubic_spline(F461:F471,A461:A471,B$9),IF(AND(COUNT(A462:A473)=11,COUNT(F462:F473)=11),cubic_spline(F461:F472,A461:A472,B$9),IF(AND(COUNT(A462:A473)=12,COUNT(F462:F473)=12),cubic_spline(F461:F473,A461:A473,B$9),""))))))))))))</f>
        <v/>
      </c>
      <c r="L467" s="27" t="str">
        <f>IF(I467="","",B$8&amp;"-"&amp;B$9)</f>
        <v/>
      </c>
      <c r="M467" s="52" t="str">
        <f t="shared" ref="M467:M473" si="175">IF(N(J467)=0,"",J467-J466)</f>
        <v/>
      </c>
    </row>
    <row r="468" spans="1:13" x14ac:dyDescent="0.35">
      <c r="A468" s="48"/>
      <c r="B468" s="48"/>
      <c r="C468" s="49"/>
      <c r="D468" s="50"/>
      <c r="E468" s="51" t="str">
        <f t="shared" si="174"/>
        <v/>
      </c>
      <c r="F468" s="71" t="str">
        <f t="shared" si="171"/>
        <v/>
      </c>
      <c r="G468" s="69" t="str">
        <f t="shared" si="173"/>
        <v/>
      </c>
      <c r="H468" s="70" t="str">
        <f t="shared" si="172"/>
        <v/>
      </c>
      <c r="I468" s="27" t="str">
        <f>IF(N(J468)=0,"",0&amp;"-"&amp;B$10)</f>
        <v/>
      </c>
      <c r="J468" s="52" t="str">
        <f>IF(N(B$10)=0,"",IF(AND(COUNT(H462:H473)=2,COUNT(F462:F473)=2),cubic_spline(F461:F463,H461:H463,B$10),IF(AND(COUNT(H462:H473)=3,COUNT(F462:F473)=3),cubic_spline(F461:F464,H461:H464,B$10),IF(AND(COUNT(H462:H473)=4,COUNT(F462:F473)=4),cubic_spline(F461:F465,H461:H465,B$10),IF(AND(COUNT(H462:H473)=5,COUNT(F462:F473)=5),cubic_spline(F461:F466,H461:H466,B$10),IF(AND(COUNT(H462:H473)=6,COUNT(F462:F473)=6),cubic_spline(F461:F467,H461:H467,B$10),IF(AND(COUNT(H462:H473)=7,COUNT(F462:F473)=7),cubic_spline(F461:F468,H461:H468,B$10),IF(AND(COUNT(H462:H473)=8,COUNT(F462:F473)=8),cubic_spline(F461:F469,H461:H469,B$10),IF(AND(COUNT(H462:H473)=9,COUNT(F462:F473)=9),cubic_spline(F461:F470,H461:H470,B$10),IF(AND(COUNT(H462:H473)=10,COUNT(F462:F473)=10),cubic_spline(F461:F471,H461:H471,B$10),IF(AND(COUNT(H462:H473)=11,COUNT(F462:F473)=11),cubic_spline(F461:F472,H461:H472,B$10),IF(AND(COUNT(H462:H473)=12,COUNT(F462:F473)=12),cubic_spline(F461:F473,H461:H473,B$10),""))))))))))))</f>
        <v/>
      </c>
      <c r="K468" s="52" t="str">
        <f>IF(N(B$10)=0,"",IF(AND(COUNT(A462:A473)=2,COUNT(F462:F473)=2),cubic_spline(F461:F463,A461:A463,B$10),IF(AND(COUNT(A462:A473)=3,COUNT(F462:F473)=3),cubic_spline(F461:F464,A461:A464,B$10),IF(AND(COUNT(A462:A473)=4,COUNT(F462:F473)=4),cubic_spline(F461:F465,A461:A465,B$10),IF(AND(COUNT(A462:A473)=5,COUNT(F462:F473)=5),cubic_spline(F461:F466,A461:A466,B$10),IF(AND(COUNT(A462:A473)=6,COUNT(F462:F473)=6),cubic_spline(F461:F467,A461:A467,B$10),IF(AND(COUNT(A462:A473)=7,COUNT(F462:F473)=7),cubic_spline(F461:F468,A461:A468,B$10),IF(AND(COUNT(A462:A473)=8,COUNT(F462:F473)=8),cubic_spline(F461:F469,A461:A469,B$10),IF(AND(COUNT(A462:A473)=9,COUNT(F462:F473)=9),cubic_spline(F461:F470,A461:A470,B$10),IF(AND(COUNT(A462:A473)=10,COUNT(F462:F473)=10),cubic_spline(F461:F471,A461:A471,B$10),IF(AND(COUNT(A462:A473)=11,COUNT(F462:F473)=11),cubic_spline(F461:F472,A461:A472,B$10),IF(AND(COUNT(A462:A473)=12,COUNT(F462:F473)=12),cubic_spline(F461:F473,A461:A473,B$10),""))))))))))))</f>
        <v/>
      </c>
      <c r="L468" s="27" t="str">
        <f>IF(I468="","",B$9&amp;"-"&amp;B$10)</f>
        <v/>
      </c>
      <c r="M468" s="52" t="str">
        <f t="shared" si="175"/>
        <v/>
      </c>
    </row>
    <row r="469" spans="1:13" x14ac:dyDescent="0.35">
      <c r="A469" s="48"/>
      <c r="B469" s="48"/>
      <c r="C469" s="49"/>
      <c r="D469" s="50"/>
      <c r="E469" s="51" t="str">
        <f t="shared" si="174"/>
        <v/>
      </c>
      <c r="F469" s="71" t="str">
        <f t="shared" si="171"/>
        <v/>
      </c>
      <c r="G469" s="69" t="str">
        <f t="shared" si="173"/>
        <v/>
      </c>
      <c r="H469" s="70" t="str">
        <f t="shared" si="172"/>
        <v/>
      </c>
      <c r="I469" s="27" t="str">
        <f>IF(N(J469)=0,"",0&amp;"-"&amp;B$11)</f>
        <v/>
      </c>
      <c r="J469" s="52" t="str">
        <f>IF(N(B$11)=0,"",IF(AND(COUNT(H462:H473)=2,COUNT(F462:F473)=2),cubic_spline(F461:F463,H461:H463,B$11),IF(AND(COUNT(H462:H473)=3,COUNT(F462:F473)=3),cubic_spline(F461:F464,H461:H464,B$11),IF(AND(COUNT(H462:H473)=4,COUNT(F462:F473)=4),cubic_spline(F461:F465,H461:H465,B$11),IF(AND(COUNT(H462:H473)=5,COUNT(F462:F473)=5),cubic_spline(F461:F466,H461:H466,B$11),IF(AND(COUNT(H462:H473)=6,COUNT(F462:F473)=6),cubic_spline(F461:F467,H461:H467,B$11),IF(AND(COUNT(H462:H473)=7,COUNT(F462:F473)=7),cubic_spline(F461:F468,H461:H468,B$11),IF(AND(COUNT(H462:H473)=8,COUNT(F462:F473)=8),cubic_spline(F461:F469,H461:H469,B$11),IF(AND(COUNT(H462:H473)=9,COUNT(F462:F473)=9),cubic_spline(F461:F470,H461:H470,B$11),IF(AND(COUNT(H462:H473)=10,COUNT(F462:F473)=10),cubic_spline(F461:F471,H461:H471,B$11),IF(AND(COUNT(H462:H473)=11,COUNT(F462:F473)=11),cubic_spline(F461:F472,H461:H472,B$11),IF(AND(COUNT(H462:H473)=12,COUNT(F462:F473)=12),cubic_spline(F461:F473,H461:H473,B$11),""))))))))))))</f>
        <v/>
      </c>
      <c r="K469" s="52" t="str">
        <f>IF(N(B$11)=0,"",IF(AND(COUNT(A462:A473)=2,COUNT(F462:F473)=2),cubic_spline(F461:F463,A461:A463,B$11),IF(AND(COUNT(A462:A473)=3,COUNT(F462:F473)=3),cubic_spline(F461:F464,A461:A464,B$11),IF(AND(COUNT(A462:A473)=4,COUNT(F462:F473)=4),cubic_spline(F461:F465,A461:A465,B$11),IF(AND(COUNT(A462:A473)=5,COUNT(F462:F473)=5),cubic_spline(F461:F466,A461:A466,B$11),IF(AND(COUNT(A462:A473)=6,COUNT(F462:F473)=6),cubic_spline(F461:F467,A461:A467,B$11),IF(AND(COUNT(A462:A473)=7,COUNT(F462:F473)=7),cubic_spline(F461:F468,A461:A468,B$11),IF(AND(COUNT(A462:A473)=8,COUNT(F462:F473)=8),cubic_spline(F461:F469,A461:A469,B$11),IF(AND(COUNT(A462:A473)=9,COUNT(F462:F473)=9),cubic_spline(F461:F470,A461:A470,B$11),IF(AND(COUNT(A462:A473)=10,COUNT(F462:F473)=10),cubic_spline(F461:F471,A461:A471,B$11),IF(AND(COUNT(A462:A473)=11,COUNT(F462:F473)=11),cubic_spline(F461:F472,A461:A472,B$11),IF(AND(COUNT(A462:A473)=12,COUNT(F462:F473)=12),cubic_spline(F461:F473,A461:A473,B$11),""))))))))))))</f>
        <v/>
      </c>
      <c r="L469" s="27" t="str">
        <f>IF(I469="","",B$10&amp;"-"&amp;B$11)</f>
        <v/>
      </c>
      <c r="M469" s="52" t="str">
        <f t="shared" si="175"/>
        <v/>
      </c>
    </row>
    <row r="470" spans="1:13" x14ac:dyDescent="0.35">
      <c r="A470" s="48"/>
      <c r="B470" s="48"/>
      <c r="C470" s="49"/>
      <c r="D470" s="50"/>
      <c r="E470" s="51" t="str">
        <f t="shared" si="174"/>
        <v/>
      </c>
      <c r="F470" s="71" t="str">
        <f t="shared" si="171"/>
        <v/>
      </c>
      <c r="G470" s="69" t="str">
        <f t="shared" si="173"/>
        <v/>
      </c>
      <c r="H470" s="70" t="str">
        <f t="shared" si="172"/>
        <v/>
      </c>
      <c r="I470" s="27" t="str">
        <f>IF(N(J470)=0,"",0&amp;"-"&amp;B$12)</f>
        <v/>
      </c>
      <c r="J470" s="52" t="str">
        <f>IF(N(B$12)=0,"",IF(AND(COUNT(H462:H473)=2,COUNT(F462:F473)=2),cubic_spline(F461:F463,H461:H463,B$12),IF(AND(COUNT(H462:H473)=3,COUNT(F462:F473)=3),cubic_spline(F461:F464,H461:H464,B$12),IF(AND(COUNT(H462:H473)=4,COUNT(F462:F473)=4),cubic_spline(F461:F465,H461:H465,B$12),IF(AND(COUNT(H462:H473)=5,COUNT(F462:F473)=5),cubic_spline(F461:F466,H461:H466,B$12),IF(AND(COUNT(H462:H473)=6,COUNT(F462:F473)=6),cubic_spline(F461:F467,H461:H467,B$12),IF(AND(COUNT(H462:H473)=7,COUNT(F462:F473)=7),cubic_spline(F461:F468,H461:H468,B$12),IF(AND(COUNT(H462:H473)=8,COUNT(F462:F473)=8),cubic_spline(F461:F469,H461:H469,B$12),IF(AND(COUNT(H462:H473)=9,COUNT(F462:F473)=9),cubic_spline(F461:F470,H461:H470,B$12),IF(AND(COUNT(H462:H473)=10,COUNT(F462:F473)=10),cubic_spline(F461:F471,H461:H471,B$12),IF(AND(COUNT(H462:H473)=11,COUNT(F462:F473)=11),cubic_spline(F461:F472,H461:H472,B$12),IF(AND(COUNT(H462:H473)=12,COUNT(F462:F473)=12),cubic_spline(F461:F473,H461:H473,B$12),""))))))))))))</f>
        <v/>
      </c>
      <c r="K470" s="52" t="str">
        <f>IF(N(B$12)=0,"",IF(AND(COUNT(A462:A473)=2,COUNT(F462:F473)=2),cubic_spline(F461:F463,A461:A463,B$12),IF(AND(COUNT(A462:A473)=3,COUNT(F462:F473)=3),cubic_spline(F461:F464,A461:A464,B$12),IF(AND(COUNT(A462:A473)=4,COUNT(F462:F473)=4),cubic_spline(F461:F465,A461:A465,B$12),IF(AND(COUNT(A462:A473)=5,COUNT(F462:F473)=5),cubic_spline(F461:F466,A461:A466,B$12),IF(AND(COUNT(A462:A473)=6,COUNT(F462:F473)=6),cubic_spline(F461:F467,A461:A467,B$12),IF(AND(COUNT(A462:A473)=7,COUNT(F462:F473)=7),cubic_spline(F461:F468,A461:A468,B$12),IF(AND(COUNT(A462:A473)=8,COUNT(F462:F473)=8),cubic_spline(F461:F469,A461:A469,B$12),IF(AND(COUNT(A462:A473)=9,COUNT(F462:F473)=9),cubic_spline(F461:F470,A461:A470,B$12),IF(AND(COUNT(A462:A473)=10,COUNT(F462:F473)=10),cubic_spline(F461:F471,A461:A471,B$12),IF(AND(COUNT(A462:A473)=11,COUNT(F462:F473)=11),cubic_spline(F461:F472,A461:A472,B$12),IF(AND(COUNT(A462:A473)=12,COUNT(F462:F473)=12),cubic_spline(F461:F473,A461:A473,B$12),""))))))))))))</f>
        <v/>
      </c>
      <c r="L470" s="27" t="str">
        <f>IF(I470="","",B$11&amp;"-"&amp;B$12)</f>
        <v/>
      </c>
      <c r="M470" s="52" t="str">
        <f t="shared" si="175"/>
        <v/>
      </c>
    </row>
    <row r="471" spans="1:13" x14ac:dyDescent="0.35">
      <c r="A471" s="48"/>
      <c r="B471" s="48"/>
      <c r="C471" s="49"/>
      <c r="D471" s="50"/>
      <c r="E471" s="51" t="str">
        <f t="shared" si="174"/>
        <v/>
      </c>
      <c r="F471" s="71" t="str">
        <f t="shared" si="171"/>
        <v/>
      </c>
      <c r="G471" s="69" t="str">
        <f t="shared" si="173"/>
        <v/>
      </c>
      <c r="H471" s="70" t="str">
        <f t="shared" si="172"/>
        <v/>
      </c>
      <c r="I471" s="27" t="str">
        <f>IF(N(J471)=0,"",0&amp;"-"&amp;B$13)</f>
        <v/>
      </c>
      <c r="J471" s="52" t="str">
        <f>IF(N(B$13)=0,"",IF(AND(COUNT(H462:H473)=2,COUNT(F462:F473)=2),cubic_spline(F461:F463,H461:H463,B$13),IF(AND(COUNT(H462:H473)=3,COUNT(F462:F473)=3),cubic_spline(F461:F464,H461:H464,B$13),IF(AND(COUNT(H462:H473)=4,COUNT(F462:F473)=4),cubic_spline(F461:F465,H461:H465,B$13),IF(AND(COUNT(H462:H473)=5,COUNT(F462:F473)=5),cubic_spline(F461:F466,H461:H466,B$13),IF(AND(COUNT(H462:H473)=6,COUNT(F462:F473)=6),cubic_spline(F461:F467,H461:H467,B$13),IF(AND(COUNT(H462:H473)=7,COUNT(F462:F473)=7),cubic_spline(F461:F468,H461:H468,B$13),IF(AND(COUNT(H462:H473)=8,COUNT(F462:F473)=8),cubic_spline(F461:F469,H461:H469,B$13),IF(AND(COUNT(H462:H473)=9,COUNT(F462:F473)=9),cubic_spline(F461:F470,H461:H470,B$13),IF(AND(COUNT(H462:H473)=10,COUNT(F462:F473)=10),cubic_spline(F461:F471,H461:H471,B$13),IF(AND(COUNT(H462:H473)=11,COUNT(F462:F473)=11),cubic_spline(F461:F472,H461:H472,B$13),IF(AND(COUNT(H462:H473)=12,COUNT(F462:F473)=12),cubic_spline(F461:F473,H461:H473,B$13),""))))))))))))</f>
        <v/>
      </c>
      <c r="K471" s="52" t="str">
        <f>IF(N(B$13)=0,"",IF(AND(COUNT(A462:A473)=2,COUNT(F462:F473)=2),cubic_spline(F461:F463,A461:A463,B$13),IF(AND(COUNT(A462:A473)=3,COUNT(F462:F473)=3),cubic_spline(F461:F464,A461:A464,B$13),IF(AND(COUNT(A462:A473)=4,COUNT(F462:F473)=4),cubic_spline(F461:F465,A461:A465,B$13),IF(AND(COUNT(A462:A473)=5,COUNT(F462:F473)=5),cubic_spline(F461:F466,A461:A466,B$13),IF(AND(COUNT(A462:A473)=6,COUNT(F462:F473)=6),cubic_spline(F461:F467,A461:A467,B$13),IF(AND(COUNT(A462:A473)=7,COUNT(F462:F473)=7),cubic_spline(F461:F468,A461:A468,B$13),IF(AND(COUNT(A462:A473)=8,COUNT(F462:F473)=8),cubic_spline(F461:F469,A461:A469,B$13),IF(AND(COUNT(A462:A473)=9,COUNT(F462:F473)=9),cubic_spline(F461:F470,A461:A470,B$13),IF(AND(COUNT(A462:A473)=10,COUNT(F462:F473)=10),cubic_spline(F461:F471,A461:A471,B$13),IF(AND(COUNT(A462:A473)=11,COUNT(F462:F473)=11),cubic_spline(F461:F472,A461:A472,B$13),IF(AND(COUNT(A462:A473)=12,COUNT(F462:F473)=12),cubic_spline(F461:F473,A461:A473,B$13),""))))))))))))</f>
        <v/>
      </c>
      <c r="L471" s="27" t="str">
        <f>IF(I471="","",B$12&amp;"-"&amp;B$13)</f>
        <v/>
      </c>
      <c r="M471" s="52" t="str">
        <f t="shared" si="175"/>
        <v/>
      </c>
    </row>
    <row r="472" spans="1:13" x14ac:dyDescent="0.35">
      <c r="A472" s="48"/>
      <c r="B472" s="48"/>
      <c r="C472" s="49"/>
      <c r="D472" s="50"/>
      <c r="E472" s="51" t="str">
        <f t="shared" si="174"/>
        <v/>
      </c>
      <c r="F472" s="71" t="str">
        <f t="shared" si="171"/>
        <v/>
      </c>
      <c r="G472" s="69" t="str">
        <f t="shared" si="173"/>
        <v/>
      </c>
      <c r="H472" s="70" t="str">
        <f t="shared" si="172"/>
        <v/>
      </c>
      <c r="I472" s="27" t="str">
        <f>IF(N(J472)=0,"",0&amp;"-"&amp;B$14)</f>
        <v/>
      </c>
      <c r="J472" s="52" t="str">
        <f>IF(N(B$14)=0,"",IF(AND(COUNT(H462:H473)=2,COUNT(F462:F473)=2),cubic_spline(F461:F463,H461:H463,B$14),IF(AND(COUNT(H462:H473)=3,COUNT(F462:F473)=3),cubic_spline(F461:F464,H461:H464,B$14),IF(AND(COUNT(H462:H473)=4,COUNT(F462:F473)=4),cubic_spline(F461:F465,H461:H465,B$14),IF(AND(COUNT(H462:H473)=5,COUNT(F462:F473)=5),cubic_spline(F461:F466,H461:H466,B$14),IF(AND(COUNT(H462:H473)=6,COUNT(F462:F473)=6),cubic_spline(F461:F467,H461:H467,B$14),IF(AND(COUNT(H462:H473)=7,COUNT(F462:F473)=7),cubic_spline(F461:F468,H461:H468,B$14),IF(AND(COUNT(H462:H473)=8,COUNT(F462:F473)=8),cubic_spline(F461:F469,H461:H469,B$14),IF(AND(COUNT(H462:H473)=9,COUNT(F462:F473)=9),cubic_spline(F461:F470,H461:H470,B$14),IF(AND(COUNT(H462:H473)=10,COUNT(F462:F473)=10),cubic_spline(F461:F471,H461:H471,B$14),IF(AND(COUNT(H462:H473)=11,COUNT(F462:F473)=11),cubic_spline(F461:F472,H461:H472,B$14),IF(AND(COUNT(H462:H473)=12,COUNT(F462:F473)=12),cubic_spline(F461:F473,H461:H473,B$14),""))))))))))))</f>
        <v/>
      </c>
      <c r="K472" s="52" t="str">
        <f>IF(N(B$14)=0,"",IF(AND(COUNT(A462:A473)=2,COUNT(F462:F473)=2),cubic_spline(F461:F463,A461:A463,B$14),IF(AND(COUNT(A462:A473)=3,COUNT(F462:F473)=3),cubic_spline(F461:F464,A461:A464,B$14),IF(AND(COUNT(A462:A473)=4,COUNT(F462:F473)=4),cubic_spline(F461:F465,A461:A465,B$14),IF(AND(COUNT(A462:A473)=5,COUNT(F462:F473)=5),cubic_spline(F461:F466,A461:A466,B$14),IF(AND(COUNT(A462:A473)=6,COUNT(F462:F473)=6),cubic_spline(F461:F467,A461:A467,B$14),IF(AND(COUNT(A462:A473)=7,COUNT(F462:F473)=7),cubic_spline(F461:F468,A461:A468,B$14),IF(AND(COUNT(A462:A473)=8,COUNT(F462:F473)=8),cubic_spline(F461:F469,A461:A469,B$14),IF(AND(COUNT(A462:A473)=9,COUNT(F462:F473)=9),cubic_spline(F461:F470,A461:A470,B$14),IF(AND(COUNT(A462:A473)=10,COUNT(F462:F473)=10),cubic_spline(F461:F471,A461:A471,B$14),IF(AND(COUNT(A462:A473)=11,COUNT(F462:F473)=11),cubic_spline(F461:F472,A461:A472,B$14),IF(AND(COUNT(A462:A473)=12,COUNT(F462:F473)=12),cubic_spline(F461:F473,A461:A473,B$14),""))))))))))))</f>
        <v/>
      </c>
      <c r="L472" s="27" t="str">
        <f>IF(I472="","",B$13&amp;"-"&amp;B$14)</f>
        <v/>
      </c>
      <c r="M472" s="52" t="str">
        <f t="shared" si="175"/>
        <v/>
      </c>
    </row>
    <row r="473" spans="1:13" x14ac:dyDescent="0.35">
      <c r="A473" s="48"/>
      <c r="B473" s="48"/>
      <c r="C473" s="49"/>
      <c r="D473" s="50"/>
      <c r="E473" s="51" t="str">
        <f t="shared" si="174"/>
        <v/>
      </c>
      <c r="F473" s="71" t="str">
        <f t="shared" si="171"/>
        <v/>
      </c>
      <c r="G473" s="69" t="str">
        <f t="shared" si="173"/>
        <v/>
      </c>
      <c r="H473" s="70" t="str">
        <f t="shared" si="172"/>
        <v/>
      </c>
      <c r="I473" s="27" t="str">
        <f>IF(N(J473)=0,"",0&amp;"-"&amp;B$15)</f>
        <v/>
      </c>
      <c r="J473" s="52" t="str">
        <f>IF(N(B$15)=0,"",IF(AND(COUNT(H462:H473)=2,COUNT(F462:F473)=2),cubic_spline(F461:F463,H461:H463,B$15),IF(AND(COUNT(H462:H473)=3,COUNT(F462:F473)=3),cubic_spline(F461:F464,H461:H464,B$15),IF(AND(COUNT(H462:H473)=4,COUNT(F462:F473)=4),cubic_spline(F461:F465,H461:H465,B$15),IF(AND(COUNT(H462:H473)=5,COUNT(F462:F473)=5),cubic_spline(F461:F466,H461:H466,B$15),IF(AND(COUNT(H462:H473)=6,COUNT(F462:F473)=6),cubic_spline(F461:F467,H461:H467,B$15),IF(AND(COUNT(H462:H473)=7,COUNT(F462:F473)=7),cubic_spline(F461:F468,H461:H468,B$15),IF(AND(COUNT(H462:H473)=8,COUNT(F462:F473)=8),cubic_spline(F461:F469,H461:H469,B$15),IF(AND(COUNT(H462:H473)=9,COUNT(F462:F473)=9),cubic_spline(F461:F470,H461:H470,B$15),IF(AND(COUNT(H462:H473)=10,COUNT(F462:F473)=10),cubic_spline(F461:F471,H461:H471,B$15),IF(AND(COUNT(H462:H473)=11,COUNT(F462:F473)=11),cubic_spline(F461:F472,H461:H472,B$15),IF(AND(COUNT(H462:H473)=12,COUNT(F462:F473)=12),cubic_spline(F461:F473,H461:H473,B$15),""))))))))))))</f>
        <v/>
      </c>
      <c r="K473" s="52" t="str">
        <f>IF(N(B$15)=0,"",IF(AND(COUNT(A462:A473)=2,COUNT(F462:F473)=2),cubic_spline(F461:F463,A461:A463,B$15),IF(AND(COUNT(A462:A473)=3,COUNT(F462:F473)=3),cubic_spline(F461:F464,A461:A464,B$15),IF(AND(COUNT(A462:A473)=4,COUNT(F462:F473)=4),cubic_spline(F461:F465,A461:A465,B$15),IF(AND(COUNT(A462:A473)=5,COUNT(F462:F473)=5),cubic_spline(F461:F466,A461:A466,B$15),IF(AND(COUNT(A462:A473)=6,COUNT(F462:F473)=6),cubic_spline(F461:F467,A461:A467,B$15),IF(AND(COUNT(A462:A473)=7,COUNT(F462:F473)=7),cubic_spline(F461:F468,A461:A468,B$15),IF(AND(COUNT(A462:A473)=8,COUNT(F462:F473)=8),cubic_spline(F461:F469,A461:A469,B$15),IF(AND(COUNT(A462:A473)=9,COUNT(F462:F473)=9),cubic_spline(F461:F470,A461:A470,B$15),IF(AND(COUNT(A462:A473)=10,COUNT(F462:F473)=10),cubic_spline(F461:F471,A461:A471,B$15),IF(AND(COUNT(A462:A473)=11,COUNT(F462:F473)=11),cubic_spline(F461:F472,A461:A472,B$15),IF(AND(COUNT(A462:A473)=12,COUNT(F462:F473)=12),cubic_spline(F461:F473,A461:A473,B$15),""))))))))))))</f>
        <v/>
      </c>
      <c r="L473" s="27" t="str">
        <f>IF(I473="","",B$14&amp;"-"&amp;B$15)</f>
        <v/>
      </c>
      <c r="M473" s="52" t="str">
        <f t="shared" si="175"/>
        <v/>
      </c>
    </row>
    <row r="474" spans="1:13" ht="5.15" customHeight="1" x14ac:dyDescent="0.35">
      <c r="A474" s="47"/>
      <c r="B474" s="47"/>
      <c r="C474" s="47"/>
      <c r="D474" s="53"/>
      <c r="E474" s="54"/>
      <c r="F474" s="55"/>
      <c r="G474" s="72"/>
      <c r="H474" s="73"/>
      <c r="I474" s="47"/>
      <c r="J474" s="57"/>
      <c r="K474" s="57"/>
      <c r="L474" s="55"/>
      <c r="M474" s="57"/>
    </row>
    <row r="475" spans="1:13" x14ac:dyDescent="0.35">
      <c r="A475" s="48"/>
      <c r="B475" s="48"/>
      <c r="C475" s="49"/>
      <c r="D475" s="50"/>
      <c r="E475" s="51" t="str">
        <f>IF(N(C475)=0,"",C475/PI()/($D$1/2)^2/$D$2*10000)</f>
        <v/>
      </c>
      <c r="F475" s="68" t="str">
        <f t="shared" ref="F475:F486" si="176">IF(N(E475)=0,"",(N(E475)+N(F474)))</f>
        <v/>
      </c>
      <c r="G475" s="69" t="str">
        <f>IF(OR(N(D475)=0,N(E475)=0),"",(E475*D475)/1000)</f>
        <v/>
      </c>
      <c r="H475" s="70" t="str">
        <f t="shared" ref="H475:H486" si="177">IF(N(G475)=0,"",(N(G475)+N(H474)))</f>
        <v/>
      </c>
      <c r="I475" s="27" t="str">
        <f>IF(N(J475)=0,"",0&amp;"-"&amp;B$4)</f>
        <v/>
      </c>
      <c r="J475" s="52" t="str">
        <f>IF(N(B$4)=0,"",IF(AND(COUNT(H475:H486)=2,COUNT(F475:F486)=2),cubic_spline(F474:F476,H474:H476,B$4),IF(AND(COUNT(H475:H486)=3,COUNT(F475:F486)=3),cubic_spline(F474:F477,H474:H477,B$4),IF(AND(COUNT(H475:H486)=4,COUNT(F475:F486)=4),cubic_spline(F474:F478,H474:H478,B$4),IF(AND(COUNT(H475:H486)=5,COUNT(F475:F486)=5),cubic_spline(F474:F479,H474:H479,B$4),IF(AND(COUNT(H475:H486)=6,COUNT(F475:F486)=6),cubic_spline(F474:F480,H474:H480,B$4),IF(AND(COUNT(H475:H486)=7,COUNT(F475:F486)=7),cubic_spline(F474:F481,H474:H481,B$4),IF(AND(COUNT(H475:H486)=8,COUNT(F475:F486)=8),cubic_spline(F474:F482,H474:H482,B$4),IF(AND(COUNT(H475:H486)=9,COUNT(F475:F486)=9),cubic_spline(F474:F483,H474:H483,B$4),IF(AND(COUNT(H475:H486)=10,COUNT(F475:F486)=10),cubic_spline(F474:F484,H474:H484,B$4),IF(AND(COUNT(H475:H486)=11,COUNT(F475:F486)=11),cubic_spline(F474:F485,H474:H485,B$4),IF(AND(COUNT(H475:H486)=12,COUNT(F475:F486)=12),cubic_spline(F474:F486,H474:H486,B$4),""))))))))))))</f>
        <v/>
      </c>
      <c r="K475" s="52" t="str">
        <f>IF(N(B$4)=0,"",IF(AND(COUNT(A475:A486)=2,COUNT(F475:F486)=2),cubic_spline(F474:F476,A474:A476,B$4),IF(AND(COUNT(A475:A486)=3,COUNT(F475:F486)=3),cubic_spline(F474:F477,A474:A477,B$4),IF(AND(COUNT(A475:A486)=4,COUNT(F475:F486)=4),cubic_spline(F474:F478,A474:A478,B$4),IF(AND(COUNT(A475:A486)=5,COUNT(F475:F486)=5),cubic_spline(F474:F479,A474:A479,B$4),IF(AND(COUNT(A475:A486)=6,COUNT(F475:F486)=6),cubic_spline(F474:F480,A474:A480,B$4),IF(AND(COUNT(A475:A486)=7,COUNT(F475:F486)=7),cubic_spline(F474:F481,A474:A481,B$4),IF(AND(COUNT(A475:A486)=8,COUNT(F475:F486)=8),cubic_spline(F474:F482,A474:A482,B$4),IF(AND(COUNT(A475:A486)=9,COUNT(F475:F486)=9),cubic_spline(F474:F483,A474:A483,B$4),IF(AND(COUNT(A475:A486)=10,COUNT(F475:F486)=10),cubic_spline(F474:F484,A474:A484,B$4),IF(AND(COUNT(A475:A486)=11,COUNT(F475:F486)=11),cubic_spline(F474:F485,A474:A485,B$4),IF(AND(COUNT(A475:A486)=12,COUNT(F475:F486)=12),cubic_spline(F474:F486,A474:A486,B$4),""))))))))))))</f>
        <v/>
      </c>
      <c r="L475" s="27" t="str">
        <f>IF(I475="","",0&amp;"-"&amp;B$4)</f>
        <v/>
      </c>
      <c r="M475" s="52" t="str">
        <f>IF(N(J475)=0,"",J475-J474)</f>
        <v/>
      </c>
    </row>
    <row r="476" spans="1:13" x14ac:dyDescent="0.35">
      <c r="A476" s="48"/>
      <c r="B476" s="48"/>
      <c r="C476" s="49"/>
      <c r="D476" s="50"/>
      <c r="E476" s="51" t="str">
        <f>IF(N(C476)=0,"",C476/PI()/($D$1/2)^2/$D$2*10000)</f>
        <v/>
      </c>
      <c r="F476" s="68" t="str">
        <f t="shared" si="176"/>
        <v/>
      </c>
      <c r="G476" s="69" t="str">
        <f t="shared" ref="G476:G486" si="178">IF(OR(N(D476)=0,N(E476)=0),"",(E476*D476)/1000)</f>
        <v/>
      </c>
      <c r="H476" s="70" t="str">
        <f t="shared" si="177"/>
        <v/>
      </c>
      <c r="I476" s="27" t="str">
        <f>IF(N(J476)=0,"",0&amp;"-"&amp;B$5)</f>
        <v/>
      </c>
      <c r="J476" s="52" t="str">
        <f>IF(N(B$5)=0,"",IF(AND(COUNT(H475:H486)=2,COUNT(F475:F486)=2),cubic_spline(F474:F476,H474:H476,B$5),IF(AND(COUNT(H475:H486)=3,COUNT(F475:F486)=3),cubic_spline(F474:F477,H474:H477,B$5),IF(AND(COUNT(H475:H486)=4,COUNT(F475:F486)=4),cubic_spline(F474:F478,H474:H478,B$5),IF(AND(COUNT(H475:H486)=5,COUNT(F475:F486)=5),cubic_spline(F474:F479,H474:H479,B$5),IF(AND(COUNT(H475:H486)=6,COUNT(F475:F486)=6),cubic_spline(F474:F480,H474:H480,B$5),IF(AND(COUNT(H475:H486)=7,COUNT(F475:F486)=7),cubic_spline(F474:F481,H474:H481,B$5),IF(AND(COUNT(H475:H486)=8,COUNT(F475:F486)=8),cubic_spline(F474:F482,H474:H482,B$5),IF(AND(COUNT(H475:H486)=9,COUNT(F475:F486)=9),cubic_spline(F474:F483,H474:H483,B$5),IF(AND(COUNT(H475:H486)=10,COUNT(F475:F486)=10),cubic_spline(F474:F484,H474:H484,B$5),IF(AND(COUNT(H475:H486)=11,COUNT(F475:F486)=11),cubic_spline(F474:F485,H474:H485,B$5),IF(AND(COUNT(H475:H486)=12,COUNT(F475:F486)=12),cubic_spline(F474:F486,H474:H486,B$5),""))))))))))))</f>
        <v/>
      </c>
      <c r="K476" s="52" t="str">
        <f>IF(N(B$5)=0,"",IF(AND(COUNT(A475:A486)=2,COUNT(F475:F486)=2),cubic_spline(F474:F476,A474:A476,B$5),IF(AND(COUNT(A475:A486)=3,COUNT(F475:F486)=3),cubic_spline(F474:F477,A474:A477,B$5),IF(AND(COUNT(A475:A486)=4,COUNT(F475:F486)=4),cubic_spline(F474:F478,A474:A478,B$5),IF(AND(COUNT(A475:A486)=5,COUNT(F475:F486)=5),cubic_spline(F474:F479,A474:A479,B$5),IF(AND(COUNT(A475:A486)=6,COUNT(F475:F486)=6),cubic_spline(F474:F480,A474:A480,B$5),IF(AND(COUNT(A475:A486)=7,COUNT(F475:F486)=7),cubic_spline(F474:F481,A474:A481,B$5),IF(AND(COUNT(A475:A486)=8,COUNT(F475:F486)=8),cubic_spline(F474:F482,A474:A482,B$5),IF(AND(COUNT(A475:A486)=9,COUNT(F475:F486)=9),cubic_spline(F474:F483,A474:A483,B$5),IF(AND(COUNT(A475:A486)=10,COUNT(F475:F486)=10),cubic_spline(F474:F484,A474:A484,B$5),IF(AND(COUNT(A475:A486)=11,COUNT(F475:F486)=11),cubic_spline(F474:F485,A474:A485,B$5),IF(AND(COUNT(A475:A486)=12,COUNT(F475:F486)=12),cubic_spline(F474:F486,A474:A486,B$5),""))))))))))))</f>
        <v/>
      </c>
      <c r="L476" s="27" t="str">
        <f>IF(I476="","",B$4&amp;"-"&amp;B$5)</f>
        <v/>
      </c>
      <c r="M476" s="52" t="str">
        <f>IF(N(J476)=0,"",J476-J475)</f>
        <v/>
      </c>
    </row>
    <row r="477" spans="1:13" x14ac:dyDescent="0.35">
      <c r="A477" s="48"/>
      <c r="B477" s="48"/>
      <c r="C477" s="49"/>
      <c r="D477" s="50"/>
      <c r="E477" s="51" t="str">
        <f>IF(N(C477)=0,"",C477/PI()/($D$1/2)^2/$D$2*10000)</f>
        <v/>
      </c>
      <c r="F477" s="68" t="str">
        <f t="shared" si="176"/>
        <v/>
      </c>
      <c r="G477" s="69" t="str">
        <f t="shared" si="178"/>
        <v/>
      </c>
      <c r="H477" s="70" t="str">
        <f t="shared" si="177"/>
        <v/>
      </c>
      <c r="I477" s="27" t="str">
        <f>IF(N(J477)=0,"",0&amp;"-"&amp;B$6)</f>
        <v/>
      </c>
      <c r="J477" s="52" t="str">
        <f>IF(N(B$6)=0,"",IF(AND(COUNT(H475:H486)=2,COUNT(F475:F486)=2),cubic_spline(F474:F476,H474:H476,B$6),IF(AND(COUNT(H475:H486)=3,COUNT(F475:F486)=3),cubic_spline(F474:F477,H474:H477,B$6),IF(AND(COUNT(H475:H486)=4,COUNT(F475:F486)=4),cubic_spline(F474:F478,H474:H478,B$6),IF(AND(COUNT(H475:H486)=5,COUNT(F475:F486)=5),cubic_spline(F474:F479,H474:H479,B$6),IF(AND(COUNT(H475:H486)=6,COUNT(F475:F486)=6),cubic_spline(F474:F480,H474:H480,B$6),IF(AND(COUNT(H475:H486)=7,COUNT(F475:F486)=7),cubic_spline(F474:F481,H474:H481,B$6),IF(AND(COUNT(H475:H486)=8,COUNT(F475:F486)=8),cubic_spline(F474:F482,H474:H482,B$6),IF(AND(COUNT(H475:H486)=9,COUNT(F475:F486)=9),cubic_spline(F474:F483,H474:H483,B$6),IF(AND(COUNT(H475:H486)=10,COUNT(F475:F486)=10),cubic_spline(F474:F484,H474:H484,B$6),IF(AND(COUNT(H475:H486)=11,COUNT(F475:F486)=11),cubic_spline(F474:F485,H474:H485,B$6),IF(AND(COUNT(H475:H486)=12,COUNT(F475:F486)=12),cubic_spline(F474:F486,H474:H486,B$6),""))))))))))))</f>
        <v/>
      </c>
      <c r="K477" s="52" t="str">
        <f>IF(N(B$6)=0,"",IF(AND(COUNT(A475:A486)=2,COUNT(F475:F486)=2),cubic_spline(F474:F476,A474:A476,B$6),IF(AND(COUNT(A475:A486)=3,COUNT(F475:F486)=3),cubic_spline(F474:F477,A474:A477,B$6),IF(AND(COUNT(A475:A486)=4,COUNT(F475:F486)=4),cubic_spline(F474:F478,A474:A478,B$6),IF(AND(COUNT(A475:A486)=5,COUNT(F475:F486)=5),cubic_spline(F474:F479,A474:A479,B$6),IF(AND(COUNT(A475:A486)=6,COUNT(F475:F486)=6),cubic_spline(F474:F480,A474:A480,B$6),IF(AND(COUNT(A475:A486)=7,COUNT(F475:F486)=7),cubic_spline(F474:F481,A474:A481,B$6),IF(AND(COUNT(A475:A486)=8,COUNT(F475:F486)=8),cubic_spline(F474:F482,A474:A482,B$6),IF(AND(COUNT(A475:A486)=9,COUNT(F475:F486)=9),cubic_spline(F474:F483,A474:A483,B$6),IF(AND(COUNT(A475:A486)=10,COUNT(F475:F486)=10),cubic_spline(F474:F484,A474:A484,B$6),IF(AND(COUNT(A475:A486)=11,COUNT(F475:F486)=11),cubic_spline(F474:F485,A474:A485,B$6),IF(AND(COUNT(A475:A486)=12,COUNT(F475:F486)=12),cubic_spline(F474:F486,A474:A486,B$6),""))))))))))))</f>
        <v/>
      </c>
      <c r="L477" s="27" t="str">
        <f>IF(I477="","",B$5&amp;"-"&amp;B$6)</f>
        <v/>
      </c>
      <c r="M477" s="52" t="str">
        <f>IF(N(J477)=0,"",J477-J476)</f>
        <v/>
      </c>
    </row>
    <row r="478" spans="1:13" x14ac:dyDescent="0.35">
      <c r="A478" s="48"/>
      <c r="B478" s="48"/>
      <c r="C478" s="49"/>
      <c r="D478" s="50"/>
      <c r="E478" s="51" t="str">
        <f>IF(N(C478)=0,"",C478/PI()/($D$1/2)^2/$D$2*10000)</f>
        <v/>
      </c>
      <c r="F478" s="68" t="str">
        <f t="shared" si="176"/>
        <v/>
      </c>
      <c r="G478" s="69" t="str">
        <f t="shared" si="178"/>
        <v/>
      </c>
      <c r="H478" s="70" t="str">
        <f t="shared" si="177"/>
        <v/>
      </c>
      <c r="I478" s="27" t="str">
        <f>IF(N(J478)=0,"",0&amp;"-"&amp;B$7)</f>
        <v/>
      </c>
      <c r="J478" s="52" t="str">
        <f>IF(N(B$7)=0,"",IF(AND(COUNT(H475:H486)=2,COUNT(F475:F486)=2),cubic_spline(F474:F476,H474:H476,B$7),IF(AND(COUNT(H475:H486)=3,COUNT(F475:F486)=3),cubic_spline(F474:F477,H474:H477,B$7),IF(AND(COUNT(H475:H486)=4,COUNT(F475:F486)=4),cubic_spline(F474:F478,H474:H478,B$7),IF(AND(COUNT(H475:H486)=5,COUNT(F475:F486)=5),cubic_spline(F474:F479,H474:H479,B$7),IF(AND(COUNT(H475:H486)=6,COUNT(F475:F486)=6),cubic_spline(F474:F480,H474:H480,B$7),IF(AND(COUNT(H475:H486)=7,COUNT(F475:F486)=7),cubic_spline(F474:F481,H474:H481,B$7),IF(AND(COUNT(H475:H486)=8,COUNT(F475:F486)=8),cubic_spline(F474:F482,H474:H482,B$7),IF(AND(COUNT(H475:H486)=9,COUNT(F475:F486)=9),cubic_spline(F474:F483,H474:H483,B$7),IF(AND(COUNT(H475:H486)=10,COUNT(F475:F486)=10),cubic_spline(F474:F484,H474:H484,B$7),IF(AND(COUNT(H475:H486)=11,COUNT(F475:F486)=11),cubic_spline(F474:F485,H474:H485,B$7),IF(AND(COUNT(H475:H486)=12,COUNT(F475:F486)=12),cubic_spline(F474:F486,H474:H486,B$7),""))))))))))))</f>
        <v/>
      </c>
      <c r="K478" s="52" t="str">
        <f>IF(N(B$7)=0,"",IF(AND(COUNT(A475:A486)=2,COUNT(F475:F486)=2),cubic_spline(F474:F476,A474:A476,B$7),IF(AND(COUNT(A475:A486)=3,COUNT(F475:F486)=3),cubic_spline(F474:F477,A474:A477,B$7),IF(AND(COUNT(A475:A486)=4,COUNT(F475:F486)=4),cubic_spline(F474:F478,A474:A478,B$7),IF(AND(COUNT(A475:A486)=5,COUNT(F475:F486)=5),cubic_spline(F474:F479,A474:A479,B$7),IF(AND(COUNT(A475:A486)=6,COUNT(F475:F486)=6),cubic_spline(F474:F480,A474:A480,B$7),IF(AND(COUNT(A475:A486)=7,COUNT(F475:F486)=7),cubic_spline(F474:F481,A474:A481,B$7),IF(AND(COUNT(A475:A486)=8,COUNT(F475:F486)=8),cubic_spline(F474:F482,A474:A482,B$7),IF(AND(COUNT(A475:A486)=9,COUNT(F475:F486)=9),cubic_spline(F474:F483,A474:A483,B$7),IF(AND(COUNT(A475:A486)=10,COUNT(F475:F486)=10),cubic_spline(F474:F484,A474:A484,B$7),IF(AND(COUNT(A475:A486)=11,COUNT(F475:F486)=11),cubic_spline(F474:F485,A474:A485,B$7),IF(AND(COUNT(A475:A486)=12,COUNT(F475:F486)=12),cubic_spline(F474:F486,A474:A486,B$7),""))))))))))))</f>
        <v/>
      </c>
      <c r="L478" s="27" t="str">
        <f>IF(I478="","",B$6&amp;"-"&amp;B$7)</f>
        <v/>
      </c>
      <c r="M478" s="52" t="str">
        <f>IF(N(J478)=0,"",J478-J477)</f>
        <v/>
      </c>
    </row>
    <row r="479" spans="1:13" x14ac:dyDescent="0.35">
      <c r="A479" s="48"/>
      <c r="B479" s="48"/>
      <c r="C479" s="49"/>
      <c r="D479" s="50"/>
      <c r="E479" s="51" t="str">
        <f t="shared" ref="E479:E486" si="179">IF(N(C479)=0,"",C479/PI()/($D$1/2)^2/$D$2*10000)</f>
        <v/>
      </c>
      <c r="F479" s="71" t="str">
        <f t="shared" si="176"/>
        <v/>
      </c>
      <c r="G479" s="69" t="str">
        <f t="shared" si="178"/>
        <v/>
      </c>
      <c r="H479" s="70" t="str">
        <f t="shared" si="177"/>
        <v/>
      </c>
      <c r="I479" s="27" t="str">
        <f>IF(N(J479)=0,"",0&amp;"-"&amp;B$8)</f>
        <v/>
      </c>
      <c r="J479" s="52" t="str">
        <f>IF(N(B$8)=0,"",IF(AND(COUNT(H475:H486)=2,COUNT(F475:F486)=2),cubic_spline(F474:F476,H474:H476,B$8),IF(AND(COUNT(H475:H486)=3,COUNT(F475:F486)=3),cubic_spline(F474:F477,H474:H477,B$8),IF(AND(COUNT(H475:H486)=4,COUNT(F475:F486)=4),cubic_spline(F474:F478,H474:H478,B$8),IF(AND(COUNT(H475:H486)=5,COUNT(F475:F486)=5),cubic_spline(F474:F479,H474:H479,B$8),IF(AND(COUNT(H475:H486)=6,COUNT(F475:F486)=6),cubic_spline(F474:F480,H474:H480,B$8),IF(AND(COUNT(H475:H486)=7,COUNT(F475:F486)=7),cubic_spline(F474:F481,H474:H481,B$8),IF(AND(COUNT(H475:H486)=8,COUNT(F475:F486)=8),cubic_spline(F474:F482,H474:H482,B$8),IF(AND(COUNT(H475:H486)=9,COUNT(F475:F486)=9),cubic_spline(F474:F483,H474:H483,B$8),IF(AND(COUNT(H475:H486)=10,COUNT(F475:F486)=10),cubic_spline(F474:F484,H474:H484,B$8),IF(AND(COUNT(H475:H486)=11,COUNT(F475:F486)=11),cubic_spline(F474:F485,H474:H485,B$8),IF(AND(COUNT(H475:H486)=12,COUNT(F475:F486)=12),cubic_spline(F474:F486,H474:H486,B$8),""))))))))))))</f>
        <v/>
      </c>
      <c r="K479" s="52" t="str">
        <f>IF(N(B$8)=0,"",IF(AND(COUNT(A475:A486)=2,COUNT(F475:F486)=2),cubic_spline(F474:F476,A474:A476,B$8),IF(AND(COUNT(A475:A486)=3,COUNT(F475:F486)=3),cubic_spline(F474:F477,A474:A477,B$8),IF(AND(COUNT(A475:A486)=4,COUNT(F475:F486)=4),cubic_spline(F474:F478,A474:A478,B$8),IF(AND(COUNT(A475:A486)=5,COUNT(F475:F486)=5),cubic_spline(F474:F479,A474:A479,B$8),IF(AND(COUNT(A475:A486)=6,COUNT(F475:F486)=6),cubic_spline(F474:F480,A474:A480,B$8),IF(AND(COUNT(A475:A486)=7,COUNT(F475:F486)=7),cubic_spline(F474:F481,A474:A481,B$8),IF(AND(COUNT(A475:A486)=8,COUNT(F475:F486)=8),cubic_spline(F474:F482,A474:A482,B$8),IF(AND(COUNT(A475:A486)=9,COUNT(F475:F486)=9),cubic_spline(F474:F483,A474:A483,B$8),IF(AND(COUNT(A475:A486)=10,COUNT(F475:F486)=10),cubic_spline(F474:F484,A474:A484,B$8),IF(AND(COUNT(A475:A486)=11,COUNT(F475:F486)=11),cubic_spline(F474:F485,A474:A485,B$8),IF(AND(COUNT(A475:A486)=12,COUNT(F475:F486)=12),cubic_spline(F474:F486,A474:A486,B$8),""))))))))))))</f>
        <v/>
      </c>
      <c r="L479" s="27" t="str">
        <f>IF(I479="","",B$7&amp;"-"&amp;B$8)</f>
        <v/>
      </c>
      <c r="M479" s="52" t="str">
        <f>IF(N(J479)=0,"",J479-J478)</f>
        <v/>
      </c>
    </row>
    <row r="480" spans="1:13" x14ac:dyDescent="0.35">
      <c r="A480" s="48"/>
      <c r="B480" s="48"/>
      <c r="C480" s="49"/>
      <c r="D480" s="50"/>
      <c r="E480" s="51" t="str">
        <f t="shared" si="179"/>
        <v/>
      </c>
      <c r="F480" s="71" t="str">
        <f t="shared" si="176"/>
        <v/>
      </c>
      <c r="G480" s="69" t="str">
        <f t="shared" si="178"/>
        <v/>
      </c>
      <c r="H480" s="70" t="str">
        <f t="shared" si="177"/>
        <v/>
      </c>
      <c r="I480" s="27" t="str">
        <f>IF(N(J480)=0,"",0&amp;"-"&amp;B$9)</f>
        <v/>
      </c>
      <c r="J480" s="52" t="str">
        <f>IF(N(B$9)=0,"",IF(AND(COUNT(H475:H486)=2,COUNT(F475:F486)=2),cubic_spline(F474:F476,H474:H476,B$9),IF(AND(COUNT(H475:H486)=3,COUNT(F475:F486)=3),cubic_spline(F474:F477,H474:H477,B$9),IF(AND(COUNT(H475:H486)=4,COUNT(F475:F486)=4),cubic_spline(F474:F478,H474:H478,B$9),IF(AND(COUNT(H475:H486)=5,COUNT(F475:F486)=5),cubic_spline(F474:F479,H474:H479,B$9),IF(AND(COUNT(H475:H486)=6,COUNT(F475:F486)=6),cubic_spline(F474:F480,H474:H480,B$9),IF(AND(COUNT(H475:H486)=7,COUNT(F475:F486)=7),cubic_spline(F474:F481,H474:H481,B$9),IF(AND(COUNT(H475:H486)=8,COUNT(F475:F486)=8),cubic_spline(F474:F482,H474:H482,B$9),IF(AND(COUNT(H475:H486)=9,COUNT(F475:F486)=9),cubic_spline(F474:F483,H474:H483,B$9),IF(AND(COUNT(H475:H486)=10,COUNT(F475:F486)=10),cubic_spline(F474:F484,H474:H484,B$9),IF(AND(COUNT(H475:H486)=11,COUNT(F475:F486)=11),cubic_spline(F474:F485,H474:H485,B$9),IF(AND(COUNT(H475:H486)=12,COUNT(F475:F486)=12),cubic_spline(F474:F486,H474:H486,B$9),""))))))))))))</f>
        <v/>
      </c>
      <c r="K480" s="52" t="str">
        <f>IF(N(B$9)=0,"",IF(AND(COUNT(A475:A486)=2,COUNT(F475:F486)=2),cubic_spline(F474:F476,A474:A476,B$9),IF(AND(COUNT(A475:A486)=3,COUNT(F475:F486)=3),cubic_spline(F474:F477,A474:A477,B$9),IF(AND(COUNT(A475:A486)=4,COUNT(F475:F486)=4),cubic_spline(F474:F478,A474:A478,B$9),IF(AND(COUNT(A475:A486)=5,COUNT(F475:F486)=5),cubic_spline(F474:F479,A474:A479,B$9),IF(AND(COUNT(A475:A486)=6,COUNT(F475:F486)=6),cubic_spline(F474:F480,A474:A480,B$9),IF(AND(COUNT(A475:A486)=7,COUNT(F475:F486)=7),cubic_spline(F474:F481,A474:A481,B$9),IF(AND(COUNT(A475:A486)=8,COUNT(F475:F486)=8),cubic_spline(F474:F482,A474:A482,B$9),IF(AND(COUNT(A475:A486)=9,COUNT(F475:F486)=9),cubic_spline(F474:F483,A474:A483,B$9),IF(AND(COUNT(A475:A486)=10,COUNT(F475:F486)=10),cubic_spline(F474:F484,A474:A484,B$9),IF(AND(COUNT(A475:A486)=11,COUNT(F475:F486)=11),cubic_spline(F474:F485,A474:A485,B$9),IF(AND(COUNT(A475:A486)=12,COUNT(F475:F486)=12),cubic_spline(F474:F486,A474:A486,B$9),""))))))))))))</f>
        <v/>
      </c>
      <c r="L480" s="27" t="str">
        <f>IF(I480="","",B$8&amp;"-"&amp;B$9)</f>
        <v/>
      </c>
      <c r="M480" s="52" t="str">
        <f t="shared" ref="M480:M486" si="180">IF(N(J480)=0,"",J480-J479)</f>
        <v/>
      </c>
    </row>
    <row r="481" spans="1:13" x14ac:dyDescent="0.35">
      <c r="A481" s="48"/>
      <c r="B481" s="48"/>
      <c r="C481" s="49"/>
      <c r="D481" s="50"/>
      <c r="E481" s="51" t="str">
        <f t="shared" si="179"/>
        <v/>
      </c>
      <c r="F481" s="71" t="str">
        <f t="shared" si="176"/>
        <v/>
      </c>
      <c r="G481" s="69" t="str">
        <f t="shared" si="178"/>
        <v/>
      </c>
      <c r="H481" s="70" t="str">
        <f t="shared" si="177"/>
        <v/>
      </c>
      <c r="I481" s="27" t="str">
        <f>IF(N(J481)=0,"",0&amp;"-"&amp;B$10)</f>
        <v/>
      </c>
      <c r="J481" s="52" t="str">
        <f>IF(N(B$10)=0,"",IF(AND(COUNT(H475:H486)=2,COUNT(F475:F486)=2),cubic_spline(F474:F476,H474:H476,B$10),IF(AND(COUNT(H475:H486)=3,COUNT(F475:F486)=3),cubic_spline(F474:F477,H474:H477,B$10),IF(AND(COUNT(H475:H486)=4,COUNT(F475:F486)=4),cubic_spline(F474:F478,H474:H478,B$10),IF(AND(COUNT(H475:H486)=5,COUNT(F475:F486)=5),cubic_spline(F474:F479,H474:H479,B$10),IF(AND(COUNT(H475:H486)=6,COUNT(F475:F486)=6),cubic_spline(F474:F480,H474:H480,B$10),IF(AND(COUNT(H475:H486)=7,COUNT(F475:F486)=7),cubic_spline(F474:F481,H474:H481,B$10),IF(AND(COUNT(H475:H486)=8,COUNT(F475:F486)=8),cubic_spline(F474:F482,H474:H482,B$10),IF(AND(COUNT(H475:H486)=9,COUNT(F475:F486)=9),cubic_spline(F474:F483,H474:H483,B$10),IF(AND(COUNT(H475:H486)=10,COUNT(F475:F486)=10),cubic_spline(F474:F484,H474:H484,B$10),IF(AND(COUNT(H475:H486)=11,COUNT(F475:F486)=11),cubic_spline(F474:F485,H474:H485,B$10),IF(AND(COUNT(H475:H486)=12,COUNT(F475:F486)=12),cubic_spline(F474:F486,H474:H486,B$10),""))))))))))))</f>
        <v/>
      </c>
      <c r="K481" s="52" t="str">
        <f>IF(N(B$10)=0,"",IF(AND(COUNT(A475:A486)=2,COUNT(F475:F486)=2),cubic_spline(F474:F476,A474:A476,B$10),IF(AND(COUNT(A475:A486)=3,COUNT(F475:F486)=3),cubic_spline(F474:F477,A474:A477,B$10),IF(AND(COUNT(A475:A486)=4,COUNT(F475:F486)=4),cubic_spline(F474:F478,A474:A478,B$10),IF(AND(COUNT(A475:A486)=5,COUNT(F475:F486)=5),cubic_spline(F474:F479,A474:A479,B$10),IF(AND(COUNT(A475:A486)=6,COUNT(F475:F486)=6),cubic_spline(F474:F480,A474:A480,B$10),IF(AND(COUNT(A475:A486)=7,COUNT(F475:F486)=7),cubic_spline(F474:F481,A474:A481,B$10),IF(AND(COUNT(A475:A486)=8,COUNT(F475:F486)=8),cubic_spline(F474:F482,A474:A482,B$10),IF(AND(COUNT(A475:A486)=9,COUNT(F475:F486)=9),cubic_spline(F474:F483,A474:A483,B$10),IF(AND(COUNT(A475:A486)=10,COUNT(F475:F486)=10),cubic_spline(F474:F484,A474:A484,B$10),IF(AND(COUNT(A475:A486)=11,COUNT(F475:F486)=11),cubic_spline(F474:F485,A474:A485,B$10),IF(AND(COUNT(A475:A486)=12,COUNT(F475:F486)=12),cubic_spline(F474:F486,A474:A486,B$10),""))))))))))))</f>
        <v/>
      </c>
      <c r="L481" s="27" t="str">
        <f>IF(I481="","",B$9&amp;"-"&amp;B$10)</f>
        <v/>
      </c>
      <c r="M481" s="52" t="str">
        <f t="shared" si="180"/>
        <v/>
      </c>
    </row>
    <row r="482" spans="1:13" x14ac:dyDescent="0.35">
      <c r="A482" s="48"/>
      <c r="B482" s="48"/>
      <c r="C482" s="49"/>
      <c r="D482" s="50"/>
      <c r="E482" s="51" t="str">
        <f t="shared" si="179"/>
        <v/>
      </c>
      <c r="F482" s="71" t="str">
        <f t="shared" si="176"/>
        <v/>
      </c>
      <c r="G482" s="69" t="str">
        <f t="shared" si="178"/>
        <v/>
      </c>
      <c r="H482" s="70" t="str">
        <f t="shared" si="177"/>
        <v/>
      </c>
      <c r="I482" s="27" t="str">
        <f>IF(N(J482)=0,"",0&amp;"-"&amp;B$11)</f>
        <v/>
      </c>
      <c r="J482" s="52" t="str">
        <f>IF(N(B$11)=0,"",IF(AND(COUNT(H475:H486)=2,COUNT(F475:F486)=2),cubic_spline(F474:F476,H474:H476,B$11),IF(AND(COUNT(H475:H486)=3,COUNT(F475:F486)=3),cubic_spline(F474:F477,H474:H477,B$11),IF(AND(COUNT(H475:H486)=4,COUNT(F475:F486)=4),cubic_spline(F474:F478,H474:H478,B$11),IF(AND(COUNT(H475:H486)=5,COUNT(F475:F486)=5),cubic_spline(F474:F479,H474:H479,B$11),IF(AND(COUNT(H475:H486)=6,COUNT(F475:F486)=6),cubic_spline(F474:F480,H474:H480,B$11),IF(AND(COUNT(H475:H486)=7,COUNT(F475:F486)=7),cubic_spline(F474:F481,H474:H481,B$11),IF(AND(COUNT(H475:H486)=8,COUNT(F475:F486)=8),cubic_spline(F474:F482,H474:H482,B$11),IF(AND(COUNT(H475:H486)=9,COUNT(F475:F486)=9),cubic_spline(F474:F483,H474:H483,B$11),IF(AND(COUNT(H475:H486)=10,COUNT(F475:F486)=10),cubic_spline(F474:F484,H474:H484,B$11),IF(AND(COUNT(H475:H486)=11,COUNT(F475:F486)=11),cubic_spline(F474:F485,H474:H485,B$11),IF(AND(COUNT(H475:H486)=12,COUNT(F475:F486)=12),cubic_spline(F474:F486,H474:H486,B$11),""))))))))))))</f>
        <v/>
      </c>
      <c r="K482" s="52" t="str">
        <f>IF(N(B$11)=0,"",IF(AND(COUNT(A475:A486)=2,COUNT(F475:F486)=2),cubic_spline(F474:F476,A474:A476,B$11),IF(AND(COUNT(A475:A486)=3,COUNT(F475:F486)=3),cubic_spline(F474:F477,A474:A477,B$11),IF(AND(COUNT(A475:A486)=4,COUNT(F475:F486)=4),cubic_spline(F474:F478,A474:A478,B$11),IF(AND(COUNT(A475:A486)=5,COUNT(F475:F486)=5),cubic_spline(F474:F479,A474:A479,B$11),IF(AND(COUNT(A475:A486)=6,COUNT(F475:F486)=6),cubic_spline(F474:F480,A474:A480,B$11),IF(AND(COUNT(A475:A486)=7,COUNT(F475:F486)=7),cubic_spline(F474:F481,A474:A481,B$11),IF(AND(COUNT(A475:A486)=8,COUNT(F475:F486)=8),cubic_spline(F474:F482,A474:A482,B$11),IF(AND(COUNT(A475:A486)=9,COUNT(F475:F486)=9),cubic_spline(F474:F483,A474:A483,B$11),IF(AND(COUNT(A475:A486)=10,COUNT(F475:F486)=10),cubic_spline(F474:F484,A474:A484,B$11),IF(AND(COUNT(A475:A486)=11,COUNT(F475:F486)=11),cubic_spline(F474:F485,A474:A485,B$11),IF(AND(COUNT(A475:A486)=12,COUNT(F475:F486)=12),cubic_spline(F474:F486,A474:A486,B$11),""))))))))))))</f>
        <v/>
      </c>
      <c r="L482" s="27" t="str">
        <f>IF(I482="","",B$10&amp;"-"&amp;B$11)</f>
        <v/>
      </c>
      <c r="M482" s="52" t="str">
        <f t="shared" si="180"/>
        <v/>
      </c>
    </row>
    <row r="483" spans="1:13" x14ac:dyDescent="0.35">
      <c r="A483" s="48"/>
      <c r="B483" s="48"/>
      <c r="C483" s="49"/>
      <c r="D483" s="50"/>
      <c r="E483" s="51" t="str">
        <f t="shared" si="179"/>
        <v/>
      </c>
      <c r="F483" s="71" t="str">
        <f t="shared" si="176"/>
        <v/>
      </c>
      <c r="G483" s="69" t="str">
        <f t="shared" si="178"/>
        <v/>
      </c>
      <c r="H483" s="70" t="str">
        <f t="shared" si="177"/>
        <v/>
      </c>
      <c r="I483" s="27" t="str">
        <f>IF(N(J483)=0,"",0&amp;"-"&amp;B$12)</f>
        <v/>
      </c>
      <c r="J483" s="52" t="str">
        <f>IF(N(B$12)=0,"",IF(AND(COUNT(H475:H486)=2,COUNT(F475:F486)=2),cubic_spline(F474:F476,H474:H476,B$12),IF(AND(COUNT(H475:H486)=3,COUNT(F475:F486)=3),cubic_spline(F474:F477,H474:H477,B$12),IF(AND(COUNT(H475:H486)=4,COUNT(F475:F486)=4),cubic_spline(F474:F478,H474:H478,B$12),IF(AND(COUNT(H475:H486)=5,COUNT(F475:F486)=5),cubic_spline(F474:F479,H474:H479,B$12),IF(AND(COUNT(H475:H486)=6,COUNT(F475:F486)=6),cubic_spline(F474:F480,H474:H480,B$12),IF(AND(COUNT(H475:H486)=7,COUNT(F475:F486)=7),cubic_spline(F474:F481,H474:H481,B$12),IF(AND(COUNT(H475:H486)=8,COUNT(F475:F486)=8),cubic_spline(F474:F482,H474:H482,B$12),IF(AND(COUNT(H475:H486)=9,COUNT(F475:F486)=9),cubic_spline(F474:F483,H474:H483,B$12),IF(AND(COUNT(H475:H486)=10,COUNT(F475:F486)=10),cubic_spline(F474:F484,H474:H484,B$12),IF(AND(COUNT(H475:H486)=11,COUNT(F475:F486)=11),cubic_spline(F474:F485,H474:H485,B$12),IF(AND(COUNT(H475:H486)=12,COUNT(F475:F486)=12),cubic_spline(F474:F486,H474:H486,B$12),""))))))))))))</f>
        <v/>
      </c>
      <c r="K483" s="52" t="str">
        <f>IF(N(B$12)=0,"",IF(AND(COUNT(A475:A486)=2,COUNT(F475:F486)=2),cubic_spline(F474:F476,A474:A476,B$12),IF(AND(COUNT(A475:A486)=3,COUNT(F475:F486)=3),cubic_spline(F474:F477,A474:A477,B$12),IF(AND(COUNT(A475:A486)=4,COUNT(F475:F486)=4),cubic_spline(F474:F478,A474:A478,B$12),IF(AND(COUNT(A475:A486)=5,COUNT(F475:F486)=5),cubic_spline(F474:F479,A474:A479,B$12),IF(AND(COUNT(A475:A486)=6,COUNT(F475:F486)=6),cubic_spline(F474:F480,A474:A480,B$12),IF(AND(COUNT(A475:A486)=7,COUNT(F475:F486)=7),cubic_spline(F474:F481,A474:A481,B$12),IF(AND(COUNT(A475:A486)=8,COUNT(F475:F486)=8),cubic_spline(F474:F482,A474:A482,B$12),IF(AND(COUNT(A475:A486)=9,COUNT(F475:F486)=9),cubic_spline(F474:F483,A474:A483,B$12),IF(AND(COUNT(A475:A486)=10,COUNT(F475:F486)=10),cubic_spline(F474:F484,A474:A484,B$12),IF(AND(COUNT(A475:A486)=11,COUNT(F475:F486)=11),cubic_spline(F474:F485,A474:A485,B$12),IF(AND(COUNT(A475:A486)=12,COUNT(F475:F486)=12),cubic_spline(F474:F486,A474:A486,B$12),""))))))))))))</f>
        <v/>
      </c>
      <c r="L483" s="27" t="str">
        <f>IF(I483="","",B$11&amp;"-"&amp;B$12)</f>
        <v/>
      </c>
      <c r="M483" s="52" t="str">
        <f t="shared" si="180"/>
        <v/>
      </c>
    </row>
    <row r="484" spans="1:13" x14ac:dyDescent="0.35">
      <c r="A484" s="48"/>
      <c r="B484" s="48"/>
      <c r="C484" s="49"/>
      <c r="D484" s="50"/>
      <c r="E484" s="51" t="str">
        <f t="shared" si="179"/>
        <v/>
      </c>
      <c r="F484" s="71" t="str">
        <f t="shared" si="176"/>
        <v/>
      </c>
      <c r="G484" s="69" t="str">
        <f t="shared" si="178"/>
        <v/>
      </c>
      <c r="H484" s="70" t="str">
        <f t="shared" si="177"/>
        <v/>
      </c>
      <c r="I484" s="27" t="str">
        <f>IF(N(J484)=0,"",0&amp;"-"&amp;B$13)</f>
        <v/>
      </c>
      <c r="J484" s="52" t="str">
        <f>IF(N(B$13)=0,"",IF(AND(COUNT(H475:H486)=2,COUNT(F475:F486)=2),cubic_spline(F474:F476,H474:H476,B$13),IF(AND(COUNT(H475:H486)=3,COUNT(F475:F486)=3),cubic_spline(F474:F477,H474:H477,B$13),IF(AND(COUNT(H475:H486)=4,COUNT(F475:F486)=4),cubic_spline(F474:F478,H474:H478,B$13),IF(AND(COUNT(H475:H486)=5,COUNT(F475:F486)=5),cubic_spline(F474:F479,H474:H479,B$13),IF(AND(COUNT(H475:H486)=6,COUNT(F475:F486)=6),cubic_spline(F474:F480,H474:H480,B$13),IF(AND(COUNT(H475:H486)=7,COUNT(F475:F486)=7),cubic_spline(F474:F481,H474:H481,B$13),IF(AND(COUNT(H475:H486)=8,COUNT(F475:F486)=8),cubic_spline(F474:F482,H474:H482,B$13),IF(AND(COUNT(H475:H486)=9,COUNT(F475:F486)=9),cubic_spline(F474:F483,H474:H483,B$13),IF(AND(COUNT(H475:H486)=10,COUNT(F475:F486)=10),cubic_spline(F474:F484,H474:H484,B$13),IF(AND(COUNT(H475:H486)=11,COUNT(F475:F486)=11),cubic_spline(F474:F485,H474:H485,B$13),IF(AND(COUNT(H475:H486)=12,COUNT(F475:F486)=12),cubic_spline(F474:F486,H474:H486,B$13),""))))))))))))</f>
        <v/>
      </c>
      <c r="K484" s="52" t="str">
        <f>IF(N(B$13)=0,"",IF(AND(COUNT(A475:A486)=2,COUNT(F475:F486)=2),cubic_spline(F474:F476,A474:A476,B$13),IF(AND(COUNT(A475:A486)=3,COUNT(F475:F486)=3),cubic_spline(F474:F477,A474:A477,B$13),IF(AND(COUNT(A475:A486)=4,COUNT(F475:F486)=4),cubic_spline(F474:F478,A474:A478,B$13),IF(AND(COUNT(A475:A486)=5,COUNT(F475:F486)=5),cubic_spline(F474:F479,A474:A479,B$13),IF(AND(COUNT(A475:A486)=6,COUNT(F475:F486)=6),cubic_spline(F474:F480,A474:A480,B$13),IF(AND(COUNT(A475:A486)=7,COUNT(F475:F486)=7),cubic_spline(F474:F481,A474:A481,B$13),IF(AND(COUNT(A475:A486)=8,COUNT(F475:F486)=8),cubic_spline(F474:F482,A474:A482,B$13),IF(AND(COUNT(A475:A486)=9,COUNT(F475:F486)=9),cubic_spline(F474:F483,A474:A483,B$13),IF(AND(COUNT(A475:A486)=10,COUNT(F475:F486)=10),cubic_spline(F474:F484,A474:A484,B$13),IF(AND(COUNT(A475:A486)=11,COUNT(F475:F486)=11),cubic_spline(F474:F485,A474:A485,B$13),IF(AND(COUNT(A475:A486)=12,COUNT(F475:F486)=12),cubic_spline(F474:F486,A474:A486,B$13),""))))))))))))</f>
        <v/>
      </c>
      <c r="L484" s="27" t="str">
        <f>IF(I484="","",B$12&amp;"-"&amp;B$13)</f>
        <v/>
      </c>
      <c r="M484" s="52" t="str">
        <f t="shared" si="180"/>
        <v/>
      </c>
    </row>
    <row r="485" spans="1:13" x14ac:dyDescent="0.35">
      <c r="A485" s="48"/>
      <c r="B485" s="48"/>
      <c r="C485" s="49"/>
      <c r="D485" s="50"/>
      <c r="E485" s="51" t="str">
        <f t="shared" si="179"/>
        <v/>
      </c>
      <c r="F485" s="71" t="str">
        <f t="shared" si="176"/>
        <v/>
      </c>
      <c r="G485" s="69" t="str">
        <f t="shared" si="178"/>
        <v/>
      </c>
      <c r="H485" s="70" t="str">
        <f t="shared" si="177"/>
        <v/>
      </c>
      <c r="I485" s="27" t="str">
        <f>IF(N(J485)=0,"",0&amp;"-"&amp;B$14)</f>
        <v/>
      </c>
      <c r="J485" s="52" t="str">
        <f>IF(N(B$14)=0,"",IF(AND(COUNT(H475:H486)=2,COUNT(F475:F486)=2),cubic_spline(F474:F476,H474:H476,B$14),IF(AND(COUNT(H475:H486)=3,COUNT(F475:F486)=3),cubic_spline(F474:F477,H474:H477,B$14),IF(AND(COUNT(H475:H486)=4,COUNT(F475:F486)=4),cubic_spline(F474:F478,H474:H478,B$14),IF(AND(COUNT(H475:H486)=5,COUNT(F475:F486)=5),cubic_spline(F474:F479,H474:H479,B$14),IF(AND(COUNT(H475:H486)=6,COUNT(F475:F486)=6),cubic_spline(F474:F480,H474:H480,B$14),IF(AND(COUNT(H475:H486)=7,COUNT(F475:F486)=7),cubic_spline(F474:F481,H474:H481,B$14),IF(AND(COUNT(H475:H486)=8,COUNT(F475:F486)=8),cubic_spline(F474:F482,H474:H482,B$14),IF(AND(COUNT(H475:H486)=9,COUNT(F475:F486)=9),cubic_spline(F474:F483,H474:H483,B$14),IF(AND(COUNT(H475:H486)=10,COUNT(F475:F486)=10),cubic_spline(F474:F484,H474:H484,B$14),IF(AND(COUNT(H475:H486)=11,COUNT(F475:F486)=11),cubic_spline(F474:F485,H474:H485,B$14),IF(AND(COUNT(H475:H486)=12,COUNT(F475:F486)=12),cubic_spline(F474:F486,H474:H486,B$14),""))))))))))))</f>
        <v/>
      </c>
      <c r="K485" s="52" t="str">
        <f>IF(N(B$14)=0,"",IF(AND(COUNT(A475:A486)=2,COUNT(F475:F486)=2),cubic_spline(F474:F476,A474:A476,B$14),IF(AND(COUNT(A475:A486)=3,COUNT(F475:F486)=3),cubic_spline(F474:F477,A474:A477,B$14),IF(AND(COUNT(A475:A486)=4,COUNT(F475:F486)=4),cubic_spline(F474:F478,A474:A478,B$14),IF(AND(COUNT(A475:A486)=5,COUNT(F475:F486)=5),cubic_spline(F474:F479,A474:A479,B$14),IF(AND(COUNT(A475:A486)=6,COUNT(F475:F486)=6),cubic_spline(F474:F480,A474:A480,B$14),IF(AND(COUNT(A475:A486)=7,COUNT(F475:F486)=7),cubic_spline(F474:F481,A474:A481,B$14),IF(AND(COUNT(A475:A486)=8,COUNT(F475:F486)=8),cubic_spline(F474:F482,A474:A482,B$14),IF(AND(COUNT(A475:A486)=9,COUNT(F475:F486)=9),cubic_spline(F474:F483,A474:A483,B$14),IF(AND(COUNT(A475:A486)=10,COUNT(F475:F486)=10),cubic_spline(F474:F484,A474:A484,B$14),IF(AND(COUNT(A475:A486)=11,COUNT(F475:F486)=11),cubic_spline(F474:F485,A474:A485,B$14),IF(AND(COUNT(A475:A486)=12,COUNT(F475:F486)=12),cubic_spline(F474:F486,A474:A486,B$14),""))))))))))))</f>
        <v/>
      </c>
      <c r="L485" s="27" t="str">
        <f>IF(I485="","",B$13&amp;"-"&amp;B$14)</f>
        <v/>
      </c>
      <c r="M485" s="52" t="str">
        <f t="shared" si="180"/>
        <v/>
      </c>
    </row>
    <row r="486" spans="1:13" x14ac:dyDescent="0.35">
      <c r="A486" s="48"/>
      <c r="B486" s="48"/>
      <c r="C486" s="49"/>
      <c r="D486" s="50"/>
      <c r="E486" s="51" t="str">
        <f t="shared" si="179"/>
        <v/>
      </c>
      <c r="F486" s="71" t="str">
        <f t="shared" si="176"/>
        <v/>
      </c>
      <c r="G486" s="69" t="str">
        <f t="shared" si="178"/>
        <v/>
      </c>
      <c r="H486" s="70" t="str">
        <f t="shared" si="177"/>
        <v/>
      </c>
      <c r="I486" s="27" t="str">
        <f>IF(N(J486)=0,"",0&amp;"-"&amp;B$15)</f>
        <v/>
      </c>
      <c r="J486" s="52" t="str">
        <f>IF(N(B$15)=0,"",IF(AND(COUNT(H475:H486)=2,COUNT(F475:F486)=2),cubic_spline(F474:F476,H474:H476,B$15),IF(AND(COUNT(H475:H486)=3,COUNT(F475:F486)=3),cubic_spline(F474:F477,H474:H477,B$15),IF(AND(COUNT(H475:H486)=4,COUNT(F475:F486)=4),cubic_spline(F474:F478,H474:H478,B$15),IF(AND(COUNT(H475:H486)=5,COUNT(F475:F486)=5),cubic_spline(F474:F479,H474:H479,B$15),IF(AND(COUNT(H475:H486)=6,COUNT(F475:F486)=6),cubic_spline(F474:F480,H474:H480,B$15),IF(AND(COUNT(H475:H486)=7,COUNT(F475:F486)=7),cubic_spline(F474:F481,H474:H481,B$15),IF(AND(COUNT(H475:H486)=8,COUNT(F475:F486)=8),cubic_spline(F474:F482,H474:H482,B$15),IF(AND(COUNT(H475:H486)=9,COUNT(F475:F486)=9),cubic_spline(F474:F483,H474:H483,B$15),IF(AND(COUNT(H475:H486)=10,COUNT(F475:F486)=10),cubic_spline(F474:F484,H474:H484,B$15),IF(AND(COUNT(H475:H486)=11,COUNT(F475:F486)=11),cubic_spline(F474:F485,H474:H485,B$15),IF(AND(COUNT(H475:H486)=12,COUNT(F475:F486)=12),cubic_spline(F474:F486,H474:H486,B$15),""))))))))))))</f>
        <v/>
      </c>
      <c r="K486" s="52" t="str">
        <f>IF(N(B$15)=0,"",IF(AND(COUNT(A475:A486)=2,COUNT(F475:F486)=2),cubic_spline(F474:F476,A474:A476,B$15),IF(AND(COUNT(A475:A486)=3,COUNT(F475:F486)=3),cubic_spline(F474:F477,A474:A477,B$15),IF(AND(COUNT(A475:A486)=4,COUNT(F475:F486)=4),cubic_spline(F474:F478,A474:A478,B$15),IF(AND(COUNT(A475:A486)=5,COUNT(F475:F486)=5),cubic_spline(F474:F479,A474:A479,B$15),IF(AND(COUNT(A475:A486)=6,COUNT(F475:F486)=6),cubic_spline(F474:F480,A474:A480,B$15),IF(AND(COUNT(A475:A486)=7,COUNT(F475:F486)=7),cubic_spline(F474:F481,A474:A481,B$15),IF(AND(COUNT(A475:A486)=8,COUNT(F475:F486)=8),cubic_spline(F474:F482,A474:A482,B$15),IF(AND(COUNT(A475:A486)=9,COUNT(F475:F486)=9),cubic_spline(F474:F483,A474:A483,B$15),IF(AND(COUNT(A475:A486)=10,COUNT(F475:F486)=10),cubic_spline(F474:F484,A474:A484,B$15),IF(AND(COUNT(A475:A486)=11,COUNT(F475:F486)=11),cubic_spline(F474:F485,A474:A485,B$15),IF(AND(COUNT(A475:A486)=12,COUNT(F475:F486)=12),cubic_spline(F474:F486,A474:A486,B$15),""))))))))))))</f>
        <v/>
      </c>
      <c r="L486" s="27" t="str">
        <f>IF(I486="","",B$14&amp;"-"&amp;B$15)</f>
        <v/>
      </c>
      <c r="M486" s="52" t="str">
        <f t="shared" si="180"/>
        <v/>
      </c>
    </row>
    <row r="487" spans="1:13" ht="5.15" customHeight="1" x14ac:dyDescent="0.35">
      <c r="A487" s="47"/>
      <c r="B487" s="47"/>
      <c r="C487" s="47"/>
      <c r="D487" s="53"/>
      <c r="E487" s="54"/>
      <c r="F487" s="55"/>
      <c r="G487" s="72"/>
      <c r="H487" s="73"/>
      <c r="I487" s="47"/>
      <c r="J487" s="57"/>
      <c r="K487" s="57"/>
      <c r="L487" s="55"/>
      <c r="M487" s="57"/>
    </row>
    <row r="488" spans="1:13" x14ac:dyDescent="0.35">
      <c r="A488" s="48"/>
      <c r="B488" s="48"/>
      <c r="C488" s="49"/>
      <c r="D488" s="50"/>
      <c r="E488" s="51" t="str">
        <f>IF(N(C488)=0,"",C488/PI()/($D$1/2)^2/$D$2*10000)</f>
        <v/>
      </c>
      <c r="F488" s="68" t="str">
        <f t="shared" ref="F488:F499" si="181">IF(N(E488)=0,"",(N(E488)+N(F487)))</f>
        <v/>
      </c>
      <c r="G488" s="69" t="str">
        <f>IF(OR(N(D488)=0,N(E488)=0),"",(E488*D488)/1000)</f>
        <v/>
      </c>
      <c r="H488" s="70" t="str">
        <f t="shared" ref="H488:H499" si="182">IF(N(G488)=0,"",(N(G488)+N(H487)))</f>
        <v/>
      </c>
      <c r="I488" s="27" t="str">
        <f>IF(N(J488)=0,"",0&amp;"-"&amp;B$4)</f>
        <v/>
      </c>
      <c r="J488" s="52" t="str">
        <f>IF(N(B$4)=0,"",IF(AND(COUNT(H488:H499)=2,COUNT(F488:F499)=2),cubic_spline(F487:F489,H487:H489,B$4),IF(AND(COUNT(H488:H499)=3,COUNT(F488:F499)=3),cubic_spline(F487:F490,H487:H490,B$4),IF(AND(COUNT(H488:H499)=4,COUNT(F488:F499)=4),cubic_spline(F487:F491,H487:H491,B$4),IF(AND(COUNT(H488:H499)=5,COUNT(F488:F499)=5),cubic_spline(F487:F492,H487:H492,B$4),IF(AND(COUNT(H488:H499)=6,COUNT(F488:F499)=6),cubic_spline(F487:F493,H487:H493,B$4),IF(AND(COUNT(H488:H499)=7,COUNT(F488:F499)=7),cubic_spline(F487:F494,H487:H494,B$4),IF(AND(COUNT(H488:H499)=8,COUNT(F488:F499)=8),cubic_spline(F487:F495,H487:H495,B$4),IF(AND(COUNT(H488:H499)=9,COUNT(F488:F499)=9),cubic_spline(F487:F496,H487:H496,B$4),IF(AND(COUNT(H488:H499)=10,COUNT(F488:F499)=10),cubic_spline(F487:F497,H487:H497,B$4),IF(AND(COUNT(H488:H499)=11,COUNT(F488:F499)=11),cubic_spline(F487:F498,H487:H498,B$4),IF(AND(COUNT(H488:H499)=12,COUNT(F488:F499)=12),cubic_spline(F487:F499,H487:H499,B$4),""))))))))))))</f>
        <v/>
      </c>
      <c r="K488" s="52" t="str">
        <f>IF(N(B$4)=0,"",IF(AND(COUNT(A488:A499)=2,COUNT(F488:F499)=2),cubic_spline(F487:F489,A487:A489,B$4),IF(AND(COUNT(A488:A499)=3,COUNT(F488:F499)=3),cubic_spline(F487:F490,A487:A490,B$4),IF(AND(COUNT(A488:A499)=4,COUNT(F488:F499)=4),cubic_spline(F487:F491,A487:A491,B$4),IF(AND(COUNT(A488:A499)=5,COUNT(F488:F499)=5),cubic_spline(F487:F492,A487:A492,B$4),IF(AND(COUNT(A488:A499)=6,COUNT(F488:F499)=6),cubic_spline(F487:F493,A487:A493,B$4),IF(AND(COUNT(A488:A499)=7,COUNT(F488:F499)=7),cubic_spline(F487:F494,A487:A494,B$4),IF(AND(COUNT(A488:A499)=8,COUNT(F488:F499)=8),cubic_spline(F487:F495,A487:A495,B$4),IF(AND(COUNT(A488:A499)=9,COUNT(F488:F499)=9),cubic_spline(F487:F496,A487:A496,B$4),IF(AND(COUNT(A488:A499)=10,COUNT(F488:F499)=10),cubic_spline(F487:F497,A487:A497,B$4),IF(AND(COUNT(A488:A499)=11,COUNT(F488:F499)=11),cubic_spline(F487:F498,A487:A498,B$4),IF(AND(COUNT(A488:A499)=12,COUNT(F488:F499)=12),cubic_spline(F487:F499,A487:A499,B$4),""))))))))))))</f>
        <v/>
      </c>
      <c r="L488" s="27" t="str">
        <f>IF(I488="","",0&amp;"-"&amp;B$4)</f>
        <v/>
      </c>
      <c r="M488" s="52" t="str">
        <f>IF(N(J488)=0,"",J488-J487)</f>
        <v/>
      </c>
    </row>
    <row r="489" spans="1:13" x14ac:dyDescent="0.35">
      <c r="A489" s="48"/>
      <c r="B489" s="48"/>
      <c r="C489" s="49"/>
      <c r="D489" s="50"/>
      <c r="E489" s="51" t="str">
        <f>IF(N(C489)=0,"",C489/PI()/($D$1/2)^2/$D$2*10000)</f>
        <v/>
      </c>
      <c r="F489" s="68" t="str">
        <f t="shared" si="181"/>
        <v/>
      </c>
      <c r="G489" s="69" t="str">
        <f t="shared" ref="G489:G499" si="183">IF(OR(N(D489)=0,N(E489)=0),"",(E489*D489)/1000)</f>
        <v/>
      </c>
      <c r="H489" s="70" t="str">
        <f t="shared" si="182"/>
        <v/>
      </c>
      <c r="I489" s="27" t="str">
        <f>IF(N(J489)=0,"",0&amp;"-"&amp;B$5)</f>
        <v/>
      </c>
      <c r="J489" s="52" t="str">
        <f>IF(N(B$5)=0,"",IF(AND(COUNT(H488:H499)=2,COUNT(F488:F499)=2),cubic_spline(F487:F489,H487:H489,B$5),IF(AND(COUNT(H488:H499)=3,COUNT(F488:F499)=3),cubic_spline(F487:F490,H487:H490,B$5),IF(AND(COUNT(H488:H499)=4,COUNT(F488:F499)=4),cubic_spline(F487:F491,H487:H491,B$5),IF(AND(COUNT(H488:H499)=5,COUNT(F488:F499)=5),cubic_spline(F487:F492,H487:H492,B$5),IF(AND(COUNT(H488:H499)=6,COUNT(F488:F499)=6),cubic_spline(F487:F493,H487:H493,B$5),IF(AND(COUNT(H488:H499)=7,COUNT(F488:F499)=7),cubic_spline(F487:F494,H487:H494,B$5),IF(AND(COUNT(H488:H499)=8,COUNT(F488:F499)=8),cubic_spline(F487:F495,H487:H495,B$5),IF(AND(COUNT(H488:H499)=9,COUNT(F488:F499)=9),cubic_spline(F487:F496,H487:H496,B$5),IF(AND(COUNT(H488:H499)=10,COUNT(F488:F499)=10),cubic_spline(F487:F497,H487:H497,B$5),IF(AND(COUNT(H488:H499)=11,COUNT(F488:F499)=11),cubic_spline(F487:F498,H487:H498,B$5),IF(AND(COUNT(H488:H499)=12,COUNT(F488:F499)=12),cubic_spline(F487:F499,H487:H499,B$5),""))))))))))))</f>
        <v/>
      </c>
      <c r="K489" s="52" t="str">
        <f>IF(N(B$5)=0,"",IF(AND(COUNT(A488:A499)=2,COUNT(F488:F499)=2),cubic_spline(F487:F489,A487:A489,B$5),IF(AND(COUNT(A488:A499)=3,COUNT(F488:F499)=3),cubic_spline(F487:F490,A487:A490,B$5),IF(AND(COUNT(A488:A499)=4,COUNT(F488:F499)=4),cubic_spline(F487:F491,A487:A491,B$5),IF(AND(COUNT(A488:A499)=5,COUNT(F488:F499)=5),cubic_spline(F487:F492,A487:A492,B$5),IF(AND(COUNT(A488:A499)=6,COUNT(F488:F499)=6),cubic_spline(F487:F493,A487:A493,B$5),IF(AND(COUNT(A488:A499)=7,COUNT(F488:F499)=7),cubic_spline(F487:F494,A487:A494,B$5),IF(AND(COUNT(A488:A499)=8,COUNT(F488:F499)=8),cubic_spline(F487:F495,A487:A495,B$5),IF(AND(COUNT(A488:A499)=9,COUNT(F488:F499)=9),cubic_spline(F487:F496,A487:A496,B$5),IF(AND(COUNT(A488:A499)=10,COUNT(F488:F499)=10),cubic_spline(F487:F497,A487:A497,B$5),IF(AND(COUNT(A488:A499)=11,COUNT(F488:F499)=11),cubic_spline(F487:F498,A487:A498,B$5),IF(AND(COUNT(A488:A499)=12,COUNT(F488:F499)=12),cubic_spline(F487:F499,A487:A499,B$5),""))))))))))))</f>
        <v/>
      </c>
      <c r="L489" s="27" t="str">
        <f>IF(I489="","",B$4&amp;"-"&amp;B$5)</f>
        <v/>
      </c>
      <c r="M489" s="52" t="str">
        <f>IF(N(J489)=0,"",J489-J488)</f>
        <v/>
      </c>
    </row>
    <row r="490" spans="1:13" x14ac:dyDescent="0.35">
      <c r="A490" s="48"/>
      <c r="B490" s="48"/>
      <c r="C490" s="49"/>
      <c r="D490" s="50"/>
      <c r="E490" s="51" t="str">
        <f>IF(N(C490)=0,"",C490/PI()/($D$1/2)^2/$D$2*10000)</f>
        <v/>
      </c>
      <c r="F490" s="68" t="str">
        <f t="shared" si="181"/>
        <v/>
      </c>
      <c r="G490" s="69" t="str">
        <f t="shared" si="183"/>
        <v/>
      </c>
      <c r="H490" s="70" t="str">
        <f t="shared" si="182"/>
        <v/>
      </c>
      <c r="I490" s="27" t="str">
        <f>IF(N(J490)=0,"",0&amp;"-"&amp;B$6)</f>
        <v/>
      </c>
      <c r="J490" s="52" t="str">
        <f>IF(N(B$6)=0,"",IF(AND(COUNT(H488:H499)=2,COUNT(F488:F499)=2),cubic_spline(F487:F489,H487:H489,B$6),IF(AND(COUNT(H488:H499)=3,COUNT(F488:F499)=3),cubic_spline(F487:F490,H487:H490,B$6),IF(AND(COUNT(H488:H499)=4,COUNT(F488:F499)=4),cubic_spline(F487:F491,H487:H491,B$6),IF(AND(COUNT(H488:H499)=5,COUNT(F488:F499)=5),cubic_spline(F487:F492,H487:H492,B$6),IF(AND(COUNT(H488:H499)=6,COUNT(F488:F499)=6),cubic_spline(F487:F493,H487:H493,B$6),IF(AND(COUNT(H488:H499)=7,COUNT(F488:F499)=7),cubic_spline(F487:F494,H487:H494,B$6),IF(AND(COUNT(H488:H499)=8,COUNT(F488:F499)=8),cubic_spline(F487:F495,H487:H495,B$6),IF(AND(COUNT(H488:H499)=9,COUNT(F488:F499)=9),cubic_spline(F487:F496,H487:H496,B$6),IF(AND(COUNT(H488:H499)=10,COUNT(F488:F499)=10),cubic_spline(F487:F497,H487:H497,B$6),IF(AND(COUNT(H488:H499)=11,COUNT(F488:F499)=11),cubic_spline(F487:F498,H487:H498,B$6),IF(AND(COUNT(H488:H499)=12,COUNT(F488:F499)=12),cubic_spline(F487:F499,H487:H499,B$6),""))))))))))))</f>
        <v/>
      </c>
      <c r="K490" s="52" t="str">
        <f>IF(N(B$6)=0,"",IF(AND(COUNT(A488:A499)=2,COUNT(F488:F499)=2),cubic_spline(F487:F489,A487:A489,B$6),IF(AND(COUNT(A488:A499)=3,COUNT(F488:F499)=3),cubic_spline(F487:F490,A487:A490,B$6),IF(AND(COUNT(A488:A499)=4,COUNT(F488:F499)=4),cubic_spline(F487:F491,A487:A491,B$6),IF(AND(COUNT(A488:A499)=5,COUNT(F488:F499)=5),cubic_spline(F487:F492,A487:A492,B$6),IF(AND(COUNT(A488:A499)=6,COUNT(F488:F499)=6),cubic_spline(F487:F493,A487:A493,B$6),IF(AND(COUNT(A488:A499)=7,COUNT(F488:F499)=7),cubic_spline(F487:F494,A487:A494,B$6),IF(AND(COUNT(A488:A499)=8,COUNT(F488:F499)=8),cubic_spline(F487:F495,A487:A495,B$6),IF(AND(COUNT(A488:A499)=9,COUNT(F488:F499)=9),cubic_spline(F487:F496,A487:A496,B$6),IF(AND(COUNT(A488:A499)=10,COUNT(F488:F499)=10),cubic_spline(F487:F497,A487:A497,B$6),IF(AND(COUNT(A488:A499)=11,COUNT(F488:F499)=11),cubic_spline(F487:F498,A487:A498,B$6),IF(AND(COUNT(A488:A499)=12,COUNT(F488:F499)=12),cubic_spline(F487:F499,A487:A499,B$6),""))))))))))))</f>
        <v/>
      </c>
      <c r="L490" s="27" t="str">
        <f>IF(I490="","",B$5&amp;"-"&amp;B$6)</f>
        <v/>
      </c>
      <c r="M490" s="52" t="str">
        <f>IF(N(J490)=0,"",J490-J489)</f>
        <v/>
      </c>
    </row>
    <row r="491" spans="1:13" x14ac:dyDescent="0.35">
      <c r="A491" s="48"/>
      <c r="B491" s="48"/>
      <c r="C491" s="49"/>
      <c r="D491" s="50"/>
      <c r="E491" s="51" t="str">
        <f>IF(N(C491)=0,"",C491/PI()/($D$1/2)^2/$D$2*10000)</f>
        <v/>
      </c>
      <c r="F491" s="68" t="str">
        <f t="shared" si="181"/>
        <v/>
      </c>
      <c r="G491" s="69" t="str">
        <f t="shared" si="183"/>
        <v/>
      </c>
      <c r="H491" s="70" t="str">
        <f t="shared" si="182"/>
        <v/>
      </c>
      <c r="I491" s="27" t="str">
        <f>IF(N(J491)=0,"",0&amp;"-"&amp;B$7)</f>
        <v/>
      </c>
      <c r="J491" s="52" t="str">
        <f>IF(N(B$7)=0,"",IF(AND(COUNT(H488:H499)=2,COUNT(F488:F499)=2),cubic_spline(F487:F489,H487:H489,B$7),IF(AND(COUNT(H488:H499)=3,COUNT(F488:F499)=3),cubic_spline(F487:F490,H487:H490,B$7),IF(AND(COUNT(H488:H499)=4,COUNT(F488:F499)=4),cubic_spline(F487:F491,H487:H491,B$7),IF(AND(COUNT(H488:H499)=5,COUNT(F488:F499)=5),cubic_spline(F487:F492,H487:H492,B$7),IF(AND(COUNT(H488:H499)=6,COUNT(F488:F499)=6),cubic_spline(F487:F493,H487:H493,B$7),IF(AND(COUNT(H488:H499)=7,COUNT(F488:F499)=7),cubic_spline(F487:F494,H487:H494,B$7),IF(AND(COUNT(H488:H499)=8,COUNT(F488:F499)=8),cubic_spline(F487:F495,H487:H495,B$7),IF(AND(COUNT(H488:H499)=9,COUNT(F488:F499)=9),cubic_spline(F487:F496,H487:H496,B$7),IF(AND(COUNT(H488:H499)=10,COUNT(F488:F499)=10),cubic_spline(F487:F497,H487:H497,B$7),IF(AND(COUNT(H488:H499)=11,COUNT(F488:F499)=11),cubic_spline(F487:F498,H487:H498,B$7),IF(AND(COUNT(H488:H499)=12,COUNT(F488:F499)=12),cubic_spline(F487:F499,H487:H499,B$7),""))))))))))))</f>
        <v/>
      </c>
      <c r="K491" s="52" t="str">
        <f>IF(N(B$7)=0,"",IF(AND(COUNT(A488:A499)=2,COUNT(F488:F499)=2),cubic_spline(F487:F489,A487:A489,B$7),IF(AND(COUNT(A488:A499)=3,COUNT(F488:F499)=3),cubic_spline(F487:F490,A487:A490,B$7),IF(AND(COUNT(A488:A499)=4,COUNT(F488:F499)=4),cubic_spline(F487:F491,A487:A491,B$7),IF(AND(COUNT(A488:A499)=5,COUNT(F488:F499)=5),cubic_spline(F487:F492,A487:A492,B$7),IF(AND(COUNT(A488:A499)=6,COUNT(F488:F499)=6),cubic_spline(F487:F493,A487:A493,B$7),IF(AND(COUNT(A488:A499)=7,COUNT(F488:F499)=7),cubic_spline(F487:F494,A487:A494,B$7),IF(AND(COUNT(A488:A499)=8,COUNT(F488:F499)=8),cubic_spline(F487:F495,A487:A495,B$7),IF(AND(COUNT(A488:A499)=9,COUNT(F488:F499)=9),cubic_spline(F487:F496,A487:A496,B$7),IF(AND(COUNT(A488:A499)=10,COUNT(F488:F499)=10),cubic_spline(F487:F497,A487:A497,B$7),IF(AND(COUNT(A488:A499)=11,COUNT(F488:F499)=11),cubic_spline(F487:F498,A487:A498,B$7),IF(AND(COUNT(A488:A499)=12,COUNT(F488:F499)=12),cubic_spline(F487:F499,A487:A499,B$7),""))))))))))))</f>
        <v/>
      </c>
      <c r="L491" s="27" t="str">
        <f>IF(I491="","",B$6&amp;"-"&amp;B$7)</f>
        <v/>
      </c>
      <c r="M491" s="52" t="str">
        <f>IF(N(J491)=0,"",J491-J490)</f>
        <v/>
      </c>
    </row>
    <row r="492" spans="1:13" x14ac:dyDescent="0.35">
      <c r="A492" s="48"/>
      <c r="B492" s="48"/>
      <c r="C492" s="49"/>
      <c r="D492" s="50"/>
      <c r="E492" s="51" t="str">
        <f t="shared" ref="E492:E499" si="184">IF(N(C492)=0,"",C492/PI()/($D$1/2)^2/$D$2*10000)</f>
        <v/>
      </c>
      <c r="F492" s="71" t="str">
        <f t="shared" si="181"/>
        <v/>
      </c>
      <c r="G492" s="69" t="str">
        <f t="shared" si="183"/>
        <v/>
      </c>
      <c r="H492" s="70" t="str">
        <f t="shared" si="182"/>
        <v/>
      </c>
      <c r="I492" s="27" t="str">
        <f>IF(N(J492)=0,"",0&amp;"-"&amp;B$8)</f>
        <v/>
      </c>
      <c r="J492" s="52" t="str">
        <f>IF(N(B$8)=0,"",IF(AND(COUNT(H488:H499)=2,COUNT(F488:F499)=2),cubic_spline(F487:F489,H487:H489,B$8),IF(AND(COUNT(H488:H499)=3,COUNT(F488:F499)=3),cubic_spline(F487:F490,H487:H490,B$8),IF(AND(COUNT(H488:H499)=4,COUNT(F488:F499)=4),cubic_spline(F487:F491,H487:H491,B$8),IF(AND(COUNT(H488:H499)=5,COUNT(F488:F499)=5),cubic_spline(F487:F492,H487:H492,B$8),IF(AND(COUNT(H488:H499)=6,COUNT(F488:F499)=6),cubic_spline(F487:F493,H487:H493,B$8),IF(AND(COUNT(H488:H499)=7,COUNT(F488:F499)=7),cubic_spline(F487:F494,H487:H494,B$8),IF(AND(COUNT(H488:H499)=8,COUNT(F488:F499)=8),cubic_spline(F487:F495,H487:H495,B$8),IF(AND(COUNT(H488:H499)=9,COUNT(F488:F499)=9),cubic_spline(F487:F496,H487:H496,B$8),IF(AND(COUNT(H488:H499)=10,COUNT(F488:F499)=10),cubic_spline(F487:F497,H487:H497,B$8),IF(AND(COUNT(H488:H499)=11,COUNT(F488:F499)=11),cubic_spline(F487:F498,H487:H498,B$8),IF(AND(COUNT(H488:H499)=12,COUNT(F488:F499)=12),cubic_spline(F487:F499,H487:H499,B$8),""))))))))))))</f>
        <v/>
      </c>
      <c r="K492" s="52" t="str">
        <f>IF(N(B$8)=0,"",IF(AND(COUNT(A488:A499)=2,COUNT(F488:F499)=2),cubic_spline(F487:F489,A487:A489,B$8),IF(AND(COUNT(A488:A499)=3,COUNT(F488:F499)=3),cubic_spline(F487:F490,A487:A490,B$8),IF(AND(COUNT(A488:A499)=4,COUNT(F488:F499)=4),cubic_spline(F487:F491,A487:A491,B$8),IF(AND(COUNT(A488:A499)=5,COUNT(F488:F499)=5),cubic_spline(F487:F492,A487:A492,B$8),IF(AND(COUNT(A488:A499)=6,COUNT(F488:F499)=6),cubic_spline(F487:F493,A487:A493,B$8),IF(AND(COUNT(A488:A499)=7,COUNT(F488:F499)=7),cubic_spline(F487:F494,A487:A494,B$8),IF(AND(COUNT(A488:A499)=8,COUNT(F488:F499)=8),cubic_spline(F487:F495,A487:A495,B$8),IF(AND(COUNT(A488:A499)=9,COUNT(F488:F499)=9),cubic_spline(F487:F496,A487:A496,B$8),IF(AND(COUNT(A488:A499)=10,COUNT(F488:F499)=10),cubic_spline(F487:F497,A487:A497,B$8),IF(AND(COUNT(A488:A499)=11,COUNT(F488:F499)=11),cubic_spline(F487:F498,A487:A498,B$8),IF(AND(COUNT(A488:A499)=12,COUNT(F488:F499)=12),cubic_spline(F487:F499,A487:A499,B$8),""))))))))))))</f>
        <v/>
      </c>
      <c r="L492" s="27" t="str">
        <f>IF(I492="","",B$7&amp;"-"&amp;B$8)</f>
        <v/>
      </c>
      <c r="M492" s="52" t="str">
        <f>IF(N(J492)=0,"",J492-J491)</f>
        <v/>
      </c>
    </row>
    <row r="493" spans="1:13" x14ac:dyDescent="0.35">
      <c r="A493" s="48"/>
      <c r="B493" s="48"/>
      <c r="C493" s="49"/>
      <c r="D493" s="50"/>
      <c r="E493" s="51" t="str">
        <f t="shared" si="184"/>
        <v/>
      </c>
      <c r="F493" s="71" t="str">
        <f t="shared" si="181"/>
        <v/>
      </c>
      <c r="G493" s="69" t="str">
        <f t="shared" si="183"/>
        <v/>
      </c>
      <c r="H493" s="70" t="str">
        <f t="shared" si="182"/>
        <v/>
      </c>
      <c r="I493" s="27" t="str">
        <f>IF(N(J493)=0,"",0&amp;"-"&amp;B$9)</f>
        <v/>
      </c>
      <c r="J493" s="52" t="str">
        <f>IF(N(B$9)=0,"",IF(AND(COUNT(H488:H499)=2,COUNT(F488:F499)=2),cubic_spline(F487:F489,H487:H489,B$9),IF(AND(COUNT(H488:H499)=3,COUNT(F488:F499)=3),cubic_spline(F487:F490,H487:H490,B$9),IF(AND(COUNT(H488:H499)=4,COUNT(F488:F499)=4),cubic_spline(F487:F491,H487:H491,B$9),IF(AND(COUNT(H488:H499)=5,COUNT(F488:F499)=5),cubic_spline(F487:F492,H487:H492,B$9),IF(AND(COUNT(H488:H499)=6,COUNT(F488:F499)=6),cubic_spline(F487:F493,H487:H493,B$9),IF(AND(COUNT(H488:H499)=7,COUNT(F488:F499)=7),cubic_spline(F487:F494,H487:H494,B$9),IF(AND(COUNT(H488:H499)=8,COUNT(F488:F499)=8),cubic_spline(F487:F495,H487:H495,B$9),IF(AND(COUNT(H488:H499)=9,COUNT(F488:F499)=9),cubic_spline(F487:F496,H487:H496,B$9),IF(AND(COUNT(H488:H499)=10,COUNT(F488:F499)=10),cubic_spline(F487:F497,H487:H497,B$9),IF(AND(COUNT(H488:H499)=11,COUNT(F488:F499)=11),cubic_spline(F487:F498,H487:H498,B$9),IF(AND(COUNT(H488:H499)=12,COUNT(F488:F499)=12),cubic_spline(F487:F499,H487:H499,B$9),""))))))))))))</f>
        <v/>
      </c>
      <c r="K493" s="52" t="str">
        <f>IF(N(B$9)=0,"",IF(AND(COUNT(A488:A499)=2,COUNT(F488:F499)=2),cubic_spline(F487:F489,A487:A489,B$9),IF(AND(COUNT(A488:A499)=3,COUNT(F488:F499)=3),cubic_spline(F487:F490,A487:A490,B$9),IF(AND(COUNT(A488:A499)=4,COUNT(F488:F499)=4),cubic_spline(F487:F491,A487:A491,B$9),IF(AND(COUNT(A488:A499)=5,COUNT(F488:F499)=5),cubic_spline(F487:F492,A487:A492,B$9),IF(AND(COUNT(A488:A499)=6,COUNT(F488:F499)=6),cubic_spline(F487:F493,A487:A493,B$9),IF(AND(COUNT(A488:A499)=7,COUNT(F488:F499)=7),cubic_spline(F487:F494,A487:A494,B$9),IF(AND(COUNT(A488:A499)=8,COUNT(F488:F499)=8),cubic_spline(F487:F495,A487:A495,B$9),IF(AND(COUNT(A488:A499)=9,COUNT(F488:F499)=9),cubic_spline(F487:F496,A487:A496,B$9),IF(AND(COUNT(A488:A499)=10,COUNT(F488:F499)=10),cubic_spline(F487:F497,A487:A497,B$9),IF(AND(COUNT(A488:A499)=11,COUNT(F488:F499)=11),cubic_spline(F487:F498,A487:A498,B$9),IF(AND(COUNT(A488:A499)=12,COUNT(F488:F499)=12),cubic_spline(F487:F499,A487:A499,B$9),""))))))))))))</f>
        <v/>
      </c>
      <c r="L493" s="27" t="str">
        <f>IF(I493="","",B$8&amp;"-"&amp;B$9)</f>
        <v/>
      </c>
      <c r="M493" s="52" t="str">
        <f t="shared" ref="M493:M499" si="185">IF(N(J493)=0,"",J493-J492)</f>
        <v/>
      </c>
    </row>
    <row r="494" spans="1:13" x14ac:dyDescent="0.35">
      <c r="A494" s="48"/>
      <c r="B494" s="48"/>
      <c r="C494" s="49"/>
      <c r="D494" s="50"/>
      <c r="E494" s="51" t="str">
        <f t="shared" si="184"/>
        <v/>
      </c>
      <c r="F494" s="71" t="str">
        <f t="shared" si="181"/>
        <v/>
      </c>
      <c r="G494" s="69" t="str">
        <f t="shared" si="183"/>
        <v/>
      </c>
      <c r="H494" s="70" t="str">
        <f t="shared" si="182"/>
        <v/>
      </c>
      <c r="I494" s="27" t="str">
        <f>IF(N(J494)=0,"",0&amp;"-"&amp;B$10)</f>
        <v/>
      </c>
      <c r="J494" s="52" t="str">
        <f>IF(N(B$10)=0,"",IF(AND(COUNT(H488:H499)=2,COUNT(F488:F499)=2),cubic_spline(F487:F489,H487:H489,B$10),IF(AND(COUNT(H488:H499)=3,COUNT(F488:F499)=3),cubic_spline(F487:F490,H487:H490,B$10),IF(AND(COUNT(H488:H499)=4,COUNT(F488:F499)=4),cubic_spline(F487:F491,H487:H491,B$10),IF(AND(COUNT(H488:H499)=5,COUNT(F488:F499)=5),cubic_spline(F487:F492,H487:H492,B$10),IF(AND(COUNT(H488:H499)=6,COUNT(F488:F499)=6),cubic_spline(F487:F493,H487:H493,B$10),IF(AND(COUNT(H488:H499)=7,COUNT(F488:F499)=7),cubic_spline(F487:F494,H487:H494,B$10),IF(AND(COUNT(H488:H499)=8,COUNT(F488:F499)=8),cubic_spline(F487:F495,H487:H495,B$10),IF(AND(COUNT(H488:H499)=9,COUNT(F488:F499)=9),cubic_spline(F487:F496,H487:H496,B$10),IF(AND(COUNT(H488:H499)=10,COUNT(F488:F499)=10),cubic_spline(F487:F497,H487:H497,B$10),IF(AND(COUNT(H488:H499)=11,COUNT(F488:F499)=11),cubic_spline(F487:F498,H487:H498,B$10),IF(AND(COUNT(H488:H499)=12,COUNT(F488:F499)=12),cubic_spline(F487:F499,H487:H499,B$10),""))))))))))))</f>
        <v/>
      </c>
      <c r="K494" s="52" t="str">
        <f>IF(N(B$10)=0,"",IF(AND(COUNT(A488:A499)=2,COUNT(F488:F499)=2),cubic_spline(F487:F489,A487:A489,B$10),IF(AND(COUNT(A488:A499)=3,COUNT(F488:F499)=3),cubic_spline(F487:F490,A487:A490,B$10),IF(AND(COUNT(A488:A499)=4,COUNT(F488:F499)=4),cubic_spline(F487:F491,A487:A491,B$10),IF(AND(COUNT(A488:A499)=5,COUNT(F488:F499)=5),cubic_spline(F487:F492,A487:A492,B$10),IF(AND(COUNT(A488:A499)=6,COUNT(F488:F499)=6),cubic_spline(F487:F493,A487:A493,B$10),IF(AND(COUNT(A488:A499)=7,COUNT(F488:F499)=7),cubic_spline(F487:F494,A487:A494,B$10),IF(AND(COUNT(A488:A499)=8,COUNT(F488:F499)=8),cubic_spline(F487:F495,A487:A495,B$10),IF(AND(COUNT(A488:A499)=9,COUNT(F488:F499)=9),cubic_spline(F487:F496,A487:A496,B$10),IF(AND(COUNT(A488:A499)=10,COUNT(F488:F499)=10),cubic_spline(F487:F497,A487:A497,B$10),IF(AND(COUNT(A488:A499)=11,COUNT(F488:F499)=11),cubic_spline(F487:F498,A487:A498,B$10),IF(AND(COUNT(A488:A499)=12,COUNT(F488:F499)=12),cubic_spline(F487:F499,A487:A499,B$10),""))))))))))))</f>
        <v/>
      </c>
      <c r="L494" s="27" t="str">
        <f>IF(I494="","",B$9&amp;"-"&amp;B$10)</f>
        <v/>
      </c>
      <c r="M494" s="52" t="str">
        <f t="shared" si="185"/>
        <v/>
      </c>
    </row>
    <row r="495" spans="1:13" x14ac:dyDescent="0.35">
      <c r="A495" s="48"/>
      <c r="B495" s="48"/>
      <c r="C495" s="49"/>
      <c r="D495" s="50"/>
      <c r="E495" s="51" t="str">
        <f t="shared" si="184"/>
        <v/>
      </c>
      <c r="F495" s="71" t="str">
        <f t="shared" si="181"/>
        <v/>
      </c>
      <c r="G495" s="69" t="str">
        <f t="shared" si="183"/>
        <v/>
      </c>
      <c r="H495" s="70" t="str">
        <f t="shared" si="182"/>
        <v/>
      </c>
      <c r="I495" s="27" t="str">
        <f>IF(N(J495)=0,"",0&amp;"-"&amp;B$11)</f>
        <v/>
      </c>
      <c r="J495" s="52" t="str">
        <f>IF(N(B$11)=0,"",IF(AND(COUNT(H488:H499)=2,COUNT(F488:F499)=2),cubic_spline(F487:F489,H487:H489,B$11),IF(AND(COUNT(H488:H499)=3,COUNT(F488:F499)=3),cubic_spline(F487:F490,H487:H490,B$11),IF(AND(COUNT(H488:H499)=4,COUNT(F488:F499)=4),cubic_spline(F487:F491,H487:H491,B$11),IF(AND(COUNT(H488:H499)=5,COUNT(F488:F499)=5),cubic_spline(F487:F492,H487:H492,B$11),IF(AND(COUNT(H488:H499)=6,COUNT(F488:F499)=6),cubic_spline(F487:F493,H487:H493,B$11),IF(AND(COUNT(H488:H499)=7,COUNT(F488:F499)=7),cubic_spline(F487:F494,H487:H494,B$11),IF(AND(COUNT(H488:H499)=8,COUNT(F488:F499)=8),cubic_spline(F487:F495,H487:H495,B$11),IF(AND(COUNT(H488:H499)=9,COUNT(F488:F499)=9),cubic_spline(F487:F496,H487:H496,B$11),IF(AND(COUNT(H488:H499)=10,COUNT(F488:F499)=10),cubic_spline(F487:F497,H487:H497,B$11),IF(AND(COUNT(H488:H499)=11,COUNT(F488:F499)=11),cubic_spline(F487:F498,H487:H498,B$11),IF(AND(COUNT(H488:H499)=12,COUNT(F488:F499)=12),cubic_spline(F487:F499,H487:H499,B$11),""))))))))))))</f>
        <v/>
      </c>
      <c r="K495" s="52" t="str">
        <f>IF(N(B$11)=0,"",IF(AND(COUNT(A488:A499)=2,COUNT(F488:F499)=2),cubic_spline(F487:F489,A487:A489,B$11),IF(AND(COUNT(A488:A499)=3,COUNT(F488:F499)=3),cubic_spline(F487:F490,A487:A490,B$11),IF(AND(COUNT(A488:A499)=4,COUNT(F488:F499)=4),cubic_spline(F487:F491,A487:A491,B$11),IF(AND(COUNT(A488:A499)=5,COUNT(F488:F499)=5),cubic_spline(F487:F492,A487:A492,B$11),IF(AND(COUNT(A488:A499)=6,COUNT(F488:F499)=6),cubic_spline(F487:F493,A487:A493,B$11),IF(AND(COUNT(A488:A499)=7,COUNT(F488:F499)=7),cubic_spline(F487:F494,A487:A494,B$11),IF(AND(COUNT(A488:A499)=8,COUNT(F488:F499)=8),cubic_spline(F487:F495,A487:A495,B$11),IF(AND(COUNT(A488:A499)=9,COUNT(F488:F499)=9),cubic_spline(F487:F496,A487:A496,B$11),IF(AND(COUNT(A488:A499)=10,COUNT(F488:F499)=10),cubic_spline(F487:F497,A487:A497,B$11),IF(AND(COUNT(A488:A499)=11,COUNT(F488:F499)=11),cubic_spline(F487:F498,A487:A498,B$11),IF(AND(COUNT(A488:A499)=12,COUNT(F488:F499)=12),cubic_spline(F487:F499,A487:A499,B$11),""))))))))))))</f>
        <v/>
      </c>
      <c r="L495" s="27" t="str">
        <f>IF(I495="","",B$10&amp;"-"&amp;B$11)</f>
        <v/>
      </c>
      <c r="M495" s="52" t="str">
        <f t="shared" si="185"/>
        <v/>
      </c>
    </row>
    <row r="496" spans="1:13" x14ac:dyDescent="0.35">
      <c r="A496" s="48"/>
      <c r="B496" s="48"/>
      <c r="C496" s="49"/>
      <c r="D496" s="50"/>
      <c r="E496" s="51" t="str">
        <f t="shared" si="184"/>
        <v/>
      </c>
      <c r="F496" s="71" t="str">
        <f t="shared" si="181"/>
        <v/>
      </c>
      <c r="G496" s="69" t="str">
        <f t="shared" si="183"/>
        <v/>
      </c>
      <c r="H496" s="70" t="str">
        <f t="shared" si="182"/>
        <v/>
      </c>
      <c r="I496" s="27" t="str">
        <f>IF(N(J496)=0,"",0&amp;"-"&amp;B$12)</f>
        <v/>
      </c>
      <c r="J496" s="52" t="str">
        <f>IF(N(B$12)=0,"",IF(AND(COUNT(H488:H499)=2,COUNT(F488:F499)=2),cubic_spline(F487:F489,H487:H489,B$12),IF(AND(COUNT(H488:H499)=3,COUNT(F488:F499)=3),cubic_spline(F487:F490,H487:H490,B$12),IF(AND(COUNT(H488:H499)=4,COUNT(F488:F499)=4),cubic_spline(F487:F491,H487:H491,B$12),IF(AND(COUNT(H488:H499)=5,COUNT(F488:F499)=5),cubic_spline(F487:F492,H487:H492,B$12),IF(AND(COUNT(H488:H499)=6,COUNT(F488:F499)=6),cubic_spline(F487:F493,H487:H493,B$12),IF(AND(COUNT(H488:H499)=7,COUNT(F488:F499)=7),cubic_spline(F487:F494,H487:H494,B$12),IF(AND(COUNT(H488:H499)=8,COUNT(F488:F499)=8),cubic_spline(F487:F495,H487:H495,B$12),IF(AND(COUNT(H488:H499)=9,COUNT(F488:F499)=9),cubic_spline(F487:F496,H487:H496,B$12),IF(AND(COUNT(H488:H499)=10,COUNT(F488:F499)=10),cubic_spline(F487:F497,H487:H497,B$12),IF(AND(COUNT(H488:H499)=11,COUNT(F488:F499)=11),cubic_spline(F487:F498,H487:H498,B$12),IF(AND(COUNT(H488:H499)=12,COUNT(F488:F499)=12),cubic_spline(F487:F499,H487:H499,B$12),""))))))))))))</f>
        <v/>
      </c>
      <c r="K496" s="52" t="str">
        <f>IF(N(B$12)=0,"",IF(AND(COUNT(A488:A499)=2,COUNT(F488:F499)=2),cubic_spline(F487:F489,A487:A489,B$12),IF(AND(COUNT(A488:A499)=3,COUNT(F488:F499)=3),cubic_spline(F487:F490,A487:A490,B$12),IF(AND(COUNT(A488:A499)=4,COUNT(F488:F499)=4),cubic_spline(F487:F491,A487:A491,B$12),IF(AND(COUNT(A488:A499)=5,COUNT(F488:F499)=5),cubic_spline(F487:F492,A487:A492,B$12),IF(AND(COUNT(A488:A499)=6,COUNT(F488:F499)=6),cubic_spline(F487:F493,A487:A493,B$12),IF(AND(COUNT(A488:A499)=7,COUNT(F488:F499)=7),cubic_spline(F487:F494,A487:A494,B$12),IF(AND(COUNT(A488:A499)=8,COUNT(F488:F499)=8),cubic_spline(F487:F495,A487:A495,B$12),IF(AND(COUNT(A488:A499)=9,COUNT(F488:F499)=9),cubic_spline(F487:F496,A487:A496,B$12),IF(AND(COUNT(A488:A499)=10,COUNT(F488:F499)=10),cubic_spline(F487:F497,A487:A497,B$12),IF(AND(COUNT(A488:A499)=11,COUNT(F488:F499)=11),cubic_spline(F487:F498,A487:A498,B$12),IF(AND(COUNT(A488:A499)=12,COUNT(F488:F499)=12),cubic_spline(F487:F499,A487:A499,B$12),""))))))))))))</f>
        <v/>
      </c>
      <c r="L496" s="27" t="str">
        <f>IF(I496="","",B$11&amp;"-"&amp;B$12)</f>
        <v/>
      </c>
      <c r="M496" s="52" t="str">
        <f t="shared" si="185"/>
        <v/>
      </c>
    </row>
    <row r="497" spans="1:13" x14ac:dyDescent="0.35">
      <c r="A497" s="48"/>
      <c r="B497" s="48"/>
      <c r="C497" s="49"/>
      <c r="D497" s="50"/>
      <c r="E497" s="51" t="str">
        <f t="shared" si="184"/>
        <v/>
      </c>
      <c r="F497" s="71" t="str">
        <f t="shared" si="181"/>
        <v/>
      </c>
      <c r="G497" s="69" t="str">
        <f t="shared" si="183"/>
        <v/>
      </c>
      <c r="H497" s="70" t="str">
        <f t="shared" si="182"/>
        <v/>
      </c>
      <c r="I497" s="27" t="str">
        <f>IF(N(J497)=0,"",0&amp;"-"&amp;B$13)</f>
        <v/>
      </c>
      <c r="J497" s="52" t="str">
        <f>IF(N(B$13)=0,"",IF(AND(COUNT(H488:H499)=2,COUNT(F488:F499)=2),cubic_spline(F487:F489,H487:H489,B$13),IF(AND(COUNT(H488:H499)=3,COUNT(F488:F499)=3),cubic_spline(F487:F490,H487:H490,B$13),IF(AND(COUNT(H488:H499)=4,COUNT(F488:F499)=4),cubic_spline(F487:F491,H487:H491,B$13),IF(AND(COUNT(H488:H499)=5,COUNT(F488:F499)=5),cubic_spline(F487:F492,H487:H492,B$13),IF(AND(COUNT(H488:H499)=6,COUNT(F488:F499)=6),cubic_spline(F487:F493,H487:H493,B$13),IF(AND(COUNT(H488:H499)=7,COUNT(F488:F499)=7),cubic_spline(F487:F494,H487:H494,B$13),IF(AND(COUNT(H488:H499)=8,COUNT(F488:F499)=8),cubic_spline(F487:F495,H487:H495,B$13),IF(AND(COUNT(H488:H499)=9,COUNT(F488:F499)=9),cubic_spline(F487:F496,H487:H496,B$13),IF(AND(COUNT(H488:H499)=10,COUNT(F488:F499)=10),cubic_spline(F487:F497,H487:H497,B$13),IF(AND(COUNT(H488:H499)=11,COUNT(F488:F499)=11),cubic_spline(F487:F498,H487:H498,B$13),IF(AND(COUNT(H488:H499)=12,COUNT(F488:F499)=12),cubic_spline(F487:F499,H487:H499,B$13),""))))))))))))</f>
        <v/>
      </c>
      <c r="K497" s="52" t="str">
        <f>IF(N(B$13)=0,"",IF(AND(COUNT(A488:A499)=2,COUNT(F488:F499)=2),cubic_spline(F487:F489,A487:A489,B$13),IF(AND(COUNT(A488:A499)=3,COUNT(F488:F499)=3),cubic_spline(F487:F490,A487:A490,B$13),IF(AND(COUNT(A488:A499)=4,COUNT(F488:F499)=4),cubic_spline(F487:F491,A487:A491,B$13),IF(AND(COUNT(A488:A499)=5,COUNT(F488:F499)=5),cubic_spline(F487:F492,A487:A492,B$13),IF(AND(COUNT(A488:A499)=6,COUNT(F488:F499)=6),cubic_spline(F487:F493,A487:A493,B$13),IF(AND(COUNT(A488:A499)=7,COUNT(F488:F499)=7),cubic_spline(F487:F494,A487:A494,B$13),IF(AND(COUNT(A488:A499)=8,COUNT(F488:F499)=8),cubic_spline(F487:F495,A487:A495,B$13),IF(AND(COUNT(A488:A499)=9,COUNT(F488:F499)=9),cubic_spline(F487:F496,A487:A496,B$13),IF(AND(COUNT(A488:A499)=10,COUNT(F488:F499)=10),cubic_spline(F487:F497,A487:A497,B$13),IF(AND(COUNT(A488:A499)=11,COUNT(F488:F499)=11),cubic_spline(F487:F498,A487:A498,B$13),IF(AND(COUNT(A488:A499)=12,COUNT(F488:F499)=12),cubic_spline(F487:F499,A487:A499,B$13),""))))))))))))</f>
        <v/>
      </c>
      <c r="L497" s="27" t="str">
        <f>IF(I497="","",B$12&amp;"-"&amp;B$13)</f>
        <v/>
      </c>
      <c r="M497" s="52" t="str">
        <f t="shared" si="185"/>
        <v/>
      </c>
    </row>
    <row r="498" spans="1:13" x14ac:dyDescent="0.35">
      <c r="A498" s="48"/>
      <c r="B498" s="48"/>
      <c r="C498" s="49"/>
      <c r="D498" s="50"/>
      <c r="E498" s="51" t="str">
        <f t="shared" si="184"/>
        <v/>
      </c>
      <c r="F498" s="71" t="str">
        <f t="shared" si="181"/>
        <v/>
      </c>
      <c r="G498" s="69" t="str">
        <f t="shared" si="183"/>
        <v/>
      </c>
      <c r="H498" s="70" t="str">
        <f t="shared" si="182"/>
        <v/>
      </c>
      <c r="I498" s="27" t="str">
        <f>IF(N(J498)=0,"",0&amp;"-"&amp;B$14)</f>
        <v/>
      </c>
      <c r="J498" s="52" t="str">
        <f>IF(N(B$14)=0,"",IF(AND(COUNT(H488:H499)=2,COUNT(F488:F499)=2),cubic_spline(F487:F489,H487:H489,B$14),IF(AND(COUNT(H488:H499)=3,COUNT(F488:F499)=3),cubic_spline(F487:F490,H487:H490,B$14),IF(AND(COUNT(H488:H499)=4,COUNT(F488:F499)=4),cubic_spline(F487:F491,H487:H491,B$14),IF(AND(COUNT(H488:H499)=5,COUNT(F488:F499)=5),cubic_spline(F487:F492,H487:H492,B$14),IF(AND(COUNT(H488:H499)=6,COUNT(F488:F499)=6),cubic_spline(F487:F493,H487:H493,B$14),IF(AND(COUNT(H488:H499)=7,COUNT(F488:F499)=7),cubic_spline(F487:F494,H487:H494,B$14),IF(AND(COUNT(H488:H499)=8,COUNT(F488:F499)=8),cubic_spline(F487:F495,H487:H495,B$14),IF(AND(COUNT(H488:H499)=9,COUNT(F488:F499)=9),cubic_spline(F487:F496,H487:H496,B$14),IF(AND(COUNT(H488:H499)=10,COUNT(F488:F499)=10),cubic_spline(F487:F497,H487:H497,B$14),IF(AND(COUNT(H488:H499)=11,COUNT(F488:F499)=11),cubic_spline(F487:F498,H487:H498,B$14),IF(AND(COUNT(H488:H499)=12,COUNT(F488:F499)=12),cubic_spline(F487:F499,H487:H499,B$14),""))))))))))))</f>
        <v/>
      </c>
      <c r="K498" s="52" t="str">
        <f>IF(N(B$14)=0,"",IF(AND(COUNT(A488:A499)=2,COUNT(F488:F499)=2),cubic_spline(F487:F489,A487:A489,B$14),IF(AND(COUNT(A488:A499)=3,COUNT(F488:F499)=3),cubic_spline(F487:F490,A487:A490,B$14),IF(AND(COUNT(A488:A499)=4,COUNT(F488:F499)=4),cubic_spline(F487:F491,A487:A491,B$14),IF(AND(COUNT(A488:A499)=5,COUNT(F488:F499)=5),cubic_spline(F487:F492,A487:A492,B$14),IF(AND(COUNT(A488:A499)=6,COUNT(F488:F499)=6),cubic_spline(F487:F493,A487:A493,B$14),IF(AND(COUNT(A488:A499)=7,COUNT(F488:F499)=7),cubic_spline(F487:F494,A487:A494,B$14),IF(AND(COUNT(A488:A499)=8,COUNT(F488:F499)=8),cubic_spline(F487:F495,A487:A495,B$14),IF(AND(COUNT(A488:A499)=9,COUNT(F488:F499)=9),cubic_spline(F487:F496,A487:A496,B$14),IF(AND(COUNT(A488:A499)=10,COUNT(F488:F499)=10),cubic_spline(F487:F497,A487:A497,B$14),IF(AND(COUNT(A488:A499)=11,COUNT(F488:F499)=11),cubic_spline(F487:F498,A487:A498,B$14),IF(AND(COUNT(A488:A499)=12,COUNT(F488:F499)=12),cubic_spline(F487:F499,A487:A499,B$14),""))))))))))))</f>
        <v/>
      </c>
      <c r="L498" s="27" t="str">
        <f>IF(I498="","",B$13&amp;"-"&amp;B$14)</f>
        <v/>
      </c>
      <c r="M498" s="52" t="str">
        <f t="shared" si="185"/>
        <v/>
      </c>
    </row>
    <row r="499" spans="1:13" x14ac:dyDescent="0.35">
      <c r="A499" s="48"/>
      <c r="B499" s="48"/>
      <c r="C499" s="49"/>
      <c r="D499" s="50"/>
      <c r="E499" s="51" t="str">
        <f t="shared" si="184"/>
        <v/>
      </c>
      <c r="F499" s="71" t="str">
        <f t="shared" si="181"/>
        <v/>
      </c>
      <c r="G499" s="69" t="str">
        <f t="shared" si="183"/>
        <v/>
      </c>
      <c r="H499" s="70" t="str">
        <f t="shared" si="182"/>
        <v/>
      </c>
      <c r="I499" s="27" t="str">
        <f>IF(N(J499)=0,"",0&amp;"-"&amp;B$15)</f>
        <v/>
      </c>
      <c r="J499" s="52" t="str">
        <f>IF(N(B$15)=0,"",IF(AND(COUNT(H488:H499)=2,COUNT(F488:F499)=2),cubic_spline(F487:F489,H487:H489,B$15),IF(AND(COUNT(H488:H499)=3,COUNT(F488:F499)=3),cubic_spline(F487:F490,H487:H490,B$15),IF(AND(COUNT(H488:H499)=4,COUNT(F488:F499)=4),cubic_spline(F487:F491,H487:H491,B$15),IF(AND(COUNT(H488:H499)=5,COUNT(F488:F499)=5),cubic_spline(F487:F492,H487:H492,B$15),IF(AND(COUNT(H488:H499)=6,COUNT(F488:F499)=6),cubic_spline(F487:F493,H487:H493,B$15),IF(AND(COUNT(H488:H499)=7,COUNT(F488:F499)=7),cubic_spline(F487:F494,H487:H494,B$15),IF(AND(COUNT(H488:H499)=8,COUNT(F488:F499)=8),cubic_spline(F487:F495,H487:H495,B$15),IF(AND(COUNT(H488:H499)=9,COUNT(F488:F499)=9),cubic_spline(F487:F496,H487:H496,B$15),IF(AND(COUNT(H488:H499)=10,COUNT(F488:F499)=10),cubic_spline(F487:F497,H487:H497,B$15),IF(AND(COUNT(H488:H499)=11,COUNT(F488:F499)=11),cubic_spline(F487:F498,H487:H498,B$15),IF(AND(COUNT(H488:H499)=12,COUNT(F488:F499)=12),cubic_spline(F487:F499,H487:H499,B$15),""))))))))))))</f>
        <v/>
      </c>
      <c r="K499" s="52" t="str">
        <f>IF(N(B$15)=0,"",IF(AND(COUNT(A488:A499)=2,COUNT(F488:F499)=2),cubic_spline(F487:F489,A487:A489,B$15),IF(AND(COUNT(A488:A499)=3,COUNT(F488:F499)=3),cubic_spline(F487:F490,A487:A490,B$15),IF(AND(COUNT(A488:A499)=4,COUNT(F488:F499)=4),cubic_spline(F487:F491,A487:A491,B$15),IF(AND(COUNT(A488:A499)=5,COUNT(F488:F499)=5),cubic_spline(F487:F492,A487:A492,B$15),IF(AND(COUNT(A488:A499)=6,COUNT(F488:F499)=6),cubic_spline(F487:F493,A487:A493,B$15),IF(AND(COUNT(A488:A499)=7,COUNT(F488:F499)=7),cubic_spline(F487:F494,A487:A494,B$15),IF(AND(COUNT(A488:A499)=8,COUNT(F488:F499)=8),cubic_spline(F487:F495,A487:A495,B$15),IF(AND(COUNT(A488:A499)=9,COUNT(F488:F499)=9),cubic_spline(F487:F496,A487:A496,B$15),IF(AND(COUNT(A488:A499)=10,COUNT(F488:F499)=10),cubic_spline(F487:F497,A487:A497,B$15),IF(AND(COUNT(A488:A499)=11,COUNT(F488:F499)=11),cubic_spline(F487:F498,A487:A498,B$15),IF(AND(COUNT(A488:A499)=12,COUNT(F488:F499)=12),cubic_spline(F487:F499,A487:A499,B$15),""))))))))))))</f>
        <v/>
      </c>
      <c r="L499" s="27" t="str">
        <f>IF(I499="","",B$14&amp;"-"&amp;B$15)</f>
        <v/>
      </c>
      <c r="M499" s="52" t="str">
        <f t="shared" si="185"/>
        <v/>
      </c>
    </row>
    <row r="500" spans="1:13" ht="5.15" customHeight="1" x14ac:dyDescent="0.35">
      <c r="A500" s="47"/>
      <c r="B500" s="47"/>
      <c r="C500" s="47"/>
      <c r="D500" s="53"/>
      <c r="E500" s="54"/>
      <c r="F500" s="55"/>
      <c r="G500" s="72"/>
      <c r="H500" s="73"/>
      <c r="I500" s="47"/>
      <c r="J500" s="57"/>
      <c r="K500" s="57"/>
      <c r="L500" s="55"/>
      <c r="M500" s="57"/>
    </row>
    <row r="501" spans="1:13" x14ac:dyDescent="0.35">
      <c r="A501" s="48"/>
      <c r="B501" s="48"/>
      <c r="C501" s="49"/>
      <c r="D501" s="50"/>
      <c r="E501" s="51" t="str">
        <f>IF(N(C501)=0,"",C501/PI()/($D$1/2)^2/$D$2*10000)</f>
        <v/>
      </c>
      <c r="F501" s="68" t="str">
        <f t="shared" ref="F501:F512" si="186">IF(N(E501)=0,"",(N(E501)+N(F500)))</f>
        <v/>
      </c>
      <c r="G501" s="69" t="str">
        <f>IF(OR(N(D501)=0,N(E501)=0),"",(E501*D501)/1000)</f>
        <v/>
      </c>
      <c r="H501" s="70" t="str">
        <f t="shared" ref="H501:H512" si="187">IF(N(G501)=0,"",(N(G501)+N(H500)))</f>
        <v/>
      </c>
      <c r="I501" s="27" t="str">
        <f>IF(N(J501)=0,"",0&amp;"-"&amp;B$4)</f>
        <v/>
      </c>
      <c r="J501" s="52" t="str">
        <f>IF(N(B$4)=0,"",IF(AND(COUNT(H501:H512)=2,COUNT(F501:F512)=2),cubic_spline(F500:F502,H500:H502,B$4),IF(AND(COUNT(H501:H512)=3,COUNT(F501:F512)=3),cubic_spline(F500:F503,H500:H503,B$4),IF(AND(COUNT(H501:H512)=4,COUNT(F501:F512)=4),cubic_spline(F500:F504,H500:H504,B$4),IF(AND(COUNT(H501:H512)=5,COUNT(F501:F512)=5),cubic_spline(F500:F505,H500:H505,B$4),IF(AND(COUNT(H501:H512)=6,COUNT(F501:F512)=6),cubic_spline(F500:F506,H500:H506,B$4),IF(AND(COUNT(H501:H512)=7,COUNT(F501:F512)=7),cubic_spline(F500:F507,H500:H507,B$4),IF(AND(COUNT(H501:H512)=8,COUNT(F501:F512)=8),cubic_spline(F500:F508,H500:H508,B$4),IF(AND(COUNT(H501:H512)=9,COUNT(F501:F512)=9),cubic_spline(F500:F509,H500:H509,B$4),IF(AND(COUNT(H501:H512)=10,COUNT(F501:F512)=10),cubic_spline(F500:F510,H500:H510,B$4),IF(AND(COUNT(H501:H512)=11,COUNT(F501:F512)=11),cubic_spline(F500:F511,H500:H511,B$4),IF(AND(COUNT(H501:H512)=12,COUNT(F501:F512)=12),cubic_spline(F500:F512,H500:H512,B$4),""))))))))))))</f>
        <v/>
      </c>
      <c r="K501" s="52" t="str">
        <f>IF(N(B$4)=0,"",IF(AND(COUNT(A501:A512)=2,COUNT(F501:F512)=2),cubic_spline(F500:F502,A500:A502,B$4),IF(AND(COUNT(A501:A512)=3,COUNT(F501:F512)=3),cubic_spline(F500:F503,A500:A503,B$4),IF(AND(COUNT(A501:A512)=4,COUNT(F501:F512)=4),cubic_spline(F500:F504,A500:A504,B$4),IF(AND(COUNT(A501:A512)=5,COUNT(F501:F512)=5),cubic_spline(F500:F505,A500:A505,B$4),IF(AND(COUNT(A501:A512)=6,COUNT(F501:F512)=6),cubic_spline(F500:F506,A500:A506,B$4),IF(AND(COUNT(A501:A512)=7,COUNT(F501:F512)=7),cubic_spline(F500:F507,A500:A507,B$4),IF(AND(COUNT(A501:A512)=8,COUNT(F501:F512)=8),cubic_spline(F500:F508,A500:A508,B$4),IF(AND(COUNT(A501:A512)=9,COUNT(F501:F512)=9),cubic_spline(F500:F509,A500:A509,B$4),IF(AND(COUNT(A501:A512)=10,COUNT(F501:F512)=10),cubic_spline(F500:F510,A500:A510,B$4),IF(AND(COUNT(A501:A512)=11,COUNT(F501:F512)=11),cubic_spline(F500:F511,A500:A511,B$4),IF(AND(COUNT(A501:A512)=12,COUNT(F501:F512)=12),cubic_spline(F500:F512,A500:A512,B$4),""))))))))))))</f>
        <v/>
      </c>
      <c r="L501" s="27" t="str">
        <f>IF(I501="","",0&amp;"-"&amp;B$4)</f>
        <v/>
      </c>
      <c r="M501" s="52" t="str">
        <f>IF(N(J501)=0,"",J501-J500)</f>
        <v/>
      </c>
    </row>
    <row r="502" spans="1:13" x14ac:dyDescent="0.35">
      <c r="A502" s="48"/>
      <c r="B502" s="48"/>
      <c r="C502" s="49"/>
      <c r="D502" s="50"/>
      <c r="E502" s="51" t="str">
        <f>IF(N(C502)=0,"",C502/PI()/($D$1/2)^2/$D$2*10000)</f>
        <v/>
      </c>
      <c r="F502" s="68" t="str">
        <f t="shared" si="186"/>
        <v/>
      </c>
      <c r="G502" s="69" t="str">
        <f t="shared" ref="G502:G512" si="188">IF(OR(N(D502)=0,N(E502)=0),"",(E502*D502)/1000)</f>
        <v/>
      </c>
      <c r="H502" s="70" t="str">
        <f t="shared" si="187"/>
        <v/>
      </c>
      <c r="I502" s="27" t="str">
        <f>IF(N(J502)=0,"",0&amp;"-"&amp;B$5)</f>
        <v/>
      </c>
      <c r="J502" s="52" t="str">
        <f>IF(N(B$5)=0,"",IF(AND(COUNT(H501:H512)=2,COUNT(F501:F512)=2),cubic_spline(F500:F502,H500:H502,B$5),IF(AND(COUNT(H501:H512)=3,COUNT(F501:F512)=3),cubic_spline(F500:F503,H500:H503,B$5),IF(AND(COUNT(H501:H512)=4,COUNT(F501:F512)=4),cubic_spline(F500:F504,H500:H504,B$5),IF(AND(COUNT(H501:H512)=5,COUNT(F501:F512)=5),cubic_spline(F500:F505,H500:H505,B$5),IF(AND(COUNT(H501:H512)=6,COUNT(F501:F512)=6),cubic_spline(F500:F506,H500:H506,B$5),IF(AND(COUNT(H501:H512)=7,COUNT(F501:F512)=7),cubic_spline(F500:F507,H500:H507,B$5),IF(AND(COUNT(H501:H512)=8,COUNT(F501:F512)=8),cubic_spline(F500:F508,H500:H508,B$5),IF(AND(COUNT(H501:H512)=9,COUNT(F501:F512)=9),cubic_spline(F500:F509,H500:H509,B$5),IF(AND(COUNT(H501:H512)=10,COUNT(F501:F512)=10),cubic_spline(F500:F510,H500:H510,B$5),IF(AND(COUNT(H501:H512)=11,COUNT(F501:F512)=11),cubic_spline(F500:F511,H500:H511,B$5),IF(AND(COUNT(H501:H512)=12,COUNT(F501:F512)=12),cubic_spline(F500:F512,H500:H512,B$5),""))))))))))))</f>
        <v/>
      </c>
      <c r="K502" s="52" t="str">
        <f>IF(N(B$5)=0,"",IF(AND(COUNT(A501:A512)=2,COUNT(F501:F512)=2),cubic_spline(F500:F502,A500:A502,B$5),IF(AND(COUNT(A501:A512)=3,COUNT(F501:F512)=3),cubic_spline(F500:F503,A500:A503,B$5),IF(AND(COUNT(A501:A512)=4,COUNT(F501:F512)=4),cubic_spline(F500:F504,A500:A504,B$5),IF(AND(COUNT(A501:A512)=5,COUNT(F501:F512)=5),cubic_spline(F500:F505,A500:A505,B$5),IF(AND(COUNT(A501:A512)=6,COUNT(F501:F512)=6),cubic_spline(F500:F506,A500:A506,B$5),IF(AND(COUNT(A501:A512)=7,COUNT(F501:F512)=7),cubic_spline(F500:F507,A500:A507,B$5),IF(AND(COUNT(A501:A512)=8,COUNT(F501:F512)=8),cubic_spline(F500:F508,A500:A508,B$5),IF(AND(COUNT(A501:A512)=9,COUNT(F501:F512)=9),cubic_spline(F500:F509,A500:A509,B$5),IF(AND(COUNT(A501:A512)=10,COUNT(F501:F512)=10),cubic_spline(F500:F510,A500:A510,B$5),IF(AND(COUNT(A501:A512)=11,COUNT(F501:F512)=11),cubic_spline(F500:F511,A500:A511,B$5),IF(AND(COUNT(A501:A512)=12,COUNT(F501:F512)=12),cubic_spline(F500:F512,A500:A512,B$5),""))))))))))))</f>
        <v/>
      </c>
      <c r="L502" s="27" t="str">
        <f>IF(I502="","",B$4&amp;"-"&amp;B$5)</f>
        <v/>
      </c>
      <c r="M502" s="52" t="str">
        <f>IF(N(J502)=0,"",J502-J501)</f>
        <v/>
      </c>
    </row>
    <row r="503" spans="1:13" x14ac:dyDescent="0.35">
      <c r="A503" s="48"/>
      <c r="B503" s="48"/>
      <c r="C503" s="49"/>
      <c r="D503" s="50"/>
      <c r="E503" s="51" t="str">
        <f>IF(N(C503)=0,"",C503/PI()/($D$1/2)^2/$D$2*10000)</f>
        <v/>
      </c>
      <c r="F503" s="68" t="str">
        <f t="shared" si="186"/>
        <v/>
      </c>
      <c r="G503" s="69" t="str">
        <f t="shared" si="188"/>
        <v/>
      </c>
      <c r="H503" s="70" t="str">
        <f t="shared" si="187"/>
        <v/>
      </c>
      <c r="I503" s="27" t="str">
        <f>IF(N(J503)=0,"",0&amp;"-"&amp;B$6)</f>
        <v/>
      </c>
      <c r="J503" s="52" t="str">
        <f>IF(N(B$6)=0,"",IF(AND(COUNT(H501:H512)=2,COUNT(F501:F512)=2),cubic_spline(F500:F502,H500:H502,B$6),IF(AND(COUNT(H501:H512)=3,COUNT(F501:F512)=3),cubic_spline(F500:F503,H500:H503,B$6),IF(AND(COUNT(H501:H512)=4,COUNT(F501:F512)=4),cubic_spline(F500:F504,H500:H504,B$6),IF(AND(COUNT(H501:H512)=5,COUNT(F501:F512)=5),cubic_spline(F500:F505,H500:H505,B$6),IF(AND(COUNT(H501:H512)=6,COUNT(F501:F512)=6),cubic_spline(F500:F506,H500:H506,B$6),IF(AND(COUNT(H501:H512)=7,COUNT(F501:F512)=7),cubic_spline(F500:F507,H500:H507,B$6),IF(AND(COUNT(H501:H512)=8,COUNT(F501:F512)=8),cubic_spline(F500:F508,H500:H508,B$6),IF(AND(COUNT(H501:H512)=9,COUNT(F501:F512)=9),cubic_spline(F500:F509,H500:H509,B$6),IF(AND(COUNT(H501:H512)=10,COUNT(F501:F512)=10),cubic_spline(F500:F510,H500:H510,B$6),IF(AND(COUNT(H501:H512)=11,COUNT(F501:F512)=11),cubic_spline(F500:F511,H500:H511,B$6),IF(AND(COUNT(H501:H512)=12,COUNT(F501:F512)=12),cubic_spline(F500:F512,H500:H512,B$6),""))))))))))))</f>
        <v/>
      </c>
      <c r="K503" s="52" t="str">
        <f>IF(N(B$6)=0,"",IF(AND(COUNT(A501:A512)=2,COUNT(F501:F512)=2),cubic_spline(F500:F502,A500:A502,B$6),IF(AND(COUNT(A501:A512)=3,COUNT(F501:F512)=3),cubic_spline(F500:F503,A500:A503,B$6),IF(AND(COUNT(A501:A512)=4,COUNT(F501:F512)=4),cubic_spline(F500:F504,A500:A504,B$6),IF(AND(COUNT(A501:A512)=5,COUNT(F501:F512)=5),cubic_spline(F500:F505,A500:A505,B$6),IF(AND(COUNT(A501:A512)=6,COUNT(F501:F512)=6),cubic_spline(F500:F506,A500:A506,B$6),IF(AND(COUNT(A501:A512)=7,COUNT(F501:F512)=7),cubic_spline(F500:F507,A500:A507,B$6),IF(AND(COUNT(A501:A512)=8,COUNT(F501:F512)=8),cubic_spline(F500:F508,A500:A508,B$6),IF(AND(COUNT(A501:A512)=9,COUNT(F501:F512)=9),cubic_spline(F500:F509,A500:A509,B$6),IF(AND(COUNT(A501:A512)=10,COUNT(F501:F512)=10),cubic_spline(F500:F510,A500:A510,B$6),IF(AND(COUNT(A501:A512)=11,COUNT(F501:F512)=11),cubic_spline(F500:F511,A500:A511,B$6),IF(AND(COUNT(A501:A512)=12,COUNT(F501:F512)=12),cubic_spline(F500:F512,A500:A512,B$6),""))))))))))))</f>
        <v/>
      </c>
      <c r="L503" s="27" t="str">
        <f>IF(I503="","",B$5&amp;"-"&amp;B$6)</f>
        <v/>
      </c>
      <c r="M503" s="52" t="str">
        <f>IF(N(J503)=0,"",J503-J502)</f>
        <v/>
      </c>
    </row>
    <row r="504" spans="1:13" x14ac:dyDescent="0.35">
      <c r="A504" s="48"/>
      <c r="B504" s="48"/>
      <c r="C504" s="49"/>
      <c r="D504" s="50"/>
      <c r="E504" s="51" t="str">
        <f>IF(N(C504)=0,"",C504/PI()/($D$1/2)^2/$D$2*10000)</f>
        <v/>
      </c>
      <c r="F504" s="68" t="str">
        <f t="shared" si="186"/>
        <v/>
      </c>
      <c r="G504" s="69" t="str">
        <f t="shared" si="188"/>
        <v/>
      </c>
      <c r="H504" s="70" t="str">
        <f t="shared" si="187"/>
        <v/>
      </c>
      <c r="I504" s="27" t="str">
        <f>IF(N(J504)=0,"",0&amp;"-"&amp;B$7)</f>
        <v/>
      </c>
      <c r="J504" s="52" t="str">
        <f>IF(N(B$7)=0,"",IF(AND(COUNT(H501:H512)=2,COUNT(F501:F512)=2),cubic_spline(F500:F502,H500:H502,B$7),IF(AND(COUNT(H501:H512)=3,COUNT(F501:F512)=3),cubic_spline(F500:F503,H500:H503,B$7),IF(AND(COUNT(H501:H512)=4,COUNT(F501:F512)=4),cubic_spline(F500:F504,H500:H504,B$7),IF(AND(COUNT(H501:H512)=5,COUNT(F501:F512)=5),cubic_spline(F500:F505,H500:H505,B$7),IF(AND(COUNT(H501:H512)=6,COUNT(F501:F512)=6),cubic_spline(F500:F506,H500:H506,B$7),IF(AND(COUNT(H501:H512)=7,COUNT(F501:F512)=7),cubic_spline(F500:F507,H500:H507,B$7),IF(AND(COUNT(H501:H512)=8,COUNT(F501:F512)=8),cubic_spline(F500:F508,H500:H508,B$7),IF(AND(COUNT(H501:H512)=9,COUNT(F501:F512)=9),cubic_spline(F500:F509,H500:H509,B$7),IF(AND(COUNT(H501:H512)=10,COUNT(F501:F512)=10),cubic_spline(F500:F510,H500:H510,B$7),IF(AND(COUNT(H501:H512)=11,COUNT(F501:F512)=11),cubic_spline(F500:F511,H500:H511,B$7),IF(AND(COUNT(H501:H512)=12,COUNT(F501:F512)=12),cubic_spline(F500:F512,H500:H512,B$7),""))))))))))))</f>
        <v/>
      </c>
      <c r="K504" s="52" t="str">
        <f>IF(N(B$7)=0,"",IF(AND(COUNT(A501:A512)=2,COUNT(F501:F512)=2),cubic_spline(F500:F502,A500:A502,B$7),IF(AND(COUNT(A501:A512)=3,COUNT(F501:F512)=3),cubic_spline(F500:F503,A500:A503,B$7),IF(AND(COUNT(A501:A512)=4,COUNT(F501:F512)=4),cubic_spline(F500:F504,A500:A504,B$7),IF(AND(COUNT(A501:A512)=5,COUNT(F501:F512)=5),cubic_spline(F500:F505,A500:A505,B$7),IF(AND(COUNT(A501:A512)=6,COUNT(F501:F512)=6),cubic_spline(F500:F506,A500:A506,B$7),IF(AND(COUNT(A501:A512)=7,COUNT(F501:F512)=7),cubic_spline(F500:F507,A500:A507,B$7),IF(AND(COUNT(A501:A512)=8,COUNT(F501:F512)=8),cubic_spline(F500:F508,A500:A508,B$7),IF(AND(COUNT(A501:A512)=9,COUNT(F501:F512)=9),cubic_spline(F500:F509,A500:A509,B$7),IF(AND(COUNT(A501:A512)=10,COUNT(F501:F512)=10),cubic_spline(F500:F510,A500:A510,B$7),IF(AND(COUNT(A501:A512)=11,COUNT(F501:F512)=11),cubic_spline(F500:F511,A500:A511,B$7),IF(AND(COUNT(A501:A512)=12,COUNT(F501:F512)=12),cubic_spline(F500:F512,A500:A512,B$7),""))))))))))))</f>
        <v/>
      </c>
      <c r="L504" s="27" t="str">
        <f>IF(I504="","",B$6&amp;"-"&amp;B$7)</f>
        <v/>
      </c>
      <c r="M504" s="52" t="str">
        <f>IF(N(J504)=0,"",J504-J503)</f>
        <v/>
      </c>
    </row>
    <row r="505" spans="1:13" x14ac:dyDescent="0.35">
      <c r="A505" s="48"/>
      <c r="B505" s="48"/>
      <c r="C505" s="49"/>
      <c r="D505" s="50"/>
      <c r="E505" s="51" t="str">
        <f t="shared" ref="E505:E512" si="189">IF(N(C505)=0,"",C505/PI()/($D$1/2)^2/$D$2*10000)</f>
        <v/>
      </c>
      <c r="F505" s="71" t="str">
        <f t="shared" si="186"/>
        <v/>
      </c>
      <c r="G505" s="69" t="str">
        <f t="shared" si="188"/>
        <v/>
      </c>
      <c r="H505" s="70" t="str">
        <f t="shared" si="187"/>
        <v/>
      </c>
      <c r="I505" s="27" t="str">
        <f>IF(N(J505)=0,"",0&amp;"-"&amp;B$8)</f>
        <v/>
      </c>
      <c r="J505" s="52" t="str">
        <f>IF(N(B$8)=0,"",IF(AND(COUNT(H501:H512)=2,COUNT(F501:F512)=2),cubic_spline(F500:F502,H500:H502,B$8),IF(AND(COUNT(H501:H512)=3,COUNT(F501:F512)=3),cubic_spline(F500:F503,H500:H503,B$8),IF(AND(COUNT(H501:H512)=4,COUNT(F501:F512)=4),cubic_spline(F500:F504,H500:H504,B$8),IF(AND(COUNT(H501:H512)=5,COUNT(F501:F512)=5),cubic_spline(F500:F505,H500:H505,B$8),IF(AND(COUNT(H501:H512)=6,COUNT(F501:F512)=6),cubic_spline(F500:F506,H500:H506,B$8),IF(AND(COUNT(H501:H512)=7,COUNT(F501:F512)=7),cubic_spline(F500:F507,H500:H507,B$8),IF(AND(COUNT(H501:H512)=8,COUNT(F501:F512)=8),cubic_spline(F500:F508,H500:H508,B$8),IF(AND(COUNT(H501:H512)=9,COUNT(F501:F512)=9),cubic_spline(F500:F509,H500:H509,B$8),IF(AND(COUNT(H501:H512)=10,COUNT(F501:F512)=10),cubic_spline(F500:F510,H500:H510,B$8),IF(AND(COUNT(H501:H512)=11,COUNT(F501:F512)=11),cubic_spline(F500:F511,H500:H511,B$8),IF(AND(COUNT(H501:H512)=12,COUNT(F501:F512)=12),cubic_spline(F500:F512,H500:H512,B$8),""))))))))))))</f>
        <v/>
      </c>
      <c r="K505" s="52" t="str">
        <f>IF(N(B$8)=0,"",IF(AND(COUNT(A501:A512)=2,COUNT(F501:F512)=2),cubic_spline(F500:F502,A500:A502,B$8),IF(AND(COUNT(A501:A512)=3,COUNT(F501:F512)=3),cubic_spline(F500:F503,A500:A503,B$8),IF(AND(COUNT(A501:A512)=4,COUNT(F501:F512)=4),cubic_spline(F500:F504,A500:A504,B$8),IF(AND(COUNT(A501:A512)=5,COUNT(F501:F512)=5),cubic_spline(F500:F505,A500:A505,B$8),IF(AND(COUNT(A501:A512)=6,COUNT(F501:F512)=6),cubic_spline(F500:F506,A500:A506,B$8),IF(AND(COUNT(A501:A512)=7,COUNT(F501:F512)=7),cubic_spline(F500:F507,A500:A507,B$8),IF(AND(COUNT(A501:A512)=8,COUNT(F501:F512)=8),cubic_spline(F500:F508,A500:A508,B$8),IF(AND(COUNT(A501:A512)=9,COUNT(F501:F512)=9),cubic_spline(F500:F509,A500:A509,B$8),IF(AND(COUNT(A501:A512)=10,COUNT(F501:F512)=10),cubic_spline(F500:F510,A500:A510,B$8),IF(AND(COUNT(A501:A512)=11,COUNT(F501:F512)=11),cubic_spline(F500:F511,A500:A511,B$8),IF(AND(COUNT(A501:A512)=12,COUNT(F501:F512)=12),cubic_spline(F500:F512,A500:A512,B$8),""))))))))))))</f>
        <v/>
      </c>
      <c r="L505" s="27" t="str">
        <f>IF(I505="","",B$7&amp;"-"&amp;B$8)</f>
        <v/>
      </c>
      <c r="M505" s="52" t="str">
        <f>IF(N(J505)=0,"",J505-J504)</f>
        <v/>
      </c>
    </row>
    <row r="506" spans="1:13" x14ac:dyDescent="0.35">
      <c r="A506" s="48"/>
      <c r="B506" s="48"/>
      <c r="C506" s="49"/>
      <c r="D506" s="50"/>
      <c r="E506" s="51" t="str">
        <f t="shared" si="189"/>
        <v/>
      </c>
      <c r="F506" s="71" t="str">
        <f t="shared" si="186"/>
        <v/>
      </c>
      <c r="G506" s="69" t="str">
        <f t="shared" si="188"/>
        <v/>
      </c>
      <c r="H506" s="70" t="str">
        <f t="shared" si="187"/>
        <v/>
      </c>
      <c r="I506" s="27" t="str">
        <f>IF(N(J506)=0,"",0&amp;"-"&amp;B$9)</f>
        <v/>
      </c>
      <c r="J506" s="52" t="str">
        <f>IF(N(B$9)=0,"",IF(AND(COUNT(H501:H512)=2,COUNT(F501:F512)=2),cubic_spline(F500:F502,H500:H502,B$9),IF(AND(COUNT(H501:H512)=3,COUNT(F501:F512)=3),cubic_spline(F500:F503,H500:H503,B$9),IF(AND(COUNT(H501:H512)=4,COUNT(F501:F512)=4),cubic_spline(F500:F504,H500:H504,B$9),IF(AND(COUNT(H501:H512)=5,COUNT(F501:F512)=5),cubic_spline(F500:F505,H500:H505,B$9),IF(AND(COUNT(H501:H512)=6,COUNT(F501:F512)=6),cubic_spline(F500:F506,H500:H506,B$9),IF(AND(COUNT(H501:H512)=7,COUNT(F501:F512)=7),cubic_spline(F500:F507,H500:H507,B$9),IF(AND(COUNT(H501:H512)=8,COUNT(F501:F512)=8),cubic_spline(F500:F508,H500:H508,B$9),IF(AND(COUNT(H501:H512)=9,COUNT(F501:F512)=9),cubic_spline(F500:F509,H500:H509,B$9),IF(AND(COUNT(H501:H512)=10,COUNT(F501:F512)=10),cubic_spline(F500:F510,H500:H510,B$9),IF(AND(COUNT(H501:H512)=11,COUNT(F501:F512)=11),cubic_spline(F500:F511,H500:H511,B$9),IF(AND(COUNT(H501:H512)=12,COUNT(F501:F512)=12),cubic_spline(F500:F512,H500:H512,B$9),""))))))))))))</f>
        <v/>
      </c>
      <c r="K506" s="52" t="str">
        <f>IF(N(B$9)=0,"",IF(AND(COUNT(A501:A512)=2,COUNT(F501:F512)=2),cubic_spline(F500:F502,A500:A502,B$9),IF(AND(COUNT(A501:A512)=3,COUNT(F501:F512)=3),cubic_spline(F500:F503,A500:A503,B$9),IF(AND(COUNT(A501:A512)=4,COUNT(F501:F512)=4),cubic_spline(F500:F504,A500:A504,B$9),IF(AND(COUNT(A501:A512)=5,COUNT(F501:F512)=5),cubic_spline(F500:F505,A500:A505,B$9),IF(AND(COUNT(A501:A512)=6,COUNT(F501:F512)=6),cubic_spline(F500:F506,A500:A506,B$9),IF(AND(COUNT(A501:A512)=7,COUNT(F501:F512)=7),cubic_spline(F500:F507,A500:A507,B$9),IF(AND(COUNT(A501:A512)=8,COUNT(F501:F512)=8),cubic_spline(F500:F508,A500:A508,B$9),IF(AND(COUNT(A501:A512)=9,COUNT(F501:F512)=9),cubic_spline(F500:F509,A500:A509,B$9),IF(AND(COUNT(A501:A512)=10,COUNT(F501:F512)=10),cubic_spline(F500:F510,A500:A510,B$9),IF(AND(COUNT(A501:A512)=11,COUNT(F501:F512)=11),cubic_spline(F500:F511,A500:A511,B$9),IF(AND(COUNT(A501:A512)=12,COUNT(F501:F512)=12),cubic_spline(F500:F512,A500:A512,B$9),""))))))))))))</f>
        <v/>
      </c>
      <c r="L506" s="27" t="str">
        <f>IF(I506="","",B$8&amp;"-"&amp;B$9)</f>
        <v/>
      </c>
      <c r="M506" s="52" t="str">
        <f t="shared" ref="M506:M512" si="190">IF(N(J506)=0,"",J506-J505)</f>
        <v/>
      </c>
    </row>
    <row r="507" spans="1:13" x14ac:dyDescent="0.35">
      <c r="A507" s="48"/>
      <c r="B507" s="48"/>
      <c r="C507" s="49"/>
      <c r="D507" s="50"/>
      <c r="E507" s="51" t="str">
        <f t="shared" si="189"/>
        <v/>
      </c>
      <c r="F507" s="71" t="str">
        <f t="shared" si="186"/>
        <v/>
      </c>
      <c r="G507" s="69" t="str">
        <f t="shared" si="188"/>
        <v/>
      </c>
      <c r="H507" s="70" t="str">
        <f t="shared" si="187"/>
        <v/>
      </c>
      <c r="I507" s="27" t="str">
        <f>IF(N(J507)=0,"",0&amp;"-"&amp;B$10)</f>
        <v/>
      </c>
      <c r="J507" s="52" t="str">
        <f>IF(N(B$10)=0,"",IF(AND(COUNT(H501:H512)=2,COUNT(F501:F512)=2),cubic_spline(F500:F502,H500:H502,B$10),IF(AND(COUNT(H501:H512)=3,COUNT(F501:F512)=3),cubic_spline(F500:F503,H500:H503,B$10),IF(AND(COUNT(H501:H512)=4,COUNT(F501:F512)=4),cubic_spline(F500:F504,H500:H504,B$10),IF(AND(COUNT(H501:H512)=5,COUNT(F501:F512)=5),cubic_spline(F500:F505,H500:H505,B$10),IF(AND(COUNT(H501:H512)=6,COUNT(F501:F512)=6),cubic_spline(F500:F506,H500:H506,B$10),IF(AND(COUNT(H501:H512)=7,COUNT(F501:F512)=7),cubic_spline(F500:F507,H500:H507,B$10),IF(AND(COUNT(H501:H512)=8,COUNT(F501:F512)=8),cubic_spline(F500:F508,H500:H508,B$10),IF(AND(COUNT(H501:H512)=9,COUNT(F501:F512)=9),cubic_spline(F500:F509,H500:H509,B$10),IF(AND(COUNT(H501:H512)=10,COUNT(F501:F512)=10),cubic_spline(F500:F510,H500:H510,B$10),IF(AND(COUNT(H501:H512)=11,COUNT(F501:F512)=11),cubic_spline(F500:F511,H500:H511,B$10),IF(AND(COUNT(H501:H512)=12,COUNT(F501:F512)=12),cubic_spline(F500:F512,H500:H512,B$10),""))))))))))))</f>
        <v/>
      </c>
      <c r="K507" s="52" t="str">
        <f>IF(N(B$10)=0,"",IF(AND(COUNT(A501:A512)=2,COUNT(F501:F512)=2),cubic_spline(F500:F502,A500:A502,B$10),IF(AND(COUNT(A501:A512)=3,COUNT(F501:F512)=3),cubic_spline(F500:F503,A500:A503,B$10),IF(AND(COUNT(A501:A512)=4,COUNT(F501:F512)=4),cubic_spline(F500:F504,A500:A504,B$10),IF(AND(COUNT(A501:A512)=5,COUNT(F501:F512)=5),cubic_spline(F500:F505,A500:A505,B$10),IF(AND(COUNT(A501:A512)=6,COUNT(F501:F512)=6),cubic_spline(F500:F506,A500:A506,B$10),IF(AND(COUNT(A501:A512)=7,COUNT(F501:F512)=7),cubic_spline(F500:F507,A500:A507,B$10),IF(AND(COUNT(A501:A512)=8,COUNT(F501:F512)=8),cubic_spline(F500:F508,A500:A508,B$10),IF(AND(COUNT(A501:A512)=9,COUNT(F501:F512)=9),cubic_spline(F500:F509,A500:A509,B$10),IF(AND(COUNT(A501:A512)=10,COUNT(F501:F512)=10),cubic_spline(F500:F510,A500:A510,B$10),IF(AND(COUNT(A501:A512)=11,COUNT(F501:F512)=11),cubic_spline(F500:F511,A500:A511,B$10),IF(AND(COUNT(A501:A512)=12,COUNT(F501:F512)=12),cubic_spline(F500:F512,A500:A512,B$10),""))))))))))))</f>
        <v/>
      </c>
      <c r="L507" s="27" t="str">
        <f>IF(I507="","",B$9&amp;"-"&amp;B$10)</f>
        <v/>
      </c>
      <c r="M507" s="52" t="str">
        <f t="shared" si="190"/>
        <v/>
      </c>
    </row>
    <row r="508" spans="1:13" x14ac:dyDescent="0.35">
      <c r="A508" s="48"/>
      <c r="B508" s="48"/>
      <c r="C508" s="49"/>
      <c r="D508" s="50"/>
      <c r="E508" s="51" t="str">
        <f t="shared" si="189"/>
        <v/>
      </c>
      <c r="F508" s="71" t="str">
        <f t="shared" si="186"/>
        <v/>
      </c>
      <c r="G508" s="69" t="str">
        <f t="shared" si="188"/>
        <v/>
      </c>
      <c r="H508" s="70" t="str">
        <f t="shared" si="187"/>
        <v/>
      </c>
      <c r="I508" s="27" t="str">
        <f>IF(N(J508)=0,"",0&amp;"-"&amp;B$11)</f>
        <v/>
      </c>
      <c r="J508" s="52" t="str">
        <f>IF(N(B$11)=0,"",IF(AND(COUNT(H501:H512)=2,COUNT(F501:F512)=2),cubic_spline(F500:F502,H500:H502,B$11),IF(AND(COUNT(H501:H512)=3,COUNT(F501:F512)=3),cubic_spline(F500:F503,H500:H503,B$11),IF(AND(COUNT(H501:H512)=4,COUNT(F501:F512)=4),cubic_spline(F500:F504,H500:H504,B$11),IF(AND(COUNT(H501:H512)=5,COUNT(F501:F512)=5),cubic_spline(F500:F505,H500:H505,B$11),IF(AND(COUNT(H501:H512)=6,COUNT(F501:F512)=6),cubic_spline(F500:F506,H500:H506,B$11),IF(AND(COUNT(H501:H512)=7,COUNT(F501:F512)=7),cubic_spline(F500:F507,H500:H507,B$11),IF(AND(COUNT(H501:H512)=8,COUNT(F501:F512)=8),cubic_spline(F500:F508,H500:H508,B$11),IF(AND(COUNT(H501:H512)=9,COUNT(F501:F512)=9),cubic_spline(F500:F509,H500:H509,B$11),IF(AND(COUNT(H501:H512)=10,COUNT(F501:F512)=10),cubic_spline(F500:F510,H500:H510,B$11),IF(AND(COUNT(H501:H512)=11,COUNT(F501:F512)=11),cubic_spline(F500:F511,H500:H511,B$11),IF(AND(COUNT(H501:H512)=12,COUNT(F501:F512)=12),cubic_spline(F500:F512,H500:H512,B$11),""))))))))))))</f>
        <v/>
      </c>
      <c r="K508" s="52" t="str">
        <f>IF(N(B$11)=0,"",IF(AND(COUNT(A501:A512)=2,COUNT(F501:F512)=2),cubic_spline(F500:F502,A500:A502,B$11),IF(AND(COUNT(A501:A512)=3,COUNT(F501:F512)=3),cubic_spline(F500:F503,A500:A503,B$11),IF(AND(COUNT(A501:A512)=4,COUNT(F501:F512)=4),cubic_spline(F500:F504,A500:A504,B$11),IF(AND(COUNT(A501:A512)=5,COUNT(F501:F512)=5),cubic_spline(F500:F505,A500:A505,B$11),IF(AND(COUNT(A501:A512)=6,COUNT(F501:F512)=6),cubic_spline(F500:F506,A500:A506,B$11),IF(AND(COUNT(A501:A512)=7,COUNT(F501:F512)=7),cubic_spline(F500:F507,A500:A507,B$11),IF(AND(COUNT(A501:A512)=8,COUNT(F501:F512)=8),cubic_spline(F500:F508,A500:A508,B$11),IF(AND(COUNT(A501:A512)=9,COUNT(F501:F512)=9),cubic_spline(F500:F509,A500:A509,B$11),IF(AND(COUNT(A501:A512)=10,COUNT(F501:F512)=10),cubic_spline(F500:F510,A500:A510,B$11),IF(AND(COUNT(A501:A512)=11,COUNT(F501:F512)=11),cubic_spline(F500:F511,A500:A511,B$11),IF(AND(COUNT(A501:A512)=12,COUNT(F501:F512)=12),cubic_spline(F500:F512,A500:A512,B$11),""))))))))))))</f>
        <v/>
      </c>
      <c r="L508" s="27" t="str">
        <f>IF(I508="","",B$10&amp;"-"&amp;B$11)</f>
        <v/>
      </c>
      <c r="M508" s="52" t="str">
        <f t="shared" si="190"/>
        <v/>
      </c>
    </row>
    <row r="509" spans="1:13" x14ac:dyDescent="0.35">
      <c r="A509" s="48"/>
      <c r="B509" s="48"/>
      <c r="C509" s="49"/>
      <c r="D509" s="50"/>
      <c r="E509" s="51" t="str">
        <f t="shared" si="189"/>
        <v/>
      </c>
      <c r="F509" s="71" t="str">
        <f t="shared" si="186"/>
        <v/>
      </c>
      <c r="G509" s="69" t="str">
        <f t="shared" si="188"/>
        <v/>
      </c>
      <c r="H509" s="70" t="str">
        <f t="shared" si="187"/>
        <v/>
      </c>
      <c r="I509" s="27" t="str">
        <f>IF(N(J509)=0,"",0&amp;"-"&amp;B$12)</f>
        <v/>
      </c>
      <c r="J509" s="52" t="str">
        <f>IF(N(B$12)=0,"",IF(AND(COUNT(H501:H512)=2,COUNT(F501:F512)=2),cubic_spline(F500:F502,H500:H502,B$12),IF(AND(COUNT(H501:H512)=3,COUNT(F501:F512)=3),cubic_spline(F500:F503,H500:H503,B$12),IF(AND(COUNT(H501:H512)=4,COUNT(F501:F512)=4),cubic_spline(F500:F504,H500:H504,B$12),IF(AND(COUNT(H501:H512)=5,COUNT(F501:F512)=5),cubic_spline(F500:F505,H500:H505,B$12),IF(AND(COUNT(H501:H512)=6,COUNT(F501:F512)=6),cubic_spline(F500:F506,H500:H506,B$12),IF(AND(COUNT(H501:H512)=7,COUNT(F501:F512)=7),cubic_spline(F500:F507,H500:H507,B$12),IF(AND(COUNT(H501:H512)=8,COUNT(F501:F512)=8),cubic_spline(F500:F508,H500:H508,B$12),IF(AND(COUNT(H501:H512)=9,COUNT(F501:F512)=9),cubic_spline(F500:F509,H500:H509,B$12),IF(AND(COUNT(H501:H512)=10,COUNT(F501:F512)=10),cubic_spline(F500:F510,H500:H510,B$12),IF(AND(COUNT(H501:H512)=11,COUNT(F501:F512)=11),cubic_spline(F500:F511,H500:H511,B$12),IF(AND(COUNT(H501:H512)=12,COUNT(F501:F512)=12),cubic_spline(F500:F512,H500:H512,B$12),""))))))))))))</f>
        <v/>
      </c>
      <c r="K509" s="52" t="str">
        <f>IF(N(B$12)=0,"",IF(AND(COUNT(A501:A512)=2,COUNT(F501:F512)=2),cubic_spline(F500:F502,A500:A502,B$12),IF(AND(COUNT(A501:A512)=3,COUNT(F501:F512)=3),cubic_spline(F500:F503,A500:A503,B$12),IF(AND(COUNT(A501:A512)=4,COUNT(F501:F512)=4),cubic_spline(F500:F504,A500:A504,B$12),IF(AND(COUNT(A501:A512)=5,COUNT(F501:F512)=5),cubic_spline(F500:F505,A500:A505,B$12),IF(AND(COUNT(A501:A512)=6,COUNT(F501:F512)=6),cubic_spline(F500:F506,A500:A506,B$12),IF(AND(COUNT(A501:A512)=7,COUNT(F501:F512)=7),cubic_spline(F500:F507,A500:A507,B$12),IF(AND(COUNT(A501:A512)=8,COUNT(F501:F512)=8),cubic_spline(F500:F508,A500:A508,B$12),IF(AND(COUNT(A501:A512)=9,COUNT(F501:F512)=9),cubic_spline(F500:F509,A500:A509,B$12),IF(AND(COUNT(A501:A512)=10,COUNT(F501:F512)=10),cubic_spline(F500:F510,A500:A510,B$12),IF(AND(COUNT(A501:A512)=11,COUNT(F501:F512)=11),cubic_spline(F500:F511,A500:A511,B$12),IF(AND(COUNT(A501:A512)=12,COUNT(F501:F512)=12),cubic_spline(F500:F512,A500:A512,B$12),""))))))))))))</f>
        <v/>
      </c>
      <c r="L509" s="27" t="str">
        <f>IF(I509="","",B$11&amp;"-"&amp;B$12)</f>
        <v/>
      </c>
      <c r="M509" s="52" t="str">
        <f t="shared" si="190"/>
        <v/>
      </c>
    </row>
    <row r="510" spans="1:13" x14ac:dyDescent="0.35">
      <c r="A510" s="48"/>
      <c r="B510" s="48"/>
      <c r="C510" s="49"/>
      <c r="D510" s="50"/>
      <c r="E510" s="51" t="str">
        <f t="shared" si="189"/>
        <v/>
      </c>
      <c r="F510" s="71" t="str">
        <f t="shared" si="186"/>
        <v/>
      </c>
      <c r="G510" s="69" t="str">
        <f t="shared" si="188"/>
        <v/>
      </c>
      <c r="H510" s="70" t="str">
        <f t="shared" si="187"/>
        <v/>
      </c>
      <c r="I510" s="27" t="str">
        <f>IF(N(J510)=0,"",0&amp;"-"&amp;B$13)</f>
        <v/>
      </c>
      <c r="J510" s="52" t="str">
        <f>IF(N(B$13)=0,"",IF(AND(COUNT(H501:H512)=2,COUNT(F501:F512)=2),cubic_spline(F500:F502,H500:H502,B$13),IF(AND(COUNT(H501:H512)=3,COUNT(F501:F512)=3),cubic_spline(F500:F503,H500:H503,B$13),IF(AND(COUNT(H501:H512)=4,COUNT(F501:F512)=4),cubic_spline(F500:F504,H500:H504,B$13),IF(AND(COUNT(H501:H512)=5,COUNT(F501:F512)=5),cubic_spline(F500:F505,H500:H505,B$13),IF(AND(COUNT(H501:H512)=6,COUNT(F501:F512)=6),cubic_spline(F500:F506,H500:H506,B$13),IF(AND(COUNT(H501:H512)=7,COUNT(F501:F512)=7),cubic_spline(F500:F507,H500:H507,B$13),IF(AND(COUNT(H501:H512)=8,COUNT(F501:F512)=8),cubic_spline(F500:F508,H500:H508,B$13),IF(AND(COUNT(H501:H512)=9,COUNT(F501:F512)=9),cubic_spline(F500:F509,H500:H509,B$13),IF(AND(COUNT(H501:H512)=10,COUNT(F501:F512)=10),cubic_spline(F500:F510,H500:H510,B$13),IF(AND(COUNT(H501:H512)=11,COUNT(F501:F512)=11),cubic_spline(F500:F511,H500:H511,B$13),IF(AND(COUNT(H501:H512)=12,COUNT(F501:F512)=12),cubic_spline(F500:F512,H500:H512,B$13),""))))))))))))</f>
        <v/>
      </c>
      <c r="K510" s="52" t="str">
        <f>IF(N(B$13)=0,"",IF(AND(COUNT(A501:A512)=2,COUNT(F501:F512)=2),cubic_spline(F500:F502,A500:A502,B$13),IF(AND(COUNT(A501:A512)=3,COUNT(F501:F512)=3),cubic_spline(F500:F503,A500:A503,B$13),IF(AND(COUNT(A501:A512)=4,COUNT(F501:F512)=4),cubic_spline(F500:F504,A500:A504,B$13),IF(AND(COUNT(A501:A512)=5,COUNT(F501:F512)=5),cubic_spline(F500:F505,A500:A505,B$13),IF(AND(COUNT(A501:A512)=6,COUNT(F501:F512)=6),cubic_spline(F500:F506,A500:A506,B$13),IF(AND(COUNT(A501:A512)=7,COUNT(F501:F512)=7),cubic_spline(F500:F507,A500:A507,B$13),IF(AND(COUNT(A501:A512)=8,COUNT(F501:F512)=8),cubic_spline(F500:F508,A500:A508,B$13),IF(AND(COUNT(A501:A512)=9,COUNT(F501:F512)=9),cubic_spline(F500:F509,A500:A509,B$13),IF(AND(COUNT(A501:A512)=10,COUNT(F501:F512)=10),cubic_spline(F500:F510,A500:A510,B$13),IF(AND(COUNT(A501:A512)=11,COUNT(F501:F512)=11),cubic_spline(F500:F511,A500:A511,B$13),IF(AND(COUNT(A501:A512)=12,COUNT(F501:F512)=12),cubic_spline(F500:F512,A500:A512,B$13),""))))))))))))</f>
        <v/>
      </c>
      <c r="L510" s="27" t="str">
        <f>IF(I510="","",B$12&amp;"-"&amp;B$13)</f>
        <v/>
      </c>
      <c r="M510" s="52" t="str">
        <f t="shared" si="190"/>
        <v/>
      </c>
    </row>
    <row r="511" spans="1:13" x14ac:dyDescent="0.35">
      <c r="A511" s="48"/>
      <c r="B511" s="48"/>
      <c r="C511" s="49"/>
      <c r="D511" s="50"/>
      <c r="E511" s="51" t="str">
        <f t="shared" si="189"/>
        <v/>
      </c>
      <c r="F511" s="71" t="str">
        <f t="shared" si="186"/>
        <v/>
      </c>
      <c r="G511" s="69" t="str">
        <f t="shared" si="188"/>
        <v/>
      </c>
      <c r="H511" s="70" t="str">
        <f t="shared" si="187"/>
        <v/>
      </c>
      <c r="I511" s="27" t="str">
        <f>IF(N(J511)=0,"",0&amp;"-"&amp;B$14)</f>
        <v/>
      </c>
      <c r="J511" s="52" t="str">
        <f>IF(N(B$14)=0,"",IF(AND(COUNT(H501:H512)=2,COUNT(F501:F512)=2),cubic_spline(F500:F502,H500:H502,B$14),IF(AND(COUNT(H501:H512)=3,COUNT(F501:F512)=3),cubic_spline(F500:F503,H500:H503,B$14),IF(AND(COUNT(H501:H512)=4,COUNT(F501:F512)=4),cubic_spline(F500:F504,H500:H504,B$14),IF(AND(COUNT(H501:H512)=5,COUNT(F501:F512)=5),cubic_spline(F500:F505,H500:H505,B$14),IF(AND(COUNT(H501:H512)=6,COUNT(F501:F512)=6),cubic_spline(F500:F506,H500:H506,B$14),IF(AND(COUNT(H501:H512)=7,COUNT(F501:F512)=7),cubic_spline(F500:F507,H500:H507,B$14),IF(AND(COUNT(H501:H512)=8,COUNT(F501:F512)=8),cubic_spline(F500:F508,H500:H508,B$14),IF(AND(COUNT(H501:H512)=9,COUNT(F501:F512)=9),cubic_spline(F500:F509,H500:H509,B$14),IF(AND(COUNT(H501:H512)=10,COUNT(F501:F512)=10),cubic_spline(F500:F510,H500:H510,B$14),IF(AND(COUNT(H501:H512)=11,COUNT(F501:F512)=11),cubic_spline(F500:F511,H500:H511,B$14),IF(AND(COUNT(H501:H512)=12,COUNT(F501:F512)=12),cubic_spline(F500:F512,H500:H512,B$14),""))))))))))))</f>
        <v/>
      </c>
      <c r="K511" s="52" t="str">
        <f>IF(N(B$14)=0,"",IF(AND(COUNT(A501:A512)=2,COUNT(F501:F512)=2),cubic_spline(F500:F502,A500:A502,B$14),IF(AND(COUNT(A501:A512)=3,COUNT(F501:F512)=3),cubic_spline(F500:F503,A500:A503,B$14),IF(AND(COUNT(A501:A512)=4,COUNT(F501:F512)=4),cubic_spline(F500:F504,A500:A504,B$14),IF(AND(COUNT(A501:A512)=5,COUNT(F501:F512)=5),cubic_spline(F500:F505,A500:A505,B$14),IF(AND(COUNT(A501:A512)=6,COUNT(F501:F512)=6),cubic_spline(F500:F506,A500:A506,B$14),IF(AND(COUNT(A501:A512)=7,COUNT(F501:F512)=7),cubic_spline(F500:F507,A500:A507,B$14),IF(AND(COUNT(A501:A512)=8,COUNT(F501:F512)=8),cubic_spline(F500:F508,A500:A508,B$14),IF(AND(COUNT(A501:A512)=9,COUNT(F501:F512)=9),cubic_spline(F500:F509,A500:A509,B$14),IF(AND(COUNT(A501:A512)=10,COUNT(F501:F512)=10),cubic_spline(F500:F510,A500:A510,B$14),IF(AND(COUNT(A501:A512)=11,COUNT(F501:F512)=11),cubic_spline(F500:F511,A500:A511,B$14),IF(AND(COUNT(A501:A512)=12,COUNT(F501:F512)=12),cubic_spline(F500:F512,A500:A512,B$14),""))))))))))))</f>
        <v/>
      </c>
      <c r="L511" s="27" t="str">
        <f>IF(I511="","",B$13&amp;"-"&amp;B$14)</f>
        <v/>
      </c>
      <c r="M511" s="52" t="str">
        <f t="shared" si="190"/>
        <v/>
      </c>
    </row>
    <row r="512" spans="1:13" x14ac:dyDescent="0.35">
      <c r="A512" s="48"/>
      <c r="B512" s="48"/>
      <c r="C512" s="49"/>
      <c r="D512" s="50"/>
      <c r="E512" s="51" t="str">
        <f t="shared" si="189"/>
        <v/>
      </c>
      <c r="F512" s="71" t="str">
        <f t="shared" si="186"/>
        <v/>
      </c>
      <c r="G512" s="69" t="str">
        <f t="shared" si="188"/>
        <v/>
      </c>
      <c r="H512" s="70" t="str">
        <f t="shared" si="187"/>
        <v/>
      </c>
      <c r="I512" s="27" t="str">
        <f>IF(N(J512)=0,"",0&amp;"-"&amp;B$15)</f>
        <v/>
      </c>
      <c r="J512" s="52" t="str">
        <f>IF(N(B$15)=0,"",IF(AND(COUNT(H501:H512)=2,COUNT(F501:F512)=2),cubic_spline(F500:F502,H500:H502,B$15),IF(AND(COUNT(H501:H512)=3,COUNT(F501:F512)=3),cubic_spline(F500:F503,H500:H503,B$15),IF(AND(COUNT(H501:H512)=4,COUNT(F501:F512)=4),cubic_spline(F500:F504,H500:H504,B$15),IF(AND(COUNT(H501:H512)=5,COUNT(F501:F512)=5),cubic_spline(F500:F505,H500:H505,B$15),IF(AND(COUNT(H501:H512)=6,COUNT(F501:F512)=6),cubic_spline(F500:F506,H500:H506,B$15),IF(AND(COUNT(H501:H512)=7,COUNT(F501:F512)=7),cubic_spline(F500:F507,H500:H507,B$15),IF(AND(COUNT(H501:H512)=8,COUNT(F501:F512)=8),cubic_spline(F500:F508,H500:H508,B$15),IF(AND(COUNT(H501:H512)=9,COUNT(F501:F512)=9),cubic_spline(F500:F509,H500:H509,B$15),IF(AND(COUNT(H501:H512)=10,COUNT(F501:F512)=10),cubic_spline(F500:F510,H500:H510,B$15),IF(AND(COUNT(H501:H512)=11,COUNT(F501:F512)=11),cubic_spline(F500:F511,H500:H511,B$15),IF(AND(COUNT(H501:H512)=12,COUNT(F501:F512)=12),cubic_spline(F500:F512,H500:H512,B$15),""))))))))))))</f>
        <v/>
      </c>
      <c r="K512" s="52" t="str">
        <f>IF(N(B$15)=0,"",IF(AND(COUNT(A501:A512)=2,COUNT(F501:F512)=2),cubic_spline(F500:F502,A500:A502,B$15),IF(AND(COUNT(A501:A512)=3,COUNT(F501:F512)=3),cubic_spline(F500:F503,A500:A503,B$15),IF(AND(COUNT(A501:A512)=4,COUNT(F501:F512)=4),cubic_spline(F500:F504,A500:A504,B$15),IF(AND(COUNT(A501:A512)=5,COUNT(F501:F512)=5),cubic_spline(F500:F505,A500:A505,B$15),IF(AND(COUNT(A501:A512)=6,COUNT(F501:F512)=6),cubic_spline(F500:F506,A500:A506,B$15),IF(AND(COUNT(A501:A512)=7,COUNT(F501:F512)=7),cubic_spline(F500:F507,A500:A507,B$15),IF(AND(COUNT(A501:A512)=8,COUNT(F501:F512)=8),cubic_spline(F500:F508,A500:A508,B$15),IF(AND(COUNT(A501:A512)=9,COUNT(F501:F512)=9),cubic_spline(F500:F509,A500:A509,B$15),IF(AND(COUNT(A501:A512)=10,COUNT(F501:F512)=10),cubic_spline(F500:F510,A500:A510,B$15),IF(AND(COUNT(A501:A512)=11,COUNT(F501:F512)=11),cubic_spline(F500:F511,A500:A511,B$15),IF(AND(COUNT(A501:A512)=12,COUNT(F501:F512)=12),cubic_spline(F500:F512,A500:A512,B$15),""))))))))))))</f>
        <v/>
      </c>
      <c r="L512" s="27" t="str">
        <f>IF(I512="","",B$14&amp;"-"&amp;B$15)</f>
        <v/>
      </c>
      <c r="M512" s="52" t="str">
        <f t="shared" si="190"/>
        <v/>
      </c>
    </row>
    <row r="513" spans="1:13" ht="5.15" customHeight="1" x14ac:dyDescent="0.35">
      <c r="A513" s="47"/>
      <c r="B513" s="47"/>
      <c r="C513" s="47"/>
      <c r="D513" s="53"/>
      <c r="E513" s="54"/>
      <c r="F513" s="55"/>
      <c r="G513" s="72"/>
      <c r="H513" s="73"/>
      <c r="I513" s="47"/>
      <c r="J513" s="57"/>
      <c r="K513" s="57"/>
      <c r="L513" s="55"/>
      <c r="M513" s="57"/>
    </row>
    <row r="514" spans="1:13" x14ac:dyDescent="0.35">
      <c r="A514" s="48"/>
      <c r="B514" s="48"/>
      <c r="C514" s="49"/>
      <c r="D514" s="50"/>
      <c r="E514" s="51" t="str">
        <f>IF(N(C514)=0,"",C514/PI()/($D$1/2)^2/$D$2*10000)</f>
        <v/>
      </c>
      <c r="F514" s="68" t="str">
        <f t="shared" ref="F514:F525" si="191">IF(N(E514)=0,"",(N(E514)+N(F513)))</f>
        <v/>
      </c>
      <c r="G514" s="69" t="str">
        <f>IF(OR(N(D514)=0,N(E514)=0),"",(E514*D514)/1000)</f>
        <v/>
      </c>
      <c r="H514" s="70" t="str">
        <f t="shared" ref="H514:H525" si="192">IF(N(G514)=0,"",(N(G514)+N(H513)))</f>
        <v/>
      </c>
      <c r="I514" s="27" t="str">
        <f>IF(N(J514)=0,"",0&amp;"-"&amp;B$4)</f>
        <v/>
      </c>
      <c r="J514" s="52" t="str">
        <f>IF(N(B$4)=0,"",IF(AND(COUNT(H514:H525)=2,COUNT(F514:F525)=2),cubic_spline(F513:F515,H513:H515,B$4),IF(AND(COUNT(H514:H525)=3,COUNT(F514:F525)=3),cubic_spline(F513:F516,H513:H516,B$4),IF(AND(COUNT(H514:H525)=4,COUNT(F514:F525)=4),cubic_spline(F513:F517,H513:H517,B$4),IF(AND(COUNT(H514:H525)=5,COUNT(F514:F525)=5),cubic_spline(F513:F518,H513:H518,B$4),IF(AND(COUNT(H514:H525)=6,COUNT(F514:F525)=6),cubic_spline(F513:F519,H513:H519,B$4),IF(AND(COUNT(H514:H525)=7,COUNT(F514:F525)=7),cubic_spline(F513:F520,H513:H520,B$4),IF(AND(COUNT(H514:H525)=8,COUNT(F514:F525)=8),cubic_spline(F513:F521,H513:H521,B$4),IF(AND(COUNT(H514:H525)=9,COUNT(F514:F525)=9),cubic_spline(F513:F522,H513:H522,B$4),IF(AND(COUNT(H514:H525)=10,COUNT(F514:F525)=10),cubic_spline(F513:F523,H513:H523,B$4),IF(AND(COUNT(H514:H525)=11,COUNT(F514:F525)=11),cubic_spline(F513:F524,H513:H524,B$4),IF(AND(COUNT(H514:H525)=12,COUNT(F514:F525)=12),cubic_spline(F513:F525,H513:H525,B$4),""))))))))))))</f>
        <v/>
      </c>
      <c r="K514" s="52" t="str">
        <f>IF(N(B$4)=0,"",IF(AND(COUNT(A514:A525)=2,COUNT(F514:F525)=2),cubic_spline(F513:F515,A513:A515,B$4),IF(AND(COUNT(A514:A525)=3,COUNT(F514:F525)=3),cubic_spline(F513:F516,A513:A516,B$4),IF(AND(COUNT(A514:A525)=4,COUNT(F514:F525)=4),cubic_spline(F513:F517,A513:A517,B$4),IF(AND(COUNT(A514:A525)=5,COUNT(F514:F525)=5),cubic_spline(F513:F518,A513:A518,B$4),IF(AND(COUNT(A514:A525)=6,COUNT(F514:F525)=6),cubic_spline(F513:F519,A513:A519,B$4),IF(AND(COUNT(A514:A525)=7,COUNT(F514:F525)=7),cubic_spline(F513:F520,A513:A520,B$4),IF(AND(COUNT(A514:A525)=8,COUNT(F514:F525)=8),cubic_spline(F513:F521,A513:A521,B$4),IF(AND(COUNT(A514:A525)=9,COUNT(F514:F525)=9),cubic_spline(F513:F522,A513:A522,B$4),IF(AND(COUNT(A514:A525)=10,COUNT(F514:F525)=10),cubic_spline(F513:F523,A513:A523,B$4),IF(AND(COUNT(A514:A525)=11,COUNT(F514:F525)=11),cubic_spline(F513:F524,A513:A524,B$4),IF(AND(COUNT(A514:A525)=12,COUNT(F514:F525)=12),cubic_spline(F513:F525,A513:A525,B$4),""))))))))))))</f>
        <v/>
      </c>
      <c r="L514" s="27" t="str">
        <f>IF(I514="","",0&amp;"-"&amp;B$4)</f>
        <v/>
      </c>
      <c r="M514" s="52" t="str">
        <f>IF(N(J514)=0,"",J514-J513)</f>
        <v/>
      </c>
    </row>
    <row r="515" spans="1:13" x14ac:dyDescent="0.35">
      <c r="A515" s="48"/>
      <c r="B515" s="48"/>
      <c r="C515" s="49"/>
      <c r="D515" s="50"/>
      <c r="E515" s="51" t="str">
        <f>IF(N(C515)=0,"",C515/PI()/($D$1/2)^2/$D$2*10000)</f>
        <v/>
      </c>
      <c r="F515" s="68" t="str">
        <f t="shared" si="191"/>
        <v/>
      </c>
      <c r="G515" s="69" t="str">
        <f t="shared" ref="G515:G525" si="193">IF(OR(N(D515)=0,N(E515)=0),"",(E515*D515)/1000)</f>
        <v/>
      </c>
      <c r="H515" s="70" t="str">
        <f t="shared" si="192"/>
        <v/>
      </c>
      <c r="I515" s="27" t="str">
        <f>IF(N(J515)=0,"",0&amp;"-"&amp;B$5)</f>
        <v/>
      </c>
      <c r="J515" s="52" t="str">
        <f>IF(N(B$5)=0,"",IF(AND(COUNT(H514:H525)=2,COUNT(F514:F525)=2),cubic_spline(F513:F515,H513:H515,B$5),IF(AND(COUNT(H514:H525)=3,COUNT(F514:F525)=3),cubic_spline(F513:F516,H513:H516,B$5),IF(AND(COUNT(H514:H525)=4,COUNT(F514:F525)=4),cubic_spline(F513:F517,H513:H517,B$5),IF(AND(COUNT(H514:H525)=5,COUNT(F514:F525)=5),cubic_spline(F513:F518,H513:H518,B$5),IF(AND(COUNT(H514:H525)=6,COUNT(F514:F525)=6),cubic_spline(F513:F519,H513:H519,B$5),IF(AND(COUNT(H514:H525)=7,COUNT(F514:F525)=7),cubic_spline(F513:F520,H513:H520,B$5),IF(AND(COUNT(H514:H525)=8,COUNT(F514:F525)=8),cubic_spline(F513:F521,H513:H521,B$5),IF(AND(COUNT(H514:H525)=9,COUNT(F514:F525)=9),cubic_spline(F513:F522,H513:H522,B$5),IF(AND(COUNT(H514:H525)=10,COUNT(F514:F525)=10),cubic_spline(F513:F523,H513:H523,B$5),IF(AND(COUNT(H514:H525)=11,COUNT(F514:F525)=11),cubic_spline(F513:F524,H513:H524,B$5),IF(AND(COUNT(H514:H525)=12,COUNT(F514:F525)=12),cubic_spline(F513:F525,H513:H525,B$5),""))))))))))))</f>
        <v/>
      </c>
      <c r="K515" s="52" t="str">
        <f>IF(N(B$5)=0,"",IF(AND(COUNT(A514:A525)=2,COUNT(F514:F525)=2),cubic_spline(F513:F515,A513:A515,B$5),IF(AND(COUNT(A514:A525)=3,COUNT(F514:F525)=3),cubic_spline(F513:F516,A513:A516,B$5),IF(AND(COUNT(A514:A525)=4,COUNT(F514:F525)=4),cubic_spline(F513:F517,A513:A517,B$5),IF(AND(COUNT(A514:A525)=5,COUNT(F514:F525)=5),cubic_spline(F513:F518,A513:A518,B$5),IF(AND(COUNT(A514:A525)=6,COUNT(F514:F525)=6),cubic_spline(F513:F519,A513:A519,B$5),IF(AND(COUNT(A514:A525)=7,COUNT(F514:F525)=7),cubic_spline(F513:F520,A513:A520,B$5),IF(AND(COUNT(A514:A525)=8,COUNT(F514:F525)=8),cubic_spline(F513:F521,A513:A521,B$5),IF(AND(COUNT(A514:A525)=9,COUNT(F514:F525)=9),cubic_spline(F513:F522,A513:A522,B$5),IF(AND(COUNT(A514:A525)=10,COUNT(F514:F525)=10),cubic_spline(F513:F523,A513:A523,B$5),IF(AND(COUNT(A514:A525)=11,COUNT(F514:F525)=11),cubic_spline(F513:F524,A513:A524,B$5),IF(AND(COUNT(A514:A525)=12,COUNT(F514:F525)=12),cubic_spline(F513:F525,A513:A525,B$5),""))))))))))))</f>
        <v/>
      </c>
      <c r="L515" s="27" t="str">
        <f>IF(I515="","",B$4&amp;"-"&amp;B$5)</f>
        <v/>
      </c>
      <c r="M515" s="52" t="str">
        <f>IF(N(J515)=0,"",J515-J514)</f>
        <v/>
      </c>
    </row>
    <row r="516" spans="1:13" x14ac:dyDescent="0.35">
      <c r="A516" s="48"/>
      <c r="B516" s="48"/>
      <c r="C516" s="49"/>
      <c r="D516" s="50"/>
      <c r="E516" s="51" t="str">
        <f>IF(N(C516)=0,"",C516/PI()/($D$1/2)^2/$D$2*10000)</f>
        <v/>
      </c>
      <c r="F516" s="68" t="str">
        <f t="shared" si="191"/>
        <v/>
      </c>
      <c r="G516" s="69" t="str">
        <f t="shared" si="193"/>
        <v/>
      </c>
      <c r="H516" s="70" t="str">
        <f t="shared" si="192"/>
        <v/>
      </c>
      <c r="I516" s="27" t="str">
        <f>IF(N(J516)=0,"",0&amp;"-"&amp;B$6)</f>
        <v/>
      </c>
      <c r="J516" s="52" t="str">
        <f>IF(N(B$6)=0,"",IF(AND(COUNT(H514:H525)=2,COUNT(F514:F525)=2),cubic_spline(F513:F515,H513:H515,B$6),IF(AND(COUNT(H514:H525)=3,COUNT(F514:F525)=3),cubic_spline(F513:F516,H513:H516,B$6),IF(AND(COUNT(H514:H525)=4,COUNT(F514:F525)=4),cubic_spline(F513:F517,H513:H517,B$6),IF(AND(COUNT(H514:H525)=5,COUNT(F514:F525)=5),cubic_spline(F513:F518,H513:H518,B$6),IF(AND(COUNT(H514:H525)=6,COUNT(F514:F525)=6),cubic_spline(F513:F519,H513:H519,B$6),IF(AND(COUNT(H514:H525)=7,COUNT(F514:F525)=7),cubic_spline(F513:F520,H513:H520,B$6),IF(AND(COUNT(H514:H525)=8,COUNT(F514:F525)=8),cubic_spline(F513:F521,H513:H521,B$6),IF(AND(COUNT(H514:H525)=9,COUNT(F514:F525)=9),cubic_spline(F513:F522,H513:H522,B$6),IF(AND(COUNT(H514:H525)=10,COUNT(F514:F525)=10),cubic_spline(F513:F523,H513:H523,B$6),IF(AND(COUNT(H514:H525)=11,COUNT(F514:F525)=11),cubic_spline(F513:F524,H513:H524,B$6),IF(AND(COUNT(H514:H525)=12,COUNT(F514:F525)=12),cubic_spline(F513:F525,H513:H525,B$6),""))))))))))))</f>
        <v/>
      </c>
      <c r="K516" s="52" t="str">
        <f>IF(N(B$6)=0,"",IF(AND(COUNT(A514:A525)=2,COUNT(F514:F525)=2),cubic_spline(F513:F515,A513:A515,B$6),IF(AND(COUNT(A514:A525)=3,COUNT(F514:F525)=3),cubic_spline(F513:F516,A513:A516,B$6),IF(AND(COUNT(A514:A525)=4,COUNT(F514:F525)=4),cubic_spline(F513:F517,A513:A517,B$6),IF(AND(COUNT(A514:A525)=5,COUNT(F514:F525)=5),cubic_spline(F513:F518,A513:A518,B$6),IF(AND(COUNT(A514:A525)=6,COUNT(F514:F525)=6),cubic_spline(F513:F519,A513:A519,B$6),IF(AND(COUNT(A514:A525)=7,COUNT(F514:F525)=7),cubic_spline(F513:F520,A513:A520,B$6),IF(AND(COUNT(A514:A525)=8,COUNT(F514:F525)=8),cubic_spline(F513:F521,A513:A521,B$6),IF(AND(COUNT(A514:A525)=9,COUNT(F514:F525)=9),cubic_spline(F513:F522,A513:A522,B$6),IF(AND(COUNT(A514:A525)=10,COUNT(F514:F525)=10),cubic_spline(F513:F523,A513:A523,B$6),IF(AND(COUNT(A514:A525)=11,COUNT(F514:F525)=11),cubic_spline(F513:F524,A513:A524,B$6),IF(AND(COUNT(A514:A525)=12,COUNT(F514:F525)=12),cubic_spline(F513:F525,A513:A525,B$6),""))))))))))))</f>
        <v/>
      </c>
      <c r="L516" s="27" t="str">
        <f>IF(I516="","",B$5&amp;"-"&amp;B$6)</f>
        <v/>
      </c>
      <c r="M516" s="52" t="str">
        <f>IF(N(J516)=0,"",J516-J515)</f>
        <v/>
      </c>
    </row>
    <row r="517" spans="1:13" x14ac:dyDescent="0.35">
      <c r="A517" s="48"/>
      <c r="B517" s="48"/>
      <c r="C517" s="49"/>
      <c r="D517" s="50"/>
      <c r="E517" s="51" t="str">
        <f>IF(N(C517)=0,"",C517/PI()/($D$1/2)^2/$D$2*10000)</f>
        <v/>
      </c>
      <c r="F517" s="68" t="str">
        <f t="shared" si="191"/>
        <v/>
      </c>
      <c r="G517" s="69" t="str">
        <f t="shared" si="193"/>
        <v/>
      </c>
      <c r="H517" s="70" t="str">
        <f t="shared" si="192"/>
        <v/>
      </c>
      <c r="I517" s="27" t="str">
        <f>IF(N(J517)=0,"",0&amp;"-"&amp;B$7)</f>
        <v/>
      </c>
      <c r="J517" s="52" t="str">
        <f>IF(N(B$7)=0,"",IF(AND(COUNT(H514:H525)=2,COUNT(F514:F525)=2),cubic_spline(F513:F515,H513:H515,B$7),IF(AND(COUNT(H514:H525)=3,COUNT(F514:F525)=3),cubic_spline(F513:F516,H513:H516,B$7),IF(AND(COUNT(H514:H525)=4,COUNT(F514:F525)=4),cubic_spline(F513:F517,H513:H517,B$7),IF(AND(COUNT(H514:H525)=5,COUNT(F514:F525)=5),cubic_spline(F513:F518,H513:H518,B$7),IF(AND(COUNT(H514:H525)=6,COUNT(F514:F525)=6),cubic_spline(F513:F519,H513:H519,B$7),IF(AND(COUNT(H514:H525)=7,COUNT(F514:F525)=7),cubic_spline(F513:F520,H513:H520,B$7),IF(AND(COUNT(H514:H525)=8,COUNT(F514:F525)=8),cubic_spline(F513:F521,H513:H521,B$7),IF(AND(COUNT(H514:H525)=9,COUNT(F514:F525)=9),cubic_spline(F513:F522,H513:H522,B$7),IF(AND(COUNT(H514:H525)=10,COUNT(F514:F525)=10),cubic_spline(F513:F523,H513:H523,B$7),IF(AND(COUNT(H514:H525)=11,COUNT(F514:F525)=11),cubic_spline(F513:F524,H513:H524,B$7),IF(AND(COUNT(H514:H525)=12,COUNT(F514:F525)=12),cubic_spline(F513:F525,H513:H525,B$7),""))))))))))))</f>
        <v/>
      </c>
      <c r="K517" s="52" t="str">
        <f>IF(N(B$7)=0,"",IF(AND(COUNT(A514:A525)=2,COUNT(F514:F525)=2),cubic_spline(F513:F515,A513:A515,B$7),IF(AND(COUNT(A514:A525)=3,COUNT(F514:F525)=3),cubic_spline(F513:F516,A513:A516,B$7),IF(AND(COUNT(A514:A525)=4,COUNT(F514:F525)=4),cubic_spline(F513:F517,A513:A517,B$7),IF(AND(COUNT(A514:A525)=5,COUNT(F514:F525)=5),cubic_spline(F513:F518,A513:A518,B$7),IF(AND(COUNT(A514:A525)=6,COUNT(F514:F525)=6),cubic_spline(F513:F519,A513:A519,B$7),IF(AND(COUNT(A514:A525)=7,COUNT(F514:F525)=7),cubic_spline(F513:F520,A513:A520,B$7),IF(AND(COUNT(A514:A525)=8,COUNT(F514:F525)=8),cubic_spline(F513:F521,A513:A521,B$7),IF(AND(COUNT(A514:A525)=9,COUNT(F514:F525)=9),cubic_spline(F513:F522,A513:A522,B$7),IF(AND(COUNT(A514:A525)=10,COUNT(F514:F525)=10),cubic_spline(F513:F523,A513:A523,B$7),IF(AND(COUNT(A514:A525)=11,COUNT(F514:F525)=11),cubic_spline(F513:F524,A513:A524,B$7),IF(AND(COUNT(A514:A525)=12,COUNT(F514:F525)=12),cubic_spline(F513:F525,A513:A525,B$7),""))))))))))))</f>
        <v/>
      </c>
      <c r="L517" s="27" t="str">
        <f>IF(I517="","",B$6&amp;"-"&amp;B$7)</f>
        <v/>
      </c>
      <c r="M517" s="52" t="str">
        <f>IF(N(J517)=0,"",J517-J516)</f>
        <v/>
      </c>
    </row>
    <row r="518" spans="1:13" x14ac:dyDescent="0.35">
      <c r="A518" s="48"/>
      <c r="B518" s="48"/>
      <c r="C518" s="49"/>
      <c r="D518" s="50"/>
      <c r="E518" s="51" t="str">
        <f t="shared" ref="E518:E525" si="194">IF(N(C518)=0,"",C518/PI()/($D$1/2)^2/$D$2*10000)</f>
        <v/>
      </c>
      <c r="F518" s="71" t="str">
        <f t="shared" si="191"/>
        <v/>
      </c>
      <c r="G518" s="69" t="str">
        <f t="shared" si="193"/>
        <v/>
      </c>
      <c r="H518" s="70" t="str">
        <f t="shared" si="192"/>
        <v/>
      </c>
      <c r="I518" s="27" t="str">
        <f>IF(N(J518)=0,"",0&amp;"-"&amp;B$8)</f>
        <v/>
      </c>
      <c r="J518" s="52" t="str">
        <f>IF(N(B$8)=0,"",IF(AND(COUNT(H514:H525)=2,COUNT(F514:F525)=2),cubic_spline(F513:F515,H513:H515,B$8),IF(AND(COUNT(H514:H525)=3,COUNT(F514:F525)=3),cubic_spline(F513:F516,H513:H516,B$8),IF(AND(COUNT(H514:H525)=4,COUNT(F514:F525)=4),cubic_spline(F513:F517,H513:H517,B$8),IF(AND(COUNT(H514:H525)=5,COUNT(F514:F525)=5),cubic_spline(F513:F518,H513:H518,B$8),IF(AND(COUNT(H514:H525)=6,COUNT(F514:F525)=6),cubic_spline(F513:F519,H513:H519,B$8),IF(AND(COUNT(H514:H525)=7,COUNT(F514:F525)=7),cubic_spline(F513:F520,H513:H520,B$8),IF(AND(COUNT(H514:H525)=8,COUNT(F514:F525)=8),cubic_spline(F513:F521,H513:H521,B$8),IF(AND(COUNT(H514:H525)=9,COUNT(F514:F525)=9),cubic_spline(F513:F522,H513:H522,B$8),IF(AND(COUNT(H514:H525)=10,COUNT(F514:F525)=10),cubic_spline(F513:F523,H513:H523,B$8),IF(AND(COUNT(H514:H525)=11,COUNT(F514:F525)=11),cubic_spline(F513:F524,H513:H524,B$8),IF(AND(COUNT(H514:H525)=12,COUNT(F514:F525)=12),cubic_spline(F513:F525,H513:H525,B$8),""))))))))))))</f>
        <v/>
      </c>
      <c r="K518" s="52" t="str">
        <f>IF(N(B$8)=0,"",IF(AND(COUNT(A514:A525)=2,COUNT(F514:F525)=2),cubic_spline(F513:F515,A513:A515,B$8),IF(AND(COUNT(A514:A525)=3,COUNT(F514:F525)=3),cubic_spline(F513:F516,A513:A516,B$8),IF(AND(COUNT(A514:A525)=4,COUNT(F514:F525)=4),cubic_spline(F513:F517,A513:A517,B$8),IF(AND(COUNT(A514:A525)=5,COUNT(F514:F525)=5),cubic_spline(F513:F518,A513:A518,B$8),IF(AND(COUNT(A514:A525)=6,COUNT(F514:F525)=6),cubic_spline(F513:F519,A513:A519,B$8),IF(AND(COUNT(A514:A525)=7,COUNT(F514:F525)=7),cubic_spline(F513:F520,A513:A520,B$8),IF(AND(COUNT(A514:A525)=8,COUNT(F514:F525)=8),cubic_spline(F513:F521,A513:A521,B$8),IF(AND(COUNT(A514:A525)=9,COUNT(F514:F525)=9),cubic_spline(F513:F522,A513:A522,B$8),IF(AND(COUNT(A514:A525)=10,COUNT(F514:F525)=10),cubic_spline(F513:F523,A513:A523,B$8),IF(AND(COUNT(A514:A525)=11,COUNT(F514:F525)=11),cubic_spline(F513:F524,A513:A524,B$8),IF(AND(COUNT(A514:A525)=12,COUNT(F514:F525)=12),cubic_spline(F513:F525,A513:A525,B$8),""))))))))))))</f>
        <v/>
      </c>
      <c r="L518" s="27" t="str">
        <f>IF(I518="","",B$7&amp;"-"&amp;B$8)</f>
        <v/>
      </c>
      <c r="M518" s="52" t="str">
        <f>IF(N(J518)=0,"",J518-J517)</f>
        <v/>
      </c>
    </row>
    <row r="519" spans="1:13" x14ac:dyDescent="0.35">
      <c r="A519" s="48"/>
      <c r="B519" s="48"/>
      <c r="C519" s="49"/>
      <c r="D519" s="50"/>
      <c r="E519" s="51" t="str">
        <f t="shared" si="194"/>
        <v/>
      </c>
      <c r="F519" s="71" t="str">
        <f t="shared" si="191"/>
        <v/>
      </c>
      <c r="G519" s="69" t="str">
        <f t="shared" si="193"/>
        <v/>
      </c>
      <c r="H519" s="70" t="str">
        <f t="shared" si="192"/>
        <v/>
      </c>
      <c r="I519" s="27" t="str">
        <f>IF(N(J519)=0,"",0&amp;"-"&amp;B$9)</f>
        <v/>
      </c>
      <c r="J519" s="52" t="str">
        <f>IF(N(B$9)=0,"",IF(AND(COUNT(H514:H525)=2,COUNT(F514:F525)=2),cubic_spline(F513:F515,H513:H515,B$9),IF(AND(COUNT(H514:H525)=3,COUNT(F514:F525)=3),cubic_spline(F513:F516,H513:H516,B$9),IF(AND(COUNT(H514:H525)=4,COUNT(F514:F525)=4),cubic_spline(F513:F517,H513:H517,B$9),IF(AND(COUNT(H514:H525)=5,COUNT(F514:F525)=5),cubic_spline(F513:F518,H513:H518,B$9),IF(AND(COUNT(H514:H525)=6,COUNT(F514:F525)=6),cubic_spline(F513:F519,H513:H519,B$9),IF(AND(COUNT(H514:H525)=7,COUNT(F514:F525)=7),cubic_spline(F513:F520,H513:H520,B$9),IF(AND(COUNT(H514:H525)=8,COUNT(F514:F525)=8),cubic_spline(F513:F521,H513:H521,B$9),IF(AND(COUNT(H514:H525)=9,COUNT(F514:F525)=9),cubic_spline(F513:F522,H513:H522,B$9),IF(AND(COUNT(H514:H525)=10,COUNT(F514:F525)=10),cubic_spline(F513:F523,H513:H523,B$9),IF(AND(COUNT(H514:H525)=11,COUNT(F514:F525)=11),cubic_spline(F513:F524,H513:H524,B$9),IF(AND(COUNT(H514:H525)=12,COUNT(F514:F525)=12),cubic_spline(F513:F525,H513:H525,B$9),""))))))))))))</f>
        <v/>
      </c>
      <c r="K519" s="52" t="str">
        <f>IF(N(B$9)=0,"",IF(AND(COUNT(A514:A525)=2,COUNT(F514:F525)=2),cubic_spline(F513:F515,A513:A515,B$9),IF(AND(COUNT(A514:A525)=3,COUNT(F514:F525)=3),cubic_spline(F513:F516,A513:A516,B$9),IF(AND(COUNT(A514:A525)=4,COUNT(F514:F525)=4),cubic_spline(F513:F517,A513:A517,B$9),IF(AND(COUNT(A514:A525)=5,COUNT(F514:F525)=5),cubic_spline(F513:F518,A513:A518,B$9),IF(AND(COUNT(A514:A525)=6,COUNT(F514:F525)=6),cubic_spline(F513:F519,A513:A519,B$9),IF(AND(COUNT(A514:A525)=7,COUNT(F514:F525)=7),cubic_spline(F513:F520,A513:A520,B$9),IF(AND(COUNT(A514:A525)=8,COUNT(F514:F525)=8),cubic_spline(F513:F521,A513:A521,B$9),IF(AND(COUNT(A514:A525)=9,COUNT(F514:F525)=9),cubic_spline(F513:F522,A513:A522,B$9),IF(AND(COUNT(A514:A525)=10,COUNT(F514:F525)=10),cubic_spline(F513:F523,A513:A523,B$9),IF(AND(COUNT(A514:A525)=11,COUNT(F514:F525)=11),cubic_spline(F513:F524,A513:A524,B$9),IF(AND(COUNT(A514:A525)=12,COUNT(F514:F525)=12),cubic_spline(F513:F525,A513:A525,B$9),""))))))))))))</f>
        <v/>
      </c>
      <c r="L519" s="27" t="str">
        <f>IF(I519="","",B$8&amp;"-"&amp;B$9)</f>
        <v/>
      </c>
      <c r="M519" s="52" t="str">
        <f t="shared" ref="M519:M525" si="195">IF(N(J519)=0,"",J519-J518)</f>
        <v/>
      </c>
    </row>
    <row r="520" spans="1:13" x14ac:dyDescent="0.35">
      <c r="A520" s="48"/>
      <c r="B520" s="48"/>
      <c r="C520" s="49"/>
      <c r="D520" s="50"/>
      <c r="E520" s="51" t="str">
        <f t="shared" si="194"/>
        <v/>
      </c>
      <c r="F520" s="71" t="str">
        <f t="shared" si="191"/>
        <v/>
      </c>
      <c r="G520" s="69" t="str">
        <f t="shared" si="193"/>
        <v/>
      </c>
      <c r="H520" s="70" t="str">
        <f t="shared" si="192"/>
        <v/>
      </c>
      <c r="I520" s="27" t="str">
        <f>IF(N(J520)=0,"",0&amp;"-"&amp;B$10)</f>
        <v/>
      </c>
      <c r="J520" s="52" t="str">
        <f>IF(N(B$10)=0,"",IF(AND(COUNT(H514:H525)=2,COUNT(F514:F525)=2),cubic_spline(F513:F515,H513:H515,B$10),IF(AND(COUNT(H514:H525)=3,COUNT(F514:F525)=3),cubic_spline(F513:F516,H513:H516,B$10),IF(AND(COUNT(H514:H525)=4,COUNT(F514:F525)=4),cubic_spline(F513:F517,H513:H517,B$10),IF(AND(COUNT(H514:H525)=5,COUNT(F514:F525)=5),cubic_spline(F513:F518,H513:H518,B$10),IF(AND(COUNT(H514:H525)=6,COUNT(F514:F525)=6),cubic_spline(F513:F519,H513:H519,B$10),IF(AND(COUNT(H514:H525)=7,COUNT(F514:F525)=7),cubic_spline(F513:F520,H513:H520,B$10),IF(AND(COUNT(H514:H525)=8,COUNT(F514:F525)=8),cubic_spline(F513:F521,H513:H521,B$10),IF(AND(COUNT(H514:H525)=9,COUNT(F514:F525)=9),cubic_spline(F513:F522,H513:H522,B$10),IF(AND(COUNT(H514:H525)=10,COUNT(F514:F525)=10),cubic_spline(F513:F523,H513:H523,B$10),IF(AND(COUNT(H514:H525)=11,COUNT(F514:F525)=11),cubic_spline(F513:F524,H513:H524,B$10),IF(AND(COUNT(H514:H525)=12,COUNT(F514:F525)=12),cubic_spline(F513:F525,H513:H525,B$10),""))))))))))))</f>
        <v/>
      </c>
      <c r="K520" s="52" t="str">
        <f>IF(N(B$10)=0,"",IF(AND(COUNT(A514:A525)=2,COUNT(F514:F525)=2),cubic_spline(F513:F515,A513:A515,B$10),IF(AND(COUNT(A514:A525)=3,COUNT(F514:F525)=3),cubic_spline(F513:F516,A513:A516,B$10),IF(AND(COUNT(A514:A525)=4,COUNT(F514:F525)=4),cubic_spline(F513:F517,A513:A517,B$10),IF(AND(COUNT(A514:A525)=5,COUNT(F514:F525)=5),cubic_spline(F513:F518,A513:A518,B$10),IF(AND(COUNT(A514:A525)=6,COUNT(F514:F525)=6),cubic_spline(F513:F519,A513:A519,B$10),IF(AND(COUNT(A514:A525)=7,COUNT(F514:F525)=7),cubic_spline(F513:F520,A513:A520,B$10),IF(AND(COUNT(A514:A525)=8,COUNT(F514:F525)=8),cubic_spline(F513:F521,A513:A521,B$10),IF(AND(COUNT(A514:A525)=9,COUNT(F514:F525)=9),cubic_spline(F513:F522,A513:A522,B$10),IF(AND(COUNT(A514:A525)=10,COUNT(F514:F525)=10),cubic_spline(F513:F523,A513:A523,B$10),IF(AND(COUNT(A514:A525)=11,COUNT(F514:F525)=11),cubic_spline(F513:F524,A513:A524,B$10),IF(AND(COUNT(A514:A525)=12,COUNT(F514:F525)=12),cubic_spline(F513:F525,A513:A525,B$10),""))))))))))))</f>
        <v/>
      </c>
      <c r="L520" s="27" t="str">
        <f>IF(I520="","",B$9&amp;"-"&amp;B$10)</f>
        <v/>
      </c>
      <c r="M520" s="52" t="str">
        <f t="shared" si="195"/>
        <v/>
      </c>
    </row>
    <row r="521" spans="1:13" x14ac:dyDescent="0.35">
      <c r="A521" s="48"/>
      <c r="B521" s="48"/>
      <c r="C521" s="49"/>
      <c r="D521" s="50"/>
      <c r="E521" s="51" t="str">
        <f t="shared" si="194"/>
        <v/>
      </c>
      <c r="F521" s="71" t="str">
        <f t="shared" si="191"/>
        <v/>
      </c>
      <c r="G521" s="69" t="str">
        <f t="shared" si="193"/>
        <v/>
      </c>
      <c r="H521" s="70" t="str">
        <f t="shared" si="192"/>
        <v/>
      </c>
      <c r="I521" s="27" t="str">
        <f>IF(N(J521)=0,"",0&amp;"-"&amp;B$11)</f>
        <v/>
      </c>
      <c r="J521" s="52" t="str">
        <f>IF(N(B$11)=0,"",IF(AND(COUNT(H514:H525)=2,COUNT(F514:F525)=2),cubic_spline(F513:F515,H513:H515,B$11),IF(AND(COUNT(H514:H525)=3,COUNT(F514:F525)=3),cubic_spline(F513:F516,H513:H516,B$11),IF(AND(COUNT(H514:H525)=4,COUNT(F514:F525)=4),cubic_spline(F513:F517,H513:H517,B$11),IF(AND(COUNT(H514:H525)=5,COUNT(F514:F525)=5),cubic_spline(F513:F518,H513:H518,B$11),IF(AND(COUNT(H514:H525)=6,COUNT(F514:F525)=6),cubic_spline(F513:F519,H513:H519,B$11),IF(AND(COUNT(H514:H525)=7,COUNT(F514:F525)=7),cubic_spline(F513:F520,H513:H520,B$11),IF(AND(COUNT(H514:H525)=8,COUNT(F514:F525)=8),cubic_spline(F513:F521,H513:H521,B$11),IF(AND(COUNT(H514:H525)=9,COUNT(F514:F525)=9),cubic_spline(F513:F522,H513:H522,B$11),IF(AND(COUNT(H514:H525)=10,COUNT(F514:F525)=10),cubic_spline(F513:F523,H513:H523,B$11),IF(AND(COUNT(H514:H525)=11,COUNT(F514:F525)=11),cubic_spline(F513:F524,H513:H524,B$11),IF(AND(COUNT(H514:H525)=12,COUNT(F514:F525)=12),cubic_spline(F513:F525,H513:H525,B$11),""))))))))))))</f>
        <v/>
      </c>
      <c r="K521" s="52" t="str">
        <f>IF(N(B$11)=0,"",IF(AND(COUNT(A514:A525)=2,COUNT(F514:F525)=2),cubic_spline(F513:F515,A513:A515,B$11),IF(AND(COUNT(A514:A525)=3,COUNT(F514:F525)=3),cubic_spline(F513:F516,A513:A516,B$11),IF(AND(COUNT(A514:A525)=4,COUNT(F514:F525)=4),cubic_spline(F513:F517,A513:A517,B$11),IF(AND(COUNT(A514:A525)=5,COUNT(F514:F525)=5),cubic_spline(F513:F518,A513:A518,B$11),IF(AND(COUNT(A514:A525)=6,COUNT(F514:F525)=6),cubic_spline(F513:F519,A513:A519,B$11),IF(AND(COUNT(A514:A525)=7,COUNT(F514:F525)=7),cubic_spline(F513:F520,A513:A520,B$11),IF(AND(COUNT(A514:A525)=8,COUNT(F514:F525)=8),cubic_spline(F513:F521,A513:A521,B$11),IF(AND(COUNT(A514:A525)=9,COUNT(F514:F525)=9),cubic_spline(F513:F522,A513:A522,B$11),IF(AND(COUNT(A514:A525)=10,COUNT(F514:F525)=10),cubic_spline(F513:F523,A513:A523,B$11),IF(AND(COUNT(A514:A525)=11,COUNT(F514:F525)=11),cubic_spline(F513:F524,A513:A524,B$11),IF(AND(COUNT(A514:A525)=12,COUNT(F514:F525)=12),cubic_spline(F513:F525,A513:A525,B$11),""))))))))))))</f>
        <v/>
      </c>
      <c r="L521" s="27" t="str">
        <f>IF(I521="","",B$10&amp;"-"&amp;B$11)</f>
        <v/>
      </c>
      <c r="M521" s="52" t="str">
        <f t="shared" si="195"/>
        <v/>
      </c>
    </row>
    <row r="522" spans="1:13" x14ac:dyDescent="0.35">
      <c r="A522" s="48"/>
      <c r="B522" s="48"/>
      <c r="C522" s="49"/>
      <c r="D522" s="50"/>
      <c r="E522" s="51" t="str">
        <f t="shared" si="194"/>
        <v/>
      </c>
      <c r="F522" s="71" t="str">
        <f t="shared" si="191"/>
        <v/>
      </c>
      <c r="G522" s="69" t="str">
        <f t="shared" si="193"/>
        <v/>
      </c>
      <c r="H522" s="70" t="str">
        <f t="shared" si="192"/>
        <v/>
      </c>
      <c r="I522" s="27" t="str">
        <f>IF(N(J522)=0,"",0&amp;"-"&amp;B$12)</f>
        <v/>
      </c>
      <c r="J522" s="52" t="str">
        <f>IF(N(B$12)=0,"",IF(AND(COUNT(H514:H525)=2,COUNT(F514:F525)=2),cubic_spline(F513:F515,H513:H515,B$12),IF(AND(COUNT(H514:H525)=3,COUNT(F514:F525)=3),cubic_spline(F513:F516,H513:H516,B$12),IF(AND(COUNT(H514:H525)=4,COUNT(F514:F525)=4),cubic_spline(F513:F517,H513:H517,B$12),IF(AND(COUNT(H514:H525)=5,COUNT(F514:F525)=5),cubic_spline(F513:F518,H513:H518,B$12),IF(AND(COUNT(H514:H525)=6,COUNT(F514:F525)=6),cubic_spline(F513:F519,H513:H519,B$12),IF(AND(COUNT(H514:H525)=7,COUNT(F514:F525)=7),cubic_spline(F513:F520,H513:H520,B$12),IF(AND(COUNT(H514:H525)=8,COUNT(F514:F525)=8),cubic_spline(F513:F521,H513:H521,B$12),IF(AND(COUNT(H514:H525)=9,COUNT(F514:F525)=9),cubic_spline(F513:F522,H513:H522,B$12),IF(AND(COUNT(H514:H525)=10,COUNT(F514:F525)=10),cubic_spline(F513:F523,H513:H523,B$12),IF(AND(COUNT(H514:H525)=11,COUNT(F514:F525)=11),cubic_spline(F513:F524,H513:H524,B$12),IF(AND(COUNT(H514:H525)=12,COUNT(F514:F525)=12),cubic_spline(F513:F525,H513:H525,B$12),""))))))))))))</f>
        <v/>
      </c>
      <c r="K522" s="52" t="str">
        <f>IF(N(B$12)=0,"",IF(AND(COUNT(A514:A525)=2,COUNT(F514:F525)=2),cubic_spline(F513:F515,A513:A515,B$12),IF(AND(COUNT(A514:A525)=3,COUNT(F514:F525)=3),cubic_spline(F513:F516,A513:A516,B$12),IF(AND(COUNT(A514:A525)=4,COUNT(F514:F525)=4),cubic_spline(F513:F517,A513:A517,B$12),IF(AND(COUNT(A514:A525)=5,COUNT(F514:F525)=5),cubic_spline(F513:F518,A513:A518,B$12),IF(AND(COUNT(A514:A525)=6,COUNT(F514:F525)=6),cubic_spline(F513:F519,A513:A519,B$12),IF(AND(COUNT(A514:A525)=7,COUNT(F514:F525)=7),cubic_spline(F513:F520,A513:A520,B$12),IF(AND(COUNT(A514:A525)=8,COUNT(F514:F525)=8),cubic_spline(F513:F521,A513:A521,B$12),IF(AND(COUNT(A514:A525)=9,COUNT(F514:F525)=9),cubic_spline(F513:F522,A513:A522,B$12),IF(AND(COUNT(A514:A525)=10,COUNT(F514:F525)=10),cubic_spline(F513:F523,A513:A523,B$12),IF(AND(COUNT(A514:A525)=11,COUNT(F514:F525)=11),cubic_spline(F513:F524,A513:A524,B$12),IF(AND(COUNT(A514:A525)=12,COUNT(F514:F525)=12),cubic_spline(F513:F525,A513:A525,B$12),""))))))))))))</f>
        <v/>
      </c>
      <c r="L522" s="27" t="str">
        <f>IF(I522="","",B$11&amp;"-"&amp;B$12)</f>
        <v/>
      </c>
      <c r="M522" s="52" t="str">
        <f t="shared" si="195"/>
        <v/>
      </c>
    </row>
    <row r="523" spans="1:13" x14ac:dyDescent="0.35">
      <c r="A523" s="48"/>
      <c r="B523" s="48"/>
      <c r="C523" s="49"/>
      <c r="D523" s="50"/>
      <c r="E523" s="51" t="str">
        <f t="shared" si="194"/>
        <v/>
      </c>
      <c r="F523" s="71" t="str">
        <f t="shared" si="191"/>
        <v/>
      </c>
      <c r="G523" s="69" t="str">
        <f t="shared" si="193"/>
        <v/>
      </c>
      <c r="H523" s="70" t="str">
        <f t="shared" si="192"/>
        <v/>
      </c>
      <c r="I523" s="27" t="str">
        <f>IF(N(J523)=0,"",0&amp;"-"&amp;B$13)</f>
        <v/>
      </c>
      <c r="J523" s="52" t="str">
        <f>IF(N(B$13)=0,"",IF(AND(COUNT(H514:H525)=2,COUNT(F514:F525)=2),cubic_spline(F513:F515,H513:H515,B$13),IF(AND(COUNT(H514:H525)=3,COUNT(F514:F525)=3),cubic_spline(F513:F516,H513:H516,B$13),IF(AND(COUNT(H514:H525)=4,COUNT(F514:F525)=4),cubic_spline(F513:F517,H513:H517,B$13),IF(AND(COUNT(H514:H525)=5,COUNT(F514:F525)=5),cubic_spline(F513:F518,H513:H518,B$13),IF(AND(COUNT(H514:H525)=6,COUNT(F514:F525)=6),cubic_spline(F513:F519,H513:H519,B$13),IF(AND(COUNT(H514:H525)=7,COUNT(F514:F525)=7),cubic_spline(F513:F520,H513:H520,B$13),IF(AND(COUNT(H514:H525)=8,COUNT(F514:F525)=8),cubic_spline(F513:F521,H513:H521,B$13),IF(AND(COUNT(H514:H525)=9,COUNT(F514:F525)=9),cubic_spline(F513:F522,H513:H522,B$13),IF(AND(COUNT(H514:H525)=10,COUNT(F514:F525)=10),cubic_spline(F513:F523,H513:H523,B$13),IF(AND(COUNT(H514:H525)=11,COUNT(F514:F525)=11),cubic_spline(F513:F524,H513:H524,B$13),IF(AND(COUNT(H514:H525)=12,COUNT(F514:F525)=12),cubic_spline(F513:F525,H513:H525,B$13),""))))))))))))</f>
        <v/>
      </c>
      <c r="K523" s="52" t="str">
        <f>IF(N(B$13)=0,"",IF(AND(COUNT(A514:A525)=2,COUNT(F514:F525)=2),cubic_spline(F513:F515,A513:A515,B$13),IF(AND(COUNT(A514:A525)=3,COUNT(F514:F525)=3),cubic_spline(F513:F516,A513:A516,B$13),IF(AND(COUNT(A514:A525)=4,COUNT(F514:F525)=4),cubic_spline(F513:F517,A513:A517,B$13),IF(AND(COUNT(A514:A525)=5,COUNT(F514:F525)=5),cubic_spline(F513:F518,A513:A518,B$13),IF(AND(COUNT(A514:A525)=6,COUNT(F514:F525)=6),cubic_spline(F513:F519,A513:A519,B$13),IF(AND(COUNT(A514:A525)=7,COUNT(F514:F525)=7),cubic_spline(F513:F520,A513:A520,B$13),IF(AND(COUNT(A514:A525)=8,COUNT(F514:F525)=8),cubic_spline(F513:F521,A513:A521,B$13),IF(AND(COUNT(A514:A525)=9,COUNT(F514:F525)=9),cubic_spline(F513:F522,A513:A522,B$13),IF(AND(COUNT(A514:A525)=10,COUNT(F514:F525)=10),cubic_spline(F513:F523,A513:A523,B$13),IF(AND(COUNT(A514:A525)=11,COUNT(F514:F525)=11),cubic_spline(F513:F524,A513:A524,B$13),IF(AND(COUNT(A514:A525)=12,COUNT(F514:F525)=12),cubic_spline(F513:F525,A513:A525,B$13),""))))))))))))</f>
        <v/>
      </c>
      <c r="L523" s="27" t="str">
        <f>IF(I523="","",B$12&amp;"-"&amp;B$13)</f>
        <v/>
      </c>
      <c r="M523" s="52" t="str">
        <f t="shared" si="195"/>
        <v/>
      </c>
    </row>
    <row r="524" spans="1:13" x14ac:dyDescent="0.35">
      <c r="A524" s="48"/>
      <c r="B524" s="48"/>
      <c r="C524" s="49"/>
      <c r="D524" s="50"/>
      <c r="E524" s="51" t="str">
        <f t="shared" si="194"/>
        <v/>
      </c>
      <c r="F524" s="71" t="str">
        <f t="shared" si="191"/>
        <v/>
      </c>
      <c r="G524" s="69" t="str">
        <f t="shared" si="193"/>
        <v/>
      </c>
      <c r="H524" s="70" t="str">
        <f t="shared" si="192"/>
        <v/>
      </c>
      <c r="I524" s="27" t="str">
        <f>IF(N(J524)=0,"",0&amp;"-"&amp;B$14)</f>
        <v/>
      </c>
      <c r="J524" s="52" t="str">
        <f>IF(N(B$14)=0,"",IF(AND(COUNT(H514:H525)=2,COUNT(F514:F525)=2),cubic_spline(F513:F515,H513:H515,B$14),IF(AND(COUNT(H514:H525)=3,COUNT(F514:F525)=3),cubic_spline(F513:F516,H513:H516,B$14),IF(AND(COUNT(H514:H525)=4,COUNT(F514:F525)=4),cubic_spline(F513:F517,H513:H517,B$14),IF(AND(COUNT(H514:H525)=5,COUNT(F514:F525)=5),cubic_spline(F513:F518,H513:H518,B$14),IF(AND(COUNT(H514:H525)=6,COUNT(F514:F525)=6),cubic_spline(F513:F519,H513:H519,B$14),IF(AND(COUNT(H514:H525)=7,COUNT(F514:F525)=7),cubic_spline(F513:F520,H513:H520,B$14),IF(AND(COUNT(H514:H525)=8,COUNT(F514:F525)=8),cubic_spline(F513:F521,H513:H521,B$14),IF(AND(COUNT(H514:H525)=9,COUNT(F514:F525)=9),cubic_spline(F513:F522,H513:H522,B$14),IF(AND(COUNT(H514:H525)=10,COUNT(F514:F525)=10),cubic_spline(F513:F523,H513:H523,B$14),IF(AND(COUNT(H514:H525)=11,COUNT(F514:F525)=11),cubic_spline(F513:F524,H513:H524,B$14),IF(AND(COUNT(H514:H525)=12,COUNT(F514:F525)=12),cubic_spline(F513:F525,H513:H525,B$14),""))))))))))))</f>
        <v/>
      </c>
      <c r="K524" s="52" t="str">
        <f>IF(N(B$14)=0,"",IF(AND(COUNT(A514:A525)=2,COUNT(F514:F525)=2),cubic_spline(F513:F515,A513:A515,B$14),IF(AND(COUNT(A514:A525)=3,COUNT(F514:F525)=3),cubic_spline(F513:F516,A513:A516,B$14),IF(AND(COUNT(A514:A525)=4,COUNT(F514:F525)=4),cubic_spline(F513:F517,A513:A517,B$14),IF(AND(COUNT(A514:A525)=5,COUNT(F514:F525)=5),cubic_spline(F513:F518,A513:A518,B$14),IF(AND(COUNT(A514:A525)=6,COUNT(F514:F525)=6),cubic_spline(F513:F519,A513:A519,B$14),IF(AND(COUNT(A514:A525)=7,COUNT(F514:F525)=7),cubic_spline(F513:F520,A513:A520,B$14),IF(AND(COUNT(A514:A525)=8,COUNT(F514:F525)=8),cubic_spline(F513:F521,A513:A521,B$14),IF(AND(COUNT(A514:A525)=9,COUNT(F514:F525)=9),cubic_spline(F513:F522,A513:A522,B$14),IF(AND(COUNT(A514:A525)=10,COUNT(F514:F525)=10),cubic_spline(F513:F523,A513:A523,B$14),IF(AND(COUNT(A514:A525)=11,COUNT(F514:F525)=11),cubic_spline(F513:F524,A513:A524,B$14),IF(AND(COUNT(A514:A525)=12,COUNT(F514:F525)=12),cubic_spline(F513:F525,A513:A525,B$14),""))))))))))))</f>
        <v/>
      </c>
      <c r="L524" s="27" t="str">
        <f>IF(I524="","",B$13&amp;"-"&amp;B$14)</f>
        <v/>
      </c>
      <c r="M524" s="52" t="str">
        <f t="shared" si="195"/>
        <v/>
      </c>
    </row>
    <row r="525" spans="1:13" x14ac:dyDescent="0.35">
      <c r="A525" s="48"/>
      <c r="B525" s="48"/>
      <c r="C525" s="49"/>
      <c r="D525" s="50"/>
      <c r="E525" s="51" t="str">
        <f t="shared" si="194"/>
        <v/>
      </c>
      <c r="F525" s="71" t="str">
        <f t="shared" si="191"/>
        <v/>
      </c>
      <c r="G525" s="69" t="str">
        <f t="shared" si="193"/>
        <v/>
      </c>
      <c r="H525" s="70" t="str">
        <f t="shared" si="192"/>
        <v/>
      </c>
      <c r="I525" s="27" t="str">
        <f>IF(N(J525)=0,"",0&amp;"-"&amp;B$15)</f>
        <v/>
      </c>
      <c r="J525" s="52" t="str">
        <f>IF(N(B$15)=0,"",IF(AND(COUNT(H514:H525)=2,COUNT(F514:F525)=2),cubic_spline(F513:F515,H513:H515,B$15),IF(AND(COUNT(H514:H525)=3,COUNT(F514:F525)=3),cubic_spline(F513:F516,H513:H516,B$15),IF(AND(COUNT(H514:H525)=4,COUNT(F514:F525)=4),cubic_spline(F513:F517,H513:H517,B$15),IF(AND(COUNT(H514:H525)=5,COUNT(F514:F525)=5),cubic_spline(F513:F518,H513:H518,B$15),IF(AND(COUNT(H514:H525)=6,COUNT(F514:F525)=6),cubic_spline(F513:F519,H513:H519,B$15),IF(AND(COUNT(H514:H525)=7,COUNT(F514:F525)=7),cubic_spline(F513:F520,H513:H520,B$15),IF(AND(COUNT(H514:H525)=8,COUNT(F514:F525)=8),cubic_spline(F513:F521,H513:H521,B$15),IF(AND(COUNT(H514:H525)=9,COUNT(F514:F525)=9),cubic_spline(F513:F522,H513:H522,B$15),IF(AND(COUNT(H514:H525)=10,COUNT(F514:F525)=10),cubic_spline(F513:F523,H513:H523,B$15),IF(AND(COUNT(H514:H525)=11,COUNT(F514:F525)=11),cubic_spline(F513:F524,H513:H524,B$15),IF(AND(COUNT(H514:H525)=12,COUNT(F514:F525)=12),cubic_spline(F513:F525,H513:H525,B$15),""))))))))))))</f>
        <v/>
      </c>
      <c r="K525" s="52" t="str">
        <f>IF(N(B$15)=0,"",IF(AND(COUNT(A514:A525)=2,COUNT(F514:F525)=2),cubic_spline(F513:F515,A513:A515,B$15),IF(AND(COUNT(A514:A525)=3,COUNT(F514:F525)=3),cubic_spline(F513:F516,A513:A516,B$15),IF(AND(COUNT(A514:A525)=4,COUNT(F514:F525)=4),cubic_spline(F513:F517,A513:A517,B$15),IF(AND(COUNT(A514:A525)=5,COUNT(F514:F525)=5),cubic_spline(F513:F518,A513:A518,B$15),IF(AND(COUNT(A514:A525)=6,COUNT(F514:F525)=6),cubic_spline(F513:F519,A513:A519,B$15),IF(AND(COUNT(A514:A525)=7,COUNT(F514:F525)=7),cubic_spline(F513:F520,A513:A520,B$15),IF(AND(COUNT(A514:A525)=8,COUNT(F514:F525)=8),cubic_spline(F513:F521,A513:A521,B$15),IF(AND(COUNT(A514:A525)=9,COUNT(F514:F525)=9),cubic_spline(F513:F522,A513:A522,B$15),IF(AND(COUNT(A514:A525)=10,COUNT(F514:F525)=10),cubic_spline(F513:F523,A513:A523,B$15),IF(AND(COUNT(A514:A525)=11,COUNT(F514:F525)=11),cubic_spline(F513:F524,A513:A524,B$15),IF(AND(COUNT(A514:A525)=12,COUNT(F514:F525)=12),cubic_spline(F513:F525,A513:A525,B$15),""))))))))))))</f>
        <v/>
      </c>
      <c r="L525" s="27" t="str">
        <f>IF(I525="","",B$14&amp;"-"&amp;B$15)</f>
        <v/>
      </c>
      <c r="M525" s="52" t="str">
        <f t="shared" si="195"/>
        <v/>
      </c>
    </row>
    <row r="526" spans="1:13" ht="5.15" customHeight="1" x14ac:dyDescent="0.35">
      <c r="A526" s="47"/>
      <c r="B526" s="47"/>
      <c r="C526" s="47"/>
      <c r="D526" s="53"/>
      <c r="E526" s="54"/>
      <c r="F526" s="55"/>
      <c r="G526" s="72"/>
      <c r="H526" s="73"/>
      <c r="I526" s="47"/>
      <c r="J526" s="57"/>
      <c r="K526" s="57"/>
      <c r="L526" s="55"/>
      <c r="M526" s="57"/>
    </row>
    <row r="527" spans="1:13" x14ac:dyDescent="0.35">
      <c r="A527" s="48"/>
      <c r="B527" s="48"/>
      <c r="C527" s="49"/>
      <c r="D527" s="50"/>
      <c r="E527" s="51" t="str">
        <f>IF(N(C527)=0,"",C527/PI()/($D$1/2)^2/$D$2*10000)</f>
        <v/>
      </c>
      <c r="F527" s="68" t="str">
        <f t="shared" ref="F527:F538" si="196">IF(N(E527)=0,"",(N(E527)+N(F526)))</f>
        <v/>
      </c>
      <c r="G527" s="69" t="str">
        <f>IF(OR(N(D527)=0,N(E527)=0),"",(E527*D527)/1000)</f>
        <v/>
      </c>
      <c r="H527" s="70" t="str">
        <f t="shared" ref="H527:H538" si="197">IF(N(G527)=0,"",(N(G527)+N(H526)))</f>
        <v/>
      </c>
      <c r="I527" s="27" t="str">
        <f>IF(N(J527)=0,"",0&amp;"-"&amp;B$4)</f>
        <v/>
      </c>
      <c r="J527" s="52" t="str">
        <f>IF(N(B$4)=0,"",IF(AND(COUNT(H527:H538)=2,COUNT(F527:F538)=2),cubic_spline(F526:F528,H526:H528,B$4),IF(AND(COUNT(H527:H538)=3,COUNT(F527:F538)=3),cubic_spline(F526:F529,H526:H529,B$4),IF(AND(COUNT(H527:H538)=4,COUNT(F527:F538)=4),cubic_spline(F526:F530,H526:H530,B$4),IF(AND(COUNT(H527:H538)=5,COUNT(F527:F538)=5),cubic_spline(F526:F531,H526:H531,B$4),IF(AND(COUNT(H527:H538)=6,COUNT(F527:F538)=6),cubic_spline(F526:F532,H526:H532,B$4),IF(AND(COUNT(H527:H538)=7,COUNT(F527:F538)=7),cubic_spline(F526:F533,H526:H533,B$4),IF(AND(COUNT(H527:H538)=8,COUNT(F527:F538)=8),cubic_spline(F526:F534,H526:H534,B$4),IF(AND(COUNT(H527:H538)=9,COUNT(F527:F538)=9),cubic_spline(F526:F535,H526:H535,B$4),IF(AND(COUNT(H527:H538)=10,COUNT(F527:F538)=10),cubic_spline(F526:F536,H526:H536,B$4),IF(AND(COUNT(H527:H538)=11,COUNT(F527:F538)=11),cubic_spline(F526:F537,H526:H537,B$4),IF(AND(COUNT(H527:H538)=12,COUNT(F527:F538)=12),cubic_spline(F526:F538,H526:H538,B$4),""))))))))))))</f>
        <v/>
      </c>
      <c r="K527" s="52" t="str">
        <f>IF(N(B$4)=0,"",IF(AND(COUNT(A527:A538)=2,COUNT(F527:F538)=2),cubic_spline(F526:F528,A526:A528,B$4),IF(AND(COUNT(A527:A538)=3,COUNT(F527:F538)=3),cubic_spline(F526:F529,A526:A529,B$4),IF(AND(COUNT(A527:A538)=4,COUNT(F527:F538)=4),cubic_spline(F526:F530,A526:A530,B$4),IF(AND(COUNT(A527:A538)=5,COUNT(F527:F538)=5),cubic_spline(F526:F531,A526:A531,B$4),IF(AND(COUNT(A527:A538)=6,COUNT(F527:F538)=6),cubic_spline(F526:F532,A526:A532,B$4),IF(AND(COUNT(A527:A538)=7,COUNT(F527:F538)=7),cubic_spline(F526:F533,A526:A533,B$4),IF(AND(COUNT(A527:A538)=8,COUNT(F527:F538)=8),cubic_spline(F526:F534,A526:A534,B$4),IF(AND(COUNT(A527:A538)=9,COUNT(F527:F538)=9),cubic_spline(F526:F535,A526:A535,B$4),IF(AND(COUNT(A527:A538)=10,COUNT(F527:F538)=10),cubic_spline(F526:F536,A526:A536,B$4),IF(AND(COUNT(A527:A538)=11,COUNT(F527:F538)=11),cubic_spline(F526:F537,A526:A537,B$4),IF(AND(COUNT(A527:A538)=12,COUNT(F527:F538)=12),cubic_spline(F526:F538,A526:A538,B$4),""))))))))))))</f>
        <v/>
      </c>
      <c r="L527" s="27" t="str">
        <f>IF(I527="","",0&amp;"-"&amp;B$4)</f>
        <v/>
      </c>
      <c r="M527" s="52" t="str">
        <f>IF(N(J527)=0,"",J527-J526)</f>
        <v/>
      </c>
    </row>
    <row r="528" spans="1:13" x14ac:dyDescent="0.35">
      <c r="A528" s="48"/>
      <c r="B528" s="48"/>
      <c r="C528" s="49"/>
      <c r="D528" s="50"/>
      <c r="E528" s="51" t="str">
        <f>IF(N(C528)=0,"",C528/PI()/($D$1/2)^2/$D$2*10000)</f>
        <v/>
      </c>
      <c r="F528" s="68" t="str">
        <f t="shared" si="196"/>
        <v/>
      </c>
      <c r="G528" s="69" t="str">
        <f t="shared" ref="G528:G538" si="198">IF(OR(N(D528)=0,N(E528)=0),"",(E528*D528)/1000)</f>
        <v/>
      </c>
      <c r="H528" s="70" t="str">
        <f t="shared" si="197"/>
        <v/>
      </c>
      <c r="I528" s="27" t="str">
        <f>IF(N(J528)=0,"",0&amp;"-"&amp;B$5)</f>
        <v/>
      </c>
      <c r="J528" s="52" t="str">
        <f>IF(N(B$5)=0,"",IF(AND(COUNT(H527:H538)=2,COUNT(F527:F538)=2),cubic_spline(F526:F528,H526:H528,B$5),IF(AND(COUNT(H527:H538)=3,COUNT(F527:F538)=3),cubic_spline(F526:F529,H526:H529,B$5),IF(AND(COUNT(H527:H538)=4,COUNT(F527:F538)=4),cubic_spline(F526:F530,H526:H530,B$5),IF(AND(COUNT(H527:H538)=5,COUNT(F527:F538)=5),cubic_spline(F526:F531,H526:H531,B$5),IF(AND(COUNT(H527:H538)=6,COUNT(F527:F538)=6),cubic_spline(F526:F532,H526:H532,B$5),IF(AND(COUNT(H527:H538)=7,COUNT(F527:F538)=7),cubic_spline(F526:F533,H526:H533,B$5),IF(AND(COUNT(H527:H538)=8,COUNT(F527:F538)=8),cubic_spline(F526:F534,H526:H534,B$5),IF(AND(COUNT(H527:H538)=9,COUNT(F527:F538)=9),cubic_spline(F526:F535,H526:H535,B$5),IF(AND(COUNT(H527:H538)=10,COUNT(F527:F538)=10),cubic_spline(F526:F536,H526:H536,B$5),IF(AND(COUNT(H527:H538)=11,COUNT(F527:F538)=11),cubic_spline(F526:F537,H526:H537,B$5),IF(AND(COUNT(H527:H538)=12,COUNT(F527:F538)=12),cubic_spline(F526:F538,H526:H538,B$5),""))))))))))))</f>
        <v/>
      </c>
      <c r="K528" s="52" t="str">
        <f>IF(N(B$5)=0,"",IF(AND(COUNT(A527:A538)=2,COUNT(F527:F538)=2),cubic_spline(F526:F528,A526:A528,B$5),IF(AND(COUNT(A527:A538)=3,COUNT(F527:F538)=3),cubic_spline(F526:F529,A526:A529,B$5),IF(AND(COUNT(A527:A538)=4,COUNT(F527:F538)=4),cubic_spline(F526:F530,A526:A530,B$5),IF(AND(COUNT(A527:A538)=5,COUNT(F527:F538)=5),cubic_spline(F526:F531,A526:A531,B$5),IF(AND(COUNT(A527:A538)=6,COUNT(F527:F538)=6),cubic_spline(F526:F532,A526:A532,B$5),IF(AND(COUNT(A527:A538)=7,COUNT(F527:F538)=7),cubic_spline(F526:F533,A526:A533,B$5),IF(AND(COUNT(A527:A538)=8,COUNT(F527:F538)=8),cubic_spline(F526:F534,A526:A534,B$5),IF(AND(COUNT(A527:A538)=9,COUNT(F527:F538)=9),cubic_spline(F526:F535,A526:A535,B$5),IF(AND(COUNT(A527:A538)=10,COUNT(F527:F538)=10),cubic_spline(F526:F536,A526:A536,B$5),IF(AND(COUNT(A527:A538)=11,COUNT(F527:F538)=11),cubic_spline(F526:F537,A526:A537,B$5),IF(AND(COUNT(A527:A538)=12,COUNT(F527:F538)=12),cubic_spline(F526:F538,A526:A538,B$5),""))))))))))))</f>
        <v/>
      </c>
      <c r="L528" s="27" t="str">
        <f>IF(I528="","",B$4&amp;"-"&amp;B$5)</f>
        <v/>
      </c>
      <c r="M528" s="52" t="str">
        <f>IF(N(J528)=0,"",J528-J527)</f>
        <v/>
      </c>
    </row>
    <row r="529" spans="1:13" x14ac:dyDescent="0.35">
      <c r="A529" s="48"/>
      <c r="B529" s="48"/>
      <c r="C529" s="49"/>
      <c r="D529" s="50"/>
      <c r="E529" s="51" t="str">
        <f>IF(N(C529)=0,"",C529/PI()/($D$1/2)^2/$D$2*10000)</f>
        <v/>
      </c>
      <c r="F529" s="68" t="str">
        <f t="shared" si="196"/>
        <v/>
      </c>
      <c r="G529" s="69" t="str">
        <f t="shared" si="198"/>
        <v/>
      </c>
      <c r="H529" s="70" t="str">
        <f t="shared" si="197"/>
        <v/>
      </c>
      <c r="I529" s="27" t="str">
        <f>IF(N(J529)=0,"",0&amp;"-"&amp;B$6)</f>
        <v/>
      </c>
      <c r="J529" s="52" t="str">
        <f>IF(N(B$6)=0,"",IF(AND(COUNT(H527:H538)=2,COUNT(F527:F538)=2),cubic_spline(F526:F528,H526:H528,B$6),IF(AND(COUNT(H527:H538)=3,COUNT(F527:F538)=3),cubic_spline(F526:F529,H526:H529,B$6),IF(AND(COUNT(H527:H538)=4,COUNT(F527:F538)=4),cubic_spline(F526:F530,H526:H530,B$6),IF(AND(COUNT(H527:H538)=5,COUNT(F527:F538)=5),cubic_spline(F526:F531,H526:H531,B$6),IF(AND(COUNT(H527:H538)=6,COUNT(F527:F538)=6),cubic_spline(F526:F532,H526:H532,B$6),IF(AND(COUNT(H527:H538)=7,COUNT(F527:F538)=7),cubic_spline(F526:F533,H526:H533,B$6),IF(AND(COUNT(H527:H538)=8,COUNT(F527:F538)=8),cubic_spline(F526:F534,H526:H534,B$6),IF(AND(COUNT(H527:H538)=9,COUNT(F527:F538)=9),cubic_spline(F526:F535,H526:H535,B$6),IF(AND(COUNT(H527:H538)=10,COUNT(F527:F538)=10),cubic_spline(F526:F536,H526:H536,B$6),IF(AND(COUNT(H527:H538)=11,COUNT(F527:F538)=11),cubic_spline(F526:F537,H526:H537,B$6),IF(AND(COUNT(H527:H538)=12,COUNT(F527:F538)=12),cubic_spline(F526:F538,H526:H538,B$6),""))))))))))))</f>
        <v/>
      </c>
      <c r="K529" s="52" t="str">
        <f>IF(N(B$6)=0,"",IF(AND(COUNT(A527:A538)=2,COUNT(F527:F538)=2),cubic_spline(F526:F528,A526:A528,B$6),IF(AND(COUNT(A527:A538)=3,COUNT(F527:F538)=3),cubic_spline(F526:F529,A526:A529,B$6),IF(AND(COUNT(A527:A538)=4,COUNT(F527:F538)=4),cubic_spline(F526:F530,A526:A530,B$6),IF(AND(COUNT(A527:A538)=5,COUNT(F527:F538)=5),cubic_spline(F526:F531,A526:A531,B$6),IF(AND(COUNT(A527:A538)=6,COUNT(F527:F538)=6),cubic_spline(F526:F532,A526:A532,B$6),IF(AND(COUNT(A527:A538)=7,COUNT(F527:F538)=7),cubic_spline(F526:F533,A526:A533,B$6),IF(AND(COUNT(A527:A538)=8,COUNT(F527:F538)=8),cubic_spline(F526:F534,A526:A534,B$6),IF(AND(COUNT(A527:A538)=9,COUNT(F527:F538)=9),cubic_spline(F526:F535,A526:A535,B$6),IF(AND(COUNT(A527:A538)=10,COUNT(F527:F538)=10),cubic_spline(F526:F536,A526:A536,B$6),IF(AND(COUNT(A527:A538)=11,COUNT(F527:F538)=11),cubic_spline(F526:F537,A526:A537,B$6),IF(AND(COUNT(A527:A538)=12,COUNT(F527:F538)=12),cubic_spline(F526:F538,A526:A538,B$6),""))))))))))))</f>
        <v/>
      </c>
      <c r="L529" s="27" t="str">
        <f>IF(I529="","",B$5&amp;"-"&amp;B$6)</f>
        <v/>
      </c>
      <c r="M529" s="52" t="str">
        <f>IF(N(J529)=0,"",J529-J528)</f>
        <v/>
      </c>
    </row>
    <row r="530" spans="1:13" x14ac:dyDescent="0.35">
      <c r="A530" s="48"/>
      <c r="B530" s="48"/>
      <c r="C530" s="49"/>
      <c r="D530" s="50"/>
      <c r="E530" s="51" t="str">
        <f>IF(N(C530)=0,"",C530/PI()/($D$1/2)^2/$D$2*10000)</f>
        <v/>
      </c>
      <c r="F530" s="68" t="str">
        <f t="shared" si="196"/>
        <v/>
      </c>
      <c r="G530" s="69" t="str">
        <f t="shared" si="198"/>
        <v/>
      </c>
      <c r="H530" s="70" t="str">
        <f t="shared" si="197"/>
        <v/>
      </c>
      <c r="I530" s="27" t="str">
        <f>IF(N(J530)=0,"",0&amp;"-"&amp;B$7)</f>
        <v/>
      </c>
      <c r="J530" s="52" t="str">
        <f>IF(N(B$7)=0,"",IF(AND(COUNT(H527:H538)=2,COUNT(F527:F538)=2),cubic_spline(F526:F528,H526:H528,B$7),IF(AND(COUNT(H527:H538)=3,COUNT(F527:F538)=3),cubic_spline(F526:F529,H526:H529,B$7),IF(AND(COUNT(H527:H538)=4,COUNT(F527:F538)=4),cubic_spline(F526:F530,H526:H530,B$7),IF(AND(COUNT(H527:H538)=5,COUNT(F527:F538)=5),cubic_spline(F526:F531,H526:H531,B$7),IF(AND(COUNT(H527:H538)=6,COUNT(F527:F538)=6),cubic_spline(F526:F532,H526:H532,B$7),IF(AND(COUNT(H527:H538)=7,COUNT(F527:F538)=7),cubic_spline(F526:F533,H526:H533,B$7),IF(AND(COUNT(H527:H538)=8,COUNT(F527:F538)=8),cubic_spline(F526:F534,H526:H534,B$7),IF(AND(COUNT(H527:H538)=9,COUNT(F527:F538)=9),cubic_spline(F526:F535,H526:H535,B$7),IF(AND(COUNT(H527:H538)=10,COUNT(F527:F538)=10),cubic_spline(F526:F536,H526:H536,B$7),IF(AND(COUNT(H527:H538)=11,COUNT(F527:F538)=11),cubic_spline(F526:F537,H526:H537,B$7),IF(AND(COUNT(H527:H538)=12,COUNT(F527:F538)=12),cubic_spline(F526:F538,H526:H538,B$7),""))))))))))))</f>
        <v/>
      </c>
      <c r="K530" s="52" t="str">
        <f>IF(N(B$7)=0,"",IF(AND(COUNT(A527:A538)=2,COUNT(F527:F538)=2),cubic_spline(F526:F528,A526:A528,B$7),IF(AND(COUNT(A527:A538)=3,COUNT(F527:F538)=3),cubic_spline(F526:F529,A526:A529,B$7),IF(AND(COUNT(A527:A538)=4,COUNT(F527:F538)=4),cubic_spline(F526:F530,A526:A530,B$7),IF(AND(COUNT(A527:A538)=5,COUNT(F527:F538)=5),cubic_spline(F526:F531,A526:A531,B$7),IF(AND(COUNT(A527:A538)=6,COUNT(F527:F538)=6),cubic_spline(F526:F532,A526:A532,B$7),IF(AND(COUNT(A527:A538)=7,COUNT(F527:F538)=7),cubic_spline(F526:F533,A526:A533,B$7),IF(AND(COUNT(A527:A538)=8,COUNT(F527:F538)=8),cubic_spline(F526:F534,A526:A534,B$7),IF(AND(COUNT(A527:A538)=9,COUNT(F527:F538)=9),cubic_spline(F526:F535,A526:A535,B$7),IF(AND(COUNT(A527:A538)=10,COUNT(F527:F538)=10),cubic_spline(F526:F536,A526:A536,B$7),IF(AND(COUNT(A527:A538)=11,COUNT(F527:F538)=11),cubic_spline(F526:F537,A526:A537,B$7),IF(AND(COUNT(A527:A538)=12,COUNT(F527:F538)=12),cubic_spline(F526:F538,A526:A538,B$7),""))))))))))))</f>
        <v/>
      </c>
      <c r="L530" s="27" t="str">
        <f>IF(I530="","",B$6&amp;"-"&amp;B$7)</f>
        <v/>
      </c>
      <c r="M530" s="52" t="str">
        <f>IF(N(J530)=0,"",J530-J529)</f>
        <v/>
      </c>
    </row>
    <row r="531" spans="1:13" x14ac:dyDescent="0.35">
      <c r="A531" s="48"/>
      <c r="B531" s="48"/>
      <c r="C531" s="49"/>
      <c r="D531" s="50"/>
      <c r="E531" s="51" t="str">
        <f t="shared" ref="E531:E538" si="199">IF(N(C531)=0,"",C531/PI()/($D$1/2)^2/$D$2*10000)</f>
        <v/>
      </c>
      <c r="F531" s="71" t="str">
        <f t="shared" si="196"/>
        <v/>
      </c>
      <c r="G531" s="69" t="str">
        <f t="shared" si="198"/>
        <v/>
      </c>
      <c r="H531" s="70" t="str">
        <f t="shared" si="197"/>
        <v/>
      </c>
      <c r="I531" s="27" t="str">
        <f>IF(N(J531)=0,"",0&amp;"-"&amp;B$8)</f>
        <v/>
      </c>
      <c r="J531" s="52" t="str">
        <f>IF(N(B$8)=0,"",IF(AND(COUNT(H527:H538)=2,COUNT(F527:F538)=2),cubic_spline(F526:F528,H526:H528,B$8),IF(AND(COUNT(H527:H538)=3,COUNT(F527:F538)=3),cubic_spline(F526:F529,H526:H529,B$8),IF(AND(COUNT(H527:H538)=4,COUNT(F527:F538)=4),cubic_spline(F526:F530,H526:H530,B$8),IF(AND(COUNT(H527:H538)=5,COUNT(F527:F538)=5),cubic_spline(F526:F531,H526:H531,B$8),IF(AND(COUNT(H527:H538)=6,COUNT(F527:F538)=6),cubic_spline(F526:F532,H526:H532,B$8),IF(AND(COUNT(H527:H538)=7,COUNT(F527:F538)=7),cubic_spline(F526:F533,H526:H533,B$8),IF(AND(COUNT(H527:H538)=8,COUNT(F527:F538)=8),cubic_spline(F526:F534,H526:H534,B$8),IF(AND(COUNT(H527:H538)=9,COUNT(F527:F538)=9),cubic_spline(F526:F535,H526:H535,B$8),IF(AND(COUNT(H527:H538)=10,COUNT(F527:F538)=10),cubic_spline(F526:F536,H526:H536,B$8),IF(AND(COUNT(H527:H538)=11,COUNT(F527:F538)=11),cubic_spline(F526:F537,H526:H537,B$8),IF(AND(COUNT(H527:H538)=12,COUNT(F527:F538)=12),cubic_spline(F526:F538,H526:H538,B$8),""))))))))))))</f>
        <v/>
      </c>
      <c r="K531" s="52" t="str">
        <f>IF(N(B$8)=0,"",IF(AND(COUNT(A527:A538)=2,COUNT(F527:F538)=2),cubic_spline(F526:F528,A526:A528,B$8),IF(AND(COUNT(A527:A538)=3,COUNT(F527:F538)=3),cubic_spline(F526:F529,A526:A529,B$8),IF(AND(COUNT(A527:A538)=4,COUNT(F527:F538)=4),cubic_spline(F526:F530,A526:A530,B$8),IF(AND(COUNT(A527:A538)=5,COUNT(F527:F538)=5),cubic_spline(F526:F531,A526:A531,B$8),IF(AND(COUNT(A527:A538)=6,COUNT(F527:F538)=6),cubic_spline(F526:F532,A526:A532,B$8),IF(AND(COUNT(A527:A538)=7,COUNT(F527:F538)=7),cubic_spline(F526:F533,A526:A533,B$8),IF(AND(COUNT(A527:A538)=8,COUNT(F527:F538)=8),cubic_spline(F526:F534,A526:A534,B$8),IF(AND(COUNT(A527:A538)=9,COUNT(F527:F538)=9),cubic_spline(F526:F535,A526:A535,B$8),IF(AND(COUNT(A527:A538)=10,COUNT(F527:F538)=10),cubic_spline(F526:F536,A526:A536,B$8),IF(AND(COUNT(A527:A538)=11,COUNT(F527:F538)=11),cubic_spline(F526:F537,A526:A537,B$8),IF(AND(COUNT(A527:A538)=12,COUNT(F527:F538)=12),cubic_spline(F526:F538,A526:A538,B$8),""))))))))))))</f>
        <v/>
      </c>
      <c r="L531" s="27" t="str">
        <f>IF(I531="","",B$7&amp;"-"&amp;B$8)</f>
        <v/>
      </c>
      <c r="M531" s="52" t="str">
        <f>IF(N(J531)=0,"",J531-J530)</f>
        <v/>
      </c>
    </row>
    <row r="532" spans="1:13" x14ac:dyDescent="0.35">
      <c r="A532" s="48"/>
      <c r="B532" s="48"/>
      <c r="C532" s="49"/>
      <c r="D532" s="50"/>
      <c r="E532" s="51" t="str">
        <f t="shared" si="199"/>
        <v/>
      </c>
      <c r="F532" s="71" t="str">
        <f t="shared" si="196"/>
        <v/>
      </c>
      <c r="G532" s="69" t="str">
        <f t="shared" si="198"/>
        <v/>
      </c>
      <c r="H532" s="70" t="str">
        <f t="shared" si="197"/>
        <v/>
      </c>
      <c r="I532" s="27" t="str">
        <f>IF(N(J532)=0,"",0&amp;"-"&amp;B$9)</f>
        <v/>
      </c>
      <c r="J532" s="52" t="str">
        <f>IF(N(B$9)=0,"",IF(AND(COUNT(H527:H538)=2,COUNT(F527:F538)=2),cubic_spline(F526:F528,H526:H528,B$9),IF(AND(COUNT(H527:H538)=3,COUNT(F527:F538)=3),cubic_spline(F526:F529,H526:H529,B$9),IF(AND(COUNT(H527:H538)=4,COUNT(F527:F538)=4),cubic_spline(F526:F530,H526:H530,B$9),IF(AND(COUNT(H527:H538)=5,COUNT(F527:F538)=5),cubic_spline(F526:F531,H526:H531,B$9),IF(AND(COUNT(H527:H538)=6,COUNT(F527:F538)=6),cubic_spline(F526:F532,H526:H532,B$9),IF(AND(COUNT(H527:H538)=7,COUNT(F527:F538)=7),cubic_spline(F526:F533,H526:H533,B$9),IF(AND(COUNT(H527:H538)=8,COUNT(F527:F538)=8),cubic_spline(F526:F534,H526:H534,B$9),IF(AND(COUNT(H527:H538)=9,COUNT(F527:F538)=9),cubic_spline(F526:F535,H526:H535,B$9),IF(AND(COUNT(H527:H538)=10,COUNT(F527:F538)=10),cubic_spline(F526:F536,H526:H536,B$9),IF(AND(COUNT(H527:H538)=11,COUNT(F527:F538)=11),cubic_spline(F526:F537,H526:H537,B$9),IF(AND(COUNT(H527:H538)=12,COUNT(F527:F538)=12),cubic_spline(F526:F538,H526:H538,B$9),""))))))))))))</f>
        <v/>
      </c>
      <c r="K532" s="52" t="str">
        <f>IF(N(B$9)=0,"",IF(AND(COUNT(A527:A538)=2,COUNT(F527:F538)=2),cubic_spline(F526:F528,A526:A528,B$9),IF(AND(COUNT(A527:A538)=3,COUNT(F527:F538)=3),cubic_spline(F526:F529,A526:A529,B$9),IF(AND(COUNT(A527:A538)=4,COUNT(F527:F538)=4),cubic_spline(F526:F530,A526:A530,B$9),IF(AND(COUNT(A527:A538)=5,COUNT(F527:F538)=5),cubic_spline(F526:F531,A526:A531,B$9),IF(AND(COUNT(A527:A538)=6,COUNT(F527:F538)=6),cubic_spline(F526:F532,A526:A532,B$9),IF(AND(COUNT(A527:A538)=7,COUNT(F527:F538)=7),cubic_spline(F526:F533,A526:A533,B$9),IF(AND(COUNT(A527:A538)=8,COUNT(F527:F538)=8),cubic_spline(F526:F534,A526:A534,B$9),IF(AND(COUNT(A527:A538)=9,COUNT(F527:F538)=9),cubic_spline(F526:F535,A526:A535,B$9),IF(AND(COUNT(A527:A538)=10,COUNT(F527:F538)=10),cubic_spline(F526:F536,A526:A536,B$9),IF(AND(COUNT(A527:A538)=11,COUNT(F527:F538)=11),cubic_spline(F526:F537,A526:A537,B$9),IF(AND(COUNT(A527:A538)=12,COUNT(F527:F538)=12),cubic_spline(F526:F538,A526:A538,B$9),""))))))))))))</f>
        <v/>
      </c>
      <c r="L532" s="27" t="str">
        <f>IF(I532="","",B$8&amp;"-"&amp;B$9)</f>
        <v/>
      </c>
      <c r="M532" s="52" t="str">
        <f t="shared" ref="M532:M538" si="200">IF(N(J532)=0,"",J532-J531)</f>
        <v/>
      </c>
    </row>
    <row r="533" spans="1:13" x14ac:dyDescent="0.35">
      <c r="A533" s="48"/>
      <c r="B533" s="48"/>
      <c r="C533" s="49"/>
      <c r="D533" s="50"/>
      <c r="E533" s="51" t="str">
        <f t="shared" si="199"/>
        <v/>
      </c>
      <c r="F533" s="71" t="str">
        <f t="shared" si="196"/>
        <v/>
      </c>
      <c r="G533" s="69" t="str">
        <f t="shared" si="198"/>
        <v/>
      </c>
      <c r="H533" s="70" t="str">
        <f t="shared" si="197"/>
        <v/>
      </c>
      <c r="I533" s="27" t="str">
        <f>IF(N(J533)=0,"",0&amp;"-"&amp;B$10)</f>
        <v/>
      </c>
      <c r="J533" s="52" t="str">
        <f>IF(N(B$10)=0,"",IF(AND(COUNT(H527:H538)=2,COUNT(F527:F538)=2),cubic_spline(F526:F528,H526:H528,B$10),IF(AND(COUNT(H527:H538)=3,COUNT(F527:F538)=3),cubic_spline(F526:F529,H526:H529,B$10),IF(AND(COUNT(H527:H538)=4,COUNT(F527:F538)=4),cubic_spline(F526:F530,H526:H530,B$10),IF(AND(COUNT(H527:H538)=5,COUNT(F527:F538)=5),cubic_spline(F526:F531,H526:H531,B$10),IF(AND(COUNT(H527:H538)=6,COUNT(F527:F538)=6),cubic_spline(F526:F532,H526:H532,B$10),IF(AND(COUNT(H527:H538)=7,COUNT(F527:F538)=7),cubic_spline(F526:F533,H526:H533,B$10),IF(AND(COUNT(H527:H538)=8,COUNT(F527:F538)=8),cubic_spline(F526:F534,H526:H534,B$10),IF(AND(COUNT(H527:H538)=9,COUNT(F527:F538)=9),cubic_spline(F526:F535,H526:H535,B$10),IF(AND(COUNT(H527:H538)=10,COUNT(F527:F538)=10),cubic_spline(F526:F536,H526:H536,B$10),IF(AND(COUNT(H527:H538)=11,COUNT(F527:F538)=11),cubic_spline(F526:F537,H526:H537,B$10),IF(AND(COUNT(H527:H538)=12,COUNT(F527:F538)=12),cubic_spline(F526:F538,H526:H538,B$10),""))))))))))))</f>
        <v/>
      </c>
      <c r="K533" s="52" t="str">
        <f>IF(N(B$10)=0,"",IF(AND(COUNT(A527:A538)=2,COUNT(F527:F538)=2),cubic_spline(F526:F528,A526:A528,B$10),IF(AND(COUNT(A527:A538)=3,COUNT(F527:F538)=3),cubic_spline(F526:F529,A526:A529,B$10),IF(AND(COUNT(A527:A538)=4,COUNT(F527:F538)=4),cubic_spline(F526:F530,A526:A530,B$10),IF(AND(COUNT(A527:A538)=5,COUNT(F527:F538)=5),cubic_spline(F526:F531,A526:A531,B$10),IF(AND(COUNT(A527:A538)=6,COUNT(F527:F538)=6),cubic_spline(F526:F532,A526:A532,B$10),IF(AND(COUNT(A527:A538)=7,COUNT(F527:F538)=7),cubic_spline(F526:F533,A526:A533,B$10),IF(AND(COUNT(A527:A538)=8,COUNT(F527:F538)=8),cubic_spline(F526:F534,A526:A534,B$10),IF(AND(COUNT(A527:A538)=9,COUNT(F527:F538)=9),cubic_spline(F526:F535,A526:A535,B$10),IF(AND(COUNT(A527:A538)=10,COUNT(F527:F538)=10),cubic_spline(F526:F536,A526:A536,B$10),IF(AND(COUNT(A527:A538)=11,COUNT(F527:F538)=11),cubic_spline(F526:F537,A526:A537,B$10),IF(AND(COUNT(A527:A538)=12,COUNT(F527:F538)=12),cubic_spline(F526:F538,A526:A538,B$10),""))))))))))))</f>
        <v/>
      </c>
      <c r="L533" s="27" t="str">
        <f>IF(I533="","",B$9&amp;"-"&amp;B$10)</f>
        <v/>
      </c>
      <c r="M533" s="52" t="str">
        <f t="shared" si="200"/>
        <v/>
      </c>
    </row>
    <row r="534" spans="1:13" x14ac:dyDescent="0.35">
      <c r="A534" s="48"/>
      <c r="B534" s="48"/>
      <c r="C534" s="49"/>
      <c r="D534" s="50"/>
      <c r="E534" s="51" t="str">
        <f t="shared" si="199"/>
        <v/>
      </c>
      <c r="F534" s="71" t="str">
        <f t="shared" si="196"/>
        <v/>
      </c>
      <c r="G534" s="69" t="str">
        <f t="shared" si="198"/>
        <v/>
      </c>
      <c r="H534" s="70" t="str">
        <f t="shared" si="197"/>
        <v/>
      </c>
      <c r="I534" s="27" t="str">
        <f>IF(N(J534)=0,"",0&amp;"-"&amp;B$11)</f>
        <v/>
      </c>
      <c r="J534" s="52" t="str">
        <f>IF(N(B$11)=0,"",IF(AND(COUNT(H527:H538)=2,COUNT(F527:F538)=2),cubic_spline(F526:F528,H526:H528,B$11),IF(AND(COUNT(H527:H538)=3,COUNT(F527:F538)=3),cubic_spline(F526:F529,H526:H529,B$11),IF(AND(COUNT(H527:H538)=4,COUNT(F527:F538)=4),cubic_spline(F526:F530,H526:H530,B$11),IF(AND(COUNT(H527:H538)=5,COUNT(F527:F538)=5),cubic_spline(F526:F531,H526:H531,B$11),IF(AND(COUNT(H527:H538)=6,COUNT(F527:F538)=6),cubic_spline(F526:F532,H526:H532,B$11),IF(AND(COUNT(H527:H538)=7,COUNT(F527:F538)=7),cubic_spline(F526:F533,H526:H533,B$11),IF(AND(COUNT(H527:H538)=8,COUNT(F527:F538)=8),cubic_spline(F526:F534,H526:H534,B$11),IF(AND(COUNT(H527:H538)=9,COUNT(F527:F538)=9),cubic_spline(F526:F535,H526:H535,B$11),IF(AND(COUNT(H527:H538)=10,COUNT(F527:F538)=10),cubic_spline(F526:F536,H526:H536,B$11),IF(AND(COUNT(H527:H538)=11,COUNT(F527:F538)=11),cubic_spline(F526:F537,H526:H537,B$11),IF(AND(COUNT(H527:H538)=12,COUNT(F527:F538)=12),cubic_spline(F526:F538,H526:H538,B$11),""))))))))))))</f>
        <v/>
      </c>
      <c r="K534" s="52" t="str">
        <f>IF(N(B$11)=0,"",IF(AND(COUNT(A527:A538)=2,COUNT(F527:F538)=2),cubic_spline(F526:F528,A526:A528,B$11),IF(AND(COUNT(A527:A538)=3,COUNT(F527:F538)=3),cubic_spline(F526:F529,A526:A529,B$11),IF(AND(COUNT(A527:A538)=4,COUNT(F527:F538)=4),cubic_spline(F526:F530,A526:A530,B$11),IF(AND(COUNT(A527:A538)=5,COUNT(F527:F538)=5),cubic_spline(F526:F531,A526:A531,B$11),IF(AND(COUNT(A527:A538)=6,COUNT(F527:F538)=6),cubic_spline(F526:F532,A526:A532,B$11),IF(AND(COUNT(A527:A538)=7,COUNT(F527:F538)=7),cubic_spline(F526:F533,A526:A533,B$11),IF(AND(COUNT(A527:A538)=8,COUNT(F527:F538)=8),cubic_spline(F526:F534,A526:A534,B$11),IF(AND(COUNT(A527:A538)=9,COUNT(F527:F538)=9),cubic_spline(F526:F535,A526:A535,B$11),IF(AND(COUNT(A527:A538)=10,COUNT(F527:F538)=10),cubic_spline(F526:F536,A526:A536,B$11),IF(AND(COUNT(A527:A538)=11,COUNT(F527:F538)=11),cubic_spline(F526:F537,A526:A537,B$11),IF(AND(COUNT(A527:A538)=12,COUNT(F527:F538)=12),cubic_spline(F526:F538,A526:A538,B$11),""))))))))))))</f>
        <v/>
      </c>
      <c r="L534" s="27" t="str">
        <f>IF(I534="","",B$10&amp;"-"&amp;B$11)</f>
        <v/>
      </c>
      <c r="M534" s="52" t="str">
        <f t="shared" si="200"/>
        <v/>
      </c>
    </row>
    <row r="535" spans="1:13" x14ac:dyDescent="0.35">
      <c r="A535" s="48"/>
      <c r="B535" s="48"/>
      <c r="C535" s="49"/>
      <c r="D535" s="50"/>
      <c r="E535" s="51" t="str">
        <f t="shared" si="199"/>
        <v/>
      </c>
      <c r="F535" s="71" t="str">
        <f t="shared" si="196"/>
        <v/>
      </c>
      <c r="G535" s="69" t="str">
        <f t="shared" si="198"/>
        <v/>
      </c>
      <c r="H535" s="70" t="str">
        <f t="shared" si="197"/>
        <v/>
      </c>
      <c r="I535" s="27" t="str">
        <f>IF(N(J535)=0,"",0&amp;"-"&amp;B$12)</f>
        <v/>
      </c>
      <c r="J535" s="52" t="str">
        <f>IF(N(B$12)=0,"",IF(AND(COUNT(H527:H538)=2,COUNT(F527:F538)=2),cubic_spline(F526:F528,H526:H528,B$12),IF(AND(COUNT(H527:H538)=3,COUNT(F527:F538)=3),cubic_spline(F526:F529,H526:H529,B$12),IF(AND(COUNT(H527:H538)=4,COUNT(F527:F538)=4),cubic_spline(F526:F530,H526:H530,B$12),IF(AND(COUNT(H527:H538)=5,COUNT(F527:F538)=5),cubic_spline(F526:F531,H526:H531,B$12),IF(AND(COUNT(H527:H538)=6,COUNT(F527:F538)=6),cubic_spline(F526:F532,H526:H532,B$12),IF(AND(COUNT(H527:H538)=7,COUNT(F527:F538)=7),cubic_spline(F526:F533,H526:H533,B$12),IF(AND(COUNT(H527:H538)=8,COUNT(F527:F538)=8),cubic_spline(F526:F534,H526:H534,B$12),IF(AND(COUNT(H527:H538)=9,COUNT(F527:F538)=9),cubic_spline(F526:F535,H526:H535,B$12),IF(AND(COUNT(H527:H538)=10,COUNT(F527:F538)=10),cubic_spline(F526:F536,H526:H536,B$12),IF(AND(COUNT(H527:H538)=11,COUNT(F527:F538)=11),cubic_spline(F526:F537,H526:H537,B$12),IF(AND(COUNT(H527:H538)=12,COUNT(F527:F538)=12),cubic_spline(F526:F538,H526:H538,B$12),""))))))))))))</f>
        <v/>
      </c>
      <c r="K535" s="52" t="str">
        <f>IF(N(B$12)=0,"",IF(AND(COUNT(A527:A538)=2,COUNT(F527:F538)=2),cubic_spline(F526:F528,A526:A528,B$12),IF(AND(COUNT(A527:A538)=3,COUNT(F527:F538)=3),cubic_spline(F526:F529,A526:A529,B$12),IF(AND(COUNT(A527:A538)=4,COUNT(F527:F538)=4),cubic_spline(F526:F530,A526:A530,B$12),IF(AND(COUNT(A527:A538)=5,COUNT(F527:F538)=5),cubic_spline(F526:F531,A526:A531,B$12),IF(AND(COUNT(A527:A538)=6,COUNT(F527:F538)=6),cubic_spline(F526:F532,A526:A532,B$12),IF(AND(COUNT(A527:A538)=7,COUNT(F527:F538)=7),cubic_spline(F526:F533,A526:A533,B$12),IF(AND(COUNT(A527:A538)=8,COUNT(F527:F538)=8),cubic_spline(F526:F534,A526:A534,B$12),IF(AND(COUNT(A527:A538)=9,COUNT(F527:F538)=9),cubic_spline(F526:F535,A526:A535,B$12),IF(AND(COUNT(A527:A538)=10,COUNT(F527:F538)=10),cubic_spline(F526:F536,A526:A536,B$12),IF(AND(COUNT(A527:A538)=11,COUNT(F527:F538)=11),cubic_spline(F526:F537,A526:A537,B$12),IF(AND(COUNT(A527:A538)=12,COUNT(F527:F538)=12),cubic_spline(F526:F538,A526:A538,B$12),""))))))))))))</f>
        <v/>
      </c>
      <c r="L535" s="27" t="str">
        <f>IF(I535="","",B$11&amp;"-"&amp;B$12)</f>
        <v/>
      </c>
      <c r="M535" s="52" t="str">
        <f t="shared" si="200"/>
        <v/>
      </c>
    </row>
    <row r="536" spans="1:13" x14ac:dyDescent="0.35">
      <c r="A536" s="48"/>
      <c r="B536" s="48"/>
      <c r="C536" s="49"/>
      <c r="D536" s="50"/>
      <c r="E536" s="51" t="str">
        <f t="shared" si="199"/>
        <v/>
      </c>
      <c r="F536" s="71" t="str">
        <f t="shared" si="196"/>
        <v/>
      </c>
      <c r="G536" s="69" t="str">
        <f t="shared" si="198"/>
        <v/>
      </c>
      <c r="H536" s="70" t="str">
        <f t="shared" si="197"/>
        <v/>
      </c>
      <c r="I536" s="27" t="str">
        <f>IF(N(J536)=0,"",0&amp;"-"&amp;B$13)</f>
        <v/>
      </c>
      <c r="J536" s="52" t="str">
        <f>IF(N(B$13)=0,"",IF(AND(COUNT(H527:H538)=2,COUNT(F527:F538)=2),cubic_spline(F526:F528,H526:H528,B$13),IF(AND(COUNT(H527:H538)=3,COUNT(F527:F538)=3),cubic_spline(F526:F529,H526:H529,B$13),IF(AND(COUNT(H527:H538)=4,COUNT(F527:F538)=4),cubic_spline(F526:F530,H526:H530,B$13),IF(AND(COUNT(H527:H538)=5,COUNT(F527:F538)=5),cubic_spline(F526:F531,H526:H531,B$13),IF(AND(COUNT(H527:H538)=6,COUNT(F527:F538)=6),cubic_spline(F526:F532,H526:H532,B$13),IF(AND(COUNT(H527:H538)=7,COUNT(F527:F538)=7),cubic_spline(F526:F533,H526:H533,B$13),IF(AND(COUNT(H527:H538)=8,COUNT(F527:F538)=8),cubic_spline(F526:F534,H526:H534,B$13),IF(AND(COUNT(H527:H538)=9,COUNT(F527:F538)=9),cubic_spline(F526:F535,H526:H535,B$13),IF(AND(COUNT(H527:H538)=10,COUNT(F527:F538)=10),cubic_spline(F526:F536,H526:H536,B$13),IF(AND(COUNT(H527:H538)=11,COUNT(F527:F538)=11),cubic_spline(F526:F537,H526:H537,B$13),IF(AND(COUNT(H527:H538)=12,COUNT(F527:F538)=12),cubic_spline(F526:F538,H526:H538,B$13),""))))))))))))</f>
        <v/>
      </c>
      <c r="K536" s="52" t="str">
        <f>IF(N(B$13)=0,"",IF(AND(COUNT(A527:A538)=2,COUNT(F527:F538)=2),cubic_spline(F526:F528,A526:A528,B$13),IF(AND(COUNT(A527:A538)=3,COUNT(F527:F538)=3),cubic_spline(F526:F529,A526:A529,B$13),IF(AND(COUNT(A527:A538)=4,COUNT(F527:F538)=4),cubic_spline(F526:F530,A526:A530,B$13),IF(AND(COUNT(A527:A538)=5,COUNT(F527:F538)=5),cubic_spline(F526:F531,A526:A531,B$13),IF(AND(COUNT(A527:A538)=6,COUNT(F527:F538)=6),cubic_spline(F526:F532,A526:A532,B$13),IF(AND(COUNT(A527:A538)=7,COUNT(F527:F538)=7),cubic_spline(F526:F533,A526:A533,B$13),IF(AND(COUNT(A527:A538)=8,COUNT(F527:F538)=8),cubic_spline(F526:F534,A526:A534,B$13),IF(AND(COUNT(A527:A538)=9,COUNT(F527:F538)=9),cubic_spline(F526:F535,A526:A535,B$13),IF(AND(COUNT(A527:A538)=10,COUNT(F527:F538)=10),cubic_spline(F526:F536,A526:A536,B$13),IF(AND(COUNT(A527:A538)=11,COUNT(F527:F538)=11),cubic_spline(F526:F537,A526:A537,B$13),IF(AND(COUNT(A527:A538)=12,COUNT(F527:F538)=12),cubic_spline(F526:F538,A526:A538,B$13),""))))))))))))</f>
        <v/>
      </c>
      <c r="L536" s="27" t="str">
        <f>IF(I536="","",B$12&amp;"-"&amp;B$13)</f>
        <v/>
      </c>
      <c r="M536" s="52" t="str">
        <f t="shared" si="200"/>
        <v/>
      </c>
    </row>
    <row r="537" spans="1:13" x14ac:dyDescent="0.35">
      <c r="A537" s="48"/>
      <c r="B537" s="48"/>
      <c r="C537" s="49"/>
      <c r="D537" s="50"/>
      <c r="E537" s="51" t="str">
        <f t="shared" si="199"/>
        <v/>
      </c>
      <c r="F537" s="71" t="str">
        <f t="shared" si="196"/>
        <v/>
      </c>
      <c r="G537" s="69" t="str">
        <f t="shared" si="198"/>
        <v/>
      </c>
      <c r="H537" s="70" t="str">
        <f t="shared" si="197"/>
        <v/>
      </c>
      <c r="I537" s="27" t="str">
        <f>IF(N(J537)=0,"",0&amp;"-"&amp;B$14)</f>
        <v/>
      </c>
      <c r="J537" s="52" t="str">
        <f>IF(N(B$14)=0,"",IF(AND(COUNT(H527:H538)=2,COUNT(F527:F538)=2),cubic_spline(F526:F528,H526:H528,B$14),IF(AND(COUNT(H527:H538)=3,COUNT(F527:F538)=3),cubic_spline(F526:F529,H526:H529,B$14),IF(AND(COUNT(H527:H538)=4,COUNT(F527:F538)=4),cubic_spline(F526:F530,H526:H530,B$14),IF(AND(COUNT(H527:H538)=5,COUNT(F527:F538)=5),cubic_spline(F526:F531,H526:H531,B$14),IF(AND(COUNT(H527:H538)=6,COUNT(F527:F538)=6),cubic_spline(F526:F532,H526:H532,B$14),IF(AND(COUNT(H527:H538)=7,COUNT(F527:F538)=7),cubic_spline(F526:F533,H526:H533,B$14),IF(AND(COUNT(H527:H538)=8,COUNT(F527:F538)=8),cubic_spline(F526:F534,H526:H534,B$14),IF(AND(COUNT(H527:H538)=9,COUNT(F527:F538)=9),cubic_spline(F526:F535,H526:H535,B$14),IF(AND(COUNT(H527:H538)=10,COUNT(F527:F538)=10),cubic_spline(F526:F536,H526:H536,B$14),IF(AND(COUNT(H527:H538)=11,COUNT(F527:F538)=11),cubic_spline(F526:F537,H526:H537,B$14),IF(AND(COUNT(H527:H538)=12,COUNT(F527:F538)=12),cubic_spline(F526:F538,H526:H538,B$14),""))))))))))))</f>
        <v/>
      </c>
      <c r="K537" s="52" t="str">
        <f>IF(N(B$14)=0,"",IF(AND(COUNT(A527:A538)=2,COUNT(F527:F538)=2),cubic_spline(F526:F528,A526:A528,B$14),IF(AND(COUNT(A527:A538)=3,COUNT(F527:F538)=3),cubic_spline(F526:F529,A526:A529,B$14),IF(AND(COUNT(A527:A538)=4,COUNT(F527:F538)=4),cubic_spline(F526:F530,A526:A530,B$14),IF(AND(COUNT(A527:A538)=5,COUNT(F527:F538)=5),cubic_spline(F526:F531,A526:A531,B$14),IF(AND(COUNT(A527:A538)=6,COUNT(F527:F538)=6),cubic_spline(F526:F532,A526:A532,B$14),IF(AND(COUNT(A527:A538)=7,COUNT(F527:F538)=7),cubic_spline(F526:F533,A526:A533,B$14),IF(AND(COUNT(A527:A538)=8,COUNT(F527:F538)=8),cubic_spline(F526:F534,A526:A534,B$14),IF(AND(COUNT(A527:A538)=9,COUNT(F527:F538)=9),cubic_spline(F526:F535,A526:A535,B$14),IF(AND(COUNT(A527:A538)=10,COUNT(F527:F538)=10),cubic_spline(F526:F536,A526:A536,B$14),IF(AND(COUNT(A527:A538)=11,COUNT(F527:F538)=11),cubic_spline(F526:F537,A526:A537,B$14),IF(AND(COUNT(A527:A538)=12,COUNT(F527:F538)=12),cubic_spline(F526:F538,A526:A538,B$14),""))))))))))))</f>
        <v/>
      </c>
      <c r="L537" s="27" t="str">
        <f>IF(I537="","",B$13&amp;"-"&amp;B$14)</f>
        <v/>
      </c>
      <c r="M537" s="52" t="str">
        <f t="shared" si="200"/>
        <v/>
      </c>
    </row>
    <row r="538" spans="1:13" x14ac:dyDescent="0.35">
      <c r="A538" s="48"/>
      <c r="B538" s="48"/>
      <c r="C538" s="49"/>
      <c r="D538" s="50"/>
      <c r="E538" s="51" t="str">
        <f t="shared" si="199"/>
        <v/>
      </c>
      <c r="F538" s="71" t="str">
        <f t="shared" si="196"/>
        <v/>
      </c>
      <c r="G538" s="69" t="str">
        <f t="shared" si="198"/>
        <v/>
      </c>
      <c r="H538" s="70" t="str">
        <f t="shared" si="197"/>
        <v/>
      </c>
      <c r="I538" s="27" t="str">
        <f>IF(N(J538)=0,"",0&amp;"-"&amp;B$15)</f>
        <v/>
      </c>
      <c r="J538" s="52" t="str">
        <f>IF(N(B$15)=0,"",IF(AND(COUNT(H527:H538)=2,COUNT(F527:F538)=2),cubic_spline(F526:F528,H526:H528,B$15),IF(AND(COUNT(H527:H538)=3,COUNT(F527:F538)=3),cubic_spline(F526:F529,H526:H529,B$15),IF(AND(COUNT(H527:H538)=4,COUNT(F527:F538)=4),cubic_spline(F526:F530,H526:H530,B$15),IF(AND(COUNT(H527:H538)=5,COUNT(F527:F538)=5),cubic_spline(F526:F531,H526:H531,B$15),IF(AND(COUNT(H527:H538)=6,COUNT(F527:F538)=6),cubic_spline(F526:F532,H526:H532,B$15),IF(AND(COUNT(H527:H538)=7,COUNT(F527:F538)=7),cubic_spline(F526:F533,H526:H533,B$15),IF(AND(COUNT(H527:H538)=8,COUNT(F527:F538)=8),cubic_spline(F526:F534,H526:H534,B$15),IF(AND(COUNT(H527:H538)=9,COUNT(F527:F538)=9),cubic_spline(F526:F535,H526:H535,B$15),IF(AND(COUNT(H527:H538)=10,COUNT(F527:F538)=10),cubic_spline(F526:F536,H526:H536,B$15),IF(AND(COUNT(H527:H538)=11,COUNT(F527:F538)=11),cubic_spline(F526:F537,H526:H537,B$15),IF(AND(COUNT(H527:H538)=12,COUNT(F527:F538)=12),cubic_spline(F526:F538,H526:H538,B$15),""))))))))))))</f>
        <v/>
      </c>
      <c r="K538" s="52" t="str">
        <f>IF(N(B$15)=0,"",IF(AND(COUNT(A527:A538)=2,COUNT(F527:F538)=2),cubic_spline(F526:F528,A526:A528,B$15),IF(AND(COUNT(A527:A538)=3,COUNT(F527:F538)=3),cubic_spline(F526:F529,A526:A529,B$15),IF(AND(COUNT(A527:A538)=4,COUNT(F527:F538)=4),cubic_spline(F526:F530,A526:A530,B$15),IF(AND(COUNT(A527:A538)=5,COUNT(F527:F538)=5),cubic_spline(F526:F531,A526:A531,B$15),IF(AND(COUNT(A527:A538)=6,COUNT(F527:F538)=6),cubic_spline(F526:F532,A526:A532,B$15),IF(AND(COUNT(A527:A538)=7,COUNT(F527:F538)=7),cubic_spline(F526:F533,A526:A533,B$15),IF(AND(COUNT(A527:A538)=8,COUNT(F527:F538)=8),cubic_spline(F526:F534,A526:A534,B$15),IF(AND(COUNT(A527:A538)=9,COUNT(F527:F538)=9),cubic_spline(F526:F535,A526:A535,B$15),IF(AND(COUNT(A527:A538)=10,COUNT(F527:F538)=10),cubic_spline(F526:F536,A526:A536,B$15),IF(AND(COUNT(A527:A538)=11,COUNT(F527:F538)=11),cubic_spline(F526:F537,A526:A537,B$15),IF(AND(COUNT(A527:A538)=12,COUNT(F527:F538)=12),cubic_spline(F526:F538,A526:A538,B$15),""))))))))))))</f>
        <v/>
      </c>
      <c r="L538" s="27" t="str">
        <f>IF(I538="","",B$14&amp;"-"&amp;B$15)</f>
        <v/>
      </c>
      <c r="M538" s="52" t="str">
        <f t="shared" si="200"/>
        <v/>
      </c>
    </row>
    <row r="539" spans="1:13" ht="5.15" customHeight="1" x14ac:dyDescent="0.35">
      <c r="A539" s="47"/>
      <c r="B539" s="47"/>
      <c r="C539" s="47"/>
      <c r="D539" s="53"/>
      <c r="E539" s="54"/>
      <c r="F539" s="55"/>
      <c r="G539" s="72"/>
      <c r="H539" s="73"/>
      <c r="I539" s="47"/>
      <c r="J539" s="57"/>
      <c r="K539" s="57"/>
      <c r="L539" s="55"/>
      <c r="M539" s="57"/>
    </row>
    <row r="540" spans="1:13" x14ac:dyDescent="0.35">
      <c r="A540" s="48"/>
      <c r="B540" s="48"/>
      <c r="C540" s="49"/>
      <c r="D540" s="50"/>
      <c r="E540" s="51" t="str">
        <f>IF(N(C540)=0,"",C540/PI()/($D$1/2)^2/$D$2*10000)</f>
        <v/>
      </c>
      <c r="F540" s="68" t="str">
        <f t="shared" ref="F540:F551" si="201">IF(N(E540)=0,"",(N(E540)+N(F539)))</f>
        <v/>
      </c>
      <c r="G540" s="69" t="str">
        <f>IF(OR(N(D540)=0,N(E540)=0),"",(E540*D540)/1000)</f>
        <v/>
      </c>
      <c r="H540" s="70" t="str">
        <f t="shared" ref="H540:H551" si="202">IF(N(G540)=0,"",(N(G540)+N(H539)))</f>
        <v/>
      </c>
      <c r="I540" s="27" t="str">
        <f>IF(N(J540)=0,"",0&amp;"-"&amp;B$4)</f>
        <v/>
      </c>
      <c r="J540" s="52" t="str">
        <f>IF(N(B$4)=0,"",IF(AND(COUNT(H540:H551)=2,COUNT(F540:F551)=2),cubic_spline(F539:F541,H539:H541,B$4),IF(AND(COUNT(H540:H551)=3,COUNT(F540:F551)=3),cubic_spline(F539:F542,H539:H542,B$4),IF(AND(COUNT(H540:H551)=4,COUNT(F540:F551)=4),cubic_spline(F539:F543,H539:H543,B$4),IF(AND(COUNT(H540:H551)=5,COUNT(F540:F551)=5),cubic_spline(F539:F544,H539:H544,B$4),IF(AND(COUNT(H540:H551)=6,COUNT(F540:F551)=6),cubic_spline(F539:F545,H539:H545,B$4),IF(AND(COUNT(H540:H551)=7,COUNT(F540:F551)=7),cubic_spline(F539:F546,H539:H546,B$4),IF(AND(COUNT(H540:H551)=8,COUNT(F540:F551)=8),cubic_spline(F539:F547,H539:H547,B$4),IF(AND(COUNT(H540:H551)=9,COUNT(F540:F551)=9),cubic_spline(F539:F548,H539:H548,B$4),IF(AND(COUNT(H540:H551)=10,COUNT(F540:F551)=10),cubic_spline(F539:F549,H539:H549,B$4),IF(AND(COUNT(H540:H551)=11,COUNT(F540:F551)=11),cubic_spline(F539:F550,H539:H550,B$4),IF(AND(COUNT(H540:H551)=12,COUNT(F540:F551)=12),cubic_spline(F539:F551,H539:H551,B$4),""))))))))))))</f>
        <v/>
      </c>
      <c r="K540" s="52" t="str">
        <f>IF(N(B$4)=0,"",IF(AND(COUNT(A540:A551)=2,COUNT(F540:F551)=2),cubic_spline(F539:F541,A539:A541,B$4),IF(AND(COUNT(A540:A551)=3,COUNT(F540:F551)=3),cubic_spline(F539:F542,A539:A542,B$4),IF(AND(COUNT(A540:A551)=4,COUNT(F540:F551)=4),cubic_spline(F539:F543,A539:A543,B$4),IF(AND(COUNT(A540:A551)=5,COUNT(F540:F551)=5),cubic_spline(F539:F544,A539:A544,B$4),IF(AND(COUNT(A540:A551)=6,COUNT(F540:F551)=6),cubic_spline(F539:F545,A539:A545,B$4),IF(AND(COUNT(A540:A551)=7,COUNT(F540:F551)=7),cubic_spline(F539:F546,A539:A546,B$4),IF(AND(COUNT(A540:A551)=8,COUNT(F540:F551)=8),cubic_spline(F539:F547,A539:A547,B$4),IF(AND(COUNT(A540:A551)=9,COUNT(F540:F551)=9),cubic_spline(F539:F548,A539:A548,B$4),IF(AND(COUNT(A540:A551)=10,COUNT(F540:F551)=10),cubic_spline(F539:F549,A539:A549,B$4),IF(AND(COUNT(A540:A551)=11,COUNT(F540:F551)=11),cubic_spline(F539:F550,A539:A550,B$4),IF(AND(COUNT(A540:A551)=12,COUNT(F540:F551)=12),cubic_spline(F539:F551,A539:A551,B$4),""))))))))))))</f>
        <v/>
      </c>
      <c r="L540" s="27" t="str">
        <f>IF(I540="","",0&amp;"-"&amp;B$4)</f>
        <v/>
      </c>
      <c r="M540" s="52" t="str">
        <f>IF(N(J540)=0,"",J540-J539)</f>
        <v/>
      </c>
    </row>
    <row r="541" spans="1:13" x14ac:dyDescent="0.35">
      <c r="A541" s="48"/>
      <c r="B541" s="48"/>
      <c r="C541" s="49"/>
      <c r="D541" s="50"/>
      <c r="E541" s="51" t="str">
        <f>IF(N(C541)=0,"",C541/PI()/($D$1/2)^2/$D$2*10000)</f>
        <v/>
      </c>
      <c r="F541" s="68" t="str">
        <f t="shared" si="201"/>
        <v/>
      </c>
      <c r="G541" s="69" t="str">
        <f t="shared" ref="G541:G551" si="203">IF(OR(N(D541)=0,N(E541)=0),"",(E541*D541)/1000)</f>
        <v/>
      </c>
      <c r="H541" s="70" t="str">
        <f t="shared" si="202"/>
        <v/>
      </c>
      <c r="I541" s="27" t="str">
        <f>IF(N(J541)=0,"",0&amp;"-"&amp;B$5)</f>
        <v/>
      </c>
      <c r="J541" s="52" t="str">
        <f>IF(N(B$5)=0,"",IF(AND(COUNT(H540:H551)=2,COUNT(F540:F551)=2),cubic_spline(F539:F541,H539:H541,B$5),IF(AND(COUNT(H540:H551)=3,COUNT(F540:F551)=3),cubic_spline(F539:F542,H539:H542,B$5),IF(AND(COUNT(H540:H551)=4,COUNT(F540:F551)=4),cubic_spline(F539:F543,H539:H543,B$5),IF(AND(COUNT(H540:H551)=5,COUNT(F540:F551)=5),cubic_spline(F539:F544,H539:H544,B$5),IF(AND(COUNT(H540:H551)=6,COUNT(F540:F551)=6),cubic_spline(F539:F545,H539:H545,B$5),IF(AND(COUNT(H540:H551)=7,COUNT(F540:F551)=7),cubic_spline(F539:F546,H539:H546,B$5),IF(AND(COUNT(H540:H551)=8,COUNT(F540:F551)=8),cubic_spline(F539:F547,H539:H547,B$5),IF(AND(COUNT(H540:H551)=9,COUNT(F540:F551)=9),cubic_spline(F539:F548,H539:H548,B$5),IF(AND(COUNT(H540:H551)=10,COUNT(F540:F551)=10),cubic_spline(F539:F549,H539:H549,B$5),IF(AND(COUNT(H540:H551)=11,COUNT(F540:F551)=11),cubic_spline(F539:F550,H539:H550,B$5),IF(AND(COUNT(H540:H551)=12,COUNT(F540:F551)=12),cubic_spline(F539:F551,H539:H551,B$5),""))))))))))))</f>
        <v/>
      </c>
      <c r="K541" s="52" t="str">
        <f>IF(N(B$5)=0,"",IF(AND(COUNT(A540:A551)=2,COUNT(F540:F551)=2),cubic_spline(F539:F541,A539:A541,B$5),IF(AND(COUNT(A540:A551)=3,COUNT(F540:F551)=3),cubic_spline(F539:F542,A539:A542,B$5),IF(AND(COUNT(A540:A551)=4,COUNT(F540:F551)=4),cubic_spline(F539:F543,A539:A543,B$5),IF(AND(COUNT(A540:A551)=5,COUNT(F540:F551)=5),cubic_spline(F539:F544,A539:A544,B$5),IF(AND(COUNT(A540:A551)=6,COUNT(F540:F551)=6),cubic_spline(F539:F545,A539:A545,B$5),IF(AND(COUNT(A540:A551)=7,COUNT(F540:F551)=7),cubic_spline(F539:F546,A539:A546,B$5),IF(AND(COUNT(A540:A551)=8,COUNT(F540:F551)=8),cubic_spline(F539:F547,A539:A547,B$5),IF(AND(COUNT(A540:A551)=9,COUNT(F540:F551)=9),cubic_spline(F539:F548,A539:A548,B$5),IF(AND(COUNT(A540:A551)=10,COUNT(F540:F551)=10),cubic_spline(F539:F549,A539:A549,B$5),IF(AND(COUNT(A540:A551)=11,COUNT(F540:F551)=11),cubic_spline(F539:F550,A539:A550,B$5),IF(AND(COUNT(A540:A551)=12,COUNT(F540:F551)=12),cubic_spline(F539:F551,A539:A551,B$5),""))))))))))))</f>
        <v/>
      </c>
      <c r="L541" s="27" t="str">
        <f>IF(I541="","",B$4&amp;"-"&amp;B$5)</f>
        <v/>
      </c>
      <c r="M541" s="52" t="str">
        <f>IF(N(J541)=0,"",J541-J540)</f>
        <v/>
      </c>
    </row>
    <row r="542" spans="1:13" x14ac:dyDescent="0.35">
      <c r="A542" s="48"/>
      <c r="B542" s="48"/>
      <c r="C542" s="49"/>
      <c r="D542" s="50"/>
      <c r="E542" s="51" t="str">
        <f>IF(N(C542)=0,"",C542/PI()/($D$1/2)^2/$D$2*10000)</f>
        <v/>
      </c>
      <c r="F542" s="68" t="str">
        <f t="shared" si="201"/>
        <v/>
      </c>
      <c r="G542" s="69" t="str">
        <f t="shared" si="203"/>
        <v/>
      </c>
      <c r="H542" s="70" t="str">
        <f t="shared" si="202"/>
        <v/>
      </c>
      <c r="I542" s="27" t="str">
        <f>IF(N(J542)=0,"",0&amp;"-"&amp;B$6)</f>
        <v/>
      </c>
      <c r="J542" s="52" t="str">
        <f>IF(N(B$6)=0,"",IF(AND(COUNT(H540:H551)=2,COUNT(F540:F551)=2),cubic_spline(F539:F541,H539:H541,B$6),IF(AND(COUNT(H540:H551)=3,COUNT(F540:F551)=3),cubic_spline(F539:F542,H539:H542,B$6),IF(AND(COUNT(H540:H551)=4,COUNT(F540:F551)=4),cubic_spline(F539:F543,H539:H543,B$6),IF(AND(COUNT(H540:H551)=5,COUNT(F540:F551)=5),cubic_spline(F539:F544,H539:H544,B$6),IF(AND(COUNT(H540:H551)=6,COUNT(F540:F551)=6),cubic_spline(F539:F545,H539:H545,B$6),IF(AND(COUNT(H540:H551)=7,COUNT(F540:F551)=7),cubic_spline(F539:F546,H539:H546,B$6),IF(AND(COUNT(H540:H551)=8,COUNT(F540:F551)=8),cubic_spline(F539:F547,H539:H547,B$6),IF(AND(COUNT(H540:H551)=9,COUNT(F540:F551)=9),cubic_spline(F539:F548,H539:H548,B$6),IF(AND(COUNT(H540:H551)=10,COUNT(F540:F551)=10),cubic_spline(F539:F549,H539:H549,B$6),IF(AND(COUNT(H540:H551)=11,COUNT(F540:F551)=11),cubic_spline(F539:F550,H539:H550,B$6),IF(AND(COUNT(H540:H551)=12,COUNT(F540:F551)=12),cubic_spline(F539:F551,H539:H551,B$6),""))))))))))))</f>
        <v/>
      </c>
      <c r="K542" s="52" t="str">
        <f>IF(N(B$6)=0,"",IF(AND(COUNT(A540:A551)=2,COUNT(F540:F551)=2),cubic_spline(F539:F541,A539:A541,B$6),IF(AND(COUNT(A540:A551)=3,COUNT(F540:F551)=3),cubic_spline(F539:F542,A539:A542,B$6),IF(AND(COUNT(A540:A551)=4,COUNT(F540:F551)=4),cubic_spline(F539:F543,A539:A543,B$6),IF(AND(COUNT(A540:A551)=5,COUNT(F540:F551)=5),cubic_spline(F539:F544,A539:A544,B$6),IF(AND(COUNT(A540:A551)=6,COUNT(F540:F551)=6),cubic_spline(F539:F545,A539:A545,B$6),IF(AND(COUNT(A540:A551)=7,COUNT(F540:F551)=7),cubic_spline(F539:F546,A539:A546,B$6),IF(AND(COUNT(A540:A551)=8,COUNT(F540:F551)=8),cubic_spline(F539:F547,A539:A547,B$6),IF(AND(COUNT(A540:A551)=9,COUNT(F540:F551)=9),cubic_spline(F539:F548,A539:A548,B$6),IF(AND(COUNT(A540:A551)=10,COUNT(F540:F551)=10),cubic_spline(F539:F549,A539:A549,B$6),IF(AND(COUNT(A540:A551)=11,COUNT(F540:F551)=11),cubic_spline(F539:F550,A539:A550,B$6),IF(AND(COUNT(A540:A551)=12,COUNT(F540:F551)=12),cubic_spline(F539:F551,A539:A551,B$6),""))))))))))))</f>
        <v/>
      </c>
      <c r="L542" s="27" t="str">
        <f>IF(I542="","",B$5&amp;"-"&amp;B$6)</f>
        <v/>
      </c>
      <c r="M542" s="52" t="str">
        <f>IF(N(J542)=0,"",J542-J541)</f>
        <v/>
      </c>
    </row>
    <row r="543" spans="1:13" x14ac:dyDescent="0.35">
      <c r="A543" s="48"/>
      <c r="B543" s="48"/>
      <c r="C543" s="49"/>
      <c r="D543" s="50"/>
      <c r="E543" s="51" t="str">
        <f>IF(N(C543)=0,"",C543/PI()/($D$1/2)^2/$D$2*10000)</f>
        <v/>
      </c>
      <c r="F543" s="68" t="str">
        <f t="shared" si="201"/>
        <v/>
      </c>
      <c r="G543" s="69" t="str">
        <f t="shared" si="203"/>
        <v/>
      </c>
      <c r="H543" s="70" t="str">
        <f t="shared" si="202"/>
        <v/>
      </c>
      <c r="I543" s="27" t="str">
        <f>IF(N(J543)=0,"",0&amp;"-"&amp;B$7)</f>
        <v/>
      </c>
      <c r="J543" s="52" t="str">
        <f>IF(N(B$7)=0,"",IF(AND(COUNT(H540:H551)=2,COUNT(F540:F551)=2),cubic_spline(F539:F541,H539:H541,B$7),IF(AND(COUNT(H540:H551)=3,COUNT(F540:F551)=3),cubic_spline(F539:F542,H539:H542,B$7),IF(AND(COUNT(H540:H551)=4,COUNT(F540:F551)=4),cubic_spline(F539:F543,H539:H543,B$7),IF(AND(COUNT(H540:H551)=5,COUNT(F540:F551)=5),cubic_spline(F539:F544,H539:H544,B$7),IF(AND(COUNT(H540:H551)=6,COUNT(F540:F551)=6),cubic_spline(F539:F545,H539:H545,B$7),IF(AND(COUNT(H540:H551)=7,COUNT(F540:F551)=7),cubic_spline(F539:F546,H539:H546,B$7),IF(AND(COUNT(H540:H551)=8,COUNT(F540:F551)=8),cubic_spline(F539:F547,H539:H547,B$7),IF(AND(COUNT(H540:H551)=9,COUNT(F540:F551)=9),cubic_spline(F539:F548,H539:H548,B$7),IF(AND(COUNT(H540:H551)=10,COUNT(F540:F551)=10),cubic_spline(F539:F549,H539:H549,B$7),IF(AND(COUNT(H540:H551)=11,COUNT(F540:F551)=11),cubic_spline(F539:F550,H539:H550,B$7),IF(AND(COUNT(H540:H551)=12,COUNT(F540:F551)=12),cubic_spline(F539:F551,H539:H551,B$7),""))))))))))))</f>
        <v/>
      </c>
      <c r="K543" s="52" t="str">
        <f>IF(N(B$7)=0,"",IF(AND(COUNT(A540:A551)=2,COUNT(F540:F551)=2),cubic_spline(F539:F541,A539:A541,B$7),IF(AND(COUNT(A540:A551)=3,COUNT(F540:F551)=3),cubic_spline(F539:F542,A539:A542,B$7),IF(AND(COUNT(A540:A551)=4,COUNT(F540:F551)=4),cubic_spline(F539:F543,A539:A543,B$7),IF(AND(COUNT(A540:A551)=5,COUNT(F540:F551)=5),cubic_spline(F539:F544,A539:A544,B$7),IF(AND(COUNT(A540:A551)=6,COUNT(F540:F551)=6),cubic_spline(F539:F545,A539:A545,B$7),IF(AND(COUNT(A540:A551)=7,COUNT(F540:F551)=7),cubic_spline(F539:F546,A539:A546,B$7),IF(AND(COUNT(A540:A551)=8,COUNT(F540:F551)=8),cubic_spline(F539:F547,A539:A547,B$7),IF(AND(COUNT(A540:A551)=9,COUNT(F540:F551)=9),cubic_spline(F539:F548,A539:A548,B$7),IF(AND(COUNT(A540:A551)=10,COUNT(F540:F551)=10),cubic_spline(F539:F549,A539:A549,B$7),IF(AND(COUNT(A540:A551)=11,COUNT(F540:F551)=11),cubic_spline(F539:F550,A539:A550,B$7),IF(AND(COUNT(A540:A551)=12,COUNT(F540:F551)=12),cubic_spline(F539:F551,A539:A551,B$7),""))))))))))))</f>
        <v/>
      </c>
      <c r="L543" s="27" t="str">
        <f>IF(I543="","",B$6&amp;"-"&amp;B$7)</f>
        <v/>
      </c>
      <c r="M543" s="52" t="str">
        <f>IF(N(J543)=0,"",J543-J542)</f>
        <v/>
      </c>
    </row>
    <row r="544" spans="1:13" x14ac:dyDescent="0.35">
      <c r="A544" s="48"/>
      <c r="B544" s="48"/>
      <c r="C544" s="49"/>
      <c r="D544" s="50"/>
      <c r="E544" s="51" t="str">
        <f t="shared" ref="E544:E551" si="204">IF(N(C544)=0,"",C544/PI()/($D$1/2)^2/$D$2*10000)</f>
        <v/>
      </c>
      <c r="F544" s="71" t="str">
        <f t="shared" si="201"/>
        <v/>
      </c>
      <c r="G544" s="69" t="str">
        <f t="shared" si="203"/>
        <v/>
      </c>
      <c r="H544" s="70" t="str">
        <f t="shared" si="202"/>
        <v/>
      </c>
      <c r="I544" s="27" t="str">
        <f>IF(N(J544)=0,"",0&amp;"-"&amp;B$8)</f>
        <v/>
      </c>
      <c r="J544" s="52" t="str">
        <f>IF(N(B$8)=0,"",IF(AND(COUNT(H540:H551)=2,COUNT(F540:F551)=2),cubic_spline(F539:F541,H539:H541,B$8),IF(AND(COUNT(H540:H551)=3,COUNT(F540:F551)=3),cubic_spline(F539:F542,H539:H542,B$8),IF(AND(COUNT(H540:H551)=4,COUNT(F540:F551)=4),cubic_spline(F539:F543,H539:H543,B$8),IF(AND(COUNT(H540:H551)=5,COUNT(F540:F551)=5),cubic_spline(F539:F544,H539:H544,B$8),IF(AND(COUNT(H540:H551)=6,COUNT(F540:F551)=6),cubic_spline(F539:F545,H539:H545,B$8),IF(AND(COUNT(H540:H551)=7,COUNT(F540:F551)=7),cubic_spline(F539:F546,H539:H546,B$8),IF(AND(COUNT(H540:H551)=8,COUNT(F540:F551)=8),cubic_spline(F539:F547,H539:H547,B$8),IF(AND(COUNT(H540:H551)=9,COUNT(F540:F551)=9),cubic_spline(F539:F548,H539:H548,B$8),IF(AND(COUNT(H540:H551)=10,COUNT(F540:F551)=10),cubic_spline(F539:F549,H539:H549,B$8),IF(AND(COUNT(H540:H551)=11,COUNT(F540:F551)=11),cubic_spline(F539:F550,H539:H550,B$8),IF(AND(COUNT(H540:H551)=12,COUNT(F540:F551)=12),cubic_spline(F539:F551,H539:H551,B$8),""))))))))))))</f>
        <v/>
      </c>
      <c r="K544" s="52" t="str">
        <f>IF(N(B$8)=0,"",IF(AND(COUNT(A540:A551)=2,COUNT(F540:F551)=2),cubic_spline(F539:F541,A539:A541,B$8),IF(AND(COUNT(A540:A551)=3,COUNT(F540:F551)=3),cubic_spline(F539:F542,A539:A542,B$8),IF(AND(COUNT(A540:A551)=4,COUNT(F540:F551)=4),cubic_spline(F539:F543,A539:A543,B$8),IF(AND(COUNT(A540:A551)=5,COUNT(F540:F551)=5),cubic_spline(F539:F544,A539:A544,B$8),IF(AND(COUNT(A540:A551)=6,COUNT(F540:F551)=6),cubic_spline(F539:F545,A539:A545,B$8),IF(AND(COUNT(A540:A551)=7,COUNT(F540:F551)=7),cubic_spline(F539:F546,A539:A546,B$8),IF(AND(COUNT(A540:A551)=8,COUNT(F540:F551)=8),cubic_spline(F539:F547,A539:A547,B$8),IF(AND(COUNT(A540:A551)=9,COUNT(F540:F551)=9),cubic_spline(F539:F548,A539:A548,B$8),IF(AND(COUNT(A540:A551)=10,COUNT(F540:F551)=10),cubic_spline(F539:F549,A539:A549,B$8),IF(AND(COUNT(A540:A551)=11,COUNT(F540:F551)=11),cubic_spline(F539:F550,A539:A550,B$8),IF(AND(COUNT(A540:A551)=12,COUNT(F540:F551)=12),cubic_spline(F539:F551,A539:A551,B$8),""))))))))))))</f>
        <v/>
      </c>
      <c r="L544" s="27" t="str">
        <f>IF(I544="","",B$7&amp;"-"&amp;B$8)</f>
        <v/>
      </c>
      <c r="M544" s="52" t="str">
        <f>IF(N(J544)=0,"",J544-J543)</f>
        <v/>
      </c>
    </row>
    <row r="545" spans="1:13" x14ac:dyDescent="0.35">
      <c r="A545" s="48"/>
      <c r="B545" s="48"/>
      <c r="C545" s="49"/>
      <c r="D545" s="50"/>
      <c r="E545" s="51" t="str">
        <f t="shared" si="204"/>
        <v/>
      </c>
      <c r="F545" s="71" t="str">
        <f t="shared" si="201"/>
        <v/>
      </c>
      <c r="G545" s="69" t="str">
        <f t="shared" si="203"/>
        <v/>
      </c>
      <c r="H545" s="70" t="str">
        <f t="shared" si="202"/>
        <v/>
      </c>
      <c r="I545" s="27" t="str">
        <f>IF(N(J545)=0,"",0&amp;"-"&amp;B$9)</f>
        <v/>
      </c>
      <c r="J545" s="52" t="str">
        <f>IF(N(B$9)=0,"",IF(AND(COUNT(H540:H551)=2,COUNT(F540:F551)=2),cubic_spline(F539:F541,H539:H541,B$9),IF(AND(COUNT(H540:H551)=3,COUNT(F540:F551)=3),cubic_spline(F539:F542,H539:H542,B$9),IF(AND(COUNT(H540:H551)=4,COUNT(F540:F551)=4),cubic_spline(F539:F543,H539:H543,B$9),IF(AND(COUNT(H540:H551)=5,COUNT(F540:F551)=5),cubic_spline(F539:F544,H539:H544,B$9),IF(AND(COUNT(H540:H551)=6,COUNT(F540:F551)=6),cubic_spline(F539:F545,H539:H545,B$9),IF(AND(COUNT(H540:H551)=7,COUNT(F540:F551)=7),cubic_spline(F539:F546,H539:H546,B$9),IF(AND(COUNT(H540:H551)=8,COUNT(F540:F551)=8),cubic_spline(F539:F547,H539:H547,B$9),IF(AND(COUNT(H540:H551)=9,COUNT(F540:F551)=9),cubic_spline(F539:F548,H539:H548,B$9),IF(AND(COUNT(H540:H551)=10,COUNT(F540:F551)=10),cubic_spline(F539:F549,H539:H549,B$9),IF(AND(COUNT(H540:H551)=11,COUNT(F540:F551)=11),cubic_spline(F539:F550,H539:H550,B$9),IF(AND(COUNT(H540:H551)=12,COUNT(F540:F551)=12),cubic_spline(F539:F551,H539:H551,B$9),""))))))))))))</f>
        <v/>
      </c>
      <c r="K545" s="52" t="str">
        <f>IF(N(B$9)=0,"",IF(AND(COUNT(A540:A551)=2,COUNT(F540:F551)=2),cubic_spline(F539:F541,A539:A541,B$9),IF(AND(COUNT(A540:A551)=3,COUNT(F540:F551)=3),cubic_spline(F539:F542,A539:A542,B$9),IF(AND(COUNT(A540:A551)=4,COUNT(F540:F551)=4),cubic_spline(F539:F543,A539:A543,B$9),IF(AND(COUNT(A540:A551)=5,COUNT(F540:F551)=5),cubic_spline(F539:F544,A539:A544,B$9),IF(AND(COUNT(A540:A551)=6,COUNT(F540:F551)=6),cubic_spline(F539:F545,A539:A545,B$9),IF(AND(COUNT(A540:A551)=7,COUNT(F540:F551)=7),cubic_spline(F539:F546,A539:A546,B$9),IF(AND(COUNT(A540:A551)=8,COUNT(F540:F551)=8),cubic_spline(F539:F547,A539:A547,B$9),IF(AND(COUNT(A540:A551)=9,COUNT(F540:F551)=9),cubic_spline(F539:F548,A539:A548,B$9),IF(AND(COUNT(A540:A551)=10,COUNT(F540:F551)=10),cubic_spline(F539:F549,A539:A549,B$9),IF(AND(COUNT(A540:A551)=11,COUNT(F540:F551)=11),cubic_spline(F539:F550,A539:A550,B$9),IF(AND(COUNT(A540:A551)=12,COUNT(F540:F551)=12),cubic_spline(F539:F551,A539:A551,B$9),""))))))))))))</f>
        <v/>
      </c>
      <c r="L545" s="27" t="str">
        <f>IF(I545="","",B$8&amp;"-"&amp;B$9)</f>
        <v/>
      </c>
      <c r="M545" s="52" t="str">
        <f t="shared" ref="M545:M551" si="205">IF(N(J545)=0,"",J545-J544)</f>
        <v/>
      </c>
    </row>
    <row r="546" spans="1:13" x14ac:dyDescent="0.35">
      <c r="A546" s="48"/>
      <c r="B546" s="48"/>
      <c r="C546" s="49"/>
      <c r="D546" s="50"/>
      <c r="E546" s="51" t="str">
        <f t="shared" si="204"/>
        <v/>
      </c>
      <c r="F546" s="71" t="str">
        <f t="shared" si="201"/>
        <v/>
      </c>
      <c r="G546" s="69" t="str">
        <f t="shared" si="203"/>
        <v/>
      </c>
      <c r="H546" s="70" t="str">
        <f t="shared" si="202"/>
        <v/>
      </c>
      <c r="I546" s="27" t="str">
        <f>IF(N(J546)=0,"",0&amp;"-"&amp;B$10)</f>
        <v/>
      </c>
      <c r="J546" s="52" t="str">
        <f>IF(N(B$10)=0,"",IF(AND(COUNT(H540:H551)=2,COUNT(F540:F551)=2),cubic_spline(F539:F541,H539:H541,B$10),IF(AND(COUNT(H540:H551)=3,COUNT(F540:F551)=3),cubic_spline(F539:F542,H539:H542,B$10),IF(AND(COUNT(H540:H551)=4,COUNT(F540:F551)=4),cubic_spline(F539:F543,H539:H543,B$10),IF(AND(COUNT(H540:H551)=5,COUNT(F540:F551)=5),cubic_spline(F539:F544,H539:H544,B$10),IF(AND(COUNT(H540:H551)=6,COUNT(F540:F551)=6),cubic_spline(F539:F545,H539:H545,B$10),IF(AND(COUNT(H540:H551)=7,COUNT(F540:F551)=7),cubic_spline(F539:F546,H539:H546,B$10),IF(AND(COUNT(H540:H551)=8,COUNT(F540:F551)=8),cubic_spline(F539:F547,H539:H547,B$10),IF(AND(COUNT(H540:H551)=9,COUNT(F540:F551)=9),cubic_spline(F539:F548,H539:H548,B$10),IF(AND(COUNT(H540:H551)=10,COUNT(F540:F551)=10),cubic_spline(F539:F549,H539:H549,B$10),IF(AND(COUNT(H540:H551)=11,COUNT(F540:F551)=11),cubic_spline(F539:F550,H539:H550,B$10),IF(AND(COUNT(H540:H551)=12,COUNT(F540:F551)=12),cubic_spline(F539:F551,H539:H551,B$10),""))))))))))))</f>
        <v/>
      </c>
      <c r="K546" s="52" t="str">
        <f>IF(N(B$10)=0,"",IF(AND(COUNT(A540:A551)=2,COUNT(F540:F551)=2),cubic_spline(F539:F541,A539:A541,B$10),IF(AND(COUNT(A540:A551)=3,COUNT(F540:F551)=3),cubic_spline(F539:F542,A539:A542,B$10),IF(AND(COUNT(A540:A551)=4,COUNT(F540:F551)=4),cubic_spline(F539:F543,A539:A543,B$10),IF(AND(COUNT(A540:A551)=5,COUNT(F540:F551)=5),cubic_spline(F539:F544,A539:A544,B$10),IF(AND(COUNT(A540:A551)=6,COUNT(F540:F551)=6),cubic_spline(F539:F545,A539:A545,B$10),IF(AND(COUNT(A540:A551)=7,COUNT(F540:F551)=7),cubic_spline(F539:F546,A539:A546,B$10),IF(AND(COUNT(A540:A551)=8,COUNT(F540:F551)=8),cubic_spline(F539:F547,A539:A547,B$10),IF(AND(COUNT(A540:A551)=9,COUNT(F540:F551)=9),cubic_spline(F539:F548,A539:A548,B$10),IF(AND(COUNT(A540:A551)=10,COUNT(F540:F551)=10),cubic_spline(F539:F549,A539:A549,B$10),IF(AND(COUNT(A540:A551)=11,COUNT(F540:F551)=11),cubic_spline(F539:F550,A539:A550,B$10),IF(AND(COUNT(A540:A551)=12,COUNT(F540:F551)=12),cubic_spline(F539:F551,A539:A551,B$10),""))))))))))))</f>
        <v/>
      </c>
      <c r="L546" s="27" t="str">
        <f>IF(I546="","",B$9&amp;"-"&amp;B$10)</f>
        <v/>
      </c>
      <c r="M546" s="52" t="str">
        <f t="shared" si="205"/>
        <v/>
      </c>
    </row>
    <row r="547" spans="1:13" x14ac:dyDescent="0.35">
      <c r="A547" s="48"/>
      <c r="B547" s="48"/>
      <c r="C547" s="49"/>
      <c r="D547" s="50"/>
      <c r="E547" s="51" t="str">
        <f t="shared" si="204"/>
        <v/>
      </c>
      <c r="F547" s="71" t="str">
        <f t="shared" si="201"/>
        <v/>
      </c>
      <c r="G547" s="69" t="str">
        <f t="shared" si="203"/>
        <v/>
      </c>
      <c r="H547" s="70" t="str">
        <f t="shared" si="202"/>
        <v/>
      </c>
      <c r="I547" s="27" t="str">
        <f>IF(N(J547)=0,"",0&amp;"-"&amp;B$11)</f>
        <v/>
      </c>
      <c r="J547" s="52" t="str">
        <f>IF(N(B$11)=0,"",IF(AND(COUNT(H540:H551)=2,COUNT(F540:F551)=2),cubic_spline(F539:F541,H539:H541,B$11),IF(AND(COUNT(H540:H551)=3,COUNT(F540:F551)=3),cubic_spline(F539:F542,H539:H542,B$11),IF(AND(COUNT(H540:H551)=4,COUNT(F540:F551)=4),cubic_spline(F539:F543,H539:H543,B$11),IF(AND(COUNT(H540:H551)=5,COUNT(F540:F551)=5),cubic_spline(F539:F544,H539:H544,B$11),IF(AND(COUNT(H540:H551)=6,COUNT(F540:F551)=6),cubic_spline(F539:F545,H539:H545,B$11),IF(AND(COUNT(H540:H551)=7,COUNT(F540:F551)=7),cubic_spline(F539:F546,H539:H546,B$11),IF(AND(COUNT(H540:H551)=8,COUNT(F540:F551)=8),cubic_spline(F539:F547,H539:H547,B$11),IF(AND(COUNT(H540:H551)=9,COUNT(F540:F551)=9),cubic_spline(F539:F548,H539:H548,B$11),IF(AND(COUNT(H540:H551)=10,COUNT(F540:F551)=10),cubic_spline(F539:F549,H539:H549,B$11),IF(AND(COUNT(H540:H551)=11,COUNT(F540:F551)=11),cubic_spline(F539:F550,H539:H550,B$11),IF(AND(COUNT(H540:H551)=12,COUNT(F540:F551)=12),cubic_spline(F539:F551,H539:H551,B$11),""))))))))))))</f>
        <v/>
      </c>
      <c r="K547" s="52" t="str">
        <f>IF(N(B$11)=0,"",IF(AND(COUNT(A540:A551)=2,COUNT(F540:F551)=2),cubic_spline(F539:F541,A539:A541,B$11),IF(AND(COUNT(A540:A551)=3,COUNT(F540:F551)=3),cubic_spline(F539:F542,A539:A542,B$11),IF(AND(COUNT(A540:A551)=4,COUNT(F540:F551)=4),cubic_spline(F539:F543,A539:A543,B$11),IF(AND(COUNT(A540:A551)=5,COUNT(F540:F551)=5),cubic_spline(F539:F544,A539:A544,B$11),IF(AND(COUNT(A540:A551)=6,COUNT(F540:F551)=6),cubic_spline(F539:F545,A539:A545,B$11),IF(AND(COUNT(A540:A551)=7,COUNT(F540:F551)=7),cubic_spline(F539:F546,A539:A546,B$11),IF(AND(COUNT(A540:A551)=8,COUNT(F540:F551)=8),cubic_spline(F539:F547,A539:A547,B$11),IF(AND(COUNT(A540:A551)=9,COUNT(F540:F551)=9),cubic_spline(F539:F548,A539:A548,B$11),IF(AND(COUNT(A540:A551)=10,COUNT(F540:F551)=10),cubic_spline(F539:F549,A539:A549,B$11),IF(AND(COUNT(A540:A551)=11,COUNT(F540:F551)=11),cubic_spline(F539:F550,A539:A550,B$11),IF(AND(COUNT(A540:A551)=12,COUNT(F540:F551)=12),cubic_spline(F539:F551,A539:A551,B$11),""))))))))))))</f>
        <v/>
      </c>
      <c r="L547" s="27" t="str">
        <f>IF(I547="","",B$10&amp;"-"&amp;B$11)</f>
        <v/>
      </c>
      <c r="M547" s="52" t="str">
        <f t="shared" si="205"/>
        <v/>
      </c>
    </row>
    <row r="548" spans="1:13" x14ac:dyDescent="0.35">
      <c r="A548" s="48"/>
      <c r="B548" s="48"/>
      <c r="C548" s="49"/>
      <c r="D548" s="50"/>
      <c r="E548" s="51" t="str">
        <f t="shared" si="204"/>
        <v/>
      </c>
      <c r="F548" s="71" t="str">
        <f t="shared" si="201"/>
        <v/>
      </c>
      <c r="G548" s="69" t="str">
        <f t="shared" si="203"/>
        <v/>
      </c>
      <c r="H548" s="70" t="str">
        <f t="shared" si="202"/>
        <v/>
      </c>
      <c r="I548" s="27" t="str">
        <f>IF(N(J548)=0,"",0&amp;"-"&amp;B$12)</f>
        <v/>
      </c>
      <c r="J548" s="52" t="str">
        <f>IF(N(B$12)=0,"",IF(AND(COUNT(H540:H551)=2,COUNT(F540:F551)=2),cubic_spline(F539:F541,H539:H541,B$12),IF(AND(COUNT(H540:H551)=3,COUNT(F540:F551)=3),cubic_spline(F539:F542,H539:H542,B$12),IF(AND(COUNT(H540:H551)=4,COUNT(F540:F551)=4),cubic_spline(F539:F543,H539:H543,B$12),IF(AND(COUNT(H540:H551)=5,COUNT(F540:F551)=5),cubic_spline(F539:F544,H539:H544,B$12),IF(AND(COUNT(H540:H551)=6,COUNT(F540:F551)=6),cubic_spline(F539:F545,H539:H545,B$12),IF(AND(COUNT(H540:H551)=7,COUNT(F540:F551)=7),cubic_spline(F539:F546,H539:H546,B$12),IF(AND(COUNT(H540:H551)=8,COUNT(F540:F551)=8),cubic_spline(F539:F547,H539:H547,B$12),IF(AND(COUNT(H540:H551)=9,COUNT(F540:F551)=9),cubic_spline(F539:F548,H539:H548,B$12),IF(AND(COUNT(H540:H551)=10,COUNT(F540:F551)=10),cubic_spline(F539:F549,H539:H549,B$12),IF(AND(COUNT(H540:H551)=11,COUNT(F540:F551)=11),cubic_spline(F539:F550,H539:H550,B$12),IF(AND(COUNT(H540:H551)=12,COUNT(F540:F551)=12),cubic_spline(F539:F551,H539:H551,B$12),""))))))))))))</f>
        <v/>
      </c>
      <c r="K548" s="52" t="str">
        <f>IF(N(B$12)=0,"",IF(AND(COUNT(A540:A551)=2,COUNT(F540:F551)=2),cubic_spline(F539:F541,A539:A541,B$12),IF(AND(COUNT(A540:A551)=3,COUNT(F540:F551)=3),cubic_spline(F539:F542,A539:A542,B$12),IF(AND(COUNT(A540:A551)=4,COUNT(F540:F551)=4),cubic_spline(F539:F543,A539:A543,B$12),IF(AND(COUNT(A540:A551)=5,COUNT(F540:F551)=5),cubic_spline(F539:F544,A539:A544,B$12),IF(AND(COUNT(A540:A551)=6,COUNT(F540:F551)=6),cubic_spline(F539:F545,A539:A545,B$12),IF(AND(COUNT(A540:A551)=7,COUNT(F540:F551)=7),cubic_spline(F539:F546,A539:A546,B$12),IF(AND(COUNT(A540:A551)=8,COUNT(F540:F551)=8),cubic_spline(F539:F547,A539:A547,B$12),IF(AND(COUNT(A540:A551)=9,COUNT(F540:F551)=9),cubic_spline(F539:F548,A539:A548,B$12),IF(AND(COUNT(A540:A551)=10,COUNT(F540:F551)=10),cubic_spline(F539:F549,A539:A549,B$12),IF(AND(COUNT(A540:A551)=11,COUNT(F540:F551)=11),cubic_spline(F539:F550,A539:A550,B$12),IF(AND(COUNT(A540:A551)=12,COUNT(F540:F551)=12),cubic_spline(F539:F551,A539:A551,B$12),""))))))))))))</f>
        <v/>
      </c>
      <c r="L548" s="27" t="str">
        <f>IF(I548="","",B$11&amp;"-"&amp;B$12)</f>
        <v/>
      </c>
      <c r="M548" s="52" t="str">
        <f t="shared" si="205"/>
        <v/>
      </c>
    </row>
    <row r="549" spans="1:13" x14ac:dyDescent="0.35">
      <c r="A549" s="48"/>
      <c r="B549" s="48"/>
      <c r="C549" s="49"/>
      <c r="D549" s="50"/>
      <c r="E549" s="51" t="str">
        <f t="shared" si="204"/>
        <v/>
      </c>
      <c r="F549" s="71" t="str">
        <f t="shared" si="201"/>
        <v/>
      </c>
      <c r="G549" s="69" t="str">
        <f t="shared" si="203"/>
        <v/>
      </c>
      <c r="H549" s="70" t="str">
        <f t="shared" si="202"/>
        <v/>
      </c>
      <c r="I549" s="27" t="str">
        <f>IF(N(J549)=0,"",0&amp;"-"&amp;B$13)</f>
        <v/>
      </c>
      <c r="J549" s="52" t="str">
        <f>IF(N(B$13)=0,"",IF(AND(COUNT(H540:H551)=2,COUNT(F540:F551)=2),cubic_spline(F539:F541,H539:H541,B$13),IF(AND(COUNT(H540:H551)=3,COUNT(F540:F551)=3),cubic_spline(F539:F542,H539:H542,B$13),IF(AND(COUNT(H540:H551)=4,COUNT(F540:F551)=4),cubic_spline(F539:F543,H539:H543,B$13),IF(AND(COUNT(H540:H551)=5,COUNT(F540:F551)=5),cubic_spline(F539:F544,H539:H544,B$13),IF(AND(COUNT(H540:H551)=6,COUNT(F540:F551)=6),cubic_spline(F539:F545,H539:H545,B$13),IF(AND(COUNT(H540:H551)=7,COUNT(F540:F551)=7),cubic_spline(F539:F546,H539:H546,B$13),IF(AND(COUNT(H540:H551)=8,COUNT(F540:F551)=8),cubic_spline(F539:F547,H539:H547,B$13),IF(AND(COUNT(H540:H551)=9,COUNT(F540:F551)=9),cubic_spline(F539:F548,H539:H548,B$13),IF(AND(COUNT(H540:H551)=10,COUNT(F540:F551)=10),cubic_spline(F539:F549,H539:H549,B$13),IF(AND(COUNT(H540:H551)=11,COUNT(F540:F551)=11),cubic_spline(F539:F550,H539:H550,B$13),IF(AND(COUNT(H540:H551)=12,COUNT(F540:F551)=12),cubic_spline(F539:F551,H539:H551,B$13),""))))))))))))</f>
        <v/>
      </c>
      <c r="K549" s="52" t="str">
        <f>IF(N(B$13)=0,"",IF(AND(COUNT(A540:A551)=2,COUNT(F540:F551)=2),cubic_spline(F539:F541,A539:A541,B$13),IF(AND(COUNT(A540:A551)=3,COUNT(F540:F551)=3),cubic_spline(F539:F542,A539:A542,B$13),IF(AND(COUNT(A540:A551)=4,COUNT(F540:F551)=4),cubic_spline(F539:F543,A539:A543,B$13),IF(AND(COUNT(A540:A551)=5,COUNT(F540:F551)=5),cubic_spline(F539:F544,A539:A544,B$13),IF(AND(COUNT(A540:A551)=6,COUNT(F540:F551)=6),cubic_spline(F539:F545,A539:A545,B$13),IF(AND(COUNT(A540:A551)=7,COUNT(F540:F551)=7),cubic_spline(F539:F546,A539:A546,B$13),IF(AND(COUNT(A540:A551)=8,COUNT(F540:F551)=8),cubic_spline(F539:F547,A539:A547,B$13),IF(AND(COUNT(A540:A551)=9,COUNT(F540:F551)=9),cubic_spline(F539:F548,A539:A548,B$13),IF(AND(COUNT(A540:A551)=10,COUNT(F540:F551)=10),cubic_spline(F539:F549,A539:A549,B$13),IF(AND(COUNT(A540:A551)=11,COUNT(F540:F551)=11),cubic_spline(F539:F550,A539:A550,B$13),IF(AND(COUNT(A540:A551)=12,COUNT(F540:F551)=12),cubic_spline(F539:F551,A539:A551,B$13),""))))))))))))</f>
        <v/>
      </c>
      <c r="L549" s="27" t="str">
        <f>IF(I549="","",B$12&amp;"-"&amp;B$13)</f>
        <v/>
      </c>
      <c r="M549" s="52" t="str">
        <f t="shared" si="205"/>
        <v/>
      </c>
    </row>
    <row r="550" spans="1:13" x14ac:dyDescent="0.35">
      <c r="A550" s="48"/>
      <c r="B550" s="48"/>
      <c r="C550" s="49"/>
      <c r="D550" s="50"/>
      <c r="E550" s="51" t="str">
        <f t="shared" si="204"/>
        <v/>
      </c>
      <c r="F550" s="71" t="str">
        <f t="shared" si="201"/>
        <v/>
      </c>
      <c r="G550" s="69" t="str">
        <f t="shared" si="203"/>
        <v/>
      </c>
      <c r="H550" s="70" t="str">
        <f t="shared" si="202"/>
        <v/>
      </c>
      <c r="I550" s="27" t="str">
        <f>IF(N(J550)=0,"",0&amp;"-"&amp;B$14)</f>
        <v/>
      </c>
      <c r="J550" s="52" t="str">
        <f>IF(N(B$14)=0,"",IF(AND(COUNT(H540:H551)=2,COUNT(F540:F551)=2),cubic_spline(F539:F541,H539:H541,B$14),IF(AND(COUNT(H540:H551)=3,COUNT(F540:F551)=3),cubic_spline(F539:F542,H539:H542,B$14),IF(AND(COUNT(H540:H551)=4,COUNT(F540:F551)=4),cubic_spline(F539:F543,H539:H543,B$14),IF(AND(COUNT(H540:H551)=5,COUNT(F540:F551)=5),cubic_spline(F539:F544,H539:H544,B$14),IF(AND(COUNT(H540:H551)=6,COUNT(F540:F551)=6),cubic_spline(F539:F545,H539:H545,B$14),IF(AND(COUNT(H540:H551)=7,COUNT(F540:F551)=7),cubic_spline(F539:F546,H539:H546,B$14),IF(AND(COUNT(H540:H551)=8,COUNT(F540:F551)=8),cubic_spline(F539:F547,H539:H547,B$14),IF(AND(COUNT(H540:H551)=9,COUNT(F540:F551)=9),cubic_spline(F539:F548,H539:H548,B$14),IF(AND(COUNT(H540:H551)=10,COUNT(F540:F551)=10),cubic_spline(F539:F549,H539:H549,B$14),IF(AND(COUNT(H540:H551)=11,COUNT(F540:F551)=11),cubic_spline(F539:F550,H539:H550,B$14),IF(AND(COUNT(H540:H551)=12,COUNT(F540:F551)=12),cubic_spline(F539:F551,H539:H551,B$14),""))))))))))))</f>
        <v/>
      </c>
      <c r="K550" s="52" t="str">
        <f>IF(N(B$14)=0,"",IF(AND(COUNT(A540:A551)=2,COUNT(F540:F551)=2),cubic_spline(F539:F541,A539:A541,B$14),IF(AND(COUNT(A540:A551)=3,COUNT(F540:F551)=3),cubic_spline(F539:F542,A539:A542,B$14),IF(AND(COUNT(A540:A551)=4,COUNT(F540:F551)=4),cubic_spline(F539:F543,A539:A543,B$14),IF(AND(COUNT(A540:A551)=5,COUNT(F540:F551)=5),cubic_spline(F539:F544,A539:A544,B$14),IF(AND(COUNT(A540:A551)=6,COUNT(F540:F551)=6),cubic_spline(F539:F545,A539:A545,B$14),IF(AND(COUNT(A540:A551)=7,COUNT(F540:F551)=7),cubic_spline(F539:F546,A539:A546,B$14),IF(AND(COUNT(A540:A551)=8,COUNT(F540:F551)=8),cubic_spline(F539:F547,A539:A547,B$14),IF(AND(COUNT(A540:A551)=9,COUNT(F540:F551)=9),cubic_spline(F539:F548,A539:A548,B$14),IF(AND(COUNT(A540:A551)=10,COUNT(F540:F551)=10),cubic_spline(F539:F549,A539:A549,B$14),IF(AND(COUNT(A540:A551)=11,COUNT(F540:F551)=11),cubic_spline(F539:F550,A539:A550,B$14),IF(AND(COUNT(A540:A551)=12,COUNT(F540:F551)=12),cubic_spline(F539:F551,A539:A551,B$14),""))))))))))))</f>
        <v/>
      </c>
      <c r="L550" s="27" t="str">
        <f>IF(I550="","",B$13&amp;"-"&amp;B$14)</f>
        <v/>
      </c>
      <c r="M550" s="52" t="str">
        <f t="shared" si="205"/>
        <v/>
      </c>
    </row>
    <row r="551" spans="1:13" x14ac:dyDescent="0.35">
      <c r="A551" s="48"/>
      <c r="B551" s="48"/>
      <c r="C551" s="49"/>
      <c r="D551" s="50"/>
      <c r="E551" s="51" t="str">
        <f t="shared" si="204"/>
        <v/>
      </c>
      <c r="F551" s="71" t="str">
        <f t="shared" si="201"/>
        <v/>
      </c>
      <c r="G551" s="69" t="str">
        <f t="shared" si="203"/>
        <v/>
      </c>
      <c r="H551" s="70" t="str">
        <f t="shared" si="202"/>
        <v/>
      </c>
      <c r="I551" s="27" t="str">
        <f>IF(N(J551)=0,"",0&amp;"-"&amp;B$15)</f>
        <v/>
      </c>
      <c r="J551" s="52" t="str">
        <f>IF(N(B$15)=0,"",IF(AND(COUNT(H540:H551)=2,COUNT(F540:F551)=2),cubic_spline(F539:F541,H539:H541,B$15),IF(AND(COUNT(H540:H551)=3,COUNT(F540:F551)=3),cubic_spline(F539:F542,H539:H542,B$15),IF(AND(COUNT(H540:H551)=4,COUNT(F540:F551)=4),cubic_spline(F539:F543,H539:H543,B$15),IF(AND(COUNT(H540:H551)=5,COUNT(F540:F551)=5),cubic_spline(F539:F544,H539:H544,B$15),IF(AND(COUNT(H540:H551)=6,COUNT(F540:F551)=6),cubic_spline(F539:F545,H539:H545,B$15),IF(AND(COUNT(H540:H551)=7,COUNT(F540:F551)=7),cubic_spline(F539:F546,H539:H546,B$15),IF(AND(COUNT(H540:H551)=8,COUNT(F540:F551)=8),cubic_spline(F539:F547,H539:H547,B$15),IF(AND(COUNT(H540:H551)=9,COUNT(F540:F551)=9),cubic_spline(F539:F548,H539:H548,B$15),IF(AND(COUNT(H540:H551)=10,COUNT(F540:F551)=10),cubic_spline(F539:F549,H539:H549,B$15),IF(AND(COUNT(H540:H551)=11,COUNT(F540:F551)=11),cubic_spline(F539:F550,H539:H550,B$15),IF(AND(COUNT(H540:H551)=12,COUNT(F540:F551)=12),cubic_spline(F539:F551,H539:H551,B$15),""))))))))))))</f>
        <v/>
      </c>
      <c r="K551" s="52" t="str">
        <f>IF(N(B$15)=0,"",IF(AND(COUNT(A540:A551)=2,COUNT(F540:F551)=2),cubic_spline(F539:F541,A539:A541,B$15),IF(AND(COUNT(A540:A551)=3,COUNT(F540:F551)=3),cubic_spline(F539:F542,A539:A542,B$15),IF(AND(COUNT(A540:A551)=4,COUNT(F540:F551)=4),cubic_spline(F539:F543,A539:A543,B$15),IF(AND(COUNT(A540:A551)=5,COUNT(F540:F551)=5),cubic_spline(F539:F544,A539:A544,B$15),IF(AND(COUNT(A540:A551)=6,COUNT(F540:F551)=6),cubic_spline(F539:F545,A539:A545,B$15),IF(AND(COUNT(A540:A551)=7,COUNT(F540:F551)=7),cubic_spline(F539:F546,A539:A546,B$15),IF(AND(COUNT(A540:A551)=8,COUNT(F540:F551)=8),cubic_spline(F539:F547,A539:A547,B$15),IF(AND(COUNT(A540:A551)=9,COUNT(F540:F551)=9),cubic_spline(F539:F548,A539:A548,B$15),IF(AND(COUNT(A540:A551)=10,COUNT(F540:F551)=10),cubic_spline(F539:F549,A539:A549,B$15),IF(AND(COUNT(A540:A551)=11,COUNT(F540:F551)=11),cubic_spline(F539:F550,A539:A550,B$15),IF(AND(COUNT(A540:A551)=12,COUNT(F540:F551)=12),cubic_spline(F539:F551,A539:A551,B$15),""))))))))))))</f>
        <v/>
      </c>
      <c r="L551" s="27" t="str">
        <f>IF(I551="","",B$14&amp;"-"&amp;B$15)</f>
        <v/>
      </c>
      <c r="M551" s="52" t="str">
        <f t="shared" si="205"/>
        <v/>
      </c>
    </row>
    <row r="552" spans="1:13" ht="5.15" customHeight="1" x14ac:dyDescent="0.35">
      <c r="A552" s="47"/>
      <c r="B552" s="47"/>
      <c r="C552" s="47"/>
      <c r="D552" s="53"/>
      <c r="E552" s="54"/>
      <c r="F552" s="55"/>
      <c r="G552" s="72"/>
      <c r="H552" s="73"/>
      <c r="I552" s="47"/>
      <c r="J552" s="57"/>
      <c r="K552" s="57"/>
      <c r="L552" s="55"/>
      <c r="M552" s="57"/>
    </row>
    <row r="553" spans="1:13" x14ac:dyDescent="0.35">
      <c r="A553" s="48"/>
      <c r="B553" s="48"/>
      <c r="C553" s="49"/>
      <c r="D553" s="50"/>
      <c r="E553" s="51" t="str">
        <f>IF(N(C553)=0,"",C553/PI()/($D$1/2)^2/$D$2*10000)</f>
        <v/>
      </c>
      <c r="F553" s="68" t="str">
        <f t="shared" ref="F553:F564" si="206">IF(N(E553)=0,"",(N(E553)+N(F552)))</f>
        <v/>
      </c>
      <c r="G553" s="69" t="str">
        <f>IF(OR(N(D553)=0,N(E553)=0),"",(E553*D553)/1000)</f>
        <v/>
      </c>
      <c r="H553" s="70" t="str">
        <f t="shared" ref="H553:H564" si="207">IF(N(G553)=0,"",(N(G553)+N(H552)))</f>
        <v/>
      </c>
      <c r="I553" s="27" t="str">
        <f>IF(N(J553)=0,"",0&amp;"-"&amp;B$4)</f>
        <v/>
      </c>
      <c r="J553" s="52" t="str">
        <f>IF(N(B$4)=0,"",IF(AND(COUNT(H553:H564)=2,COUNT(F553:F564)=2),cubic_spline(F552:F554,H552:H554,B$4),IF(AND(COUNT(H553:H564)=3,COUNT(F553:F564)=3),cubic_spline(F552:F555,H552:H555,B$4),IF(AND(COUNT(H553:H564)=4,COUNT(F553:F564)=4),cubic_spline(F552:F556,H552:H556,B$4),IF(AND(COUNT(H553:H564)=5,COUNT(F553:F564)=5),cubic_spline(F552:F557,H552:H557,B$4),IF(AND(COUNT(H553:H564)=6,COUNT(F553:F564)=6),cubic_spline(F552:F558,H552:H558,B$4),IF(AND(COUNT(H553:H564)=7,COUNT(F553:F564)=7),cubic_spline(F552:F559,H552:H559,B$4),IF(AND(COUNT(H553:H564)=8,COUNT(F553:F564)=8),cubic_spline(F552:F560,H552:H560,B$4),IF(AND(COUNT(H553:H564)=9,COUNT(F553:F564)=9),cubic_spline(F552:F561,H552:H561,B$4),IF(AND(COUNT(H553:H564)=10,COUNT(F553:F564)=10),cubic_spline(F552:F562,H552:H562,B$4),IF(AND(COUNT(H553:H564)=11,COUNT(F553:F564)=11),cubic_spline(F552:F563,H552:H563,B$4),IF(AND(COUNT(H553:H564)=12,COUNT(F553:F564)=12),cubic_spline(F552:F564,H552:H564,B$4),""))))))))))))</f>
        <v/>
      </c>
      <c r="K553" s="52" t="str">
        <f>IF(N(B$4)=0,"",IF(AND(COUNT(A553:A564)=2,COUNT(F553:F564)=2),cubic_spline(F552:F554,A552:A554,B$4),IF(AND(COUNT(A553:A564)=3,COUNT(F553:F564)=3),cubic_spline(F552:F555,A552:A555,B$4),IF(AND(COUNT(A553:A564)=4,COUNT(F553:F564)=4),cubic_spline(F552:F556,A552:A556,B$4),IF(AND(COUNT(A553:A564)=5,COUNT(F553:F564)=5),cubic_spline(F552:F557,A552:A557,B$4),IF(AND(COUNT(A553:A564)=6,COUNT(F553:F564)=6),cubic_spline(F552:F558,A552:A558,B$4),IF(AND(COUNT(A553:A564)=7,COUNT(F553:F564)=7),cubic_spline(F552:F559,A552:A559,B$4),IF(AND(COUNT(A553:A564)=8,COUNT(F553:F564)=8),cubic_spline(F552:F560,A552:A560,B$4),IF(AND(COUNT(A553:A564)=9,COUNT(F553:F564)=9),cubic_spline(F552:F561,A552:A561,B$4),IF(AND(COUNT(A553:A564)=10,COUNT(F553:F564)=10),cubic_spline(F552:F562,A552:A562,B$4),IF(AND(COUNT(A553:A564)=11,COUNT(F553:F564)=11),cubic_spline(F552:F563,A552:A563,B$4),IF(AND(COUNT(A553:A564)=12,COUNT(F553:F564)=12),cubic_spline(F552:F564,A552:A564,B$4),""))))))))))))</f>
        <v/>
      </c>
      <c r="L553" s="27" t="str">
        <f>IF(I553="","",0&amp;"-"&amp;B$4)</f>
        <v/>
      </c>
      <c r="M553" s="52" t="str">
        <f>IF(N(J553)=0,"",J553-J552)</f>
        <v/>
      </c>
    </row>
    <row r="554" spans="1:13" x14ac:dyDescent="0.35">
      <c r="A554" s="48"/>
      <c r="B554" s="48"/>
      <c r="C554" s="49"/>
      <c r="D554" s="50"/>
      <c r="E554" s="51" t="str">
        <f>IF(N(C554)=0,"",C554/PI()/($D$1/2)^2/$D$2*10000)</f>
        <v/>
      </c>
      <c r="F554" s="68" t="str">
        <f t="shared" si="206"/>
        <v/>
      </c>
      <c r="G554" s="69" t="str">
        <f t="shared" ref="G554:G564" si="208">IF(OR(N(D554)=0,N(E554)=0),"",(E554*D554)/1000)</f>
        <v/>
      </c>
      <c r="H554" s="70" t="str">
        <f t="shared" si="207"/>
        <v/>
      </c>
      <c r="I554" s="27" t="str">
        <f>IF(N(J554)=0,"",0&amp;"-"&amp;B$5)</f>
        <v/>
      </c>
      <c r="J554" s="52" t="str">
        <f>IF(N(B$5)=0,"",IF(AND(COUNT(H553:H564)=2,COUNT(F553:F564)=2),cubic_spline(F552:F554,H552:H554,B$5),IF(AND(COUNT(H553:H564)=3,COUNT(F553:F564)=3),cubic_spline(F552:F555,H552:H555,B$5),IF(AND(COUNT(H553:H564)=4,COUNT(F553:F564)=4),cubic_spline(F552:F556,H552:H556,B$5),IF(AND(COUNT(H553:H564)=5,COUNT(F553:F564)=5),cubic_spline(F552:F557,H552:H557,B$5),IF(AND(COUNT(H553:H564)=6,COUNT(F553:F564)=6),cubic_spline(F552:F558,H552:H558,B$5),IF(AND(COUNT(H553:H564)=7,COUNT(F553:F564)=7),cubic_spline(F552:F559,H552:H559,B$5),IF(AND(COUNT(H553:H564)=8,COUNT(F553:F564)=8),cubic_spline(F552:F560,H552:H560,B$5),IF(AND(COUNT(H553:H564)=9,COUNT(F553:F564)=9),cubic_spline(F552:F561,H552:H561,B$5),IF(AND(COUNT(H553:H564)=10,COUNT(F553:F564)=10),cubic_spline(F552:F562,H552:H562,B$5),IF(AND(COUNT(H553:H564)=11,COUNT(F553:F564)=11),cubic_spline(F552:F563,H552:H563,B$5),IF(AND(COUNT(H553:H564)=12,COUNT(F553:F564)=12),cubic_spline(F552:F564,H552:H564,B$5),""))))))))))))</f>
        <v/>
      </c>
      <c r="K554" s="52" t="str">
        <f>IF(N(B$5)=0,"",IF(AND(COUNT(A553:A564)=2,COUNT(F553:F564)=2),cubic_spline(F552:F554,A552:A554,B$5),IF(AND(COUNT(A553:A564)=3,COUNT(F553:F564)=3),cubic_spline(F552:F555,A552:A555,B$5),IF(AND(COUNT(A553:A564)=4,COUNT(F553:F564)=4),cubic_spline(F552:F556,A552:A556,B$5),IF(AND(COUNT(A553:A564)=5,COUNT(F553:F564)=5),cubic_spline(F552:F557,A552:A557,B$5),IF(AND(COUNT(A553:A564)=6,COUNT(F553:F564)=6),cubic_spline(F552:F558,A552:A558,B$5),IF(AND(COUNT(A553:A564)=7,COUNT(F553:F564)=7),cubic_spline(F552:F559,A552:A559,B$5),IF(AND(COUNT(A553:A564)=8,COUNT(F553:F564)=8),cubic_spline(F552:F560,A552:A560,B$5),IF(AND(COUNT(A553:A564)=9,COUNT(F553:F564)=9),cubic_spline(F552:F561,A552:A561,B$5),IF(AND(COUNT(A553:A564)=10,COUNT(F553:F564)=10),cubic_spline(F552:F562,A552:A562,B$5),IF(AND(COUNT(A553:A564)=11,COUNT(F553:F564)=11),cubic_spline(F552:F563,A552:A563,B$5),IF(AND(COUNT(A553:A564)=12,COUNT(F553:F564)=12),cubic_spline(F552:F564,A552:A564,B$5),""))))))))))))</f>
        <v/>
      </c>
      <c r="L554" s="27" t="str">
        <f>IF(I554="","",B$4&amp;"-"&amp;B$5)</f>
        <v/>
      </c>
      <c r="M554" s="52" t="str">
        <f>IF(N(J554)=0,"",J554-J553)</f>
        <v/>
      </c>
    </row>
    <row r="555" spans="1:13" x14ac:dyDescent="0.35">
      <c r="A555" s="48"/>
      <c r="B555" s="48"/>
      <c r="C555" s="49"/>
      <c r="D555" s="50"/>
      <c r="E555" s="51" t="str">
        <f>IF(N(C555)=0,"",C555/PI()/($D$1/2)^2/$D$2*10000)</f>
        <v/>
      </c>
      <c r="F555" s="68" t="str">
        <f t="shared" si="206"/>
        <v/>
      </c>
      <c r="G555" s="69" t="str">
        <f t="shared" si="208"/>
        <v/>
      </c>
      <c r="H555" s="70" t="str">
        <f t="shared" si="207"/>
        <v/>
      </c>
      <c r="I555" s="27" t="str">
        <f>IF(N(J555)=0,"",0&amp;"-"&amp;B$6)</f>
        <v/>
      </c>
      <c r="J555" s="52" t="str">
        <f>IF(N(B$6)=0,"",IF(AND(COUNT(H553:H564)=2,COUNT(F553:F564)=2),cubic_spline(F552:F554,H552:H554,B$6),IF(AND(COUNT(H553:H564)=3,COUNT(F553:F564)=3),cubic_spline(F552:F555,H552:H555,B$6),IF(AND(COUNT(H553:H564)=4,COUNT(F553:F564)=4),cubic_spline(F552:F556,H552:H556,B$6),IF(AND(COUNT(H553:H564)=5,COUNT(F553:F564)=5),cubic_spline(F552:F557,H552:H557,B$6),IF(AND(COUNT(H553:H564)=6,COUNT(F553:F564)=6),cubic_spline(F552:F558,H552:H558,B$6),IF(AND(COUNT(H553:H564)=7,COUNT(F553:F564)=7),cubic_spline(F552:F559,H552:H559,B$6),IF(AND(COUNT(H553:H564)=8,COUNT(F553:F564)=8),cubic_spline(F552:F560,H552:H560,B$6),IF(AND(COUNT(H553:H564)=9,COUNT(F553:F564)=9),cubic_spline(F552:F561,H552:H561,B$6),IF(AND(COUNT(H553:H564)=10,COUNT(F553:F564)=10),cubic_spline(F552:F562,H552:H562,B$6),IF(AND(COUNT(H553:H564)=11,COUNT(F553:F564)=11),cubic_spline(F552:F563,H552:H563,B$6),IF(AND(COUNT(H553:H564)=12,COUNT(F553:F564)=12),cubic_spline(F552:F564,H552:H564,B$6),""))))))))))))</f>
        <v/>
      </c>
      <c r="K555" s="52" t="str">
        <f>IF(N(B$6)=0,"",IF(AND(COUNT(A553:A564)=2,COUNT(F553:F564)=2),cubic_spline(F552:F554,A552:A554,B$6),IF(AND(COUNT(A553:A564)=3,COUNT(F553:F564)=3),cubic_spline(F552:F555,A552:A555,B$6),IF(AND(COUNT(A553:A564)=4,COUNT(F553:F564)=4),cubic_spline(F552:F556,A552:A556,B$6),IF(AND(COUNT(A553:A564)=5,COUNT(F553:F564)=5),cubic_spline(F552:F557,A552:A557,B$6),IF(AND(COUNT(A553:A564)=6,COUNT(F553:F564)=6),cubic_spline(F552:F558,A552:A558,B$6),IF(AND(COUNT(A553:A564)=7,COUNT(F553:F564)=7),cubic_spline(F552:F559,A552:A559,B$6),IF(AND(COUNT(A553:A564)=8,COUNT(F553:F564)=8),cubic_spline(F552:F560,A552:A560,B$6),IF(AND(COUNT(A553:A564)=9,COUNT(F553:F564)=9),cubic_spline(F552:F561,A552:A561,B$6),IF(AND(COUNT(A553:A564)=10,COUNT(F553:F564)=10),cubic_spline(F552:F562,A552:A562,B$6),IF(AND(COUNT(A553:A564)=11,COUNT(F553:F564)=11),cubic_spline(F552:F563,A552:A563,B$6),IF(AND(COUNT(A553:A564)=12,COUNT(F553:F564)=12),cubic_spline(F552:F564,A552:A564,B$6),""))))))))))))</f>
        <v/>
      </c>
      <c r="L555" s="27" t="str">
        <f>IF(I555="","",B$5&amp;"-"&amp;B$6)</f>
        <v/>
      </c>
      <c r="M555" s="52" t="str">
        <f>IF(N(J555)=0,"",J555-J554)</f>
        <v/>
      </c>
    </row>
    <row r="556" spans="1:13" x14ac:dyDescent="0.35">
      <c r="A556" s="48"/>
      <c r="B556" s="48"/>
      <c r="C556" s="49"/>
      <c r="D556" s="50"/>
      <c r="E556" s="51" t="str">
        <f>IF(N(C556)=0,"",C556/PI()/($D$1/2)^2/$D$2*10000)</f>
        <v/>
      </c>
      <c r="F556" s="68" t="str">
        <f t="shared" si="206"/>
        <v/>
      </c>
      <c r="G556" s="69" t="str">
        <f t="shared" si="208"/>
        <v/>
      </c>
      <c r="H556" s="70" t="str">
        <f t="shared" si="207"/>
        <v/>
      </c>
      <c r="I556" s="27" t="str">
        <f>IF(N(J556)=0,"",0&amp;"-"&amp;B$7)</f>
        <v/>
      </c>
      <c r="J556" s="52" t="str">
        <f>IF(N(B$7)=0,"",IF(AND(COUNT(H553:H564)=2,COUNT(F553:F564)=2),cubic_spline(F552:F554,H552:H554,B$7),IF(AND(COUNT(H553:H564)=3,COUNT(F553:F564)=3),cubic_spline(F552:F555,H552:H555,B$7),IF(AND(COUNT(H553:H564)=4,COUNT(F553:F564)=4),cubic_spline(F552:F556,H552:H556,B$7),IF(AND(COUNT(H553:H564)=5,COUNT(F553:F564)=5),cubic_spline(F552:F557,H552:H557,B$7),IF(AND(COUNT(H553:H564)=6,COUNT(F553:F564)=6),cubic_spline(F552:F558,H552:H558,B$7),IF(AND(COUNT(H553:H564)=7,COUNT(F553:F564)=7),cubic_spline(F552:F559,H552:H559,B$7),IF(AND(COUNT(H553:H564)=8,COUNT(F553:F564)=8),cubic_spline(F552:F560,H552:H560,B$7),IF(AND(COUNT(H553:H564)=9,COUNT(F553:F564)=9),cubic_spline(F552:F561,H552:H561,B$7),IF(AND(COUNT(H553:H564)=10,COUNT(F553:F564)=10),cubic_spline(F552:F562,H552:H562,B$7),IF(AND(COUNT(H553:H564)=11,COUNT(F553:F564)=11),cubic_spline(F552:F563,H552:H563,B$7),IF(AND(COUNT(H553:H564)=12,COUNT(F553:F564)=12),cubic_spline(F552:F564,H552:H564,B$7),""))))))))))))</f>
        <v/>
      </c>
      <c r="K556" s="52" t="str">
        <f>IF(N(B$7)=0,"",IF(AND(COUNT(A553:A564)=2,COUNT(F553:F564)=2),cubic_spline(F552:F554,A552:A554,B$7),IF(AND(COUNT(A553:A564)=3,COUNT(F553:F564)=3),cubic_spline(F552:F555,A552:A555,B$7),IF(AND(COUNT(A553:A564)=4,COUNT(F553:F564)=4),cubic_spline(F552:F556,A552:A556,B$7),IF(AND(COUNT(A553:A564)=5,COUNT(F553:F564)=5),cubic_spline(F552:F557,A552:A557,B$7),IF(AND(COUNT(A553:A564)=6,COUNT(F553:F564)=6),cubic_spline(F552:F558,A552:A558,B$7),IF(AND(COUNT(A553:A564)=7,COUNT(F553:F564)=7),cubic_spline(F552:F559,A552:A559,B$7),IF(AND(COUNT(A553:A564)=8,COUNT(F553:F564)=8),cubic_spline(F552:F560,A552:A560,B$7),IF(AND(COUNT(A553:A564)=9,COUNT(F553:F564)=9),cubic_spline(F552:F561,A552:A561,B$7),IF(AND(COUNT(A553:A564)=10,COUNT(F553:F564)=10),cubic_spline(F552:F562,A552:A562,B$7),IF(AND(COUNT(A553:A564)=11,COUNT(F553:F564)=11),cubic_spline(F552:F563,A552:A563,B$7),IF(AND(COUNT(A553:A564)=12,COUNT(F553:F564)=12),cubic_spline(F552:F564,A552:A564,B$7),""))))))))))))</f>
        <v/>
      </c>
      <c r="L556" s="27" t="str">
        <f>IF(I556="","",B$6&amp;"-"&amp;B$7)</f>
        <v/>
      </c>
      <c r="M556" s="52" t="str">
        <f>IF(N(J556)=0,"",J556-J555)</f>
        <v/>
      </c>
    </row>
    <row r="557" spans="1:13" x14ac:dyDescent="0.35">
      <c r="A557" s="48"/>
      <c r="B557" s="48"/>
      <c r="C557" s="49"/>
      <c r="D557" s="50"/>
      <c r="E557" s="51" t="str">
        <f t="shared" ref="E557:E564" si="209">IF(N(C557)=0,"",C557/PI()/($D$1/2)^2/$D$2*10000)</f>
        <v/>
      </c>
      <c r="F557" s="71" t="str">
        <f t="shared" si="206"/>
        <v/>
      </c>
      <c r="G557" s="69" t="str">
        <f t="shared" si="208"/>
        <v/>
      </c>
      <c r="H557" s="70" t="str">
        <f t="shared" si="207"/>
        <v/>
      </c>
      <c r="I557" s="27" t="str">
        <f>IF(N(J557)=0,"",0&amp;"-"&amp;B$8)</f>
        <v/>
      </c>
      <c r="J557" s="52" t="str">
        <f>IF(N(B$8)=0,"",IF(AND(COUNT(H553:H564)=2,COUNT(F553:F564)=2),cubic_spline(F552:F554,H552:H554,B$8),IF(AND(COUNT(H553:H564)=3,COUNT(F553:F564)=3),cubic_spline(F552:F555,H552:H555,B$8),IF(AND(COUNT(H553:H564)=4,COUNT(F553:F564)=4),cubic_spline(F552:F556,H552:H556,B$8),IF(AND(COUNT(H553:H564)=5,COUNT(F553:F564)=5),cubic_spline(F552:F557,H552:H557,B$8),IF(AND(COUNT(H553:H564)=6,COUNT(F553:F564)=6),cubic_spline(F552:F558,H552:H558,B$8),IF(AND(COUNT(H553:H564)=7,COUNT(F553:F564)=7),cubic_spline(F552:F559,H552:H559,B$8),IF(AND(COUNT(H553:H564)=8,COUNT(F553:F564)=8),cubic_spline(F552:F560,H552:H560,B$8),IF(AND(COUNT(H553:H564)=9,COUNT(F553:F564)=9),cubic_spline(F552:F561,H552:H561,B$8),IF(AND(COUNT(H553:H564)=10,COUNT(F553:F564)=10),cubic_spline(F552:F562,H552:H562,B$8),IF(AND(COUNT(H553:H564)=11,COUNT(F553:F564)=11),cubic_spline(F552:F563,H552:H563,B$8),IF(AND(COUNT(H553:H564)=12,COUNT(F553:F564)=12),cubic_spline(F552:F564,H552:H564,B$8),""))))))))))))</f>
        <v/>
      </c>
      <c r="K557" s="52" t="str">
        <f>IF(N(B$8)=0,"",IF(AND(COUNT(A553:A564)=2,COUNT(F553:F564)=2),cubic_spline(F552:F554,A552:A554,B$8),IF(AND(COUNT(A553:A564)=3,COUNT(F553:F564)=3),cubic_spline(F552:F555,A552:A555,B$8),IF(AND(COUNT(A553:A564)=4,COUNT(F553:F564)=4),cubic_spline(F552:F556,A552:A556,B$8),IF(AND(COUNT(A553:A564)=5,COUNT(F553:F564)=5),cubic_spline(F552:F557,A552:A557,B$8),IF(AND(COUNT(A553:A564)=6,COUNT(F553:F564)=6),cubic_spline(F552:F558,A552:A558,B$8),IF(AND(COUNT(A553:A564)=7,COUNT(F553:F564)=7),cubic_spline(F552:F559,A552:A559,B$8),IF(AND(COUNT(A553:A564)=8,COUNT(F553:F564)=8),cubic_spline(F552:F560,A552:A560,B$8),IF(AND(COUNT(A553:A564)=9,COUNT(F553:F564)=9),cubic_spline(F552:F561,A552:A561,B$8),IF(AND(COUNT(A553:A564)=10,COUNT(F553:F564)=10),cubic_spline(F552:F562,A552:A562,B$8),IF(AND(COUNT(A553:A564)=11,COUNT(F553:F564)=11),cubic_spline(F552:F563,A552:A563,B$8),IF(AND(COUNT(A553:A564)=12,COUNT(F553:F564)=12),cubic_spline(F552:F564,A552:A564,B$8),""))))))))))))</f>
        <v/>
      </c>
      <c r="L557" s="27" t="str">
        <f>IF(I557="","",B$7&amp;"-"&amp;B$8)</f>
        <v/>
      </c>
      <c r="M557" s="52" t="str">
        <f>IF(N(J557)=0,"",J557-J556)</f>
        <v/>
      </c>
    </row>
    <row r="558" spans="1:13" x14ac:dyDescent="0.35">
      <c r="A558" s="48"/>
      <c r="B558" s="48"/>
      <c r="C558" s="49"/>
      <c r="D558" s="50"/>
      <c r="E558" s="51" t="str">
        <f t="shared" si="209"/>
        <v/>
      </c>
      <c r="F558" s="71" t="str">
        <f t="shared" si="206"/>
        <v/>
      </c>
      <c r="G558" s="69" t="str">
        <f t="shared" si="208"/>
        <v/>
      </c>
      <c r="H558" s="70" t="str">
        <f t="shared" si="207"/>
        <v/>
      </c>
      <c r="I558" s="27" t="str">
        <f>IF(N(J558)=0,"",0&amp;"-"&amp;B$9)</f>
        <v/>
      </c>
      <c r="J558" s="52" t="str">
        <f>IF(N(B$9)=0,"",IF(AND(COUNT(H553:H564)=2,COUNT(F553:F564)=2),cubic_spline(F552:F554,H552:H554,B$9),IF(AND(COUNT(H553:H564)=3,COUNT(F553:F564)=3),cubic_spline(F552:F555,H552:H555,B$9),IF(AND(COUNT(H553:H564)=4,COUNT(F553:F564)=4),cubic_spline(F552:F556,H552:H556,B$9),IF(AND(COUNT(H553:H564)=5,COUNT(F553:F564)=5),cubic_spline(F552:F557,H552:H557,B$9),IF(AND(COUNT(H553:H564)=6,COUNT(F553:F564)=6),cubic_spline(F552:F558,H552:H558,B$9),IF(AND(COUNT(H553:H564)=7,COUNT(F553:F564)=7),cubic_spline(F552:F559,H552:H559,B$9),IF(AND(COUNT(H553:H564)=8,COUNT(F553:F564)=8),cubic_spline(F552:F560,H552:H560,B$9),IF(AND(COUNT(H553:H564)=9,COUNT(F553:F564)=9),cubic_spline(F552:F561,H552:H561,B$9),IF(AND(COUNT(H553:H564)=10,COUNT(F553:F564)=10),cubic_spline(F552:F562,H552:H562,B$9),IF(AND(COUNT(H553:H564)=11,COUNT(F553:F564)=11),cubic_spline(F552:F563,H552:H563,B$9),IF(AND(COUNT(H553:H564)=12,COUNT(F553:F564)=12),cubic_spline(F552:F564,H552:H564,B$9),""))))))))))))</f>
        <v/>
      </c>
      <c r="K558" s="52" t="str">
        <f>IF(N(B$9)=0,"",IF(AND(COUNT(A553:A564)=2,COUNT(F553:F564)=2),cubic_spline(F552:F554,A552:A554,B$9),IF(AND(COUNT(A553:A564)=3,COUNT(F553:F564)=3),cubic_spline(F552:F555,A552:A555,B$9),IF(AND(COUNT(A553:A564)=4,COUNT(F553:F564)=4),cubic_spline(F552:F556,A552:A556,B$9),IF(AND(COUNT(A553:A564)=5,COUNT(F553:F564)=5),cubic_spline(F552:F557,A552:A557,B$9),IF(AND(COUNT(A553:A564)=6,COUNT(F553:F564)=6),cubic_spline(F552:F558,A552:A558,B$9),IF(AND(COUNT(A553:A564)=7,COUNT(F553:F564)=7),cubic_spline(F552:F559,A552:A559,B$9),IF(AND(COUNT(A553:A564)=8,COUNT(F553:F564)=8),cubic_spline(F552:F560,A552:A560,B$9),IF(AND(COUNT(A553:A564)=9,COUNT(F553:F564)=9),cubic_spline(F552:F561,A552:A561,B$9),IF(AND(COUNT(A553:A564)=10,COUNT(F553:F564)=10),cubic_spline(F552:F562,A552:A562,B$9),IF(AND(COUNT(A553:A564)=11,COUNT(F553:F564)=11),cubic_spline(F552:F563,A552:A563,B$9),IF(AND(COUNT(A553:A564)=12,COUNT(F553:F564)=12),cubic_spline(F552:F564,A552:A564,B$9),""))))))))))))</f>
        <v/>
      </c>
      <c r="L558" s="27" t="str">
        <f>IF(I558="","",B$8&amp;"-"&amp;B$9)</f>
        <v/>
      </c>
      <c r="M558" s="52" t="str">
        <f t="shared" ref="M558:M564" si="210">IF(N(J558)=0,"",J558-J557)</f>
        <v/>
      </c>
    </row>
    <row r="559" spans="1:13" x14ac:dyDescent="0.35">
      <c r="A559" s="48"/>
      <c r="B559" s="48"/>
      <c r="C559" s="49"/>
      <c r="D559" s="50"/>
      <c r="E559" s="51" t="str">
        <f t="shared" si="209"/>
        <v/>
      </c>
      <c r="F559" s="71" t="str">
        <f t="shared" si="206"/>
        <v/>
      </c>
      <c r="G559" s="69" t="str">
        <f t="shared" si="208"/>
        <v/>
      </c>
      <c r="H559" s="70" t="str">
        <f t="shared" si="207"/>
        <v/>
      </c>
      <c r="I559" s="27" t="str">
        <f>IF(N(J559)=0,"",0&amp;"-"&amp;B$10)</f>
        <v/>
      </c>
      <c r="J559" s="52" t="str">
        <f>IF(N(B$10)=0,"",IF(AND(COUNT(H553:H564)=2,COUNT(F553:F564)=2),cubic_spline(F552:F554,H552:H554,B$10),IF(AND(COUNT(H553:H564)=3,COUNT(F553:F564)=3),cubic_spline(F552:F555,H552:H555,B$10),IF(AND(COUNT(H553:H564)=4,COUNT(F553:F564)=4),cubic_spline(F552:F556,H552:H556,B$10),IF(AND(COUNT(H553:H564)=5,COUNT(F553:F564)=5),cubic_spline(F552:F557,H552:H557,B$10),IF(AND(COUNT(H553:H564)=6,COUNT(F553:F564)=6),cubic_spline(F552:F558,H552:H558,B$10),IF(AND(COUNT(H553:H564)=7,COUNT(F553:F564)=7),cubic_spline(F552:F559,H552:H559,B$10),IF(AND(COUNT(H553:H564)=8,COUNT(F553:F564)=8),cubic_spline(F552:F560,H552:H560,B$10),IF(AND(COUNT(H553:H564)=9,COUNT(F553:F564)=9),cubic_spline(F552:F561,H552:H561,B$10),IF(AND(COUNT(H553:H564)=10,COUNT(F553:F564)=10),cubic_spline(F552:F562,H552:H562,B$10),IF(AND(COUNT(H553:H564)=11,COUNT(F553:F564)=11),cubic_spline(F552:F563,H552:H563,B$10),IF(AND(COUNT(H553:H564)=12,COUNT(F553:F564)=12),cubic_spline(F552:F564,H552:H564,B$10),""))))))))))))</f>
        <v/>
      </c>
      <c r="K559" s="52" t="str">
        <f>IF(N(B$10)=0,"",IF(AND(COUNT(A553:A564)=2,COUNT(F553:F564)=2),cubic_spline(F552:F554,A552:A554,B$10),IF(AND(COUNT(A553:A564)=3,COUNT(F553:F564)=3),cubic_spline(F552:F555,A552:A555,B$10),IF(AND(COUNT(A553:A564)=4,COUNT(F553:F564)=4),cubic_spline(F552:F556,A552:A556,B$10),IF(AND(COUNT(A553:A564)=5,COUNT(F553:F564)=5),cubic_spline(F552:F557,A552:A557,B$10),IF(AND(COUNT(A553:A564)=6,COUNT(F553:F564)=6),cubic_spline(F552:F558,A552:A558,B$10),IF(AND(COUNT(A553:A564)=7,COUNT(F553:F564)=7),cubic_spline(F552:F559,A552:A559,B$10),IF(AND(COUNT(A553:A564)=8,COUNT(F553:F564)=8),cubic_spline(F552:F560,A552:A560,B$10),IF(AND(COUNT(A553:A564)=9,COUNT(F553:F564)=9),cubic_spline(F552:F561,A552:A561,B$10),IF(AND(COUNT(A553:A564)=10,COUNT(F553:F564)=10),cubic_spline(F552:F562,A552:A562,B$10),IF(AND(COUNT(A553:A564)=11,COUNT(F553:F564)=11),cubic_spline(F552:F563,A552:A563,B$10),IF(AND(COUNT(A553:A564)=12,COUNT(F553:F564)=12),cubic_spline(F552:F564,A552:A564,B$10),""))))))))))))</f>
        <v/>
      </c>
      <c r="L559" s="27" t="str">
        <f>IF(I559="","",B$9&amp;"-"&amp;B$10)</f>
        <v/>
      </c>
      <c r="M559" s="52" t="str">
        <f t="shared" si="210"/>
        <v/>
      </c>
    </row>
    <row r="560" spans="1:13" x14ac:dyDescent="0.35">
      <c r="A560" s="48"/>
      <c r="B560" s="48"/>
      <c r="C560" s="49"/>
      <c r="D560" s="50"/>
      <c r="E560" s="51" t="str">
        <f t="shared" si="209"/>
        <v/>
      </c>
      <c r="F560" s="71" t="str">
        <f t="shared" si="206"/>
        <v/>
      </c>
      <c r="G560" s="69" t="str">
        <f t="shared" si="208"/>
        <v/>
      </c>
      <c r="H560" s="70" t="str">
        <f t="shared" si="207"/>
        <v/>
      </c>
      <c r="I560" s="27" t="str">
        <f>IF(N(J560)=0,"",0&amp;"-"&amp;B$11)</f>
        <v/>
      </c>
      <c r="J560" s="52" t="str">
        <f>IF(N(B$11)=0,"",IF(AND(COUNT(H553:H564)=2,COUNT(F553:F564)=2),cubic_spline(F552:F554,H552:H554,B$11),IF(AND(COUNT(H553:H564)=3,COUNT(F553:F564)=3),cubic_spline(F552:F555,H552:H555,B$11),IF(AND(COUNT(H553:H564)=4,COUNT(F553:F564)=4),cubic_spline(F552:F556,H552:H556,B$11),IF(AND(COUNT(H553:H564)=5,COUNT(F553:F564)=5),cubic_spline(F552:F557,H552:H557,B$11),IF(AND(COUNT(H553:H564)=6,COUNT(F553:F564)=6),cubic_spline(F552:F558,H552:H558,B$11),IF(AND(COUNT(H553:H564)=7,COUNT(F553:F564)=7),cubic_spline(F552:F559,H552:H559,B$11),IF(AND(COUNT(H553:H564)=8,COUNT(F553:F564)=8),cubic_spline(F552:F560,H552:H560,B$11),IF(AND(COUNT(H553:H564)=9,COUNT(F553:F564)=9),cubic_spline(F552:F561,H552:H561,B$11),IF(AND(COUNT(H553:H564)=10,COUNT(F553:F564)=10),cubic_spline(F552:F562,H552:H562,B$11),IF(AND(COUNT(H553:H564)=11,COUNT(F553:F564)=11),cubic_spline(F552:F563,H552:H563,B$11),IF(AND(COUNT(H553:H564)=12,COUNT(F553:F564)=12),cubic_spline(F552:F564,H552:H564,B$11),""))))))))))))</f>
        <v/>
      </c>
      <c r="K560" s="52" t="str">
        <f>IF(N(B$11)=0,"",IF(AND(COUNT(A553:A564)=2,COUNT(F553:F564)=2),cubic_spline(F552:F554,A552:A554,B$11),IF(AND(COUNT(A553:A564)=3,COUNT(F553:F564)=3),cubic_spline(F552:F555,A552:A555,B$11),IF(AND(COUNT(A553:A564)=4,COUNT(F553:F564)=4),cubic_spline(F552:F556,A552:A556,B$11),IF(AND(COUNT(A553:A564)=5,COUNT(F553:F564)=5),cubic_spline(F552:F557,A552:A557,B$11),IF(AND(COUNT(A553:A564)=6,COUNT(F553:F564)=6),cubic_spline(F552:F558,A552:A558,B$11),IF(AND(COUNT(A553:A564)=7,COUNT(F553:F564)=7),cubic_spline(F552:F559,A552:A559,B$11),IF(AND(COUNT(A553:A564)=8,COUNT(F553:F564)=8),cubic_spline(F552:F560,A552:A560,B$11),IF(AND(COUNT(A553:A564)=9,COUNT(F553:F564)=9),cubic_spline(F552:F561,A552:A561,B$11),IF(AND(COUNT(A553:A564)=10,COUNT(F553:F564)=10),cubic_spline(F552:F562,A552:A562,B$11),IF(AND(COUNT(A553:A564)=11,COUNT(F553:F564)=11),cubic_spline(F552:F563,A552:A563,B$11),IF(AND(COUNT(A553:A564)=12,COUNT(F553:F564)=12),cubic_spline(F552:F564,A552:A564,B$11),""))))))))))))</f>
        <v/>
      </c>
      <c r="L560" s="27" t="str">
        <f>IF(I560="","",B$10&amp;"-"&amp;B$11)</f>
        <v/>
      </c>
      <c r="M560" s="52" t="str">
        <f t="shared" si="210"/>
        <v/>
      </c>
    </row>
    <row r="561" spans="1:13" x14ac:dyDescent="0.35">
      <c r="A561" s="48"/>
      <c r="B561" s="48"/>
      <c r="C561" s="49"/>
      <c r="D561" s="50"/>
      <c r="E561" s="51" t="str">
        <f t="shared" si="209"/>
        <v/>
      </c>
      <c r="F561" s="71" t="str">
        <f t="shared" si="206"/>
        <v/>
      </c>
      <c r="G561" s="69" t="str">
        <f t="shared" si="208"/>
        <v/>
      </c>
      <c r="H561" s="70" t="str">
        <f t="shared" si="207"/>
        <v/>
      </c>
      <c r="I561" s="27" t="str">
        <f>IF(N(J561)=0,"",0&amp;"-"&amp;B$12)</f>
        <v/>
      </c>
      <c r="J561" s="52" t="str">
        <f>IF(N(B$12)=0,"",IF(AND(COUNT(H553:H564)=2,COUNT(F553:F564)=2),cubic_spline(F552:F554,H552:H554,B$12),IF(AND(COUNT(H553:H564)=3,COUNT(F553:F564)=3),cubic_spline(F552:F555,H552:H555,B$12),IF(AND(COUNT(H553:H564)=4,COUNT(F553:F564)=4),cubic_spline(F552:F556,H552:H556,B$12),IF(AND(COUNT(H553:H564)=5,COUNT(F553:F564)=5),cubic_spline(F552:F557,H552:H557,B$12),IF(AND(COUNT(H553:H564)=6,COUNT(F553:F564)=6),cubic_spline(F552:F558,H552:H558,B$12),IF(AND(COUNT(H553:H564)=7,COUNT(F553:F564)=7),cubic_spline(F552:F559,H552:H559,B$12),IF(AND(COUNT(H553:H564)=8,COUNT(F553:F564)=8),cubic_spline(F552:F560,H552:H560,B$12),IF(AND(COUNT(H553:H564)=9,COUNT(F553:F564)=9),cubic_spline(F552:F561,H552:H561,B$12),IF(AND(COUNT(H553:H564)=10,COUNT(F553:F564)=10),cubic_spline(F552:F562,H552:H562,B$12),IF(AND(COUNT(H553:H564)=11,COUNT(F553:F564)=11),cubic_spline(F552:F563,H552:H563,B$12),IF(AND(COUNT(H553:H564)=12,COUNT(F553:F564)=12),cubic_spline(F552:F564,H552:H564,B$12),""))))))))))))</f>
        <v/>
      </c>
      <c r="K561" s="52" t="str">
        <f>IF(N(B$12)=0,"",IF(AND(COUNT(A553:A564)=2,COUNT(F553:F564)=2),cubic_spline(F552:F554,A552:A554,B$12),IF(AND(COUNT(A553:A564)=3,COUNT(F553:F564)=3),cubic_spline(F552:F555,A552:A555,B$12),IF(AND(COUNT(A553:A564)=4,COUNT(F553:F564)=4),cubic_spline(F552:F556,A552:A556,B$12),IF(AND(COUNT(A553:A564)=5,COUNT(F553:F564)=5),cubic_spline(F552:F557,A552:A557,B$12),IF(AND(COUNT(A553:A564)=6,COUNT(F553:F564)=6),cubic_spline(F552:F558,A552:A558,B$12),IF(AND(COUNT(A553:A564)=7,COUNT(F553:F564)=7),cubic_spline(F552:F559,A552:A559,B$12),IF(AND(COUNT(A553:A564)=8,COUNT(F553:F564)=8),cubic_spline(F552:F560,A552:A560,B$12),IF(AND(COUNT(A553:A564)=9,COUNT(F553:F564)=9),cubic_spline(F552:F561,A552:A561,B$12),IF(AND(COUNT(A553:A564)=10,COUNT(F553:F564)=10),cubic_spline(F552:F562,A552:A562,B$12),IF(AND(COUNT(A553:A564)=11,COUNT(F553:F564)=11),cubic_spline(F552:F563,A552:A563,B$12),IF(AND(COUNT(A553:A564)=12,COUNT(F553:F564)=12),cubic_spline(F552:F564,A552:A564,B$12),""))))))))))))</f>
        <v/>
      </c>
      <c r="L561" s="27" t="str">
        <f>IF(I561="","",B$11&amp;"-"&amp;B$12)</f>
        <v/>
      </c>
      <c r="M561" s="52" t="str">
        <f t="shared" si="210"/>
        <v/>
      </c>
    </row>
    <row r="562" spans="1:13" x14ac:dyDescent="0.35">
      <c r="A562" s="48"/>
      <c r="B562" s="48"/>
      <c r="C562" s="49"/>
      <c r="D562" s="50"/>
      <c r="E562" s="51" t="str">
        <f t="shared" si="209"/>
        <v/>
      </c>
      <c r="F562" s="71" t="str">
        <f t="shared" si="206"/>
        <v/>
      </c>
      <c r="G562" s="69" t="str">
        <f t="shared" si="208"/>
        <v/>
      </c>
      <c r="H562" s="70" t="str">
        <f t="shared" si="207"/>
        <v/>
      </c>
      <c r="I562" s="27" t="str">
        <f>IF(N(J562)=0,"",0&amp;"-"&amp;B$13)</f>
        <v/>
      </c>
      <c r="J562" s="52" t="str">
        <f>IF(N(B$13)=0,"",IF(AND(COUNT(H553:H564)=2,COUNT(F553:F564)=2),cubic_spline(F552:F554,H552:H554,B$13),IF(AND(COUNT(H553:H564)=3,COUNT(F553:F564)=3),cubic_spline(F552:F555,H552:H555,B$13),IF(AND(COUNT(H553:H564)=4,COUNT(F553:F564)=4),cubic_spline(F552:F556,H552:H556,B$13),IF(AND(COUNT(H553:H564)=5,COUNT(F553:F564)=5),cubic_spline(F552:F557,H552:H557,B$13),IF(AND(COUNT(H553:H564)=6,COUNT(F553:F564)=6),cubic_spline(F552:F558,H552:H558,B$13),IF(AND(COUNT(H553:H564)=7,COUNT(F553:F564)=7),cubic_spline(F552:F559,H552:H559,B$13),IF(AND(COUNT(H553:H564)=8,COUNT(F553:F564)=8),cubic_spline(F552:F560,H552:H560,B$13),IF(AND(COUNT(H553:H564)=9,COUNT(F553:F564)=9),cubic_spline(F552:F561,H552:H561,B$13),IF(AND(COUNT(H553:H564)=10,COUNT(F553:F564)=10),cubic_spline(F552:F562,H552:H562,B$13),IF(AND(COUNT(H553:H564)=11,COUNT(F553:F564)=11),cubic_spline(F552:F563,H552:H563,B$13),IF(AND(COUNT(H553:H564)=12,COUNT(F553:F564)=12),cubic_spline(F552:F564,H552:H564,B$13),""))))))))))))</f>
        <v/>
      </c>
      <c r="K562" s="52" t="str">
        <f>IF(N(B$13)=0,"",IF(AND(COUNT(A553:A564)=2,COUNT(F553:F564)=2),cubic_spline(F552:F554,A552:A554,B$13),IF(AND(COUNT(A553:A564)=3,COUNT(F553:F564)=3),cubic_spline(F552:F555,A552:A555,B$13),IF(AND(COUNT(A553:A564)=4,COUNT(F553:F564)=4),cubic_spline(F552:F556,A552:A556,B$13),IF(AND(COUNT(A553:A564)=5,COUNT(F553:F564)=5),cubic_spline(F552:F557,A552:A557,B$13),IF(AND(COUNT(A553:A564)=6,COUNT(F553:F564)=6),cubic_spline(F552:F558,A552:A558,B$13),IF(AND(COUNT(A553:A564)=7,COUNT(F553:F564)=7),cubic_spline(F552:F559,A552:A559,B$13),IF(AND(COUNT(A553:A564)=8,COUNT(F553:F564)=8),cubic_spline(F552:F560,A552:A560,B$13),IF(AND(COUNT(A553:A564)=9,COUNT(F553:F564)=9),cubic_spline(F552:F561,A552:A561,B$13),IF(AND(COUNT(A553:A564)=10,COUNT(F553:F564)=10),cubic_spline(F552:F562,A552:A562,B$13),IF(AND(COUNT(A553:A564)=11,COUNT(F553:F564)=11),cubic_spline(F552:F563,A552:A563,B$13),IF(AND(COUNT(A553:A564)=12,COUNT(F553:F564)=12),cubic_spline(F552:F564,A552:A564,B$13),""))))))))))))</f>
        <v/>
      </c>
      <c r="L562" s="27" t="str">
        <f>IF(I562="","",B$12&amp;"-"&amp;B$13)</f>
        <v/>
      </c>
      <c r="M562" s="52" t="str">
        <f t="shared" si="210"/>
        <v/>
      </c>
    </row>
    <row r="563" spans="1:13" x14ac:dyDescent="0.35">
      <c r="A563" s="48"/>
      <c r="B563" s="48"/>
      <c r="C563" s="49"/>
      <c r="D563" s="50"/>
      <c r="E563" s="51" t="str">
        <f t="shared" si="209"/>
        <v/>
      </c>
      <c r="F563" s="71" t="str">
        <f t="shared" si="206"/>
        <v/>
      </c>
      <c r="G563" s="69" t="str">
        <f t="shared" si="208"/>
        <v/>
      </c>
      <c r="H563" s="70" t="str">
        <f t="shared" si="207"/>
        <v/>
      </c>
      <c r="I563" s="27" t="str">
        <f>IF(N(J563)=0,"",0&amp;"-"&amp;B$14)</f>
        <v/>
      </c>
      <c r="J563" s="52" t="str">
        <f>IF(N(B$14)=0,"",IF(AND(COUNT(H553:H564)=2,COUNT(F553:F564)=2),cubic_spline(F552:F554,H552:H554,B$14),IF(AND(COUNT(H553:H564)=3,COUNT(F553:F564)=3),cubic_spline(F552:F555,H552:H555,B$14),IF(AND(COUNT(H553:H564)=4,COUNT(F553:F564)=4),cubic_spline(F552:F556,H552:H556,B$14),IF(AND(COUNT(H553:H564)=5,COUNT(F553:F564)=5),cubic_spline(F552:F557,H552:H557,B$14),IF(AND(COUNT(H553:H564)=6,COUNT(F553:F564)=6),cubic_spline(F552:F558,H552:H558,B$14),IF(AND(COUNT(H553:H564)=7,COUNT(F553:F564)=7),cubic_spline(F552:F559,H552:H559,B$14),IF(AND(COUNT(H553:H564)=8,COUNT(F553:F564)=8),cubic_spline(F552:F560,H552:H560,B$14),IF(AND(COUNT(H553:H564)=9,COUNT(F553:F564)=9),cubic_spline(F552:F561,H552:H561,B$14),IF(AND(COUNT(H553:H564)=10,COUNT(F553:F564)=10),cubic_spline(F552:F562,H552:H562,B$14),IF(AND(COUNT(H553:H564)=11,COUNT(F553:F564)=11),cubic_spline(F552:F563,H552:H563,B$14),IF(AND(COUNT(H553:H564)=12,COUNT(F553:F564)=12),cubic_spline(F552:F564,H552:H564,B$14),""))))))))))))</f>
        <v/>
      </c>
      <c r="K563" s="52" t="str">
        <f>IF(N(B$14)=0,"",IF(AND(COUNT(A553:A564)=2,COUNT(F553:F564)=2),cubic_spline(F552:F554,A552:A554,B$14),IF(AND(COUNT(A553:A564)=3,COUNT(F553:F564)=3),cubic_spline(F552:F555,A552:A555,B$14),IF(AND(COUNT(A553:A564)=4,COUNT(F553:F564)=4),cubic_spline(F552:F556,A552:A556,B$14),IF(AND(COUNT(A553:A564)=5,COUNT(F553:F564)=5),cubic_spline(F552:F557,A552:A557,B$14),IF(AND(COUNT(A553:A564)=6,COUNT(F553:F564)=6),cubic_spline(F552:F558,A552:A558,B$14),IF(AND(COUNT(A553:A564)=7,COUNT(F553:F564)=7),cubic_spline(F552:F559,A552:A559,B$14),IF(AND(COUNT(A553:A564)=8,COUNT(F553:F564)=8),cubic_spline(F552:F560,A552:A560,B$14),IF(AND(COUNT(A553:A564)=9,COUNT(F553:F564)=9),cubic_spline(F552:F561,A552:A561,B$14),IF(AND(COUNT(A553:A564)=10,COUNT(F553:F564)=10),cubic_spline(F552:F562,A552:A562,B$14),IF(AND(COUNT(A553:A564)=11,COUNT(F553:F564)=11),cubic_spline(F552:F563,A552:A563,B$14),IF(AND(COUNT(A553:A564)=12,COUNT(F553:F564)=12),cubic_spline(F552:F564,A552:A564,B$14),""))))))))))))</f>
        <v/>
      </c>
      <c r="L563" s="27" t="str">
        <f>IF(I563="","",B$13&amp;"-"&amp;B$14)</f>
        <v/>
      </c>
      <c r="M563" s="52" t="str">
        <f t="shared" si="210"/>
        <v/>
      </c>
    </row>
    <row r="564" spans="1:13" x14ac:dyDescent="0.35">
      <c r="A564" s="48"/>
      <c r="B564" s="48"/>
      <c r="C564" s="49"/>
      <c r="D564" s="50"/>
      <c r="E564" s="51" t="str">
        <f t="shared" si="209"/>
        <v/>
      </c>
      <c r="F564" s="71" t="str">
        <f t="shared" si="206"/>
        <v/>
      </c>
      <c r="G564" s="69" t="str">
        <f t="shared" si="208"/>
        <v/>
      </c>
      <c r="H564" s="70" t="str">
        <f t="shared" si="207"/>
        <v/>
      </c>
      <c r="I564" s="27" t="str">
        <f>IF(N(J564)=0,"",0&amp;"-"&amp;B$15)</f>
        <v/>
      </c>
      <c r="J564" s="52" t="str">
        <f>IF(N(B$15)=0,"",IF(AND(COUNT(H553:H564)=2,COUNT(F553:F564)=2),cubic_spline(F552:F554,H552:H554,B$15),IF(AND(COUNT(H553:H564)=3,COUNT(F553:F564)=3),cubic_spline(F552:F555,H552:H555,B$15),IF(AND(COUNT(H553:H564)=4,COUNT(F553:F564)=4),cubic_spline(F552:F556,H552:H556,B$15),IF(AND(COUNT(H553:H564)=5,COUNT(F553:F564)=5),cubic_spline(F552:F557,H552:H557,B$15),IF(AND(COUNT(H553:H564)=6,COUNT(F553:F564)=6),cubic_spline(F552:F558,H552:H558,B$15),IF(AND(COUNT(H553:H564)=7,COUNT(F553:F564)=7),cubic_spline(F552:F559,H552:H559,B$15),IF(AND(COUNT(H553:H564)=8,COUNT(F553:F564)=8),cubic_spline(F552:F560,H552:H560,B$15),IF(AND(COUNT(H553:H564)=9,COUNT(F553:F564)=9),cubic_spline(F552:F561,H552:H561,B$15),IF(AND(COUNT(H553:H564)=10,COUNT(F553:F564)=10),cubic_spline(F552:F562,H552:H562,B$15),IF(AND(COUNT(H553:H564)=11,COUNT(F553:F564)=11),cubic_spline(F552:F563,H552:H563,B$15),IF(AND(COUNT(H553:H564)=12,COUNT(F553:F564)=12),cubic_spline(F552:F564,H552:H564,B$15),""))))))))))))</f>
        <v/>
      </c>
      <c r="K564" s="52" t="str">
        <f>IF(N(B$15)=0,"",IF(AND(COUNT(A553:A564)=2,COUNT(F553:F564)=2),cubic_spline(F552:F554,A552:A554,B$15),IF(AND(COUNT(A553:A564)=3,COUNT(F553:F564)=3),cubic_spline(F552:F555,A552:A555,B$15),IF(AND(COUNT(A553:A564)=4,COUNT(F553:F564)=4),cubic_spline(F552:F556,A552:A556,B$15),IF(AND(COUNT(A553:A564)=5,COUNT(F553:F564)=5),cubic_spline(F552:F557,A552:A557,B$15),IF(AND(COUNT(A553:A564)=6,COUNT(F553:F564)=6),cubic_spline(F552:F558,A552:A558,B$15),IF(AND(COUNT(A553:A564)=7,COUNT(F553:F564)=7),cubic_spline(F552:F559,A552:A559,B$15),IF(AND(COUNT(A553:A564)=8,COUNT(F553:F564)=8),cubic_spline(F552:F560,A552:A560,B$15),IF(AND(COUNT(A553:A564)=9,COUNT(F553:F564)=9),cubic_spline(F552:F561,A552:A561,B$15),IF(AND(COUNT(A553:A564)=10,COUNT(F553:F564)=10),cubic_spline(F552:F562,A552:A562,B$15),IF(AND(COUNT(A553:A564)=11,COUNT(F553:F564)=11),cubic_spline(F552:F563,A552:A563,B$15),IF(AND(COUNT(A553:A564)=12,COUNT(F553:F564)=12),cubic_spline(F552:F564,A552:A564,B$15),""))))))))))))</f>
        <v/>
      </c>
      <c r="L564" s="27" t="str">
        <f>IF(I564="","",B$14&amp;"-"&amp;B$15)</f>
        <v/>
      </c>
      <c r="M564" s="52" t="str">
        <f t="shared" si="210"/>
        <v/>
      </c>
    </row>
    <row r="565" spans="1:13" ht="5.15" customHeight="1" x14ac:dyDescent="0.35">
      <c r="A565" s="47"/>
      <c r="B565" s="47"/>
      <c r="C565" s="47"/>
      <c r="D565" s="53"/>
      <c r="E565" s="54"/>
      <c r="F565" s="55"/>
      <c r="G565" s="72"/>
      <c r="H565" s="73"/>
      <c r="I565" s="47"/>
      <c r="J565" s="57"/>
      <c r="K565" s="57"/>
      <c r="L565" s="55"/>
      <c r="M565" s="57"/>
    </row>
    <row r="566" spans="1:13" x14ac:dyDescent="0.35">
      <c r="A566" s="48"/>
      <c r="B566" s="48"/>
      <c r="C566" s="49"/>
      <c r="D566" s="50"/>
      <c r="E566" s="51" t="str">
        <f>IF(N(C566)=0,"",C566/PI()/($D$1/2)^2/$D$2*10000)</f>
        <v/>
      </c>
      <c r="F566" s="68" t="str">
        <f t="shared" ref="F566:F577" si="211">IF(N(E566)=0,"",(N(E566)+N(F565)))</f>
        <v/>
      </c>
      <c r="G566" s="69" t="str">
        <f>IF(OR(N(D566)=0,N(E566)=0),"",(E566*D566)/1000)</f>
        <v/>
      </c>
      <c r="H566" s="70" t="str">
        <f t="shared" ref="H566:H577" si="212">IF(N(G566)=0,"",(N(G566)+N(H565)))</f>
        <v/>
      </c>
      <c r="I566" s="27" t="str">
        <f>IF(N(J566)=0,"",0&amp;"-"&amp;B$4)</f>
        <v/>
      </c>
      <c r="J566" s="52" t="str">
        <f>IF(N(B$4)=0,"",IF(AND(COUNT(H566:H577)=2,COUNT(F566:F577)=2),cubic_spline(F565:F567,H565:H567,B$4),IF(AND(COUNT(H566:H577)=3,COUNT(F566:F577)=3),cubic_spline(F565:F568,H565:H568,B$4),IF(AND(COUNT(H566:H577)=4,COUNT(F566:F577)=4),cubic_spline(F565:F569,H565:H569,B$4),IF(AND(COUNT(H566:H577)=5,COUNT(F566:F577)=5),cubic_spline(F565:F570,H565:H570,B$4),IF(AND(COUNT(H566:H577)=6,COUNT(F566:F577)=6),cubic_spline(F565:F571,H565:H571,B$4),IF(AND(COUNT(H566:H577)=7,COUNT(F566:F577)=7),cubic_spline(F565:F572,H565:H572,B$4),IF(AND(COUNT(H566:H577)=8,COUNT(F566:F577)=8),cubic_spline(F565:F573,H565:H573,B$4),IF(AND(COUNT(H566:H577)=9,COUNT(F566:F577)=9),cubic_spline(F565:F574,H565:H574,B$4),IF(AND(COUNT(H566:H577)=10,COUNT(F566:F577)=10),cubic_spline(F565:F575,H565:H575,B$4),IF(AND(COUNT(H566:H577)=11,COUNT(F566:F577)=11),cubic_spline(F565:F576,H565:H576,B$4),IF(AND(COUNT(H566:H577)=12,COUNT(F566:F577)=12),cubic_spline(F565:F577,H565:H577,B$4),""))))))))))))</f>
        <v/>
      </c>
      <c r="K566" s="52" t="str">
        <f>IF(N(B$4)=0,"",IF(AND(COUNT(A566:A577)=2,COUNT(F566:F577)=2),cubic_spline(F565:F567,A565:A567,B$4),IF(AND(COUNT(A566:A577)=3,COUNT(F566:F577)=3),cubic_spline(F565:F568,A565:A568,B$4),IF(AND(COUNT(A566:A577)=4,COUNT(F566:F577)=4),cubic_spline(F565:F569,A565:A569,B$4),IF(AND(COUNT(A566:A577)=5,COUNT(F566:F577)=5),cubic_spline(F565:F570,A565:A570,B$4),IF(AND(COUNT(A566:A577)=6,COUNT(F566:F577)=6),cubic_spline(F565:F571,A565:A571,B$4),IF(AND(COUNT(A566:A577)=7,COUNT(F566:F577)=7),cubic_spline(F565:F572,A565:A572,B$4),IF(AND(COUNT(A566:A577)=8,COUNT(F566:F577)=8),cubic_spline(F565:F573,A565:A573,B$4),IF(AND(COUNT(A566:A577)=9,COUNT(F566:F577)=9),cubic_spline(F565:F574,A565:A574,B$4),IF(AND(COUNT(A566:A577)=10,COUNT(F566:F577)=10),cubic_spline(F565:F575,A565:A575,B$4),IF(AND(COUNT(A566:A577)=11,COUNT(F566:F577)=11),cubic_spline(F565:F576,A565:A576,B$4),IF(AND(COUNT(A566:A577)=12,COUNT(F566:F577)=12),cubic_spline(F565:F577,A565:A577,B$4),""))))))))))))</f>
        <v/>
      </c>
      <c r="L566" s="27" t="str">
        <f>IF(I566="","",0&amp;"-"&amp;B$4)</f>
        <v/>
      </c>
      <c r="M566" s="52" t="str">
        <f>IF(N(J566)=0,"",J566-J565)</f>
        <v/>
      </c>
    </row>
    <row r="567" spans="1:13" x14ac:dyDescent="0.35">
      <c r="A567" s="48"/>
      <c r="B567" s="48"/>
      <c r="C567" s="49"/>
      <c r="D567" s="50"/>
      <c r="E567" s="51" t="str">
        <f>IF(N(C567)=0,"",C567/PI()/($D$1/2)^2/$D$2*10000)</f>
        <v/>
      </c>
      <c r="F567" s="68" t="str">
        <f t="shared" si="211"/>
        <v/>
      </c>
      <c r="G567" s="69" t="str">
        <f t="shared" ref="G567:G577" si="213">IF(OR(N(D567)=0,N(E567)=0),"",(E567*D567)/1000)</f>
        <v/>
      </c>
      <c r="H567" s="70" t="str">
        <f t="shared" si="212"/>
        <v/>
      </c>
      <c r="I567" s="27" t="str">
        <f>IF(N(J567)=0,"",0&amp;"-"&amp;B$5)</f>
        <v/>
      </c>
      <c r="J567" s="52" t="str">
        <f>IF(N(B$5)=0,"",IF(AND(COUNT(H566:H577)=2,COUNT(F566:F577)=2),cubic_spline(F565:F567,H565:H567,B$5),IF(AND(COUNT(H566:H577)=3,COUNT(F566:F577)=3),cubic_spline(F565:F568,H565:H568,B$5),IF(AND(COUNT(H566:H577)=4,COUNT(F566:F577)=4),cubic_spline(F565:F569,H565:H569,B$5),IF(AND(COUNT(H566:H577)=5,COUNT(F566:F577)=5),cubic_spline(F565:F570,H565:H570,B$5),IF(AND(COUNT(H566:H577)=6,COUNT(F566:F577)=6),cubic_spline(F565:F571,H565:H571,B$5),IF(AND(COUNT(H566:H577)=7,COUNT(F566:F577)=7),cubic_spline(F565:F572,H565:H572,B$5),IF(AND(COUNT(H566:H577)=8,COUNT(F566:F577)=8),cubic_spline(F565:F573,H565:H573,B$5),IF(AND(COUNT(H566:H577)=9,COUNT(F566:F577)=9),cubic_spline(F565:F574,H565:H574,B$5),IF(AND(COUNT(H566:H577)=10,COUNT(F566:F577)=10),cubic_spline(F565:F575,H565:H575,B$5),IF(AND(COUNT(H566:H577)=11,COUNT(F566:F577)=11),cubic_spline(F565:F576,H565:H576,B$5),IF(AND(COUNT(H566:H577)=12,COUNT(F566:F577)=12),cubic_spline(F565:F577,H565:H577,B$5),""))))))))))))</f>
        <v/>
      </c>
      <c r="K567" s="52" t="str">
        <f>IF(N(B$5)=0,"",IF(AND(COUNT(A566:A577)=2,COUNT(F566:F577)=2),cubic_spline(F565:F567,A565:A567,B$5),IF(AND(COUNT(A566:A577)=3,COUNT(F566:F577)=3),cubic_spline(F565:F568,A565:A568,B$5),IF(AND(COUNT(A566:A577)=4,COUNT(F566:F577)=4),cubic_spline(F565:F569,A565:A569,B$5),IF(AND(COUNT(A566:A577)=5,COUNT(F566:F577)=5),cubic_spline(F565:F570,A565:A570,B$5),IF(AND(COUNT(A566:A577)=6,COUNT(F566:F577)=6),cubic_spline(F565:F571,A565:A571,B$5),IF(AND(COUNT(A566:A577)=7,COUNT(F566:F577)=7),cubic_spline(F565:F572,A565:A572,B$5),IF(AND(COUNT(A566:A577)=8,COUNT(F566:F577)=8),cubic_spline(F565:F573,A565:A573,B$5),IF(AND(COUNT(A566:A577)=9,COUNT(F566:F577)=9),cubic_spline(F565:F574,A565:A574,B$5),IF(AND(COUNT(A566:A577)=10,COUNT(F566:F577)=10),cubic_spline(F565:F575,A565:A575,B$5),IF(AND(COUNT(A566:A577)=11,COUNT(F566:F577)=11),cubic_spline(F565:F576,A565:A576,B$5),IF(AND(COUNT(A566:A577)=12,COUNT(F566:F577)=12),cubic_spline(F565:F577,A565:A577,B$5),""))))))))))))</f>
        <v/>
      </c>
      <c r="L567" s="27" t="str">
        <f>IF(I567="","",B$4&amp;"-"&amp;B$5)</f>
        <v/>
      </c>
      <c r="M567" s="52" t="str">
        <f>IF(N(J567)=0,"",J567-J566)</f>
        <v/>
      </c>
    </row>
    <row r="568" spans="1:13" x14ac:dyDescent="0.35">
      <c r="A568" s="48"/>
      <c r="B568" s="48"/>
      <c r="C568" s="49"/>
      <c r="D568" s="50"/>
      <c r="E568" s="51" t="str">
        <f>IF(N(C568)=0,"",C568/PI()/($D$1/2)^2/$D$2*10000)</f>
        <v/>
      </c>
      <c r="F568" s="68" t="str">
        <f t="shared" si="211"/>
        <v/>
      </c>
      <c r="G568" s="69" t="str">
        <f t="shared" si="213"/>
        <v/>
      </c>
      <c r="H568" s="70" t="str">
        <f t="shared" si="212"/>
        <v/>
      </c>
      <c r="I568" s="27" t="str">
        <f>IF(N(J568)=0,"",0&amp;"-"&amp;B$6)</f>
        <v/>
      </c>
      <c r="J568" s="52" t="str">
        <f>IF(N(B$6)=0,"",IF(AND(COUNT(H566:H577)=2,COUNT(F566:F577)=2),cubic_spline(F565:F567,H565:H567,B$6),IF(AND(COUNT(H566:H577)=3,COUNT(F566:F577)=3),cubic_spline(F565:F568,H565:H568,B$6),IF(AND(COUNT(H566:H577)=4,COUNT(F566:F577)=4),cubic_spline(F565:F569,H565:H569,B$6),IF(AND(COUNT(H566:H577)=5,COUNT(F566:F577)=5),cubic_spline(F565:F570,H565:H570,B$6),IF(AND(COUNT(H566:H577)=6,COUNT(F566:F577)=6),cubic_spline(F565:F571,H565:H571,B$6),IF(AND(COUNT(H566:H577)=7,COUNT(F566:F577)=7),cubic_spline(F565:F572,H565:H572,B$6),IF(AND(COUNT(H566:H577)=8,COUNT(F566:F577)=8),cubic_spline(F565:F573,H565:H573,B$6),IF(AND(COUNT(H566:H577)=9,COUNT(F566:F577)=9),cubic_spline(F565:F574,H565:H574,B$6),IF(AND(COUNT(H566:H577)=10,COUNT(F566:F577)=10),cubic_spline(F565:F575,H565:H575,B$6),IF(AND(COUNT(H566:H577)=11,COUNT(F566:F577)=11),cubic_spline(F565:F576,H565:H576,B$6),IF(AND(COUNT(H566:H577)=12,COUNT(F566:F577)=12),cubic_spline(F565:F577,H565:H577,B$6),""))))))))))))</f>
        <v/>
      </c>
      <c r="K568" s="52" t="str">
        <f>IF(N(B$6)=0,"",IF(AND(COUNT(A566:A577)=2,COUNT(F566:F577)=2),cubic_spline(F565:F567,A565:A567,B$6),IF(AND(COUNT(A566:A577)=3,COUNT(F566:F577)=3),cubic_spline(F565:F568,A565:A568,B$6),IF(AND(COUNT(A566:A577)=4,COUNT(F566:F577)=4),cubic_spline(F565:F569,A565:A569,B$6),IF(AND(COUNT(A566:A577)=5,COUNT(F566:F577)=5),cubic_spline(F565:F570,A565:A570,B$6),IF(AND(COUNT(A566:A577)=6,COUNT(F566:F577)=6),cubic_spline(F565:F571,A565:A571,B$6),IF(AND(COUNT(A566:A577)=7,COUNT(F566:F577)=7),cubic_spline(F565:F572,A565:A572,B$6),IF(AND(COUNT(A566:A577)=8,COUNT(F566:F577)=8),cubic_spline(F565:F573,A565:A573,B$6),IF(AND(COUNT(A566:A577)=9,COUNT(F566:F577)=9),cubic_spline(F565:F574,A565:A574,B$6),IF(AND(COUNT(A566:A577)=10,COUNT(F566:F577)=10),cubic_spline(F565:F575,A565:A575,B$6),IF(AND(COUNT(A566:A577)=11,COUNT(F566:F577)=11),cubic_spline(F565:F576,A565:A576,B$6),IF(AND(COUNT(A566:A577)=12,COUNT(F566:F577)=12),cubic_spline(F565:F577,A565:A577,B$6),""))))))))))))</f>
        <v/>
      </c>
      <c r="L568" s="27" t="str">
        <f>IF(I568="","",B$5&amp;"-"&amp;B$6)</f>
        <v/>
      </c>
      <c r="M568" s="52" t="str">
        <f>IF(N(J568)=0,"",J568-J567)</f>
        <v/>
      </c>
    </row>
    <row r="569" spans="1:13" x14ac:dyDescent="0.35">
      <c r="A569" s="48"/>
      <c r="B569" s="48"/>
      <c r="C569" s="49"/>
      <c r="D569" s="50"/>
      <c r="E569" s="51" t="str">
        <f>IF(N(C569)=0,"",C569/PI()/($D$1/2)^2/$D$2*10000)</f>
        <v/>
      </c>
      <c r="F569" s="68" t="str">
        <f t="shared" si="211"/>
        <v/>
      </c>
      <c r="G569" s="69" t="str">
        <f t="shared" si="213"/>
        <v/>
      </c>
      <c r="H569" s="70" t="str">
        <f t="shared" si="212"/>
        <v/>
      </c>
      <c r="I569" s="27" t="str">
        <f>IF(N(J569)=0,"",0&amp;"-"&amp;B$7)</f>
        <v/>
      </c>
      <c r="J569" s="52" t="str">
        <f>IF(N(B$7)=0,"",IF(AND(COUNT(H566:H577)=2,COUNT(F566:F577)=2),cubic_spline(F565:F567,H565:H567,B$7),IF(AND(COUNT(H566:H577)=3,COUNT(F566:F577)=3),cubic_spline(F565:F568,H565:H568,B$7),IF(AND(COUNT(H566:H577)=4,COUNT(F566:F577)=4),cubic_spline(F565:F569,H565:H569,B$7),IF(AND(COUNT(H566:H577)=5,COUNT(F566:F577)=5),cubic_spline(F565:F570,H565:H570,B$7),IF(AND(COUNT(H566:H577)=6,COUNT(F566:F577)=6),cubic_spline(F565:F571,H565:H571,B$7),IF(AND(COUNT(H566:H577)=7,COUNT(F566:F577)=7),cubic_spline(F565:F572,H565:H572,B$7),IF(AND(COUNT(H566:H577)=8,COUNT(F566:F577)=8),cubic_spline(F565:F573,H565:H573,B$7),IF(AND(COUNT(H566:H577)=9,COUNT(F566:F577)=9),cubic_spline(F565:F574,H565:H574,B$7),IF(AND(COUNT(H566:H577)=10,COUNT(F566:F577)=10),cubic_spline(F565:F575,H565:H575,B$7),IF(AND(COUNT(H566:H577)=11,COUNT(F566:F577)=11),cubic_spline(F565:F576,H565:H576,B$7),IF(AND(COUNT(H566:H577)=12,COUNT(F566:F577)=12),cubic_spline(F565:F577,H565:H577,B$7),""))))))))))))</f>
        <v/>
      </c>
      <c r="K569" s="52" t="str">
        <f>IF(N(B$7)=0,"",IF(AND(COUNT(A566:A577)=2,COUNT(F566:F577)=2),cubic_spline(F565:F567,A565:A567,B$7),IF(AND(COUNT(A566:A577)=3,COUNT(F566:F577)=3),cubic_spline(F565:F568,A565:A568,B$7),IF(AND(COUNT(A566:A577)=4,COUNT(F566:F577)=4),cubic_spline(F565:F569,A565:A569,B$7),IF(AND(COUNT(A566:A577)=5,COUNT(F566:F577)=5),cubic_spline(F565:F570,A565:A570,B$7),IF(AND(COUNT(A566:A577)=6,COUNT(F566:F577)=6),cubic_spline(F565:F571,A565:A571,B$7),IF(AND(COUNT(A566:A577)=7,COUNT(F566:F577)=7),cubic_spline(F565:F572,A565:A572,B$7),IF(AND(COUNT(A566:A577)=8,COUNT(F566:F577)=8),cubic_spline(F565:F573,A565:A573,B$7),IF(AND(COUNT(A566:A577)=9,COUNT(F566:F577)=9),cubic_spline(F565:F574,A565:A574,B$7),IF(AND(COUNT(A566:A577)=10,COUNT(F566:F577)=10),cubic_spline(F565:F575,A565:A575,B$7),IF(AND(COUNT(A566:A577)=11,COUNT(F566:F577)=11),cubic_spline(F565:F576,A565:A576,B$7),IF(AND(COUNT(A566:A577)=12,COUNT(F566:F577)=12),cubic_spline(F565:F577,A565:A577,B$7),""))))))))))))</f>
        <v/>
      </c>
      <c r="L569" s="27" t="str">
        <f>IF(I569="","",B$6&amp;"-"&amp;B$7)</f>
        <v/>
      </c>
      <c r="M569" s="52" t="str">
        <f>IF(N(J569)=0,"",J569-J568)</f>
        <v/>
      </c>
    </row>
    <row r="570" spans="1:13" x14ac:dyDescent="0.35">
      <c r="A570" s="48"/>
      <c r="B570" s="48"/>
      <c r="C570" s="49"/>
      <c r="D570" s="50"/>
      <c r="E570" s="51" t="str">
        <f t="shared" ref="E570:E577" si="214">IF(N(C570)=0,"",C570/PI()/($D$1/2)^2/$D$2*10000)</f>
        <v/>
      </c>
      <c r="F570" s="71" t="str">
        <f t="shared" si="211"/>
        <v/>
      </c>
      <c r="G570" s="69" t="str">
        <f t="shared" si="213"/>
        <v/>
      </c>
      <c r="H570" s="70" t="str">
        <f t="shared" si="212"/>
        <v/>
      </c>
      <c r="I570" s="27" t="str">
        <f>IF(N(J570)=0,"",0&amp;"-"&amp;B$8)</f>
        <v/>
      </c>
      <c r="J570" s="52" t="str">
        <f>IF(N(B$8)=0,"",IF(AND(COUNT(H566:H577)=2,COUNT(F566:F577)=2),cubic_spline(F565:F567,H565:H567,B$8),IF(AND(COUNT(H566:H577)=3,COUNT(F566:F577)=3),cubic_spline(F565:F568,H565:H568,B$8),IF(AND(COUNT(H566:H577)=4,COUNT(F566:F577)=4),cubic_spline(F565:F569,H565:H569,B$8),IF(AND(COUNT(H566:H577)=5,COUNT(F566:F577)=5),cubic_spline(F565:F570,H565:H570,B$8),IF(AND(COUNT(H566:H577)=6,COUNT(F566:F577)=6),cubic_spline(F565:F571,H565:H571,B$8),IF(AND(COUNT(H566:H577)=7,COUNT(F566:F577)=7),cubic_spline(F565:F572,H565:H572,B$8),IF(AND(COUNT(H566:H577)=8,COUNT(F566:F577)=8),cubic_spline(F565:F573,H565:H573,B$8),IF(AND(COUNT(H566:H577)=9,COUNT(F566:F577)=9),cubic_spline(F565:F574,H565:H574,B$8),IF(AND(COUNT(H566:H577)=10,COUNT(F566:F577)=10),cubic_spline(F565:F575,H565:H575,B$8),IF(AND(COUNT(H566:H577)=11,COUNT(F566:F577)=11),cubic_spline(F565:F576,H565:H576,B$8),IF(AND(COUNT(H566:H577)=12,COUNT(F566:F577)=12),cubic_spline(F565:F577,H565:H577,B$8),""))))))))))))</f>
        <v/>
      </c>
      <c r="K570" s="52" t="str">
        <f>IF(N(B$8)=0,"",IF(AND(COUNT(A566:A577)=2,COUNT(F566:F577)=2),cubic_spline(F565:F567,A565:A567,B$8),IF(AND(COUNT(A566:A577)=3,COUNT(F566:F577)=3),cubic_spline(F565:F568,A565:A568,B$8),IF(AND(COUNT(A566:A577)=4,COUNT(F566:F577)=4),cubic_spline(F565:F569,A565:A569,B$8),IF(AND(COUNT(A566:A577)=5,COUNT(F566:F577)=5),cubic_spline(F565:F570,A565:A570,B$8),IF(AND(COUNT(A566:A577)=6,COUNT(F566:F577)=6),cubic_spline(F565:F571,A565:A571,B$8),IF(AND(COUNT(A566:A577)=7,COUNT(F566:F577)=7),cubic_spline(F565:F572,A565:A572,B$8),IF(AND(COUNT(A566:A577)=8,COUNT(F566:F577)=8),cubic_spline(F565:F573,A565:A573,B$8),IF(AND(COUNT(A566:A577)=9,COUNT(F566:F577)=9),cubic_spline(F565:F574,A565:A574,B$8),IF(AND(COUNT(A566:A577)=10,COUNT(F566:F577)=10),cubic_spline(F565:F575,A565:A575,B$8),IF(AND(COUNT(A566:A577)=11,COUNT(F566:F577)=11),cubic_spline(F565:F576,A565:A576,B$8),IF(AND(COUNT(A566:A577)=12,COUNT(F566:F577)=12),cubic_spline(F565:F577,A565:A577,B$8),""))))))))))))</f>
        <v/>
      </c>
      <c r="L570" s="27" t="str">
        <f>IF(I570="","",B$7&amp;"-"&amp;B$8)</f>
        <v/>
      </c>
      <c r="M570" s="52" t="str">
        <f>IF(N(J570)=0,"",J570-J569)</f>
        <v/>
      </c>
    </row>
    <row r="571" spans="1:13" x14ac:dyDescent="0.35">
      <c r="A571" s="48"/>
      <c r="B571" s="48"/>
      <c r="C571" s="49"/>
      <c r="D571" s="50"/>
      <c r="E571" s="51" t="str">
        <f t="shared" si="214"/>
        <v/>
      </c>
      <c r="F571" s="71" t="str">
        <f t="shared" si="211"/>
        <v/>
      </c>
      <c r="G571" s="69" t="str">
        <f t="shared" si="213"/>
        <v/>
      </c>
      <c r="H571" s="70" t="str">
        <f t="shared" si="212"/>
        <v/>
      </c>
      <c r="I571" s="27" t="str">
        <f>IF(N(J571)=0,"",0&amp;"-"&amp;B$9)</f>
        <v/>
      </c>
      <c r="J571" s="52" t="str">
        <f>IF(N(B$9)=0,"",IF(AND(COUNT(H566:H577)=2,COUNT(F566:F577)=2),cubic_spline(F565:F567,H565:H567,B$9),IF(AND(COUNT(H566:H577)=3,COUNT(F566:F577)=3),cubic_spline(F565:F568,H565:H568,B$9),IF(AND(COUNT(H566:H577)=4,COUNT(F566:F577)=4),cubic_spline(F565:F569,H565:H569,B$9),IF(AND(COUNT(H566:H577)=5,COUNT(F566:F577)=5),cubic_spline(F565:F570,H565:H570,B$9),IF(AND(COUNT(H566:H577)=6,COUNT(F566:F577)=6),cubic_spline(F565:F571,H565:H571,B$9),IF(AND(COUNT(H566:H577)=7,COUNT(F566:F577)=7),cubic_spline(F565:F572,H565:H572,B$9),IF(AND(COUNT(H566:H577)=8,COUNT(F566:F577)=8),cubic_spline(F565:F573,H565:H573,B$9),IF(AND(COUNT(H566:H577)=9,COUNT(F566:F577)=9),cubic_spline(F565:F574,H565:H574,B$9),IF(AND(COUNT(H566:H577)=10,COUNT(F566:F577)=10),cubic_spline(F565:F575,H565:H575,B$9),IF(AND(COUNT(H566:H577)=11,COUNT(F566:F577)=11),cubic_spline(F565:F576,H565:H576,B$9),IF(AND(COUNT(H566:H577)=12,COUNT(F566:F577)=12),cubic_spline(F565:F577,H565:H577,B$9),""))))))))))))</f>
        <v/>
      </c>
      <c r="K571" s="52" t="str">
        <f>IF(N(B$9)=0,"",IF(AND(COUNT(A566:A577)=2,COUNT(F566:F577)=2),cubic_spline(F565:F567,A565:A567,B$9),IF(AND(COUNT(A566:A577)=3,COUNT(F566:F577)=3),cubic_spline(F565:F568,A565:A568,B$9),IF(AND(COUNT(A566:A577)=4,COUNT(F566:F577)=4),cubic_spline(F565:F569,A565:A569,B$9),IF(AND(COUNT(A566:A577)=5,COUNT(F566:F577)=5),cubic_spline(F565:F570,A565:A570,B$9),IF(AND(COUNT(A566:A577)=6,COUNT(F566:F577)=6),cubic_spline(F565:F571,A565:A571,B$9),IF(AND(COUNT(A566:A577)=7,COUNT(F566:F577)=7),cubic_spline(F565:F572,A565:A572,B$9),IF(AND(COUNT(A566:A577)=8,COUNT(F566:F577)=8),cubic_spline(F565:F573,A565:A573,B$9),IF(AND(COUNT(A566:A577)=9,COUNT(F566:F577)=9),cubic_spline(F565:F574,A565:A574,B$9),IF(AND(COUNT(A566:A577)=10,COUNT(F566:F577)=10),cubic_spline(F565:F575,A565:A575,B$9),IF(AND(COUNT(A566:A577)=11,COUNT(F566:F577)=11),cubic_spline(F565:F576,A565:A576,B$9),IF(AND(COUNT(A566:A577)=12,COUNT(F566:F577)=12),cubic_spline(F565:F577,A565:A577,B$9),""))))))))))))</f>
        <v/>
      </c>
      <c r="L571" s="27" t="str">
        <f>IF(I571="","",B$8&amp;"-"&amp;B$9)</f>
        <v/>
      </c>
      <c r="M571" s="52" t="str">
        <f t="shared" ref="M571:M577" si="215">IF(N(J571)=0,"",J571-J570)</f>
        <v/>
      </c>
    </row>
    <row r="572" spans="1:13" x14ac:dyDescent="0.35">
      <c r="A572" s="48"/>
      <c r="B572" s="48"/>
      <c r="C572" s="49"/>
      <c r="D572" s="50"/>
      <c r="E572" s="51" t="str">
        <f t="shared" si="214"/>
        <v/>
      </c>
      <c r="F572" s="71" t="str">
        <f t="shared" si="211"/>
        <v/>
      </c>
      <c r="G572" s="69" t="str">
        <f t="shared" si="213"/>
        <v/>
      </c>
      <c r="H572" s="70" t="str">
        <f t="shared" si="212"/>
        <v/>
      </c>
      <c r="I572" s="27" t="str">
        <f>IF(N(J572)=0,"",0&amp;"-"&amp;B$10)</f>
        <v/>
      </c>
      <c r="J572" s="52" t="str">
        <f>IF(N(B$10)=0,"",IF(AND(COUNT(H566:H577)=2,COUNT(F566:F577)=2),cubic_spline(F565:F567,H565:H567,B$10),IF(AND(COUNT(H566:H577)=3,COUNT(F566:F577)=3),cubic_spline(F565:F568,H565:H568,B$10),IF(AND(COUNT(H566:H577)=4,COUNT(F566:F577)=4),cubic_spline(F565:F569,H565:H569,B$10),IF(AND(COUNT(H566:H577)=5,COUNT(F566:F577)=5),cubic_spline(F565:F570,H565:H570,B$10),IF(AND(COUNT(H566:H577)=6,COUNT(F566:F577)=6),cubic_spline(F565:F571,H565:H571,B$10),IF(AND(COUNT(H566:H577)=7,COUNT(F566:F577)=7),cubic_spline(F565:F572,H565:H572,B$10),IF(AND(COUNT(H566:H577)=8,COUNT(F566:F577)=8),cubic_spline(F565:F573,H565:H573,B$10),IF(AND(COUNT(H566:H577)=9,COUNT(F566:F577)=9),cubic_spline(F565:F574,H565:H574,B$10),IF(AND(COUNT(H566:H577)=10,COUNT(F566:F577)=10),cubic_spline(F565:F575,H565:H575,B$10),IF(AND(COUNT(H566:H577)=11,COUNT(F566:F577)=11),cubic_spline(F565:F576,H565:H576,B$10),IF(AND(COUNT(H566:H577)=12,COUNT(F566:F577)=12),cubic_spline(F565:F577,H565:H577,B$10),""))))))))))))</f>
        <v/>
      </c>
      <c r="K572" s="52" t="str">
        <f>IF(N(B$10)=0,"",IF(AND(COUNT(A566:A577)=2,COUNT(F566:F577)=2),cubic_spline(F565:F567,A565:A567,B$10),IF(AND(COUNT(A566:A577)=3,COUNT(F566:F577)=3),cubic_spline(F565:F568,A565:A568,B$10),IF(AND(COUNT(A566:A577)=4,COUNT(F566:F577)=4),cubic_spline(F565:F569,A565:A569,B$10),IF(AND(COUNT(A566:A577)=5,COUNT(F566:F577)=5),cubic_spline(F565:F570,A565:A570,B$10),IF(AND(COUNT(A566:A577)=6,COUNT(F566:F577)=6),cubic_spline(F565:F571,A565:A571,B$10),IF(AND(COUNT(A566:A577)=7,COUNT(F566:F577)=7),cubic_spline(F565:F572,A565:A572,B$10),IF(AND(COUNT(A566:A577)=8,COUNT(F566:F577)=8),cubic_spline(F565:F573,A565:A573,B$10),IF(AND(COUNT(A566:A577)=9,COUNT(F566:F577)=9),cubic_spline(F565:F574,A565:A574,B$10),IF(AND(COUNT(A566:A577)=10,COUNT(F566:F577)=10),cubic_spline(F565:F575,A565:A575,B$10),IF(AND(COUNT(A566:A577)=11,COUNT(F566:F577)=11),cubic_spline(F565:F576,A565:A576,B$10),IF(AND(COUNT(A566:A577)=12,COUNT(F566:F577)=12),cubic_spline(F565:F577,A565:A577,B$10),""))))))))))))</f>
        <v/>
      </c>
      <c r="L572" s="27" t="str">
        <f>IF(I572="","",B$9&amp;"-"&amp;B$10)</f>
        <v/>
      </c>
      <c r="M572" s="52" t="str">
        <f t="shared" si="215"/>
        <v/>
      </c>
    </row>
    <row r="573" spans="1:13" x14ac:dyDescent="0.35">
      <c r="A573" s="48"/>
      <c r="B573" s="48"/>
      <c r="C573" s="49"/>
      <c r="D573" s="50"/>
      <c r="E573" s="51" t="str">
        <f t="shared" si="214"/>
        <v/>
      </c>
      <c r="F573" s="71" t="str">
        <f t="shared" si="211"/>
        <v/>
      </c>
      <c r="G573" s="69" t="str">
        <f t="shared" si="213"/>
        <v/>
      </c>
      <c r="H573" s="70" t="str">
        <f t="shared" si="212"/>
        <v/>
      </c>
      <c r="I573" s="27" t="str">
        <f>IF(N(J573)=0,"",0&amp;"-"&amp;B$11)</f>
        <v/>
      </c>
      <c r="J573" s="52" t="str">
        <f>IF(N(B$11)=0,"",IF(AND(COUNT(H566:H577)=2,COUNT(F566:F577)=2),cubic_spline(F565:F567,H565:H567,B$11),IF(AND(COUNT(H566:H577)=3,COUNT(F566:F577)=3),cubic_spline(F565:F568,H565:H568,B$11),IF(AND(COUNT(H566:H577)=4,COUNT(F566:F577)=4),cubic_spline(F565:F569,H565:H569,B$11),IF(AND(COUNT(H566:H577)=5,COUNT(F566:F577)=5),cubic_spline(F565:F570,H565:H570,B$11),IF(AND(COUNT(H566:H577)=6,COUNT(F566:F577)=6),cubic_spline(F565:F571,H565:H571,B$11),IF(AND(COUNT(H566:H577)=7,COUNT(F566:F577)=7),cubic_spline(F565:F572,H565:H572,B$11),IF(AND(COUNT(H566:H577)=8,COUNT(F566:F577)=8),cubic_spline(F565:F573,H565:H573,B$11),IF(AND(COUNT(H566:H577)=9,COUNT(F566:F577)=9),cubic_spline(F565:F574,H565:H574,B$11),IF(AND(COUNT(H566:H577)=10,COUNT(F566:F577)=10),cubic_spline(F565:F575,H565:H575,B$11),IF(AND(COUNT(H566:H577)=11,COUNT(F566:F577)=11),cubic_spline(F565:F576,H565:H576,B$11),IF(AND(COUNT(H566:H577)=12,COUNT(F566:F577)=12),cubic_spline(F565:F577,H565:H577,B$11),""))))))))))))</f>
        <v/>
      </c>
      <c r="K573" s="52" t="str">
        <f>IF(N(B$11)=0,"",IF(AND(COUNT(A566:A577)=2,COUNT(F566:F577)=2),cubic_spline(F565:F567,A565:A567,B$11),IF(AND(COUNT(A566:A577)=3,COUNT(F566:F577)=3),cubic_spline(F565:F568,A565:A568,B$11),IF(AND(COUNT(A566:A577)=4,COUNT(F566:F577)=4),cubic_spline(F565:F569,A565:A569,B$11),IF(AND(COUNT(A566:A577)=5,COUNT(F566:F577)=5),cubic_spline(F565:F570,A565:A570,B$11),IF(AND(COUNT(A566:A577)=6,COUNT(F566:F577)=6),cubic_spline(F565:F571,A565:A571,B$11),IF(AND(COUNT(A566:A577)=7,COUNT(F566:F577)=7),cubic_spline(F565:F572,A565:A572,B$11),IF(AND(COUNT(A566:A577)=8,COUNT(F566:F577)=8),cubic_spline(F565:F573,A565:A573,B$11),IF(AND(COUNT(A566:A577)=9,COUNT(F566:F577)=9),cubic_spline(F565:F574,A565:A574,B$11),IF(AND(COUNT(A566:A577)=10,COUNT(F566:F577)=10),cubic_spline(F565:F575,A565:A575,B$11),IF(AND(COUNT(A566:A577)=11,COUNT(F566:F577)=11),cubic_spline(F565:F576,A565:A576,B$11),IF(AND(COUNT(A566:A577)=12,COUNT(F566:F577)=12),cubic_spline(F565:F577,A565:A577,B$11),""))))))))))))</f>
        <v/>
      </c>
      <c r="L573" s="27" t="str">
        <f>IF(I573="","",B$10&amp;"-"&amp;B$11)</f>
        <v/>
      </c>
      <c r="M573" s="52" t="str">
        <f t="shared" si="215"/>
        <v/>
      </c>
    </row>
    <row r="574" spans="1:13" x14ac:dyDescent="0.35">
      <c r="A574" s="48"/>
      <c r="B574" s="48"/>
      <c r="C574" s="49"/>
      <c r="D574" s="50"/>
      <c r="E574" s="51" t="str">
        <f t="shared" si="214"/>
        <v/>
      </c>
      <c r="F574" s="71" t="str">
        <f t="shared" si="211"/>
        <v/>
      </c>
      <c r="G574" s="69" t="str">
        <f t="shared" si="213"/>
        <v/>
      </c>
      <c r="H574" s="70" t="str">
        <f t="shared" si="212"/>
        <v/>
      </c>
      <c r="I574" s="27" t="str">
        <f>IF(N(J574)=0,"",0&amp;"-"&amp;B$12)</f>
        <v/>
      </c>
      <c r="J574" s="52" t="str">
        <f>IF(N(B$12)=0,"",IF(AND(COUNT(H566:H577)=2,COUNT(F566:F577)=2),cubic_spline(F565:F567,H565:H567,B$12),IF(AND(COUNT(H566:H577)=3,COUNT(F566:F577)=3),cubic_spline(F565:F568,H565:H568,B$12),IF(AND(COUNT(H566:H577)=4,COUNT(F566:F577)=4),cubic_spline(F565:F569,H565:H569,B$12),IF(AND(COUNT(H566:H577)=5,COUNT(F566:F577)=5),cubic_spline(F565:F570,H565:H570,B$12),IF(AND(COUNT(H566:H577)=6,COUNT(F566:F577)=6),cubic_spline(F565:F571,H565:H571,B$12),IF(AND(COUNT(H566:H577)=7,COUNT(F566:F577)=7),cubic_spline(F565:F572,H565:H572,B$12),IF(AND(COUNT(H566:H577)=8,COUNT(F566:F577)=8),cubic_spline(F565:F573,H565:H573,B$12),IF(AND(COUNT(H566:H577)=9,COUNT(F566:F577)=9),cubic_spline(F565:F574,H565:H574,B$12),IF(AND(COUNT(H566:H577)=10,COUNT(F566:F577)=10),cubic_spline(F565:F575,H565:H575,B$12),IF(AND(COUNT(H566:H577)=11,COUNT(F566:F577)=11),cubic_spline(F565:F576,H565:H576,B$12),IF(AND(COUNT(H566:H577)=12,COUNT(F566:F577)=12),cubic_spline(F565:F577,H565:H577,B$12),""))))))))))))</f>
        <v/>
      </c>
      <c r="K574" s="52" t="str">
        <f>IF(N(B$12)=0,"",IF(AND(COUNT(A566:A577)=2,COUNT(F566:F577)=2),cubic_spline(F565:F567,A565:A567,B$12),IF(AND(COUNT(A566:A577)=3,COUNT(F566:F577)=3),cubic_spline(F565:F568,A565:A568,B$12),IF(AND(COUNT(A566:A577)=4,COUNT(F566:F577)=4),cubic_spline(F565:F569,A565:A569,B$12),IF(AND(COUNT(A566:A577)=5,COUNT(F566:F577)=5),cubic_spline(F565:F570,A565:A570,B$12),IF(AND(COUNT(A566:A577)=6,COUNT(F566:F577)=6),cubic_spline(F565:F571,A565:A571,B$12),IF(AND(COUNT(A566:A577)=7,COUNT(F566:F577)=7),cubic_spline(F565:F572,A565:A572,B$12),IF(AND(COUNT(A566:A577)=8,COUNT(F566:F577)=8),cubic_spline(F565:F573,A565:A573,B$12),IF(AND(COUNT(A566:A577)=9,COUNT(F566:F577)=9),cubic_spline(F565:F574,A565:A574,B$12),IF(AND(COUNT(A566:A577)=10,COUNT(F566:F577)=10),cubic_spline(F565:F575,A565:A575,B$12),IF(AND(COUNT(A566:A577)=11,COUNT(F566:F577)=11),cubic_spline(F565:F576,A565:A576,B$12),IF(AND(COUNT(A566:A577)=12,COUNT(F566:F577)=12),cubic_spline(F565:F577,A565:A577,B$12),""))))))))))))</f>
        <v/>
      </c>
      <c r="L574" s="27" t="str">
        <f>IF(I574="","",B$11&amp;"-"&amp;B$12)</f>
        <v/>
      </c>
      <c r="M574" s="52" t="str">
        <f t="shared" si="215"/>
        <v/>
      </c>
    </row>
    <row r="575" spans="1:13" x14ac:dyDescent="0.35">
      <c r="A575" s="48"/>
      <c r="B575" s="48"/>
      <c r="C575" s="49"/>
      <c r="D575" s="50"/>
      <c r="E575" s="51" t="str">
        <f t="shared" si="214"/>
        <v/>
      </c>
      <c r="F575" s="71" t="str">
        <f t="shared" si="211"/>
        <v/>
      </c>
      <c r="G575" s="69" t="str">
        <f t="shared" si="213"/>
        <v/>
      </c>
      <c r="H575" s="70" t="str">
        <f t="shared" si="212"/>
        <v/>
      </c>
      <c r="I575" s="27" t="str">
        <f>IF(N(J575)=0,"",0&amp;"-"&amp;B$13)</f>
        <v/>
      </c>
      <c r="J575" s="52" t="str">
        <f>IF(N(B$13)=0,"",IF(AND(COUNT(H566:H577)=2,COUNT(F566:F577)=2),cubic_spline(F565:F567,H565:H567,B$13),IF(AND(COUNT(H566:H577)=3,COUNT(F566:F577)=3),cubic_spline(F565:F568,H565:H568,B$13),IF(AND(COUNT(H566:H577)=4,COUNT(F566:F577)=4),cubic_spline(F565:F569,H565:H569,B$13),IF(AND(COUNT(H566:H577)=5,COUNT(F566:F577)=5),cubic_spline(F565:F570,H565:H570,B$13),IF(AND(COUNT(H566:H577)=6,COUNT(F566:F577)=6),cubic_spline(F565:F571,H565:H571,B$13),IF(AND(COUNT(H566:H577)=7,COUNT(F566:F577)=7),cubic_spline(F565:F572,H565:H572,B$13),IF(AND(COUNT(H566:H577)=8,COUNT(F566:F577)=8),cubic_spline(F565:F573,H565:H573,B$13),IF(AND(COUNT(H566:H577)=9,COUNT(F566:F577)=9),cubic_spline(F565:F574,H565:H574,B$13),IF(AND(COUNT(H566:H577)=10,COUNT(F566:F577)=10),cubic_spline(F565:F575,H565:H575,B$13),IF(AND(COUNT(H566:H577)=11,COUNT(F566:F577)=11),cubic_spline(F565:F576,H565:H576,B$13),IF(AND(COUNT(H566:H577)=12,COUNT(F566:F577)=12),cubic_spline(F565:F577,H565:H577,B$13),""))))))))))))</f>
        <v/>
      </c>
      <c r="K575" s="52" t="str">
        <f>IF(N(B$13)=0,"",IF(AND(COUNT(A566:A577)=2,COUNT(F566:F577)=2),cubic_spline(F565:F567,A565:A567,B$13),IF(AND(COUNT(A566:A577)=3,COUNT(F566:F577)=3),cubic_spline(F565:F568,A565:A568,B$13),IF(AND(COUNT(A566:A577)=4,COUNT(F566:F577)=4),cubic_spline(F565:F569,A565:A569,B$13),IF(AND(COUNT(A566:A577)=5,COUNT(F566:F577)=5),cubic_spline(F565:F570,A565:A570,B$13),IF(AND(COUNT(A566:A577)=6,COUNT(F566:F577)=6),cubic_spline(F565:F571,A565:A571,B$13),IF(AND(COUNT(A566:A577)=7,COUNT(F566:F577)=7),cubic_spline(F565:F572,A565:A572,B$13),IF(AND(COUNT(A566:A577)=8,COUNT(F566:F577)=8),cubic_spline(F565:F573,A565:A573,B$13),IF(AND(COUNT(A566:A577)=9,COUNT(F566:F577)=9),cubic_spline(F565:F574,A565:A574,B$13),IF(AND(COUNT(A566:A577)=10,COUNT(F566:F577)=10),cubic_spline(F565:F575,A565:A575,B$13),IF(AND(COUNT(A566:A577)=11,COUNT(F566:F577)=11),cubic_spline(F565:F576,A565:A576,B$13),IF(AND(COUNT(A566:A577)=12,COUNT(F566:F577)=12),cubic_spline(F565:F577,A565:A577,B$13),""))))))))))))</f>
        <v/>
      </c>
      <c r="L575" s="27" t="str">
        <f>IF(I575="","",B$12&amp;"-"&amp;B$13)</f>
        <v/>
      </c>
      <c r="M575" s="52" t="str">
        <f t="shared" si="215"/>
        <v/>
      </c>
    </row>
    <row r="576" spans="1:13" x14ac:dyDescent="0.35">
      <c r="A576" s="48"/>
      <c r="B576" s="48"/>
      <c r="C576" s="49"/>
      <c r="D576" s="50"/>
      <c r="E576" s="51" t="str">
        <f t="shared" si="214"/>
        <v/>
      </c>
      <c r="F576" s="71" t="str">
        <f t="shared" si="211"/>
        <v/>
      </c>
      <c r="G576" s="69" t="str">
        <f t="shared" si="213"/>
        <v/>
      </c>
      <c r="H576" s="70" t="str">
        <f t="shared" si="212"/>
        <v/>
      </c>
      <c r="I576" s="27" t="str">
        <f>IF(N(J576)=0,"",0&amp;"-"&amp;B$14)</f>
        <v/>
      </c>
      <c r="J576" s="52" t="str">
        <f>IF(N(B$14)=0,"",IF(AND(COUNT(H566:H577)=2,COUNT(F566:F577)=2),cubic_spline(F565:F567,H565:H567,B$14),IF(AND(COUNT(H566:H577)=3,COUNT(F566:F577)=3),cubic_spline(F565:F568,H565:H568,B$14),IF(AND(COUNT(H566:H577)=4,COUNT(F566:F577)=4),cubic_spline(F565:F569,H565:H569,B$14),IF(AND(COUNT(H566:H577)=5,COUNT(F566:F577)=5),cubic_spline(F565:F570,H565:H570,B$14),IF(AND(COUNT(H566:H577)=6,COUNT(F566:F577)=6),cubic_spline(F565:F571,H565:H571,B$14),IF(AND(COUNT(H566:H577)=7,COUNT(F566:F577)=7),cubic_spline(F565:F572,H565:H572,B$14),IF(AND(COUNT(H566:H577)=8,COUNT(F566:F577)=8),cubic_spline(F565:F573,H565:H573,B$14),IF(AND(COUNT(H566:H577)=9,COUNT(F566:F577)=9),cubic_spline(F565:F574,H565:H574,B$14),IF(AND(COUNT(H566:H577)=10,COUNT(F566:F577)=10),cubic_spline(F565:F575,H565:H575,B$14),IF(AND(COUNT(H566:H577)=11,COUNT(F566:F577)=11),cubic_spline(F565:F576,H565:H576,B$14),IF(AND(COUNT(H566:H577)=12,COUNT(F566:F577)=12),cubic_spline(F565:F577,H565:H577,B$14),""))))))))))))</f>
        <v/>
      </c>
      <c r="K576" s="52" t="str">
        <f>IF(N(B$14)=0,"",IF(AND(COUNT(A566:A577)=2,COUNT(F566:F577)=2),cubic_spline(F565:F567,A565:A567,B$14),IF(AND(COUNT(A566:A577)=3,COUNT(F566:F577)=3),cubic_spline(F565:F568,A565:A568,B$14),IF(AND(COUNT(A566:A577)=4,COUNT(F566:F577)=4),cubic_spline(F565:F569,A565:A569,B$14),IF(AND(COUNT(A566:A577)=5,COUNT(F566:F577)=5),cubic_spline(F565:F570,A565:A570,B$14),IF(AND(COUNT(A566:A577)=6,COUNT(F566:F577)=6),cubic_spline(F565:F571,A565:A571,B$14),IF(AND(COUNT(A566:A577)=7,COUNT(F566:F577)=7),cubic_spline(F565:F572,A565:A572,B$14),IF(AND(COUNT(A566:A577)=8,COUNT(F566:F577)=8),cubic_spline(F565:F573,A565:A573,B$14),IF(AND(COUNT(A566:A577)=9,COUNT(F566:F577)=9),cubic_spline(F565:F574,A565:A574,B$14),IF(AND(COUNT(A566:A577)=10,COUNT(F566:F577)=10),cubic_spline(F565:F575,A565:A575,B$14),IF(AND(COUNT(A566:A577)=11,COUNT(F566:F577)=11),cubic_spline(F565:F576,A565:A576,B$14),IF(AND(COUNT(A566:A577)=12,COUNT(F566:F577)=12),cubic_spline(F565:F577,A565:A577,B$14),""))))))))))))</f>
        <v/>
      </c>
      <c r="L576" s="27" t="str">
        <f>IF(I576="","",B$13&amp;"-"&amp;B$14)</f>
        <v/>
      </c>
      <c r="M576" s="52" t="str">
        <f t="shared" si="215"/>
        <v/>
      </c>
    </row>
    <row r="577" spans="1:13" x14ac:dyDescent="0.35">
      <c r="A577" s="48"/>
      <c r="B577" s="48"/>
      <c r="C577" s="49"/>
      <c r="D577" s="50"/>
      <c r="E577" s="51" t="str">
        <f t="shared" si="214"/>
        <v/>
      </c>
      <c r="F577" s="71" t="str">
        <f t="shared" si="211"/>
        <v/>
      </c>
      <c r="G577" s="69" t="str">
        <f t="shared" si="213"/>
        <v/>
      </c>
      <c r="H577" s="70" t="str">
        <f t="shared" si="212"/>
        <v/>
      </c>
      <c r="I577" s="27" t="str">
        <f>IF(N(J577)=0,"",0&amp;"-"&amp;B$15)</f>
        <v/>
      </c>
      <c r="J577" s="52" t="str">
        <f>IF(N(B$15)=0,"",IF(AND(COUNT(H566:H577)=2,COUNT(F566:F577)=2),cubic_spline(F565:F567,H565:H567,B$15),IF(AND(COUNT(H566:H577)=3,COUNT(F566:F577)=3),cubic_spline(F565:F568,H565:H568,B$15),IF(AND(COUNT(H566:H577)=4,COUNT(F566:F577)=4),cubic_spline(F565:F569,H565:H569,B$15),IF(AND(COUNT(H566:H577)=5,COUNT(F566:F577)=5),cubic_spline(F565:F570,H565:H570,B$15),IF(AND(COUNT(H566:H577)=6,COUNT(F566:F577)=6),cubic_spline(F565:F571,H565:H571,B$15),IF(AND(COUNT(H566:H577)=7,COUNT(F566:F577)=7),cubic_spline(F565:F572,H565:H572,B$15),IF(AND(COUNT(H566:H577)=8,COUNT(F566:F577)=8),cubic_spline(F565:F573,H565:H573,B$15),IF(AND(COUNT(H566:H577)=9,COUNT(F566:F577)=9),cubic_spline(F565:F574,H565:H574,B$15),IF(AND(COUNT(H566:H577)=10,COUNT(F566:F577)=10),cubic_spline(F565:F575,H565:H575,B$15),IF(AND(COUNT(H566:H577)=11,COUNT(F566:F577)=11),cubic_spline(F565:F576,H565:H576,B$15),IF(AND(COUNT(H566:H577)=12,COUNT(F566:F577)=12),cubic_spline(F565:F577,H565:H577,B$15),""))))))))))))</f>
        <v/>
      </c>
      <c r="K577" s="52" t="str">
        <f>IF(N(B$15)=0,"",IF(AND(COUNT(A566:A577)=2,COUNT(F566:F577)=2),cubic_spline(F565:F567,A565:A567,B$15),IF(AND(COUNT(A566:A577)=3,COUNT(F566:F577)=3),cubic_spline(F565:F568,A565:A568,B$15),IF(AND(COUNT(A566:A577)=4,COUNT(F566:F577)=4),cubic_spline(F565:F569,A565:A569,B$15),IF(AND(COUNT(A566:A577)=5,COUNT(F566:F577)=5),cubic_spline(F565:F570,A565:A570,B$15),IF(AND(COUNT(A566:A577)=6,COUNT(F566:F577)=6),cubic_spline(F565:F571,A565:A571,B$15),IF(AND(COUNT(A566:A577)=7,COUNT(F566:F577)=7),cubic_spline(F565:F572,A565:A572,B$15),IF(AND(COUNT(A566:A577)=8,COUNT(F566:F577)=8),cubic_spline(F565:F573,A565:A573,B$15),IF(AND(COUNT(A566:A577)=9,COUNT(F566:F577)=9),cubic_spline(F565:F574,A565:A574,B$15),IF(AND(COUNT(A566:A577)=10,COUNT(F566:F577)=10),cubic_spline(F565:F575,A565:A575,B$15),IF(AND(COUNT(A566:A577)=11,COUNT(F566:F577)=11),cubic_spline(F565:F576,A565:A576,B$15),IF(AND(COUNT(A566:A577)=12,COUNT(F566:F577)=12),cubic_spline(F565:F577,A565:A577,B$15),""))))))))))))</f>
        <v/>
      </c>
      <c r="L577" s="27" t="str">
        <f>IF(I577="","",B$14&amp;"-"&amp;B$15)</f>
        <v/>
      </c>
      <c r="M577" s="52" t="str">
        <f t="shared" si="215"/>
        <v/>
      </c>
    </row>
    <row r="578" spans="1:13" ht="5.15" customHeight="1" x14ac:dyDescent="0.35">
      <c r="A578" s="47"/>
      <c r="B578" s="47"/>
      <c r="C578" s="47"/>
      <c r="D578" s="53"/>
      <c r="E578" s="54"/>
      <c r="F578" s="55"/>
      <c r="G578" s="72"/>
      <c r="H578" s="73"/>
      <c r="I578" s="47"/>
      <c r="J578" s="57"/>
      <c r="K578" s="57"/>
      <c r="L578" s="55"/>
      <c r="M578" s="57"/>
    </row>
    <row r="579" spans="1:13" x14ac:dyDescent="0.35">
      <c r="A579" s="48"/>
      <c r="B579" s="48"/>
      <c r="C579" s="49"/>
      <c r="D579" s="50"/>
      <c r="E579" s="51" t="str">
        <f>IF(N(C579)=0,"",C579/PI()/($D$1/2)^2/$D$2*10000)</f>
        <v/>
      </c>
      <c r="F579" s="68" t="str">
        <f t="shared" ref="F579:F590" si="216">IF(N(E579)=0,"",(N(E579)+N(F578)))</f>
        <v/>
      </c>
      <c r="G579" s="69" t="str">
        <f>IF(OR(N(D579)=0,N(E579)=0),"",(E579*D579)/1000)</f>
        <v/>
      </c>
      <c r="H579" s="70" t="str">
        <f t="shared" ref="H579:H590" si="217">IF(N(G579)=0,"",(N(G579)+N(H578)))</f>
        <v/>
      </c>
      <c r="I579" s="27" t="str">
        <f>IF(N(J579)=0,"",0&amp;"-"&amp;B$4)</f>
        <v/>
      </c>
      <c r="J579" s="52" t="str">
        <f>IF(N(B$4)=0,"",IF(AND(COUNT(H579:H590)=2,COUNT(F579:F590)=2),cubic_spline(F578:F580,H578:H580,B$4),IF(AND(COUNT(H579:H590)=3,COUNT(F579:F590)=3),cubic_spline(F578:F581,H578:H581,B$4),IF(AND(COUNT(H579:H590)=4,COUNT(F579:F590)=4),cubic_spline(F578:F582,H578:H582,B$4),IF(AND(COUNT(H579:H590)=5,COUNT(F579:F590)=5),cubic_spline(F578:F583,H578:H583,B$4),IF(AND(COUNT(H579:H590)=6,COUNT(F579:F590)=6),cubic_spline(F578:F584,H578:H584,B$4),IF(AND(COUNT(H579:H590)=7,COUNT(F579:F590)=7),cubic_spline(F578:F585,H578:H585,B$4),IF(AND(COUNT(H579:H590)=8,COUNT(F579:F590)=8),cubic_spline(F578:F586,H578:H586,B$4),IF(AND(COUNT(H579:H590)=9,COUNT(F579:F590)=9),cubic_spline(F578:F587,H578:H587,B$4),IF(AND(COUNT(H579:H590)=10,COUNT(F579:F590)=10),cubic_spline(F578:F588,H578:H588,B$4),IF(AND(COUNT(H579:H590)=11,COUNT(F579:F590)=11),cubic_spline(F578:F589,H578:H589,B$4),IF(AND(COUNT(H579:H590)=12,COUNT(F579:F590)=12),cubic_spline(F578:F590,H578:H590,B$4),""))))))))))))</f>
        <v/>
      </c>
      <c r="K579" s="52" t="str">
        <f>IF(N(B$4)=0,"",IF(AND(COUNT(A579:A590)=2,COUNT(F579:F590)=2),cubic_spline(F578:F580,A578:A580,B$4),IF(AND(COUNT(A579:A590)=3,COUNT(F579:F590)=3),cubic_spline(F578:F581,A578:A581,B$4),IF(AND(COUNT(A579:A590)=4,COUNT(F579:F590)=4),cubic_spline(F578:F582,A578:A582,B$4),IF(AND(COUNT(A579:A590)=5,COUNT(F579:F590)=5),cubic_spline(F578:F583,A578:A583,B$4),IF(AND(COUNT(A579:A590)=6,COUNT(F579:F590)=6),cubic_spline(F578:F584,A578:A584,B$4),IF(AND(COUNT(A579:A590)=7,COUNT(F579:F590)=7),cubic_spline(F578:F585,A578:A585,B$4),IF(AND(COUNT(A579:A590)=8,COUNT(F579:F590)=8),cubic_spline(F578:F586,A578:A586,B$4),IF(AND(COUNT(A579:A590)=9,COUNT(F579:F590)=9),cubic_spline(F578:F587,A578:A587,B$4),IF(AND(COUNT(A579:A590)=10,COUNT(F579:F590)=10),cubic_spline(F578:F588,A578:A588,B$4),IF(AND(COUNT(A579:A590)=11,COUNT(F579:F590)=11),cubic_spline(F578:F589,A578:A589,B$4),IF(AND(COUNT(A579:A590)=12,COUNT(F579:F590)=12),cubic_spline(F578:F590,A578:A590,B$4),""))))))))))))</f>
        <v/>
      </c>
      <c r="L579" s="27" t="str">
        <f>IF(I579="","",0&amp;"-"&amp;B$4)</f>
        <v/>
      </c>
      <c r="M579" s="52" t="str">
        <f>IF(N(J579)=0,"",J579-J578)</f>
        <v/>
      </c>
    </row>
    <row r="580" spans="1:13" x14ac:dyDescent="0.35">
      <c r="A580" s="48"/>
      <c r="B580" s="48"/>
      <c r="C580" s="49"/>
      <c r="D580" s="50"/>
      <c r="E580" s="51" t="str">
        <f>IF(N(C580)=0,"",C580/PI()/($D$1/2)^2/$D$2*10000)</f>
        <v/>
      </c>
      <c r="F580" s="68" t="str">
        <f t="shared" si="216"/>
        <v/>
      </c>
      <c r="G580" s="69" t="str">
        <f t="shared" ref="G580:G590" si="218">IF(OR(N(D580)=0,N(E580)=0),"",(E580*D580)/1000)</f>
        <v/>
      </c>
      <c r="H580" s="70" t="str">
        <f t="shared" si="217"/>
        <v/>
      </c>
      <c r="I580" s="27" t="str">
        <f>IF(N(J580)=0,"",0&amp;"-"&amp;B$5)</f>
        <v/>
      </c>
      <c r="J580" s="52" t="str">
        <f>IF(N(B$5)=0,"",IF(AND(COUNT(H579:H590)=2,COUNT(F579:F590)=2),cubic_spline(F578:F580,H578:H580,B$5),IF(AND(COUNT(H579:H590)=3,COUNT(F579:F590)=3),cubic_spline(F578:F581,H578:H581,B$5),IF(AND(COUNT(H579:H590)=4,COUNT(F579:F590)=4),cubic_spline(F578:F582,H578:H582,B$5),IF(AND(COUNT(H579:H590)=5,COUNT(F579:F590)=5),cubic_spline(F578:F583,H578:H583,B$5),IF(AND(COUNT(H579:H590)=6,COUNT(F579:F590)=6),cubic_spline(F578:F584,H578:H584,B$5),IF(AND(COUNT(H579:H590)=7,COUNT(F579:F590)=7),cubic_spline(F578:F585,H578:H585,B$5),IF(AND(COUNT(H579:H590)=8,COUNT(F579:F590)=8),cubic_spline(F578:F586,H578:H586,B$5),IF(AND(COUNT(H579:H590)=9,COUNT(F579:F590)=9),cubic_spline(F578:F587,H578:H587,B$5),IF(AND(COUNT(H579:H590)=10,COUNT(F579:F590)=10),cubic_spline(F578:F588,H578:H588,B$5),IF(AND(COUNT(H579:H590)=11,COUNT(F579:F590)=11),cubic_spline(F578:F589,H578:H589,B$5),IF(AND(COUNT(H579:H590)=12,COUNT(F579:F590)=12),cubic_spline(F578:F590,H578:H590,B$5),""))))))))))))</f>
        <v/>
      </c>
      <c r="K580" s="52" t="str">
        <f>IF(N(B$5)=0,"",IF(AND(COUNT(A579:A590)=2,COUNT(F579:F590)=2),cubic_spline(F578:F580,A578:A580,B$5),IF(AND(COUNT(A579:A590)=3,COUNT(F579:F590)=3),cubic_spline(F578:F581,A578:A581,B$5),IF(AND(COUNT(A579:A590)=4,COUNT(F579:F590)=4),cubic_spline(F578:F582,A578:A582,B$5),IF(AND(COUNT(A579:A590)=5,COUNT(F579:F590)=5),cubic_spline(F578:F583,A578:A583,B$5),IF(AND(COUNT(A579:A590)=6,COUNT(F579:F590)=6),cubic_spline(F578:F584,A578:A584,B$5),IF(AND(COUNT(A579:A590)=7,COUNT(F579:F590)=7),cubic_spline(F578:F585,A578:A585,B$5),IF(AND(COUNT(A579:A590)=8,COUNT(F579:F590)=8),cubic_spline(F578:F586,A578:A586,B$5),IF(AND(COUNT(A579:A590)=9,COUNT(F579:F590)=9),cubic_spline(F578:F587,A578:A587,B$5),IF(AND(COUNT(A579:A590)=10,COUNT(F579:F590)=10),cubic_spline(F578:F588,A578:A588,B$5),IF(AND(COUNT(A579:A590)=11,COUNT(F579:F590)=11),cubic_spline(F578:F589,A578:A589,B$5),IF(AND(COUNT(A579:A590)=12,COUNT(F579:F590)=12),cubic_spline(F578:F590,A578:A590,B$5),""))))))))))))</f>
        <v/>
      </c>
      <c r="L580" s="27" t="str">
        <f>IF(I580="","",B$4&amp;"-"&amp;B$5)</f>
        <v/>
      </c>
      <c r="M580" s="52" t="str">
        <f>IF(N(J580)=0,"",J580-J579)</f>
        <v/>
      </c>
    </row>
    <row r="581" spans="1:13" x14ac:dyDescent="0.35">
      <c r="A581" s="48"/>
      <c r="B581" s="48"/>
      <c r="C581" s="49"/>
      <c r="D581" s="50"/>
      <c r="E581" s="51" t="str">
        <f>IF(N(C581)=0,"",C581/PI()/($D$1/2)^2/$D$2*10000)</f>
        <v/>
      </c>
      <c r="F581" s="68" t="str">
        <f t="shared" si="216"/>
        <v/>
      </c>
      <c r="G581" s="69" t="str">
        <f t="shared" si="218"/>
        <v/>
      </c>
      <c r="H581" s="70" t="str">
        <f t="shared" si="217"/>
        <v/>
      </c>
      <c r="I581" s="27" t="str">
        <f>IF(N(J581)=0,"",0&amp;"-"&amp;B$6)</f>
        <v/>
      </c>
      <c r="J581" s="52" t="str">
        <f>IF(N(B$6)=0,"",IF(AND(COUNT(H579:H590)=2,COUNT(F579:F590)=2),cubic_spline(F578:F580,H578:H580,B$6),IF(AND(COUNT(H579:H590)=3,COUNT(F579:F590)=3),cubic_spline(F578:F581,H578:H581,B$6),IF(AND(COUNT(H579:H590)=4,COUNT(F579:F590)=4),cubic_spline(F578:F582,H578:H582,B$6),IF(AND(COUNT(H579:H590)=5,COUNT(F579:F590)=5),cubic_spline(F578:F583,H578:H583,B$6),IF(AND(COUNT(H579:H590)=6,COUNT(F579:F590)=6),cubic_spline(F578:F584,H578:H584,B$6),IF(AND(COUNT(H579:H590)=7,COUNT(F579:F590)=7),cubic_spline(F578:F585,H578:H585,B$6),IF(AND(COUNT(H579:H590)=8,COUNT(F579:F590)=8),cubic_spline(F578:F586,H578:H586,B$6),IF(AND(COUNT(H579:H590)=9,COUNT(F579:F590)=9),cubic_spline(F578:F587,H578:H587,B$6),IF(AND(COUNT(H579:H590)=10,COUNT(F579:F590)=10),cubic_spline(F578:F588,H578:H588,B$6),IF(AND(COUNT(H579:H590)=11,COUNT(F579:F590)=11),cubic_spline(F578:F589,H578:H589,B$6),IF(AND(COUNT(H579:H590)=12,COUNT(F579:F590)=12),cubic_spline(F578:F590,H578:H590,B$6),""))))))))))))</f>
        <v/>
      </c>
      <c r="K581" s="52" t="str">
        <f>IF(N(B$6)=0,"",IF(AND(COUNT(A579:A590)=2,COUNT(F579:F590)=2),cubic_spline(F578:F580,A578:A580,B$6),IF(AND(COUNT(A579:A590)=3,COUNT(F579:F590)=3),cubic_spline(F578:F581,A578:A581,B$6),IF(AND(COUNT(A579:A590)=4,COUNT(F579:F590)=4),cubic_spline(F578:F582,A578:A582,B$6),IF(AND(COUNT(A579:A590)=5,COUNT(F579:F590)=5),cubic_spline(F578:F583,A578:A583,B$6),IF(AND(COUNT(A579:A590)=6,COUNT(F579:F590)=6),cubic_spline(F578:F584,A578:A584,B$6),IF(AND(COUNT(A579:A590)=7,COUNT(F579:F590)=7),cubic_spline(F578:F585,A578:A585,B$6),IF(AND(COUNT(A579:A590)=8,COUNT(F579:F590)=8),cubic_spline(F578:F586,A578:A586,B$6),IF(AND(COUNT(A579:A590)=9,COUNT(F579:F590)=9),cubic_spline(F578:F587,A578:A587,B$6),IF(AND(COUNT(A579:A590)=10,COUNT(F579:F590)=10),cubic_spline(F578:F588,A578:A588,B$6),IF(AND(COUNT(A579:A590)=11,COUNT(F579:F590)=11),cubic_spline(F578:F589,A578:A589,B$6),IF(AND(COUNT(A579:A590)=12,COUNT(F579:F590)=12),cubic_spline(F578:F590,A578:A590,B$6),""))))))))))))</f>
        <v/>
      </c>
      <c r="L581" s="27" t="str">
        <f>IF(I581="","",B$5&amp;"-"&amp;B$6)</f>
        <v/>
      </c>
      <c r="M581" s="52" t="str">
        <f>IF(N(J581)=0,"",J581-J580)</f>
        <v/>
      </c>
    </row>
    <row r="582" spans="1:13" x14ac:dyDescent="0.35">
      <c r="A582" s="48"/>
      <c r="B582" s="48"/>
      <c r="C582" s="49"/>
      <c r="D582" s="50"/>
      <c r="E582" s="51" t="str">
        <f>IF(N(C582)=0,"",C582/PI()/($D$1/2)^2/$D$2*10000)</f>
        <v/>
      </c>
      <c r="F582" s="68" t="str">
        <f t="shared" si="216"/>
        <v/>
      </c>
      <c r="G582" s="69" t="str">
        <f t="shared" si="218"/>
        <v/>
      </c>
      <c r="H582" s="70" t="str">
        <f t="shared" si="217"/>
        <v/>
      </c>
      <c r="I582" s="27" t="str">
        <f>IF(N(J582)=0,"",0&amp;"-"&amp;B$7)</f>
        <v/>
      </c>
      <c r="J582" s="52" t="str">
        <f>IF(N(B$7)=0,"",IF(AND(COUNT(H579:H590)=2,COUNT(F579:F590)=2),cubic_spline(F578:F580,H578:H580,B$7),IF(AND(COUNT(H579:H590)=3,COUNT(F579:F590)=3),cubic_spline(F578:F581,H578:H581,B$7),IF(AND(COUNT(H579:H590)=4,COUNT(F579:F590)=4),cubic_spline(F578:F582,H578:H582,B$7),IF(AND(COUNT(H579:H590)=5,COUNT(F579:F590)=5),cubic_spline(F578:F583,H578:H583,B$7),IF(AND(COUNT(H579:H590)=6,COUNT(F579:F590)=6),cubic_spline(F578:F584,H578:H584,B$7),IF(AND(COUNT(H579:H590)=7,COUNT(F579:F590)=7),cubic_spline(F578:F585,H578:H585,B$7),IF(AND(COUNT(H579:H590)=8,COUNT(F579:F590)=8),cubic_spline(F578:F586,H578:H586,B$7),IF(AND(COUNT(H579:H590)=9,COUNT(F579:F590)=9),cubic_spline(F578:F587,H578:H587,B$7),IF(AND(COUNT(H579:H590)=10,COUNT(F579:F590)=10),cubic_spline(F578:F588,H578:H588,B$7),IF(AND(COUNT(H579:H590)=11,COUNT(F579:F590)=11),cubic_spline(F578:F589,H578:H589,B$7),IF(AND(COUNT(H579:H590)=12,COUNT(F579:F590)=12),cubic_spline(F578:F590,H578:H590,B$7),""))))))))))))</f>
        <v/>
      </c>
      <c r="K582" s="52" t="str">
        <f>IF(N(B$7)=0,"",IF(AND(COUNT(A579:A590)=2,COUNT(F579:F590)=2),cubic_spline(F578:F580,A578:A580,B$7),IF(AND(COUNT(A579:A590)=3,COUNT(F579:F590)=3),cubic_spline(F578:F581,A578:A581,B$7),IF(AND(COUNT(A579:A590)=4,COUNT(F579:F590)=4),cubic_spline(F578:F582,A578:A582,B$7),IF(AND(COUNT(A579:A590)=5,COUNT(F579:F590)=5),cubic_spline(F578:F583,A578:A583,B$7),IF(AND(COUNT(A579:A590)=6,COUNT(F579:F590)=6),cubic_spline(F578:F584,A578:A584,B$7),IF(AND(COUNT(A579:A590)=7,COUNT(F579:F590)=7),cubic_spline(F578:F585,A578:A585,B$7),IF(AND(COUNT(A579:A590)=8,COUNT(F579:F590)=8),cubic_spline(F578:F586,A578:A586,B$7),IF(AND(COUNT(A579:A590)=9,COUNT(F579:F590)=9),cubic_spline(F578:F587,A578:A587,B$7),IF(AND(COUNT(A579:A590)=10,COUNT(F579:F590)=10),cubic_spline(F578:F588,A578:A588,B$7),IF(AND(COUNT(A579:A590)=11,COUNT(F579:F590)=11),cubic_spline(F578:F589,A578:A589,B$7),IF(AND(COUNT(A579:A590)=12,COUNT(F579:F590)=12),cubic_spline(F578:F590,A578:A590,B$7),""))))))))))))</f>
        <v/>
      </c>
      <c r="L582" s="27" t="str">
        <f>IF(I582="","",B$6&amp;"-"&amp;B$7)</f>
        <v/>
      </c>
      <c r="M582" s="52" t="str">
        <f>IF(N(J582)=0,"",J582-J581)</f>
        <v/>
      </c>
    </row>
    <row r="583" spans="1:13" x14ac:dyDescent="0.35">
      <c r="A583" s="48"/>
      <c r="B583" s="48"/>
      <c r="C583" s="49"/>
      <c r="D583" s="50"/>
      <c r="E583" s="51" t="str">
        <f t="shared" ref="E583:E590" si="219">IF(N(C583)=0,"",C583/PI()/($D$1/2)^2/$D$2*10000)</f>
        <v/>
      </c>
      <c r="F583" s="71" t="str">
        <f t="shared" si="216"/>
        <v/>
      </c>
      <c r="G583" s="69" t="str">
        <f t="shared" si="218"/>
        <v/>
      </c>
      <c r="H583" s="70" t="str">
        <f t="shared" si="217"/>
        <v/>
      </c>
      <c r="I583" s="27" t="str">
        <f>IF(N(J583)=0,"",0&amp;"-"&amp;B$8)</f>
        <v/>
      </c>
      <c r="J583" s="52" t="str">
        <f>IF(N(B$8)=0,"",IF(AND(COUNT(H579:H590)=2,COUNT(F579:F590)=2),cubic_spline(F578:F580,H578:H580,B$8),IF(AND(COUNT(H579:H590)=3,COUNT(F579:F590)=3),cubic_spline(F578:F581,H578:H581,B$8),IF(AND(COUNT(H579:H590)=4,COUNT(F579:F590)=4),cubic_spline(F578:F582,H578:H582,B$8),IF(AND(COUNT(H579:H590)=5,COUNT(F579:F590)=5),cubic_spline(F578:F583,H578:H583,B$8),IF(AND(COUNT(H579:H590)=6,COUNT(F579:F590)=6),cubic_spline(F578:F584,H578:H584,B$8),IF(AND(COUNT(H579:H590)=7,COUNT(F579:F590)=7),cubic_spline(F578:F585,H578:H585,B$8),IF(AND(COUNT(H579:H590)=8,COUNT(F579:F590)=8),cubic_spline(F578:F586,H578:H586,B$8),IF(AND(COUNT(H579:H590)=9,COUNT(F579:F590)=9),cubic_spline(F578:F587,H578:H587,B$8),IF(AND(COUNT(H579:H590)=10,COUNT(F579:F590)=10),cubic_spline(F578:F588,H578:H588,B$8),IF(AND(COUNT(H579:H590)=11,COUNT(F579:F590)=11),cubic_spline(F578:F589,H578:H589,B$8),IF(AND(COUNT(H579:H590)=12,COUNT(F579:F590)=12),cubic_spline(F578:F590,H578:H590,B$8),""))))))))))))</f>
        <v/>
      </c>
      <c r="K583" s="52" t="str">
        <f>IF(N(B$8)=0,"",IF(AND(COUNT(A579:A590)=2,COUNT(F579:F590)=2),cubic_spline(F578:F580,A578:A580,B$8),IF(AND(COUNT(A579:A590)=3,COUNT(F579:F590)=3),cubic_spline(F578:F581,A578:A581,B$8),IF(AND(COUNT(A579:A590)=4,COUNT(F579:F590)=4),cubic_spline(F578:F582,A578:A582,B$8),IF(AND(COUNT(A579:A590)=5,COUNT(F579:F590)=5),cubic_spline(F578:F583,A578:A583,B$8),IF(AND(COUNT(A579:A590)=6,COUNT(F579:F590)=6),cubic_spline(F578:F584,A578:A584,B$8),IF(AND(COUNT(A579:A590)=7,COUNT(F579:F590)=7),cubic_spline(F578:F585,A578:A585,B$8),IF(AND(COUNT(A579:A590)=8,COUNT(F579:F590)=8),cubic_spline(F578:F586,A578:A586,B$8),IF(AND(COUNT(A579:A590)=9,COUNT(F579:F590)=9),cubic_spline(F578:F587,A578:A587,B$8),IF(AND(COUNT(A579:A590)=10,COUNT(F579:F590)=10),cubic_spline(F578:F588,A578:A588,B$8),IF(AND(COUNT(A579:A590)=11,COUNT(F579:F590)=11),cubic_spline(F578:F589,A578:A589,B$8),IF(AND(COUNT(A579:A590)=12,COUNT(F579:F590)=12),cubic_spline(F578:F590,A578:A590,B$8),""))))))))))))</f>
        <v/>
      </c>
      <c r="L583" s="27" t="str">
        <f>IF(I583="","",B$7&amp;"-"&amp;B$8)</f>
        <v/>
      </c>
      <c r="M583" s="52" t="str">
        <f>IF(N(J583)=0,"",J583-J582)</f>
        <v/>
      </c>
    </row>
    <row r="584" spans="1:13" x14ac:dyDescent="0.35">
      <c r="A584" s="48"/>
      <c r="B584" s="48"/>
      <c r="C584" s="49"/>
      <c r="D584" s="50"/>
      <c r="E584" s="51" t="str">
        <f t="shared" si="219"/>
        <v/>
      </c>
      <c r="F584" s="71" t="str">
        <f t="shared" si="216"/>
        <v/>
      </c>
      <c r="G584" s="69" t="str">
        <f t="shared" si="218"/>
        <v/>
      </c>
      <c r="H584" s="70" t="str">
        <f t="shared" si="217"/>
        <v/>
      </c>
      <c r="I584" s="27" t="str">
        <f>IF(N(J584)=0,"",0&amp;"-"&amp;B$9)</f>
        <v/>
      </c>
      <c r="J584" s="52" t="str">
        <f>IF(N(B$9)=0,"",IF(AND(COUNT(H579:H590)=2,COUNT(F579:F590)=2),cubic_spline(F578:F580,H578:H580,B$9),IF(AND(COUNT(H579:H590)=3,COUNT(F579:F590)=3),cubic_spline(F578:F581,H578:H581,B$9),IF(AND(COUNT(H579:H590)=4,COUNT(F579:F590)=4),cubic_spline(F578:F582,H578:H582,B$9),IF(AND(COUNT(H579:H590)=5,COUNT(F579:F590)=5),cubic_spline(F578:F583,H578:H583,B$9),IF(AND(COUNT(H579:H590)=6,COUNT(F579:F590)=6),cubic_spline(F578:F584,H578:H584,B$9),IF(AND(COUNT(H579:H590)=7,COUNT(F579:F590)=7),cubic_spline(F578:F585,H578:H585,B$9),IF(AND(COUNT(H579:H590)=8,COUNT(F579:F590)=8),cubic_spline(F578:F586,H578:H586,B$9),IF(AND(COUNT(H579:H590)=9,COUNT(F579:F590)=9),cubic_spline(F578:F587,H578:H587,B$9),IF(AND(COUNT(H579:H590)=10,COUNT(F579:F590)=10),cubic_spline(F578:F588,H578:H588,B$9),IF(AND(COUNT(H579:H590)=11,COUNT(F579:F590)=11),cubic_spline(F578:F589,H578:H589,B$9),IF(AND(COUNT(H579:H590)=12,COUNT(F579:F590)=12),cubic_spline(F578:F590,H578:H590,B$9),""))))))))))))</f>
        <v/>
      </c>
      <c r="K584" s="52" t="str">
        <f>IF(N(B$9)=0,"",IF(AND(COUNT(A579:A590)=2,COUNT(F579:F590)=2),cubic_spline(F578:F580,A578:A580,B$9),IF(AND(COUNT(A579:A590)=3,COUNT(F579:F590)=3),cubic_spline(F578:F581,A578:A581,B$9),IF(AND(COUNT(A579:A590)=4,COUNT(F579:F590)=4),cubic_spline(F578:F582,A578:A582,B$9),IF(AND(COUNT(A579:A590)=5,COUNT(F579:F590)=5),cubic_spline(F578:F583,A578:A583,B$9),IF(AND(COUNT(A579:A590)=6,COUNT(F579:F590)=6),cubic_spline(F578:F584,A578:A584,B$9),IF(AND(COUNT(A579:A590)=7,COUNT(F579:F590)=7),cubic_spline(F578:F585,A578:A585,B$9),IF(AND(COUNT(A579:A590)=8,COUNT(F579:F590)=8),cubic_spline(F578:F586,A578:A586,B$9),IF(AND(COUNT(A579:A590)=9,COUNT(F579:F590)=9),cubic_spline(F578:F587,A578:A587,B$9),IF(AND(COUNT(A579:A590)=10,COUNT(F579:F590)=10),cubic_spline(F578:F588,A578:A588,B$9),IF(AND(COUNT(A579:A590)=11,COUNT(F579:F590)=11),cubic_spline(F578:F589,A578:A589,B$9),IF(AND(COUNT(A579:A590)=12,COUNT(F579:F590)=12),cubic_spline(F578:F590,A578:A590,B$9),""))))))))))))</f>
        <v/>
      </c>
      <c r="L584" s="27" t="str">
        <f>IF(I584="","",B$8&amp;"-"&amp;B$9)</f>
        <v/>
      </c>
      <c r="M584" s="52" t="str">
        <f t="shared" ref="M584:M590" si="220">IF(N(J584)=0,"",J584-J583)</f>
        <v/>
      </c>
    </row>
    <row r="585" spans="1:13" x14ac:dyDescent="0.35">
      <c r="A585" s="48"/>
      <c r="B585" s="48"/>
      <c r="C585" s="49"/>
      <c r="D585" s="50"/>
      <c r="E585" s="51" t="str">
        <f t="shared" si="219"/>
        <v/>
      </c>
      <c r="F585" s="71" t="str">
        <f t="shared" si="216"/>
        <v/>
      </c>
      <c r="G585" s="69" t="str">
        <f t="shared" si="218"/>
        <v/>
      </c>
      <c r="H585" s="70" t="str">
        <f t="shared" si="217"/>
        <v/>
      </c>
      <c r="I585" s="27" t="str">
        <f>IF(N(J585)=0,"",0&amp;"-"&amp;B$10)</f>
        <v/>
      </c>
      <c r="J585" s="52" t="str">
        <f>IF(N(B$10)=0,"",IF(AND(COUNT(H579:H590)=2,COUNT(F579:F590)=2),cubic_spline(F578:F580,H578:H580,B$10),IF(AND(COUNT(H579:H590)=3,COUNT(F579:F590)=3),cubic_spline(F578:F581,H578:H581,B$10),IF(AND(COUNT(H579:H590)=4,COUNT(F579:F590)=4),cubic_spline(F578:F582,H578:H582,B$10),IF(AND(COUNT(H579:H590)=5,COUNT(F579:F590)=5),cubic_spline(F578:F583,H578:H583,B$10),IF(AND(COUNT(H579:H590)=6,COUNT(F579:F590)=6),cubic_spline(F578:F584,H578:H584,B$10),IF(AND(COUNT(H579:H590)=7,COUNT(F579:F590)=7),cubic_spline(F578:F585,H578:H585,B$10),IF(AND(COUNT(H579:H590)=8,COUNT(F579:F590)=8),cubic_spline(F578:F586,H578:H586,B$10),IF(AND(COUNT(H579:H590)=9,COUNT(F579:F590)=9),cubic_spline(F578:F587,H578:H587,B$10),IF(AND(COUNT(H579:H590)=10,COUNT(F579:F590)=10),cubic_spline(F578:F588,H578:H588,B$10),IF(AND(COUNT(H579:H590)=11,COUNT(F579:F590)=11),cubic_spline(F578:F589,H578:H589,B$10),IF(AND(COUNT(H579:H590)=12,COUNT(F579:F590)=12),cubic_spline(F578:F590,H578:H590,B$10),""))))))))))))</f>
        <v/>
      </c>
      <c r="K585" s="52" t="str">
        <f>IF(N(B$10)=0,"",IF(AND(COUNT(A579:A590)=2,COUNT(F579:F590)=2),cubic_spline(F578:F580,A578:A580,B$10),IF(AND(COUNT(A579:A590)=3,COUNT(F579:F590)=3),cubic_spline(F578:F581,A578:A581,B$10),IF(AND(COUNT(A579:A590)=4,COUNT(F579:F590)=4),cubic_spline(F578:F582,A578:A582,B$10),IF(AND(COUNT(A579:A590)=5,COUNT(F579:F590)=5),cubic_spline(F578:F583,A578:A583,B$10),IF(AND(COUNT(A579:A590)=6,COUNT(F579:F590)=6),cubic_spline(F578:F584,A578:A584,B$10),IF(AND(COUNT(A579:A590)=7,COUNT(F579:F590)=7),cubic_spline(F578:F585,A578:A585,B$10),IF(AND(COUNT(A579:A590)=8,COUNT(F579:F590)=8),cubic_spline(F578:F586,A578:A586,B$10),IF(AND(COUNT(A579:A590)=9,COUNT(F579:F590)=9),cubic_spline(F578:F587,A578:A587,B$10),IF(AND(COUNT(A579:A590)=10,COUNT(F579:F590)=10),cubic_spline(F578:F588,A578:A588,B$10),IF(AND(COUNT(A579:A590)=11,COUNT(F579:F590)=11),cubic_spline(F578:F589,A578:A589,B$10),IF(AND(COUNT(A579:A590)=12,COUNT(F579:F590)=12),cubic_spline(F578:F590,A578:A590,B$10),""))))))))))))</f>
        <v/>
      </c>
      <c r="L585" s="27" t="str">
        <f>IF(I585="","",B$9&amp;"-"&amp;B$10)</f>
        <v/>
      </c>
      <c r="M585" s="52" t="str">
        <f t="shared" si="220"/>
        <v/>
      </c>
    </row>
    <row r="586" spans="1:13" x14ac:dyDescent="0.35">
      <c r="A586" s="48"/>
      <c r="B586" s="48"/>
      <c r="C586" s="49"/>
      <c r="D586" s="50"/>
      <c r="E586" s="51" t="str">
        <f t="shared" si="219"/>
        <v/>
      </c>
      <c r="F586" s="71" t="str">
        <f t="shared" si="216"/>
        <v/>
      </c>
      <c r="G586" s="69" t="str">
        <f t="shared" si="218"/>
        <v/>
      </c>
      <c r="H586" s="70" t="str">
        <f t="shared" si="217"/>
        <v/>
      </c>
      <c r="I586" s="27" t="str">
        <f>IF(N(J586)=0,"",0&amp;"-"&amp;B$11)</f>
        <v/>
      </c>
      <c r="J586" s="52" t="str">
        <f>IF(N(B$11)=0,"",IF(AND(COUNT(H579:H590)=2,COUNT(F579:F590)=2),cubic_spline(F578:F580,H578:H580,B$11),IF(AND(COUNT(H579:H590)=3,COUNT(F579:F590)=3),cubic_spline(F578:F581,H578:H581,B$11),IF(AND(COUNT(H579:H590)=4,COUNT(F579:F590)=4),cubic_spline(F578:F582,H578:H582,B$11),IF(AND(COUNT(H579:H590)=5,COUNT(F579:F590)=5),cubic_spline(F578:F583,H578:H583,B$11),IF(AND(COUNT(H579:H590)=6,COUNT(F579:F590)=6),cubic_spline(F578:F584,H578:H584,B$11),IF(AND(COUNT(H579:H590)=7,COUNT(F579:F590)=7),cubic_spline(F578:F585,H578:H585,B$11),IF(AND(COUNT(H579:H590)=8,COUNT(F579:F590)=8),cubic_spline(F578:F586,H578:H586,B$11),IF(AND(COUNT(H579:H590)=9,COUNT(F579:F590)=9),cubic_spline(F578:F587,H578:H587,B$11),IF(AND(COUNT(H579:H590)=10,COUNT(F579:F590)=10),cubic_spline(F578:F588,H578:H588,B$11),IF(AND(COUNT(H579:H590)=11,COUNT(F579:F590)=11),cubic_spline(F578:F589,H578:H589,B$11),IF(AND(COUNT(H579:H590)=12,COUNT(F579:F590)=12),cubic_spline(F578:F590,H578:H590,B$11),""))))))))))))</f>
        <v/>
      </c>
      <c r="K586" s="52" t="str">
        <f>IF(N(B$11)=0,"",IF(AND(COUNT(A579:A590)=2,COUNT(F579:F590)=2),cubic_spline(F578:F580,A578:A580,B$11),IF(AND(COUNT(A579:A590)=3,COUNT(F579:F590)=3),cubic_spline(F578:F581,A578:A581,B$11),IF(AND(COUNT(A579:A590)=4,COUNT(F579:F590)=4),cubic_spline(F578:F582,A578:A582,B$11),IF(AND(COUNT(A579:A590)=5,COUNT(F579:F590)=5),cubic_spline(F578:F583,A578:A583,B$11),IF(AND(COUNT(A579:A590)=6,COUNT(F579:F590)=6),cubic_spline(F578:F584,A578:A584,B$11),IF(AND(COUNT(A579:A590)=7,COUNT(F579:F590)=7),cubic_spline(F578:F585,A578:A585,B$11),IF(AND(COUNT(A579:A590)=8,COUNT(F579:F590)=8),cubic_spline(F578:F586,A578:A586,B$11),IF(AND(COUNT(A579:A590)=9,COUNT(F579:F590)=9),cubic_spline(F578:F587,A578:A587,B$11),IF(AND(COUNT(A579:A590)=10,COUNT(F579:F590)=10),cubic_spline(F578:F588,A578:A588,B$11),IF(AND(COUNT(A579:A590)=11,COUNT(F579:F590)=11),cubic_spline(F578:F589,A578:A589,B$11),IF(AND(COUNT(A579:A590)=12,COUNT(F579:F590)=12),cubic_spline(F578:F590,A578:A590,B$11),""))))))))))))</f>
        <v/>
      </c>
      <c r="L586" s="27" t="str">
        <f>IF(I586="","",B$10&amp;"-"&amp;B$11)</f>
        <v/>
      </c>
      <c r="M586" s="52" t="str">
        <f t="shared" si="220"/>
        <v/>
      </c>
    </row>
    <row r="587" spans="1:13" x14ac:dyDescent="0.35">
      <c r="A587" s="48"/>
      <c r="B587" s="48"/>
      <c r="C587" s="49"/>
      <c r="D587" s="50"/>
      <c r="E587" s="51" t="str">
        <f t="shared" si="219"/>
        <v/>
      </c>
      <c r="F587" s="71" t="str">
        <f t="shared" si="216"/>
        <v/>
      </c>
      <c r="G587" s="69" t="str">
        <f t="shared" si="218"/>
        <v/>
      </c>
      <c r="H587" s="70" t="str">
        <f t="shared" si="217"/>
        <v/>
      </c>
      <c r="I587" s="27" t="str">
        <f>IF(N(J587)=0,"",0&amp;"-"&amp;B$12)</f>
        <v/>
      </c>
      <c r="J587" s="52" t="str">
        <f>IF(N(B$12)=0,"",IF(AND(COUNT(H579:H590)=2,COUNT(F579:F590)=2),cubic_spline(F578:F580,H578:H580,B$12),IF(AND(COUNT(H579:H590)=3,COUNT(F579:F590)=3),cubic_spline(F578:F581,H578:H581,B$12),IF(AND(COUNT(H579:H590)=4,COUNT(F579:F590)=4),cubic_spline(F578:F582,H578:H582,B$12),IF(AND(COUNT(H579:H590)=5,COUNT(F579:F590)=5),cubic_spline(F578:F583,H578:H583,B$12),IF(AND(COUNT(H579:H590)=6,COUNT(F579:F590)=6),cubic_spline(F578:F584,H578:H584,B$12),IF(AND(COUNT(H579:H590)=7,COUNT(F579:F590)=7),cubic_spline(F578:F585,H578:H585,B$12),IF(AND(COUNT(H579:H590)=8,COUNT(F579:F590)=8),cubic_spline(F578:F586,H578:H586,B$12),IF(AND(COUNT(H579:H590)=9,COUNT(F579:F590)=9),cubic_spline(F578:F587,H578:H587,B$12),IF(AND(COUNT(H579:H590)=10,COUNT(F579:F590)=10),cubic_spline(F578:F588,H578:H588,B$12),IF(AND(COUNT(H579:H590)=11,COUNT(F579:F590)=11),cubic_spline(F578:F589,H578:H589,B$12),IF(AND(COUNT(H579:H590)=12,COUNT(F579:F590)=12),cubic_spline(F578:F590,H578:H590,B$12),""))))))))))))</f>
        <v/>
      </c>
      <c r="K587" s="52" t="str">
        <f>IF(N(B$12)=0,"",IF(AND(COUNT(A579:A590)=2,COUNT(F579:F590)=2),cubic_spline(F578:F580,A578:A580,B$12),IF(AND(COUNT(A579:A590)=3,COUNT(F579:F590)=3),cubic_spline(F578:F581,A578:A581,B$12),IF(AND(COUNT(A579:A590)=4,COUNT(F579:F590)=4),cubic_spline(F578:F582,A578:A582,B$12),IF(AND(COUNT(A579:A590)=5,COUNT(F579:F590)=5),cubic_spline(F578:F583,A578:A583,B$12),IF(AND(COUNT(A579:A590)=6,COUNT(F579:F590)=6),cubic_spline(F578:F584,A578:A584,B$12),IF(AND(COUNT(A579:A590)=7,COUNT(F579:F590)=7),cubic_spline(F578:F585,A578:A585,B$12),IF(AND(COUNT(A579:A590)=8,COUNT(F579:F590)=8),cubic_spline(F578:F586,A578:A586,B$12),IF(AND(COUNT(A579:A590)=9,COUNT(F579:F590)=9),cubic_spline(F578:F587,A578:A587,B$12),IF(AND(COUNT(A579:A590)=10,COUNT(F579:F590)=10),cubic_spline(F578:F588,A578:A588,B$12),IF(AND(COUNT(A579:A590)=11,COUNT(F579:F590)=11),cubic_spline(F578:F589,A578:A589,B$12),IF(AND(COUNT(A579:A590)=12,COUNT(F579:F590)=12),cubic_spline(F578:F590,A578:A590,B$12),""))))))))))))</f>
        <v/>
      </c>
      <c r="L587" s="27" t="str">
        <f>IF(I587="","",B$11&amp;"-"&amp;B$12)</f>
        <v/>
      </c>
      <c r="M587" s="52" t="str">
        <f t="shared" si="220"/>
        <v/>
      </c>
    </row>
    <row r="588" spans="1:13" x14ac:dyDescent="0.35">
      <c r="A588" s="48"/>
      <c r="B588" s="48"/>
      <c r="C588" s="49"/>
      <c r="D588" s="50"/>
      <c r="E588" s="51" t="str">
        <f t="shared" si="219"/>
        <v/>
      </c>
      <c r="F588" s="71" t="str">
        <f t="shared" si="216"/>
        <v/>
      </c>
      <c r="G588" s="69" t="str">
        <f t="shared" si="218"/>
        <v/>
      </c>
      <c r="H588" s="70" t="str">
        <f t="shared" si="217"/>
        <v/>
      </c>
      <c r="I588" s="27" t="str">
        <f>IF(N(J588)=0,"",0&amp;"-"&amp;B$13)</f>
        <v/>
      </c>
      <c r="J588" s="52" t="str">
        <f>IF(N(B$13)=0,"",IF(AND(COUNT(H579:H590)=2,COUNT(F579:F590)=2),cubic_spline(F578:F580,H578:H580,B$13),IF(AND(COUNT(H579:H590)=3,COUNT(F579:F590)=3),cubic_spline(F578:F581,H578:H581,B$13),IF(AND(COUNT(H579:H590)=4,COUNT(F579:F590)=4),cubic_spline(F578:F582,H578:H582,B$13),IF(AND(COUNT(H579:H590)=5,COUNT(F579:F590)=5),cubic_spline(F578:F583,H578:H583,B$13),IF(AND(COUNT(H579:H590)=6,COUNT(F579:F590)=6),cubic_spline(F578:F584,H578:H584,B$13),IF(AND(COUNT(H579:H590)=7,COUNT(F579:F590)=7),cubic_spline(F578:F585,H578:H585,B$13),IF(AND(COUNT(H579:H590)=8,COUNT(F579:F590)=8),cubic_spline(F578:F586,H578:H586,B$13),IF(AND(COUNT(H579:H590)=9,COUNT(F579:F590)=9),cubic_spline(F578:F587,H578:H587,B$13),IF(AND(COUNT(H579:H590)=10,COUNT(F579:F590)=10),cubic_spline(F578:F588,H578:H588,B$13),IF(AND(COUNT(H579:H590)=11,COUNT(F579:F590)=11),cubic_spline(F578:F589,H578:H589,B$13),IF(AND(COUNT(H579:H590)=12,COUNT(F579:F590)=12),cubic_spline(F578:F590,H578:H590,B$13),""))))))))))))</f>
        <v/>
      </c>
      <c r="K588" s="52" t="str">
        <f>IF(N(B$13)=0,"",IF(AND(COUNT(A579:A590)=2,COUNT(F579:F590)=2),cubic_spline(F578:F580,A578:A580,B$13),IF(AND(COUNT(A579:A590)=3,COUNT(F579:F590)=3),cubic_spline(F578:F581,A578:A581,B$13),IF(AND(COUNT(A579:A590)=4,COUNT(F579:F590)=4),cubic_spline(F578:F582,A578:A582,B$13),IF(AND(COUNT(A579:A590)=5,COUNT(F579:F590)=5),cubic_spline(F578:F583,A578:A583,B$13),IF(AND(COUNT(A579:A590)=6,COUNT(F579:F590)=6),cubic_spline(F578:F584,A578:A584,B$13),IF(AND(COUNT(A579:A590)=7,COUNT(F579:F590)=7),cubic_spline(F578:F585,A578:A585,B$13),IF(AND(COUNT(A579:A590)=8,COUNT(F579:F590)=8),cubic_spline(F578:F586,A578:A586,B$13),IF(AND(COUNT(A579:A590)=9,COUNT(F579:F590)=9),cubic_spline(F578:F587,A578:A587,B$13),IF(AND(COUNT(A579:A590)=10,COUNT(F579:F590)=10),cubic_spline(F578:F588,A578:A588,B$13),IF(AND(COUNT(A579:A590)=11,COUNT(F579:F590)=11),cubic_spline(F578:F589,A578:A589,B$13),IF(AND(COUNT(A579:A590)=12,COUNT(F579:F590)=12),cubic_spline(F578:F590,A578:A590,B$13),""))))))))))))</f>
        <v/>
      </c>
      <c r="L588" s="27" t="str">
        <f>IF(I588="","",B$12&amp;"-"&amp;B$13)</f>
        <v/>
      </c>
      <c r="M588" s="52" t="str">
        <f t="shared" si="220"/>
        <v/>
      </c>
    </row>
    <row r="589" spans="1:13" x14ac:dyDescent="0.35">
      <c r="A589" s="48"/>
      <c r="B589" s="48"/>
      <c r="C589" s="49"/>
      <c r="D589" s="50"/>
      <c r="E589" s="51" t="str">
        <f t="shared" si="219"/>
        <v/>
      </c>
      <c r="F589" s="71" t="str">
        <f t="shared" si="216"/>
        <v/>
      </c>
      <c r="G589" s="69" t="str">
        <f t="shared" si="218"/>
        <v/>
      </c>
      <c r="H589" s="70" t="str">
        <f t="shared" si="217"/>
        <v/>
      </c>
      <c r="I589" s="27" t="str">
        <f>IF(N(J589)=0,"",0&amp;"-"&amp;B$14)</f>
        <v/>
      </c>
      <c r="J589" s="52" t="str">
        <f>IF(N(B$14)=0,"",IF(AND(COUNT(H579:H590)=2,COUNT(F579:F590)=2),cubic_spline(F578:F580,H578:H580,B$14),IF(AND(COUNT(H579:H590)=3,COUNT(F579:F590)=3),cubic_spline(F578:F581,H578:H581,B$14),IF(AND(COUNT(H579:H590)=4,COUNT(F579:F590)=4),cubic_spline(F578:F582,H578:H582,B$14),IF(AND(COUNT(H579:H590)=5,COUNT(F579:F590)=5),cubic_spline(F578:F583,H578:H583,B$14),IF(AND(COUNT(H579:H590)=6,COUNT(F579:F590)=6),cubic_spline(F578:F584,H578:H584,B$14),IF(AND(COUNT(H579:H590)=7,COUNT(F579:F590)=7),cubic_spline(F578:F585,H578:H585,B$14),IF(AND(COUNT(H579:H590)=8,COUNT(F579:F590)=8),cubic_spline(F578:F586,H578:H586,B$14),IF(AND(COUNT(H579:H590)=9,COUNT(F579:F590)=9),cubic_spline(F578:F587,H578:H587,B$14),IF(AND(COUNT(H579:H590)=10,COUNT(F579:F590)=10),cubic_spline(F578:F588,H578:H588,B$14),IF(AND(COUNT(H579:H590)=11,COUNT(F579:F590)=11),cubic_spline(F578:F589,H578:H589,B$14),IF(AND(COUNT(H579:H590)=12,COUNT(F579:F590)=12),cubic_spline(F578:F590,H578:H590,B$14),""))))))))))))</f>
        <v/>
      </c>
      <c r="K589" s="52" t="str">
        <f>IF(N(B$14)=0,"",IF(AND(COUNT(A579:A590)=2,COUNT(F579:F590)=2),cubic_spline(F578:F580,A578:A580,B$14),IF(AND(COUNT(A579:A590)=3,COUNT(F579:F590)=3),cubic_spline(F578:F581,A578:A581,B$14),IF(AND(COUNT(A579:A590)=4,COUNT(F579:F590)=4),cubic_spline(F578:F582,A578:A582,B$14),IF(AND(COUNT(A579:A590)=5,COUNT(F579:F590)=5),cubic_spline(F578:F583,A578:A583,B$14),IF(AND(COUNT(A579:A590)=6,COUNT(F579:F590)=6),cubic_spline(F578:F584,A578:A584,B$14),IF(AND(COUNT(A579:A590)=7,COUNT(F579:F590)=7),cubic_spline(F578:F585,A578:A585,B$14),IF(AND(COUNT(A579:A590)=8,COUNT(F579:F590)=8),cubic_spline(F578:F586,A578:A586,B$14),IF(AND(COUNT(A579:A590)=9,COUNT(F579:F590)=9),cubic_spline(F578:F587,A578:A587,B$14),IF(AND(COUNT(A579:A590)=10,COUNT(F579:F590)=10),cubic_spline(F578:F588,A578:A588,B$14),IF(AND(COUNT(A579:A590)=11,COUNT(F579:F590)=11),cubic_spline(F578:F589,A578:A589,B$14),IF(AND(COUNT(A579:A590)=12,COUNT(F579:F590)=12),cubic_spline(F578:F590,A578:A590,B$14),""))))))))))))</f>
        <v/>
      </c>
      <c r="L589" s="27" t="str">
        <f>IF(I589="","",B$13&amp;"-"&amp;B$14)</f>
        <v/>
      </c>
      <c r="M589" s="52" t="str">
        <f t="shared" si="220"/>
        <v/>
      </c>
    </row>
    <row r="590" spans="1:13" x14ac:dyDescent="0.35">
      <c r="A590" s="48"/>
      <c r="B590" s="48"/>
      <c r="C590" s="49"/>
      <c r="D590" s="50"/>
      <c r="E590" s="51" t="str">
        <f t="shared" si="219"/>
        <v/>
      </c>
      <c r="F590" s="71" t="str">
        <f t="shared" si="216"/>
        <v/>
      </c>
      <c r="G590" s="69" t="str">
        <f t="shared" si="218"/>
        <v/>
      </c>
      <c r="H590" s="70" t="str">
        <f t="shared" si="217"/>
        <v/>
      </c>
      <c r="I590" s="27" t="str">
        <f>IF(N(J590)=0,"",0&amp;"-"&amp;B$15)</f>
        <v/>
      </c>
      <c r="J590" s="52" t="str">
        <f>IF(N(B$15)=0,"",IF(AND(COUNT(H579:H590)=2,COUNT(F579:F590)=2),cubic_spline(F578:F580,H578:H580,B$15),IF(AND(COUNT(H579:H590)=3,COUNT(F579:F590)=3),cubic_spline(F578:F581,H578:H581,B$15),IF(AND(COUNT(H579:H590)=4,COUNT(F579:F590)=4),cubic_spline(F578:F582,H578:H582,B$15),IF(AND(COUNT(H579:H590)=5,COUNT(F579:F590)=5),cubic_spline(F578:F583,H578:H583,B$15),IF(AND(COUNT(H579:H590)=6,COUNT(F579:F590)=6),cubic_spline(F578:F584,H578:H584,B$15),IF(AND(COUNT(H579:H590)=7,COUNT(F579:F590)=7),cubic_spline(F578:F585,H578:H585,B$15),IF(AND(COUNT(H579:H590)=8,COUNT(F579:F590)=8),cubic_spline(F578:F586,H578:H586,B$15),IF(AND(COUNT(H579:H590)=9,COUNT(F579:F590)=9),cubic_spline(F578:F587,H578:H587,B$15),IF(AND(COUNT(H579:H590)=10,COUNT(F579:F590)=10),cubic_spline(F578:F588,H578:H588,B$15),IF(AND(COUNT(H579:H590)=11,COUNT(F579:F590)=11),cubic_spline(F578:F589,H578:H589,B$15),IF(AND(COUNT(H579:H590)=12,COUNT(F579:F590)=12),cubic_spline(F578:F590,H578:H590,B$15),""))))))))))))</f>
        <v/>
      </c>
      <c r="K590" s="52" t="str">
        <f>IF(N(B$15)=0,"",IF(AND(COUNT(A579:A590)=2,COUNT(F579:F590)=2),cubic_spline(F578:F580,A578:A580,B$15),IF(AND(COUNT(A579:A590)=3,COUNT(F579:F590)=3),cubic_spline(F578:F581,A578:A581,B$15),IF(AND(COUNT(A579:A590)=4,COUNT(F579:F590)=4),cubic_spline(F578:F582,A578:A582,B$15),IF(AND(COUNT(A579:A590)=5,COUNT(F579:F590)=5),cubic_spline(F578:F583,A578:A583,B$15),IF(AND(COUNT(A579:A590)=6,COUNT(F579:F590)=6),cubic_spline(F578:F584,A578:A584,B$15),IF(AND(COUNT(A579:A590)=7,COUNT(F579:F590)=7),cubic_spline(F578:F585,A578:A585,B$15),IF(AND(COUNT(A579:A590)=8,COUNT(F579:F590)=8),cubic_spline(F578:F586,A578:A586,B$15),IF(AND(COUNT(A579:A590)=9,COUNT(F579:F590)=9),cubic_spline(F578:F587,A578:A587,B$15),IF(AND(COUNT(A579:A590)=10,COUNT(F579:F590)=10),cubic_spline(F578:F588,A578:A588,B$15),IF(AND(COUNT(A579:A590)=11,COUNT(F579:F590)=11),cubic_spline(F578:F589,A578:A589,B$15),IF(AND(COUNT(A579:A590)=12,COUNT(F579:F590)=12),cubic_spline(F578:F590,A578:A590,B$15),""))))))))))))</f>
        <v/>
      </c>
      <c r="L590" s="27" t="str">
        <f>IF(I590="","",B$14&amp;"-"&amp;B$15)</f>
        <v/>
      </c>
      <c r="M590" s="52" t="str">
        <f t="shared" si="220"/>
        <v/>
      </c>
    </row>
    <row r="591" spans="1:13" ht="5.15" customHeight="1" x14ac:dyDescent="0.35">
      <c r="A591" s="47"/>
      <c r="B591" s="47"/>
      <c r="C591" s="47"/>
      <c r="D591" s="53"/>
      <c r="E591" s="54"/>
      <c r="F591" s="55"/>
      <c r="G591" s="72"/>
      <c r="H591" s="73"/>
      <c r="I591" s="47"/>
      <c r="J591" s="57"/>
      <c r="K591" s="57"/>
      <c r="L591" s="55"/>
      <c r="M591" s="57"/>
    </row>
    <row r="592" spans="1:13" x14ac:dyDescent="0.35">
      <c r="A592" s="48"/>
      <c r="B592" s="48"/>
      <c r="C592" s="49"/>
      <c r="D592" s="50"/>
      <c r="E592" s="51" t="str">
        <f>IF(N(C592)=0,"",C592/PI()/($D$1/2)^2/$D$2*10000)</f>
        <v/>
      </c>
      <c r="F592" s="68" t="str">
        <f t="shared" ref="F592:F603" si="221">IF(N(E592)=0,"",(N(E592)+N(F591)))</f>
        <v/>
      </c>
      <c r="G592" s="69" t="str">
        <f>IF(OR(N(D592)=0,N(E592)=0),"",(E592*D592)/1000)</f>
        <v/>
      </c>
      <c r="H592" s="70" t="str">
        <f t="shared" ref="H592:H603" si="222">IF(N(G592)=0,"",(N(G592)+N(H591)))</f>
        <v/>
      </c>
      <c r="I592" s="27" t="str">
        <f>IF(N(J592)=0,"",0&amp;"-"&amp;B$4)</f>
        <v/>
      </c>
      <c r="J592" s="52" t="str">
        <f>IF(N(B$4)=0,"",IF(AND(COUNT(H592:H603)=2,COUNT(F592:F603)=2),cubic_spline(F591:F593,H591:H593,B$4),IF(AND(COUNT(H592:H603)=3,COUNT(F592:F603)=3),cubic_spline(F591:F594,H591:H594,B$4),IF(AND(COUNT(H592:H603)=4,COUNT(F592:F603)=4),cubic_spline(F591:F595,H591:H595,B$4),IF(AND(COUNT(H592:H603)=5,COUNT(F592:F603)=5),cubic_spline(F591:F596,H591:H596,B$4),IF(AND(COUNT(H592:H603)=6,COUNT(F592:F603)=6),cubic_spline(F591:F597,H591:H597,B$4),IF(AND(COUNT(H592:H603)=7,COUNT(F592:F603)=7),cubic_spline(F591:F598,H591:H598,B$4),IF(AND(COUNT(H592:H603)=8,COUNT(F592:F603)=8),cubic_spline(F591:F599,H591:H599,B$4),IF(AND(COUNT(H592:H603)=9,COUNT(F592:F603)=9),cubic_spline(F591:F600,H591:H600,B$4),IF(AND(COUNT(H592:H603)=10,COUNT(F592:F603)=10),cubic_spline(F591:F601,H591:H601,B$4),IF(AND(COUNT(H592:H603)=11,COUNT(F592:F603)=11),cubic_spline(F591:F602,H591:H602,B$4),IF(AND(COUNT(H592:H603)=12,COUNT(F592:F603)=12),cubic_spline(F591:F603,H591:H603,B$4),""))))))))))))</f>
        <v/>
      </c>
      <c r="K592" s="52" t="str">
        <f>IF(N(B$4)=0,"",IF(AND(COUNT(A592:A603)=2,COUNT(F592:F603)=2),cubic_spline(F591:F593,A591:A593,B$4),IF(AND(COUNT(A592:A603)=3,COUNT(F592:F603)=3),cubic_spline(F591:F594,A591:A594,B$4),IF(AND(COUNT(A592:A603)=4,COUNT(F592:F603)=4),cubic_spline(F591:F595,A591:A595,B$4),IF(AND(COUNT(A592:A603)=5,COUNT(F592:F603)=5),cubic_spline(F591:F596,A591:A596,B$4),IF(AND(COUNT(A592:A603)=6,COUNT(F592:F603)=6),cubic_spline(F591:F597,A591:A597,B$4),IF(AND(COUNT(A592:A603)=7,COUNT(F592:F603)=7),cubic_spline(F591:F598,A591:A598,B$4),IF(AND(COUNT(A592:A603)=8,COUNT(F592:F603)=8),cubic_spline(F591:F599,A591:A599,B$4),IF(AND(COUNT(A592:A603)=9,COUNT(F592:F603)=9),cubic_spline(F591:F600,A591:A600,B$4),IF(AND(COUNT(A592:A603)=10,COUNT(F592:F603)=10),cubic_spline(F591:F601,A591:A601,B$4),IF(AND(COUNT(A592:A603)=11,COUNT(F592:F603)=11),cubic_spline(F591:F602,A591:A602,B$4),IF(AND(COUNT(A592:A603)=12,COUNT(F592:F603)=12),cubic_spline(F591:F603,A591:A603,B$4),""))))))))))))</f>
        <v/>
      </c>
      <c r="L592" s="27" t="str">
        <f>IF(I592="","",0&amp;"-"&amp;B$4)</f>
        <v/>
      </c>
      <c r="M592" s="52" t="str">
        <f>IF(N(J592)=0,"",J592-J591)</f>
        <v/>
      </c>
    </row>
    <row r="593" spans="1:13" x14ac:dyDescent="0.35">
      <c r="A593" s="48"/>
      <c r="B593" s="48"/>
      <c r="C593" s="49"/>
      <c r="D593" s="50"/>
      <c r="E593" s="51" t="str">
        <f>IF(N(C593)=0,"",C593/PI()/($D$1/2)^2/$D$2*10000)</f>
        <v/>
      </c>
      <c r="F593" s="68" t="str">
        <f t="shared" si="221"/>
        <v/>
      </c>
      <c r="G593" s="69" t="str">
        <f t="shared" ref="G593:G603" si="223">IF(OR(N(D593)=0,N(E593)=0),"",(E593*D593)/1000)</f>
        <v/>
      </c>
      <c r="H593" s="70" t="str">
        <f t="shared" si="222"/>
        <v/>
      </c>
      <c r="I593" s="27" t="str">
        <f>IF(N(J593)=0,"",0&amp;"-"&amp;B$5)</f>
        <v/>
      </c>
      <c r="J593" s="52" t="str">
        <f>IF(N(B$5)=0,"",IF(AND(COUNT(H592:H603)=2,COUNT(F592:F603)=2),cubic_spline(F591:F593,H591:H593,B$5),IF(AND(COUNT(H592:H603)=3,COUNT(F592:F603)=3),cubic_spline(F591:F594,H591:H594,B$5),IF(AND(COUNT(H592:H603)=4,COUNT(F592:F603)=4),cubic_spline(F591:F595,H591:H595,B$5),IF(AND(COUNT(H592:H603)=5,COUNT(F592:F603)=5),cubic_spline(F591:F596,H591:H596,B$5),IF(AND(COUNT(H592:H603)=6,COUNT(F592:F603)=6),cubic_spline(F591:F597,H591:H597,B$5),IF(AND(COUNT(H592:H603)=7,COUNT(F592:F603)=7),cubic_spline(F591:F598,H591:H598,B$5),IF(AND(COUNT(H592:H603)=8,COUNT(F592:F603)=8),cubic_spline(F591:F599,H591:H599,B$5),IF(AND(COUNT(H592:H603)=9,COUNT(F592:F603)=9),cubic_spline(F591:F600,H591:H600,B$5),IF(AND(COUNT(H592:H603)=10,COUNT(F592:F603)=10),cubic_spline(F591:F601,H591:H601,B$5),IF(AND(COUNT(H592:H603)=11,COUNT(F592:F603)=11),cubic_spline(F591:F602,H591:H602,B$5),IF(AND(COUNT(H592:H603)=12,COUNT(F592:F603)=12),cubic_spline(F591:F603,H591:H603,B$5),""))))))))))))</f>
        <v/>
      </c>
      <c r="K593" s="52" t="str">
        <f>IF(N(B$5)=0,"",IF(AND(COUNT(A592:A603)=2,COUNT(F592:F603)=2),cubic_spline(F591:F593,A591:A593,B$5),IF(AND(COUNT(A592:A603)=3,COUNT(F592:F603)=3),cubic_spline(F591:F594,A591:A594,B$5),IF(AND(COUNT(A592:A603)=4,COUNT(F592:F603)=4),cubic_spline(F591:F595,A591:A595,B$5),IF(AND(COUNT(A592:A603)=5,COUNT(F592:F603)=5),cubic_spline(F591:F596,A591:A596,B$5),IF(AND(COUNT(A592:A603)=6,COUNT(F592:F603)=6),cubic_spline(F591:F597,A591:A597,B$5),IF(AND(COUNT(A592:A603)=7,COUNT(F592:F603)=7),cubic_spline(F591:F598,A591:A598,B$5),IF(AND(COUNT(A592:A603)=8,COUNT(F592:F603)=8),cubic_spline(F591:F599,A591:A599,B$5),IF(AND(COUNT(A592:A603)=9,COUNT(F592:F603)=9),cubic_spline(F591:F600,A591:A600,B$5),IF(AND(COUNT(A592:A603)=10,COUNT(F592:F603)=10),cubic_spline(F591:F601,A591:A601,B$5),IF(AND(COUNT(A592:A603)=11,COUNT(F592:F603)=11),cubic_spline(F591:F602,A591:A602,B$5),IF(AND(COUNT(A592:A603)=12,COUNT(F592:F603)=12),cubic_spline(F591:F603,A591:A603,B$5),""))))))))))))</f>
        <v/>
      </c>
      <c r="L593" s="27" t="str">
        <f>IF(I593="","",B$4&amp;"-"&amp;B$5)</f>
        <v/>
      </c>
      <c r="M593" s="52" t="str">
        <f>IF(N(J593)=0,"",J593-J592)</f>
        <v/>
      </c>
    </row>
    <row r="594" spans="1:13" x14ac:dyDescent="0.35">
      <c r="A594" s="48"/>
      <c r="B594" s="48"/>
      <c r="C594" s="49"/>
      <c r="D594" s="50"/>
      <c r="E594" s="51" t="str">
        <f>IF(N(C594)=0,"",C594/PI()/($D$1/2)^2/$D$2*10000)</f>
        <v/>
      </c>
      <c r="F594" s="68" t="str">
        <f t="shared" si="221"/>
        <v/>
      </c>
      <c r="G594" s="69" t="str">
        <f t="shared" si="223"/>
        <v/>
      </c>
      <c r="H594" s="70" t="str">
        <f t="shared" si="222"/>
        <v/>
      </c>
      <c r="I594" s="27" t="str">
        <f>IF(N(J594)=0,"",0&amp;"-"&amp;B$6)</f>
        <v/>
      </c>
      <c r="J594" s="52" t="str">
        <f>IF(N(B$6)=0,"",IF(AND(COUNT(H592:H603)=2,COUNT(F592:F603)=2),cubic_spline(F591:F593,H591:H593,B$6),IF(AND(COUNT(H592:H603)=3,COUNT(F592:F603)=3),cubic_spline(F591:F594,H591:H594,B$6),IF(AND(COUNT(H592:H603)=4,COUNT(F592:F603)=4),cubic_spline(F591:F595,H591:H595,B$6),IF(AND(COUNT(H592:H603)=5,COUNT(F592:F603)=5),cubic_spline(F591:F596,H591:H596,B$6),IF(AND(COUNT(H592:H603)=6,COUNT(F592:F603)=6),cubic_spline(F591:F597,H591:H597,B$6),IF(AND(COUNT(H592:H603)=7,COUNT(F592:F603)=7),cubic_spline(F591:F598,H591:H598,B$6),IF(AND(COUNT(H592:H603)=8,COUNT(F592:F603)=8),cubic_spline(F591:F599,H591:H599,B$6),IF(AND(COUNT(H592:H603)=9,COUNT(F592:F603)=9),cubic_spline(F591:F600,H591:H600,B$6),IF(AND(COUNT(H592:H603)=10,COUNT(F592:F603)=10),cubic_spline(F591:F601,H591:H601,B$6),IF(AND(COUNT(H592:H603)=11,COUNT(F592:F603)=11),cubic_spline(F591:F602,H591:H602,B$6),IF(AND(COUNT(H592:H603)=12,COUNT(F592:F603)=12),cubic_spline(F591:F603,H591:H603,B$6),""))))))))))))</f>
        <v/>
      </c>
      <c r="K594" s="52" t="str">
        <f>IF(N(B$6)=0,"",IF(AND(COUNT(A592:A603)=2,COUNT(F592:F603)=2),cubic_spline(F591:F593,A591:A593,B$6),IF(AND(COUNT(A592:A603)=3,COUNT(F592:F603)=3),cubic_spline(F591:F594,A591:A594,B$6),IF(AND(COUNT(A592:A603)=4,COUNT(F592:F603)=4),cubic_spline(F591:F595,A591:A595,B$6),IF(AND(COUNT(A592:A603)=5,COUNT(F592:F603)=5),cubic_spline(F591:F596,A591:A596,B$6),IF(AND(COUNT(A592:A603)=6,COUNT(F592:F603)=6),cubic_spline(F591:F597,A591:A597,B$6),IF(AND(COUNT(A592:A603)=7,COUNT(F592:F603)=7),cubic_spline(F591:F598,A591:A598,B$6),IF(AND(COUNT(A592:A603)=8,COUNT(F592:F603)=8),cubic_spline(F591:F599,A591:A599,B$6),IF(AND(COUNT(A592:A603)=9,COUNT(F592:F603)=9),cubic_spline(F591:F600,A591:A600,B$6),IF(AND(COUNT(A592:A603)=10,COUNT(F592:F603)=10),cubic_spline(F591:F601,A591:A601,B$6),IF(AND(COUNT(A592:A603)=11,COUNT(F592:F603)=11),cubic_spline(F591:F602,A591:A602,B$6),IF(AND(COUNT(A592:A603)=12,COUNT(F592:F603)=12),cubic_spline(F591:F603,A591:A603,B$6),""))))))))))))</f>
        <v/>
      </c>
      <c r="L594" s="27" t="str">
        <f>IF(I594="","",B$5&amp;"-"&amp;B$6)</f>
        <v/>
      </c>
      <c r="M594" s="52" t="str">
        <f>IF(N(J594)=0,"",J594-J593)</f>
        <v/>
      </c>
    </row>
    <row r="595" spans="1:13" x14ac:dyDescent="0.35">
      <c r="A595" s="48"/>
      <c r="B595" s="48"/>
      <c r="C595" s="49"/>
      <c r="D595" s="50"/>
      <c r="E595" s="51" t="str">
        <f>IF(N(C595)=0,"",C595/PI()/($D$1/2)^2/$D$2*10000)</f>
        <v/>
      </c>
      <c r="F595" s="68" t="str">
        <f t="shared" si="221"/>
        <v/>
      </c>
      <c r="G595" s="69" t="str">
        <f t="shared" si="223"/>
        <v/>
      </c>
      <c r="H595" s="70" t="str">
        <f t="shared" si="222"/>
        <v/>
      </c>
      <c r="I595" s="27" t="str">
        <f>IF(N(J595)=0,"",0&amp;"-"&amp;B$7)</f>
        <v/>
      </c>
      <c r="J595" s="52" t="str">
        <f>IF(N(B$7)=0,"",IF(AND(COUNT(H592:H603)=2,COUNT(F592:F603)=2),cubic_spline(F591:F593,H591:H593,B$7),IF(AND(COUNT(H592:H603)=3,COUNT(F592:F603)=3),cubic_spline(F591:F594,H591:H594,B$7),IF(AND(COUNT(H592:H603)=4,COUNT(F592:F603)=4),cubic_spline(F591:F595,H591:H595,B$7),IF(AND(COUNT(H592:H603)=5,COUNT(F592:F603)=5),cubic_spline(F591:F596,H591:H596,B$7),IF(AND(COUNT(H592:H603)=6,COUNT(F592:F603)=6),cubic_spline(F591:F597,H591:H597,B$7),IF(AND(COUNT(H592:H603)=7,COUNT(F592:F603)=7),cubic_spline(F591:F598,H591:H598,B$7),IF(AND(COUNT(H592:H603)=8,COUNT(F592:F603)=8),cubic_spline(F591:F599,H591:H599,B$7),IF(AND(COUNT(H592:H603)=9,COUNT(F592:F603)=9),cubic_spline(F591:F600,H591:H600,B$7),IF(AND(COUNT(H592:H603)=10,COUNT(F592:F603)=10),cubic_spline(F591:F601,H591:H601,B$7),IF(AND(COUNT(H592:H603)=11,COUNT(F592:F603)=11),cubic_spline(F591:F602,H591:H602,B$7),IF(AND(COUNT(H592:H603)=12,COUNT(F592:F603)=12),cubic_spline(F591:F603,H591:H603,B$7),""))))))))))))</f>
        <v/>
      </c>
      <c r="K595" s="52" t="str">
        <f>IF(N(B$7)=0,"",IF(AND(COUNT(A592:A603)=2,COUNT(F592:F603)=2),cubic_spline(F591:F593,A591:A593,B$7),IF(AND(COUNT(A592:A603)=3,COUNT(F592:F603)=3),cubic_spline(F591:F594,A591:A594,B$7),IF(AND(COUNT(A592:A603)=4,COUNT(F592:F603)=4),cubic_spline(F591:F595,A591:A595,B$7),IF(AND(COUNT(A592:A603)=5,COUNT(F592:F603)=5),cubic_spline(F591:F596,A591:A596,B$7),IF(AND(COUNT(A592:A603)=6,COUNT(F592:F603)=6),cubic_spline(F591:F597,A591:A597,B$7),IF(AND(COUNT(A592:A603)=7,COUNT(F592:F603)=7),cubic_spline(F591:F598,A591:A598,B$7),IF(AND(COUNT(A592:A603)=8,COUNT(F592:F603)=8),cubic_spline(F591:F599,A591:A599,B$7),IF(AND(COUNT(A592:A603)=9,COUNT(F592:F603)=9),cubic_spline(F591:F600,A591:A600,B$7),IF(AND(COUNT(A592:A603)=10,COUNT(F592:F603)=10),cubic_spline(F591:F601,A591:A601,B$7),IF(AND(COUNT(A592:A603)=11,COUNT(F592:F603)=11),cubic_spline(F591:F602,A591:A602,B$7),IF(AND(COUNT(A592:A603)=12,COUNT(F592:F603)=12),cubic_spline(F591:F603,A591:A603,B$7),""))))))))))))</f>
        <v/>
      </c>
      <c r="L595" s="27" t="str">
        <f>IF(I595="","",B$6&amp;"-"&amp;B$7)</f>
        <v/>
      </c>
      <c r="M595" s="52" t="str">
        <f>IF(N(J595)=0,"",J595-J594)</f>
        <v/>
      </c>
    </row>
    <row r="596" spans="1:13" x14ac:dyDescent="0.35">
      <c r="A596" s="48"/>
      <c r="B596" s="48"/>
      <c r="C596" s="49"/>
      <c r="D596" s="50"/>
      <c r="E596" s="51" t="str">
        <f t="shared" ref="E596:E603" si="224">IF(N(C596)=0,"",C596/PI()/($D$1/2)^2/$D$2*10000)</f>
        <v/>
      </c>
      <c r="F596" s="71" t="str">
        <f t="shared" si="221"/>
        <v/>
      </c>
      <c r="G596" s="69" t="str">
        <f t="shared" si="223"/>
        <v/>
      </c>
      <c r="H596" s="70" t="str">
        <f t="shared" si="222"/>
        <v/>
      </c>
      <c r="I596" s="27" t="str">
        <f>IF(N(J596)=0,"",0&amp;"-"&amp;B$8)</f>
        <v/>
      </c>
      <c r="J596" s="52" t="str">
        <f>IF(N(B$8)=0,"",IF(AND(COUNT(H592:H603)=2,COUNT(F592:F603)=2),cubic_spline(F591:F593,H591:H593,B$8),IF(AND(COUNT(H592:H603)=3,COUNT(F592:F603)=3),cubic_spline(F591:F594,H591:H594,B$8),IF(AND(COUNT(H592:H603)=4,COUNT(F592:F603)=4),cubic_spline(F591:F595,H591:H595,B$8),IF(AND(COUNT(H592:H603)=5,COUNT(F592:F603)=5),cubic_spline(F591:F596,H591:H596,B$8),IF(AND(COUNT(H592:H603)=6,COUNT(F592:F603)=6),cubic_spline(F591:F597,H591:H597,B$8),IF(AND(COUNT(H592:H603)=7,COUNT(F592:F603)=7),cubic_spline(F591:F598,H591:H598,B$8),IF(AND(COUNT(H592:H603)=8,COUNT(F592:F603)=8),cubic_spline(F591:F599,H591:H599,B$8),IF(AND(COUNT(H592:H603)=9,COUNT(F592:F603)=9),cubic_spline(F591:F600,H591:H600,B$8),IF(AND(COUNT(H592:H603)=10,COUNT(F592:F603)=10),cubic_spline(F591:F601,H591:H601,B$8),IF(AND(COUNT(H592:H603)=11,COUNT(F592:F603)=11),cubic_spline(F591:F602,H591:H602,B$8),IF(AND(COUNT(H592:H603)=12,COUNT(F592:F603)=12),cubic_spline(F591:F603,H591:H603,B$8),""))))))))))))</f>
        <v/>
      </c>
      <c r="K596" s="52" t="str">
        <f>IF(N(B$8)=0,"",IF(AND(COUNT(A592:A603)=2,COUNT(F592:F603)=2),cubic_spline(F591:F593,A591:A593,B$8),IF(AND(COUNT(A592:A603)=3,COUNT(F592:F603)=3),cubic_spline(F591:F594,A591:A594,B$8),IF(AND(COUNT(A592:A603)=4,COUNT(F592:F603)=4),cubic_spline(F591:F595,A591:A595,B$8),IF(AND(COUNT(A592:A603)=5,COUNT(F592:F603)=5),cubic_spline(F591:F596,A591:A596,B$8),IF(AND(COUNT(A592:A603)=6,COUNT(F592:F603)=6),cubic_spline(F591:F597,A591:A597,B$8),IF(AND(COUNT(A592:A603)=7,COUNT(F592:F603)=7),cubic_spline(F591:F598,A591:A598,B$8),IF(AND(COUNT(A592:A603)=8,COUNT(F592:F603)=8),cubic_spline(F591:F599,A591:A599,B$8),IF(AND(COUNT(A592:A603)=9,COUNT(F592:F603)=9),cubic_spline(F591:F600,A591:A600,B$8),IF(AND(COUNT(A592:A603)=10,COUNT(F592:F603)=10),cubic_spline(F591:F601,A591:A601,B$8),IF(AND(COUNT(A592:A603)=11,COUNT(F592:F603)=11),cubic_spline(F591:F602,A591:A602,B$8),IF(AND(COUNT(A592:A603)=12,COUNT(F592:F603)=12),cubic_spline(F591:F603,A591:A603,B$8),""))))))))))))</f>
        <v/>
      </c>
      <c r="L596" s="27" t="str">
        <f>IF(I596="","",B$7&amp;"-"&amp;B$8)</f>
        <v/>
      </c>
      <c r="M596" s="52" t="str">
        <f>IF(N(J596)=0,"",J596-J595)</f>
        <v/>
      </c>
    </row>
    <row r="597" spans="1:13" x14ac:dyDescent="0.35">
      <c r="A597" s="48"/>
      <c r="B597" s="48"/>
      <c r="C597" s="49"/>
      <c r="D597" s="50"/>
      <c r="E597" s="51" t="str">
        <f t="shared" si="224"/>
        <v/>
      </c>
      <c r="F597" s="71" t="str">
        <f t="shared" si="221"/>
        <v/>
      </c>
      <c r="G597" s="69" t="str">
        <f t="shared" si="223"/>
        <v/>
      </c>
      <c r="H597" s="70" t="str">
        <f t="shared" si="222"/>
        <v/>
      </c>
      <c r="I597" s="27" t="str">
        <f>IF(N(J597)=0,"",0&amp;"-"&amp;B$9)</f>
        <v/>
      </c>
      <c r="J597" s="52" t="str">
        <f>IF(N(B$9)=0,"",IF(AND(COUNT(H592:H603)=2,COUNT(F592:F603)=2),cubic_spline(F591:F593,H591:H593,B$9),IF(AND(COUNT(H592:H603)=3,COUNT(F592:F603)=3),cubic_spline(F591:F594,H591:H594,B$9),IF(AND(COUNT(H592:H603)=4,COUNT(F592:F603)=4),cubic_spline(F591:F595,H591:H595,B$9),IF(AND(COUNT(H592:H603)=5,COUNT(F592:F603)=5),cubic_spline(F591:F596,H591:H596,B$9),IF(AND(COUNT(H592:H603)=6,COUNT(F592:F603)=6),cubic_spline(F591:F597,H591:H597,B$9),IF(AND(COUNT(H592:H603)=7,COUNT(F592:F603)=7),cubic_spline(F591:F598,H591:H598,B$9),IF(AND(COUNT(H592:H603)=8,COUNT(F592:F603)=8),cubic_spline(F591:F599,H591:H599,B$9),IF(AND(COUNT(H592:H603)=9,COUNT(F592:F603)=9),cubic_spline(F591:F600,H591:H600,B$9),IF(AND(COUNT(H592:H603)=10,COUNT(F592:F603)=10),cubic_spline(F591:F601,H591:H601,B$9),IF(AND(COUNT(H592:H603)=11,COUNT(F592:F603)=11),cubic_spline(F591:F602,H591:H602,B$9),IF(AND(COUNT(H592:H603)=12,COUNT(F592:F603)=12),cubic_spline(F591:F603,H591:H603,B$9),""))))))))))))</f>
        <v/>
      </c>
      <c r="K597" s="52" t="str">
        <f>IF(N(B$9)=0,"",IF(AND(COUNT(A592:A603)=2,COUNT(F592:F603)=2),cubic_spline(F591:F593,A591:A593,B$9),IF(AND(COUNT(A592:A603)=3,COUNT(F592:F603)=3),cubic_spline(F591:F594,A591:A594,B$9),IF(AND(COUNT(A592:A603)=4,COUNT(F592:F603)=4),cubic_spline(F591:F595,A591:A595,B$9),IF(AND(COUNT(A592:A603)=5,COUNT(F592:F603)=5),cubic_spline(F591:F596,A591:A596,B$9),IF(AND(COUNT(A592:A603)=6,COUNT(F592:F603)=6),cubic_spline(F591:F597,A591:A597,B$9),IF(AND(COUNT(A592:A603)=7,COUNT(F592:F603)=7),cubic_spline(F591:F598,A591:A598,B$9),IF(AND(COUNT(A592:A603)=8,COUNT(F592:F603)=8),cubic_spline(F591:F599,A591:A599,B$9),IF(AND(COUNT(A592:A603)=9,COUNT(F592:F603)=9),cubic_spline(F591:F600,A591:A600,B$9),IF(AND(COUNT(A592:A603)=10,COUNT(F592:F603)=10),cubic_spline(F591:F601,A591:A601,B$9),IF(AND(COUNT(A592:A603)=11,COUNT(F592:F603)=11),cubic_spline(F591:F602,A591:A602,B$9),IF(AND(COUNT(A592:A603)=12,COUNT(F592:F603)=12),cubic_spline(F591:F603,A591:A603,B$9),""))))))))))))</f>
        <v/>
      </c>
      <c r="L597" s="27" t="str">
        <f>IF(I597="","",B$8&amp;"-"&amp;B$9)</f>
        <v/>
      </c>
      <c r="M597" s="52" t="str">
        <f t="shared" ref="M597:M603" si="225">IF(N(J597)=0,"",J597-J596)</f>
        <v/>
      </c>
    </row>
    <row r="598" spans="1:13" x14ac:dyDescent="0.35">
      <c r="A598" s="48"/>
      <c r="B598" s="48"/>
      <c r="C598" s="49"/>
      <c r="D598" s="50"/>
      <c r="E598" s="51" t="str">
        <f t="shared" si="224"/>
        <v/>
      </c>
      <c r="F598" s="71" t="str">
        <f t="shared" si="221"/>
        <v/>
      </c>
      <c r="G598" s="69" t="str">
        <f t="shared" si="223"/>
        <v/>
      </c>
      <c r="H598" s="70" t="str">
        <f t="shared" si="222"/>
        <v/>
      </c>
      <c r="I598" s="27" t="str">
        <f>IF(N(J598)=0,"",0&amp;"-"&amp;B$10)</f>
        <v/>
      </c>
      <c r="J598" s="52" t="str">
        <f>IF(N(B$10)=0,"",IF(AND(COUNT(H592:H603)=2,COUNT(F592:F603)=2),cubic_spline(F591:F593,H591:H593,B$10),IF(AND(COUNT(H592:H603)=3,COUNT(F592:F603)=3),cubic_spline(F591:F594,H591:H594,B$10),IF(AND(COUNT(H592:H603)=4,COUNT(F592:F603)=4),cubic_spline(F591:F595,H591:H595,B$10),IF(AND(COUNT(H592:H603)=5,COUNT(F592:F603)=5),cubic_spline(F591:F596,H591:H596,B$10),IF(AND(COUNT(H592:H603)=6,COUNT(F592:F603)=6),cubic_spline(F591:F597,H591:H597,B$10),IF(AND(COUNT(H592:H603)=7,COUNT(F592:F603)=7),cubic_spline(F591:F598,H591:H598,B$10),IF(AND(COUNT(H592:H603)=8,COUNT(F592:F603)=8),cubic_spline(F591:F599,H591:H599,B$10),IF(AND(COUNT(H592:H603)=9,COUNT(F592:F603)=9),cubic_spline(F591:F600,H591:H600,B$10),IF(AND(COUNT(H592:H603)=10,COUNT(F592:F603)=10),cubic_spline(F591:F601,H591:H601,B$10),IF(AND(COUNT(H592:H603)=11,COUNT(F592:F603)=11),cubic_spline(F591:F602,H591:H602,B$10),IF(AND(COUNT(H592:H603)=12,COUNT(F592:F603)=12),cubic_spline(F591:F603,H591:H603,B$10),""))))))))))))</f>
        <v/>
      </c>
      <c r="K598" s="52" t="str">
        <f>IF(N(B$10)=0,"",IF(AND(COUNT(A592:A603)=2,COUNT(F592:F603)=2),cubic_spline(F591:F593,A591:A593,B$10),IF(AND(COUNT(A592:A603)=3,COUNT(F592:F603)=3),cubic_spline(F591:F594,A591:A594,B$10),IF(AND(COUNT(A592:A603)=4,COUNT(F592:F603)=4),cubic_spline(F591:F595,A591:A595,B$10),IF(AND(COUNT(A592:A603)=5,COUNT(F592:F603)=5),cubic_spline(F591:F596,A591:A596,B$10),IF(AND(COUNT(A592:A603)=6,COUNT(F592:F603)=6),cubic_spline(F591:F597,A591:A597,B$10),IF(AND(COUNT(A592:A603)=7,COUNT(F592:F603)=7),cubic_spline(F591:F598,A591:A598,B$10),IF(AND(COUNT(A592:A603)=8,COUNT(F592:F603)=8),cubic_spline(F591:F599,A591:A599,B$10),IF(AND(COUNT(A592:A603)=9,COUNT(F592:F603)=9),cubic_spline(F591:F600,A591:A600,B$10),IF(AND(COUNT(A592:A603)=10,COUNT(F592:F603)=10),cubic_spline(F591:F601,A591:A601,B$10),IF(AND(COUNT(A592:A603)=11,COUNT(F592:F603)=11),cubic_spline(F591:F602,A591:A602,B$10),IF(AND(COUNT(A592:A603)=12,COUNT(F592:F603)=12),cubic_spline(F591:F603,A591:A603,B$10),""))))))))))))</f>
        <v/>
      </c>
      <c r="L598" s="27" t="str">
        <f>IF(I598="","",B$9&amp;"-"&amp;B$10)</f>
        <v/>
      </c>
      <c r="M598" s="52" t="str">
        <f t="shared" si="225"/>
        <v/>
      </c>
    </row>
    <row r="599" spans="1:13" x14ac:dyDescent="0.35">
      <c r="A599" s="48"/>
      <c r="B599" s="48"/>
      <c r="C599" s="49"/>
      <c r="D599" s="50"/>
      <c r="E599" s="51" t="str">
        <f t="shared" si="224"/>
        <v/>
      </c>
      <c r="F599" s="71" t="str">
        <f t="shared" si="221"/>
        <v/>
      </c>
      <c r="G599" s="69" t="str">
        <f t="shared" si="223"/>
        <v/>
      </c>
      <c r="H599" s="70" t="str">
        <f t="shared" si="222"/>
        <v/>
      </c>
      <c r="I599" s="27" t="str">
        <f>IF(N(J599)=0,"",0&amp;"-"&amp;B$11)</f>
        <v/>
      </c>
      <c r="J599" s="52" t="str">
        <f>IF(N(B$11)=0,"",IF(AND(COUNT(H592:H603)=2,COUNT(F592:F603)=2),cubic_spline(F591:F593,H591:H593,B$11),IF(AND(COUNT(H592:H603)=3,COUNT(F592:F603)=3),cubic_spline(F591:F594,H591:H594,B$11),IF(AND(COUNT(H592:H603)=4,COUNT(F592:F603)=4),cubic_spline(F591:F595,H591:H595,B$11),IF(AND(COUNT(H592:H603)=5,COUNT(F592:F603)=5),cubic_spline(F591:F596,H591:H596,B$11),IF(AND(COUNT(H592:H603)=6,COUNT(F592:F603)=6),cubic_spline(F591:F597,H591:H597,B$11),IF(AND(COUNT(H592:H603)=7,COUNT(F592:F603)=7),cubic_spline(F591:F598,H591:H598,B$11),IF(AND(COUNT(H592:H603)=8,COUNT(F592:F603)=8),cubic_spline(F591:F599,H591:H599,B$11),IF(AND(COUNT(H592:H603)=9,COUNT(F592:F603)=9),cubic_spline(F591:F600,H591:H600,B$11),IF(AND(COUNT(H592:H603)=10,COUNT(F592:F603)=10),cubic_spline(F591:F601,H591:H601,B$11),IF(AND(COUNT(H592:H603)=11,COUNT(F592:F603)=11),cubic_spline(F591:F602,H591:H602,B$11),IF(AND(COUNT(H592:H603)=12,COUNT(F592:F603)=12),cubic_spline(F591:F603,H591:H603,B$11),""))))))))))))</f>
        <v/>
      </c>
      <c r="K599" s="52" t="str">
        <f>IF(N(B$11)=0,"",IF(AND(COUNT(A592:A603)=2,COUNT(F592:F603)=2),cubic_spline(F591:F593,A591:A593,B$11),IF(AND(COUNT(A592:A603)=3,COUNT(F592:F603)=3),cubic_spline(F591:F594,A591:A594,B$11),IF(AND(COUNT(A592:A603)=4,COUNT(F592:F603)=4),cubic_spline(F591:F595,A591:A595,B$11),IF(AND(COUNT(A592:A603)=5,COUNT(F592:F603)=5),cubic_spline(F591:F596,A591:A596,B$11),IF(AND(COUNT(A592:A603)=6,COUNT(F592:F603)=6),cubic_spline(F591:F597,A591:A597,B$11),IF(AND(COUNT(A592:A603)=7,COUNT(F592:F603)=7),cubic_spline(F591:F598,A591:A598,B$11),IF(AND(COUNT(A592:A603)=8,COUNT(F592:F603)=8),cubic_spline(F591:F599,A591:A599,B$11),IF(AND(COUNT(A592:A603)=9,COUNT(F592:F603)=9),cubic_spline(F591:F600,A591:A600,B$11),IF(AND(COUNT(A592:A603)=10,COUNT(F592:F603)=10),cubic_spline(F591:F601,A591:A601,B$11),IF(AND(COUNT(A592:A603)=11,COUNT(F592:F603)=11),cubic_spline(F591:F602,A591:A602,B$11),IF(AND(COUNT(A592:A603)=12,COUNT(F592:F603)=12),cubic_spline(F591:F603,A591:A603,B$11),""))))))))))))</f>
        <v/>
      </c>
      <c r="L599" s="27" t="str">
        <f>IF(I599="","",B$10&amp;"-"&amp;B$11)</f>
        <v/>
      </c>
      <c r="M599" s="52" t="str">
        <f t="shared" si="225"/>
        <v/>
      </c>
    </row>
    <row r="600" spans="1:13" x14ac:dyDescent="0.35">
      <c r="A600" s="48"/>
      <c r="B600" s="48"/>
      <c r="C600" s="49"/>
      <c r="D600" s="50"/>
      <c r="E600" s="51" t="str">
        <f t="shared" si="224"/>
        <v/>
      </c>
      <c r="F600" s="71" t="str">
        <f t="shared" si="221"/>
        <v/>
      </c>
      <c r="G600" s="69" t="str">
        <f t="shared" si="223"/>
        <v/>
      </c>
      <c r="H600" s="70" t="str">
        <f t="shared" si="222"/>
        <v/>
      </c>
      <c r="I600" s="27" t="str">
        <f>IF(N(J600)=0,"",0&amp;"-"&amp;B$12)</f>
        <v/>
      </c>
      <c r="J600" s="52" t="str">
        <f>IF(N(B$12)=0,"",IF(AND(COUNT(H592:H603)=2,COUNT(F592:F603)=2),cubic_spline(F591:F593,H591:H593,B$12),IF(AND(COUNT(H592:H603)=3,COUNT(F592:F603)=3),cubic_spline(F591:F594,H591:H594,B$12),IF(AND(COUNT(H592:H603)=4,COUNT(F592:F603)=4),cubic_spline(F591:F595,H591:H595,B$12),IF(AND(COUNT(H592:H603)=5,COUNT(F592:F603)=5),cubic_spline(F591:F596,H591:H596,B$12),IF(AND(COUNT(H592:H603)=6,COUNT(F592:F603)=6),cubic_spline(F591:F597,H591:H597,B$12),IF(AND(COUNT(H592:H603)=7,COUNT(F592:F603)=7),cubic_spline(F591:F598,H591:H598,B$12),IF(AND(COUNT(H592:H603)=8,COUNT(F592:F603)=8),cubic_spline(F591:F599,H591:H599,B$12),IF(AND(COUNT(H592:H603)=9,COUNT(F592:F603)=9),cubic_spline(F591:F600,H591:H600,B$12),IF(AND(COUNT(H592:H603)=10,COUNT(F592:F603)=10),cubic_spline(F591:F601,H591:H601,B$12),IF(AND(COUNT(H592:H603)=11,COUNT(F592:F603)=11),cubic_spline(F591:F602,H591:H602,B$12),IF(AND(COUNT(H592:H603)=12,COUNT(F592:F603)=12),cubic_spline(F591:F603,H591:H603,B$12),""))))))))))))</f>
        <v/>
      </c>
      <c r="K600" s="52" t="str">
        <f>IF(N(B$12)=0,"",IF(AND(COUNT(A592:A603)=2,COUNT(F592:F603)=2),cubic_spline(F591:F593,A591:A593,B$12),IF(AND(COUNT(A592:A603)=3,COUNT(F592:F603)=3),cubic_spline(F591:F594,A591:A594,B$12),IF(AND(COUNT(A592:A603)=4,COUNT(F592:F603)=4),cubic_spline(F591:F595,A591:A595,B$12),IF(AND(COUNT(A592:A603)=5,COUNT(F592:F603)=5),cubic_spline(F591:F596,A591:A596,B$12),IF(AND(COUNT(A592:A603)=6,COUNT(F592:F603)=6),cubic_spline(F591:F597,A591:A597,B$12),IF(AND(COUNT(A592:A603)=7,COUNT(F592:F603)=7),cubic_spline(F591:F598,A591:A598,B$12),IF(AND(COUNT(A592:A603)=8,COUNT(F592:F603)=8),cubic_spline(F591:F599,A591:A599,B$12),IF(AND(COUNT(A592:A603)=9,COUNT(F592:F603)=9),cubic_spline(F591:F600,A591:A600,B$12),IF(AND(COUNT(A592:A603)=10,COUNT(F592:F603)=10),cubic_spline(F591:F601,A591:A601,B$12),IF(AND(COUNT(A592:A603)=11,COUNT(F592:F603)=11),cubic_spline(F591:F602,A591:A602,B$12),IF(AND(COUNT(A592:A603)=12,COUNT(F592:F603)=12),cubic_spline(F591:F603,A591:A603,B$12),""))))))))))))</f>
        <v/>
      </c>
      <c r="L600" s="27" t="str">
        <f>IF(I600="","",B$11&amp;"-"&amp;B$12)</f>
        <v/>
      </c>
      <c r="M600" s="52" t="str">
        <f t="shared" si="225"/>
        <v/>
      </c>
    </row>
    <row r="601" spans="1:13" x14ac:dyDescent="0.35">
      <c r="A601" s="48"/>
      <c r="B601" s="48"/>
      <c r="C601" s="49"/>
      <c r="D601" s="50"/>
      <c r="E601" s="51" t="str">
        <f t="shared" si="224"/>
        <v/>
      </c>
      <c r="F601" s="71" t="str">
        <f t="shared" si="221"/>
        <v/>
      </c>
      <c r="G601" s="69" t="str">
        <f t="shared" si="223"/>
        <v/>
      </c>
      <c r="H601" s="70" t="str">
        <f t="shared" si="222"/>
        <v/>
      </c>
      <c r="I601" s="27" t="str">
        <f>IF(N(J601)=0,"",0&amp;"-"&amp;B$13)</f>
        <v/>
      </c>
      <c r="J601" s="52" t="str">
        <f>IF(N(B$13)=0,"",IF(AND(COUNT(H592:H603)=2,COUNT(F592:F603)=2),cubic_spline(F591:F593,H591:H593,B$13),IF(AND(COUNT(H592:H603)=3,COUNT(F592:F603)=3),cubic_spline(F591:F594,H591:H594,B$13),IF(AND(COUNT(H592:H603)=4,COUNT(F592:F603)=4),cubic_spline(F591:F595,H591:H595,B$13),IF(AND(COUNT(H592:H603)=5,COUNT(F592:F603)=5),cubic_spline(F591:F596,H591:H596,B$13),IF(AND(COUNT(H592:H603)=6,COUNT(F592:F603)=6),cubic_spline(F591:F597,H591:H597,B$13),IF(AND(COUNT(H592:H603)=7,COUNT(F592:F603)=7),cubic_spline(F591:F598,H591:H598,B$13),IF(AND(COUNT(H592:H603)=8,COUNT(F592:F603)=8),cubic_spline(F591:F599,H591:H599,B$13),IF(AND(COUNT(H592:H603)=9,COUNT(F592:F603)=9),cubic_spline(F591:F600,H591:H600,B$13),IF(AND(COUNT(H592:H603)=10,COUNT(F592:F603)=10),cubic_spline(F591:F601,H591:H601,B$13),IF(AND(COUNT(H592:H603)=11,COUNT(F592:F603)=11),cubic_spline(F591:F602,H591:H602,B$13),IF(AND(COUNT(H592:H603)=12,COUNT(F592:F603)=12),cubic_spline(F591:F603,H591:H603,B$13),""))))))))))))</f>
        <v/>
      </c>
      <c r="K601" s="52" t="str">
        <f>IF(N(B$13)=0,"",IF(AND(COUNT(A592:A603)=2,COUNT(F592:F603)=2),cubic_spline(F591:F593,A591:A593,B$13),IF(AND(COUNT(A592:A603)=3,COUNT(F592:F603)=3),cubic_spline(F591:F594,A591:A594,B$13),IF(AND(COUNT(A592:A603)=4,COUNT(F592:F603)=4),cubic_spline(F591:F595,A591:A595,B$13),IF(AND(COUNT(A592:A603)=5,COUNT(F592:F603)=5),cubic_spline(F591:F596,A591:A596,B$13),IF(AND(COUNT(A592:A603)=6,COUNT(F592:F603)=6),cubic_spline(F591:F597,A591:A597,B$13),IF(AND(COUNT(A592:A603)=7,COUNT(F592:F603)=7),cubic_spline(F591:F598,A591:A598,B$13),IF(AND(COUNT(A592:A603)=8,COUNT(F592:F603)=8),cubic_spline(F591:F599,A591:A599,B$13),IF(AND(COUNT(A592:A603)=9,COUNT(F592:F603)=9),cubic_spline(F591:F600,A591:A600,B$13),IF(AND(COUNT(A592:A603)=10,COUNT(F592:F603)=10),cubic_spline(F591:F601,A591:A601,B$13),IF(AND(COUNT(A592:A603)=11,COUNT(F592:F603)=11),cubic_spline(F591:F602,A591:A602,B$13),IF(AND(COUNT(A592:A603)=12,COUNT(F592:F603)=12),cubic_spline(F591:F603,A591:A603,B$13),""))))))))))))</f>
        <v/>
      </c>
      <c r="L601" s="27" t="str">
        <f>IF(I601="","",B$12&amp;"-"&amp;B$13)</f>
        <v/>
      </c>
      <c r="M601" s="52" t="str">
        <f t="shared" si="225"/>
        <v/>
      </c>
    </row>
    <row r="602" spans="1:13" x14ac:dyDescent="0.35">
      <c r="A602" s="48"/>
      <c r="B602" s="48"/>
      <c r="C602" s="49"/>
      <c r="D602" s="50"/>
      <c r="E602" s="51" t="str">
        <f t="shared" si="224"/>
        <v/>
      </c>
      <c r="F602" s="71" t="str">
        <f t="shared" si="221"/>
        <v/>
      </c>
      <c r="G602" s="69" t="str">
        <f t="shared" si="223"/>
        <v/>
      </c>
      <c r="H602" s="70" t="str">
        <f t="shared" si="222"/>
        <v/>
      </c>
      <c r="I602" s="27" t="str">
        <f>IF(N(J602)=0,"",0&amp;"-"&amp;B$14)</f>
        <v/>
      </c>
      <c r="J602" s="52" t="str">
        <f>IF(N(B$14)=0,"",IF(AND(COUNT(H592:H603)=2,COUNT(F592:F603)=2),cubic_spline(F591:F593,H591:H593,B$14),IF(AND(COUNT(H592:H603)=3,COUNT(F592:F603)=3),cubic_spline(F591:F594,H591:H594,B$14),IF(AND(COUNT(H592:H603)=4,COUNT(F592:F603)=4),cubic_spline(F591:F595,H591:H595,B$14),IF(AND(COUNT(H592:H603)=5,COUNT(F592:F603)=5),cubic_spline(F591:F596,H591:H596,B$14),IF(AND(COUNT(H592:H603)=6,COUNT(F592:F603)=6),cubic_spline(F591:F597,H591:H597,B$14),IF(AND(COUNT(H592:H603)=7,COUNT(F592:F603)=7),cubic_spline(F591:F598,H591:H598,B$14),IF(AND(COUNT(H592:H603)=8,COUNT(F592:F603)=8),cubic_spline(F591:F599,H591:H599,B$14),IF(AND(COUNT(H592:H603)=9,COUNT(F592:F603)=9),cubic_spline(F591:F600,H591:H600,B$14),IF(AND(COUNT(H592:H603)=10,COUNT(F592:F603)=10),cubic_spline(F591:F601,H591:H601,B$14),IF(AND(COUNT(H592:H603)=11,COUNT(F592:F603)=11),cubic_spline(F591:F602,H591:H602,B$14),IF(AND(COUNT(H592:H603)=12,COUNT(F592:F603)=12),cubic_spline(F591:F603,H591:H603,B$14),""))))))))))))</f>
        <v/>
      </c>
      <c r="K602" s="52" t="str">
        <f>IF(N(B$14)=0,"",IF(AND(COUNT(A592:A603)=2,COUNT(F592:F603)=2),cubic_spline(F591:F593,A591:A593,B$14),IF(AND(COUNT(A592:A603)=3,COUNT(F592:F603)=3),cubic_spline(F591:F594,A591:A594,B$14),IF(AND(COUNT(A592:A603)=4,COUNT(F592:F603)=4),cubic_spline(F591:F595,A591:A595,B$14),IF(AND(COUNT(A592:A603)=5,COUNT(F592:F603)=5),cubic_spline(F591:F596,A591:A596,B$14),IF(AND(COUNT(A592:A603)=6,COUNT(F592:F603)=6),cubic_spline(F591:F597,A591:A597,B$14),IF(AND(COUNT(A592:A603)=7,COUNT(F592:F603)=7),cubic_spline(F591:F598,A591:A598,B$14),IF(AND(COUNT(A592:A603)=8,COUNT(F592:F603)=8),cubic_spline(F591:F599,A591:A599,B$14),IF(AND(COUNT(A592:A603)=9,COUNT(F592:F603)=9),cubic_spline(F591:F600,A591:A600,B$14),IF(AND(COUNT(A592:A603)=10,COUNT(F592:F603)=10),cubic_spline(F591:F601,A591:A601,B$14),IF(AND(COUNT(A592:A603)=11,COUNT(F592:F603)=11),cubic_spline(F591:F602,A591:A602,B$14),IF(AND(COUNT(A592:A603)=12,COUNT(F592:F603)=12),cubic_spline(F591:F603,A591:A603,B$14),""))))))))))))</f>
        <v/>
      </c>
      <c r="L602" s="27" t="str">
        <f>IF(I602="","",B$13&amp;"-"&amp;B$14)</f>
        <v/>
      </c>
      <c r="M602" s="52" t="str">
        <f t="shared" si="225"/>
        <v/>
      </c>
    </row>
    <row r="603" spans="1:13" x14ac:dyDescent="0.35">
      <c r="A603" s="48"/>
      <c r="B603" s="48"/>
      <c r="C603" s="49"/>
      <c r="D603" s="50"/>
      <c r="E603" s="51" t="str">
        <f t="shared" si="224"/>
        <v/>
      </c>
      <c r="F603" s="71" t="str">
        <f t="shared" si="221"/>
        <v/>
      </c>
      <c r="G603" s="69" t="str">
        <f t="shared" si="223"/>
        <v/>
      </c>
      <c r="H603" s="70" t="str">
        <f t="shared" si="222"/>
        <v/>
      </c>
      <c r="I603" s="27" t="str">
        <f>IF(N(J603)=0,"",0&amp;"-"&amp;B$15)</f>
        <v/>
      </c>
      <c r="J603" s="52" t="str">
        <f>IF(N(B$15)=0,"",IF(AND(COUNT(H592:H603)=2,COUNT(F592:F603)=2),cubic_spline(F591:F593,H591:H593,B$15),IF(AND(COUNT(H592:H603)=3,COUNT(F592:F603)=3),cubic_spline(F591:F594,H591:H594,B$15),IF(AND(COUNT(H592:H603)=4,COUNT(F592:F603)=4),cubic_spline(F591:F595,H591:H595,B$15),IF(AND(COUNT(H592:H603)=5,COUNT(F592:F603)=5),cubic_spline(F591:F596,H591:H596,B$15),IF(AND(COUNT(H592:H603)=6,COUNT(F592:F603)=6),cubic_spline(F591:F597,H591:H597,B$15),IF(AND(COUNT(H592:H603)=7,COUNT(F592:F603)=7),cubic_spline(F591:F598,H591:H598,B$15),IF(AND(COUNT(H592:H603)=8,COUNT(F592:F603)=8),cubic_spline(F591:F599,H591:H599,B$15),IF(AND(COUNT(H592:H603)=9,COUNT(F592:F603)=9),cubic_spline(F591:F600,H591:H600,B$15),IF(AND(COUNT(H592:H603)=10,COUNT(F592:F603)=10),cubic_spline(F591:F601,H591:H601,B$15),IF(AND(COUNT(H592:H603)=11,COUNT(F592:F603)=11),cubic_spline(F591:F602,H591:H602,B$15),IF(AND(COUNT(H592:H603)=12,COUNT(F592:F603)=12),cubic_spline(F591:F603,H591:H603,B$15),""))))))))))))</f>
        <v/>
      </c>
      <c r="K603" s="52" t="str">
        <f>IF(N(B$15)=0,"",IF(AND(COUNT(A592:A603)=2,COUNT(F592:F603)=2),cubic_spline(F591:F593,A591:A593,B$15),IF(AND(COUNT(A592:A603)=3,COUNT(F592:F603)=3),cubic_spline(F591:F594,A591:A594,B$15),IF(AND(COUNT(A592:A603)=4,COUNT(F592:F603)=4),cubic_spline(F591:F595,A591:A595,B$15),IF(AND(COUNT(A592:A603)=5,COUNT(F592:F603)=5),cubic_spline(F591:F596,A591:A596,B$15),IF(AND(COUNT(A592:A603)=6,COUNT(F592:F603)=6),cubic_spline(F591:F597,A591:A597,B$15),IF(AND(COUNT(A592:A603)=7,COUNT(F592:F603)=7),cubic_spline(F591:F598,A591:A598,B$15),IF(AND(COUNT(A592:A603)=8,COUNT(F592:F603)=8),cubic_spline(F591:F599,A591:A599,B$15),IF(AND(COUNT(A592:A603)=9,COUNT(F592:F603)=9),cubic_spline(F591:F600,A591:A600,B$15),IF(AND(COUNT(A592:A603)=10,COUNT(F592:F603)=10),cubic_spline(F591:F601,A591:A601,B$15),IF(AND(COUNT(A592:A603)=11,COUNT(F592:F603)=11),cubic_spline(F591:F602,A591:A602,B$15),IF(AND(COUNT(A592:A603)=12,COUNT(F592:F603)=12),cubic_spline(F591:F603,A591:A603,B$15),""))))))))))))</f>
        <v/>
      </c>
      <c r="L603" s="27" t="str">
        <f>IF(I603="","",B$14&amp;"-"&amp;B$15)</f>
        <v/>
      </c>
      <c r="M603" s="52" t="str">
        <f t="shared" si="225"/>
        <v/>
      </c>
    </row>
    <row r="604" spans="1:13" ht="5.15" customHeight="1" x14ac:dyDescent="0.35">
      <c r="A604" s="47"/>
      <c r="B604" s="47"/>
      <c r="C604" s="47"/>
      <c r="D604" s="53"/>
      <c r="E604" s="54"/>
      <c r="F604" s="55"/>
      <c r="G604" s="72"/>
      <c r="H604" s="73"/>
      <c r="I604" s="47"/>
      <c r="J604" s="57"/>
      <c r="K604" s="57"/>
      <c r="L604" s="55"/>
      <c r="M604" s="57"/>
    </row>
    <row r="605" spans="1:13" x14ac:dyDescent="0.35">
      <c r="A605" s="48"/>
      <c r="B605" s="48"/>
      <c r="C605" s="49"/>
      <c r="D605" s="50"/>
      <c r="E605" s="51" t="str">
        <f>IF(N(C605)=0,"",C605/PI()/($D$1/2)^2/$D$2*10000)</f>
        <v/>
      </c>
      <c r="F605" s="68" t="str">
        <f t="shared" ref="F605:F616" si="226">IF(N(E605)=0,"",(N(E605)+N(F604)))</f>
        <v/>
      </c>
      <c r="G605" s="69" t="str">
        <f>IF(OR(N(D605)=0,N(E605)=0),"",(E605*D605)/1000)</f>
        <v/>
      </c>
      <c r="H605" s="70" t="str">
        <f t="shared" ref="H605:H616" si="227">IF(N(G605)=0,"",(N(G605)+N(H604)))</f>
        <v/>
      </c>
      <c r="I605" s="27" t="str">
        <f>IF(N(J605)=0,"",0&amp;"-"&amp;B$4)</f>
        <v/>
      </c>
      <c r="J605" s="52" t="str">
        <f>IF(N(B$4)=0,"",IF(AND(COUNT(H605:H616)=2,COUNT(F605:F616)=2),cubic_spline(F604:F606,H604:H606,B$4),IF(AND(COUNT(H605:H616)=3,COUNT(F605:F616)=3),cubic_spline(F604:F607,H604:H607,B$4),IF(AND(COUNT(H605:H616)=4,COUNT(F605:F616)=4),cubic_spline(F604:F608,H604:H608,B$4),IF(AND(COUNT(H605:H616)=5,COUNT(F605:F616)=5),cubic_spline(F604:F609,H604:H609,B$4),IF(AND(COUNT(H605:H616)=6,COUNT(F605:F616)=6),cubic_spline(F604:F610,H604:H610,B$4),IF(AND(COUNT(H605:H616)=7,COUNT(F605:F616)=7),cubic_spline(F604:F611,H604:H611,B$4),IF(AND(COUNT(H605:H616)=8,COUNT(F605:F616)=8),cubic_spline(F604:F612,H604:H612,B$4),IF(AND(COUNT(H605:H616)=9,COUNT(F605:F616)=9),cubic_spline(F604:F613,H604:H613,B$4),IF(AND(COUNT(H605:H616)=10,COUNT(F605:F616)=10),cubic_spline(F604:F614,H604:H614,B$4),IF(AND(COUNT(H605:H616)=11,COUNT(F605:F616)=11),cubic_spline(F604:F615,H604:H615,B$4),IF(AND(COUNT(H605:H616)=12,COUNT(F605:F616)=12),cubic_spline(F604:F616,H604:H616,B$4),""))))))))))))</f>
        <v/>
      </c>
      <c r="K605" s="52" t="str">
        <f>IF(N(B$4)=0,"",IF(AND(COUNT(A605:A616)=2,COUNT(F605:F616)=2),cubic_spline(F604:F606,A604:A606,B$4),IF(AND(COUNT(A605:A616)=3,COUNT(F605:F616)=3),cubic_spline(F604:F607,A604:A607,B$4),IF(AND(COUNT(A605:A616)=4,COUNT(F605:F616)=4),cubic_spline(F604:F608,A604:A608,B$4),IF(AND(COUNT(A605:A616)=5,COUNT(F605:F616)=5),cubic_spline(F604:F609,A604:A609,B$4),IF(AND(COUNT(A605:A616)=6,COUNT(F605:F616)=6),cubic_spline(F604:F610,A604:A610,B$4),IF(AND(COUNT(A605:A616)=7,COUNT(F605:F616)=7),cubic_spline(F604:F611,A604:A611,B$4),IF(AND(COUNT(A605:A616)=8,COUNT(F605:F616)=8),cubic_spline(F604:F612,A604:A612,B$4),IF(AND(COUNT(A605:A616)=9,COUNT(F605:F616)=9),cubic_spline(F604:F613,A604:A613,B$4),IF(AND(COUNT(A605:A616)=10,COUNT(F605:F616)=10),cubic_spline(F604:F614,A604:A614,B$4),IF(AND(COUNT(A605:A616)=11,COUNT(F605:F616)=11),cubic_spline(F604:F615,A604:A615,B$4),IF(AND(COUNT(A605:A616)=12,COUNT(F605:F616)=12),cubic_spline(F604:F616,A604:A616,B$4),""))))))))))))</f>
        <v/>
      </c>
      <c r="L605" s="27" t="str">
        <f>IF(I605="","",0&amp;"-"&amp;B$4)</f>
        <v/>
      </c>
      <c r="M605" s="52" t="str">
        <f>IF(N(J605)=0,"",J605-J604)</f>
        <v/>
      </c>
    </row>
    <row r="606" spans="1:13" x14ac:dyDescent="0.35">
      <c r="A606" s="48"/>
      <c r="B606" s="48"/>
      <c r="C606" s="49"/>
      <c r="D606" s="50"/>
      <c r="E606" s="51" t="str">
        <f>IF(N(C606)=0,"",C606/PI()/($D$1/2)^2/$D$2*10000)</f>
        <v/>
      </c>
      <c r="F606" s="68" t="str">
        <f t="shared" si="226"/>
        <v/>
      </c>
      <c r="G606" s="69" t="str">
        <f t="shared" ref="G606:G616" si="228">IF(OR(N(D606)=0,N(E606)=0),"",(E606*D606)/1000)</f>
        <v/>
      </c>
      <c r="H606" s="70" t="str">
        <f t="shared" si="227"/>
        <v/>
      </c>
      <c r="I606" s="27" t="str">
        <f>IF(N(J606)=0,"",0&amp;"-"&amp;B$5)</f>
        <v/>
      </c>
      <c r="J606" s="52" t="str">
        <f>IF(N(B$5)=0,"",IF(AND(COUNT(H605:H616)=2,COUNT(F605:F616)=2),cubic_spline(F604:F606,H604:H606,B$5),IF(AND(COUNT(H605:H616)=3,COUNT(F605:F616)=3),cubic_spline(F604:F607,H604:H607,B$5),IF(AND(COUNT(H605:H616)=4,COUNT(F605:F616)=4),cubic_spline(F604:F608,H604:H608,B$5),IF(AND(COUNT(H605:H616)=5,COUNT(F605:F616)=5),cubic_spline(F604:F609,H604:H609,B$5),IF(AND(COUNT(H605:H616)=6,COUNT(F605:F616)=6),cubic_spline(F604:F610,H604:H610,B$5),IF(AND(COUNT(H605:H616)=7,COUNT(F605:F616)=7),cubic_spline(F604:F611,H604:H611,B$5),IF(AND(COUNT(H605:H616)=8,COUNT(F605:F616)=8),cubic_spline(F604:F612,H604:H612,B$5),IF(AND(COUNT(H605:H616)=9,COUNT(F605:F616)=9),cubic_spline(F604:F613,H604:H613,B$5),IF(AND(COUNT(H605:H616)=10,COUNT(F605:F616)=10),cubic_spline(F604:F614,H604:H614,B$5),IF(AND(COUNT(H605:H616)=11,COUNT(F605:F616)=11),cubic_spline(F604:F615,H604:H615,B$5),IF(AND(COUNT(H605:H616)=12,COUNT(F605:F616)=12),cubic_spline(F604:F616,H604:H616,B$5),""))))))))))))</f>
        <v/>
      </c>
      <c r="K606" s="52" t="str">
        <f>IF(N(B$5)=0,"",IF(AND(COUNT(A605:A616)=2,COUNT(F605:F616)=2),cubic_spline(F604:F606,A604:A606,B$5),IF(AND(COUNT(A605:A616)=3,COUNT(F605:F616)=3),cubic_spline(F604:F607,A604:A607,B$5),IF(AND(COUNT(A605:A616)=4,COUNT(F605:F616)=4),cubic_spline(F604:F608,A604:A608,B$5),IF(AND(COUNT(A605:A616)=5,COUNT(F605:F616)=5),cubic_spline(F604:F609,A604:A609,B$5),IF(AND(COUNT(A605:A616)=6,COUNT(F605:F616)=6),cubic_spline(F604:F610,A604:A610,B$5),IF(AND(COUNT(A605:A616)=7,COUNT(F605:F616)=7),cubic_spline(F604:F611,A604:A611,B$5),IF(AND(COUNT(A605:A616)=8,COUNT(F605:F616)=8),cubic_spline(F604:F612,A604:A612,B$5),IF(AND(COUNT(A605:A616)=9,COUNT(F605:F616)=9),cubic_spline(F604:F613,A604:A613,B$5),IF(AND(COUNT(A605:A616)=10,COUNT(F605:F616)=10),cubic_spline(F604:F614,A604:A614,B$5),IF(AND(COUNT(A605:A616)=11,COUNT(F605:F616)=11),cubic_spline(F604:F615,A604:A615,B$5),IF(AND(COUNT(A605:A616)=12,COUNT(F605:F616)=12),cubic_spline(F604:F616,A604:A616,B$5),""))))))))))))</f>
        <v/>
      </c>
      <c r="L606" s="27" t="str">
        <f>IF(I606="","",B$4&amp;"-"&amp;B$5)</f>
        <v/>
      </c>
      <c r="M606" s="52" t="str">
        <f>IF(N(J606)=0,"",J606-J605)</f>
        <v/>
      </c>
    </row>
    <row r="607" spans="1:13" x14ac:dyDescent="0.35">
      <c r="A607" s="48"/>
      <c r="B607" s="48"/>
      <c r="C607" s="49"/>
      <c r="D607" s="50"/>
      <c r="E607" s="51" t="str">
        <f>IF(N(C607)=0,"",C607/PI()/($D$1/2)^2/$D$2*10000)</f>
        <v/>
      </c>
      <c r="F607" s="68" t="str">
        <f t="shared" si="226"/>
        <v/>
      </c>
      <c r="G607" s="69" t="str">
        <f t="shared" si="228"/>
        <v/>
      </c>
      <c r="H607" s="70" t="str">
        <f t="shared" si="227"/>
        <v/>
      </c>
      <c r="I607" s="27" t="str">
        <f>IF(N(J607)=0,"",0&amp;"-"&amp;B$6)</f>
        <v/>
      </c>
      <c r="J607" s="52" t="str">
        <f>IF(N(B$6)=0,"",IF(AND(COUNT(H605:H616)=2,COUNT(F605:F616)=2),cubic_spline(F604:F606,H604:H606,B$6),IF(AND(COUNT(H605:H616)=3,COUNT(F605:F616)=3),cubic_spline(F604:F607,H604:H607,B$6),IF(AND(COUNT(H605:H616)=4,COUNT(F605:F616)=4),cubic_spline(F604:F608,H604:H608,B$6),IF(AND(COUNT(H605:H616)=5,COUNT(F605:F616)=5),cubic_spline(F604:F609,H604:H609,B$6),IF(AND(COUNT(H605:H616)=6,COUNT(F605:F616)=6),cubic_spline(F604:F610,H604:H610,B$6),IF(AND(COUNT(H605:H616)=7,COUNT(F605:F616)=7),cubic_spline(F604:F611,H604:H611,B$6),IF(AND(COUNT(H605:H616)=8,COUNT(F605:F616)=8),cubic_spline(F604:F612,H604:H612,B$6),IF(AND(COUNT(H605:H616)=9,COUNT(F605:F616)=9),cubic_spline(F604:F613,H604:H613,B$6),IF(AND(COUNT(H605:H616)=10,COUNT(F605:F616)=10),cubic_spline(F604:F614,H604:H614,B$6),IF(AND(COUNT(H605:H616)=11,COUNT(F605:F616)=11),cubic_spline(F604:F615,H604:H615,B$6),IF(AND(COUNT(H605:H616)=12,COUNT(F605:F616)=12),cubic_spline(F604:F616,H604:H616,B$6),""))))))))))))</f>
        <v/>
      </c>
      <c r="K607" s="52" t="str">
        <f>IF(N(B$6)=0,"",IF(AND(COUNT(A605:A616)=2,COUNT(F605:F616)=2),cubic_spline(F604:F606,A604:A606,B$6),IF(AND(COUNT(A605:A616)=3,COUNT(F605:F616)=3),cubic_spline(F604:F607,A604:A607,B$6),IF(AND(COUNT(A605:A616)=4,COUNT(F605:F616)=4),cubic_spline(F604:F608,A604:A608,B$6),IF(AND(COUNT(A605:A616)=5,COUNT(F605:F616)=5),cubic_spline(F604:F609,A604:A609,B$6),IF(AND(COUNT(A605:A616)=6,COUNT(F605:F616)=6),cubic_spline(F604:F610,A604:A610,B$6),IF(AND(COUNT(A605:A616)=7,COUNT(F605:F616)=7),cubic_spline(F604:F611,A604:A611,B$6),IF(AND(COUNT(A605:A616)=8,COUNT(F605:F616)=8),cubic_spline(F604:F612,A604:A612,B$6),IF(AND(COUNT(A605:A616)=9,COUNT(F605:F616)=9),cubic_spline(F604:F613,A604:A613,B$6),IF(AND(COUNT(A605:A616)=10,COUNT(F605:F616)=10),cubic_spline(F604:F614,A604:A614,B$6),IF(AND(COUNT(A605:A616)=11,COUNT(F605:F616)=11),cubic_spline(F604:F615,A604:A615,B$6),IF(AND(COUNT(A605:A616)=12,COUNT(F605:F616)=12),cubic_spline(F604:F616,A604:A616,B$6),""))))))))))))</f>
        <v/>
      </c>
      <c r="L607" s="27" t="str">
        <f>IF(I607="","",B$5&amp;"-"&amp;B$6)</f>
        <v/>
      </c>
      <c r="M607" s="52" t="str">
        <f>IF(N(J607)=0,"",J607-J606)</f>
        <v/>
      </c>
    </row>
    <row r="608" spans="1:13" x14ac:dyDescent="0.35">
      <c r="A608" s="48"/>
      <c r="B608" s="48"/>
      <c r="C608" s="49"/>
      <c r="D608" s="50"/>
      <c r="E608" s="51" t="str">
        <f>IF(N(C608)=0,"",C608/PI()/($D$1/2)^2/$D$2*10000)</f>
        <v/>
      </c>
      <c r="F608" s="68" t="str">
        <f t="shared" si="226"/>
        <v/>
      </c>
      <c r="G608" s="69" t="str">
        <f t="shared" si="228"/>
        <v/>
      </c>
      <c r="H608" s="70" t="str">
        <f t="shared" si="227"/>
        <v/>
      </c>
      <c r="I608" s="27" t="str">
        <f>IF(N(J608)=0,"",0&amp;"-"&amp;B$7)</f>
        <v/>
      </c>
      <c r="J608" s="52" t="str">
        <f>IF(N(B$7)=0,"",IF(AND(COUNT(H605:H616)=2,COUNT(F605:F616)=2),cubic_spline(F604:F606,H604:H606,B$7),IF(AND(COUNT(H605:H616)=3,COUNT(F605:F616)=3),cubic_spline(F604:F607,H604:H607,B$7),IF(AND(COUNT(H605:H616)=4,COUNT(F605:F616)=4),cubic_spline(F604:F608,H604:H608,B$7),IF(AND(COUNT(H605:H616)=5,COUNT(F605:F616)=5),cubic_spline(F604:F609,H604:H609,B$7),IF(AND(COUNT(H605:H616)=6,COUNT(F605:F616)=6),cubic_spline(F604:F610,H604:H610,B$7),IF(AND(COUNT(H605:H616)=7,COUNT(F605:F616)=7),cubic_spline(F604:F611,H604:H611,B$7),IF(AND(COUNT(H605:H616)=8,COUNT(F605:F616)=8),cubic_spline(F604:F612,H604:H612,B$7),IF(AND(COUNT(H605:H616)=9,COUNT(F605:F616)=9),cubic_spline(F604:F613,H604:H613,B$7),IF(AND(COUNT(H605:H616)=10,COUNT(F605:F616)=10),cubic_spline(F604:F614,H604:H614,B$7),IF(AND(COUNT(H605:H616)=11,COUNT(F605:F616)=11),cubic_spline(F604:F615,H604:H615,B$7),IF(AND(COUNT(H605:H616)=12,COUNT(F605:F616)=12),cubic_spline(F604:F616,H604:H616,B$7),""))))))))))))</f>
        <v/>
      </c>
      <c r="K608" s="52" t="str">
        <f>IF(N(B$7)=0,"",IF(AND(COUNT(A605:A616)=2,COUNT(F605:F616)=2),cubic_spline(F604:F606,A604:A606,B$7),IF(AND(COUNT(A605:A616)=3,COUNT(F605:F616)=3),cubic_spline(F604:F607,A604:A607,B$7),IF(AND(COUNT(A605:A616)=4,COUNT(F605:F616)=4),cubic_spline(F604:F608,A604:A608,B$7),IF(AND(COUNT(A605:A616)=5,COUNT(F605:F616)=5),cubic_spline(F604:F609,A604:A609,B$7),IF(AND(COUNT(A605:A616)=6,COUNT(F605:F616)=6),cubic_spline(F604:F610,A604:A610,B$7),IF(AND(COUNT(A605:A616)=7,COUNT(F605:F616)=7),cubic_spline(F604:F611,A604:A611,B$7),IF(AND(COUNT(A605:A616)=8,COUNT(F605:F616)=8),cubic_spline(F604:F612,A604:A612,B$7),IF(AND(COUNT(A605:A616)=9,COUNT(F605:F616)=9),cubic_spline(F604:F613,A604:A613,B$7),IF(AND(COUNT(A605:A616)=10,COUNT(F605:F616)=10),cubic_spline(F604:F614,A604:A614,B$7),IF(AND(COUNT(A605:A616)=11,COUNT(F605:F616)=11),cubic_spline(F604:F615,A604:A615,B$7),IF(AND(COUNT(A605:A616)=12,COUNT(F605:F616)=12),cubic_spline(F604:F616,A604:A616,B$7),""))))))))))))</f>
        <v/>
      </c>
      <c r="L608" s="27" t="str">
        <f>IF(I608="","",B$6&amp;"-"&amp;B$7)</f>
        <v/>
      </c>
      <c r="M608" s="52" t="str">
        <f>IF(N(J608)=0,"",J608-J607)</f>
        <v/>
      </c>
    </row>
    <row r="609" spans="1:13" x14ac:dyDescent="0.35">
      <c r="A609" s="48"/>
      <c r="B609" s="48"/>
      <c r="C609" s="49"/>
      <c r="D609" s="50"/>
      <c r="E609" s="51" t="str">
        <f t="shared" ref="E609:E616" si="229">IF(N(C609)=0,"",C609/PI()/($D$1/2)^2/$D$2*10000)</f>
        <v/>
      </c>
      <c r="F609" s="71" t="str">
        <f t="shared" si="226"/>
        <v/>
      </c>
      <c r="G609" s="69" t="str">
        <f t="shared" si="228"/>
        <v/>
      </c>
      <c r="H609" s="70" t="str">
        <f t="shared" si="227"/>
        <v/>
      </c>
      <c r="I609" s="27" t="str">
        <f>IF(N(J609)=0,"",0&amp;"-"&amp;B$8)</f>
        <v/>
      </c>
      <c r="J609" s="52" t="str">
        <f>IF(N(B$8)=0,"",IF(AND(COUNT(H605:H616)=2,COUNT(F605:F616)=2),cubic_spline(F604:F606,H604:H606,B$8),IF(AND(COUNT(H605:H616)=3,COUNT(F605:F616)=3),cubic_spline(F604:F607,H604:H607,B$8),IF(AND(COUNT(H605:H616)=4,COUNT(F605:F616)=4),cubic_spline(F604:F608,H604:H608,B$8),IF(AND(COUNT(H605:H616)=5,COUNT(F605:F616)=5),cubic_spline(F604:F609,H604:H609,B$8),IF(AND(COUNT(H605:H616)=6,COUNT(F605:F616)=6),cubic_spline(F604:F610,H604:H610,B$8),IF(AND(COUNT(H605:H616)=7,COUNT(F605:F616)=7),cubic_spline(F604:F611,H604:H611,B$8),IF(AND(COUNT(H605:H616)=8,COUNT(F605:F616)=8),cubic_spline(F604:F612,H604:H612,B$8),IF(AND(COUNT(H605:H616)=9,COUNT(F605:F616)=9),cubic_spline(F604:F613,H604:H613,B$8),IF(AND(COUNT(H605:H616)=10,COUNT(F605:F616)=10),cubic_spline(F604:F614,H604:H614,B$8),IF(AND(COUNT(H605:H616)=11,COUNT(F605:F616)=11),cubic_spline(F604:F615,H604:H615,B$8),IF(AND(COUNT(H605:H616)=12,COUNT(F605:F616)=12),cubic_spline(F604:F616,H604:H616,B$8),""))))))))))))</f>
        <v/>
      </c>
      <c r="K609" s="52" t="str">
        <f>IF(N(B$8)=0,"",IF(AND(COUNT(A605:A616)=2,COUNT(F605:F616)=2),cubic_spline(F604:F606,A604:A606,B$8),IF(AND(COUNT(A605:A616)=3,COUNT(F605:F616)=3),cubic_spline(F604:F607,A604:A607,B$8),IF(AND(COUNT(A605:A616)=4,COUNT(F605:F616)=4),cubic_spline(F604:F608,A604:A608,B$8),IF(AND(COUNT(A605:A616)=5,COUNT(F605:F616)=5),cubic_spline(F604:F609,A604:A609,B$8),IF(AND(COUNT(A605:A616)=6,COUNT(F605:F616)=6),cubic_spline(F604:F610,A604:A610,B$8),IF(AND(COUNT(A605:A616)=7,COUNT(F605:F616)=7),cubic_spline(F604:F611,A604:A611,B$8),IF(AND(COUNT(A605:A616)=8,COUNT(F605:F616)=8),cubic_spline(F604:F612,A604:A612,B$8),IF(AND(COUNT(A605:A616)=9,COUNT(F605:F616)=9),cubic_spline(F604:F613,A604:A613,B$8),IF(AND(COUNT(A605:A616)=10,COUNT(F605:F616)=10),cubic_spline(F604:F614,A604:A614,B$8),IF(AND(COUNT(A605:A616)=11,COUNT(F605:F616)=11),cubic_spline(F604:F615,A604:A615,B$8),IF(AND(COUNT(A605:A616)=12,COUNT(F605:F616)=12),cubic_spline(F604:F616,A604:A616,B$8),""))))))))))))</f>
        <v/>
      </c>
      <c r="L609" s="27" t="str">
        <f>IF(I609="","",B$7&amp;"-"&amp;B$8)</f>
        <v/>
      </c>
      <c r="M609" s="52" t="str">
        <f>IF(N(J609)=0,"",J609-J608)</f>
        <v/>
      </c>
    </row>
    <row r="610" spans="1:13" x14ac:dyDescent="0.35">
      <c r="A610" s="48"/>
      <c r="B610" s="48"/>
      <c r="C610" s="49"/>
      <c r="D610" s="50"/>
      <c r="E610" s="51" t="str">
        <f t="shared" si="229"/>
        <v/>
      </c>
      <c r="F610" s="71" t="str">
        <f t="shared" si="226"/>
        <v/>
      </c>
      <c r="G610" s="69" t="str">
        <f t="shared" si="228"/>
        <v/>
      </c>
      <c r="H610" s="70" t="str">
        <f t="shared" si="227"/>
        <v/>
      </c>
      <c r="I610" s="27" t="str">
        <f>IF(N(J610)=0,"",0&amp;"-"&amp;B$9)</f>
        <v/>
      </c>
      <c r="J610" s="52" t="str">
        <f>IF(N(B$9)=0,"",IF(AND(COUNT(H605:H616)=2,COUNT(F605:F616)=2),cubic_spline(F604:F606,H604:H606,B$9),IF(AND(COUNT(H605:H616)=3,COUNT(F605:F616)=3),cubic_spline(F604:F607,H604:H607,B$9),IF(AND(COUNT(H605:H616)=4,COUNT(F605:F616)=4),cubic_spline(F604:F608,H604:H608,B$9),IF(AND(COUNT(H605:H616)=5,COUNT(F605:F616)=5),cubic_spline(F604:F609,H604:H609,B$9),IF(AND(COUNT(H605:H616)=6,COUNT(F605:F616)=6),cubic_spline(F604:F610,H604:H610,B$9),IF(AND(COUNT(H605:H616)=7,COUNT(F605:F616)=7),cubic_spline(F604:F611,H604:H611,B$9),IF(AND(COUNT(H605:H616)=8,COUNT(F605:F616)=8),cubic_spline(F604:F612,H604:H612,B$9),IF(AND(COUNT(H605:H616)=9,COUNT(F605:F616)=9),cubic_spline(F604:F613,H604:H613,B$9),IF(AND(COUNT(H605:H616)=10,COUNT(F605:F616)=10),cubic_spline(F604:F614,H604:H614,B$9),IF(AND(COUNT(H605:H616)=11,COUNT(F605:F616)=11),cubic_spline(F604:F615,H604:H615,B$9),IF(AND(COUNT(H605:H616)=12,COUNT(F605:F616)=12),cubic_spline(F604:F616,H604:H616,B$9),""))))))))))))</f>
        <v/>
      </c>
      <c r="K610" s="52" t="str">
        <f>IF(N(B$9)=0,"",IF(AND(COUNT(A605:A616)=2,COUNT(F605:F616)=2),cubic_spline(F604:F606,A604:A606,B$9),IF(AND(COUNT(A605:A616)=3,COUNT(F605:F616)=3),cubic_spline(F604:F607,A604:A607,B$9),IF(AND(COUNT(A605:A616)=4,COUNT(F605:F616)=4),cubic_spline(F604:F608,A604:A608,B$9),IF(AND(COUNT(A605:A616)=5,COUNT(F605:F616)=5),cubic_spline(F604:F609,A604:A609,B$9),IF(AND(COUNT(A605:A616)=6,COUNT(F605:F616)=6),cubic_spline(F604:F610,A604:A610,B$9),IF(AND(COUNT(A605:A616)=7,COUNT(F605:F616)=7),cubic_spline(F604:F611,A604:A611,B$9),IF(AND(COUNT(A605:A616)=8,COUNT(F605:F616)=8),cubic_spline(F604:F612,A604:A612,B$9),IF(AND(COUNT(A605:A616)=9,COUNT(F605:F616)=9),cubic_spline(F604:F613,A604:A613,B$9),IF(AND(COUNT(A605:A616)=10,COUNT(F605:F616)=10),cubic_spline(F604:F614,A604:A614,B$9),IF(AND(COUNT(A605:A616)=11,COUNT(F605:F616)=11),cubic_spline(F604:F615,A604:A615,B$9),IF(AND(COUNT(A605:A616)=12,COUNT(F605:F616)=12),cubic_spline(F604:F616,A604:A616,B$9),""))))))))))))</f>
        <v/>
      </c>
      <c r="L610" s="27" t="str">
        <f>IF(I610="","",B$8&amp;"-"&amp;B$9)</f>
        <v/>
      </c>
      <c r="M610" s="52" t="str">
        <f t="shared" ref="M610:M616" si="230">IF(N(J610)=0,"",J610-J609)</f>
        <v/>
      </c>
    </row>
    <row r="611" spans="1:13" x14ac:dyDescent="0.35">
      <c r="A611" s="48"/>
      <c r="B611" s="48"/>
      <c r="C611" s="49"/>
      <c r="D611" s="50"/>
      <c r="E611" s="51" t="str">
        <f t="shared" si="229"/>
        <v/>
      </c>
      <c r="F611" s="71" t="str">
        <f t="shared" si="226"/>
        <v/>
      </c>
      <c r="G611" s="69" t="str">
        <f t="shared" si="228"/>
        <v/>
      </c>
      <c r="H611" s="70" t="str">
        <f t="shared" si="227"/>
        <v/>
      </c>
      <c r="I611" s="27" t="str">
        <f>IF(N(J611)=0,"",0&amp;"-"&amp;B$10)</f>
        <v/>
      </c>
      <c r="J611" s="52" t="str">
        <f>IF(N(B$10)=0,"",IF(AND(COUNT(H605:H616)=2,COUNT(F605:F616)=2),cubic_spline(F604:F606,H604:H606,B$10),IF(AND(COUNT(H605:H616)=3,COUNT(F605:F616)=3),cubic_spline(F604:F607,H604:H607,B$10),IF(AND(COUNT(H605:H616)=4,COUNT(F605:F616)=4),cubic_spline(F604:F608,H604:H608,B$10),IF(AND(COUNT(H605:H616)=5,COUNT(F605:F616)=5),cubic_spline(F604:F609,H604:H609,B$10),IF(AND(COUNT(H605:H616)=6,COUNT(F605:F616)=6),cubic_spline(F604:F610,H604:H610,B$10),IF(AND(COUNT(H605:H616)=7,COUNT(F605:F616)=7),cubic_spline(F604:F611,H604:H611,B$10),IF(AND(COUNT(H605:H616)=8,COUNT(F605:F616)=8),cubic_spline(F604:F612,H604:H612,B$10),IF(AND(COUNT(H605:H616)=9,COUNT(F605:F616)=9),cubic_spline(F604:F613,H604:H613,B$10),IF(AND(COUNT(H605:H616)=10,COUNT(F605:F616)=10),cubic_spline(F604:F614,H604:H614,B$10),IF(AND(COUNT(H605:H616)=11,COUNT(F605:F616)=11),cubic_spline(F604:F615,H604:H615,B$10),IF(AND(COUNT(H605:H616)=12,COUNT(F605:F616)=12),cubic_spline(F604:F616,H604:H616,B$10),""))))))))))))</f>
        <v/>
      </c>
      <c r="K611" s="52" t="str">
        <f>IF(N(B$10)=0,"",IF(AND(COUNT(A605:A616)=2,COUNT(F605:F616)=2),cubic_spline(F604:F606,A604:A606,B$10),IF(AND(COUNT(A605:A616)=3,COUNT(F605:F616)=3),cubic_spline(F604:F607,A604:A607,B$10),IF(AND(COUNT(A605:A616)=4,COUNT(F605:F616)=4),cubic_spline(F604:F608,A604:A608,B$10),IF(AND(COUNT(A605:A616)=5,COUNT(F605:F616)=5),cubic_spline(F604:F609,A604:A609,B$10),IF(AND(COUNT(A605:A616)=6,COUNT(F605:F616)=6),cubic_spline(F604:F610,A604:A610,B$10),IF(AND(COUNT(A605:A616)=7,COUNT(F605:F616)=7),cubic_spline(F604:F611,A604:A611,B$10),IF(AND(COUNT(A605:A616)=8,COUNT(F605:F616)=8),cubic_spline(F604:F612,A604:A612,B$10),IF(AND(COUNT(A605:A616)=9,COUNT(F605:F616)=9),cubic_spline(F604:F613,A604:A613,B$10),IF(AND(COUNT(A605:A616)=10,COUNT(F605:F616)=10),cubic_spline(F604:F614,A604:A614,B$10),IF(AND(COUNT(A605:A616)=11,COUNT(F605:F616)=11),cubic_spline(F604:F615,A604:A615,B$10),IF(AND(COUNT(A605:A616)=12,COUNT(F605:F616)=12),cubic_spline(F604:F616,A604:A616,B$10),""))))))))))))</f>
        <v/>
      </c>
      <c r="L611" s="27" t="str">
        <f>IF(I611="","",B$9&amp;"-"&amp;B$10)</f>
        <v/>
      </c>
      <c r="M611" s="52" t="str">
        <f t="shared" si="230"/>
        <v/>
      </c>
    </row>
    <row r="612" spans="1:13" x14ac:dyDescent="0.35">
      <c r="A612" s="48"/>
      <c r="B612" s="48"/>
      <c r="C612" s="49"/>
      <c r="D612" s="50"/>
      <c r="E612" s="51" t="str">
        <f t="shared" si="229"/>
        <v/>
      </c>
      <c r="F612" s="71" t="str">
        <f t="shared" si="226"/>
        <v/>
      </c>
      <c r="G612" s="69" t="str">
        <f t="shared" si="228"/>
        <v/>
      </c>
      <c r="H612" s="70" t="str">
        <f t="shared" si="227"/>
        <v/>
      </c>
      <c r="I612" s="27" t="str">
        <f>IF(N(J612)=0,"",0&amp;"-"&amp;B$11)</f>
        <v/>
      </c>
      <c r="J612" s="52" t="str">
        <f>IF(N(B$11)=0,"",IF(AND(COUNT(H605:H616)=2,COUNT(F605:F616)=2),cubic_spline(F604:F606,H604:H606,B$11),IF(AND(COUNT(H605:H616)=3,COUNT(F605:F616)=3),cubic_spline(F604:F607,H604:H607,B$11),IF(AND(COUNT(H605:H616)=4,COUNT(F605:F616)=4),cubic_spline(F604:F608,H604:H608,B$11),IF(AND(COUNT(H605:H616)=5,COUNT(F605:F616)=5),cubic_spline(F604:F609,H604:H609,B$11),IF(AND(COUNT(H605:H616)=6,COUNT(F605:F616)=6),cubic_spline(F604:F610,H604:H610,B$11),IF(AND(COUNT(H605:H616)=7,COUNT(F605:F616)=7),cubic_spline(F604:F611,H604:H611,B$11),IF(AND(COUNT(H605:H616)=8,COUNT(F605:F616)=8),cubic_spline(F604:F612,H604:H612,B$11),IF(AND(COUNT(H605:H616)=9,COUNT(F605:F616)=9),cubic_spline(F604:F613,H604:H613,B$11),IF(AND(COUNT(H605:H616)=10,COUNT(F605:F616)=10),cubic_spline(F604:F614,H604:H614,B$11),IF(AND(COUNT(H605:H616)=11,COUNT(F605:F616)=11),cubic_spline(F604:F615,H604:H615,B$11),IF(AND(COUNT(H605:H616)=12,COUNT(F605:F616)=12),cubic_spline(F604:F616,H604:H616,B$11),""))))))))))))</f>
        <v/>
      </c>
      <c r="K612" s="52" t="str">
        <f>IF(N(B$11)=0,"",IF(AND(COUNT(A605:A616)=2,COUNT(F605:F616)=2),cubic_spline(F604:F606,A604:A606,B$11),IF(AND(COUNT(A605:A616)=3,COUNT(F605:F616)=3),cubic_spline(F604:F607,A604:A607,B$11),IF(AND(COUNT(A605:A616)=4,COUNT(F605:F616)=4),cubic_spline(F604:F608,A604:A608,B$11),IF(AND(COUNT(A605:A616)=5,COUNT(F605:F616)=5),cubic_spline(F604:F609,A604:A609,B$11),IF(AND(COUNT(A605:A616)=6,COUNT(F605:F616)=6),cubic_spline(F604:F610,A604:A610,B$11),IF(AND(COUNT(A605:A616)=7,COUNT(F605:F616)=7),cubic_spline(F604:F611,A604:A611,B$11),IF(AND(COUNT(A605:A616)=8,COUNT(F605:F616)=8),cubic_spline(F604:F612,A604:A612,B$11),IF(AND(COUNT(A605:A616)=9,COUNT(F605:F616)=9),cubic_spline(F604:F613,A604:A613,B$11),IF(AND(COUNT(A605:A616)=10,COUNT(F605:F616)=10),cubic_spline(F604:F614,A604:A614,B$11),IF(AND(COUNT(A605:A616)=11,COUNT(F605:F616)=11),cubic_spline(F604:F615,A604:A615,B$11),IF(AND(COUNT(A605:A616)=12,COUNT(F605:F616)=12),cubic_spline(F604:F616,A604:A616,B$11),""))))))))))))</f>
        <v/>
      </c>
      <c r="L612" s="27" t="str">
        <f>IF(I612="","",B$10&amp;"-"&amp;B$11)</f>
        <v/>
      </c>
      <c r="M612" s="52" t="str">
        <f t="shared" si="230"/>
        <v/>
      </c>
    </row>
    <row r="613" spans="1:13" x14ac:dyDescent="0.35">
      <c r="A613" s="48"/>
      <c r="B613" s="48"/>
      <c r="C613" s="49"/>
      <c r="D613" s="50"/>
      <c r="E613" s="51" t="str">
        <f t="shared" si="229"/>
        <v/>
      </c>
      <c r="F613" s="71" t="str">
        <f t="shared" si="226"/>
        <v/>
      </c>
      <c r="G613" s="69" t="str">
        <f t="shared" si="228"/>
        <v/>
      </c>
      <c r="H613" s="70" t="str">
        <f t="shared" si="227"/>
        <v/>
      </c>
      <c r="I613" s="27" t="str">
        <f>IF(N(J613)=0,"",0&amp;"-"&amp;B$12)</f>
        <v/>
      </c>
      <c r="J613" s="52" t="str">
        <f>IF(N(B$12)=0,"",IF(AND(COUNT(H605:H616)=2,COUNT(F605:F616)=2),cubic_spline(F604:F606,H604:H606,B$12),IF(AND(COUNT(H605:H616)=3,COUNT(F605:F616)=3),cubic_spline(F604:F607,H604:H607,B$12),IF(AND(COUNT(H605:H616)=4,COUNT(F605:F616)=4),cubic_spline(F604:F608,H604:H608,B$12),IF(AND(COUNT(H605:H616)=5,COUNT(F605:F616)=5),cubic_spline(F604:F609,H604:H609,B$12),IF(AND(COUNT(H605:H616)=6,COUNT(F605:F616)=6),cubic_spline(F604:F610,H604:H610,B$12),IF(AND(COUNT(H605:H616)=7,COUNT(F605:F616)=7),cubic_spline(F604:F611,H604:H611,B$12),IF(AND(COUNT(H605:H616)=8,COUNT(F605:F616)=8),cubic_spline(F604:F612,H604:H612,B$12),IF(AND(COUNT(H605:H616)=9,COUNT(F605:F616)=9),cubic_spline(F604:F613,H604:H613,B$12),IF(AND(COUNT(H605:H616)=10,COUNT(F605:F616)=10),cubic_spline(F604:F614,H604:H614,B$12),IF(AND(COUNT(H605:H616)=11,COUNT(F605:F616)=11),cubic_spline(F604:F615,H604:H615,B$12),IF(AND(COUNT(H605:H616)=12,COUNT(F605:F616)=12),cubic_spline(F604:F616,H604:H616,B$12),""))))))))))))</f>
        <v/>
      </c>
      <c r="K613" s="52" t="str">
        <f>IF(N(B$12)=0,"",IF(AND(COUNT(A605:A616)=2,COUNT(F605:F616)=2),cubic_spline(F604:F606,A604:A606,B$12),IF(AND(COUNT(A605:A616)=3,COUNT(F605:F616)=3),cubic_spline(F604:F607,A604:A607,B$12),IF(AND(COUNT(A605:A616)=4,COUNT(F605:F616)=4),cubic_spline(F604:F608,A604:A608,B$12),IF(AND(COUNT(A605:A616)=5,COUNT(F605:F616)=5),cubic_spline(F604:F609,A604:A609,B$12),IF(AND(COUNT(A605:A616)=6,COUNT(F605:F616)=6),cubic_spline(F604:F610,A604:A610,B$12),IF(AND(COUNT(A605:A616)=7,COUNT(F605:F616)=7),cubic_spline(F604:F611,A604:A611,B$12),IF(AND(COUNT(A605:A616)=8,COUNT(F605:F616)=8),cubic_spline(F604:F612,A604:A612,B$12),IF(AND(COUNT(A605:A616)=9,COUNT(F605:F616)=9),cubic_spline(F604:F613,A604:A613,B$12),IF(AND(COUNT(A605:A616)=10,COUNT(F605:F616)=10),cubic_spline(F604:F614,A604:A614,B$12),IF(AND(COUNT(A605:A616)=11,COUNT(F605:F616)=11),cubic_spline(F604:F615,A604:A615,B$12),IF(AND(COUNT(A605:A616)=12,COUNT(F605:F616)=12),cubic_spline(F604:F616,A604:A616,B$12),""))))))))))))</f>
        <v/>
      </c>
      <c r="L613" s="27" t="str">
        <f>IF(I613="","",B$11&amp;"-"&amp;B$12)</f>
        <v/>
      </c>
      <c r="M613" s="52" t="str">
        <f t="shared" si="230"/>
        <v/>
      </c>
    </row>
    <row r="614" spans="1:13" x14ac:dyDescent="0.35">
      <c r="A614" s="48"/>
      <c r="B614" s="48"/>
      <c r="C614" s="49"/>
      <c r="D614" s="50"/>
      <c r="E614" s="51" t="str">
        <f t="shared" si="229"/>
        <v/>
      </c>
      <c r="F614" s="71" t="str">
        <f t="shared" si="226"/>
        <v/>
      </c>
      <c r="G614" s="69" t="str">
        <f t="shared" si="228"/>
        <v/>
      </c>
      <c r="H614" s="70" t="str">
        <f t="shared" si="227"/>
        <v/>
      </c>
      <c r="I614" s="27" t="str">
        <f>IF(N(J614)=0,"",0&amp;"-"&amp;B$13)</f>
        <v/>
      </c>
      <c r="J614" s="52" t="str">
        <f>IF(N(B$13)=0,"",IF(AND(COUNT(H605:H616)=2,COUNT(F605:F616)=2),cubic_spline(F604:F606,H604:H606,B$13),IF(AND(COUNT(H605:H616)=3,COUNT(F605:F616)=3),cubic_spline(F604:F607,H604:H607,B$13),IF(AND(COUNT(H605:H616)=4,COUNT(F605:F616)=4),cubic_spline(F604:F608,H604:H608,B$13),IF(AND(COUNT(H605:H616)=5,COUNT(F605:F616)=5),cubic_spline(F604:F609,H604:H609,B$13),IF(AND(COUNT(H605:H616)=6,COUNT(F605:F616)=6),cubic_spline(F604:F610,H604:H610,B$13),IF(AND(COUNT(H605:H616)=7,COUNT(F605:F616)=7),cubic_spline(F604:F611,H604:H611,B$13),IF(AND(COUNT(H605:H616)=8,COUNT(F605:F616)=8),cubic_spline(F604:F612,H604:H612,B$13),IF(AND(COUNT(H605:H616)=9,COUNT(F605:F616)=9),cubic_spline(F604:F613,H604:H613,B$13),IF(AND(COUNT(H605:H616)=10,COUNT(F605:F616)=10),cubic_spline(F604:F614,H604:H614,B$13),IF(AND(COUNT(H605:H616)=11,COUNT(F605:F616)=11),cubic_spline(F604:F615,H604:H615,B$13),IF(AND(COUNT(H605:H616)=12,COUNT(F605:F616)=12),cubic_spline(F604:F616,H604:H616,B$13),""))))))))))))</f>
        <v/>
      </c>
      <c r="K614" s="52" t="str">
        <f>IF(N(B$13)=0,"",IF(AND(COUNT(A605:A616)=2,COUNT(F605:F616)=2),cubic_spline(F604:F606,A604:A606,B$13),IF(AND(COUNT(A605:A616)=3,COUNT(F605:F616)=3),cubic_spline(F604:F607,A604:A607,B$13),IF(AND(COUNT(A605:A616)=4,COUNT(F605:F616)=4),cubic_spline(F604:F608,A604:A608,B$13),IF(AND(COUNT(A605:A616)=5,COUNT(F605:F616)=5),cubic_spline(F604:F609,A604:A609,B$13),IF(AND(COUNT(A605:A616)=6,COUNT(F605:F616)=6),cubic_spline(F604:F610,A604:A610,B$13),IF(AND(COUNT(A605:A616)=7,COUNT(F605:F616)=7),cubic_spline(F604:F611,A604:A611,B$13),IF(AND(COUNT(A605:A616)=8,COUNT(F605:F616)=8),cubic_spline(F604:F612,A604:A612,B$13),IF(AND(COUNT(A605:A616)=9,COUNT(F605:F616)=9),cubic_spline(F604:F613,A604:A613,B$13),IF(AND(COUNT(A605:A616)=10,COUNT(F605:F616)=10),cubic_spline(F604:F614,A604:A614,B$13),IF(AND(COUNT(A605:A616)=11,COUNT(F605:F616)=11),cubic_spline(F604:F615,A604:A615,B$13),IF(AND(COUNT(A605:A616)=12,COUNT(F605:F616)=12),cubic_spline(F604:F616,A604:A616,B$13),""))))))))))))</f>
        <v/>
      </c>
      <c r="L614" s="27" t="str">
        <f>IF(I614="","",B$12&amp;"-"&amp;B$13)</f>
        <v/>
      </c>
      <c r="M614" s="52" t="str">
        <f t="shared" si="230"/>
        <v/>
      </c>
    </row>
    <row r="615" spans="1:13" x14ac:dyDescent="0.35">
      <c r="A615" s="48"/>
      <c r="B615" s="48"/>
      <c r="C615" s="49"/>
      <c r="D615" s="50"/>
      <c r="E615" s="51" t="str">
        <f t="shared" si="229"/>
        <v/>
      </c>
      <c r="F615" s="71" t="str">
        <f t="shared" si="226"/>
        <v/>
      </c>
      <c r="G615" s="69" t="str">
        <f t="shared" si="228"/>
        <v/>
      </c>
      <c r="H615" s="70" t="str">
        <f t="shared" si="227"/>
        <v/>
      </c>
      <c r="I615" s="27" t="str">
        <f>IF(N(J615)=0,"",0&amp;"-"&amp;B$14)</f>
        <v/>
      </c>
      <c r="J615" s="52" t="str">
        <f>IF(N(B$14)=0,"",IF(AND(COUNT(H605:H616)=2,COUNT(F605:F616)=2),cubic_spline(F604:F606,H604:H606,B$14),IF(AND(COUNT(H605:H616)=3,COUNT(F605:F616)=3),cubic_spline(F604:F607,H604:H607,B$14),IF(AND(COUNT(H605:H616)=4,COUNT(F605:F616)=4),cubic_spline(F604:F608,H604:H608,B$14),IF(AND(COUNT(H605:H616)=5,COUNT(F605:F616)=5),cubic_spline(F604:F609,H604:H609,B$14),IF(AND(COUNT(H605:H616)=6,COUNT(F605:F616)=6),cubic_spline(F604:F610,H604:H610,B$14),IF(AND(COUNT(H605:H616)=7,COUNT(F605:F616)=7),cubic_spline(F604:F611,H604:H611,B$14),IF(AND(COUNT(H605:H616)=8,COUNT(F605:F616)=8),cubic_spline(F604:F612,H604:H612,B$14),IF(AND(COUNT(H605:H616)=9,COUNT(F605:F616)=9),cubic_spline(F604:F613,H604:H613,B$14),IF(AND(COUNT(H605:H616)=10,COUNT(F605:F616)=10),cubic_spline(F604:F614,H604:H614,B$14),IF(AND(COUNT(H605:H616)=11,COUNT(F605:F616)=11),cubic_spline(F604:F615,H604:H615,B$14),IF(AND(COUNT(H605:H616)=12,COUNT(F605:F616)=12),cubic_spline(F604:F616,H604:H616,B$14),""))))))))))))</f>
        <v/>
      </c>
      <c r="K615" s="52" t="str">
        <f>IF(N(B$14)=0,"",IF(AND(COUNT(A605:A616)=2,COUNT(F605:F616)=2),cubic_spline(F604:F606,A604:A606,B$14),IF(AND(COUNT(A605:A616)=3,COUNT(F605:F616)=3),cubic_spline(F604:F607,A604:A607,B$14),IF(AND(COUNT(A605:A616)=4,COUNT(F605:F616)=4),cubic_spline(F604:F608,A604:A608,B$14),IF(AND(COUNT(A605:A616)=5,COUNT(F605:F616)=5),cubic_spline(F604:F609,A604:A609,B$14),IF(AND(COUNT(A605:A616)=6,COUNT(F605:F616)=6),cubic_spline(F604:F610,A604:A610,B$14),IF(AND(COUNT(A605:A616)=7,COUNT(F605:F616)=7),cubic_spline(F604:F611,A604:A611,B$14),IF(AND(COUNT(A605:A616)=8,COUNT(F605:F616)=8),cubic_spline(F604:F612,A604:A612,B$14),IF(AND(COUNT(A605:A616)=9,COUNT(F605:F616)=9),cubic_spline(F604:F613,A604:A613,B$14),IF(AND(COUNT(A605:A616)=10,COUNT(F605:F616)=10),cubic_spline(F604:F614,A604:A614,B$14),IF(AND(COUNT(A605:A616)=11,COUNT(F605:F616)=11),cubic_spline(F604:F615,A604:A615,B$14),IF(AND(COUNT(A605:A616)=12,COUNT(F605:F616)=12),cubic_spline(F604:F616,A604:A616,B$14),""))))))))))))</f>
        <v/>
      </c>
      <c r="L615" s="27" t="str">
        <f>IF(I615="","",B$13&amp;"-"&amp;B$14)</f>
        <v/>
      </c>
      <c r="M615" s="52" t="str">
        <f t="shared" si="230"/>
        <v/>
      </c>
    </row>
    <row r="616" spans="1:13" x14ac:dyDescent="0.35">
      <c r="A616" s="48"/>
      <c r="B616" s="48"/>
      <c r="C616" s="49"/>
      <c r="D616" s="50"/>
      <c r="E616" s="51" t="str">
        <f t="shared" si="229"/>
        <v/>
      </c>
      <c r="F616" s="71" t="str">
        <f t="shared" si="226"/>
        <v/>
      </c>
      <c r="G616" s="69" t="str">
        <f t="shared" si="228"/>
        <v/>
      </c>
      <c r="H616" s="70" t="str">
        <f t="shared" si="227"/>
        <v/>
      </c>
      <c r="I616" s="27" t="str">
        <f>IF(N(J616)=0,"",0&amp;"-"&amp;B$15)</f>
        <v/>
      </c>
      <c r="J616" s="52" t="str">
        <f>IF(N(B$15)=0,"",IF(AND(COUNT(H605:H616)=2,COUNT(F605:F616)=2),cubic_spline(F604:F606,H604:H606,B$15),IF(AND(COUNT(H605:H616)=3,COUNT(F605:F616)=3),cubic_spline(F604:F607,H604:H607,B$15),IF(AND(COUNT(H605:H616)=4,COUNT(F605:F616)=4),cubic_spline(F604:F608,H604:H608,B$15),IF(AND(COUNT(H605:H616)=5,COUNT(F605:F616)=5),cubic_spline(F604:F609,H604:H609,B$15),IF(AND(COUNT(H605:H616)=6,COUNT(F605:F616)=6),cubic_spline(F604:F610,H604:H610,B$15),IF(AND(COUNT(H605:H616)=7,COUNT(F605:F616)=7),cubic_spline(F604:F611,H604:H611,B$15),IF(AND(COUNT(H605:H616)=8,COUNT(F605:F616)=8),cubic_spline(F604:F612,H604:H612,B$15),IF(AND(COUNT(H605:H616)=9,COUNT(F605:F616)=9),cubic_spline(F604:F613,H604:H613,B$15),IF(AND(COUNT(H605:H616)=10,COUNT(F605:F616)=10),cubic_spline(F604:F614,H604:H614,B$15),IF(AND(COUNT(H605:H616)=11,COUNT(F605:F616)=11),cubic_spline(F604:F615,H604:H615,B$15),IF(AND(COUNT(H605:H616)=12,COUNT(F605:F616)=12),cubic_spline(F604:F616,H604:H616,B$15),""))))))))))))</f>
        <v/>
      </c>
      <c r="K616" s="52" t="str">
        <f>IF(N(B$15)=0,"",IF(AND(COUNT(A605:A616)=2,COUNT(F605:F616)=2),cubic_spline(F604:F606,A604:A606,B$15),IF(AND(COUNT(A605:A616)=3,COUNT(F605:F616)=3),cubic_spline(F604:F607,A604:A607,B$15),IF(AND(COUNT(A605:A616)=4,COUNT(F605:F616)=4),cubic_spline(F604:F608,A604:A608,B$15),IF(AND(COUNT(A605:A616)=5,COUNT(F605:F616)=5),cubic_spline(F604:F609,A604:A609,B$15),IF(AND(COUNT(A605:A616)=6,COUNT(F605:F616)=6),cubic_spline(F604:F610,A604:A610,B$15),IF(AND(COUNT(A605:A616)=7,COUNT(F605:F616)=7),cubic_spline(F604:F611,A604:A611,B$15),IF(AND(COUNT(A605:A616)=8,COUNT(F605:F616)=8),cubic_spline(F604:F612,A604:A612,B$15),IF(AND(COUNT(A605:A616)=9,COUNT(F605:F616)=9),cubic_spline(F604:F613,A604:A613,B$15),IF(AND(COUNT(A605:A616)=10,COUNT(F605:F616)=10),cubic_spline(F604:F614,A604:A614,B$15),IF(AND(COUNT(A605:A616)=11,COUNT(F605:F616)=11),cubic_spline(F604:F615,A604:A615,B$15),IF(AND(COUNT(A605:A616)=12,COUNT(F605:F616)=12),cubic_spline(F604:F616,A604:A616,B$15),""))))))))))))</f>
        <v/>
      </c>
      <c r="L616" s="27" t="str">
        <f>IF(I616="","",B$14&amp;"-"&amp;B$15)</f>
        <v/>
      </c>
      <c r="M616" s="52" t="str">
        <f t="shared" si="230"/>
        <v/>
      </c>
    </row>
    <row r="617" spans="1:13" ht="5.15" customHeight="1" x14ac:dyDescent="0.35">
      <c r="A617" s="47"/>
      <c r="B617" s="47"/>
      <c r="C617" s="47"/>
      <c r="D617" s="53"/>
      <c r="E617" s="54"/>
      <c r="F617" s="55"/>
      <c r="G617" s="72"/>
      <c r="H617" s="73"/>
      <c r="I617" s="47"/>
      <c r="J617" s="57"/>
      <c r="K617" s="57"/>
      <c r="L617" s="55"/>
      <c r="M617" s="57"/>
    </row>
    <row r="618" spans="1:13" x14ac:dyDescent="0.35">
      <c r="A618" s="48"/>
      <c r="B618" s="48"/>
      <c r="C618" s="49"/>
      <c r="D618" s="50"/>
      <c r="E618" s="51" t="str">
        <f>IF(N(C618)=0,"",C618/PI()/($D$1/2)^2/$D$2*10000)</f>
        <v/>
      </c>
      <c r="F618" s="68" t="str">
        <f t="shared" ref="F618:F629" si="231">IF(N(E618)=0,"",(N(E618)+N(F617)))</f>
        <v/>
      </c>
      <c r="G618" s="69" t="str">
        <f>IF(OR(N(D618)=0,N(E618)=0),"",(E618*D618)/1000)</f>
        <v/>
      </c>
      <c r="H618" s="70" t="str">
        <f t="shared" ref="H618:H629" si="232">IF(N(G618)=0,"",(N(G618)+N(H617)))</f>
        <v/>
      </c>
      <c r="I618" s="27" t="str">
        <f>IF(N(J618)=0,"",0&amp;"-"&amp;B$4)</f>
        <v/>
      </c>
      <c r="J618" s="52" t="str">
        <f>IF(N(B$4)=0,"",IF(AND(COUNT(H618:H629)=2,COUNT(F618:F629)=2),cubic_spline(F617:F619,H617:H619,B$4),IF(AND(COUNT(H618:H629)=3,COUNT(F618:F629)=3),cubic_spline(F617:F620,H617:H620,B$4),IF(AND(COUNT(H618:H629)=4,COUNT(F618:F629)=4),cubic_spline(F617:F621,H617:H621,B$4),IF(AND(COUNT(H618:H629)=5,COUNT(F618:F629)=5),cubic_spline(F617:F622,H617:H622,B$4),IF(AND(COUNT(H618:H629)=6,COUNT(F618:F629)=6),cubic_spline(F617:F623,H617:H623,B$4),IF(AND(COUNT(H618:H629)=7,COUNT(F618:F629)=7),cubic_spline(F617:F624,H617:H624,B$4),IF(AND(COUNT(H618:H629)=8,COUNT(F618:F629)=8),cubic_spline(F617:F625,H617:H625,B$4),IF(AND(COUNT(H618:H629)=9,COUNT(F618:F629)=9),cubic_spline(F617:F626,H617:H626,B$4),IF(AND(COUNT(H618:H629)=10,COUNT(F618:F629)=10),cubic_spline(F617:F627,H617:H627,B$4),IF(AND(COUNT(H618:H629)=11,COUNT(F618:F629)=11),cubic_spline(F617:F628,H617:H628,B$4),IF(AND(COUNT(H618:H629)=12,COUNT(F618:F629)=12),cubic_spline(F617:F629,H617:H629,B$4),""))))))))))))</f>
        <v/>
      </c>
      <c r="K618" s="52" t="str">
        <f>IF(N(B$4)=0,"",IF(AND(COUNT(A618:A629)=2,COUNT(F618:F629)=2),cubic_spline(F617:F619,A617:A619,B$4),IF(AND(COUNT(A618:A629)=3,COUNT(F618:F629)=3),cubic_spline(F617:F620,A617:A620,B$4),IF(AND(COUNT(A618:A629)=4,COUNT(F618:F629)=4),cubic_spline(F617:F621,A617:A621,B$4),IF(AND(COUNT(A618:A629)=5,COUNT(F618:F629)=5),cubic_spline(F617:F622,A617:A622,B$4),IF(AND(COUNT(A618:A629)=6,COUNT(F618:F629)=6),cubic_spline(F617:F623,A617:A623,B$4),IF(AND(COUNT(A618:A629)=7,COUNT(F618:F629)=7),cubic_spline(F617:F624,A617:A624,B$4),IF(AND(COUNT(A618:A629)=8,COUNT(F618:F629)=8),cubic_spline(F617:F625,A617:A625,B$4),IF(AND(COUNT(A618:A629)=9,COUNT(F618:F629)=9),cubic_spline(F617:F626,A617:A626,B$4),IF(AND(COUNT(A618:A629)=10,COUNT(F618:F629)=10),cubic_spline(F617:F627,A617:A627,B$4),IF(AND(COUNT(A618:A629)=11,COUNT(F618:F629)=11),cubic_spline(F617:F628,A617:A628,B$4),IF(AND(COUNT(A618:A629)=12,COUNT(F618:F629)=12),cubic_spline(F617:F629,A617:A629,B$4),""))))))))))))</f>
        <v/>
      </c>
      <c r="L618" s="27" t="str">
        <f>IF(I618="","",0&amp;"-"&amp;B$4)</f>
        <v/>
      </c>
      <c r="M618" s="52" t="str">
        <f>IF(N(J618)=0,"",J618-J617)</f>
        <v/>
      </c>
    </row>
    <row r="619" spans="1:13" x14ac:dyDescent="0.35">
      <c r="A619" s="48"/>
      <c r="B619" s="48"/>
      <c r="C619" s="49"/>
      <c r="D619" s="50"/>
      <c r="E619" s="51" t="str">
        <f>IF(N(C619)=0,"",C619/PI()/($D$1/2)^2/$D$2*10000)</f>
        <v/>
      </c>
      <c r="F619" s="68" t="str">
        <f t="shared" si="231"/>
        <v/>
      </c>
      <c r="G619" s="69" t="str">
        <f t="shared" ref="G619:G629" si="233">IF(OR(N(D619)=0,N(E619)=0),"",(E619*D619)/1000)</f>
        <v/>
      </c>
      <c r="H619" s="70" t="str">
        <f t="shared" si="232"/>
        <v/>
      </c>
      <c r="I619" s="27" t="str">
        <f>IF(N(J619)=0,"",0&amp;"-"&amp;B$5)</f>
        <v/>
      </c>
      <c r="J619" s="52" t="str">
        <f>IF(N(B$5)=0,"",IF(AND(COUNT(H618:H629)=2,COUNT(F618:F629)=2),cubic_spline(F617:F619,H617:H619,B$5),IF(AND(COUNT(H618:H629)=3,COUNT(F618:F629)=3),cubic_spline(F617:F620,H617:H620,B$5),IF(AND(COUNT(H618:H629)=4,COUNT(F618:F629)=4),cubic_spline(F617:F621,H617:H621,B$5),IF(AND(COUNT(H618:H629)=5,COUNT(F618:F629)=5),cubic_spline(F617:F622,H617:H622,B$5),IF(AND(COUNT(H618:H629)=6,COUNT(F618:F629)=6),cubic_spline(F617:F623,H617:H623,B$5),IF(AND(COUNT(H618:H629)=7,COUNT(F618:F629)=7),cubic_spline(F617:F624,H617:H624,B$5),IF(AND(COUNT(H618:H629)=8,COUNT(F618:F629)=8),cubic_spline(F617:F625,H617:H625,B$5),IF(AND(COUNT(H618:H629)=9,COUNT(F618:F629)=9),cubic_spline(F617:F626,H617:H626,B$5),IF(AND(COUNT(H618:H629)=10,COUNT(F618:F629)=10),cubic_spline(F617:F627,H617:H627,B$5),IF(AND(COUNT(H618:H629)=11,COUNT(F618:F629)=11),cubic_spline(F617:F628,H617:H628,B$5),IF(AND(COUNT(H618:H629)=12,COUNT(F618:F629)=12),cubic_spline(F617:F629,H617:H629,B$5),""))))))))))))</f>
        <v/>
      </c>
      <c r="K619" s="52" t="str">
        <f>IF(N(B$5)=0,"",IF(AND(COUNT(A618:A629)=2,COUNT(F618:F629)=2),cubic_spline(F617:F619,A617:A619,B$5),IF(AND(COUNT(A618:A629)=3,COUNT(F618:F629)=3),cubic_spline(F617:F620,A617:A620,B$5),IF(AND(COUNT(A618:A629)=4,COUNT(F618:F629)=4),cubic_spline(F617:F621,A617:A621,B$5),IF(AND(COUNT(A618:A629)=5,COUNT(F618:F629)=5),cubic_spline(F617:F622,A617:A622,B$5),IF(AND(COUNT(A618:A629)=6,COUNT(F618:F629)=6),cubic_spline(F617:F623,A617:A623,B$5),IF(AND(COUNT(A618:A629)=7,COUNT(F618:F629)=7),cubic_spline(F617:F624,A617:A624,B$5),IF(AND(COUNT(A618:A629)=8,COUNT(F618:F629)=8),cubic_spline(F617:F625,A617:A625,B$5),IF(AND(COUNT(A618:A629)=9,COUNT(F618:F629)=9),cubic_spline(F617:F626,A617:A626,B$5),IF(AND(COUNT(A618:A629)=10,COUNT(F618:F629)=10),cubic_spline(F617:F627,A617:A627,B$5),IF(AND(COUNT(A618:A629)=11,COUNT(F618:F629)=11),cubic_spline(F617:F628,A617:A628,B$5),IF(AND(COUNT(A618:A629)=12,COUNT(F618:F629)=12),cubic_spline(F617:F629,A617:A629,B$5),""))))))))))))</f>
        <v/>
      </c>
      <c r="L619" s="27" t="str">
        <f>IF(I619="","",B$4&amp;"-"&amp;B$5)</f>
        <v/>
      </c>
      <c r="M619" s="52" t="str">
        <f>IF(N(J619)=0,"",J619-J618)</f>
        <v/>
      </c>
    </row>
    <row r="620" spans="1:13" x14ac:dyDescent="0.35">
      <c r="A620" s="48"/>
      <c r="B620" s="48"/>
      <c r="C620" s="49"/>
      <c r="D620" s="50"/>
      <c r="E620" s="51" t="str">
        <f>IF(N(C620)=0,"",C620/PI()/($D$1/2)^2/$D$2*10000)</f>
        <v/>
      </c>
      <c r="F620" s="68" t="str">
        <f t="shared" si="231"/>
        <v/>
      </c>
      <c r="G620" s="69" t="str">
        <f t="shared" si="233"/>
        <v/>
      </c>
      <c r="H620" s="70" t="str">
        <f t="shared" si="232"/>
        <v/>
      </c>
      <c r="I620" s="27" t="str">
        <f>IF(N(J620)=0,"",0&amp;"-"&amp;B$6)</f>
        <v/>
      </c>
      <c r="J620" s="52" t="str">
        <f>IF(N(B$6)=0,"",IF(AND(COUNT(H618:H629)=2,COUNT(F618:F629)=2),cubic_spline(F617:F619,H617:H619,B$6),IF(AND(COUNT(H618:H629)=3,COUNT(F618:F629)=3),cubic_spline(F617:F620,H617:H620,B$6),IF(AND(COUNT(H618:H629)=4,COUNT(F618:F629)=4),cubic_spline(F617:F621,H617:H621,B$6),IF(AND(COUNT(H618:H629)=5,COUNT(F618:F629)=5),cubic_spline(F617:F622,H617:H622,B$6),IF(AND(COUNT(H618:H629)=6,COUNT(F618:F629)=6),cubic_spline(F617:F623,H617:H623,B$6),IF(AND(COUNT(H618:H629)=7,COUNT(F618:F629)=7),cubic_spline(F617:F624,H617:H624,B$6),IF(AND(COUNT(H618:H629)=8,COUNT(F618:F629)=8),cubic_spline(F617:F625,H617:H625,B$6),IF(AND(COUNT(H618:H629)=9,COUNT(F618:F629)=9),cubic_spline(F617:F626,H617:H626,B$6),IF(AND(COUNT(H618:H629)=10,COUNT(F618:F629)=10),cubic_spline(F617:F627,H617:H627,B$6),IF(AND(COUNT(H618:H629)=11,COUNT(F618:F629)=11),cubic_spline(F617:F628,H617:H628,B$6),IF(AND(COUNT(H618:H629)=12,COUNT(F618:F629)=12),cubic_spline(F617:F629,H617:H629,B$6),""))))))))))))</f>
        <v/>
      </c>
      <c r="K620" s="52" t="str">
        <f>IF(N(B$6)=0,"",IF(AND(COUNT(A618:A629)=2,COUNT(F618:F629)=2),cubic_spline(F617:F619,A617:A619,B$6),IF(AND(COUNT(A618:A629)=3,COUNT(F618:F629)=3),cubic_spline(F617:F620,A617:A620,B$6),IF(AND(COUNT(A618:A629)=4,COUNT(F618:F629)=4),cubic_spline(F617:F621,A617:A621,B$6),IF(AND(COUNT(A618:A629)=5,COUNT(F618:F629)=5),cubic_spline(F617:F622,A617:A622,B$6),IF(AND(COUNT(A618:A629)=6,COUNT(F618:F629)=6),cubic_spline(F617:F623,A617:A623,B$6),IF(AND(COUNT(A618:A629)=7,COUNT(F618:F629)=7),cubic_spline(F617:F624,A617:A624,B$6),IF(AND(COUNT(A618:A629)=8,COUNT(F618:F629)=8),cubic_spline(F617:F625,A617:A625,B$6),IF(AND(COUNT(A618:A629)=9,COUNT(F618:F629)=9),cubic_spline(F617:F626,A617:A626,B$6),IF(AND(COUNT(A618:A629)=10,COUNT(F618:F629)=10),cubic_spline(F617:F627,A617:A627,B$6),IF(AND(COUNT(A618:A629)=11,COUNT(F618:F629)=11),cubic_spline(F617:F628,A617:A628,B$6),IF(AND(COUNT(A618:A629)=12,COUNT(F618:F629)=12),cubic_spline(F617:F629,A617:A629,B$6),""))))))))))))</f>
        <v/>
      </c>
      <c r="L620" s="27" t="str">
        <f>IF(I620="","",B$5&amp;"-"&amp;B$6)</f>
        <v/>
      </c>
      <c r="M620" s="52" t="str">
        <f>IF(N(J620)=0,"",J620-J619)</f>
        <v/>
      </c>
    </row>
    <row r="621" spans="1:13" x14ac:dyDescent="0.35">
      <c r="A621" s="48"/>
      <c r="B621" s="48"/>
      <c r="C621" s="49"/>
      <c r="D621" s="50"/>
      <c r="E621" s="51" t="str">
        <f>IF(N(C621)=0,"",C621/PI()/($D$1/2)^2/$D$2*10000)</f>
        <v/>
      </c>
      <c r="F621" s="68" t="str">
        <f t="shared" si="231"/>
        <v/>
      </c>
      <c r="G621" s="69" t="str">
        <f t="shared" si="233"/>
        <v/>
      </c>
      <c r="H621" s="70" t="str">
        <f t="shared" si="232"/>
        <v/>
      </c>
      <c r="I621" s="27" t="str">
        <f>IF(N(J621)=0,"",0&amp;"-"&amp;B$7)</f>
        <v/>
      </c>
      <c r="J621" s="52" t="str">
        <f>IF(N(B$7)=0,"",IF(AND(COUNT(H618:H629)=2,COUNT(F618:F629)=2),cubic_spline(F617:F619,H617:H619,B$7),IF(AND(COUNT(H618:H629)=3,COUNT(F618:F629)=3),cubic_spline(F617:F620,H617:H620,B$7),IF(AND(COUNT(H618:H629)=4,COUNT(F618:F629)=4),cubic_spline(F617:F621,H617:H621,B$7),IF(AND(COUNT(H618:H629)=5,COUNT(F618:F629)=5),cubic_spline(F617:F622,H617:H622,B$7),IF(AND(COUNT(H618:H629)=6,COUNT(F618:F629)=6),cubic_spline(F617:F623,H617:H623,B$7),IF(AND(COUNT(H618:H629)=7,COUNT(F618:F629)=7),cubic_spline(F617:F624,H617:H624,B$7),IF(AND(COUNT(H618:H629)=8,COUNT(F618:F629)=8),cubic_spline(F617:F625,H617:H625,B$7),IF(AND(COUNT(H618:H629)=9,COUNT(F618:F629)=9),cubic_spline(F617:F626,H617:H626,B$7),IF(AND(COUNT(H618:H629)=10,COUNT(F618:F629)=10),cubic_spline(F617:F627,H617:H627,B$7),IF(AND(COUNT(H618:H629)=11,COUNT(F618:F629)=11),cubic_spline(F617:F628,H617:H628,B$7),IF(AND(COUNT(H618:H629)=12,COUNT(F618:F629)=12),cubic_spline(F617:F629,H617:H629,B$7),""))))))))))))</f>
        <v/>
      </c>
      <c r="K621" s="52" t="str">
        <f>IF(N(B$7)=0,"",IF(AND(COUNT(A618:A629)=2,COUNT(F618:F629)=2),cubic_spline(F617:F619,A617:A619,B$7),IF(AND(COUNT(A618:A629)=3,COUNT(F618:F629)=3),cubic_spline(F617:F620,A617:A620,B$7),IF(AND(COUNT(A618:A629)=4,COUNT(F618:F629)=4),cubic_spline(F617:F621,A617:A621,B$7),IF(AND(COUNT(A618:A629)=5,COUNT(F618:F629)=5),cubic_spline(F617:F622,A617:A622,B$7),IF(AND(COUNT(A618:A629)=6,COUNT(F618:F629)=6),cubic_spline(F617:F623,A617:A623,B$7),IF(AND(COUNT(A618:A629)=7,COUNT(F618:F629)=7),cubic_spline(F617:F624,A617:A624,B$7),IF(AND(COUNT(A618:A629)=8,COUNT(F618:F629)=8),cubic_spline(F617:F625,A617:A625,B$7),IF(AND(COUNT(A618:A629)=9,COUNT(F618:F629)=9),cubic_spline(F617:F626,A617:A626,B$7),IF(AND(COUNT(A618:A629)=10,COUNT(F618:F629)=10),cubic_spline(F617:F627,A617:A627,B$7),IF(AND(COUNT(A618:A629)=11,COUNT(F618:F629)=11),cubic_spline(F617:F628,A617:A628,B$7),IF(AND(COUNT(A618:A629)=12,COUNT(F618:F629)=12),cubic_spline(F617:F629,A617:A629,B$7),""))))))))))))</f>
        <v/>
      </c>
      <c r="L621" s="27" t="str">
        <f>IF(I621="","",B$6&amp;"-"&amp;B$7)</f>
        <v/>
      </c>
      <c r="M621" s="52" t="str">
        <f>IF(N(J621)=0,"",J621-J620)</f>
        <v/>
      </c>
    </row>
    <row r="622" spans="1:13" x14ac:dyDescent="0.35">
      <c r="A622" s="48"/>
      <c r="B622" s="48"/>
      <c r="C622" s="49"/>
      <c r="D622" s="50"/>
      <c r="E622" s="51" t="str">
        <f t="shared" ref="E622:E629" si="234">IF(N(C622)=0,"",C622/PI()/($D$1/2)^2/$D$2*10000)</f>
        <v/>
      </c>
      <c r="F622" s="71" t="str">
        <f t="shared" si="231"/>
        <v/>
      </c>
      <c r="G622" s="69" t="str">
        <f t="shared" si="233"/>
        <v/>
      </c>
      <c r="H622" s="70" t="str">
        <f t="shared" si="232"/>
        <v/>
      </c>
      <c r="I622" s="27" t="str">
        <f>IF(N(J622)=0,"",0&amp;"-"&amp;B$8)</f>
        <v/>
      </c>
      <c r="J622" s="52" t="str">
        <f>IF(N(B$8)=0,"",IF(AND(COUNT(H618:H629)=2,COUNT(F618:F629)=2),cubic_spline(F617:F619,H617:H619,B$8),IF(AND(COUNT(H618:H629)=3,COUNT(F618:F629)=3),cubic_spline(F617:F620,H617:H620,B$8),IF(AND(COUNT(H618:H629)=4,COUNT(F618:F629)=4),cubic_spline(F617:F621,H617:H621,B$8),IF(AND(COUNT(H618:H629)=5,COUNT(F618:F629)=5),cubic_spline(F617:F622,H617:H622,B$8),IF(AND(COUNT(H618:H629)=6,COUNT(F618:F629)=6),cubic_spline(F617:F623,H617:H623,B$8),IF(AND(COUNT(H618:H629)=7,COUNT(F618:F629)=7),cubic_spline(F617:F624,H617:H624,B$8),IF(AND(COUNT(H618:H629)=8,COUNT(F618:F629)=8),cubic_spline(F617:F625,H617:H625,B$8),IF(AND(COUNT(H618:H629)=9,COUNT(F618:F629)=9),cubic_spline(F617:F626,H617:H626,B$8),IF(AND(COUNT(H618:H629)=10,COUNT(F618:F629)=10),cubic_spline(F617:F627,H617:H627,B$8),IF(AND(COUNT(H618:H629)=11,COUNT(F618:F629)=11),cubic_spline(F617:F628,H617:H628,B$8),IF(AND(COUNT(H618:H629)=12,COUNT(F618:F629)=12),cubic_spline(F617:F629,H617:H629,B$8),""))))))))))))</f>
        <v/>
      </c>
      <c r="K622" s="52" t="str">
        <f>IF(N(B$8)=0,"",IF(AND(COUNT(A618:A629)=2,COUNT(F618:F629)=2),cubic_spline(F617:F619,A617:A619,B$8),IF(AND(COUNT(A618:A629)=3,COUNT(F618:F629)=3),cubic_spline(F617:F620,A617:A620,B$8),IF(AND(COUNT(A618:A629)=4,COUNT(F618:F629)=4),cubic_spline(F617:F621,A617:A621,B$8),IF(AND(COUNT(A618:A629)=5,COUNT(F618:F629)=5),cubic_spline(F617:F622,A617:A622,B$8),IF(AND(COUNT(A618:A629)=6,COUNT(F618:F629)=6),cubic_spline(F617:F623,A617:A623,B$8),IF(AND(COUNT(A618:A629)=7,COUNT(F618:F629)=7),cubic_spline(F617:F624,A617:A624,B$8),IF(AND(COUNT(A618:A629)=8,COUNT(F618:F629)=8),cubic_spline(F617:F625,A617:A625,B$8),IF(AND(COUNT(A618:A629)=9,COUNT(F618:F629)=9),cubic_spline(F617:F626,A617:A626,B$8),IF(AND(COUNT(A618:A629)=10,COUNT(F618:F629)=10),cubic_spline(F617:F627,A617:A627,B$8),IF(AND(COUNT(A618:A629)=11,COUNT(F618:F629)=11),cubic_spline(F617:F628,A617:A628,B$8),IF(AND(COUNT(A618:A629)=12,COUNT(F618:F629)=12),cubic_spline(F617:F629,A617:A629,B$8),""))))))))))))</f>
        <v/>
      </c>
      <c r="L622" s="27" t="str">
        <f>IF(I622="","",B$7&amp;"-"&amp;B$8)</f>
        <v/>
      </c>
      <c r="M622" s="52" t="str">
        <f>IF(N(J622)=0,"",J622-J621)</f>
        <v/>
      </c>
    </row>
    <row r="623" spans="1:13" x14ac:dyDescent="0.35">
      <c r="A623" s="48"/>
      <c r="B623" s="48"/>
      <c r="C623" s="49"/>
      <c r="D623" s="50"/>
      <c r="E623" s="51" t="str">
        <f t="shared" si="234"/>
        <v/>
      </c>
      <c r="F623" s="71" t="str">
        <f t="shared" si="231"/>
        <v/>
      </c>
      <c r="G623" s="69" t="str">
        <f t="shared" si="233"/>
        <v/>
      </c>
      <c r="H623" s="70" t="str">
        <f t="shared" si="232"/>
        <v/>
      </c>
      <c r="I623" s="27" t="str">
        <f>IF(N(J623)=0,"",0&amp;"-"&amp;B$9)</f>
        <v/>
      </c>
      <c r="J623" s="52" t="str">
        <f>IF(N(B$9)=0,"",IF(AND(COUNT(H618:H629)=2,COUNT(F618:F629)=2),cubic_spline(F617:F619,H617:H619,B$9),IF(AND(COUNT(H618:H629)=3,COUNT(F618:F629)=3),cubic_spline(F617:F620,H617:H620,B$9),IF(AND(COUNT(H618:H629)=4,COUNT(F618:F629)=4),cubic_spline(F617:F621,H617:H621,B$9),IF(AND(COUNT(H618:H629)=5,COUNT(F618:F629)=5),cubic_spline(F617:F622,H617:H622,B$9),IF(AND(COUNT(H618:H629)=6,COUNT(F618:F629)=6),cubic_spline(F617:F623,H617:H623,B$9),IF(AND(COUNT(H618:H629)=7,COUNT(F618:F629)=7),cubic_spline(F617:F624,H617:H624,B$9),IF(AND(COUNT(H618:H629)=8,COUNT(F618:F629)=8),cubic_spline(F617:F625,H617:H625,B$9),IF(AND(COUNT(H618:H629)=9,COUNT(F618:F629)=9),cubic_spline(F617:F626,H617:H626,B$9),IF(AND(COUNT(H618:H629)=10,COUNT(F618:F629)=10),cubic_spline(F617:F627,H617:H627,B$9),IF(AND(COUNT(H618:H629)=11,COUNT(F618:F629)=11),cubic_spline(F617:F628,H617:H628,B$9),IF(AND(COUNT(H618:H629)=12,COUNT(F618:F629)=12),cubic_spline(F617:F629,H617:H629,B$9),""))))))))))))</f>
        <v/>
      </c>
      <c r="K623" s="52" t="str">
        <f>IF(N(B$9)=0,"",IF(AND(COUNT(A618:A629)=2,COUNT(F618:F629)=2),cubic_spline(F617:F619,A617:A619,B$9),IF(AND(COUNT(A618:A629)=3,COUNT(F618:F629)=3),cubic_spline(F617:F620,A617:A620,B$9),IF(AND(COUNT(A618:A629)=4,COUNT(F618:F629)=4),cubic_spline(F617:F621,A617:A621,B$9),IF(AND(COUNT(A618:A629)=5,COUNT(F618:F629)=5),cubic_spline(F617:F622,A617:A622,B$9),IF(AND(COUNT(A618:A629)=6,COUNT(F618:F629)=6),cubic_spline(F617:F623,A617:A623,B$9),IF(AND(COUNT(A618:A629)=7,COUNT(F618:F629)=7),cubic_spline(F617:F624,A617:A624,B$9),IF(AND(COUNT(A618:A629)=8,COUNT(F618:F629)=8),cubic_spline(F617:F625,A617:A625,B$9),IF(AND(COUNT(A618:A629)=9,COUNT(F618:F629)=9),cubic_spline(F617:F626,A617:A626,B$9),IF(AND(COUNT(A618:A629)=10,COUNT(F618:F629)=10),cubic_spline(F617:F627,A617:A627,B$9),IF(AND(COUNT(A618:A629)=11,COUNT(F618:F629)=11),cubic_spline(F617:F628,A617:A628,B$9),IF(AND(COUNT(A618:A629)=12,COUNT(F618:F629)=12),cubic_spline(F617:F629,A617:A629,B$9),""))))))))))))</f>
        <v/>
      </c>
      <c r="L623" s="27" t="str">
        <f>IF(I623="","",B$8&amp;"-"&amp;B$9)</f>
        <v/>
      </c>
      <c r="M623" s="52" t="str">
        <f t="shared" ref="M623:M629" si="235">IF(N(J623)=0,"",J623-J622)</f>
        <v/>
      </c>
    </row>
    <row r="624" spans="1:13" x14ac:dyDescent="0.35">
      <c r="A624" s="48"/>
      <c r="B624" s="48"/>
      <c r="C624" s="49"/>
      <c r="D624" s="50"/>
      <c r="E624" s="51" t="str">
        <f t="shared" si="234"/>
        <v/>
      </c>
      <c r="F624" s="71" t="str">
        <f t="shared" si="231"/>
        <v/>
      </c>
      <c r="G624" s="69" t="str">
        <f t="shared" si="233"/>
        <v/>
      </c>
      <c r="H624" s="70" t="str">
        <f t="shared" si="232"/>
        <v/>
      </c>
      <c r="I624" s="27" t="str">
        <f>IF(N(J624)=0,"",0&amp;"-"&amp;B$10)</f>
        <v/>
      </c>
      <c r="J624" s="52" t="str">
        <f>IF(N(B$10)=0,"",IF(AND(COUNT(H618:H629)=2,COUNT(F618:F629)=2),cubic_spline(F617:F619,H617:H619,B$10),IF(AND(COUNT(H618:H629)=3,COUNT(F618:F629)=3),cubic_spline(F617:F620,H617:H620,B$10),IF(AND(COUNT(H618:H629)=4,COUNT(F618:F629)=4),cubic_spline(F617:F621,H617:H621,B$10),IF(AND(COUNT(H618:H629)=5,COUNT(F618:F629)=5),cubic_spline(F617:F622,H617:H622,B$10),IF(AND(COUNT(H618:H629)=6,COUNT(F618:F629)=6),cubic_spline(F617:F623,H617:H623,B$10),IF(AND(COUNT(H618:H629)=7,COUNT(F618:F629)=7),cubic_spline(F617:F624,H617:H624,B$10),IF(AND(COUNT(H618:H629)=8,COUNT(F618:F629)=8),cubic_spline(F617:F625,H617:H625,B$10),IF(AND(COUNT(H618:H629)=9,COUNT(F618:F629)=9),cubic_spline(F617:F626,H617:H626,B$10),IF(AND(COUNT(H618:H629)=10,COUNT(F618:F629)=10),cubic_spline(F617:F627,H617:H627,B$10),IF(AND(COUNT(H618:H629)=11,COUNT(F618:F629)=11),cubic_spline(F617:F628,H617:H628,B$10),IF(AND(COUNT(H618:H629)=12,COUNT(F618:F629)=12),cubic_spline(F617:F629,H617:H629,B$10),""))))))))))))</f>
        <v/>
      </c>
      <c r="K624" s="52" t="str">
        <f>IF(N(B$10)=0,"",IF(AND(COUNT(A618:A629)=2,COUNT(F618:F629)=2),cubic_spline(F617:F619,A617:A619,B$10),IF(AND(COUNT(A618:A629)=3,COUNT(F618:F629)=3),cubic_spline(F617:F620,A617:A620,B$10),IF(AND(COUNT(A618:A629)=4,COUNT(F618:F629)=4),cubic_spline(F617:F621,A617:A621,B$10),IF(AND(COUNT(A618:A629)=5,COUNT(F618:F629)=5),cubic_spline(F617:F622,A617:A622,B$10),IF(AND(COUNT(A618:A629)=6,COUNT(F618:F629)=6),cubic_spline(F617:F623,A617:A623,B$10),IF(AND(COUNT(A618:A629)=7,COUNT(F618:F629)=7),cubic_spline(F617:F624,A617:A624,B$10),IF(AND(COUNT(A618:A629)=8,COUNT(F618:F629)=8),cubic_spline(F617:F625,A617:A625,B$10),IF(AND(COUNT(A618:A629)=9,COUNT(F618:F629)=9),cubic_spline(F617:F626,A617:A626,B$10),IF(AND(COUNT(A618:A629)=10,COUNT(F618:F629)=10),cubic_spline(F617:F627,A617:A627,B$10),IF(AND(COUNT(A618:A629)=11,COUNT(F618:F629)=11),cubic_spline(F617:F628,A617:A628,B$10),IF(AND(COUNT(A618:A629)=12,COUNT(F618:F629)=12),cubic_spline(F617:F629,A617:A629,B$10),""))))))))))))</f>
        <v/>
      </c>
      <c r="L624" s="27" t="str">
        <f>IF(I624="","",B$9&amp;"-"&amp;B$10)</f>
        <v/>
      </c>
      <c r="M624" s="52" t="str">
        <f t="shared" si="235"/>
        <v/>
      </c>
    </row>
    <row r="625" spans="1:13" x14ac:dyDescent="0.35">
      <c r="A625" s="48"/>
      <c r="B625" s="48"/>
      <c r="C625" s="49"/>
      <c r="D625" s="50"/>
      <c r="E625" s="51" t="str">
        <f t="shared" si="234"/>
        <v/>
      </c>
      <c r="F625" s="71" t="str">
        <f t="shared" si="231"/>
        <v/>
      </c>
      <c r="G625" s="69" t="str">
        <f t="shared" si="233"/>
        <v/>
      </c>
      <c r="H625" s="70" t="str">
        <f t="shared" si="232"/>
        <v/>
      </c>
      <c r="I625" s="27" t="str">
        <f>IF(N(J625)=0,"",0&amp;"-"&amp;B$11)</f>
        <v/>
      </c>
      <c r="J625" s="52" t="str">
        <f>IF(N(B$11)=0,"",IF(AND(COUNT(H618:H629)=2,COUNT(F618:F629)=2),cubic_spline(F617:F619,H617:H619,B$11),IF(AND(COUNT(H618:H629)=3,COUNT(F618:F629)=3),cubic_spline(F617:F620,H617:H620,B$11),IF(AND(COUNT(H618:H629)=4,COUNT(F618:F629)=4),cubic_spline(F617:F621,H617:H621,B$11),IF(AND(COUNT(H618:H629)=5,COUNT(F618:F629)=5),cubic_spline(F617:F622,H617:H622,B$11),IF(AND(COUNT(H618:H629)=6,COUNT(F618:F629)=6),cubic_spline(F617:F623,H617:H623,B$11),IF(AND(COUNT(H618:H629)=7,COUNT(F618:F629)=7),cubic_spline(F617:F624,H617:H624,B$11),IF(AND(COUNT(H618:H629)=8,COUNT(F618:F629)=8),cubic_spline(F617:F625,H617:H625,B$11),IF(AND(COUNT(H618:H629)=9,COUNT(F618:F629)=9),cubic_spline(F617:F626,H617:H626,B$11),IF(AND(COUNT(H618:H629)=10,COUNT(F618:F629)=10),cubic_spline(F617:F627,H617:H627,B$11),IF(AND(COUNT(H618:H629)=11,COUNT(F618:F629)=11),cubic_spline(F617:F628,H617:H628,B$11),IF(AND(COUNT(H618:H629)=12,COUNT(F618:F629)=12),cubic_spline(F617:F629,H617:H629,B$11),""))))))))))))</f>
        <v/>
      </c>
      <c r="K625" s="52" t="str">
        <f>IF(N(B$11)=0,"",IF(AND(COUNT(A618:A629)=2,COUNT(F618:F629)=2),cubic_spline(F617:F619,A617:A619,B$11),IF(AND(COUNT(A618:A629)=3,COUNT(F618:F629)=3),cubic_spline(F617:F620,A617:A620,B$11),IF(AND(COUNT(A618:A629)=4,COUNT(F618:F629)=4),cubic_spline(F617:F621,A617:A621,B$11),IF(AND(COUNT(A618:A629)=5,COUNT(F618:F629)=5),cubic_spline(F617:F622,A617:A622,B$11),IF(AND(COUNT(A618:A629)=6,COUNT(F618:F629)=6),cubic_spline(F617:F623,A617:A623,B$11),IF(AND(COUNT(A618:A629)=7,COUNT(F618:F629)=7),cubic_spline(F617:F624,A617:A624,B$11),IF(AND(COUNT(A618:A629)=8,COUNT(F618:F629)=8),cubic_spline(F617:F625,A617:A625,B$11),IF(AND(COUNT(A618:A629)=9,COUNT(F618:F629)=9),cubic_spline(F617:F626,A617:A626,B$11),IF(AND(COUNT(A618:A629)=10,COUNT(F618:F629)=10),cubic_spline(F617:F627,A617:A627,B$11),IF(AND(COUNT(A618:A629)=11,COUNT(F618:F629)=11),cubic_spline(F617:F628,A617:A628,B$11),IF(AND(COUNT(A618:A629)=12,COUNT(F618:F629)=12),cubic_spline(F617:F629,A617:A629,B$11),""))))))))))))</f>
        <v/>
      </c>
      <c r="L625" s="27" t="str">
        <f>IF(I625="","",B$10&amp;"-"&amp;B$11)</f>
        <v/>
      </c>
      <c r="M625" s="52" t="str">
        <f t="shared" si="235"/>
        <v/>
      </c>
    </row>
    <row r="626" spans="1:13" x14ac:dyDescent="0.35">
      <c r="A626" s="48"/>
      <c r="B626" s="48"/>
      <c r="C626" s="49"/>
      <c r="D626" s="50"/>
      <c r="E626" s="51" t="str">
        <f t="shared" si="234"/>
        <v/>
      </c>
      <c r="F626" s="71" t="str">
        <f t="shared" si="231"/>
        <v/>
      </c>
      <c r="G626" s="69" t="str">
        <f t="shared" si="233"/>
        <v/>
      </c>
      <c r="H626" s="70" t="str">
        <f t="shared" si="232"/>
        <v/>
      </c>
      <c r="I626" s="27" t="str">
        <f>IF(N(J626)=0,"",0&amp;"-"&amp;B$12)</f>
        <v/>
      </c>
      <c r="J626" s="52" t="str">
        <f>IF(N(B$12)=0,"",IF(AND(COUNT(H618:H629)=2,COUNT(F618:F629)=2),cubic_spline(F617:F619,H617:H619,B$12),IF(AND(COUNT(H618:H629)=3,COUNT(F618:F629)=3),cubic_spline(F617:F620,H617:H620,B$12),IF(AND(COUNT(H618:H629)=4,COUNT(F618:F629)=4),cubic_spline(F617:F621,H617:H621,B$12),IF(AND(COUNT(H618:H629)=5,COUNT(F618:F629)=5),cubic_spline(F617:F622,H617:H622,B$12),IF(AND(COUNT(H618:H629)=6,COUNT(F618:F629)=6),cubic_spline(F617:F623,H617:H623,B$12),IF(AND(COUNT(H618:H629)=7,COUNT(F618:F629)=7),cubic_spline(F617:F624,H617:H624,B$12),IF(AND(COUNT(H618:H629)=8,COUNT(F618:F629)=8),cubic_spline(F617:F625,H617:H625,B$12),IF(AND(COUNT(H618:H629)=9,COUNT(F618:F629)=9),cubic_spline(F617:F626,H617:H626,B$12),IF(AND(COUNT(H618:H629)=10,COUNT(F618:F629)=10),cubic_spline(F617:F627,H617:H627,B$12),IF(AND(COUNT(H618:H629)=11,COUNT(F618:F629)=11),cubic_spline(F617:F628,H617:H628,B$12),IF(AND(COUNT(H618:H629)=12,COUNT(F618:F629)=12),cubic_spline(F617:F629,H617:H629,B$12),""))))))))))))</f>
        <v/>
      </c>
      <c r="K626" s="52" t="str">
        <f>IF(N(B$12)=0,"",IF(AND(COUNT(A618:A629)=2,COUNT(F618:F629)=2),cubic_spline(F617:F619,A617:A619,B$12),IF(AND(COUNT(A618:A629)=3,COUNT(F618:F629)=3),cubic_spline(F617:F620,A617:A620,B$12),IF(AND(COUNT(A618:A629)=4,COUNT(F618:F629)=4),cubic_spline(F617:F621,A617:A621,B$12),IF(AND(COUNT(A618:A629)=5,COUNT(F618:F629)=5),cubic_spline(F617:F622,A617:A622,B$12),IF(AND(COUNT(A618:A629)=6,COUNT(F618:F629)=6),cubic_spline(F617:F623,A617:A623,B$12),IF(AND(COUNT(A618:A629)=7,COUNT(F618:F629)=7),cubic_spline(F617:F624,A617:A624,B$12),IF(AND(COUNT(A618:A629)=8,COUNT(F618:F629)=8),cubic_spline(F617:F625,A617:A625,B$12),IF(AND(COUNT(A618:A629)=9,COUNT(F618:F629)=9),cubic_spline(F617:F626,A617:A626,B$12),IF(AND(COUNT(A618:A629)=10,COUNT(F618:F629)=10),cubic_spline(F617:F627,A617:A627,B$12),IF(AND(COUNT(A618:A629)=11,COUNT(F618:F629)=11),cubic_spline(F617:F628,A617:A628,B$12),IF(AND(COUNT(A618:A629)=12,COUNT(F618:F629)=12),cubic_spline(F617:F629,A617:A629,B$12),""))))))))))))</f>
        <v/>
      </c>
      <c r="L626" s="27" t="str">
        <f>IF(I626="","",B$11&amp;"-"&amp;B$12)</f>
        <v/>
      </c>
      <c r="M626" s="52" t="str">
        <f t="shared" si="235"/>
        <v/>
      </c>
    </row>
    <row r="627" spans="1:13" x14ac:dyDescent="0.35">
      <c r="A627" s="48"/>
      <c r="B627" s="48"/>
      <c r="C627" s="49"/>
      <c r="D627" s="50"/>
      <c r="E627" s="51" t="str">
        <f t="shared" si="234"/>
        <v/>
      </c>
      <c r="F627" s="71" t="str">
        <f t="shared" si="231"/>
        <v/>
      </c>
      <c r="G627" s="69" t="str">
        <f t="shared" si="233"/>
        <v/>
      </c>
      <c r="H627" s="70" t="str">
        <f t="shared" si="232"/>
        <v/>
      </c>
      <c r="I627" s="27" t="str">
        <f>IF(N(J627)=0,"",0&amp;"-"&amp;B$13)</f>
        <v/>
      </c>
      <c r="J627" s="52" t="str">
        <f>IF(N(B$13)=0,"",IF(AND(COUNT(H618:H629)=2,COUNT(F618:F629)=2),cubic_spline(F617:F619,H617:H619,B$13),IF(AND(COUNT(H618:H629)=3,COUNT(F618:F629)=3),cubic_spline(F617:F620,H617:H620,B$13),IF(AND(COUNT(H618:H629)=4,COUNT(F618:F629)=4),cubic_spline(F617:F621,H617:H621,B$13),IF(AND(COUNT(H618:H629)=5,COUNT(F618:F629)=5),cubic_spline(F617:F622,H617:H622,B$13),IF(AND(COUNT(H618:H629)=6,COUNT(F618:F629)=6),cubic_spline(F617:F623,H617:H623,B$13),IF(AND(COUNT(H618:H629)=7,COUNT(F618:F629)=7),cubic_spline(F617:F624,H617:H624,B$13),IF(AND(COUNT(H618:H629)=8,COUNT(F618:F629)=8),cubic_spline(F617:F625,H617:H625,B$13),IF(AND(COUNT(H618:H629)=9,COUNT(F618:F629)=9),cubic_spline(F617:F626,H617:H626,B$13),IF(AND(COUNT(H618:H629)=10,COUNT(F618:F629)=10),cubic_spline(F617:F627,H617:H627,B$13),IF(AND(COUNT(H618:H629)=11,COUNT(F618:F629)=11),cubic_spline(F617:F628,H617:H628,B$13),IF(AND(COUNT(H618:H629)=12,COUNT(F618:F629)=12),cubic_spline(F617:F629,H617:H629,B$13),""))))))))))))</f>
        <v/>
      </c>
      <c r="K627" s="52" t="str">
        <f>IF(N(B$13)=0,"",IF(AND(COUNT(A618:A629)=2,COUNT(F618:F629)=2),cubic_spline(F617:F619,A617:A619,B$13),IF(AND(COUNT(A618:A629)=3,COUNT(F618:F629)=3),cubic_spline(F617:F620,A617:A620,B$13),IF(AND(COUNT(A618:A629)=4,COUNT(F618:F629)=4),cubic_spline(F617:F621,A617:A621,B$13),IF(AND(COUNT(A618:A629)=5,COUNT(F618:F629)=5),cubic_spline(F617:F622,A617:A622,B$13),IF(AND(COUNT(A618:A629)=6,COUNT(F618:F629)=6),cubic_spline(F617:F623,A617:A623,B$13),IF(AND(COUNT(A618:A629)=7,COUNT(F618:F629)=7),cubic_spline(F617:F624,A617:A624,B$13),IF(AND(COUNT(A618:A629)=8,COUNT(F618:F629)=8),cubic_spline(F617:F625,A617:A625,B$13),IF(AND(COUNT(A618:A629)=9,COUNT(F618:F629)=9),cubic_spline(F617:F626,A617:A626,B$13),IF(AND(COUNT(A618:A629)=10,COUNT(F618:F629)=10),cubic_spline(F617:F627,A617:A627,B$13),IF(AND(COUNT(A618:A629)=11,COUNT(F618:F629)=11),cubic_spline(F617:F628,A617:A628,B$13),IF(AND(COUNT(A618:A629)=12,COUNT(F618:F629)=12),cubic_spline(F617:F629,A617:A629,B$13),""))))))))))))</f>
        <v/>
      </c>
      <c r="L627" s="27" t="str">
        <f>IF(I627="","",B$12&amp;"-"&amp;B$13)</f>
        <v/>
      </c>
      <c r="M627" s="52" t="str">
        <f t="shared" si="235"/>
        <v/>
      </c>
    </row>
    <row r="628" spans="1:13" x14ac:dyDescent="0.35">
      <c r="A628" s="48"/>
      <c r="B628" s="48"/>
      <c r="C628" s="49"/>
      <c r="D628" s="50"/>
      <c r="E628" s="51" t="str">
        <f t="shared" si="234"/>
        <v/>
      </c>
      <c r="F628" s="71" t="str">
        <f t="shared" si="231"/>
        <v/>
      </c>
      <c r="G628" s="69" t="str">
        <f t="shared" si="233"/>
        <v/>
      </c>
      <c r="H628" s="70" t="str">
        <f t="shared" si="232"/>
        <v/>
      </c>
      <c r="I628" s="27" t="str">
        <f>IF(N(J628)=0,"",0&amp;"-"&amp;B$14)</f>
        <v/>
      </c>
      <c r="J628" s="52" t="str">
        <f>IF(N(B$14)=0,"",IF(AND(COUNT(H618:H629)=2,COUNT(F618:F629)=2),cubic_spline(F617:F619,H617:H619,B$14),IF(AND(COUNT(H618:H629)=3,COUNT(F618:F629)=3),cubic_spline(F617:F620,H617:H620,B$14),IF(AND(COUNT(H618:H629)=4,COUNT(F618:F629)=4),cubic_spline(F617:F621,H617:H621,B$14),IF(AND(COUNT(H618:H629)=5,COUNT(F618:F629)=5),cubic_spline(F617:F622,H617:H622,B$14),IF(AND(COUNT(H618:H629)=6,COUNT(F618:F629)=6),cubic_spline(F617:F623,H617:H623,B$14),IF(AND(COUNT(H618:H629)=7,COUNT(F618:F629)=7),cubic_spline(F617:F624,H617:H624,B$14),IF(AND(COUNT(H618:H629)=8,COUNT(F618:F629)=8),cubic_spline(F617:F625,H617:H625,B$14),IF(AND(COUNT(H618:H629)=9,COUNT(F618:F629)=9),cubic_spline(F617:F626,H617:H626,B$14),IF(AND(COUNT(H618:H629)=10,COUNT(F618:F629)=10),cubic_spline(F617:F627,H617:H627,B$14),IF(AND(COUNT(H618:H629)=11,COUNT(F618:F629)=11),cubic_spline(F617:F628,H617:H628,B$14),IF(AND(COUNT(H618:H629)=12,COUNT(F618:F629)=12),cubic_spline(F617:F629,H617:H629,B$14),""))))))))))))</f>
        <v/>
      </c>
      <c r="K628" s="52" t="str">
        <f>IF(N(B$14)=0,"",IF(AND(COUNT(A618:A629)=2,COUNT(F618:F629)=2),cubic_spline(F617:F619,A617:A619,B$14),IF(AND(COUNT(A618:A629)=3,COUNT(F618:F629)=3),cubic_spline(F617:F620,A617:A620,B$14),IF(AND(COUNT(A618:A629)=4,COUNT(F618:F629)=4),cubic_spline(F617:F621,A617:A621,B$14),IF(AND(COUNT(A618:A629)=5,COUNT(F618:F629)=5),cubic_spline(F617:F622,A617:A622,B$14),IF(AND(COUNT(A618:A629)=6,COUNT(F618:F629)=6),cubic_spline(F617:F623,A617:A623,B$14),IF(AND(COUNT(A618:A629)=7,COUNT(F618:F629)=7),cubic_spline(F617:F624,A617:A624,B$14),IF(AND(COUNT(A618:A629)=8,COUNT(F618:F629)=8),cubic_spline(F617:F625,A617:A625,B$14),IF(AND(COUNT(A618:A629)=9,COUNT(F618:F629)=9),cubic_spline(F617:F626,A617:A626,B$14),IF(AND(COUNT(A618:A629)=10,COUNT(F618:F629)=10),cubic_spline(F617:F627,A617:A627,B$14),IF(AND(COUNT(A618:A629)=11,COUNT(F618:F629)=11),cubic_spline(F617:F628,A617:A628,B$14),IF(AND(COUNT(A618:A629)=12,COUNT(F618:F629)=12),cubic_spline(F617:F629,A617:A629,B$14),""))))))))))))</f>
        <v/>
      </c>
      <c r="L628" s="27" t="str">
        <f>IF(I628="","",B$13&amp;"-"&amp;B$14)</f>
        <v/>
      </c>
      <c r="M628" s="52" t="str">
        <f t="shared" si="235"/>
        <v/>
      </c>
    </row>
    <row r="629" spans="1:13" x14ac:dyDescent="0.35">
      <c r="A629" s="48"/>
      <c r="B629" s="48"/>
      <c r="C629" s="49"/>
      <c r="D629" s="50"/>
      <c r="E629" s="51" t="str">
        <f t="shared" si="234"/>
        <v/>
      </c>
      <c r="F629" s="71" t="str">
        <f t="shared" si="231"/>
        <v/>
      </c>
      <c r="G629" s="69" t="str">
        <f t="shared" si="233"/>
        <v/>
      </c>
      <c r="H629" s="70" t="str">
        <f t="shared" si="232"/>
        <v/>
      </c>
      <c r="I629" s="27" t="str">
        <f>IF(N(J629)=0,"",0&amp;"-"&amp;B$15)</f>
        <v/>
      </c>
      <c r="J629" s="52" t="str">
        <f>IF(N(B$15)=0,"",IF(AND(COUNT(H618:H629)=2,COUNT(F618:F629)=2),cubic_spline(F617:F619,H617:H619,B$15),IF(AND(COUNT(H618:H629)=3,COUNT(F618:F629)=3),cubic_spline(F617:F620,H617:H620,B$15),IF(AND(COUNT(H618:H629)=4,COUNT(F618:F629)=4),cubic_spline(F617:F621,H617:H621,B$15),IF(AND(COUNT(H618:H629)=5,COUNT(F618:F629)=5),cubic_spline(F617:F622,H617:H622,B$15),IF(AND(COUNT(H618:H629)=6,COUNT(F618:F629)=6),cubic_spline(F617:F623,H617:H623,B$15),IF(AND(COUNT(H618:H629)=7,COUNT(F618:F629)=7),cubic_spline(F617:F624,H617:H624,B$15),IF(AND(COUNT(H618:H629)=8,COUNT(F618:F629)=8),cubic_spline(F617:F625,H617:H625,B$15),IF(AND(COUNT(H618:H629)=9,COUNT(F618:F629)=9),cubic_spline(F617:F626,H617:H626,B$15),IF(AND(COUNT(H618:H629)=10,COUNT(F618:F629)=10),cubic_spline(F617:F627,H617:H627,B$15),IF(AND(COUNT(H618:H629)=11,COUNT(F618:F629)=11),cubic_spline(F617:F628,H617:H628,B$15),IF(AND(COUNT(H618:H629)=12,COUNT(F618:F629)=12),cubic_spline(F617:F629,H617:H629,B$15),""))))))))))))</f>
        <v/>
      </c>
      <c r="K629" s="52" t="str">
        <f>IF(N(B$15)=0,"",IF(AND(COUNT(A618:A629)=2,COUNT(F618:F629)=2),cubic_spline(F617:F619,A617:A619,B$15),IF(AND(COUNT(A618:A629)=3,COUNT(F618:F629)=3),cubic_spline(F617:F620,A617:A620,B$15),IF(AND(COUNT(A618:A629)=4,COUNT(F618:F629)=4),cubic_spline(F617:F621,A617:A621,B$15),IF(AND(COUNT(A618:A629)=5,COUNT(F618:F629)=5),cubic_spline(F617:F622,A617:A622,B$15),IF(AND(COUNT(A618:A629)=6,COUNT(F618:F629)=6),cubic_spline(F617:F623,A617:A623,B$15),IF(AND(COUNT(A618:A629)=7,COUNT(F618:F629)=7),cubic_spline(F617:F624,A617:A624,B$15),IF(AND(COUNT(A618:A629)=8,COUNT(F618:F629)=8),cubic_spline(F617:F625,A617:A625,B$15),IF(AND(COUNT(A618:A629)=9,COUNT(F618:F629)=9),cubic_spline(F617:F626,A617:A626,B$15),IF(AND(COUNT(A618:A629)=10,COUNT(F618:F629)=10),cubic_spline(F617:F627,A617:A627,B$15),IF(AND(COUNT(A618:A629)=11,COUNT(F618:F629)=11),cubic_spline(F617:F628,A617:A628,B$15),IF(AND(COUNT(A618:A629)=12,COUNT(F618:F629)=12),cubic_spline(F617:F629,A617:A629,B$15),""))))))))))))</f>
        <v/>
      </c>
      <c r="L629" s="27" t="str">
        <f>IF(I629="","",B$14&amp;"-"&amp;B$15)</f>
        <v/>
      </c>
      <c r="M629" s="52" t="str">
        <f t="shared" si="235"/>
        <v/>
      </c>
    </row>
    <row r="630" spans="1:13" ht="5.15" customHeight="1" x14ac:dyDescent="0.35">
      <c r="A630" s="47"/>
      <c r="B630" s="47"/>
      <c r="C630" s="47"/>
      <c r="D630" s="53"/>
      <c r="E630" s="54"/>
      <c r="F630" s="55"/>
      <c r="G630" s="72"/>
      <c r="H630" s="73"/>
      <c r="I630" s="47"/>
      <c r="J630" s="57"/>
      <c r="K630" s="57"/>
      <c r="L630" s="55"/>
      <c r="M630" s="57"/>
    </row>
    <row r="631" spans="1:13" x14ac:dyDescent="0.35">
      <c r="A631" s="48"/>
      <c r="B631" s="48"/>
      <c r="C631" s="49"/>
      <c r="D631" s="50"/>
      <c r="E631" s="51" t="str">
        <f>IF(N(C631)=0,"",C631/PI()/($D$1/2)^2/$D$2*10000)</f>
        <v/>
      </c>
      <c r="F631" s="68" t="str">
        <f t="shared" ref="F631:F642" si="236">IF(N(E631)=0,"",(N(E631)+N(F630)))</f>
        <v/>
      </c>
      <c r="G631" s="69" t="str">
        <f>IF(OR(N(D631)=0,N(E631)=0),"",(E631*D631)/1000)</f>
        <v/>
      </c>
      <c r="H631" s="70" t="str">
        <f t="shared" ref="H631:H642" si="237">IF(N(G631)=0,"",(N(G631)+N(H630)))</f>
        <v/>
      </c>
      <c r="I631" s="27" t="str">
        <f>IF(N(J631)=0,"",0&amp;"-"&amp;B$4)</f>
        <v/>
      </c>
      <c r="J631" s="52" t="str">
        <f>IF(N(B$4)=0,"",IF(AND(COUNT(H631:H642)=2,COUNT(F631:F642)=2),cubic_spline(F630:F632,H630:H632,B$4),IF(AND(COUNT(H631:H642)=3,COUNT(F631:F642)=3),cubic_spline(F630:F633,H630:H633,B$4),IF(AND(COUNT(H631:H642)=4,COUNT(F631:F642)=4),cubic_spline(F630:F634,H630:H634,B$4),IF(AND(COUNT(H631:H642)=5,COUNT(F631:F642)=5),cubic_spline(F630:F635,H630:H635,B$4),IF(AND(COUNT(H631:H642)=6,COUNT(F631:F642)=6),cubic_spline(F630:F636,H630:H636,B$4),IF(AND(COUNT(H631:H642)=7,COUNT(F631:F642)=7),cubic_spline(F630:F637,H630:H637,B$4),IF(AND(COUNT(H631:H642)=8,COUNT(F631:F642)=8),cubic_spline(F630:F638,H630:H638,B$4),IF(AND(COUNT(H631:H642)=9,COUNT(F631:F642)=9),cubic_spline(F630:F639,H630:H639,B$4),IF(AND(COUNT(H631:H642)=10,COUNT(F631:F642)=10),cubic_spline(F630:F640,H630:H640,B$4),IF(AND(COUNT(H631:H642)=11,COUNT(F631:F642)=11),cubic_spline(F630:F641,H630:H641,B$4),IF(AND(COUNT(H631:H642)=12,COUNT(F631:F642)=12),cubic_spline(F630:F642,H630:H642,B$4),""))))))))))))</f>
        <v/>
      </c>
      <c r="K631" s="52" t="str">
        <f>IF(N(B$4)=0,"",IF(AND(COUNT(A631:A642)=2,COUNT(F631:F642)=2),cubic_spline(F630:F632,A630:A632,B$4),IF(AND(COUNT(A631:A642)=3,COUNT(F631:F642)=3),cubic_spline(F630:F633,A630:A633,B$4),IF(AND(COUNT(A631:A642)=4,COUNT(F631:F642)=4),cubic_spline(F630:F634,A630:A634,B$4),IF(AND(COUNT(A631:A642)=5,COUNT(F631:F642)=5),cubic_spline(F630:F635,A630:A635,B$4),IF(AND(COUNT(A631:A642)=6,COUNT(F631:F642)=6),cubic_spline(F630:F636,A630:A636,B$4),IF(AND(COUNT(A631:A642)=7,COUNT(F631:F642)=7),cubic_spline(F630:F637,A630:A637,B$4),IF(AND(COUNT(A631:A642)=8,COUNT(F631:F642)=8),cubic_spline(F630:F638,A630:A638,B$4),IF(AND(COUNT(A631:A642)=9,COUNT(F631:F642)=9),cubic_spline(F630:F639,A630:A639,B$4),IF(AND(COUNT(A631:A642)=10,COUNT(F631:F642)=10),cubic_spline(F630:F640,A630:A640,B$4),IF(AND(COUNT(A631:A642)=11,COUNT(F631:F642)=11),cubic_spline(F630:F641,A630:A641,B$4),IF(AND(COUNT(A631:A642)=12,COUNT(F631:F642)=12),cubic_spline(F630:F642,A630:A642,B$4),""))))))))))))</f>
        <v/>
      </c>
      <c r="L631" s="27" t="str">
        <f>IF(I631="","",0&amp;"-"&amp;B$4)</f>
        <v/>
      </c>
      <c r="M631" s="52" t="str">
        <f>IF(N(J631)=0,"",J631-J630)</f>
        <v/>
      </c>
    </row>
    <row r="632" spans="1:13" x14ac:dyDescent="0.35">
      <c r="A632" s="48"/>
      <c r="B632" s="48"/>
      <c r="C632" s="49"/>
      <c r="D632" s="50"/>
      <c r="E632" s="51" t="str">
        <f>IF(N(C632)=0,"",C632/PI()/($D$1/2)^2/$D$2*10000)</f>
        <v/>
      </c>
      <c r="F632" s="68" t="str">
        <f t="shared" si="236"/>
        <v/>
      </c>
      <c r="G632" s="69" t="str">
        <f t="shared" ref="G632:G642" si="238">IF(OR(N(D632)=0,N(E632)=0),"",(E632*D632)/1000)</f>
        <v/>
      </c>
      <c r="H632" s="70" t="str">
        <f t="shared" si="237"/>
        <v/>
      </c>
      <c r="I632" s="27" t="str">
        <f>IF(N(J632)=0,"",0&amp;"-"&amp;B$5)</f>
        <v/>
      </c>
      <c r="J632" s="52" t="str">
        <f>IF(N(B$5)=0,"",IF(AND(COUNT(H631:H642)=2,COUNT(F631:F642)=2),cubic_spline(F630:F632,H630:H632,B$5),IF(AND(COUNT(H631:H642)=3,COUNT(F631:F642)=3),cubic_spline(F630:F633,H630:H633,B$5),IF(AND(COUNT(H631:H642)=4,COUNT(F631:F642)=4),cubic_spline(F630:F634,H630:H634,B$5),IF(AND(COUNT(H631:H642)=5,COUNT(F631:F642)=5),cubic_spline(F630:F635,H630:H635,B$5),IF(AND(COUNT(H631:H642)=6,COUNT(F631:F642)=6),cubic_spline(F630:F636,H630:H636,B$5),IF(AND(COUNT(H631:H642)=7,COUNT(F631:F642)=7),cubic_spline(F630:F637,H630:H637,B$5),IF(AND(COUNT(H631:H642)=8,COUNT(F631:F642)=8),cubic_spline(F630:F638,H630:H638,B$5),IF(AND(COUNT(H631:H642)=9,COUNT(F631:F642)=9),cubic_spline(F630:F639,H630:H639,B$5),IF(AND(COUNT(H631:H642)=10,COUNT(F631:F642)=10),cubic_spline(F630:F640,H630:H640,B$5),IF(AND(COUNT(H631:H642)=11,COUNT(F631:F642)=11),cubic_spline(F630:F641,H630:H641,B$5),IF(AND(COUNT(H631:H642)=12,COUNT(F631:F642)=12),cubic_spline(F630:F642,H630:H642,B$5),""))))))))))))</f>
        <v/>
      </c>
      <c r="K632" s="52" t="str">
        <f>IF(N(B$5)=0,"",IF(AND(COUNT(A631:A642)=2,COUNT(F631:F642)=2),cubic_spline(F630:F632,A630:A632,B$5),IF(AND(COUNT(A631:A642)=3,COUNT(F631:F642)=3),cubic_spline(F630:F633,A630:A633,B$5),IF(AND(COUNT(A631:A642)=4,COUNT(F631:F642)=4),cubic_spline(F630:F634,A630:A634,B$5),IF(AND(COUNT(A631:A642)=5,COUNT(F631:F642)=5),cubic_spline(F630:F635,A630:A635,B$5),IF(AND(COUNT(A631:A642)=6,COUNT(F631:F642)=6),cubic_spline(F630:F636,A630:A636,B$5),IF(AND(COUNT(A631:A642)=7,COUNT(F631:F642)=7),cubic_spline(F630:F637,A630:A637,B$5),IF(AND(COUNT(A631:A642)=8,COUNT(F631:F642)=8),cubic_spline(F630:F638,A630:A638,B$5),IF(AND(COUNT(A631:A642)=9,COUNT(F631:F642)=9),cubic_spline(F630:F639,A630:A639,B$5),IF(AND(COUNT(A631:A642)=10,COUNT(F631:F642)=10),cubic_spline(F630:F640,A630:A640,B$5),IF(AND(COUNT(A631:A642)=11,COUNT(F631:F642)=11),cubic_spline(F630:F641,A630:A641,B$5),IF(AND(COUNT(A631:A642)=12,COUNT(F631:F642)=12),cubic_spline(F630:F642,A630:A642,B$5),""))))))))))))</f>
        <v/>
      </c>
      <c r="L632" s="27" t="str">
        <f>IF(I632="","",B$4&amp;"-"&amp;B$5)</f>
        <v/>
      </c>
      <c r="M632" s="52" t="str">
        <f>IF(N(J632)=0,"",J632-J631)</f>
        <v/>
      </c>
    </row>
    <row r="633" spans="1:13" x14ac:dyDescent="0.35">
      <c r="A633" s="48"/>
      <c r="B633" s="48"/>
      <c r="C633" s="49"/>
      <c r="D633" s="50"/>
      <c r="E633" s="51" t="str">
        <f>IF(N(C633)=0,"",C633/PI()/($D$1/2)^2/$D$2*10000)</f>
        <v/>
      </c>
      <c r="F633" s="68" t="str">
        <f t="shared" si="236"/>
        <v/>
      </c>
      <c r="G633" s="69" t="str">
        <f t="shared" si="238"/>
        <v/>
      </c>
      <c r="H633" s="70" t="str">
        <f t="shared" si="237"/>
        <v/>
      </c>
      <c r="I633" s="27" t="str">
        <f>IF(N(J633)=0,"",0&amp;"-"&amp;B$6)</f>
        <v/>
      </c>
      <c r="J633" s="52" t="str">
        <f>IF(N(B$6)=0,"",IF(AND(COUNT(H631:H642)=2,COUNT(F631:F642)=2),cubic_spline(F630:F632,H630:H632,B$6),IF(AND(COUNT(H631:H642)=3,COUNT(F631:F642)=3),cubic_spline(F630:F633,H630:H633,B$6),IF(AND(COUNT(H631:H642)=4,COUNT(F631:F642)=4),cubic_spline(F630:F634,H630:H634,B$6),IF(AND(COUNT(H631:H642)=5,COUNT(F631:F642)=5),cubic_spline(F630:F635,H630:H635,B$6),IF(AND(COUNT(H631:H642)=6,COUNT(F631:F642)=6),cubic_spline(F630:F636,H630:H636,B$6),IF(AND(COUNT(H631:H642)=7,COUNT(F631:F642)=7),cubic_spline(F630:F637,H630:H637,B$6),IF(AND(COUNT(H631:H642)=8,COUNT(F631:F642)=8),cubic_spline(F630:F638,H630:H638,B$6),IF(AND(COUNT(H631:H642)=9,COUNT(F631:F642)=9),cubic_spline(F630:F639,H630:H639,B$6),IF(AND(COUNT(H631:H642)=10,COUNT(F631:F642)=10),cubic_spline(F630:F640,H630:H640,B$6),IF(AND(COUNT(H631:H642)=11,COUNT(F631:F642)=11),cubic_spline(F630:F641,H630:H641,B$6),IF(AND(COUNT(H631:H642)=12,COUNT(F631:F642)=12),cubic_spline(F630:F642,H630:H642,B$6),""))))))))))))</f>
        <v/>
      </c>
      <c r="K633" s="52" t="str">
        <f>IF(N(B$6)=0,"",IF(AND(COUNT(A631:A642)=2,COUNT(F631:F642)=2),cubic_spline(F630:F632,A630:A632,B$6),IF(AND(COUNT(A631:A642)=3,COUNT(F631:F642)=3),cubic_spline(F630:F633,A630:A633,B$6),IF(AND(COUNT(A631:A642)=4,COUNT(F631:F642)=4),cubic_spline(F630:F634,A630:A634,B$6),IF(AND(COUNT(A631:A642)=5,COUNT(F631:F642)=5),cubic_spline(F630:F635,A630:A635,B$6),IF(AND(COUNT(A631:A642)=6,COUNT(F631:F642)=6),cubic_spline(F630:F636,A630:A636,B$6),IF(AND(COUNT(A631:A642)=7,COUNT(F631:F642)=7),cubic_spline(F630:F637,A630:A637,B$6),IF(AND(COUNT(A631:A642)=8,COUNT(F631:F642)=8),cubic_spline(F630:F638,A630:A638,B$6),IF(AND(COUNT(A631:A642)=9,COUNT(F631:F642)=9),cubic_spline(F630:F639,A630:A639,B$6),IF(AND(COUNT(A631:A642)=10,COUNT(F631:F642)=10),cubic_spline(F630:F640,A630:A640,B$6),IF(AND(COUNT(A631:A642)=11,COUNT(F631:F642)=11),cubic_spline(F630:F641,A630:A641,B$6),IF(AND(COUNT(A631:A642)=12,COUNT(F631:F642)=12),cubic_spline(F630:F642,A630:A642,B$6),""))))))))))))</f>
        <v/>
      </c>
      <c r="L633" s="27" t="str">
        <f>IF(I633="","",B$5&amp;"-"&amp;B$6)</f>
        <v/>
      </c>
      <c r="M633" s="52" t="str">
        <f>IF(N(J633)=0,"",J633-J632)</f>
        <v/>
      </c>
    </row>
    <row r="634" spans="1:13" x14ac:dyDescent="0.35">
      <c r="A634" s="48"/>
      <c r="B634" s="48"/>
      <c r="C634" s="49"/>
      <c r="D634" s="50"/>
      <c r="E634" s="51" t="str">
        <f>IF(N(C634)=0,"",C634/PI()/($D$1/2)^2/$D$2*10000)</f>
        <v/>
      </c>
      <c r="F634" s="68" t="str">
        <f t="shared" si="236"/>
        <v/>
      </c>
      <c r="G634" s="69" t="str">
        <f t="shared" si="238"/>
        <v/>
      </c>
      <c r="H634" s="70" t="str">
        <f t="shared" si="237"/>
        <v/>
      </c>
      <c r="I634" s="27" t="str">
        <f>IF(N(J634)=0,"",0&amp;"-"&amp;B$7)</f>
        <v/>
      </c>
      <c r="J634" s="52" t="str">
        <f>IF(N(B$7)=0,"",IF(AND(COUNT(H631:H642)=2,COUNT(F631:F642)=2),cubic_spline(F630:F632,H630:H632,B$7),IF(AND(COUNT(H631:H642)=3,COUNT(F631:F642)=3),cubic_spline(F630:F633,H630:H633,B$7),IF(AND(COUNT(H631:H642)=4,COUNT(F631:F642)=4),cubic_spline(F630:F634,H630:H634,B$7),IF(AND(COUNT(H631:H642)=5,COUNT(F631:F642)=5),cubic_spline(F630:F635,H630:H635,B$7),IF(AND(COUNT(H631:H642)=6,COUNT(F631:F642)=6),cubic_spline(F630:F636,H630:H636,B$7),IF(AND(COUNT(H631:H642)=7,COUNT(F631:F642)=7),cubic_spline(F630:F637,H630:H637,B$7),IF(AND(COUNT(H631:H642)=8,COUNT(F631:F642)=8),cubic_spline(F630:F638,H630:H638,B$7),IF(AND(COUNT(H631:H642)=9,COUNT(F631:F642)=9),cubic_spline(F630:F639,H630:H639,B$7),IF(AND(COUNT(H631:H642)=10,COUNT(F631:F642)=10),cubic_spline(F630:F640,H630:H640,B$7),IF(AND(COUNT(H631:H642)=11,COUNT(F631:F642)=11),cubic_spline(F630:F641,H630:H641,B$7),IF(AND(COUNT(H631:H642)=12,COUNT(F631:F642)=12),cubic_spline(F630:F642,H630:H642,B$7),""))))))))))))</f>
        <v/>
      </c>
      <c r="K634" s="52" t="str">
        <f>IF(N(B$7)=0,"",IF(AND(COUNT(A631:A642)=2,COUNT(F631:F642)=2),cubic_spline(F630:F632,A630:A632,B$7),IF(AND(COUNT(A631:A642)=3,COUNT(F631:F642)=3),cubic_spline(F630:F633,A630:A633,B$7),IF(AND(COUNT(A631:A642)=4,COUNT(F631:F642)=4),cubic_spline(F630:F634,A630:A634,B$7),IF(AND(COUNT(A631:A642)=5,COUNT(F631:F642)=5),cubic_spline(F630:F635,A630:A635,B$7),IF(AND(COUNT(A631:A642)=6,COUNT(F631:F642)=6),cubic_spline(F630:F636,A630:A636,B$7),IF(AND(COUNT(A631:A642)=7,COUNT(F631:F642)=7),cubic_spline(F630:F637,A630:A637,B$7),IF(AND(COUNT(A631:A642)=8,COUNT(F631:F642)=8),cubic_spline(F630:F638,A630:A638,B$7),IF(AND(COUNT(A631:A642)=9,COUNT(F631:F642)=9),cubic_spline(F630:F639,A630:A639,B$7),IF(AND(COUNT(A631:A642)=10,COUNT(F631:F642)=10),cubic_spline(F630:F640,A630:A640,B$7),IF(AND(COUNT(A631:A642)=11,COUNT(F631:F642)=11),cubic_spline(F630:F641,A630:A641,B$7),IF(AND(COUNT(A631:A642)=12,COUNT(F631:F642)=12),cubic_spline(F630:F642,A630:A642,B$7),""))))))))))))</f>
        <v/>
      </c>
      <c r="L634" s="27" t="str">
        <f>IF(I634="","",B$6&amp;"-"&amp;B$7)</f>
        <v/>
      </c>
      <c r="M634" s="52" t="str">
        <f>IF(N(J634)=0,"",J634-J633)</f>
        <v/>
      </c>
    </row>
    <row r="635" spans="1:13" x14ac:dyDescent="0.35">
      <c r="A635" s="48"/>
      <c r="B635" s="48"/>
      <c r="C635" s="49"/>
      <c r="D635" s="50"/>
      <c r="E635" s="51" t="str">
        <f t="shared" ref="E635:E642" si="239">IF(N(C635)=0,"",C635/PI()/($D$1/2)^2/$D$2*10000)</f>
        <v/>
      </c>
      <c r="F635" s="71" t="str">
        <f t="shared" si="236"/>
        <v/>
      </c>
      <c r="G635" s="69" t="str">
        <f t="shared" si="238"/>
        <v/>
      </c>
      <c r="H635" s="70" t="str">
        <f t="shared" si="237"/>
        <v/>
      </c>
      <c r="I635" s="27" t="str">
        <f>IF(N(J635)=0,"",0&amp;"-"&amp;B$8)</f>
        <v/>
      </c>
      <c r="J635" s="52" t="str">
        <f>IF(N(B$8)=0,"",IF(AND(COUNT(H631:H642)=2,COUNT(F631:F642)=2),cubic_spline(F630:F632,H630:H632,B$8),IF(AND(COUNT(H631:H642)=3,COUNT(F631:F642)=3),cubic_spline(F630:F633,H630:H633,B$8),IF(AND(COUNT(H631:H642)=4,COUNT(F631:F642)=4),cubic_spline(F630:F634,H630:H634,B$8),IF(AND(COUNT(H631:H642)=5,COUNT(F631:F642)=5),cubic_spline(F630:F635,H630:H635,B$8),IF(AND(COUNT(H631:H642)=6,COUNT(F631:F642)=6),cubic_spline(F630:F636,H630:H636,B$8),IF(AND(COUNT(H631:H642)=7,COUNT(F631:F642)=7),cubic_spline(F630:F637,H630:H637,B$8),IF(AND(COUNT(H631:H642)=8,COUNT(F631:F642)=8),cubic_spline(F630:F638,H630:H638,B$8),IF(AND(COUNT(H631:H642)=9,COUNT(F631:F642)=9),cubic_spline(F630:F639,H630:H639,B$8),IF(AND(COUNT(H631:H642)=10,COUNT(F631:F642)=10),cubic_spline(F630:F640,H630:H640,B$8),IF(AND(COUNT(H631:H642)=11,COUNT(F631:F642)=11),cubic_spline(F630:F641,H630:H641,B$8),IF(AND(COUNT(H631:H642)=12,COUNT(F631:F642)=12),cubic_spline(F630:F642,H630:H642,B$8),""))))))))))))</f>
        <v/>
      </c>
      <c r="K635" s="52" t="str">
        <f>IF(N(B$8)=0,"",IF(AND(COUNT(A631:A642)=2,COUNT(F631:F642)=2),cubic_spline(F630:F632,A630:A632,B$8),IF(AND(COUNT(A631:A642)=3,COUNT(F631:F642)=3),cubic_spline(F630:F633,A630:A633,B$8),IF(AND(COUNT(A631:A642)=4,COUNT(F631:F642)=4),cubic_spline(F630:F634,A630:A634,B$8),IF(AND(COUNT(A631:A642)=5,COUNT(F631:F642)=5),cubic_spline(F630:F635,A630:A635,B$8),IF(AND(COUNT(A631:A642)=6,COUNT(F631:F642)=6),cubic_spline(F630:F636,A630:A636,B$8),IF(AND(COUNT(A631:A642)=7,COUNT(F631:F642)=7),cubic_spline(F630:F637,A630:A637,B$8),IF(AND(COUNT(A631:A642)=8,COUNT(F631:F642)=8),cubic_spline(F630:F638,A630:A638,B$8),IF(AND(COUNT(A631:A642)=9,COUNT(F631:F642)=9),cubic_spline(F630:F639,A630:A639,B$8),IF(AND(COUNT(A631:A642)=10,COUNT(F631:F642)=10),cubic_spline(F630:F640,A630:A640,B$8),IF(AND(COUNT(A631:A642)=11,COUNT(F631:F642)=11),cubic_spline(F630:F641,A630:A641,B$8),IF(AND(COUNT(A631:A642)=12,COUNT(F631:F642)=12),cubic_spline(F630:F642,A630:A642,B$8),""))))))))))))</f>
        <v/>
      </c>
      <c r="L635" s="27" t="str">
        <f>IF(I635="","",B$7&amp;"-"&amp;B$8)</f>
        <v/>
      </c>
      <c r="M635" s="52" t="str">
        <f>IF(N(J635)=0,"",J635-J634)</f>
        <v/>
      </c>
    </row>
    <row r="636" spans="1:13" x14ac:dyDescent="0.35">
      <c r="A636" s="48"/>
      <c r="B636" s="48"/>
      <c r="C636" s="49"/>
      <c r="D636" s="50"/>
      <c r="E636" s="51" t="str">
        <f t="shared" si="239"/>
        <v/>
      </c>
      <c r="F636" s="71" t="str">
        <f t="shared" si="236"/>
        <v/>
      </c>
      <c r="G636" s="69" t="str">
        <f t="shared" si="238"/>
        <v/>
      </c>
      <c r="H636" s="70" t="str">
        <f t="shared" si="237"/>
        <v/>
      </c>
      <c r="I636" s="27" t="str">
        <f>IF(N(J636)=0,"",0&amp;"-"&amp;B$9)</f>
        <v/>
      </c>
      <c r="J636" s="52" t="str">
        <f>IF(N(B$9)=0,"",IF(AND(COUNT(H631:H642)=2,COUNT(F631:F642)=2),cubic_spline(F630:F632,H630:H632,B$9),IF(AND(COUNT(H631:H642)=3,COUNT(F631:F642)=3),cubic_spline(F630:F633,H630:H633,B$9),IF(AND(COUNT(H631:H642)=4,COUNT(F631:F642)=4),cubic_spline(F630:F634,H630:H634,B$9),IF(AND(COUNT(H631:H642)=5,COUNT(F631:F642)=5),cubic_spline(F630:F635,H630:H635,B$9),IF(AND(COUNT(H631:H642)=6,COUNT(F631:F642)=6),cubic_spline(F630:F636,H630:H636,B$9),IF(AND(COUNT(H631:H642)=7,COUNT(F631:F642)=7),cubic_spline(F630:F637,H630:H637,B$9),IF(AND(COUNT(H631:H642)=8,COUNT(F631:F642)=8),cubic_spline(F630:F638,H630:H638,B$9),IF(AND(COUNT(H631:H642)=9,COUNT(F631:F642)=9),cubic_spline(F630:F639,H630:H639,B$9),IF(AND(COUNT(H631:H642)=10,COUNT(F631:F642)=10),cubic_spline(F630:F640,H630:H640,B$9),IF(AND(COUNT(H631:H642)=11,COUNT(F631:F642)=11),cubic_spline(F630:F641,H630:H641,B$9),IF(AND(COUNT(H631:H642)=12,COUNT(F631:F642)=12),cubic_spline(F630:F642,H630:H642,B$9),""))))))))))))</f>
        <v/>
      </c>
      <c r="K636" s="52" t="str">
        <f>IF(N(B$9)=0,"",IF(AND(COUNT(A631:A642)=2,COUNT(F631:F642)=2),cubic_spline(F630:F632,A630:A632,B$9),IF(AND(COUNT(A631:A642)=3,COUNT(F631:F642)=3),cubic_spline(F630:F633,A630:A633,B$9),IF(AND(COUNT(A631:A642)=4,COUNT(F631:F642)=4),cubic_spline(F630:F634,A630:A634,B$9),IF(AND(COUNT(A631:A642)=5,COUNT(F631:F642)=5),cubic_spline(F630:F635,A630:A635,B$9),IF(AND(COUNT(A631:A642)=6,COUNT(F631:F642)=6),cubic_spline(F630:F636,A630:A636,B$9),IF(AND(COUNT(A631:A642)=7,COUNT(F631:F642)=7),cubic_spline(F630:F637,A630:A637,B$9),IF(AND(COUNT(A631:A642)=8,COUNT(F631:F642)=8),cubic_spline(F630:F638,A630:A638,B$9),IF(AND(COUNT(A631:A642)=9,COUNT(F631:F642)=9),cubic_spline(F630:F639,A630:A639,B$9),IF(AND(COUNT(A631:A642)=10,COUNT(F631:F642)=10),cubic_spline(F630:F640,A630:A640,B$9),IF(AND(COUNT(A631:A642)=11,COUNT(F631:F642)=11),cubic_spline(F630:F641,A630:A641,B$9),IF(AND(COUNT(A631:A642)=12,COUNT(F631:F642)=12),cubic_spline(F630:F642,A630:A642,B$9),""))))))))))))</f>
        <v/>
      </c>
      <c r="L636" s="27" t="str">
        <f>IF(I636="","",B$8&amp;"-"&amp;B$9)</f>
        <v/>
      </c>
      <c r="M636" s="52" t="str">
        <f t="shared" ref="M636:M642" si="240">IF(N(J636)=0,"",J636-J635)</f>
        <v/>
      </c>
    </row>
    <row r="637" spans="1:13" x14ac:dyDescent="0.35">
      <c r="A637" s="48"/>
      <c r="B637" s="48"/>
      <c r="C637" s="49"/>
      <c r="D637" s="50"/>
      <c r="E637" s="51" t="str">
        <f t="shared" si="239"/>
        <v/>
      </c>
      <c r="F637" s="71" t="str">
        <f t="shared" si="236"/>
        <v/>
      </c>
      <c r="G637" s="69" t="str">
        <f t="shared" si="238"/>
        <v/>
      </c>
      <c r="H637" s="70" t="str">
        <f t="shared" si="237"/>
        <v/>
      </c>
      <c r="I637" s="27" t="str">
        <f>IF(N(J637)=0,"",0&amp;"-"&amp;B$10)</f>
        <v/>
      </c>
      <c r="J637" s="52" t="str">
        <f>IF(N(B$10)=0,"",IF(AND(COUNT(H631:H642)=2,COUNT(F631:F642)=2),cubic_spline(F630:F632,H630:H632,B$10),IF(AND(COUNT(H631:H642)=3,COUNT(F631:F642)=3),cubic_spline(F630:F633,H630:H633,B$10),IF(AND(COUNT(H631:H642)=4,COUNT(F631:F642)=4),cubic_spline(F630:F634,H630:H634,B$10),IF(AND(COUNT(H631:H642)=5,COUNT(F631:F642)=5),cubic_spline(F630:F635,H630:H635,B$10),IF(AND(COUNT(H631:H642)=6,COUNT(F631:F642)=6),cubic_spline(F630:F636,H630:H636,B$10),IF(AND(COUNT(H631:H642)=7,COUNT(F631:F642)=7),cubic_spline(F630:F637,H630:H637,B$10),IF(AND(COUNT(H631:H642)=8,COUNT(F631:F642)=8),cubic_spline(F630:F638,H630:H638,B$10),IF(AND(COUNT(H631:H642)=9,COUNT(F631:F642)=9),cubic_spline(F630:F639,H630:H639,B$10),IF(AND(COUNT(H631:H642)=10,COUNT(F631:F642)=10),cubic_spline(F630:F640,H630:H640,B$10),IF(AND(COUNT(H631:H642)=11,COUNT(F631:F642)=11),cubic_spline(F630:F641,H630:H641,B$10),IF(AND(COUNT(H631:H642)=12,COUNT(F631:F642)=12),cubic_spline(F630:F642,H630:H642,B$10),""))))))))))))</f>
        <v/>
      </c>
      <c r="K637" s="52" t="str">
        <f>IF(N(B$10)=0,"",IF(AND(COUNT(A631:A642)=2,COUNT(F631:F642)=2),cubic_spline(F630:F632,A630:A632,B$10),IF(AND(COUNT(A631:A642)=3,COUNT(F631:F642)=3),cubic_spline(F630:F633,A630:A633,B$10),IF(AND(COUNT(A631:A642)=4,COUNT(F631:F642)=4),cubic_spline(F630:F634,A630:A634,B$10),IF(AND(COUNT(A631:A642)=5,COUNT(F631:F642)=5),cubic_spline(F630:F635,A630:A635,B$10),IF(AND(COUNT(A631:A642)=6,COUNT(F631:F642)=6),cubic_spline(F630:F636,A630:A636,B$10),IF(AND(COUNT(A631:A642)=7,COUNT(F631:F642)=7),cubic_spline(F630:F637,A630:A637,B$10),IF(AND(COUNT(A631:A642)=8,COUNT(F631:F642)=8),cubic_spline(F630:F638,A630:A638,B$10),IF(AND(COUNT(A631:A642)=9,COUNT(F631:F642)=9),cubic_spline(F630:F639,A630:A639,B$10),IF(AND(COUNT(A631:A642)=10,COUNT(F631:F642)=10),cubic_spline(F630:F640,A630:A640,B$10),IF(AND(COUNT(A631:A642)=11,COUNT(F631:F642)=11),cubic_spline(F630:F641,A630:A641,B$10),IF(AND(COUNT(A631:A642)=12,COUNT(F631:F642)=12),cubic_spline(F630:F642,A630:A642,B$10),""))))))))))))</f>
        <v/>
      </c>
      <c r="L637" s="27" t="str">
        <f>IF(I637="","",B$9&amp;"-"&amp;B$10)</f>
        <v/>
      </c>
      <c r="M637" s="52" t="str">
        <f t="shared" si="240"/>
        <v/>
      </c>
    </row>
    <row r="638" spans="1:13" x14ac:dyDescent="0.35">
      <c r="A638" s="48"/>
      <c r="B638" s="48"/>
      <c r="C638" s="49"/>
      <c r="D638" s="50"/>
      <c r="E638" s="51" t="str">
        <f t="shared" si="239"/>
        <v/>
      </c>
      <c r="F638" s="71" t="str">
        <f t="shared" si="236"/>
        <v/>
      </c>
      <c r="G638" s="69" t="str">
        <f t="shared" si="238"/>
        <v/>
      </c>
      <c r="H638" s="70" t="str">
        <f t="shared" si="237"/>
        <v/>
      </c>
      <c r="I638" s="27" t="str">
        <f>IF(N(J638)=0,"",0&amp;"-"&amp;B$11)</f>
        <v/>
      </c>
      <c r="J638" s="52" t="str">
        <f>IF(N(B$11)=0,"",IF(AND(COUNT(H631:H642)=2,COUNT(F631:F642)=2),cubic_spline(F630:F632,H630:H632,B$11),IF(AND(COUNT(H631:H642)=3,COUNT(F631:F642)=3),cubic_spline(F630:F633,H630:H633,B$11),IF(AND(COUNT(H631:H642)=4,COUNT(F631:F642)=4),cubic_spline(F630:F634,H630:H634,B$11),IF(AND(COUNT(H631:H642)=5,COUNT(F631:F642)=5),cubic_spline(F630:F635,H630:H635,B$11),IF(AND(COUNT(H631:H642)=6,COUNT(F631:F642)=6),cubic_spline(F630:F636,H630:H636,B$11),IF(AND(COUNT(H631:H642)=7,COUNT(F631:F642)=7),cubic_spline(F630:F637,H630:H637,B$11),IF(AND(COUNT(H631:H642)=8,COUNT(F631:F642)=8),cubic_spline(F630:F638,H630:H638,B$11),IF(AND(COUNT(H631:H642)=9,COUNT(F631:F642)=9),cubic_spline(F630:F639,H630:H639,B$11),IF(AND(COUNT(H631:H642)=10,COUNT(F631:F642)=10),cubic_spline(F630:F640,H630:H640,B$11),IF(AND(COUNT(H631:H642)=11,COUNT(F631:F642)=11),cubic_spline(F630:F641,H630:H641,B$11),IF(AND(COUNT(H631:H642)=12,COUNT(F631:F642)=12),cubic_spline(F630:F642,H630:H642,B$11),""))))))))))))</f>
        <v/>
      </c>
      <c r="K638" s="52" t="str">
        <f>IF(N(B$11)=0,"",IF(AND(COUNT(A631:A642)=2,COUNT(F631:F642)=2),cubic_spline(F630:F632,A630:A632,B$11),IF(AND(COUNT(A631:A642)=3,COUNT(F631:F642)=3),cubic_spline(F630:F633,A630:A633,B$11),IF(AND(COUNT(A631:A642)=4,COUNT(F631:F642)=4),cubic_spline(F630:F634,A630:A634,B$11),IF(AND(COUNT(A631:A642)=5,COUNT(F631:F642)=5),cubic_spline(F630:F635,A630:A635,B$11),IF(AND(COUNT(A631:A642)=6,COUNT(F631:F642)=6),cubic_spline(F630:F636,A630:A636,B$11),IF(AND(COUNT(A631:A642)=7,COUNT(F631:F642)=7),cubic_spline(F630:F637,A630:A637,B$11),IF(AND(COUNT(A631:A642)=8,COUNT(F631:F642)=8),cubic_spline(F630:F638,A630:A638,B$11),IF(AND(COUNT(A631:A642)=9,COUNT(F631:F642)=9),cubic_spline(F630:F639,A630:A639,B$11),IF(AND(COUNT(A631:A642)=10,COUNT(F631:F642)=10),cubic_spline(F630:F640,A630:A640,B$11),IF(AND(COUNT(A631:A642)=11,COUNT(F631:F642)=11),cubic_spline(F630:F641,A630:A641,B$11),IF(AND(COUNT(A631:A642)=12,COUNT(F631:F642)=12),cubic_spline(F630:F642,A630:A642,B$11),""))))))))))))</f>
        <v/>
      </c>
      <c r="L638" s="27" t="str">
        <f>IF(I638="","",B$10&amp;"-"&amp;B$11)</f>
        <v/>
      </c>
      <c r="M638" s="52" t="str">
        <f t="shared" si="240"/>
        <v/>
      </c>
    </row>
    <row r="639" spans="1:13" x14ac:dyDescent="0.35">
      <c r="A639" s="48"/>
      <c r="B639" s="48"/>
      <c r="C639" s="49"/>
      <c r="D639" s="50"/>
      <c r="E639" s="51" t="str">
        <f t="shared" si="239"/>
        <v/>
      </c>
      <c r="F639" s="71" t="str">
        <f t="shared" si="236"/>
        <v/>
      </c>
      <c r="G639" s="69" t="str">
        <f t="shared" si="238"/>
        <v/>
      </c>
      <c r="H639" s="70" t="str">
        <f t="shared" si="237"/>
        <v/>
      </c>
      <c r="I639" s="27" t="str">
        <f>IF(N(J639)=0,"",0&amp;"-"&amp;B$12)</f>
        <v/>
      </c>
      <c r="J639" s="52" t="str">
        <f>IF(N(B$12)=0,"",IF(AND(COUNT(H631:H642)=2,COUNT(F631:F642)=2),cubic_spline(F630:F632,H630:H632,B$12),IF(AND(COUNT(H631:H642)=3,COUNT(F631:F642)=3),cubic_spline(F630:F633,H630:H633,B$12),IF(AND(COUNT(H631:H642)=4,COUNT(F631:F642)=4),cubic_spline(F630:F634,H630:H634,B$12),IF(AND(COUNT(H631:H642)=5,COUNT(F631:F642)=5),cubic_spline(F630:F635,H630:H635,B$12),IF(AND(COUNT(H631:H642)=6,COUNT(F631:F642)=6),cubic_spline(F630:F636,H630:H636,B$12),IF(AND(COUNT(H631:H642)=7,COUNT(F631:F642)=7),cubic_spline(F630:F637,H630:H637,B$12),IF(AND(COUNT(H631:H642)=8,COUNT(F631:F642)=8),cubic_spline(F630:F638,H630:H638,B$12),IF(AND(COUNT(H631:H642)=9,COUNT(F631:F642)=9),cubic_spline(F630:F639,H630:H639,B$12),IF(AND(COUNT(H631:H642)=10,COUNT(F631:F642)=10),cubic_spline(F630:F640,H630:H640,B$12),IF(AND(COUNT(H631:H642)=11,COUNT(F631:F642)=11),cubic_spline(F630:F641,H630:H641,B$12),IF(AND(COUNT(H631:H642)=12,COUNT(F631:F642)=12),cubic_spline(F630:F642,H630:H642,B$12),""))))))))))))</f>
        <v/>
      </c>
      <c r="K639" s="52" t="str">
        <f>IF(N(B$12)=0,"",IF(AND(COUNT(A631:A642)=2,COUNT(F631:F642)=2),cubic_spline(F630:F632,A630:A632,B$12),IF(AND(COUNT(A631:A642)=3,COUNT(F631:F642)=3),cubic_spline(F630:F633,A630:A633,B$12),IF(AND(COUNT(A631:A642)=4,COUNT(F631:F642)=4),cubic_spline(F630:F634,A630:A634,B$12),IF(AND(COUNT(A631:A642)=5,COUNT(F631:F642)=5),cubic_spline(F630:F635,A630:A635,B$12),IF(AND(COUNT(A631:A642)=6,COUNT(F631:F642)=6),cubic_spline(F630:F636,A630:A636,B$12),IF(AND(COUNT(A631:A642)=7,COUNT(F631:F642)=7),cubic_spline(F630:F637,A630:A637,B$12),IF(AND(COUNT(A631:A642)=8,COUNT(F631:F642)=8),cubic_spline(F630:F638,A630:A638,B$12),IF(AND(COUNT(A631:A642)=9,COUNT(F631:F642)=9),cubic_spline(F630:F639,A630:A639,B$12),IF(AND(COUNT(A631:A642)=10,COUNT(F631:F642)=10),cubic_spline(F630:F640,A630:A640,B$12),IF(AND(COUNT(A631:A642)=11,COUNT(F631:F642)=11),cubic_spline(F630:F641,A630:A641,B$12),IF(AND(COUNT(A631:A642)=12,COUNT(F631:F642)=12),cubic_spline(F630:F642,A630:A642,B$12),""))))))))))))</f>
        <v/>
      </c>
      <c r="L639" s="27" t="str">
        <f>IF(I639="","",B$11&amp;"-"&amp;B$12)</f>
        <v/>
      </c>
      <c r="M639" s="52" t="str">
        <f t="shared" si="240"/>
        <v/>
      </c>
    </row>
    <row r="640" spans="1:13" x14ac:dyDescent="0.35">
      <c r="A640" s="48"/>
      <c r="B640" s="48"/>
      <c r="C640" s="49"/>
      <c r="D640" s="50"/>
      <c r="E640" s="51" t="str">
        <f t="shared" si="239"/>
        <v/>
      </c>
      <c r="F640" s="71" t="str">
        <f t="shared" si="236"/>
        <v/>
      </c>
      <c r="G640" s="69" t="str">
        <f t="shared" si="238"/>
        <v/>
      </c>
      <c r="H640" s="70" t="str">
        <f t="shared" si="237"/>
        <v/>
      </c>
      <c r="I640" s="27" t="str">
        <f>IF(N(J640)=0,"",0&amp;"-"&amp;B$13)</f>
        <v/>
      </c>
      <c r="J640" s="52" t="str">
        <f>IF(N(B$13)=0,"",IF(AND(COUNT(H631:H642)=2,COUNT(F631:F642)=2),cubic_spline(F630:F632,H630:H632,B$13),IF(AND(COUNT(H631:H642)=3,COUNT(F631:F642)=3),cubic_spline(F630:F633,H630:H633,B$13),IF(AND(COUNT(H631:H642)=4,COUNT(F631:F642)=4),cubic_spline(F630:F634,H630:H634,B$13),IF(AND(COUNT(H631:H642)=5,COUNT(F631:F642)=5),cubic_spline(F630:F635,H630:H635,B$13),IF(AND(COUNT(H631:H642)=6,COUNT(F631:F642)=6),cubic_spline(F630:F636,H630:H636,B$13),IF(AND(COUNT(H631:H642)=7,COUNT(F631:F642)=7),cubic_spline(F630:F637,H630:H637,B$13),IF(AND(COUNT(H631:H642)=8,COUNT(F631:F642)=8),cubic_spline(F630:F638,H630:H638,B$13),IF(AND(COUNT(H631:H642)=9,COUNT(F631:F642)=9),cubic_spline(F630:F639,H630:H639,B$13),IF(AND(COUNT(H631:H642)=10,COUNT(F631:F642)=10),cubic_spline(F630:F640,H630:H640,B$13),IF(AND(COUNT(H631:H642)=11,COUNT(F631:F642)=11),cubic_spline(F630:F641,H630:H641,B$13),IF(AND(COUNT(H631:H642)=12,COUNT(F631:F642)=12),cubic_spline(F630:F642,H630:H642,B$13),""))))))))))))</f>
        <v/>
      </c>
      <c r="K640" s="52" t="str">
        <f>IF(N(B$13)=0,"",IF(AND(COUNT(A631:A642)=2,COUNT(F631:F642)=2),cubic_spline(F630:F632,A630:A632,B$13),IF(AND(COUNT(A631:A642)=3,COUNT(F631:F642)=3),cubic_spline(F630:F633,A630:A633,B$13),IF(AND(COUNT(A631:A642)=4,COUNT(F631:F642)=4),cubic_spline(F630:F634,A630:A634,B$13),IF(AND(COUNT(A631:A642)=5,COUNT(F631:F642)=5),cubic_spline(F630:F635,A630:A635,B$13),IF(AND(COUNT(A631:A642)=6,COUNT(F631:F642)=6),cubic_spline(F630:F636,A630:A636,B$13),IF(AND(COUNT(A631:A642)=7,COUNT(F631:F642)=7),cubic_spline(F630:F637,A630:A637,B$13),IF(AND(COUNT(A631:A642)=8,COUNT(F631:F642)=8),cubic_spline(F630:F638,A630:A638,B$13),IF(AND(COUNT(A631:A642)=9,COUNT(F631:F642)=9),cubic_spline(F630:F639,A630:A639,B$13),IF(AND(COUNT(A631:A642)=10,COUNT(F631:F642)=10),cubic_spline(F630:F640,A630:A640,B$13),IF(AND(COUNT(A631:A642)=11,COUNT(F631:F642)=11),cubic_spline(F630:F641,A630:A641,B$13),IF(AND(COUNT(A631:A642)=12,COUNT(F631:F642)=12),cubic_spline(F630:F642,A630:A642,B$13),""))))))))))))</f>
        <v/>
      </c>
      <c r="L640" s="27" t="str">
        <f>IF(I640="","",B$12&amp;"-"&amp;B$13)</f>
        <v/>
      </c>
      <c r="M640" s="52" t="str">
        <f t="shared" si="240"/>
        <v/>
      </c>
    </row>
    <row r="641" spans="1:13" x14ac:dyDescent="0.35">
      <c r="A641" s="48"/>
      <c r="B641" s="48"/>
      <c r="C641" s="49"/>
      <c r="D641" s="50"/>
      <c r="E641" s="51" t="str">
        <f t="shared" si="239"/>
        <v/>
      </c>
      <c r="F641" s="71" t="str">
        <f t="shared" si="236"/>
        <v/>
      </c>
      <c r="G641" s="69" t="str">
        <f t="shared" si="238"/>
        <v/>
      </c>
      <c r="H641" s="70" t="str">
        <f t="shared" si="237"/>
        <v/>
      </c>
      <c r="I641" s="27" t="str">
        <f>IF(N(J641)=0,"",0&amp;"-"&amp;B$14)</f>
        <v/>
      </c>
      <c r="J641" s="52" t="str">
        <f>IF(N(B$14)=0,"",IF(AND(COUNT(H631:H642)=2,COUNT(F631:F642)=2),cubic_spline(F630:F632,H630:H632,B$14),IF(AND(COUNT(H631:H642)=3,COUNT(F631:F642)=3),cubic_spline(F630:F633,H630:H633,B$14),IF(AND(COUNT(H631:H642)=4,COUNT(F631:F642)=4),cubic_spline(F630:F634,H630:H634,B$14),IF(AND(COUNT(H631:H642)=5,COUNT(F631:F642)=5),cubic_spline(F630:F635,H630:H635,B$14),IF(AND(COUNT(H631:H642)=6,COUNT(F631:F642)=6),cubic_spline(F630:F636,H630:H636,B$14),IF(AND(COUNT(H631:H642)=7,COUNT(F631:F642)=7),cubic_spline(F630:F637,H630:H637,B$14),IF(AND(COUNT(H631:H642)=8,COUNT(F631:F642)=8),cubic_spline(F630:F638,H630:H638,B$14),IF(AND(COUNT(H631:H642)=9,COUNT(F631:F642)=9),cubic_spline(F630:F639,H630:H639,B$14),IF(AND(COUNT(H631:H642)=10,COUNT(F631:F642)=10),cubic_spline(F630:F640,H630:H640,B$14),IF(AND(COUNT(H631:H642)=11,COUNT(F631:F642)=11),cubic_spline(F630:F641,H630:H641,B$14),IF(AND(COUNT(H631:H642)=12,COUNT(F631:F642)=12),cubic_spline(F630:F642,H630:H642,B$14),""))))))))))))</f>
        <v/>
      </c>
      <c r="K641" s="52" t="str">
        <f>IF(N(B$14)=0,"",IF(AND(COUNT(A631:A642)=2,COUNT(F631:F642)=2),cubic_spline(F630:F632,A630:A632,B$14),IF(AND(COUNT(A631:A642)=3,COUNT(F631:F642)=3),cubic_spline(F630:F633,A630:A633,B$14),IF(AND(COUNT(A631:A642)=4,COUNT(F631:F642)=4),cubic_spline(F630:F634,A630:A634,B$14),IF(AND(COUNT(A631:A642)=5,COUNT(F631:F642)=5),cubic_spline(F630:F635,A630:A635,B$14),IF(AND(COUNT(A631:A642)=6,COUNT(F631:F642)=6),cubic_spline(F630:F636,A630:A636,B$14),IF(AND(COUNT(A631:A642)=7,COUNT(F631:F642)=7),cubic_spline(F630:F637,A630:A637,B$14),IF(AND(COUNT(A631:A642)=8,COUNT(F631:F642)=8),cubic_spline(F630:F638,A630:A638,B$14),IF(AND(COUNT(A631:A642)=9,COUNT(F631:F642)=9),cubic_spline(F630:F639,A630:A639,B$14),IF(AND(COUNT(A631:A642)=10,COUNT(F631:F642)=10),cubic_spline(F630:F640,A630:A640,B$14),IF(AND(COUNT(A631:A642)=11,COUNT(F631:F642)=11),cubic_spline(F630:F641,A630:A641,B$14),IF(AND(COUNT(A631:A642)=12,COUNT(F631:F642)=12),cubic_spline(F630:F642,A630:A642,B$14),""))))))))))))</f>
        <v/>
      </c>
      <c r="L641" s="27" t="str">
        <f>IF(I641="","",B$13&amp;"-"&amp;B$14)</f>
        <v/>
      </c>
      <c r="M641" s="52" t="str">
        <f t="shared" si="240"/>
        <v/>
      </c>
    </row>
    <row r="642" spans="1:13" x14ac:dyDescent="0.35">
      <c r="A642" s="48"/>
      <c r="B642" s="48"/>
      <c r="C642" s="49"/>
      <c r="D642" s="50"/>
      <c r="E642" s="51" t="str">
        <f t="shared" si="239"/>
        <v/>
      </c>
      <c r="F642" s="71" t="str">
        <f t="shared" si="236"/>
        <v/>
      </c>
      <c r="G642" s="69" t="str">
        <f t="shared" si="238"/>
        <v/>
      </c>
      <c r="H642" s="70" t="str">
        <f t="shared" si="237"/>
        <v/>
      </c>
      <c r="I642" s="27" t="str">
        <f>IF(N(J642)=0,"",0&amp;"-"&amp;B$15)</f>
        <v/>
      </c>
      <c r="J642" s="52" t="str">
        <f>IF(N(B$15)=0,"",IF(AND(COUNT(H631:H642)=2,COUNT(F631:F642)=2),cubic_spline(F630:F632,H630:H632,B$15),IF(AND(COUNT(H631:H642)=3,COUNT(F631:F642)=3),cubic_spline(F630:F633,H630:H633,B$15),IF(AND(COUNT(H631:H642)=4,COUNT(F631:F642)=4),cubic_spline(F630:F634,H630:H634,B$15),IF(AND(COUNT(H631:H642)=5,COUNT(F631:F642)=5),cubic_spline(F630:F635,H630:H635,B$15),IF(AND(COUNT(H631:H642)=6,COUNT(F631:F642)=6),cubic_spline(F630:F636,H630:H636,B$15),IF(AND(COUNT(H631:H642)=7,COUNT(F631:F642)=7),cubic_spline(F630:F637,H630:H637,B$15),IF(AND(COUNT(H631:H642)=8,COUNT(F631:F642)=8),cubic_spline(F630:F638,H630:H638,B$15),IF(AND(COUNT(H631:H642)=9,COUNT(F631:F642)=9),cubic_spline(F630:F639,H630:H639,B$15),IF(AND(COUNT(H631:H642)=10,COUNT(F631:F642)=10),cubic_spline(F630:F640,H630:H640,B$15),IF(AND(COUNT(H631:H642)=11,COUNT(F631:F642)=11),cubic_spline(F630:F641,H630:H641,B$15),IF(AND(COUNT(H631:H642)=12,COUNT(F631:F642)=12),cubic_spline(F630:F642,H630:H642,B$15),""))))))))))))</f>
        <v/>
      </c>
      <c r="K642" s="52" t="str">
        <f>IF(N(B$15)=0,"",IF(AND(COUNT(A631:A642)=2,COUNT(F631:F642)=2),cubic_spline(F630:F632,A630:A632,B$15),IF(AND(COUNT(A631:A642)=3,COUNT(F631:F642)=3),cubic_spline(F630:F633,A630:A633,B$15),IF(AND(COUNT(A631:A642)=4,COUNT(F631:F642)=4),cubic_spline(F630:F634,A630:A634,B$15),IF(AND(COUNT(A631:A642)=5,COUNT(F631:F642)=5),cubic_spline(F630:F635,A630:A635,B$15),IF(AND(COUNT(A631:A642)=6,COUNT(F631:F642)=6),cubic_spline(F630:F636,A630:A636,B$15),IF(AND(COUNT(A631:A642)=7,COUNT(F631:F642)=7),cubic_spline(F630:F637,A630:A637,B$15),IF(AND(COUNT(A631:A642)=8,COUNT(F631:F642)=8),cubic_spline(F630:F638,A630:A638,B$15),IF(AND(COUNT(A631:A642)=9,COUNT(F631:F642)=9),cubic_spline(F630:F639,A630:A639,B$15),IF(AND(COUNT(A631:A642)=10,COUNT(F631:F642)=10),cubic_spline(F630:F640,A630:A640,B$15),IF(AND(COUNT(A631:A642)=11,COUNT(F631:F642)=11),cubic_spline(F630:F641,A630:A641,B$15),IF(AND(COUNT(A631:A642)=12,COUNT(F631:F642)=12),cubic_spline(F630:F642,A630:A642,B$15),""))))))))))))</f>
        <v/>
      </c>
      <c r="L642" s="27" t="str">
        <f>IF(I642="","",B$14&amp;"-"&amp;B$15)</f>
        <v/>
      </c>
      <c r="M642" s="52" t="str">
        <f t="shared" si="240"/>
        <v/>
      </c>
    </row>
    <row r="643" spans="1:13" ht="5.15" customHeight="1" x14ac:dyDescent="0.35">
      <c r="A643" s="47"/>
      <c r="B643" s="47"/>
      <c r="C643" s="47"/>
      <c r="D643" s="53"/>
      <c r="E643" s="54"/>
      <c r="F643" s="55"/>
      <c r="G643" s="72"/>
      <c r="H643" s="73"/>
      <c r="I643" s="47"/>
      <c r="J643" s="57"/>
      <c r="K643" s="57"/>
      <c r="L643" s="55"/>
      <c r="M643" s="57"/>
    </row>
    <row r="644" spans="1:13" x14ac:dyDescent="0.35">
      <c r="A644" s="48"/>
      <c r="B644" s="48"/>
      <c r="C644" s="49"/>
      <c r="D644" s="50"/>
      <c r="E644" s="51" t="str">
        <f>IF(N(C644)=0,"",C644/PI()/($D$1/2)^2/$D$2*10000)</f>
        <v/>
      </c>
      <c r="F644" s="68" t="str">
        <f t="shared" ref="F644:F655" si="241">IF(N(E644)=0,"",(N(E644)+N(F643)))</f>
        <v/>
      </c>
      <c r="G644" s="69" t="str">
        <f>IF(OR(N(D644)=0,N(E644)=0),"",(E644*D644)/1000)</f>
        <v/>
      </c>
      <c r="H644" s="70" t="str">
        <f t="shared" ref="H644:H655" si="242">IF(N(G644)=0,"",(N(G644)+N(H643)))</f>
        <v/>
      </c>
      <c r="I644" s="27" t="str">
        <f>IF(N(J644)=0,"",0&amp;"-"&amp;B$4)</f>
        <v/>
      </c>
      <c r="J644" s="52" t="str">
        <f>IF(N(B$4)=0,"",IF(AND(COUNT(H644:H655)=2,COUNT(F644:F655)=2),cubic_spline(F643:F645,H643:H645,B$4),IF(AND(COUNT(H644:H655)=3,COUNT(F644:F655)=3),cubic_spline(F643:F646,H643:H646,B$4),IF(AND(COUNT(H644:H655)=4,COUNT(F644:F655)=4),cubic_spline(F643:F647,H643:H647,B$4),IF(AND(COUNT(H644:H655)=5,COUNT(F644:F655)=5),cubic_spline(F643:F648,H643:H648,B$4),IF(AND(COUNT(H644:H655)=6,COUNT(F644:F655)=6),cubic_spline(F643:F649,H643:H649,B$4),IF(AND(COUNT(H644:H655)=7,COUNT(F644:F655)=7),cubic_spline(F643:F650,H643:H650,B$4),IF(AND(COUNT(H644:H655)=8,COUNT(F644:F655)=8),cubic_spline(F643:F651,H643:H651,B$4),IF(AND(COUNT(H644:H655)=9,COUNT(F644:F655)=9),cubic_spline(F643:F652,H643:H652,B$4),IF(AND(COUNT(H644:H655)=10,COUNT(F644:F655)=10),cubic_spline(F643:F653,H643:H653,B$4),IF(AND(COUNT(H644:H655)=11,COUNT(F644:F655)=11),cubic_spline(F643:F654,H643:H654,B$4),IF(AND(COUNT(H644:H655)=12,COUNT(F644:F655)=12),cubic_spline(F643:F655,H643:H655,B$4),""))))))))))))</f>
        <v/>
      </c>
      <c r="K644" s="52" t="str">
        <f>IF(N(B$4)=0,"",IF(AND(COUNT(A644:A655)=2,COUNT(F644:F655)=2),cubic_spline(F643:F645,A643:A645,B$4),IF(AND(COUNT(A644:A655)=3,COUNT(F644:F655)=3),cubic_spline(F643:F646,A643:A646,B$4),IF(AND(COUNT(A644:A655)=4,COUNT(F644:F655)=4),cubic_spline(F643:F647,A643:A647,B$4),IF(AND(COUNT(A644:A655)=5,COUNT(F644:F655)=5),cubic_spline(F643:F648,A643:A648,B$4),IF(AND(COUNT(A644:A655)=6,COUNT(F644:F655)=6),cubic_spline(F643:F649,A643:A649,B$4),IF(AND(COUNT(A644:A655)=7,COUNT(F644:F655)=7),cubic_spline(F643:F650,A643:A650,B$4),IF(AND(COUNT(A644:A655)=8,COUNT(F644:F655)=8),cubic_spline(F643:F651,A643:A651,B$4),IF(AND(COUNT(A644:A655)=9,COUNT(F644:F655)=9),cubic_spline(F643:F652,A643:A652,B$4),IF(AND(COUNT(A644:A655)=10,COUNT(F644:F655)=10),cubic_spline(F643:F653,A643:A653,B$4),IF(AND(COUNT(A644:A655)=11,COUNT(F644:F655)=11),cubic_spline(F643:F654,A643:A654,B$4),IF(AND(COUNT(A644:A655)=12,COUNT(F644:F655)=12),cubic_spline(F643:F655,A643:A655,B$4),""))))))))))))</f>
        <v/>
      </c>
      <c r="L644" s="27" t="str">
        <f>IF(I644="","",0&amp;"-"&amp;B$4)</f>
        <v/>
      </c>
      <c r="M644" s="52" t="str">
        <f>IF(N(J644)=0,"",J644-J643)</f>
        <v/>
      </c>
    </row>
    <row r="645" spans="1:13" x14ac:dyDescent="0.35">
      <c r="A645" s="48"/>
      <c r="B645" s="48"/>
      <c r="C645" s="49"/>
      <c r="D645" s="50"/>
      <c r="E645" s="51" t="str">
        <f>IF(N(C645)=0,"",C645/PI()/($D$1/2)^2/$D$2*10000)</f>
        <v/>
      </c>
      <c r="F645" s="68" t="str">
        <f t="shared" si="241"/>
        <v/>
      </c>
      <c r="G645" s="69" t="str">
        <f t="shared" ref="G645:G655" si="243">IF(OR(N(D645)=0,N(E645)=0),"",(E645*D645)/1000)</f>
        <v/>
      </c>
      <c r="H645" s="70" t="str">
        <f t="shared" si="242"/>
        <v/>
      </c>
      <c r="I645" s="27" t="str">
        <f>IF(N(J645)=0,"",0&amp;"-"&amp;B$5)</f>
        <v/>
      </c>
      <c r="J645" s="52" t="str">
        <f>IF(N(B$5)=0,"",IF(AND(COUNT(H644:H655)=2,COUNT(F644:F655)=2),cubic_spline(F643:F645,H643:H645,B$5),IF(AND(COUNT(H644:H655)=3,COUNT(F644:F655)=3),cubic_spline(F643:F646,H643:H646,B$5),IF(AND(COUNT(H644:H655)=4,COUNT(F644:F655)=4),cubic_spline(F643:F647,H643:H647,B$5),IF(AND(COUNT(H644:H655)=5,COUNT(F644:F655)=5),cubic_spline(F643:F648,H643:H648,B$5),IF(AND(COUNT(H644:H655)=6,COUNT(F644:F655)=6),cubic_spline(F643:F649,H643:H649,B$5),IF(AND(COUNT(H644:H655)=7,COUNT(F644:F655)=7),cubic_spline(F643:F650,H643:H650,B$5),IF(AND(COUNT(H644:H655)=8,COUNT(F644:F655)=8),cubic_spline(F643:F651,H643:H651,B$5),IF(AND(COUNT(H644:H655)=9,COUNT(F644:F655)=9),cubic_spline(F643:F652,H643:H652,B$5),IF(AND(COUNT(H644:H655)=10,COUNT(F644:F655)=10),cubic_spline(F643:F653,H643:H653,B$5),IF(AND(COUNT(H644:H655)=11,COUNT(F644:F655)=11),cubic_spline(F643:F654,H643:H654,B$5),IF(AND(COUNT(H644:H655)=12,COUNT(F644:F655)=12),cubic_spline(F643:F655,H643:H655,B$5),""))))))))))))</f>
        <v/>
      </c>
      <c r="K645" s="52" t="str">
        <f>IF(N(B$5)=0,"",IF(AND(COUNT(A644:A655)=2,COUNT(F644:F655)=2),cubic_spline(F643:F645,A643:A645,B$5),IF(AND(COUNT(A644:A655)=3,COUNT(F644:F655)=3),cubic_spline(F643:F646,A643:A646,B$5),IF(AND(COUNT(A644:A655)=4,COUNT(F644:F655)=4),cubic_spline(F643:F647,A643:A647,B$5),IF(AND(COUNT(A644:A655)=5,COUNT(F644:F655)=5),cubic_spline(F643:F648,A643:A648,B$5),IF(AND(COUNT(A644:A655)=6,COUNT(F644:F655)=6),cubic_spline(F643:F649,A643:A649,B$5),IF(AND(COUNT(A644:A655)=7,COUNT(F644:F655)=7),cubic_spline(F643:F650,A643:A650,B$5),IF(AND(COUNT(A644:A655)=8,COUNT(F644:F655)=8),cubic_spline(F643:F651,A643:A651,B$5),IF(AND(COUNT(A644:A655)=9,COUNT(F644:F655)=9),cubic_spline(F643:F652,A643:A652,B$5),IF(AND(COUNT(A644:A655)=10,COUNT(F644:F655)=10),cubic_spline(F643:F653,A643:A653,B$5),IF(AND(COUNT(A644:A655)=11,COUNT(F644:F655)=11),cubic_spline(F643:F654,A643:A654,B$5),IF(AND(COUNT(A644:A655)=12,COUNT(F644:F655)=12),cubic_spline(F643:F655,A643:A655,B$5),""))))))))))))</f>
        <v/>
      </c>
      <c r="L645" s="27" t="str">
        <f>IF(I645="","",B$4&amp;"-"&amp;B$5)</f>
        <v/>
      </c>
      <c r="M645" s="52" t="str">
        <f>IF(N(J645)=0,"",J645-J644)</f>
        <v/>
      </c>
    </row>
    <row r="646" spans="1:13" x14ac:dyDescent="0.35">
      <c r="A646" s="48"/>
      <c r="B646" s="48"/>
      <c r="C646" s="49"/>
      <c r="D646" s="50"/>
      <c r="E646" s="51" t="str">
        <f>IF(N(C646)=0,"",C646/PI()/($D$1/2)^2/$D$2*10000)</f>
        <v/>
      </c>
      <c r="F646" s="68" t="str">
        <f t="shared" si="241"/>
        <v/>
      </c>
      <c r="G646" s="69" t="str">
        <f t="shared" si="243"/>
        <v/>
      </c>
      <c r="H646" s="70" t="str">
        <f t="shared" si="242"/>
        <v/>
      </c>
      <c r="I646" s="27" t="str">
        <f>IF(N(J646)=0,"",0&amp;"-"&amp;B$6)</f>
        <v/>
      </c>
      <c r="J646" s="52" t="str">
        <f>IF(N(B$6)=0,"",IF(AND(COUNT(H644:H655)=2,COUNT(F644:F655)=2),cubic_spline(F643:F645,H643:H645,B$6),IF(AND(COUNT(H644:H655)=3,COUNT(F644:F655)=3),cubic_spline(F643:F646,H643:H646,B$6),IF(AND(COUNT(H644:H655)=4,COUNT(F644:F655)=4),cubic_spline(F643:F647,H643:H647,B$6),IF(AND(COUNT(H644:H655)=5,COUNT(F644:F655)=5),cubic_spline(F643:F648,H643:H648,B$6),IF(AND(COUNT(H644:H655)=6,COUNT(F644:F655)=6),cubic_spline(F643:F649,H643:H649,B$6),IF(AND(COUNT(H644:H655)=7,COUNT(F644:F655)=7),cubic_spline(F643:F650,H643:H650,B$6),IF(AND(COUNT(H644:H655)=8,COUNT(F644:F655)=8),cubic_spline(F643:F651,H643:H651,B$6),IF(AND(COUNT(H644:H655)=9,COUNT(F644:F655)=9),cubic_spline(F643:F652,H643:H652,B$6),IF(AND(COUNT(H644:H655)=10,COUNT(F644:F655)=10),cubic_spline(F643:F653,H643:H653,B$6),IF(AND(COUNT(H644:H655)=11,COUNT(F644:F655)=11),cubic_spline(F643:F654,H643:H654,B$6),IF(AND(COUNT(H644:H655)=12,COUNT(F644:F655)=12),cubic_spline(F643:F655,H643:H655,B$6),""))))))))))))</f>
        <v/>
      </c>
      <c r="K646" s="52" t="str">
        <f>IF(N(B$6)=0,"",IF(AND(COUNT(A644:A655)=2,COUNT(F644:F655)=2),cubic_spline(F643:F645,A643:A645,B$6),IF(AND(COUNT(A644:A655)=3,COUNT(F644:F655)=3),cubic_spline(F643:F646,A643:A646,B$6),IF(AND(COUNT(A644:A655)=4,COUNT(F644:F655)=4),cubic_spline(F643:F647,A643:A647,B$6),IF(AND(COUNT(A644:A655)=5,COUNT(F644:F655)=5),cubic_spline(F643:F648,A643:A648,B$6),IF(AND(COUNT(A644:A655)=6,COUNT(F644:F655)=6),cubic_spline(F643:F649,A643:A649,B$6),IF(AND(COUNT(A644:A655)=7,COUNT(F644:F655)=7),cubic_spline(F643:F650,A643:A650,B$6),IF(AND(COUNT(A644:A655)=8,COUNT(F644:F655)=8),cubic_spline(F643:F651,A643:A651,B$6),IF(AND(COUNT(A644:A655)=9,COUNT(F644:F655)=9),cubic_spline(F643:F652,A643:A652,B$6),IF(AND(COUNT(A644:A655)=10,COUNT(F644:F655)=10),cubic_spline(F643:F653,A643:A653,B$6),IF(AND(COUNT(A644:A655)=11,COUNT(F644:F655)=11),cubic_spline(F643:F654,A643:A654,B$6),IF(AND(COUNT(A644:A655)=12,COUNT(F644:F655)=12),cubic_spline(F643:F655,A643:A655,B$6),""))))))))))))</f>
        <v/>
      </c>
      <c r="L646" s="27" t="str">
        <f>IF(I646="","",B$5&amp;"-"&amp;B$6)</f>
        <v/>
      </c>
      <c r="M646" s="52" t="str">
        <f>IF(N(J646)=0,"",J646-J645)</f>
        <v/>
      </c>
    </row>
    <row r="647" spans="1:13" x14ac:dyDescent="0.35">
      <c r="A647" s="48"/>
      <c r="B647" s="48"/>
      <c r="C647" s="49"/>
      <c r="D647" s="50"/>
      <c r="E647" s="51" t="str">
        <f>IF(N(C647)=0,"",C647/PI()/($D$1/2)^2/$D$2*10000)</f>
        <v/>
      </c>
      <c r="F647" s="68" t="str">
        <f t="shared" si="241"/>
        <v/>
      </c>
      <c r="G647" s="69" t="str">
        <f t="shared" si="243"/>
        <v/>
      </c>
      <c r="H647" s="70" t="str">
        <f t="shared" si="242"/>
        <v/>
      </c>
      <c r="I647" s="27" t="str">
        <f>IF(N(J647)=0,"",0&amp;"-"&amp;B$7)</f>
        <v/>
      </c>
      <c r="J647" s="52" t="str">
        <f>IF(N(B$7)=0,"",IF(AND(COUNT(H644:H655)=2,COUNT(F644:F655)=2),cubic_spline(F643:F645,H643:H645,B$7),IF(AND(COUNT(H644:H655)=3,COUNT(F644:F655)=3),cubic_spline(F643:F646,H643:H646,B$7),IF(AND(COUNT(H644:H655)=4,COUNT(F644:F655)=4),cubic_spline(F643:F647,H643:H647,B$7),IF(AND(COUNT(H644:H655)=5,COUNT(F644:F655)=5),cubic_spline(F643:F648,H643:H648,B$7),IF(AND(COUNT(H644:H655)=6,COUNT(F644:F655)=6),cubic_spline(F643:F649,H643:H649,B$7),IF(AND(COUNT(H644:H655)=7,COUNT(F644:F655)=7),cubic_spline(F643:F650,H643:H650,B$7),IF(AND(COUNT(H644:H655)=8,COUNT(F644:F655)=8),cubic_spline(F643:F651,H643:H651,B$7),IF(AND(COUNT(H644:H655)=9,COUNT(F644:F655)=9),cubic_spline(F643:F652,H643:H652,B$7),IF(AND(COUNT(H644:H655)=10,COUNT(F644:F655)=10),cubic_spline(F643:F653,H643:H653,B$7),IF(AND(COUNT(H644:H655)=11,COUNT(F644:F655)=11),cubic_spline(F643:F654,H643:H654,B$7),IF(AND(COUNT(H644:H655)=12,COUNT(F644:F655)=12),cubic_spline(F643:F655,H643:H655,B$7),""))))))))))))</f>
        <v/>
      </c>
      <c r="K647" s="52" t="str">
        <f>IF(N(B$7)=0,"",IF(AND(COUNT(A644:A655)=2,COUNT(F644:F655)=2),cubic_spline(F643:F645,A643:A645,B$7),IF(AND(COUNT(A644:A655)=3,COUNT(F644:F655)=3),cubic_spline(F643:F646,A643:A646,B$7),IF(AND(COUNT(A644:A655)=4,COUNT(F644:F655)=4),cubic_spline(F643:F647,A643:A647,B$7),IF(AND(COUNT(A644:A655)=5,COUNT(F644:F655)=5),cubic_spline(F643:F648,A643:A648,B$7),IF(AND(COUNT(A644:A655)=6,COUNT(F644:F655)=6),cubic_spline(F643:F649,A643:A649,B$7),IF(AND(COUNT(A644:A655)=7,COUNT(F644:F655)=7),cubic_spline(F643:F650,A643:A650,B$7),IF(AND(COUNT(A644:A655)=8,COUNT(F644:F655)=8),cubic_spline(F643:F651,A643:A651,B$7),IF(AND(COUNT(A644:A655)=9,COUNT(F644:F655)=9),cubic_spline(F643:F652,A643:A652,B$7),IF(AND(COUNT(A644:A655)=10,COUNT(F644:F655)=10),cubic_spline(F643:F653,A643:A653,B$7),IF(AND(COUNT(A644:A655)=11,COUNT(F644:F655)=11),cubic_spline(F643:F654,A643:A654,B$7),IF(AND(COUNT(A644:A655)=12,COUNT(F644:F655)=12),cubic_spline(F643:F655,A643:A655,B$7),""))))))))))))</f>
        <v/>
      </c>
      <c r="L647" s="27" t="str">
        <f>IF(I647="","",B$6&amp;"-"&amp;B$7)</f>
        <v/>
      </c>
      <c r="M647" s="52" t="str">
        <f>IF(N(J647)=0,"",J647-J646)</f>
        <v/>
      </c>
    </row>
    <row r="648" spans="1:13" x14ac:dyDescent="0.35">
      <c r="A648" s="48"/>
      <c r="B648" s="48"/>
      <c r="C648" s="49"/>
      <c r="D648" s="50"/>
      <c r="E648" s="51" t="str">
        <f t="shared" ref="E648:E655" si="244">IF(N(C648)=0,"",C648/PI()/($D$1/2)^2/$D$2*10000)</f>
        <v/>
      </c>
      <c r="F648" s="71" t="str">
        <f t="shared" si="241"/>
        <v/>
      </c>
      <c r="G648" s="69" t="str">
        <f t="shared" si="243"/>
        <v/>
      </c>
      <c r="H648" s="70" t="str">
        <f t="shared" si="242"/>
        <v/>
      </c>
      <c r="I648" s="27" t="str">
        <f>IF(N(J648)=0,"",0&amp;"-"&amp;B$8)</f>
        <v/>
      </c>
      <c r="J648" s="52" t="str">
        <f>IF(N(B$8)=0,"",IF(AND(COUNT(H644:H655)=2,COUNT(F644:F655)=2),cubic_spline(F643:F645,H643:H645,B$8),IF(AND(COUNT(H644:H655)=3,COUNT(F644:F655)=3),cubic_spline(F643:F646,H643:H646,B$8),IF(AND(COUNT(H644:H655)=4,COUNT(F644:F655)=4),cubic_spline(F643:F647,H643:H647,B$8),IF(AND(COUNT(H644:H655)=5,COUNT(F644:F655)=5),cubic_spline(F643:F648,H643:H648,B$8),IF(AND(COUNT(H644:H655)=6,COUNT(F644:F655)=6),cubic_spline(F643:F649,H643:H649,B$8),IF(AND(COUNT(H644:H655)=7,COUNT(F644:F655)=7),cubic_spline(F643:F650,H643:H650,B$8),IF(AND(COUNT(H644:H655)=8,COUNT(F644:F655)=8),cubic_spline(F643:F651,H643:H651,B$8),IF(AND(COUNT(H644:H655)=9,COUNT(F644:F655)=9),cubic_spline(F643:F652,H643:H652,B$8),IF(AND(COUNT(H644:H655)=10,COUNT(F644:F655)=10),cubic_spline(F643:F653,H643:H653,B$8),IF(AND(COUNT(H644:H655)=11,COUNT(F644:F655)=11),cubic_spline(F643:F654,H643:H654,B$8),IF(AND(COUNT(H644:H655)=12,COUNT(F644:F655)=12),cubic_spline(F643:F655,H643:H655,B$8),""))))))))))))</f>
        <v/>
      </c>
      <c r="K648" s="52" t="str">
        <f>IF(N(B$8)=0,"",IF(AND(COUNT(A644:A655)=2,COUNT(F644:F655)=2),cubic_spline(F643:F645,A643:A645,B$8),IF(AND(COUNT(A644:A655)=3,COUNT(F644:F655)=3),cubic_spline(F643:F646,A643:A646,B$8),IF(AND(COUNT(A644:A655)=4,COUNT(F644:F655)=4),cubic_spline(F643:F647,A643:A647,B$8),IF(AND(COUNT(A644:A655)=5,COUNT(F644:F655)=5),cubic_spline(F643:F648,A643:A648,B$8),IF(AND(COUNT(A644:A655)=6,COUNT(F644:F655)=6),cubic_spline(F643:F649,A643:A649,B$8),IF(AND(COUNT(A644:A655)=7,COUNT(F644:F655)=7),cubic_spline(F643:F650,A643:A650,B$8),IF(AND(COUNT(A644:A655)=8,COUNT(F644:F655)=8),cubic_spline(F643:F651,A643:A651,B$8),IF(AND(COUNT(A644:A655)=9,COUNT(F644:F655)=9),cubic_spline(F643:F652,A643:A652,B$8),IF(AND(COUNT(A644:A655)=10,COUNT(F644:F655)=10),cubic_spline(F643:F653,A643:A653,B$8),IF(AND(COUNT(A644:A655)=11,COUNT(F644:F655)=11),cubic_spline(F643:F654,A643:A654,B$8),IF(AND(COUNT(A644:A655)=12,COUNT(F644:F655)=12),cubic_spline(F643:F655,A643:A655,B$8),""))))))))))))</f>
        <v/>
      </c>
      <c r="L648" s="27" t="str">
        <f>IF(I648="","",B$7&amp;"-"&amp;B$8)</f>
        <v/>
      </c>
      <c r="M648" s="52" t="str">
        <f>IF(N(J648)=0,"",J648-J647)</f>
        <v/>
      </c>
    </row>
    <row r="649" spans="1:13" x14ac:dyDescent="0.35">
      <c r="A649" s="48"/>
      <c r="B649" s="48"/>
      <c r="C649" s="49"/>
      <c r="D649" s="50"/>
      <c r="E649" s="51" t="str">
        <f t="shared" si="244"/>
        <v/>
      </c>
      <c r="F649" s="71" t="str">
        <f t="shared" si="241"/>
        <v/>
      </c>
      <c r="G649" s="69" t="str">
        <f t="shared" si="243"/>
        <v/>
      </c>
      <c r="H649" s="70" t="str">
        <f t="shared" si="242"/>
        <v/>
      </c>
      <c r="I649" s="27" t="str">
        <f>IF(N(J649)=0,"",0&amp;"-"&amp;B$9)</f>
        <v/>
      </c>
      <c r="J649" s="52" t="str">
        <f>IF(N(B$9)=0,"",IF(AND(COUNT(H644:H655)=2,COUNT(F644:F655)=2),cubic_spline(F643:F645,H643:H645,B$9),IF(AND(COUNT(H644:H655)=3,COUNT(F644:F655)=3),cubic_spline(F643:F646,H643:H646,B$9),IF(AND(COUNT(H644:H655)=4,COUNT(F644:F655)=4),cubic_spline(F643:F647,H643:H647,B$9),IF(AND(COUNT(H644:H655)=5,COUNT(F644:F655)=5),cubic_spline(F643:F648,H643:H648,B$9),IF(AND(COUNT(H644:H655)=6,COUNT(F644:F655)=6),cubic_spline(F643:F649,H643:H649,B$9),IF(AND(COUNT(H644:H655)=7,COUNT(F644:F655)=7),cubic_spline(F643:F650,H643:H650,B$9),IF(AND(COUNT(H644:H655)=8,COUNT(F644:F655)=8),cubic_spline(F643:F651,H643:H651,B$9),IF(AND(COUNT(H644:H655)=9,COUNT(F644:F655)=9),cubic_spline(F643:F652,H643:H652,B$9),IF(AND(COUNT(H644:H655)=10,COUNT(F644:F655)=10),cubic_spline(F643:F653,H643:H653,B$9),IF(AND(COUNT(H644:H655)=11,COUNT(F644:F655)=11),cubic_spline(F643:F654,H643:H654,B$9),IF(AND(COUNT(H644:H655)=12,COUNT(F644:F655)=12),cubic_spline(F643:F655,H643:H655,B$9),""))))))))))))</f>
        <v/>
      </c>
      <c r="K649" s="52" t="str">
        <f>IF(N(B$9)=0,"",IF(AND(COUNT(A644:A655)=2,COUNT(F644:F655)=2),cubic_spline(F643:F645,A643:A645,B$9),IF(AND(COUNT(A644:A655)=3,COUNT(F644:F655)=3),cubic_spline(F643:F646,A643:A646,B$9),IF(AND(COUNT(A644:A655)=4,COUNT(F644:F655)=4),cubic_spline(F643:F647,A643:A647,B$9),IF(AND(COUNT(A644:A655)=5,COUNT(F644:F655)=5),cubic_spline(F643:F648,A643:A648,B$9),IF(AND(COUNT(A644:A655)=6,COUNT(F644:F655)=6),cubic_spline(F643:F649,A643:A649,B$9),IF(AND(COUNT(A644:A655)=7,COUNT(F644:F655)=7),cubic_spline(F643:F650,A643:A650,B$9),IF(AND(COUNT(A644:A655)=8,COUNT(F644:F655)=8),cubic_spline(F643:F651,A643:A651,B$9),IF(AND(COUNT(A644:A655)=9,COUNT(F644:F655)=9),cubic_spline(F643:F652,A643:A652,B$9),IF(AND(COUNT(A644:A655)=10,COUNT(F644:F655)=10),cubic_spline(F643:F653,A643:A653,B$9),IF(AND(COUNT(A644:A655)=11,COUNT(F644:F655)=11),cubic_spline(F643:F654,A643:A654,B$9),IF(AND(COUNT(A644:A655)=12,COUNT(F644:F655)=12),cubic_spline(F643:F655,A643:A655,B$9),""))))))))))))</f>
        <v/>
      </c>
      <c r="L649" s="27" t="str">
        <f>IF(I649="","",B$8&amp;"-"&amp;B$9)</f>
        <v/>
      </c>
      <c r="M649" s="52" t="str">
        <f t="shared" ref="M649:M655" si="245">IF(N(J649)=0,"",J649-J648)</f>
        <v/>
      </c>
    </row>
    <row r="650" spans="1:13" x14ac:dyDescent="0.35">
      <c r="A650" s="48"/>
      <c r="B650" s="48"/>
      <c r="C650" s="49"/>
      <c r="D650" s="50"/>
      <c r="E650" s="51" t="str">
        <f t="shared" si="244"/>
        <v/>
      </c>
      <c r="F650" s="71" t="str">
        <f t="shared" si="241"/>
        <v/>
      </c>
      <c r="G650" s="69" t="str">
        <f t="shared" si="243"/>
        <v/>
      </c>
      <c r="H650" s="70" t="str">
        <f t="shared" si="242"/>
        <v/>
      </c>
      <c r="I650" s="27" t="str">
        <f>IF(N(J650)=0,"",0&amp;"-"&amp;B$10)</f>
        <v/>
      </c>
      <c r="J650" s="52" t="str">
        <f>IF(N(B$10)=0,"",IF(AND(COUNT(H644:H655)=2,COUNT(F644:F655)=2),cubic_spline(F643:F645,H643:H645,B$10),IF(AND(COUNT(H644:H655)=3,COUNT(F644:F655)=3),cubic_spline(F643:F646,H643:H646,B$10),IF(AND(COUNT(H644:H655)=4,COUNT(F644:F655)=4),cubic_spline(F643:F647,H643:H647,B$10),IF(AND(COUNT(H644:H655)=5,COUNT(F644:F655)=5),cubic_spline(F643:F648,H643:H648,B$10),IF(AND(COUNT(H644:H655)=6,COUNT(F644:F655)=6),cubic_spline(F643:F649,H643:H649,B$10),IF(AND(COUNT(H644:H655)=7,COUNT(F644:F655)=7),cubic_spline(F643:F650,H643:H650,B$10),IF(AND(COUNT(H644:H655)=8,COUNT(F644:F655)=8),cubic_spline(F643:F651,H643:H651,B$10),IF(AND(COUNT(H644:H655)=9,COUNT(F644:F655)=9),cubic_spline(F643:F652,H643:H652,B$10),IF(AND(COUNT(H644:H655)=10,COUNT(F644:F655)=10),cubic_spline(F643:F653,H643:H653,B$10),IF(AND(COUNT(H644:H655)=11,COUNT(F644:F655)=11),cubic_spline(F643:F654,H643:H654,B$10),IF(AND(COUNT(H644:H655)=12,COUNT(F644:F655)=12),cubic_spline(F643:F655,H643:H655,B$10),""))))))))))))</f>
        <v/>
      </c>
      <c r="K650" s="52" t="str">
        <f>IF(N(B$10)=0,"",IF(AND(COUNT(A644:A655)=2,COUNT(F644:F655)=2),cubic_spline(F643:F645,A643:A645,B$10),IF(AND(COUNT(A644:A655)=3,COUNT(F644:F655)=3),cubic_spline(F643:F646,A643:A646,B$10),IF(AND(COUNT(A644:A655)=4,COUNT(F644:F655)=4),cubic_spline(F643:F647,A643:A647,B$10),IF(AND(COUNT(A644:A655)=5,COUNT(F644:F655)=5),cubic_spline(F643:F648,A643:A648,B$10),IF(AND(COUNT(A644:A655)=6,COUNT(F644:F655)=6),cubic_spline(F643:F649,A643:A649,B$10),IF(AND(COUNT(A644:A655)=7,COUNT(F644:F655)=7),cubic_spline(F643:F650,A643:A650,B$10),IF(AND(COUNT(A644:A655)=8,COUNT(F644:F655)=8),cubic_spline(F643:F651,A643:A651,B$10),IF(AND(COUNT(A644:A655)=9,COUNT(F644:F655)=9),cubic_spline(F643:F652,A643:A652,B$10),IF(AND(COUNT(A644:A655)=10,COUNT(F644:F655)=10),cubic_spline(F643:F653,A643:A653,B$10),IF(AND(COUNT(A644:A655)=11,COUNT(F644:F655)=11),cubic_spline(F643:F654,A643:A654,B$10),IF(AND(COUNT(A644:A655)=12,COUNT(F644:F655)=12),cubic_spline(F643:F655,A643:A655,B$10),""))))))))))))</f>
        <v/>
      </c>
      <c r="L650" s="27" t="str">
        <f>IF(I650="","",B$9&amp;"-"&amp;B$10)</f>
        <v/>
      </c>
      <c r="M650" s="52" t="str">
        <f t="shared" si="245"/>
        <v/>
      </c>
    </row>
    <row r="651" spans="1:13" x14ac:dyDescent="0.35">
      <c r="A651" s="48"/>
      <c r="B651" s="48"/>
      <c r="C651" s="49"/>
      <c r="D651" s="50"/>
      <c r="E651" s="51" t="str">
        <f t="shared" si="244"/>
        <v/>
      </c>
      <c r="F651" s="71" t="str">
        <f t="shared" si="241"/>
        <v/>
      </c>
      <c r="G651" s="69" t="str">
        <f t="shared" si="243"/>
        <v/>
      </c>
      <c r="H651" s="70" t="str">
        <f t="shared" si="242"/>
        <v/>
      </c>
      <c r="I651" s="27" t="str">
        <f>IF(N(J651)=0,"",0&amp;"-"&amp;B$11)</f>
        <v/>
      </c>
      <c r="J651" s="52" t="str">
        <f>IF(N(B$11)=0,"",IF(AND(COUNT(H644:H655)=2,COUNT(F644:F655)=2),cubic_spline(F643:F645,H643:H645,B$11),IF(AND(COUNT(H644:H655)=3,COUNT(F644:F655)=3),cubic_spline(F643:F646,H643:H646,B$11),IF(AND(COUNT(H644:H655)=4,COUNT(F644:F655)=4),cubic_spline(F643:F647,H643:H647,B$11),IF(AND(COUNT(H644:H655)=5,COUNT(F644:F655)=5),cubic_spline(F643:F648,H643:H648,B$11),IF(AND(COUNT(H644:H655)=6,COUNT(F644:F655)=6),cubic_spline(F643:F649,H643:H649,B$11),IF(AND(COUNT(H644:H655)=7,COUNT(F644:F655)=7),cubic_spline(F643:F650,H643:H650,B$11),IF(AND(COUNT(H644:H655)=8,COUNT(F644:F655)=8),cubic_spline(F643:F651,H643:H651,B$11),IF(AND(COUNT(H644:H655)=9,COUNT(F644:F655)=9),cubic_spline(F643:F652,H643:H652,B$11),IF(AND(COUNT(H644:H655)=10,COUNT(F644:F655)=10),cubic_spline(F643:F653,H643:H653,B$11),IF(AND(COUNT(H644:H655)=11,COUNT(F644:F655)=11),cubic_spline(F643:F654,H643:H654,B$11),IF(AND(COUNT(H644:H655)=12,COUNT(F644:F655)=12),cubic_spline(F643:F655,H643:H655,B$11),""))))))))))))</f>
        <v/>
      </c>
      <c r="K651" s="52" t="str">
        <f>IF(N(B$11)=0,"",IF(AND(COUNT(A644:A655)=2,COUNT(F644:F655)=2),cubic_spline(F643:F645,A643:A645,B$11),IF(AND(COUNT(A644:A655)=3,COUNT(F644:F655)=3),cubic_spline(F643:F646,A643:A646,B$11),IF(AND(COUNT(A644:A655)=4,COUNT(F644:F655)=4),cubic_spline(F643:F647,A643:A647,B$11),IF(AND(COUNT(A644:A655)=5,COUNT(F644:F655)=5),cubic_spline(F643:F648,A643:A648,B$11),IF(AND(COUNT(A644:A655)=6,COUNT(F644:F655)=6),cubic_spline(F643:F649,A643:A649,B$11),IF(AND(COUNT(A644:A655)=7,COUNT(F644:F655)=7),cubic_spline(F643:F650,A643:A650,B$11),IF(AND(COUNT(A644:A655)=8,COUNT(F644:F655)=8),cubic_spline(F643:F651,A643:A651,B$11),IF(AND(COUNT(A644:A655)=9,COUNT(F644:F655)=9),cubic_spline(F643:F652,A643:A652,B$11),IF(AND(COUNT(A644:A655)=10,COUNT(F644:F655)=10),cubic_spline(F643:F653,A643:A653,B$11),IF(AND(COUNT(A644:A655)=11,COUNT(F644:F655)=11),cubic_spline(F643:F654,A643:A654,B$11),IF(AND(COUNT(A644:A655)=12,COUNT(F644:F655)=12),cubic_spline(F643:F655,A643:A655,B$11),""))))))))))))</f>
        <v/>
      </c>
      <c r="L651" s="27" t="str">
        <f>IF(I651="","",B$10&amp;"-"&amp;B$11)</f>
        <v/>
      </c>
      <c r="M651" s="52" t="str">
        <f t="shared" si="245"/>
        <v/>
      </c>
    </row>
    <row r="652" spans="1:13" x14ac:dyDescent="0.35">
      <c r="A652" s="48"/>
      <c r="B652" s="48"/>
      <c r="C652" s="49"/>
      <c r="D652" s="50"/>
      <c r="E652" s="51" t="str">
        <f t="shared" si="244"/>
        <v/>
      </c>
      <c r="F652" s="71" t="str">
        <f t="shared" si="241"/>
        <v/>
      </c>
      <c r="G652" s="69" t="str">
        <f t="shared" si="243"/>
        <v/>
      </c>
      <c r="H652" s="70" t="str">
        <f t="shared" si="242"/>
        <v/>
      </c>
      <c r="I652" s="27" t="str">
        <f>IF(N(J652)=0,"",0&amp;"-"&amp;B$12)</f>
        <v/>
      </c>
      <c r="J652" s="52" t="str">
        <f>IF(N(B$12)=0,"",IF(AND(COUNT(H644:H655)=2,COUNT(F644:F655)=2),cubic_spline(F643:F645,H643:H645,B$12),IF(AND(COUNT(H644:H655)=3,COUNT(F644:F655)=3),cubic_spline(F643:F646,H643:H646,B$12),IF(AND(COUNT(H644:H655)=4,COUNT(F644:F655)=4),cubic_spline(F643:F647,H643:H647,B$12),IF(AND(COUNT(H644:H655)=5,COUNT(F644:F655)=5),cubic_spline(F643:F648,H643:H648,B$12),IF(AND(COUNT(H644:H655)=6,COUNT(F644:F655)=6),cubic_spline(F643:F649,H643:H649,B$12),IF(AND(COUNT(H644:H655)=7,COUNT(F644:F655)=7),cubic_spline(F643:F650,H643:H650,B$12),IF(AND(COUNT(H644:H655)=8,COUNT(F644:F655)=8),cubic_spline(F643:F651,H643:H651,B$12),IF(AND(COUNT(H644:H655)=9,COUNT(F644:F655)=9),cubic_spline(F643:F652,H643:H652,B$12),IF(AND(COUNT(H644:H655)=10,COUNT(F644:F655)=10),cubic_spline(F643:F653,H643:H653,B$12),IF(AND(COUNT(H644:H655)=11,COUNT(F644:F655)=11),cubic_spline(F643:F654,H643:H654,B$12),IF(AND(COUNT(H644:H655)=12,COUNT(F644:F655)=12),cubic_spline(F643:F655,H643:H655,B$12),""))))))))))))</f>
        <v/>
      </c>
      <c r="K652" s="52" t="str">
        <f>IF(N(B$12)=0,"",IF(AND(COUNT(A644:A655)=2,COUNT(F644:F655)=2),cubic_spline(F643:F645,A643:A645,B$12),IF(AND(COUNT(A644:A655)=3,COUNT(F644:F655)=3),cubic_spline(F643:F646,A643:A646,B$12),IF(AND(COUNT(A644:A655)=4,COUNT(F644:F655)=4),cubic_spline(F643:F647,A643:A647,B$12),IF(AND(COUNT(A644:A655)=5,COUNT(F644:F655)=5),cubic_spline(F643:F648,A643:A648,B$12),IF(AND(COUNT(A644:A655)=6,COUNT(F644:F655)=6),cubic_spline(F643:F649,A643:A649,B$12),IF(AND(COUNT(A644:A655)=7,COUNT(F644:F655)=7),cubic_spline(F643:F650,A643:A650,B$12),IF(AND(COUNT(A644:A655)=8,COUNT(F644:F655)=8),cubic_spline(F643:F651,A643:A651,B$12),IF(AND(COUNT(A644:A655)=9,COUNT(F644:F655)=9),cubic_spline(F643:F652,A643:A652,B$12),IF(AND(COUNT(A644:A655)=10,COUNT(F644:F655)=10),cubic_spline(F643:F653,A643:A653,B$12),IF(AND(COUNT(A644:A655)=11,COUNT(F644:F655)=11),cubic_spline(F643:F654,A643:A654,B$12),IF(AND(COUNT(A644:A655)=12,COUNT(F644:F655)=12),cubic_spline(F643:F655,A643:A655,B$12),""))))))))))))</f>
        <v/>
      </c>
      <c r="L652" s="27" t="str">
        <f>IF(I652="","",B$11&amp;"-"&amp;B$12)</f>
        <v/>
      </c>
      <c r="M652" s="52" t="str">
        <f t="shared" si="245"/>
        <v/>
      </c>
    </row>
    <row r="653" spans="1:13" x14ac:dyDescent="0.35">
      <c r="A653" s="48"/>
      <c r="B653" s="48"/>
      <c r="C653" s="49"/>
      <c r="D653" s="50"/>
      <c r="E653" s="51" t="str">
        <f t="shared" si="244"/>
        <v/>
      </c>
      <c r="F653" s="71" t="str">
        <f t="shared" si="241"/>
        <v/>
      </c>
      <c r="G653" s="69" t="str">
        <f t="shared" si="243"/>
        <v/>
      </c>
      <c r="H653" s="70" t="str">
        <f t="shared" si="242"/>
        <v/>
      </c>
      <c r="I653" s="27" t="str">
        <f>IF(N(J653)=0,"",0&amp;"-"&amp;B$13)</f>
        <v/>
      </c>
      <c r="J653" s="52" t="str">
        <f>IF(N(B$13)=0,"",IF(AND(COUNT(H644:H655)=2,COUNT(F644:F655)=2),cubic_spline(F643:F645,H643:H645,B$13),IF(AND(COUNT(H644:H655)=3,COUNT(F644:F655)=3),cubic_spline(F643:F646,H643:H646,B$13),IF(AND(COUNT(H644:H655)=4,COUNT(F644:F655)=4),cubic_spline(F643:F647,H643:H647,B$13),IF(AND(COUNT(H644:H655)=5,COUNT(F644:F655)=5),cubic_spline(F643:F648,H643:H648,B$13),IF(AND(COUNT(H644:H655)=6,COUNT(F644:F655)=6),cubic_spline(F643:F649,H643:H649,B$13),IF(AND(COUNT(H644:H655)=7,COUNT(F644:F655)=7),cubic_spline(F643:F650,H643:H650,B$13),IF(AND(COUNT(H644:H655)=8,COUNT(F644:F655)=8),cubic_spline(F643:F651,H643:H651,B$13),IF(AND(COUNT(H644:H655)=9,COUNT(F644:F655)=9),cubic_spline(F643:F652,H643:H652,B$13),IF(AND(COUNT(H644:H655)=10,COUNT(F644:F655)=10),cubic_spline(F643:F653,H643:H653,B$13),IF(AND(COUNT(H644:H655)=11,COUNT(F644:F655)=11),cubic_spline(F643:F654,H643:H654,B$13),IF(AND(COUNT(H644:H655)=12,COUNT(F644:F655)=12),cubic_spline(F643:F655,H643:H655,B$13),""))))))))))))</f>
        <v/>
      </c>
      <c r="K653" s="52" t="str">
        <f>IF(N(B$13)=0,"",IF(AND(COUNT(A644:A655)=2,COUNT(F644:F655)=2),cubic_spline(F643:F645,A643:A645,B$13),IF(AND(COUNT(A644:A655)=3,COUNT(F644:F655)=3),cubic_spline(F643:F646,A643:A646,B$13),IF(AND(COUNT(A644:A655)=4,COUNT(F644:F655)=4),cubic_spline(F643:F647,A643:A647,B$13),IF(AND(COUNT(A644:A655)=5,COUNT(F644:F655)=5),cubic_spline(F643:F648,A643:A648,B$13),IF(AND(COUNT(A644:A655)=6,COUNT(F644:F655)=6),cubic_spline(F643:F649,A643:A649,B$13),IF(AND(COUNT(A644:A655)=7,COUNT(F644:F655)=7),cubic_spline(F643:F650,A643:A650,B$13),IF(AND(COUNT(A644:A655)=8,COUNT(F644:F655)=8),cubic_spline(F643:F651,A643:A651,B$13),IF(AND(COUNT(A644:A655)=9,COUNT(F644:F655)=9),cubic_spline(F643:F652,A643:A652,B$13),IF(AND(COUNT(A644:A655)=10,COUNT(F644:F655)=10),cubic_spline(F643:F653,A643:A653,B$13),IF(AND(COUNT(A644:A655)=11,COUNT(F644:F655)=11),cubic_spline(F643:F654,A643:A654,B$13),IF(AND(COUNT(A644:A655)=12,COUNT(F644:F655)=12),cubic_spline(F643:F655,A643:A655,B$13),""))))))))))))</f>
        <v/>
      </c>
      <c r="L653" s="27" t="str">
        <f>IF(I653="","",B$12&amp;"-"&amp;B$13)</f>
        <v/>
      </c>
      <c r="M653" s="52" t="str">
        <f t="shared" si="245"/>
        <v/>
      </c>
    </row>
    <row r="654" spans="1:13" x14ac:dyDescent="0.35">
      <c r="A654" s="48"/>
      <c r="B654" s="48"/>
      <c r="C654" s="49"/>
      <c r="D654" s="50"/>
      <c r="E654" s="51" t="str">
        <f t="shared" si="244"/>
        <v/>
      </c>
      <c r="F654" s="71" t="str">
        <f t="shared" si="241"/>
        <v/>
      </c>
      <c r="G654" s="69" t="str">
        <f t="shared" si="243"/>
        <v/>
      </c>
      <c r="H654" s="70" t="str">
        <f t="shared" si="242"/>
        <v/>
      </c>
      <c r="I654" s="27" t="str">
        <f>IF(N(J654)=0,"",0&amp;"-"&amp;B$14)</f>
        <v/>
      </c>
      <c r="J654" s="52" t="str">
        <f>IF(N(B$14)=0,"",IF(AND(COUNT(H644:H655)=2,COUNT(F644:F655)=2),cubic_spline(F643:F645,H643:H645,B$14),IF(AND(COUNT(H644:H655)=3,COUNT(F644:F655)=3),cubic_spline(F643:F646,H643:H646,B$14),IF(AND(COUNT(H644:H655)=4,COUNT(F644:F655)=4),cubic_spline(F643:F647,H643:H647,B$14),IF(AND(COUNT(H644:H655)=5,COUNT(F644:F655)=5),cubic_spline(F643:F648,H643:H648,B$14),IF(AND(COUNT(H644:H655)=6,COUNT(F644:F655)=6),cubic_spline(F643:F649,H643:H649,B$14),IF(AND(COUNT(H644:H655)=7,COUNT(F644:F655)=7),cubic_spline(F643:F650,H643:H650,B$14),IF(AND(COUNT(H644:H655)=8,COUNT(F644:F655)=8),cubic_spline(F643:F651,H643:H651,B$14),IF(AND(COUNT(H644:H655)=9,COUNT(F644:F655)=9),cubic_spline(F643:F652,H643:H652,B$14),IF(AND(COUNT(H644:H655)=10,COUNT(F644:F655)=10),cubic_spline(F643:F653,H643:H653,B$14),IF(AND(COUNT(H644:H655)=11,COUNT(F644:F655)=11),cubic_spline(F643:F654,H643:H654,B$14),IF(AND(COUNT(H644:H655)=12,COUNT(F644:F655)=12),cubic_spline(F643:F655,H643:H655,B$14),""))))))))))))</f>
        <v/>
      </c>
      <c r="K654" s="52" t="str">
        <f>IF(N(B$14)=0,"",IF(AND(COUNT(A644:A655)=2,COUNT(F644:F655)=2),cubic_spline(F643:F645,A643:A645,B$14),IF(AND(COUNT(A644:A655)=3,COUNT(F644:F655)=3),cubic_spline(F643:F646,A643:A646,B$14),IF(AND(COUNT(A644:A655)=4,COUNT(F644:F655)=4),cubic_spline(F643:F647,A643:A647,B$14),IF(AND(COUNT(A644:A655)=5,COUNT(F644:F655)=5),cubic_spline(F643:F648,A643:A648,B$14),IF(AND(COUNT(A644:A655)=6,COUNT(F644:F655)=6),cubic_spline(F643:F649,A643:A649,B$14),IF(AND(COUNT(A644:A655)=7,COUNT(F644:F655)=7),cubic_spline(F643:F650,A643:A650,B$14),IF(AND(COUNT(A644:A655)=8,COUNT(F644:F655)=8),cubic_spline(F643:F651,A643:A651,B$14),IF(AND(COUNT(A644:A655)=9,COUNT(F644:F655)=9),cubic_spline(F643:F652,A643:A652,B$14),IF(AND(COUNT(A644:A655)=10,COUNT(F644:F655)=10),cubic_spline(F643:F653,A643:A653,B$14),IF(AND(COUNT(A644:A655)=11,COUNT(F644:F655)=11),cubic_spline(F643:F654,A643:A654,B$14),IF(AND(COUNT(A644:A655)=12,COUNT(F644:F655)=12),cubic_spline(F643:F655,A643:A655,B$14),""))))))))))))</f>
        <v/>
      </c>
      <c r="L654" s="27" t="str">
        <f>IF(I654="","",B$13&amp;"-"&amp;B$14)</f>
        <v/>
      </c>
      <c r="M654" s="52" t="str">
        <f t="shared" si="245"/>
        <v/>
      </c>
    </row>
    <row r="655" spans="1:13" x14ac:dyDescent="0.35">
      <c r="A655" s="48"/>
      <c r="B655" s="48"/>
      <c r="C655" s="49"/>
      <c r="D655" s="50"/>
      <c r="E655" s="51" t="str">
        <f t="shared" si="244"/>
        <v/>
      </c>
      <c r="F655" s="71" t="str">
        <f t="shared" si="241"/>
        <v/>
      </c>
      <c r="G655" s="69" t="str">
        <f t="shared" si="243"/>
        <v/>
      </c>
      <c r="H655" s="70" t="str">
        <f t="shared" si="242"/>
        <v/>
      </c>
      <c r="I655" s="27" t="str">
        <f>IF(N(J655)=0,"",0&amp;"-"&amp;B$15)</f>
        <v/>
      </c>
      <c r="J655" s="52" t="str">
        <f>IF(N(B$15)=0,"",IF(AND(COUNT(H644:H655)=2,COUNT(F644:F655)=2),cubic_spline(F643:F645,H643:H645,B$15),IF(AND(COUNT(H644:H655)=3,COUNT(F644:F655)=3),cubic_spline(F643:F646,H643:H646,B$15),IF(AND(COUNT(H644:H655)=4,COUNT(F644:F655)=4),cubic_spline(F643:F647,H643:H647,B$15),IF(AND(COUNT(H644:H655)=5,COUNT(F644:F655)=5),cubic_spline(F643:F648,H643:H648,B$15),IF(AND(COUNT(H644:H655)=6,COUNT(F644:F655)=6),cubic_spline(F643:F649,H643:H649,B$15),IF(AND(COUNT(H644:H655)=7,COUNT(F644:F655)=7),cubic_spline(F643:F650,H643:H650,B$15),IF(AND(COUNT(H644:H655)=8,COUNT(F644:F655)=8),cubic_spline(F643:F651,H643:H651,B$15),IF(AND(COUNT(H644:H655)=9,COUNT(F644:F655)=9),cubic_spline(F643:F652,H643:H652,B$15),IF(AND(COUNT(H644:H655)=10,COUNT(F644:F655)=10),cubic_spline(F643:F653,H643:H653,B$15),IF(AND(COUNT(H644:H655)=11,COUNT(F644:F655)=11),cubic_spline(F643:F654,H643:H654,B$15),IF(AND(COUNT(H644:H655)=12,COUNT(F644:F655)=12),cubic_spline(F643:F655,H643:H655,B$15),""))))))))))))</f>
        <v/>
      </c>
      <c r="K655" s="52" t="str">
        <f>IF(N(B$15)=0,"",IF(AND(COUNT(A644:A655)=2,COUNT(F644:F655)=2),cubic_spline(F643:F645,A643:A645,B$15),IF(AND(COUNT(A644:A655)=3,COUNT(F644:F655)=3),cubic_spline(F643:F646,A643:A646,B$15),IF(AND(COUNT(A644:A655)=4,COUNT(F644:F655)=4),cubic_spline(F643:F647,A643:A647,B$15),IF(AND(COUNT(A644:A655)=5,COUNT(F644:F655)=5),cubic_spline(F643:F648,A643:A648,B$15),IF(AND(COUNT(A644:A655)=6,COUNT(F644:F655)=6),cubic_spline(F643:F649,A643:A649,B$15),IF(AND(COUNT(A644:A655)=7,COUNT(F644:F655)=7),cubic_spline(F643:F650,A643:A650,B$15),IF(AND(COUNT(A644:A655)=8,COUNT(F644:F655)=8),cubic_spline(F643:F651,A643:A651,B$15),IF(AND(COUNT(A644:A655)=9,COUNT(F644:F655)=9),cubic_spline(F643:F652,A643:A652,B$15),IF(AND(COUNT(A644:A655)=10,COUNT(F644:F655)=10),cubic_spline(F643:F653,A643:A653,B$15),IF(AND(COUNT(A644:A655)=11,COUNT(F644:F655)=11),cubic_spline(F643:F654,A643:A654,B$15),IF(AND(COUNT(A644:A655)=12,COUNT(F644:F655)=12),cubic_spline(F643:F655,A643:A655,B$15),""))))))))))))</f>
        <v/>
      </c>
      <c r="L655" s="27" t="str">
        <f>IF(I655="","",B$14&amp;"-"&amp;B$15)</f>
        <v/>
      </c>
      <c r="M655" s="52" t="str">
        <f t="shared" si="245"/>
        <v/>
      </c>
    </row>
    <row r="656" spans="1:13" ht="5.15" customHeight="1" x14ac:dyDescent="0.35">
      <c r="A656" s="47"/>
      <c r="B656" s="47"/>
      <c r="C656" s="47"/>
      <c r="D656" s="53"/>
      <c r="E656" s="54"/>
      <c r="F656" s="55"/>
      <c r="G656" s="72"/>
      <c r="H656" s="73"/>
      <c r="I656" s="47"/>
      <c r="J656" s="57"/>
      <c r="K656" s="57"/>
      <c r="L656" s="55"/>
      <c r="M656" s="57"/>
    </row>
    <row r="657" spans="1:13" x14ac:dyDescent="0.35">
      <c r="A657" s="48"/>
      <c r="B657" s="48"/>
      <c r="C657" s="49"/>
      <c r="D657" s="50"/>
      <c r="E657" s="51" t="str">
        <f>IF(N(C657)=0,"",C657/PI()/($D$1/2)^2/$D$2*10000)</f>
        <v/>
      </c>
      <c r="F657" s="68" t="str">
        <f t="shared" ref="F657:F668" si="246">IF(N(E657)=0,"",(N(E657)+N(F656)))</f>
        <v/>
      </c>
      <c r="G657" s="69" t="str">
        <f>IF(OR(N(D657)=0,N(E657)=0),"",(E657*D657)/1000)</f>
        <v/>
      </c>
      <c r="H657" s="70" t="str">
        <f t="shared" ref="H657:H668" si="247">IF(N(G657)=0,"",(N(G657)+N(H656)))</f>
        <v/>
      </c>
      <c r="I657" s="27" t="str">
        <f>IF(N(J657)=0,"",0&amp;"-"&amp;B$4)</f>
        <v/>
      </c>
      <c r="J657" s="52" t="str">
        <f>IF(N(B$4)=0,"",IF(AND(COUNT(H657:H668)=2,COUNT(F657:F668)=2),cubic_spline(F656:F658,H656:H658,B$4),IF(AND(COUNT(H657:H668)=3,COUNT(F657:F668)=3),cubic_spline(F656:F659,H656:H659,B$4),IF(AND(COUNT(H657:H668)=4,COUNT(F657:F668)=4),cubic_spline(F656:F660,H656:H660,B$4),IF(AND(COUNT(H657:H668)=5,COUNT(F657:F668)=5),cubic_spline(F656:F661,H656:H661,B$4),IF(AND(COUNT(H657:H668)=6,COUNT(F657:F668)=6),cubic_spline(F656:F662,H656:H662,B$4),IF(AND(COUNT(H657:H668)=7,COUNT(F657:F668)=7),cubic_spline(F656:F663,H656:H663,B$4),IF(AND(COUNT(H657:H668)=8,COUNT(F657:F668)=8),cubic_spline(F656:F664,H656:H664,B$4),IF(AND(COUNT(H657:H668)=9,COUNT(F657:F668)=9),cubic_spline(F656:F665,H656:H665,B$4),IF(AND(COUNT(H657:H668)=10,COUNT(F657:F668)=10),cubic_spline(F656:F666,H656:H666,B$4),IF(AND(COUNT(H657:H668)=11,COUNT(F657:F668)=11),cubic_spline(F656:F667,H656:H667,B$4),IF(AND(COUNT(H657:H668)=12,COUNT(F657:F668)=12),cubic_spline(F656:F668,H656:H668,B$4),""))))))))))))</f>
        <v/>
      </c>
      <c r="K657" s="52" t="str">
        <f>IF(N(B$4)=0,"",IF(AND(COUNT(A657:A668)=2,COUNT(F657:F668)=2),cubic_spline(F656:F658,A656:A658,B$4),IF(AND(COUNT(A657:A668)=3,COUNT(F657:F668)=3),cubic_spline(F656:F659,A656:A659,B$4),IF(AND(COUNT(A657:A668)=4,COUNT(F657:F668)=4),cubic_spline(F656:F660,A656:A660,B$4),IF(AND(COUNT(A657:A668)=5,COUNT(F657:F668)=5),cubic_spline(F656:F661,A656:A661,B$4),IF(AND(COUNT(A657:A668)=6,COUNT(F657:F668)=6),cubic_spline(F656:F662,A656:A662,B$4),IF(AND(COUNT(A657:A668)=7,COUNT(F657:F668)=7),cubic_spline(F656:F663,A656:A663,B$4),IF(AND(COUNT(A657:A668)=8,COUNT(F657:F668)=8),cubic_spline(F656:F664,A656:A664,B$4),IF(AND(COUNT(A657:A668)=9,COUNT(F657:F668)=9),cubic_spline(F656:F665,A656:A665,B$4),IF(AND(COUNT(A657:A668)=10,COUNT(F657:F668)=10),cubic_spline(F656:F666,A656:A666,B$4),IF(AND(COUNT(A657:A668)=11,COUNT(F657:F668)=11),cubic_spline(F656:F667,A656:A667,B$4),IF(AND(COUNT(A657:A668)=12,COUNT(F657:F668)=12),cubic_spline(F656:F668,A656:A668,B$4),""))))))))))))</f>
        <v/>
      </c>
      <c r="L657" s="27" t="str">
        <f>IF(I657="","",0&amp;"-"&amp;B$4)</f>
        <v/>
      </c>
      <c r="M657" s="52" t="str">
        <f>IF(N(J657)=0,"",J657-J656)</f>
        <v/>
      </c>
    </row>
    <row r="658" spans="1:13" x14ac:dyDescent="0.35">
      <c r="A658" s="48"/>
      <c r="B658" s="48"/>
      <c r="C658" s="49"/>
      <c r="D658" s="50"/>
      <c r="E658" s="51" t="str">
        <f>IF(N(C658)=0,"",C658/PI()/($D$1/2)^2/$D$2*10000)</f>
        <v/>
      </c>
      <c r="F658" s="68" t="str">
        <f t="shared" si="246"/>
        <v/>
      </c>
      <c r="G658" s="69" t="str">
        <f t="shared" ref="G658:G668" si="248">IF(OR(N(D658)=0,N(E658)=0),"",(E658*D658)/1000)</f>
        <v/>
      </c>
      <c r="H658" s="70" t="str">
        <f t="shared" si="247"/>
        <v/>
      </c>
      <c r="I658" s="27" t="str">
        <f>IF(N(J658)=0,"",0&amp;"-"&amp;B$5)</f>
        <v/>
      </c>
      <c r="J658" s="52" t="str">
        <f>IF(N(B$5)=0,"",IF(AND(COUNT(H657:H668)=2,COUNT(F657:F668)=2),cubic_spline(F656:F658,H656:H658,B$5),IF(AND(COUNT(H657:H668)=3,COUNT(F657:F668)=3),cubic_spline(F656:F659,H656:H659,B$5),IF(AND(COUNT(H657:H668)=4,COUNT(F657:F668)=4),cubic_spline(F656:F660,H656:H660,B$5),IF(AND(COUNT(H657:H668)=5,COUNT(F657:F668)=5),cubic_spline(F656:F661,H656:H661,B$5),IF(AND(COUNT(H657:H668)=6,COUNT(F657:F668)=6),cubic_spline(F656:F662,H656:H662,B$5),IF(AND(COUNT(H657:H668)=7,COUNT(F657:F668)=7),cubic_spline(F656:F663,H656:H663,B$5),IF(AND(COUNT(H657:H668)=8,COUNT(F657:F668)=8),cubic_spline(F656:F664,H656:H664,B$5),IF(AND(COUNT(H657:H668)=9,COUNT(F657:F668)=9),cubic_spline(F656:F665,H656:H665,B$5),IF(AND(COUNT(H657:H668)=10,COUNT(F657:F668)=10),cubic_spline(F656:F666,H656:H666,B$5),IF(AND(COUNT(H657:H668)=11,COUNT(F657:F668)=11),cubic_spline(F656:F667,H656:H667,B$5),IF(AND(COUNT(H657:H668)=12,COUNT(F657:F668)=12),cubic_spline(F656:F668,H656:H668,B$5),""))))))))))))</f>
        <v/>
      </c>
      <c r="K658" s="52" t="str">
        <f>IF(N(B$5)=0,"",IF(AND(COUNT(A657:A668)=2,COUNT(F657:F668)=2),cubic_spline(F656:F658,A656:A658,B$5),IF(AND(COUNT(A657:A668)=3,COUNT(F657:F668)=3),cubic_spline(F656:F659,A656:A659,B$5),IF(AND(COUNT(A657:A668)=4,COUNT(F657:F668)=4),cubic_spline(F656:F660,A656:A660,B$5),IF(AND(COUNT(A657:A668)=5,COUNT(F657:F668)=5),cubic_spline(F656:F661,A656:A661,B$5),IF(AND(COUNT(A657:A668)=6,COUNT(F657:F668)=6),cubic_spline(F656:F662,A656:A662,B$5),IF(AND(COUNT(A657:A668)=7,COUNT(F657:F668)=7),cubic_spline(F656:F663,A656:A663,B$5),IF(AND(COUNT(A657:A668)=8,COUNT(F657:F668)=8),cubic_spline(F656:F664,A656:A664,B$5),IF(AND(COUNT(A657:A668)=9,COUNT(F657:F668)=9),cubic_spline(F656:F665,A656:A665,B$5),IF(AND(COUNT(A657:A668)=10,COUNT(F657:F668)=10),cubic_spline(F656:F666,A656:A666,B$5),IF(AND(COUNT(A657:A668)=11,COUNT(F657:F668)=11),cubic_spline(F656:F667,A656:A667,B$5),IF(AND(COUNT(A657:A668)=12,COUNT(F657:F668)=12),cubic_spline(F656:F668,A656:A668,B$5),""))))))))))))</f>
        <v/>
      </c>
      <c r="L658" s="27" t="str">
        <f>IF(I658="","",B$4&amp;"-"&amp;B$5)</f>
        <v/>
      </c>
      <c r="M658" s="52" t="str">
        <f>IF(N(J658)=0,"",J658-J657)</f>
        <v/>
      </c>
    </row>
    <row r="659" spans="1:13" x14ac:dyDescent="0.35">
      <c r="A659" s="48"/>
      <c r="B659" s="48"/>
      <c r="C659" s="49"/>
      <c r="D659" s="50"/>
      <c r="E659" s="51" t="str">
        <f>IF(N(C659)=0,"",C659/PI()/($D$1/2)^2/$D$2*10000)</f>
        <v/>
      </c>
      <c r="F659" s="68" t="str">
        <f t="shared" si="246"/>
        <v/>
      </c>
      <c r="G659" s="69" t="str">
        <f t="shared" si="248"/>
        <v/>
      </c>
      <c r="H659" s="70" t="str">
        <f t="shared" si="247"/>
        <v/>
      </c>
      <c r="I659" s="27" t="str">
        <f>IF(N(J659)=0,"",0&amp;"-"&amp;B$6)</f>
        <v/>
      </c>
      <c r="J659" s="52" t="str">
        <f>IF(N(B$6)=0,"",IF(AND(COUNT(H657:H668)=2,COUNT(F657:F668)=2),cubic_spline(F656:F658,H656:H658,B$6),IF(AND(COUNT(H657:H668)=3,COUNT(F657:F668)=3),cubic_spline(F656:F659,H656:H659,B$6),IF(AND(COUNT(H657:H668)=4,COUNT(F657:F668)=4),cubic_spline(F656:F660,H656:H660,B$6),IF(AND(COUNT(H657:H668)=5,COUNT(F657:F668)=5),cubic_spline(F656:F661,H656:H661,B$6),IF(AND(COUNT(H657:H668)=6,COUNT(F657:F668)=6),cubic_spline(F656:F662,H656:H662,B$6),IF(AND(COUNT(H657:H668)=7,COUNT(F657:F668)=7),cubic_spline(F656:F663,H656:H663,B$6),IF(AND(COUNT(H657:H668)=8,COUNT(F657:F668)=8),cubic_spline(F656:F664,H656:H664,B$6),IF(AND(COUNT(H657:H668)=9,COUNT(F657:F668)=9),cubic_spline(F656:F665,H656:H665,B$6),IF(AND(COUNT(H657:H668)=10,COUNT(F657:F668)=10),cubic_spline(F656:F666,H656:H666,B$6),IF(AND(COUNT(H657:H668)=11,COUNT(F657:F668)=11),cubic_spline(F656:F667,H656:H667,B$6),IF(AND(COUNT(H657:H668)=12,COUNT(F657:F668)=12),cubic_spline(F656:F668,H656:H668,B$6),""))))))))))))</f>
        <v/>
      </c>
      <c r="K659" s="52" t="str">
        <f>IF(N(B$6)=0,"",IF(AND(COUNT(A657:A668)=2,COUNT(F657:F668)=2),cubic_spline(F656:F658,A656:A658,B$6),IF(AND(COUNT(A657:A668)=3,COUNT(F657:F668)=3),cubic_spline(F656:F659,A656:A659,B$6),IF(AND(COUNT(A657:A668)=4,COUNT(F657:F668)=4),cubic_spline(F656:F660,A656:A660,B$6),IF(AND(COUNT(A657:A668)=5,COUNT(F657:F668)=5),cubic_spline(F656:F661,A656:A661,B$6),IF(AND(COUNT(A657:A668)=6,COUNT(F657:F668)=6),cubic_spline(F656:F662,A656:A662,B$6),IF(AND(COUNT(A657:A668)=7,COUNT(F657:F668)=7),cubic_spline(F656:F663,A656:A663,B$6),IF(AND(COUNT(A657:A668)=8,COUNT(F657:F668)=8),cubic_spline(F656:F664,A656:A664,B$6),IF(AND(COUNT(A657:A668)=9,COUNT(F657:F668)=9),cubic_spline(F656:F665,A656:A665,B$6),IF(AND(COUNT(A657:A668)=10,COUNT(F657:F668)=10),cubic_spline(F656:F666,A656:A666,B$6),IF(AND(COUNT(A657:A668)=11,COUNT(F657:F668)=11),cubic_spline(F656:F667,A656:A667,B$6),IF(AND(COUNT(A657:A668)=12,COUNT(F657:F668)=12),cubic_spline(F656:F668,A656:A668,B$6),""))))))))))))</f>
        <v/>
      </c>
      <c r="L659" s="27" t="str">
        <f>IF(I659="","",B$5&amp;"-"&amp;B$6)</f>
        <v/>
      </c>
      <c r="M659" s="52" t="str">
        <f>IF(N(J659)=0,"",J659-J658)</f>
        <v/>
      </c>
    </row>
    <row r="660" spans="1:13" x14ac:dyDescent="0.35">
      <c r="A660" s="48"/>
      <c r="B660" s="48"/>
      <c r="C660" s="49"/>
      <c r="D660" s="50"/>
      <c r="E660" s="51" t="str">
        <f>IF(N(C660)=0,"",C660/PI()/($D$1/2)^2/$D$2*10000)</f>
        <v/>
      </c>
      <c r="F660" s="68" t="str">
        <f t="shared" si="246"/>
        <v/>
      </c>
      <c r="G660" s="69" t="str">
        <f t="shared" si="248"/>
        <v/>
      </c>
      <c r="H660" s="70" t="str">
        <f t="shared" si="247"/>
        <v/>
      </c>
      <c r="I660" s="27" t="str">
        <f>IF(N(J660)=0,"",0&amp;"-"&amp;B$7)</f>
        <v/>
      </c>
      <c r="J660" s="52" t="str">
        <f>IF(N(B$7)=0,"",IF(AND(COUNT(H657:H668)=2,COUNT(F657:F668)=2),cubic_spline(F656:F658,H656:H658,B$7),IF(AND(COUNT(H657:H668)=3,COUNT(F657:F668)=3),cubic_spline(F656:F659,H656:H659,B$7),IF(AND(COUNT(H657:H668)=4,COUNT(F657:F668)=4),cubic_spline(F656:F660,H656:H660,B$7),IF(AND(COUNT(H657:H668)=5,COUNT(F657:F668)=5),cubic_spline(F656:F661,H656:H661,B$7),IF(AND(COUNT(H657:H668)=6,COUNT(F657:F668)=6),cubic_spline(F656:F662,H656:H662,B$7),IF(AND(COUNT(H657:H668)=7,COUNT(F657:F668)=7),cubic_spline(F656:F663,H656:H663,B$7),IF(AND(COUNT(H657:H668)=8,COUNT(F657:F668)=8),cubic_spline(F656:F664,H656:H664,B$7),IF(AND(COUNT(H657:H668)=9,COUNT(F657:F668)=9),cubic_spline(F656:F665,H656:H665,B$7),IF(AND(COUNT(H657:H668)=10,COUNT(F657:F668)=10),cubic_spline(F656:F666,H656:H666,B$7),IF(AND(COUNT(H657:H668)=11,COUNT(F657:F668)=11),cubic_spline(F656:F667,H656:H667,B$7),IF(AND(COUNT(H657:H668)=12,COUNT(F657:F668)=12),cubic_spline(F656:F668,H656:H668,B$7),""))))))))))))</f>
        <v/>
      </c>
      <c r="K660" s="52" t="str">
        <f>IF(N(B$7)=0,"",IF(AND(COUNT(A657:A668)=2,COUNT(F657:F668)=2),cubic_spline(F656:F658,A656:A658,B$7),IF(AND(COUNT(A657:A668)=3,COUNT(F657:F668)=3),cubic_spline(F656:F659,A656:A659,B$7),IF(AND(COUNT(A657:A668)=4,COUNT(F657:F668)=4),cubic_spline(F656:F660,A656:A660,B$7),IF(AND(COUNT(A657:A668)=5,COUNT(F657:F668)=5),cubic_spline(F656:F661,A656:A661,B$7),IF(AND(COUNT(A657:A668)=6,COUNT(F657:F668)=6),cubic_spline(F656:F662,A656:A662,B$7),IF(AND(COUNT(A657:A668)=7,COUNT(F657:F668)=7),cubic_spline(F656:F663,A656:A663,B$7),IF(AND(COUNT(A657:A668)=8,COUNT(F657:F668)=8),cubic_spline(F656:F664,A656:A664,B$7),IF(AND(COUNT(A657:A668)=9,COUNT(F657:F668)=9),cubic_spline(F656:F665,A656:A665,B$7),IF(AND(COUNT(A657:A668)=10,COUNT(F657:F668)=10),cubic_spline(F656:F666,A656:A666,B$7),IF(AND(COUNT(A657:A668)=11,COUNT(F657:F668)=11),cubic_spline(F656:F667,A656:A667,B$7),IF(AND(COUNT(A657:A668)=12,COUNT(F657:F668)=12),cubic_spline(F656:F668,A656:A668,B$7),""))))))))))))</f>
        <v/>
      </c>
      <c r="L660" s="27" t="str">
        <f>IF(I660="","",B$6&amp;"-"&amp;B$7)</f>
        <v/>
      </c>
      <c r="M660" s="52" t="str">
        <f>IF(N(J660)=0,"",J660-J659)</f>
        <v/>
      </c>
    </row>
    <row r="661" spans="1:13" x14ac:dyDescent="0.35">
      <c r="A661" s="48"/>
      <c r="B661" s="48"/>
      <c r="C661" s="49"/>
      <c r="D661" s="50"/>
      <c r="E661" s="51" t="str">
        <f t="shared" ref="E661:E668" si="249">IF(N(C661)=0,"",C661/PI()/($D$1/2)^2/$D$2*10000)</f>
        <v/>
      </c>
      <c r="F661" s="71" t="str">
        <f t="shared" si="246"/>
        <v/>
      </c>
      <c r="G661" s="69" t="str">
        <f t="shared" si="248"/>
        <v/>
      </c>
      <c r="H661" s="70" t="str">
        <f t="shared" si="247"/>
        <v/>
      </c>
      <c r="I661" s="27" t="str">
        <f>IF(N(J661)=0,"",0&amp;"-"&amp;B$8)</f>
        <v/>
      </c>
      <c r="J661" s="52" t="str">
        <f>IF(N(B$8)=0,"",IF(AND(COUNT(H657:H668)=2,COUNT(F657:F668)=2),cubic_spline(F656:F658,H656:H658,B$8),IF(AND(COUNT(H657:H668)=3,COUNT(F657:F668)=3),cubic_spline(F656:F659,H656:H659,B$8),IF(AND(COUNT(H657:H668)=4,COUNT(F657:F668)=4),cubic_spline(F656:F660,H656:H660,B$8),IF(AND(COUNT(H657:H668)=5,COUNT(F657:F668)=5),cubic_spline(F656:F661,H656:H661,B$8),IF(AND(COUNT(H657:H668)=6,COUNT(F657:F668)=6),cubic_spline(F656:F662,H656:H662,B$8),IF(AND(COUNT(H657:H668)=7,COUNT(F657:F668)=7),cubic_spline(F656:F663,H656:H663,B$8),IF(AND(COUNT(H657:H668)=8,COUNT(F657:F668)=8),cubic_spline(F656:F664,H656:H664,B$8),IF(AND(COUNT(H657:H668)=9,COUNT(F657:F668)=9),cubic_spline(F656:F665,H656:H665,B$8),IF(AND(COUNT(H657:H668)=10,COUNT(F657:F668)=10),cubic_spline(F656:F666,H656:H666,B$8),IF(AND(COUNT(H657:H668)=11,COUNT(F657:F668)=11),cubic_spline(F656:F667,H656:H667,B$8),IF(AND(COUNT(H657:H668)=12,COUNT(F657:F668)=12),cubic_spline(F656:F668,H656:H668,B$8),""))))))))))))</f>
        <v/>
      </c>
      <c r="K661" s="52" t="str">
        <f>IF(N(B$8)=0,"",IF(AND(COUNT(A657:A668)=2,COUNT(F657:F668)=2),cubic_spline(F656:F658,A656:A658,B$8),IF(AND(COUNT(A657:A668)=3,COUNT(F657:F668)=3),cubic_spline(F656:F659,A656:A659,B$8),IF(AND(COUNT(A657:A668)=4,COUNT(F657:F668)=4),cubic_spline(F656:F660,A656:A660,B$8),IF(AND(COUNT(A657:A668)=5,COUNT(F657:F668)=5),cubic_spline(F656:F661,A656:A661,B$8),IF(AND(COUNT(A657:A668)=6,COUNT(F657:F668)=6),cubic_spline(F656:F662,A656:A662,B$8),IF(AND(COUNT(A657:A668)=7,COUNT(F657:F668)=7),cubic_spline(F656:F663,A656:A663,B$8),IF(AND(COUNT(A657:A668)=8,COUNT(F657:F668)=8),cubic_spline(F656:F664,A656:A664,B$8),IF(AND(COUNT(A657:A668)=9,COUNT(F657:F668)=9),cubic_spline(F656:F665,A656:A665,B$8),IF(AND(COUNT(A657:A668)=10,COUNT(F657:F668)=10),cubic_spline(F656:F666,A656:A666,B$8),IF(AND(COUNT(A657:A668)=11,COUNT(F657:F668)=11),cubic_spline(F656:F667,A656:A667,B$8),IF(AND(COUNT(A657:A668)=12,COUNT(F657:F668)=12),cubic_spline(F656:F668,A656:A668,B$8),""))))))))))))</f>
        <v/>
      </c>
      <c r="L661" s="27" t="str">
        <f>IF(I661="","",B$7&amp;"-"&amp;B$8)</f>
        <v/>
      </c>
      <c r="M661" s="52" t="str">
        <f>IF(N(J661)=0,"",J661-J660)</f>
        <v/>
      </c>
    </row>
    <row r="662" spans="1:13" x14ac:dyDescent="0.35">
      <c r="A662" s="48"/>
      <c r="B662" s="48"/>
      <c r="C662" s="49"/>
      <c r="D662" s="50"/>
      <c r="E662" s="51" t="str">
        <f t="shared" si="249"/>
        <v/>
      </c>
      <c r="F662" s="71" t="str">
        <f t="shared" si="246"/>
        <v/>
      </c>
      <c r="G662" s="69" t="str">
        <f t="shared" si="248"/>
        <v/>
      </c>
      <c r="H662" s="70" t="str">
        <f t="shared" si="247"/>
        <v/>
      </c>
      <c r="I662" s="27" t="str">
        <f>IF(N(J662)=0,"",0&amp;"-"&amp;B$9)</f>
        <v/>
      </c>
      <c r="J662" s="52" t="str">
        <f>IF(N(B$9)=0,"",IF(AND(COUNT(H657:H668)=2,COUNT(F657:F668)=2),cubic_spline(F656:F658,H656:H658,B$9),IF(AND(COUNT(H657:H668)=3,COUNT(F657:F668)=3),cubic_spline(F656:F659,H656:H659,B$9),IF(AND(COUNT(H657:H668)=4,COUNT(F657:F668)=4),cubic_spline(F656:F660,H656:H660,B$9),IF(AND(COUNT(H657:H668)=5,COUNT(F657:F668)=5),cubic_spline(F656:F661,H656:H661,B$9),IF(AND(COUNT(H657:H668)=6,COUNT(F657:F668)=6),cubic_spline(F656:F662,H656:H662,B$9),IF(AND(COUNT(H657:H668)=7,COUNT(F657:F668)=7),cubic_spline(F656:F663,H656:H663,B$9),IF(AND(COUNT(H657:H668)=8,COUNT(F657:F668)=8),cubic_spline(F656:F664,H656:H664,B$9),IF(AND(COUNT(H657:H668)=9,COUNT(F657:F668)=9),cubic_spline(F656:F665,H656:H665,B$9),IF(AND(COUNT(H657:H668)=10,COUNT(F657:F668)=10),cubic_spline(F656:F666,H656:H666,B$9),IF(AND(COUNT(H657:H668)=11,COUNT(F657:F668)=11),cubic_spline(F656:F667,H656:H667,B$9),IF(AND(COUNT(H657:H668)=12,COUNT(F657:F668)=12),cubic_spline(F656:F668,H656:H668,B$9),""))))))))))))</f>
        <v/>
      </c>
      <c r="K662" s="52" t="str">
        <f>IF(N(B$9)=0,"",IF(AND(COUNT(A657:A668)=2,COUNT(F657:F668)=2),cubic_spline(F656:F658,A656:A658,B$9),IF(AND(COUNT(A657:A668)=3,COUNT(F657:F668)=3),cubic_spline(F656:F659,A656:A659,B$9),IF(AND(COUNT(A657:A668)=4,COUNT(F657:F668)=4),cubic_spline(F656:F660,A656:A660,B$9),IF(AND(COUNT(A657:A668)=5,COUNT(F657:F668)=5),cubic_spline(F656:F661,A656:A661,B$9),IF(AND(COUNT(A657:A668)=6,COUNT(F657:F668)=6),cubic_spline(F656:F662,A656:A662,B$9),IF(AND(COUNT(A657:A668)=7,COUNT(F657:F668)=7),cubic_spline(F656:F663,A656:A663,B$9),IF(AND(COUNT(A657:A668)=8,COUNT(F657:F668)=8),cubic_spline(F656:F664,A656:A664,B$9),IF(AND(COUNT(A657:A668)=9,COUNT(F657:F668)=9),cubic_spline(F656:F665,A656:A665,B$9),IF(AND(COUNT(A657:A668)=10,COUNT(F657:F668)=10),cubic_spline(F656:F666,A656:A666,B$9),IF(AND(COUNT(A657:A668)=11,COUNT(F657:F668)=11),cubic_spline(F656:F667,A656:A667,B$9),IF(AND(COUNT(A657:A668)=12,COUNT(F657:F668)=12),cubic_spline(F656:F668,A656:A668,B$9),""))))))))))))</f>
        <v/>
      </c>
      <c r="L662" s="27" t="str">
        <f>IF(I662="","",B$8&amp;"-"&amp;B$9)</f>
        <v/>
      </c>
      <c r="M662" s="52" t="str">
        <f t="shared" ref="M662:M668" si="250">IF(N(J662)=0,"",J662-J661)</f>
        <v/>
      </c>
    </row>
    <row r="663" spans="1:13" x14ac:dyDescent="0.35">
      <c r="A663" s="48"/>
      <c r="B663" s="48"/>
      <c r="C663" s="49"/>
      <c r="D663" s="50"/>
      <c r="E663" s="51" t="str">
        <f t="shared" si="249"/>
        <v/>
      </c>
      <c r="F663" s="71" t="str">
        <f t="shared" si="246"/>
        <v/>
      </c>
      <c r="G663" s="69" t="str">
        <f t="shared" si="248"/>
        <v/>
      </c>
      <c r="H663" s="70" t="str">
        <f t="shared" si="247"/>
        <v/>
      </c>
      <c r="I663" s="27" t="str">
        <f>IF(N(J663)=0,"",0&amp;"-"&amp;B$10)</f>
        <v/>
      </c>
      <c r="J663" s="52" t="str">
        <f>IF(N(B$10)=0,"",IF(AND(COUNT(H657:H668)=2,COUNT(F657:F668)=2),cubic_spline(F656:F658,H656:H658,B$10),IF(AND(COUNT(H657:H668)=3,COUNT(F657:F668)=3),cubic_spline(F656:F659,H656:H659,B$10),IF(AND(COUNT(H657:H668)=4,COUNT(F657:F668)=4),cubic_spline(F656:F660,H656:H660,B$10),IF(AND(COUNT(H657:H668)=5,COUNT(F657:F668)=5),cubic_spline(F656:F661,H656:H661,B$10),IF(AND(COUNT(H657:H668)=6,COUNT(F657:F668)=6),cubic_spline(F656:F662,H656:H662,B$10),IF(AND(COUNT(H657:H668)=7,COUNT(F657:F668)=7),cubic_spline(F656:F663,H656:H663,B$10),IF(AND(COUNT(H657:H668)=8,COUNT(F657:F668)=8),cubic_spline(F656:F664,H656:H664,B$10),IF(AND(COUNT(H657:H668)=9,COUNT(F657:F668)=9),cubic_spline(F656:F665,H656:H665,B$10),IF(AND(COUNT(H657:H668)=10,COUNT(F657:F668)=10),cubic_spline(F656:F666,H656:H666,B$10),IF(AND(COUNT(H657:H668)=11,COUNT(F657:F668)=11),cubic_spline(F656:F667,H656:H667,B$10),IF(AND(COUNT(H657:H668)=12,COUNT(F657:F668)=12),cubic_spline(F656:F668,H656:H668,B$10),""))))))))))))</f>
        <v/>
      </c>
      <c r="K663" s="52" t="str">
        <f>IF(N(B$10)=0,"",IF(AND(COUNT(A657:A668)=2,COUNT(F657:F668)=2),cubic_spline(F656:F658,A656:A658,B$10),IF(AND(COUNT(A657:A668)=3,COUNT(F657:F668)=3),cubic_spline(F656:F659,A656:A659,B$10),IF(AND(COUNT(A657:A668)=4,COUNT(F657:F668)=4),cubic_spline(F656:F660,A656:A660,B$10),IF(AND(COUNT(A657:A668)=5,COUNT(F657:F668)=5),cubic_spline(F656:F661,A656:A661,B$10),IF(AND(COUNT(A657:A668)=6,COUNT(F657:F668)=6),cubic_spline(F656:F662,A656:A662,B$10),IF(AND(COUNT(A657:A668)=7,COUNT(F657:F668)=7),cubic_spline(F656:F663,A656:A663,B$10),IF(AND(COUNT(A657:A668)=8,COUNT(F657:F668)=8),cubic_spline(F656:F664,A656:A664,B$10),IF(AND(COUNT(A657:A668)=9,COUNT(F657:F668)=9),cubic_spline(F656:F665,A656:A665,B$10),IF(AND(COUNT(A657:A668)=10,COUNT(F657:F668)=10),cubic_spline(F656:F666,A656:A666,B$10),IF(AND(COUNT(A657:A668)=11,COUNT(F657:F668)=11),cubic_spline(F656:F667,A656:A667,B$10),IF(AND(COUNT(A657:A668)=12,COUNT(F657:F668)=12),cubic_spline(F656:F668,A656:A668,B$10),""))))))))))))</f>
        <v/>
      </c>
      <c r="L663" s="27" t="str">
        <f>IF(I663="","",B$9&amp;"-"&amp;B$10)</f>
        <v/>
      </c>
      <c r="M663" s="52" t="str">
        <f t="shared" si="250"/>
        <v/>
      </c>
    </row>
    <row r="664" spans="1:13" x14ac:dyDescent="0.35">
      <c r="A664" s="48"/>
      <c r="B664" s="48"/>
      <c r="C664" s="49"/>
      <c r="D664" s="50"/>
      <c r="E664" s="51" t="str">
        <f t="shared" si="249"/>
        <v/>
      </c>
      <c r="F664" s="71" t="str">
        <f t="shared" si="246"/>
        <v/>
      </c>
      <c r="G664" s="69" t="str">
        <f t="shared" si="248"/>
        <v/>
      </c>
      <c r="H664" s="70" t="str">
        <f t="shared" si="247"/>
        <v/>
      </c>
      <c r="I664" s="27" t="str">
        <f>IF(N(J664)=0,"",0&amp;"-"&amp;B$11)</f>
        <v/>
      </c>
      <c r="J664" s="52" t="str">
        <f>IF(N(B$11)=0,"",IF(AND(COUNT(H657:H668)=2,COUNT(F657:F668)=2),cubic_spline(F656:F658,H656:H658,B$11),IF(AND(COUNT(H657:H668)=3,COUNT(F657:F668)=3),cubic_spline(F656:F659,H656:H659,B$11),IF(AND(COUNT(H657:H668)=4,COUNT(F657:F668)=4),cubic_spline(F656:F660,H656:H660,B$11),IF(AND(COUNT(H657:H668)=5,COUNT(F657:F668)=5),cubic_spline(F656:F661,H656:H661,B$11),IF(AND(COUNT(H657:H668)=6,COUNT(F657:F668)=6),cubic_spline(F656:F662,H656:H662,B$11),IF(AND(COUNT(H657:H668)=7,COUNT(F657:F668)=7),cubic_spline(F656:F663,H656:H663,B$11),IF(AND(COUNT(H657:H668)=8,COUNT(F657:F668)=8),cubic_spline(F656:F664,H656:H664,B$11),IF(AND(COUNT(H657:H668)=9,COUNT(F657:F668)=9),cubic_spline(F656:F665,H656:H665,B$11),IF(AND(COUNT(H657:H668)=10,COUNT(F657:F668)=10),cubic_spline(F656:F666,H656:H666,B$11),IF(AND(COUNT(H657:H668)=11,COUNT(F657:F668)=11),cubic_spline(F656:F667,H656:H667,B$11),IF(AND(COUNT(H657:H668)=12,COUNT(F657:F668)=12),cubic_spline(F656:F668,H656:H668,B$11),""))))))))))))</f>
        <v/>
      </c>
      <c r="K664" s="52" t="str">
        <f>IF(N(B$11)=0,"",IF(AND(COUNT(A657:A668)=2,COUNT(F657:F668)=2),cubic_spline(F656:F658,A656:A658,B$11),IF(AND(COUNT(A657:A668)=3,COUNT(F657:F668)=3),cubic_spline(F656:F659,A656:A659,B$11),IF(AND(COUNT(A657:A668)=4,COUNT(F657:F668)=4),cubic_spline(F656:F660,A656:A660,B$11),IF(AND(COUNT(A657:A668)=5,COUNT(F657:F668)=5),cubic_spline(F656:F661,A656:A661,B$11),IF(AND(COUNT(A657:A668)=6,COUNT(F657:F668)=6),cubic_spline(F656:F662,A656:A662,B$11),IF(AND(COUNT(A657:A668)=7,COUNT(F657:F668)=7),cubic_spline(F656:F663,A656:A663,B$11),IF(AND(COUNT(A657:A668)=8,COUNT(F657:F668)=8),cubic_spline(F656:F664,A656:A664,B$11),IF(AND(COUNT(A657:A668)=9,COUNT(F657:F668)=9),cubic_spline(F656:F665,A656:A665,B$11),IF(AND(COUNT(A657:A668)=10,COUNT(F657:F668)=10),cubic_spline(F656:F666,A656:A666,B$11),IF(AND(COUNT(A657:A668)=11,COUNT(F657:F668)=11),cubic_spline(F656:F667,A656:A667,B$11),IF(AND(COUNT(A657:A668)=12,COUNT(F657:F668)=12),cubic_spline(F656:F668,A656:A668,B$11),""))))))))))))</f>
        <v/>
      </c>
      <c r="L664" s="27" t="str">
        <f>IF(I664="","",B$10&amp;"-"&amp;B$11)</f>
        <v/>
      </c>
      <c r="M664" s="52" t="str">
        <f t="shared" si="250"/>
        <v/>
      </c>
    </row>
    <row r="665" spans="1:13" x14ac:dyDescent="0.35">
      <c r="A665" s="48"/>
      <c r="B665" s="48"/>
      <c r="C665" s="49"/>
      <c r="D665" s="50"/>
      <c r="E665" s="51" t="str">
        <f t="shared" si="249"/>
        <v/>
      </c>
      <c r="F665" s="71" t="str">
        <f t="shared" si="246"/>
        <v/>
      </c>
      <c r="G665" s="69" t="str">
        <f t="shared" si="248"/>
        <v/>
      </c>
      <c r="H665" s="70" t="str">
        <f t="shared" si="247"/>
        <v/>
      </c>
      <c r="I665" s="27" t="str">
        <f>IF(N(J665)=0,"",0&amp;"-"&amp;B$12)</f>
        <v/>
      </c>
      <c r="J665" s="52" t="str">
        <f>IF(N(B$12)=0,"",IF(AND(COUNT(H657:H668)=2,COUNT(F657:F668)=2),cubic_spline(F656:F658,H656:H658,B$12),IF(AND(COUNT(H657:H668)=3,COUNT(F657:F668)=3),cubic_spline(F656:F659,H656:H659,B$12),IF(AND(COUNT(H657:H668)=4,COUNT(F657:F668)=4),cubic_spline(F656:F660,H656:H660,B$12),IF(AND(COUNT(H657:H668)=5,COUNT(F657:F668)=5),cubic_spline(F656:F661,H656:H661,B$12),IF(AND(COUNT(H657:H668)=6,COUNT(F657:F668)=6),cubic_spline(F656:F662,H656:H662,B$12),IF(AND(COUNT(H657:H668)=7,COUNT(F657:F668)=7),cubic_spline(F656:F663,H656:H663,B$12),IF(AND(COUNT(H657:H668)=8,COUNT(F657:F668)=8),cubic_spline(F656:F664,H656:H664,B$12),IF(AND(COUNT(H657:H668)=9,COUNT(F657:F668)=9),cubic_spline(F656:F665,H656:H665,B$12),IF(AND(COUNT(H657:H668)=10,COUNT(F657:F668)=10),cubic_spline(F656:F666,H656:H666,B$12),IF(AND(COUNT(H657:H668)=11,COUNT(F657:F668)=11),cubic_spline(F656:F667,H656:H667,B$12),IF(AND(COUNT(H657:H668)=12,COUNT(F657:F668)=12),cubic_spline(F656:F668,H656:H668,B$12),""))))))))))))</f>
        <v/>
      </c>
      <c r="K665" s="52" t="str">
        <f>IF(N(B$12)=0,"",IF(AND(COUNT(A657:A668)=2,COUNT(F657:F668)=2),cubic_spline(F656:F658,A656:A658,B$12),IF(AND(COUNT(A657:A668)=3,COUNT(F657:F668)=3),cubic_spline(F656:F659,A656:A659,B$12),IF(AND(COUNT(A657:A668)=4,COUNT(F657:F668)=4),cubic_spline(F656:F660,A656:A660,B$12),IF(AND(COUNT(A657:A668)=5,COUNT(F657:F668)=5),cubic_spline(F656:F661,A656:A661,B$12),IF(AND(COUNT(A657:A668)=6,COUNT(F657:F668)=6),cubic_spline(F656:F662,A656:A662,B$12),IF(AND(COUNT(A657:A668)=7,COUNT(F657:F668)=7),cubic_spline(F656:F663,A656:A663,B$12),IF(AND(COUNT(A657:A668)=8,COUNT(F657:F668)=8),cubic_spline(F656:F664,A656:A664,B$12),IF(AND(COUNT(A657:A668)=9,COUNT(F657:F668)=9),cubic_spline(F656:F665,A656:A665,B$12),IF(AND(COUNT(A657:A668)=10,COUNT(F657:F668)=10),cubic_spline(F656:F666,A656:A666,B$12),IF(AND(COUNT(A657:A668)=11,COUNT(F657:F668)=11),cubic_spline(F656:F667,A656:A667,B$12),IF(AND(COUNT(A657:A668)=12,COUNT(F657:F668)=12),cubic_spline(F656:F668,A656:A668,B$12),""))))))))))))</f>
        <v/>
      </c>
      <c r="L665" s="27" t="str">
        <f>IF(I665="","",B$11&amp;"-"&amp;B$12)</f>
        <v/>
      </c>
      <c r="M665" s="52" t="str">
        <f t="shared" si="250"/>
        <v/>
      </c>
    </row>
    <row r="666" spans="1:13" x14ac:dyDescent="0.35">
      <c r="A666" s="48"/>
      <c r="B666" s="48"/>
      <c r="C666" s="49"/>
      <c r="D666" s="50"/>
      <c r="E666" s="51" t="str">
        <f t="shared" si="249"/>
        <v/>
      </c>
      <c r="F666" s="71" t="str">
        <f t="shared" si="246"/>
        <v/>
      </c>
      <c r="G666" s="69" t="str">
        <f t="shared" si="248"/>
        <v/>
      </c>
      <c r="H666" s="70" t="str">
        <f t="shared" si="247"/>
        <v/>
      </c>
      <c r="I666" s="27" t="str">
        <f>IF(N(J666)=0,"",0&amp;"-"&amp;B$13)</f>
        <v/>
      </c>
      <c r="J666" s="52" t="str">
        <f>IF(N(B$13)=0,"",IF(AND(COUNT(H657:H668)=2,COUNT(F657:F668)=2),cubic_spline(F656:F658,H656:H658,B$13),IF(AND(COUNT(H657:H668)=3,COUNT(F657:F668)=3),cubic_spline(F656:F659,H656:H659,B$13),IF(AND(COUNT(H657:H668)=4,COUNT(F657:F668)=4),cubic_spline(F656:F660,H656:H660,B$13),IF(AND(COUNT(H657:H668)=5,COUNT(F657:F668)=5),cubic_spline(F656:F661,H656:H661,B$13),IF(AND(COUNT(H657:H668)=6,COUNT(F657:F668)=6),cubic_spline(F656:F662,H656:H662,B$13),IF(AND(COUNT(H657:H668)=7,COUNT(F657:F668)=7),cubic_spline(F656:F663,H656:H663,B$13),IF(AND(COUNT(H657:H668)=8,COUNT(F657:F668)=8),cubic_spline(F656:F664,H656:H664,B$13),IF(AND(COUNT(H657:H668)=9,COUNT(F657:F668)=9),cubic_spline(F656:F665,H656:H665,B$13),IF(AND(COUNT(H657:H668)=10,COUNT(F657:F668)=10),cubic_spline(F656:F666,H656:H666,B$13),IF(AND(COUNT(H657:H668)=11,COUNT(F657:F668)=11),cubic_spline(F656:F667,H656:H667,B$13),IF(AND(COUNT(H657:H668)=12,COUNT(F657:F668)=12),cubic_spline(F656:F668,H656:H668,B$13),""))))))))))))</f>
        <v/>
      </c>
      <c r="K666" s="52" t="str">
        <f>IF(N(B$13)=0,"",IF(AND(COUNT(A657:A668)=2,COUNT(F657:F668)=2),cubic_spline(F656:F658,A656:A658,B$13),IF(AND(COUNT(A657:A668)=3,COUNT(F657:F668)=3),cubic_spline(F656:F659,A656:A659,B$13),IF(AND(COUNT(A657:A668)=4,COUNT(F657:F668)=4),cubic_spline(F656:F660,A656:A660,B$13),IF(AND(COUNT(A657:A668)=5,COUNT(F657:F668)=5),cubic_spline(F656:F661,A656:A661,B$13),IF(AND(COUNT(A657:A668)=6,COUNT(F657:F668)=6),cubic_spline(F656:F662,A656:A662,B$13),IF(AND(COUNT(A657:A668)=7,COUNT(F657:F668)=7),cubic_spline(F656:F663,A656:A663,B$13),IF(AND(COUNT(A657:A668)=8,COUNT(F657:F668)=8),cubic_spline(F656:F664,A656:A664,B$13),IF(AND(COUNT(A657:A668)=9,COUNT(F657:F668)=9),cubic_spline(F656:F665,A656:A665,B$13),IF(AND(COUNT(A657:A668)=10,COUNT(F657:F668)=10),cubic_spline(F656:F666,A656:A666,B$13),IF(AND(COUNT(A657:A668)=11,COUNT(F657:F668)=11),cubic_spline(F656:F667,A656:A667,B$13),IF(AND(COUNT(A657:A668)=12,COUNT(F657:F668)=12),cubic_spline(F656:F668,A656:A668,B$13),""))))))))))))</f>
        <v/>
      </c>
      <c r="L666" s="27" t="str">
        <f>IF(I666="","",B$12&amp;"-"&amp;B$13)</f>
        <v/>
      </c>
      <c r="M666" s="52" t="str">
        <f t="shared" si="250"/>
        <v/>
      </c>
    </row>
    <row r="667" spans="1:13" x14ac:dyDescent="0.35">
      <c r="A667" s="48"/>
      <c r="B667" s="48"/>
      <c r="C667" s="49"/>
      <c r="D667" s="50"/>
      <c r="E667" s="51" t="str">
        <f t="shared" si="249"/>
        <v/>
      </c>
      <c r="F667" s="71" t="str">
        <f t="shared" si="246"/>
        <v/>
      </c>
      <c r="G667" s="69" t="str">
        <f t="shared" si="248"/>
        <v/>
      </c>
      <c r="H667" s="70" t="str">
        <f t="shared" si="247"/>
        <v/>
      </c>
      <c r="I667" s="27" t="str">
        <f>IF(N(J667)=0,"",0&amp;"-"&amp;B$14)</f>
        <v/>
      </c>
      <c r="J667" s="52" t="str">
        <f>IF(N(B$14)=0,"",IF(AND(COUNT(H657:H668)=2,COUNT(F657:F668)=2),cubic_spline(F656:F658,H656:H658,B$14),IF(AND(COUNT(H657:H668)=3,COUNT(F657:F668)=3),cubic_spline(F656:F659,H656:H659,B$14),IF(AND(COUNT(H657:H668)=4,COUNT(F657:F668)=4),cubic_spline(F656:F660,H656:H660,B$14),IF(AND(COUNT(H657:H668)=5,COUNT(F657:F668)=5),cubic_spline(F656:F661,H656:H661,B$14),IF(AND(COUNT(H657:H668)=6,COUNT(F657:F668)=6),cubic_spline(F656:F662,H656:H662,B$14),IF(AND(COUNT(H657:H668)=7,COUNT(F657:F668)=7),cubic_spline(F656:F663,H656:H663,B$14),IF(AND(COUNT(H657:H668)=8,COUNT(F657:F668)=8),cubic_spline(F656:F664,H656:H664,B$14),IF(AND(COUNT(H657:H668)=9,COUNT(F657:F668)=9),cubic_spline(F656:F665,H656:H665,B$14),IF(AND(COUNT(H657:H668)=10,COUNT(F657:F668)=10),cubic_spline(F656:F666,H656:H666,B$14),IF(AND(COUNT(H657:H668)=11,COUNT(F657:F668)=11),cubic_spline(F656:F667,H656:H667,B$14),IF(AND(COUNT(H657:H668)=12,COUNT(F657:F668)=12),cubic_spline(F656:F668,H656:H668,B$14),""))))))))))))</f>
        <v/>
      </c>
      <c r="K667" s="52" t="str">
        <f>IF(N(B$14)=0,"",IF(AND(COUNT(A657:A668)=2,COUNT(F657:F668)=2),cubic_spline(F656:F658,A656:A658,B$14),IF(AND(COUNT(A657:A668)=3,COUNT(F657:F668)=3),cubic_spline(F656:F659,A656:A659,B$14),IF(AND(COUNT(A657:A668)=4,COUNT(F657:F668)=4),cubic_spline(F656:F660,A656:A660,B$14),IF(AND(COUNT(A657:A668)=5,COUNT(F657:F668)=5),cubic_spline(F656:F661,A656:A661,B$14),IF(AND(COUNT(A657:A668)=6,COUNT(F657:F668)=6),cubic_spline(F656:F662,A656:A662,B$14),IF(AND(COUNT(A657:A668)=7,COUNT(F657:F668)=7),cubic_spline(F656:F663,A656:A663,B$14),IF(AND(COUNT(A657:A668)=8,COUNT(F657:F668)=8),cubic_spline(F656:F664,A656:A664,B$14),IF(AND(COUNT(A657:A668)=9,COUNT(F657:F668)=9),cubic_spline(F656:F665,A656:A665,B$14),IF(AND(COUNT(A657:A668)=10,COUNT(F657:F668)=10),cubic_spline(F656:F666,A656:A666,B$14),IF(AND(COUNT(A657:A668)=11,COUNT(F657:F668)=11),cubic_spline(F656:F667,A656:A667,B$14),IF(AND(COUNT(A657:A668)=12,COUNT(F657:F668)=12),cubic_spline(F656:F668,A656:A668,B$14),""))))))))))))</f>
        <v/>
      </c>
      <c r="L667" s="27" t="str">
        <f>IF(I667="","",B$13&amp;"-"&amp;B$14)</f>
        <v/>
      </c>
      <c r="M667" s="52" t="str">
        <f t="shared" si="250"/>
        <v/>
      </c>
    </row>
    <row r="668" spans="1:13" x14ac:dyDescent="0.35">
      <c r="A668" s="48"/>
      <c r="B668" s="48"/>
      <c r="C668" s="49"/>
      <c r="D668" s="50"/>
      <c r="E668" s="51" t="str">
        <f t="shared" si="249"/>
        <v/>
      </c>
      <c r="F668" s="71" t="str">
        <f t="shared" si="246"/>
        <v/>
      </c>
      <c r="G668" s="69" t="str">
        <f t="shared" si="248"/>
        <v/>
      </c>
      <c r="H668" s="70" t="str">
        <f t="shared" si="247"/>
        <v/>
      </c>
      <c r="I668" s="27" t="str">
        <f>IF(N(J668)=0,"",0&amp;"-"&amp;B$15)</f>
        <v/>
      </c>
      <c r="J668" s="52" t="str">
        <f>IF(N(B$15)=0,"",IF(AND(COUNT(H657:H668)=2,COUNT(F657:F668)=2),cubic_spline(F656:F658,H656:H658,B$15),IF(AND(COUNT(H657:H668)=3,COUNT(F657:F668)=3),cubic_spline(F656:F659,H656:H659,B$15),IF(AND(COUNT(H657:H668)=4,COUNT(F657:F668)=4),cubic_spline(F656:F660,H656:H660,B$15),IF(AND(COUNT(H657:H668)=5,COUNT(F657:F668)=5),cubic_spline(F656:F661,H656:H661,B$15),IF(AND(COUNT(H657:H668)=6,COUNT(F657:F668)=6),cubic_spline(F656:F662,H656:H662,B$15),IF(AND(COUNT(H657:H668)=7,COUNT(F657:F668)=7),cubic_spline(F656:F663,H656:H663,B$15),IF(AND(COUNT(H657:H668)=8,COUNT(F657:F668)=8),cubic_spline(F656:F664,H656:H664,B$15),IF(AND(COUNT(H657:H668)=9,COUNT(F657:F668)=9),cubic_spline(F656:F665,H656:H665,B$15),IF(AND(COUNT(H657:H668)=10,COUNT(F657:F668)=10),cubic_spline(F656:F666,H656:H666,B$15),IF(AND(COUNT(H657:H668)=11,COUNT(F657:F668)=11),cubic_spline(F656:F667,H656:H667,B$15),IF(AND(COUNT(H657:H668)=12,COUNT(F657:F668)=12),cubic_spline(F656:F668,H656:H668,B$15),""))))))))))))</f>
        <v/>
      </c>
      <c r="K668" s="52" t="str">
        <f>IF(N(B$15)=0,"",IF(AND(COUNT(A657:A668)=2,COUNT(F657:F668)=2),cubic_spline(F656:F658,A656:A658,B$15),IF(AND(COUNT(A657:A668)=3,COUNT(F657:F668)=3),cubic_spline(F656:F659,A656:A659,B$15),IF(AND(COUNT(A657:A668)=4,COUNT(F657:F668)=4),cubic_spline(F656:F660,A656:A660,B$15),IF(AND(COUNT(A657:A668)=5,COUNT(F657:F668)=5),cubic_spline(F656:F661,A656:A661,B$15),IF(AND(COUNT(A657:A668)=6,COUNT(F657:F668)=6),cubic_spline(F656:F662,A656:A662,B$15),IF(AND(COUNT(A657:A668)=7,COUNT(F657:F668)=7),cubic_spline(F656:F663,A656:A663,B$15),IF(AND(COUNT(A657:A668)=8,COUNT(F657:F668)=8),cubic_spline(F656:F664,A656:A664,B$15),IF(AND(COUNT(A657:A668)=9,COUNT(F657:F668)=9),cubic_spline(F656:F665,A656:A665,B$15),IF(AND(COUNT(A657:A668)=10,COUNT(F657:F668)=10),cubic_spline(F656:F666,A656:A666,B$15),IF(AND(COUNT(A657:A668)=11,COUNT(F657:F668)=11),cubic_spline(F656:F667,A656:A667,B$15),IF(AND(COUNT(A657:A668)=12,COUNT(F657:F668)=12),cubic_spline(F656:F668,A656:A668,B$15),""))))))))))))</f>
        <v/>
      </c>
      <c r="L668" s="27" t="str">
        <f>IF(I668="","",B$14&amp;"-"&amp;B$15)</f>
        <v/>
      </c>
      <c r="M668" s="52" t="str">
        <f t="shared" si="250"/>
        <v/>
      </c>
    </row>
    <row r="669" spans="1:13" ht="5.15" customHeight="1" x14ac:dyDescent="0.35">
      <c r="A669" s="47"/>
      <c r="B669" s="47"/>
      <c r="C669" s="47"/>
      <c r="D669" s="53"/>
      <c r="E669" s="54"/>
      <c r="F669" s="55"/>
      <c r="G669" s="72"/>
      <c r="H669" s="73"/>
      <c r="I669" s="47"/>
      <c r="J669" s="57"/>
      <c r="K669" s="57"/>
      <c r="L669" s="55"/>
      <c r="M669" s="57"/>
    </row>
    <row r="670" spans="1:13" x14ac:dyDescent="0.35">
      <c r="A670" s="48"/>
      <c r="B670" s="48"/>
      <c r="C670" s="49"/>
      <c r="D670" s="50"/>
      <c r="E670" s="51" t="str">
        <f>IF(N(C670)=0,"",C670/PI()/($D$1/2)^2/$D$2*10000)</f>
        <v/>
      </c>
      <c r="F670" s="68" t="str">
        <f t="shared" ref="F670:F681" si="251">IF(N(E670)=0,"",(N(E670)+N(F669)))</f>
        <v/>
      </c>
      <c r="G670" s="69" t="str">
        <f>IF(OR(N(D670)=0,N(E670)=0),"",(E670*D670)/1000)</f>
        <v/>
      </c>
      <c r="H670" s="70" t="str">
        <f t="shared" ref="H670:H681" si="252">IF(N(G670)=0,"",(N(G670)+N(H669)))</f>
        <v/>
      </c>
      <c r="I670" s="27" t="str">
        <f>IF(N(J670)=0,"",0&amp;"-"&amp;B$4)</f>
        <v/>
      </c>
      <c r="J670" s="52" t="str">
        <f>IF(N(B$4)=0,"",IF(AND(COUNT(H670:H681)=2,COUNT(F670:F681)=2),cubic_spline(F669:F671,H669:H671,B$4),IF(AND(COUNT(H670:H681)=3,COUNT(F670:F681)=3),cubic_spline(F669:F672,H669:H672,B$4),IF(AND(COUNT(H670:H681)=4,COUNT(F670:F681)=4),cubic_spline(F669:F673,H669:H673,B$4),IF(AND(COUNT(H670:H681)=5,COUNT(F670:F681)=5),cubic_spline(F669:F674,H669:H674,B$4),IF(AND(COUNT(H670:H681)=6,COUNT(F670:F681)=6),cubic_spline(F669:F675,H669:H675,B$4),IF(AND(COUNT(H670:H681)=7,COUNT(F670:F681)=7),cubic_spline(F669:F676,H669:H676,B$4),IF(AND(COUNT(H670:H681)=8,COUNT(F670:F681)=8),cubic_spline(F669:F677,H669:H677,B$4),IF(AND(COUNT(H670:H681)=9,COUNT(F670:F681)=9),cubic_spline(F669:F678,H669:H678,B$4),IF(AND(COUNT(H670:H681)=10,COUNT(F670:F681)=10),cubic_spline(F669:F679,H669:H679,B$4),IF(AND(COUNT(H670:H681)=11,COUNT(F670:F681)=11),cubic_spline(F669:F680,H669:H680,B$4),IF(AND(COUNT(H670:H681)=12,COUNT(F670:F681)=12),cubic_spline(F669:F681,H669:H681,B$4),""))))))))))))</f>
        <v/>
      </c>
      <c r="K670" s="52" t="str">
        <f>IF(N(B$4)=0,"",IF(AND(COUNT(A670:A681)=2,COUNT(F670:F681)=2),cubic_spline(F669:F671,A669:A671,B$4),IF(AND(COUNT(A670:A681)=3,COUNT(F670:F681)=3),cubic_spline(F669:F672,A669:A672,B$4),IF(AND(COUNT(A670:A681)=4,COUNT(F670:F681)=4),cubic_spline(F669:F673,A669:A673,B$4),IF(AND(COUNT(A670:A681)=5,COUNT(F670:F681)=5),cubic_spline(F669:F674,A669:A674,B$4),IF(AND(COUNT(A670:A681)=6,COUNT(F670:F681)=6),cubic_spline(F669:F675,A669:A675,B$4),IF(AND(COUNT(A670:A681)=7,COUNT(F670:F681)=7),cubic_spline(F669:F676,A669:A676,B$4),IF(AND(COUNT(A670:A681)=8,COUNT(F670:F681)=8),cubic_spline(F669:F677,A669:A677,B$4),IF(AND(COUNT(A670:A681)=9,COUNT(F670:F681)=9),cubic_spline(F669:F678,A669:A678,B$4),IF(AND(COUNT(A670:A681)=10,COUNT(F670:F681)=10),cubic_spline(F669:F679,A669:A679,B$4),IF(AND(COUNT(A670:A681)=11,COUNT(F670:F681)=11),cubic_spline(F669:F680,A669:A680,B$4),IF(AND(COUNT(A670:A681)=12,COUNT(F670:F681)=12),cubic_spline(F669:F681,A669:A681,B$4),""))))))))))))</f>
        <v/>
      </c>
      <c r="L670" s="27" t="str">
        <f>IF(I670="","",0&amp;"-"&amp;B$4)</f>
        <v/>
      </c>
      <c r="M670" s="52" t="str">
        <f>IF(N(J670)=0,"",J670-J669)</f>
        <v/>
      </c>
    </row>
    <row r="671" spans="1:13" x14ac:dyDescent="0.35">
      <c r="A671" s="48"/>
      <c r="B671" s="48"/>
      <c r="C671" s="49"/>
      <c r="D671" s="50"/>
      <c r="E671" s="51" t="str">
        <f>IF(N(C671)=0,"",C671/PI()/($D$1/2)^2/$D$2*10000)</f>
        <v/>
      </c>
      <c r="F671" s="68" t="str">
        <f t="shared" si="251"/>
        <v/>
      </c>
      <c r="G671" s="69" t="str">
        <f t="shared" ref="G671:G681" si="253">IF(OR(N(D671)=0,N(E671)=0),"",(E671*D671)/1000)</f>
        <v/>
      </c>
      <c r="H671" s="70" t="str">
        <f t="shared" si="252"/>
        <v/>
      </c>
      <c r="I671" s="27" t="str">
        <f>IF(N(J671)=0,"",0&amp;"-"&amp;B$5)</f>
        <v/>
      </c>
      <c r="J671" s="52" t="str">
        <f>IF(N(B$5)=0,"",IF(AND(COUNT(H670:H681)=2,COUNT(F670:F681)=2),cubic_spline(F669:F671,H669:H671,B$5),IF(AND(COUNT(H670:H681)=3,COUNT(F670:F681)=3),cubic_spline(F669:F672,H669:H672,B$5),IF(AND(COUNT(H670:H681)=4,COUNT(F670:F681)=4),cubic_spline(F669:F673,H669:H673,B$5),IF(AND(COUNT(H670:H681)=5,COUNT(F670:F681)=5),cubic_spline(F669:F674,H669:H674,B$5),IF(AND(COUNT(H670:H681)=6,COUNT(F670:F681)=6),cubic_spline(F669:F675,H669:H675,B$5),IF(AND(COUNT(H670:H681)=7,COUNT(F670:F681)=7),cubic_spline(F669:F676,H669:H676,B$5),IF(AND(COUNT(H670:H681)=8,COUNT(F670:F681)=8),cubic_spline(F669:F677,H669:H677,B$5),IF(AND(COUNT(H670:H681)=9,COUNT(F670:F681)=9),cubic_spline(F669:F678,H669:H678,B$5),IF(AND(COUNT(H670:H681)=10,COUNT(F670:F681)=10),cubic_spline(F669:F679,H669:H679,B$5),IF(AND(COUNT(H670:H681)=11,COUNT(F670:F681)=11),cubic_spline(F669:F680,H669:H680,B$5),IF(AND(COUNT(H670:H681)=12,COUNT(F670:F681)=12),cubic_spline(F669:F681,H669:H681,B$5),""))))))))))))</f>
        <v/>
      </c>
      <c r="K671" s="52" t="str">
        <f>IF(N(B$5)=0,"",IF(AND(COUNT(A670:A681)=2,COUNT(F670:F681)=2),cubic_spline(F669:F671,A669:A671,B$5),IF(AND(COUNT(A670:A681)=3,COUNT(F670:F681)=3),cubic_spline(F669:F672,A669:A672,B$5),IF(AND(COUNT(A670:A681)=4,COUNT(F670:F681)=4),cubic_spline(F669:F673,A669:A673,B$5),IF(AND(COUNT(A670:A681)=5,COUNT(F670:F681)=5),cubic_spline(F669:F674,A669:A674,B$5),IF(AND(COUNT(A670:A681)=6,COUNT(F670:F681)=6),cubic_spline(F669:F675,A669:A675,B$5),IF(AND(COUNT(A670:A681)=7,COUNT(F670:F681)=7),cubic_spline(F669:F676,A669:A676,B$5),IF(AND(COUNT(A670:A681)=8,COUNT(F670:F681)=8),cubic_spline(F669:F677,A669:A677,B$5),IF(AND(COUNT(A670:A681)=9,COUNT(F670:F681)=9),cubic_spline(F669:F678,A669:A678,B$5),IF(AND(COUNT(A670:A681)=10,COUNT(F670:F681)=10),cubic_spline(F669:F679,A669:A679,B$5),IF(AND(COUNT(A670:A681)=11,COUNT(F670:F681)=11),cubic_spline(F669:F680,A669:A680,B$5),IF(AND(COUNT(A670:A681)=12,COUNT(F670:F681)=12),cubic_spline(F669:F681,A669:A681,B$5),""))))))))))))</f>
        <v/>
      </c>
      <c r="L671" s="27" t="str">
        <f>IF(I671="","",B$4&amp;"-"&amp;B$5)</f>
        <v/>
      </c>
      <c r="M671" s="52" t="str">
        <f>IF(N(J671)=0,"",J671-J670)</f>
        <v/>
      </c>
    </row>
    <row r="672" spans="1:13" x14ac:dyDescent="0.35">
      <c r="A672" s="48"/>
      <c r="B672" s="48"/>
      <c r="C672" s="49"/>
      <c r="D672" s="50"/>
      <c r="E672" s="51" t="str">
        <f>IF(N(C672)=0,"",C672/PI()/($D$1/2)^2/$D$2*10000)</f>
        <v/>
      </c>
      <c r="F672" s="68" t="str">
        <f t="shared" si="251"/>
        <v/>
      </c>
      <c r="G672" s="69" t="str">
        <f t="shared" si="253"/>
        <v/>
      </c>
      <c r="H672" s="70" t="str">
        <f t="shared" si="252"/>
        <v/>
      </c>
      <c r="I672" s="27" t="str">
        <f>IF(N(J672)=0,"",0&amp;"-"&amp;B$6)</f>
        <v/>
      </c>
      <c r="J672" s="52" t="str">
        <f>IF(N(B$6)=0,"",IF(AND(COUNT(H670:H681)=2,COUNT(F670:F681)=2),cubic_spline(F669:F671,H669:H671,B$6),IF(AND(COUNT(H670:H681)=3,COUNT(F670:F681)=3),cubic_spline(F669:F672,H669:H672,B$6),IF(AND(COUNT(H670:H681)=4,COUNT(F670:F681)=4),cubic_spline(F669:F673,H669:H673,B$6),IF(AND(COUNT(H670:H681)=5,COUNT(F670:F681)=5),cubic_spline(F669:F674,H669:H674,B$6),IF(AND(COUNT(H670:H681)=6,COUNT(F670:F681)=6),cubic_spline(F669:F675,H669:H675,B$6),IF(AND(COUNT(H670:H681)=7,COUNT(F670:F681)=7),cubic_spline(F669:F676,H669:H676,B$6),IF(AND(COUNT(H670:H681)=8,COUNT(F670:F681)=8),cubic_spline(F669:F677,H669:H677,B$6),IF(AND(COUNT(H670:H681)=9,COUNT(F670:F681)=9),cubic_spline(F669:F678,H669:H678,B$6),IF(AND(COUNT(H670:H681)=10,COUNT(F670:F681)=10),cubic_spline(F669:F679,H669:H679,B$6),IF(AND(COUNT(H670:H681)=11,COUNT(F670:F681)=11),cubic_spline(F669:F680,H669:H680,B$6),IF(AND(COUNT(H670:H681)=12,COUNT(F670:F681)=12),cubic_spline(F669:F681,H669:H681,B$6),""))))))))))))</f>
        <v/>
      </c>
      <c r="K672" s="52" t="str">
        <f>IF(N(B$6)=0,"",IF(AND(COUNT(A670:A681)=2,COUNT(F670:F681)=2),cubic_spline(F669:F671,A669:A671,B$6),IF(AND(COUNT(A670:A681)=3,COUNT(F670:F681)=3),cubic_spline(F669:F672,A669:A672,B$6),IF(AND(COUNT(A670:A681)=4,COUNT(F670:F681)=4),cubic_spline(F669:F673,A669:A673,B$6),IF(AND(COUNT(A670:A681)=5,COUNT(F670:F681)=5),cubic_spline(F669:F674,A669:A674,B$6),IF(AND(COUNT(A670:A681)=6,COUNT(F670:F681)=6),cubic_spline(F669:F675,A669:A675,B$6),IF(AND(COUNT(A670:A681)=7,COUNT(F670:F681)=7),cubic_spline(F669:F676,A669:A676,B$6),IF(AND(COUNT(A670:A681)=8,COUNT(F670:F681)=8),cubic_spline(F669:F677,A669:A677,B$6),IF(AND(COUNT(A670:A681)=9,COUNT(F670:F681)=9),cubic_spline(F669:F678,A669:A678,B$6),IF(AND(COUNT(A670:A681)=10,COUNT(F670:F681)=10),cubic_spline(F669:F679,A669:A679,B$6),IF(AND(COUNT(A670:A681)=11,COUNT(F670:F681)=11),cubic_spline(F669:F680,A669:A680,B$6),IF(AND(COUNT(A670:A681)=12,COUNT(F670:F681)=12),cubic_spline(F669:F681,A669:A681,B$6),""))))))))))))</f>
        <v/>
      </c>
      <c r="L672" s="27" t="str">
        <f>IF(I672="","",B$5&amp;"-"&amp;B$6)</f>
        <v/>
      </c>
      <c r="M672" s="52" t="str">
        <f>IF(N(J672)=0,"",J672-J671)</f>
        <v/>
      </c>
    </row>
    <row r="673" spans="1:13" x14ac:dyDescent="0.35">
      <c r="A673" s="48"/>
      <c r="B673" s="48"/>
      <c r="C673" s="49"/>
      <c r="D673" s="50"/>
      <c r="E673" s="51" t="str">
        <f>IF(N(C673)=0,"",C673/PI()/($D$1/2)^2/$D$2*10000)</f>
        <v/>
      </c>
      <c r="F673" s="68" t="str">
        <f t="shared" si="251"/>
        <v/>
      </c>
      <c r="G673" s="69" t="str">
        <f t="shared" si="253"/>
        <v/>
      </c>
      <c r="H673" s="70" t="str">
        <f t="shared" si="252"/>
        <v/>
      </c>
      <c r="I673" s="27" t="str">
        <f>IF(N(J673)=0,"",0&amp;"-"&amp;B$7)</f>
        <v/>
      </c>
      <c r="J673" s="52" t="str">
        <f>IF(N(B$7)=0,"",IF(AND(COUNT(H670:H681)=2,COUNT(F670:F681)=2),cubic_spline(F669:F671,H669:H671,B$7),IF(AND(COUNT(H670:H681)=3,COUNT(F670:F681)=3),cubic_spline(F669:F672,H669:H672,B$7),IF(AND(COUNT(H670:H681)=4,COUNT(F670:F681)=4),cubic_spline(F669:F673,H669:H673,B$7),IF(AND(COUNT(H670:H681)=5,COUNT(F670:F681)=5),cubic_spline(F669:F674,H669:H674,B$7),IF(AND(COUNT(H670:H681)=6,COUNT(F670:F681)=6),cubic_spline(F669:F675,H669:H675,B$7),IF(AND(COUNT(H670:H681)=7,COUNT(F670:F681)=7),cubic_spline(F669:F676,H669:H676,B$7),IF(AND(COUNT(H670:H681)=8,COUNT(F670:F681)=8),cubic_spline(F669:F677,H669:H677,B$7),IF(AND(COUNT(H670:H681)=9,COUNT(F670:F681)=9),cubic_spline(F669:F678,H669:H678,B$7),IF(AND(COUNT(H670:H681)=10,COUNT(F670:F681)=10),cubic_spline(F669:F679,H669:H679,B$7),IF(AND(COUNT(H670:H681)=11,COUNT(F670:F681)=11),cubic_spline(F669:F680,H669:H680,B$7),IF(AND(COUNT(H670:H681)=12,COUNT(F670:F681)=12),cubic_spline(F669:F681,H669:H681,B$7),""))))))))))))</f>
        <v/>
      </c>
      <c r="K673" s="52" t="str">
        <f>IF(N(B$7)=0,"",IF(AND(COUNT(A670:A681)=2,COUNT(F670:F681)=2),cubic_spline(F669:F671,A669:A671,B$7),IF(AND(COUNT(A670:A681)=3,COUNT(F670:F681)=3),cubic_spline(F669:F672,A669:A672,B$7),IF(AND(COUNT(A670:A681)=4,COUNT(F670:F681)=4),cubic_spline(F669:F673,A669:A673,B$7),IF(AND(COUNT(A670:A681)=5,COUNT(F670:F681)=5),cubic_spline(F669:F674,A669:A674,B$7),IF(AND(COUNT(A670:A681)=6,COUNT(F670:F681)=6),cubic_spline(F669:F675,A669:A675,B$7),IF(AND(COUNT(A670:A681)=7,COUNT(F670:F681)=7),cubic_spline(F669:F676,A669:A676,B$7),IF(AND(COUNT(A670:A681)=8,COUNT(F670:F681)=8),cubic_spline(F669:F677,A669:A677,B$7),IF(AND(COUNT(A670:A681)=9,COUNT(F670:F681)=9),cubic_spline(F669:F678,A669:A678,B$7),IF(AND(COUNT(A670:A681)=10,COUNT(F670:F681)=10),cubic_spline(F669:F679,A669:A679,B$7),IF(AND(COUNT(A670:A681)=11,COUNT(F670:F681)=11),cubic_spline(F669:F680,A669:A680,B$7),IF(AND(COUNT(A670:A681)=12,COUNT(F670:F681)=12),cubic_spline(F669:F681,A669:A681,B$7),""))))))))))))</f>
        <v/>
      </c>
      <c r="L673" s="27" t="str">
        <f>IF(I673="","",B$6&amp;"-"&amp;B$7)</f>
        <v/>
      </c>
      <c r="M673" s="52" t="str">
        <f>IF(N(J673)=0,"",J673-J672)</f>
        <v/>
      </c>
    </row>
    <row r="674" spans="1:13" x14ac:dyDescent="0.35">
      <c r="A674" s="48"/>
      <c r="B674" s="48"/>
      <c r="C674" s="49"/>
      <c r="D674" s="50"/>
      <c r="E674" s="51" t="str">
        <f t="shared" ref="E674:E681" si="254">IF(N(C674)=0,"",C674/PI()/($D$1/2)^2/$D$2*10000)</f>
        <v/>
      </c>
      <c r="F674" s="71" t="str">
        <f t="shared" si="251"/>
        <v/>
      </c>
      <c r="G674" s="69" t="str">
        <f t="shared" si="253"/>
        <v/>
      </c>
      <c r="H674" s="70" t="str">
        <f t="shared" si="252"/>
        <v/>
      </c>
      <c r="I674" s="27" t="str">
        <f>IF(N(J674)=0,"",0&amp;"-"&amp;B$8)</f>
        <v/>
      </c>
      <c r="J674" s="52" t="str">
        <f>IF(N(B$8)=0,"",IF(AND(COUNT(H670:H681)=2,COUNT(F670:F681)=2),cubic_spline(F669:F671,H669:H671,B$8),IF(AND(COUNT(H670:H681)=3,COUNT(F670:F681)=3),cubic_spline(F669:F672,H669:H672,B$8),IF(AND(COUNT(H670:H681)=4,COUNT(F670:F681)=4),cubic_spline(F669:F673,H669:H673,B$8),IF(AND(COUNT(H670:H681)=5,COUNT(F670:F681)=5),cubic_spline(F669:F674,H669:H674,B$8),IF(AND(COUNT(H670:H681)=6,COUNT(F670:F681)=6),cubic_spline(F669:F675,H669:H675,B$8),IF(AND(COUNT(H670:H681)=7,COUNT(F670:F681)=7),cubic_spline(F669:F676,H669:H676,B$8),IF(AND(COUNT(H670:H681)=8,COUNT(F670:F681)=8),cubic_spline(F669:F677,H669:H677,B$8),IF(AND(COUNT(H670:H681)=9,COUNT(F670:F681)=9),cubic_spline(F669:F678,H669:H678,B$8),IF(AND(COUNT(H670:H681)=10,COUNT(F670:F681)=10),cubic_spline(F669:F679,H669:H679,B$8),IF(AND(COUNT(H670:H681)=11,COUNT(F670:F681)=11),cubic_spline(F669:F680,H669:H680,B$8),IF(AND(COUNT(H670:H681)=12,COUNT(F670:F681)=12),cubic_spline(F669:F681,H669:H681,B$8),""))))))))))))</f>
        <v/>
      </c>
      <c r="K674" s="52" t="str">
        <f>IF(N(B$8)=0,"",IF(AND(COUNT(A670:A681)=2,COUNT(F670:F681)=2),cubic_spline(F669:F671,A669:A671,B$8),IF(AND(COUNT(A670:A681)=3,COUNT(F670:F681)=3),cubic_spline(F669:F672,A669:A672,B$8),IF(AND(COUNT(A670:A681)=4,COUNT(F670:F681)=4),cubic_spline(F669:F673,A669:A673,B$8),IF(AND(COUNT(A670:A681)=5,COUNT(F670:F681)=5),cubic_spline(F669:F674,A669:A674,B$8),IF(AND(COUNT(A670:A681)=6,COUNT(F670:F681)=6),cubic_spline(F669:F675,A669:A675,B$8),IF(AND(COUNT(A670:A681)=7,COUNT(F670:F681)=7),cubic_spline(F669:F676,A669:A676,B$8),IF(AND(COUNT(A670:A681)=8,COUNT(F670:F681)=8),cubic_spline(F669:F677,A669:A677,B$8),IF(AND(COUNT(A670:A681)=9,COUNT(F670:F681)=9),cubic_spline(F669:F678,A669:A678,B$8),IF(AND(COUNT(A670:A681)=10,COUNT(F670:F681)=10),cubic_spline(F669:F679,A669:A679,B$8),IF(AND(COUNT(A670:A681)=11,COUNT(F670:F681)=11),cubic_spline(F669:F680,A669:A680,B$8),IF(AND(COUNT(A670:A681)=12,COUNT(F670:F681)=12),cubic_spline(F669:F681,A669:A681,B$8),""))))))))))))</f>
        <v/>
      </c>
      <c r="L674" s="27" t="str">
        <f>IF(I674="","",B$7&amp;"-"&amp;B$8)</f>
        <v/>
      </c>
      <c r="M674" s="52" t="str">
        <f>IF(N(J674)=0,"",J674-J673)</f>
        <v/>
      </c>
    </row>
    <row r="675" spans="1:13" x14ac:dyDescent="0.35">
      <c r="A675" s="48"/>
      <c r="B675" s="48"/>
      <c r="C675" s="49"/>
      <c r="D675" s="50"/>
      <c r="E675" s="51" t="str">
        <f t="shared" si="254"/>
        <v/>
      </c>
      <c r="F675" s="71" t="str">
        <f t="shared" si="251"/>
        <v/>
      </c>
      <c r="G675" s="69" t="str">
        <f t="shared" si="253"/>
        <v/>
      </c>
      <c r="H675" s="70" t="str">
        <f t="shared" si="252"/>
        <v/>
      </c>
      <c r="I675" s="27" t="str">
        <f>IF(N(J675)=0,"",0&amp;"-"&amp;B$9)</f>
        <v/>
      </c>
      <c r="J675" s="52" t="str">
        <f>IF(N(B$9)=0,"",IF(AND(COUNT(H670:H681)=2,COUNT(F670:F681)=2),cubic_spline(F669:F671,H669:H671,B$9),IF(AND(COUNT(H670:H681)=3,COUNT(F670:F681)=3),cubic_spline(F669:F672,H669:H672,B$9),IF(AND(COUNT(H670:H681)=4,COUNT(F670:F681)=4),cubic_spline(F669:F673,H669:H673,B$9),IF(AND(COUNT(H670:H681)=5,COUNT(F670:F681)=5),cubic_spline(F669:F674,H669:H674,B$9),IF(AND(COUNT(H670:H681)=6,COUNT(F670:F681)=6),cubic_spline(F669:F675,H669:H675,B$9),IF(AND(COUNT(H670:H681)=7,COUNT(F670:F681)=7),cubic_spline(F669:F676,H669:H676,B$9),IF(AND(COUNT(H670:H681)=8,COUNT(F670:F681)=8),cubic_spline(F669:F677,H669:H677,B$9),IF(AND(COUNT(H670:H681)=9,COUNT(F670:F681)=9),cubic_spline(F669:F678,H669:H678,B$9),IF(AND(COUNT(H670:H681)=10,COUNT(F670:F681)=10),cubic_spline(F669:F679,H669:H679,B$9),IF(AND(COUNT(H670:H681)=11,COUNT(F670:F681)=11),cubic_spline(F669:F680,H669:H680,B$9),IF(AND(COUNT(H670:H681)=12,COUNT(F670:F681)=12),cubic_spline(F669:F681,H669:H681,B$9),""))))))))))))</f>
        <v/>
      </c>
      <c r="K675" s="52" t="str">
        <f>IF(N(B$9)=0,"",IF(AND(COUNT(A670:A681)=2,COUNT(F670:F681)=2),cubic_spline(F669:F671,A669:A671,B$9),IF(AND(COUNT(A670:A681)=3,COUNT(F670:F681)=3),cubic_spline(F669:F672,A669:A672,B$9),IF(AND(COUNT(A670:A681)=4,COUNT(F670:F681)=4),cubic_spline(F669:F673,A669:A673,B$9),IF(AND(COUNT(A670:A681)=5,COUNT(F670:F681)=5),cubic_spline(F669:F674,A669:A674,B$9),IF(AND(COUNT(A670:A681)=6,COUNT(F670:F681)=6),cubic_spline(F669:F675,A669:A675,B$9),IF(AND(COUNT(A670:A681)=7,COUNT(F670:F681)=7),cubic_spline(F669:F676,A669:A676,B$9),IF(AND(COUNT(A670:A681)=8,COUNT(F670:F681)=8),cubic_spline(F669:F677,A669:A677,B$9),IF(AND(COUNT(A670:A681)=9,COUNT(F670:F681)=9),cubic_spline(F669:F678,A669:A678,B$9),IF(AND(COUNT(A670:A681)=10,COUNT(F670:F681)=10),cubic_spline(F669:F679,A669:A679,B$9),IF(AND(COUNT(A670:A681)=11,COUNT(F670:F681)=11),cubic_spline(F669:F680,A669:A680,B$9),IF(AND(COUNT(A670:A681)=12,COUNT(F670:F681)=12),cubic_spline(F669:F681,A669:A681,B$9),""))))))))))))</f>
        <v/>
      </c>
      <c r="L675" s="27" t="str">
        <f>IF(I675="","",B$8&amp;"-"&amp;B$9)</f>
        <v/>
      </c>
      <c r="M675" s="52" t="str">
        <f t="shared" ref="M675:M681" si="255">IF(N(J675)=0,"",J675-J674)</f>
        <v/>
      </c>
    </row>
    <row r="676" spans="1:13" x14ac:dyDescent="0.35">
      <c r="A676" s="48"/>
      <c r="B676" s="48"/>
      <c r="C676" s="49"/>
      <c r="D676" s="50"/>
      <c r="E676" s="51" t="str">
        <f t="shared" si="254"/>
        <v/>
      </c>
      <c r="F676" s="71" t="str">
        <f t="shared" si="251"/>
        <v/>
      </c>
      <c r="G676" s="69" t="str">
        <f t="shared" si="253"/>
        <v/>
      </c>
      <c r="H676" s="70" t="str">
        <f t="shared" si="252"/>
        <v/>
      </c>
      <c r="I676" s="27" t="str">
        <f>IF(N(J676)=0,"",0&amp;"-"&amp;B$10)</f>
        <v/>
      </c>
      <c r="J676" s="52" t="str">
        <f>IF(N(B$10)=0,"",IF(AND(COUNT(H670:H681)=2,COUNT(F670:F681)=2),cubic_spline(F669:F671,H669:H671,B$10),IF(AND(COUNT(H670:H681)=3,COUNT(F670:F681)=3),cubic_spline(F669:F672,H669:H672,B$10),IF(AND(COUNT(H670:H681)=4,COUNT(F670:F681)=4),cubic_spline(F669:F673,H669:H673,B$10),IF(AND(COUNT(H670:H681)=5,COUNT(F670:F681)=5),cubic_spline(F669:F674,H669:H674,B$10),IF(AND(COUNT(H670:H681)=6,COUNT(F670:F681)=6),cubic_spline(F669:F675,H669:H675,B$10),IF(AND(COUNT(H670:H681)=7,COUNT(F670:F681)=7),cubic_spline(F669:F676,H669:H676,B$10),IF(AND(COUNT(H670:H681)=8,COUNT(F670:F681)=8),cubic_spline(F669:F677,H669:H677,B$10),IF(AND(COUNT(H670:H681)=9,COUNT(F670:F681)=9),cubic_spline(F669:F678,H669:H678,B$10),IF(AND(COUNT(H670:H681)=10,COUNT(F670:F681)=10),cubic_spline(F669:F679,H669:H679,B$10),IF(AND(COUNT(H670:H681)=11,COUNT(F670:F681)=11),cubic_spline(F669:F680,H669:H680,B$10),IF(AND(COUNT(H670:H681)=12,COUNT(F670:F681)=12),cubic_spline(F669:F681,H669:H681,B$10),""))))))))))))</f>
        <v/>
      </c>
      <c r="K676" s="52" t="str">
        <f>IF(N(B$10)=0,"",IF(AND(COUNT(A670:A681)=2,COUNT(F670:F681)=2),cubic_spline(F669:F671,A669:A671,B$10),IF(AND(COUNT(A670:A681)=3,COUNT(F670:F681)=3),cubic_spline(F669:F672,A669:A672,B$10),IF(AND(COUNT(A670:A681)=4,COUNT(F670:F681)=4),cubic_spline(F669:F673,A669:A673,B$10),IF(AND(COUNT(A670:A681)=5,COUNT(F670:F681)=5),cubic_spline(F669:F674,A669:A674,B$10),IF(AND(COUNT(A670:A681)=6,COUNT(F670:F681)=6),cubic_spline(F669:F675,A669:A675,B$10),IF(AND(COUNT(A670:A681)=7,COUNT(F670:F681)=7),cubic_spline(F669:F676,A669:A676,B$10),IF(AND(COUNT(A670:A681)=8,COUNT(F670:F681)=8),cubic_spline(F669:F677,A669:A677,B$10),IF(AND(COUNT(A670:A681)=9,COUNT(F670:F681)=9),cubic_spline(F669:F678,A669:A678,B$10),IF(AND(COUNT(A670:A681)=10,COUNT(F670:F681)=10),cubic_spline(F669:F679,A669:A679,B$10),IF(AND(COUNT(A670:A681)=11,COUNT(F670:F681)=11),cubic_spline(F669:F680,A669:A680,B$10),IF(AND(COUNT(A670:A681)=12,COUNT(F670:F681)=12),cubic_spline(F669:F681,A669:A681,B$10),""))))))))))))</f>
        <v/>
      </c>
      <c r="L676" s="27" t="str">
        <f>IF(I676="","",B$9&amp;"-"&amp;B$10)</f>
        <v/>
      </c>
      <c r="M676" s="52" t="str">
        <f t="shared" si="255"/>
        <v/>
      </c>
    </row>
    <row r="677" spans="1:13" x14ac:dyDescent="0.35">
      <c r="A677" s="48"/>
      <c r="B677" s="48"/>
      <c r="C677" s="49"/>
      <c r="D677" s="50"/>
      <c r="E677" s="51" t="str">
        <f t="shared" si="254"/>
        <v/>
      </c>
      <c r="F677" s="71" t="str">
        <f t="shared" si="251"/>
        <v/>
      </c>
      <c r="G677" s="69" t="str">
        <f t="shared" si="253"/>
        <v/>
      </c>
      <c r="H677" s="70" t="str">
        <f t="shared" si="252"/>
        <v/>
      </c>
      <c r="I677" s="27" t="str">
        <f>IF(N(J677)=0,"",0&amp;"-"&amp;B$11)</f>
        <v/>
      </c>
      <c r="J677" s="52" t="str">
        <f>IF(N(B$11)=0,"",IF(AND(COUNT(H670:H681)=2,COUNT(F670:F681)=2),cubic_spline(F669:F671,H669:H671,B$11),IF(AND(COUNT(H670:H681)=3,COUNT(F670:F681)=3),cubic_spline(F669:F672,H669:H672,B$11),IF(AND(COUNT(H670:H681)=4,COUNT(F670:F681)=4),cubic_spline(F669:F673,H669:H673,B$11),IF(AND(COUNT(H670:H681)=5,COUNT(F670:F681)=5),cubic_spline(F669:F674,H669:H674,B$11),IF(AND(COUNT(H670:H681)=6,COUNT(F670:F681)=6),cubic_spline(F669:F675,H669:H675,B$11),IF(AND(COUNT(H670:H681)=7,COUNT(F670:F681)=7),cubic_spline(F669:F676,H669:H676,B$11),IF(AND(COUNT(H670:H681)=8,COUNT(F670:F681)=8),cubic_spline(F669:F677,H669:H677,B$11),IF(AND(COUNT(H670:H681)=9,COUNT(F670:F681)=9),cubic_spline(F669:F678,H669:H678,B$11),IF(AND(COUNT(H670:H681)=10,COUNT(F670:F681)=10),cubic_spline(F669:F679,H669:H679,B$11),IF(AND(COUNT(H670:H681)=11,COUNT(F670:F681)=11),cubic_spline(F669:F680,H669:H680,B$11),IF(AND(COUNT(H670:H681)=12,COUNT(F670:F681)=12),cubic_spline(F669:F681,H669:H681,B$11),""))))))))))))</f>
        <v/>
      </c>
      <c r="K677" s="52" t="str">
        <f>IF(N(B$11)=0,"",IF(AND(COUNT(A670:A681)=2,COUNT(F670:F681)=2),cubic_spline(F669:F671,A669:A671,B$11),IF(AND(COUNT(A670:A681)=3,COUNT(F670:F681)=3),cubic_spline(F669:F672,A669:A672,B$11),IF(AND(COUNT(A670:A681)=4,COUNT(F670:F681)=4),cubic_spline(F669:F673,A669:A673,B$11),IF(AND(COUNT(A670:A681)=5,COUNT(F670:F681)=5),cubic_spline(F669:F674,A669:A674,B$11),IF(AND(COUNT(A670:A681)=6,COUNT(F670:F681)=6),cubic_spline(F669:F675,A669:A675,B$11),IF(AND(COUNT(A670:A681)=7,COUNT(F670:F681)=7),cubic_spline(F669:F676,A669:A676,B$11),IF(AND(COUNT(A670:A681)=8,COUNT(F670:F681)=8),cubic_spline(F669:F677,A669:A677,B$11),IF(AND(COUNT(A670:A681)=9,COUNT(F670:F681)=9),cubic_spline(F669:F678,A669:A678,B$11),IF(AND(COUNT(A670:A681)=10,COUNT(F670:F681)=10),cubic_spline(F669:F679,A669:A679,B$11),IF(AND(COUNT(A670:A681)=11,COUNT(F670:F681)=11),cubic_spline(F669:F680,A669:A680,B$11),IF(AND(COUNT(A670:A681)=12,COUNT(F670:F681)=12),cubic_spline(F669:F681,A669:A681,B$11),""))))))))))))</f>
        <v/>
      </c>
      <c r="L677" s="27" t="str">
        <f>IF(I677="","",B$10&amp;"-"&amp;B$11)</f>
        <v/>
      </c>
      <c r="M677" s="52" t="str">
        <f t="shared" si="255"/>
        <v/>
      </c>
    </row>
    <row r="678" spans="1:13" x14ac:dyDescent="0.35">
      <c r="A678" s="48"/>
      <c r="B678" s="48"/>
      <c r="C678" s="49"/>
      <c r="D678" s="50"/>
      <c r="E678" s="51" t="str">
        <f t="shared" si="254"/>
        <v/>
      </c>
      <c r="F678" s="71" t="str">
        <f t="shared" si="251"/>
        <v/>
      </c>
      <c r="G678" s="69" t="str">
        <f t="shared" si="253"/>
        <v/>
      </c>
      <c r="H678" s="70" t="str">
        <f t="shared" si="252"/>
        <v/>
      </c>
      <c r="I678" s="27" t="str">
        <f>IF(N(J678)=0,"",0&amp;"-"&amp;B$12)</f>
        <v/>
      </c>
      <c r="J678" s="52" t="str">
        <f>IF(N(B$12)=0,"",IF(AND(COUNT(H670:H681)=2,COUNT(F670:F681)=2),cubic_spline(F669:F671,H669:H671,B$12),IF(AND(COUNT(H670:H681)=3,COUNT(F670:F681)=3),cubic_spline(F669:F672,H669:H672,B$12),IF(AND(COUNT(H670:H681)=4,COUNT(F670:F681)=4),cubic_spline(F669:F673,H669:H673,B$12),IF(AND(COUNT(H670:H681)=5,COUNT(F670:F681)=5),cubic_spline(F669:F674,H669:H674,B$12),IF(AND(COUNT(H670:H681)=6,COUNT(F670:F681)=6),cubic_spline(F669:F675,H669:H675,B$12),IF(AND(COUNT(H670:H681)=7,COUNT(F670:F681)=7),cubic_spline(F669:F676,H669:H676,B$12),IF(AND(COUNT(H670:H681)=8,COUNT(F670:F681)=8),cubic_spline(F669:F677,H669:H677,B$12),IF(AND(COUNT(H670:H681)=9,COUNT(F670:F681)=9),cubic_spline(F669:F678,H669:H678,B$12),IF(AND(COUNT(H670:H681)=10,COUNT(F670:F681)=10),cubic_spline(F669:F679,H669:H679,B$12),IF(AND(COUNT(H670:H681)=11,COUNT(F670:F681)=11),cubic_spline(F669:F680,H669:H680,B$12),IF(AND(COUNT(H670:H681)=12,COUNT(F670:F681)=12),cubic_spline(F669:F681,H669:H681,B$12),""))))))))))))</f>
        <v/>
      </c>
      <c r="K678" s="52" t="str">
        <f>IF(N(B$12)=0,"",IF(AND(COUNT(A670:A681)=2,COUNT(F670:F681)=2),cubic_spline(F669:F671,A669:A671,B$12),IF(AND(COUNT(A670:A681)=3,COUNT(F670:F681)=3),cubic_spline(F669:F672,A669:A672,B$12),IF(AND(COUNT(A670:A681)=4,COUNT(F670:F681)=4),cubic_spline(F669:F673,A669:A673,B$12),IF(AND(COUNT(A670:A681)=5,COUNT(F670:F681)=5),cubic_spline(F669:F674,A669:A674,B$12),IF(AND(COUNT(A670:A681)=6,COUNT(F670:F681)=6),cubic_spline(F669:F675,A669:A675,B$12),IF(AND(COUNT(A670:A681)=7,COUNT(F670:F681)=7),cubic_spline(F669:F676,A669:A676,B$12),IF(AND(COUNT(A670:A681)=8,COUNT(F670:F681)=8),cubic_spline(F669:F677,A669:A677,B$12),IF(AND(COUNT(A670:A681)=9,COUNT(F670:F681)=9),cubic_spline(F669:F678,A669:A678,B$12),IF(AND(COUNT(A670:A681)=10,COUNT(F670:F681)=10),cubic_spline(F669:F679,A669:A679,B$12),IF(AND(COUNT(A670:A681)=11,COUNT(F670:F681)=11),cubic_spline(F669:F680,A669:A680,B$12),IF(AND(COUNT(A670:A681)=12,COUNT(F670:F681)=12),cubic_spline(F669:F681,A669:A681,B$12),""))))))))))))</f>
        <v/>
      </c>
      <c r="L678" s="27" t="str">
        <f>IF(I678="","",B$11&amp;"-"&amp;B$12)</f>
        <v/>
      </c>
      <c r="M678" s="52" t="str">
        <f t="shared" si="255"/>
        <v/>
      </c>
    </row>
    <row r="679" spans="1:13" x14ac:dyDescent="0.35">
      <c r="A679" s="48"/>
      <c r="B679" s="48"/>
      <c r="C679" s="49"/>
      <c r="D679" s="50"/>
      <c r="E679" s="51" t="str">
        <f t="shared" si="254"/>
        <v/>
      </c>
      <c r="F679" s="71" t="str">
        <f t="shared" si="251"/>
        <v/>
      </c>
      <c r="G679" s="69" t="str">
        <f t="shared" si="253"/>
        <v/>
      </c>
      <c r="H679" s="70" t="str">
        <f t="shared" si="252"/>
        <v/>
      </c>
      <c r="I679" s="27" t="str">
        <f>IF(N(J679)=0,"",0&amp;"-"&amp;B$13)</f>
        <v/>
      </c>
      <c r="J679" s="52" t="str">
        <f>IF(N(B$13)=0,"",IF(AND(COUNT(H670:H681)=2,COUNT(F670:F681)=2),cubic_spline(F669:F671,H669:H671,B$13),IF(AND(COUNT(H670:H681)=3,COUNT(F670:F681)=3),cubic_spline(F669:F672,H669:H672,B$13),IF(AND(COUNT(H670:H681)=4,COUNT(F670:F681)=4),cubic_spline(F669:F673,H669:H673,B$13),IF(AND(COUNT(H670:H681)=5,COUNT(F670:F681)=5),cubic_spline(F669:F674,H669:H674,B$13),IF(AND(COUNT(H670:H681)=6,COUNT(F670:F681)=6),cubic_spline(F669:F675,H669:H675,B$13),IF(AND(COUNT(H670:H681)=7,COUNT(F670:F681)=7),cubic_spline(F669:F676,H669:H676,B$13),IF(AND(COUNT(H670:H681)=8,COUNT(F670:F681)=8),cubic_spline(F669:F677,H669:H677,B$13),IF(AND(COUNT(H670:H681)=9,COUNT(F670:F681)=9),cubic_spline(F669:F678,H669:H678,B$13),IF(AND(COUNT(H670:H681)=10,COUNT(F670:F681)=10),cubic_spline(F669:F679,H669:H679,B$13),IF(AND(COUNT(H670:H681)=11,COUNT(F670:F681)=11),cubic_spline(F669:F680,H669:H680,B$13),IF(AND(COUNT(H670:H681)=12,COUNT(F670:F681)=12),cubic_spline(F669:F681,H669:H681,B$13),""))))))))))))</f>
        <v/>
      </c>
      <c r="K679" s="52" t="str">
        <f>IF(N(B$13)=0,"",IF(AND(COUNT(A670:A681)=2,COUNT(F670:F681)=2),cubic_spline(F669:F671,A669:A671,B$13),IF(AND(COUNT(A670:A681)=3,COUNT(F670:F681)=3),cubic_spline(F669:F672,A669:A672,B$13),IF(AND(COUNT(A670:A681)=4,COUNT(F670:F681)=4),cubic_spline(F669:F673,A669:A673,B$13),IF(AND(COUNT(A670:A681)=5,COUNT(F670:F681)=5),cubic_spline(F669:F674,A669:A674,B$13),IF(AND(COUNT(A670:A681)=6,COUNT(F670:F681)=6),cubic_spline(F669:F675,A669:A675,B$13),IF(AND(COUNT(A670:A681)=7,COUNT(F670:F681)=7),cubic_spline(F669:F676,A669:A676,B$13),IF(AND(COUNT(A670:A681)=8,COUNT(F670:F681)=8),cubic_spline(F669:F677,A669:A677,B$13),IF(AND(COUNT(A670:A681)=9,COUNT(F670:F681)=9),cubic_spline(F669:F678,A669:A678,B$13),IF(AND(COUNT(A670:A681)=10,COUNT(F670:F681)=10),cubic_spline(F669:F679,A669:A679,B$13),IF(AND(COUNT(A670:A681)=11,COUNT(F670:F681)=11),cubic_spline(F669:F680,A669:A680,B$13),IF(AND(COUNT(A670:A681)=12,COUNT(F670:F681)=12),cubic_spline(F669:F681,A669:A681,B$13),""))))))))))))</f>
        <v/>
      </c>
      <c r="L679" s="27" t="str">
        <f>IF(I679="","",B$12&amp;"-"&amp;B$13)</f>
        <v/>
      </c>
      <c r="M679" s="52" t="str">
        <f t="shared" si="255"/>
        <v/>
      </c>
    </row>
    <row r="680" spans="1:13" x14ac:dyDescent="0.35">
      <c r="A680" s="48"/>
      <c r="B680" s="48"/>
      <c r="C680" s="49"/>
      <c r="D680" s="50"/>
      <c r="E680" s="51" t="str">
        <f t="shared" si="254"/>
        <v/>
      </c>
      <c r="F680" s="71" t="str">
        <f t="shared" si="251"/>
        <v/>
      </c>
      <c r="G680" s="69" t="str">
        <f t="shared" si="253"/>
        <v/>
      </c>
      <c r="H680" s="70" t="str">
        <f t="shared" si="252"/>
        <v/>
      </c>
      <c r="I680" s="27" t="str">
        <f>IF(N(J680)=0,"",0&amp;"-"&amp;B$14)</f>
        <v/>
      </c>
      <c r="J680" s="52" t="str">
        <f>IF(N(B$14)=0,"",IF(AND(COUNT(H670:H681)=2,COUNT(F670:F681)=2),cubic_spline(F669:F671,H669:H671,B$14),IF(AND(COUNT(H670:H681)=3,COUNT(F670:F681)=3),cubic_spline(F669:F672,H669:H672,B$14),IF(AND(COUNT(H670:H681)=4,COUNT(F670:F681)=4),cubic_spline(F669:F673,H669:H673,B$14),IF(AND(COUNT(H670:H681)=5,COUNT(F670:F681)=5),cubic_spline(F669:F674,H669:H674,B$14),IF(AND(COUNT(H670:H681)=6,COUNT(F670:F681)=6),cubic_spline(F669:F675,H669:H675,B$14),IF(AND(COUNT(H670:H681)=7,COUNT(F670:F681)=7),cubic_spline(F669:F676,H669:H676,B$14),IF(AND(COUNT(H670:H681)=8,COUNT(F670:F681)=8),cubic_spline(F669:F677,H669:H677,B$14),IF(AND(COUNT(H670:H681)=9,COUNT(F670:F681)=9),cubic_spline(F669:F678,H669:H678,B$14),IF(AND(COUNT(H670:H681)=10,COUNT(F670:F681)=10),cubic_spline(F669:F679,H669:H679,B$14),IF(AND(COUNT(H670:H681)=11,COUNT(F670:F681)=11),cubic_spline(F669:F680,H669:H680,B$14),IF(AND(COUNT(H670:H681)=12,COUNT(F670:F681)=12),cubic_spline(F669:F681,H669:H681,B$14),""))))))))))))</f>
        <v/>
      </c>
      <c r="K680" s="52" t="str">
        <f>IF(N(B$14)=0,"",IF(AND(COUNT(A670:A681)=2,COUNT(F670:F681)=2),cubic_spline(F669:F671,A669:A671,B$14),IF(AND(COUNT(A670:A681)=3,COUNT(F670:F681)=3),cubic_spline(F669:F672,A669:A672,B$14),IF(AND(COUNT(A670:A681)=4,COUNT(F670:F681)=4),cubic_spline(F669:F673,A669:A673,B$14),IF(AND(COUNT(A670:A681)=5,COUNT(F670:F681)=5),cubic_spline(F669:F674,A669:A674,B$14),IF(AND(COUNT(A670:A681)=6,COUNT(F670:F681)=6),cubic_spline(F669:F675,A669:A675,B$14),IF(AND(COUNT(A670:A681)=7,COUNT(F670:F681)=7),cubic_spline(F669:F676,A669:A676,B$14),IF(AND(COUNT(A670:A681)=8,COUNT(F670:F681)=8),cubic_spline(F669:F677,A669:A677,B$14),IF(AND(COUNT(A670:A681)=9,COUNT(F670:F681)=9),cubic_spline(F669:F678,A669:A678,B$14),IF(AND(COUNT(A670:A681)=10,COUNT(F670:F681)=10),cubic_spline(F669:F679,A669:A679,B$14),IF(AND(COUNT(A670:A681)=11,COUNT(F670:F681)=11),cubic_spline(F669:F680,A669:A680,B$14),IF(AND(COUNT(A670:A681)=12,COUNT(F670:F681)=12),cubic_spline(F669:F681,A669:A681,B$14),""))))))))))))</f>
        <v/>
      </c>
      <c r="L680" s="27" t="str">
        <f>IF(I680="","",B$13&amp;"-"&amp;B$14)</f>
        <v/>
      </c>
      <c r="M680" s="52" t="str">
        <f t="shared" si="255"/>
        <v/>
      </c>
    </row>
    <row r="681" spans="1:13" x14ac:dyDescent="0.35">
      <c r="A681" s="48"/>
      <c r="B681" s="48"/>
      <c r="C681" s="49"/>
      <c r="D681" s="50"/>
      <c r="E681" s="51" t="str">
        <f t="shared" si="254"/>
        <v/>
      </c>
      <c r="F681" s="71" t="str">
        <f t="shared" si="251"/>
        <v/>
      </c>
      <c r="G681" s="69" t="str">
        <f t="shared" si="253"/>
        <v/>
      </c>
      <c r="H681" s="70" t="str">
        <f t="shared" si="252"/>
        <v/>
      </c>
      <c r="I681" s="27" t="str">
        <f>IF(N(J681)=0,"",0&amp;"-"&amp;B$15)</f>
        <v/>
      </c>
      <c r="J681" s="52" t="str">
        <f>IF(N(B$15)=0,"",IF(AND(COUNT(H670:H681)=2,COUNT(F670:F681)=2),cubic_spline(F669:F671,H669:H671,B$15),IF(AND(COUNT(H670:H681)=3,COUNT(F670:F681)=3),cubic_spline(F669:F672,H669:H672,B$15),IF(AND(COUNT(H670:H681)=4,COUNT(F670:F681)=4),cubic_spline(F669:F673,H669:H673,B$15),IF(AND(COUNT(H670:H681)=5,COUNT(F670:F681)=5),cubic_spline(F669:F674,H669:H674,B$15),IF(AND(COUNT(H670:H681)=6,COUNT(F670:F681)=6),cubic_spline(F669:F675,H669:H675,B$15),IF(AND(COUNT(H670:H681)=7,COUNT(F670:F681)=7),cubic_spline(F669:F676,H669:H676,B$15),IF(AND(COUNT(H670:H681)=8,COUNT(F670:F681)=8),cubic_spline(F669:F677,H669:H677,B$15),IF(AND(COUNT(H670:H681)=9,COUNT(F670:F681)=9),cubic_spline(F669:F678,H669:H678,B$15),IF(AND(COUNT(H670:H681)=10,COUNT(F670:F681)=10),cubic_spline(F669:F679,H669:H679,B$15),IF(AND(COUNT(H670:H681)=11,COUNT(F670:F681)=11),cubic_spline(F669:F680,H669:H680,B$15),IF(AND(COUNT(H670:H681)=12,COUNT(F670:F681)=12),cubic_spline(F669:F681,H669:H681,B$15),""))))))))))))</f>
        <v/>
      </c>
      <c r="K681" s="52" t="str">
        <f>IF(N(B$15)=0,"",IF(AND(COUNT(A670:A681)=2,COUNT(F670:F681)=2),cubic_spline(F669:F671,A669:A671,B$15),IF(AND(COUNT(A670:A681)=3,COUNT(F670:F681)=3),cubic_spline(F669:F672,A669:A672,B$15),IF(AND(COUNT(A670:A681)=4,COUNT(F670:F681)=4),cubic_spline(F669:F673,A669:A673,B$15),IF(AND(COUNT(A670:A681)=5,COUNT(F670:F681)=5),cubic_spline(F669:F674,A669:A674,B$15),IF(AND(COUNT(A670:A681)=6,COUNT(F670:F681)=6),cubic_spline(F669:F675,A669:A675,B$15),IF(AND(COUNT(A670:A681)=7,COUNT(F670:F681)=7),cubic_spline(F669:F676,A669:A676,B$15),IF(AND(COUNT(A670:A681)=8,COUNT(F670:F681)=8),cubic_spline(F669:F677,A669:A677,B$15),IF(AND(COUNT(A670:A681)=9,COUNT(F670:F681)=9),cubic_spline(F669:F678,A669:A678,B$15),IF(AND(COUNT(A670:A681)=10,COUNT(F670:F681)=10),cubic_spline(F669:F679,A669:A679,B$15),IF(AND(COUNT(A670:A681)=11,COUNT(F670:F681)=11),cubic_spline(F669:F680,A669:A680,B$15),IF(AND(COUNT(A670:A681)=12,COUNT(F670:F681)=12),cubic_spline(F669:F681,A669:A681,B$15),""))))))))))))</f>
        <v/>
      </c>
      <c r="L681" s="27" t="str">
        <f>IF(I681="","",B$14&amp;"-"&amp;B$15)</f>
        <v/>
      </c>
      <c r="M681" s="52" t="str">
        <f t="shared" si="255"/>
        <v/>
      </c>
    </row>
    <row r="682" spans="1:13" ht="5.15" customHeight="1" x14ac:dyDescent="0.35">
      <c r="A682" s="47"/>
      <c r="B682" s="47"/>
      <c r="C682" s="47"/>
      <c r="D682" s="53"/>
      <c r="E682" s="54"/>
      <c r="F682" s="55"/>
      <c r="G682" s="72"/>
      <c r="H682" s="73"/>
      <c r="I682" s="47"/>
      <c r="J682" s="57"/>
      <c r="K682" s="57"/>
      <c r="L682" s="55"/>
      <c r="M682" s="57"/>
    </row>
    <row r="683" spans="1:13" x14ac:dyDescent="0.35">
      <c r="A683" s="48"/>
      <c r="B683" s="48"/>
      <c r="C683" s="49"/>
      <c r="D683" s="50"/>
      <c r="E683" s="51" t="str">
        <f>IF(N(C683)=0,"",C683/PI()/($D$1/2)^2/$D$2*10000)</f>
        <v/>
      </c>
      <c r="F683" s="68" t="str">
        <f t="shared" ref="F683:F694" si="256">IF(N(E683)=0,"",(N(E683)+N(F682)))</f>
        <v/>
      </c>
      <c r="G683" s="69" t="str">
        <f>IF(OR(N(D683)=0,N(E683)=0),"",(E683*D683)/1000)</f>
        <v/>
      </c>
      <c r="H683" s="70" t="str">
        <f t="shared" ref="H683:H694" si="257">IF(N(G683)=0,"",(N(G683)+N(H682)))</f>
        <v/>
      </c>
      <c r="I683" s="27" t="str">
        <f>IF(N(J683)=0,"",0&amp;"-"&amp;B$4)</f>
        <v/>
      </c>
      <c r="J683" s="52" t="str">
        <f>IF(N(B$4)=0,"",IF(AND(COUNT(H683:H694)=2,COUNT(F683:F694)=2),cubic_spline(F682:F684,H682:H684,B$4),IF(AND(COUNT(H683:H694)=3,COUNT(F683:F694)=3),cubic_spline(F682:F685,H682:H685,B$4),IF(AND(COUNT(H683:H694)=4,COUNT(F683:F694)=4),cubic_spline(F682:F686,H682:H686,B$4),IF(AND(COUNT(H683:H694)=5,COUNT(F683:F694)=5),cubic_spline(F682:F687,H682:H687,B$4),IF(AND(COUNT(H683:H694)=6,COUNT(F683:F694)=6),cubic_spline(F682:F688,H682:H688,B$4),IF(AND(COUNT(H683:H694)=7,COUNT(F683:F694)=7),cubic_spline(F682:F689,H682:H689,B$4),IF(AND(COUNT(H683:H694)=8,COUNT(F683:F694)=8),cubic_spline(F682:F690,H682:H690,B$4),IF(AND(COUNT(H683:H694)=9,COUNT(F683:F694)=9),cubic_spline(F682:F691,H682:H691,B$4),IF(AND(COUNT(H683:H694)=10,COUNT(F683:F694)=10),cubic_spline(F682:F692,H682:H692,B$4),IF(AND(COUNT(H683:H694)=11,COUNT(F683:F694)=11),cubic_spline(F682:F693,H682:H693,B$4),IF(AND(COUNT(H683:H694)=12,COUNT(F683:F694)=12),cubic_spline(F682:F694,H682:H694,B$4),""))))))))))))</f>
        <v/>
      </c>
      <c r="K683" s="52" t="str">
        <f>IF(N(B$4)=0,"",IF(AND(COUNT(A683:A694)=2,COUNT(F683:F694)=2),cubic_spline(F682:F684,A682:A684,B$4),IF(AND(COUNT(A683:A694)=3,COUNT(F683:F694)=3),cubic_spline(F682:F685,A682:A685,B$4),IF(AND(COUNT(A683:A694)=4,COUNT(F683:F694)=4),cubic_spline(F682:F686,A682:A686,B$4),IF(AND(COUNT(A683:A694)=5,COUNT(F683:F694)=5),cubic_spline(F682:F687,A682:A687,B$4),IF(AND(COUNT(A683:A694)=6,COUNT(F683:F694)=6),cubic_spline(F682:F688,A682:A688,B$4),IF(AND(COUNT(A683:A694)=7,COUNT(F683:F694)=7),cubic_spline(F682:F689,A682:A689,B$4),IF(AND(COUNT(A683:A694)=8,COUNT(F683:F694)=8),cubic_spline(F682:F690,A682:A690,B$4),IF(AND(COUNT(A683:A694)=9,COUNT(F683:F694)=9),cubic_spline(F682:F691,A682:A691,B$4),IF(AND(COUNT(A683:A694)=10,COUNT(F683:F694)=10),cubic_spline(F682:F692,A682:A692,B$4),IF(AND(COUNT(A683:A694)=11,COUNT(F683:F694)=11),cubic_spline(F682:F693,A682:A693,B$4),IF(AND(COUNT(A683:A694)=12,COUNT(F683:F694)=12),cubic_spline(F682:F694,A682:A694,B$4),""))))))))))))</f>
        <v/>
      </c>
      <c r="L683" s="27" t="str">
        <f>IF(I683="","",0&amp;"-"&amp;B$4)</f>
        <v/>
      </c>
      <c r="M683" s="52" t="str">
        <f>IF(N(J683)=0,"",J683-J682)</f>
        <v/>
      </c>
    </row>
    <row r="684" spans="1:13" x14ac:dyDescent="0.35">
      <c r="A684" s="48"/>
      <c r="B684" s="48"/>
      <c r="C684" s="49"/>
      <c r="D684" s="50"/>
      <c r="E684" s="51" t="str">
        <f>IF(N(C684)=0,"",C684/PI()/($D$1/2)^2/$D$2*10000)</f>
        <v/>
      </c>
      <c r="F684" s="68" t="str">
        <f t="shared" si="256"/>
        <v/>
      </c>
      <c r="G684" s="69" t="str">
        <f t="shared" ref="G684:G694" si="258">IF(OR(N(D684)=0,N(E684)=0),"",(E684*D684)/1000)</f>
        <v/>
      </c>
      <c r="H684" s="70" t="str">
        <f t="shared" si="257"/>
        <v/>
      </c>
      <c r="I684" s="27" t="str">
        <f>IF(N(J684)=0,"",0&amp;"-"&amp;B$5)</f>
        <v/>
      </c>
      <c r="J684" s="52" t="str">
        <f>IF(N(B$5)=0,"",IF(AND(COUNT(H683:H694)=2,COUNT(F683:F694)=2),cubic_spline(F682:F684,H682:H684,B$5),IF(AND(COUNT(H683:H694)=3,COUNT(F683:F694)=3),cubic_spline(F682:F685,H682:H685,B$5),IF(AND(COUNT(H683:H694)=4,COUNT(F683:F694)=4),cubic_spline(F682:F686,H682:H686,B$5),IF(AND(COUNT(H683:H694)=5,COUNT(F683:F694)=5),cubic_spline(F682:F687,H682:H687,B$5),IF(AND(COUNT(H683:H694)=6,COUNT(F683:F694)=6),cubic_spline(F682:F688,H682:H688,B$5),IF(AND(COUNT(H683:H694)=7,COUNT(F683:F694)=7),cubic_spline(F682:F689,H682:H689,B$5),IF(AND(COUNT(H683:H694)=8,COUNT(F683:F694)=8),cubic_spline(F682:F690,H682:H690,B$5),IF(AND(COUNT(H683:H694)=9,COUNT(F683:F694)=9),cubic_spline(F682:F691,H682:H691,B$5),IF(AND(COUNT(H683:H694)=10,COUNT(F683:F694)=10),cubic_spline(F682:F692,H682:H692,B$5),IF(AND(COUNT(H683:H694)=11,COUNT(F683:F694)=11),cubic_spline(F682:F693,H682:H693,B$5),IF(AND(COUNT(H683:H694)=12,COUNT(F683:F694)=12),cubic_spline(F682:F694,H682:H694,B$5),""))))))))))))</f>
        <v/>
      </c>
      <c r="K684" s="52" t="str">
        <f>IF(N(B$5)=0,"",IF(AND(COUNT(A683:A694)=2,COUNT(F683:F694)=2),cubic_spline(F682:F684,A682:A684,B$5),IF(AND(COUNT(A683:A694)=3,COUNT(F683:F694)=3),cubic_spline(F682:F685,A682:A685,B$5),IF(AND(COUNT(A683:A694)=4,COUNT(F683:F694)=4),cubic_spline(F682:F686,A682:A686,B$5),IF(AND(COUNT(A683:A694)=5,COUNT(F683:F694)=5),cubic_spline(F682:F687,A682:A687,B$5),IF(AND(COUNT(A683:A694)=6,COUNT(F683:F694)=6),cubic_spline(F682:F688,A682:A688,B$5),IF(AND(COUNT(A683:A694)=7,COUNT(F683:F694)=7),cubic_spline(F682:F689,A682:A689,B$5),IF(AND(COUNT(A683:A694)=8,COUNT(F683:F694)=8),cubic_spline(F682:F690,A682:A690,B$5),IF(AND(COUNT(A683:A694)=9,COUNT(F683:F694)=9),cubic_spline(F682:F691,A682:A691,B$5),IF(AND(COUNT(A683:A694)=10,COUNT(F683:F694)=10),cubic_spline(F682:F692,A682:A692,B$5),IF(AND(COUNT(A683:A694)=11,COUNT(F683:F694)=11),cubic_spline(F682:F693,A682:A693,B$5),IF(AND(COUNT(A683:A694)=12,COUNT(F683:F694)=12),cubic_spline(F682:F694,A682:A694,B$5),""))))))))))))</f>
        <v/>
      </c>
      <c r="L684" s="27" t="str">
        <f>IF(I684="","",B$4&amp;"-"&amp;B$5)</f>
        <v/>
      </c>
      <c r="M684" s="52" t="str">
        <f>IF(N(J684)=0,"",J684-J683)</f>
        <v/>
      </c>
    </row>
    <row r="685" spans="1:13" x14ac:dyDescent="0.35">
      <c r="A685" s="48"/>
      <c r="B685" s="48"/>
      <c r="C685" s="49"/>
      <c r="D685" s="50"/>
      <c r="E685" s="51" t="str">
        <f>IF(N(C685)=0,"",C685/PI()/($D$1/2)^2/$D$2*10000)</f>
        <v/>
      </c>
      <c r="F685" s="68" t="str">
        <f t="shared" si="256"/>
        <v/>
      </c>
      <c r="G685" s="69" t="str">
        <f t="shared" si="258"/>
        <v/>
      </c>
      <c r="H685" s="70" t="str">
        <f t="shared" si="257"/>
        <v/>
      </c>
      <c r="I685" s="27" t="str">
        <f>IF(N(J685)=0,"",0&amp;"-"&amp;B$6)</f>
        <v/>
      </c>
      <c r="J685" s="52" t="str">
        <f>IF(N(B$6)=0,"",IF(AND(COUNT(H683:H694)=2,COUNT(F683:F694)=2),cubic_spline(F682:F684,H682:H684,B$6),IF(AND(COUNT(H683:H694)=3,COUNT(F683:F694)=3),cubic_spline(F682:F685,H682:H685,B$6),IF(AND(COUNT(H683:H694)=4,COUNT(F683:F694)=4),cubic_spline(F682:F686,H682:H686,B$6),IF(AND(COUNT(H683:H694)=5,COUNT(F683:F694)=5),cubic_spline(F682:F687,H682:H687,B$6),IF(AND(COUNT(H683:H694)=6,COUNT(F683:F694)=6),cubic_spline(F682:F688,H682:H688,B$6),IF(AND(COUNT(H683:H694)=7,COUNT(F683:F694)=7),cubic_spline(F682:F689,H682:H689,B$6),IF(AND(COUNT(H683:H694)=8,COUNT(F683:F694)=8),cubic_spline(F682:F690,H682:H690,B$6),IF(AND(COUNT(H683:H694)=9,COUNT(F683:F694)=9),cubic_spline(F682:F691,H682:H691,B$6),IF(AND(COUNT(H683:H694)=10,COUNT(F683:F694)=10),cubic_spline(F682:F692,H682:H692,B$6),IF(AND(COUNT(H683:H694)=11,COUNT(F683:F694)=11),cubic_spline(F682:F693,H682:H693,B$6),IF(AND(COUNT(H683:H694)=12,COUNT(F683:F694)=12),cubic_spline(F682:F694,H682:H694,B$6),""))))))))))))</f>
        <v/>
      </c>
      <c r="K685" s="52" t="str">
        <f>IF(N(B$6)=0,"",IF(AND(COUNT(A683:A694)=2,COUNT(F683:F694)=2),cubic_spline(F682:F684,A682:A684,B$6),IF(AND(COUNT(A683:A694)=3,COUNT(F683:F694)=3),cubic_spline(F682:F685,A682:A685,B$6),IF(AND(COUNT(A683:A694)=4,COUNT(F683:F694)=4),cubic_spline(F682:F686,A682:A686,B$6),IF(AND(COUNT(A683:A694)=5,COUNT(F683:F694)=5),cubic_spline(F682:F687,A682:A687,B$6),IF(AND(COUNT(A683:A694)=6,COUNT(F683:F694)=6),cubic_spline(F682:F688,A682:A688,B$6),IF(AND(COUNT(A683:A694)=7,COUNT(F683:F694)=7),cubic_spline(F682:F689,A682:A689,B$6),IF(AND(COUNT(A683:A694)=8,COUNT(F683:F694)=8),cubic_spline(F682:F690,A682:A690,B$6),IF(AND(COUNT(A683:A694)=9,COUNT(F683:F694)=9),cubic_spline(F682:F691,A682:A691,B$6),IF(AND(COUNT(A683:A694)=10,COUNT(F683:F694)=10),cubic_spline(F682:F692,A682:A692,B$6),IF(AND(COUNT(A683:A694)=11,COUNT(F683:F694)=11),cubic_spline(F682:F693,A682:A693,B$6),IF(AND(COUNT(A683:A694)=12,COUNT(F683:F694)=12),cubic_spline(F682:F694,A682:A694,B$6),""))))))))))))</f>
        <v/>
      </c>
      <c r="L685" s="27" t="str">
        <f>IF(I685="","",B$5&amp;"-"&amp;B$6)</f>
        <v/>
      </c>
      <c r="M685" s="52" t="str">
        <f>IF(N(J685)=0,"",J685-J684)</f>
        <v/>
      </c>
    </row>
    <row r="686" spans="1:13" x14ac:dyDescent="0.35">
      <c r="A686" s="48"/>
      <c r="B686" s="48"/>
      <c r="C686" s="49"/>
      <c r="D686" s="50"/>
      <c r="E686" s="51" t="str">
        <f>IF(N(C686)=0,"",C686/PI()/($D$1/2)^2/$D$2*10000)</f>
        <v/>
      </c>
      <c r="F686" s="68" t="str">
        <f t="shared" si="256"/>
        <v/>
      </c>
      <c r="G686" s="69" t="str">
        <f t="shared" si="258"/>
        <v/>
      </c>
      <c r="H686" s="70" t="str">
        <f t="shared" si="257"/>
        <v/>
      </c>
      <c r="I686" s="27" t="str">
        <f>IF(N(J686)=0,"",0&amp;"-"&amp;B$7)</f>
        <v/>
      </c>
      <c r="J686" s="52" t="str">
        <f>IF(N(B$7)=0,"",IF(AND(COUNT(H683:H694)=2,COUNT(F683:F694)=2),cubic_spline(F682:F684,H682:H684,B$7),IF(AND(COUNT(H683:H694)=3,COUNT(F683:F694)=3),cubic_spline(F682:F685,H682:H685,B$7),IF(AND(COUNT(H683:H694)=4,COUNT(F683:F694)=4),cubic_spline(F682:F686,H682:H686,B$7),IF(AND(COUNT(H683:H694)=5,COUNT(F683:F694)=5),cubic_spline(F682:F687,H682:H687,B$7),IF(AND(COUNT(H683:H694)=6,COUNT(F683:F694)=6),cubic_spline(F682:F688,H682:H688,B$7),IF(AND(COUNT(H683:H694)=7,COUNT(F683:F694)=7),cubic_spline(F682:F689,H682:H689,B$7),IF(AND(COUNT(H683:H694)=8,COUNT(F683:F694)=8),cubic_spline(F682:F690,H682:H690,B$7),IF(AND(COUNT(H683:H694)=9,COUNT(F683:F694)=9),cubic_spline(F682:F691,H682:H691,B$7),IF(AND(COUNT(H683:H694)=10,COUNT(F683:F694)=10),cubic_spline(F682:F692,H682:H692,B$7),IF(AND(COUNT(H683:H694)=11,COUNT(F683:F694)=11),cubic_spline(F682:F693,H682:H693,B$7),IF(AND(COUNT(H683:H694)=12,COUNT(F683:F694)=12),cubic_spline(F682:F694,H682:H694,B$7),""))))))))))))</f>
        <v/>
      </c>
      <c r="K686" s="52" t="str">
        <f>IF(N(B$7)=0,"",IF(AND(COUNT(A683:A694)=2,COUNT(F683:F694)=2),cubic_spline(F682:F684,A682:A684,B$7),IF(AND(COUNT(A683:A694)=3,COUNT(F683:F694)=3),cubic_spline(F682:F685,A682:A685,B$7),IF(AND(COUNT(A683:A694)=4,COUNT(F683:F694)=4),cubic_spline(F682:F686,A682:A686,B$7),IF(AND(COUNT(A683:A694)=5,COUNT(F683:F694)=5),cubic_spline(F682:F687,A682:A687,B$7),IF(AND(COUNT(A683:A694)=6,COUNT(F683:F694)=6),cubic_spline(F682:F688,A682:A688,B$7),IF(AND(COUNT(A683:A694)=7,COUNT(F683:F694)=7),cubic_spline(F682:F689,A682:A689,B$7),IF(AND(COUNT(A683:A694)=8,COUNT(F683:F694)=8),cubic_spline(F682:F690,A682:A690,B$7),IF(AND(COUNT(A683:A694)=9,COUNT(F683:F694)=9),cubic_spline(F682:F691,A682:A691,B$7),IF(AND(COUNT(A683:A694)=10,COUNT(F683:F694)=10),cubic_spline(F682:F692,A682:A692,B$7),IF(AND(COUNT(A683:A694)=11,COUNT(F683:F694)=11),cubic_spline(F682:F693,A682:A693,B$7),IF(AND(COUNT(A683:A694)=12,COUNT(F683:F694)=12),cubic_spline(F682:F694,A682:A694,B$7),""))))))))))))</f>
        <v/>
      </c>
      <c r="L686" s="27" t="str">
        <f>IF(I686="","",B$6&amp;"-"&amp;B$7)</f>
        <v/>
      </c>
      <c r="M686" s="52" t="str">
        <f>IF(N(J686)=0,"",J686-J685)</f>
        <v/>
      </c>
    </row>
    <row r="687" spans="1:13" x14ac:dyDescent="0.35">
      <c r="A687" s="48"/>
      <c r="B687" s="48"/>
      <c r="C687" s="49"/>
      <c r="D687" s="50"/>
      <c r="E687" s="51" t="str">
        <f t="shared" ref="E687:E694" si="259">IF(N(C687)=0,"",C687/PI()/($D$1/2)^2/$D$2*10000)</f>
        <v/>
      </c>
      <c r="F687" s="71" t="str">
        <f t="shared" si="256"/>
        <v/>
      </c>
      <c r="G687" s="69" t="str">
        <f t="shared" si="258"/>
        <v/>
      </c>
      <c r="H687" s="70" t="str">
        <f t="shared" si="257"/>
        <v/>
      </c>
      <c r="I687" s="27" t="str">
        <f>IF(N(J687)=0,"",0&amp;"-"&amp;B$8)</f>
        <v/>
      </c>
      <c r="J687" s="52" t="str">
        <f>IF(N(B$8)=0,"",IF(AND(COUNT(H683:H694)=2,COUNT(F683:F694)=2),cubic_spline(F682:F684,H682:H684,B$8),IF(AND(COUNT(H683:H694)=3,COUNT(F683:F694)=3),cubic_spline(F682:F685,H682:H685,B$8),IF(AND(COUNT(H683:H694)=4,COUNT(F683:F694)=4),cubic_spline(F682:F686,H682:H686,B$8),IF(AND(COUNT(H683:H694)=5,COUNT(F683:F694)=5),cubic_spline(F682:F687,H682:H687,B$8),IF(AND(COUNT(H683:H694)=6,COUNT(F683:F694)=6),cubic_spline(F682:F688,H682:H688,B$8),IF(AND(COUNT(H683:H694)=7,COUNT(F683:F694)=7),cubic_spline(F682:F689,H682:H689,B$8),IF(AND(COUNT(H683:H694)=8,COUNT(F683:F694)=8),cubic_spline(F682:F690,H682:H690,B$8),IF(AND(COUNT(H683:H694)=9,COUNT(F683:F694)=9),cubic_spline(F682:F691,H682:H691,B$8),IF(AND(COUNT(H683:H694)=10,COUNT(F683:F694)=10),cubic_spline(F682:F692,H682:H692,B$8),IF(AND(COUNT(H683:H694)=11,COUNT(F683:F694)=11),cubic_spline(F682:F693,H682:H693,B$8),IF(AND(COUNT(H683:H694)=12,COUNT(F683:F694)=12),cubic_spline(F682:F694,H682:H694,B$8),""))))))))))))</f>
        <v/>
      </c>
      <c r="K687" s="52" t="str">
        <f>IF(N(B$8)=0,"",IF(AND(COUNT(A683:A694)=2,COUNT(F683:F694)=2),cubic_spline(F682:F684,A682:A684,B$8),IF(AND(COUNT(A683:A694)=3,COUNT(F683:F694)=3),cubic_spline(F682:F685,A682:A685,B$8),IF(AND(COUNT(A683:A694)=4,COUNT(F683:F694)=4),cubic_spline(F682:F686,A682:A686,B$8),IF(AND(COUNT(A683:A694)=5,COUNT(F683:F694)=5),cubic_spline(F682:F687,A682:A687,B$8),IF(AND(COUNT(A683:A694)=6,COUNT(F683:F694)=6),cubic_spline(F682:F688,A682:A688,B$8),IF(AND(COUNT(A683:A694)=7,COUNT(F683:F694)=7),cubic_spline(F682:F689,A682:A689,B$8),IF(AND(COUNT(A683:A694)=8,COUNT(F683:F694)=8),cubic_spline(F682:F690,A682:A690,B$8),IF(AND(COUNT(A683:A694)=9,COUNT(F683:F694)=9),cubic_spline(F682:F691,A682:A691,B$8),IF(AND(COUNT(A683:A694)=10,COUNT(F683:F694)=10),cubic_spline(F682:F692,A682:A692,B$8),IF(AND(COUNT(A683:A694)=11,COUNT(F683:F694)=11),cubic_spline(F682:F693,A682:A693,B$8),IF(AND(COUNT(A683:A694)=12,COUNT(F683:F694)=12),cubic_spline(F682:F694,A682:A694,B$8),""))))))))))))</f>
        <v/>
      </c>
      <c r="L687" s="27" t="str">
        <f>IF(I687="","",B$7&amp;"-"&amp;B$8)</f>
        <v/>
      </c>
      <c r="M687" s="52" t="str">
        <f>IF(N(J687)=0,"",J687-J686)</f>
        <v/>
      </c>
    </row>
    <row r="688" spans="1:13" x14ac:dyDescent="0.35">
      <c r="A688" s="48"/>
      <c r="B688" s="48"/>
      <c r="C688" s="49"/>
      <c r="D688" s="50"/>
      <c r="E688" s="51" t="str">
        <f t="shared" si="259"/>
        <v/>
      </c>
      <c r="F688" s="71" t="str">
        <f t="shared" si="256"/>
        <v/>
      </c>
      <c r="G688" s="69" t="str">
        <f t="shared" si="258"/>
        <v/>
      </c>
      <c r="H688" s="70" t="str">
        <f t="shared" si="257"/>
        <v/>
      </c>
      <c r="I688" s="27" t="str">
        <f>IF(N(J688)=0,"",0&amp;"-"&amp;B$9)</f>
        <v/>
      </c>
      <c r="J688" s="52" t="str">
        <f>IF(N(B$9)=0,"",IF(AND(COUNT(H683:H694)=2,COUNT(F683:F694)=2),cubic_spline(F682:F684,H682:H684,B$9),IF(AND(COUNT(H683:H694)=3,COUNT(F683:F694)=3),cubic_spline(F682:F685,H682:H685,B$9),IF(AND(COUNT(H683:H694)=4,COUNT(F683:F694)=4),cubic_spline(F682:F686,H682:H686,B$9),IF(AND(COUNT(H683:H694)=5,COUNT(F683:F694)=5),cubic_spline(F682:F687,H682:H687,B$9),IF(AND(COUNT(H683:H694)=6,COUNT(F683:F694)=6),cubic_spline(F682:F688,H682:H688,B$9),IF(AND(COUNT(H683:H694)=7,COUNT(F683:F694)=7),cubic_spline(F682:F689,H682:H689,B$9),IF(AND(COUNT(H683:H694)=8,COUNT(F683:F694)=8),cubic_spline(F682:F690,H682:H690,B$9),IF(AND(COUNT(H683:H694)=9,COUNT(F683:F694)=9),cubic_spline(F682:F691,H682:H691,B$9),IF(AND(COUNT(H683:H694)=10,COUNT(F683:F694)=10),cubic_spline(F682:F692,H682:H692,B$9),IF(AND(COUNT(H683:H694)=11,COUNT(F683:F694)=11),cubic_spline(F682:F693,H682:H693,B$9),IF(AND(COUNT(H683:H694)=12,COUNT(F683:F694)=12),cubic_spline(F682:F694,H682:H694,B$9),""))))))))))))</f>
        <v/>
      </c>
      <c r="K688" s="52" t="str">
        <f>IF(N(B$9)=0,"",IF(AND(COUNT(A683:A694)=2,COUNT(F683:F694)=2),cubic_spline(F682:F684,A682:A684,B$9),IF(AND(COUNT(A683:A694)=3,COUNT(F683:F694)=3),cubic_spline(F682:F685,A682:A685,B$9),IF(AND(COUNT(A683:A694)=4,COUNT(F683:F694)=4),cubic_spline(F682:F686,A682:A686,B$9),IF(AND(COUNT(A683:A694)=5,COUNT(F683:F694)=5),cubic_spline(F682:F687,A682:A687,B$9),IF(AND(COUNT(A683:A694)=6,COUNT(F683:F694)=6),cubic_spline(F682:F688,A682:A688,B$9),IF(AND(COUNT(A683:A694)=7,COUNT(F683:F694)=7),cubic_spline(F682:F689,A682:A689,B$9),IF(AND(COUNT(A683:A694)=8,COUNT(F683:F694)=8),cubic_spline(F682:F690,A682:A690,B$9),IF(AND(COUNT(A683:A694)=9,COUNT(F683:F694)=9),cubic_spline(F682:F691,A682:A691,B$9),IF(AND(COUNT(A683:A694)=10,COUNT(F683:F694)=10),cubic_spline(F682:F692,A682:A692,B$9),IF(AND(COUNT(A683:A694)=11,COUNT(F683:F694)=11),cubic_spline(F682:F693,A682:A693,B$9),IF(AND(COUNT(A683:A694)=12,COUNT(F683:F694)=12),cubic_spline(F682:F694,A682:A694,B$9),""))))))))))))</f>
        <v/>
      </c>
      <c r="L688" s="27" t="str">
        <f>IF(I688="","",B$8&amp;"-"&amp;B$9)</f>
        <v/>
      </c>
      <c r="M688" s="52" t="str">
        <f t="shared" ref="M688:M694" si="260">IF(N(J688)=0,"",J688-J687)</f>
        <v/>
      </c>
    </row>
    <row r="689" spans="1:13" x14ac:dyDescent="0.35">
      <c r="A689" s="48"/>
      <c r="B689" s="48"/>
      <c r="C689" s="49"/>
      <c r="D689" s="50"/>
      <c r="E689" s="51" t="str">
        <f t="shared" si="259"/>
        <v/>
      </c>
      <c r="F689" s="71" t="str">
        <f t="shared" si="256"/>
        <v/>
      </c>
      <c r="G689" s="69" t="str">
        <f t="shared" si="258"/>
        <v/>
      </c>
      <c r="H689" s="70" t="str">
        <f t="shared" si="257"/>
        <v/>
      </c>
      <c r="I689" s="27" t="str">
        <f>IF(N(J689)=0,"",0&amp;"-"&amp;B$10)</f>
        <v/>
      </c>
      <c r="J689" s="52" t="str">
        <f>IF(N(B$10)=0,"",IF(AND(COUNT(H683:H694)=2,COUNT(F683:F694)=2),cubic_spline(F682:F684,H682:H684,B$10),IF(AND(COUNT(H683:H694)=3,COUNT(F683:F694)=3),cubic_spline(F682:F685,H682:H685,B$10),IF(AND(COUNT(H683:H694)=4,COUNT(F683:F694)=4),cubic_spline(F682:F686,H682:H686,B$10),IF(AND(COUNT(H683:H694)=5,COUNT(F683:F694)=5),cubic_spline(F682:F687,H682:H687,B$10),IF(AND(COUNT(H683:H694)=6,COUNT(F683:F694)=6),cubic_spline(F682:F688,H682:H688,B$10),IF(AND(COUNT(H683:H694)=7,COUNT(F683:F694)=7),cubic_spline(F682:F689,H682:H689,B$10),IF(AND(COUNT(H683:H694)=8,COUNT(F683:F694)=8),cubic_spline(F682:F690,H682:H690,B$10),IF(AND(COUNT(H683:H694)=9,COUNT(F683:F694)=9),cubic_spline(F682:F691,H682:H691,B$10),IF(AND(COUNT(H683:H694)=10,COUNT(F683:F694)=10),cubic_spline(F682:F692,H682:H692,B$10),IF(AND(COUNT(H683:H694)=11,COUNT(F683:F694)=11),cubic_spline(F682:F693,H682:H693,B$10),IF(AND(COUNT(H683:H694)=12,COUNT(F683:F694)=12),cubic_spline(F682:F694,H682:H694,B$10),""))))))))))))</f>
        <v/>
      </c>
      <c r="K689" s="52" t="str">
        <f>IF(N(B$10)=0,"",IF(AND(COUNT(A683:A694)=2,COUNT(F683:F694)=2),cubic_spline(F682:F684,A682:A684,B$10),IF(AND(COUNT(A683:A694)=3,COUNT(F683:F694)=3),cubic_spline(F682:F685,A682:A685,B$10),IF(AND(COUNT(A683:A694)=4,COUNT(F683:F694)=4),cubic_spline(F682:F686,A682:A686,B$10),IF(AND(COUNT(A683:A694)=5,COUNT(F683:F694)=5),cubic_spline(F682:F687,A682:A687,B$10),IF(AND(COUNT(A683:A694)=6,COUNT(F683:F694)=6),cubic_spline(F682:F688,A682:A688,B$10),IF(AND(COUNT(A683:A694)=7,COUNT(F683:F694)=7),cubic_spline(F682:F689,A682:A689,B$10),IF(AND(COUNT(A683:A694)=8,COUNT(F683:F694)=8),cubic_spline(F682:F690,A682:A690,B$10),IF(AND(COUNT(A683:A694)=9,COUNT(F683:F694)=9),cubic_spline(F682:F691,A682:A691,B$10),IF(AND(COUNT(A683:A694)=10,COUNT(F683:F694)=10),cubic_spline(F682:F692,A682:A692,B$10),IF(AND(COUNT(A683:A694)=11,COUNT(F683:F694)=11),cubic_spline(F682:F693,A682:A693,B$10),IF(AND(COUNT(A683:A694)=12,COUNT(F683:F694)=12),cubic_spline(F682:F694,A682:A694,B$10),""))))))))))))</f>
        <v/>
      </c>
      <c r="L689" s="27" t="str">
        <f>IF(I689="","",B$9&amp;"-"&amp;B$10)</f>
        <v/>
      </c>
      <c r="M689" s="52" t="str">
        <f t="shared" si="260"/>
        <v/>
      </c>
    </row>
    <row r="690" spans="1:13" x14ac:dyDescent="0.35">
      <c r="A690" s="48"/>
      <c r="B690" s="48"/>
      <c r="C690" s="49"/>
      <c r="D690" s="50"/>
      <c r="E690" s="51" t="str">
        <f t="shared" si="259"/>
        <v/>
      </c>
      <c r="F690" s="71" t="str">
        <f t="shared" si="256"/>
        <v/>
      </c>
      <c r="G690" s="69" t="str">
        <f t="shared" si="258"/>
        <v/>
      </c>
      <c r="H690" s="70" t="str">
        <f t="shared" si="257"/>
        <v/>
      </c>
      <c r="I690" s="27" t="str">
        <f>IF(N(J690)=0,"",0&amp;"-"&amp;B$11)</f>
        <v/>
      </c>
      <c r="J690" s="52" t="str">
        <f>IF(N(B$11)=0,"",IF(AND(COUNT(H683:H694)=2,COUNT(F683:F694)=2),cubic_spline(F682:F684,H682:H684,B$11),IF(AND(COUNT(H683:H694)=3,COUNT(F683:F694)=3),cubic_spline(F682:F685,H682:H685,B$11),IF(AND(COUNT(H683:H694)=4,COUNT(F683:F694)=4),cubic_spline(F682:F686,H682:H686,B$11),IF(AND(COUNT(H683:H694)=5,COUNT(F683:F694)=5),cubic_spline(F682:F687,H682:H687,B$11),IF(AND(COUNT(H683:H694)=6,COUNT(F683:F694)=6),cubic_spline(F682:F688,H682:H688,B$11),IF(AND(COUNT(H683:H694)=7,COUNT(F683:F694)=7),cubic_spline(F682:F689,H682:H689,B$11),IF(AND(COUNT(H683:H694)=8,COUNT(F683:F694)=8),cubic_spline(F682:F690,H682:H690,B$11),IF(AND(COUNT(H683:H694)=9,COUNT(F683:F694)=9),cubic_spline(F682:F691,H682:H691,B$11),IF(AND(COUNT(H683:H694)=10,COUNT(F683:F694)=10),cubic_spline(F682:F692,H682:H692,B$11),IF(AND(COUNT(H683:H694)=11,COUNT(F683:F694)=11),cubic_spline(F682:F693,H682:H693,B$11),IF(AND(COUNT(H683:H694)=12,COUNT(F683:F694)=12),cubic_spline(F682:F694,H682:H694,B$11),""))))))))))))</f>
        <v/>
      </c>
      <c r="K690" s="52" t="str">
        <f>IF(N(B$11)=0,"",IF(AND(COUNT(A683:A694)=2,COUNT(F683:F694)=2),cubic_spline(F682:F684,A682:A684,B$11),IF(AND(COUNT(A683:A694)=3,COUNT(F683:F694)=3),cubic_spline(F682:F685,A682:A685,B$11),IF(AND(COUNT(A683:A694)=4,COUNT(F683:F694)=4),cubic_spline(F682:F686,A682:A686,B$11),IF(AND(COUNT(A683:A694)=5,COUNT(F683:F694)=5),cubic_spline(F682:F687,A682:A687,B$11),IF(AND(COUNT(A683:A694)=6,COUNT(F683:F694)=6),cubic_spline(F682:F688,A682:A688,B$11),IF(AND(COUNT(A683:A694)=7,COUNT(F683:F694)=7),cubic_spline(F682:F689,A682:A689,B$11),IF(AND(COUNT(A683:A694)=8,COUNT(F683:F694)=8),cubic_spline(F682:F690,A682:A690,B$11),IF(AND(COUNT(A683:A694)=9,COUNT(F683:F694)=9),cubic_spline(F682:F691,A682:A691,B$11),IF(AND(COUNT(A683:A694)=10,COUNT(F683:F694)=10),cubic_spline(F682:F692,A682:A692,B$11),IF(AND(COUNT(A683:A694)=11,COUNT(F683:F694)=11),cubic_spline(F682:F693,A682:A693,B$11),IF(AND(COUNT(A683:A694)=12,COUNT(F683:F694)=12),cubic_spline(F682:F694,A682:A694,B$11),""))))))))))))</f>
        <v/>
      </c>
      <c r="L690" s="27" t="str">
        <f>IF(I690="","",B$10&amp;"-"&amp;B$11)</f>
        <v/>
      </c>
      <c r="M690" s="52" t="str">
        <f t="shared" si="260"/>
        <v/>
      </c>
    </row>
    <row r="691" spans="1:13" x14ac:dyDescent="0.35">
      <c r="A691" s="48"/>
      <c r="B691" s="48"/>
      <c r="C691" s="49"/>
      <c r="D691" s="50"/>
      <c r="E691" s="51" t="str">
        <f t="shared" si="259"/>
        <v/>
      </c>
      <c r="F691" s="71" t="str">
        <f t="shared" si="256"/>
        <v/>
      </c>
      <c r="G691" s="69" t="str">
        <f t="shared" si="258"/>
        <v/>
      </c>
      <c r="H691" s="70" t="str">
        <f t="shared" si="257"/>
        <v/>
      </c>
      <c r="I691" s="27" t="str">
        <f>IF(N(J691)=0,"",0&amp;"-"&amp;B$12)</f>
        <v/>
      </c>
      <c r="J691" s="52" t="str">
        <f>IF(N(B$12)=0,"",IF(AND(COUNT(H683:H694)=2,COUNT(F683:F694)=2),cubic_spline(F682:F684,H682:H684,B$12),IF(AND(COUNT(H683:H694)=3,COUNT(F683:F694)=3),cubic_spline(F682:F685,H682:H685,B$12),IF(AND(COUNT(H683:H694)=4,COUNT(F683:F694)=4),cubic_spline(F682:F686,H682:H686,B$12),IF(AND(COUNT(H683:H694)=5,COUNT(F683:F694)=5),cubic_spline(F682:F687,H682:H687,B$12),IF(AND(COUNT(H683:H694)=6,COUNT(F683:F694)=6),cubic_spline(F682:F688,H682:H688,B$12),IF(AND(COUNT(H683:H694)=7,COUNT(F683:F694)=7),cubic_spline(F682:F689,H682:H689,B$12),IF(AND(COUNT(H683:H694)=8,COUNT(F683:F694)=8),cubic_spline(F682:F690,H682:H690,B$12),IF(AND(COUNT(H683:H694)=9,COUNT(F683:F694)=9),cubic_spline(F682:F691,H682:H691,B$12),IF(AND(COUNT(H683:H694)=10,COUNT(F683:F694)=10),cubic_spline(F682:F692,H682:H692,B$12),IF(AND(COUNT(H683:H694)=11,COUNT(F683:F694)=11),cubic_spline(F682:F693,H682:H693,B$12),IF(AND(COUNT(H683:H694)=12,COUNT(F683:F694)=12),cubic_spline(F682:F694,H682:H694,B$12),""))))))))))))</f>
        <v/>
      </c>
      <c r="K691" s="52" t="str">
        <f>IF(N(B$12)=0,"",IF(AND(COUNT(A683:A694)=2,COUNT(F683:F694)=2),cubic_spline(F682:F684,A682:A684,B$12),IF(AND(COUNT(A683:A694)=3,COUNT(F683:F694)=3),cubic_spline(F682:F685,A682:A685,B$12),IF(AND(COUNT(A683:A694)=4,COUNT(F683:F694)=4),cubic_spline(F682:F686,A682:A686,B$12),IF(AND(COUNT(A683:A694)=5,COUNT(F683:F694)=5),cubic_spline(F682:F687,A682:A687,B$12),IF(AND(COUNT(A683:A694)=6,COUNT(F683:F694)=6),cubic_spline(F682:F688,A682:A688,B$12),IF(AND(COUNT(A683:A694)=7,COUNT(F683:F694)=7),cubic_spline(F682:F689,A682:A689,B$12),IF(AND(COUNT(A683:A694)=8,COUNT(F683:F694)=8),cubic_spline(F682:F690,A682:A690,B$12),IF(AND(COUNT(A683:A694)=9,COUNT(F683:F694)=9),cubic_spline(F682:F691,A682:A691,B$12),IF(AND(COUNT(A683:A694)=10,COUNT(F683:F694)=10),cubic_spline(F682:F692,A682:A692,B$12),IF(AND(COUNT(A683:A694)=11,COUNT(F683:F694)=11),cubic_spline(F682:F693,A682:A693,B$12),IF(AND(COUNT(A683:A694)=12,COUNT(F683:F694)=12),cubic_spline(F682:F694,A682:A694,B$12),""))))))))))))</f>
        <v/>
      </c>
      <c r="L691" s="27" t="str">
        <f>IF(I691="","",B$11&amp;"-"&amp;B$12)</f>
        <v/>
      </c>
      <c r="M691" s="52" t="str">
        <f t="shared" si="260"/>
        <v/>
      </c>
    </row>
    <row r="692" spans="1:13" x14ac:dyDescent="0.35">
      <c r="A692" s="48"/>
      <c r="B692" s="48"/>
      <c r="C692" s="49"/>
      <c r="D692" s="50"/>
      <c r="E692" s="51" t="str">
        <f t="shared" si="259"/>
        <v/>
      </c>
      <c r="F692" s="71" t="str">
        <f t="shared" si="256"/>
        <v/>
      </c>
      <c r="G692" s="69" t="str">
        <f t="shared" si="258"/>
        <v/>
      </c>
      <c r="H692" s="70" t="str">
        <f t="shared" si="257"/>
        <v/>
      </c>
      <c r="I692" s="27" t="str">
        <f>IF(N(J692)=0,"",0&amp;"-"&amp;B$13)</f>
        <v/>
      </c>
      <c r="J692" s="52" t="str">
        <f>IF(N(B$13)=0,"",IF(AND(COUNT(H683:H694)=2,COUNT(F683:F694)=2),cubic_spline(F682:F684,H682:H684,B$13),IF(AND(COUNT(H683:H694)=3,COUNT(F683:F694)=3),cubic_spline(F682:F685,H682:H685,B$13),IF(AND(COUNT(H683:H694)=4,COUNT(F683:F694)=4),cubic_spline(F682:F686,H682:H686,B$13),IF(AND(COUNT(H683:H694)=5,COUNT(F683:F694)=5),cubic_spline(F682:F687,H682:H687,B$13),IF(AND(COUNT(H683:H694)=6,COUNT(F683:F694)=6),cubic_spline(F682:F688,H682:H688,B$13),IF(AND(COUNT(H683:H694)=7,COUNT(F683:F694)=7),cubic_spline(F682:F689,H682:H689,B$13),IF(AND(COUNT(H683:H694)=8,COUNT(F683:F694)=8),cubic_spline(F682:F690,H682:H690,B$13),IF(AND(COUNT(H683:H694)=9,COUNT(F683:F694)=9),cubic_spline(F682:F691,H682:H691,B$13),IF(AND(COUNT(H683:H694)=10,COUNT(F683:F694)=10),cubic_spline(F682:F692,H682:H692,B$13),IF(AND(COUNT(H683:H694)=11,COUNT(F683:F694)=11),cubic_spline(F682:F693,H682:H693,B$13),IF(AND(COUNT(H683:H694)=12,COUNT(F683:F694)=12),cubic_spline(F682:F694,H682:H694,B$13),""))))))))))))</f>
        <v/>
      </c>
      <c r="K692" s="52" t="str">
        <f>IF(N(B$13)=0,"",IF(AND(COUNT(A683:A694)=2,COUNT(F683:F694)=2),cubic_spline(F682:F684,A682:A684,B$13),IF(AND(COUNT(A683:A694)=3,COUNT(F683:F694)=3),cubic_spline(F682:F685,A682:A685,B$13),IF(AND(COUNT(A683:A694)=4,COUNT(F683:F694)=4),cubic_spline(F682:F686,A682:A686,B$13),IF(AND(COUNT(A683:A694)=5,COUNT(F683:F694)=5),cubic_spline(F682:F687,A682:A687,B$13),IF(AND(COUNT(A683:A694)=6,COUNT(F683:F694)=6),cubic_spline(F682:F688,A682:A688,B$13),IF(AND(COUNT(A683:A694)=7,COUNT(F683:F694)=7),cubic_spline(F682:F689,A682:A689,B$13),IF(AND(COUNT(A683:A694)=8,COUNT(F683:F694)=8),cubic_spline(F682:F690,A682:A690,B$13),IF(AND(COUNT(A683:A694)=9,COUNT(F683:F694)=9),cubic_spline(F682:F691,A682:A691,B$13),IF(AND(COUNT(A683:A694)=10,COUNT(F683:F694)=10),cubic_spline(F682:F692,A682:A692,B$13),IF(AND(COUNT(A683:A694)=11,COUNT(F683:F694)=11),cubic_spline(F682:F693,A682:A693,B$13),IF(AND(COUNT(A683:A694)=12,COUNT(F683:F694)=12),cubic_spline(F682:F694,A682:A694,B$13),""))))))))))))</f>
        <v/>
      </c>
      <c r="L692" s="27" t="str">
        <f>IF(I692="","",B$12&amp;"-"&amp;B$13)</f>
        <v/>
      </c>
      <c r="M692" s="52" t="str">
        <f t="shared" si="260"/>
        <v/>
      </c>
    </row>
    <row r="693" spans="1:13" x14ac:dyDescent="0.35">
      <c r="A693" s="48"/>
      <c r="B693" s="48"/>
      <c r="C693" s="49"/>
      <c r="D693" s="50"/>
      <c r="E693" s="51" t="str">
        <f t="shared" si="259"/>
        <v/>
      </c>
      <c r="F693" s="71" t="str">
        <f t="shared" si="256"/>
        <v/>
      </c>
      <c r="G693" s="69" t="str">
        <f t="shared" si="258"/>
        <v/>
      </c>
      <c r="H693" s="70" t="str">
        <f t="shared" si="257"/>
        <v/>
      </c>
      <c r="I693" s="27" t="str">
        <f>IF(N(J693)=0,"",0&amp;"-"&amp;B$14)</f>
        <v/>
      </c>
      <c r="J693" s="52" t="str">
        <f>IF(N(B$14)=0,"",IF(AND(COUNT(H683:H694)=2,COUNT(F683:F694)=2),cubic_spline(F682:F684,H682:H684,B$14),IF(AND(COUNT(H683:H694)=3,COUNT(F683:F694)=3),cubic_spline(F682:F685,H682:H685,B$14),IF(AND(COUNT(H683:H694)=4,COUNT(F683:F694)=4),cubic_spline(F682:F686,H682:H686,B$14),IF(AND(COUNT(H683:H694)=5,COUNT(F683:F694)=5),cubic_spline(F682:F687,H682:H687,B$14),IF(AND(COUNT(H683:H694)=6,COUNT(F683:F694)=6),cubic_spline(F682:F688,H682:H688,B$14),IF(AND(COUNT(H683:H694)=7,COUNT(F683:F694)=7),cubic_spline(F682:F689,H682:H689,B$14),IF(AND(COUNT(H683:H694)=8,COUNT(F683:F694)=8),cubic_spline(F682:F690,H682:H690,B$14),IF(AND(COUNT(H683:H694)=9,COUNT(F683:F694)=9),cubic_spline(F682:F691,H682:H691,B$14),IF(AND(COUNT(H683:H694)=10,COUNT(F683:F694)=10),cubic_spline(F682:F692,H682:H692,B$14),IF(AND(COUNT(H683:H694)=11,COUNT(F683:F694)=11),cubic_spline(F682:F693,H682:H693,B$14),IF(AND(COUNT(H683:H694)=12,COUNT(F683:F694)=12),cubic_spline(F682:F694,H682:H694,B$14),""))))))))))))</f>
        <v/>
      </c>
      <c r="K693" s="52" t="str">
        <f>IF(N(B$14)=0,"",IF(AND(COUNT(A683:A694)=2,COUNT(F683:F694)=2),cubic_spline(F682:F684,A682:A684,B$14),IF(AND(COUNT(A683:A694)=3,COUNT(F683:F694)=3),cubic_spline(F682:F685,A682:A685,B$14),IF(AND(COUNT(A683:A694)=4,COUNT(F683:F694)=4),cubic_spline(F682:F686,A682:A686,B$14),IF(AND(COUNT(A683:A694)=5,COUNT(F683:F694)=5),cubic_spline(F682:F687,A682:A687,B$14),IF(AND(COUNT(A683:A694)=6,COUNT(F683:F694)=6),cubic_spline(F682:F688,A682:A688,B$14),IF(AND(COUNT(A683:A694)=7,COUNT(F683:F694)=7),cubic_spline(F682:F689,A682:A689,B$14),IF(AND(COUNT(A683:A694)=8,COUNT(F683:F694)=8),cubic_spline(F682:F690,A682:A690,B$14),IF(AND(COUNT(A683:A694)=9,COUNT(F683:F694)=9),cubic_spline(F682:F691,A682:A691,B$14),IF(AND(COUNT(A683:A694)=10,COUNT(F683:F694)=10),cubic_spline(F682:F692,A682:A692,B$14),IF(AND(COUNT(A683:A694)=11,COUNT(F683:F694)=11),cubic_spline(F682:F693,A682:A693,B$14),IF(AND(COUNT(A683:A694)=12,COUNT(F683:F694)=12),cubic_spline(F682:F694,A682:A694,B$14),""))))))))))))</f>
        <v/>
      </c>
      <c r="L693" s="27" t="str">
        <f>IF(I693="","",B$13&amp;"-"&amp;B$14)</f>
        <v/>
      </c>
      <c r="M693" s="52" t="str">
        <f t="shared" si="260"/>
        <v/>
      </c>
    </row>
    <row r="694" spans="1:13" x14ac:dyDescent="0.35">
      <c r="A694" s="48"/>
      <c r="B694" s="48"/>
      <c r="C694" s="49"/>
      <c r="D694" s="50"/>
      <c r="E694" s="51" t="str">
        <f t="shared" si="259"/>
        <v/>
      </c>
      <c r="F694" s="71" t="str">
        <f t="shared" si="256"/>
        <v/>
      </c>
      <c r="G694" s="69" t="str">
        <f t="shared" si="258"/>
        <v/>
      </c>
      <c r="H694" s="70" t="str">
        <f t="shared" si="257"/>
        <v/>
      </c>
      <c r="I694" s="27" t="str">
        <f>IF(N(J694)=0,"",0&amp;"-"&amp;B$15)</f>
        <v/>
      </c>
      <c r="J694" s="52" t="str">
        <f>IF(N(B$15)=0,"",IF(AND(COUNT(H683:H694)=2,COUNT(F683:F694)=2),cubic_spline(F682:F684,H682:H684,B$15),IF(AND(COUNT(H683:H694)=3,COUNT(F683:F694)=3),cubic_spline(F682:F685,H682:H685,B$15),IF(AND(COUNT(H683:H694)=4,COUNT(F683:F694)=4),cubic_spline(F682:F686,H682:H686,B$15),IF(AND(COUNT(H683:H694)=5,COUNT(F683:F694)=5),cubic_spline(F682:F687,H682:H687,B$15),IF(AND(COUNT(H683:H694)=6,COUNT(F683:F694)=6),cubic_spline(F682:F688,H682:H688,B$15),IF(AND(COUNT(H683:H694)=7,COUNT(F683:F694)=7),cubic_spline(F682:F689,H682:H689,B$15),IF(AND(COUNT(H683:H694)=8,COUNT(F683:F694)=8),cubic_spline(F682:F690,H682:H690,B$15),IF(AND(COUNT(H683:H694)=9,COUNT(F683:F694)=9),cubic_spline(F682:F691,H682:H691,B$15),IF(AND(COUNT(H683:H694)=10,COUNT(F683:F694)=10),cubic_spline(F682:F692,H682:H692,B$15),IF(AND(COUNT(H683:H694)=11,COUNT(F683:F694)=11),cubic_spline(F682:F693,H682:H693,B$15),IF(AND(COUNT(H683:H694)=12,COUNT(F683:F694)=12),cubic_spline(F682:F694,H682:H694,B$15),""))))))))))))</f>
        <v/>
      </c>
      <c r="K694" s="52" t="str">
        <f>IF(N(B$15)=0,"",IF(AND(COUNT(A683:A694)=2,COUNT(F683:F694)=2),cubic_spline(F682:F684,A682:A684,B$15),IF(AND(COUNT(A683:A694)=3,COUNT(F683:F694)=3),cubic_spline(F682:F685,A682:A685,B$15),IF(AND(COUNT(A683:A694)=4,COUNT(F683:F694)=4),cubic_spline(F682:F686,A682:A686,B$15),IF(AND(COUNT(A683:A694)=5,COUNT(F683:F694)=5),cubic_spline(F682:F687,A682:A687,B$15),IF(AND(COUNT(A683:A694)=6,COUNT(F683:F694)=6),cubic_spline(F682:F688,A682:A688,B$15),IF(AND(COUNT(A683:A694)=7,COUNT(F683:F694)=7),cubic_spline(F682:F689,A682:A689,B$15),IF(AND(COUNT(A683:A694)=8,COUNT(F683:F694)=8),cubic_spline(F682:F690,A682:A690,B$15),IF(AND(COUNT(A683:A694)=9,COUNT(F683:F694)=9),cubic_spline(F682:F691,A682:A691,B$15),IF(AND(COUNT(A683:A694)=10,COUNT(F683:F694)=10),cubic_spline(F682:F692,A682:A692,B$15),IF(AND(COUNT(A683:A694)=11,COUNT(F683:F694)=11),cubic_spline(F682:F693,A682:A693,B$15),IF(AND(COUNT(A683:A694)=12,COUNT(F683:F694)=12),cubic_spline(F682:F694,A682:A694,B$15),""))))))))))))</f>
        <v/>
      </c>
      <c r="L694" s="27" t="str">
        <f>IF(I694="","",B$14&amp;"-"&amp;B$15)</f>
        <v/>
      </c>
      <c r="M694" s="52" t="str">
        <f t="shared" si="260"/>
        <v/>
      </c>
    </row>
    <row r="695" spans="1:13" ht="5.15" customHeight="1" x14ac:dyDescent="0.35">
      <c r="A695" s="47"/>
      <c r="B695" s="47"/>
      <c r="C695" s="47"/>
      <c r="D695" s="53"/>
      <c r="E695" s="54"/>
      <c r="F695" s="55"/>
      <c r="G695" s="72"/>
      <c r="H695" s="73"/>
      <c r="I695" s="47"/>
      <c r="J695" s="57"/>
      <c r="K695" s="57"/>
      <c r="L695" s="55"/>
      <c r="M695" s="57"/>
    </row>
    <row r="696" spans="1:13" x14ac:dyDescent="0.35">
      <c r="A696" s="48"/>
      <c r="B696" s="48"/>
      <c r="C696" s="49"/>
      <c r="D696" s="50"/>
      <c r="E696" s="51" t="str">
        <f>IF(N(C696)=0,"",C696/PI()/($D$1/2)^2/$D$2*10000)</f>
        <v/>
      </c>
      <c r="F696" s="68" t="str">
        <f t="shared" ref="F696:F707" si="261">IF(N(E696)=0,"",(N(E696)+N(F695)))</f>
        <v/>
      </c>
      <c r="G696" s="69" t="str">
        <f>IF(OR(N(D696)=0,N(E696)=0),"",(E696*D696)/1000)</f>
        <v/>
      </c>
      <c r="H696" s="70" t="str">
        <f t="shared" ref="H696:H707" si="262">IF(N(G696)=0,"",(N(G696)+N(H695)))</f>
        <v/>
      </c>
      <c r="I696" s="27" t="str">
        <f>IF(N(J696)=0,"",0&amp;"-"&amp;B$4)</f>
        <v/>
      </c>
      <c r="J696" s="52" t="str">
        <f>IF(N(B$4)=0,"",IF(AND(COUNT(H696:H707)=2,COUNT(F696:F707)=2),cubic_spline(F695:F697,H695:H697,B$4),IF(AND(COUNT(H696:H707)=3,COUNT(F696:F707)=3),cubic_spline(F695:F698,H695:H698,B$4),IF(AND(COUNT(H696:H707)=4,COUNT(F696:F707)=4),cubic_spline(F695:F699,H695:H699,B$4),IF(AND(COUNT(H696:H707)=5,COUNT(F696:F707)=5),cubic_spline(F695:F700,H695:H700,B$4),IF(AND(COUNT(H696:H707)=6,COUNT(F696:F707)=6),cubic_spline(F695:F701,H695:H701,B$4),IF(AND(COUNT(H696:H707)=7,COUNT(F696:F707)=7),cubic_spline(F695:F702,H695:H702,B$4),IF(AND(COUNT(H696:H707)=8,COUNT(F696:F707)=8),cubic_spline(F695:F703,H695:H703,B$4),IF(AND(COUNT(H696:H707)=9,COUNT(F696:F707)=9),cubic_spline(F695:F704,H695:H704,B$4),IF(AND(COUNT(H696:H707)=10,COUNT(F696:F707)=10),cubic_spline(F695:F705,H695:H705,B$4),IF(AND(COUNT(H696:H707)=11,COUNT(F696:F707)=11),cubic_spline(F695:F706,H695:H706,B$4),IF(AND(COUNT(H696:H707)=12,COUNT(F696:F707)=12),cubic_spline(F695:F707,H695:H707,B$4),""))))))))))))</f>
        <v/>
      </c>
      <c r="K696" s="52" t="str">
        <f>IF(N(B$4)=0,"",IF(AND(COUNT(A696:A707)=2,COUNT(F696:F707)=2),cubic_spline(F695:F697,A695:A697,B$4),IF(AND(COUNT(A696:A707)=3,COUNT(F696:F707)=3),cubic_spline(F695:F698,A695:A698,B$4),IF(AND(COUNT(A696:A707)=4,COUNT(F696:F707)=4),cubic_spline(F695:F699,A695:A699,B$4),IF(AND(COUNT(A696:A707)=5,COUNT(F696:F707)=5),cubic_spline(F695:F700,A695:A700,B$4),IF(AND(COUNT(A696:A707)=6,COUNT(F696:F707)=6),cubic_spline(F695:F701,A695:A701,B$4),IF(AND(COUNT(A696:A707)=7,COUNT(F696:F707)=7),cubic_spline(F695:F702,A695:A702,B$4),IF(AND(COUNT(A696:A707)=8,COUNT(F696:F707)=8),cubic_spline(F695:F703,A695:A703,B$4),IF(AND(COUNT(A696:A707)=9,COUNT(F696:F707)=9),cubic_spline(F695:F704,A695:A704,B$4),IF(AND(COUNT(A696:A707)=10,COUNT(F696:F707)=10),cubic_spline(F695:F705,A695:A705,B$4),IF(AND(COUNT(A696:A707)=11,COUNT(F696:F707)=11),cubic_spline(F695:F706,A695:A706,B$4),IF(AND(COUNT(A696:A707)=12,COUNT(F696:F707)=12),cubic_spline(F695:F707,A695:A707,B$4),""))))))))))))</f>
        <v/>
      </c>
      <c r="L696" s="27" t="str">
        <f>IF(I696="","",0&amp;"-"&amp;B$4)</f>
        <v/>
      </c>
      <c r="M696" s="52" t="str">
        <f>IF(N(J696)=0,"",J696-J695)</f>
        <v/>
      </c>
    </row>
    <row r="697" spans="1:13" x14ac:dyDescent="0.35">
      <c r="A697" s="48"/>
      <c r="B697" s="48"/>
      <c r="C697" s="49"/>
      <c r="D697" s="50"/>
      <c r="E697" s="51" t="str">
        <f>IF(N(C697)=0,"",C697/PI()/($D$1/2)^2/$D$2*10000)</f>
        <v/>
      </c>
      <c r="F697" s="68" t="str">
        <f t="shared" si="261"/>
        <v/>
      </c>
      <c r="G697" s="69" t="str">
        <f t="shared" ref="G697:G707" si="263">IF(OR(N(D697)=0,N(E697)=0),"",(E697*D697)/1000)</f>
        <v/>
      </c>
      <c r="H697" s="70" t="str">
        <f t="shared" si="262"/>
        <v/>
      </c>
      <c r="I697" s="27" t="str">
        <f>IF(N(J697)=0,"",0&amp;"-"&amp;B$5)</f>
        <v/>
      </c>
      <c r="J697" s="52" t="str">
        <f>IF(N(B$5)=0,"",IF(AND(COUNT(H696:H707)=2,COUNT(F696:F707)=2),cubic_spline(F695:F697,H695:H697,B$5),IF(AND(COUNT(H696:H707)=3,COUNT(F696:F707)=3),cubic_spline(F695:F698,H695:H698,B$5),IF(AND(COUNT(H696:H707)=4,COUNT(F696:F707)=4),cubic_spline(F695:F699,H695:H699,B$5),IF(AND(COUNT(H696:H707)=5,COUNT(F696:F707)=5),cubic_spline(F695:F700,H695:H700,B$5),IF(AND(COUNT(H696:H707)=6,COUNT(F696:F707)=6),cubic_spline(F695:F701,H695:H701,B$5),IF(AND(COUNT(H696:H707)=7,COUNT(F696:F707)=7),cubic_spline(F695:F702,H695:H702,B$5),IF(AND(COUNT(H696:H707)=8,COUNT(F696:F707)=8),cubic_spline(F695:F703,H695:H703,B$5),IF(AND(COUNT(H696:H707)=9,COUNT(F696:F707)=9),cubic_spline(F695:F704,H695:H704,B$5),IF(AND(COUNT(H696:H707)=10,COUNT(F696:F707)=10),cubic_spline(F695:F705,H695:H705,B$5),IF(AND(COUNT(H696:H707)=11,COUNT(F696:F707)=11),cubic_spline(F695:F706,H695:H706,B$5),IF(AND(COUNT(H696:H707)=12,COUNT(F696:F707)=12),cubic_spline(F695:F707,H695:H707,B$5),""))))))))))))</f>
        <v/>
      </c>
      <c r="K697" s="52" t="str">
        <f>IF(N(B$5)=0,"",IF(AND(COUNT(A696:A707)=2,COUNT(F696:F707)=2),cubic_spline(F695:F697,A695:A697,B$5),IF(AND(COUNT(A696:A707)=3,COUNT(F696:F707)=3),cubic_spline(F695:F698,A695:A698,B$5),IF(AND(COUNT(A696:A707)=4,COUNT(F696:F707)=4),cubic_spline(F695:F699,A695:A699,B$5),IF(AND(COUNT(A696:A707)=5,COUNT(F696:F707)=5),cubic_spline(F695:F700,A695:A700,B$5),IF(AND(COUNT(A696:A707)=6,COUNT(F696:F707)=6),cubic_spline(F695:F701,A695:A701,B$5),IF(AND(COUNT(A696:A707)=7,COUNT(F696:F707)=7),cubic_spline(F695:F702,A695:A702,B$5),IF(AND(COUNT(A696:A707)=8,COUNT(F696:F707)=8),cubic_spline(F695:F703,A695:A703,B$5),IF(AND(COUNT(A696:A707)=9,COUNT(F696:F707)=9),cubic_spline(F695:F704,A695:A704,B$5),IF(AND(COUNT(A696:A707)=10,COUNT(F696:F707)=10),cubic_spline(F695:F705,A695:A705,B$5),IF(AND(COUNT(A696:A707)=11,COUNT(F696:F707)=11),cubic_spline(F695:F706,A695:A706,B$5),IF(AND(COUNT(A696:A707)=12,COUNT(F696:F707)=12),cubic_spline(F695:F707,A695:A707,B$5),""))))))))))))</f>
        <v/>
      </c>
      <c r="L697" s="27" t="str">
        <f>IF(I697="","",B$4&amp;"-"&amp;B$5)</f>
        <v/>
      </c>
      <c r="M697" s="52" t="str">
        <f>IF(N(J697)=0,"",J697-J696)</f>
        <v/>
      </c>
    </row>
    <row r="698" spans="1:13" x14ac:dyDescent="0.35">
      <c r="A698" s="48"/>
      <c r="B698" s="48"/>
      <c r="C698" s="49"/>
      <c r="D698" s="50"/>
      <c r="E698" s="51" t="str">
        <f>IF(N(C698)=0,"",C698/PI()/($D$1/2)^2/$D$2*10000)</f>
        <v/>
      </c>
      <c r="F698" s="68" t="str">
        <f t="shared" si="261"/>
        <v/>
      </c>
      <c r="G698" s="69" t="str">
        <f t="shared" si="263"/>
        <v/>
      </c>
      <c r="H698" s="70" t="str">
        <f t="shared" si="262"/>
        <v/>
      </c>
      <c r="I698" s="27" t="str">
        <f>IF(N(J698)=0,"",0&amp;"-"&amp;B$6)</f>
        <v/>
      </c>
      <c r="J698" s="52" t="str">
        <f>IF(N(B$6)=0,"",IF(AND(COUNT(H696:H707)=2,COUNT(F696:F707)=2),cubic_spline(F695:F697,H695:H697,B$6),IF(AND(COUNT(H696:H707)=3,COUNT(F696:F707)=3),cubic_spline(F695:F698,H695:H698,B$6),IF(AND(COUNT(H696:H707)=4,COUNT(F696:F707)=4),cubic_spline(F695:F699,H695:H699,B$6),IF(AND(COUNT(H696:H707)=5,COUNT(F696:F707)=5),cubic_spline(F695:F700,H695:H700,B$6),IF(AND(COUNT(H696:H707)=6,COUNT(F696:F707)=6),cubic_spline(F695:F701,H695:H701,B$6),IF(AND(COUNT(H696:H707)=7,COUNT(F696:F707)=7),cubic_spline(F695:F702,H695:H702,B$6),IF(AND(COUNT(H696:H707)=8,COUNT(F696:F707)=8),cubic_spline(F695:F703,H695:H703,B$6),IF(AND(COUNT(H696:H707)=9,COUNT(F696:F707)=9),cubic_spline(F695:F704,H695:H704,B$6),IF(AND(COUNT(H696:H707)=10,COUNT(F696:F707)=10),cubic_spline(F695:F705,H695:H705,B$6),IF(AND(COUNT(H696:H707)=11,COUNT(F696:F707)=11),cubic_spline(F695:F706,H695:H706,B$6),IF(AND(COUNT(H696:H707)=12,COUNT(F696:F707)=12),cubic_spline(F695:F707,H695:H707,B$6),""))))))))))))</f>
        <v/>
      </c>
      <c r="K698" s="52" t="str">
        <f>IF(N(B$6)=0,"",IF(AND(COUNT(A696:A707)=2,COUNT(F696:F707)=2),cubic_spline(F695:F697,A695:A697,B$6),IF(AND(COUNT(A696:A707)=3,COUNT(F696:F707)=3),cubic_spline(F695:F698,A695:A698,B$6),IF(AND(COUNT(A696:A707)=4,COUNT(F696:F707)=4),cubic_spline(F695:F699,A695:A699,B$6),IF(AND(COUNT(A696:A707)=5,COUNT(F696:F707)=5),cubic_spline(F695:F700,A695:A700,B$6),IF(AND(COUNT(A696:A707)=6,COUNT(F696:F707)=6),cubic_spline(F695:F701,A695:A701,B$6),IF(AND(COUNT(A696:A707)=7,COUNT(F696:F707)=7),cubic_spline(F695:F702,A695:A702,B$6),IF(AND(COUNT(A696:A707)=8,COUNT(F696:F707)=8),cubic_spline(F695:F703,A695:A703,B$6),IF(AND(COUNT(A696:A707)=9,COUNT(F696:F707)=9),cubic_spline(F695:F704,A695:A704,B$6),IF(AND(COUNT(A696:A707)=10,COUNT(F696:F707)=10),cubic_spline(F695:F705,A695:A705,B$6),IF(AND(COUNT(A696:A707)=11,COUNT(F696:F707)=11),cubic_spline(F695:F706,A695:A706,B$6),IF(AND(COUNT(A696:A707)=12,COUNT(F696:F707)=12),cubic_spline(F695:F707,A695:A707,B$6),""))))))))))))</f>
        <v/>
      </c>
      <c r="L698" s="27" t="str">
        <f>IF(I698="","",B$5&amp;"-"&amp;B$6)</f>
        <v/>
      </c>
      <c r="M698" s="52" t="str">
        <f>IF(N(J698)=0,"",J698-J697)</f>
        <v/>
      </c>
    </row>
    <row r="699" spans="1:13" x14ac:dyDescent="0.35">
      <c r="A699" s="48"/>
      <c r="B699" s="48"/>
      <c r="C699" s="49"/>
      <c r="D699" s="50"/>
      <c r="E699" s="51" t="str">
        <f>IF(N(C699)=0,"",C699/PI()/($D$1/2)^2/$D$2*10000)</f>
        <v/>
      </c>
      <c r="F699" s="68" t="str">
        <f t="shared" si="261"/>
        <v/>
      </c>
      <c r="G699" s="69" t="str">
        <f t="shared" si="263"/>
        <v/>
      </c>
      <c r="H699" s="70" t="str">
        <f t="shared" si="262"/>
        <v/>
      </c>
      <c r="I699" s="27" t="str">
        <f>IF(N(J699)=0,"",0&amp;"-"&amp;B$7)</f>
        <v/>
      </c>
      <c r="J699" s="52" t="str">
        <f>IF(N(B$7)=0,"",IF(AND(COUNT(H696:H707)=2,COUNT(F696:F707)=2),cubic_spline(F695:F697,H695:H697,B$7),IF(AND(COUNT(H696:H707)=3,COUNT(F696:F707)=3),cubic_spline(F695:F698,H695:H698,B$7),IF(AND(COUNT(H696:H707)=4,COUNT(F696:F707)=4),cubic_spline(F695:F699,H695:H699,B$7),IF(AND(COUNT(H696:H707)=5,COUNT(F696:F707)=5),cubic_spline(F695:F700,H695:H700,B$7),IF(AND(COUNT(H696:H707)=6,COUNT(F696:F707)=6),cubic_spline(F695:F701,H695:H701,B$7),IF(AND(COUNT(H696:H707)=7,COUNT(F696:F707)=7),cubic_spline(F695:F702,H695:H702,B$7),IF(AND(COUNT(H696:H707)=8,COUNT(F696:F707)=8),cubic_spline(F695:F703,H695:H703,B$7),IF(AND(COUNT(H696:H707)=9,COUNT(F696:F707)=9),cubic_spline(F695:F704,H695:H704,B$7),IF(AND(COUNT(H696:H707)=10,COUNT(F696:F707)=10),cubic_spline(F695:F705,H695:H705,B$7),IF(AND(COUNT(H696:H707)=11,COUNT(F696:F707)=11),cubic_spline(F695:F706,H695:H706,B$7),IF(AND(COUNT(H696:H707)=12,COUNT(F696:F707)=12),cubic_spline(F695:F707,H695:H707,B$7),""))))))))))))</f>
        <v/>
      </c>
      <c r="K699" s="52" t="str">
        <f>IF(N(B$7)=0,"",IF(AND(COUNT(A696:A707)=2,COUNT(F696:F707)=2),cubic_spline(F695:F697,A695:A697,B$7),IF(AND(COUNT(A696:A707)=3,COUNT(F696:F707)=3),cubic_spline(F695:F698,A695:A698,B$7),IF(AND(COUNT(A696:A707)=4,COUNT(F696:F707)=4),cubic_spline(F695:F699,A695:A699,B$7),IF(AND(COUNT(A696:A707)=5,COUNT(F696:F707)=5),cubic_spline(F695:F700,A695:A700,B$7),IF(AND(COUNT(A696:A707)=6,COUNT(F696:F707)=6),cubic_spline(F695:F701,A695:A701,B$7),IF(AND(COUNT(A696:A707)=7,COUNT(F696:F707)=7),cubic_spline(F695:F702,A695:A702,B$7),IF(AND(COUNT(A696:A707)=8,COUNT(F696:F707)=8),cubic_spline(F695:F703,A695:A703,B$7),IF(AND(COUNT(A696:A707)=9,COUNT(F696:F707)=9),cubic_spline(F695:F704,A695:A704,B$7),IF(AND(COUNT(A696:A707)=10,COUNT(F696:F707)=10),cubic_spline(F695:F705,A695:A705,B$7),IF(AND(COUNT(A696:A707)=11,COUNT(F696:F707)=11),cubic_spline(F695:F706,A695:A706,B$7),IF(AND(COUNT(A696:A707)=12,COUNT(F696:F707)=12),cubic_spline(F695:F707,A695:A707,B$7),""))))))))))))</f>
        <v/>
      </c>
      <c r="L699" s="27" t="str">
        <f>IF(I699="","",B$6&amp;"-"&amp;B$7)</f>
        <v/>
      </c>
      <c r="M699" s="52" t="str">
        <f>IF(N(J699)=0,"",J699-J698)</f>
        <v/>
      </c>
    </row>
    <row r="700" spans="1:13" x14ac:dyDescent="0.35">
      <c r="A700" s="48"/>
      <c r="B700" s="48"/>
      <c r="C700" s="49"/>
      <c r="D700" s="50"/>
      <c r="E700" s="51" t="str">
        <f t="shared" ref="E700:E707" si="264">IF(N(C700)=0,"",C700/PI()/($D$1/2)^2/$D$2*10000)</f>
        <v/>
      </c>
      <c r="F700" s="71" t="str">
        <f t="shared" si="261"/>
        <v/>
      </c>
      <c r="G700" s="69" t="str">
        <f t="shared" si="263"/>
        <v/>
      </c>
      <c r="H700" s="70" t="str">
        <f t="shared" si="262"/>
        <v/>
      </c>
      <c r="I700" s="27" t="str">
        <f>IF(N(J700)=0,"",0&amp;"-"&amp;B$8)</f>
        <v/>
      </c>
      <c r="J700" s="52" t="str">
        <f>IF(N(B$8)=0,"",IF(AND(COUNT(H696:H707)=2,COUNT(F696:F707)=2),cubic_spline(F695:F697,H695:H697,B$8),IF(AND(COUNT(H696:H707)=3,COUNT(F696:F707)=3),cubic_spline(F695:F698,H695:H698,B$8),IF(AND(COUNT(H696:H707)=4,COUNT(F696:F707)=4),cubic_spline(F695:F699,H695:H699,B$8),IF(AND(COUNT(H696:H707)=5,COUNT(F696:F707)=5),cubic_spline(F695:F700,H695:H700,B$8),IF(AND(COUNT(H696:H707)=6,COUNT(F696:F707)=6),cubic_spline(F695:F701,H695:H701,B$8),IF(AND(COUNT(H696:H707)=7,COUNT(F696:F707)=7),cubic_spline(F695:F702,H695:H702,B$8),IF(AND(COUNT(H696:H707)=8,COUNT(F696:F707)=8),cubic_spline(F695:F703,H695:H703,B$8),IF(AND(COUNT(H696:H707)=9,COUNT(F696:F707)=9),cubic_spline(F695:F704,H695:H704,B$8),IF(AND(COUNT(H696:H707)=10,COUNT(F696:F707)=10),cubic_spline(F695:F705,H695:H705,B$8),IF(AND(COUNT(H696:H707)=11,COUNT(F696:F707)=11),cubic_spline(F695:F706,H695:H706,B$8),IF(AND(COUNT(H696:H707)=12,COUNT(F696:F707)=12),cubic_spline(F695:F707,H695:H707,B$8),""))))))))))))</f>
        <v/>
      </c>
      <c r="K700" s="52" t="str">
        <f>IF(N(B$8)=0,"",IF(AND(COUNT(A696:A707)=2,COUNT(F696:F707)=2),cubic_spline(F695:F697,A695:A697,B$8),IF(AND(COUNT(A696:A707)=3,COUNT(F696:F707)=3),cubic_spline(F695:F698,A695:A698,B$8),IF(AND(COUNT(A696:A707)=4,COUNT(F696:F707)=4),cubic_spline(F695:F699,A695:A699,B$8),IF(AND(COUNT(A696:A707)=5,COUNT(F696:F707)=5),cubic_spline(F695:F700,A695:A700,B$8),IF(AND(COUNT(A696:A707)=6,COUNT(F696:F707)=6),cubic_spline(F695:F701,A695:A701,B$8),IF(AND(COUNT(A696:A707)=7,COUNT(F696:F707)=7),cubic_spline(F695:F702,A695:A702,B$8),IF(AND(COUNT(A696:A707)=8,COUNT(F696:F707)=8),cubic_spline(F695:F703,A695:A703,B$8),IF(AND(COUNT(A696:A707)=9,COUNT(F696:F707)=9),cubic_spline(F695:F704,A695:A704,B$8),IF(AND(COUNT(A696:A707)=10,COUNT(F696:F707)=10),cubic_spline(F695:F705,A695:A705,B$8),IF(AND(COUNT(A696:A707)=11,COUNT(F696:F707)=11),cubic_spline(F695:F706,A695:A706,B$8),IF(AND(COUNT(A696:A707)=12,COUNT(F696:F707)=12),cubic_spline(F695:F707,A695:A707,B$8),""))))))))))))</f>
        <v/>
      </c>
      <c r="L700" s="27" t="str">
        <f>IF(I700="","",B$7&amp;"-"&amp;B$8)</f>
        <v/>
      </c>
      <c r="M700" s="52" t="str">
        <f>IF(N(J700)=0,"",J700-J699)</f>
        <v/>
      </c>
    </row>
    <row r="701" spans="1:13" x14ac:dyDescent="0.35">
      <c r="A701" s="48"/>
      <c r="B701" s="48"/>
      <c r="C701" s="49"/>
      <c r="D701" s="50"/>
      <c r="E701" s="51" t="str">
        <f t="shared" si="264"/>
        <v/>
      </c>
      <c r="F701" s="71" t="str">
        <f t="shared" si="261"/>
        <v/>
      </c>
      <c r="G701" s="69" t="str">
        <f t="shared" si="263"/>
        <v/>
      </c>
      <c r="H701" s="70" t="str">
        <f t="shared" si="262"/>
        <v/>
      </c>
      <c r="I701" s="27" t="str">
        <f>IF(N(J701)=0,"",0&amp;"-"&amp;B$9)</f>
        <v/>
      </c>
      <c r="J701" s="52" t="str">
        <f>IF(N(B$9)=0,"",IF(AND(COUNT(H696:H707)=2,COUNT(F696:F707)=2),cubic_spline(F695:F697,H695:H697,B$9),IF(AND(COUNT(H696:H707)=3,COUNT(F696:F707)=3),cubic_spline(F695:F698,H695:H698,B$9),IF(AND(COUNT(H696:H707)=4,COUNT(F696:F707)=4),cubic_spline(F695:F699,H695:H699,B$9),IF(AND(COUNT(H696:H707)=5,COUNT(F696:F707)=5),cubic_spline(F695:F700,H695:H700,B$9),IF(AND(COUNT(H696:H707)=6,COUNT(F696:F707)=6),cubic_spline(F695:F701,H695:H701,B$9),IF(AND(COUNT(H696:H707)=7,COUNT(F696:F707)=7),cubic_spline(F695:F702,H695:H702,B$9),IF(AND(COUNT(H696:H707)=8,COUNT(F696:F707)=8),cubic_spline(F695:F703,H695:H703,B$9),IF(AND(COUNT(H696:H707)=9,COUNT(F696:F707)=9),cubic_spline(F695:F704,H695:H704,B$9),IF(AND(COUNT(H696:H707)=10,COUNT(F696:F707)=10),cubic_spline(F695:F705,H695:H705,B$9),IF(AND(COUNT(H696:H707)=11,COUNT(F696:F707)=11),cubic_spline(F695:F706,H695:H706,B$9),IF(AND(COUNT(H696:H707)=12,COUNT(F696:F707)=12),cubic_spline(F695:F707,H695:H707,B$9),""))))))))))))</f>
        <v/>
      </c>
      <c r="K701" s="52" t="str">
        <f>IF(N(B$9)=0,"",IF(AND(COUNT(A696:A707)=2,COUNT(F696:F707)=2),cubic_spline(F695:F697,A695:A697,B$9),IF(AND(COUNT(A696:A707)=3,COUNT(F696:F707)=3),cubic_spline(F695:F698,A695:A698,B$9),IF(AND(COUNT(A696:A707)=4,COUNT(F696:F707)=4),cubic_spline(F695:F699,A695:A699,B$9),IF(AND(COUNT(A696:A707)=5,COUNT(F696:F707)=5),cubic_spline(F695:F700,A695:A700,B$9),IF(AND(COUNT(A696:A707)=6,COUNT(F696:F707)=6),cubic_spline(F695:F701,A695:A701,B$9),IF(AND(COUNT(A696:A707)=7,COUNT(F696:F707)=7),cubic_spline(F695:F702,A695:A702,B$9),IF(AND(COUNT(A696:A707)=8,COUNT(F696:F707)=8),cubic_spline(F695:F703,A695:A703,B$9),IF(AND(COUNT(A696:A707)=9,COUNT(F696:F707)=9),cubic_spline(F695:F704,A695:A704,B$9),IF(AND(COUNT(A696:A707)=10,COUNT(F696:F707)=10),cubic_spline(F695:F705,A695:A705,B$9),IF(AND(COUNT(A696:A707)=11,COUNT(F696:F707)=11),cubic_spline(F695:F706,A695:A706,B$9),IF(AND(COUNT(A696:A707)=12,COUNT(F696:F707)=12),cubic_spline(F695:F707,A695:A707,B$9),""))))))))))))</f>
        <v/>
      </c>
      <c r="L701" s="27" t="str">
        <f>IF(I701="","",B$8&amp;"-"&amp;B$9)</f>
        <v/>
      </c>
      <c r="M701" s="52" t="str">
        <f t="shared" ref="M701:M707" si="265">IF(N(J701)=0,"",J701-J700)</f>
        <v/>
      </c>
    </row>
    <row r="702" spans="1:13" x14ac:dyDescent="0.35">
      <c r="A702" s="48"/>
      <c r="B702" s="48"/>
      <c r="C702" s="49"/>
      <c r="D702" s="50"/>
      <c r="E702" s="51" t="str">
        <f t="shared" si="264"/>
        <v/>
      </c>
      <c r="F702" s="71" t="str">
        <f t="shared" si="261"/>
        <v/>
      </c>
      <c r="G702" s="69" t="str">
        <f t="shared" si="263"/>
        <v/>
      </c>
      <c r="H702" s="70" t="str">
        <f t="shared" si="262"/>
        <v/>
      </c>
      <c r="I702" s="27" t="str">
        <f>IF(N(J702)=0,"",0&amp;"-"&amp;B$10)</f>
        <v/>
      </c>
      <c r="J702" s="52" t="str">
        <f>IF(N(B$10)=0,"",IF(AND(COUNT(H696:H707)=2,COUNT(F696:F707)=2),cubic_spline(F695:F697,H695:H697,B$10),IF(AND(COUNT(H696:H707)=3,COUNT(F696:F707)=3),cubic_spline(F695:F698,H695:H698,B$10),IF(AND(COUNT(H696:H707)=4,COUNT(F696:F707)=4),cubic_spline(F695:F699,H695:H699,B$10),IF(AND(COUNT(H696:H707)=5,COUNT(F696:F707)=5),cubic_spline(F695:F700,H695:H700,B$10),IF(AND(COUNT(H696:H707)=6,COUNT(F696:F707)=6),cubic_spline(F695:F701,H695:H701,B$10),IF(AND(COUNT(H696:H707)=7,COUNT(F696:F707)=7),cubic_spline(F695:F702,H695:H702,B$10),IF(AND(COUNT(H696:H707)=8,COUNT(F696:F707)=8),cubic_spline(F695:F703,H695:H703,B$10),IF(AND(COUNT(H696:H707)=9,COUNT(F696:F707)=9),cubic_spline(F695:F704,H695:H704,B$10),IF(AND(COUNT(H696:H707)=10,COUNT(F696:F707)=10),cubic_spline(F695:F705,H695:H705,B$10),IF(AND(COUNT(H696:H707)=11,COUNT(F696:F707)=11),cubic_spline(F695:F706,H695:H706,B$10),IF(AND(COUNT(H696:H707)=12,COUNT(F696:F707)=12),cubic_spline(F695:F707,H695:H707,B$10),""))))))))))))</f>
        <v/>
      </c>
      <c r="K702" s="52" t="str">
        <f>IF(N(B$10)=0,"",IF(AND(COUNT(A696:A707)=2,COUNT(F696:F707)=2),cubic_spline(F695:F697,A695:A697,B$10),IF(AND(COUNT(A696:A707)=3,COUNT(F696:F707)=3),cubic_spline(F695:F698,A695:A698,B$10),IF(AND(COUNT(A696:A707)=4,COUNT(F696:F707)=4),cubic_spline(F695:F699,A695:A699,B$10),IF(AND(COUNT(A696:A707)=5,COUNT(F696:F707)=5),cubic_spline(F695:F700,A695:A700,B$10),IF(AND(COUNT(A696:A707)=6,COUNT(F696:F707)=6),cubic_spline(F695:F701,A695:A701,B$10),IF(AND(COUNT(A696:A707)=7,COUNT(F696:F707)=7),cubic_spline(F695:F702,A695:A702,B$10),IF(AND(COUNT(A696:A707)=8,COUNT(F696:F707)=8),cubic_spline(F695:F703,A695:A703,B$10),IF(AND(COUNT(A696:A707)=9,COUNT(F696:F707)=9),cubic_spline(F695:F704,A695:A704,B$10),IF(AND(COUNT(A696:A707)=10,COUNT(F696:F707)=10),cubic_spline(F695:F705,A695:A705,B$10),IF(AND(COUNT(A696:A707)=11,COUNT(F696:F707)=11),cubic_spline(F695:F706,A695:A706,B$10),IF(AND(COUNT(A696:A707)=12,COUNT(F696:F707)=12),cubic_spline(F695:F707,A695:A707,B$10),""))))))))))))</f>
        <v/>
      </c>
      <c r="L702" s="27" t="str">
        <f>IF(I702="","",B$9&amp;"-"&amp;B$10)</f>
        <v/>
      </c>
      <c r="M702" s="52" t="str">
        <f t="shared" si="265"/>
        <v/>
      </c>
    </row>
    <row r="703" spans="1:13" x14ac:dyDescent="0.35">
      <c r="A703" s="48"/>
      <c r="B703" s="48"/>
      <c r="C703" s="49"/>
      <c r="D703" s="50"/>
      <c r="E703" s="51" t="str">
        <f t="shared" si="264"/>
        <v/>
      </c>
      <c r="F703" s="71" t="str">
        <f t="shared" si="261"/>
        <v/>
      </c>
      <c r="G703" s="69" t="str">
        <f t="shared" si="263"/>
        <v/>
      </c>
      <c r="H703" s="70" t="str">
        <f t="shared" si="262"/>
        <v/>
      </c>
      <c r="I703" s="27" t="str">
        <f>IF(N(J703)=0,"",0&amp;"-"&amp;B$11)</f>
        <v/>
      </c>
      <c r="J703" s="52" t="str">
        <f>IF(N(B$11)=0,"",IF(AND(COUNT(H696:H707)=2,COUNT(F696:F707)=2),cubic_spline(F695:F697,H695:H697,B$11),IF(AND(COUNT(H696:H707)=3,COUNT(F696:F707)=3),cubic_spline(F695:F698,H695:H698,B$11),IF(AND(COUNT(H696:H707)=4,COUNT(F696:F707)=4),cubic_spline(F695:F699,H695:H699,B$11),IF(AND(COUNT(H696:H707)=5,COUNT(F696:F707)=5),cubic_spline(F695:F700,H695:H700,B$11),IF(AND(COUNT(H696:H707)=6,COUNT(F696:F707)=6),cubic_spline(F695:F701,H695:H701,B$11),IF(AND(COUNT(H696:H707)=7,COUNT(F696:F707)=7),cubic_spline(F695:F702,H695:H702,B$11),IF(AND(COUNT(H696:H707)=8,COUNT(F696:F707)=8),cubic_spline(F695:F703,H695:H703,B$11),IF(AND(COUNT(H696:H707)=9,COUNT(F696:F707)=9),cubic_spline(F695:F704,H695:H704,B$11),IF(AND(COUNT(H696:H707)=10,COUNT(F696:F707)=10),cubic_spline(F695:F705,H695:H705,B$11),IF(AND(COUNT(H696:H707)=11,COUNT(F696:F707)=11),cubic_spline(F695:F706,H695:H706,B$11),IF(AND(COUNT(H696:H707)=12,COUNT(F696:F707)=12),cubic_spline(F695:F707,H695:H707,B$11),""))))))))))))</f>
        <v/>
      </c>
      <c r="K703" s="52" t="str">
        <f>IF(N(B$11)=0,"",IF(AND(COUNT(A696:A707)=2,COUNT(F696:F707)=2),cubic_spline(F695:F697,A695:A697,B$11),IF(AND(COUNT(A696:A707)=3,COUNT(F696:F707)=3),cubic_spline(F695:F698,A695:A698,B$11),IF(AND(COUNT(A696:A707)=4,COUNT(F696:F707)=4),cubic_spline(F695:F699,A695:A699,B$11),IF(AND(COUNT(A696:A707)=5,COUNT(F696:F707)=5),cubic_spline(F695:F700,A695:A700,B$11),IF(AND(COUNT(A696:A707)=6,COUNT(F696:F707)=6),cubic_spline(F695:F701,A695:A701,B$11),IF(AND(COUNT(A696:A707)=7,COUNT(F696:F707)=7),cubic_spline(F695:F702,A695:A702,B$11),IF(AND(COUNT(A696:A707)=8,COUNT(F696:F707)=8),cubic_spline(F695:F703,A695:A703,B$11),IF(AND(COUNT(A696:A707)=9,COUNT(F696:F707)=9),cubic_spline(F695:F704,A695:A704,B$11),IF(AND(COUNT(A696:A707)=10,COUNT(F696:F707)=10),cubic_spline(F695:F705,A695:A705,B$11),IF(AND(COUNT(A696:A707)=11,COUNT(F696:F707)=11),cubic_spline(F695:F706,A695:A706,B$11),IF(AND(COUNT(A696:A707)=12,COUNT(F696:F707)=12),cubic_spline(F695:F707,A695:A707,B$11),""))))))))))))</f>
        <v/>
      </c>
      <c r="L703" s="27" t="str">
        <f>IF(I703="","",B$10&amp;"-"&amp;B$11)</f>
        <v/>
      </c>
      <c r="M703" s="52" t="str">
        <f t="shared" si="265"/>
        <v/>
      </c>
    </row>
    <row r="704" spans="1:13" x14ac:dyDescent="0.35">
      <c r="A704" s="48"/>
      <c r="B704" s="48"/>
      <c r="C704" s="49"/>
      <c r="D704" s="50"/>
      <c r="E704" s="51" t="str">
        <f t="shared" si="264"/>
        <v/>
      </c>
      <c r="F704" s="71" t="str">
        <f t="shared" si="261"/>
        <v/>
      </c>
      <c r="G704" s="69" t="str">
        <f t="shared" si="263"/>
        <v/>
      </c>
      <c r="H704" s="70" t="str">
        <f t="shared" si="262"/>
        <v/>
      </c>
      <c r="I704" s="27" t="str">
        <f>IF(N(J704)=0,"",0&amp;"-"&amp;B$12)</f>
        <v/>
      </c>
      <c r="J704" s="52" t="str">
        <f>IF(N(B$12)=0,"",IF(AND(COUNT(H696:H707)=2,COUNT(F696:F707)=2),cubic_spline(F695:F697,H695:H697,B$12),IF(AND(COUNT(H696:H707)=3,COUNT(F696:F707)=3),cubic_spline(F695:F698,H695:H698,B$12),IF(AND(COUNT(H696:H707)=4,COUNT(F696:F707)=4),cubic_spline(F695:F699,H695:H699,B$12),IF(AND(COUNT(H696:H707)=5,COUNT(F696:F707)=5),cubic_spline(F695:F700,H695:H700,B$12),IF(AND(COUNT(H696:H707)=6,COUNT(F696:F707)=6),cubic_spline(F695:F701,H695:H701,B$12),IF(AND(COUNT(H696:H707)=7,COUNT(F696:F707)=7),cubic_spline(F695:F702,H695:H702,B$12),IF(AND(COUNT(H696:H707)=8,COUNT(F696:F707)=8),cubic_spline(F695:F703,H695:H703,B$12),IF(AND(COUNT(H696:H707)=9,COUNT(F696:F707)=9),cubic_spline(F695:F704,H695:H704,B$12),IF(AND(COUNT(H696:H707)=10,COUNT(F696:F707)=10),cubic_spline(F695:F705,H695:H705,B$12),IF(AND(COUNT(H696:H707)=11,COUNT(F696:F707)=11),cubic_spline(F695:F706,H695:H706,B$12),IF(AND(COUNT(H696:H707)=12,COUNT(F696:F707)=12),cubic_spline(F695:F707,H695:H707,B$12),""))))))))))))</f>
        <v/>
      </c>
      <c r="K704" s="52" t="str">
        <f>IF(N(B$12)=0,"",IF(AND(COUNT(A696:A707)=2,COUNT(F696:F707)=2),cubic_spline(F695:F697,A695:A697,B$12),IF(AND(COUNT(A696:A707)=3,COUNT(F696:F707)=3),cubic_spline(F695:F698,A695:A698,B$12),IF(AND(COUNT(A696:A707)=4,COUNT(F696:F707)=4),cubic_spline(F695:F699,A695:A699,B$12),IF(AND(COUNT(A696:A707)=5,COUNT(F696:F707)=5),cubic_spline(F695:F700,A695:A700,B$12),IF(AND(COUNT(A696:A707)=6,COUNT(F696:F707)=6),cubic_spline(F695:F701,A695:A701,B$12),IF(AND(COUNT(A696:A707)=7,COUNT(F696:F707)=7),cubic_spline(F695:F702,A695:A702,B$12),IF(AND(COUNT(A696:A707)=8,COUNT(F696:F707)=8),cubic_spline(F695:F703,A695:A703,B$12),IF(AND(COUNT(A696:A707)=9,COUNT(F696:F707)=9),cubic_spline(F695:F704,A695:A704,B$12),IF(AND(COUNT(A696:A707)=10,COUNT(F696:F707)=10),cubic_spline(F695:F705,A695:A705,B$12),IF(AND(COUNT(A696:A707)=11,COUNT(F696:F707)=11),cubic_spline(F695:F706,A695:A706,B$12),IF(AND(COUNT(A696:A707)=12,COUNT(F696:F707)=12),cubic_spline(F695:F707,A695:A707,B$12),""))))))))))))</f>
        <v/>
      </c>
      <c r="L704" s="27" t="str">
        <f>IF(I704="","",B$11&amp;"-"&amp;B$12)</f>
        <v/>
      </c>
      <c r="M704" s="52" t="str">
        <f t="shared" si="265"/>
        <v/>
      </c>
    </row>
    <row r="705" spans="1:13" x14ac:dyDescent="0.35">
      <c r="A705" s="48"/>
      <c r="B705" s="48"/>
      <c r="C705" s="49"/>
      <c r="D705" s="50"/>
      <c r="E705" s="51" t="str">
        <f t="shared" si="264"/>
        <v/>
      </c>
      <c r="F705" s="71" t="str">
        <f t="shared" si="261"/>
        <v/>
      </c>
      <c r="G705" s="69" t="str">
        <f t="shared" si="263"/>
        <v/>
      </c>
      <c r="H705" s="70" t="str">
        <f t="shared" si="262"/>
        <v/>
      </c>
      <c r="I705" s="27" t="str">
        <f>IF(N(J705)=0,"",0&amp;"-"&amp;B$13)</f>
        <v/>
      </c>
      <c r="J705" s="52" t="str">
        <f>IF(N(B$13)=0,"",IF(AND(COUNT(H696:H707)=2,COUNT(F696:F707)=2),cubic_spline(F695:F697,H695:H697,B$13),IF(AND(COUNT(H696:H707)=3,COUNT(F696:F707)=3),cubic_spline(F695:F698,H695:H698,B$13),IF(AND(COUNT(H696:H707)=4,COUNT(F696:F707)=4),cubic_spline(F695:F699,H695:H699,B$13),IF(AND(COUNT(H696:H707)=5,COUNT(F696:F707)=5),cubic_spline(F695:F700,H695:H700,B$13),IF(AND(COUNT(H696:H707)=6,COUNT(F696:F707)=6),cubic_spline(F695:F701,H695:H701,B$13),IF(AND(COUNT(H696:H707)=7,COUNT(F696:F707)=7),cubic_spline(F695:F702,H695:H702,B$13),IF(AND(COUNT(H696:H707)=8,COUNT(F696:F707)=8),cubic_spline(F695:F703,H695:H703,B$13),IF(AND(COUNT(H696:H707)=9,COUNT(F696:F707)=9),cubic_spline(F695:F704,H695:H704,B$13),IF(AND(COUNT(H696:H707)=10,COUNT(F696:F707)=10),cubic_spline(F695:F705,H695:H705,B$13),IF(AND(COUNT(H696:H707)=11,COUNT(F696:F707)=11),cubic_spline(F695:F706,H695:H706,B$13),IF(AND(COUNT(H696:H707)=12,COUNT(F696:F707)=12),cubic_spline(F695:F707,H695:H707,B$13),""))))))))))))</f>
        <v/>
      </c>
      <c r="K705" s="52" t="str">
        <f>IF(N(B$13)=0,"",IF(AND(COUNT(A696:A707)=2,COUNT(F696:F707)=2),cubic_spline(F695:F697,A695:A697,B$13),IF(AND(COUNT(A696:A707)=3,COUNT(F696:F707)=3),cubic_spline(F695:F698,A695:A698,B$13),IF(AND(COUNT(A696:A707)=4,COUNT(F696:F707)=4),cubic_spline(F695:F699,A695:A699,B$13),IF(AND(COUNT(A696:A707)=5,COUNT(F696:F707)=5),cubic_spline(F695:F700,A695:A700,B$13),IF(AND(COUNT(A696:A707)=6,COUNT(F696:F707)=6),cubic_spline(F695:F701,A695:A701,B$13),IF(AND(COUNT(A696:A707)=7,COUNT(F696:F707)=7),cubic_spline(F695:F702,A695:A702,B$13),IF(AND(COUNT(A696:A707)=8,COUNT(F696:F707)=8),cubic_spline(F695:F703,A695:A703,B$13),IF(AND(COUNT(A696:A707)=9,COUNT(F696:F707)=9),cubic_spline(F695:F704,A695:A704,B$13),IF(AND(COUNT(A696:A707)=10,COUNT(F696:F707)=10),cubic_spline(F695:F705,A695:A705,B$13),IF(AND(COUNT(A696:A707)=11,COUNT(F696:F707)=11),cubic_spline(F695:F706,A695:A706,B$13),IF(AND(COUNT(A696:A707)=12,COUNT(F696:F707)=12),cubic_spline(F695:F707,A695:A707,B$13),""))))))))))))</f>
        <v/>
      </c>
      <c r="L705" s="27" t="str">
        <f>IF(I705="","",B$12&amp;"-"&amp;B$13)</f>
        <v/>
      </c>
      <c r="M705" s="52" t="str">
        <f t="shared" si="265"/>
        <v/>
      </c>
    </row>
    <row r="706" spans="1:13" x14ac:dyDescent="0.35">
      <c r="A706" s="48"/>
      <c r="B706" s="48"/>
      <c r="C706" s="49"/>
      <c r="D706" s="50"/>
      <c r="E706" s="51" t="str">
        <f t="shared" si="264"/>
        <v/>
      </c>
      <c r="F706" s="71" t="str">
        <f t="shared" si="261"/>
        <v/>
      </c>
      <c r="G706" s="69" t="str">
        <f t="shared" si="263"/>
        <v/>
      </c>
      <c r="H706" s="70" t="str">
        <f t="shared" si="262"/>
        <v/>
      </c>
      <c r="I706" s="27" t="str">
        <f>IF(N(J706)=0,"",0&amp;"-"&amp;B$14)</f>
        <v/>
      </c>
      <c r="J706" s="52" t="str">
        <f>IF(N(B$14)=0,"",IF(AND(COUNT(H696:H707)=2,COUNT(F696:F707)=2),cubic_spline(F695:F697,H695:H697,B$14),IF(AND(COUNT(H696:H707)=3,COUNT(F696:F707)=3),cubic_spline(F695:F698,H695:H698,B$14),IF(AND(COUNT(H696:H707)=4,COUNT(F696:F707)=4),cubic_spline(F695:F699,H695:H699,B$14),IF(AND(COUNT(H696:H707)=5,COUNT(F696:F707)=5),cubic_spline(F695:F700,H695:H700,B$14),IF(AND(COUNT(H696:H707)=6,COUNT(F696:F707)=6),cubic_spline(F695:F701,H695:H701,B$14),IF(AND(COUNT(H696:H707)=7,COUNT(F696:F707)=7),cubic_spline(F695:F702,H695:H702,B$14),IF(AND(COUNT(H696:H707)=8,COUNT(F696:F707)=8),cubic_spline(F695:F703,H695:H703,B$14),IF(AND(COUNT(H696:H707)=9,COUNT(F696:F707)=9),cubic_spline(F695:F704,H695:H704,B$14),IF(AND(COUNT(H696:H707)=10,COUNT(F696:F707)=10),cubic_spline(F695:F705,H695:H705,B$14),IF(AND(COUNT(H696:H707)=11,COUNT(F696:F707)=11),cubic_spline(F695:F706,H695:H706,B$14),IF(AND(COUNT(H696:H707)=12,COUNT(F696:F707)=12),cubic_spline(F695:F707,H695:H707,B$14),""))))))))))))</f>
        <v/>
      </c>
      <c r="K706" s="52" t="str">
        <f>IF(N(B$14)=0,"",IF(AND(COUNT(A696:A707)=2,COUNT(F696:F707)=2),cubic_spline(F695:F697,A695:A697,B$14),IF(AND(COUNT(A696:A707)=3,COUNT(F696:F707)=3),cubic_spline(F695:F698,A695:A698,B$14),IF(AND(COUNT(A696:A707)=4,COUNT(F696:F707)=4),cubic_spline(F695:F699,A695:A699,B$14),IF(AND(COUNT(A696:A707)=5,COUNT(F696:F707)=5),cubic_spline(F695:F700,A695:A700,B$14),IF(AND(COUNT(A696:A707)=6,COUNT(F696:F707)=6),cubic_spline(F695:F701,A695:A701,B$14),IF(AND(COUNT(A696:A707)=7,COUNT(F696:F707)=7),cubic_spline(F695:F702,A695:A702,B$14),IF(AND(COUNT(A696:A707)=8,COUNT(F696:F707)=8),cubic_spline(F695:F703,A695:A703,B$14),IF(AND(COUNT(A696:A707)=9,COUNT(F696:F707)=9),cubic_spline(F695:F704,A695:A704,B$14),IF(AND(COUNT(A696:A707)=10,COUNT(F696:F707)=10),cubic_spline(F695:F705,A695:A705,B$14),IF(AND(COUNT(A696:A707)=11,COUNT(F696:F707)=11),cubic_spline(F695:F706,A695:A706,B$14),IF(AND(COUNT(A696:A707)=12,COUNT(F696:F707)=12),cubic_spline(F695:F707,A695:A707,B$14),""))))))))))))</f>
        <v/>
      </c>
      <c r="L706" s="27" t="str">
        <f>IF(I706="","",B$13&amp;"-"&amp;B$14)</f>
        <v/>
      </c>
      <c r="M706" s="52" t="str">
        <f t="shared" si="265"/>
        <v/>
      </c>
    </row>
    <row r="707" spans="1:13" x14ac:dyDescent="0.35">
      <c r="A707" s="48"/>
      <c r="B707" s="48"/>
      <c r="C707" s="49"/>
      <c r="D707" s="50"/>
      <c r="E707" s="51" t="str">
        <f t="shared" si="264"/>
        <v/>
      </c>
      <c r="F707" s="71" t="str">
        <f t="shared" si="261"/>
        <v/>
      </c>
      <c r="G707" s="69" t="str">
        <f t="shared" si="263"/>
        <v/>
      </c>
      <c r="H707" s="70" t="str">
        <f t="shared" si="262"/>
        <v/>
      </c>
      <c r="I707" s="27" t="str">
        <f>IF(N(J707)=0,"",0&amp;"-"&amp;B$15)</f>
        <v/>
      </c>
      <c r="J707" s="52" t="str">
        <f>IF(N(B$15)=0,"",IF(AND(COUNT(H696:H707)=2,COUNT(F696:F707)=2),cubic_spline(F695:F697,H695:H697,B$15),IF(AND(COUNT(H696:H707)=3,COUNT(F696:F707)=3),cubic_spline(F695:F698,H695:H698,B$15),IF(AND(COUNT(H696:H707)=4,COUNT(F696:F707)=4),cubic_spline(F695:F699,H695:H699,B$15),IF(AND(COUNT(H696:H707)=5,COUNT(F696:F707)=5),cubic_spline(F695:F700,H695:H700,B$15),IF(AND(COUNT(H696:H707)=6,COUNT(F696:F707)=6),cubic_spline(F695:F701,H695:H701,B$15),IF(AND(COUNT(H696:H707)=7,COUNT(F696:F707)=7),cubic_spline(F695:F702,H695:H702,B$15),IF(AND(COUNT(H696:H707)=8,COUNT(F696:F707)=8),cubic_spline(F695:F703,H695:H703,B$15),IF(AND(COUNT(H696:H707)=9,COUNT(F696:F707)=9),cubic_spline(F695:F704,H695:H704,B$15),IF(AND(COUNT(H696:H707)=10,COUNT(F696:F707)=10),cubic_spline(F695:F705,H695:H705,B$15),IF(AND(COUNT(H696:H707)=11,COUNT(F696:F707)=11),cubic_spline(F695:F706,H695:H706,B$15),IF(AND(COUNT(H696:H707)=12,COUNT(F696:F707)=12),cubic_spline(F695:F707,H695:H707,B$15),""))))))))))))</f>
        <v/>
      </c>
      <c r="K707" s="52" t="str">
        <f>IF(N(B$15)=0,"",IF(AND(COUNT(A696:A707)=2,COUNT(F696:F707)=2),cubic_spline(F695:F697,A695:A697,B$15),IF(AND(COUNT(A696:A707)=3,COUNT(F696:F707)=3),cubic_spline(F695:F698,A695:A698,B$15),IF(AND(COUNT(A696:A707)=4,COUNT(F696:F707)=4),cubic_spline(F695:F699,A695:A699,B$15),IF(AND(COUNT(A696:A707)=5,COUNT(F696:F707)=5),cubic_spline(F695:F700,A695:A700,B$15),IF(AND(COUNT(A696:A707)=6,COUNT(F696:F707)=6),cubic_spline(F695:F701,A695:A701,B$15),IF(AND(COUNT(A696:A707)=7,COUNT(F696:F707)=7),cubic_spline(F695:F702,A695:A702,B$15),IF(AND(COUNT(A696:A707)=8,COUNT(F696:F707)=8),cubic_spline(F695:F703,A695:A703,B$15),IF(AND(COUNT(A696:A707)=9,COUNT(F696:F707)=9),cubic_spline(F695:F704,A695:A704,B$15),IF(AND(COUNT(A696:A707)=10,COUNT(F696:F707)=10),cubic_spline(F695:F705,A695:A705,B$15),IF(AND(COUNT(A696:A707)=11,COUNT(F696:F707)=11),cubic_spline(F695:F706,A695:A706,B$15),IF(AND(COUNT(A696:A707)=12,COUNT(F696:F707)=12),cubic_spline(F695:F707,A695:A707,B$15),""))))))))))))</f>
        <v/>
      </c>
      <c r="L707" s="27" t="str">
        <f>IF(I707="","",B$14&amp;"-"&amp;B$15)</f>
        <v/>
      </c>
      <c r="M707" s="52" t="str">
        <f t="shared" si="265"/>
        <v/>
      </c>
    </row>
    <row r="708" spans="1:13" ht="5.15" customHeight="1" x14ac:dyDescent="0.35">
      <c r="A708" s="47"/>
      <c r="B708" s="47"/>
      <c r="C708" s="47"/>
      <c r="D708" s="53"/>
      <c r="E708" s="54"/>
      <c r="F708" s="55"/>
      <c r="G708" s="72"/>
      <c r="H708" s="73"/>
      <c r="I708" s="47"/>
      <c r="J708" s="57"/>
      <c r="K708" s="57"/>
      <c r="L708" s="55"/>
      <c r="M708" s="57"/>
    </row>
    <row r="709" spans="1:13" x14ac:dyDescent="0.35">
      <c r="A709" s="48"/>
      <c r="B709" s="48"/>
      <c r="C709" s="49"/>
      <c r="D709" s="50"/>
      <c r="E709" s="51" t="str">
        <f>IF(N(C709)=0,"",C709/PI()/($D$1/2)^2/$D$2*10000)</f>
        <v/>
      </c>
      <c r="F709" s="68" t="str">
        <f t="shared" ref="F709:F720" si="266">IF(N(E709)=0,"",(N(E709)+N(F708)))</f>
        <v/>
      </c>
      <c r="G709" s="69" t="str">
        <f>IF(OR(N(D709)=0,N(E709)=0),"",(E709*D709)/1000)</f>
        <v/>
      </c>
      <c r="H709" s="70" t="str">
        <f t="shared" ref="H709:H720" si="267">IF(N(G709)=0,"",(N(G709)+N(H708)))</f>
        <v/>
      </c>
      <c r="I709" s="27" t="str">
        <f>IF(N(J709)=0,"",0&amp;"-"&amp;B$4)</f>
        <v/>
      </c>
      <c r="J709" s="52" t="str">
        <f>IF(N(B$4)=0,"",IF(AND(COUNT(H709:H720)=2,COUNT(F709:F720)=2),cubic_spline(F708:F710,H708:H710,B$4),IF(AND(COUNT(H709:H720)=3,COUNT(F709:F720)=3),cubic_spline(F708:F711,H708:H711,B$4),IF(AND(COUNT(H709:H720)=4,COUNT(F709:F720)=4),cubic_spline(F708:F712,H708:H712,B$4),IF(AND(COUNT(H709:H720)=5,COUNT(F709:F720)=5),cubic_spline(F708:F713,H708:H713,B$4),IF(AND(COUNT(H709:H720)=6,COUNT(F709:F720)=6),cubic_spline(F708:F714,H708:H714,B$4),IF(AND(COUNT(H709:H720)=7,COUNT(F709:F720)=7),cubic_spline(F708:F715,H708:H715,B$4),IF(AND(COUNT(H709:H720)=8,COUNT(F709:F720)=8),cubic_spline(F708:F716,H708:H716,B$4),IF(AND(COUNT(H709:H720)=9,COUNT(F709:F720)=9),cubic_spline(F708:F717,H708:H717,B$4),IF(AND(COUNT(H709:H720)=10,COUNT(F709:F720)=10),cubic_spline(F708:F718,H708:H718,B$4),IF(AND(COUNT(H709:H720)=11,COUNT(F709:F720)=11),cubic_spline(F708:F719,H708:H719,B$4),IF(AND(COUNT(H709:H720)=12,COUNT(F709:F720)=12),cubic_spline(F708:F720,H708:H720,B$4),""))))))))))))</f>
        <v/>
      </c>
      <c r="K709" s="52" t="str">
        <f>IF(N(B$4)=0,"",IF(AND(COUNT(A709:A720)=2,COUNT(F709:F720)=2),cubic_spline(F708:F710,A708:A710,B$4),IF(AND(COUNT(A709:A720)=3,COUNT(F709:F720)=3),cubic_spline(F708:F711,A708:A711,B$4),IF(AND(COUNT(A709:A720)=4,COUNT(F709:F720)=4),cubic_spline(F708:F712,A708:A712,B$4),IF(AND(COUNT(A709:A720)=5,COUNT(F709:F720)=5),cubic_spline(F708:F713,A708:A713,B$4),IF(AND(COUNT(A709:A720)=6,COUNT(F709:F720)=6),cubic_spline(F708:F714,A708:A714,B$4),IF(AND(COUNT(A709:A720)=7,COUNT(F709:F720)=7),cubic_spline(F708:F715,A708:A715,B$4),IF(AND(COUNT(A709:A720)=8,COUNT(F709:F720)=8),cubic_spline(F708:F716,A708:A716,B$4),IF(AND(COUNT(A709:A720)=9,COUNT(F709:F720)=9),cubic_spline(F708:F717,A708:A717,B$4),IF(AND(COUNT(A709:A720)=10,COUNT(F709:F720)=10),cubic_spline(F708:F718,A708:A718,B$4),IF(AND(COUNT(A709:A720)=11,COUNT(F709:F720)=11),cubic_spline(F708:F719,A708:A719,B$4),IF(AND(COUNT(A709:A720)=12,COUNT(F709:F720)=12),cubic_spline(F708:F720,A708:A720,B$4),""))))))))))))</f>
        <v/>
      </c>
      <c r="L709" s="27" t="str">
        <f>IF(I709="","",0&amp;"-"&amp;B$4)</f>
        <v/>
      </c>
      <c r="M709" s="52" t="str">
        <f>IF(N(J709)=0,"",J709-J708)</f>
        <v/>
      </c>
    </row>
    <row r="710" spans="1:13" x14ac:dyDescent="0.35">
      <c r="A710" s="48"/>
      <c r="B710" s="48"/>
      <c r="C710" s="49"/>
      <c r="D710" s="50"/>
      <c r="E710" s="51" t="str">
        <f>IF(N(C710)=0,"",C710/PI()/($D$1/2)^2/$D$2*10000)</f>
        <v/>
      </c>
      <c r="F710" s="68" t="str">
        <f t="shared" si="266"/>
        <v/>
      </c>
      <c r="G710" s="69" t="str">
        <f t="shared" ref="G710:G720" si="268">IF(OR(N(D710)=0,N(E710)=0),"",(E710*D710)/1000)</f>
        <v/>
      </c>
      <c r="H710" s="70" t="str">
        <f t="shared" si="267"/>
        <v/>
      </c>
      <c r="I710" s="27" t="str">
        <f>IF(N(J710)=0,"",0&amp;"-"&amp;B$5)</f>
        <v/>
      </c>
      <c r="J710" s="52" t="str">
        <f>IF(N(B$5)=0,"",IF(AND(COUNT(H709:H720)=2,COUNT(F709:F720)=2),cubic_spline(F708:F710,H708:H710,B$5),IF(AND(COUNT(H709:H720)=3,COUNT(F709:F720)=3),cubic_spline(F708:F711,H708:H711,B$5),IF(AND(COUNT(H709:H720)=4,COUNT(F709:F720)=4),cubic_spline(F708:F712,H708:H712,B$5),IF(AND(COUNT(H709:H720)=5,COUNT(F709:F720)=5),cubic_spline(F708:F713,H708:H713,B$5),IF(AND(COUNT(H709:H720)=6,COUNT(F709:F720)=6),cubic_spline(F708:F714,H708:H714,B$5),IF(AND(COUNT(H709:H720)=7,COUNT(F709:F720)=7),cubic_spline(F708:F715,H708:H715,B$5),IF(AND(COUNT(H709:H720)=8,COUNT(F709:F720)=8),cubic_spline(F708:F716,H708:H716,B$5),IF(AND(COUNT(H709:H720)=9,COUNT(F709:F720)=9),cubic_spline(F708:F717,H708:H717,B$5),IF(AND(COUNT(H709:H720)=10,COUNT(F709:F720)=10),cubic_spline(F708:F718,H708:H718,B$5),IF(AND(COUNT(H709:H720)=11,COUNT(F709:F720)=11),cubic_spline(F708:F719,H708:H719,B$5),IF(AND(COUNT(H709:H720)=12,COUNT(F709:F720)=12),cubic_spline(F708:F720,H708:H720,B$5),""))))))))))))</f>
        <v/>
      </c>
      <c r="K710" s="52" t="str">
        <f>IF(N(B$5)=0,"",IF(AND(COUNT(A709:A720)=2,COUNT(F709:F720)=2),cubic_spline(F708:F710,A708:A710,B$5),IF(AND(COUNT(A709:A720)=3,COUNT(F709:F720)=3),cubic_spline(F708:F711,A708:A711,B$5),IF(AND(COUNT(A709:A720)=4,COUNT(F709:F720)=4),cubic_spline(F708:F712,A708:A712,B$5),IF(AND(COUNT(A709:A720)=5,COUNT(F709:F720)=5),cubic_spline(F708:F713,A708:A713,B$5),IF(AND(COUNT(A709:A720)=6,COUNT(F709:F720)=6),cubic_spline(F708:F714,A708:A714,B$5),IF(AND(COUNT(A709:A720)=7,COUNT(F709:F720)=7),cubic_spline(F708:F715,A708:A715,B$5),IF(AND(COUNT(A709:A720)=8,COUNT(F709:F720)=8),cubic_spline(F708:F716,A708:A716,B$5),IF(AND(COUNT(A709:A720)=9,COUNT(F709:F720)=9),cubic_spline(F708:F717,A708:A717,B$5),IF(AND(COUNT(A709:A720)=10,COUNT(F709:F720)=10),cubic_spline(F708:F718,A708:A718,B$5),IF(AND(COUNT(A709:A720)=11,COUNT(F709:F720)=11),cubic_spline(F708:F719,A708:A719,B$5),IF(AND(COUNT(A709:A720)=12,COUNT(F709:F720)=12),cubic_spline(F708:F720,A708:A720,B$5),""))))))))))))</f>
        <v/>
      </c>
      <c r="L710" s="27" t="str">
        <f>IF(I710="","",B$4&amp;"-"&amp;B$5)</f>
        <v/>
      </c>
      <c r="M710" s="52" t="str">
        <f>IF(N(J710)=0,"",J710-J709)</f>
        <v/>
      </c>
    </row>
    <row r="711" spans="1:13" x14ac:dyDescent="0.35">
      <c r="A711" s="48"/>
      <c r="B711" s="48"/>
      <c r="C711" s="49"/>
      <c r="D711" s="50"/>
      <c r="E711" s="51" t="str">
        <f>IF(N(C711)=0,"",C711/PI()/($D$1/2)^2/$D$2*10000)</f>
        <v/>
      </c>
      <c r="F711" s="68" t="str">
        <f t="shared" si="266"/>
        <v/>
      </c>
      <c r="G711" s="69" t="str">
        <f t="shared" si="268"/>
        <v/>
      </c>
      <c r="H711" s="70" t="str">
        <f t="shared" si="267"/>
        <v/>
      </c>
      <c r="I711" s="27" t="str">
        <f>IF(N(J711)=0,"",0&amp;"-"&amp;B$6)</f>
        <v/>
      </c>
      <c r="J711" s="52" t="str">
        <f>IF(N(B$6)=0,"",IF(AND(COUNT(H709:H720)=2,COUNT(F709:F720)=2),cubic_spline(F708:F710,H708:H710,B$6),IF(AND(COUNT(H709:H720)=3,COUNT(F709:F720)=3),cubic_spline(F708:F711,H708:H711,B$6),IF(AND(COUNT(H709:H720)=4,COUNT(F709:F720)=4),cubic_spline(F708:F712,H708:H712,B$6),IF(AND(COUNT(H709:H720)=5,COUNT(F709:F720)=5),cubic_spline(F708:F713,H708:H713,B$6),IF(AND(COUNT(H709:H720)=6,COUNT(F709:F720)=6),cubic_spline(F708:F714,H708:H714,B$6),IF(AND(COUNT(H709:H720)=7,COUNT(F709:F720)=7),cubic_spline(F708:F715,H708:H715,B$6),IF(AND(COUNT(H709:H720)=8,COUNT(F709:F720)=8),cubic_spline(F708:F716,H708:H716,B$6),IF(AND(COUNT(H709:H720)=9,COUNT(F709:F720)=9),cubic_spline(F708:F717,H708:H717,B$6),IF(AND(COUNT(H709:H720)=10,COUNT(F709:F720)=10),cubic_spline(F708:F718,H708:H718,B$6),IF(AND(COUNT(H709:H720)=11,COUNT(F709:F720)=11),cubic_spline(F708:F719,H708:H719,B$6),IF(AND(COUNT(H709:H720)=12,COUNT(F709:F720)=12),cubic_spline(F708:F720,H708:H720,B$6),""))))))))))))</f>
        <v/>
      </c>
      <c r="K711" s="52" t="str">
        <f>IF(N(B$6)=0,"",IF(AND(COUNT(A709:A720)=2,COUNT(F709:F720)=2),cubic_spline(F708:F710,A708:A710,B$6),IF(AND(COUNT(A709:A720)=3,COUNT(F709:F720)=3),cubic_spline(F708:F711,A708:A711,B$6),IF(AND(COUNT(A709:A720)=4,COUNT(F709:F720)=4),cubic_spline(F708:F712,A708:A712,B$6),IF(AND(COUNT(A709:A720)=5,COUNT(F709:F720)=5),cubic_spline(F708:F713,A708:A713,B$6),IF(AND(COUNT(A709:A720)=6,COUNT(F709:F720)=6),cubic_spline(F708:F714,A708:A714,B$6),IF(AND(COUNT(A709:A720)=7,COUNT(F709:F720)=7),cubic_spline(F708:F715,A708:A715,B$6),IF(AND(COUNT(A709:A720)=8,COUNT(F709:F720)=8),cubic_spline(F708:F716,A708:A716,B$6),IF(AND(COUNT(A709:A720)=9,COUNT(F709:F720)=9),cubic_spline(F708:F717,A708:A717,B$6),IF(AND(COUNT(A709:A720)=10,COUNT(F709:F720)=10),cubic_spline(F708:F718,A708:A718,B$6),IF(AND(COUNT(A709:A720)=11,COUNT(F709:F720)=11),cubic_spline(F708:F719,A708:A719,B$6),IF(AND(COUNT(A709:A720)=12,COUNT(F709:F720)=12),cubic_spline(F708:F720,A708:A720,B$6),""))))))))))))</f>
        <v/>
      </c>
      <c r="L711" s="27" t="str">
        <f>IF(I711="","",B$5&amp;"-"&amp;B$6)</f>
        <v/>
      </c>
      <c r="M711" s="52" t="str">
        <f>IF(N(J711)=0,"",J711-J710)</f>
        <v/>
      </c>
    </row>
    <row r="712" spans="1:13" x14ac:dyDescent="0.35">
      <c r="A712" s="48"/>
      <c r="B712" s="48"/>
      <c r="C712" s="49"/>
      <c r="D712" s="50"/>
      <c r="E712" s="51" t="str">
        <f>IF(N(C712)=0,"",C712/PI()/($D$1/2)^2/$D$2*10000)</f>
        <v/>
      </c>
      <c r="F712" s="68" t="str">
        <f t="shared" si="266"/>
        <v/>
      </c>
      <c r="G712" s="69" t="str">
        <f t="shared" si="268"/>
        <v/>
      </c>
      <c r="H712" s="70" t="str">
        <f t="shared" si="267"/>
        <v/>
      </c>
      <c r="I712" s="27" t="str">
        <f>IF(N(J712)=0,"",0&amp;"-"&amp;B$7)</f>
        <v/>
      </c>
      <c r="J712" s="52" t="str">
        <f>IF(N(B$7)=0,"",IF(AND(COUNT(H709:H720)=2,COUNT(F709:F720)=2),cubic_spline(F708:F710,H708:H710,B$7),IF(AND(COUNT(H709:H720)=3,COUNT(F709:F720)=3),cubic_spline(F708:F711,H708:H711,B$7),IF(AND(COUNT(H709:H720)=4,COUNT(F709:F720)=4),cubic_spline(F708:F712,H708:H712,B$7),IF(AND(COUNT(H709:H720)=5,COUNT(F709:F720)=5),cubic_spline(F708:F713,H708:H713,B$7),IF(AND(COUNT(H709:H720)=6,COUNT(F709:F720)=6),cubic_spline(F708:F714,H708:H714,B$7),IF(AND(COUNT(H709:H720)=7,COUNT(F709:F720)=7),cubic_spline(F708:F715,H708:H715,B$7),IF(AND(COUNT(H709:H720)=8,COUNT(F709:F720)=8),cubic_spline(F708:F716,H708:H716,B$7),IF(AND(COUNT(H709:H720)=9,COUNT(F709:F720)=9),cubic_spline(F708:F717,H708:H717,B$7),IF(AND(COUNT(H709:H720)=10,COUNT(F709:F720)=10),cubic_spline(F708:F718,H708:H718,B$7),IF(AND(COUNT(H709:H720)=11,COUNT(F709:F720)=11),cubic_spline(F708:F719,H708:H719,B$7),IF(AND(COUNT(H709:H720)=12,COUNT(F709:F720)=12),cubic_spline(F708:F720,H708:H720,B$7),""))))))))))))</f>
        <v/>
      </c>
      <c r="K712" s="52" t="str">
        <f>IF(N(B$7)=0,"",IF(AND(COUNT(A709:A720)=2,COUNT(F709:F720)=2),cubic_spline(F708:F710,A708:A710,B$7),IF(AND(COUNT(A709:A720)=3,COUNT(F709:F720)=3),cubic_spline(F708:F711,A708:A711,B$7),IF(AND(COUNT(A709:A720)=4,COUNT(F709:F720)=4),cubic_spline(F708:F712,A708:A712,B$7),IF(AND(COUNT(A709:A720)=5,COUNT(F709:F720)=5),cubic_spline(F708:F713,A708:A713,B$7),IF(AND(COUNT(A709:A720)=6,COUNT(F709:F720)=6),cubic_spline(F708:F714,A708:A714,B$7),IF(AND(COUNT(A709:A720)=7,COUNT(F709:F720)=7),cubic_spline(F708:F715,A708:A715,B$7),IF(AND(COUNT(A709:A720)=8,COUNT(F709:F720)=8),cubic_spline(F708:F716,A708:A716,B$7),IF(AND(COUNT(A709:A720)=9,COUNT(F709:F720)=9),cubic_spline(F708:F717,A708:A717,B$7),IF(AND(COUNT(A709:A720)=10,COUNT(F709:F720)=10),cubic_spline(F708:F718,A708:A718,B$7),IF(AND(COUNT(A709:A720)=11,COUNT(F709:F720)=11),cubic_spline(F708:F719,A708:A719,B$7),IF(AND(COUNT(A709:A720)=12,COUNT(F709:F720)=12),cubic_spline(F708:F720,A708:A720,B$7),""))))))))))))</f>
        <v/>
      </c>
      <c r="L712" s="27" t="str">
        <f>IF(I712="","",B$6&amp;"-"&amp;B$7)</f>
        <v/>
      </c>
      <c r="M712" s="52" t="str">
        <f>IF(N(J712)=0,"",J712-J711)</f>
        <v/>
      </c>
    </row>
    <row r="713" spans="1:13" x14ac:dyDescent="0.35">
      <c r="A713" s="48"/>
      <c r="B713" s="48"/>
      <c r="C713" s="49"/>
      <c r="D713" s="50"/>
      <c r="E713" s="51" t="str">
        <f t="shared" ref="E713:E720" si="269">IF(N(C713)=0,"",C713/PI()/($D$1/2)^2/$D$2*10000)</f>
        <v/>
      </c>
      <c r="F713" s="71" t="str">
        <f t="shared" si="266"/>
        <v/>
      </c>
      <c r="G713" s="69" t="str">
        <f t="shared" si="268"/>
        <v/>
      </c>
      <c r="H713" s="70" t="str">
        <f t="shared" si="267"/>
        <v/>
      </c>
      <c r="I713" s="27" t="str">
        <f>IF(N(J713)=0,"",0&amp;"-"&amp;B$8)</f>
        <v/>
      </c>
      <c r="J713" s="52" t="str">
        <f>IF(N(B$8)=0,"",IF(AND(COUNT(H709:H720)=2,COUNT(F709:F720)=2),cubic_spline(F708:F710,H708:H710,B$8),IF(AND(COUNT(H709:H720)=3,COUNT(F709:F720)=3),cubic_spline(F708:F711,H708:H711,B$8),IF(AND(COUNT(H709:H720)=4,COUNT(F709:F720)=4),cubic_spline(F708:F712,H708:H712,B$8),IF(AND(COUNT(H709:H720)=5,COUNT(F709:F720)=5),cubic_spline(F708:F713,H708:H713,B$8),IF(AND(COUNT(H709:H720)=6,COUNT(F709:F720)=6),cubic_spline(F708:F714,H708:H714,B$8),IF(AND(COUNT(H709:H720)=7,COUNT(F709:F720)=7),cubic_spline(F708:F715,H708:H715,B$8),IF(AND(COUNT(H709:H720)=8,COUNT(F709:F720)=8),cubic_spline(F708:F716,H708:H716,B$8),IF(AND(COUNT(H709:H720)=9,COUNT(F709:F720)=9),cubic_spline(F708:F717,H708:H717,B$8),IF(AND(COUNT(H709:H720)=10,COUNT(F709:F720)=10),cubic_spline(F708:F718,H708:H718,B$8),IF(AND(COUNT(H709:H720)=11,COUNT(F709:F720)=11),cubic_spline(F708:F719,H708:H719,B$8),IF(AND(COUNT(H709:H720)=12,COUNT(F709:F720)=12),cubic_spline(F708:F720,H708:H720,B$8),""))))))))))))</f>
        <v/>
      </c>
      <c r="K713" s="52" t="str">
        <f>IF(N(B$8)=0,"",IF(AND(COUNT(A709:A720)=2,COUNT(F709:F720)=2),cubic_spline(F708:F710,A708:A710,B$8),IF(AND(COUNT(A709:A720)=3,COUNT(F709:F720)=3),cubic_spline(F708:F711,A708:A711,B$8),IF(AND(COUNT(A709:A720)=4,COUNT(F709:F720)=4),cubic_spline(F708:F712,A708:A712,B$8),IF(AND(COUNT(A709:A720)=5,COUNT(F709:F720)=5),cubic_spline(F708:F713,A708:A713,B$8),IF(AND(COUNT(A709:A720)=6,COUNT(F709:F720)=6),cubic_spline(F708:F714,A708:A714,B$8),IF(AND(COUNT(A709:A720)=7,COUNT(F709:F720)=7),cubic_spline(F708:F715,A708:A715,B$8),IF(AND(COUNT(A709:A720)=8,COUNT(F709:F720)=8),cubic_spline(F708:F716,A708:A716,B$8),IF(AND(COUNT(A709:A720)=9,COUNT(F709:F720)=9),cubic_spline(F708:F717,A708:A717,B$8),IF(AND(COUNT(A709:A720)=10,COUNT(F709:F720)=10),cubic_spline(F708:F718,A708:A718,B$8),IF(AND(COUNT(A709:A720)=11,COUNT(F709:F720)=11),cubic_spline(F708:F719,A708:A719,B$8),IF(AND(COUNT(A709:A720)=12,COUNT(F709:F720)=12),cubic_spline(F708:F720,A708:A720,B$8),""))))))))))))</f>
        <v/>
      </c>
      <c r="L713" s="27" t="str">
        <f>IF(I713="","",B$7&amp;"-"&amp;B$8)</f>
        <v/>
      </c>
      <c r="M713" s="52" t="str">
        <f>IF(N(J713)=0,"",J713-J712)</f>
        <v/>
      </c>
    </row>
    <row r="714" spans="1:13" x14ac:dyDescent="0.35">
      <c r="A714" s="48"/>
      <c r="B714" s="48"/>
      <c r="C714" s="49"/>
      <c r="D714" s="50"/>
      <c r="E714" s="51" t="str">
        <f t="shared" si="269"/>
        <v/>
      </c>
      <c r="F714" s="71" t="str">
        <f t="shared" si="266"/>
        <v/>
      </c>
      <c r="G714" s="69" t="str">
        <f t="shared" si="268"/>
        <v/>
      </c>
      <c r="H714" s="70" t="str">
        <f t="shared" si="267"/>
        <v/>
      </c>
      <c r="I714" s="27" t="str">
        <f>IF(N(J714)=0,"",0&amp;"-"&amp;B$9)</f>
        <v/>
      </c>
      <c r="J714" s="52" t="str">
        <f>IF(N(B$9)=0,"",IF(AND(COUNT(H709:H720)=2,COUNT(F709:F720)=2),cubic_spline(F708:F710,H708:H710,B$9),IF(AND(COUNT(H709:H720)=3,COUNT(F709:F720)=3),cubic_spline(F708:F711,H708:H711,B$9),IF(AND(COUNT(H709:H720)=4,COUNT(F709:F720)=4),cubic_spline(F708:F712,H708:H712,B$9),IF(AND(COUNT(H709:H720)=5,COUNT(F709:F720)=5),cubic_spline(F708:F713,H708:H713,B$9),IF(AND(COUNT(H709:H720)=6,COUNT(F709:F720)=6),cubic_spline(F708:F714,H708:H714,B$9),IF(AND(COUNT(H709:H720)=7,COUNT(F709:F720)=7),cubic_spline(F708:F715,H708:H715,B$9),IF(AND(COUNT(H709:H720)=8,COUNT(F709:F720)=8),cubic_spline(F708:F716,H708:H716,B$9),IF(AND(COUNT(H709:H720)=9,COUNT(F709:F720)=9),cubic_spline(F708:F717,H708:H717,B$9),IF(AND(COUNT(H709:H720)=10,COUNT(F709:F720)=10),cubic_spline(F708:F718,H708:H718,B$9),IF(AND(COUNT(H709:H720)=11,COUNT(F709:F720)=11),cubic_spline(F708:F719,H708:H719,B$9),IF(AND(COUNT(H709:H720)=12,COUNT(F709:F720)=12),cubic_spline(F708:F720,H708:H720,B$9),""))))))))))))</f>
        <v/>
      </c>
      <c r="K714" s="52" t="str">
        <f>IF(N(B$9)=0,"",IF(AND(COUNT(A709:A720)=2,COUNT(F709:F720)=2),cubic_spline(F708:F710,A708:A710,B$9),IF(AND(COUNT(A709:A720)=3,COUNT(F709:F720)=3),cubic_spline(F708:F711,A708:A711,B$9),IF(AND(COUNT(A709:A720)=4,COUNT(F709:F720)=4),cubic_spline(F708:F712,A708:A712,B$9),IF(AND(COUNT(A709:A720)=5,COUNT(F709:F720)=5),cubic_spline(F708:F713,A708:A713,B$9),IF(AND(COUNT(A709:A720)=6,COUNT(F709:F720)=6),cubic_spline(F708:F714,A708:A714,B$9),IF(AND(COUNT(A709:A720)=7,COUNT(F709:F720)=7),cubic_spline(F708:F715,A708:A715,B$9),IF(AND(COUNT(A709:A720)=8,COUNT(F709:F720)=8),cubic_spline(F708:F716,A708:A716,B$9),IF(AND(COUNT(A709:A720)=9,COUNT(F709:F720)=9),cubic_spline(F708:F717,A708:A717,B$9),IF(AND(COUNT(A709:A720)=10,COUNT(F709:F720)=10),cubic_spline(F708:F718,A708:A718,B$9),IF(AND(COUNT(A709:A720)=11,COUNT(F709:F720)=11),cubic_spline(F708:F719,A708:A719,B$9),IF(AND(COUNT(A709:A720)=12,COUNT(F709:F720)=12),cubic_spline(F708:F720,A708:A720,B$9),""))))))))))))</f>
        <v/>
      </c>
      <c r="L714" s="27" t="str">
        <f>IF(I714="","",B$8&amp;"-"&amp;B$9)</f>
        <v/>
      </c>
      <c r="M714" s="52" t="str">
        <f t="shared" ref="M714:M720" si="270">IF(N(J714)=0,"",J714-J713)</f>
        <v/>
      </c>
    </row>
    <row r="715" spans="1:13" x14ac:dyDescent="0.35">
      <c r="A715" s="48"/>
      <c r="B715" s="48"/>
      <c r="C715" s="49"/>
      <c r="D715" s="50"/>
      <c r="E715" s="51" t="str">
        <f t="shared" si="269"/>
        <v/>
      </c>
      <c r="F715" s="71" t="str">
        <f t="shared" si="266"/>
        <v/>
      </c>
      <c r="G715" s="69" t="str">
        <f t="shared" si="268"/>
        <v/>
      </c>
      <c r="H715" s="70" t="str">
        <f t="shared" si="267"/>
        <v/>
      </c>
      <c r="I715" s="27" t="str">
        <f>IF(N(J715)=0,"",0&amp;"-"&amp;B$10)</f>
        <v/>
      </c>
      <c r="J715" s="52" t="str">
        <f>IF(N(B$10)=0,"",IF(AND(COUNT(H709:H720)=2,COUNT(F709:F720)=2),cubic_spline(F708:F710,H708:H710,B$10),IF(AND(COUNT(H709:H720)=3,COUNT(F709:F720)=3),cubic_spline(F708:F711,H708:H711,B$10),IF(AND(COUNT(H709:H720)=4,COUNT(F709:F720)=4),cubic_spline(F708:F712,H708:H712,B$10),IF(AND(COUNT(H709:H720)=5,COUNT(F709:F720)=5),cubic_spline(F708:F713,H708:H713,B$10),IF(AND(COUNT(H709:H720)=6,COUNT(F709:F720)=6),cubic_spline(F708:F714,H708:H714,B$10),IF(AND(COUNT(H709:H720)=7,COUNT(F709:F720)=7),cubic_spline(F708:F715,H708:H715,B$10),IF(AND(COUNT(H709:H720)=8,COUNT(F709:F720)=8),cubic_spline(F708:F716,H708:H716,B$10),IF(AND(COUNT(H709:H720)=9,COUNT(F709:F720)=9),cubic_spline(F708:F717,H708:H717,B$10),IF(AND(COUNT(H709:H720)=10,COUNT(F709:F720)=10),cubic_spline(F708:F718,H708:H718,B$10),IF(AND(COUNT(H709:H720)=11,COUNT(F709:F720)=11),cubic_spline(F708:F719,H708:H719,B$10),IF(AND(COUNT(H709:H720)=12,COUNT(F709:F720)=12),cubic_spline(F708:F720,H708:H720,B$10),""))))))))))))</f>
        <v/>
      </c>
      <c r="K715" s="52" t="str">
        <f>IF(N(B$10)=0,"",IF(AND(COUNT(A709:A720)=2,COUNT(F709:F720)=2),cubic_spline(F708:F710,A708:A710,B$10),IF(AND(COUNT(A709:A720)=3,COUNT(F709:F720)=3),cubic_spline(F708:F711,A708:A711,B$10),IF(AND(COUNT(A709:A720)=4,COUNT(F709:F720)=4),cubic_spline(F708:F712,A708:A712,B$10),IF(AND(COUNT(A709:A720)=5,COUNT(F709:F720)=5),cubic_spline(F708:F713,A708:A713,B$10),IF(AND(COUNT(A709:A720)=6,COUNT(F709:F720)=6),cubic_spline(F708:F714,A708:A714,B$10),IF(AND(COUNT(A709:A720)=7,COUNT(F709:F720)=7),cubic_spline(F708:F715,A708:A715,B$10),IF(AND(COUNT(A709:A720)=8,COUNT(F709:F720)=8),cubic_spline(F708:F716,A708:A716,B$10),IF(AND(COUNT(A709:A720)=9,COUNT(F709:F720)=9),cubic_spline(F708:F717,A708:A717,B$10),IF(AND(COUNT(A709:A720)=10,COUNT(F709:F720)=10),cubic_spline(F708:F718,A708:A718,B$10),IF(AND(COUNT(A709:A720)=11,COUNT(F709:F720)=11),cubic_spline(F708:F719,A708:A719,B$10),IF(AND(COUNT(A709:A720)=12,COUNT(F709:F720)=12),cubic_spline(F708:F720,A708:A720,B$10),""))))))))))))</f>
        <v/>
      </c>
      <c r="L715" s="27" t="str">
        <f>IF(I715="","",B$9&amp;"-"&amp;B$10)</f>
        <v/>
      </c>
      <c r="M715" s="52" t="str">
        <f t="shared" si="270"/>
        <v/>
      </c>
    </row>
    <row r="716" spans="1:13" x14ac:dyDescent="0.35">
      <c r="A716" s="48"/>
      <c r="B716" s="48"/>
      <c r="C716" s="49"/>
      <c r="D716" s="50"/>
      <c r="E716" s="51" t="str">
        <f t="shared" si="269"/>
        <v/>
      </c>
      <c r="F716" s="71" t="str">
        <f t="shared" si="266"/>
        <v/>
      </c>
      <c r="G716" s="69" t="str">
        <f t="shared" si="268"/>
        <v/>
      </c>
      <c r="H716" s="70" t="str">
        <f t="shared" si="267"/>
        <v/>
      </c>
      <c r="I716" s="27" t="str">
        <f>IF(N(J716)=0,"",0&amp;"-"&amp;B$11)</f>
        <v/>
      </c>
      <c r="J716" s="52" t="str">
        <f>IF(N(B$11)=0,"",IF(AND(COUNT(H709:H720)=2,COUNT(F709:F720)=2),cubic_spline(F708:F710,H708:H710,B$11),IF(AND(COUNT(H709:H720)=3,COUNT(F709:F720)=3),cubic_spline(F708:F711,H708:H711,B$11),IF(AND(COUNT(H709:H720)=4,COUNT(F709:F720)=4),cubic_spline(F708:F712,H708:H712,B$11),IF(AND(COUNT(H709:H720)=5,COUNT(F709:F720)=5),cubic_spline(F708:F713,H708:H713,B$11),IF(AND(COUNT(H709:H720)=6,COUNT(F709:F720)=6),cubic_spline(F708:F714,H708:H714,B$11),IF(AND(COUNT(H709:H720)=7,COUNT(F709:F720)=7),cubic_spline(F708:F715,H708:H715,B$11),IF(AND(COUNT(H709:H720)=8,COUNT(F709:F720)=8),cubic_spline(F708:F716,H708:H716,B$11),IF(AND(COUNT(H709:H720)=9,COUNT(F709:F720)=9),cubic_spline(F708:F717,H708:H717,B$11),IF(AND(COUNT(H709:H720)=10,COUNT(F709:F720)=10),cubic_spline(F708:F718,H708:H718,B$11),IF(AND(COUNT(H709:H720)=11,COUNT(F709:F720)=11),cubic_spline(F708:F719,H708:H719,B$11),IF(AND(COUNT(H709:H720)=12,COUNT(F709:F720)=12),cubic_spline(F708:F720,H708:H720,B$11),""))))))))))))</f>
        <v/>
      </c>
      <c r="K716" s="52" t="str">
        <f>IF(N(B$11)=0,"",IF(AND(COUNT(A709:A720)=2,COUNT(F709:F720)=2),cubic_spline(F708:F710,A708:A710,B$11),IF(AND(COUNT(A709:A720)=3,COUNT(F709:F720)=3),cubic_spline(F708:F711,A708:A711,B$11),IF(AND(COUNT(A709:A720)=4,COUNT(F709:F720)=4),cubic_spline(F708:F712,A708:A712,B$11),IF(AND(COUNT(A709:A720)=5,COUNT(F709:F720)=5),cubic_spline(F708:F713,A708:A713,B$11),IF(AND(COUNT(A709:A720)=6,COUNT(F709:F720)=6),cubic_spline(F708:F714,A708:A714,B$11),IF(AND(COUNT(A709:A720)=7,COUNT(F709:F720)=7),cubic_spline(F708:F715,A708:A715,B$11),IF(AND(COUNT(A709:A720)=8,COUNT(F709:F720)=8),cubic_spline(F708:F716,A708:A716,B$11),IF(AND(COUNT(A709:A720)=9,COUNT(F709:F720)=9),cubic_spline(F708:F717,A708:A717,B$11),IF(AND(COUNT(A709:A720)=10,COUNT(F709:F720)=10),cubic_spline(F708:F718,A708:A718,B$11),IF(AND(COUNT(A709:A720)=11,COUNT(F709:F720)=11),cubic_spline(F708:F719,A708:A719,B$11),IF(AND(COUNT(A709:A720)=12,COUNT(F709:F720)=12),cubic_spline(F708:F720,A708:A720,B$11),""))))))))))))</f>
        <v/>
      </c>
      <c r="L716" s="27" t="str">
        <f>IF(I716="","",B$10&amp;"-"&amp;B$11)</f>
        <v/>
      </c>
      <c r="M716" s="52" t="str">
        <f t="shared" si="270"/>
        <v/>
      </c>
    </row>
    <row r="717" spans="1:13" x14ac:dyDescent="0.35">
      <c r="A717" s="48"/>
      <c r="B717" s="48"/>
      <c r="C717" s="49"/>
      <c r="D717" s="50"/>
      <c r="E717" s="51" t="str">
        <f t="shared" si="269"/>
        <v/>
      </c>
      <c r="F717" s="71" t="str">
        <f t="shared" si="266"/>
        <v/>
      </c>
      <c r="G717" s="69" t="str">
        <f t="shared" si="268"/>
        <v/>
      </c>
      <c r="H717" s="70" t="str">
        <f t="shared" si="267"/>
        <v/>
      </c>
      <c r="I717" s="27" t="str">
        <f>IF(N(J717)=0,"",0&amp;"-"&amp;B$12)</f>
        <v/>
      </c>
      <c r="J717" s="52" t="str">
        <f>IF(N(B$12)=0,"",IF(AND(COUNT(H709:H720)=2,COUNT(F709:F720)=2),cubic_spline(F708:F710,H708:H710,B$12),IF(AND(COUNT(H709:H720)=3,COUNT(F709:F720)=3),cubic_spline(F708:F711,H708:H711,B$12),IF(AND(COUNT(H709:H720)=4,COUNT(F709:F720)=4),cubic_spline(F708:F712,H708:H712,B$12),IF(AND(COUNT(H709:H720)=5,COUNT(F709:F720)=5),cubic_spline(F708:F713,H708:H713,B$12),IF(AND(COUNT(H709:H720)=6,COUNT(F709:F720)=6),cubic_spline(F708:F714,H708:H714,B$12),IF(AND(COUNT(H709:H720)=7,COUNT(F709:F720)=7),cubic_spline(F708:F715,H708:H715,B$12),IF(AND(COUNT(H709:H720)=8,COUNT(F709:F720)=8),cubic_spline(F708:F716,H708:H716,B$12),IF(AND(COUNT(H709:H720)=9,COUNT(F709:F720)=9),cubic_spline(F708:F717,H708:H717,B$12),IF(AND(COUNT(H709:H720)=10,COUNT(F709:F720)=10),cubic_spline(F708:F718,H708:H718,B$12),IF(AND(COUNT(H709:H720)=11,COUNT(F709:F720)=11),cubic_spline(F708:F719,H708:H719,B$12),IF(AND(COUNT(H709:H720)=12,COUNT(F709:F720)=12),cubic_spline(F708:F720,H708:H720,B$12),""))))))))))))</f>
        <v/>
      </c>
      <c r="K717" s="52" t="str">
        <f>IF(N(B$12)=0,"",IF(AND(COUNT(A709:A720)=2,COUNT(F709:F720)=2),cubic_spline(F708:F710,A708:A710,B$12),IF(AND(COUNT(A709:A720)=3,COUNT(F709:F720)=3),cubic_spline(F708:F711,A708:A711,B$12),IF(AND(COUNT(A709:A720)=4,COUNT(F709:F720)=4),cubic_spline(F708:F712,A708:A712,B$12),IF(AND(COUNT(A709:A720)=5,COUNT(F709:F720)=5),cubic_spline(F708:F713,A708:A713,B$12),IF(AND(COUNT(A709:A720)=6,COUNT(F709:F720)=6),cubic_spline(F708:F714,A708:A714,B$12),IF(AND(COUNT(A709:A720)=7,COUNT(F709:F720)=7),cubic_spline(F708:F715,A708:A715,B$12),IF(AND(COUNT(A709:A720)=8,COUNT(F709:F720)=8),cubic_spline(F708:F716,A708:A716,B$12),IF(AND(COUNT(A709:A720)=9,COUNT(F709:F720)=9),cubic_spline(F708:F717,A708:A717,B$12),IF(AND(COUNT(A709:A720)=10,COUNT(F709:F720)=10),cubic_spline(F708:F718,A708:A718,B$12),IF(AND(COUNT(A709:A720)=11,COUNT(F709:F720)=11),cubic_spline(F708:F719,A708:A719,B$12),IF(AND(COUNT(A709:A720)=12,COUNT(F709:F720)=12),cubic_spline(F708:F720,A708:A720,B$12),""))))))))))))</f>
        <v/>
      </c>
      <c r="L717" s="27" t="str">
        <f>IF(I717="","",B$11&amp;"-"&amp;B$12)</f>
        <v/>
      </c>
      <c r="M717" s="52" t="str">
        <f t="shared" si="270"/>
        <v/>
      </c>
    </row>
    <row r="718" spans="1:13" x14ac:dyDescent="0.35">
      <c r="A718" s="48"/>
      <c r="B718" s="48"/>
      <c r="C718" s="49"/>
      <c r="D718" s="50"/>
      <c r="E718" s="51" t="str">
        <f t="shared" si="269"/>
        <v/>
      </c>
      <c r="F718" s="71" t="str">
        <f t="shared" si="266"/>
        <v/>
      </c>
      <c r="G718" s="69" t="str">
        <f t="shared" si="268"/>
        <v/>
      </c>
      <c r="H718" s="70" t="str">
        <f t="shared" si="267"/>
        <v/>
      </c>
      <c r="I718" s="27" t="str">
        <f>IF(N(J718)=0,"",0&amp;"-"&amp;B$13)</f>
        <v/>
      </c>
      <c r="J718" s="52" t="str">
        <f>IF(N(B$13)=0,"",IF(AND(COUNT(H709:H720)=2,COUNT(F709:F720)=2),cubic_spline(F708:F710,H708:H710,B$13),IF(AND(COUNT(H709:H720)=3,COUNT(F709:F720)=3),cubic_spline(F708:F711,H708:H711,B$13),IF(AND(COUNT(H709:H720)=4,COUNT(F709:F720)=4),cubic_spline(F708:F712,H708:H712,B$13),IF(AND(COUNT(H709:H720)=5,COUNT(F709:F720)=5),cubic_spline(F708:F713,H708:H713,B$13),IF(AND(COUNT(H709:H720)=6,COUNT(F709:F720)=6),cubic_spline(F708:F714,H708:H714,B$13),IF(AND(COUNT(H709:H720)=7,COUNT(F709:F720)=7),cubic_spline(F708:F715,H708:H715,B$13),IF(AND(COUNT(H709:H720)=8,COUNT(F709:F720)=8),cubic_spline(F708:F716,H708:H716,B$13),IF(AND(COUNT(H709:H720)=9,COUNT(F709:F720)=9),cubic_spline(F708:F717,H708:H717,B$13),IF(AND(COUNT(H709:H720)=10,COUNT(F709:F720)=10),cubic_spline(F708:F718,H708:H718,B$13),IF(AND(COUNT(H709:H720)=11,COUNT(F709:F720)=11),cubic_spline(F708:F719,H708:H719,B$13),IF(AND(COUNT(H709:H720)=12,COUNT(F709:F720)=12),cubic_spline(F708:F720,H708:H720,B$13),""))))))))))))</f>
        <v/>
      </c>
      <c r="K718" s="52" t="str">
        <f>IF(N(B$13)=0,"",IF(AND(COUNT(A709:A720)=2,COUNT(F709:F720)=2),cubic_spline(F708:F710,A708:A710,B$13),IF(AND(COUNT(A709:A720)=3,COUNT(F709:F720)=3),cubic_spline(F708:F711,A708:A711,B$13),IF(AND(COUNT(A709:A720)=4,COUNT(F709:F720)=4),cubic_spline(F708:F712,A708:A712,B$13),IF(AND(COUNT(A709:A720)=5,COUNT(F709:F720)=5),cubic_spline(F708:F713,A708:A713,B$13),IF(AND(COUNT(A709:A720)=6,COUNT(F709:F720)=6),cubic_spline(F708:F714,A708:A714,B$13),IF(AND(COUNT(A709:A720)=7,COUNT(F709:F720)=7),cubic_spline(F708:F715,A708:A715,B$13),IF(AND(COUNT(A709:A720)=8,COUNT(F709:F720)=8),cubic_spline(F708:F716,A708:A716,B$13),IF(AND(COUNT(A709:A720)=9,COUNT(F709:F720)=9),cubic_spline(F708:F717,A708:A717,B$13),IF(AND(COUNT(A709:A720)=10,COUNT(F709:F720)=10),cubic_spline(F708:F718,A708:A718,B$13),IF(AND(COUNT(A709:A720)=11,COUNT(F709:F720)=11),cubic_spline(F708:F719,A708:A719,B$13),IF(AND(COUNT(A709:A720)=12,COUNT(F709:F720)=12),cubic_spline(F708:F720,A708:A720,B$13),""))))))))))))</f>
        <v/>
      </c>
      <c r="L718" s="27" t="str">
        <f>IF(I718="","",B$12&amp;"-"&amp;B$13)</f>
        <v/>
      </c>
      <c r="M718" s="52" t="str">
        <f t="shared" si="270"/>
        <v/>
      </c>
    </row>
    <row r="719" spans="1:13" x14ac:dyDescent="0.35">
      <c r="A719" s="48"/>
      <c r="B719" s="48"/>
      <c r="C719" s="49"/>
      <c r="D719" s="50"/>
      <c r="E719" s="51" t="str">
        <f t="shared" si="269"/>
        <v/>
      </c>
      <c r="F719" s="71" t="str">
        <f t="shared" si="266"/>
        <v/>
      </c>
      <c r="G719" s="69" t="str">
        <f t="shared" si="268"/>
        <v/>
      </c>
      <c r="H719" s="70" t="str">
        <f t="shared" si="267"/>
        <v/>
      </c>
      <c r="I719" s="27" t="str">
        <f>IF(N(J719)=0,"",0&amp;"-"&amp;B$14)</f>
        <v/>
      </c>
      <c r="J719" s="52" t="str">
        <f>IF(N(B$14)=0,"",IF(AND(COUNT(H709:H720)=2,COUNT(F709:F720)=2),cubic_spline(F708:F710,H708:H710,B$14),IF(AND(COUNT(H709:H720)=3,COUNT(F709:F720)=3),cubic_spline(F708:F711,H708:H711,B$14),IF(AND(COUNT(H709:H720)=4,COUNT(F709:F720)=4),cubic_spline(F708:F712,H708:H712,B$14),IF(AND(COUNT(H709:H720)=5,COUNT(F709:F720)=5),cubic_spline(F708:F713,H708:H713,B$14),IF(AND(COUNT(H709:H720)=6,COUNT(F709:F720)=6),cubic_spline(F708:F714,H708:H714,B$14),IF(AND(COUNT(H709:H720)=7,COUNT(F709:F720)=7),cubic_spline(F708:F715,H708:H715,B$14),IF(AND(COUNT(H709:H720)=8,COUNT(F709:F720)=8),cubic_spline(F708:F716,H708:H716,B$14),IF(AND(COUNT(H709:H720)=9,COUNT(F709:F720)=9),cubic_spline(F708:F717,H708:H717,B$14),IF(AND(COUNT(H709:H720)=10,COUNT(F709:F720)=10),cubic_spline(F708:F718,H708:H718,B$14),IF(AND(COUNT(H709:H720)=11,COUNT(F709:F720)=11),cubic_spline(F708:F719,H708:H719,B$14),IF(AND(COUNT(H709:H720)=12,COUNT(F709:F720)=12),cubic_spline(F708:F720,H708:H720,B$14),""))))))))))))</f>
        <v/>
      </c>
      <c r="K719" s="52" t="str">
        <f>IF(N(B$14)=0,"",IF(AND(COUNT(A709:A720)=2,COUNT(F709:F720)=2),cubic_spline(F708:F710,A708:A710,B$14),IF(AND(COUNT(A709:A720)=3,COUNT(F709:F720)=3),cubic_spline(F708:F711,A708:A711,B$14),IF(AND(COUNT(A709:A720)=4,COUNT(F709:F720)=4),cubic_spline(F708:F712,A708:A712,B$14),IF(AND(COUNT(A709:A720)=5,COUNT(F709:F720)=5),cubic_spline(F708:F713,A708:A713,B$14),IF(AND(COUNT(A709:A720)=6,COUNT(F709:F720)=6),cubic_spline(F708:F714,A708:A714,B$14),IF(AND(COUNT(A709:A720)=7,COUNT(F709:F720)=7),cubic_spline(F708:F715,A708:A715,B$14),IF(AND(COUNT(A709:A720)=8,COUNT(F709:F720)=8),cubic_spline(F708:F716,A708:A716,B$14),IF(AND(COUNT(A709:A720)=9,COUNT(F709:F720)=9),cubic_spline(F708:F717,A708:A717,B$14),IF(AND(COUNT(A709:A720)=10,COUNT(F709:F720)=10),cubic_spline(F708:F718,A708:A718,B$14),IF(AND(COUNT(A709:A720)=11,COUNT(F709:F720)=11),cubic_spline(F708:F719,A708:A719,B$14),IF(AND(COUNT(A709:A720)=12,COUNT(F709:F720)=12),cubic_spline(F708:F720,A708:A720,B$14),""))))))))))))</f>
        <v/>
      </c>
      <c r="L719" s="27" t="str">
        <f>IF(I719="","",B$13&amp;"-"&amp;B$14)</f>
        <v/>
      </c>
      <c r="M719" s="52" t="str">
        <f t="shared" si="270"/>
        <v/>
      </c>
    </row>
    <row r="720" spans="1:13" x14ac:dyDescent="0.35">
      <c r="A720" s="48"/>
      <c r="B720" s="48"/>
      <c r="C720" s="49"/>
      <c r="D720" s="50"/>
      <c r="E720" s="51" t="str">
        <f t="shared" si="269"/>
        <v/>
      </c>
      <c r="F720" s="71" t="str">
        <f t="shared" si="266"/>
        <v/>
      </c>
      <c r="G720" s="69" t="str">
        <f t="shared" si="268"/>
        <v/>
      </c>
      <c r="H720" s="70" t="str">
        <f t="shared" si="267"/>
        <v/>
      </c>
      <c r="I720" s="27" t="str">
        <f>IF(N(J720)=0,"",0&amp;"-"&amp;B$15)</f>
        <v/>
      </c>
      <c r="J720" s="52" t="str">
        <f>IF(N(B$15)=0,"",IF(AND(COUNT(H709:H720)=2,COUNT(F709:F720)=2),cubic_spline(F708:F710,H708:H710,B$15),IF(AND(COUNT(H709:H720)=3,COUNT(F709:F720)=3),cubic_spline(F708:F711,H708:H711,B$15),IF(AND(COUNT(H709:H720)=4,COUNT(F709:F720)=4),cubic_spline(F708:F712,H708:H712,B$15),IF(AND(COUNT(H709:H720)=5,COUNT(F709:F720)=5),cubic_spline(F708:F713,H708:H713,B$15),IF(AND(COUNT(H709:H720)=6,COUNT(F709:F720)=6),cubic_spline(F708:F714,H708:H714,B$15),IF(AND(COUNT(H709:H720)=7,COUNT(F709:F720)=7),cubic_spline(F708:F715,H708:H715,B$15),IF(AND(COUNT(H709:H720)=8,COUNT(F709:F720)=8),cubic_spline(F708:F716,H708:H716,B$15),IF(AND(COUNT(H709:H720)=9,COUNT(F709:F720)=9),cubic_spline(F708:F717,H708:H717,B$15),IF(AND(COUNT(H709:H720)=10,COUNT(F709:F720)=10),cubic_spline(F708:F718,H708:H718,B$15),IF(AND(COUNT(H709:H720)=11,COUNT(F709:F720)=11),cubic_spline(F708:F719,H708:H719,B$15),IF(AND(COUNT(H709:H720)=12,COUNT(F709:F720)=12),cubic_spline(F708:F720,H708:H720,B$15),""))))))))))))</f>
        <v/>
      </c>
      <c r="K720" s="52" t="str">
        <f>IF(N(B$15)=0,"",IF(AND(COUNT(A709:A720)=2,COUNT(F709:F720)=2),cubic_spline(F708:F710,A708:A710,B$15),IF(AND(COUNT(A709:A720)=3,COUNT(F709:F720)=3),cubic_spline(F708:F711,A708:A711,B$15),IF(AND(COUNT(A709:A720)=4,COUNT(F709:F720)=4),cubic_spline(F708:F712,A708:A712,B$15),IF(AND(COUNT(A709:A720)=5,COUNT(F709:F720)=5),cubic_spline(F708:F713,A708:A713,B$15),IF(AND(COUNT(A709:A720)=6,COUNT(F709:F720)=6),cubic_spline(F708:F714,A708:A714,B$15),IF(AND(COUNT(A709:A720)=7,COUNT(F709:F720)=7),cubic_spline(F708:F715,A708:A715,B$15),IF(AND(COUNT(A709:A720)=8,COUNT(F709:F720)=8),cubic_spline(F708:F716,A708:A716,B$15),IF(AND(COUNT(A709:A720)=9,COUNT(F709:F720)=9),cubic_spline(F708:F717,A708:A717,B$15),IF(AND(COUNT(A709:A720)=10,COUNT(F709:F720)=10),cubic_spline(F708:F718,A708:A718,B$15),IF(AND(COUNT(A709:A720)=11,COUNT(F709:F720)=11),cubic_spline(F708:F719,A708:A719,B$15),IF(AND(COUNT(A709:A720)=12,COUNT(F709:F720)=12),cubic_spline(F708:F720,A708:A720,B$15),""))))))))))))</f>
        <v/>
      </c>
      <c r="L720" s="27" t="str">
        <f>IF(I720="","",B$14&amp;"-"&amp;B$15)</f>
        <v/>
      </c>
      <c r="M720" s="52" t="str">
        <f t="shared" si="270"/>
        <v/>
      </c>
    </row>
    <row r="721" spans="1:13" ht="5.15" customHeight="1" x14ac:dyDescent="0.35">
      <c r="A721" s="47"/>
      <c r="B721" s="47"/>
      <c r="C721" s="47"/>
      <c r="D721" s="53"/>
      <c r="E721" s="54"/>
      <c r="F721" s="55"/>
      <c r="G721" s="72"/>
      <c r="H721" s="73"/>
      <c r="I721" s="47"/>
      <c r="J721" s="57"/>
      <c r="K721" s="57"/>
      <c r="L721" s="55"/>
      <c r="M721" s="57"/>
    </row>
    <row r="722" spans="1:13" x14ac:dyDescent="0.35">
      <c r="A722" s="48"/>
      <c r="B722" s="48"/>
      <c r="C722" s="49"/>
      <c r="D722" s="50"/>
      <c r="E722" s="51" t="str">
        <f>IF(N(C722)=0,"",C722/PI()/($D$1/2)^2/$D$2*10000)</f>
        <v/>
      </c>
      <c r="F722" s="68" t="str">
        <f t="shared" ref="F722:F733" si="271">IF(N(E722)=0,"",(N(E722)+N(F721)))</f>
        <v/>
      </c>
      <c r="G722" s="69" t="str">
        <f>IF(OR(N(D722)=0,N(E722)=0),"",(E722*D722)/1000)</f>
        <v/>
      </c>
      <c r="H722" s="70" t="str">
        <f t="shared" ref="H722:H733" si="272">IF(N(G722)=0,"",(N(G722)+N(H721)))</f>
        <v/>
      </c>
      <c r="I722" s="27" t="str">
        <f>IF(N(J722)=0,"",0&amp;"-"&amp;B$4)</f>
        <v/>
      </c>
      <c r="J722" s="52" t="str">
        <f>IF(N(B$4)=0,"",IF(AND(COUNT(H722:H733)=2,COUNT(F722:F733)=2),cubic_spline(F721:F723,H721:H723,B$4),IF(AND(COUNT(H722:H733)=3,COUNT(F722:F733)=3),cubic_spline(F721:F724,H721:H724,B$4),IF(AND(COUNT(H722:H733)=4,COUNT(F722:F733)=4),cubic_spline(F721:F725,H721:H725,B$4),IF(AND(COUNT(H722:H733)=5,COUNT(F722:F733)=5),cubic_spline(F721:F726,H721:H726,B$4),IF(AND(COUNT(H722:H733)=6,COUNT(F722:F733)=6),cubic_spline(F721:F727,H721:H727,B$4),IF(AND(COUNT(H722:H733)=7,COUNT(F722:F733)=7),cubic_spline(F721:F728,H721:H728,B$4),IF(AND(COUNT(H722:H733)=8,COUNT(F722:F733)=8),cubic_spline(F721:F729,H721:H729,B$4),IF(AND(COUNT(H722:H733)=9,COUNT(F722:F733)=9),cubic_spline(F721:F730,H721:H730,B$4),IF(AND(COUNT(H722:H733)=10,COUNT(F722:F733)=10),cubic_spline(F721:F731,H721:H731,B$4),IF(AND(COUNT(H722:H733)=11,COUNT(F722:F733)=11),cubic_spline(F721:F732,H721:H732,B$4),IF(AND(COUNT(H722:H733)=12,COUNT(F722:F733)=12),cubic_spline(F721:F733,H721:H733,B$4),""))))))))))))</f>
        <v/>
      </c>
      <c r="K722" s="52" t="str">
        <f>IF(N(B$4)=0,"",IF(AND(COUNT(A722:A733)=2,COUNT(F722:F733)=2),cubic_spline(F721:F723,A721:A723,B$4),IF(AND(COUNT(A722:A733)=3,COUNT(F722:F733)=3),cubic_spline(F721:F724,A721:A724,B$4),IF(AND(COUNT(A722:A733)=4,COUNT(F722:F733)=4),cubic_spline(F721:F725,A721:A725,B$4),IF(AND(COUNT(A722:A733)=5,COUNT(F722:F733)=5),cubic_spline(F721:F726,A721:A726,B$4),IF(AND(COUNT(A722:A733)=6,COUNT(F722:F733)=6),cubic_spline(F721:F727,A721:A727,B$4),IF(AND(COUNT(A722:A733)=7,COUNT(F722:F733)=7),cubic_spline(F721:F728,A721:A728,B$4),IF(AND(COUNT(A722:A733)=8,COUNT(F722:F733)=8),cubic_spline(F721:F729,A721:A729,B$4),IF(AND(COUNT(A722:A733)=9,COUNT(F722:F733)=9),cubic_spline(F721:F730,A721:A730,B$4),IF(AND(COUNT(A722:A733)=10,COUNT(F722:F733)=10),cubic_spline(F721:F731,A721:A731,B$4),IF(AND(COUNT(A722:A733)=11,COUNT(F722:F733)=11),cubic_spline(F721:F732,A721:A732,B$4),IF(AND(COUNT(A722:A733)=12,COUNT(F722:F733)=12),cubic_spline(F721:F733,A721:A733,B$4),""))))))))))))</f>
        <v/>
      </c>
      <c r="L722" s="27" t="str">
        <f>IF(I722="","",0&amp;"-"&amp;B$4)</f>
        <v/>
      </c>
      <c r="M722" s="52" t="str">
        <f>IF(N(J722)=0,"",J722-J721)</f>
        <v/>
      </c>
    </row>
    <row r="723" spans="1:13" x14ac:dyDescent="0.35">
      <c r="A723" s="48"/>
      <c r="B723" s="48"/>
      <c r="C723" s="49"/>
      <c r="D723" s="50"/>
      <c r="E723" s="51" t="str">
        <f>IF(N(C723)=0,"",C723/PI()/($D$1/2)^2/$D$2*10000)</f>
        <v/>
      </c>
      <c r="F723" s="68" t="str">
        <f t="shared" si="271"/>
        <v/>
      </c>
      <c r="G723" s="69" t="str">
        <f t="shared" ref="G723:G733" si="273">IF(OR(N(D723)=0,N(E723)=0),"",(E723*D723)/1000)</f>
        <v/>
      </c>
      <c r="H723" s="70" t="str">
        <f t="shared" si="272"/>
        <v/>
      </c>
      <c r="I723" s="27" t="str">
        <f>IF(N(J723)=0,"",0&amp;"-"&amp;B$5)</f>
        <v/>
      </c>
      <c r="J723" s="52" t="str">
        <f>IF(N(B$5)=0,"",IF(AND(COUNT(H722:H733)=2,COUNT(F722:F733)=2),cubic_spline(F721:F723,H721:H723,B$5),IF(AND(COUNT(H722:H733)=3,COUNT(F722:F733)=3),cubic_spline(F721:F724,H721:H724,B$5),IF(AND(COUNT(H722:H733)=4,COUNT(F722:F733)=4),cubic_spline(F721:F725,H721:H725,B$5),IF(AND(COUNT(H722:H733)=5,COUNT(F722:F733)=5),cubic_spline(F721:F726,H721:H726,B$5),IF(AND(COUNT(H722:H733)=6,COUNT(F722:F733)=6),cubic_spline(F721:F727,H721:H727,B$5),IF(AND(COUNT(H722:H733)=7,COUNT(F722:F733)=7),cubic_spline(F721:F728,H721:H728,B$5),IF(AND(COUNT(H722:H733)=8,COUNT(F722:F733)=8),cubic_spline(F721:F729,H721:H729,B$5),IF(AND(COUNT(H722:H733)=9,COUNT(F722:F733)=9),cubic_spline(F721:F730,H721:H730,B$5),IF(AND(COUNT(H722:H733)=10,COUNT(F722:F733)=10),cubic_spline(F721:F731,H721:H731,B$5),IF(AND(COUNT(H722:H733)=11,COUNT(F722:F733)=11),cubic_spline(F721:F732,H721:H732,B$5),IF(AND(COUNT(H722:H733)=12,COUNT(F722:F733)=12),cubic_spline(F721:F733,H721:H733,B$5),""))))))))))))</f>
        <v/>
      </c>
      <c r="K723" s="52" t="str">
        <f>IF(N(B$5)=0,"",IF(AND(COUNT(A722:A733)=2,COUNT(F722:F733)=2),cubic_spline(F721:F723,A721:A723,B$5),IF(AND(COUNT(A722:A733)=3,COUNT(F722:F733)=3),cubic_spline(F721:F724,A721:A724,B$5),IF(AND(COUNT(A722:A733)=4,COUNT(F722:F733)=4),cubic_spline(F721:F725,A721:A725,B$5),IF(AND(COUNT(A722:A733)=5,COUNT(F722:F733)=5),cubic_spline(F721:F726,A721:A726,B$5),IF(AND(COUNT(A722:A733)=6,COUNT(F722:F733)=6),cubic_spline(F721:F727,A721:A727,B$5),IF(AND(COUNT(A722:A733)=7,COUNT(F722:F733)=7),cubic_spline(F721:F728,A721:A728,B$5),IF(AND(COUNT(A722:A733)=8,COUNT(F722:F733)=8),cubic_spline(F721:F729,A721:A729,B$5),IF(AND(COUNT(A722:A733)=9,COUNT(F722:F733)=9),cubic_spline(F721:F730,A721:A730,B$5),IF(AND(COUNT(A722:A733)=10,COUNT(F722:F733)=10),cubic_spline(F721:F731,A721:A731,B$5),IF(AND(COUNT(A722:A733)=11,COUNT(F722:F733)=11),cubic_spline(F721:F732,A721:A732,B$5),IF(AND(COUNT(A722:A733)=12,COUNT(F722:F733)=12),cubic_spline(F721:F733,A721:A733,B$5),""))))))))))))</f>
        <v/>
      </c>
      <c r="L723" s="27" t="str">
        <f>IF(I723="","",B$4&amp;"-"&amp;B$5)</f>
        <v/>
      </c>
      <c r="M723" s="52" t="str">
        <f>IF(N(J723)=0,"",J723-J722)</f>
        <v/>
      </c>
    </row>
    <row r="724" spans="1:13" x14ac:dyDescent="0.35">
      <c r="A724" s="48"/>
      <c r="B724" s="48"/>
      <c r="C724" s="49"/>
      <c r="D724" s="50"/>
      <c r="E724" s="51" t="str">
        <f>IF(N(C724)=0,"",C724/PI()/($D$1/2)^2/$D$2*10000)</f>
        <v/>
      </c>
      <c r="F724" s="68" t="str">
        <f t="shared" si="271"/>
        <v/>
      </c>
      <c r="G724" s="69" t="str">
        <f t="shared" si="273"/>
        <v/>
      </c>
      <c r="H724" s="70" t="str">
        <f t="shared" si="272"/>
        <v/>
      </c>
      <c r="I724" s="27" t="str">
        <f>IF(N(J724)=0,"",0&amp;"-"&amp;B$6)</f>
        <v/>
      </c>
      <c r="J724" s="52" t="str">
        <f>IF(N(B$6)=0,"",IF(AND(COUNT(H722:H733)=2,COUNT(F722:F733)=2),cubic_spline(F721:F723,H721:H723,B$6),IF(AND(COUNT(H722:H733)=3,COUNT(F722:F733)=3),cubic_spline(F721:F724,H721:H724,B$6),IF(AND(COUNT(H722:H733)=4,COUNT(F722:F733)=4),cubic_spline(F721:F725,H721:H725,B$6),IF(AND(COUNT(H722:H733)=5,COUNT(F722:F733)=5),cubic_spline(F721:F726,H721:H726,B$6),IF(AND(COUNT(H722:H733)=6,COUNT(F722:F733)=6),cubic_spline(F721:F727,H721:H727,B$6),IF(AND(COUNT(H722:H733)=7,COUNT(F722:F733)=7),cubic_spline(F721:F728,H721:H728,B$6),IF(AND(COUNT(H722:H733)=8,COUNT(F722:F733)=8),cubic_spline(F721:F729,H721:H729,B$6),IF(AND(COUNT(H722:H733)=9,COUNT(F722:F733)=9),cubic_spline(F721:F730,H721:H730,B$6),IF(AND(COUNT(H722:H733)=10,COUNT(F722:F733)=10),cubic_spline(F721:F731,H721:H731,B$6),IF(AND(COUNT(H722:H733)=11,COUNT(F722:F733)=11),cubic_spline(F721:F732,H721:H732,B$6),IF(AND(COUNT(H722:H733)=12,COUNT(F722:F733)=12),cubic_spline(F721:F733,H721:H733,B$6),""))))))))))))</f>
        <v/>
      </c>
      <c r="K724" s="52" t="str">
        <f>IF(N(B$6)=0,"",IF(AND(COUNT(A722:A733)=2,COUNT(F722:F733)=2),cubic_spline(F721:F723,A721:A723,B$6),IF(AND(COUNT(A722:A733)=3,COUNT(F722:F733)=3),cubic_spline(F721:F724,A721:A724,B$6),IF(AND(COUNT(A722:A733)=4,COUNT(F722:F733)=4),cubic_spline(F721:F725,A721:A725,B$6),IF(AND(COUNT(A722:A733)=5,COUNT(F722:F733)=5),cubic_spline(F721:F726,A721:A726,B$6),IF(AND(COUNT(A722:A733)=6,COUNT(F722:F733)=6),cubic_spline(F721:F727,A721:A727,B$6),IF(AND(COUNT(A722:A733)=7,COUNT(F722:F733)=7),cubic_spline(F721:F728,A721:A728,B$6),IF(AND(COUNT(A722:A733)=8,COUNT(F722:F733)=8),cubic_spline(F721:F729,A721:A729,B$6),IF(AND(COUNT(A722:A733)=9,COUNT(F722:F733)=9),cubic_spline(F721:F730,A721:A730,B$6),IF(AND(COUNT(A722:A733)=10,COUNT(F722:F733)=10),cubic_spline(F721:F731,A721:A731,B$6),IF(AND(COUNT(A722:A733)=11,COUNT(F722:F733)=11),cubic_spline(F721:F732,A721:A732,B$6),IF(AND(COUNT(A722:A733)=12,COUNT(F722:F733)=12),cubic_spline(F721:F733,A721:A733,B$6),""))))))))))))</f>
        <v/>
      </c>
      <c r="L724" s="27" t="str">
        <f>IF(I724="","",B$5&amp;"-"&amp;B$6)</f>
        <v/>
      </c>
      <c r="M724" s="52" t="str">
        <f>IF(N(J724)=0,"",J724-J723)</f>
        <v/>
      </c>
    </row>
    <row r="725" spans="1:13" x14ac:dyDescent="0.35">
      <c r="A725" s="48"/>
      <c r="B725" s="48"/>
      <c r="C725" s="49"/>
      <c r="D725" s="50"/>
      <c r="E725" s="51" t="str">
        <f>IF(N(C725)=0,"",C725/PI()/($D$1/2)^2/$D$2*10000)</f>
        <v/>
      </c>
      <c r="F725" s="68" t="str">
        <f t="shared" si="271"/>
        <v/>
      </c>
      <c r="G725" s="69" t="str">
        <f t="shared" si="273"/>
        <v/>
      </c>
      <c r="H725" s="70" t="str">
        <f t="shared" si="272"/>
        <v/>
      </c>
      <c r="I725" s="27" t="str">
        <f>IF(N(J725)=0,"",0&amp;"-"&amp;B$7)</f>
        <v/>
      </c>
      <c r="J725" s="52" t="str">
        <f>IF(N(B$7)=0,"",IF(AND(COUNT(H722:H733)=2,COUNT(F722:F733)=2),cubic_spline(F721:F723,H721:H723,B$7),IF(AND(COUNT(H722:H733)=3,COUNT(F722:F733)=3),cubic_spline(F721:F724,H721:H724,B$7),IF(AND(COUNT(H722:H733)=4,COUNT(F722:F733)=4),cubic_spline(F721:F725,H721:H725,B$7),IF(AND(COUNT(H722:H733)=5,COUNT(F722:F733)=5),cubic_spline(F721:F726,H721:H726,B$7),IF(AND(COUNT(H722:H733)=6,COUNT(F722:F733)=6),cubic_spline(F721:F727,H721:H727,B$7),IF(AND(COUNT(H722:H733)=7,COUNT(F722:F733)=7),cubic_spline(F721:F728,H721:H728,B$7),IF(AND(COUNT(H722:H733)=8,COUNT(F722:F733)=8),cubic_spline(F721:F729,H721:H729,B$7),IF(AND(COUNT(H722:H733)=9,COUNT(F722:F733)=9),cubic_spline(F721:F730,H721:H730,B$7),IF(AND(COUNT(H722:H733)=10,COUNT(F722:F733)=10),cubic_spline(F721:F731,H721:H731,B$7),IF(AND(COUNT(H722:H733)=11,COUNT(F722:F733)=11),cubic_spline(F721:F732,H721:H732,B$7),IF(AND(COUNT(H722:H733)=12,COUNT(F722:F733)=12),cubic_spline(F721:F733,H721:H733,B$7),""))))))))))))</f>
        <v/>
      </c>
      <c r="K725" s="52" t="str">
        <f>IF(N(B$7)=0,"",IF(AND(COUNT(A722:A733)=2,COUNT(F722:F733)=2),cubic_spline(F721:F723,A721:A723,B$7),IF(AND(COUNT(A722:A733)=3,COUNT(F722:F733)=3),cubic_spline(F721:F724,A721:A724,B$7),IF(AND(COUNT(A722:A733)=4,COUNT(F722:F733)=4),cubic_spline(F721:F725,A721:A725,B$7),IF(AND(COUNT(A722:A733)=5,COUNT(F722:F733)=5),cubic_spline(F721:F726,A721:A726,B$7),IF(AND(COUNT(A722:A733)=6,COUNT(F722:F733)=6),cubic_spline(F721:F727,A721:A727,B$7),IF(AND(COUNT(A722:A733)=7,COUNT(F722:F733)=7),cubic_spline(F721:F728,A721:A728,B$7),IF(AND(COUNT(A722:A733)=8,COUNT(F722:F733)=8),cubic_spline(F721:F729,A721:A729,B$7),IF(AND(COUNT(A722:A733)=9,COUNT(F722:F733)=9),cubic_spline(F721:F730,A721:A730,B$7),IF(AND(COUNT(A722:A733)=10,COUNT(F722:F733)=10),cubic_spline(F721:F731,A721:A731,B$7),IF(AND(COUNT(A722:A733)=11,COUNT(F722:F733)=11),cubic_spline(F721:F732,A721:A732,B$7),IF(AND(COUNT(A722:A733)=12,COUNT(F722:F733)=12),cubic_spline(F721:F733,A721:A733,B$7),""))))))))))))</f>
        <v/>
      </c>
      <c r="L725" s="27" t="str">
        <f>IF(I725="","",B$6&amp;"-"&amp;B$7)</f>
        <v/>
      </c>
      <c r="M725" s="52" t="str">
        <f>IF(N(J725)=0,"",J725-J724)</f>
        <v/>
      </c>
    </row>
    <row r="726" spans="1:13" x14ac:dyDescent="0.35">
      <c r="A726" s="48"/>
      <c r="B726" s="48"/>
      <c r="C726" s="49"/>
      <c r="D726" s="50"/>
      <c r="E726" s="51" t="str">
        <f t="shared" ref="E726:E733" si="274">IF(N(C726)=0,"",C726/PI()/($D$1/2)^2/$D$2*10000)</f>
        <v/>
      </c>
      <c r="F726" s="71" t="str">
        <f t="shared" si="271"/>
        <v/>
      </c>
      <c r="G726" s="69" t="str">
        <f t="shared" si="273"/>
        <v/>
      </c>
      <c r="H726" s="70" t="str">
        <f t="shared" si="272"/>
        <v/>
      </c>
      <c r="I726" s="27" t="str">
        <f>IF(N(J726)=0,"",0&amp;"-"&amp;B$8)</f>
        <v/>
      </c>
      <c r="J726" s="52" t="str">
        <f>IF(N(B$8)=0,"",IF(AND(COUNT(H722:H733)=2,COUNT(F722:F733)=2),cubic_spline(F721:F723,H721:H723,B$8),IF(AND(COUNT(H722:H733)=3,COUNT(F722:F733)=3),cubic_spline(F721:F724,H721:H724,B$8),IF(AND(COUNT(H722:H733)=4,COUNT(F722:F733)=4),cubic_spline(F721:F725,H721:H725,B$8),IF(AND(COUNT(H722:H733)=5,COUNT(F722:F733)=5),cubic_spline(F721:F726,H721:H726,B$8),IF(AND(COUNT(H722:H733)=6,COUNT(F722:F733)=6),cubic_spline(F721:F727,H721:H727,B$8),IF(AND(COUNT(H722:H733)=7,COUNT(F722:F733)=7),cubic_spline(F721:F728,H721:H728,B$8),IF(AND(COUNT(H722:H733)=8,COUNT(F722:F733)=8),cubic_spline(F721:F729,H721:H729,B$8),IF(AND(COUNT(H722:H733)=9,COUNT(F722:F733)=9),cubic_spline(F721:F730,H721:H730,B$8),IF(AND(COUNT(H722:H733)=10,COUNT(F722:F733)=10),cubic_spline(F721:F731,H721:H731,B$8),IF(AND(COUNT(H722:H733)=11,COUNT(F722:F733)=11),cubic_spline(F721:F732,H721:H732,B$8),IF(AND(COUNT(H722:H733)=12,COUNT(F722:F733)=12),cubic_spline(F721:F733,H721:H733,B$8),""))))))))))))</f>
        <v/>
      </c>
      <c r="K726" s="52" t="str">
        <f>IF(N(B$8)=0,"",IF(AND(COUNT(A722:A733)=2,COUNT(F722:F733)=2),cubic_spline(F721:F723,A721:A723,B$8),IF(AND(COUNT(A722:A733)=3,COUNT(F722:F733)=3),cubic_spline(F721:F724,A721:A724,B$8),IF(AND(COUNT(A722:A733)=4,COUNT(F722:F733)=4),cubic_spline(F721:F725,A721:A725,B$8),IF(AND(COUNT(A722:A733)=5,COUNT(F722:F733)=5),cubic_spline(F721:F726,A721:A726,B$8),IF(AND(COUNT(A722:A733)=6,COUNT(F722:F733)=6),cubic_spline(F721:F727,A721:A727,B$8),IF(AND(COUNT(A722:A733)=7,COUNT(F722:F733)=7),cubic_spline(F721:F728,A721:A728,B$8),IF(AND(COUNT(A722:A733)=8,COUNT(F722:F733)=8),cubic_spline(F721:F729,A721:A729,B$8),IF(AND(COUNT(A722:A733)=9,COUNT(F722:F733)=9),cubic_spline(F721:F730,A721:A730,B$8),IF(AND(COUNT(A722:A733)=10,COUNT(F722:F733)=10),cubic_spline(F721:F731,A721:A731,B$8),IF(AND(COUNT(A722:A733)=11,COUNT(F722:F733)=11),cubic_spline(F721:F732,A721:A732,B$8),IF(AND(COUNT(A722:A733)=12,COUNT(F722:F733)=12),cubic_spline(F721:F733,A721:A733,B$8),""))))))))))))</f>
        <v/>
      </c>
      <c r="L726" s="27" t="str">
        <f>IF(I726="","",B$7&amp;"-"&amp;B$8)</f>
        <v/>
      </c>
      <c r="M726" s="52" t="str">
        <f>IF(N(J726)=0,"",J726-J725)</f>
        <v/>
      </c>
    </row>
    <row r="727" spans="1:13" x14ac:dyDescent="0.35">
      <c r="A727" s="48"/>
      <c r="B727" s="48"/>
      <c r="C727" s="49"/>
      <c r="D727" s="50"/>
      <c r="E727" s="51" t="str">
        <f t="shared" si="274"/>
        <v/>
      </c>
      <c r="F727" s="71" t="str">
        <f t="shared" si="271"/>
        <v/>
      </c>
      <c r="G727" s="69" t="str">
        <f t="shared" si="273"/>
        <v/>
      </c>
      <c r="H727" s="70" t="str">
        <f t="shared" si="272"/>
        <v/>
      </c>
      <c r="I727" s="27" t="str">
        <f>IF(N(J727)=0,"",0&amp;"-"&amp;B$9)</f>
        <v/>
      </c>
      <c r="J727" s="52" t="str">
        <f>IF(N(B$9)=0,"",IF(AND(COUNT(H722:H733)=2,COUNT(F722:F733)=2),cubic_spline(F721:F723,H721:H723,B$9),IF(AND(COUNT(H722:H733)=3,COUNT(F722:F733)=3),cubic_spline(F721:F724,H721:H724,B$9),IF(AND(COUNT(H722:H733)=4,COUNT(F722:F733)=4),cubic_spline(F721:F725,H721:H725,B$9),IF(AND(COUNT(H722:H733)=5,COUNT(F722:F733)=5),cubic_spline(F721:F726,H721:H726,B$9),IF(AND(COUNT(H722:H733)=6,COUNT(F722:F733)=6),cubic_spline(F721:F727,H721:H727,B$9),IF(AND(COUNT(H722:H733)=7,COUNT(F722:F733)=7),cubic_spline(F721:F728,H721:H728,B$9),IF(AND(COUNT(H722:H733)=8,COUNT(F722:F733)=8),cubic_spline(F721:F729,H721:H729,B$9),IF(AND(COUNT(H722:H733)=9,COUNT(F722:F733)=9),cubic_spline(F721:F730,H721:H730,B$9),IF(AND(COUNT(H722:H733)=10,COUNT(F722:F733)=10),cubic_spline(F721:F731,H721:H731,B$9),IF(AND(COUNT(H722:H733)=11,COUNT(F722:F733)=11),cubic_spline(F721:F732,H721:H732,B$9),IF(AND(COUNT(H722:H733)=12,COUNT(F722:F733)=12),cubic_spline(F721:F733,H721:H733,B$9),""))))))))))))</f>
        <v/>
      </c>
      <c r="K727" s="52" t="str">
        <f>IF(N(B$9)=0,"",IF(AND(COUNT(A722:A733)=2,COUNT(F722:F733)=2),cubic_spline(F721:F723,A721:A723,B$9),IF(AND(COUNT(A722:A733)=3,COUNT(F722:F733)=3),cubic_spline(F721:F724,A721:A724,B$9),IF(AND(COUNT(A722:A733)=4,COUNT(F722:F733)=4),cubic_spline(F721:F725,A721:A725,B$9),IF(AND(COUNT(A722:A733)=5,COUNT(F722:F733)=5),cubic_spline(F721:F726,A721:A726,B$9),IF(AND(COUNT(A722:A733)=6,COUNT(F722:F733)=6),cubic_spline(F721:F727,A721:A727,B$9),IF(AND(COUNT(A722:A733)=7,COUNT(F722:F733)=7),cubic_spline(F721:F728,A721:A728,B$9),IF(AND(COUNT(A722:A733)=8,COUNT(F722:F733)=8),cubic_spline(F721:F729,A721:A729,B$9),IF(AND(COUNT(A722:A733)=9,COUNT(F722:F733)=9),cubic_spline(F721:F730,A721:A730,B$9),IF(AND(COUNT(A722:A733)=10,COUNT(F722:F733)=10),cubic_spline(F721:F731,A721:A731,B$9),IF(AND(COUNT(A722:A733)=11,COUNT(F722:F733)=11),cubic_spline(F721:F732,A721:A732,B$9),IF(AND(COUNT(A722:A733)=12,COUNT(F722:F733)=12),cubic_spline(F721:F733,A721:A733,B$9),""))))))))))))</f>
        <v/>
      </c>
      <c r="L727" s="27" t="str">
        <f>IF(I727="","",B$8&amp;"-"&amp;B$9)</f>
        <v/>
      </c>
      <c r="M727" s="52" t="str">
        <f t="shared" ref="M727:M733" si="275">IF(N(J727)=0,"",J727-J726)</f>
        <v/>
      </c>
    </row>
    <row r="728" spans="1:13" x14ac:dyDescent="0.35">
      <c r="A728" s="48"/>
      <c r="B728" s="48"/>
      <c r="C728" s="49"/>
      <c r="D728" s="50"/>
      <c r="E728" s="51" t="str">
        <f t="shared" si="274"/>
        <v/>
      </c>
      <c r="F728" s="71" t="str">
        <f t="shared" si="271"/>
        <v/>
      </c>
      <c r="G728" s="69" t="str">
        <f t="shared" si="273"/>
        <v/>
      </c>
      <c r="H728" s="70" t="str">
        <f t="shared" si="272"/>
        <v/>
      </c>
      <c r="I728" s="27" t="str">
        <f>IF(N(J728)=0,"",0&amp;"-"&amp;B$10)</f>
        <v/>
      </c>
      <c r="J728" s="52" t="str">
        <f>IF(N(B$10)=0,"",IF(AND(COUNT(H722:H733)=2,COUNT(F722:F733)=2),cubic_spline(F721:F723,H721:H723,B$10),IF(AND(COUNT(H722:H733)=3,COUNT(F722:F733)=3),cubic_spline(F721:F724,H721:H724,B$10),IF(AND(COUNT(H722:H733)=4,COUNT(F722:F733)=4),cubic_spline(F721:F725,H721:H725,B$10),IF(AND(COUNT(H722:H733)=5,COUNT(F722:F733)=5),cubic_spline(F721:F726,H721:H726,B$10),IF(AND(COUNT(H722:H733)=6,COUNT(F722:F733)=6),cubic_spline(F721:F727,H721:H727,B$10),IF(AND(COUNT(H722:H733)=7,COUNT(F722:F733)=7),cubic_spline(F721:F728,H721:H728,B$10),IF(AND(COUNT(H722:H733)=8,COUNT(F722:F733)=8),cubic_spline(F721:F729,H721:H729,B$10),IF(AND(COUNT(H722:H733)=9,COUNT(F722:F733)=9),cubic_spline(F721:F730,H721:H730,B$10),IF(AND(COUNT(H722:H733)=10,COUNT(F722:F733)=10),cubic_spline(F721:F731,H721:H731,B$10),IF(AND(COUNT(H722:H733)=11,COUNT(F722:F733)=11),cubic_spline(F721:F732,H721:H732,B$10),IF(AND(COUNT(H722:H733)=12,COUNT(F722:F733)=12),cubic_spline(F721:F733,H721:H733,B$10),""))))))))))))</f>
        <v/>
      </c>
      <c r="K728" s="52" t="str">
        <f>IF(N(B$10)=0,"",IF(AND(COUNT(A722:A733)=2,COUNT(F722:F733)=2),cubic_spline(F721:F723,A721:A723,B$10),IF(AND(COUNT(A722:A733)=3,COUNT(F722:F733)=3),cubic_spline(F721:F724,A721:A724,B$10),IF(AND(COUNT(A722:A733)=4,COUNT(F722:F733)=4),cubic_spline(F721:F725,A721:A725,B$10),IF(AND(COUNT(A722:A733)=5,COUNT(F722:F733)=5),cubic_spline(F721:F726,A721:A726,B$10),IF(AND(COUNT(A722:A733)=6,COUNT(F722:F733)=6),cubic_spline(F721:F727,A721:A727,B$10),IF(AND(COUNT(A722:A733)=7,COUNT(F722:F733)=7),cubic_spline(F721:F728,A721:A728,B$10),IF(AND(COUNT(A722:A733)=8,COUNT(F722:F733)=8),cubic_spline(F721:F729,A721:A729,B$10),IF(AND(COUNT(A722:A733)=9,COUNT(F722:F733)=9),cubic_spline(F721:F730,A721:A730,B$10),IF(AND(COUNT(A722:A733)=10,COUNT(F722:F733)=10),cubic_spline(F721:F731,A721:A731,B$10),IF(AND(COUNT(A722:A733)=11,COUNT(F722:F733)=11),cubic_spline(F721:F732,A721:A732,B$10),IF(AND(COUNT(A722:A733)=12,COUNT(F722:F733)=12),cubic_spline(F721:F733,A721:A733,B$10),""))))))))))))</f>
        <v/>
      </c>
      <c r="L728" s="27" t="str">
        <f>IF(I728="","",B$9&amp;"-"&amp;B$10)</f>
        <v/>
      </c>
      <c r="M728" s="52" t="str">
        <f t="shared" si="275"/>
        <v/>
      </c>
    </row>
    <row r="729" spans="1:13" x14ac:dyDescent="0.35">
      <c r="A729" s="48"/>
      <c r="B729" s="48"/>
      <c r="C729" s="49"/>
      <c r="D729" s="50"/>
      <c r="E729" s="51" t="str">
        <f t="shared" si="274"/>
        <v/>
      </c>
      <c r="F729" s="71" t="str">
        <f t="shared" si="271"/>
        <v/>
      </c>
      <c r="G729" s="69" t="str">
        <f t="shared" si="273"/>
        <v/>
      </c>
      <c r="H729" s="70" t="str">
        <f t="shared" si="272"/>
        <v/>
      </c>
      <c r="I729" s="27" t="str">
        <f>IF(N(J729)=0,"",0&amp;"-"&amp;B$11)</f>
        <v/>
      </c>
      <c r="J729" s="52" t="str">
        <f>IF(N(B$11)=0,"",IF(AND(COUNT(H722:H733)=2,COUNT(F722:F733)=2),cubic_spline(F721:F723,H721:H723,B$11),IF(AND(COUNT(H722:H733)=3,COUNT(F722:F733)=3),cubic_spline(F721:F724,H721:H724,B$11),IF(AND(COUNT(H722:H733)=4,COUNT(F722:F733)=4),cubic_spline(F721:F725,H721:H725,B$11),IF(AND(COUNT(H722:H733)=5,COUNT(F722:F733)=5),cubic_spline(F721:F726,H721:H726,B$11),IF(AND(COUNT(H722:H733)=6,COUNT(F722:F733)=6),cubic_spline(F721:F727,H721:H727,B$11),IF(AND(COUNT(H722:H733)=7,COUNT(F722:F733)=7),cubic_spline(F721:F728,H721:H728,B$11),IF(AND(COUNT(H722:H733)=8,COUNT(F722:F733)=8),cubic_spline(F721:F729,H721:H729,B$11),IF(AND(COUNT(H722:H733)=9,COUNT(F722:F733)=9),cubic_spline(F721:F730,H721:H730,B$11),IF(AND(COUNT(H722:H733)=10,COUNT(F722:F733)=10),cubic_spline(F721:F731,H721:H731,B$11),IF(AND(COUNT(H722:H733)=11,COUNT(F722:F733)=11),cubic_spline(F721:F732,H721:H732,B$11),IF(AND(COUNT(H722:H733)=12,COUNT(F722:F733)=12),cubic_spline(F721:F733,H721:H733,B$11),""))))))))))))</f>
        <v/>
      </c>
      <c r="K729" s="52" t="str">
        <f>IF(N(B$11)=0,"",IF(AND(COUNT(A722:A733)=2,COUNT(F722:F733)=2),cubic_spline(F721:F723,A721:A723,B$11),IF(AND(COUNT(A722:A733)=3,COUNT(F722:F733)=3),cubic_spline(F721:F724,A721:A724,B$11),IF(AND(COUNT(A722:A733)=4,COUNT(F722:F733)=4),cubic_spline(F721:F725,A721:A725,B$11),IF(AND(COUNT(A722:A733)=5,COUNT(F722:F733)=5),cubic_spline(F721:F726,A721:A726,B$11),IF(AND(COUNT(A722:A733)=6,COUNT(F722:F733)=6),cubic_spline(F721:F727,A721:A727,B$11),IF(AND(COUNT(A722:A733)=7,COUNT(F722:F733)=7),cubic_spline(F721:F728,A721:A728,B$11),IF(AND(COUNT(A722:A733)=8,COUNT(F722:F733)=8),cubic_spline(F721:F729,A721:A729,B$11),IF(AND(COUNT(A722:A733)=9,COUNT(F722:F733)=9),cubic_spline(F721:F730,A721:A730,B$11),IF(AND(COUNT(A722:A733)=10,COUNT(F722:F733)=10),cubic_spline(F721:F731,A721:A731,B$11),IF(AND(COUNT(A722:A733)=11,COUNT(F722:F733)=11),cubic_spline(F721:F732,A721:A732,B$11),IF(AND(COUNT(A722:A733)=12,COUNT(F722:F733)=12),cubic_spline(F721:F733,A721:A733,B$11),""))))))))))))</f>
        <v/>
      </c>
      <c r="L729" s="27" t="str">
        <f>IF(I729="","",B$10&amp;"-"&amp;B$11)</f>
        <v/>
      </c>
      <c r="M729" s="52" t="str">
        <f t="shared" si="275"/>
        <v/>
      </c>
    </row>
    <row r="730" spans="1:13" x14ac:dyDescent="0.35">
      <c r="A730" s="48"/>
      <c r="B730" s="48"/>
      <c r="C730" s="49"/>
      <c r="D730" s="50"/>
      <c r="E730" s="51" t="str">
        <f t="shared" si="274"/>
        <v/>
      </c>
      <c r="F730" s="71" t="str">
        <f t="shared" si="271"/>
        <v/>
      </c>
      <c r="G730" s="69" t="str">
        <f t="shared" si="273"/>
        <v/>
      </c>
      <c r="H730" s="70" t="str">
        <f t="shared" si="272"/>
        <v/>
      </c>
      <c r="I730" s="27" t="str">
        <f>IF(N(J730)=0,"",0&amp;"-"&amp;B$12)</f>
        <v/>
      </c>
      <c r="J730" s="52" t="str">
        <f>IF(N(B$12)=0,"",IF(AND(COUNT(H722:H733)=2,COUNT(F722:F733)=2),cubic_spline(F721:F723,H721:H723,B$12),IF(AND(COUNT(H722:H733)=3,COUNT(F722:F733)=3),cubic_spline(F721:F724,H721:H724,B$12),IF(AND(COUNT(H722:H733)=4,COUNT(F722:F733)=4),cubic_spline(F721:F725,H721:H725,B$12),IF(AND(COUNT(H722:H733)=5,COUNT(F722:F733)=5),cubic_spline(F721:F726,H721:H726,B$12),IF(AND(COUNT(H722:H733)=6,COUNT(F722:F733)=6),cubic_spline(F721:F727,H721:H727,B$12),IF(AND(COUNT(H722:H733)=7,COUNT(F722:F733)=7),cubic_spline(F721:F728,H721:H728,B$12),IF(AND(COUNT(H722:H733)=8,COUNT(F722:F733)=8),cubic_spline(F721:F729,H721:H729,B$12),IF(AND(COUNT(H722:H733)=9,COUNT(F722:F733)=9),cubic_spline(F721:F730,H721:H730,B$12),IF(AND(COUNT(H722:H733)=10,COUNT(F722:F733)=10),cubic_spline(F721:F731,H721:H731,B$12),IF(AND(COUNT(H722:H733)=11,COUNT(F722:F733)=11),cubic_spline(F721:F732,H721:H732,B$12),IF(AND(COUNT(H722:H733)=12,COUNT(F722:F733)=12),cubic_spline(F721:F733,H721:H733,B$12),""))))))))))))</f>
        <v/>
      </c>
      <c r="K730" s="52" t="str">
        <f>IF(N(B$12)=0,"",IF(AND(COUNT(A722:A733)=2,COUNT(F722:F733)=2),cubic_spline(F721:F723,A721:A723,B$12),IF(AND(COUNT(A722:A733)=3,COUNT(F722:F733)=3),cubic_spline(F721:F724,A721:A724,B$12),IF(AND(COUNT(A722:A733)=4,COUNT(F722:F733)=4),cubic_spline(F721:F725,A721:A725,B$12),IF(AND(COUNT(A722:A733)=5,COUNT(F722:F733)=5),cubic_spline(F721:F726,A721:A726,B$12),IF(AND(COUNT(A722:A733)=6,COUNT(F722:F733)=6),cubic_spline(F721:F727,A721:A727,B$12),IF(AND(COUNT(A722:A733)=7,COUNT(F722:F733)=7),cubic_spline(F721:F728,A721:A728,B$12),IF(AND(COUNT(A722:A733)=8,COUNT(F722:F733)=8),cubic_spline(F721:F729,A721:A729,B$12),IF(AND(COUNT(A722:A733)=9,COUNT(F722:F733)=9),cubic_spline(F721:F730,A721:A730,B$12),IF(AND(COUNT(A722:A733)=10,COUNT(F722:F733)=10),cubic_spline(F721:F731,A721:A731,B$12),IF(AND(COUNT(A722:A733)=11,COUNT(F722:F733)=11),cubic_spline(F721:F732,A721:A732,B$12),IF(AND(COUNT(A722:A733)=12,COUNT(F722:F733)=12),cubic_spline(F721:F733,A721:A733,B$12),""))))))))))))</f>
        <v/>
      </c>
      <c r="L730" s="27" t="str">
        <f>IF(I730="","",B$11&amp;"-"&amp;B$12)</f>
        <v/>
      </c>
      <c r="M730" s="52" t="str">
        <f t="shared" si="275"/>
        <v/>
      </c>
    </row>
    <row r="731" spans="1:13" x14ac:dyDescent="0.35">
      <c r="A731" s="48"/>
      <c r="B731" s="48"/>
      <c r="C731" s="49"/>
      <c r="D731" s="50"/>
      <c r="E731" s="51" t="str">
        <f t="shared" si="274"/>
        <v/>
      </c>
      <c r="F731" s="71" t="str">
        <f t="shared" si="271"/>
        <v/>
      </c>
      <c r="G731" s="69" t="str">
        <f t="shared" si="273"/>
        <v/>
      </c>
      <c r="H731" s="70" t="str">
        <f t="shared" si="272"/>
        <v/>
      </c>
      <c r="I731" s="27" t="str">
        <f>IF(N(J731)=0,"",0&amp;"-"&amp;B$13)</f>
        <v/>
      </c>
      <c r="J731" s="52" t="str">
        <f>IF(N(B$13)=0,"",IF(AND(COUNT(H722:H733)=2,COUNT(F722:F733)=2),cubic_spline(F721:F723,H721:H723,B$13),IF(AND(COUNT(H722:H733)=3,COUNT(F722:F733)=3),cubic_spline(F721:F724,H721:H724,B$13),IF(AND(COUNT(H722:H733)=4,COUNT(F722:F733)=4),cubic_spline(F721:F725,H721:H725,B$13),IF(AND(COUNT(H722:H733)=5,COUNT(F722:F733)=5),cubic_spline(F721:F726,H721:H726,B$13),IF(AND(COUNT(H722:H733)=6,COUNT(F722:F733)=6),cubic_spline(F721:F727,H721:H727,B$13),IF(AND(COUNT(H722:H733)=7,COUNT(F722:F733)=7),cubic_spline(F721:F728,H721:H728,B$13),IF(AND(COUNT(H722:H733)=8,COUNT(F722:F733)=8),cubic_spline(F721:F729,H721:H729,B$13),IF(AND(COUNT(H722:H733)=9,COUNT(F722:F733)=9),cubic_spline(F721:F730,H721:H730,B$13),IF(AND(COUNT(H722:H733)=10,COUNT(F722:F733)=10),cubic_spline(F721:F731,H721:H731,B$13),IF(AND(COUNT(H722:H733)=11,COUNT(F722:F733)=11),cubic_spline(F721:F732,H721:H732,B$13),IF(AND(COUNT(H722:H733)=12,COUNT(F722:F733)=12),cubic_spline(F721:F733,H721:H733,B$13),""))))))))))))</f>
        <v/>
      </c>
      <c r="K731" s="52" t="str">
        <f>IF(N(B$13)=0,"",IF(AND(COUNT(A722:A733)=2,COUNT(F722:F733)=2),cubic_spline(F721:F723,A721:A723,B$13),IF(AND(COUNT(A722:A733)=3,COUNT(F722:F733)=3),cubic_spline(F721:F724,A721:A724,B$13),IF(AND(COUNT(A722:A733)=4,COUNT(F722:F733)=4),cubic_spline(F721:F725,A721:A725,B$13),IF(AND(COUNT(A722:A733)=5,COUNT(F722:F733)=5),cubic_spline(F721:F726,A721:A726,B$13),IF(AND(COUNT(A722:A733)=6,COUNT(F722:F733)=6),cubic_spline(F721:F727,A721:A727,B$13),IF(AND(COUNT(A722:A733)=7,COUNT(F722:F733)=7),cubic_spline(F721:F728,A721:A728,B$13),IF(AND(COUNT(A722:A733)=8,COUNT(F722:F733)=8),cubic_spline(F721:F729,A721:A729,B$13),IF(AND(COUNT(A722:A733)=9,COUNT(F722:F733)=9),cubic_spline(F721:F730,A721:A730,B$13),IF(AND(COUNT(A722:A733)=10,COUNT(F722:F733)=10),cubic_spline(F721:F731,A721:A731,B$13),IF(AND(COUNT(A722:A733)=11,COUNT(F722:F733)=11),cubic_spline(F721:F732,A721:A732,B$13),IF(AND(COUNT(A722:A733)=12,COUNT(F722:F733)=12),cubic_spline(F721:F733,A721:A733,B$13),""))))))))))))</f>
        <v/>
      </c>
      <c r="L731" s="27" t="str">
        <f>IF(I731="","",B$12&amp;"-"&amp;B$13)</f>
        <v/>
      </c>
      <c r="M731" s="52" t="str">
        <f t="shared" si="275"/>
        <v/>
      </c>
    </row>
    <row r="732" spans="1:13" x14ac:dyDescent="0.35">
      <c r="A732" s="48"/>
      <c r="B732" s="48"/>
      <c r="C732" s="49"/>
      <c r="D732" s="50"/>
      <c r="E732" s="51" t="str">
        <f t="shared" si="274"/>
        <v/>
      </c>
      <c r="F732" s="71" t="str">
        <f t="shared" si="271"/>
        <v/>
      </c>
      <c r="G732" s="69" t="str">
        <f t="shared" si="273"/>
        <v/>
      </c>
      <c r="H732" s="70" t="str">
        <f t="shared" si="272"/>
        <v/>
      </c>
      <c r="I732" s="27" t="str">
        <f>IF(N(J732)=0,"",0&amp;"-"&amp;B$14)</f>
        <v/>
      </c>
      <c r="J732" s="52" t="str">
        <f>IF(N(B$14)=0,"",IF(AND(COUNT(H722:H733)=2,COUNT(F722:F733)=2),cubic_spline(F721:F723,H721:H723,B$14),IF(AND(COUNT(H722:H733)=3,COUNT(F722:F733)=3),cubic_spline(F721:F724,H721:H724,B$14),IF(AND(COUNT(H722:H733)=4,COUNT(F722:F733)=4),cubic_spline(F721:F725,H721:H725,B$14),IF(AND(COUNT(H722:H733)=5,COUNT(F722:F733)=5),cubic_spline(F721:F726,H721:H726,B$14),IF(AND(COUNT(H722:H733)=6,COUNT(F722:F733)=6),cubic_spline(F721:F727,H721:H727,B$14),IF(AND(COUNT(H722:H733)=7,COUNT(F722:F733)=7),cubic_spline(F721:F728,H721:H728,B$14),IF(AND(COUNT(H722:H733)=8,COUNT(F722:F733)=8),cubic_spline(F721:F729,H721:H729,B$14),IF(AND(COUNT(H722:H733)=9,COUNT(F722:F733)=9),cubic_spline(F721:F730,H721:H730,B$14),IF(AND(COUNT(H722:H733)=10,COUNT(F722:F733)=10),cubic_spline(F721:F731,H721:H731,B$14),IF(AND(COUNT(H722:H733)=11,COUNT(F722:F733)=11),cubic_spline(F721:F732,H721:H732,B$14),IF(AND(COUNT(H722:H733)=12,COUNT(F722:F733)=12),cubic_spline(F721:F733,H721:H733,B$14),""))))))))))))</f>
        <v/>
      </c>
      <c r="K732" s="52" t="str">
        <f>IF(N(B$14)=0,"",IF(AND(COUNT(A722:A733)=2,COUNT(F722:F733)=2),cubic_spline(F721:F723,A721:A723,B$14),IF(AND(COUNT(A722:A733)=3,COUNT(F722:F733)=3),cubic_spline(F721:F724,A721:A724,B$14),IF(AND(COUNT(A722:A733)=4,COUNT(F722:F733)=4),cubic_spline(F721:F725,A721:A725,B$14),IF(AND(COUNT(A722:A733)=5,COUNT(F722:F733)=5),cubic_spline(F721:F726,A721:A726,B$14),IF(AND(COUNT(A722:A733)=6,COUNT(F722:F733)=6),cubic_spline(F721:F727,A721:A727,B$14),IF(AND(COUNT(A722:A733)=7,COUNT(F722:F733)=7),cubic_spline(F721:F728,A721:A728,B$14),IF(AND(COUNT(A722:A733)=8,COUNT(F722:F733)=8),cubic_spline(F721:F729,A721:A729,B$14),IF(AND(COUNT(A722:A733)=9,COUNT(F722:F733)=9),cubic_spline(F721:F730,A721:A730,B$14),IF(AND(COUNT(A722:A733)=10,COUNT(F722:F733)=10),cubic_spline(F721:F731,A721:A731,B$14),IF(AND(COUNT(A722:A733)=11,COUNT(F722:F733)=11),cubic_spline(F721:F732,A721:A732,B$14),IF(AND(COUNT(A722:A733)=12,COUNT(F722:F733)=12),cubic_spline(F721:F733,A721:A733,B$14),""))))))))))))</f>
        <v/>
      </c>
      <c r="L732" s="27" t="str">
        <f>IF(I732="","",B$13&amp;"-"&amp;B$14)</f>
        <v/>
      </c>
      <c r="M732" s="52" t="str">
        <f t="shared" si="275"/>
        <v/>
      </c>
    </row>
    <row r="733" spans="1:13" x14ac:dyDescent="0.35">
      <c r="A733" s="48"/>
      <c r="B733" s="48"/>
      <c r="C733" s="49"/>
      <c r="D733" s="50"/>
      <c r="E733" s="51" t="str">
        <f t="shared" si="274"/>
        <v/>
      </c>
      <c r="F733" s="71" t="str">
        <f t="shared" si="271"/>
        <v/>
      </c>
      <c r="G733" s="69" t="str">
        <f t="shared" si="273"/>
        <v/>
      </c>
      <c r="H733" s="70" t="str">
        <f t="shared" si="272"/>
        <v/>
      </c>
      <c r="I733" s="27" t="str">
        <f>IF(N(J733)=0,"",0&amp;"-"&amp;B$15)</f>
        <v/>
      </c>
      <c r="J733" s="52" t="str">
        <f>IF(N(B$15)=0,"",IF(AND(COUNT(H722:H733)=2,COUNT(F722:F733)=2),cubic_spline(F721:F723,H721:H723,B$15),IF(AND(COUNT(H722:H733)=3,COUNT(F722:F733)=3),cubic_spline(F721:F724,H721:H724,B$15),IF(AND(COUNT(H722:H733)=4,COUNT(F722:F733)=4),cubic_spline(F721:F725,H721:H725,B$15),IF(AND(COUNT(H722:H733)=5,COUNT(F722:F733)=5),cubic_spline(F721:F726,H721:H726,B$15),IF(AND(COUNT(H722:H733)=6,COUNT(F722:F733)=6),cubic_spline(F721:F727,H721:H727,B$15),IF(AND(COUNT(H722:H733)=7,COUNT(F722:F733)=7),cubic_spline(F721:F728,H721:H728,B$15),IF(AND(COUNT(H722:H733)=8,COUNT(F722:F733)=8),cubic_spline(F721:F729,H721:H729,B$15),IF(AND(COUNT(H722:H733)=9,COUNT(F722:F733)=9),cubic_spline(F721:F730,H721:H730,B$15),IF(AND(COUNT(H722:H733)=10,COUNT(F722:F733)=10),cubic_spline(F721:F731,H721:H731,B$15),IF(AND(COUNT(H722:H733)=11,COUNT(F722:F733)=11),cubic_spline(F721:F732,H721:H732,B$15),IF(AND(COUNT(H722:H733)=12,COUNT(F722:F733)=12),cubic_spline(F721:F733,H721:H733,B$15),""))))))))))))</f>
        <v/>
      </c>
      <c r="K733" s="52" t="str">
        <f>IF(N(B$15)=0,"",IF(AND(COUNT(A722:A733)=2,COUNT(F722:F733)=2),cubic_spline(F721:F723,A721:A723,B$15),IF(AND(COUNT(A722:A733)=3,COUNT(F722:F733)=3),cubic_spline(F721:F724,A721:A724,B$15),IF(AND(COUNT(A722:A733)=4,COUNT(F722:F733)=4),cubic_spline(F721:F725,A721:A725,B$15),IF(AND(COUNT(A722:A733)=5,COUNT(F722:F733)=5),cubic_spline(F721:F726,A721:A726,B$15),IF(AND(COUNT(A722:A733)=6,COUNT(F722:F733)=6),cubic_spline(F721:F727,A721:A727,B$15),IF(AND(COUNT(A722:A733)=7,COUNT(F722:F733)=7),cubic_spline(F721:F728,A721:A728,B$15),IF(AND(COUNT(A722:A733)=8,COUNT(F722:F733)=8),cubic_spline(F721:F729,A721:A729,B$15),IF(AND(COUNT(A722:A733)=9,COUNT(F722:F733)=9),cubic_spline(F721:F730,A721:A730,B$15),IF(AND(COUNT(A722:A733)=10,COUNT(F722:F733)=10),cubic_spline(F721:F731,A721:A731,B$15),IF(AND(COUNT(A722:A733)=11,COUNT(F722:F733)=11),cubic_spline(F721:F732,A721:A732,B$15),IF(AND(COUNT(A722:A733)=12,COUNT(F722:F733)=12),cubic_spline(F721:F733,A721:A733,B$15),""))))))))))))</f>
        <v/>
      </c>
      <c r="L733" s="27" t="str">
        <f>IF(I733="","",B$14&amp;"-"&amp;B$15)</f>
        <v/>
      </c>
      <c r="M733" s="52" t="str">
        <f t="shared" si="275"/>
        <v/>
      </c>
    </row>
    <row r="734" spans="1:13" ht="5.15" customHeight="1" x14ac:dyDescent="0.35">
      <c r="A734" s="47"/>
      <c r="B734" s="47"/>
      <c r="C734" s="47"/>
      <c r="D734" s="53"/>
      <c r="E734" s="54"/>
      <c r="F734" s="55"/>
      <c r="G734" s="72"/>
      <c r="H734" s="73"/>
      <c r="I734" s="47"/>
      <c r="J734" s="57"/>
      <c r="K734" s="57"/>
      <c r="L734" s="55"/>
      <c r="M734" s="57"/>
    </row>
    <row r="735" spans="1:13" x14ac:dyDescent="0.35">
      <c r="A735" s="48"/>
      <c r="B735" s="48"/>
      <c r="C735" s="49"/>
      <c r="D735" s="50"/>
      <c r="E735" s="51" t="str">
        <f>IF(N(C735)=0,"",C735/PI()/($D$1/2)^2/$D$2*10000)</f>
        <v/>
      </c>
      <c r="F735" s="68" t="str">
        <f t="shared" ref="F735:F746" si="276">IF(N(E735)=0,"",(N(E735)+N(F734)))</f>
        <v/>
      </c>
      <c r="G735" s="69" t="str">
        <f>IF(OR(N(D735)=0,N(E735)=0),"",(E735*D735)/1000)</f>
        <v/>
      </c>
      <c r="H735" s="70" t="str">
        <f t="shared" ref="H735:H746" si="277">IF(N(G735)=0,"",(N(G735)+N(H734)))</f>
        <v/>
      </c>
      <c r="I735" s="27" t="str">
        <f>IF(N(J735)=0,"",0&amp;"-"&amp;B$4)</f>
        <v/>
      </c>
      <c r="J735" s="52" t="str">
        <f>IF(N(B$4)=0,"",IF(AND(COUNT(H735:H746)=2,COUNT(F735:F746)=2),cubic_spline(F734:F736,H734:H736,B$4),IF(AND(COUNT(H735:H746)=3,COUNT(F735:F746)=3),cubic_spline(F734:F737,H734:H737,B$4),IF(AND(COUNT(H735:H746)=4,COUNT(F735:F746)=4),cubic_spline(F734:F738,H734:H738,B$4),IF(AND(COUNT(H735:H746)=5,COUNT(F735:F746)=5),cubic_spline(F734:F739,H734:H739,B$4),IF(AND(COUNT(H735:H746)=6,COUNT(F735:F746)=6),cubic_spline(F734:F740,H734:H740,B$4),IF(AND(COUNT(H735:H746)=7,COUNT(F735:F746)=7),cubic_spline(F734:F741,H734:H741,B$4),IF(AND(COUNT(H735:H746)=8,COUNT(F735:F746)=8),cubic_spline(F734:F742,H734:H742,B$4),IF(AND(COUNT(H735:H746)=9,COUNT(F735:F746)=9),cubic_spline(F734:F743,H734:H743,B$4),IF(AND(COUNT(H735:H746)=10,COUNT(F735:F746)=10),cubic_spline(F734:F744,H734:H744,B$4),IF(AND(COUNT(H735:H746)=11,COUNT(F735:F746)=11),cubic_spline(F734:F745,H734:H745,B$4),IF(AND(COUNT(H735:H746)=12,COUNT(F735:F746)=12),cubic_spline(F734:F746,H734:H746,B$4),""))))))))))))</f>
        <v/>
      </c>
      <c r="K735" s="52" t="str">
        <f>IF(N(B$4)=0,"",IF(AND(COUNT(A735:A746)=2,COUNT(F735:F746)=2),cubic_spline(F734:F736,A734:A736,B$4),IF(AND(COUNT(A735:A746)=3,COUNT(F735:F746)=3),cubic_spline(F734:F737,A734:A737,B$4),IF(AND(COUNT(A735:A746)=4,COUNT(F735:F746)=4),cubic_spline(F734:F738,A734:A738,B$4),IF(AND(COUNT(A735:A746)=5,COUNT(F735:F746)=5),cubic_spline(F734:F739,A734:A739,B$4),IF(AND(COUNT(A735:A746)=6,COUNT(F735:F746)=6),cubic_spline(F734:F740,A734:A740,B$4),IF(AND(COUNT(A735:A746)=7,COUNT(F735:F746)=7),cubic_spline(F734:F741,A734:A741,B$4),IF(AND(COUNT(A735:A746)=8,COUNT(F735:F746)=8),cubic_spline(F734:F742,A734:A742,B$4),IF(AND(COUNT(A735:A746)=9,COUNT(F735:F746)=9),cubic_spline(F734:F743,A734:A743,B$4),IF(AND(COUNT(A735:A746)=10,COUNT(F735:F746)=10),cubic_spline(F734:F744,A734:A744,B$4),IF(AND(COUNT(A735:A746)=11,COUNT(F735:F746)=11),cubic_spline(F734:F745,A734:A745,B$4),IF(AND(COUNT(A735:A746)=12,COUNT(F735:F746)=12),cubic_spline(F734:F746,A734:A746,B$4),""))))))))))))</f>
        <v/>
      </c>
      <c r="L735" s="27" t="str">
        <f>IF(I735="","",0&amp;"-"&amp;B$4)</f>
        <v/>
      </c>
      <c r="M735" s="52" t="str">
        <f>IF(N(J735)=0,"",J735-J734)</f>
        <v/>
      </c>
    </row>
    <row r="736" spans="1:13" x14ac:dyDescent="0.35">
      <c r="A736" s="48"/>
      <c r="B736" s="48"/>
      <c r="C736" s="49"/>
      <c r="D736" s="50"/>
      <c r="E736" s="51" t="str">
        <f>IF(N(C736)=0,"",C736/PI()/($D$1/2)^2/$D$2*10000)</f>
        <v/>
      </c>
      <c r="F736" s="68" t="str">
        <f t="shared" si="276"/>
        <v/>
      </c>
      <c r="G736" s="69" t="str">
        <f t="shared" ref="G736:G746" si="278">IF(OR(N(D736)=0,N(E736)=0),"",(E736*D736)/1000)</f>
        <v/>
      </c>
      <c r="H736" s="70" t="str">
        <f t="shared" si="277"/>
        <v/>
      </c>
      <c r="I736" s="27" t="str">
        <f>IF(N(J736)=0,"",0&amp;"-"&amp;B$5)</f>
        <v/>
      </c>
      <c r="J736" s="52" t="str">
        <f>IF(N(B$5)=0,"",IF(AND(COUNT(H735:H746)=2,COUNT(F735:F746)=2),cubic_spline(F734:F736,H734:H736,B$5),IF(AND(COUNT(H735:H746)=3,COUNT(F735:F746)=3),cubic_spline(F734:F737,H734:H737,B$5),IF(AND(COUNT(H735:H746)=4,COUNT(F735:F746)=4),cubic_spline(F734:F738,H734:H738,B$5),IF(AND(COUNT(H735:H746)=5,COUNT(F735:F746)=5),cubic_spline(F734:F739,H734:H739,B$5),IF(AND(COUNT(H735:H746)=6,COUNT(F735:F746)=6),cubic_spline(F734:F740,H734:H740,B$5),IF(AND(COUNT(H735:H746)=7,COUNT(F735:F746)=7),cubic_spline(F734:F741,H734:H741,B$5),IF(AND(COUNT(H735:H746)=8,COUNT(F735:F746)=8),cubic_spline(F734:F742,H734:H742,B$5),IF(AND(COUNT(H735:H746)=9,COUNT(F735:F746)=9),cubic_spline(F734:F743,H734:H743,B$5),IF(AND(COUNT(H735:H746)=10,COUNT(F735:F746)=10),cubic_spline(F734:F744,H734:H744,B$5),IF(AND(COUNT(H735:H746)=11,COUNT(F735:F746)=11),cubic_spline(F734:F745,H734:H745,B$5),IF(AND(COUNT(H735:H746)=12,COUNT(F735:F746)=12),cubic_spline(F734:F746,H734:H746,B$5),""))))))))))))</f>
        <v/>
      </c>
      <c r="K736" s="52" t="str">
        <f>IF(N(B$5)=0,"",IF(AND(COUNT(A735:A746)=2,COUNT(F735:F746)=2),cubic_spline(F734:F736,A734:A736,B$5),IF(AND(COUNT(A735:A746)=3,COUNT(F735:F746)=3),cubic_spline(F734:F737,A734:A737,B$5),IF(AND(COUNT(A735:A746)=4,COUNT(F735:F746)=4),cubic_spline(F734:F738,A734:A738,B$5),IF(AND(COUNT(A735:A746)=5,COUNT(F735:F746)=5),cubic_spline(F734:F739,A734:A739,B$5),IF(AND(COUNT(A735:A746)=6,COUNT(F735:F746)=6),cubic_spline(F734:F740,A734:A740,B$5),IF(AND(COUNT(A735:A746)=7,COUNT(F735:F746)=7),cubic_spline(F734:F741,A734:A741,B$5),IF(AND(COUNT(A735:A746)=8,COUNT(F735:F746)=8),cubic_spline(F734:F742,A734:A742,B$5),IF(AND(COUNT(A735:A746)=9,COUNT(F735:F746)=9),cubic_spline(F734:F743,A734:A743,B$5),IF(AND(COUNT(A735:A746)=10,COUNT(F735:F746)=10),cubic_spline(F734:F744,A734:A744,B$5),IF(AND(COUNT(A735:A746)=11,COUNT(F735:F746)=11),cubic_spline(F734:F745,A734:A745,B$5),IF(AND(COUNT(A735:A746)=12,COUNT(F735:F746)=12),cubic_spline(F734:F746,A734:A746,B$5),""))))))))))))</f>
        <v/>
      </c>
      <c r="L736" s="27" t="str">
        <f>IF(I736="","",B$4&amp;"-"&amp;B$5)</f>
        <v/>
      </c>
      <c r="M736" s="52" t="str">
        <f>IF(N(J736)=0,"",J736-J735)</f>
        <v/>
      </c>
    </row>
    <row r="737" spans="1:13" x14ac:dyDescent="0.35">
      <c r="A737" s="48"/>
      <c r="B737" s="48"/>
      <c r="C737" s="49"/>
      <c r="D737" s="50"/>
      <c r="E737" s="51" t="str">
        <f>IF(N(C737)=0,"",C737/PI()/($D$1/2)^2/$D$2*10000)</f>
        <v/>
      </c>
      <c r="F737" s="68" t="str">
        <f t="shared" si="276"/>
        <v/>
      </c>
      <c r="G737" s="69" t="str">
        <f t="shared" si="278"/>
        <v/>
      </c>
      <c r="H737" s="70" t="str">
        <f t="shared" si="277"/>
        <v/>
      </c>
      <c r="I737" s="27" t="str">
        <f>IF(N(J737)=0,"",0&amp;"-"&amp;B$6)</f>
        <v/>
      </c>
      <c r="J737" s="52" t="str">
        <f>IF(N(B$6)=0,"",IF(AND(COUNT(H735:H746)=2,COUNT(F735:F746)=2),cubic_spline(F734:F736,H734:H736,B$6),IF(AND(COUNT(H735:H746)=3,COUNT(F735:F746)=3),cubic_spline(F734:F737,H734:H737,B$6),IF(AND(COUNT(H735:H746)=4,COUNT(F735:F746)=4),cubic_spline(F734:F738,H734:H738,B$6),IF(AND(COUNT(H735:H746)=5,COUNT(F735:F746)=5),cubic_spline(F734:F739,H734:H739,B$6),IF(AND(COUNT(H735:H746)=6,COUNT(F735:F746)=6),cubic_spline(F734:F740,H734:H740,B$6),IF(AND(COUNT(H735:H746)=7,COUNT(F735:F746)=7),cubic_spline(F734:F741,H734:H741,B$6),IF(AND(COUNT(H735:H746)=8,COUNT(F735:F746)=8),cubic_spline(F734:F742,H734:H742,B$6),IF(AND(COUNT(H735:H746)=9,COUNT(F735:F746)=9),cubic_spline(F734:F743,H734:H743,B$6),IF(AND(COUNT(H735:H746)=10,COUNT(F735:F746)=10),cubic_spline(F734:F744,H734:H744,B$6),IF(AND(COUNT(H735:H746)=11,COUNT(F735:F746)=11),cubic_spline(F734:F745,H734:H745,B$6),IF(AND(COUNT(H735:H746)=12,COUNT(F735:F746)=12),cubic_spline(F734:F746,H734:H746,B$6),""))))))))))))</f>
        <v/>
      </c>
      <c r="K737" s="52" t="str">
        <f>IF(N(B$6)=0,"",IF(AND(COUNT(A735:A746)=2,COUNT(F735:F746)=2),cubic_spline(F734:F736,A734:A736,B$6),IF(AND(COUNT(A735:A746)=3,COUNT(F735:F746)=3),cubic_spline(F734:F737,A734:A737,B$6),IF(AND(COUNT(A735:A746)=4,COUNT(F735:F746)=4),cubic_spline(F734:F738,A734:A738,B$6),IF(AND(COUNT(A735:A746)=5,COUNT(F735:F746)=5),cubic_spline(F734:F739,A734:A739,B$6),IF(AND(COUNT(A735:A746)=6,COUNT(F735:F746)=6),cubic_spline(F734:F740,A734:A740,B$6),IF(AND(COUNT(A735:A746)=7,COUNT(F735:F746)=7),cubic_spline(F734:F741,A734:A741,B$6),IF(AND(COUNT(A735:A746)=8,COUNT(F735:F746)=8),cubic_spline(F734:F742,A734:A742,B$6),IF(AND(COUNT(A735:A746)=9,COUNT(F735:F746)=9),cubic_spline(F734:F743,A734:A743,B$6),IF(AND(COUNT(A735:A746)=10,COUNT(F735:F746)=10),cubic_spline(F734:F744,A734:A744,B$6),IF(AND(COUNT(A735:A746)=11,COUNT(F735:F746)=11),cubic_spline(F734:F745,A734:A745,B$6),IF(AND(COUNT(A735:A746)=12,COUNT(F735:F746)=12),cubic_spline(F734:F746,A734:A746,B$6),""))))))))))))</f>
        <v/>
      </c>
      <c r="L737" s="27" t="str">
        <f>IF(I737="","",B$5&amp;"-"&amp;B$6)</f>
        <v/>
      </c>
      <c r="M737" s="52" t="str">
        <f>IF(N(J737)=0,"",J737-J736)</f>
        <v/>
      </c>
    </row>
    <row r="738" spans="1:13" x14ac:dyDescent="0.35">
      <c r="A738" s="48"/>
      <c r="B738" s="48"/>
      <c r="C738" s="49"/>
      <c r="D738" s="50"/>
      <c r="E738" s="51" t="str">
        <f>IF(N(C738)=0,"",C738/PI()/($D$1/2)^2/$D$2*10000)</f>
        <v/>
      </c>
      <c r="F738" s="68" t="str">
        <f t="shared" si="276"/>
        <v/>
      </c>
      <c r="G738" s="69" t="str">
        <f t="shared" si="278"/>
        <v/>
      </c>
      <c r="H738" s="70" t="str">
        <f t="shared" si="277"/>
        <v/>
      </c>
      <c r="I738" s="27" t="str">
        <f>IF(N(J738)=0,"",0&amp;"-"&amp;B$7)</f>
        <v/>
      </c>
      <c r="J738" s="52" t="str">
        <f>IF(N(B$7)=0,"",IF(AND(COUNT(H735:H746)=2,COUNT(F735:F746)=2),cubic_spline(F734:F736,H734:H736,B$7),IF(AND(COUNT(H735:H746)=3,COUNT(F735:F746)=3),cubic_spline(F734:F737,H734:H737,B$7),IF(AND(COUNT(H735:H746)=4,COUNT(F735:F746)=4),cubic_spline(F734:F738,H734:H738,B$7),IF(AND(COUNT(H735:H746)=5,COUNT(F735:F746)=5),cubic_spline(F734:F739,H734:H739,B$7),IF(AND(COUNT(H735:H746)=6,COUNT(F735:F746)=6),cubic_spline(F734:F740,H734:H740,B$7),IF(AND(COUNT(H735:H746)=7,COUNT(F735:F746)=7),cubic_spline(F734:F741,H734:H741,B$7),IF(AND(COUNT(H735:H746)=8,COUNT(F735:F746)=8),cubic_spline(F734:F742,H734:H742,B$7),IF(AND(COUNT(H735:H746)=9,COUNT(F735:F746)=9),cubic_spline(F734:F743,H734:H743,B$7),IF(AND(COUNT(H735:H746)=10,COUNT(F735:F746)=10),cubic_spline(F734:F744,H734:H744,B$7),IF(AND(COUNT(H735:H746)=11,COUNT(F735:F746)=11),cubic_spline(F734:F745,H734:H745,B$7),IF(AND(COUNT(H735:H746)=12,COUNT(F735:F746)=12),cubic_spline(F734:F746,H734:H746,B$7),""))))))))))))</f>
        <v/>
      </c>
      <c r="K738" s="52" t="str">
        <f>IF(N(B$7)=0,"",IF(AND(COUNT(A735:A746)=2,COUNT(F735:F746)=2),cubic_spline(F734:F736,A734:A736,B$7),IF(AND(COUNT(A735:A746)=3,COUNT(F735:F746)=3),cubic_spline(F734:F737,A734:A737,B$7),IF(AND(COUNT(A735:A746)=4,COUNT(F735:F746)=4),cubic_spline(F734:F738,A734:A738,B$7),IF(AND(COUNT(A735:A746)=5,COUNT(F735:F746)=5),cubic_spline(F734:F739,A734:A739,B$7),IF(AND(COUNT(A735:A746)=6,COUNT(F735:F746)=6),cubic_spline(F734:F740,A734:A740,B$7),IF(AND(COUNT(A735:A746)=7,COUNT(F735:F746)=7),cubic_spline(F734:F741,A734:A741,B$7),IF(AND(COUNT(A735:A746)=8,COUNT(F735:F746)=8),cubic_spline(F734:F742,A734:A742,B$7),IF(AND(COUNT(A735:A746)=9,COUNT(F735:F746)=9),cubic_spline(F734:F743,A734:A743,B$7),IF(AND(COUNT(A735:A746)=10,COUNT(F735:F746)=10),cubic_spline(F734:F744,A734:A744,B$7),IF(AND(COUNT(A735:A746)=11,COUNT(F735:F746)=11),cubic_spline(F734:F745,A734:A745,B$7),IF(AND(COUNT(A735:A746)=12,COUNT(F735:F746)=12),cubic_spline(F734:F746,A734:A746,B$7),""))))))))))))</f>
        <v/>
      </c>
      <c r="L738" s="27" t="str">
        <f>IF(I738="","",B$6&amp;"-"&amp;B$7)</f>
        <v/>
      </c>
      <c r="M738" s="52" t="str">
        <f>IF(N(J738)=0,"",J738-J737)</f>
        <v/>
      </c>
    </row>
    <row r="739" spans="1:13" x14ac:dyDescent="0.35">
      <c r="A739" s="48"/>
      <c r="B739" s="48"/>
      <c r="C739" s="49"/>
      <c r="D739" s="50"/>
      <c r="E739" s="51" t="str">
        <f t="shared" ref="E739:E746" si="279">IF(N(C739)=0,"",C739/PI()/($D$1/2)^2/$D$2*10000)</f>
        <v/>
      </c>
      <c r="F739" s="71" t="str">
        <f t="shared" si="276"/>
        <v/>
      </c>
      <c r="G739" s="69" t="str">
        <f t="shared" si="278"/>
        <v/>
      </c>
      <c r="H739" s="70" t="str">
        <f t="shared" si="277"/>
        <v/>
      </c>
      <c r="I739" s="27" t="str">
        <f>IF(N(J739)=0,"",0&amp;"-"&amp;B$8)</f>
        <v/>
      </c>
      <c r="J739" s="52" t="str">
        <f>IF(N(B$8)=0,"",IF(AND(COUNT(H735:H746)=2,COUNT(F735:F746)=2),cubic_spline(F734:F736,H734:H736,B$8),IF(AND(COUNT(H735:H746)=3,COUNT(F735:F746)=3),cubic_spline(F734:F737,H734:H737,B$8),IF(AND(COUNT(H735:H746)=4,COUNT(F735:F746)=4),cubic_spline(F734:F738,H734:H738,B$8),IF(AND(COUNT(H735:H746)=5,COUNT(F735:F746)=5),cubic_spline(F734:F739,H734:H739,B$8),IF(AND(COUNT(H735:H746)=6,COUNT(F735:F746)=6),cubic_spline(F734:F740,H734:H740,B$8),IF(AND(COUNT(H735:H746)=7,COUNT(F735:F746)=7),cubic_spline(F734:F741,H734:H741,B$8),IF(AND(COUNT(H735:H746)=8,COUNT(F735:F746)=8),cubic_spline(F734:F742,H734:H742,B$8),IF(AND(COUNT(H735:H746)=9,COUNT(F735:F746)=9),cubic_spline(F734:F743,H734:H743,B$8),IF(AND(COUNT(H735:H746)=10,COUNT(F735:F746)=10),cubic_spline(F734:F744,H734:H744,B$8),IF(AND(COUNT(H735:H746)=11,COUNT(F735:F746)=11),cubic_spline(F734:F745,H734:H745,B$8),IF(AND(COUNT(H735:H746)=12,COUNT(F735:F746)=12),cubic_spline(F734:F746,H734:H746,B$8),""))))))))))))</f>
        <v/>
      </c>
      <c r="K739" s="52" t="str">
        <f>IF(N(B$8)=0,"",IF(AND(COUNT(A735:A746)=2,COUNT(F735:F746)=2),cubic_spline(F734:F736,A734:A736,B$8),IF(AND(COUNT(A735:A746)=3,COUNT(F735:F746)=3),cubic_spline(F734:F737,A734:A737,B$8),IF(AND(COUNT(A735:A746)=4,COUNT(F735:F746)=4),cubic_spline(F734:F738,A734:A738,B$8),IF(AND(COUNT(A735:A746)=5,COUNT(F735:F746)=5),cubic_spline(F734:F739,A734:A739,B$8),IF(AND(COUNT(A735:A746)=6,COUNT(F735:F746)=6),cubic_spline(F734:F740,A734:A740,B$8),IF(AND(COUNT(A735:A746)=7,COUNT(F735:F746)=7),cubic_spline(F734:F741,A734:A741,B$8),IF(AND(COUNT(A735:A746)=8,COUNT(F735:F746)=8),cubic_spline(F734:F742,A734:A742,B$8),IF(AND(COUNT(A735:A746)=9,COUNT(F735:F746)=9),cubic_spline(F734:F743,A734:A743,B$8),IF(AND(COUNT(A735:A746)=10,COUNT(F735:F746)=10),cubic_spline(F734:F744,A734:A744,B$8),IF(AND(COUNT(A735:A746)=11,COUNT(F735:F746)=11),cubic_spline(F734:F745,A734:A745,B$8),IF(AND(COUNT(A735:A746)=12,COUNT(F735:F746)=12),cubic_spline(F734:F746,A734:A746,B$8),""))))))))))))</f>
        <v/>
      </c>
      <c r="L739" s="27" t="str">
        <f>IF(I739="","",B$7&amp;"-"&amp;B$8)</f>
        <v/>
      </c>
      <c r="M739" s="52" t="str">
        <f>IF(N(J739)=0,"",J739-J738)</f>
        <v/>
      </c>
    </row>
    <row r="740" spans="1:13" x14ac:dyDescent="0.35">
      <c r="A740" s="48"/>
      <c r="B740" s="48"/>
      <c r="C740" s="49"/>
      <c r="D740" s="50"/>
      <c r="E740" s="51" t="str">
        <f t="shared" si="279"/>
        <v/>
      </c>
      <c r="F740" s="71" t="str">
        <f t="shared" si="276"/>
        <v/>
      </c>
      <c r="G740" s="69" t="str">
        <f t="shared" si="278"/>
        <v/>
      </c>
      <c r="H740" s="70" t="str">
        <f t="shared" si="277"/>
        <v/>
      </c>
      <c r="I740" s="27" t="str">
        <f>IF(N(J740)=0,"",0&amp;"-"&amp;B$9)</f>
        <v/>
      </c>
      <c r="J740" s="52" t="str">
        <f>IF(N(B$9)=0,"",IF(AND(COUNT(H735:H746)=2,COUNT(F735:F746)=2),cubic_spline(F734:F736,H734:H736,B$9),IF(AND(COUNT(H735:H746)=3,COUNT(F735:F746)=3),cubic_spline(F734:F737,H734:H737,B$9),IF(AND(COUNT(H735:H746)=4,COUNT(F735:F746)=4),cubic_spline(F734:F738,H734:H738,B$9),IF(AND(COUNT(H735:H746)=5,COUNT(F735:F746)=5),cubic_spline(F734:F739,H734:H739,B$9),IF(AND(COUNT(H735:H746)=6,COUNT(F735:F746)=6),cubic_spline(F734:F740,H734:H740,B$9),IF(AND(COUNT(H735:H746)=7,COUNT(F735:F746)=7),cubic_spline(F734:F741,H734:H741,B$9),IF(AND(COUNT(H735:H746)=8,COUNT(F735:F746)=8),cubic_spline(F734:F742,H734:H742,B$9),IF(AND(COUNT(H735:H746)=9,COUNT(F735:F746)=9),cubic_spline(F734:F743,H734:H743,B$9),IF(AND(COUNT(H735:H746)=10,COUNT(F735:F746)=10),cubic_spline(F734:F744,H734:H744,B$9),IF(AND(COUNT(H735:H746)=11,COUNT(F735:F746)=11),cubic_spline(F734:F745,H734:H745,B$9),IF(AND(COUNT(H735:H746)=12,COUNT(F735:F746)=12),cubic_spline(F734:F746,H734:H746,B$9),""))))))))))))</f>
        <v/>
      </c>
      <c r="K740" s="52" t="str">
        <f>IF(N(B$9)=0,"",IF(AND(COUNT(A735:A746)=2,COUNT(F735:F746)=2),cubic_spline(F734:F736,A734:A736,B$9),IF(AND(COUNT(A735:A746)=3,COUNT(F735:F746)=3),cubic_spline(F734:F737,A734:A737,B$9),IF(AND(COUNT(A735:A746)=4,COUNT(F735:F746)=4),cubic_spline(F734:F738,A734:A738,B$9),IF(AND(COUNT(A735:A746)=5,COUNT(F735:F746)=5),cubic_spline(F734:F739,A734:A739,B$9),IF(AND(COUNT(A735:A746)=6,COUNT(F735:F746)=6),cubic_spline(F734:F740,A734:A740,B$9),IF(AND(COUNT(A735:A746)=7,COUNT(F735:F746)=7),cubic_spline(F734:F741,A734:A741,B$9),IF(AND(COUNT(A735:A746)=8,COUNT(F735:F746)=8),cubic_spline(F734:F742,A734:A742,B$9),IF(AND(COUNT(A735:A746)=9,COUNT(F735:F746)=9),cubic_spline(F734:F743,A734:A743,B$9),IF(AND(COUNT(A735:A746)=10,COUNT(F735:F746)=10),cubic_spline(F734:F744,A734:A744,B$9),IF(AND(COUNT(A735:A746)=11,COUNT(F735:F746)=11),cubic_spline(F734:F745,A734:A745,B$9),IF(AND(COUNT(A735:A746)=12,COUNT(F735:F746)=12),cubic_spline(F734:F746,A734:A746,B$9),""))))))))))))</f>
        <v/>
      </c>
      <c r="L740" s="27" t="str">
        <f>IF(I740="","",B$8&amp;"-"&amp;B$9)</f>
        <v/>
      </c>
      <c r="M740" s="52" t="str">
        <f t="shared" ref="M740:M746" si="280">IF(N(J740)=0,"",J740-J739)</f>
        <v/>
      </c>
    </row>
    <row r="741" spans="1:13" x14ac:dyDescent="0.35">
      <c r="A741" s="48"/>
      <c r="B741" s="48"/>
      <c r="C741" s="49"/>
      <c r="D741" s="50"/>
      <c r="E741" s="51" t="str">
        <f t="shared" si="279"/>
        <v/>
      </c>
      <c r="F741" s="71" t="str">
        <f t="shared" si="276"/>
        <v/>
      </c>
      <c r="G741" s="69" t="str">
        <f t="shared" si="278"/>
        <v/>
      </c>
      <c r="H741" s="70" t="str">
        <f t="shared" si="277"/>
        <v/>
      </c>
      <c r="I741" s="27" t="str">
        <f>IF(N(J741)=0,"",0&amp;"-"&amp;B$10)</f>
        <v/>
      </c>
      <c r="J741" s="52" t="str">
        <f>IF(N(B$10)=0,"",IF(AND(COUNT(H735:H746)=2,COUNT(F735:F746)=2),cubic_spline(F734:F736,H734:H736,B$10),IF(AND(COUNT(H735:H746)=3,COUNT(F735:F746)=3),cubic_spline(F734:F737,H734:H737,B$10),IF(AND(COUNT(H735:H746)=4,COUNT(F735:F746)=4),cubic_spline(F734:F738,H734:H738,B$10),IF(AND(COUNT(H735:H746)=5,COUNT(F735:F746)=5),cubic_spline(F734:F739,H734:H739,B$10),IF(AND(COUNT(H735:H746)=6,COUNT(F735:F746)=6),cubic_spline(F734:F740,H734:H740,B$10),IF(AND(COUNT(H735:H746)=7,COUNT(F735:F746)=7),cubic_spline(F734:F741,H734:H741,B$10),IF(AND(COUNT(H735:H746)=8,COUNT(F735:F746)=8),cubic_spline(F734:F742,H734:H742,B$10),IF(AND(COUNT(H735:H746)=9,COUNT(F735:F746)=9),cubic_spline(F734:F743,H734:H743,B$10),IF(AND(COUNT(H735:H746)=10,COUNT(F735:F746)=10),cubic_spline(F734:F744,H734:H744,B$10),IF(AND(COUNT(H735:H746)=11,COUNT(F735:F746)=11),cubic_spline(F734:F745,H734:H745,B$10),IF(AND(COUNT(H735:H746)=12,COUNT(F735:F746)=12),cubic_spline(F734:F746,H734:H746,B$10),""))))))))))))</f>
        <v/>
      </c>
      <c r="K741" s="52" t="str">
        <f>IF(N(B$10)=0,"",IF(AND(COUNT(A735:A746)=2,COUNT(F735:F746)=2),cubic_spline(F734:F736,A734:A736,B$10),IF(AND(COUNT(A735:A746)=3,COUNT(F735:F746)=3),cubic_spline(F734:F737,A734:A737,B$10),IF(AND(COUNT(A735:A746)=4,COUNT(F735:F746)=4),cubic_spline(F734:F738,A734:A738,B$10),IF(AND(COUNT(A735:A746)=5,COUNT(F735:F746)=5),cubic_spline(F734:F739,A734:A739,B$10),IF(AND(COUNT(A735:A746)=6,COUNT(F735:F746)=6),cubic_spline(F734:F740,A734:A740,B$10),IF(AND(COUNT(A735:A746)=7,COUNT(F735:F746)=7),cubic_spline(F734:F741,A734:A741,B$10),IF(AND(COUNT(A735:A746)=8,COUNT(F735:F746)=8),cubic_spline(F734:F742,A734:A742,B$10),IF(AND(COUNT(A735:A746)=9,COUNT(F735:F746)=9),cubic_spline(F734:F743,A734:A743,B$10),IF(AND(COUNT(A735:A746)=10,COUNT(F735:F746)=10),cubic_spline(F734:F744,A734:A744,B$10),IF(AND(COUNT(A735:A746)=11,COUNT(F735:F746)=11),cubic_spline(F734:F745,A734:A745,B$10),IF(AND(COUNT(A735:A746)=12,COUNT(F735:F746)=12),cubic_spline(F734:F746,A734:A746,B$10),""))))))))))))</f>
        <v/>
      </c>
      <c r="L741" s="27" t="str">
        <f>IF(I741="","",B$9&amp;"-"&amp;B$10)</f>
        <v/>
      </c>
      <c r="M741" s="52" t="str">
        <f t="shared" si="280"/>
        <v/>
      </c>
    </row>
    <row r="742" spans="1:13" x14ac:dyDescent="0.35">
      <c r="A742" s="48"/>
      <c r="B742" s="48"/>
      <c r="C742" s="49"/>
      <c r="D742" s="50"/>
      <c r="E742" s="51" t="str">
        <f t="shared" si="279"/>
        <v/>
      </c>
      <c r="F742" s="71" t="str">
        <f t="shared" si="276"/>
        <v/>
      </c>
      <c r="G742" s="69" t="str">
        <f t="shared" si="278"/>
        <v/>
      </c>
      <c r="H742" s="70" t="str">
        <f t="shared" si="277"/>
        <v/>
      </c>
      <c r="I742" s="27" t="str">
        <f>IF(N(J742)=0,"",0&amp;"-"&amp;B$11)</f>
        <v/>
      </c>
      <c r="J742" s="52" t="str">
        <f>IF(N(B$11)=0,"",IF(AND(COUNT(H735:H746)=2,COUNT(F735:F746)=2),cubic_spline(F734:F736,H734:H736,B$11),IF(AND(COUNT(H735:H746)=3,COUNT(F735:F746)=3),cubic_spline(F734:F737,H734:H737,B$11),IF(AND(COUNT(H735:H746)=4,COUNT(F735:F746)=4),cubic_spline(F734:F738,H734:H738,B$11),IF(AND(COUNT(H735:H746)=5,COUNT(F735:F746)=5),cubic_spline(F734:F739,H734:H739,B$11),IF(AND(COUNT(H735:H746)=6,COUNT(F735:F746)=6),cubic_spline(F734:F740,H734:H740,B$11),IF(AND(COUNT(H735:H746)=7,COUNT(F735:F746)=7),cubic_spline(F734:F741,H734:H741,B$11),IF(AND(COUNT(H735:H746)=8,COUNT(F735:F746)=8),cubic_spline(F734:F742,H734:H742,B$11),IF(AND(COUNT(H735:H746)=9,COUNT(F735:F746)=9),cubic_spline(F734:F743,H734:H743,B$11),IF(AND(COUNT(H735:H746)=10,COUNT(F735:F746)=10),cubic_spline(F734:F744,H734:H744,B$11),IF(AND(COUNT(H735:H746)=11,COUNT(F735:F746)=11),cubic_spline(F734:F745,H734:H745,B$11),IF(AND(COUNT(H735:H746)=12,COUNT(F735:F746)=12),cubic_spline(F734:F746,H734:H746,B$11),""))))))))))))</f>
        <v/>
      </c>
      <c r="K742" s="52" t="str">
        <f>IF(N(B$11)=0,"",IF(AND(COUNT(A735:A746)=2,COUNT(F735:F746)=2),cubic_spline(F734:F736,A734:A736,B$11),IF(AND(COUNT(A735:A746)=3,COUNT(F735:F746)=3),cubic_spline(F734:F737,A734:A737,B$11),IF(AND(COUNT(A735:A746)=4,COUNT(F735:F746)=4),cubic_spline(F734:F738,A734:A738,B$11),IF(AND(COUNT(A735:A746)=5,COUNT(F735:F746)=5),cubic_spline(F734:F739,A734:A739,B$11),IF(AND(COUNT(A735:A746)=6,COUNT(F735:F746)=6),cubic_spline(F734:F740,A734:A740,B$11),IF(AND(COUNT(A735:A746)=7,COUNT(F735:F746)=7),cubic_spline(F734:F741,A734:A741,B$11),IF(AND(COUNT(A735:A746)=8,COUNT(F735:F746)=8),cubic_spline(F734:F742,A734:A742,B$11),IF(AND(COUNT(A735:A746)=9,COUNT(F735:F746)=9),cubic_spline(F734:F743,A734:A743,B$11),IF(AND(COUNT(A735:A746)=10,COUNT(F735:F746)=10),cubic_spline(F734:F744,A734:A744,B$11),IF(AND(COUNT(A735:A746)=11,COUNT(F735:F746)=11),cubic_spline(F734:F745,A734:A745,B$11),IF(AND(COUNT(A735:A746)=12,COUNT(F735:F746)=12),cubic_spline(F734:F746,A734:A746,B$11),""))))))))))))</f>
        <v/>
      </c>
      <c r="L742" s="27" t="str">
        <f>IF(I742="","",B$10&amp;"-"&amp;B$11)</f>
        <v/>
      </c>
      <c r="M742" s="52" t="str">
        <f t="shared" si="280"/>
        <v/>
      </c>
    </row>
    <row r="743" spans="1:13" x14ac:dyDescent="0.35">
      <c r="A743" s="48"/>
      <c r="B743" s="48"/>
      <c r="C743" s="49"/>
      <c r="D743" s="50"/>
      <c r="E743" s="51" t="str">
        <f t="shared" si="279"/>
        <v/>
      </c>
      <c r="F743" s="71" t="str">
        <f t="shared" si="276"/>
        <v/>
      </c>
      <c r="G743" s="69" t="str">
        <f t="shared" si="278"/>
        <v/>
      </c>
      <c r="H743" s="70" t="str">
        <f t="shared" si="277"/>
        <v/>
      </c>
      <c r="I743" s="27" t="str">
        <f>IF(N(J743)=0,"",0&amp;"-"&amp;B$12)</f>
        <v/>
      </c>
      <c r="J743" s="52" t="str">
        <f>IF(N(B$12)=0,"",IF(AND(COUNT(H735:H746)=2,COUNT(F735:F746)=2),cubic_spline(F734:F736,H734:H736,B$12),IF(AND(COUNT(H735:H746)=3,COUNT(F735:F746)=3),cubic_spline(F734:F737,H734:H737,B$12),IF(AND(COUNT(H735:H746)=4,COUNT(F735:F746)=4),cubic_spline(F734:F738,H734:H738,B$12),IF(AND(COUNT(H735:H746)=5,COUNT(F735:F746)=5),cubic_spline(F734:F739,H734:H739,B$12),IF(AND(COUNT(H735:H746)=6,COUNT(F735:F746)=6),cubic_spline(F734:F740,H734:H740,B$12),IF(AND(COUNT(H735:H746)=7,COUNT(F735:F746)=7),cubic_spline(F734:F741,H734:H741,B$12),IF(AND(COUNT(H735:H746)=8,COUNT(F735:F746)=8),cubic_spline(F734:F742,H734:H742,B$12),IF(AND(COUNT(H735:H746)=9,COUNT(F735:F746)=9),cubic_spline(F734:F743,H734:H743,B$12),IF(AND(COUNT(H735:H746)=10,COUNT(F735:F746)=10),cubic_spline(F734:F744,H734:H744,B$12),IF(AND(COUNT(H735:H746)=11,COUNT(F735:F746)=11),cubic_spline(F734:F745,H734:H745,B$12),IF(AND(COUNT(H735:H746)=12,COUNT(F735:F746)=12),cubic_spline(F734:F746,H734:H746,B$12),""))))))))))))</f>
        <v/>
      </c>
      <c r="K743" s="52" t="str">
        <f>IF(N(B$12)=0,"",IF(AND(COUNT(A735:A746)=2,COUNT(F735:F746)=2),cubic_spline(F734:F736,A734:A736,B$12),IF(AND(COUNT(A735:A746)=3,COUNT(F735:F746)=3),cubic_spline(F734:F737,A734:A737,B$12),IF(AND(COUNT(A735:A746)=4,COUNT(F735:F746)=4),cubic_spline(F734:F738,A734:A738,B$12),IF(AND(COUNT(A735:A746)=5,COUNT(F735:F746)=5),cubic_spline(F734:F739,A734:A739,B$12),IF(AND(COUNT(A735:A746)=6,COUNT(F735:F746)=6),cubic_spline(F734:F740,A734:A740,B$12),IF(AND(COUNT(A735:A746)=7,COUNT(F735:F746)=7),cubic_spline(F734:F741,A734:A741,B$12),IF(AND(COUNT(A735:A746)=8,COUNT(F735:F746)=8),cubic_spline(F734:F742,A734:A742,B$12),IF(AND(COUNT(A735:A746)=9,COUNT(F735:F746)=9),cubic_spline(F734:F743,A734:A743,B$12),IF(AND(COUNT(A735:A746)=10,COUNT(F735:F746)=10),cubic_spline(F734:F744,A734:A744,B$12),IF(AND(COUNT(A735:A746)=11,COUNT(F735:F746)=11),cubic_spline(F734:F745,A734:A745,B$12),IF(AND(COUNT(A735:A746)=12,COUNT(F735:F746)=12),cubic_spline(F734:F746,A734:A746,B$12),""))))))))))))</f>
        <v/>
      </c>
      <c r="L743" s="27" t="str">
        <f>IF(I743="","",B$11&amp;"-"&amp;B$12)</f>
        <v/>
      </c>
      <c r="M743" s="52" t="str">
        <f t="shared" si="280"/>
        <v/>
      </c>
    </row>
    <row r="744" spans="1:13" x14ac:dyDescent="0.35">
      <c r="A744" s="48"/>
      <c r="B744" s="48"/>
      <c r="C744" s="49"/>
      <c r="D744" s="50"/>
      <c r="E744" s="51" t="str">
        <f t="shared" si="279"/>
        <v/>
      </c>
      <c r="F744" s="71" t="str">
        <f t="shared" si="276"/>
        <v/>
      </c>
      <c r="G744" s="69" t="str">
        <f t="shared" si="278"/>
        <v/>
      </c>
      <c r="H744" s="70" t="str">
        <f t="shared" si="277"/>
        <v/>
      </c>
      <c r="I744" s="27" t="str">
        <f>IF(N(J744)=0,"",0&amp;"-"&amp;B$13)</f>
        <v/>
      </c>
      <c r="J744" s="52" t="str">
        <f>IF(N(B$13)=0,"",IF(AND(COUNT(H735:H746)=2,COUNT(F735:F746)=2),cubic_spline(F734:F736,H734:H736,B$13),IF(AND(COUNT(H735:H746)=3,COUNT(F735:F746)=3),cubic_spline(F734:F737,H734:H737,B$13),IF(AND(COUNT(H735:H746)=4,COUNT(F735:F746)=4),cubic_spline(F734:F738,H734:H738,B$13),IF(AND(COUNT(H735:H746)=5,COUNT(F735:F746)=5),cubic_spline(F734:F739,H734:H739,B$13),IF(AND(COUNT(H735:H746)=6,COUNT(F735:F746)=6),cubic_spline(F734:F740,H734:H740,B$13),IF(AND(COUNT(H735:H746)=7,COUNT(F735:F746)=7),cubic_spline(F734:F741,H734:H741,B$13),IF(AND(COUNT(H735:H746)=8,COUNT(F735:F746)=8),cubic_spline(F734:F742,H734:H742,B$13),IF(AND(COUNT(H735:H746)=9,COUNT(F735:F746)=9),cubic_spline(F734:F743,H734:H743,B$13),IF(AND(COUNT(H735:H746)=10,COUNT(F735:F746)=10),cubic_spline(F734:F744,H734:H744,B$13),IF(AND(COUNT(H735:H746)=11,COUNT(F735:F746)=11),cubic_spline(F734:F745,H734:H745,B$13),IF(AND(COUNT(H735:H746)=12,COUNT(F735:F746)=12),cubic_spline(F734:F746,H734:H746,B$13),""))))))))))))</f>
        <v/>
      </c>
      <c r="K744" s="52" t="str">
        <f>IF(N(B$13)=0,"",IF(AND(COUNT(A735:A746)=2,COUNT(F735:F746)=2),cubic_spline(F734:F736,A734:A736,B$13),IF(AND(COUNT(A735:A746)=3,COUNT(F735:F746)=3),cubic_spline(F734:F737,A734:A737,B$13),IF(AND(COUNT(A735:A746)=4,COUNT(F735:F746)=4),cubic_spline(F734:F738,A734:A738,B$13),IF(AND(COUNT(A735:A746)=5,COUNT(F735:F746)=5),cubic_spline(F734:F739,A734:A739,B$13),IF(AND(COUNT(A735:A746)=6,COUNT(F735:F746)=6),cubic_spline(F734:F740,A734:A740,B$13),IF(AND(COUNT(A735:A746)=7,COUNT(F735:F746)=7),cubic_spline(F734:F741,A734:A741,B$13),IF(AND(COUNT(A735:A746)=8,COUNT(F735:F746)=8),cubic_spline(F734:F742,A734:A742,B$13),IF(AND(COUNT(A735:A746)=9,COUNT(F735:F746)=9),cubic_spline(F734:F743,A734:A743,B$13),IF(AND(COUNT(A735:A746)=10,COUNT(F735:F746)=10),cubic_spline(F734:F744,A734:A744,B$13),IF(AND(COUNT(A735:A746)=11,COUNT(F735:F746)=11),cubic_spline(F734:F745,A734:A745,B$13),IF(AND(COUNT(A735:A746)=12,COUNT(F735:F746)=12),cubic_spline(F734:F746,A734:A746,B$13),""))))))))))))</f>
        <v/>
      </c>
      <c r="L744" s="27" t="str">
        <f>IF(I744="","",B$12&amp;"-"&amp;B$13)</f>
        <v/>
      </c>
      <c r="M744" s="52" t="str">
        <f t="shared" si="280"/>
        <v/>
      </c>
    </row>
    <row r="745" spans="1:13" x14ac:dyDescent="0.35">
      <c r="A745" s="48"/>
      <c r="B745" s="48"/>
      <c r="C745" s="49"/>
      <c r="D745" s="50"/>
      <c r="E745" s="51" t="str">
        <f t="shared" si="279"/>
        <v/>
      </c>
      <c r="F745" s="71" t="str">
        <f t="shared" si="276"/>
        <v/>
      </c>
      <c r="G745" s="69" t="str">
        <f t="shared" si="278"/>
        <v/>
      </c>
      <c r="H745" s="70" t="str">
        <f t="shared" si="277"/>
        <v/>
      </c>
      <c r="I745" s="27" t="str">
        <f>IF(N(J745)=0,"",0&amp;"-"&amp;B$14)</f>
        <v/>
      </c>
      <c r="J745" s="52" t="str">
        <f>IF(N(B$14)=0,"",IF(AND(COUNT(H735:H746)=2,COUNT(F735:F746)=2),cubic_spline(F734:F736,H734:H736,B$14),IF(AND(COUNT(H735:H746)=3,COUNT(F735:F746)=3),cubic_spline(F734:F737,H734:H737,B$14),IF(AND(COUNT(H735:H746)=4,COUNT(F735:F746)=4),cubic_spline(F734:F738,H734:H738,B$14),IF(AND(COUNT(H735:H746)=5,COUNT(F735:F746)=5),cubic_spline(F734:F739,H734:H739,B$14),IF(AND(COUNT(H735:H746)=6,COUNT(F735:F746)=6),cubic_spline(F734:F740,H734:H740,B$14),IF(AND(COUNT(H735:H746)=7,COUNT(F735:F746)=7),cubic_spline(F734:F741,H734:H741,B$14),IF(AND(COUNT(H735:H746)=8,COUNT(F735:F746)=8),cubic_spline(F734:F742,H734:H742,B$14),IF(AND(COUNT(H735:H746)=9,COUNT(F735:F746)=9),cubic_spline(F734:F743,H734:H743,B$14),IF(AND(COUNT(H735:H746)=10,COUNT(F735:F746)=10),cubic_spline(F734:F744,H734:H744,B$14),IF(AND(COUNT(H735:H746)=11,COUNT(F735:F746)=11),cubic_spline(F734:F745,H734:H745,B$14),IF(AND(COUNT(H735:H746)=12,COUNT(F735:F746)=12),cubic_spline(F734:F746,H734:H746,B$14),""))))))))))))</f>
        <v/>
      </c>
      <c r="K745" s="52" t="str">
        <f>IF(N(B$14)=0,"",IF(AND(COUNT(A735:A746)=2,COUNT(F735:F746)=2),cubic_spline(F734:F736,A734:A736,B$14),IF(AND(COUNT(A735:A746)=3,COUNT(F735:F746)=3),cubic_spline(F734:F737,A734:A737,B$14),IF(AND(COUNT(A735:A746)=4,COUNT(F735:F746)=4),cubic_spline(F734:F738,A734:A738,B$14),IF(AND(COUNT(A735:A746)=5,COUNT(F735:F746)=5),cubic_spline(F734:F739,A734:A739,B$14),IF(AND(COUNT(A735:A746)=6,COUNT(F735:F746)=6),cubic_spline(F734:F740,A734:A740,B$14),IF(AND(COUNT(A735:A746)=7,COUNT(F735:F746)=7),cubic_spline(F734:F741,A734:A741,B$14),IF(AND(COUNT(A735:A746)=8,COUNT(F735:F746)=8),cubic_spline(F734:F742,A734:A742,B$14),IF(AND(COUNT(A735:A746)=9,COUNT(F735:F746)=9),cubic_spline(F734:F743,A734:A743,B$14),IF(AND(COUNT(A735:A746)=10,COUNT(F735:F746)=10),cubic_spline(F734:F744,A734:A744,B$14),IF(AND(COUNT(A735:A746)=11,COUNT(F735:F746)=11),cubic_spline(F734:F745,A734:A745,B$14),IF(AND(COUNT(A735:A746)=12,COUNT(F735:F746)=12),cubic_spline(F734:F746,A734:A746,B$14),""))))))))))))</f>
        <v/>
      </c>
      <c r="L745" s="27" t="str">
        <f>IF(I745="","",B$13&amp;"-"&amp;B$14)</f>
        <v/>
      </c>
      <c r="M745" s="52" t="str">
        <f t="shared" si="280"/>
        <v/>
      </c>
    </row>
    <row r="746" spans="1:13" x14ac:dyDescent="0.35">
      <c r="A746" s="48"/>
      <c r="B746" s="48"/>
      <c r="C746" s="49"/>
      <c r="D746" s="50"/>
      <c r="E746" s="51" t="str">
        <f t="shared" si="279"/>
        <v/>
      </c>
      <c r="F746" s="71" t="str">
        <f t="shared" si="276"/>
        <v/>
      </c>
      <c r="G746" s="69" t="str">
        <f t="shared" si="278"/>
        <v/>
      </c>
      <c r="H746" s="70" t="str">
        <f t="shared" si="277"/>
        <v/>
      </c>
      <c r="I746" s="27" t="str">
        <f>IF(N(J746)=0,"",0&amp;"-"&amp;B$15)</f>
        <v/>
      </c>
      <c r="J746" s="52" t="str">
        <f>IF(N(B$15)=0,"",IF(AND(COUNT(H735:H746)=2,COUNT(F735:F746)=2),cubic_spline(F734:F736,H734:H736,B$15),IF(AND(COUNT(H735:H746)=3,COUNT(F735:F746)=3),cubic_spline(F734:F737,H734:H737,B$15),IF(AND(COUNT(H735:H746)=4,COUNT(F735:F746)=4),cubic_spline(F734:F738,H734:H738,B$15),IF(AND(COUNT(H735:H746)=5,COUNT(F735:F746)=5),cubic_spline(F734:F739,H734:H739,B$15),IF(AND(COUNT(H735:H746)=6,COUNT(F735:F746)=6),cubic_spline(F734:F740,H734:H740,B$15),IF(AND(COUNT(H735:H746)=7,COUNT(F735:F746)=7),cubic_spline(F734:F741,H734:H741,B$15),IF(AND(COUNT(H735:H746)=8,COUNT(F735:F746)=8),cubic_spline(F734:F742,H734:H742,B$15),IF(AND(COUNT(H735:H746)=9,COUNT(F735:F746)=9),cubic_spline(F734:F743,H734:H743,B$15),IF(AND(COUNT(H735:H746)=10,COUNT(F735:F746)=10),cubic_spline(F734:F744,H734:H744,B$15),IF(AND(COUNT(H735:H746)=11,COUNT(F735:F746)=11),cubic_spline(F734:F745,H734:H745,B$15),IF(AND(COUNT(H735:H746)=12,COUNT(F735:F746)=12),cubic_spline(F734:F746,H734:H746,B$15),""))))))))))))</f>
        <v/>
      </c>
      <c r="K746" s="52" t="str">
        <f>IF(N(B$15)=0,"",IF(AND(COUNT(A735:A746)=2,COUNT(F735:F746)=2),cubic_spline(F734:F736,A734:A736,B$15),IF(AND(COUNT(A735:A746)=3,COUNT(F735:F746)=3),cubic_spline(F734:F737,A734:A737,B$15),IF(AND(COUNT(A735:A746)=4,COUNT(F735:F746)=4),cubic_spline(F734:F738,A734:A738,B$15),IF(AND(COUNT(A735:A746)=5,COUNT(F735:F746)=5),cubic_spline(F734:F739,A734:A739,B$15),IF(AND(COUNT(A735:A746)=6,COUNT(F735:F746)=6),cubic_spline(F734:F740,A734:A740,B$15),IF(AND(COUNT(A735:A746)=7,COUNT(F735:F746)=7),cubic_spline(F734:F741,A734:A741,B$15),IF(AND(COUNT(A735:A746)=8,COUNT(F735:F746)=8),cubic_spline(F734:F742,A734:A742,B$15),IF(AND(COUNT(A735:A746)=9,COUNT(F735:F746)=9),cubic_spline(F734:F743,A734:A743,B$15),IF(AND(COUNT(A735:A746)=10,COUNT(F735:F746)=10),cubic_spline(F734:F744,A734:A744,B$15),IF(AND(COUNT(A735:A746)=11,COUNT(F735:F746)=11),cubic_spline(F734:F745,A734:A745,B$15),IF(AND(COUNT(A735:A746)=12,COUNT(F735:F746)=12),cubic_spline(F734:F746,A734:A746,B$15),""))))))))))))</f>
        <v/>
      </c>
      <c r="L746" s="27" t="str">
        <f>IF(I746="","",B$14&amp;"-"&amp;B$15)</f>
        <v/>
      </c>
      <c r="M746" s="52" t="str">
        <f t="shared" si="280"/>
        <v/>
      </c>
    </row>
    <row r="747" spans="1:13" ht="5.15" customHeight="1" x14ac:dyDescent="0.35">
      <c r="A747" s="47"/>
      <c r="B747" s="47"/>
      <c r="C747" s="47"/>
      <c r="D747" s="53"/>
      <c r="E747" s="54"/>
      <c r="F747" s="55"/>
      <c r="G747" s="72"/>
      <c r="H747" s="73"/>
      <c r="I747" s="47"/>
      <c r="J747" s="57"/>
      <c r="K747" s="57"/>
      <c r="L747" s="55"/>
      <c r="M747" s="57"/>
    </row>
    <row r="748" spans="1:13" x14ac:dyDescent="0.35">
      <c r="A748" s="48"/>
      <c r="B748" s="48"/>
      <c r="C748" s="49"/>
      <c r="D748" s="50"/>
      <c r="E748" s="51" t="str">
        <f>IF(N(C748)=0,"",C748/PI()/($D$1/2)^2/$D$2*10000)</f>
        <v/>
      </c>
      <c r="F748" s="68" t="str">
        <f t="shared" ref="F748:F759" si="281">IF(N(E748)=0,"",(N(E748)+N(F747)))</f>
        <v/>
      </c>
      <c r="G748" s="69" t="str">
        <f>IF(OR(N(D748)=0,N(E748)=0),"",(E748*D748)/1000)</f>
        <v/>
      </c>
      <c r="H748" s="70" t="str">
        <f t="shared" ref="H748:H759" si="282">IF(N(G748)=0,"",(N(G748)+N(H747)))</f>
        <v/>
      </c>
      <c r="I748" s="27" t="str">
        <f>IF(N(J748)=0,"",0&amp;"-"&amp;B$4)</f>
        <v/>
      </c>
      <c r="J748" s="52" t="str">
        <f>IF(N(B$4)=0,"",IF(AND(COUNT(H748:H759)=2,COUNT(F748:F759)=2),cubic_spline(F747:F749,H747:H749,B$4),IF(AND(COUNT(H748:H759)=3,COUNT(F748:F759)=3),cubic_spline(F747:F750,H747:H750,B$4),IF(AND(COUNT(H748:H759)=4,COUNT(F748:F759)=4),cubic_spline(F747:F751,H747:H751,B$4),IF(AND(COUNT(H748:H759)=5,COUNT(F748:F759)=5),cubic_spline(F747:F752,H747:H752,B$4),IF(AND(COUNT(H748:H759)=6,COUNT(F748:F759)=6),cubic_spline(F747:F753,H747:H753,B$4),IF(AND(COUNT(H748:H759)=7,COUNT(F748:F759)=7),cubic_spline(F747:F754,H747:H754,B$4),IF(AND(COUNT(H748:H759)=8,COUNT(F748:F759)=8),cubic_spline(F747:F755,H747:H755,B$4),IF(AND(COUNT(H748:H759)=9,COUNT(F748:F759)=9),cubic_spline(F747:F756,H747:H756,B$4),IF(AND(COUNT(H748:H759)=10,COUNT(F748:F759)=10),cubic_spline(F747:F757,H747:H757,B$4),IF(AND(COUNT(H748:H759)=11,COUNT(F748:F759)=11),cubic_spline(F747:F758,H747:H758,B$4),IF(AND(COUNT(H748:H759)=12,COUNT(F748:F759)=12),cubic_spline(F747:F759,H747:H759,B$4),""))))))))))))</f>
        <v/>
      </c>
      <c r="K748" s="52" t="str">
        <f>IF(N(B$4)=0,"",IF(AND(COUNT(A748:A759)=2,COUNT(F748:F759)=2),cubic_spline(F747:F749,A747:A749,B$4),IF(AND(COUNT(A748:A759)=3,COUNT(F748:F759)=3),cubic_spline(F747:F750,A747:A750,B$4),IF(AND(COUNT(A748:A759)=4,COUNT(F748:F759)=4),cubic_spline(F747:F751,A747:A751,B$4),IF(AND(COUNT(A748:A759)=5,COUNT(F748:F759)=5),cubic_spline(F747:F752,A747:A752,B$4),IF(AND(COUNT(A748:A759)=6,COUNT(F748:F759)=6),cubic_spline(F747:F753,A747:A753,B$4),IF(AND(COUNT(A748:A759)=7,COUNT(F748:F759)=7),cubic_spline(F747:F754,A747:A754,B$4),IF(AND(COUNT(A748:A759)=8,COUNT(F748:F759)=8),cubic_spline(F747:F755,A747:A755,B$4),IF(AND(COUNT(A748:A759)=9,COUNT(F748:F759)=9),cubic_spline(F747:F756,A747:A756,B$4),IF(AND(COUNT(A748:A759)=10,COUNT(F748:F759)=10),cubic_spline(F747:F757,A747:A757,B$4),IF(AND(COUNT(A748:A759)=11,COUNT(F748:F759)=11),cubic_spline(F747:F758,A747:A758,B$4),IF(AND(COUNT(A748:A759)=12,COUNT(F748:F759)=12),cubic_spline(F747:F759,A747:A759,B$4),""))))))))))))</f>
        <v/>
      </c>
      <c r="L748" s="27" t="str">
        <f>IF(I748="","",0&amp;"-"&amp;B$4)</f>
        <v/>
      </c>
      <c r="M748" s="52" t="str">
        <f>IF(N(J748)=0,"",J748-J747)</f>
        <v/>
      </c>
    </row>
    <row r="749" spans="1:13" x14ac:dyDescent="0.35">
      <c r="A749" s="48"/>
      <c r="B749" s="48"/>
      <c r="C749" s="49"/>
      <c r="D749" s="50"/>
      <c r="E749" s="51" t="str">
        <f>IF(N(C749)=0,"",C749/PI()/($D$1/2)^2/$D$2*10000)</f>
        <v/>
      </c>
      <c r="F749" s="68" t="str">
        <f t="shared" si="281"/>
        <v/>
      </c>
      <c r="G749" s="69" t="str">
        <f t="shared" ref="G749:G759" si="283">IF(OR(N(D749)=0,N(E749)=0),"",(E749*D749)/1000)</f>
        <v/>
      </c>
      <c r="H749" s="70" t="str">
        <f t="shared" si="282"/>
        <v/>
      </c>
      <c r="I749" s="27" t="str">
        <f>IF(N(J749)=0,"",0&amp;"-"&amp;B$5)</f>
        <v/>
      </c>
      <c r="J749" s="52" t="str">
        <f>IF(N(B$5)=0,"",IF(AND(COUNT(H748:H759)=2,COUNT(F748:F759)=2),cubic_spline(F747:F749,H747:H749,B$5),IF(AND(COUNT(H748:H759)=3,COUNT(F748:F759)=3),cubic_spline(F747:F750,H747:H750,B$5),IF(AND(COUNT(H748:H759)=4,COUNT(F748:F759)=4),cubic_spline(F747:F751,H747:H751,B$5),IF(AND(COUNT(H748:H759)=5,COUNT(F748:F759)=5),cubic_spline(F747:F752,H747:H752,B$5),IF(AND(COUNT(H748:H759)=6,COUNT(F748:F759)=6),cubic_spline(F747:F753,H747:H753,B$5),IF(AND(COUNT(H748:H759)=7,COUNT(F748:F759)=7),cubic_spline(F747:F754,H747:H754,B$5),IF(AND(COUNT(H748:H759)=8,COUNT(F748:F759)=8),cubic_spline(F747:F755,H747:H755,B$5),IF(AND(COUNT(H748:H759)=9,COUNT(F748:F759)=9),cubic_spline(F747:F756,H747:H756,B$5),IF(AND(COUNT(H748:H759)=10,COUNT(F748:F759)=10),cubic_spline(F747:F757,H747:H757,B$5),IF(AND(COUNT(H748:H759)=11,COUNT(F748:F759)=11),cubic_spline(F747:F758,H747:H758,B$5),IF(AND(COUNT(H748:H759)=12,COUNT(F748:F759)=12),cubic_spline(F747:F759,H747:H759,B$5),""))))))))))))</f>
        <v/>
      </c>
      <c r="K749" s="52" t="str">
        <f>IF(N(B$5)=0,"",IF(AND(COUNT(A748:A759)=2,COUNT(F748:F759)=2),cubic_spline(F747:F749,A747:A749,B$5),IF(AND(COUNT(A748:A759)=3,COUNT(F748:F759)=3),cubic_spline(F747:F750,A747:A750,B$5),IF(AND(COUNT(A748:A759)=4,COUNT(F748:F759)=4),cubic_spline(F747:F751,A747:A751,B$5),IF(AND(COUNT(A748:A759)=5,COUNT(F748:F759)=5),cubic_spline(F747:F752,A747:A752,B$5),IF(AND(COUNT(A748:A759)=6,COUNT(F748:F759)=6),cubic_spline(F747:F753,A747:A753,B$5),IF(AND(COUNT(A748:A759)=7,COUNT(F748:F759)=7),cubic_spline(F747:F754,A747:A754,B$5),IF(AND(COUNT(A748:A759)=8,COUNT(F748:F759)=8),cubic_spline(F747:F755,A747:A755,B$5),IF(AND(COUNT(A748:A759)=9,COUNT(F748:F759)=9),cubic_spline(F747:F756,A747:A756,B$5),IF(AND(COUNT(A748:A759)=10,COUNT(F748:F759)=10),cubic_spline(F747:F757,A747:A757,B$5),IF(AND(COUNT(A748:A759)=11,COUNT(F748:F759)=11),cubic_spline(F747:F758,A747:A758,B$5),IF(AND(COUNT(A748:A759)=12,COUNT(F748:F759)=12),cubic_spline(F747:F759,A747:A759,B$5),""))))))))))))</f>
        <v/>
      </c>
      <c r="L749" s="27" t="str">
        <f>IF(I749="","",B$4&amp;"-"&amp;B$5)</f>
        <v/>
      </c>
      <c r="M749" s="52" t="str">
        <f>IF(N(J749)=0,"",J749-J748)</f>
        <v/>
      </c>
    </row>
    <row r="750" spans="1:13" x14ac:dyDescent="0.35">
      <c r="A750" s="48"/>
      <c r="B750" s="48"/>
      <c r="C750" s="49"/>
      <c r="D750" s="50"/>
      <c r="E750" s="51" t="str">
        <f>IF(N(C750)=0,"",C750/PI()/($D$1/2)^2/$D$2*10000)</f>
        <v/>
      </c>
      <c r="F750" s="68" t="str">
        <f t="shared" si="281"/>
        <v/>
      </c>
      <c r="G750" s="69" t="str">
        <f t="shared" si="283"/>
        <v/>
      </c>
      <c r="H750" s="70" t="str">
        <f t="shared" si="282"/>
        <v/>
      </c>
      <c r="I750" s="27" t="str">
        <f>IF(N(J750)=0,"",0&amp;"-"&amp;B$6)</f>
        <v/>
      </c>
      <c r="J750" s="52" t="str">
        <f>IF(N(B$6)=0,"",IF(AND(COUNT(H748:H759)=2,COUNT(F748:F759)=2),cubic_spline(F747:F749,H747:H749,B$6),IF(AND(COUNT(H748:H759)=3,COUNT(F748:F759)=3),cubic_spline(F747:F750,H747:H750,B$6),IF(AND(COUNT(H748:H759)=4,COUNT(F748:F759)=4),cubic_spline(F747:F751,H747:H751,B$6),IF(AND(COUNT(H748:H759)=5,COUNT(F748:F759)=5),cubic_spline(F747:F752,H747:H752,B$6),IF(AND(COUNT(H748:H759)=6,COUNT(F748:F759)=6),cubic_spline(F747:F753,H747:H753,B$6),IF(AND(COUNT(H748:H759)=7,COUNT(F748:F759)=7),cubic_spline(F747:F754,H747:H754,B$6),IF(AND(COUNT(H748:H759)=8,COUNT(F748:F759)=8),cubic_spline(F747:F755,H747:H755,B$6),IF(AND(COUNT(H748:H759)=9,COUNT(F748:F759)=9),cubic_spline(F747:F756,H747:H756,B$6),IF(AND(COUNT(H748:H759)=10,COUNT(F748:F759)=10),cubic_spline(F747:F757,H747:H757,B$6),IF(AND(COUNT(H748:H759)=11,COUNT(F748:F759)=11),cubic_spline(F747:F758,H747:H758,B$6),IF(AND(COUNT(H748:H759)=12,COUNT(F748:F759)=12),cubic_spline(F747:F759,H747:H759,B$6),""))))))))))))</f>
        <v/>
      </c>
      <c r="K750" s="52" t="str">
        <f>IF(N(B$6)=0,"",IF(AND(COUNT(A748:A759)=2,COUNT(F748:F759)=2),cubic_spline(F747:F749,A747:A749,B$6),IF(AND(COUNT(A748:A759)=3,COUNT(F748:F759)=3),cubic_spline(F747:F750,A747:A750,B$6),IF(AND(COUNT(A748:A759)=4,COUNT(F748:F759)=4),cubic_spline(F747:F751,A747:A751,B$6),IF(AND(COUNT(A748:A759)=5,COUNT(F748:F759)=5),cubic_spline(F747:F752,A747:A752,B$6),IF(AND(COUNT(A748:A759)=6,COUNT(F748:F759)=6),cubic_spline(F747:F753,A747:A753,B$6),IF(AND(COUNT(A748:A759)=7,COUNT(F748:F759)=7),cubic_spline(F747:F754,A747:A754,B$6),IF(AND(COUNT(A748:A759)=8,COUNT(F748:F759)=8),cubic_spline(F747:F755,A747:A755,B$6),IF(AND(COUNT(A748:A759)=9,COUNT(F748:F759)=9),cubic_spline(F747:F756,A747:A756,B$6),IF(AND(COUNT(A748:A759)=10,COUNT(F748:F759)=10),cubic_spline(F747:F757,A747:A757,B$6),IF(AND(COUNT(A748:A759)=11,COUNT(F748:F759)=11),cubic_spline(F747:F758,A747:A758,B$6),IF(AND(COUNT(A748:A759)=12,COUNT(F748:F759)=12),cubic_spline(F747:F759,A747:A759,B$6),""))))))))))))</f>
        <v/>
      </c>
      <c r="L750" s="27" t="str">
        <f>IF(I750="","",B$5&amp;"-"&amp;B$6)</f>
        <v/>
      </c>
      <c r="M750" s="52" t="str">
        <f>IF(N(J750)=0,"",J750-J749)</f>
        <v/>
      </c>
    </row>
    <row r="751" spans="1:13" x14ac:dyDescent="0.35">
      <c r="A751" s="48"/>
      <c r="B751" s="48"/>
      <c r="C751" s="49"/>
      <c r="D751" s="50"/>
      <c r="E751" s="51" t="str">
        <f>IF(N(C751)=0,"",C751/PI()/($D$1/2)^2/$D$2*10000)</f>
        <v/>
      </c>
      <c r="F751" s="68" t="str">
        <f t="shared" si="281"/>
        <v/>
      </c>
      <c r="G751" s="69" t="str">
        <f t="shared" si="283"/>
        <v/>
      </c>
      <c r="H751" s="70" t="str">
        <f t="shared" si="282"/>
        <v/>
      </c>
      <c r="I751" s="27" t="str">
        <f>IF(N(J751)=0,"",0&amp;"-"&amp;B$7)</f>
        <v/>
      </c>
      <c r="J751" s="52" t="str">
        <f>IF(N(B$7)=0,"",IF(AND(COUNT(H748:H759)=2,COUNT(F748:F759)=2),cubic_spline(F747:F749,H747:H749,B$7),IF(AND(COUNT(H748:H759)=3,COUNT(F748:F759)=3),cubic_spline(F747:F750,H747:H750,B$7),IF(AND(COUNT(H748:H759)=4,COUNT(F748:F759)=4),cubic_spline(F747:F751,H747:H751,B$7),IF(AND(COUNT(H748:H759)=5,COUNT(F748:F759)=5),cubic_spline(F747:F752,H747:H752,B$7),IF(AND(COUNT(H748:H759)=6,COUNT(F748:F759)=6),cubic_spline(F747:F753,H747:H753,B$7),IF(AND(COUNT(H748:H759)=7,COUNT(F748:F759)=7),cubic_spline(F747:F754,H747:H754,B$7),IF(AND(COUNT(H748:H759)=8,COUNT(F748:F759)=8),cubic_spline(F747:F755,H747:H755,B$7),IF(AND(COUNT(H748:H759)=9,COUNT(F748:F759)=9),cubic_spline(F747:F756,H747:H756,B$7),IF(AND(COUNT(H748:H759)=10,COUNT(F748:F759)=10),cubic_spline(F747:F757,H747:H757,B$7),IF(AND(COUNT(H748:H759)=11,COUNT(F748:F759)=11),cubic_spline(F747:F758,H747:H758,B$7),IF(AND(COUNT(H748:H759)=12,COUNT(F748:F759)=12),cubic_spline(F747:F759,H747:H759,B$7),""))))))))))))</f>
        <v/>
      </c>
      <c r="K751" s="52" t="str">
        <f>IF(N(B$7)=0,"",IF(AND(COUNT(A748:A759)=2,COUNT(F748:F759)=2),cubic_spline(F747:F749,A747:A749,B$7),IF(AND(COUNT(A748:A759)=3,COUNT(F748:F759)=3),cubic_spline(F747:F750,A747:A750,B$7),IF(AND(COUNT(A748:A759)=4,COUNT(F748:F759)=4),cubic_spline(F747:F751,A747:A751,B$7),IF(AND(COUNT(A748:A759)=5,COUNT(F748:F759)=5),cubic_spline(F747:F752,A747:A752,B$7),IF(AND(COUNT(A748:A759)=6,COUNT(F748:F759)=6),cubic_spline(F747:F753,A747:A753,B$7),IF(AND(COUNT(A748:A759)=7,COUNT(F748:F759)=7),cubic_spline(F747:F754,A747:A754,B$7),IF(AND(COUNT(A748:A759)=8,COUNT(F748:F759)=8),cubic_spline(F747:F755,A747:A755,B$7),IF(AND(COUNT(A748:A759)=9,COUNT(F748:F759)=9),cubic_spline(F747:F756,A747:A756,B$7),IF(AND(COUNT(A748:A759)=10,COUNT(F748:F759)=10),cubic_spline(F747:F757,A747:A757,B$7),IF(AND(COUNT(A748:A759)=11,COUNT(F748:F759)=11),cubic_spline(F747:F758,A747:A758,B$7),IF(AND(COUNT(A748:A759)=12,COUNT(F748:F759)=12),cubic_spline(F747:F759,A747:A759,B$7),""))))))))))))</f>
        <v/>
      </c>
      <c r="L751" s="27" t="str">
        <f>IF(I751="","",B$6&amp;"-"&amp;B$7)</f>
        <v/>
      </c>
      <c r="M751" s="52" t="str">
        <f>IF(N(J751)=0,"",J751-J750)</f>
        <v/>
      </c>
    </row>
    <row r="752" spans="1:13" x14ac:dyDescent="0.35">
      <c r="A752" s="48"/>
      <c r="B752" s="48"/>
      <c r="C752" s="49"/>
      <c r="D752" s="50"/>
      <c r="E752" s="51" t="str">
        <f t="shared" ref="E752:E759" si="284">IF(N(C752)=0,"",C752/PI()/($D$1/2)^2/$D$2*10000)</f>
        <v/>
      </c>
      <c r="F752" s="71" t="str">
        <f t="shared" si="281"/>
        <v/>
      </c>
      <c r="G752" s="69" t="str">
        <f t="shared" si="283"/>
        <v/>
      </c>
      <c r="H752" s="70" t="str">
        <f t="shared" si="282"/>
        <v/>
      </c>
      <c r="I752" s="27" t="str">
        <f>IF(N(J752)=0,"",0&amp;"-"&amp;B$8)</f>
        <v/>
      </c>
      <c r="J752" s="52" t="str">
        <f>IF(N(B$8)=0,"",IF(AND(COUNT(H748:H759)=2,COUNT(F748:F759)=2),cubic_spline(F747:F749,H747:H749,B$8),IF(AND(COUNT(H748:H759)=3,COUNT(F748:F759)=3),cubic_spline(F747:F750,H747:H750,B$8),IF(AND(COUNT(H748:H759)=4,COUNT(F748:F759)=4),cubic_spline(F747:F751,H747:H751,B$8),IF(AND(COUNT(H748:H759)=5,COUNT(F748:F759)=5),cubic_spline(F747:F752,H747:H752,B$8),IF(AND(COUNT(H748:H759)=6,COUNT(F748:F759)=6),cubic_spline(F747:F753,H747:H753,B$8),IF(AND(COUNT(H748:H759)=7,COUNT(F748:F759)=7),cubic_spline(F747:F754,H747:H754,B$8),IF(AND(COUNT(H748:H759)=8,COUNT(F748:F759)=8),cubic_spline(F747:F755,H747:H755,B$8),IF(AND(COUNT(H748:H759)=9,COUNT(F748:F759)=9),cubic_spline(F747:F756,H747:H756,B$8),IF(AND(COUNT(H748:H759)=10,COUNT(F748:F759)=10),cubic_spline(F747:F757,H747:H757,B$8),IF(AND(COUNT(H748:H759)=11,COUNT(F748:F759)=11),cubic_spline(F747:F758,H747:H758,B$8),IF(AND(COUNT(H748:H759)=12,COUNT(F748:F759)=12),cubic_spline(F747:F759,H747:H759,B$8),""))))))))))))</f>
        <v/>
      </c>
      <c r="K752" s="52" t="str">
        <f>IF(N(B$8)=0,"",IF(AND(COUNT(A748:A759)=2,COUNT(F748:F759)=2),cubic_spline(F747:F749,A747:A749,B$8),IF(AND(COUNT(A748:A759)=3,COUNT(F748:F759)=3),cubic_spline(F747:F750,A747:A750,B$8),IF(AND(COUNT(A748:A759)=4,COUNT(F748:F759)=4),cubic_spline(F747:F751,A747:A751,B$8),IF(AND(COUNT(A748:A759)=5,COUNT(F748:F759)=5),cubic_spline(F747:F752,A747:A752,B$8),IF(AND(COUNT(A748:A759)=6,COUNT(F748:F759)=6),cubic_spline(F747:F753,A747:A753,B$8),IF(AND(COUNT(A748:A759)=7,COUNT(F748:F759)=7),cubic_spline(F747:F754,A747:A754,B$8),IF(AND(COUNT(A748:A759)=8,COUNT(F748:F759)=8),cubic_spline(F747:F755,A747:A755,B$8),IF(AND(COUNT(A748:A759)=9,COUNT(F748:F759)=9),cubic_spline(F747:F756,A747:A756,B$8),IF(AND(COUNT(A748:A759)=10,COUNT(F748:F759)=10),cubic_spline(F747:F757,A747:A757,B$8),IF(AND(COUNT(A748:A759)=11,COUNT(F748:F759)=11),cubic_spline(F747:F758,A747:A758,B$8),IF(AND(COUNT(A748:A759)=12,COUNT(F748:F759)=12),cubic_spline(F747:F759,A747:A759,B$8),""))))))))))))</f>
        <v/>
      </c>
      <c r="L752" s="27" t="str">
        <f>IF(I752="","",B$7&amp;"-"&amp;B$8)</f>
        <v/>
      </c>
      <c r="M752" s="52" t="str">
        <f>IF(N(J752)=0,"",J752-J751)</f>
        <v/>
      </c>
    </row>
    <row r="753" spans="1:13" x14ac:dyDescent="0.35">
      <c r="A753" s="48"/>
      <c r="B753" s="48"/>
      <c r="C753" s="49"/>
      <c r="D753" s="50"/>
      <c r="E753" s="51" t="str">
        <f t="shared" si="284"/>
        <v/>
      </c>
      <c r="F753" s="71" t="str">
        <f t="shared" si="281"/>
        <v/>
      </c>
      <c r="G753" s="69" t="str">
        <f t="shared" si="283"/>
        <v/>
      </c>
      <c r="H753" s="70" t="str">
        <f t="shared" si="282"/>
        <v/>
      </c>
      <c r="I753" s="27" t="str">
        <f>IF(N(J753)=0,"",0&amp;"-"&amp;B$9)</f>
        <v/>
      </c>
      <c r="J753" s="52" t="str">
        <f>IF(N(B$9)=0,"",IF(AND(COUNT(H748:H759)=2,COUNT(F748:F759)=2),cubic_spline(F747:F749,H747:H749,B$9),IF(AND(COUNT(H748:H759)=3,COUNT(F748:F759)=3),cubic_spline(F747:F750,H747:H750,B$9),IF(AND(COUNT(H748:H759)=4,COUNT(F748:F759)=4),cubic_spline(F747:F751,H747:H751,B$9),IF(AND(COUNT(H748:H759)=5,COUNT(F748:F759)=5),cubic_spline(F747:F752,H747:H752,B$9),IF(AND(COUNT(H748:H759)=6,COUNT(F748:F759)=6),cubic_spline(F747:F753,H747:H753,B$9),IF(AND(COUNT(H748:H759)=7,COUNT(F748:F759)=7),cubic_spline(F747:F754,H747:H754,B$9),IF(AND(COUNT(H748:H759)=8,COUNT(F748:F759)=8),cubic_spline(F747:F755,H747:H755,B$9),IF(AND(COUNT(H748:H759)=9,COUNT(F748:F759)=9),cubic_spline(F747:F756,H747:H756,B$9),IF(AND(COUNT(H748:H759)=10,COUNT(F748:F759)=10),cubic_spline(F747:F757,H747:H757,B$9),IF(AND(COUNT(H748:H759)=11,COUNT(F748:F759)=11),cubic_spline(F747:F758,H747:H758,B$9),IF(AND(COUNT(H748:H759)=12,COUNT(F748:F759)=12),cubic_spline(F747:F759,H747:H759,B$9),""))))))))))))</f>
        <v/>
      </c>
      <c r="K753" s="52" t="str">
        <f>IF(N(B$9)=0,"",IF(AND(COUNT(A748:A759)=2,COUNT(F748:F759)=2),cubic_spline(F747:F749,A747:A749,B$9),IF(AND(COUNT(A748:A759)=3,COUNT(F748:F759)=3),cubic_spline(F747:F750,A747:A750,B$9),IF(AND(COUNT(A748:A759)=4,COUNT(F748:F759)=4),cubic_spline(F747:F751,A747:A751,B$9),IF(AND(COUNT(A748:A759)=5,COUNT(F748:F759)=5),cubic_spline(F747:F752,A747:A752,B$9),IF(AND(COUNT(A748:A759)=6,COUNT(F748:F759)=6),cubic_spline(F747:F753,A747:A753,B$9),IF(AND(COUNT(A748:A759)=7,COUNT(F748:F759)=7),cubic_spline(F747:F754,A747:A754,B$9),IF(AND(COUNT(A748:A759)=8,COUNT(F748:F759)=8),cubic_spline(F747:F755,A747:A755,B$9),IF(AND(COUNT(A748:A759)=9,COUNT(F748:F759)=9),cubic_spline(F747:F756,A747:A756,B$9),IF(AND(COUNT(A748:A759)=10,COUNT(F748:F759)=10),cubic_spline(F747:F757,A747:A757,B$9),IF(AND(COUNT(A748:A759)=11,COUNT(F748:F759)=11),cubic_spline(F747:F758,A747:A758,B$9),IF(AND(COUNT(A748:A759)=12,COUNT(F748:F759)=12),cubic_spline(F747:F759,A747:A759,B$9),""))))))))))))</f>
        <v/>
      </c>
      <c r="L753" s="27" t="str">
        <f>IF(I753="","",B$8&amp;"-"&amp;B$9)</f>
        <v/>
      </c>
      <c r="M753" s="52" t="str">
        <f t="shared" ref="M753:M759" si="285">IF(N(J753)=0,"",J753-J752)</f>
        <v/>
      </c>
    </row>
    <row r="754" spans="1:13" x14ac:dyDescent="0.35">
      <c r="A754" s="48"/>
      <c r="B754" s="48"/>
      <c r="C754" s="49"/>
      <c r="D754" s="50"/>
      <c r="E754" s="51" t="str">
        <f t="shared" si="284"/>
        <v/>
      </c>
      <c r="F754" s="71" t="str">
        <f t="shared" si="281"/>
        <v/>
      </c>
      <c r="G754" s="69" t="str">
        <f t="shared" si="283"/>
        <v/>
      </c>
      <c r="H754" s="70" t="str">
        <f t="shared" si="282"/>
        <v/>
      </c>
      <c r="I754" s="27" t="str">
        <f>IF(N(J754)=0,"",0&amp;"-"&amp;B$10)</f>
        <v/>
      </c>
      <c r="J754" s="52" t="str">
        <f>IF(N(B$10)=0,"",IF(AND(COUNT(H748:H759)=2,COUNT(F748:F759)=2),cubic_spline(F747:F749,H747:H749,B$10),IF(AND(COUNT(H748:H759)=3,COUNT(F748:F759)=3),cubic_spline(F747:F750,H747:H750,B$10),IF(AND(COUNT(H748:H759)=4,COUNT(F748:F759)=4),cubic_spline(F747:F751,H747:H751,B$10),IF(AND(COUNT(H748:H759)=5,COUNT(F748:F759)=5),cubic_spline(F747:F752,H747:H752,B$10),IF(AND(COUNT(H748:H759)=6,COUNT(F748:F759)=6),cubic_spline(F747:F753,H747:H753,B$10),IF(AND(COUNT(H748:H759)=7,COUNT(F748:F759)=7),cubic_spline(F747:F754,H747:H754,B$10),IF(AND(COUNT(H748:H759)=8,COUNT(F748:F759)=8),cubic_spline(F747:F755,H747:H755,B$10),IF(AND(COUNT(H748:H759)=9,COUNT(F748:F759)=9),cubic_spline(F747:F756,H747:H756,B$10),IF(AND(COUNT(H748:H759)=10,COUNT(F748:F759)=10),cubic_spline(F747:F757,H747:H757,B$10),IF(AND(COUNT(H748:H759)=11,COUNT(F748:F759)=11),cubic_spline(F747:F758,H747:H758,B$10),IF(AND(COUNT(H748:H759)=12,COUNT(F748:F759)=12),cubic_spline(F747:F759,H747:H759,B$10),""))))))))))))</f>
        <v/>
      </c>
      <c r="K754" s="52" t="str">
        <f>IF(N(B$10)=0,"",IF(AND(COUNT(A748:A759)=2,COUNT(F748:F759)=2),cubic_spline(F747:F749,A747:A749,B$10),IF(AND(COUNT(A748:A759)=3,COUNT(F748:F759)=3),cubic_spline(F747:F750,A747:A750,B$10),IF(AND(COUNT(A748:A759)=4,COUNT(F748:F759)=4),cubic_spline(F747:F751,A747:A751,B$10),IF(AND(COUNT(A748:A759)=5,COUNT(F748:F759)=5),cubic_spline(F747:F752,A747:A752,B$10),IF(AND(COUNT(A748:A759)=6,COUNT(F748:F759)=6),cubic_spline(F747:F753,A747:A753,B$10),IF(AND(COUNT(A748:A759)=7,COUNT(F748:F759)=7),cubic_spline(F747:F754,A747:A754,B$10),IF(AND(COUNT(A748:A759)=8,COUNT(F748:F759)=8),cubic_spline(F747:F755,A747:A755,B$10),IF(AND(COUNT(A748:A759)=9,COUNT(F748:F759)=9),cubic_spline(F747:F756,A747:A756,B$10),IF(AND(COUNT(A748:A759)=10,COUNT(F748:F759)=10),cubic_spline(F747:F757,A747:A757,B$10),IF(AND(COUNT(A748:A759)=11,COUNT(F748:F759)=11),cubic_spline(F747:F758,A747:A758,B$10),IF(AND(COUNT(A748:A759)=12,COUNT(F748:F759)=12),cubic_spline(F747:F759,A747:A759,B$10),""))))))))))))</f>
        <v/>
      </c>
      <c r="L754" s="27" t="str">
        <f>IF(I754="","",B$9&amp;"-"&amp;B$10)</f>
        <v/>
      </c>
      <c r="M754" s="52" t="str">
        <f t="shared" si="285"/>
        <v/>
      </c>
    </row>
    <row r="755" spans="1:13" x14ac:dyDescent="0.35">
      <c r="A755" s="48"/>
      <c r="B755" s="48"/>
      <c r="C755" s="49"/>
      <c r="D755" s="50"/>
      <c r="E755" s="51" t="str">
        <f t="shared" si="284"/>
        <v/>
      </c>
      <c r="F755" s="71" t="str">
        <f t="shared" si="281"/>
        <v/>
      </c>
      <c r="G755" s="69" t="str">
        <f t="shared" si="283"/>
        <v/>
      </c>
      <c r="H755" s="70" t="str">
        <f t="shared" si="282"/>
        <v/>
      </c>
      <c r="I755" s="27" t="str">
        <f>IF(N(J755)=0,"",0&amp;"-"&amp;B$11)</f>
        <v/>
      </c>
      <c r="J755" s="52" t="str">
        <f>IF(N(B$11)=0,"",IF(AND(COUNT(H748:H759)=2,COUNT(F748:F759)=2),cubic_spline(F747:F749,H747:H749,B$11),IF(AND(COUNT(H748:H759)=3,COUNT(F748:F759)=3),cubic_spline(F747:F750,H747:H750,B$11),IF(AND(COUNT(H748:H759)=4,COUNT(F748:F759)=4),cubic_spline(F747:F751,H747:H751,B$11),IF(AND(COUNT(H748:H759)=5,COUNT(F748:F759)=5),cubic_spline(F747:F752,H747:H752,B$11),IF(AND(COUNT(H748:H759)=6,COUNT(F748:F759)=6),cubic_spline(F747:F753,H747:H753,B$11),IF(AND(COUNT(H748:H759)=7,COUNT(F748:F759)=7),cubic_spline(F747:F754,H747:H754,B$11),IF(AND(COUNT(H748:H759)=8,COUNT(F748:F759)=8),cubic_spline(F747:F755,H747:H755,B$11),IF(AND(COUNT(H748:H759)=9,COUNT(F748:F759)=9),cubic_spline(F747:F756,H747:H756,B$11),IF(AND(COUNT(H748:H759)=10,COUNT(F748:F759)=10),cubic_spline(F747:F757,H747:H757,B$11),IF(AND(COUNT(H748:H759)=11,COUNT(F748:F759)=11),cubic_spline(F747:F758,H747:H758,B$11),IF(AND(COUNT(H748:H759)=12,COUNT(F748:F759)=12),cubic_spline(F747:F759,H747:H759,B$11),""))))))))))))</f>
        <v/>
      </c>
      <c r="K755" s="52" t="str">
        <f>IF(N(B$11)=0,"",IF(AND(COUNT(A748:A759)=2,COUNT(F748:F759)=2),cubic_spline(F747:F749,A747:A749,B$11),IF(AND(COUNT(A748:A759)=3,COUNT(F748:F759)=3),cubic_spline(F747:F750,A747:A750,B$11),IF(AND(COUNT(A748:A759)=4,COUNT(F748:F759)=4),cubic_spline(F747:F751,A747:A751,B$11),IF(AND(COUNT(A748:A759)=5,COUNT(F748:F759)=5),cubic_spline(F747:F752,A747:A752,B$11),IF(AND(COUNT(A748:A759)=6,COUNT(F748:F759)=6),cubic_spline(F747:F753,A747:A753,B$11),IF(AND(COUNT(A748:A759)=7,COUNT(F748:F759)=7),cubic_spline(F747:F754,A747:A754,B$11),IF(AND(COUNT(A748:A759)=8,COUNT(F748:F759)=8),cubic_spline(F747:F755,A747:A755,B$11),IF(AND(COUNT(A748:A759)=9,COUNT(F748:F759)=9),cubic_spline(F747:F756,A747:A756,B$11),IF(AND(COUNT(A748:A759)=10,COUNT(F748:F759)=10),cubic_spline(F747:F757,A747:A757,B$11),IF(AND(COUNT(A748:A759)=11,COUNT(F748:F759)=11),cubic_spline(F747:F758,A747:A758,B$11),IF(AND(COUNT(A748:A759)=12,COUNT(F748:F759)=12),cubic_spline(F747:F759,A747:A759,B$11),""))))))))))))</f>
        <v/>
      </c>
      <c r="L755" s="27" t="str">
        <f>IF(I755="","",B$10&amp;"-"&amp;B$11)</f>
        <v/>
      </c>
      <c r="M755" s="52" t="str">
        <f t="shared" si="285"/>
        <v/>
      </c>
    </row>
    <row r="756" spans="1:13" x14ac:dyDescent="0.35">
      <c r="A756" s="48"/>
      <c r="B756" s="48"/>
      <c r="C756" s="49"/>
      <c r="D756" s="50"/>
      <c r="E756" s="51" t="str">
        <f t="shared" si="284"/>
        <v/>
      </c>
      <c r="F756" s="71" t="str">
        <f t="shared" si="281"/>
        <v/>
      </c>
      <c r="G756" s="69" t="str">
        <f t="shared" si="283"/>
        <v/>
      </c>
      <c r="H756" s="70" t="str">
        <f t="shared" si="282"/>
        <v/>
      </c>
      <c r="I756" s="27" t="str">
        <f>IF(N(J756)=0,"",0&amp;"-"&amp;B$12)</f>
        <v/>
      </c>
      <c r="J756" s="52" t="str">
        <f>IF(N(B$12)=0,"",IF(AND(COUNT(H748:H759)=2,COUNT(F748:F759)=2),cubic_spline(F747:F749,H747:H749,B$12),IF(AND(COUNT(H748:H759)=3,COUNT(F748:F759)=3),cubic_spline(F747:F750,H747:H750,B$12),IF(AND(COUNT(H748:H759)=4,COUNT(F748:F759)=4),cubic_spline(F747:F751,H747:H751,B$12),IF(AND(COUNT(H748:H759)=5,COUNT(F748:F759)=5),cubic_spline(F747:F752,H747:H752,B$12),IF(AND(COUNT(H748:H759)=6,COUNT(F748:F759)=6),cubic_spline(F747:F753,H747:H753,B$12),IF(AND(COUNT(H748:H759)=7,COUNT(F748:F759)=7),cubic_spline(F747:F754,H747:H754,B$12),IF(AND(COUNT(H748:H759)=8,COUNT(F748:F759)=8),cubic_spline(F747:F755,H747:H755,B$12),IF(AND(COUNT(H748:H759)=9,COUNT(F748:F759)=9),cubic_spline(F747:F756,H747:H756,B$12),IF(AND(COUNT(H748:H759)=10,COUNT(F748:F759)=10),cubic_spline(F747:F757,H747:H757,B$12),IF(AND(COUNT(H748:H759)=11,COUNT(F748:F759)=11),cubic_spline(F747:F758,H747:H758,B$12),IF(AND(COUNT(H748:H759)=12,COUNT(F748:F759)=12),cubic_spline(F747:F759,H747:H759,B$12),""))))))))))))</f>
        <v/>
      </c>
      <c r="K756" s="52" t="str">
        <f>IF(N(B$12)=0,"",IF(AND(COUNT(A748:A759)=2,COUNT(F748:F759)=2),cubic_spline(F747:F749,A747:A749,B$12),IF(AND(COUNT(A748:A759)=3,COUNT(F748:F759)=3),cubic_spline(F747:F750,A747:A750,B$12),IF(AND(COUNT(A748:A759)=4,COUNT(F748:F759)=4),cubic_spline(F747:F751,A747:A751,B$12),IF(AND(COUNT(A748:A759)=5,COUNT(F748:F759)=5),cubic_spline(F747:F752,A747:A752,B$12),IF(AND(COUNT(A748:A759)=6,COUNT(F748:F759)=6),cubic_spline(F747:F753,A747:A753,B$12),IF(AND(COUNT(A748:A759)=7,COUNT(F748:F759)=7),cubic_spline(F747:F754,A747:A754,B$12),IF(AND(COUNT(A748:A759)=8,COUNT(F748:F759)=8),cubic_spline(F747:F755,A747:A755,B$12),IF(AND(COUNT(A748:A759)=9,COUNT(F748:F759)=9),cubic_spline(F747:F756,A747:A756,B$12),IF(AND(COUNT(A748:A759)=10,COUNT(F748:F759)=10),cubic_spline(F747:F757,A747:A757,B$12),IF(AND(COUNT(A748:A759)=11,COUNT(F748:F759)=11),cubic_spline(F747:F758,A747:A758,B$12),IF(AND(COUNT(A748:A759)=12,COUNT(F748:F759)=12),cubic_spline(F747:F759,A747:A759,B$12),""))))))))))))</f>
        <v/>
      </c>
      <c r="L756" s="27" t="str">
        <f>IF(I756="","",B$11&amp;"-"&amp;B$12)</f>
        <v/>
      </c>
      <c r="M756" s="52" t="str">
        <f t="shared" si="285"/>
        <v/>
      </c>
    </row>
    <row r="757" spans="1:13" x14ac:dyDescent="0.35">
      <c r="A757" s="48"/>
      <c r="B757" s="48"/>
      <c r="C757" s="49"/>
      <c r="D757" s="50"/>
      <c r="E757" s="51" t="str">
        <f t="shared" si="284"/>
        <v/>
      </c>
      <c r="F757" s="71" t="str">
        <f t="shared" si="281"/>
        <v/>
      </c>
      <c r="G757" s="69" t="str">
        <f t="shared" si="283"/>
        <v/>
      </c>
      <c r="H757" s="70" t="str">
        <f t="shared" si="282"/>
        <v/>
      </c>
      <c r="I757" s="27" t="str">
        <f>IF(N(J757)=0,"",0&amp;"-"&amp;B$13)</f>
        <v/>
      </c>
      <c r="J757" s="52" t="str">
        <f>IF(N(B$13)=0,"",IF(AND(COUNT(H748:H759)=2,COUNT(F748:F759)=2),cubic_spline(F747:F749,H747:H749,B$13),IF(AND(COUNT(H748:H759)=3,COUNT(F748:F759)=3),cubic_spline(F747:F750,H747:H750,B$13),IF(AND(COUNT(H748:H759)=4,COUNT(F748:F759)=4),cubic_spline(F747:F751,H747:H751,B$13),IF(AND(COUNT(H748:H759)=5,COUNT(F748:F759)=5),cubic_spline(F747:F752,H747:H752,B$13),IF(AND(COUNT(H748:H759)=6,COUNT(F748:F759)=6),cubic_spline(F747:F753,H747:H753,B$13),IF(AND(COUNT(H748:H759)=7,COUNT(F748:F759)=7),cubic_spline(F747:F754,H747:H754,B$13),IF(AND(COUNT(H748:H759)=8,COUNT(F748:F759)=8),cubic_spline(F747:F755,H747:H755,B$13),IF(AND(COUNT(H748:H759)=9,COUNT(F748:F759)=9),cubic_spline(F747:F756,H747:H756,B$13),IF(AND(COUNT(H748:H759)=10,COUNT(F748:F759)=10),cubic_spline(F747:F757,H747:H757,B$13),IF(AND(COUNT(H748:H759)=11,COUNT(F748:F759)=11),cubic_spline(F747:F758,H747:H758,B$13),IF(AND(COUNT(H748:H759)=12,COUNT(F748:F759)=12),cubic_spline(F747:F759,H747:H759,B$13),""))))))))))))</f>
        <v/>
      </c>
      <c r="K757" s="52" t="str">
        <f>IF(N(B$13)=0,"",IF(AND(COUNT(A748:A759)=2,COUNT(F748:F759)=2),cubic_spline(F747:F749,A747:A749,B$13),IF(AND(COUNT(A748:A759)=3,COUNT(F748:F759)=3),cubic_spline(F747:F750,A747:A750,B$13),IF(AND(COUNT(A748:A759)=4,COUNT(F748:F759)=4),cubic_spline(F747:F751,A747:A751,B$13),IF(AND(COUNT(A748:A759)=5,COUNT(F748:F759)=5),cubic_spline(F747:F752,A747:A752,B$13),IF(AND(COUNT(A748:A759)=6,COUNT(F748:F759)=6),cubic_spline(F747:F753,A747:A753,B$13),IF(AND(COUNT(A748:A759)=7,COUNT(F748:F759)=7),cubic_spline(F747:F754,A747:A754,B$13),IF(AND(COUNT(A748:A759)=8,COUNT(F748:F759)=8),cubic_spline(F747:F755,A747:A755,B$13),IF(AND(COUNT(A748:A759)=9,COUNT(F748:F759)=9),cubic_spline(F747:F756,A747:A756,B$13),IF(AND(COUNT(A748:A759)=10,COUNT(F748:F759)=10),cubic_spline(F747:F757,A747:A757,B$13),IF(AND(COUNT(A748:A759)=11,COUNT(F748:F759)=11),cubic_spline(F747:F758,A747:A758,B$13),IF(AND(COUNT(A748:A759)=12,COUNT(F748:F759)=12),cubic_spline(F747:F759,A747:A759,B$13),""))))))))))))</f>
        <v/>
      </c>
      <c r="L757" s="27" t="str">
        <f>IF(I757="","",B$12&amp;"-"&amp;B$13)</f>
        <v/>
      </c>
      <c r="M757" s="52" t="str">
        <f t="shared" si="285"/>
        <v/>
      </c>
    </row>
    <row r="758" spans="1:13" x14ac:dyDescent="0.35">
      <c r="A758" s="48"/>
      <c r="B758" s="48"/>
      <c r="C758" s="49"/>
      <c r="D758" s="50"/>
      <c r="E758" s="51" t="str">
        <f t="shared" si="284"/>
        <v/>
      </c>
      <c r="F758" s="71" t="str">
        <f t="shared" si="281"/>
        <v/>
      </c>
      <c r="G758" s="69" t="str">
        <f t="shared" si="283"/>
        <v/>
      </c>
      <c r="H758" s="70" t="str">
        <f t="shared" si="282"/>
        <v/>
      </c>
      <c r="I758" s="27" t="str">
        <f>IF(N(J758)=0,"",0&amp;"-"&amp;B$14)</f>
        <v/>
      </c>
      <c r="J758" s="52" t="str">
        <f>IF(N(B$14)=0,"",IF(AND(COUNT(H748:H759)=2,COUNT(F748:F759)=2),cubic_spline(F747:F749,H747:H749,B$14),IF(AND(COUNT(H748:H759)=3,COUNT(F748:F759)=3),cubic_spline(F747:F750,H747:H750,B$14),IF(AND(COUNT(H748:H759)=4,COUNT(F748:F759)=4),cubic_spline(F747:F751,H747:H751,B$14),IF(AND(COUNT(H748:H759)=5,COUNT(F748:F759)=5),cubic_spline(F747:F752,H747:H752,B$14),IF(AND(COUNT(H748:H759)=6,COUNT(F748:F759)=6),cubic_spline(F747:F753,H747:H753,B$14),IF(AND(COUNT(H748:H759)=7,COUNT(F748:F759)=7),cubic_spline(F747:F754,H747:H754,B$14),IF(AND(COUNT(H748:H759)=8,COUNT(F748:F759)=8),cubic_spline(F747:F755,H747:H755,B$14),IF(AND(COUNT(H748:H759)=9,COUNT(F748:F759)=9),cubic_spline(F747:F756,H747:H756,B$14),IF(AND(COUNT(H748:H759)=10,COUNT(F748:F759)=10),cubic_spline(F747:F757,H747:H757,B$14),IF(AND(COUNT(H748:H759)=11,COUNT(F748:F759)=11),cubic_spline(F747:F758,H747:H758,B$14),IF(AND(COUNT(H748:H759)=12,COUNT(F748:F759)=12),cubic_spline(F747:F759,H747:H759,B$14),""))))))))))))</f>
        <v/>
      </c>
      <c r="K758" s="52" t="str">
        <f>IF(N(B$14)=0,"",IF(AND(COUNT(A748:A759)=2,COUNT(F748:F759)=2),cubic_spline(F747:F749,A747:A749,B$14),IF(AND(COUNT(A748:A759)=3,COUNT(F748:F759)=3),cubic_spline(F747:F750,A747:A750,B$14),IF(AND(COUNT(A748:A759)=4,COUNT(F748:F759)=4),cubic_spline(F747:F751,A747:A751,B$14),IF(AND(COUNT(A748:A759)=5,COUNT(F748:F759)=5),cubic_spline(F747:F752,A747:A752,B$14),IF(AND(COUNT(A748:A759)=6,COUNT(F748:F759)=6),cubic_spline(F747:F753,A747:A753,B$14),IF(AND(COUNT(A748:A759)=7,COUNT(F748:F759)=7),cubic_spline(F747:F754,A747:A754,B$14),IF(AND(COUNT(A748:A759)=8,COUNT(F748:F759)=8),cubic_spline(F747:F755,A747:A755,B$14),IF(AND(COUNT(A748:A759)=9,COUNT(F748:F759)=9),cubic_spline(F747:F756,A747:A756,B$14),IF(AND(COUNT(A748:A759)=10,COUNT(F748:F759)=10),cubic_spline(F747:F757,A747:A757,B$14),IF(AND(COUNT(A748:A759)=11,COUNT(F748:F759)=11),cubic_spline(F747:F758,A747:A758,B$14),IF(AND(COUNT(A748:A759)=12,COUNT(F748:F759)=12),cubic_spline(F747:F759,A747:A759,B$14),""))))))))))))</f>
        <v/>
      </c>
      <c r="L758" s="27" t="str">
        <f>IF(I758="","",B$13&amp;"-"&amp;B$14)</f>
        <v/>
      </c>
      <c r="M758" s="52" t="str">
        <f t="shared" si="285"/>
        <v/>
      </c>
    </row>
    <row r="759" spans="1:13" x14ac:dyDescent="0.35">
      <c r="A759" s="48"/>
      <c r="B759" s="48"/>
      <c r="C759" s="49"/>
      <c r="D759" s="50"/>
      <c r="E759" s="51" t="str">
        <f t="shared" si="284"/>
        <v/>
      </c>
      <c r="F759" s="71" t="str">
        <f t="shared" si="281"/>
        <v/>
      </c>
      <c r="G759" s="69" t="str">
        <f t="shared" si="283"/>
        <v/>
      </c>
      <c r="H759" s="70" t="str">
        <f t="shared" si="282"/>
        <v/>
      </c>
      <c r="I759" s="27" t="str">
        <f>IF(N(J759)=0,"",0&amp;"-"&amp;B$15)</f>
        <v/>
      </c>
      <c r="J759" s="52" t="str">
        <f>IF(N(B$15)=0,"",IF(AND(COUNT(H748:H759)=2,COUNT(F748:F759)=2),cubic_spline(F747:F749,H747:H749,B$15),IF(AND(COUNT(H748:H759)=3,COUNT(F748:F759)=3),cubic_spline(F747:F750,H747:H750,B$15),IF(AND(COUNT(H748:H759)=4,COUNT(F748:F759)=4),cubic_spline(F747:F751,H747:H751,B$15),IF(AND(COUNT(H748:H759)=5,COUNT(F748:F759)=5),cubic_spline(F747:F752,H747:H752,B$15),IF(AND(COUNT(H748:H759)=6,COUNT(F748:F759)=6),cubic_spline(F747:F753,H747:H753,B$15),IF(AND(COUNT(H748:H759)=7,COUNT(F748:F759)=7),cubic_spline(F747:F754,H747:H754,B$15),IF(AND(COUNT(H748:H759)=8,COUNT(F748:F759)=8),cubic_spline(F747:F755,H747:H755,B$15),IF(AND(COUNT(H748:H759)=9,COUNT(F748:F759)=9),cubic_spline(F747:F756,H747:H756,B$15),IF(AND(COUNT(H748:H759)=10,COUNT(F748:F759)=10),cubic_spline(F747:F757,H747:H757,B$15),IF(AND(COUNT(H748:H759)=11,COUNT(F748:F759)=11),cubic_spline(F747:F758,H747:H758,B$15),IF(AND(COUNT(H748:H759)=12,COUNT(F748:F759)=12),cubic_spline(F747:F759,H747:H759,B$15),""))))))))))))</f>
        <v/>
      </c>
      <c r="K759" s="52" t="str">
        <f>IF(N(B$15)=0,"",IF(AND(COUNT(A748:A759)=2,COUNT(F748:F759)=2),cubic_spline(F747:F749,A747:A749,B$15),IF(AND(COUNT(A748:A759)=3,COUNT(F748:F759)=3),cubic_spline(F747:F750,A747:A750,B$15),IF(AND(COUNT(A748:A759)=4,COUNT(F748:F759)=4),cubic_spline(F747:F751,A747:A751,B$15),IF(AND(COUNT(A748:A759)=5,COUNT(F748:F759)=5),cubic_spline(F747:F752,A747:A752,B$15),IF(AND(COUNT(A748:A759)=6,COUNT(F748:F759)=6),cubic_spline(F747:F753,A747:A753,B$15),IF(AND(COUNT(A748:A759)=7,COUNT(F748:F759)=7),cubic_spline(F747:F754,A747:A754,B$15),IF(AND(COUNT(A748:A759)=8,COUNT(F748:F759)=8),cubic_spline(F747:F755,A747:A755,B$15),IF(AND(COUNT(A748:A759)=9,COUNT(F748:F759)=9),cubic_spline(F747:F756,A747:A756,B$15),IF(AND(COUNT(A748:A759)=10,COUNT(F748:F759)=10),cubic_spline(F747:F757,A747:A757,B$15),IF(AND(COUNT(A748:A759)=11,COUNT(F748:F759)=11),cubic_spline(F747:F758,A747:A758,B$15),IF(AND(COUNT(A748:A759)=12,COUNT(F748:F759)=12),cubic_spline(F747:F759,A747:A759,B$15),""))))))))))))</f>
        <v/>
      </c>
      <c r="L759" s="27" t="str">
        <f>IF(I759="","",B$14&amp;"-"&amp;B$15)</f>
        <v/>
      </c>
      <c r="M759" s="52" t="str">
        <f t="shared" si="285"/>
        <v/>
      </c>
    </row>
    <row r="760" spans="1:13" ht="5.15" customHeight="1" x14ac:dyDescent="0.35">
      <c r="A760" s="47"/>
      <c r="B760" s="47"/>
      <c r="C760" s="47"/>
      <c r="D760" s="53"/>
      <c r="E760" s="54"/>
      <c r="F760" s="55"/>
      <c r="G760" s="72"/>
      <c r="H760" s="73"/>
      <c r="I760" s="47"/>
      <c r="J760" s="57"/>
      <c r="K760" s="57"/>
      <c r="L760" s="55"/>
      <c r="M760" s="57"/>
    </row>
    <row r="761" spans="1:13" x14ac:dyDescent="0.35">
      <c r="A761" s="48"/>
      <c r="B761" s="48"/>
      <c r="C761" s="49"/>
      <c r="D761" s="50"/>
      <c r="E761" s="51" t="str">
        <f>IF(N(C761)=0,"",C761/PI()/($D$1/2)^2/$D$2*10000)</f>
        <v/>
      </c>
      <c r="F761" s="68" t="str">
        <f t="shared" ref="F761:F772" si="286">IF(N(E761)=0,"",(N(E761)+N(F760)))</f>
        <v/>
      </c>
      <c r="G761" s="69" t="str">
        <f>IF(OR(N(D761)=0,N(E761)=0),"",(E761*D761)/1000)</f>
        <v/>
      </c>
      <c r="H761" s="70" t="str">
        <f t="shared" ref="H761:H772" si="287">IF(N(G761)=0,"",(N(G761)+N(H760)))</f>
        <v/>
      </c>
      <c r="I761" s="27" t="str">
        <f>IF(N(J761)=0,"",0&amp;"-"&amp;B$4)</f>
        <v/>
      </c>
      <c r="J761" s="52" t="str">
        <f>IF(N(B$4)=0,"",IF(AND(COUNT(H761:H772)=2,COUNT(F761:F772)=2),cubic_spline(F760:F762,H760:H762,B$4),IF(AND(COUNT(H761:H772)=3,COUNT(F761:F772)=3),cubic_spline(F760:F763,H760:H763,B$4),IF(AND(COUNT(H761:H772)=4,COUNT(F761:F772)=4),cubic_spline(F760:F764,H760:H764,B$4),IF(AND(COUNT(H761:H772)=5,COUNT(F761:F772)=5),cubic_spline(F760:F765,H760:H765,B$4),IF(AND(COUNT(H761:H772)=6,COUNT(F761:F772)=6),cubic_spline(F760:F766,H760:H766,B$4),IF(AND(COUNT(H761:H772)=7,COUNT(F761:F772)=7),cubic_spline(F760:F767,H760:H767,B$4),IF(AND(COUNT(H761:H772)=8,COUNT(F761:F772)=8),cubic_spline(F760:F768,H760:H768,B$4),IF(AND(COUNT(H761:H772)=9,COUNT(F761:F772)=9),cubic_spline(F760:F769,H760:H769,B$4),IF(AND(COUNT(H761:H772)=10,COUNT(F761:F772)=10),cubic_spline(F760:F770,H760:H770,B$4),IF(AND(COUNT(H761:H772)=11,COUNT(F761:F772)=11),cubic_spline(F760:F771,H760:H771,B$4),IF(AND(COUNT(H761:H772)=12,COUNT(F761:F772)=12),cubic_spline(F760:F772,H760:H772,B$4),""))))))))))))</f>
        <v/>
      </c>
      <c r="K761" s="52" t="str">
        <f>IF(N(B$4)=0,"",IF(AND(COUNT(A761:A772)=2,COUNT(F761:F772)=2),cubic_spline(F760:F762,A760:A762,B$4),IF(AND(COUNT(A761:A772)=3,COUNT(F761:F772)=3),cubic_spline(F760:F763,A760:A763,B$4),IF(AND(COUNT(A761:A772)=4,COUNT(F761:F772)=4),cubic_spline(F760:F764,A760:A764,B$4),IF(AND(COUNT(A761:A772)=5,COUNT(F761:F772)=5),cubic_spline(F760:F765,A760:A765,B$4),IF(AND(COUNT(A761:A772)=6,COUNT(F761:F772)=6),cubic_spline(F760:F766,A760:A766,B$4),IF(AND(COUNT(A761:A772)=7,COUNT(F761:F772)=7),cubic_spline(F760:F767,A760:A767,B$4),IF(AND(COUNT(A761:A772)=8,COUNT(F761:F772)=8),cubic_spline(F760:F768,A760:A768,B$4),IF(AND(COUNT(A761:A772)=9,COUNT(F761:F772)=9),cubic_spline(F760:F769,A760:A769,B$4),IF(AND(COUNT(A761:A772)=10,COUNT(F761:F772)=10),cubic_spline(F760:F770,A760:A770,B$4),IF(AND(COUNT(A761:A772)=11,COUNT(F761:F772)=11),cubic_spline(F760:F771,A760:A771,B$4),IF(AND(COUNT(A761:A772)=12,COUNT(F761:F772)=12),cubic_spline(F760:F772,A760:A772,B$4),""))))))))))))</f>
        <v/>
      </c>
      <c r="L761" s="27" t="str">
        <f>IF(I761="","",0&amp;"-"&amp;B$4)</f>
        <v/>
      </c>
      <c r="M761" s="52" t="str">
        <f>IF(N(J761)=0,"",J761-J760)</f>
        <v/>
      </c>
    </row>
    <row r="762" spans="1:13" x14ac:dyDescent="0.35">
      <c r="A762" s="48"/>
      <c r="B762" s="48"/>
      <c r="C762" s="49"/>
      <c r="D762" s="50"/>
      <c r="E762" s="51" t="str">
        <f>IF(N(C762)=0,"",C762/PI()/($D$1/2)^2/$D$2*10000)</f>
        <v/>
      </c>
      <c r="F762" s="68" t="str">
        <f t="shared" si="286"/>
        <v/>
      </c>
      <c r="G762" s="69" t="str">
        <f t="shared" ref="G762:G772" si="288">IF(OR(N(D762)=0,N(E762)=0),"",(E762*D762)/1000)</f>
        <v/>
      </c>
      <c r="H762" s="70" t="str">
        <f t="shared" si="287"/>
        <v/>
      </c>
      <c r="I762" s="27" t="str">
        <f>IF(N(J762)=0,"",0&amp;"-"&amp;B$5)</f>
        <v/>
      </c>
      <c r="J762" s="52" t="str">
        <f>IF(N(B$5)=0,"",IF(AND(COUNT(H761:H772)=2,COUNT(F761:F772)=2),cubic_spline(F760:F762,H760:H762,B$5),IF(AND(COUNT(H761:H772)=3,COUNT(F761:F772)=3),cubic_spline(F760:F763,H760:H763,B$5),IF(AND(COUNT(H761:H772)=4,COUNT(F761:F772)=4),cubic_spline(F760:F764,H760:H764,B$5),IF(AND(COUNT(H761:H772)=5,COUNT(F761:F772)=5),cubic_spline(F760:F765,H760:H765,B$5),IF(AND(COUNT(H761:H772)=6,COUNT(F761:F772)=6),cubic_spline(F760:F766,H760:H766,B$5),IF(AND(COUNT(H761:H772)=7,COUNT(F761:F772)=7),cubic_spline(F760:F767,H760:H767,B$5),IF(AND(COUNT(H761:H772)=8,COUNT(F761:F772)=8),cubic_spline(F760:F768,H760:H768,B$5),IF(AND(COUNT(H761:H772)=9,COUNT(F761:F772)=9),cubic_spline(F760:F769,H760:H769,B$5),IF(AND(COUNT(H761:H772)=10,COUNT(F761:F772)=10),cubic_spline(F760:F770,H760:H770,B$5),IF(AND(COUNT(H761:H772)=11,COUNT(F761:F772)=11),cubic_spline(F760:F771,H760:H771,B$5),IF(AND(COUNT(H761:H772)=12,COUNT(F761:F772)=12),cubic_spline(F760:F772,H760:H772,B$5),""))))))))))))</f>
        <v/>
      </c>
      <c r="K762" s="52" t="str">
        <f>IF(N(B$5)=0,"",IF(AND(COUNT(A761:A772)=2,COUNT(F761:F772)=2),cubic_spline(F760:F762,A760:A762,B$5),IF(AND(COUNT(A761:A772)=3,COUNT(F761:F772)=3),cubic_spline(F760:F763,A760:A763,B$5),IF(AND(COUNT(A761:A772)=4,COUNT(F761:F772)=4),cubic_spline(F760:F764,A760:A764,B$5),IF(AND(COUNT(A761:A772)=5,COUNT(F761:F772)=5),cubic_spline(F760:F765,A760:A765,B$5),IF(AND(COUNT(A761:A772)=6,COUNT(F761:F772)=6),cubic_spline(F760:F766,A760:A766,B$5),IF(AND(COUNT(A761:A772)=7,COUNT(F761:F772)=7),cubic_spline(F760:F767,A760:A767,B$5),IF(AND(COUNT(A761:A772)=8,COUNT(F761:F772)=8),cubic_spline(F760:F768,A760:A768,B$5),IF(AND(COUNT(A761:A772)=9,COUNT(F761:F772)=9),cubic_spline(F760:F769,A760:A769,B$5),IF(AND(COUNT(A761:A772)=10,COUNT(F761:F772)=10),cubic_spline(F760:F770,A760:A770,B$5),IF(AND(COUNT(A761:A772)=11,COUNT(F761:F772)=11),cubic_spline(F760:F771,A760:A771,B$5),IF(AND(COUNT(A761:A772)=12,COUNT(F761:F772)=12),cubic_spline(F760:F772,A760:A772,B$5),""))))))))))))</f>
        <v/>
      </c>
      <c r="L762" s="27" t="str">
        <f>IF(I762="","",B$4&amp;"-"&amp;B$5)</f>
        <v/>
      </c>
      <c r="M762" s="52" t="str">
        <f>IF(N(J762)=0,"",J762-J761)</f>
        <v/>
      </c>
    </row>
    <row r="763" spans="1:13" x14ac:dyDescent="0.35">
      <c r="A763" s="48"/>
      <c r="B763" s="48"/>
      <c r="C763" s="49"/>
      <c r="D763" s="50"/>
      <c r="E763" s="51" t="str">
        <f>IF(N(C763)=0,"",C763/PI()/($D$1/2)^2/$D$2*10000)</f>
        <v/>
      </c>
      <c r="F763" s="68" t="str">
        <f t="shared" si="286"/>
        <v/>
      </c>
      <c r="G763" s="69" t="str">
        <f t="shared" si="288"/>
        <v/>
      </c>
      <c r="H763" s="70" t="str">
        <f t="shared" si="287"/>
        <v/>
      </c>
      <c r="I763" s="27" t="str">
        <f>IF(N(J763)=0,"",0&amp;"-"&amp;B$6)</f>
        <v/>
      </c>
      <c r="J763" s="52" t="str">
        <f>IF(N(B$6)=0,"",IF(AND(COUNT(H761:H772)=2,COUNT(F761:F772)=2),cubic_spline(F760:F762,H760:H762,B$6),IF(AND(COUNT(H761:H772)=3,COUNT(F761:F772)=3),cubic_spline(F760:F763,H760:H763,B$6),IF(AND(COUNT(H761:H772)=4,COUNT(F761:F772)=4),cubic_spline(F760:F764,H760:H764,B$6),IF(AND(COUNT(H761:H772)=5,COUNT(F761:F772)=5),cubic_spline(F760:F765,H760:H765,B$6),IF(AND(COUNT(H761:H772)=6,COUNT(F761:F772)=6),cubic_spline(F760:F766,H760:H766,B$6),IF(AND(COUNT(H761:H772)=7,COUNT(F761:F772)=7),cubic_spline(F760:F767,H760:H767,B$6),IF(AND(COUNT(H761:H772)=8,COUNT(F761:F772)=8),cubic_spline(F760:F768,H760:H768,B$6),IF(AND(COUNT(H761:H772)=9,COUNT(F761:F772)=9),cubic_spline(F760:F769,H760:H769,B$6),IF(AND(COUNT(H761:H772)=10,COUNT(F761:F772)=10),cubic_spline(F760:F770,H760:H770,B$6),IF(AND(COUNT(H761:H772)=11,COUNT(F761:F772)=11),cubic_spline(F760:F771,H760:H771,B$6),IF(AND(COUNT(H761:H772)=12,COUNT(F761:F772)=12),cubic_spline(F760:F772,H760:H772,B$6),""))))))))))))</f>
        <v/>
      </c>
      <c r="K763" s="52" t="str">
        <f>IF(N(B$6)=0,"",IF(AND(COUNT(A761:A772)=2,COUNT(F761:F772)=2),cubic_spline(F760:F762,A760:A762,B$6),IF(AND(COUNT(A761:A772)=3,COUNT(F761:F772)=3),cubic_spline(F760:F763,A760:A763,B$6),IF(AND(COUNT(A761:A772)=4,COUNT(F761:F772)=4),cubic_spline(F760:F764,A760:A764,B$6),IF(AND(COUNT(A761:A772)=5,COUNT(F761:F772)=5),cubic_spline(F760:F765,A760:A765,B$6),IF(AND(COUNT(A761:A772)=6,COUNT(F761:F772)=6),cubic_spline(F760:F766,A760:A766,B$6),IF(AND(COUNT(A761:A772)=7,COUNT(F761:F772)=7),cubic_spline(F760:F767,A760:A767,B$6),IF(AND(COUNT(A761:A772)=8,COUNT(F761:F772)=8),cubic_spline(F760:F768,A760:A768,B$6),IF(AND(COUNT(A761:A772)=9,COUNT(F761:F772)=9),cubic_spline(F760:F769,A760:A769,B$6),IF(AND(COUNT(A761:A772)=10,COUNT(F761:F772)=10),cubic_spline(F760:F770,A760:A770,B$6),IF(AND(COUNT(A761:A772)=11,COUNT(F761:F772)=11),cubic_spline(F760:F771,A760:A771,B$6),IF(AND(COUNT(A761:A772)=12,COUNT(F761:F772)=12),cubic_spline(F760:F772,A760:A772,B$6),""))))))))))))</f>
        <v/>
      </c>
      <c r="L763" s="27" t="str">
        <f>IF(I763="","",B$5&amp;"-"&amp;B$6)</f>
        <v/>
      </c>
      <c r="M763" s="52" t="str">
        <f>IF(N(J763)=0,"",J763-J762)</f>
        <v/>
      </c>
    </row>
    <row r="764" spans="1:13" x14ac:dyDescent="0.35">
      <c r="A764" s="48"/>
      <c r="B764" s="48"/>
      <c r="C764" s="49"/>
      <c r="D764" s="50"/>
      <c r="E764" s="51" t="str">
        <f>IF(N(C764)=0,"",C764/PI()/($D$1/2)^2/$D$2*10000)</f>
        <v/>
      </c>
      <c r="F764" s="68" t="str">
        <f t="shared" si="286"/>
        <v/>
      </c>
      <c r="G764" s="69" t="str">
        <f t="shared" si="288"/>
        <v/>
      </c>
      <c r="H764" s="70" t="str">
        <f t="shared" si="287"/>
        <v/>
      </c>
      <c r="I764" s="27" t="str">
        <f>IF(N(J764)=0,"",0&amp;"-"&amp;B$7)</f>
        <v/>
      </c>
      <c r="J764" s="52" t="str">
        <f>IF(N(B$7)=0,"",IF(AND(COUNT(H761:H772)=2,COUNT(F761:F772)=2),cubic_spline(F760:F762,H760:H762,B$7),IF(AND(COUNT(H761:H772)=3,COUNT(F761:F772)=3),cubic_spline(F760:F763,H760:H763,B$7),IF(AND(COUNT(H761:H772)=4,COUNT(F761:F772)=4),cubic_spline(F760:F764,H760:H764,B$7),IF(AND(COUNT(H761:H772)=5,COUNT(F761:F772)=5),cubic_spline(F760:F765,H760:H765,B$7),IF(AND(COUNT(H761:H772)=6,COUNT(F761:F772)=6),cubic_spline(F760:F766,H760:H766,B$7),IF(AND(COUNT(H761:H772)=7,COUNT(F761:F772)=7),cubic_spline(F760:F767,H760:H767,B$7),IF(AND(COUNT(H761:H772)=8,COUNT(F761:F772)=8),cubic_spline(F760:F768,H760:H768,B$7),IF(AND(COUNT(H761:H772)=9,COUNT(F761:F772)=9),cubic_spline(F760:F769,H760:H769,B$7),IF(AND(COUNT(H761:H772)=10,COUNT(F761:F772)=10),cubic_spline(F760:F770,H760:H770,B$7),IF(AND(COUNT(H761:H772)=11,COUNT(F761:F772)=11),cubic_spline(F760:F771,H760:H771,B$7),IF(AND(COUNT(H761:H772)=12,COUNT(F761:F772)=12),cubic_spline(F760:F772,H760:H772,B$7),""))))))))))))</f>
        <v/>
      </c>
      <c r="K764" s="52" t="str">
        <f>IF(N(B$7)=0,"",IF(AND(COUNT(A761:A772)=2,COUNT(F761:F772)=2),cubic_spline(F760:F762,A760:A762,B$7),IF(AND(COUNT(A761:A772)=3,COUNT(F761:F772)=3),cubic_spline(F760:F763,A760:A763,B$7),IF(AND(COUNT(A761:A772)=4,COUNT(F761:F772)=4),cubic_spline(F760:F764,A760:A764,B$7),IF(AND(COUNT(A761:A772)=5,COUNT(F761:F772)=5),cubic_spline(F760:F765,A760:A765,B$7),IF(AND(COUNT(A761:A772)=6,COUNT(F761:F772)=6),cubic_spline(F760:F766,A760:A766,B$7),IF(AND(COUNT(A761:A772)=7,COUNT(F761:F772)=7),cubic_spline(F760:F767,A760:A767,B$7),IF(AND(COUNT(A761:A772)=8,COUNT(F761:F772)=8),cubic_spline(F760:F768,A760:A768,B$7),IF(AND(COUNT(A761:A772)=9,COUNT(F761:F772)=9),cubic_spline(F760:F769,A760:A769,B$7),IF(AND(COUNT(A761:A772)=10,COUNT(F761:F772)=10),cubic_spline(F760:F770,A760:A770,B$7),IF(AND(COUNT(A761:A772)=11,COUNT(F761:F772)=11),cubic_spline(F760:F771,A760:A771,B$7),IF(AND(COUNT(A761:A772)=12,COUNT(F761:F772)=12),cubic_spline(F760:F772,A760:A772,B$7),""))))))))))))</f>
        <v/>
      </c>
      <c r="L764" s="27" t="str">
        <f>IF(I764="","",B$6&amp;"-"&amp;B$7)</f>
        <v/>
      </c>
      <c r="M764" s="52" t="str">
        <f>IF(N(J764)=0,"",J764-J763)</f>
        <v/>
      </c>
    </row>
    <row r="765" spans="1:13" x14ac:dyDescent="0.35">
      <c r="A765" s="48"/>
      <c r="B765" s="48"/>
      <c r="C765" s="49"/>
      <c r="D765" s="50"/>
      <c r="E765" s="51" t="str">
        <f t="shared" ref="E765:E772" si="289">IF(N(C765)=0,"",C765/PI()/($D$1/2)^2/$D$2*10000)</f>
        <v/>
      </c>
      <c r="F765" s="71" t="str">
        <f t="shared" si="286"/>
        <v/>
      </c>
      <c r="G765" s="69" t="str">
        <f t="shared" si="288"/>
        <v/>
      </c>
      <c r="H765" s="70" t="str">
        <f t="shared" si="287"/>
        <v/>
      </c>
      <c r="I765" s="27" t="str">
        <f>IF(N(J765)=0,"",0&amp;"-"&amp;B$8)</f>
        <v/>
      </c>
      <c r="J765" s="52" t="str">
        <f>IF(N(B$8)=0,"",IF(AND(COUNT(H761:H772)=2,COUNT(F761:F772)=2),cubic_spline(F760:F762,H760:H762,B$8),IF(AND(COUNT(H761:H772)=3,COUNT(F761:F772)=3),cubic_spline(F760:F763,H760:H763,B$8),IF(AND(COUNT(H761:H772)=4,COUNT(F761:F772)=4),cubic_spline(F760:F764,H760:H764,B$8),IF(AND(COUNT(H761:H772)=5,COUNT(F761:F772)=5),cubic_spline(F760:F765,H760:H765,B$8),IF(AND(COUNT(H761:H772)=6,COUNT(F761:F772)=6),cubic_spline(F760:F766,H760:H766,B$8),IF(AND(COUNT(H761:H772)=7,COUNT(F761:F772)=7),cubic_spline(F760:F767,H760:H767,B$8),IF(AND(COUNT(H761:H772)=8,COUNT(F761:F772)=8),cubic_spline(F760:F768,H760:H768,B$8),IF(AND(COUNT(H761:H772)=9,COUNT(F761:F772)=9),cubic_spline(F760:F769,H760:H769,B$8),IF(AND(COUNT(H761:H772)=10,COUNT(F761:F772)=10),cubic_spline(F760:F770,H760:H770,B$8),IF(AND(COUNT(H761:H772)=11,COUNT(F761:F772)=11),cubic_spline(F760:F771,H760:H771,B$8),IF(AND(COUNT(H761:H772)=12,COUNT(F761:F772)=12),cubic_spline(F760:F772,H760:H772,B$8),""))))))))))))</f>
        <v/>
      </c>
      <c r="K765" s="52" t="str">
        <f>IF(N(B$8)=0,"",IF(AND(COUNT(A761:A772)=2,COUNT(F761:F772)=2),cubic_spline(F760:F762,A760:A762,B$8),IF(AND(COUNT(A761:A772)=3,COUNT(F761:F772)=3),cubic_spline(F760:F763,A760:A763,B$8),IF(AND(COUNT(A761:A772)=4,COUNT(F761:F772)=4),cubic_spline(F760:F764,A760:A764,B$8),IF(AND(COUNT(A761:A772)=5,COUNT(F761:F772)=5),cubic_spline(F760:F765,A760:A765,B$8),IF(AND(COUNT(A761:A772)=6,COUNT(F761:F772)=6),cubic_spline(F760:F766,A760:A766,B$8),IF(AND(COUNT(A761:A772)=7,COUNT(F761:F772)=7),cubic_spline(F760:F767,A760:A767,B$8),IF(AND(COUNT(A761:A772)=8,COUNT(F761:F772)=8),cubic_spline(F760:F768,A760:A768,B$8),IF(AND(COUNT(A761:A772)=9,COUNT(F761:F772)=9),cubic_spline(F760:F769,A760:A769,B$8),IF(AND(COUNT(A761:A772)=10,COUNT(F761:F772)=10),cubic_spline(F760:F770,A760:A770,B$8),IF(AND(COUNT(A761:A772)=11,COUNT(F761:F772)=11),cubic_spline(F760:F771,A760:A771,B$8),IF(AND(COUNT(A761:A772)=12,COUNT(F761:F772)=12),cubic_spline(F760:F772,A760:A772,B$8),""))))))))))))</f>
        <v/>
      </c>
      <c r="L765" s="27" t="str">
        <f>IF(I765="","",B$7&amp;"-"&amp;B$8)</f>
        <v/>
      </c>
      <c r="M765" s="52" t="str">
        <f>IF(N(J765)=0,"",J765-J764)</f>
        <v/>
      </c>
    </row>
    <row r="766" spans="1:13" x14ac:dyDescent="0.35">
      <c r="A766" s="48"/>
      <c r="B766" s="48"/>
      <c r="C766" s="49"/>
      <c r="D766" s="50"/>
      <c r="E766" s="51" t="str">
        <f t="shared" si="289"/>
        <v/>
      </c>
      <c r="F766" s="71" t="str">
        <f t="shared" si="286"/>
        <v/>
      </c>
      <c r="G766" s="69" t="str">
        <f t="shared" si="288"/>
        <v/>
      </c>
      <c r="H766" s="70" t="str">
        <f t="shared" si="287"/>
        <v/>
      </c>
      <c r="I766" s="27" t="str">
        <f>IF(N(J766)=0,"",0&amp;"-"&amp;B$9)</f>
        <v/>
      </c>
      <c r="J766" s="52" t="str">
        <f>IF(N(B$9)=0,"",IF(AND(COUNT(H761:H772)=2,COUNT(F761:F772)=2),cubic_spline(F760:F762,H760:H762,B$9),IF(AND(COUNT(H761:H772)=3,COUNT(F761:F772)=3),cubic_spline(F760:F763,H760:H763,B$9),IF(AND(COUNT(H761:H772)=4,COUNT(F761:F772)=4),cubic_spline(F760:F764,H760:H764,B$9),IF(AND(COUNT(H761:H772)=5,COUNT(F761:F772)=5),cubic_spline(F760:F765,H760:H765,B$9),IF(AND(COUNT(H761:H772)=6,COUNT(F761:F772)=6),cubic_spline(F760:F766,H760:H766,B$9),IF(AND(COUNT(H761:H772)=7,COUNT(F761:F772)=7),cubic_spline(F760:F767,H760:H767,B$9),IF(AND(COUNT(H761:H772)=8,COUNT(F761:F772)=8),cubic_spline(F760:F768,H760:H768,B$9),IF(AND(COUNT(H761:H772)=9,COUNT(F761:F772)=9),cubic_spline(F760:F769,H760:H769,B$9),IF(AND(COUNT(H761:H772)=10,COUNT(F761:F772)=10),cubic_spline(F760:F770,H760:H770,B$9),IF(AND(COUNT(H761:H772)=11,COUNT(F761:F772)=11),cubic_spline(F760:F771,H760:H771,B$9),IF(AND(COUNT(H761:H772)=12,COUNT(F761:F772)=12),cubic_spline(F760:F772,H760:H772,B$9),""))))))))))))</f>
        <v/>
      </c>
      <c r="K766" s="52" t="str">
        <f>IF(N(B$9)=0,"",IF(AND(COUNT(A761:A772)=2,COUNT(F761:F772)=2),cubic_spline(F760:F762,A760:A762,B$9),IF(AND(COUNT(A761:A772)=3,COUNT(F761:F772)=3),cubic_spline(F760:F763,A760:A763,B$9),IF(AND(COUNT(A761:A772)=4,COUNT(F761:F772)=4),cubic_spline(F760:F764,A760:A764,B$9),IF(AND(COUNT(A761:A772)=5,COUNT(F761:F772)=5),cubic_spline(F760:F765,A760:A765,B$9),IF(AND(COUNT(A761:A772)=6,COUNT(F761:F772)=6),cubic_spline(F760:F766,A760:A766,B$9),IF(AND(COUNT(A761:A772)=7,COUNT(F761:F772)=7),cubic_spline(F760:F767,A760:A767,B$9),IF(AND(COUNT(A761:A772)=8,COUNT(F761:F772)=8),cubic_spline(F760:F768,A760:A768,B$9),IF(AND(COUNT(A761:A772)=9,COUNT(F761:F772)=9),cubic_spline(F760:F769,A760:A769,B$9),IF(AND(COUNT(A761:A772)=10,COUNT(F761:F772)=10),cubic_spline(F760:F770,A760:A770,B$9),IF(AND(COUNT(A761:A772)=11,COUNT(F761:F772)=11),cubic_spline(F760:F771,A760:A771,B$9),IF(AND(COUNT(A761:A772)=12,COUNT(F761:F772)=12),cubic_spline(F760:F772,A760:A772,B$9),""))))))))))))</f>
        <v/>
      </c>
      <c r="L766" s="27" t="str">
        <f>IF(I766="","",B$8&amp;"-"&amp;B$9)</f>
        <v/>
      </c>
      <c r="M766" s="52" t="str">
        <f t="shared" ref="M766:M772" si="290">IF(N(J766)=0,"",J766-J765)</f>
        <v/>
      </c>
    </row>
    <row r="767" spans="1:13" x14ac:dyDescent="0.35">
      <c r="A767" s="48"/>
      <c r="B767" s="48"/>
      <c r="C767" s="49"/>
      <c r="D767" s="50"/>
      <c r="E767" s="51" t="str">
        <f t="shared" si="289"/>
        <v/>
      </c>
      <c r="F767" s="71" t="str">
        <f t="shared" si="286"/>
        <v/>
      </c>
      <c r="G767" s="69" t="str">
        <f t="shared" si="288"/>
        <v/>
      </c>
      <c r="H767" s="70" t="str">
        <f t="shared" si="287"/>
        <v/>
      </c>
      <c r="I767" s="27" t="str">
        <f>IF(N(J767)=0,"",0&amp;"-"&amp;B$10)</f>
        <v/>
      </c>
      <c r="J767" s="52" t="str">
        <f>IF(N(B$10)=0,"",IF(AND(COUNT(H761:H772)=2,COUNT(F761:F772)=2),cubic_spline(F760:F762,H760:H762,B$10),IF(AND(COUNT(H761:H772)=3,COUNT(F761:F772)=3),cubic_spline(F760:F763,H760:H763,B$10),IF(AND(COUNT(H761:H772)=4,COUNT(F761:F772)=4),cubic_spline(F760:F764,H760:H764,B$10),IF(AND(COUNT(H761:H772)=5,COUNT(F761:F772)=5),cubic_spline(F760:F765,H760:H765,B$10),IF(AND(COUNT(H761:H772)=6,COUNT(F761:F772)=6),cubic_spline(F760:F766,H760:H766,B$10),IF(AND(COUNT(H761:H772)=7,COUNT(F761:F772)=7),cubic_spline(F760:F767,H760:H767,B$10),IF(AND(COUNT(H761:H772)=8,COUNT(F761:F772)=8),cubic_spline(F760:F768,H760:H768,B$10),IF(AND(COUNT(H761:H772)=9,COUNT(F761:F772)=9),cubic_spline(F760:F769,H760:H769,B$10),IF(AND(COUNT(H761:H772)=10,COUNT(F761:F772)=10),cubic_spline(F760:F770,H760:H770,B$10),IF(AND(COUNT(H761:H772)=11,COUNT(F761:F772)=11),cubic_spline(F760:F771,H760:H771,B$10),IF(AND(COUNT(H761:H772)=12,COUNT(F761:F772)=12),cubic_spline(F760:F772,H760:H772,B$10),""))))))))))))</f>
        <v/>
      </c>
      <c r="K767" s="52" t="str">
        <f>IF(N(B$10)=0,"",IF(AND(COUNT(A761:A772)=2,COUNT(F761:F772)=2),cubic_spline(F760:F762,A760:A762,B$10),IF(AND(COUNT(A761:A772)=3,COUNT(F761:F772)=3),cubic_spline(F760:F763,A760:A763,B$10),IF(AND(COUNT(A761:A772)=4,COUNT(F761:F772)=4),cubic_spline(F760:F764,A760:A764,B$10),IF(AND(COUNT(A761:A772)=5,COUNT(F761:F772)=5),cubic_spline(F760:F765,A760:A765,B$10),IF(AND(COUNT(A761:A772)=6,COUNT(F761:F772)=6),cubic_spline(F760:F766,A760:A766,B$10),IF(AND(COUNT(A761:A772)=7,COUNT(F761:F772)=7),cubic_spline(F760:F767,A760:A767,B$10),IF(AND(COUNT(A761:A772)=8,COUNT(F761:F772)=8),cubic_spline(F760:F768,A760:A768,B$10),IF(AND(COUNT(A761:A772)=9,COUNT(F761:F772)=9),cubic_spline(F760:F769,A760:A769,B$10),IF(AND(COUNT(A761:A772)=10,COUNT(F761:F772)=10),cubic_spline(F760:F770,A760:A770,B$10),IF(AND(COUNT(A761:A772)=11,COUNT(F761:F772)=11),cubic_spline(F760:F771,A760:A771,B$10),IF(AND(COUNT(A761:A772)=12,COUNT(F761:F772)=12),cubic_spline(F760:F772,A760:A772,B$10),""))))))))))))</f>
        <v/>
      </c>
      <c r="L767" s="27" t="str">
        <f>IF(I767="","",B$9&amp;"-"&amp;B$10)</f>
        <v/>
      </c>
      <c r="M767" s="52" t="str">
        <f t="shared" si="290"/>
        <v/>
      </c>
    </row>
    <row r="768" spans="1:13" x14ac:dyDescent="0.35">
      <c r="A768" s="48"/>
      <c r="B768" s="48"/>
      <c r="C768" s="49"/>
      <c r="D768" s="50"/>
      <c r="E768" s="51" t="str">
        <f t="shared" si="289"/>
        <v/>
      </c>
      <c r="F768" s="71" t="str">
        <f t="shared" si="286"/>
        <v/>
      </c>
      <c r="G768" s="69" t="str">
        <f t="shared" si="288"/>
        <v/>
      </c>
      <c r="H768" s="70" t="str">
        <f t="shared" si="287"/>
        <v/>
      </c>
      <c r="I768" s="27" t="str">
        <f>IF(N(J768)=0,"",0&amp;"-"&amp;B$11)</f>
        <v/>
      </c>
      <c r="J768" s="52" t="str">
        <f>IF(N(B$11)=0,"",IF(AND(COUNT(H761:H772)=2,COUNT(F761:F772)=2),cubic_spline(F760:F762,H760:H762,B$11),IF(AND(COUNT(H761:H772)=3,COUNT(F761:F772)=3),cubic_spline(F760:F763,H760:H763,B$11),IF(AND(COUNT(H761:H772)=4,COUNT(F761:F772)=4),cubic_spline(F760:F764,H760:H764,B$11),IF(AND(COUNT(H761:H772)=5,COUNT(F761:F772)=5),cubic_spline(F760:F765,H760:H765,B$11),IF(AND(COUNT(H761:H772)=6,COUNT(F761:F772)=6),cubic_spline(F760:F766,H760:H766,B$11),IF(AND(COUNT(H761:H772)=7,COUNT(F761:F772)=7),cubic_spline(F760:F767,H760:H767,B$11),IF(AND(COUNT(H761:H772)=8,COUNT(F761:F772)=8),cubic_spline(F760:F768,H760:H768,B$11),IF(AND(COUNT(H761:H772)=9,COUNT(F761:F772)=9),cubic_spline(F760:F769,H760:H769,B$11),IF(AND(COUNT(H761:H772)=10,COUNT(F761:F772)=10),cubic_spline(F760:F770,H760:H770,B$11),IF(AND(COUNT(H761:H772)=11,COUNT(F761:F772)=11),cubic_spline(F760:F771,H760:H771,B$11),IF(AND(COUNT(H761:H772)=12,COUNT(F761:F772)=12),cubic_spline(F760:F772,H760:H772,B$11),""))))))))))))</f>
        <v/>
      </c>
      <c r="K768" s="52" t="str">
        <f>IF(N(B$11)=0,"",IF(AND(COUNT(A761:A772)=2,COUNT(F761:F772)=2),cubic_spline(F760:F762,A760:A762,B$11),IF(AND(COUNT(A761:A772)=3,COUNT(F761:F772)=3),cubic_spline(F760:F763,A760:A763,B$11),IF(AND(COUNT(A761:A772)=4,COUNT(F761:F772)=4),cubic_spline(F760:F764,A760:A764,B$11),IF(AND(COUNT(A761:A772)=5,COUNT(F761:F772)=5),cubic_spline(F760:F765,A760:A765,B$11),IF(AND(COUNT(A761:A772)=6,COUNT(F761:F772)=6),cubic_spline(F760:F766,A760:A766,B$11),IF(AND(COUNT(A761:A772)=7,COUNT(F761:F772)=7),cubic_spline(F760:F767,A760:A767,B$11),IF(AND(COUNT(A761:A772)=8,COUNT(F761:F772)=8),cubic_spline(F760:F768,A760:A768,B$11),IF(AND(COUNT(A761:A772)=9,COUNT(F761:F772)=9),cubic_spline(F760:F769,A760:A769,B$11),IF(AND(COUNT(A761:A772)=10,COUNT(F761:F772)=10),cubic_spline(F760:F770,A760:A770,B$11),IF(AND(COUNT(A761:A772)=11,COUNT(F761:F772)=11),cubic_spline(F760:F771,A760:A771,B$11),IF(AND(COUNT(A761:A772)=12,COUNT(F761:F772)=12),cubic_spline(F760:F772,A760:A772,B$11),""))))))))))))</f>
        <v/>
      </c>
      <c r="L768" s="27" t="str">
        <f>IF(I768="","",B$10&amp;"-"&amp;B$11)</f>
        <v/>
      </c>
      <c r="M768" s="52" t="str">
        <f t="shared" si="290"/>
        <v/>
      </c>
    </row>
    <row r="769" spans="1:13" x14ac:dyDescent="0.35">
      <c r="A769" s="48"/>
      <c r="B769" s="48"/>
      <c r="C769" s="49"/>
      <c r="D769" s="50"/>
      <c r="E769" s="51" t="str">
        <f t="shared" si="289"/>
        <v/>
      </c>
      <c r="F769" s="71" t="str">
        <f t="shared" si="286"/>
        <v/>
      </c>
      <c r="G769" s="69" t="str">
        <f t="shared" si="288"/>
        <v/>
      </c>
      <c r="H769" s="70" t="str">
        <f t="shared" si="287"/>
        <v/>
      </c>
      <c r="I769" s="27" t="str">
        <f>IF(N(J769)=0,"",0&amp;"-"&amp;B$12)</f>
        <v/>
      </c>
      <c r="J769" s="52" t="str">
        <f>IF(N(B$12)=0,"",IF(AND(COUNT(H761:H772)=2,COUNT(F761:F772)=2),cubic_spline(F760:F762,H760:H762,B$12),IF(AND(COUNT(H761:H772)=3,COUNT(F761:F772)=3),cubic_spline(F760:F763,H760:H763,B$12),IF(AND(COUNT(H761:H772)=4,COUNT(F761:F772)=4),cubic_spline(F760:F764,H760:H764,B$12),IF(AND(COUNT(H761:H772)=5,COUNT(F761:F772)=5),cubic_spline(F760:F765,H760:H765,B$12),IF(AND(COUNT(H761:H772)=6,COUNT(F761:F772)=6),cubic_spline(F760:F766,H760:H766,B$12),IF(AND(COUNT(H761:H772)=7,COUNT(F761:F772)=7),cubic_spline(F760:F767,H760:H767,B$12),IF(AND(COUNT(H761:H772)=8,COUNT(F761:F772)=8),cubic_spline(F760:F768,H760:H768,B$12),IF(AND(COUNT(H761:H772)=9,COUNT(F761:F772)=9),cubic_spline(F760:F769,H760:H769,B$12),IF(AND(COUNT(H761:H772)=10,COUNT(F761:F772)=10),cubic_spline(F760:F770,H760:H770,B$12),IF(AND(COUNT(H761:H772)=11,COUNT(F761:F772)=11),cubic_spline(F760:F771,H760:H771,B$12),IF(AND(COUNT(H761:H772)=12,COUNT(F761:F772)=12),cubic_spline(F760:F772,H760:H772,B$12),""))))))))))))</f>
        <v/>
      </c>
      <c r="K769" s="52" t="str">
        <f>IF(N(B$12)=0,"",IF(AND(COUNT(A761:A772)=2,COUNT(F761:F772)=2),cubic_spline(F760:F762,A760:A762,B$12),IF(AND(COUNT(A761:A772)=3,COUNT(F761:F772)=3),cubic_spline(F760:F763,A760:A763,B$12),IF(AND(COUNT(A761:A772)=4,COUNT(F761:F772)=4),cubic_spline(F760:F764,A760:A764,B$12),IF(AND(COUNT(A761:A772)=5,COUNT(F761:F772)=5),cubic_spline(F760:F765,A760:A765,B$12),IF(AND(COUNT(A761:A772)=6,COUNT(F761:F772)=6),cubic_spline(F760:F766,A760:A766,B$12),IF(AND(COUNT(A761:A772)=7,COUNT(F761:F772)=7),cubic_spline(F760:F767,A760:A767,B$12),IF(AND(COUNT(A761:A772)=8,COUNT(F761:F772)=8),cubic_spline(F760:F768,A760:A768,B$12),IF(AND(COUNT(A761:A772)=9,COUNT(F761:F772)=9),cubic_spline(F760:F769,A760:A769,B$12),IF(AND(COUNT(A761:A772)=10,COUNT(F761:F772)=10),cubic_spline(F760:F770,A760:A770,B$12),IF(AND(COUNT(A761:A772)=11,COUNT(F761:F772)=11),cubic_spline(F760:F771,A760:A771,B$12),IF(AND(COUNT(A761:A772)=12,COUNT(F761:F772)=12),cubic_spline(F760:F772,A760:A772,B$12),""))))))))))))</f>
        <v/>
      </c>
      <c r="L769" s="27" t="str">
        <f>IF(I769="","",B$11&amp;"-"&amp;B$12)</f>
        <v/>
      </c>
      <c r="M769" s="52" t="str">
        <f t="shared" si="290"/>
        <v/>
      </c>
    </row>
    <row r="770" spans="1:13" x14ac:dyDescent="0.35">
      <c r="A770" s="48"/>
      <c r="B770" s="48"/>
      <c r="C770" s="49"/>
      <c r="D770" s="50"/>
      <c r="E770" s="51" t="str">
        <f t="shared" si="289"/>
        <v/>
      </c>
      <c r="F770" s="71" t="str">
        <f t="shared" si="286"/>
        <v/>
      </c>
      <c r="G770" s="69" t="str">
        <f t="shared" si="288"/>
        <v/>
      </c>
      <c r="H770" s="70" t="str">
        <f t="shared" si="287"/>
        <v/>
      </c>
      <c r="I770" s="27" t="str">
        <f>IF(N(J770)=0,"",0&amp;"-"&amp;B$13)</f>
        <v/>
      </c>
      <c r="J770" s="52" t="str">
        <f>IF(N(B$13)=0,"",IF(AND(COUNT(H761:H772)=2,COUNT(F761:F772)=2),cubic_spline(F760:F762,H760:H762,B$13),IF(AND(COUNT(H761:H772)=3,COUNT(F761:F772)=3),cubic_spline(F760:F763,H760:H763,B$13),IF(AND(COUNT(H761:H772)=4,COUNT(F761:F772)=4),cubic_spline(F760:F764,H760:H764,B$13),IF(AND(COUNT(H761:H772)=5,COUNT(F761:F772)=5),cubic_spline(F760:F765,H760:H765,B$13),IF(AND(COUNT(H761:H772)=6,COUNT(F761:F772)=6),cubic_spline(F760:F766,H760:H766,B$13),IF(AND(COUNT(H761:H772)=7,COUNT(F761:F772)=7),cubic_spline(F760:F767,H760:H767,B$13),IF(AND(COUNT(H761:H772)=8,COUNT(F761:F772)=8),cubic_spline(F760:F768,H760:H768,B$13),IF(AND(COUNT(H761:H772)=9,COUNT(F761:F772)=9),cubic_spline(F760:F769,H760:H769,B$13),IF(AND(COUNT(H761:H772)=10,COUNT(F761:F772)=10),cubic_spline(F760:F770,H760:H770,B$13),IF(AND(COUNT(H761:H772)=11,COUNT(F761:F772)=11),cubic_spline(F760:F771,H760:H771,B$13),IF(AND(COUNT(H761:H772)=12,COUNT(F761:F772)=12),cubic_spline(F760:F772,H760:H772,B$13),""))))))))))))</f>
        <v/>
      </c>
      <c r="K770" s="52" t="str">
        <f>IF(N(B$13)=0,"",IF(AND(COUNT(A761:A772)=2,COUNT(F761:F772)=2),cubic_spline(F760:F762,A760:A762,B$13),IF(AND(COUNT(A761:A772)=3,COUNT(F761:F772)=3),cubic_spline(F760:F763,A760:A763,B$13),IF(AND(COUNT(A761:A772)=4,COUNT(F761:F772)=4),cubic_spline(F760:F764,A760:A764,B$13),IF(AND(COUNT(A761:A772)=5,COUNT(F761:F772)=5),cubic_spline(F760:F765,A760:A765,B$13),IF(AND(COUNT(A761:A772)=6,COUNT(F761:F772)=6),cubic_spline(F760:F766,A760:A766,B$13),IF(AND(COUNT(A761:A772)=7,COUNT(F761:F772)=7),cubic_spline(F760:F767,A760:A767,B$13),IF(AND(COUNT(A761:A772)=8,COUNT(F761:F772)=8),cubic_spline(F760:F768,A760:A768,B$13),IF(AND(COUNT(A761:A772)=9,COUNT(F761:F772)=9),cubic_spline(F760:F769,A760:A769,B$13),IF(AND(COUNT(A761:A772)=10,COUNT(F761:F772)=10),cubic_spline(F760:F770,A760:A770,B$13),IF(AND(COUNT(A761:A772)=11,COUNT(F761:F772)=11),cubic_spline(F760:F771,A760:A771,B$13),IF(AND(COUNT(A761:A772)=12,COUNT(F761:F772)=12),cubic_spline(F760:F772,A760:A772,B$13),""))))))))))))</f>
        <v/>
      </c>
      <c r="L770" s="27" t="str">
        <f>IF(I770="","",B$12&amp;"-"&amp;B$13)</f>
        <v/>
      </c>
      <c r="M770" s="52" t="str">
        <f t="shared" si="290"/>
        <v/>
      </c>
    </row>
    <row r="771" spans="1:13" x14ac:dyDescent="0.35">
      <c r="A771" s="48"/>
      <c r="B771" s="48"/>
      <c r="C771" s="49"/>
      <c r="D771" s="50"/>
      <c r="E771" s="51" t="str">
        <f t="shared" si="289"/>
        <v/>
      </c>
      <c r="F771" s="71" t="str">
        <f t="shared" si="286"/>
        <v/>
      </c>
      <c r="G771" s="69" t="str">
        <f t="shared" si="288"/>
        <v/>
      </c>
      <c r="H771" s="70" t="str">
        <f t="shared" si="287"/>
        <v/>
      </c>
      <c r="I771" s="27" t="str">
        <f>IF(N(J771)=0,"",0&amp;"-"&amp;B$14)</f>
        <v/>
      </c>
      <c r="J771" s="52" t="str">
        <f>IF(N(B$14)=0,"",IF(AND(COUNT(H761:H772)=2,COUNT(F761:F772)=2),cubic_spline(F760:F762,H760:H762,B$14),IF(AND(COUNT(H761:H772)=3,COUNT(F761:F772)=3),cubic_spline(F760:F763,H760:H763,B$14),IF(AND(COUNT(H761:H772)=4,COUNT(F761:F772)=4),cubic_spline(F760:F764,H760:H764,B$14),IF(AND(COUNT(H761:H772)=5,COUNT(F761:F772)=5),cubic_spline(F760:F765,H760:H765,B$14),IF(AND(COUNT(H761:H772)=6,COUNT(F761:F772)=6),cubic_spline(F760:F766,H760:H766,B$14),IF(AND(COUNT(H761:H772)=7,COUNT(F761:F772)=7),cubic_spline(F760:F767,H760:H767,B$14),IF(AND(COUNT(H761:H772)=8,COUNT(F761:F772)=8),cubic_spline(F760:F768,H760:H768,B$14),IF(AND(COUNT(H761:H772)=9,COUNT(F761:F772)=9),cubic_spline(F760:F769,H760:H769,B$14),IF(AND(COUNT(H761:H772)=10,COUNT(F761:F772)=10),cubic_spline(F760:F770,H760:H770,B$14),IF(AND(COUNT(H761:H772)=11,COUNT(F761:F772)=11),cubic_spline(F760:F771,H760:H771,B$14),IF(AND(COUNT(H761:H772)=12,COUNT(F761:F772)=12),cubic_spline(F760:F772,H760:H772,B$14),""))))))))))))</f>
        <v/>
      </c>
      <c r="K771" s="52" t="str">
        <f>IF(N(B$14)=0,"",IF(AND(COUNT(A761:A772)=2,COUNT(F761:F772)=2),cubic_spline(F760:F762,A760:A762,B$14),IF(AND(COUNT(A761:A772)=3,COUNT(F761:F772)=3),cubic_spline(F760:F763,A760:A763,B$14),IF(AND(COUNT(A761:A772)=4,COUNT(F761:F772)=4),cubic_spline(F760:F764,A760:A764,B$14),IF(AND(COUNT(A761:A772)=5,COUNT(F761:F772)=5),cubic_spline(F760:F765,A760:A765,B$14),IF(AND(COUNT(A761:A772)=6,COUNT(F761:F772)=6),cubic_spline(F760:F766,A760:A766,B$14),IF(AND(COUNT(A761:A772)=7,COUNT(F761:F772)=7),cubic_spline(F760:F767,A760:A767,B$14),IF(AND(COUNT(A761:A772)=8,COUNT(F761:F772)=8),cubic_spline(F760:F768,A760:A768,B$14),IF(AND(COUNT(A761:A772)=9,COUNT(F761:F772)=9),cubic_spline(F760:F769,A760:A769,B$14),IF(AND(COUNT(A761:A772)=10,COUNT(F761:F772)=10),cubic_spline(F760:F770,A760:A770,B$14),IF(AND(COUNT(A761:A772)=11,COUNT(F761:F772)=11),cubic_spline(F760:F771,A760:A771,B$14),IF(AND(COUNT(A761:A772)=12,COUNT(F761:F772)=12),cubic_spline(F760:F772,A760:A772,B$14),""))))))))))))</f>
        <v/>
      </c>
      <c r="L771" s="27" t="str">
        <f>IF(I771="","",B$13&amp;"-"&amp;B$14)</f>
        <v/>
      </c>
      <c r="M771" s="52" t="str">
        <f t="shared" si="290"/>
        <v/>
      </c>
    </row>
    <row r="772" spans="1:13" x14ac:dyDescent="0.35">
      <c r="A772" s="48"/>
      <c r="B772" s="48"/>
      <c r="C772" s="49"/>
      <c r="D772" s="50"/>
      <c r="E772" s="51" t="str">
        <f t="shared" si="289"/>
        <v/>
      </c>
      <c r="F772" s="71" t="str">
        <f t="shared" si="286"/>
        <v/>
      </c>
      <c r="G772" s="69" t="str">
        <f t="shared" si="288"/>
        <v/>
      </c>
      <c r="H772" s="70" t="str">
        <f t="shared" si="287"/>
        <v/>
      </c>
      <c r="I772" s="27" t="str">
        <f>IF(N(J772)=0,"",0&amp;"-"&amp;B$15)</f>
        <v/>
      </c>
      <c r="J772" s="52" t="str">
        <f>IF(N(B$15)=0,"",IF(AND(COUNT(H761:H772)=2,COUNT(F761:F772)=2),cubic_spline(F760:F762,H760:H762,B$15),IF(AND(COUNT(H761:H772)=3,COUNT(F761:F772)=3),cubic_spline(F760:F763,H760:H763,B$15),IF(AND(COUNT(H761:H772)=4,COUNT(F761:F772)=4),cubic_spline(F760:F764,H760:H764,B$15),IF(AND(COUNT(H761:H772)=5,COUNT(F761:F772)=5),cubic_spline(F760:F765,H760:H765,B$15),IF(AND(COUNT(H761:H772)=6,COUNT(F761:F772)=6),cubic_spline(F760:F766,H760:H766,B$15),IF(AND(COUNT(H761:H772)=7,COUNT(F761:F772)=7),cubic_spline(F760:F767,H760:H767,B$15),IF(AND(COUNT(H761:H772)=8,COUNT(F761:F772)=8),cubic_spline(F760:F768,H760:H768,B$15),IF(AND(COUNT(H761:H772)=9,COUNT(F761:F772)=9),cubic_spline(F760:F769,H760:H769,B$15),IF(AND(COUNT(H761:H772)=10,COUNT(F761:F772)=10),cubic_spline(F760:F770,H760:H770,B$15),IF(AND(COUNT(H761:H772)=11,COUNT(F761:F772)=11),cubic_spline(F760:F771,H760:H771,B$15),IF(AND(COUNT(H761:H772)=12,COUNT(F761:F772)=12),cubic_spline(F760:F772,H760:H772,B$15),""))))))))))))</f>
        <v/>
      </c>
      <c r="K772" s="52" t="str">
        <f>IF(N(B$15)=0,"",IF(AND(COUNT(A761:A772)=2,COUNT(F761:F772)=2),cubic_spline(F760:F762,A760:A762,B$15),IF(AND(COUNT(A761:A772)=3,COUNT(F761:F772)=3),cubic_spline(F760:F763,A760:A763,B$15),IF(AND(COUNT(A761:A772)=4,COUNT(F761:F772)=4),cubic_spline(F760:F764,A760:A764,B$15),IF(AND(COUNT(A761:A772)=5,COUNT(F761:F772)=5),cubic_spline(F760:F765,A760:A765,B$15),IF(AND(COUNT(A761:A772)=6,COUNT(F761:F772)=6),cubic_spline(F760:F766,A760:A766,B$15),IF(AND(COUNT(A761:A772)=7,COUNT(F761:F772)=7),cubic_spline(F760:F767,A760:A767,B$15),IF(AND(COUNT(A761:A772)=8,COUNT(F761:F772)=8),cubic_spline(F760:F768,A760:A768,B$15),IF(AND(COUNT(A761:A772)=9,COUNT(F761:F772)=9),cubic_spline(F760:F769,A760:A769,B$15),IF(AND(COUNT(A761:A772)=10,COUNT(F761:F772)=10),cubic_spline(F760:F770,A760:A770,B$15),IF(AND(COUNT(A761:A772)=11,COUNT(F761:F772)=11),cubic_spline(F760:F771,A760:A771,B$15),IF(AND(COUNT(A761:A772)=12,COUNT(F761:F772)=12),cubic_spline(F760:F772,A760:A772,B$15),""))))))))))))</f>
        <v/>
      </c>
      <c r="L772" s="27" t="str">
        <f>IF(I772="","",B$14&amp;"-"&amp;B$15)</f>
        <v/>
      </c>
      <c r="M772" s="52" t="str">
        <f t="shared" si="290"/>
        <v/>
      </c>
    </row>
    <row r="773" spans="1:13" ht="5.15" customHeight="1" x14ac:dyDescent="0.35">
      <c r="A773" s="47"/>
      <c r="B773" s="47"/>
      <c r="C773" s="47"/>
      <c r="D773" s="53"/>
      <c r="E773" s="54"/>
      <c r="F773" s="55"/>
      <c r="G773" s="72"/>
      <c r="H773" s="73"/>
      <c r="I773" s="47"/>
      <c r="J773" s="57"/>
      <c r="K773" s="57"/>
      <c r="L773" s="55"/>
      <c r="M773" s="57"/>
    </row>
    <row r="774" spans="1:13" x14ac:dyDescent="0.35">
      <c r="A774" s="48"/>
      <c r="B774" s="48"/>
      <c r="C774" s="49"/>
      <c r="D774" s="50"/>
      <c r="E774" s="51" t="str">
        <f>IF(N(C774)=0,"",C774/PI()/($D$1/2)^2/$D$2*10000)</f>
        <v/>
      </c>
      <c r="F774" s="68" t="str">
        <f t="shared" ref="F774:F785" si="291">IF(N(E774)=0,"",(N(E774)+N(F773)))</f>
        <v/>
      </c>
      <c r="G774" s="69" t="str">
        <f>IF(OR(N(D774)=0,N(E774)=0),"",(E774*D774)/1000)</f>
        <v/>
      </c>
      <c r="H774" s="70" t="str">
        <f t="shared" ref="H774:H785" si="292">IF(N(G774)=0,"",(N(G774)+N(H773)))</f>
        <v/>
      </c>
      <c r="I774" s="27" t="str">
        <f>IF(N(J774)=0,"",0&amp;"-"&amp;B$4)</f>
        <v/>
      </c>
      <c r="J774" s="52" t="str">
        <f>IF(N(B$4)=0,"",IF(AND(COUNT(H774:H785)=2,COUNT(F774:F785)=2),cubic_spline(F773:F775,H773:H775,B$4),IF(AND(COUNT(H774:H785)=3,COUNT(F774:F785)=3),cubic_spline(F773:F776,H773:H776,B$4),IF(AND(COUNT(H774:H785)=4,COUNT(F774:F785)=4),cubic_spline(F773:F777,H773:H777,B$4),IF(AND(COUNT(H774:H785)=5,COUNT(F774:F785)=5),cubic_spline(F773:F778,H773:H778,B$4),IF(AND(COUNT(H774:H785)=6,COUNT(F774:F785)=6),cubic_spline(F773:F779,H773:H779,B$4),IF(AND(COUNT(H774:H785)=7,COUNT(F774:F785)=7),cubic_spline(F773:F780,H773:H780,B$4),IF(AND(COUNT(H774:H785)=8,COUNT(F774:F785)=8),cubic_spline(F773:F781,H773:H781,B$4),IF(AND(COUNT(H774:H785)=9,COUNT(F774:F785)=9),cubic_spline(F773:F782,H773:H782,B$4),IF(AND(COUNT(H774:H785)=10,COUNT(F774:F785)=10),cubic_spline(F773:F783,H773:H783,B$4),IF(AND(COUNT(H774:H785)=11,COUNT(F774:F785)=11),cubic_spline(F773:F784,H773:H784,B$4),IF(AND(COUNT(H774:H785)=12,COUNT(F774:F785)=12),cubic_spline(F773:F785,H773:H785,B$4),""))))))))))))</f>
        <v/>
      </c>
      <c r="K774" s="52" t="str">
        <f>IF(N(B$4)=0,"",IF(AND(COUNT(A774:A785)=2,COUNT(F774:F785)=2),cubic_spline(F773:F775,A773:A775,B$4),IF(AND(COUNT(A774:A785)=3,COUNT(F774:F785)=3),cubic_spline(F773:F776,A773:A776,B$4),IF(AND(COUNT(A774:A785)=4,COUNT(F774:F785)=4),cubic_spline(F773:F777,A773:A777,B$4),IF(AND(COUNT(A774:A785)=5,COUNT(F774:F785)=5),cubic_spline(F773:F778,A773:A778,B$4),IF(AND(COUNT(A774:A785)=6,COUNT(F774:F785)=6),cubic_spline(F773:F779,A773:A779,B$4),IF(AND(COUNT(A774:A785)=7,COUNT(F774:F785)=7),cubic_spline(F773:F780,A773:A780,B$4),IF(AND(COUNT(A774:A785)=8,COUNT(F774:F785)=8),cubic_spline(F773:F781,A773:A781,B$4),IF(AND(COUNT(A774:A785)=9,COUNT(F774:F785)=9),cubic_spline(F773:F782,A773:A782,B$4),IF(AND(COUNT(A774:A785)=10,COUNT(F774:F785)=10),cubic_spline(F773:F783,A773:A783,B$4),IF(AND(COUNT(A774:A785)=11,COUNT(F774:F785)=11),cubic_spline(F773:F784,A773:A784,B$4),IF(AND(COUNT(A774:A785)=12,COUNT(F774:F785)=12),cubic_spline(F773:F785,A773:A785,B$4),""))))))))))))</f>
        <v/>
      </c>
      <c r="L774" s="27" t="str">
        <f>IF(I774="","",0&amp;"-"&amp;B$4)</f>
        <v/>
      </c>
      <c r="M774" s="52" t="str">
        <f>IF(N(J774)=0,"",J774-J773)</f>
        <v/>
      </c>
    </row>
    <row r="775" spans="1:13" x14ac:dyDescent="0.35">
      <c r="A775" s="48"/>
      <c r="B775" s="48"/>
      <c r="C775" s="49"/>
      <c r="D775" s="50"/>
      <c r="E775" s="51" t="str">
        <f>IF(N(C775)=0,"",C775/PI()/($D$1/2)^2/$D$2*10000)</f>
        <v/>
      </c>
      <c r="F775" s="68" t="str">
        <f t="shared" si="291"/>
        <v/>
      </c>
      <c r="G775" s="69" t="str">
        <f t="shared" ref="G775:G785" si="293">IF(OR(N(D775)=0,N(E775)=0),"",(E775*D775)/1000)</f>
        <v/>
      </c>
      <c r="H775" s="70" t="str">
        <f t="shared" si="292"/>
        <v/>
      </c>
      <c r="I775" s="27" t="str">
        <f>IF(N(J775)=0,"",0&amp;"-"&amp;B$5)</f>
        <v/>
      </c>
      <c r="J775" s="52" t="str">
        <f>IF(N(B$5)=0,"",IF(AND(COUNT(H774:H785)=2,COUNT(F774:F785)=2),cubic_spline(F773:F775,H773:H775,B$5),IF(AND(COUNT(H774:H785)=3,COUNT(F774:F785)=3),cubic_spline(F773:F776,H773:H776,B$5),IF(AND(COUNT(H774:H785)=4,COUNT(F774:F785)=4),cubic_spline(F773:F777,H773:H777,B$5),IF(AND(COUNT(H774:H785)=5,COUNT(F774:F785)=5),cubic_spline(F773:F778,H773:H778,B$5),IF(AND(COUNT(H774:H785)=6,COUNT(F774:F785)=6),cubic_spline(F773:F779,H773:H779,B$5),IF(AND(COUNT(H774:H785)=7,COUNT(F774:F785)=7),cubic_spline(F773:F780,H773:H780,B$5),IF(AND(COUNT(H774:H785)=8,COUNT(F774:F785)=8),cubic_spline(F773:F781,H773:H781,B$5),IF(AND(COUNT(H774:H785)=9,COUNT(F774:F785)=9),cubic_spline(F773:F782,H773:H782,B$5),IF(AND(COUNT(H774:H785)=10,COUNT(F774:F785)=10),cubic_spline(F773:F783,H773:H783,B$5),IF(AND(COUNT(H774:H785)=11,COUNT(F774:F785)=11),cubic_spline(F773:F784,H773:H784,B$5),IF(AND(COUNT(H774:H785)=12,COUNT(F774:F785)=12),cubic_spline(F773:F785,H773:H785,B$5),""))))))))))))</f>
        <v/>
      </c>
      <c r="K775" s="52" t="str">
        <f>IF(N(B$5)=0,"",IF(AND(COUNT(A774:A785)=2,COUNT(F774:F785)=2),cubic_spline(F773:F775,A773:A775,B$5),IF(AND(COUNT(A774:A785)=3,COUNT(F774:F785)=3),cubic_spline(F773:F776,A773:A776,B$5),IF(AND(COUNT(A774:A785)=4,COUNT(F774:F785)=4),cubic_spline(F773:F777,A773:A777,B$5),IF(AND(COUNT(A774:A785)=5,COUNT(F774:F785)=5),cubic_spline(F773:F778,A773:A778,B$5),IF(AND(COUNT(A774:A785)=6,COUNT(F774:F785)=6),cubic_spline(F773:F779,A773:A779,B$5),IF(AND(COUNT(A774:A785)=7,COUNT(F774:F785)=7),cubic_spline(F773:F780,A773:A780,B$5),IF(AND(COUNT(A774:A785)=8,COUNT(F774:F785)=8),cubic_spline(F773:F781,A773:A781,B$5),IF(AND(COUNT(A774:A785)=9,COUNT(F774:F785)=9),cubic_spline(F773:F782,A773:A782,B$5),IF(AND(COUNT(A774:A785)=10,COUNT(F774:F785)=10),cubic_spline(F773:F783,A773:A783,B$5),IF(AND(COUNT(A774:A785)=11,COUNT(F774:F785)=11),cubic_spline(F773:F784,A773:A784,B$5),IF(AND(COUNT(A774:A785)=12,COUNT(F774:F785)=12),cubic_spline(F773:F785,A773:A785,B$5),""))))))))))))</f>
        <v/>
      </c>
      <c r="L775" s="27" t="str">
        <f>IF(I775="","",B$4&amp;"-"&amp;B$5)</f>
        <v/>
      </c>
      <c r="M775" s="52" t="str">
        <f>IF(N(J775)=0,"",J775-J774)</f>
        <v/>
      </c>
    </row>
    <row r="776" spans="1:13" x14ac:dyDescent="0.35">
      <c r="A776" s="48"/>
      <c r="B776" s="48"/>
      <c r="C776" s="49"/>
      <c r="D776" s="50"/>
      <c r="E776" s="51" t="str">
        <f>IF(N(C776)=0,"",C776/PI()/($D$1/2)^2/$D$2*10000)</f>
        <v/>
      </c>
      <c r="F776" s="68" t="str">
        <f t="shared" si="291"/>
        <v/>
      </c>
      <c r="G776" s="69" t="str">
        <f t="shared" si="293"/>
        <v/>
      </c>
      <c r="H776" s="70" t="str">
        <f t="shared" si="292"/>
        <v/>
      </c>
      <c r="I776" s="27" t="str">
        <f>IF(N(J776)=0,"",0&amp;"-"&amp;B$6)</f>
        <v/>
      </c>
      <c r="J776" s="52" t="str">
        <f>IF(N(B$6)=0,"",IF(AND(COUNT(H774:H785)=2,COUNT(F774:F785)=2),cubic_spline(F773:F775,H773:H775,B$6),IF(AND(COUNT(H774:H785)=3,COUNT(F774:F785)=3),cubic_spline(F773:F776,H773:H776,B$6),IF(AND(COUNT(H774:H785)=4,COUNT(F774:F785)=4),cubic_spline(F773:F777,H773:H777,B$6),IF(AND(COUNT(H774:H785)=5,COUNT(F774:F785)=5),cubic_spline(F773:F778,H773:H778,B$6),IF(AND(COUNT(H774:H785)=6,COUNT(F774:F785)=6),cubic_spline(F773:F779,H773:H779,B$6),IF(AND(COUNT(H774:H785)=7,COUNT(F774:F785)=7),cubic_spline(F773:F780,H773:H780,B$6),IF(AND(COUNT(H774:H785)=8,COUNT(F774:F785)=8),cubic_spline(F773:F781,H773:H781,B$6),IF(AND(COUNT(H774:H785)=9,COUNT(F774:F785)=9),cubic_spline(F773:F782,H773:H782,B$6),IF(AND(COUNT(H774:H785)=10,COUNT(F774:F785)=10),cubic_spline(F773:F783,H773:H783,B$6),IF(AND(COUNT(H774:H785)=11,COUNT(F774:F785)=11),cubic_spline(F773:F784,H773:H784,B$6),IF(AND(COUNT(H774:H785)=12,COUNT(F774:F785)=12),cubic_spline(F773:F785,H773:H785,B$6),""))))))))))))</f>
        <v/>
      </c>
      <c r="K776" s="52" t="str">
        <f>IF(N(B$6)=0,"",IF(AND(COUNT(A774:A785)=2,COUNT(F774:F785)=2),cubic_spline(F773:F775,A773:A775,B$6),IF(AND(COUNT(A774:A785)=3,COUNT(F774:F785)=3),cubic_spline(F773:F776,A773:A776,B$6),IF(AND(COUNT(A774:A785)=4,COUNT(F774:F785)=4),cubic_spline(F773:F777,A773:A777,B$6),IF(AND(COUNT(A774:A785)=5,COUNT(F774:F785)=5),cubic_spline(F773:F778,A773:A778,B$6),IF(AND(COUNT(A774:A785)=6,COUNT(F774:F785)=6),cubic_spline(F773:F779,A773:A779,B$6),IF(AND(COUNT(A774:A785)=7,COUNT(F774:F785)=7),cubic_spline(F773:F780,A773:A780,B$6),IF(AND(COUNT(A774:A785)=8,COUNT(F774:F785)=8),cubic_spline(F773:F781,A773:A781,B$6),IF(AND(COUNT(A774:A785)=9,COUNT(F774:F785)=9),cubic_spline(F773:F782,A773:A782,B$6),IF(AND(COUNT(A774:A785)=10,COUNT(F774:F785)=10),cubic_spline(F773:F783,A773:A783,B$6),IF(AND(COUNT(A774:A785)=11,COUNT(F774:F785)=11),cubic_spline(F773:F784,A773:A784,B$6),IF(AND(COUNT(A774:A785)=12,COUNT(F774:F785)=12),cubic_spline(F773:F785,A773:A785,B$6),""))))))))))))</f>
        <v/>
      </c>
      <c r="L776" s="27" t="str">
        <f>IF(I776="","",B$5&amp;"-"&amp;B$6)</f>
        <v/>
      </c>
      <c r="M776" s="52" t="str">
        <f>IF(N(J776)=0,"",J776-J775)</f>
        <v/>
      </c>
    </row>
    <row r="777" spans="1:13" x14ac:dyDescent="0.35">
      <c r="A777" s="48"/>
      <c r="B777" s="48"/>
      <c r="C777" s="49"/>
      <c r="D777" s="50"/>
      <c r="E777" s="51" t="str">
        <f>IF(N(C777)=0,"",C777/PI()/($D$1/2)^2/$D$2*10000)</f>
        <v/>
      </c>
      <c r="F777" s="68" t="str">
        <f t="shared" si="291"/>
        <v/>
      </c>
      <c r="G777" s="69" t="str">
        <f t="shared" si="293"/>
        <v/>
      </c>
      <c r="H777" s="70" t="str">
        <f t="shared" si="292"/>
        <v/>
      </c>
      <c r="I777" s="27" t="str">
        <f>IF(N(J777)=0,"",0&amp;"-"&amp;B$7)</f>
        <v/>
      </c>
      <c r="J777" s="52" t="str">
        <f>IF(N(B$7)=0,"",IF(AND(COUNT(H774:H785)=2,COUNT(F774:F785)=2),cubic_spline(F773:F775,H773:H775,B$7),IF(AND(COUNT(H774:H785)=3,COUNT(F774:F785)=3),cubic_spline(F773:F776,H773:H776,B$7),IF(AND(COUNT(H774:H785)=4,COUNT(F774:F785)=4),cubic_spline(F773:F777,H773:H777,B$7),IF(AND(COUNT(H774:H785)=5,COUNT(F774:F785)=5),cubic_spline(F773:F778,H773:H778,B$7),IF(AND(COUNT(H774:H785)=6,COUNT(F774:F785)=6),cubic_spline(F773:F779,H773:H779,B$7),IF(AND(COUNT(H774:H785)=7,COUNT(F774:F785)=7),cubic_spline(F773:F780,H773:H780,B$7),IF(AND(COUNT(H774:H785)=8,COUNT(F774:F785)=8),cubic_spline(F773:F781,H773:H781,B$7),IF(AND(COUNT(H774:H785)=9,COUNT(F774:F785)=9),cubic_spline(F773:F782,H773:H782,B$7),IF(AND(COUNT(H774:H785)=10,COUNT(F774:F785)=10),cubic_spline(F773:F783,H773:H783,B$7),IF(AND(COUNT(H774:H785)=11,COUNT(F774:F785)=11),cubic_spline(F773:F784,H773:H784,B$7),IF(AND(COUNT(H774:H785)=12,COUNT(F774:F785)=12),cubic_spline(F773:F785,H773:H785,B$7),""))))))))))))</f>
        <v/>
      </c>
      <c r="K777" s="52" t="str">
        <f>IF(N(B$7)=0,"",IF(AND(COUNT(A774:A785)=2,COUNT(F774:F785)=2),cubic_spline(F773:F775,A773:A775,B$7),IF(AND(COUNT(A774:A785)=3,COUNT(F774:F785)=3),cubic_spline(F773:F776,A773:A776,B$7),IF(AND(COUNT(A774:A785)=4,COUNT(F774:F785)=4),cubic_spline(F773:F777,A773:A777,B$7),IF(AND(COUNT(A774:A785)=5,COUNT(F774:F785)=5),cubic_spline(F773:F778,A773:A778,B$7),IF(AND(COUNT(A774:A785)=6,COUNT(F774:F785)=6),cubic_spline(F773:F779,A773:A779,B$7),IF(AND(COUNT(A774:A785)=7,COUNT(F774:F785)=7),cubic_spline(F773:F780,A773:A780,B$7),IF(AND(COUNT(A774:A785)=8,COUNT(F774:F785)=8),cubic_spline(F773:F781,A773:A781,B$7),IF(AND(COUNT(A774:A785)=9,COUNT(F774:F785)=9),cubic_spline(F773:F782,A773:A782,B$7),IF(AND(COUNT(A774:A785)=10,COUNT(F774:F785)=10),cubic_spline(F773:F783,A773:A783,B$7),IF(AND(COUNT(A774:A785)=11,COUNT(F774:F785)=11),cubic_spline(F773:F784,A773:A784,B$7),IF(AND(COUNT(A774:A785)=12,COUNT(F774:F785)=12),cubic_spline(F773:F785,A773:A785,B$7),""))))))))))))</f>
        <v/>
      </c>
      <c r="L777" s="27" t="str">
        <f>IF(I777="","",B$6&amp;"-"&amp;B$7)</f>
        <v/>
      </c>
      <c r="M777" s="52" t="str">
        <f>IF(N(J777)=0,"",J777-J776)</f>
        <v/>
      </c>
    </row>
    <row r="778" spans="1:13" x14ac:dyDescent="0.35">
      <c r="A778" s="48"/>
      <c r="B778" s="48"/>
      <c r="C778" s="49"/>
      <c r="D778" s="50"/>
      <c r="E778" s="51" t="str">
        <f t="shared" ref="E778:E785" si="294">IF(N(C778)=0,"",C778/PI()/($D$1/2)^2/$D$2*10000)</f>
        <v/>
      </c>
      <c r="F778" s="71" t="str">
        <f t="shared" si="291"/>
        <v/>
      </c>
      <c r="G778" s="69" t="str">
        <f t="shared" si="293"/>
        <v/>
      </c>
      <c r="H778" s="70" t="str">
        <f t="shared" si="292"/>
        <v/>
      </c>
      <c r="I778" s="27" t="str">
        <f>IF(N(J778)=0,"",0&amp;"-"&amp;B$8)</f>
        <v/>
      </c>
      <c r="J778" s="52" t="str">
        <f>IF(N(B$8)=0,"",IF(AND(COUNT(H774:H785)=2,COUNT(F774:F785)=2),cubic_spline(F773:F775,H773:H775,B$8),IF(AND(COUNT(H774:H785)=3,COUNT(F774:F785)=3),cubic_spline(F773:F776,H773:H776,B$8),IF(AND(COUNT(H774:H785)=4,COUNT(F774:F785)=4),cubic_spline(F773:F777,H773:H777,B$8),IF(AND(COUNT(H774:H785)=5,COUNT(F774:F785)=5),cubic_spline(F773:F778,H773:H778,B$8),IF(AND(COUNT(H774:H785)=6,COUNT(F774:F785)=6),cubic_spline(F773:F779,H773:H779,B$8),IF(AND(COUNT(H774:H785)=7,COUNT(F774:F785)=7),cubic_spline(F773:F780,H773:H780,B$8),IF(AND(COUNT(H774:H785)=8,COUNT(F774:F785)=8),cubic_spline(F773:F781,H773:H781,B$8),IF(AND(COUNT(H774:H785)=9,COUNT(F774:F785)=9),cubic_spline(F773:F782,H773:H782,B$8),IF(AND(COUNT(H774:H785)=10,COUNT(F774:F785)=10),cubic_spline(F773:F783,H773:H783,B$8),IF(AND(COUNT(H774:H785)=11,COUNT(F774:F785)=11),cubic_spline(F773:F784,H773:H784,B$8),IF(AND(COUNT(H774:H785)=12,COUNT(F774:F785)=12),cubic_spline(F773:F785,H773:H785,B$8),""))))))))))))</f>
        <v/>
      </c>
      <c r="K778" s="52" t="str">
        <f>IF(N(B$8)=0,"",IF(AND(COUNT(A774:A785)=2,COUNT(F774:F785)=2),cubic_spline(F773:F775,A773:A775,B$8),IF(AND(COUNT(A774:A785)=3,COUNT(F774:F785)=3),cubic_spline(F773:F776,A773:A776,B$8),IF(AND(COUNT(A774:A785)=4,COUNT(F774:F785)=4),cubic_spline(F773:F777,A773:A777,B$8),IF(AND(COUNT(A774:A785)=5,COUNT(F774:F785)=5),cubic_spline(F773:F778,A773:A778,B$8),IF(AND(COUNT(A774:A785)=6,COUNT(F774:F785)=6),cubic_spline(F773:F779,A773:A779,B$8),IF(AND(COUNT(A774:A785)=7,COUNT(F774:F785)=7),cubic_spline(F773:F780,A773:A780,B$8),IF(AND(COUNT(A774:A785)=8,COUNT(F774:F785)=8),cubic_spline(F773:F781,A773:A781,B$8),IF(AND(COUNT(A774:A785)=9,COUNT(F774:F785)=9),cubic_spline(F773:F782,A773:A782,B$8),IF(AND(COUNT(A774:A785)=10,COUNT(F774:F785)=10),cubic_spline(F773:F783,A773:A783,B$8),IF(AND(COUNT(A774:A785)=11,COUNT(F774:F785)=11),cubic_spline(F773:F784,A773:A784,B$8),IF(AND(COUNT(A774:A785)=12,COUNT(F774:F785)=12),cubic_spline(F773:F785,A773:A785,B$8),""))))))))))))</f>
        <v/>
      </c>
      <c r="L778" s="27" t="str">
        <f>IF(I778="","",B$7&amp;"-"&amp;B$8)</f>
        <v/>
      </c>
      <c r="M778" s="52" t="str">
        <f>IF(N(J778)=0,"",J778-J777)</f>
        <v/>
      </c>
    </row>
    <row r="779" spans="1:13" x14ac:dyDescent="0.35">
      <c r="A779" s="48"/>
      <c r="B779" s="48"/>
      <c r="C779" s="49"/>
      <c r="D779" s="50"/>
      <c r="E779" s="51" t="str">
        <f t="shared" si="294"/>
        <v/>
      </c>
      <c r="F779" s="71" t="str">
        <f t="shared" si="291"/>
        <v/>
      </c>
      <c r="G779" s="69" t="str">
        <f t="shared" si="293"/>
        <v/>
      </c>
      <c r="H779" s="70" t="str">
        <f t="shared" si="292"/>
        <v/>
      </c>
      <c r="I779" s="27" t="str">
        <f>IF(N(J779)=0,"",0&amp;"-"&amp;B$9)</f>
        <v/>
      </c>
      <c r="J779" s="52" t="str">
        <f>IF(N(B$9)=0,"",IF(AND(COUNT(H774:H785)=2,COUNT(F774:F785)=2),cubic_spline(F773:F775,H773:H775,B$9),IF(AND(COUNT(H774:H785)=3,COUNT(F774:F785)=3),cubic_spline(F773:F776,H773:H776,B$9),IF(AND(COUNT(H774:H785)=4,COUNT(F774:F785)=4),cubic_spline(F773:F777,H773:H777,B$9),IF(AND(COUNT(H774:H785)=5,COUNT(F774:F785)=5),cubic_spline(F773:F778,H773:H778,B$9),IF(AND(COUNT(H774:H785)=6,COUNT(F774:F785)=6),cubic_spline(F773:F779,H773:H779,B$9),IF(AND(COUNT(H774:H785)=7,COUNT(F774:F785)=7),cubic_spline(F773:F780,H773:H780,B$9),IF(AND(COUNT(H774:H785)=8,COUNT(F774:F785)=8),cubic_spline(F773:F781,H773:H781,B$9),IF(AND(COUNT(H774:H785)=9,COUNT(F774:F785)=9),cubic_spline(F773:F782,H773:H782,B$9),IF(AND(COUNT(H774:H785)=10,COUNT(F774:F785)=10),cubic_spline(F773:F783,H773:H783,B$9),IF(AND(COUNT(H774:H785)=11,COUNT(F774:F785)=11),cubic_spline(F773:F784,H773:H784,B$9),IF(AND(COUNT(H774:H785)=12,COUNT(F774:F785)=12),cubic_spline(F773:F785,H773:H785,B$9),""))))))))))))</f>
        <v/>
      </c>
      <c r="K779" s="52" t="str">
        <f>IF(N(B$9)=0,"",IF(AND(COUNT(A774:A785)=2,COUNT(F774:F785)=2),cubic_spline(F773:F775,A773:A775,B$9),IF(AND(COUNT(A774:A785)=3,COUNT(F774:F785)=3),cubic_spline(F773:F776,A773:A776,B$9),IF(AND(COUNT(A774:A785)=4,COUNT(F774:F785)=4),cubic_spline(F773:F777,A773:A777,B$9),IF(AND(COUNT(A774:A785)=5,COUNT(F774:F785)=5),cubic_spline(F773:F778,A773:A778,B$9),IF(AND(COUNT(A774:A785)=6,COUNT(F774:F785)=6),cubic_spline(F773:F779,A773:A779,B$9),IF(AND(COUNT(A774:A785)=7,COUNT(F774:F785)=7),cubic_spline(F773:F780,A773:A780,B$9),IF(AND(COUNT(A774:A785)=8,COUNT(F774:F785)=8),cubic_spline(F773:F781,A773:A781,B$9),IF(AND(COUNT(A774:A785)=9,COUNT(F774:F785)=9),cubic_spline(F773:F782,A773:A782,B$9),IF(AND(COUNT(A774:A785)=10,COUNT(F774:F785)=10),cubic_spline(F773:F783,A773:A783,B$9),IF(AND(COUNT(A774:A785)=11,COUNT(F774:F785)=11),cubic_spline(F773:F784,A773:A784,B$9),IF(AND(COUNT(A774:A785)=12,COUNT(F774:F785)=12),cubic_spline(F773:F785,A773:A785,B$9),""))))))))))))</f>
        <v/>
      </c>
      <c r="L779" s="27" t="str">
        <f>IF(I779="","",B$8&amp;"-"&amp;B$9)</f>
        <v/>
      </c>
      <c r="M779" s="52" t="str">
        <f t="shared" ref="M779:M785" si="295">IF(N(J779)=0,"",J779-J778)</f>
        <v/>
      </c>
    </row>
    <row r="780" spans="1:13" x14ac:dyDescent="0.35">
      <c r="A780" s="48"/>
      <c r="B780" s="48"/>
      <c r="C780" s="49"/>
      <c r="D780" s="50"/>
      <c r="E780" s="51" t="str">
        <f t="shared" si="294"/>
        <v/>
      </c>
      <c r="F780" s="71" t="str">
        <f t="shared" si="291"/>
        <v/>
      </c>
      <c r="G780" s="69" t="str">
        <f t="shared" si="293"/>
        <v/>
      </c>
      <c r="H780" s="70" t="str">
        <f t="shared" si="292"/>
        <v/>
      </c>
      <c r="I780" s="27" t="str">
        <f>IF(N(J780)=0,"",0&amp;"-"&amp;B$10)</f>
        <v/>
      </c>
      <c r="J780" s="52" t="str">
        <f>IF(N(B$10)=0,"",IF(AND(COUNT(H774:H785)=2,COUNT(F774:F785)=2),cubic_spline(F773:F775,H773:H775,B$10),IF(AND(COUNT(H774:H785)=3,COUNT(F774:F785)=3),cubic_spline(F773:F776,H773:H776,B$10),IF(AND(COUNT(H774:H785)=4,COUNT(F774:F785)=4),cubic_spline(F773:F777,H773:H777,B$10),IF(AND(COUNT(H774:H785)=5,COUNT(F774:F785)=5),cubic_spline(F773:F778,H773:H778,B$10),IF(AND(COUNT(H774:H785)=6,COUNT(F774:F785)=6),cubic_spline(F773:F779,H773:H779,B$10),IF(AND(COUNT(H774:H785)=7,COUNT(F774:F785)=7),cubic_spline(F773:F780,H773:H780,B$10),IF(AND(COUNT(H774:H785)=8,COUNT(F774:F785)=8),cubic_spline(F773:F781,H773:H781,B$10),IF(AND(COUNT(H774:H785)=9,COUNT(F774:F785)=9),cubic_spline(F773:F782,H773:H782,B$10),IF(AND(COUNT(H774:H785)=10,COUNT(F774:F785)=10),cubic_spline(F773:F783,H773:H783,B$10),IF(AND(COUNT(H774:H785)=11,COUNT(F774:F785)=11),cubic_spline(F773:F784,H773:H784,B$10),IF(AND(COUNT(H774:H785)=12,COUNT(F774:F785)=12),cubic_spline(F773:F785,H773:H785,B$10),""))))))))))))</f>
        <v/>
      </c>
      <c r="K780" s="52" t="str">
        <f>IF(N(B$10)=0,"",IF(AND(COUNT(A774:A785)=2,COUNT(F774:F785)=2),cubic_spline(F773:F775,A773:A775,B$10),IF(AND(COUNT(A774:A785)=3,COUNT(F774:F785)=3),cubic_spline(F773:F776,A773:A776,B$10),IF(AND(COUNT(A774:A785)=4,COUNT(F774:F785)=4),cubic_spline(F773:F777,A773:A777,B$10),IF(AND(COUNT(A774:A785)=5,COUNT(F774:F785)=5),cubic_spline(F773:F778,A773:A778,B$10),IF(AND(COUNT(A774:A785)=6,COUNT(F774:F785)=6),cubic_spline(F773:F779,A773:A779,B$10),IF(AND(COUNT(A774:A785)=7,COUNT(F774:F785)=7),cubic_spline(F773:F780,A773:A780,B$10),IF(AND(COUNT(A774:A785)=8,COUNT(F774:F785)=8),cubic_spline(F773:F781,A773:A781,B$10),IF(AND(COUNT(A774:A785)=9,COUNT(F774:F785)=9),cubic_spline(F773:F782,A773:A782,B$10),IF(AND(COUNT(A774:A785)=10,COUNT(F774:F785)=10),cubic_spline(F773:F783,A773:A783,B$10),IF(AND(COUNT(A774:A785)=11,COUNT(F774:F785)=11),cubic_spline(F773:F784,A773:A784,B$10),IF(AND(COUNT(A774:A785)=12,COUNT(F774:F785)=12),cubic_spline(F773:F785,A773:A785,B$10),""))))))))))))</f>
        <v/>
      </c>
      <c r="L780" s="27" t="str">
        <f>IF(I780="","",B$9&amp;"-"&amp;B$10)</f>
        <v/>
      </c>
      <c r="M780" s="52" t="str">
        <f t="shared" si="295"/>
        <v/>
      </c>
    </row>
    <row r="781" spans="1:13" x14ac:dyDescent="0.35">
      <c r="A781" s="48"/>
      <c r="B781" s="48"/>
      <c r="C781" s="49"/>
      <c r="D781" s="50"/>
      <c r="E781" s="51" t="str">
        <f t="shared" si="294"/>
        <v/>
      </c>
      <c r="F781" s="71" t="str">
        <f t="shared" si="291"/>
        <v/>
      </c>
      <c r="G781" s="69" t="str">
        <f t="shared" si="293"/>
        <v/>
      </c>
      <c r="H781" s="70" t="str">
        <f t="shared" si="292"/>
        <v/>
      </c>
      <c r="I781" s="27" t="str">
        <f>IF(N(J781)=0,"",0&amp;"-"&amp;B$11)</f>
        <v/>
      </c>
      <c r="J781" s="52" t="str">
        <f>IF(N(B$11)=0,"",IF(AND(COUNT(H774:H785)=2,COUNT(F774:F785)=2),cubic_spline(F773:F775,H773:H775,B$11),IF(AND(COUNT(H774:H785)=3,COUNT(F774:F785)=3),cubic_spline(F773:F776,H773:H776,B$11),IF(AND(COUNT(H774:H785)=4,COUNT(F774:F785)=4),cubic_spline(F773:F777,H773:H777,B$11),IF(AND(COUNT(H774:H785)=5,COUNT(F774:F785)=5),cubic_spline(F773:F778,H773:H778,B$11),IF(AND(COUNT(H774:H785)=6,COUNT(F774:F785)=6),cubic_spline(F773:F779,H773:H779,B$11),IF(AND(COUNT(H774:H785)=7,COUNT(F774:F785)=7),cubic_spline(F773:F780,H773:H780,B$11),IF(AND(COUNT(H774:H785)=8,COUNT(F774:F785)=8),cubic_spline(F773:F781,H773:H781,B$11),IF(AND(COUNT(H774:H785)=9,COUNT(F774:F785)=9),cubic_spline(F773:F782,H773:H782,B$11),IF(AND(COUNT(H774:H785)=10,COUNT(F774:F785)=10),cubic_spline(F773:F783,H773:H783,B$11),IF(AND(COUNT(H774:H785)=11,COUNT(F774:F785)=11),cubic_spline(F773:F784,H773:H784,B$11),IF(AND(COUNT(H774:H785)=12,COUNT(F774:F785)=12),cubic_spline(F773:F785,H773:H785,B$11),""))))))))))))</f>
        <v/>
      </c>
      <c r="K781" s="52" t="str">
        <f>IF(N(B$11)=0,"",IF(AND(COUNT(A774:A785)=2,COUNT(F774:F785)=2),cubic_spline(F773:F775,A773:A775,B$11),IF(AND(COUNT(A774:A785)=3,COUNT(F774:F785)=3),cubic_spline(F773:F776,A773:A776,B$11),IF(AND(COUNT(A774:A785)=4,COUNT(F774:F785)=4),cubic_spline(F773:F777,A773:A777,B$11),IF(AND(COUNT(A774:A785)=5,COUNT(F774:F785)=5),cubic_spline(F773:F778,A773:A778,B$11),IF(AND(COUNT(A774:A785)=6,COUNT(F774:F785)=6),cubic_spline(F773:F779,A773:A779,B$11),IF(AND(COUNT(A774:A785)=7,COUNT(F774:F785)=7),cubic_spline(F773:F780,A773:A780,B$11),IF(AND(COUNT(A774:A785)=8,COUNT(F774:F785)=8),cubic_spline(F773:F781,A773:A781,B$11),IF(AND(COUNT(A774:A785)=9,COUNT(F774:F785)=9),cubic_spline(F773:F782,A773:A782,B$11),IF(AND(COUNT(A774:A785)=10,COUNT(F774:F785)=10),cubic_spline(F773:F783,A773:A783,B$11),IF(AND(COUNT(A774:A785)=11,COUNT(F774:F785)=11),cubic_spline(F773:F784,A773:A784,B$11),IF(AND(COUNT(A774:A785)=12,COUNT(F774:F785)=12),cubic_spline(F773:F785,A773:A785,B$11),""))))))))))))</f>
        <v/>
      </c>
      <c r="L781" s="27" t="str">
        <f>IF(I781="","",B$10&amp;"-"&amp;B$11)</f>
        <v/>
      </c>
      <c r="M781" s="52" t="str">
        <f t="shared" si="295"/>
        <v/>
      </c>
    </row>
    <row r="782" spans="1:13" x14ac:dyDescent="0.35">
      <c r="A782" s="48"/>
      <c r="B782" s="48"/>
      <c r="C782" s="49"/>
      <c r="D782" s="50"/>
      <c r="E782" s="51" t="str">
        <f t="shared" si="294"/>
        <v/>
      </c>
      <c r="F782" s="71" t="str">
        <f t="shared" si="291"/>
        <v/>
      </c>
      <c r="G782" s="69" t="str">
        <f t="shared" si="293"/>
        <v/>
      </c>
      <c r="H782" s="70" t="str">
        <f t="shared" si="292"/>
        <v/>
      </c>
      <c r="I782" s="27" t="str">
        <f>IF(N(J782)=0,"",0&amp;"-"&amp;B$12)</f>
        <v/>
      </c>
      <c r="J782" s="52" t="str">
        <f>IF(N(B$12)=0,"",IF(AND(COUNT(H774:H785)=2,COUNT(F774:F785)=2),cubic_spline(F773:F775,H773:H775,B$12),IF(AND(COUNT(H774:H785)=3,COUNT(F774:F785)=3),cubic_spline(F773:F776,H773:H776,B$12),IF(AND(COUNT(H774:H785)=4,COUNT(F774:F785)=4),cubic_spline(F773:F777,H773:H777,B$12),IF(AND(COUNT(H774:H785)=5,COUNT(F774:F785)=5),cubic_spline(F773:F778,H773:H778,B$12),IF(AND(COUNT(H774:H785)=6,COUNT(F774:F785)=6),cubic_spline(F773:F779,H773:H779,B$12),IF(AND(COUNT(H774:H785)=7,COUNT(F774:F785)=7),cubic_spline(F773:F780,H773:H780,B$12),IF(AND(COUNT(H774:H785)=8,COUNT(F774:F785)=8),cubic_spline(F773:F781,H773:H781,B$12),IF(AND(COUNT(H774:H785)=9,COUNT(F774:F785)=9),cubic_spline(F773:F782,H773:H782,B$12),IF(AND(COUNT(H774:H785)=10,COUNT(F774:F785)=10),cubic_spline(F773:F783,H773:H783,B$12),IF(AND(COUNT(H774:H785)=11,COUNT(F774:F785)=11),cubic_spline(F773:F784,H773:H784,B$12),IF(AND(COUNT(H774:H785)=12,COUNT(F774:F785)=12),cubic_spline(F773:F785,H773:H785,B$12),""))))))))))))</f>
        <v/>
      </c>
      <c r="K782" s="52" t="str">
        <f>IF(N(B$12)=0,"",IF(AND(COUNT(A774:A785)=2,COUNT(F774:F785)=2),cubic_spline(F773:F775,A773:A775,B$12),IF(AND(COUNT(A774:A785)=3,COUNT(F774:F785)=3),cubic_spline(F773:F776,A773:A776,B$12),IF(AND(COUNT(A774:A785)=4,COUNT(F774:F785)=4),cubic_spline(F773:F777,A773:A777,B$12),IF(AND(COUNT(A774:A785)=5,COUNT(F774:F785)=5),cubic_spline(F773:F778,A773:A778,B$12),IF(AND(COUNT(A774:A785)=6,COUNT(F774:F785)=6),cubic_spline(F773:F779,A773:A779,B$12),IF(AND(COUNT(A774:A785)=7,COUNT(F774:F785)=7),cubic_spline(F773:F780,A773:A780,B$12),IF(AND(COUNT(A774:A785)=8,COUNT(F774:F785)=8),cubic_spline(F773:F781,A773:A781,B$12),IF(AND(COUNT(A774:A785)=9,COUNT(F774:F785)=9),cubic_spline(F773:F782,A773:A782,B$12),IF(AND(COUNT(A774:A785)=10,COUNT(F774:F785)=10),cubic_spline(F773:F783,A773:A783,B$12),IF(AND(COUNT(A774:A785)=11,COUNT(F774:F785)=11),cubic_spline(F773:F784,A773:A784,B$12),IF(AND(COUNT(A774:A785)=12,COUNT(F774:F785)=12),cubic_spline(F773:F785,A773:A785,B$12),""))))))))))))</f>
        <v/>
      </c>
      <c r="L782" s="27" t="str">
        <f>IF(I782="","",B$11&amp;"-"&amp;B$12)</f>
        <v/>
      </c>
      <c r="M782" s="52" t="str">
        <f t="shared" si="295"/>
        <v/>
      </c>
    </row>
    <row r="783" spans="1:13" x14ac:dyDescent="0.35">
      <c r="A783" s="48"/>
      <c r="B783" s="48"/>
      <c r="C783" s="49"/>
      <c r="D783" s="50"/>
      <c r="E783" s="51" t="str">
        <f t="shared" si="294"/>
        <v/>
      </c>
      <c r="F783" s="71" t="str">
        <f t="shared" si="291"/>
        <v/>
      </c>
      <c r="G783" s="69" t="str">
        <f t="shared" si="293"/>
        <v/>
      </c>
      <c r="H783" s="70" t="str">
        <f t="shared" si="292"/>
        <v/>
      </c>
      <c r="I783" s="27" t="str">
        <f>IF(N(J783)=0,"",0&amp;"-"&amp;B$13)</f>
        <v/>
      </c>
      <c r="J783" s="52" t="str">
        <f>IF(N(B$13)=0,"",IF(AND(COUNT(H774:H785)=2,COUNT(F774:F785)=2),cubic_spline(F773:F775,H773:H775,B$13),IF(AND(COUNT(H774:H785)=3,COUNT(F774:F785)=3),cubic_spline(F773:F776,H773:H776,B$13),IF(AND(COUNT(H774:H785)=4,COUNT(F774:F785)=4),cubic_spline(F773:F777,H773:H777,B$13),IF(AND(COUNT(H774:H785)=5,COUNT(F774:F785)=5),cubic_spline(F773:F778,H773:H778,B$13),IF(AND(COUNT(H774:H785)=6,COUNT(F774:F785)=6),cubic_spline(F773:F779,H773:H779,B$13),IF(AND(COUNT(H774:H785)=7,COUNT(F774:F785)=7),cubic_spline(F773:F780,H773:H780,B$13),IF(AND(COUNT(H774:H785)=8,COUNT(F774:F785)=8),cubic_spline(F773:F781,H773:H781,B$13),IF(AND(COUNT(H774:H785)=9,COUNT(F774:F785)=9),cubic_spline(F773:F782,H773:H782,B$13),IF(AND(COUNT(H774:H785)=10,COUNT(F774:F785)=10),cubic_spline(F773:F783,H773:H783,B$13),IF(AND(COUNT(H774:H785)=11,COUNT(F774:F785)=11),cubic_spline(F773:F784,H773:H784,B$13),IF(AND(COUNT(H774:H785)=12,COUNT(F774:F785)=12),cubic_spline(F773:F785,H773:H785,B$13),""))))))))))))</f>
        <v/>
      </c>
      <c r="K783" s="52" t="str">
        <f>IF(N(B$13)=0,"",IF(AND(COUNT(A774:A785)=2,COUNT(F774:F785)=2),cubic_spline(F773:F775,A773:A775,B$13),IF(AND(COUNT(A774:A785)=3,COUNT(F774:F785)=3),cubic_spline(F773:F776,A773:A776,B$13),IF(AND(COUNT(A774:A785)=4,COUNT(F774:F785)=4),cubic_spline(F773:F777,A773:A777,B$13),IF(AND(COUNT(A774:A785)=5,COUNT(F774:F785)=5),cubic_spline(F773:F778,A773:A778,B$13),IF(AND(COUNT(A774:A785)=6,COUNT(F774:F785)=6),cubic_spline(F773:F779,A773:A779,B$13),IF(AND(COUNT(A774:A785)=7,COUNT(F774:F785)=7),cubic_spline(F773:F780,A773:A780,B$13),IF(AND(COUNT(A774:A785)=8,COUNT(F774:F785)=8),cubic_spline(F773:F781,A773:A781,B$13),IF(AND(COUNT(A774:A785)=9,COUNT(F774:F785)=9),cubic_spline(F773:F782,A773:A782,B$13),IF(AND(COUNT(A774:A785)=10,COUNT(F774:F785)=10),cubic_spline(F773:F783,A773:A783,B$13),IF(AND(COUNT(A774:A785)=11,COUNT(F774:F785)=11),cubic_spline(F773:F784,A773:A784,B$13),IF(AND(COUNT(A774:A785)=12,COUNT(F774:F785)=12),cubic_spline(F773:F785,A773:A785,B$13),""))))))))))))</f>
        <v/>
      </c>
      <c r="L783" s="27" t="str">
        <f>IF(I783="","",B$12&amp;"-"&amp;B$13)</f>
        <v/>
      </c>
      <c r="M783" s="52" t="str">
        <f t="shared" si="295"/>
        <v/>
      </c>
    </row>
    <row r="784" spans="1:13" x14ac:dyDescent="0.35">
      <c r="A784" s="48"/>
      <c r="B784" s="48"/>
      <c r="C784" s="49"/>
      <c r="D784" s="50"/>
      <c r="E784" s="51" t="str">
        <f t="shared" si="294"/>
        <v/>
      </c>
      <c r="F784" s="71" t="str">
        <f t="shared" si="291"/>
        <v/>
      </c>
      <c r="G784" s="69" t="str">
        <f t="shared" si="293"/>
        <v/>
      </c>
      <c r="H784" s="70" t="str">
        <f t="shared" si="292"/>
        <v/>
      </c>
      <c r="I784" s="27" t="str">
        <f>IF(N(J784)=0,"",0&amp;"-"&amp;B$14)</f>
        <v/>
      </c>
      <c r="J784" s="52" t="str">
        <f>IF(N(B$14)=0,"",IF(AND(COUNT(H774:H785)=2,COUNT(F774:F785)=2),cubic_spline(F773:F775,H773:H775,B$14),IF(AND(COUNT(H774:H785)=3,COUNT(F774:F785)=3),cubic_spline(F773:F776,H773:H776,B$14),IF(AND(COUNT(H774:H785)=4,COUNT(F774:F785)=4),cubic_spline(F773:F777,H773:H777,B$14),IF(AND(COUNT(H774:H785)=5,COUNT(F774:F785)=5),cubic_spline(F773:F778,H773:H778,B$14),IF(AND(COUNT(H774:H785)=6,COUNT(F774:F785)=6),cubic_spline(F773:F779,H773:H779,B$14),IF(AND(COUNT(H774:H785)=7,COUNT(F774:F785)=7),cubic_spline(F773:F780,H773:H780,B$14),IF(AND(COUNT(H774:H785)=8,COUNT(F774:F785)=8),cubic_spline(F773:F781,H773:H781,B$14),IF(AND(COUNT(H774:H785)=9,COUNT(F774:F785)=9),cubic_spline(F773:F782,H773:H782,B$14),IF(AND(COUNT(H774:H785)=10,COUNT(F774:F785)=10),cubic_spline(F773:F783,H773:H783,B$14),IF(AND(COUNT(H774:H785)=11,COUNT(F774:F785)=11),cubic_spline(F773:F784,H773:H784,B$14),IF(AND(COUNT(H774:H785)=12,COUNT(F774:F785)=12),cubic_spline(F773:F785,H773:H785,B$14),""))))))))))))</f>
        <v/>
      </c>
      <c r="K784" s="52" t="str">
        <f>IF(N(B$14)=0,"",IF(AND(COUNT(A774:A785)=2,COUNT(F774:F785)=2),cubic_spline(F773:F775,A773:A775,B$14),IF(AND(COUNT(A774:A785)=3,COUNT(F774:F785)=3),cubic_spline(F773:F776,A773:A776,B$14),IF(AND(COUNT(A774:A785)=4,COUNT(F774:F785)=4),cubic_spline(F773:F777,A773:A777,B$14),IF(AND(COUNT(A774:A785)=5,COUNT(F774:F785)=5),cubic_spline(F773:F778,A773:A778,B$14),IF(AND(COUNT(A774:A785)=6,COUNT(F774:F785)=6),cubic_spline(F773:F779,A773:A779,B$14),IF(AND(COUNT(A774:A785)=7,COUNT(F774:F785)=7),cubic_spline(F773:F780,A773:A780,B$14),IF(AND(COUNT(A774:A785)=8,COUNT(F774:F785)=8),cubic_spline(F773:F781,A773:A781,B$14),IF(AND(COUNT(A774:A785)=9,COUNT(F774:F785)=9),cubic_spline(F773:F782,A773:A782,B$14),IF(AND(COUNT(A774:A785)=10,COUNT(F774:F785)=10),cubic_spline(F773:F783,A773:A783,B$14),IF(AND(COUNT(A774:A785)=11,COUNT(F774:F785)=11),cubic_spline(F773:F784,A773:A784,B$14),IF(AND(COUNT(A774:A785)=12,COUNT(F774:F785)=12),cubic_spline(F773:F785,A773:A785,B$14),""))))))))))))</f>
        <v/>
      </c>
      <c r="L784" s="27" t="str">
        <f>IF(I784="","",B$13&amp;"-"&amp;B$14)</f>
        <v/>
      </c>
      <c r="M784" s="52" t="str">
        <f t="shared" si="295"/>
        <v/>
      </c>
    </row>
    <row r="785" spans="1:13" x14ac:dyDescent="0.35">
      <c r="A785" s="48"/>
      <c r="B785" s="48"/>
      <c r="C785" s="49"/>
      <c r="D785" s="50"/>
      <c r="E785" s="51" t="str">
        <f t="shared" si="294"/>
        <v/>
      </c>
      <c r="F785" s="71" t="str">
        <f t="shared" si="291"/>
        <v/>
      </c>
      <c r="G785" s="69" t="str">
        <f t="shared" si="293"/>
        <v/>
      </c>
      <c r="H785" s="70" t="str">
        <f t="shared" si="292"/>
        <v/>
      </c>
      <c r="I785" s="27" t="str">
        <f>IF(N(J785)=0,"",0&amp;"-"&amp;B$15)</f>
        <v/>
      </c>
      <c r="J785" s="52" t="str">
        <f>IF(N(B$15)=0,"",IF(AND(COUNT(H774:H785)=2,COUNT(F774:F785)=2),cubic_spline(F773:F775,H773:H775,B$15),IF(AND(COUNT(H774:H785)=3,COUNT(F774:F785)=3),cubic_spline(F773:F776,H773:H776,B$15),IF(AND(COUNT(H774:H785)=4,COUNT(F774:F785)=4),cubic_spline(F773:F777,H773:H777,B$15),IF(AND(COUNT(H774:H785)=5,COUNT(F774:F785)=5),cubic_spline(F773:F778,H773:H778,B$15),IF(AND(COUNT(H774:H785)=6,COUNT(F774:F785)=6),cubic_spline(F773:F779,H773:H779,B$15),IF(AND(COUNT(H774:H785)=7,COUNT(F774:F785)=7),cubic_spline(F773:F780,H773:H780,B$15),IF(AND(COUNT(H774:H785)=8,COUNT(F774:F785)=8),cubic_spline(F773:F781,H773:H781,B$15),IF(AND(COUNT(H774:H785)=9,COUNT(F774:F785)=9),cubic_spline(F773:F782,H773:H782,B$15),IF(AND(COUNT(H774:H785)=10,COUNT(F774:F785)=10),cubic_spline(F773:F783,H773:H783,B$15),IF(AND(COUNT(H774:H785)=11,COUNT(F774:F785)=11),cubic_spline(F773:F784,H773:H784,B$15),IF(AND(COUNT(H774:H785)=12,COUNT(F774:F785)=12),cubic_spline(F773:F785,H773:H785,B$15),""))))))))))))</f>
        <v/>
      </c>
      <c r="K785" s="52" t="str">
        <f>IF(N(B$15)=0,"",IF(AND(COUNT(A774:A785)=2,COUNT(F774:F785)=2),cubic_spline(F773:F775,A773:A775,B$15),IF(AND(COUNT(A774:A785)=3,COUNT(F774:F785)=3),cubic_spline(F773:F776,A773:A776,B$15),IF(AND(COUNT(A774:A785)=4,COUNT(F774:F785)=4),cubic_spline(F773:F777,A773:A777,B$15),IF(AND(COUNT(A774:A785)=5,COUNT(F774:F785)=5),cubic_spline(F773:F778,A773:A778,B$15),IF(AND(COUNT(A774:A785)=6,COUNT(F774:F785)=6),cubic_spline(F773:F779,A773:A779,B$15),IF(AND(COUNT(A774:A785)=7,COUNT(F774:F785)=7),cubic_spline(F773:F780,A773:A780,B$15),IF(AND(COUNT(A774:A785)=8,COUNT(F774:F785)=8),cubic_spline(F773:F781,A773:A781,B$15),IF(AND(COUNT(A774:A785)=9,COUNT(F774:F785)=9),cubic_spline(F773:F782,A773:A782,B$15),IF(AND(COUNT(A774:A785)=10,COUNT(F774:F785)=10),cubic_spline(F773:F783,A773:A783,B$15),IF(AND(COUNT(A774:A785)=11,COUNT(F774:F785)=11),cubic_spline(F773:F784,A773:A784,B$15),IF(AND(COUNT(A774:A785)=12,COUNT(F774:F785)=12),cubic_spline(F773:F785,A773:A785,B$15),""))))))))))))</f>
        <v/>
      </c>
      <c r="L785" s="27" t="str">
        <f>IF(I785="","",B$14&amp;"-"&amp;B$15)</f>
        <v/>
      </c>
      <c r="M785" s="52" t="str">
        <f t="shared" si="295"/>
        <v/>
      </c>
    </row>
    <row r="786" spans="1:13" ht="5.15" customHeight="1" x14ac:dyDescent="0.35">
      <c r="A786" s="47"/>
      <c r="B786" s="47"/>
      <c r="C786" s="47"/>
      <c r="D786" s="53"/>
      <c r="E786" s="54"/>
      <c r="F786" s="55"/>
      <c r="G786" s="72"/>
      <c r="H786" s="73"/>
      <c r="I786" s="47"/>
      <c r="J786" s="57"/>
      <c r="K786" s="57"/>
      <c r="L786" s="55"/>
      <c r="M786" s="57"/>
    </row>
    <row r="787" spans="1:13" x14ac:dyDescent="0.35">
      <c r="A787" s="48"/>
      <c r="B787" s="48"/>
      <c r="C787" s="49"/>
      <c r="D787" s="50"/>
      <c r="E787" s="51" t="str">
        <f>IF(N(C787)=0,"",C787/PI()/($D$1/2)^2/$D$2*10000)</f>
        <v/>
      </c>
      <c r="F787" s="68" t="str">
        <f t="shared" ref="F787:F798" si="296">IF(N(E787)=0,"",(N(E787)+N(F786)))</f>
        <v/>
      </c>
      <c r="G787" s="69" t="str">
        <f>IF(OR(N(D787)=0,N(E787)=0),"",(E787*D787)/1000)</f>
        <v/>
      </c>
      <c r="H787" s="70" t="str">
        <f t="shared" ref="H787:H798" si="297">IF(N(G787)=0,"",(N(G787)+N(H786)))</f>
        <v/>
      </c>
      <c r="I787" s="27" t="str">
        <f>IF(N(J787)=0,"",0&amp;"-"&amp;B$4)</f>
        <v/>
      </c>
      <c r="J787" s="52" t="str">
        <f>IF(N(B$4)=0,"",IF(AND(COUNT(H787:H798)=2,COUNT(F787:F798)=2),cubic_spline(F786:F788,H786:H788,B$4),IF(AND(COUNT(H787:H798)=3,COUNT(F787:F798)=3),cubic_spline(F786:F789,H786:H789,B$4),IF(AND(COUNT(H787:H798)=4,COUNT(F787:F798)=4),cubic_spline(F786:F790,H786:H790,B$4),IF(AND(COUNT(H787:H798)=5,COUNT(F787:F798)=5),cubic_spline(F786:F791,H786:H791,B$4),IF(AND(COUNT(H787:H798)=6,COUNT(F787:F798)=6),cubic_spline(F786:F792,H786:H792,B$4),IF(AND(COUNT(H787:H798)=7,COUNT(F787:F798)=7),cubic_spline(F786:F793,H786:H793,B$4),IF(AND(COUNT(H787:H798)=8,COUNT(F787:F798)=8),cubic_spline(F786:F794,H786:H794,B$4),IF(AND(COUNT(H787:H798)=9,COUNT(F787:F798)=9),cubic_spline(F786:F795,H786:H795,B$4),IF(AND(COUNT(H787:H798)=10,COUNT(F787:F798)=10),cubic_spline(F786:F796,H786:H796,B$4),IF(AND(COUNT(H787:H798)=11,COUNT(F787:F798)=11),cubic_spline(F786:F797,H786:H797,B$4),IF(AND(COUNT(H787:H798)=12,COUNT(F787:F798)=12),cubic_spline(F786:F798,H786:H798,B$4),""))))))))))))</f>
        <v/>
      </c>
      <c r="K787" s="52" t="str">
        <f>IF(N(B$4)=0,"",IF(AND(COUNT(A787:A798)=2,COUNT(F787:F798)=2),cubic_spline(F786:F788,A786:A788,B$4),IF(AND(COUNT(A787:A798)=3,COUNT(F787:F798)=3),cubic_spline(F786:F789,A786:A789,B$4),IF(AND(COUNT(A787:A798)=4,COUNT(F787:F798)=4),cubic_spline(F786:F790,A786:A790,B$4),IF(AND(COUNT(A787:A798)=5,COUNT(F787:F798)=5),cubic_spline(F786:F791,A786:A791,B$4),IF(AND(COUNT(A787:A798)=6,COUNT(F787:F798)=6),cubic_spline(F786:F792,A786:A792,B$4),IF(AND(COUNT(A787:A798)=7,COUNT(F787:F798)=7),cubic_spline(F786:F793,A786:A793,B$4),IF(AND(COUNT(A787:A798)=8,COUNT(F787:F798)=8),cubic_spline(F786:F794,A786:A794,B$4),IF(AND(COUNT(A787:A798)=9,COUNT(F787:F798)=9),cubic_spline(F786:F795,A786:A795,B$4),IF(AND(COUNT(A787:A798)=10,COUNT(F787:F798)=10),cubic_spline(F786:F796,A786:A796,B$4),IF(AND(COUNT(A787:A798)=11,COUNT(F787:F798)=11),cubic_spline(F786:F797,A786:A797,B$4),IF(AND(COUNT(A787:A798)=12,COUNT(F787:F798)=12),cubic_spline(F786:F798,A786:A798,B$4),""))))))))))))</f>
        <v/>
      </c>
      <c r="L787" s="27" t="str">
        <f>IF(I787="","",0&amp;"-"&amp;B$4)</f>
        <v/>
      </c>
      <c r="M787" s="52" t="str">
        <f>IF(N(J787)=0,"",J787-J786)</f>
        <v/>
      </c>
    </row>
    <row r="788" spans="1:13" x14ac:dyDescent="0.35">
      <c r="A788" s="48"/>
      <c r="B788" s="48"/>
      <c r="C788" s="49"/>
      <c r="D788" s="50"/>
      <c r="E788" s="51" t="str">
        <f>IF(N(C788)=0,"",C788/PI()/($D$1/2)^2/$D$2*10000)</f>
        <v/>
      </c>
      <c r="F788" s="68" t="str">
        <f t="shared" si="296"/>
        <v/>
      </c>
      <c r="G788" s="69" t="str">
        <f t="shared" ref="G788:G798" si="298">IF(OR(N(D788)=0,N(E788)=0),"",(E788*D788)/1000)</f>
        <v/>
      </c>
      <c r="H788" s="70" t="str">
        <f t="shared" si="297"/>
        <v/>
      </c>
      <c r="I788" s="27" t="str">
        <f>IF(N(J788)=0,"",0&amp;"-"&amp;B$5)</f>
        <v/>
      </c>
      <c r="J788" s="52" t="str">
        <f>IF(N(B$5)=0,"",IF(AND(COUNT(H787:H798)=2,COUNT(F787:F798)=2),cubic_spline(F786:F788,H786:H788,B$5),IF(AND(COUNT(H787:H798)=3,COUNT(F787:F798)=3),cubic_spline(F786:F789,H786:H789,B$5),IF(AND(COUNT(H787:H798)=4,COUNT(F787:F798)=4),cubic_spline(F786:F790,H786:H790,B$5),IF(AND(COUNT(H787:H798)=5,COUNT(F787:F798)=5),cubic_spline(F786:F791,H786:H791,B$5),IF(AND(COUNT(H787:H798)=6,COUNT(F787:F798)=6),cubic_spline(F786:F792,H786:H792,B$5),IF(AND(COUNT(H787:H798)=7,COUNT(F787:F798)=7),cubic_spline(F786:F793,H786:H793,B$5),IF(AND(COUNT(H787:H798)=8,COUNT(F787:F798)=8),cubic_spline(F786:F794,H786:H794,B$5),IF(AND(COUNT(H787:H798)=9,COUNT(F787:F798)=9),cubic_spline(F786:F795,H786:H795,B$5),IF(AND(COUNT(H787:H798)=10,COUNT(F787:F798)=10),cubic_spline(F786:F796,H786:H796,B$5),IF(AND(COUNT(H787:H798)=11,COUNT(F787:F798)=11),cubic_spline(F786:F797,H786:H797,B$5),IF(AND(COUNT(H787:H798)=12,COUNT(F787:F798)=12),cubic_spline(F786:F798,H786:H798,B$5),""))))))))))))</f>
        <v/>
      </c>
      <c r="K788" s="52" t="str">
        <f>IF(N(B$5)=0,"",IF(AND(COUNT(A787:A798)=2,COUNT(F787:F798)=2),cubic_spline(F786:F788,A786:A788,B$5),IF(AND(COUNT(A787:A798)=3,COUNT(F787:F798)=3),cubic_spline(F786:F789,A786:A789,B$5),IF(AND(COUNT(A787:A798)=4,COUNT(F787:F798)=4),cubic_spline(F786:F790,A786:A790,B$5),IF(AND(COUNT(A787:A798)=5,COUNT(F787:F798)=5),cubic_spline(F786:F791,A786:A791,B$5),IF(AND(COUNT(A787:A798)=6,COUNT(F787:F798)=6),cubic_spline(F786:F792,A786:A792,B$5),IF(AND(COUNT(A787:A798)=7,COUNT(F787:F798)=7),cubic_spline(F786:F793,A786:A793,B$5),IF(AND(COUNT(A787:A798)=8,COUNT(F787:F798)=8),cubic_spline(F786:F794,A786:A794,B$5),IF(AND(COUNT(A787:A798)=9,COUNT(F787:F798)=9),cubic_spline(F786:F795,A786:A795,B$5),IF(AND(COUNT(A787:A798)=10,COUNT(F787:F798)=10),cubic_spline(F786:F796,A786:A796,B$5),IF(AND(COUNT(A787:A798)=11,COUNT(F787:F798)=11),cubic_spline(F786:F797,A786:A797,B$5),IF(AND(COUNT(A787:A798)=12,COUNT(F787:F798)=12),cubic_spline(F786:F798,A786:A798,B$5),""))))))))))))</f>
        <v/>
      </c>
      <c r="L788" s="27" t="str">
        <f>IF(I788="","",B$4&amp;"-"&amp;B$5)</f>
        <v/>
      </c>
      <c r="M788" s="52" t="str">
        <f>IF(N(J788)=0,"",J788-J787)</f>
        <v/>
      </c>
    </row>
    <row r="789" spans="1:13" x14ac:dyDescent="0.35">
      <c r="A789" s="48"/>
      <c r="B789" s="48"/>
      <c r="C789" s="49"/>
      <c r="D789" s="50"/>
      <c r="E789" s="51" t="str">
        <f>IF(N(C789)=0,"",C789/PI()/($D$1/2)^2/$D$2*10000)</f>
        <v/>
      </c>
      <c r="F789" s="68" t="str">
        <f t="shared" si="296"/>
        <v/>
      </c>
      <c r="G789" s="69" t="str">
        <f t="shared" si="298"/>
        <v/>
      </c>
      <c r="H789" s="70" t="str">
        <f t="shared" si="297"/>
        <v/>
      </c>
      <c r="I789" s="27" t="str">
        <f>IF(N(J789)=0,"",0&amp;"-"&amp;B$6)</f>
        <v/>
      </c>
      <c r="J789" s="52" t="str">
        <f>IF(N(B$6)=0,"",IF(AND(COUNT(H787:H798)=2,COUNT(F787:F798)=2),cubic_spline(F786:F788,H786:H788,B$6),IF(AND(COUNT(H787:H798)=3,COUNT(F787:F798)=3),cubic_spline(F786:F789,H786:H789,B$6),IF(AND(COUNT(H787:H798)=4,COUNT(F787:F798)=4),cubic_spline(F786:F790,H786:H790,B$6),IF(AND(COUNT(H787:H798)=5,COUNT(F787:F798)=5),cubic_spline(F786:F791,H786:H791,B$6),IF(AND(COUNT(H787:H798)=6,COUNT(F787:F798)=6),cubic_spline(F786:F792,H786:H792,B$6),IF(AND(COUNT(H787:H798)=7,COUNT(F787:F798)=7),cubic_spline(F786:F793,H786:H793,B$6),IF(AND(COUNT(H787:H798)=8,COUNT(F787:F798)=8),cubic_spline(F786:F794,H786:H794,B$6),IF(AND(COUNT(H787:H798)=9,COUNT(F787:F798)=9),cubic_spline(F786:F795,H786:H795,B$6),IF(AND(COUNT(H787:H798)=10,COUNT(F787:F798)=10),cubic_spline(F786:F796,H786:H796,B$6),IF(AND(COUNT(H787:H798)=11,COUNT(F787:F798)=11),cubic_spline(F786:F797,H786:H797,B$6),IF(AND(COUNT(H787:H798)=12,COUNT(F787:F798)=12),cubic_spline(F786:F798,H786:H798,B$6),""))))))))))))</f>
        <v/>
      </c>
      <c r="K789" s="52" t="str">
        <f>IF(N(B$6)=0,"",IF(AND(COUNT(A787:A798)=2,COUNT(F787:F798)=2),cubic_spline(F786:F788,A786:A788,B$6),IF(AND(COUNT(A787:A798)=3,COUNT(F787:F798)=3),cubic_spline(F786:F789,A786:A789,B$6),IF(AND(COUNT(A787:A798)=4,COUNT(F787:F798)=4),cubic_spline(F786:F790,A786:A790,B$6),IF(AND(COUNT(A787:A798)=5,COUNT(F787:F798)=5),cubic_spline(F786:F791,A786:A791,B$6),IF(AND(COUNT(A787:A798)=6,COUNT(F787:F798)=6),cubic_spline(F786:F792,A786:A792,B$6),IF(AND(COUNT(A787:A798)=7,COUNT(F787:F798)=7),cubic_spline(F786:F793,A786:A793,B$6),IF(AND(COUNT(A787:A798)=8,COUNT(F787:F798)=8),cubic_spline(F786:F794,A786:A794,B$6),IF(AND(COUNT(A787:A798)=9,COUNT(F787:F798)=9),cubic_spline(F786:F795,A786:A795,B$6),IF(AND(COUNT(A787:A798)=10,COUNT(F787:F798)=10),cubic_spline(F786:F796,A786:A796,B$6),IF(AND(COUNT(A787:A798)=11,COUNT(F787:F798)=11),cubic_spline(F786:F797,A786:A797,B$6),IF(AND(COUNT(A787:A798)=12,COUNT(F787:F798)=12),cubic_spline(F786:F798,A786:A798,B$6),""))))))))))))</f>
        <v/>
      </c>
      <c r="L789" s="27" t="str">
        <f>IF(I789="","",B$5&amp;"-"&amp;B$6)</f>
        <v/>
      </c>
      <c r="M789" s="52" t="str">
        <f>IF(N(J789)=0,"",J789-J788)</f>
        <v/>
      </c>
    </row>
    <row r="790" spans="1:13" x14ac:dyDescent="0.35">
      <c r="A790" s="48"/>
      <c r="B790" s="48"/>
      <c r="C790" s="49"/>
      <c r="D790" s="50"/>
      <c r="E790" s="51" t="str">
        <f>IF(N(C790)=0,"",C790/PI()/($D$1/2)^2/$D$2*10000)</f>
        <v/>
      </c>
      <c r="F790" s="68" t="str">
        <f t="shared" si="296"/>
        <v/>
      </c>
      <c r="G790" s="69" t="str">
        <f t="shared" si="298"/>
        <v/>
      </c>
      <c r="H790" s="70" t="str">
        <f t="shared" si="297"/>
        <v/>
      </c>
      <c r="I790" s="27" t="str">
        <f>IF(N(J790)=0,"",0&amp;"-"&amp;B$7)</f>
        <v/>
      </c>
      <c r="J790" s="52" t="str">
        <f>IF(N(B$7)=0,"",IF(AND(COUNT(H787:H798)=2,COUNT(F787:F798)=2),cubic_spline(F786:F788,H786:H788,B$7),IF(AND(COUNT(H787:H798)=3,COUNT(F787:F798)=3),cubic_spline(F786:F789,H786:H789,B$7),IF(AND(COUNT(H787:H798)=4,COUNT(F787:F798)=4),cubic_spline(F786:F790,H786:H790,B$7),IF(AND(COUNT(H787:H798)=5,COUNT(F787:F798)=5),cubic_spline(F786:F791,H786:H791,B$7),IF(AND(COUNT(H787:H798)=6,COUNT(F787:F798)=6),cubic_spline(F786:F792,H786:H792,B$7),IF(AND(COUNT(H787:H798)=7,COUNT(F787:F798)=7),cubic_spline(F786:F793,H786:H793,B$7),IF(AND(COUNT(H787:H798)=8,COUNT(F787:F798)=8),cubic_spline(F786:F794,H786:H794,B$7),IF(AND(COUNT(H787:H798)=9,COUNT(F787:F798)=9),cubic_spline(F786:F795,H786:H795,B$7),IF(AND(COUNT(H787:H798)=10,COUNT(F787:F798)=10),cubic_spline(F786:F796,H786:H796,B$7),IF(AND(COUNT(H787:H798)=11,COUNT(F787:F798)=11),cubic_spline(F786:F797,H786:H797,B$7),IF(AND(COUNT(H787:H798)=12,COUNT(F787:F798)=12),cubic_spline(F786:F798,H786:H798,B$7),""))))))))))))</f>
        <v/>
      </c>
      <c r="K790" s="52" t="str">
        <f>IF(N(B$7)=0,"",IF(AND(COUNT(A787:A798)=2,COUNT(F787:F798)=2),cubic_spline(F786:F788,A786:A788,B$7),IF(AND(COUNT(A787:A798)=3,COUNT(F787:F798)=3),cubic_spline(F786:F789,A786:A789,B$7),IF(AND(COUNT(A787:A798)=4,COUNT(F787:F798)=4),cubic_spline(F786:F790,A786:A790,B$7),IF(AND(COUNT(A787:A798)=5,COUNT(F787:F798)=5),cubic_spline(F786:F791,A786:A791,B$7),IF(AND(COUNT(A787:A798)=6,COUNT(F787:F798)=6),cubic_spline(F786:F792,A786:A792,B$7),IF(AND(COUNT(A787:A798)=7,COUNT(F787:F798)=7),cubic_spline(F786:F793,A786:A793,B$7),IF(AND(COUNT(A787:A798)=8,COUNT(F787:F798)=8),cubic_spline(F786:F794,A786:A794,B$7),IF(AND(COUNT(A787:A798)=9,COUNT(F787:F798)=9),cubic_spline(F786:F795,A786:A795,B$7),IF(AND(COUNT(A787:A798)=10,COUNT(F787:F798)=10),cubic_spline(F786:F796,A786:A796,B$7),IF(AND(COUNT(A787:A798)=11,COUNT(F787:F798)=11),cubic_spline(F786:F797,A786:A797,B$7),IF(AND(COUNT(A787:A798)=12,COUNT(F787:F798)=12),cubic_spline(F786:F798,A786:A798,B$7),""))))))))))))</f>
        <v/>
      </c>
      <c r="L790" s="27" t="str">
        <f>IF(I790="","",B$6&amp;"-"&amp;B$7)</f>
        <v/>
      </c>
      <c r="M790" s="52" t="str">
        <f>IF(N(J790)=0,"",J790-J789)</f>
        <v/>
      </c>
    </row>
    <row r="791" spans="1:13" x14ac:dyDescent="0.35">
      <c r="A791" s="48"/>
      <c r="B791" s="48"/>
      <c r="C791" s="49"/>
      <c r="D791" s="50"/>
      <c r="E791" s="51" t="str">
        <f t="shared" ref="E791:E798" si="299">IF(N(C791)=0,"",C791/PI()/($D$1/2)^2/$D$2*10000)</f>
        <v/>
      </c>
      <c r="F791" s="71" t="str">
        <f t="shared" si="296"/>
        <v/>
      </c>
      <c r="G791" s="69" t="str">
        <f t="shared" si="298"/>
        <v/>
      </c>
      <c r="H791" s="70" t="str">
        <f t="shared" si="297"/>
        <v/>
      </c>
      <c r="I791" s="27" t="str">
        <f>IF(N(J791)=0,"",0&amp;"-"&amp;B$8)</f>
        <v/>
      </c>
      <c r="J791" s="52" t="str">
        <f>IF(N(B$8)=0,"",IF(AND(COUNT(H787:H798)=2,COUNT(F787:F798)=2),cubic_spline(F786:F788,H786:H788,B$8),IF(AND(COUNT(H787:H798)=3,COUNT(F787:F798)=3),cubic_spline(F786:F789,H786:H789,B$8),IF(AND(COUNT(H787:H798)=4,COUNT(F787:F798)=4),cubic_spline(F786:F790,H786:H790,B$8),IF(AND(COUNT(H787:H798)=5,COUNT(F787:F798)=5),cubic_spline(F786:F791,H786:H791,B$8),IF(AND(COUNT(H787:H798)=6,COUNT(F787:F798)=6),cubic_spline(F786:F792,H786:H792,B$8),IF(AND(COUNT(H787:H798)=7,COUNT(F787:F798)=7),cubic_spline(F786:F793,H786:H793,B$8),IF(AND(COUNT(H787:H798)=8,COUNT(F787:F798)=8),cubic_spline(F786:F794,H786:H794,B$8),IF(AND(COUNT(H787:H798)=9,COUNT(F787:F798)=9),cubic_spline(F786:F795,H786:H795,B$8),IF(AND(COUNT(H787:H798)=10,COUNT(F787:F798)=10),cubic_spline(F786:F796,H786:H796,B$8),IF(AND(COUNT(H787:H798)=11,COUNT(F787:F798)=11),cubic_spline(F786:F797,H786:H797,B$8),IF(AND(COUNT(H787:H798)=12,COUNT(F787:F798)=12),cubic_spline(F786:F798,H786:H798,B$8),""))))))))))))</f>
        <v/>
      </c>
      <c r="K791" s="52" t="str">
        <f>IF(N(B$8)=0,"",IF(AND(COUNT(A787:A798)=2,COUNT(F787:F798)=2),cubic_spline(F786:F788,A786:A788,B$8),IF(AND(COUNT(A787:A798)=3,COUNT(F787:F798)=3),cubic_spline(F786:F789,A786:A789,B$8),IF(AND(COUNT(A787:A798)=4,COUNT(F787:F798)=4),cubic_spline(F786:F790,A786:A790,B$8),IF(AND(COUNT(A787:A798)=5,COUNT(F787:F798)=5),cubic_spline(F786:F791,A786:A791,B$8),IF(AND(COUNT(A787:A798)=6,COUNT(F787:F798)=6),cubic_spline(F786:F792,A786:A792,B$8),IF(AND(COUNT(A787:A798)=7,COUNT(F787:F798)=7),cubic_spline(F786:F793,A786:A793,B$8),IF(AND(COUNT(A787:A798)=8,COUNT(F787:F798)=8),cubic_spline(F786:F794,A786:A794,B$8),IF(AND(COUNT(A787:A798)=9,COUNT(F787:F798)=9),cubic_spline(F786:F795,A786:A795,B$8),IF(AND(COUNT(A787:A798)=10,COUNT(F787:F798)=10),cubic_spline(F786:F796,A786:A796,B$8),IF(AND(COUNT(A787:A798)=11,COUNT(F787:F798)=11),cubic_spline(F786:F797,A786:A797,B$8),IF(AND(COUNT(A787:A798)=12,COUNT(F787:F798)=12),cubic_spline(F786:F798,A786:A798,B$8),""))))))))))))</f>
        <v/>
      </c>
      <c r="L791" s="27" t="str">
        <f>IF(I791="","",B$7&amp;"-"&amp;B$8)</f>
        <v/>
      </c>
      <c r="M791" s="52" t="str">
        <f>IF(N(J791)=0,"",J791-J790)</f>
        <v/>
      </c>
    </row>
    <row r="792" spans="1:13" x14ac:dyDescent="0.35">
      <c r="A792" s="48"/>
      <c r="B792" s="48"/>
      <c r="C792" s="49"/>
      <c r="D792" s="50"/>
      <c r="E792" s="51" t="str">
        <f t="shared" si="299"/>
        <v/>
      </c>
      <c r="F792" s="71" t="str">
        <f t="shared" si="296"/>
        <v/>
      </c>
      <c r="G792" s="69" t="str">
        <f t="shared" si="298"/>
        <v/>
      </c>
      <c r="H792" s="70" t="str">
        <f t="shared" si="297"/>
        <v/>
      </c>
      <c r="I792" s="27" t="str">
        <f>IF(N(J792)=0,"",0&amp;"-"&amp;B$9)</f>
        <v/>
      </c>
      <c r="J792" s="52" t="str">
        <f>IF(N(B$9)=0,"",IF(AND(COUNT(H787:H798)=2,COUNT(F787:F798)=2),cubic_spline(F786:F788,H786:H788,B$9),IF(AND(COUNT(H787:H798)=3,COUNT(F787:F798)=3),cubic_spline(F786:F789,H786:H789,B$9),IF(AND(COUNT(H787:H798)=4,COUNT(F787:F798)=4),cubic_spline(F786:F790,H786:H790,B$9),IF(AND(COUNT(H787:H798)=5,COUNT(F787:F798)=5),cubic_spline(F786:F791,H786:H791,B$9),IF(AND(COUNT(H787:H798)=6,COUNT(F787:F798)=6),cubic_spline(F786:F792,H786:H792,B$9),IF(AND(COUNT(H787:H798)=7,COUNT(F787:F798)=7),cubic_spline(F786:F793,H786:H793,B$9),IF(AND(COUNT(H787:H798)=8,COUNT(F787:F798)=8),cubic_spline(F786:F794,H786:H794,B$9),IF(AND(COUNT(H787:H798)=9,COUNT(F787:F798)=9),cubic_spline(F786:F795,H786:H795,B$9),IF(AND(COUNT(H787:H798)=10,COUNT(F787:F798)=10),cubic_spline(F786:F796,H786:H796,B$9),IF(AND(COUNT(H787:H798)=11,COUNT(F787:F798)=11),cubic_spline(F786:F797,H786:H797,B$9),IF(AND(COUNT(H787:H798)=12,COUNT(F787:F798)=12),cubic_spline(F786:F798,H786:H798,B$9),""))))))))))))</f>
        <v/>
      </c>
      <c r="K792" s="52" t="str">
        <f>IF(N(B$9)=0,"",IF(AND(COUNT(A787:A798)=2,COUNT(F787:F798)=2),cubic_spline(F786:F788,A786:A788,B$9),IF(AND(COUNT(A787:A798)=3,COUNT(F787:F798)=3),cubic_spline(F786:F789,A786:A789,B$9),IF(AND(COUNT(A787:A798)=4,COUNT(F787:F798)=4),cubic_spline(F786:F790,A786:A790,B$9),IF(AND(COUNT(A787:A798)=5,COUNT(F787:F798)=5),cubic_spline(F786:F791,A786:A791,B$9),IF(AND(COUNT(A787:A798)=6,COUNT(F787:F798)=6),cubic_spline(F786:F792,A786:A792,B$9),IF(AND(COUNT(A787:A798)=7,COUNT(F787:F798)=7),cubic_spline(F786:F793,A786:A793,B$9),IF(AND(COUNT(A787:A798)=8,COUNT(F787:F798)=8),cubic_spline(F786:F794,A786:A794,B$9),IF(AND(COUNT(A787:A798)=9,COUNT(F787:F798)=9),cubic_spline(F786:F795,A786:A795,B$9),IF(AND(COUNT(A787:A798)=10,COUNT(F787:F798)=10),cubic_spline(F786:F796,A786:A796,B$9),IF(AND(COUNT(A787:A798)=11,COUNT(F787:F798)=11),cubic_spline(F786:F797,A786:A797,B$9),IF(AND(COUNT(A787:A798)=12,COUNT(F787:F798)=12),cubic_spline(F786:F798,A786:A798,B$9),""))))))))))))</f>
        <v/>
      </c>
      <c r="L792" s="27" t="str">
        <f>IF(I792="","",B$8&amp;"-"&amp;B$9)</f>
        <v/>
      </c>
      <c r="M792" s="52" t="str">
        <f t="shared" ref="M792:M798" si="300">IF(N(J792)=0,"",J792-J791)</f>
        <v/>
      </c>
    </row>
    <row r="793" spans="1:13" x14ac:dyDescent="0.35">
      <c r="A793" s="48"/>
      <c r="B793" s="48"/>
      <c r="C793" s="49"/>
      <c r="D793" s="50"/>
      <c r="E793" s="51" t="str">
        <f t="shared" si="299"/>
        <v/>
      </c>
      <c r="F793" s="71" t="str">
        <f t="shared" si="296"/>
        <v/>
      </c>
      <c r="G793" s="69" t="str">
        <f t="shared" si="298"/>
        <v/>
      </c>
      <c r="H793" s="70" t="str">
        <f t="shared" si="297"/>
        <v/>
      </c>
      <c r="I793" s="27" t="str">
        <f>IF(N(J793)=0,"",0&amp;"-"&amp;B$10)</f>
        <v/>
      </c>
      <c r="J793" s="52" t="str">
        <f>IF(N(B$10)=0,"",IF(AND(COUNT(H787:H798)=2,COUNT(F787:F798)=2),cubic_spline(F786:F788,H786:H788,B$10),IF(AND(COUNT(H787:H798)=3,COUNT(F787:F798)=3),cubic_spline(F786:F789,H786:H789,B$10),IF(AND(COUNT(H787:H798)=4,COUNT(F787:F798)=4),cubic_spline(F786:F790,H786:H790,B$10),IF(AND(COUNT(H787:H798)=5,COUNT(F787:F798)=5),cubic_spline(F786:F791,H786:H791,B$10),IF(AND(COUNT(H787:H798)=6,COUNT(F787:F798)=6),cubic_spline(F786:F792,H786:H792,B$10),IF(AND(COUNT(H787:H798)=7,COUNT(F787:F798)=7),cubic_spline(F786:F793,H786:H793,B$10),IF(AND(COUNT(H787:H798)=8,COUNT(F787:F798)=8),cubic_spline(F786:F794,H786:H794,B$10),IF(AND(COUNT(H787:H798)=9,COUNT(F787:F798)=9),cubic_spline(F786:F795,H786:H795,B$10),IF(AND(COUNT(H787:H798)=10,COUNT(F787:F798)=10),cubic_spline(F786:F796,H786:H796,B$10),IF(AND(COUNT(H787:H798)=11,COUNT(F787:F798)=11),cubic_spline(F786:F797,H786:H797,B$10),IF(AND(COUNT(H787:H798)=12,COUNT(F787:F798)=12),cubic_spline(F786:F798,H786:H798,B$10),""))))))))))))</f>
        <v/>
      </c>
      <c r="K793" s="52" t="str">
        <f>IF(N(B$10)=0,"",IF(AND(COUNT(A787:A798)=2,COUNT(F787:F798)=2),cubic_spline(F786:F788,A786:A788,B$10),IF(AND(COUNT(A787:A798)=3,COUNT(F787:F798)=3),cubic_spline(F786:F789,A786:A789,B$10),IF(AND(COUNT(A787:A798)=4,COUNT(F787:F798)=4),cubic_spline(F786:F790,A786:A790,B$10),IF(AND(COUNT(A787:A798)=5,COUNT(F787:F798)=5),cubic_spline(F786:F791,A786:A791,B$10),IF(AND(COUNT(A787:A798)=6,COUNT(F787:F798)=6),cubic_spline(F786:F792,A786:A792,B$10),IF(AND(COUNT(A787:A798)=7,COUNT(F787:F798)=7),cubic_spline(F786:F793,A786:A793,B$10),IF(AND(COUNT(A787:A798)=8,COUNT(F787:F798)=8),cubic_spline(F786:F794,A786:A794,B$10),IF(AND(COUNT(A787:A798)=9,COUNT(F787:F798)=9),cubic_spline(F786:F795,A786:A795,B$10),IF(AND(COUNT(A787:A798)=10,COUNT(F787:F798)=10),cubic_spline(F786:F796,A786:A796,B$10),IF(AND(COUNT(A787:A798)=11,COUNT(F787:F798)=11),cubic_spline(F786:F797,A786:A797,B$10),IF(AND(COUNT(A787:A798)=12,COUNT(F787:F798)=12),cubic_spline(F786:F798,A786:A798,B$10),""))))))))))))</f>
        <v/>
      </c>
      <c r="L793" s="27" t="str">
        <f>IF(I793="","",B$9&amp;"-"&amp;B$10)</f>
        <v/>
      </c>
      <c r="M793" s="52" t="str">
        <f t="shared" si="300"/>
        <v/>
      </c>
    </row>
    <row r="794" spans="1:13" x14ac:dyDescent="0.35">
      <c r="A794" s="48"/>
      <c r="B794" s="48"/>
      <c r="C794" s="49"/>
      <c r="D794" s="50"/>
      <c r="E794" s="51" t="str">
        <f t="shared" si="299"/>
        <v/>
      </c>
      <c r="F794" s="71" t="str">
        <f t="shared" si="296"/>
        <v/>
      </c>
      <c r="G794" s="69" t="str">
        <f t="shared" si="298"/>
        <v/>
      </c>
      <c r="H794" s="70" t="str">
        <f t="shared" si="297"/>
        <v/>
      </c>
      <c r="I794" s="27" t="str">
        <f>IF(N(J794)=0,"",0&amp;"-"&amp;B$11)</f>
        <v/>
      </c>
      <c r="J794" s="52" t="str">
        <f>IF(N(B$11)=0,"",IF(AND(COUNT(H787:H798)=2,COUNT(F787:F798)=2),cubic_spline(F786:F788,H786:H788,B$11),IF(AND(COUNT(H787:H798)=3,COUNT(F787:F798)=3),cubic_spline(F786:F789,H786:H789,B$11),IF(AND(COUNT(H787:H798)=4,COUNT(F787:F798)=4),cubic_spline(F786:F790,H786:H790,B$11),IF(AND(COUNT(H787:H798)=5,COUNT(F787:F798)=5),cubic_spline(F786:F791,H786:H791,B$11),IF(AND(COUNT(H787:H798)=6,COUNT(F787:F798)=6),cubic_spline(F786:F792,H786:H792,B$11),IF(AND(COUNT(H787:H798)=7,COUNT(F787:F798)=7),cubic_spline(F786:F793,H786:H793,B$11),IF(AND(COUNT(H787:H798)=8,COUNT(F787:F798)=8),cubic_spline(F786:F794,H786:H794,B$11),IF(AND(COUNT(H787:H798)=9,COUNT(F787:F798)=9),cubic_spline(F786:F795,H786:H795,B$11),IF(AND(COUNT(H787:H798)=10,COUNT(F787:F798)=10),cubic_spline(F786:F796,H786:H796,B$11),IF(AND(COUNT(H787:H798)=11,COUNT(F787:F798)=11),cubic_spline(F786:F797,H786:H797,B$11),IF(AND(COUNT(H787:H798)=12,COUNT(F787:F798)=12),cubic_spline(F786:F798,H786:H798,B$11),""))))))))))))</f>
        <v/>
      </c>
      <c r="K794" s="52" t="str">
        <f>IF(N(B$11)=0,"",IF(AND(COUNT(A787:A798)=2,COUNT(F787:F798)=2),cubic_spline(F786:F788,A786:A788,B$11),IF(AND(COUNT(A787:A798)=3,COUNT(F787:F798)=3),cubic_spline(F786:F789,A786:A789,B$11),IF(AND(COUNT(A787:A798)=4,COUNT(F787:F798)=4),cubic_spline(F786:F790,A786:A790,B$11),IF(AND(COUNT(A787:A798)=5,COUNT(F787:F798)=5),cubic_spline(F786:F791,A786:A791,B$11),IF(AND(COUNT(A787:A798)=6,COUNT(F787:F798)=6),cubic_spline(F786:F792,A786:A792,B$11),IF(AND(COUNT(A787:A798)=7,COUNT(F787:F798)=7),cubic_spline(F786:F793,A786:A793,B$11),IF(AND(COUNT(A787:A798)=8,COUNT(F787:F798)=8),cubic_spline(F786:F794,A786:A794,B$11),IF(AND(COUNT(A787:A798)=9,COUNT(F787:F798)=9),cubic_spline(F786:F795,A786:A795,B$11),IF(AND(COUNT(A787:A798)=10,COUNT(F787:F798)=10),cubic_spline(F786:F796,A786:A796,B$11),IF(AND(COUNT(A787:A798)=11,COUNT(F787:F798)=11),cubic_spline(F786:F797,A786:A797,B$11),IF(AND(COUNT(A787:A798)=12,COUNT(F787:F798)=12),cubic_spline(F786:F798,A786:A798,B$11),""))))))))))))</f>
        <v/>
      </c>
      <c r="L794" s="27" t="str">
        <f>IF(I794="","",B$10&amp;"-"&amp;B$11)</f>
        <v/>
      </c>
      <c r="M794" s="52" t="str">
        <f t="shared" si="300"/>
        <v/>
      </c>
    </row>
    <row r="795" spans="1:13" x14ac:dyDescent="0.35">
      <c r="A795" s="48"/>
      <c r="B795" s="48"/>
      <c r="C795" s="49"/>
      <c r="D795" s="50"/>
      <c r="E795" s="51" t="str">
        <f t="shared" si="299"/>
        <v/>
      </c>
      <c r="F795" s="71" t="str">
        <f t="shared" si="296"/>
        <v/>
      </c>
      <c r="G795" s="69" t="str">
        <f t="shared" si="298"/>
        <v/>
      </c>
      <c r="H795" s="70" t="str">
        <f t="shared" si="297"/>
        <v/>
      </c>
      <c r="I795" s="27" t="str">
        <f>IF(N(J795)=0,"",0&amp;"-"&amp;B$12)</f>
        <v/>
      </c>
      <c r="J795" s="52" t="str">
        <f>IF(N(B$12)=0,"",IF(AND(COUNT(H787:H798)=2,COUNT(F787:F798)=2),cubic_spline(F786:F788,H786:H788,B$12),IF(AND(COUNT(H787:H798)=3,COUNT(F787:F798)=3),cubic_spline(F786:F789,H786:H789,B$12),IF(AND(COUNT(H787:H798)=4,COUNT(F787:F798)=4),cubic_spline(F786:F790,H786:H790,B$12),IF(AND(COUNT(H787:H798)=5,COUNT(F787:F798)=5),cubic_spline(F786:F791,H786:H791,B$12),IF(AND(COUNT(H787:H798)=6,COUNT(F787:F798)=6),cubic_spline(F786:F792,H786:H792,B$12),IF(AND(COUNT(H787:H798)=7,COUNT(F787:F798)=7),cubic_spline(F786:F793,H786:H793,B$12),IF(AND(COUNT(H787:H798)=8,COUNT(F787:F798)=8),cubic_spline(F786:F794,H786:H794,B$12),IF(AND(COUNT(H787:H798)=9,COUNT(F787:F798)=9),cubic_spline(F786:F795,H786:H795,B$12),IF(AND(COUNT(H787:H798)=10,COUNT(F787:F798)=10),cubic_spline(F786:F796,H786:H796,B$12),IF(AND(COUNT(H787:H798)=11,COUNT(F787:F798)=11),cubic_spline(F786:F797,H786:H797,B$12),IF(AND(COUNT(H787:H798)=12,COUNT(F787:F798)=12),cubic_spline(F786:F798,H786:H798,B$12),""))))))))))))</f>
        <v/>
      </c>
      <c r="K795" s="52" t="str">
        <f>IF(N(B$12)=0,"",IF(AND(COUNT(A787:A798)=2,COUNT(F787:F798)=2),cubic_spline(F786:F788,A786:A788,B$12),IF(AND(COUNT(A787:A798)=3,COUNT(F787:F798)=3),cubic_spline(F786:F789,A786:A789,B$12),IF(AND(COUNT(A787:A798)=4,COUNT(F787:F798)=4),cubic_spline(F786:F790,A786:A790,B$12),IF(AND(COUNT(A787:A798)=5,COUNT(F787:F798)=5),cubic_spline(F786:F791,A786:A791,B$12),IF(AND(COUNT(A787:A798)=6,COUNT(F787:F798)=6),cubic_spline(F786:F792,A786:A792,B$12),IF(AND(COUNT(A787:A798)=7,COUNT(F787:F798)=7),cubic_spline(F786:F793,A786:A793,B$12),IF(AND(COUNT(A787:A798)=8,COUNT(F787:F798)=8),cubic_spline(F786:F794,A786:A794,B$12),IF(AND(COUNT(A787:A798)=9,COUNT(F787:F798)=9),cubic_spline(F786:F795,A786:A795,B$12),IF(AND(COUNT(A787:A798)=10,COUNT(F787:F798)=10),cubic_spline(F786:F796,A786:A796,B$12),IF(AND(COUNT(A787:A798)=11,COUNT(F787:F798)=11),cubic_spline(F786:F797,A786:A797,B$12),IF(AND(COUNT(A787:A798)=12,COUNT(F787:F798)=12),cubic_spline(F786:F798,A786:A798,B$12),""))))))))))))</f>
        <v/>
      </c>
      <c r="L795" s="27" t="str">
        <f>IF(I795="","",B$11&amp;"-"&amp;B$12)</f>
        <v/>
      </c>
      <c r="M795" s="52" t="str">
        <f t="shared" si="300"/>
        <v/>
      </c>
    </row>
    <row r="796" spans="1:13" x14ac:dyDescent="0.35">
      <c r="A796" s="48"/>
      <c r="B796" s="48"/>
      <c r="C796" s="49"/>
      <c r="D796" s="50"/>
      <c r="E796" s="51" t="str">
        <f t="shared" si="299"/>
        <v/>
      </c>
      <c r="F796" s="71" t="str">
        <f t="shared" si="296"/>
        <v/>
      </c>
      <c r="G796" s="69" t="str">
        <f t="shared" si="298"/>
        <v/>
      </c>
      <c r="H796" s="70" t="str">
        <f t="shared" si="297"/>
        <v/>
      </c>
      <c r="I796" s="27" t="str">
        <f>IF(N(J796)=0,"",0&amp;"-"&amp;B$13)</f>
        <v/>
      </c>
      <c r="J796" s="52" t="str">
        <f>IF(N(B$13)=0,"",IF(AND(COUNT(H787:H798)=2,COUNT(F787:F798)=2),cubic_spline(F786:F788,H786:H788,B$13),IF(AND(COUNT(H787:H798)=3,COUNT(F787:F798)=3),cubic_spline(F786:F789,H786:H789,B$13),IF(AND(COUNT(H787:H798)=4,COUNT(F787:F798)=4),cubic_spline(F786:F790,H786:H790,B$13),IF(AND(COUNT(H787:H798)=5,COUNT(F787:F798)=5),cubic_spline(F786:F791,H786:H791,B$13),IF(AND(COUNT(H787:H798)=6,COUNT(F787:F798)=6),cubic_spline(F786:F792,H786:H792,B$13),IF(AND(COUNT(H787:H798)=7,COUNT(F787:F798)=7),cubic_spline(F786:F793,H786:H793,B$13),IF(AND(COUNT(H787:H798)=8,COUNT(F787:F798)=8),cubic_spline(F786:F794,H786:H794,B$13),IF(AND(COUNT(H787:H798)=9,COUNT(F787:F798)=9),cubic_spline(F786:F795,H786:H795,B$13),IF(AND(COUNT(H787:H798)=10,COUNT(F787:F798)=10),cubic_spline(F786:F796,H786:H796,B$13),IF(AND(COUNT(H787:H798)=11,COUNT(F787:F798)=11),cubic_spline(F786:F797,H786:H797,B$13),IF(AND(COUNT(H787:H798)=12,COUNT(F787:F798)=12),cubic_spline(F786:F798,H786:H798,B$13),""))))))))))))</f>
        <v/>
      </c>
      <c r="K796" s="52" t="str">
        <f>IF(N(B$13)=0,"",IF(AND(COUNT(A787:A798)=2,COUNT(F787:F798)=2),cubic_spline(F786:F788,A786:A788,B$13),IF(AND(COUNT(A787:A798)=3,COUNT(F787:F798)=3),cubic_spline(F786:F789,A786:A789,B$13),IF(AND(COUNT(A787:A798)=4,COUNT(F787:F798)=4),cubic_spline(F786:F790,A786:A790,B$13),IF(AND(COUNT(A787:A798)=5,COUNT(F787:F798)=5),cubic_spline(F786:F791,A786:A791,B$13),IF(AND(COUNT(A787:A798)=6,COUNT(F787:F798)=6),cubic_spline(F786:F792,A786:A792,B$13),IF(AND(COUNT(A787:A798)=7,COUNT(F787:F798)=7),cubic_spline(F786:F793,A786:A793,B$13),IF(AND(COUNT(A787:A798)=8,COUNT(F787:F798)=8),cubic_spline(F786:F794,A786:A794,B$13),IF(AND(COUNT(A787:A798)=9,COUNT(F787:F798)=9),cubic_spline(F786:F795,A786:A795,B$13),IF(AND(COUNT(A787:A798)=10,COUNT(F787:F798)=10),cubic_spline(F786:F796,A786:A796,B$13),IF(AND(COUNT(A787:A798)=11,COUNT(F787:F798)=11),cubic_spline(F786:F797,A786:A797,B$13),IF(AND(COUNT(A787:A798)=12,COUNT(F787:F798)=12),cubic_spline(F786:F798,A786:A798,B$13),""))))))))))))</f>
        <v/>
      </c>
      <c r="L796" s="27" t="str">
        <f>IF(I796="","",B$12&amp;"-"&amp;B$13)</f>
        <v/>
      </c>
      <c r="M796" s="52" t="str">
        <f t="shared" si="300"/>
        <v/>
      </c>
    </row>
    <row r="797" spans="1:13" x14ac:dyDescent="0.35">
      <c r="A797" s="48"/>
      <c r="B797" s="48"/>
      <c r="C797" s="49"/>
      <c r="D797" s="50"/>
      <c r="E797" s="51" t="str">
        <f t="shared" si="299"/>
        <v/>
      </c>
      <c r="F797" s="71" t="str">
        <f t="shared" si="296"/>
        <v/>
      </c>
      <c r="G797" s="69" t="str">
        <f t="shared" si="298"/>
        <v/>
      </c>
      <c r="H797" s="70" t="str">
        <f t="shared" si="297"/>
        <v/>
      </c>
      <c r="I797" s="27" t="str">
        <f>IF(N(J797)=0,"",0&amp;"-"&amp;B$14)</f>
        <v/>
      </c>
      <c r="J797" s="52" t="str">
        <f>IF(N(B$14)=0,"",IF(AND(COUNT(H787:H798)=2,COUNT(F787:F798)=2),cubic_spline(F786:F788,H786:H788,B$14),IF(AND(COUNT(H787:H798)=3,COUNT(F787:F798)=3),cubic_spline(F786:F789,H786:H789,B$14),IF(AND(COUNT(H787:H798)=4,COUNT(F787:F798)=4),cubic_spline(F786:F790,H786:H790,B$14),IF(AND(COUNT(H787:H798)=5,COUNT(F787:F798)=5),cubic_spline(F786:F791,H786:H791,B$14),IF(AND(COUNT(H787:H798)=6,COUNT(F787:F798)=6),cubic_spline(F786:F792,H786:H792,B$14),IF(AND(COUNT(H787:H798)=7,COUNT(F787:F798)=7),cubic_spline(F786:F793,H786:H793,B$14),IF(AND(COUNT(H787:H798)=8,COUNT(F787:F798)=8),cubic_spline(F786:F794,H786:H794,B$14),IF(AND(COUNT(H787:H798)=9,COUNT(F787:F798)=9),cubic_spline(F786:F795,H786:H795,B$14),IF(AND(COUNT(H787:H798)=10,COUNT(F787:F798)=10),cubic_spline(F786:F796,H786:H796,B$14),IF(AND(COUNT(H787:H798)=11,COUNT(F787:F798)=11),cubic_spline(F786:F797,H786:H797,B$14),IF(AND(COUNT(H787:H798)=12,COUNT(F787:F798)=12),cubic_spline(F786:F798,H786:H798,B$14),""))))))))))))</f>
        <v/>
      </c>
      <c r="K797" s="52" t="str">
        <f>IF(N(B$14)=0,"",IF(AND(COUNT(A787:A798)=2,COUNT(F787:F798)=2),cubic_spline(F786:F788,A786:A788,B$14),IF(AND(COUNT(A787:A798)=3,COUNT(F787:F798)=3),cubic_spline(F786:F789,A786:A789,B$14),IF(AND(COUNT(A787:A798)=4,COUNT(F787:F798)=4),cubic_spline(F786:F790,A786:A790,B$14),IF(AND(COUNT(A787:A798)=5,COUNT(F787:F798)=5),cubic_spline(F786:F791,A786:A791,B$14),IF(AND(COUNT(A787:A798)=6,COUNT(F787:F798)=6),cubic_spline(F786:F792,A786:A792,B$14),IF(AND(COUNT(A787:A798)=7,COUNT(F787:F798)=7),cubic_spline(F786:F793,A786:A793,B$14),IF(AND(COUNT(A787:A798)=8,COUNT(F787:F798)=8),cubic_spline(F786:F794,A786:A794,B$14),IF(AND(COUNT(A787:A798)=9,COUNT(F787:F798)=9),cubic_spline(F786:F795,A786:A795,B$14),IF(AND(COUNT(A787:A798)=10,COUNT(F787:F798)=10),cubic_spline(F786:F796,A786:A796,B$14),IF(AND(COUNT(A787:A798)=11,COUNT(F787:F798)=11),cubic_spline(F786:F797,A786:A797,B$14),IF(AND(COUNT(A787:A798)=12,COUNT(F787:F798)=12),cubic_spline(F786:F798,A786:A798,B$14),""))))))))))))</f>
        <v/>
      </c>
      <c r="L797" s="27" t="str">
        <f>IF(I797="","",B$13&amp;"-"&amp;B$14)</f>
        <v/>
      </c>
      <c r="M797" s="52" t="str">
        <f t="shared" si="300"/>
        <v/>
      </c>
    </row>
    <row r="798" spans="1:13" x14ac:dyDescent="0.35">
      <c r="A798" s="48"/>
      <c r="B798" s="48"/>
      <c r="C798" s="49"/>
      <c r="D798" s="50"/>
      <c r="E798" s="51" t="str">
        <f t="shared" si="299"/>
        <v/>
      </c>
      <c r="F798" s="71" t="str">
        <f t="shared" si="296"/>
        <v/>
      </c>
      <c r="G798" s="69" t="str">
        <f t="shared" si="298"/>
        <v/>
      </c>
      <c r="H798" s="70" t="str">
        <f t="shared" si="297"/>
        <v/>
      </c>
      <c r="I798" s="27" t="str">
        <f>IF(N(J798)=0,"",0&amp;"-"&amp;B$15)</f>
        <v/>
      </c>
      <c r="J798" s="52" t="str">
        <f>IF(N(B$15)=0,"",IF(AND(COUNT(H787:H798)=2,COUNT(F787:F798)=2),cubic_spline(F786:F788,H786:H788,B$15),IF(AND(COUNT(H787:H798)=3,COUNT(F787:F798)=3),cubic_spline(F786:F789,H786:H789,B$15),IF(AND(COUNT(H787:H798)=4,COUNT(F787:F798)=4),cubic_spline(F786:F790,H786:H790,B$15),IF(AND(COUNT(H787:H798)=5,COUNT(F787:F798)=5),cubic_spline(F786:F791,H786:H791,B$15),IF(AND(COUNT(H787:H798)=6,COUNT(F787:F798)=6),cubic_spline(F786:F792,H786:H792,B$15),IF(AND(COUNT(H787:H798)=7,COUNT(F787:F798)=7),cubic_spline(F786:F793,H786:H793,B$15),IF(AND(COUNT(H787:H798)=8,COUNT(F787:F798)=8),cubic_spline(F786:F794,H786:H794,B$15),IF(AND(COUNT(H787:H798)=9,COUNT(F787:F798)=9),cubic_spline(F786:F795,H786:H795,B$15),IF(AND(COUNT(H787:H798)=10,COUNT(F787:F798)=10),cubic_spline(F786:F796,H786:H796,B$15),IF(AND(COUNT(H787:H798)=11,COUNT(F787:F798)=11),cubic_spline(F786:F797,H786:H797,B$15),IF(AND(COUNT(H787:H798)=12,COUNT(F787:F798)=12),cubic_spline(F786:F798,H786:H798,B$15),""))))))))))))</f>
        <v/>
      </c>
      <c r="K798" s="52" t="str">
        <f>IF(N(B$15)=0,"",IF(AND(COUNT(A787:A798)=2,COUNT(F787:F798)=2),cubic_spline(F786:F788,A786:A788,B$15),IF(AND(COUNT(A787:A798)=3,COUNT(F787:F798)=3),cubic_spline(F786:F789,A786:A789,B$15),IF(AND(COUNT(A787:A798)=4,COUNT(F787:F798)=4),cubic_spline(F786:F790,A786:A790,B$15),IF(AND(COUNT(A787:A798)=5,COUNT(F787:F798)=5),cubic_spline(F786:F791,A786:A791,B$15),IF(AND(COUNT(A787:A798)=6,COUNT(F787:F798)=6),cubic_spline(F786:F792,A786:A792,B$15),IF(AND(COUNT(A787:A798)=7,COUNT(F787:F798)=7),cubic_spline(F786:F793,A786:A793,B$15),IF(AND(COUNT(A787:A798)=8,COUNT(F787:F798)=8),cubic_spline(F786:F794,A786:A794,B$15),IF(AND(COUNT(A787:A798)=9,COUNT(F787:F798)=9),cubic_spline(F786:F795,A786:A795,B$15),IF(AND(COUNT(A787:A798)=10,COUNT(F787:F798)=10),cubic_spline(F786:F796,A786:A796,B$15),IF(AND(COUNT(A787:A798)=11,COUNT(F787:F798)=11),cubic_spline(F786:F797,A786:A797,B$15),IF(AND(COUNT(A787:A798)=12,COUNT(F787:F798)=12),cubic_spline(F786:F798,A786:A798,B$15),""))))))))))))</f>
        <v/>
      </c>
      <c r="L798" s="27" t="str">
        <f>IF(I798="","",B$14&amp;"-"&amp;B$15)</f>
        <v/>
      </c>
      <c r="M798" s="52" t="str">
        <f t="shared" si="300"/>
        <v/>
      </c>
    </row>
    <row r="799" spans="1:13" ht="5.15" customHeight="1" x14ac:dyDescent="0.35">
      <c r="A799" s="47"/>
      <c r="B799" s="47"/>
      <c r="C799" s="47"/>
      <c r="D799" s="53"/>
      <c r="E799" s="54"/>
      <c r="F799" s="55"/>
      <c r="G799" s="72"/>
      <c r="H799" s="73"/>
      <c r="I799" s="47"/>
      <c r="J799" s="57"/>
      <c r="K799" s="57"/>
      <c r="L799" s="55"/>
      <c r="M799" s="57"/>
    </row>
    <row r="800" spans="1:13" x14ac:dyDescent="0.35">
      <c r="A800" s="48"/>
      <c r="B800" s="48"/>
      <c r="C800" s="49"/>
      <c r="D800" s="50"/>
      <c r="E800" s="51" t="str">
        <f>IF(N(C800)=0,"",C800/PI()/($D$1/2)^2/$D$2*10000)</f>
        <v/>
      </c>
      <c r="F800" s="68" t="str">
        <f t="shared" ref="F800:F811" si="301">IF(N(E800)=0,"",(N(E800)+N(F799)))</f>
        <v/>
      </c>
      <c r="G800" s="69" t="str">
        <f>IF(OR(N(D800)=0,N(E800)=0),"",(E800*D800)/1000)</f>
        <v/>
      </c>
      <c r="H800" s="70" t="str">
        <f t="shared" ref="H800:H811" si="302">IF(N(G800)=0,"",(N(G800)+N(H799)))</f>
        <v/>
      </c>
      <c r="I800" s="27" t="str">
        <f>IF(N(J800)=0,"",0&amp;"-"&amp;B$4)</f>
        <v/>
      </c>
      <c r="J800" s="52" t="str">
        <f>IF(N(B$4)=0,"",IF(AND(COUNT(H800:H811)=2,COUNT(F800:F811)=2),cubic_spline(F799:F801,H799:H801,B$4),IF(AND(COUNT(H800:H811)=3,COUNT(F800:F811)=3),cubic_spline(F799:F802,H799:H802,B$4),IF(AND(COUNT(H800:H811)=4,COUNT(F800:F811)=4),cubic_spline(F799:F803,H799:H803,B$4),IF(AND(COUNT(H800:H811)=5,COUNT(F800:F811)=5),cubic_spline(F799:F804,H799:H804,B$4),IF(AND(COUNT(H800:H811)=6,COUNT(F800:F811)=6),cubic_spline(F799:F805,H799:H805,B$4),IF(AND(COUNT(H800:H811)=7,COUNT(F800:F811)=7),cubic_spline(F799:F806,H799:H806,B$4),IF(AND(COUNT(H800:H811)=8,COUNT(F800:F811)=8),cubic_spline(F799:F807,H799:H807,B$4),IF(AND(COUNT(H800:H811)=9,COUNT(F800:F811)=9),cubic_spline(F799:F808,H799:H808,B$4),IF(AND(COUNT(H800:H811)=10,COUNT(F800:F811)=10),cubic_spline(F799:F809,H799:H809,B$4),IF(AND(COUNT(H800:H811)=11,COUNT(F800:F811)=11),cubic_spline(F799:F810,H799:H810,B$4),IF(AND(COUNT(H800:H811)=12,COUNT(F800:F811)=12),cubic_spline(F799:F811,H799:H811,B$4),""))))))))))))</f>
        <v/>
      </c>
      <c r="K800" s="52" t="str">
        <f>IF(N(B$4)=0,"",IF(AND(COUNT(A800:A811)=2,COUNT(F800:F811)=2),cubic_spline(F799:F801,A799:A801,B$4),IF(AND(COUNT(A800:A811)=3,COUNT(F800:F811)=3),cubic_spline(F799:F802,A799:A802,B$4),IF(AND(COUNT(A800:A811)=4,COUNT(F800:F811)=4),cubic_spline(F799:F803,A799:A803,B$4),IF(AND(COUNT(A800:A811)=5,COUNT(F800:F811)=5),cubic_spline(F799:F804,A799:A804,B$4),IF(AND(COUNT(A800:A811)=6,COUNT(F800:F811)=6),cubic_spline(F799:F805,A799:A805,B$4),IF(AND(COUNT(A800:A811)=7,COUNT(F800:F811)=7),cubic_spline(F799:F806,A799:A806,B$4),IF(AND(COUNT(A800:A811)=8,COUNT(F800:F811)=8),cubic_spline(F799:F807,A799:A807,B$4),IF(AND(COUNT(A800:A811)=9,COUNT(F800:F811)=9),cubic_spline(F799:F808,A799:A808,B$4),IF(AND(COUNT(A800:A811)=10,COUNT(F800:F811)=10),cubic_spline(F799:F809,A799:A809,B$4),IF(AND(COUNT(A800:A811)=11,COUNT(F800:F811)=11),cubic_spline(F799:F810,A799:A810,B$4),IF(AND(COUNT(A800:A811)=12,COUNT(F800:F811)=12),cubic_spline(F799:F811,A799:A811,B$4),""))))))))))))</f>
        <v/>
      </c>
      <c r="L800" s="27" t="str">
        <f>IF(I800="","",0&amp;"-"&amp;B$4)</f>
        <v/>
      </c>
      <c r="M800" s="52" t="str">
        <f>IF(N(J800)=0,"",J800-J799)</f>
        <v/>
      </c>
    </row>
    <row r="801" spans="1:13" x14ac:dyDescent="0.35">
      <c r="A801" s="48"/>
      <c r="B801" s="48"/>
      <c r="C801" s="49"/>
      <c r="D801" s="50"/>
      <c r="E801" s="51" t="str">
        <f>IF(N(C801)=0,"",C801/PI()/($D$1/2)^2/$D$2*10000)</f>
        <v/>
      </c>
      <c r="F801" s="68" t="str">
        <f t="shared" si="301"/>
        <v/>
      </c>
      <c r="G801" s="69" t="str">
        <f t="shared" ref="G801:G811" si="303">IF(OR(N(D801)=0,N(E801)=0),"",(E801*D801)/1000)</f>
        <v/>
      </c>
      <c r="H801" s="70" t="str">
        <f t="shared" si="302"/>
        <v/>
      </c>
      <c r="I801" s="27" t="str">
        <f>IF(N(J801)=0,"",0&amp;"-"&amp;B$5)</f>
        <v/>
      </c>
      <c r="J801" s="52" t="str">
        <f>IF(N(B$5)=0,"",IF(AND(COUNT(H800:H811)=2,COUNT(F800:F811)=2),cubic_spline(F799:F801,H799:H801,B$5),IF(AND(COUNT(H800:H811)=3,COUNT(F800:F811)=3),cubic_spline(F799:F802,H799:H802,B$5),IF(AND(COUNT(H800:H811)=4,COUNT(F800:F811)=4),cubic_spline(F799:F803,H799:H803,B$5),IF(AND(COUNT(H800:H811)=5,COUNT(F800:F811)=5),cubic_spline(F799:F804,H799:H804,B$5),IF(AND(COUNT(H800:H811)=6,COUNT(F800:F811)=6),cubic_spline(F799:F805,H799:H805,B$5),IF(AND(COUNT(H800:H811)=7,COUNT(F800:F811)=7),cubic_spline(F799:F806,H799:H806,B$5),IF(AND(COUNT(H800:H811)=8,COUNT(F800:F811)=8),cubic_spline(F799:F807,H799:H807,B$5),IF(AND(COUNT(H800:H811)=9,COUNT(F800:F811)=9),cubic_spline(F799:F808,H799:H808,B$5),IF(AND(COUNT(H800:H811)=10,COUNT(F800:F811)=10),cubic_spline(F799:F809,H799:H809,B$5),IF(AND(COUNT(H800:H811)=11,COUNT(F800:F811)=11),cubic_spline(F799:F810,H799:H810,B$5),IF(AND(COUNT(H800:H811)=12,COUNT(F800:F811)=12),cubic_spline(F799:F811,H799:H811,B$5),""))))))))))))</f>
        <v/>
      </c>
      <c r="K801" s="52" t="str">
        <f>IF(N(B$5)=0,"",IF(AND(COUNT(A800:A811)=2,COUNT(F800:F811)=2),cubic_spline(F799:F801,A799:A801,B$5),IF(AND(COUNT(A800:A811)=3,COUNT(F800:F811)=3),cubic_spline(F799:F802,A799:A802,B$5),IF(AND(COUNT(A800:A811)=4,COUNT(F800:F811)=4),cubic_spline(F799:F803,A799:A803,B$5),IF(AND(COUNT(A800:A811)=5,COUNT(F800:F811)=5),cubic_spline(F799:F804,A799:A804,B$5),IF(AND(COUNT(A800:A811)=6,COUNT(F800:F811)=6),cubic_spline(F799:F805,A799:A805,B$5),IF(AND(COUNT(A800:A811)=7,COUNT(F800:F811)=7),cubic_spline(F799:F806,A799:A806,B$5),IF(AND(COUNT(A800:A811)=8,COUNT(F800:F811)=8),cubic_spline(F799:F807,A799:A807,B$5),IF(AND(COUNT(A800:A811)=9,COUNT(F800:F811)=9),cubic_spline(F799:F808,A799:A808,B$5),IF(AND(COUNT(A800:A811)=10,COUNT(F800:F811)=10),cubic_spline(F799:F809,A799:A809,B$5),IF(AND(COUNT(A800:A811)=11,COUNT(F800:F811)=11),cubic_spline(F799:F810,A799:A810,B$5),IF(AND(COUNT(A800:A811)=12,COUNT(F800:F811)=12),cubic_spline(F799:F811,A799:A811,B$5),""))))))))))))</f>
        <v/>
      </c>
      <c r="L801" s="27" t="str">
        <f>IF(I801="","",B$4&amp;"-"&amp;B$5)</f>
        <v/>
      </c>
      <c r="M801" s="52" t="str">
        <f>IF(N(J801)=0,"",J801-J800)</f>
        <v/>
      </c>
    </row>
    <row r="802" spans="1:13" x14ac:dyDescent="0.35">
      <c r="A802" s="48"/>
      <c r="B802" s="48"/>
      <c r="C802" s="49"/>
      <c r="D802" s="50"/>
      <c r="E802" s="51" t="str">
        <f>IF(N(C802)=0,"",C802/PI()/($D$1/2)^2/$D$2*10000)</f>
        <v/>
      </c>
      <c r="F802" s="68" t="str">
        <f t="shared" si="301"/>
        <v/>
      </c>
      <c r="G802" s="69" t="str">
        <f t="shared" si="303"/>
        <v/>
      </c>
      <c r="H802" s="70" t="str">
        <f t="shared" si="302"/>
        <v/>
      </c>
      <c r="I802" s="27" t="str">
        <f>IF(N(J802)=0,"",0&amp;"-"&amp;B$6)</f>
        <v/>
      </c>
      <c r="J802" s="52" t="str">
        <f>IF(N(B$6)=0,"",IF(AND(COUNT(H800:H811)=2,COUNT(F800:F811)=2),cubic_spline(F799:F801,H799:H801,B$6),IF(AND(COUNT(H800:H811)=3,COUNT(F800:F811)=3),cubic_spline(F799:F802,H799:H802,B$6),IF(AND(COUNT(H800:H811)=4,COUNT(F800:F811)=4),cubic_spline(F799:F803,H799:H803,B$6),IF(AND(COUNT(H800:H811)=5,COUNT(F800:F811)=5),cubic_spline(F799:F804,H799:H804,B$6),IF(AND(COUNT(H800:H811)=6,COUNT(F800:F811)=6),cubic_spline(F799:F805,H799:H805,B$6),IF(AND(COUNT(H800:H811)=7,COUNT(F800:F811)=7),cubic_spline(F799:F806,H799:H806,B$6),IF(AND(COUNT(H800:H811)=8,COUNT(F800:F811)=8),cubic_spline(F799:F807,H799:H807,B$6),IF(AND(COUNT(H800:H811)=9,COUNT(F800:F811)=9),cubic_spline(F799:F808,H799:H808,B$6),IF(AND(COUNT(H800:H811)=10,COUNT(F800:F811)=10),cubic_spline(F799:F809,H799:H809,B$6),IF(AND(COUNT(H800:H811)=11,COUNT(F800:F811)=11),cubic_spline(F799:F810,H799:H810,B$6),IF(AND(COUNT(H800:H811)=12,COUNT(F800:F811)=12),cubic_spline(F799:F811,H799:H811,B$6),""))))))))))))</f>
        <v/>
      </c>
      <c r="K802" s="52" t="str">
        <f>IF(N(B$6)=0,"",IF(AND(COUNT(A800:A811)=2,COUNT(F800:F811)=2),cubic_spline(F799:F801,A799:A801,B$6),IF(AND(COUNT(A800:A811)=3,COUNT(F800:F811)=3),cubic_spline(F799:F802,A799:A802,B$6),IF(AND(COUNT(A800:A811)=4,COUNT(F800:F811)=4),cubic_spline(F799:F803,A799:A803,B$6),IF(AND(COUNT(A800:A811)=5,COUNT(F800:F811)=5),cubic_spline(F799:F804,A799:A804,B$6),IF(AND(COUNT(A800:A811)=6,COUNT(F800:F811)=6),cubic_spline(F799:F805,A799:A805,B$6),IF(AND(COUNT(A800:A811)=7,COUNT(F800:F811)=7),cubic_spline(F799:F806,A799:A806,B$6),IF(AND(COUNT(A800:A811)=8,COUNT(F800:F811)=8),cubic_spline(F799:F807,A799:A807,B$6),IF(AND(COUNT(A800:A811)=9,COUNT(F800:F811)=9),cubic_spline(F799:F808,A799:A808,B$6),IF(AND(COUNT(A800:A811)=10,COUNT(F800:F811)=10),cubic_spline(F799:F809,A799:A809,B$6),IF(AND(COUNT(A800:A811)=11,COUNT(F800:F811)=11),cubic_spline(F799:F810,A799:A810,B$6),IF(AND(COUNT(A800:A811)=12,COUNT(F800:F811)=12),cubic_spline(F799:F811,A799:A811,B$6),""))))))))))))</f>
        <v/>
      </c>
      <c r="L802" s="27" t="str">
        <f>IF(I802="","",B$5&amp;"-"&amp;B$6)</f>
        <v/>
      </c>
      <c r="M802" s="52" t="str">
        <f>IF(N(J802)=0,"",J802-J801)</f>
        <v/>
      </c>
    </row>
    <row r="803" spans="1:13" x14ac:dyDescent="0.35">
      <c r="A803" s="48"/>
      <c r="B803" s="48"/>
      <c r="C803" s="49"/>
      <c r="D803" s="50"/>
      <c r="E803" s="51" t="str">
        <f>IF(N(C803)=0,"",C803/PI()/($D$1/2)^2/$D$2*10000)</f>
        <v/>
      </c>
      <c r="F803" s="68" t="str">
        <f t="shared" si="301"/>
        <v/>
      </c>
      <c r="G803" s="69" t="str">
        <f t="shared" si="303"/>
        <v/>
      </c>
      <c r="H803" s="70" t="str">
        <f t="shared" si="302"/>
        <v/>
      </c>
      <c r="I803" s="27" t="str">
        <f>IF(N(J803)=0,"",0&amp;"-"&amp;B$7)</f>
        <v/>
      </c>
      <c r="J803" s="52" t="str">
        <f>IF(N(B$7)=0,"",IF(AND(COUNT(H800:H811)=2,COUNT(F800:F811)=2),cubic_spline(F799:F801,H799:H801,B$7),IF(AND(COUNT(H800:H811)=3,COUNT(F800:F811)=3),cubic_spline(F799:F802,H799:H802,B$7),IF(AND(COUNT(H800:H811)=4,COUNT(F800:F811)=4),cubic_spline(F799:F803,H799:H803,B$7),IF(AND(COUNT(H800:H811)=5,COUNT(F800:F811)=5),cubic_spline(F799:F804,H799:H804,B$7),IF(AND(COUNT(H800:H811)=6,COUNT(F800:F811)=6),cubic_spline(F799:F805,H799:H805,B$7),IF(AND(COUNT(H800:H811)=7,COUNT(F800:F811)=7),cubic_spline(F799:F806,H799:H806,B$7),IF(AND(COUNT(H800:H811)=8,COUNT(F800:F811)=8),cubic_spline(F799:F807,H799:H807,B$7),IF(AND(COUNT(H800:H811)=9,COUNT(F800:F811)=9),cubic_spline(F799:F808,H799:H808,B$7),IF(AND(COUNT(H800:H811)=10,COUNT(F800:F811)=10),cubic_spline(F799:F809,H799:H809,B$7),IF(AND(COUNT(H800:H811)=11,COUNT(F800:F811)=11),cubic_spline(F799:F810,H799:H810,B$7),IF(AND(COUNT(H800:H811)=12,COUNT(F800:F811)=12),cubic_spline(F799:F811,H799:H811,B$7),""))))))))))))</f>
        <v/>
      </c>
      <c r="K803" s="52" t="str">
        <f>IF(N(B$7)=0,"",IF(AND(COUNT(A800:A811)=2,COUNT(F800:F811)=2),cubic_spline(F799:F801,A799:A801,B$7),IF(AND(COUNT(A800:A811)=3,COUNT(F800:F811)=3),cubic_spline(F799:F802,A799:A802,B$7),IF(AND(COUNT(A800:A811)=4,COUNT(F800:F811)=4),cubic_spline(F799:F803,A799:A803,B$7),IF(AND(COUNT(A800:A811)=5,COUNT(F800:F811)=5),cubic_spline(F799:F804,A799:A804,B$7),IF(AND(COUNT(A800:A811)=6,COUNT(F800:F811)=6),cubic_spline(F799:F805,A799:A805,B$7),IF(AND(COUNT(A800:A811)=7,COUNT(F800:F811)=7),cubic_spline(F799:F806,A799:A806,B$7),IF(AND(COUNT(A800:A811)=8,COUNT(F800:F811)=8),cubic_spline(F799:F807,A799:A807,B$7),IF(AND(COUNT(A800:A811)=9,COUNT(F800:F811)=9),cubic_spline(F799:F808,A799:A808,B$7),IF(AND(COUNT(A800:A811)=10,COUNT(F800:F811)=10),cubic_spline(F799:F809,A799:A809,B$7),IF(AND(COUNT(A800:A811)=11,COUNT(F800:F811)=11),cubic_spline(F799:F810,A799:A810,B$7),IF(AND(COUNT(A800:A811)=12,COUNT(F800:F811)=12),cubic_spline(F799:F811,A799:A811,B$7),""))))))))))))</f>
        <v/>
      </c>
      <c r="L803" s="27" t="str">
        <f>IF(I803="","",B$6&amp;"-"&amp;B$7)</f>
        <v/>
      </c>
      <c r="M803" s="52" t="str">
        <f>IF(N(J803)=0,"",J803-J802)</f>
        <v/>
      </c>
    </row>
    <row r="804" spans="1:13" x14ac:dyDescent="0.35">
      <c r="A804" s="48"/>
      <c r="B804" s="48"/>
      <c r="C804" s="49"/>
      <c r="D804" s="50"/>
      <c r="E804" s="51" t="str">
        <f t="shared" ref="E804:E811" si="304">IF(N(C804)=0,"",C804/PI()/($D$1/2)^2/$D$2*10000)</f>
        <v/>
      </c>
      <c r="F804" s="71" t="str">
        <f t="shared" si="301"/>
        <v/>
      </c>
      <c r="G804" s="69" t="str">
        <f t="shared" si="303"/>
        <v/>
      </c>
      <c r="H804" s="70" t="str">
        <f t="shared" si="302"/>
        <v/>
      </c>
      <c r="I804" s="27" t="str">
        <f>IF(N(J804)=0,"",0&amp;"-"&amp;B$8)</f>
        <v/>
      </c>
      <c r="J804" s="52" t="str">
        <f>IF(N(B$8)=0,"",IF(AND(COUNT(H800:H811)=2,COUNT(F800:F811)=2),cubic_spline(F799:F801,H799:H801,B$8),IF(AND(COUNT(H800:H811)=3,COUNT(F800:F811)=3),cubic_spline(F799:F802,H799:H802,B$8),IF(AND(COUNT(H800:H811)=4,COUNT(F800:F811)=4),cubic_spline(F799:F803,H799:H803,B$8),IF(AND(COUNT(H800:H811)=5,COUNT(F800:F811)=5),cubic_spline(F799:F804,H799:H804,B$8),IF(AND(COUNT(H800:H811)=6,COUNT(F800:F811)=6),cubic_spline(F799:F805,H799:H805,B$8),IF(AND(COUNT(H800:H811)=7,COUNT(F800:F811)=7),cubic_spline(F799:F806,H799:H806,B$8),IF(AND(COUNT(H800:H811)=8,COUNT(F800:F811)=8),cubic_spline(F799:F807,H799:H807,B$8),IF(AND(COUNT(H800:H811)=9,COUNT(F800:F811)=9),cubic_spline(F799:F808,H799:H808,B$8),IF(AND(COUNT(H800:H811)=10,COUNT(F800:F811)=10),cubic_spline(F799:F809,H799:H809,B$8),IF(AND(COUNT(H800:H811)=11,COUNT(F800:F811)=11),cubic_spline(F799:F810,H799:H810,B$8),IF(AND(COUNT(H800:H811)=12,COUNT(F800:F811)=12),cubic_spline(F799:F811,H799:H811,B$8),""))))))))))))</f>
        <v/>
      </c>
      <c r="K804" s="52" t="str">
        <f>IF(N(B$8)=0,"",IF(AND(COUNT(A800:A811)=2,COUNT(F800:F811)=2),cubic_spline(F799:F801,A799:A801,B$8),IF(AND(COUNT(A800:A811)=3,COUNT(F800:F811)=3),cubic_spline(F799:F802,A799:A802,B$8),IF(AND(COUNT(A800:A811)=4,COUNT(F800:F811)=4),cubic_spline(F799:F803,A799:A803,B$8),IF(AND(COUNT(A800:A811)=5,COUNT(F800:F811)=5),cubic_spline(F799:F804,A799:A804,B$8),IF(AND(COUNT(A800:A811)=6,COUNT(F800:F811)=6),cubic_spline(F799:F805,A799:A805,B$8),IF(AND(COUNT(A800:A811)=7,COUNT(F800:F811)=7),cubic_spline(F799:F806,A799:A806,B$8),IF(AND(COUNT(A800:A811)=8,COUNT(F800:F811)=8),cubic_spline(F799:F807,A799:A807,B$8),IF(AND(COUNT(A800:A811)=9,COUNT(F800:F811)=9),cubic_spline(F799:F808,A799:A808,B$8),IF(AND(COUNT(A800:A811)=10,COUNT(F800:F811)=10),cubic_spline(F799:F809,A799:A809,B$8),IF(AND(COUNT(A800:A811)=11,COUNT(F800:F811)=11),cubic_spline(F799:F810,A799:A810,B$8),IF(AND(COUNT(A800:A811)=12,COUNT(F800:F811)=12),cubic_spline(F799:F811,A799:A811,B$8),""))))))))))))</f>
        <v/>
      </c>
      <c r="L804" s="27" t="str">
        <f>IF(I804="","",B$7&amp;"-"&amp;B$8)</f>
        <v/>
      </c>
      <c r="M804" s="52" t="str">
        <f>IF(N(J804)=0,"",J804-J803)</f>
        <v/>
      </c>
    </row>
    <row r="805" spans="1:13" x14ac:dyDescent="0.35">
      <c r="A805" s="48"/>
      <c r="B805" s="48"/>
      <c r="C805" s="49"/>
      <c r="D805" s="50"/>
      <c r="E805" s="51" t="str">
        <f t="shared" si="304"/>
        <v/>
      </c>
      <c r="F805" s="71" t="str">
        <f t="shared" si="301"/>
        <v/>
      </c>
      <c r="G805" s="69" t="str">
        <f t="shared" si="303"/>
        <v/>
      </c>
      <c r="H805" s="70" t="str">
        <f t="shared" si="302"/>
        <v/>
      </c>
      <c r="I805" s="27" t="str">
        <f>IF(N(J805)=0,"",0&amp;"-"&amp;B$9)</f>
        <v/>
      </c>
      <c r="J805" s="52" t="str">
        <f>IF(N(B$9)=0,"",IF(AND(COUNT(H800:H811)=2,COUNT(F800:F811)=2),cubic_spline(F799:F801,H799:H801,B$9),IF(AND(COUNT(H800:H811)=3,COUNT(F800:F811)=3),cubic_spline(F799:F802,H799:H802,B$9),IF(AND(COUNT(H800:H811)=4,COUNT(F800:F811)=4),cubic_spline(F799:F803,H799:H803,B$9),IF(AND(COUNT(H800:H811)=5,COUNT(F800:F811)=5),cubic_spline(F799:F804,H799:H804,B$9),IF(AND(COUNT(H800:H811)=6,COUNT(F800:F811)=6),cubic_spline(F799:F805,H799:H805,B$9),IF(AND(COUNT(H800:H811)=7,COUNT(F800:F811)=7),cubic_spline(F799:F806,H799:H806,B$9),IF(AND(COUNT(H800:H811)=8,COUNT(F800:F811)=8),cubic_spline(F799:F807,H799:H807,B$9),IF(AND(COUNT(H800:H811)=9,COUNT(F800:F811)=9),cubic_spline(F799:F808,H799:H808,B$9),IF(AND(COUNT(H800:H811)=10,COUNT(F800:F811)=10),cubic_spline(F799:F809,H799:H809,B$9),IF(AND(COUNT(H800:H811)=11,COUNT(F800:F811)=11),cubic_spline(F799:F810,H799:H810,B$9),IF(AND(COUNT(H800:H811)=12,COUNT(F800:F811)=12),cubic_spline(F799:F811,H799:H811,B$9),""))))))))))))</f>
        <v/>
      </c>
      <c r="K805" s="52" t="str">
        <f>IF(N(B$9)=0,"",IF(AND(COUNT(A800:A811)=2,COUNT(F800:F811)=2),cubic_spline(F799:F801,A799:A801,B$9),IF(AND(COUNT(A800:A811)=3,COUNT(F800:F811)=3),cubic_spline(F799:F802,A799:A802,B$9),IF(AND(COUNT(A800:A811)=4,COUNT(F800:F811)=4),cubic_spline(F799:F803,A799:A803,B$9),IF(AND(COUNT(A800:A811)=5,COUNT(F800:F811)=5),cubic_spline(F799:F804,A799:A804,B$9),IF(AND(COUNT(A800:A811)=6,COUNT(F800:F811)=6),cubic_spline(F799:F805,A799:A805,B$9),IF(AND(COUNT(A800:A811)=7,COUNT(F800:F811)=7),cubic_spline(F799:F806,A799:A806,B$9),IF(AND(COUNT(A800:A811)=8,COUNT(F800:F811)=8),cubic_spline(F799:F807,A799:A807,B$9),IF(AND(COUNT(A800:A811)=9,COUNT(F800:F811)=9),cubic_spline(F799:F808,A799:A808,B$9),IF(AND(COUNT(A800:A811)=10,COUNT(F800:F811)=10),cubic_spline(F799:F809,A799:A809,B$9),IF(AND(COUNT(A800:A811)=11,COUNT(F800:F811)=11),cubic_spline(F799:F810,A799:A810,B$9),IF(AND(COUNT(A800:A811)=12,COUNT(F800:F811)=12),cubic_spline(F799:F811,A799:A811,B$9),""))))))))))))</f>
        <v/>
      </c>
      <c r="L805" s="27" t="str">
        <f>IF(I805="","",B$8&amp;"-"&amp;B$9)</f>
        <v/>
      </c>
      <c r="M805" s="52" t="str">
        <f t="shared" ref="M805:M811" si="305">IF(N(J805)=0,"",J805-J804)</f>
        <v/>
      </c>
    </row>
    <row r="806" spans="1:13" x14ac:dyDescent="0.35">
      <c r="A806" s="48"/>
      <c r="B806" s="48"/>
      <c r="C806" s="49"/>
      <c r="D806" s="50"/>
      <c r="E806" s="51" t="str">
        <f t="shared" si="304"/>
        <v/>
      </c>
      <c r="F806" s="71" t="str">
        <f t="shared" si="301"/>
        <v/>
      </c>
      <c r="G806" s="69" t="str">
        <f t="shared" si="303"/>
        <v/>
      </c>
      <c r="H806" s="70" t="str">
        <f t="shared" si="302"/>
        <v/>
      </c>
      <c r="I806" s="27" t="str">
        <f>IF(N(J806)=0,"",0&amp;"-"&amp;B$10)</f>
        <v/>
      </c>
      <c r="J806" s="52" t="str">
        <f>IF(N(B$10)=0,"",IF(AND(COUNT(H800:H811)=2,COUNT(F800:F811)=2),cubic_spline(F799:F801,H799:H801,B$10),IF(AND(COUNT(H800:H811)=3,COUNT(F800:F811)=3),cubic_spline(F799:F802,H799:H802,B$10),IF(AND(COUNT(H800:H811)=4,COUNT(F800:F811)=4),cubic_spline(F799:F803,H799:H803,B$10),IF(AND(COUNT(H800:H811)=5,COUNT(F800:F811)=5),cubic_spline(F799:F804,H799:H804,B$10),IF(AND(COUNT(H800:H811)=6,COUNT(F800:F811)=6),cubic_spline(F799:F805,H799:H805,B$10),IF(AND(COUNT(H800:H811)=7,COUNT(F800:F811)=7),cubic_spline(F799:F806,H799:H806,B$10),IF(AND(COUNT(H800:H811)=8,COUNT(F800:F811)=8),cubic_spline(F799:F807,H799:H807,B$10),IF(AND(COUNT(H800:H811)=9,COUNT(F800:F811)=9),cubic_spline(F799:F808,H799:H808,B$10),IF(AND(COUNT(H800:H811)=10,COUNT(F800:F811)=10),cubic_spline(F799:F809,H799:H809,B$10),IF(AND(COUNT(H800:H811)=11,COUNT(F800:F811)=11),cubic_spline(F799:F810,H799:H810,B$10),IF(AND(COUNT(H800:H811)=12,COUNT(F800:F811)=12),cubic_spline(F799:F811,H799:H811,B$10),""))))))))))))</f>
        <v/>
      </c>
      <c r="K806" s="52" t="str">
        <f>IF(N(B$10)=0,"",IF(AND(COUNT(A800:A811)=2,COUNT(F800:F811)=2),cubic_spline(F799:F801,A799:A801,B$10),IF(AND(COUNT(A800:A811)=3,COUNT(F800:F811)=3),cubic_spline(F799:F802,A799:A802,B$10),IF(AND(COUNT(A800:A811)=4,COUNT(F800:F811)=4),cubic_spline(F799:F803,A799:A803,B$10),IF(AND(COUNT(A800:A811)=5,COUNT(F800:F811)=5),cubic_spline(F799:F804,A799:A804,B$10),IF(AND(COUNT(A800:A811)=6,COUNT(F800:F811)=6),cubic_spline(F799:F805,A799:A805,B$10),IF(AND(COUNT(A800:A811)=7,COUNT(F800:F811)=7),cubic_spline(F799:F806,A799:A806,B$10),IF(AND(COUNT(A800:A811)=8,COUNT(F800:F811)=8),cubic_spline(F799:F807,A799:A807,B$10),IF(AND(COUNT(A800:A811)=9,COUNT(F800:F811)=9),cubic_spline(F799:F808,A799:A808,B$10),IF(AND(COUNT(A800:A811)=10,COUNT(F800:F811)=10),cubic_spline(F799:F809,A799:A809,B$10),IF(AND(COUNT(A800:A811)=11,COUNT(F800:F811)=11),cubic_spline(F799:F810,A799:A810,B$10),IF(AND(COUNT(A800:A811)=12,COUNT(F800:F811)=12),cubic_spline(F799:F811,A799:A811,B$10),""))))))))))))</f>
        <v/>
      </c>
      <c r="L806" s="27" t="str">
        <f>IF(I806="","",B$9&amp;"-"&amp;B$10)</f>
        <v/>
      </c>
      <c r="M806" s="52" t="str">
        <f t="shared" si="305"/>
        <v/>
      </c>
    </row>
    <row r="807" spans="1:13" x14ac:dyDescent="0.35">
      <c r="A807" s="48"/>
      <c r="B807" s="48"/>
      <c r="C807" s="49"/>
      <c r="D807" s="50"/>
      <c r="E807" s="51" t="str">
        <f t="shared" si="304"/>
        <v/>
      </c>
      <c r="F807" s="71" t="str">
        <f t="shared" si="301"/>
        <v/>
      </c>
      <c r="G807" s="69" t="str">
        <f t="shared" si="303"/>
        <v/>
      </c>
      <c r="H807" s="70" t="str">
        <f t="shared" si="302"/>
        <v/>
      </c>
      <c r="I807" s="27" t="str">
        <f>IF(N(J807)=0,"",0&amp;"-"&amp;B$11)</f>
        <v/>
      </c>
      <c r="J807" s="52" t="str">
        <f>IF(N(B$11)=0,"",IF(AND(COUNT(H800:H811)=2,COUNT(F800:F811)=2),cubic_spline(F799:F801,H799:H801,B$11),IF(AND(COUNT(H800:H811)=3,COUNT(F800:F811)=3),cubic_spline(F799:F802,H799:H802,B$11),IF(AND(COUNT(H800:H811)=4,COUNT(F800:F811)=4),cubic_spline(F799:F803,H799:H803,B$11),IF(AND(COUNT(H800:H811)=5,COUNT(F800:F811)=5),cubic_spline(F799:F804,H799:H804,B$11),IF(AND(COUNT(H800:H811)=6,COUNT(F800:F811)=6),cubic_spline(F799:F805,H799:H805,B$11),IF(AND(COUNT(H800:H811)=7,COUNT(F800:F811)=7),cubic_spline(F799:F806,H799:H806,B$11),IF(AND(COUNT(H800:H811)=8,COUNT(F800:F811)=8),cubic_spline(F799:F807,H799:H807,B$11),IF(AND(COUNT(H800:H811)=9,COUNT(F800:F811)=9),cubic_spline(F799:F808,H799:H808,B$11),IF(AND(COUNT(H800:H811)=10,COUNT(F800:F811)=10),cubic_spline(F799:F809,H799:H809,B$11),IF(AND(COUNT(H800:H811)=11,COUNT(F800:F811)=11),cubic_spline(F799:F810,H799:H810,B$11),IF(AND(COUNT(H800:H811)=12,COUNT(F800:F811)=12),cubic_spline(F799:F811,H799:H811,B$11),""))))))))))))</f>
        <v/>
      </c>
      <c r="K807" s="52" t="str">
        <f>IF(N(B$11)=0,"",IF(AND(COUNT(A800:A811)=2,COUNT(F800:F811)=2),cubic_spline(F799:F801,A799:A801,B$11),IF(AND(COUNT(A800:A811)=3,COUNT(F800:F811)=3),cubic_spline(F799:F802,A799:A802,B$11),IF(AND(COUNT(A800:A811)=4,COUNT(F800:F811)=4),cubic_spline(F799:F803,A799:A803,B$11),IF(AND(COUNT(A800:A811)=5,COUNT(F800:F811)=5),cubic_spline(F799:F804,A799:A804,B$11),IF(AND(COUNT(A800:A811)=6,COUNT(F800:F811)=6),cubic_spline(F799:F805,A799:A805,B$11),IF(AND(COUNT(A800:A811)=7,COUNT(F800:F811)=7),cubic_spline(F799:F806,A799:A806,B$11),IF(AND(COUNT(A800:A811)=8,COUNT(F800:F811)=8),cubic_spline(F799:F807,A799:A807,B$11),IF(AND(COUNT(A800:A811)=9,COUNT(F800:F811)=9),cubic_spline(F799:F808,A799:A808,B$11),IF(AND(COUNT(A800:A811)=10,COUNT(F800:F811)=10),cubic_spline(F799:F809,A799:A809,B$11),IF(AND(COUNT(A800:A811)=11,COUNT(F800:F811)=11),cubic_spline(F799:F810,A799:A810,B$11),IF(AND(COUNT(A800:A811)=12,COUNT(F800:F811)=12),cubic_spline(F799:F811,A799:A811,B$11),""))))))))))))</f>
        <v/>
      </c>
      <c r="L807" s="27" t="str">
        <f>IF(I807="","",B$10&amp;"-"&amp;B$11)</f>
        <v/>
      </c>
      <c r="M807" s="52" t="str">
        <f t="shared" si="305"/>
        <v/>
      </c>
    </row>
    <row r="808" spans="1:13" x14ac:dyDescent="0.35">
      <c r="A808" s="48"/>
      <c r="B808" s="48"/>
      <c r="C808" s="49"/>
      <c r="D808" s="50"/>
      <c r="E808" s="51" t="str">
        <f t="shared" si="304"/>
        <v/>
      </c>
      <c r="F808" s="71" t="str">
        <f t="shared" si="301"/>
        <v/>
      </c>
      <c r="G808" s="69" t="str">
        <f t="shared" si="303"/>
        <v/>
      </c>
      <c r="H808" s="70" t="str">
        <f t="shared" si="302"/>
        <v/>
      </c>
      <c r="I808" s="27" t="str">
        <f>IF(N(J808)=0,"",0&amp;"-"&amp;B$12)</f>
        <v/>
      </c>
      <c r="J808" s="52" t="str">
        <f>IF(N(B$12)=0,"",IF(AND(COUNT(H800:H811)=2,COUNT(F800:F811)=2),cubic_spline(F799:F801,H799:H801,B$12),IF(AND(COUNT(H800:H811)=3,COUNT(F800:F811)=3),cubic_spline(F799:F802,H799:H802,B$12),IF(AND(COUNT(H800:H811)=4,COUNT(F800:F811)=4),cubic_spline(F799:F803,H799:H803,B$12),IF(AND(COUNT(H800:H811)=5,COUNT(F800:F811)=5),cubic_spline(F799:F804,H799:H804,B$12),IF(AND(COUNT(H800:H811)=6,COUNT(F800:F811)=6),cubic_spline(F799:F805,H799:H805,B$12),IF(AND(COUNT(H800:H811)=7,COUNT(F800:F811)=7),cubic_spline(F799:F806,H799:H806,B$12),IF(AND(COUNT(H800:H811)=8,COUNT(F800:F811)=8),cubic_spline(F799:F807,H799:H807,B$12),IF(AND(COUNT(H800:H811)=9,COUNT(F800:F811)=9),cubic_spline(F799:F808,H799:H808,B$12),IF(AND(COUNT(H800:H811)=10,COUNT(F800:F811)=10),cubic_spline(F799:F809,H799:H809,B$12),IF(AND(COUNT(H800:H811)=11,COUNT(F800:F811)=11),cubic_spline(F799:F810,H799:H810,B$12),IF(AND(COUNT(H800:H811)=12,COUNT(F800:F811)=12),cubic_spline(F799:F811,H799:H811,B$12),""))))))))))))</f>
        <v/>
      </c>
      <c r="K808" s="52" t="str">
        <f>IF(N(B$12)=0,"",IF(AND(COUNT(A800:A811)=2,COUNT(F800:F811)=2),cubic_spline(F799:F801,A799:A801,B$12),IF(AND(COUNT(A800:A811)=3,COUNT(F800:F811)=3),cubic_spline(F799:F802,A799:A802,B$12),IF(AND(COUNT(A800:A811)=4,COUNT(F800:F811)=4),cubic_spline(F799:F803,A799:A803,B$12),IF(AND(COUNT(A800:A811)=5,COUNT(F800:F811)=5),cubic_spline(F799:F804,A799:A804,B$12),IF(AND(COUNT(A800:A811)=6,COUNT(F800:F811)=6),cubic_spline(F799:F805,A799:A805,B$12),IF(AND(COUNT(A800:A811)=7,COUNT(F800:F811)=7),cubic_spline(F799:F806,A799:A806,B$12),IF(AND(COUNT(A800:A811)=8,COUNT(F800:F811)=8),cubic_spline(F799:F807,A799:A807,B$12),IF(AND(COUNT(A800:A811)=9,COUNT(F800:F811)=9),cubic_spline(F799:F808,A799:A808,B$12),IF(AND(COUNT(A800:A811)=10,COUNT(F800:F811)=10),cubic_spline(F799:F809,A799:A809,B$12),IF(AND(COUNT(A800:A811)=11,COUNT(F800:F811)=11),cubic_spline(F799:F810,A799:A810,B$12),IF(AND(COUNT(A800:A811)=12,COUNT(F800:F811)=12),cubic_spline(F799:F811,A799:A811,B$12),""))))))))))))</f>
        <v/>
      </c>
      <c r="L808" s="27" t="str">
        <f>IF(I808="","",B$11&amp;"-"&amp;B$12)</f>
        <v/>
      </c>
      <c r="M808" s="52" t="str">
        <f t="shared" si="305"/>
        <v/>
      </c>
    </row>
    <row r="809" spans="1:13" x14ac:dyDescent="0.35">
      <c r="A809" s="48"/>
      <c r="B809" s="48"/>
      <c r="C809" s="49"/>
      <c r="D809" s="50"/>
      <c r="E809" s="51" t="str">
        <f t="shared" si="304"/>
        <v/>
      </c>
      <c r="F809" s="71" t="str">
        <f t="shared" si="301"/>
        <v/>
      </c>
      <c r="G809" s="69" t="str">
        <f t="shared" si="303"/>
        <v/>
      </c>
      <c r="H809" s="70" t="str">
        <f t="shared" si="302"/>
        <v/>
      </c>
      <c r="I809" s="27" t="str">
        <f>IF(N(J809)=0,"",0&amp;"-"&amp;B$13)</f>
        <v/>
      </c>
      <c r="J809" s="52" t="str">
        <f>IF(N(B$13)=0,"",IF(AND(COUNT(H800:H811)=2,COUNT(F800:F811)=2),cubic_spline(F799:F801,H799:H801,B$13),IF(AND(COUNT(H800:H811)=3,COUNT(F800:F811)=3),cubic_spline(F799:F802,H799:H802,B$13),IF(AND(COUNT(H800:H811)=4,COUNT(F800:F811)=4),cubic_spline(F799:F803,H799:H803,B$13),IF(AND(COUNT(H800:H811)=5,COUNT(F800:F811)=5),cubic_spline(F799:F804,H799:H804,B$13),IF(AND(COUNT(H800:H811)=6,COUNT(F800:F811)=6),cubic_spline(F799:F805,H799:H805,B$13),IF(AND(COUNT(H800:H811)=7,COUNT(F800:F811)=7),cubic_spline(F799:F806,H799:H806,B$13),IF(AND(COUNT(H800:H811)=8,COUNT(F800:F811)=8),cubic_spline(F799:F807,H799:H807,B$13),IF(AND(COUNT(H800:H811)=9,COUNT(F800:F811)=9),cubic_spline(F799:F808,H799:H808,B$13),IF(AND(COUNT(H800:H811)=10,COUNT(F800:F811)=10),cubic_spline(F799:F809,H799:H809,B$13),IF(AND(COUNT(H800:H811)=11,COUNT(F800:F811)=11),cubic_spline(F799:F810,H799:H810,B$13),IF(AND(COUNT(H800:H811)=12,COUNT(F800:F811)=12),cubic_spline(F799:F811,H799:H811,B$13),""))))))))))))</f>
        <v/>
      </c>
      <c r="K809" s="52" t="str">
        <f>IF(N(B$13)=0,"",IF(AND(COUNT(A800:A811)=2,COUNT(F800:F811)=2),cubic_spline(F799:F801,A799:A801,B$13),IF(AND(COUNT(A800:A811)=3,COUNT(F800:F811)=3),cubic_spline(F799:F802,A799:A802,B$13),IF(AND(COUNT(A800:A811)=4,COUNT(F800:F811)=4),cubic_spline(F799:F803,A799:A803,B$13),IF(AND(COUNT(A800:A811)=5,COUNT(F800:F811)=5),cubic_spline(F799:F804,A799:A804,B$13),IF(AND(COUNT(A800:A811)=6,COUNT(F800:F811)=6),cubic_spline(F799:F805,A799:A805,B$13),IF(AND(COUNT(A800:A811)=7,COUNT(F800:F811)=7),cubic_spline(F799:F806,A799:A806,B$13),IF(AND(COUNT(A800:A811)=8,COUNT(F800:F811)=8),cubic_spline(F799:F807,A799:A807,B$13),IF(AND(COUNT(A800:A811)=9,COUNT(F800:F811)=9),cubic_spline(F799:F808,A799:A808,B$13),IF(AND(COUNT(A800:A811)=10,COUNT(F800:F811)=10),cubic_spline(F799:F809,A799:A809,B$13),IF(AND(COUNT(A800:A811)=11,COUNT(F800:F811)=11),cubic_spline(F799:F810,A799:A810,B$13),IF(AND(COUNT(A800:A811)=12,COUNT(F800:F811)=12),cubic_spline(F799:F811,A799:A811,B$13),""))))))))))))</f>
        <v/>
      </c>
      <c r="L809" s="27" t="str">
        <f>IF(I809="","",B$12&amp;"-"&amp;B$13)</f>
        <v/>
      </c>
      <c r="M809" s="52" t="str">
        <f t="shared" si="305"/>
        <v/>
      </c>
    </row>
    <row r="810" spans="1:13" x14ac:dyDescent="0.35">
      <c r="A810" s="48"/>
      <c r="B810" s="48"/>
      <c r="C810" s="49"/>
      <c r="D810" s="50"/>
      <c r="E810" s="51" t="str">
        <f t="shared" si="304"/>
        <v/>
      </c>
      <c r="F810" s="71" t="str">
        <f t="shared" si="301"/>
        <v/>
      </c>
      <c r="G810" s="69" t="str">
        <f t="shared" si="303"/>
        <v/>
      </c>
      <c r="H810" s="70" t="str">
        <f t="shared" si="302"/>
        <v/>
      </c>
      <c r="I810" s="27" t="str">
        <f>IF(N(J810)=0,"",0&amp;"-"&amp;B$14)</f>
        <v/>
      </c>
      <c r="J810" s="52" t="str">
        <f>IF(N(B$14)=0,"",IF(AND(COUNT(H800:H811)=2,COUNT(F800:F811)=2),cubic_spline(F799:F801,H799:H801,B$14),IF(AND(COUNT(H800:H811)=3,COUNT(F800:F811)=3),cubic_spline(F799:F802,H799:H802,B$14),IF(AND(COUNT(H800:H811)=4,COUNT(F800:F811)=4),cubic_spline(F799:F803,H799:H803,B$14),IF(AND(COUNT(H800:H811)=5,COUNT(F800:F811)=5),cubic_spline(F799:F804,H799:H804,B$14),IF(AND(COUNT(H800:H811)=6,COUNT(F800:F811)=6),cubic_spline(F799:F805,H799:H805,B$14),IF(AND(COUNT(H800:H811)=7,COUNT(F800:F811)=7),cubic_spline(F799:F806,H799:H806,B$14),IF(AND(COUNT(H800:H811)=8,COUNT(F800:F811)=8),cubic_spline(F799:F807,H799:H807,B$14),IF(AND(COUNT(H800:H811)=9,COUNT(F800:F811)=9),cubic_spline(F799:F808,H799:H808,B$14),IF(AND(COUNT(H800:H811)=10,COUNT(F800:F811)=10),cubic_spline(F799:F809,H799:H809,B$14),IF(AND(COUNT(H800:H811)=11,COUNT(F800:F811)=11),cubic_spline(F799:F810,H799:H810,B$14),IF(AND(COUNT(H800:H811)=12,COUNT(F800:F811)=12),cubic_spline(F799:F811,H799:H811,B$14),""))))))))))))</f>
        <v/>
      </c>
      <c r="K810" s="52" t="str">
        <f>IF(N(B$14)=0,"",IF(AND(COUNT(A800:A811)=2,COUNT(F800:F811)=2),cubic_spline(F799:F801,A799:A801,B$14),IF(AND(COUNT(A800:A811)=3,COUNT(F800:F811)=3),cubic_spline(F799:F802,A799:A802,B$14),IF(AND(COUNT(A800:A811)=4,COUNT(F800:F811)=4),cubic_spline(F799:F803,A799:A803,B$14),IF(AND(COUNT(A800:A811)=5,COUNT(F800:F811)=5),cubic_spline(F799:F804,A799:A804,B$14),IF(AND(COUNT(A800:A811)=6,COUNT(F800:F811)=6),cubic_spline(F799:F805,A799:A805,B$14),IF(AND(COUNT(A800:A811)=7,COUNT(F800:F811)=7),cubic_spline(F799:F806,A799:A806,B$14),IF(AND(COUNT(A800:A811)=8,COUNT(F800:F811)=8),cubic_spline(F799:F807,A799:A807,B$14),IF(AND(COUNT(A800:A811)=9,COUNT(F800:F811)=9),cubic_spline(F799:F808,A799:A808,B$14),IF(AND(COUNT(A800:A811)=10,COUNT(F800:F811)=10),cubic_spline(F799:F809,A799:A809,B$14),IF(AND(COUNT(A800:A811)=11,COUNT(F800:F811)=11),cubic_spline(F799:F810,A799:A810,B$14),IF(AND(COUNT(A800:A811)=12,COUNT(F800:F811)=12),cubic_spline(F799:F811,A799:A811,B$14),""))))))))))))</f>
        <v/>
      </c>
      <c r="L810" s="27" t="str">
        <f>IF(I810="","",B$13&amp;"-"&amp;B$14)</f>
        <v/>
      </c>
      <c r="M810" s="52" t="str">
        <f t="shared" si="305"/>
        <v/>
      </c>
    </row>
    <row r="811" spans="1:13" x14ac:dyDescent="0.35">
      <c r="A811" s="48"/>
      <c r="B811" s="48"/>
      <c r="C811" s="49"/>
      <c r="D811" s="50"/>
      <c r="E811" s="51" t="str">
        <f t="shared" si="304"/>
        <v/>
      </c>
      <c r="F811" s="71" t="str">
        <f t="shared" si="301"/>
        <v/>
      </c>
      <c r="G811" s="69" t="str">
        <f t="shared" si="303"/>
        <v/>
      </c>
      <c r="H811" s="70" t="str">
        <f t="shared" si="302"/>
        <v/>
      </c>
      <c r="I811" s="27" t="str">
        <f>IF(N(J811)=0,"",0&amp;"-"&amp;B$15)</f>
        <v/>
      </c>
      <c r="J811" s="52" t="str">
        <f>IF(N(B$15)=0,"",IF(AND(COUNT(H800:H811)=2,COUNT(F800:F811)=2),cubic_spline(F799:F801,H799:H801,B$15),IF(AND(COUNT(H800:H811)=3,COUNT(F800:F811)=3),cubic_spline(F799:F802,H799:H802,B$15),IF(AND(COUNT(H800:H811)=4,COUNT(F800:F811)=4),cubic_spline(F799:F803,H799:H803,B$15),IF(AND(COUNT(H800:H811)=5,COUNT(F800:F811)=5),cubic_spline(F799:F804,H799:H804,B$15),IF(AND(COUNT(H800:H811)=6,COUNT(F800:F811)=6),cubic_spline(F799:F805,H799:H805,B$15),IF(AND(COUNT(H800:H811)=7,COUNT(F800:F811)=7),cubic_spline(F799:F806,H799:H806,B$15),IF(AND(COUNT(H800:H811)=8,COUNT(F800:F811)=8),cubic_spline(F799:F807,H799:H807,B$15),IF(AND(COUNT(H800:H811)=9,COUNT(F800:F811)=9),cubic_spline(F799:F808,H799:H808,B$15),IF(AND(COUNT(H800:H811)=10,COUNT(F800:F811)=10),cubic_spline(F799:F809,H799:H809,B$15),IF(AND(COUNT(H800:H811)=11,COUNT(F800:F811)=11),cubic_spline(F799:F810,H799:H810,B$15),IF(AND(COUNT(H800:H811)=12,COUNT(F800:F811)=12),cubic_spline(F799:F811,H799:H811,B$15),""))))))))))))</f>
        <v/>
      </c>
      <c r="K811" s="52" t="str">
        <f>IF(N(B$15)=0,"",IF(AND(COUNT(A800:A811)=2,COUNT(F800:F811)=2),cubic_spline(F799:F801,A799:A801,B$15),IF(AND(COUNT(A800:A811)=3,COUNT(F800:F811)=3),cubic_spline(F799:F802,A799:A802,B$15),IF(AND(COUNT(A800:A811)=4,COUNT(F800:F811)=4),cubic_spline(F799:F803,A799:A803,B$15),IF(AND(COUNT(A800:A811)=5,COUNT(F800:F811)=5),cubic_spline(F799:F804,A799:A804,B$15),IF(AND(COUNT(A800:A811)=6,COUNT(F800:F811)=6),cubic_spline(F799:F805,A799:A805,B$15),IF(AND(COUNT(A800:A811)=7,COUNT(F800:F811)=7),cubic_spline(F799:F806,A799:A806,B$15),IF(AND(COUNT(A800:A811)=8,COUNT(F800:F811)=8),cubic_spline(F799:F807,A799:A807,B$15),IF(AND(COUNT(A800:A811)=9,COUNT(F800:F811)=9),cubic_spline(F799:F808,A799:A808,B$15),IF(AND(COUNT(A800:A811)=10,COUNT(F800:F811)=10),cubic_spline(F799:F809,A799:A809,B$15),IF(AND(COUNT(A800:A811)=11,COUNT(F800:F811)=11),cubic_spline(F799:F810,A799:A810,B$15),IF(AND(COUNT(A800:A811)=12,COUNT(F800:F811)=12),cubic_spline(F799:F811,A799:A811,B$15),""))))))))))))</f>
        <v/>
      </c>
      <c r="L811" s="27" t="str">
        <f>IF(I811="","",B$14&amp;"-"&amp;B$15)</f>
        <v/>
      </c>
      <c r="M811" s="52" t="str">
        <f t="shared" si="305"/>
        <v/>
      </c>
    </row>
    <row r="812" spans="1:13" ht="5.15" customHeight="1" x14ac:dyDescent="0.35">
      <c r="A812" s="47"/>
      <c r="B812" s="47"/>
      <c r="C812" s="47"/>
      <c r="D812" s="53"/>
      <c r="E812" s="54"/>
      <c r="F812" s="55"/>
      <c r="G812" s="72"/>
      <c r="H812" s="73"/>
      <c r="I812" s="47"/>
      <c r="J812" s="57"/>
      <c r="K812" s="57"/>
      <c r="L812" s="55"/>
      <c r="M812" s="57"/>
    </row>
    <row r="813" spans="1:13" x14ac:dyDescent="0.35">
      <c r="A813" s="48"/>
      <c r="B813" s="48"/>
      <c r="C813" s="49"/>
      <c r="D813" s="50"/>
      <c r="E813" s="51" t="str">
        <f>IF(N(C813)=0,"",C813/PI()/($D$1/2)^2/$D$2*10000)</f>
        <v/>
      </c>
      <c r="F813" s="68" t="str">
        <f t="shared" ref="F813:F824" si="306">IF(N(E813)=0,"",(N(E813)+N(F812)))</f>
        <v/>
      </c>
      <c r="G813" s="69" t="str">
        <f>IF(OR(N(D813)=0,N(E813)=0),"",(E813*D813)/1000)</f>
        <v/>
      </c>
      <c r="H813" s="70" t="str">
        <f t="shared" ref="H813:H824" si="307">IF(N(G813)=0,"",(N(G813)+N(H812)))</f>
        <v/>
      </c>
      <c r="I813" s="27" t="str">
        <f>IF(N(J813)=0,"",0&amp;"-"&amp;B$4)</f>
        <v/>
      </c>
      <c r="J813" s="52" t="str">
        <f>IF(N(B$4)=0,"",IF(AND(COUNT(H813:H824)=2,COUNT(F813:F824)=2),cubic_spline(F812:F814,H812:H814,B$4),IF(AND(COUNT(H813:H824)=3,COUNT(F813:F824)=3),cubic_spline(F812:F815,H812:H815,B$4),IF(AND(COUNT(H813:H824)=4,COUNT(F813:F824)=4),cubic_spline(F812:F816,H812:H816,B$4),IF(AND(COUNT(H813:H824)=5,COUNT(F813:F824)=5),cubic_spline(F812:F817,H812:H817,B$4),IF(AND(COUNT(H813:H824)=6,COUNT(F813:F824)=6),cubic_spline(F812:F818,H812:H818,B$4),IF(AND(COUNT(H813:H824)=7,COUNT(F813:F824)=7),cubic_spline(F812:F819,H812:H819,B$4),IF(AND(COUNT(H813:H824)=8,COUNT(F813:F824)=8),cubic_spline(F812:F820,H812:H820,B$4),IF(AND(COUNT(H813:H824)=9,COUNT(F813:F824)=9),cubic_spline(F812:F821,H812:H821,B$4),IF(AND(COUNT(H813:H824)=10,COUNT(F813:F824)=10),cubic_spline(F812:F822,H812:H822,B$4),IF(AND(COUNT(H813:H824)=11,COUNT(F813:F824)=11),cubic_spline(F812:F823,H812:H823,B$4),IF(AND(COUNT(H813:H824)=12,COUNT(F813:F824)=12),cubic_spline(F812:F824,H812:H824,B$4),""))))))))))))</f>
        <v/>
      </c>
      <c r="K813" s="52" t="str">
        <f>IF(N(B$4)=0,"",IF(AND(COUNT(A813:A824)=2,COUNT(F813:F824)=2),cubic_spline(F812:F814,A812:A814,B$4),IF(AND(COUNT(A813:A824)=3,COUNT(F813:F824)=3),cubic_spline(F812:F815,A812:A815,B$4),IF(AND(COUNT(A813:A824)=4,COUNT(F813:F824)=4),cubic_spline(F812:F816,A812:A816,B$4),IF(AND(COUNT(A813:A824)=5,COUNT(F813:F824)=5),cubic_spline(F812:F817,A812:A817,B$4),IF(AND(COUNT(A813:A824)=6,COUNT(F813:F824)=6),cubic_spline(F812:F818,A812:A818,B$4),IF(AND(COUNT(A813:A824)=7,COUNT(F813:F824)=7),cubic_spline(F812:F819,A812:A819,B$4),IF(AND(COUNT(A813:A824)=8,COUNT(F813:F824)=8),cubic_spline(F812:F820,A812:A820,B$4),IF(AND(COUNT(A813:A824)=9,COUNT(F813:F824)=9),cubic_spline(F812:F821,A812:A821,B$4),IF(AND(COUNT(A813:A824)=10,COUNT(F813:F824)=10),cubic_spline(F812:F822,A812:A822,B$4),IF(AND(COUNT(A813:A824)=11,COUNT(F813:F824)=11),cubic_spline(F812:F823,A812:A823,B$4),IF(AND(COUNT(A813:A824)=12,COUNT(F813:F824)=12),cubic_spline(F812:F824,A812:A824,B$4),""))))))))))))</f>
        <v/>
      </c>
      <c r="L813" s="27" t="str">
        <f>IF(I813="","",0&amp;"-"&amp;B$4)</f>
        <v/>
      </c>
      <c r="M813" s="52" t="str">
        <f>IF(N(J813)=0,"",J813-J812)</f>
        <v/>
      </c>
    </row>
    <row r="814" spans="1:13" x14ac:dyDescent="0.35">
      <c r="A814" s="48"/>
      <c r="B814" s="48"/>
      <c r="C814" s="49"/>
      <c r="D814" s="50"/>
      <c r="E814" s="51" t="str">
        <f>IF(N(C814)=0,"",C814/PI()/($D$1/2)^2/$D$2*10000)</f>
        <v/>
      </c>
      <c r="F814" s="68" t="str">
        <f t="shared" si="306"/>
        <v/>
      </c>
      <c r="G814" s="69" t="str">
        <f t="shared" ref="G814:G824" si="308">IF(OR(N(D814)=0,N(E814)=0),"",(E814*D814)/1000)</f>
        <v/>
      </c>
      <c r="H814" s="70" t="str">
        <f t="shared" si="307"/>
        <v/>
      </c>
      <c r="I814" s="27" t="str">
        <f>IF(N(J814)=0,"",0&amp;"-"&amp;B$5)</f>
        <v/>
      </c>
      <c r="J814" s="52" t="str">
        <f>IF(N(B$5)=0,"",IF(AND(COUNT(H813:H824)=2,COUNT(F813:F824)=2),cubic_spline(F812:F814,H812:H814,B$5),IF(AND(COUNT(H813:H824)=3,COUNT(F813:F824)=3),cubic_spline(F812:F815,H812:H815,B$5),IF(AND(COUNT(H813:H824)=4,COUNT(F813:F824)=4),cubic_spline(F812:F816,H812:H816,B$5),IF(AND(COUNT(H813:H824)=5,COUNT(F813:F824)=5),cubic_spline(F812:F817,H812:H817,B$5),IF(AND(COUNT(H813:H824)=6,COUNT(F813:F824)=6),cubic_spline(F812:F818,H812:H818,B$5),IF(AND(COUNT(H813:H824)=7,COUNT(F813:F824)=7),cubic_spline(F812:F819,H812:H819,B$5),IF(AND(COUNT(H813:H824)=8,COUNT(F813:F824)=8),cubic_spline(F812:F820,H812:H820,B$5),IF(AND(COUNT(H813:H824)=9,COUNT(F813:F824)=9),cubic_spline(F812:F821,H812:H821,B$5),IF(AND(COUNT(H813:H824)=10,COUNT(F813:F824)=10),cubic_spline(F812:F822,H812:H822,B$5),IF(AND(COUNT(H813:H824)=11,COUNT(F813:F824)=11),cubic_spline(F812:F823,H812:H823,B$5),IF(AND(COUNT(H813:H824)=12,COUNT(F813:F824)=12),cubic_spline(F812:F824,H812:H824,B$5),""))))))))))))</f>
        <v/>
      </c>
      <c r="K814" s="52" t="str">
        <f>IF(N(B$5)=0,"",IF(AND(COUNT(A813:A824)=2,COUNT(F813:F824)=2),cubic_spline(F812:F814,A812:A814,B$5),IF(AND(COUNT(A813:A824)=3,COUNT(F813:F824)=3),cubic_spline(F812:F815,A812:A815,B$5),IF(AND(COUNT(A813:A824)=4,COUNT(F813:F824)=4),cubic_spline(F812:F816,A812:A816,B$5),IF(AND(COUNT(A813:A824)=5,COUNT(F813:F824)=5),cubic_spline(F812:F817,A812:A817,B$5),IF(AND(COUNT(A813:A824)=6,COUNT(F813:F824)=6),cubic_spline(F812:F818,A812:A818,B$5),IF(AND(COUNT(A813:A824)=7,COUNT(F813:F824)=7),cubic_spline(F812:F819,A812:A819,B$5),IF(AND(COUNT(A813:A824)=8,COUNT(F813:F824)=8),cubic_spline(F812:F820,A812:A820,B$5),IF(AND(COUNT(A813:A824)=9,COUNT(F813:F824)=9),cubic_spline(F812:F821,A812:A821,B$5),IF(AND(COUNT(A813:A824)=10,COUNT(F813:F824)=10),cubic_spline(F812:F822,A812:A822,B$5),IF(AND(COUNT(A813:A824)=11,COUNT(F813:F824)=11),cubic_spline(F812:F823,A812:A823,B$5),IF(AND(COUNT(A813:A824)=12,COUNT(F813:F824)=12),cubic_spline(F812:F824,A812:A824,B$5),""))))))))))))</f>
        <v/>
      </c>
      <c r="L814" s="27" t="str">
        <f>IF(I814="","",B$4&amp;"-"&amp;B$5)</f>
        <v/>
      </c>
      <c r="M814" s="52" t="str">
        <f>IF(N(J814)=0,"",J814-J813)</f>
        <v/>
      </c>
    </row>
    <row r="815" spans="1:13" x14ac:dyDescent="0.35">
      <c r="A815" s="48"/>
      <c r="B815" s="48"/>
      <c r="C815" s="49"/>
      <c r="D815" s="50"/>
      <c r="E815" s="51" t="str">
        <f>IF(N(C815)=0,"",C815/PI()/($D$1/2)^2/$D$2*10000)</f>
        <v/>
      </c>
      <c r="F815" s="68" t="str">
        <f t="shared" si="306"/>
        <v/>
      </c>
      <c r="G815" s="69" t="str">
        <f t="shared" si="308"/>
        <v/>
      </c>
      <c r="H815" s="70" t="str">
        <f t="shared" si="307"/>
        <v/>
      </c>
      <c r="I815" s="27" t="str">
        <f>IF(N(J815)=0,"",0&amp;"-"&amp;B$6)</f>
        <v/>
      </c>
      <c r="J815" s="52" t="str">
        <f>IF(N(B$6)=0,"",IF(AND(COUNT(H813:H824)=2,COUNT(F813:F824)=2),cubic_spline(F812:F814,H812:H814,B$6),IF(AND(COUNT(H813:H824)=3,COUNT(F813:F824)=3),cubic_spline(F812:F815,H812:H815,B$6),IF(AND(COUNT(H813:H824)=4,COUNT(F813:F824)=4),cubic_spline(F812:F816,H812:H816,B$6),IF(AND(COUNT(H813:H824)=5,COUNT(F813:F824)=5),cubic_spline(F812:F817,H812:H817,B$6),IF(AND(COUNT(H813:H824)=6,COUNT(F813:F824)=6),cubic_spline(F812:F818,H812:H818,B$6),IF(AND(COUNT(H813:H824)=7,COUNT(F813:F824)=7),cubic_spline(F812:F819,H812:H819,B$6),IF(AND(COUNT(H813:H824)=8,COUNT(F813:F824)=8),cubic_spline(F812:F820,H812:H820,B$6),IF(AND(COUNT(H813:H824)=9,COUNT(F813:F824)=9),cubic_spline(F812:F821,H812:H821,B$6),IF(AND(COUNT(H813:H824)=10,COUNT(F813:F824)=10),cubic_spline(F812:F822,H812:H822,B$6),IF(AND(COUNT(H813:H824)=11,COUNT(F813:F824)=11),cubic_spline(F812:F823,H812:H823,B$6),IF(AND(COUNT(H813:H824)=12,COUNT(F813:F824)=12),cubic_spline(F812:F824,H812:H824,B$6),""))))))))))))</f>
        <v/>
      </c>
      <c r="K815" s="52" t="str">
        <f>IF(N(B$6)=0,"",IF(AND(COUNT(A813:A824)=2,COUNT(F813:F824)=2),cubic_spline(F812:F814,A812:A814,B$6),IF(AND(COUNT(A813:A824)=3,COUNT(F813:F824)=3),cubic_spline(F812:F815,A812:A815,B$6),IF(AND(COUNT(A813:A824)=4,COUNT(F813:F824)=4),cubic_spline(F812:F816,A812:A816,B$6),IF(AND(COUNT(A813:A824)=5,COUNT(F813:F824)=5),cubic_spline(F812:F817,A812:A817,B$6),IF(AND(COUNT(A813:A824)=6,COUNT(F813:F824)=6),cubic_spline(F812:F818,A812:A818,B$6),IF(AND(COUNT(A813:A824)=7,COUNT(F813:F824)=7),cubic_spline(F812:F819,A812:A819,B$6),IF(AND(COUNT(A813:A824)=8,COUNT(F813:F824)=8),cubic_spline(F812:F820,A812:A820,B$6),IF(AND(COUNT(A813:A824)=9,COUNT(F813:F824)=9),cubic_spline(F812:F821,A812:A821,B$6),IF(AND(COUNT(A813:A824)=10,COUNT(F813:F824)=10),cubic_spline(F812:F822,A812:A822,B$6),IF(AND(COUNT(A813:A824)=11,COUNT(F813:F824)=11),cubic_spline(F812:F823,A812:A823,B$6),IF(AND(COUNT(A813:A824)=12,COUNT(F813:F824)=12),cubic_spline(F812:F824,A812:A824,B$6),""))))))))))))</f>
        <v/>
      </c>
      <c r="L815" s="27" t="str">
        <f>IF(I815="","",B$5&amp;"-"&amp;B$6)</f>
        <v/>
      </c>
      <c r="M815" s="52" t="str">
        <f>IF(N(J815)=0,"",J815-J814)</f>
        <v/>
      </c>
    </row>
    <row r="816" spans="1:13" x14ac:dyDescent="0.35">
      <c r="A816" s="48"/>
      <c r="B816" s="48"/>
      <c r="C816" s="49"/>
      <c r="D816" s="50"/>
      <c r="E816" s="51" t="str">
        <f>IF(N(C816)=0,"",C816/PI()/($D$1/2)^2/$D$2*10000)</f>
        <v/>
      </c>
      <c r="F816" s="68" t="str">
        <f t="shared" si="306"/>
        <v/>
      </c>
      <c r="G816" s="69" t="str">
        <f t="shared" si="308"/>
        <v/>
      </c>
      <c r="H816" s="70" t="str">
        <f t="shared" si="307"/>
        <v/>
      </c>
      <c r="I816" s="27" t="str">
        <f>IF(N(J816)=0,"",0&amp;"-"&amp;B$7)</f>
        <v/>
      </c>
      <c r="J816" s="52" t="str">
        <f>IF(N(B$7)=0,"",IF(AND(COUNT(H813:H824)=2,COUNT(F813:F824)=2),cubic_spline(F812:F814,H812:H814,B$7),IF(AND(COUNT(H813:H824)=3,COUNT(F813:F824)=3),cubic_spline(F812:F815,H812:H815,B$7),IF(AND(COUNT(H813:H824)=4,COUNT(F813:F824)=4),cubic_spline(F812:F816,H812:H816,B$7),IF(AND(COUNT(H813:H824)=5,COUNT(F813:F824)=5),cubic_spline(F812:F817,H812:H817,B$7),IF(AND(COUNT(H813:H824)=6,COUNT(F813:F824)=6),cubic_spline(F812:F818,H812:H818,B$7),IF(AND(COUNT(H813:H824)=7,COUNT(F813:F824)=7),cubic_spline(F812:F819,H812:H819,B$7),IF(AND(COUNT(H813:H824)=8,COUNT(F813:F824)=8),cubic_spline(F812:F820,H812:H820,B$7),IF(AND(COUNT(H813:H824)=9,COUNT(F813:F824)=9),cubic_spline(F812:F821,H812:H821,B$7),IF(AND(COUNT(H813:H824)=10,COUNT(F813:F824)=10),cubic_spline(F812:F822,H812:H822,B$7),IF(AND(COUNT(H813:H824)=11,COUNT(F813:F824)=11),cubic_spline(F812:F823,H812:H823,B$7),IF(AND(COUNT(H813:H824)=12,COUNT(F813:F824)=12),cubic_spline(F812:F824,H812:H824,B$7),""))))))))))))</f>
        <v/>
      </c>
      <c r="K816" s="52" t="str">
        <f>IF(N(B$7)=0,"",IF(AND(COUNT(A813:A824)=2,COUNT(F813:F824)=2),cubic_spline(F812:F814,A812:A814,B$7),IF(AND(COUNT(A813:A824)=3,COUNT(F813:F824)=3),cubic_spline(F812:F815,A812:A815,B$7),IF(AND(COUNT(A813:A824)=4,COUNT(F813:F824)=4),cubic_spline(F812:F816,A812:A816,B$7),IF(AND(COUNT(A813:A824)=5,COUNT(F813:F824)=5),cubic_spline(F812:F817,A812:A817,B$7),IF(AND(COUNT(A813:A824)=6,COUNT(F813:F824)=6),cubic_spline(F812:F818,A812:A818,B$7),IF(AND(COUNT(A813:A824)=7,COUNT(F813:F824)=7),cubic_spline(F812:F819,A812:A819,B$7),IF(AND(COUNT(A813:A824)=8,COUNT(F813:F824)=8),cubic_spline(F812:F820,A812:A820,B$7),IF(AND(COUNT(A813:A824)=9,COUNT(F813:F824)=9),cubic_spline(F812:F821,A812:A821,B$7),IF(AND(COUNT(A813:A824)=10,COUNT(F813:F824)=10),cubic_spline(F812:F822,A812:A822,B$7),IF(AND(COUNT(A813:A824)=11,COUNT(F813:F824)=11),cubic_spline(F812:F823,A812:A823,B$7),IF(AND(COUNT(A813:A824)=12,COUNT(F813:F824)=12),cubic_spline(F812:F824,A812:A824,B$7),""))))))))))))</f>
        <v/>
      </c>
      <c r="L816" s="27" t="str">
        <f>IF(I816="","",B$6&amp;"-"&amp;B$7)</f>
        <v/>
      </c>
      <c r="M816" s="52" t="str">
        <f>IF(N(J816)=0,"",J816-J815)</f>
        <v/>
      </c>
    </row>
    <row r="817" spans="1:13" x14ac:dyDescent="0.35">
      <c r="A817" s="48"/>
      <c r="B817" s="48"/>
      <c r="C817" s="49"/>
      <c r="D817" s="50"/>
      <c r="E817" s="51" t="str">
        <f t="shared" ref="E817:E824" si="309">IF(N(C817)=0,"",C817/PI()/($D$1/2)^2/$D$2*10000)</f>
        <v/>
      </c>
      <c r="F817" s="71" t="str">
        <f t="shared" si="306"/>
        <v/>
      </c>
      <c r="G817" s="69" t="str">
        <f t="shared" si="308"/>
        <v/>
      </c>
      <c r="H817" s="70" t="str">
        <f t="shared" si="307"/>
        <v/>
      </c>
      <c r="I817" s="27" t="str">
        <f>IF(N(J817)=0,"",0&amp;"-"&amp;B$8)</f>
        <v/>
      </c>
      <c r="J817" s="52" t="str">
        <f>IF(N(B$8)=0,"",IF(AND(COUNT(H813:H824)=2,COUNT(F813:F824)=2),cubic_spline(F812:F814,H812:H814,B$8),IF(AND(COUNT(H813:H824)=3,COUNT(F813:F824)=3),cubic_spline(F812:F815,H812:H815,B$8),IF(AND(COUNT(H813:H824)=4,COUNT(F813:F824)=4),cubic_spline(F812:F816,H812:H816,B$8),IF(AND(COUNT(H813:H824)=5,COUNT(F813:F824)=5),cubic_spline(F812:F817,H812:H817,B$8),IF(AND(COUNT(H813:H824)=6,COUNT(F813:F824)=6),cubic_spline(F812:F818,H812:H818,B$8),IF(AND(COUNT(H813:H824)=7,COUNT(F813:F824)=7),cubic_spline(F812:F819,H812:H819,B$8),IF(AND(COUNT(H813:H824)=8,COUNT(F813:F824)=8),cubic_spline(F812:F820,H812:H820,B$8),IF(AND(COUNT(H813:H824)=9,COUNT(F813:F824)=9),cubic_spline(F812:F821,H812:H821,B$8),IF(AND(COUNT(H813:H824)=10,COUNT(F813:F824)=10),cubic_spline(F812:F822,H812:H822,B$8),IF(AND(COUNT(H813:H824)=11,COUNT(F813:F824)=11),cubic_spline(F812:F823,H812:H823,B$8),IF(AND(COUNT(H813:H824)=12,COUNT(F813:F824)=12),cubic_spline(F812:F824,H812:H824,B$8),""))))))))))))</f>
        <v/>
      </c>
      <c r="K817" s="52" t="str">
        <f>IF(N(B$8)=0,"",IF(AND(COUNT(A813:A824)=2,COUNT(F813:F824)=2),cubic_spline(F812:F814,A812:A814,B$8),IF(AND(COUNT(A813:A824)=3,COUNT(F813:F824)=3),cubic_spline(F812:F815,A812:A815,B$8),IF(AND(COUNT(A813:A824)=4,COUNT(F813:F824)=4),cubic_spline(F812:F816,A812:A816,B$8),IF(AND(COUNT(A813:A824)=5,COUNT(F813:F824)=5),cubic_spline(F812:F817,A812:A817,B$8),IF(AND(COUNT(A813:A824)=6,COUNT(F813:F824)=6),cubic_spline(F812:F818,A812:A818,B$8),IF(AND(COUNT(A813:A824)=7,COUNT(F813:F824)=7),cubic_spline(F812:F819,A812:A819,B$8),IF(AND(COUNT(A813:A824)=8,COUNT(F813:F824)=8),cubic_spline(F812:F820,A812:A820,B$8),IF(AND(COUNT(A813:A824)=9,COUNT(F813:F824)=9),cubic_spline(F812:F821,A812:A821,B$8),IF(AND(COUNT(A813:A824)=10,COUNT(F813:F824)=10),cubic_spline(F812:F822,A812:A822,B$8),IF(AND(COUNT(A813:A824)=11,COUNT(F813:F824)=11),cubic_spline(F812:F823,A812:A823,B$8),IF(AND(COUNT(A813:A824)=12,COUNT(F813:F824)=12),cubic_spline(F812:F824,A812:A824,B$8),""))))))))))))</f>
        <v/>
      </c>
      <c r="L817" s="27" t="str">
        <f>IF(I817="","",B$7&amp;"-"&amp;B$8)</f>
        <v/>
      </c>
      <c r="M817" s="52" t="str">
        <f>IF(N(J817)=0,"",J817-J816)</f>
        <v/>
      </c>
    </row>
    <row r="818" spans="1:13" x14ac:dyDescent="0.35">
      <c r="A818" s="48"/>
      <c r="B818" s="48"/>
      <c r="C818" s="49"/>
      <c r="D818" s="50"/>
      <c r="E818" s="51" t="str">
        <f t="shared" si="309"/>
        <v/>
      </c>
      <c r="F818" s="71" t="str">
        <f t="shared" si="306"/>
        <v/>
      </c>
      <c r="G818" s="69" t="str">
        <f t="shared" si="308"/>
        <v/>
      </c>
      <c r="H818" s="70" t="str">
        <f t="shared" si="307"/>
        <v/>
      </c>
      <c r="I818" s="27" t="str">
        <f>IF(N(J818)=0,"",0&amp;"-"&amp;B$9)</f>
        <v/>
      </c>
      <c r="J818" s="52" t="str">
        <f>IF(N(B$9)=0,"",IF(AND(COUNT(H813:H824)=2,COUNT(F813:F824)=2),cubic_spline(F812:F814,H812:H814,B$9),IF(AND(COUNT(H813:H824)=3,COUNT(F813:F824)=3),cubic_spline(F812:F815,H812:H815,B$9),IF(AND(COUNT(H813:H824)=4,COUNT(F813:F824)=4),cubic_spline(F812:F816,H812:H816,B$9),IF(AND(COUNT(H813:H824)=5,COUNT(F813:F824)=5),cubic_spline(F812:F817,H812:H817,B$9),IF(AND(COUNT(H813:H824)=6,COUNT(F813:F824)=6),cubic_spline(F812:F818,H812:H818,B$9),IF(AND(COUNT(H813:H824)=7,COUNT(F813:F824)=7),cubic_spline(F812:F819,H812:H819,B$9),IF(AND(COUNT(H813:H824)=8,COUNT(F813:F824)=8),cubic_spline(F812:F820,H812:H820,B$9),IF(AND(COUNT(H813:H824)=9,COUNT(F813:F824)=9),cubic_spline(F812:F821,H812:H821,B$9),IF(AND(COUNT(H813:H824)=10,COUNT(F813:F824)=10),cubic_spline(F812:F822,H812:H822,B$9),IF(AND(COUNT(H813:H824)=11,COUNT(F813:F824)=11),cubic_spline(F812:F823,H812:H823,B$9),IF(AND(COUNT(H813:H824)=12,COUNT(F813:F824)=12),cubic_spline(F812:F824,H812:H824,B$9),""))))))))))))</f>
        <v/>
      </c>
      <c r="K818" s="52" t="str">
        <f>IF(N(B$9)=0,"",IF(AND(COUNT(A813:A824)=2,COUNT(F813:F824)=2),cubic_spline(F812:F814,A812:A814,B$9),IF(AND(COUNT(A813:A824)=3,COUNT(F813:F824)=3),cubic_spline(F812:F815,A812:A815,B$9),IF(AND(COUNT(A813:A824)=4,COUNT(F813:F824)=4),cubic_spline(F812:F816,A812:A816,B$9),IF(AND(COUNT(A813:A824)=5,COUNT(F813:F824)=5),cubic_spline(F812:F817,A812:A817,B$9),IF(AND(COUNT(A813:A824)=6,COUNT(F813:F824)=6),cubic_spline(F812:F818,A812:A818,B$9),IF(AND(COUNT(A813:A824)=7,COUNT(F813:F824)=7),cubic_spline(F812:F819,A812:A819,B$9),IF(AND(COUNT(A813:A824)=8,COUNT(F813:F824)=8),cubic_spline(F812:F820,A812:A820,B$9),IF(AND(COUNT(A813:A824)=9,COUNT(F813:F824)=9),cubic_spline(F812:F821,A812:A821,B$9),IF(AND(COUNT(A813:A824)=10,COUNT(F813:F824)=10),cubic_spline(F812:F822,A812:A822,B$9),IF(AND(COUNT(A813:A824)=11,COUNT(F813:F824)=11),cubic_spline(F812:F823,A812:A823,B$9),IF(AND(COUNT(A813:A824)=12,COUNT(F813:F824)=12),cubic_spline(F812:F824,A812:A824,B$9),""))))))))))))</f>
        <v/>
      </c>
      <c r="L818" s="27" t="str">
        <f>IF(I818="","",B$8&amp;"-"&amp;B$9)</f>
        <v/>
      </c>
      <c r="M818" s="52" t="str">
        <f t="shared" ref="M818:M824" si="310">IF(N(J818)=0,"",J818-J817)</f>
        <v/>
      </c>
    </row>
    <row r="819" spans="1:13" x14ac:dyDescent="0.35">
      <c r="A819" s="48"/>
      <c r="B819" s="48"/>
      <c r="C819" s="49"/>
      <c r="D819" s="50"/>
      <c r="E819" s="51" t="str">
        <f t="shared" si="309"/>
        <v/>
      </c>
      <c r="F819" s="71" t="str">
        <f t="shared" si="306"/>
        <v/>
      </c>
      <c r="G819" s="69" t="str">
        <f t="shared" si="308"/>
        <v/>
      </c>
      <c r="H819" s="70" t="str">
        <f t="shared" si="307"/>
        <v/>
      </c>
      <c r="I819" s="27" t="str">
        <f>IF(N(J819)=0,"",0&amp;"-"&amp;B$10)</f>
        <v/>
      </c>
      <c r="J819" s="52" t="str">
        <f>IF(N(B$10)=0,"",IF(AND(COUNT(H813:H824)=2,COUNT(F813:F824)=2),cubic_spline(F812:F814,H812:H814,B$10),IF(AND(COUNT(H813:H824)=3,COUNT(F813:F824)=3),cubic_spline(F812:F815,H812:H815,B$10),IF(AND(COUNT(H813:H824)=4,COUNT(F813:F824)=4),cubic_spline(F812:F816,H812:H816,B$10),IF(AND(COUNT(H813:H824)=5,COUNT(F813:F824)=5),cubic_spline(F812:F817,H812:H817,B$10),IF(AND(COUNT(H813:H824)=6,COUNT(F813:F824)=6),cubic_spline(F812:F818,H812:H818,B$10),IF(AND(COUNT(H813:H824)=7,COUNT(F813:F824)=7),cubic_spline(F812:F819,H812:H819,B$10),IF(AND(COUNT(H813:H824)=8,COUNT(F813:F824)=8),cubic_spline(F812:F820,H812:H820,B$10),IF(AND(COUNT(H813:H824)=9,COUNT(F813:F824)=9),cubic_spline(F812:F821,H812:H821,B$10),IF(AND(COUNT(H813:H824)=10,COUNT(F813:F824)=10),cubic_spline(F812:F822,H812:H822,B$10),IF(AND(COUNT(H813:H824)=11,COUNT(F813:F824)=11),cubic_spline(F812:F823,H812:H823,B$10),IF(AND(COUNT(H813:H824)=12,COUNT(F813:F824)=12),cubic_spline(F812:F824,H812:H824,B$10),""))))))))))))</f>
        <v/>
      </c>
      <c r="K819" s="52" t="str">
        <f>IF(N(B$10)=0,"",IF(AND(COUNT(A813:A824)=2,COUNT(F813:F824)=2),cubic_spline(F812:F814,A812:A814,B$10),IF(AND(COUNT(A813:A824)=3,COUNT(F813:F824)=3),cubic_spline(F812:F815,A812:A815,B$10),IF(AND(COUNT(A813:A824)=4,COUNT(F813:F824)=4),cubic_spline(F812:F816,A812:A816,B$10),IF(AND(COUNT(A813:A824)=5,COUNT(F813:F824)=5),cubic_spline(F812:F817,A812:A817,B$10),IF(AND(COUNT(A813:A824)=6,COUNT(F813:F824)=6),cubic_spline(F812:F818,A812:A818,B$10),IF(AND(COUNT(A813:A824)=7,COUNT(F813:F824)=7),cubic_spline(F812:F819,A812:A819,B$10),IF(AND(COUNT(A813:A824)=8,COUNT(F813:F824)=8),cubic_spline(F812:F820,A812:A820,B$10),IF(AND(COUNT(A813:A824)=9,COUNT(F813:F824)=9),cubic_spline(F812:F821,A812:A821,B$10),IF(AND(COUNT(A813:A824)=10,COUNT(F813:F824)=10),cubic_spline(F812:F822,A812:A822,B$10),IF(AND(COUNT(A813:A824)=11,COUNT(F813:F824)=11),cubic_spline(F812:F823,A812:A823,B$10),IF(AND(COUNT(A813:A824)=12,COUNT(F813:F824)=12),cubic_spline(F812:F824,A812:A824,B$10),""))))))))))))</f>
        <v/>
      </c>
      <c r="L819" s="27" t="str">
        <f>IF(I819="","",B$9&amp;"-"&amp;B$10)</f>
        <v/>
      </c>
      <c r="M819" s="52" t="str">
        <f t="shared" si="310"/>
        <v/>
      </c>
    </row>
    <row r="820" spans="1:13" x14ac:dyDescent="0.35">
      <c r="A820" s="48"/>
      <c r="B820" s="48"/>
      <c r="C820" s="49"/>
      <c r="D820" s="50"/>
      <c r="E820" s="51" t="str">
        <f t="shared" si="309"/>
        <v/>
      </c>
      <c r="F820" s="71" t="str">
        <f t="shared" si="306"/>
        <v/>
      </c>
      <c r="G820" s="69" t="str">
        <f t="shared" si="308"/>
        <v/>
      </c>
      <c r="H820" s="70" t="str">
        <f t="shared" si="307"/>
        <v/>
      </c>
      <c r="I820" s="27" t="str">
        <f>IF(N(J820)=0,"",0&amp;"-"&amp;B$11)</f>
        <v/>
      </c>
      <c r="J820" s="52" t="str">
        <f>IF(N(B$11)=0,"",IF(AND(COUNT(H813:H824)=2,COUNT(F813:F824)=2),cubic_spline(F812:F814,H812:H814,B$11),IF(AND(COUNT(H813:H824)=3,COUNT(F813:F824)=3),cubic_spline(F812:F815,H812:H815,B$11),IF(AND(COUNT(H813:H824)=4,COUNT(F813:F824)=4),cubic_spline(F812:F816,H812:H816,B$11),IF(AND(COUNT(H813:H824)=5,COUNT(F813:F824)=5),cubic_spline(F812:F817,H812:H817,B$11),IF(AND(COUNT(H813:H824)=6,COUNT(F813:F824)=6),cubic_spline(F812:F818,H812:H818,B$11),IF(AND(COUNT(H813:H824)=7,COUNT(F813:F824)=7),cubic_spline(F812:F819,H812:H819,B$11),IF(AND(COUNT(H813:H824)=8,COUNT(F813:F824)=8),cubic_spline(F812:F820,H812:H820,B$11),IF(AND(COUNT(H813:H824)=9,COUNT(F813:F824)=9),cubic_spline(F812:F821,H812:H821,B$11),IF(AND(COUNT(H813:H824)=10,COUNT(F813:F824)=10),cubic_spline(F812:F822,H812:H822,B$11),IF(AND(COUNT(H813:H824)=11,COUNT(F813:F824)=11),cubic_spline(F812:F823,H812:H823,B$11),IF(AND(COUNT(H813:H824)=12,COUNT(F813:F824)=12),cubic_spline(F812:F824,H812:H824,B$11),""))))))))))))</f>
        <v/>
      </c>
      <c r="K820" s="52" t="str">
        <f>IF(N(B$11)=0,"",IF(AND(COUNT(A813:A824)=2,COUNT(F813:F824)=2),cubic_spline(F812:F814,A812:A814,B$11),IF(AND(COUNT(A813:A824)=3,COUNT(F813:F824)=3),cubic_spline(F812:F815,A812:A815,B$11),IF(AND(COUNT(A813:A824)=4,COUNT(F813:F824)=4),cubic_spline(F812:F816,A812:A816,B$11),IF(AND(COUNT(A813:A824)=5,COUNT(F813:F824)=5),cubic_spline(F812:F817,A812:A817,B$11),IF(AND(COUNT(A813:A824)=6,COUNT(F813:F824)=6),cubic_spline(F812:F818,A812:A818,B$11),IF(AND(COUNT(A813:A824)=7,COUNT(F813:F824)=7),cubic_spline(F812:F819,A812:A819,B$11),IF(AND(COUNT(A813:A824)=8,COUNT(F813:F824)=8),cubic_spline(F812:F820,A812:A820,B$11),IF(AND(COUNT(A813:A824)=9,COUNT(F813:F824)=9),cubic_spline(F812:F821,A812:A821,B$11),IF(AND(COUNT(A813:A824)=10,COUNT(F813:F824)=10),cubic_spline(F812:F822,A812:A822,B$11),IF(AND(COUNT(A813:A824)=11,COUNT(F813:F824)=11),cubic_spline(F812:F823,A812:A823,B$11),IF(AND(COUNT(A813:A824)=12,COUNT(F813:F824)=12),cubic_spline(F812:F824,A812:A824,B$11),""))))))))))))</f>
        <v/>
      </c>
      <c r="L820" s="27" t="str">
        <f>IF(I820="","",B$10&amp;"-"&amp;B$11)</f>
        <v/>
      </c>
      <c r="M820" s="52" t="str">
        <f t="shared" si="310"/>
        <v/>
      </c>
    </row>
    <row r="821" spans="1:13" x14ac:dyDescent="0.35">
      <c r="A821" s="48"/>
      <c r="B821" s="48"/>
      <c r="C821" s="49"/>
      <c r="D821" s="50"/>
      <c r="E821" s="51" t="str">
        <f t="shared" si="309"/>
        <v/>
      </c>
      <c r="F821" s="71" t="str">
        <f t="shared" si="306"/>
        <v/>
      </c>
      <c r="G821" s="69" t="str">
        <f t="shared" si="308"/>
        <v/>
      </c>
      <c r="H821" s="70" t="str">
        <f t="shared" si="307"/>
        <v/>
      </c>
      <c r="I821" s="27" t="str">
        <f>IF(N(J821)=0,"",0&amp;"-"&amp;B$12)</f>
        <v/>
      </c>
      <c r="J821" s="52" t="str">
        <f>IF(N(B$12)=0,"",IF(AND(COUNT(H813:H824)=2,COUNT(F813:F824)=2),cubic_spline(F812:F814,H812:H814,B$12),IF(AND(COUNT(H813:H824)=3,COUNT(F813:F824)=3),cubic_spline(F812:F815,H812:H815,B$12),IF(AND(COUNT(H813:H824)=4,COUNT(F813:F824)=4),cubic_spline(F812:F816,H812:H816,B$12),IF(AND(COUNT(H813:H824)=5,COUNT(F813:F824)=5),cubic_spline(F812:F817,H812:H817,B$12),IF(AND(COUNT(H813:H824)=6,COUNT(F813:F824)=6),cubic_spline(F812:F818,H812:H818,B$12),IF(AND(COUNT(H813:H824)=7,COUNT(F813:F824)=7),cubic_spline(F812:F819,H812:H819,B$12),IF(AND(COUNT(H813:H824)=8,COUNT(F813:F824)=8),cubic_spline(F812:F820,H812:H820,B$12),IF(AND(COUNT(H813:H824)=9,COUNT(F813:F824)=9),cubic_spline(F812:F821,H812:H821,B$12),IF(AND(COUNT(H813:H824)=10,COUNT(F813:F824)=10),cubic_spline(F812:F822,H812:H822,B$12),IF(AND(COUNT(H813:H824)=11,COUNT(F813:F824)=11),cubic_spline(F812:F823,H812:H823,B$12),IF(AND(COUNT(H813:H824)=12,COUNT(F813:F824)=12),cubic_spline(F812:F824,H812:H824,B$12),""))))))))))))</f>
        <v/>
      </c>
      <c r="K821" s="52" t="str">
        <f>IF(N(B$12)=0,"",IF(AND(COUNT(A813:A824)=2,COUNT(F813:F824)=2),cubic_spline(F812:F814,A812:A814,B$12),IF(AND(COUNT(A813:A824)=3,COUNT(F813:F824)=3),cubic_spline(F812:F815,A812:A815,B$12),IF(AND(COUNT(A813:A824)=4,COUNT(F813:F824)=4),cubic_spline(F812:F816,A812:A816,B$12),IF(AND(COUNT(A813:A824)=5,COUNT(F813:F824)=5),cubic_spline(F812:F817,A812:A817,B$12),IF(AND(COUNT(A813:A824)=6,COUNT(F813:F824)=6),cubic_spline(F812:F818,A812:A818,B$12),IF(AND(COUNT(A813:A824)=7,COUNT(F813:F824)=7),cubic_spline(F812:F819,A812:A819,B$12),IF(AND(COUNT(A813:A824)=8,COUNT(F813:F824)=8),cubic_spline(F812:F820,A812:A820,B$12),IF(AND(COUNT(A813:A824)=9,COUNT(F813:F824)=9),cubic_spline(F812:F821,A812:A821,B$12),IF(AND(COUNT(A813:A824)=10,COUNT(F813:F824)=10),cubic_spline(F812:F822,A812:A822,B$12),IF(AND(COUNT(A813:A824)=11,COUNT(F813:F824)=11),cubic_spline(F812:F823,A812:A823,B$12),IF(AND(COUNT(A813:A824)=12,COUNT(F813:F824)=12),cubic_spline(F812:F824,A812:A824,B$12),""))))))))))))</f>
        <v/>
      </c>
      <c r="L821" s="27" t="str">
        <f>IF(I821="","",B$11&amp;"-"&amp;B$12)</f>
        <v/>
      </c>
      <c r="M821" s="52" t="str">
        <f t="shared" si="310"/>
        <v/>
      </c>
    </row>
    <row r="822" spans="1:13" x14ac:dyDescent="0.35">
      <c r="A822" s="48"/>
      <c r="B822" s="48"/>
      <c r="C822" s="49"/>
      <c r="D822" s="50"/>
      <c r="E822" s="51" t="str">
        <f t="shared" si="309"/>
        <v/>
      </c>
      <c r="F822" s="71" t="str">
        <f t="shared" si="306"/>
        <v/>
      </c>
      <c r="G822" s="69" t="str">
        <f t="shared" si="308"/>
        <v/>
      </c>
      <c r="H822" s="70" t="str">
        <f t="shared" si="307"/>
        <v/>
      </c>
      <c r="I822" s="27" t="str">
        <f>IF(N(J822)=0,"",0&amp;"-"&amp;B$13)</f>
        <v/>
      </c>
      <c r="J822" s="52" t="str">
        <f>IF(N(B$13)=0,"",IF(AND(COUNT(H813:H824)=2,COUNT(F813:F824)=2),cubic_spline(F812:F814,H812:H814,B$13),IF(AND(COUNT(H813:H824)=3,COUNT(F813:F824)=3),cubic_spline(F812:F815,H812:H815,B$13),IF(AND(COUNT(H813:H824)=4,COUNT(F813:F824)=4),cubic_spline(F812:F816,H812:H816,B$13),IF(AND(COUNT(H813:H824)=5,COUNT(F813:F824)=5),cubic_spline(F812:F817,H812:H817,B$13),IF(AND(COUNT(H813:H824)=6,COUNT(F813:F824)=6),cubic_spline(F812:F818,H812:H818,B$13),IF(AND(COUNT(H813:H824)=7,COUNT(F813:F824)=7),cubic_spline(F812:F819,H812:H819,B$13),IF(AND(COUNT(H813:H824)=8,COUNT(F813:F824)=8),cubic_spline(F812:F820,H812:H820,B$13),IF(AND(COUNT(H813:H824)=9,COUNT(F813:F824)=9),cubic_spline(F812:F821,H812:H821,B$13),IF(AND(COUNT(H813:H824)=10,COUNT(F813:F824)=10),cubic_spline(F812:F822,H812:H822,B$13),IF(AND(COUNT(H813:H824)=11,COUNT(F813:F824)=11),cubic_spline(F812:F823,H812:H823,B$13),IF(AND(COUNT(H813:H824)=12,COUNT(F813:F824)=12),cubic_spline(F812:F824,H812:H824,B$13),""))))))))))))</f>
        <v/>
      </c>
      <c r="K822" s="52" t="str">
        <f>IF(N(B$13)=0,"",IF(AND(COUNT(A813:A824)=2,COUNT(F813:F824)=2),cubic_spline(F812:F814,A812:A814,B$13),IF(AND(COUNT(A813:A824)=3,COUNT(F813:F824)=3),cubic_spline(F812:F815,A812:A815,B$13),IF(AND(COUNT(A813:A824)=4,COUNT(F813:F824)=4),cubic_spline(F812:F816,A812:A816,B$13),IF(AND(COUNT(A813:A824)=5,COUNT(F813:F824)=5),cubic_spline(F812:F817,A812:A817,B$13),IF(AND(COUNT(A813:A824)=6,COUNT(F813:F824)=6),cubic_spline(F812:F818,A812:A818,B$13),IF(AND(COUNT(A813:A824)=7,COUNT(F813:F824)=7),cubic_spline(F812:F819,A812:A819,B$13),IF(AND(COUNT(A813:A824)=8,COUNT(F813:F824)=8),cubic_spline(F812:F820,A812:A820,B$13),IF(AND(COUNT(A813:A824)=9,COUNT(F813:F824)=9),cubic_spline(F812:F821,A812:A821,B$13),IF(AND(COUNT(A813:A824)=10,COUNT(F813:F824)=10),cubic_spline(F812:F822,A812:A822,B$13),IF(AND(COUNT(A813:A824)=11,COUNT(F813:F824)=11),cubic_spline(F812:F823,A812:A823,B$13),IF(AND(COUNT(A813:A824)=12,COUNT(F813:F824)=12),cubic_spline(F812:F824,A812:A824,B$13),""))))))))))))</f>
        <v/>
      </c>
      <c r="L822" s="27" t="str">
        <f>IF(I822="","",B$12&amp;"-"&amp;B$13)</f>
        <v/>
      </c>
      <c r="M822" s="52" t="str">
        <f t="shared" si="310"/>
        <v/>
      </c>
    </row>
    <row r="823" spans="1:13" x14ac:dyDescent="0.35">
      <c r="A823" s="48"/>
      <c r="B823" s="48"/>
      <c r="C823" s="49"/>
      <c r="D823" s="50"/>
      <c r="E823" s="51" t="str">
        <f t="shared" si="309"/>
        <v/>
      </c>
      <c r="F823" s="71" t="str">
        <f t="shared" si="306"/>
        <v/>
      </c>
      <c r="G823" s="69" t="str">
        <f t="shared" si="308"/>
        <v/>
      </c>
      <c r="H823" s="70" t="str">
        <f t="shared" si="307"/>
        <v/>
      </c>
      <c r="I823" s="27" t="str">
        <f>IF(N(J823)=0,"",0&amp;"-"&amp;B$14)</f>
        <v/>
      </c>
      <c r="J823" s="52" t="str">
        <f>IF(N(B$14)=0,"",IF(AND(COUNT(H813:H824)=2,COUNT(F813:F824)=2),cubic_spline(F812:F814,H812:H814,B$14),IF(AND(COUNT(H813:H824)=3,COUNT(F813:F824)=3),cubic_spline(F812:F815,H812:H815,B$14),IF(AND(COUNT(H813:H824)=4,COUNT(F813:F824)=4),cubic_spline(F812:F816,H812:H816,B$14),IF(AND(COUNT(H813:H824)=5,COUNT(F813:F824)=5),cubic_spline(F812:F817,H812:H817,B$14),IF(AND(COUNT(H813:H824)=6,COUNT(F813:F824)=6),cubic_spline(F812:F818,H812:H818,B$14),IF(AND(COUNT(H813:H824)=7,COUNT(F813:F824)=7),cubic_spline(F812:F819,H812:H819,B$14),IF(AND(COUNT(H813:H824)=8,COUNT(F813:F824)=8),cubic_spline(F812:F820,H812:H820,B$14),IF(AND(COUNT(H813:H824)=9,COUNT(F813:F824)=9),cubic_spline(F812:F821,H812:H821,B$14),IF(AND(COUNT(H813:H824)=10,COUNT(F813:F824)=10),cubic_spline(F812:F822,H812:H822,B$14),IF(AND(COUNT(H813:H824)=11,COUNT(F813:F824)=11),cubic_spline(F812:F823,H812:H823,B$14),IF(AND(COUNT(H813:H824)=12,COUNT(F813:F824)=12),cubic_spline(F812:F824,H812:H824,B$14),""))))))))))))</f>
        <v/>
      </c>
      <c r="K823" s="52" t="str">
        <f>IF(N(B$14)=0,"",IF(AND(COUNT(A813:A824)=2,COUNT(F813:F824)=2),cubic_spline(F812:F814,A812:A814,B$14),IF(AND(COUNT(A813:A824)=3,COUNT(F813:F824)=3),cubic_spline(F812:F815,A812:A815,B$14),IF(AND(COUNT(A813:A824)=4,COUNT(F813:F824)=4),cubic_spline(F812:F816,A812:A816,B$14),IF(AND(COUNT(A813:A824)=5,COUNT(F813:F824)=5),cubic_spline(F812:F817,A812:A817,B$14),IF(AND(COUNT(A813:A824)=6,COUNT(F813:F824)=6),cubic_spline(F812:F818,A812:A818,B$14),IF(AND(COUNT(A813:A824)=7,COUNT(F813:F824)=7),cubic_spline(F812:F819,A812:A819,B$14),IF(AND(COUNT(A813:A824)=8,COUNT(F813:F824)=8),cubic_spline(F812:F820,A812:A820,B$14),IF(AND(COUNT(A813:A824)=9,COUNT(F813:F824)=9),cubic_spline(F812:F821,A812:A821,B$14),IF(AND(COUNT(A813:A824)=10,COUNT(F813:F824)=10),cubic_spline(F812:F822,A812:A822,B$14),IF(AND(COUNT(A813:A824)=11,COUNT(F813:F824)=11),cubic_spline(F812:F823,A812:A823,B$14),IF(AND(COUNT(A813:A824)=12,COUNT(F813:F824)=12),cubic_spline(F812:F824,A812:A824,B$14),""))))))))))))</f>
        <v/>
      </c>
      <c r="L823" s="27" t="str">
        <f>IF(I823="","",B$13&amp;"-"&amp;B$14)</f>
        <v/>
      </c>
      <c r="M823" s="52" t="str">
        <f t="shared" si="310"/>
        <v/>
      </c>
    </row>
    <row r="824" spans="1:13" x14ac:dyDescent="0.35">
      <c r="A824" s="48"/>
      <c r="B824" s="48"/>
      <c r="C824" s="49"/>
      <c r="D824" s="50"/>
      <c r="E824" s="51" t="str">
        <f t="shared" si="309"/>
        <v/>
      </c>
      <c r="F824" s="71" t="str">
        <f t="shared" si="306"/>
        <v/>
      </c>
      <c r="G824" s="69" t="str">
        <f t="shared" si="308"/>
        <v/>
      </c>
      <c r="H824" s="70" t="str">
        <f t="shared" si="307"/>
        <v/>
      </c>
      <c r="I824" s="27" t="str">
        <f>IF(N(J824)=0,"",0&amp;"-"&amp;B$15)</f>
        <v/>
      </c>
      <c r="J824" s="52" t="str">
        <f>IF(N(B$15)=0,"",IF(AND(COUNT(H813:H824)=2,COUNT(F813:F824)=2),cubic_spline(F812:F814,H812:H814,B$15),IF(AND(COUNT(H813:H824)=3,COUNT(F813:F824)=3),cubic_spline(F812:F815,H812:H815,B$15),IF(AND(COUNT(H813:H824)=4,COUNT(F813:F824)=4),cubic_spline(F812:F816,H812:H816,B$15),IF(AND(COUNT(H813:H824)=5,COUNT(F813:F824)=5),cubic_spline(F812:F817,H812:H817,B$15),IF(AND(COUNT(H813:H824)=6,COUNT(F813:F824)=6),cubic_spline(F812:F818,H812:H818,B$15),IF(AND(COUNT(H813:H824)=7,COUNT(F813:F824)=7),cubic_spline(F812:F819,H812:H819,B$15),IF(AND(COUNT(H813:H824)=8,COUNT(F813:F824)=8),cubic_spline(F812:F820,H812:H820,B$15),IF(AND(COUNT(H813:H824)=9,COUNT(F813:F824)=9),cubic_spline(F812:F821,H812:H821,B$15),IF(AND(COUNT(H813:H824)=10,COUNT(F813:F824)=10),cubic_spline(F812:F822,H812:H822,B$15),IF(AND(COUNT(H813:H824)=11,COUNT(F813:F824)=11),cubic_spline(F812:F823,H812:H823,B$15),IF(AND(COUNT(H813:H824)=12,COUNT(F813:F824)=12),cubic_spline(F812:F824,H812:H824,B$15),""))))))))))))</f>
        <v/>
      </c>
      <c r="K824" s="52" t="str">
        <f>IF(N(B$15)=0,"",IF(AND(COUNT(A813:A824)=2,COUNT(F813:F824)=2),cubic_spline(F812:F814,A812:A814,B$15),IF(AND(COUNT(A813:A824)=3,COUNT(F813:F824)=3),cubic_spline(F812:F815,A812:A815,B$15),IF(AND(COUNT(A813:A824)=4,COUNT(F813:F824)=4),cubic_spline(F812:F816,A812:A816,B$15),IF(AND(COUNT(A813:A824)=5,COUNT(F813:F824)=5),cubic_spline(F812:F817,A812:A817,B$15),IF(AND(COUNT(A813:A824)=6,COUNT(F813:F824)=6),cubic_spline(F812:F818,A812:A818,B$15),IF(AND(COUNT(A813:A824)=7,COUNT(F813:F824)=7),cubic_spline(F812:F819,A812:A819,B$15),IF(AND(COUNT(A813:A824)=8,COUNT(F813:F824)=8),cubic_spline(F812:F820,A812:A820,B$15),IF(AND(COUNT(A813:A824)=9,COUNT(F813:F824)=9),cubic_spline(F812:F821,A812:A821,B$15),IF(AND(COUNT(A813:A824)=10,COUNT(F813:F824)=10),cubic_spline(F812:F822,A812:A822,B$15),IF(AND(COUNT(A813:A824)=11,COUNT(F813:F824)=11),cubic_spline(F812:F823,A812:A823,B$15),IF(AND(COUNT(A813:A824)=12,COUNT(F813:F824)=12),cubic_spline(F812:F824,A812:A824,B$15),""))))))))))))</f>
        <v/>
      </c>
      <c r="L824" s="27" t="str">
        <f>IF(I824="","",B$14&amp;"-"&amp;B$15)</f>
        <v/>
      </c>
      <c r="M824" s="52" t="str">
        <f t="shared" si="310"/>
        <v/>
      </c>
    </row>
    <row r="825" spans="1:13" ht="5.15" customHeight="1" x14ac:dyDescent="0.35">
      <c r="A825" s="47"/>
      <c r="B825" s="47"/>
      <c r="C825" s="47"/>
      <c r="D825" s="53"/>
      <c r="E825" s="54"/>
      <c r="F825" s="55"/>
      <c r="G825" s="72"/>
      <c r="H825" s="73"/>
      <c r="I825" s="47"/>
      <c r="J825" s="57"/>
      <c r="K825" s="57"/>
      <c r="L825" s="55"/>
      <c r="M825" s="57"/>
    </row>
    <row r="826" spans="1:13" x14ac:dyDescent="0.35">
      <c r="A826" s="48"/>
      <c r="B826" s="48"/>
      <c r="C826" s="49"/>
      <c r="D826" s="50"/>
      <c r="E826" s="51" t="str">
        <f>IF(N(C826)=0,"",C826/PI()/($D$1/2)^2/$D$2*10000)</f>
        <v/>
      </c>
      <c r="F826" s="68" t="str">
        <f t="shared" ref="F826:F837" si="311">IF(N(E826)=0,"",(N(E826)+N(F825)))</f>
        <v/>
      </c>
      <c r="G826" s="69" t="str">
        <f>IF(OR(N(D826)=0,N(E826)=0),"",(E826*D826)/1000)</f>
        <v/>
      </c>
      <c r="H826" s="70" t="str">
        <f t="shared" ref="H826:H837" si="312">IF(N(G826)=0,"",(N(G826)+N(H825)))</f>
        <v/>
      </c>
      <c r="I826" s="27" t="str">
        <f>IF(N(J826)=0,"",0&amp;"-"&amp;B$4)</f>
        <v/>
      </c>
      <c r="J826" s="52" t="str">
        <f>IF(N(B$4)=0,"",IF(AND(COUNT(H826:H837)=2,COUNT(F826:F837)=2),cubic_spline(F825:F827,H825:H827,B$4),IF(AND(COUNT(H826:H837)=3,COUNT(F826:F837)=3),cubic_spline(F825:F828,H825:H828,B$4),IF(AND(COUNT(H826:H837)=4,COUNT(F826:F837)=4),cubic_spline(F825:F829,H825:H829,B$4),IF(AND(COUNT(H826:H837)=5,COUNT(F826:F837)=5),cubic_spline(F825:F830,H825:H830,B$4),IF(AND(COUNT(H826:H837)=6,COUNT(F826:F837)=6),cubic_spline(F825:F831,H825:H831,B$4),IF(AND(COUNT(H826:H837)=7,COUNT(F826:F837)=7),cubic_spline(F825:F832,H825:H832,B$4),IF(AND(COUNT(H826:H837)=8,COUNT(F826:F837)=8),cubic_spline(F825:F833,H825:H833,B$4),IF(AND(COUNT(H826:H837)=9,COUNT(F826:F837)=9),cubic_spline(F825:F834,H825:H834,B$4),IF(AND(COUNT(H826:H837)=10,COUNT(F826:F837)=10),cubic_spline(F825:F835,H825:H835,B$4),IF(AND(COUNT(H826:H837)=11,COUNT(F826:F837)=11),cubic_spline(F825:F836,H825:H836,B$4),IF(AND(COUNT(H826:H837)=12,COUNT(F826:F837)=12),cubic_spline(F825:F837,H825:H837,B$4),""))))))))))))</f>
        <v/>
      </c>
      <c r="K826" s="52" t="str">
        <f>IF(N(B$4)=0,"",IF(AND(COUNT(A826:A837)=2,COUNT(F826:F837)=2),cubic_spline(F825:F827,A825:A827,B$4),IF(AND(COUNT(A826:A837)=3,COUNT(F826:F837)=3),cubic_spline(F825:F828,A825:A828,B$4),IF(AND(COUNT(A826:A837)=4,COUNT(F826:F837)=4),cubic_spline(F825:F829,A825:A829,B$4),IF(AND(COUNT(A826:A837)=5,COUNT(F826:F837)=5),cubic_spline(F825:F830,A825:A830,B$4),IF(AND(COUNT(A826:A837)=6,COUNT(F826:F837)=6),cubic_spline(F825:F831,A825:A831,B$4),IF(AND(COUNT(A826:A837)=7,COUNT(F826:F837)=7),cubic_spline(F825:F832,A825:A832,B$4),IF(AND(COUNT(A826:A837)=8,COUNT(F826:F837)=8),cubic_spline(F825:F833,A825:A833,B$4),IF(AND(COUNT(A826:A837)=9,COUNT(F826:F837)=9),cubic_spline(F825:F834,A825:A834,B$4),IF(AND(COUNT(A826:A837)=10,COUNT(F826:F837)=10),cubic_spline(F825:F835,A825:A835,B$4),IF(AND(COUNT(A826:A837)=11,COUNT(F826:F837)=11),cubic_spline(F825:F836,A825:A836,B$4),IF(AND(COUNT(A826:A837)=12,COUNT(F826:F837)=12),cubic_spline(F825:F837,A825:A837,B$4),""))))))))))))</f>
        <v/>
      </c>
      <c r="L826" s="27" t="str">
        <f>IF(I826="","",0&amp;"-"&amp;B$4)</f>
        <v/>
      </c>
      <c r="M826" s="52" t="str">
        <f>IF(N(J826)=0,"",J826-J825)</f>
        <v/>
      </c>
    </row>
    <row r="827" spans="1:13" x14ac:dyDescent="0.35">
      <c r="A827" s="48"/>
      <c r="B827" s="48"/>
      <c r="C827" s="49"/>
      <c r="D827" s="50"/>
      <c r="E827" s="51" t="str">
        <f>IF(N(C827)=0,"",C827/PI()/($D$1/2)^2/$D$2*10000)</f>
        <v/>
      </c>
      <c r="F827" s="68" t="str">
        <f t="shared" si="311"/>
        <v/>
      </c>
      <c r="G827" s="69" t="str">
        <f t="shared" ref="G827:G837" si="313">IF(OR(N(D827)=0,N(E827)=0),"",(E827*D827)/1000)</f>
        <v/>
      </c>
      <c r="H827" s="70" t="str">
        <f t="shared" si="312"/>
        <v/>
      </c>
      <c r="I827" s="27" t="str">
        <f>IF(N(J827)=0,"",0&amp;"-"&amp;B$5)</f>
        <v/>
      </c>
      <c r="J827" s="52" t="str">
        <f>IF(N(B$5)=0,"",IF(AND(COUNT(H826:H837)=2,COUNT(F826:F837)=2),cubic_spline(F825:F827,H825:H827,B$5),IF(AND(COUNT(H826:H837)=3,COUNT(F826:F837)=3),cubic_spline(F825:F828,H825:H828,B$5),IF(AND(COUNT(H826:H837)=4,COUNT(F826:F837)=4),cubic_spline(F825:F829,H825:H829,B$5),IF(AND(COUNT(H826:H837)=5,COUNT(F826:F837)=5),cubic_spline(F825:F830,H825:H830,B$5),IF(AND(COUNT(H826:H837)=6,COUNT(F826:F837)=6),cubic_spline(F825:F831,H825:H831,B$5),IF(AND(COUNT(H826:H837)=7,COUNT(F826:F837)=7),cubic_spline(F825:F832,H825:H832,B$5),IF(AND(COUNT(H826:H837)=8,COUNT(F826:F837)=8),cubic_spline(F825:F833,H825:H833,B$5),IF(AND(COUNT(H826:H837)=9,COUNT(F826:F837)=9),cubic_spline(F825:F834,H825:H834,B$5),IF(AND(COUNT(H826:H837)=10,COUNT(F826:F837)=10),cubic_spline(F825:F835,H825:H835,B$5),IF(AND(COUNT(H826:H837)=11,COUNT(F826:F837)=11),cubic_spline(F825:F836,H825:H836,B$5),IF(AND(COUNT(H826:H837)=12,COUNT(F826:F837)=12),cubic_spline(F825:F837,H825:H837,B$5),""))))))))))))</f>
        <v/>
      </c>
      <c r="K827" s="52" t="str">
        <f>IF(N(B$5)=0,"",IF(AND(COUNT(A826:A837)=2,COUNT(F826:F837)=2),cubic_spline(F825:F827,A825:A827,B$5),IF(AND(COUNT(A826:A837)=3,COUNT(F826:F837)=3),cubic_spline(F825:F828,A825:A828,B$5),IF(AND(COUNT(A826:A837)=4,COUNT(F826:F837)=4),cubic_spline(F825:F829,A825:A829,B$5),IF(AND(COUNT(A826:A837)=5,COUNT(F826:F837)=5),cubic_spline(F825:F830,A825:A830,B$5),IF(AND(COUNT(A826:A837)=6,COUNT(F826:F837)=6),cubic_spline(F825:F831,A825:A831,B$5),IF(AND(COUNT(A826:A837)=7,COUNT(F826:F837)=7),cubic_spline(F825:F832,A825:A832,B$5),IF(AND(COUNT(A826:A837)=8,COUNT(F826:F837)=8),cubic_spline(F825:F833,A825:A833,B$5),IF(AND(COUNT(A826:A837)=9,COUNT(F826:F837)=9),cubic_spline(F825:F834,A825:A834,B$5),IF(AND(COUNT(A826:A837)=10,COUNT(F826:F837)=10),cubic_spline(F825:F835,A825:A835,B$5),IF(AND(COUNT(A826:A837)=11,COUNT(F826:F837)=11),cubic_spline(F825:F836,A825:A836,B$5),IF(AND(COUNT(A826:A837)=12,COUNT(F826:F837)=12),cubic_spline(F825:F837,A825:A837,B$5),""))))))))))))</f>
        <v/>
      </c>
      <c r="L827" s="27" t="str">
        <f>IF(I827="","",B$4&amp;"-"&amp;B$5)</f>
        <v/>
      </c>
      <c r="M827" s="52" t="str">
        <f>IF(N(J827)=0,"",J827-J826)</f>
        <v/>
      </c>
    </row>
    <row r="828" spans="1:13" x14ac:dyDescent="0.35">
      <c r="A828" s="48"/>
      <c r="B828" s="48"/>
      <c r="C828" s="49"/>
      <c r="D828" s="50"/>
      <c r="E828" s="51" t="str">
        <f>IF(N(C828)=0,"",C828/PI()/($D$1/2)^2/$D$2*10000)</f>
        <v/>
      </c>
      <c r="F828" s="68" t="str">
        <f t="shared" si="311"/>
        <v/>
      </c>
      <c r="G828" s="69" t="str">
        <f t="shared" si="313"/>
        <v/>
      </c>
      <c r="H828" s="70" t="str">
        <f t="shared" si="312"/>
        <v/>
      </c>
      <c r="I828" s="27" t="str">
        <f>IF(N(J828)=0,"",0&amp;"-"&amp;B$6)</f>
        <v/>
      </c>
      <c r="J828" s="52" t="str">
        <f>IF(N(B$6)=0,"",IF(AND(COUNT(H826:H837)=2,COUNT(F826:F837)=2),cubic_spline(F825:F827,H825:H827,B$6),IF(AND(COUNT(H826:H837)=3,COUNT(F826:F837)=3),cubic_spline(F825:F828,H825:H828,B$6),IF(AND(COUNT(H826:H837)=4,COUNT(F826:F837)=4),cubic_spline(F825:F829,H825:H829,B$6),IF(AND(COUNT(H826:H837)=5,COUNT(F826:F837)=5),cubic_spline(F825:F830,H825:H830,B$6),IF(AND(COUNT(H826:H837)=6,COUNT(F826:F837)=6),cubic_spline(F825:F831,H825:H831,B$6),IF(AND(COUNT(H826:H837)=7,COUNT(F826:F837)=7),cubic_spline(F825:F832,H825:H832,B$6),IF(AND(COUNT(H826:H837)=8,COUNT(F826:F837)=8),cubic_spline(F825:F833,H825:H833,B$6),IF(AND(COUNT(H826:H837)=9,COUNT(F826:F837)=9),cubic_spline(F825:F834,H825:H834,B$6),IF(AND(COUNT(H826:H837)=10,COUNT(F826:F837)=10),cubic_spline(F825:F835,H825:H835,B$6),IF(AND(COUNT(H826:H837)=11,COUNT(F826:F837)=11),cubic_spline(F825:F836,H825:H836,B$6),IF(AND(COUNT(H826:H837)=12,COUNT(F826:F837)=12),cubic_spline(F825:F837,H825:H837,B$6),""))))))))))))</f>
        <v/>
      </c>
      <c r="K828" s="52" t="str">
        <f>IF(N(B$6)=0,"",IF(AND(COUNT(A826:A837)=2,COUNT(F826:F837)=2),cubic_spline(F825:F827,A825:A827,B$6),IF(AND(COUNT(A826:A837)=3,COUNT(F826:F837)=3),cubic_spline(F825:F828,A825:A828,B$6),IF(AND(COUNT(A826:A837)=4,COUNT(F826:F837)=4),cubic_spline(F825:F829,A825:A829,B$6),IF(AND(COUNT(A826:A837)=5,COUNT(F826:F837)=5),cubic_spline(F825:F830,A825:A830,B$6),IF(AND(COUNT(A826:A837)=6,COUNT(F826:F837)=6),cubic_spline(F825:F831,A825:A831,B$6),IF(AND(COUNT(A826:A837)=7,COUNT(F826:F837)=7),cubic_spline(F825:F832,A825:A832,B$6),IF(AND(COUNT(A826:A837)=8,COUNT(F826:F837)=8),cubic_spline(F825:F833,A825:A833,B$6),IF(AND(COUNT(A826:A837)=9,COUNT(F826:F837)=9),cubic_spline(F825:F834,A825:A834,B$6),IF(AND(COUNT(A826:A837)=10,COUNT(F826:F837)=10),cubic_spline(F825:F835,A825:A835,B$6),IF(AND(COUNT(A826:A837)=11,COUNT(F826:F837)=11),cubic_spline(F825:F836,A825:A836,B$6),IF(AND(COUNT(A826:A837)=12,COUNT(F826:F837)=12),cubic_spline(F825:F837,A825:A837,B$6),""))))))))))))</f>
        <v/>
      </c>
      <c r="L828" s="27" t="str">
        <f>IF(I828="","",B$5&amp;"-"&amp;B$6)</f>
        <v/>
      </c>
      <c r="M828" s="52" t="str">
        <f>IF(N(J828)=0,"",J828-J827)</f>
        <v/>
      </c>
    </row>
    <row r="829" spans="1:13" x14ac:dyDescent="0.35">
      <c r="A829" s="48"/>
      <c r="B829" s="48"/>
      <c r="C829" s="49"/>
      <c r="D829" s="50"/>
      <c r="E829" s="51" t="str">
        <f>IF(N(C829)=0,"",C829/PI()/($D$1/2)^2/$D$2*10000)</f>
        <v/>
      </c>
      <c r="F829" s="68" t="str">
        <f t="shared" si="311"/>
        <v/>
      </c>
      <c r="G829" s="69" t="str">
        <f t="shared" si="313"/>
        <v/>
      </c>
      <c r="H829" s="70" t="str">
        <f t="shared" si="312"/>
        <v/>
      </c>
      <c r="I829" s="27" t="str">
        <f>IF(N(J829)=0,"",0&amp;"-"&amp;B$7)</f>
        <v/>
      </c>
      <c r="J829" s="52" t="str">
        <f>IF(N(B$7)=0,"",IF(AND(COUNT(H826:H837)=2,COUNT(F826:F837)=2),cubic_spline(F825:F827,H825:H827,B$7),IF(AND(COUNT(H826:H837)=3,COUNT(F826:F837)=3),cubic_spline(F825:F828,H825:H828,B$7),IF(AND(COUNT(H826:H837)=4,COUNT(F826:F837)=4),cubic_spline(F825:F829,H825:H829,B$7),IF(AND(COUNT(H826:H837)=5,COUNT(F826:F837)=5),cubic_spline(F825:F830,H825:H830,B$7),IF(AND(COUNT(H826:H837)=6,COUNT(F826:F837)=6),cubic_spline(F825:F831,H825:H831,B$7),IF(AND(COUNT(H826:H837)=7,COUNT(F826:F837)=7),cubic_spline(F825:F832,H825:H832,B$7),IF(AND(COUNT(H826:H837)=8,COUNT(F826:F837)=8),cubic_spline(F825:F833,H825:H833,B$7),IF(AND(COUNT(H826:H837)=9,COUNT(F826:F837)=9),cubic_spline(F825:F834,H825:H834,B$7),IF(AND(COUNT(H826:H837)=10,COUNT(F826:F837)=10),cubic_spline(F825:F835,H825:H835,B$7),IF(AND(COUNT(H826:H837)=11,COUNT(F826:F837)=11),cubic_spline(F825:F836,H825:H836,B$7),IF(AND(COUNT(H826:H837)=12,COUNT(F826:F837)=12),cubic_spline(F825:F837,H825:H837,B$7),""))))))))))))</f>
        <v/>
      </c>
      <c r="K829" s="52" t="str">
        <f>IF(N(B$7)=0,"",IF(AND(COUNT(A826:A837)=2,COUNT(F826:F837)=2),cubic_spline(F825:F827,A825:A827,B$7),IF(AND(COUNT(A826:A837)=3,COUNT(F826:F837)=3),cubic_spline(F825:F828,A825:A828,B$7),IF(AND(COUNT(A826:A837)=4,COUNT(F826:F837)=4),cubic_spline(F825:F829,A825:A829,B$7),IF(AND(COUNT(A826:A837)=5,COUNT(F826:F837)=5),cubic_spline(F825:F830,A825:A830,B$7),IF(AND(COUNT(A826:A837)=6,COUNT(F826:F837)=6),cubic_spline(F825:F831,A825:A831,B$7),IF(AND(COUNT(A826:A837)=7,COUNT(F826:F837)=7),cubic_spline(F825:F832,A825:A832,B$7),IF(AND(COUNT(A826:A837)=8,COUNT(F826:F837)=8),cubic_spline(F825:F833,A825:A833,B$7),IF(AND(COUNT(A826:A837)=9,COUNT(F826:F837)=9),cubic_spline(F825:F834,A825:A834,B$7),IF(AND(COUNT(A826:A837)=10,COUNT(F826:F837)=10),cubic_spline(F825:F835,A825:A835,B$7),IF(AND(COUNT(A826:A837)=11,COUNT(F826:F837)=11),cubic_spline(F825:F836,A825:A836,B$7),IF(AND(COUNT(A826:A837)=12,COUNT(F826:F837)=12),cubic_spline(F825:F837,A825:A837,B$7),""))))))))))))</f>
        <v/>
      </c>
      <c r="L829" s="27" t="str">
        <f>IF(I829="","",B$6&amp;"-"&amp;B$7)</f>
        <v/>
      </c>
      <c r="M829" s="52" t="str">
        <f>IF(N(J829)=0,"",J829-J828)</f>
        <v/>
      </c>
    </row>
    <row r="830" spans="1:13" x14ac:dyDescent="0.35">
      <c r="A830" s="48"/>
      <c r="B830" s="48"/>
      <c r="C830" s="49"/>
      <c r="D830" s="50"/>
      <c r="E830" s="51" t="str">
        <f t="shared" ref="E830:E837" si="314">IF(N(C830)=0,"",C830/PI()/($D$1/2)^2/$D$2*10000)</f>
        <v/>
      </c>
      <c r="F830" s="71" t="str">
        <f t="shared" si="311"/>
        <v/>
      </c>
      <c r="G830" s="69" t="str">
        <f t="shared" si="313"/>
        <v/>
      </c>
      <c r="H830" s="70" t="str">
        <f t="shared" si="312"/>
        <v/>
      </c>
      <c r="I830" s="27" t="str">
        <f>IF(N(J830)=0,"",0&amp;"-"&amp;B$8)</f>
        <v/>
      </c>
      <c r="J830" s="52" t="str">
        <f>IF(N(B$8)=0,"",IF(AND(COUNT(H826:H837)=2,COUNT(F826:F837)=2),cubic_spline(F825:F827,H825:H827,B$8),IF(AND(COUNT(H826:H837)=3,COUNT(F826:F837)=3),cubic_spline(F825:F828,H825:H828,B$8),IF(AND(COUNT(H826:H837)=4,COUNT(F826:F837)=4),cubic_spline(F825:F829,H825:H829,B$8),IF(AND(COUNT(H826:H837)=5,COUNT(F826:F837)=5),cubic_spline(F825:F830,H825:H830,B$8),IF(AND(COUNT(H826:H837)=6,COUNT(F826:F837)=6),cubic_spline(F825:F831,H825:H831,B$8),IF(AND(COUNT(H826:H837)=7,COUNT(F826:F837)=7),cubic_spline(F825:F832,H825:H832,B$8),IF(AND(COUNT(H826:H837)=8,COUNT(F826:F837)=8),cubic_spline(F825:F833,H825:H833,B$8),IF(AND(COUNT(H826:H837)=9,COUNT(F826:F837)=9),cubic_spline(F825:F834,H825:H834,B$8),IF(AND(COUNT(H826:H837)=10,COUNT(F826:F837)=10),cubic_spline(F825:F835,H825:H835,B$8),IF(AND(COUNT(H826:H837)=11,COUNT(F826:F837)=11),cubic_spline(F825:F836,H825:H836,B$8),IF(AND(COUNT(H826:H837)=12,COUNT(F826:F837)=12),cubic_spline(F825:F837,H825:H837,B$8),""))))))))))))</f>
        <v/>
      </c>
      <c r="K830" s="52" t="str">
        <f>IF(N(B$8)=0,"",IF(AND(COUNT(A826:A837)=2,COUNT(F826:F837)=2),cubic_spline(F825:F827,A825:A827,B$8),IF(AND(COUNT(A826:A837)=3,COUNT(F826:F837)=3),cubic_spline(F825:F828,A825:A828,B$8),IF(AND(COUNT(A826:A837)=4,COUNT(F826:F837)=4),cubic_spline(F825:F829,A825:A829,B$8),IF(AND(COUNT(A826:A837)=5,COUNT(F826:F837)=5),cubic_spline(F825:F830,A825:A830,B$8),IF(AND(COUNT(A826:A837)=6,COUNT(F826:F837)=6),cubic_spline(F825:F831,A825:A831,B$8),IF(AND(COUNT(A826:A837)=7,COUNT(F826:F837)=7),cubic_spline(F825:F832,A825:A832,B$8),IF(AND(COUNT(A826:A837)=8,COUNT(F826:F837)=8),cubic_spline(F825:F833,A825:A833,B$8),IF(AND(COUNT(A826:A837)=9,COUNT(F826:F837)=9),cubic_spline(F825:F834,A825:A834,B$8),IF(AND(COUNT(A826:A837)=10,COUNT(F826:F837)=10),cubic_spline(F825:F835,A825:A835,B$8),IF(AND(COUNT(A826:A837)=11,COUNT(F826:F837)=11),cubic_spline(F825:F836,A825:A836,B$8),IF(AND(COUNT(A826:A837)=12,COUNT(F826:F837)=12),cubic_spline(F825:F837,A825:A837,B$8),""))))))))))))</f>
        <v/>
      </c>
      <c r="L830" s="27" t="str">
        <f>IF(I830="","",B$7&amp;"-"&amp;B$8)</f>
        <v/>
      </c>
      <c r="M830" s="52" t="str">
        <f>IF(N(J830)=0,"",J830-J829)</f>
        <v/>
      </c>
    </row>
    <row r="831" spans="1:13" x14ac:dyDescent="0.35">
      <c r="A831" s="48"/>
      <c r="B831" s="48"/>
      <c r="C831" s="49"/>
      <c r="D831" s="50"/>
      <c r="E831" s="51" t="str">
        <f t="shared" si="314"/>
        <v/>
      </c>
      <c r="F831" s="71" t="str">
        <f t="shared" si="311"/>
        <v/>
      </c>
      <c r="G831" s="69" t="str">
        <f t="shared" si="313"/>
        <v/>
      </c>
      <c r="H831" s="70" t="str">
        <f t="shared" si="312"/>
        <v/>
      </c>
      <c r="I831" s="27" t="str">
        <f>IF(N(J831)=0,"",0&amp;"-"&amp;B$9)</f>
        <v/>
      </c>
      <c r="J831" s="52" t="str">
        <f>IF(N(B$9)=0,"",IF(AND(COUNT(H826:H837)=2,COUNT(F826:F837)=2),cubic_spline(F825:F827,H825:H827,B$9),IF(AND(COUNT(H826:H837)=3,COUNT(F826:F837)=3),cubic_spline(F825:F828,H825:H828,B$9),IF(AND(COUNT(H826:H837)=4,COUNT(F826:F837)=4),cubic_spline(F825:F829,H825:H829,B$9),IF(AND(COUNT(H826:H837)=5,COUNT(F826:F837)=5),cubic_spline(F825:F830,H825:H830,B$9),IF(AND(COUNT(H826:H837)=6,COUNT(F826:F837)=6),cubic_spline(F825:F831,H825:H831,B$9),IF(AND(COUNT(H826:H837)=7,COUNT(F826:F837)=7),cubic_spline(F825:F832,H825:H832,B$9),IF(AND(COUNT(H826:H837)=8,COUNT(F826:F837)=8),cubic_spline(F825:F833,H825:H833,B$9),IF(AND(COUNT(H826:H837)=9,COUNT(F826:F837)=9),cubic_spline(F825:F834,H825:H834,B$9),IF(AND(COUNT(H826:H837)=10,COUNT(F826:F837)=10),cubic_spline(F825:F835,H825:H835,B$9),IF(AND(COUNT(H826:H837)=11,COUNT(F826:F837)=11),cubic_spline(F825:F836,H825:H836,B$9),IF(AND(COUNT(H826:H837)=12,COUNT(F826:F837)=12),cubic_spline(F825:F837,H825:H837,B$9),""))))))))))))</f>
        <v/>
      </c>
      <c r="K831" s="52" t="str">
        <f>IF(N(B$9)=0,"",IF(AND(COUNT(A826:A837)=2,COUNT(F826:F837)=2),cubic_spline(F825:F827,A825:A827,B$9),IF(AND(COUNT(A826:A837)=3,COUNT(F826:F837)=3),cubic_spline(F825:F828,A825:A828,B$9),IF(AND(COUNT(A826:A837)=4,COUNT(F826:F837)=4),cubic_spline(F825:F829,A825:A829,B$9),IF(AND(COUNT(A826:A837)=5,COUNT(F826:F837)=5),cubic_spline(F825:F830,A825:A830,B$9),IF(AND(COUNT(A826:A837)=6,COUNT(F826:F837)=6),cubic_spline(F825:F831,A825:A831,B$9),IF(AND(COUNT(A826:A837)=7,COUNT(F826:F837)=7),cubic_spline(F825:F832,A825:A832,B$9),IF(AND(COUNT(A826:A837)=8,COUNT(F826:F837)=8),cubic_spline(F825:F833,A825:A833,B$9),IF(AND(COUNT(A826:A837)=9,COUNT(F826:F837)=9),cubic_spline(F825:F834,A825:A834,B$9),IF(AND(COUNT(A826:A837)=10,COUNT(F826:F837)=10),cubic_spline(F825:F835,A825:A835,B$9),IF(AND(COUNT(A826:A837)=11,COUNT(F826:F837)=11),cubic_spline(F825:F836,A825:A836,B$9),IF(AND(COUNT(A826:A837)=12,COUNT(F826:F837)=12),cubic_spline(F825:F837,A825:A837,B$9),""))))))))))))</f>
        <v/>
      </c>
      <c r="L831" s="27" t="str">
        <f>IF(I831="","",B$8&amp;"-"&amp;B$9)</f>
        <v/>
      </c>
      <c r="M831" s="52" t="str">
        <f t="shared" ref="M831:M837" si="315">IF(N(J831)=0,"",J831-J830)</f>
        <v/>
      </c>
    </row>
    <row r="832" spans="1:13" x14ac:dyDescent="0.35">
      <c r="A832" s="48"/>
      <c r="B832" s="48"/>
      <c r="C832" s="49"/>
      <c r="D832" s="50"/>
      <c r="E832" s="51" t="str">
        <f t="shared" si="314"/>
        <v/>
      </c>
      <c r="F832" s="71" t="str">
        <f t="shared" si="311"/>
        <v/>
      </c>
      <c r="G832" s="69" t="str">
        <f t="shared" si="313"/>
        <v/>
      </c>
      <c r="H832" s="70" t="str">
        <f t="shared" si="312"/>
        <v/>
      </c>
      <c r="I832" s="27" t="str">
        <f>IF(N(J832)=0,"",0&amp;"-"&amp;B$10)</f>
        <v/>
      </c>
      <c r="J832" s="52" t="str">
        <f>IF(N(B$10)=0,"",IF(AND(COUNT(H826:H837)=2,COUNT(F826:F837)=2),cubic_spline(F825:F827,H825:H827,B$10),IF(AND(COUNT(H826:H837)=3,COUNT(F826:F837)=3),cubic_spline(F825:F828,H825:H828,B$10),IF(AND(COUNT(H826:H837)=4,COUNT(F826:F837)=4),cubic_spline(F825:F829,H825:H829,B$10),IF(AND(COUNT(H826:H837)=5,COUNT(F826:F837)=5),cubic_spline(F825:F830,H825:H830,B$10),IF(AND(COUNT(H826:H837)=6,COUNT(F826:F837)=6),cubic_spline(F825:F831,H825:H831,B$10),IF(AND(COUNT(H826:H837)=7,COUNT(F826:F837)=7),cubic_spline(F825:F832,H825:H832,B$10),IF(AND(COUNT(H826:H837)=8,COUNT(F826:F837)=8),cubic_spline(F825:F833,H825:H833,B$10),IF(AND(COUNT(H826:H837)=9,COUNT(F826:F837)=9),cubic_spline(F825:F834,H825:H834,B$10),IF(AND(COUNT(H826:H837)=10,COUNT(F826:F837)=10),cubic_spline(F825:F835,H825:H835,B$10),IF(AND(COUNT(H826:H837)=11,COUNT(F826:F837)=11),cubic_spline(F825:F836,H825:H836,B$10),IF(AND(COUNT(H826:H837)=12,COUNT(F826:F837)=12),cubic_spline(F825:F837,H825:H837,B$10),""))))))))))))</f>
        <v/>
      </c>
      <c r="K832" s="52" t="str">
        <f>IF(N(B$10)=0,"",IF(AND(COUNT(A826:A837)=2,COUNT(F826:F837)=2),cubic_spline(F825:F827,A825:A827,B$10),IF(AND(COUNT(A826:A837)=3,COUNT(F826:F837)=3),cubic_spline(F825:F828,A825:A828,B$10),IF(AND(COUNT(A826:A837)=4,COUNT(F826:F837)=4),cubic_spline(F825:F829,A825:A829,B$10),IF(AND(COUNT(A826:A837)=5,COUNT(F826:F837)=5),cubic_spline(F825:F830,A825:A830,B$10),IF(AND(COUNT(A826:A837)=6,COUNT(F826:F837)=6),cubic_spline(F825:F831,A825:A831,B$10),IF(AND(COUNT(A826:A837)=7,COUNT(F826:F837)=7),cubic_spline(F825:F832,A825:A832,B$10),IF(AND(COUNT(A826:A837)=8,COUNT(F826:F837)=8),cubic_spline(F825:F833,A825:A833,B$10),IF(AND(COUNT(A826:A837)=9,COUNT(F826:F837)=9),cubic_spline(F825:F834,A825:A834,B$10),IF(AND(COUNT(A826:A837)=10,COUNT(F826:F837)=10),cubic_spline(F825:F835,A825:A835,B$10),IF(AND(COUNT(A826:A837)=11,COUNT(F826:F837)=11),cubic_spline(F825:F836,A825:A836,B$10),IF(AND(COUNT(A826:A837)=12,COUNT(F826:F837)=12),cubic_spline(F825:F837,A825:A837,B$10),""))))))))))))</f>
        <v/>
      </c>
      <c r="L832" s="27" t="str">
        <f>IF(I832="","",B$9&amp;"-"&amp;B$10)</f>
        <v/>
      </c>
      <c r="M832" s="52" t="str">
        <f t="shared" si="315"/>
        <v/>
      </c>
    </row>
    <row r="833" spans="1:13" x14ac:dyDescent="0.35">
      <c r="A833" s="48"/>
      <c r="B833" s="48"/>
      <c r="C833" s="49"/>
      <c r="D833" s="50"/>
      <c r="E833" s="51" t="str">
        <f t="shared" si="314"/>
        <v/>
      </c>
      <c r="F833" s="71" t="str">
        <f t="shared" si="311"/>
        <v/>
      </c>
      <c r="G833" s="69" t="str">
        <f t="shared" si="313"/>
        <v/>
      </c>
      <c r="H833" s="70" t="str">
        <f t="shared" si="312"/>
        <v/>
      </c>
      <c r="I833" s="27" t="str">
        <f>IF(N(J833)=0,"",0&amp;"-"&amp;B$11)</f>
        <v/>
      </c>
      <c r="J833" s="52" t="str">
        <f>IF(N(B$11)=0,"",IF(AND(COUNT(H826:H837)=2,COUNT(F826:F837)=2),cubic_spline(F825:F827,H825:H827,B$11),IF(AND(COUNT(H826:H837)=3,COUNT(F826:F837)=3),cubic_spline(F825:F828,H825:H828,B$11),IF(AND(COUNT(H826:H837)=4,COUNT(F826:F837)=4),cubic_spline(F825:F829,H825:H829,B$11),IF(AND(COUNT(H826:H837)=5,COUNT(F826:F837)=5),cubic_spline(F825:F830,H825:H830,B$11),IF(AND(COUNT(H826:H837)=6,COUNT(F826:F837)=6),cubic_spline(F825:F831,H825:H831,B$11),IF(AND(COUNT(H826:H837)=7,COUNT(F826:F837)=7),cubic_spline(F825:F832,H825:H832,B$11),IF(AND(COUNT(H826:H837)=8,COUNT(F826:F837)=8),cubic_spline(F825:F833,H825:H833,B$11),IF(AND(COUNT(H826:H837)=9,COUNT(F826:F837)=9),cubic_spline(F825:F834,H825:H834,B$11),IF(AND(COUNT(H826:H837)=10,COUNT(F826:F837)=10),cubic_spline(F825:F835,H825:H835,B$11),IF(AND(COUNT(H826:H837)=11,COUNT(F826:F837)=11),cubic_spline(F825:F836,H825:H836,B$11),IF(AND(COUNT(H826:H837)=12,COUNT(F826:F837)=12),cubic_spline(F825:F837,H825:H837,B$11),""))))))))))))</f>
        <v/>
      </c>
      <c r="K833" s="52" t="str">
        <f>IF(N(B$11)=0,"",IF(AND(COUNT(A826:A837)=2,COUNT(F826:F837)=2),cubic_spline(F825:F827,A825:A827,B$11),IF(AND(COUNT(A826:A837)=3,COUNT(F826:F837)=3),cubic_spline(F825:F828,A825:A828,B$11),IF(AND(COUNT(A826:A837)=4,COUNT(F826:F837)=4),cubic_spline(F825:F829,A825:A829,B$11),IF(AND(COUNT(A826:A837)=5,COUNT(F826:F837)=5),cubic_spline(F825:F830,A825:A830,B$11),IF(AND(COUNT(A826:A837)=6,COUNT(F826:F837)=6),cubic_spline(F825:F831,A825:A831,B$11),IF(AND(COUNT(A826:A837)=7,COUNT(F826:F837)=7),cubic_spline(F825:F832,A825:A832,B$11),IF(AND(COUNT(A826:A837)=8,COUNT(F826:F837)=8),cubic_spline(F825:F833,A825:A833,B$11),IF(AND(COUNT(A826:A837)=9,COUNT(F826:F837)=9),cubic_spline(F825:F834,A825:A834,B$11),IF(AND(COUNT(A826:A837)=10,COUNT(F826:F837)=10),cubic_spline(F825:F835,A825:A835,B$11),IF(AND(COUNT(A826:A837)=11,COUNT(F826:F837)=11),cubic_spline(F825:F836,A825:A836,B$11),IF(AND(COUNT(A826:A837)=12,COUNT(F826:F837)=12),cubic_spline(F825:F837,A825:A837,B$11),""))))))))))))</f>
        <v/>
      </c>
      <c r="L833" s="27" t="str">
        <f>IF(I833="","",B$10&amp;"-"&amp;B$11)</f>
        <v/>
      </c>
      <c r="M833" s="52" t="str">
        <f t="shared" si="315"/>
        <v/>
      </c>
    </row>
    <row r="834" spans="1:13" x14ac:dyDescent="0.35">
      <c r="A834" s="48"/>
      <c r="B834" s="48"/>
      <c r="C834" s="49"/>
      <c r="D834" s="50"/>
      <c r="E834" s="51" t="str">
        <f t="shared" si="314"/>
        <v/>
      </c>
      <c r="F834" s="71" t="str">
        <f t="shared" si="311"/>
        <v/>
      </c>
      <c r="G834" s="69" t="str">
        <f t="shared" si="313"/>
        <v/>
      </c>
      <c r="H834" s="70" t="str">
        <f t="shared" si="312"/>
        <v/>
      </c>
      <c r="I834" s="27" t="str">
        <f>IF(N(J834)=0,"",0&amp;"-"&amp;B$12)</f>
        <v/>
      </c>
      <c r="J834" s="52" t="str">
        <f>IF(N(B$12)=0,"",IF(AND(COUNT(H826:H837)=2,COUNT(F826:F837)=2),cubic_spline(F825:F827,H825:H827,B$12),IF(AND(COUNT(H826:H837)=3,COUNT(F826:F837)=3),cubic_spline(F825:F828,H825:H828,B$12),IF(AND(COUNT(H826:H837)=4,COUNT(F826:F837)=4),cubic_spline(F825:F829,H825:H829,B$12),IF(AND(COUNT(H826:H837)=5,COUNT(F826:F837)=5),cubic_spline(F825:F830,H825:H830,B$12),IF(AND(COUNT(H826:H837)=6,COUNT(F826:F837)=6),cubic_spline(F825:F831,H825:H831,B$12),IF(AND(COUNT(H826:H837)=7,COUNT(F826:F837)=7),cubic_spline(F825:F832,H825:H832,B$12),IF(AND(COUNT(H826:H837)=8,COUNT(F826:F837)=8),cubic_spline(F825:F833,H825:H833,B$12),IF(AND(COUNT(H826:H837)=9,COUNT(F826:F837)=9),cubic_spline(F825:F834,H825:H834,B$12),IF(AND(COUNT(H826:H837)=10,COUNT(F826:F837)=10),cubic_spline(F825:F835,H825:H835,B$12),IF(AND(COUNT(H826:H837)=11,COUNT(F826:F837)=11),cubic_spline(F825:F836,H825:H836,B$12),IF(AND(COUNT(H826:H837)=12,COUNT(F826:F837)=12),cubic_spline(F825:F837,H825:H837,B$12),""))))))))))))</f>
        <v/>
      </c>
      <c r="K834" s="52" t="str">
        <f>IF(N(B$12)=0,"",IF(AND(COUNT(A826:A837)=2,COUNT(F826:F837)=2),cubic_spline(F825:F827,A825:A827,B$12),IF(AND(COUNT(A826:A837)=3,COUNT(F826:F837)=3),cubic_spline(F825:F828,A825:A828,B$12),IF(AND(COUNT(A826:A837)=4,COUNT(F826:F837)=4),cubic_spline(F825:F829,A825:A829,B$12),IF(AND(COUNT(A826:A837)=5,COUNT(F826:F837)=5),cubic_spline(F825:F830,A825:A830,B$12),IF(AND(COUNT(A826:A837)=6,COUNT(F826:F837)=6),cubic_spline(F825:F831,A825:A831,B$12),IF(AND(COUNT(A826:A837)=7,COUNT(F826:F837)=7),cubic_spline(F825:F832,A825:A832,B$12),IF(AND(COUNT(A826:A837)=8,COUNT(F826:F837)=8),cubic_spline(F825:F833,A825:A833,B$12),IF(AND(COUNT(A826:A837)=9,COUNT(F826:F837)=9),cubic_spline(F825:F834,A825:A834,B$12),IF(AND(COUNT(A826:A837)=10,COUNT(F826:F837)=10),cubic_spline(F825:F835,A825:A835,B$12),IF(AND(COUNT(A826:A837)=11,COUNT(F826:F837)=11),cubic_spline(F825:F836,A825:A836,B$12),IF(AND(COUNT(A826:A837)=12,COUNT(F826:F837)=12),cubic_spline(F825:F837,A825:A837,B$12),""))))))))))))</f>
        <v/>
      </c>
      <c r="L834" s="27" t="str">
        <f>IF(I834="","",B$11&amp;"-"&amp;B$12)</f>
        <v/>
      </c>
      <c r="M834" s="52" t="str">
        <f t="shared" si="315"/>
        <v/>
      </c>
    </row>
    <row r="835" spans="1:13" x14ac:dyDescent="0.35">
      <c r="A835" s="48"/>
      <c r="B835" s="48"/>
      <c r="C835" s="49"/>
      <c r="D835" s="50"/>
      <c r="E835" s="51" t="str">
        <f t="shared" si="314"/>
        <v/>
      </c>
      <c r="F835" s="71" t="str">
        <f t="shared" si="311"/>
        <v/>
      </c>
      <c r="G835" s="69" t="str">
        <f t="shared" si="313"/>
        <v/>
      </c>
      <c r="H835" s="70" t="str">
        <f t="shared" si="312"/>
        <v/>
      </c>
      <c r="I835" s="27" t="str">
        <f>IF(N(J835)=0,"",0&amp;"-"&amp;B$13)</f>
        <v/>
      </c>
      <c r="J835" s="52" t="str">
        <f>IF(N(B$13)=0,"",IF(AND(COUNT(H826:H837)=2,COUNT(F826:F837)=2),cubic_spline(F825:F827,H825:H827,B$13),IF(AND(COUNT(H826:H837)=3,COUNT(F826:F837)=3),cubic_spline(F825:F828,H825:H828,B$13),IF(AND(COUNT(H826:H837)=4,COUNT(F826:F837)=4),cubic_spline(F825:F829,H825:H829,B$13),IF(AND(COUNT(H826:H837)=5,COUNT(F826:F837)=5),cubic_spline(F825:F830,H825:H830,B$13),IF(AND(COUNT(H826:H837)=6,COUNT(F826:F837)=6),cubic_spline(F825:F831,H825:H831,B$13),IF(AND(COUNT(H826:H837)=7,COUNT(F826:F837)=7),cubic_spline(F825:F832,H825:H832,B$13),IF(AND(COUNT(H826:H837)=8,COUNT(F826:F837)=8),cubic_spline(F825:F833,H825:H833,B$13),IF(AND(COUNT(H826:H837)=9,COUNT(F826:F837)=9),cubic_spline(F825:F834,H825:H834,B$13),IF(AND(COUNT(H826:H837)=10,COUNT(F826:F837)=10),cubic_spline(F825:F835,H825:H835,B$13),IF(AND(COUNT(H826:H837)=11,COUNT(F826:F837)=11),cubic_spline(F825:F836,H825:H836,B$13),IF(AND(COUNT(H826:H837)=12,COUNT(F826:F837)=12),cubic_spline(F825:F837,H825:H837,B$13),""))))))))))))</f>
        <v/>
      </c>
      <c r="K835" s="52" t="str">
        <f>IF(N(B$13)=0,"",IF(AND(COUNT(A826:A837)=2,COUNT(F826:F837)=2),cubic_spline(F825:F827,A825:A827,B$13),IF(AND(COUNT(A826:A837)=3,COUNT(F826:F837)=3),cubic_spline(F825:F828,A825:A828,B$13),IF(AND(COUNT(A826:A837)=4,COUNT(F826:F837)=4),cubic_spline(F825:F829,A825:A829,B$13),IF(AND(COUNT(A826:A837)=5,COUNT(F826:F837)=5),cubic_spline(F825:F830,A825:A830,B$13),IF(AND(COUNT(A826:A837)=6,COUNT(F826:F837)=6),cubic_spline(F825:F831,A825:A831,B$13),IF(AND(COUNT(A826:A837)=7,COUNT(F826:F837)=7),cubic_spline(F825:F832,A825:A832,B$13),IF(AND(COUNT(A826:A837)=8,COUNT(F826:F837)=8),cubic_spline(F825:F833,A825:A833,B$13),IF(AND(COUNT(A826:A837)=9,COUNT(F826:F837)=9),cubic_spline(F825:F834,A825:A834,B$13),IF(AND(COUNT(A826:A837)=10,COUNT(F826:F837)=10),cubic_spline(F825:F835,A825:A835,B$13),IF(AND(COUNT(A826:A837)=11,COUNT(F826:F837)=11),cubic_spline(F825:F836,A825:A836,B$13),IF(AND(COUNT(A826:A837)=12,COUNT(F826:F837)=12),cubic_spline(F825:F837,A825:A837,B$13),""))))))))))))</f>
        <v/>
      </c>
      <c r="L835" s="27" t="str">
        <f>IF(I835="","",B$12&amp;"-"&amp;B$13)</f>
        <v/>
      </c>
      <c r="M835" s="52" t="str">
        <f t="shared" si="315"/>
        <v/>
      </c>
    </row>
    <row r="836" spans="1:13" x14ac:dyDescent="0.35">
      <c r="A836" s="48"/>
      <c r="B836" s="48"/>
      <c r="C836" s="49"/>
      <c r="D836" s="50"/>
      <c r="E836" s="51" t="str">
        <f t="shared" si="314"/>
        <v/>
      </c>
      <c r="F836" s="71" t="str">
        <f t="shared" si="311"/>
        <v/>
      </c>
      <c r="G836" s="69" t="str">
        <f t="shared" si="313"/>
        <v/>
      </c>
      <c r="H836" s="70" t="str">
        <f t="shared" si="312"/>
        <v/>
      </c>
      <c r="I836" s="27" t="str">
        <f>IF(N(J836)=0,"",0&amp;"-"&amp;B$14)</f>
        <v/>
      </c>
      <c r="J836" s="52" t="str">
        <f>IF(N(B$14)=0,"",IF(AND(COUNT(H826:H837)=2,COUNT(F826:F837)=2),cubic_spline(F825:F827,H825:H827,B$14),IF(AND(COUNT(H826:H837)=3,COUNT(F826:F837)=3),cubic_spline(F825:F828,H825:H828,B$14),IF(AND(COUNT(H826:H837)=4,COUNT(F826:F837)=4),cubic_spline(F825:F829,H825:H829,B$14),IF(AND(COUNT(H826:H837)=5,COUNT(F826:F837)=5),cubic_spline(F825:F830,H825:H830,B$14),IF(AND(COUNT(H826:H837)=6,COUNT(F826:F837)=6),cubic_spline(F825:F831,H825:H831,B$14),IF(AND(COUNT(H826:H837)=7,COUNT(F826:F837)=7),cubic_spline(F825:F832,H825:H832,B$14),IF(AND(COUNT(H826:H837)=8,COUNT(F826:F837)=8),cubic_spline(F825:F833,H825:H833,B$14),IF(AND(COUNT(H826:H837)=9,COUNT(F826:F837)=9),cubic_spline(F825:F834,H825:H834,B$14),IF(AND(COUNT(H826:H837)=10,COUNT(F826:F837)=10),cubic_spline(F825:F835,H825:H835,B$14),IF(AND(COUNT(H826:H837)=11,COUNT(F826:F837)=11),cubic_spline(F825:F836,H825:H836,B$14),IF(AND(COUNT(H826:H837)=12,COUNT(F826:F837)=12),cubic_spline(F825:F837,H825:H837,B$14),""))))))))))))</f>
        <v/>
      </c>
      <c r="K836" s="52" t="str">
        <f>IF(N(B$14)=0,"",IF(AND(COUNT(A826:A837)=2,COUNT(F826:F837)=2),cubic_spline(F825:F827,A825:A827,B$14),IF(AND(COUNT(A826:A837)=3,COUNT(F826:F837)=3),cubic_spline(F825:F828,A825:A828,B$14),IF(AND(COUNT(A826:A837)=4,COUNT(F826:F837)=4),cubic_spline(F825:F829,A825:A829,B$14),IF(AND(COUNT(A826:A837)=5,COUNT(F826:F837)=5),cubic_spline(F825:F830,A825:A830,B$14),IF(AND(COUNT(A826:A837)=6,COUNT(F826:F837)=6),cubic_spline(F825:F831,A825:A831,B$14),IF(AND(COUNT(A826:A837)=7,COUNT(F826:F837)=7),cubic_spline(F825:F832,A825:A832,B$14),IF(AND(COUNT(A826:A837)=8,COUNT(F826:F837)=8),cubic_spline(F825:F833,A825:A833,B$14),IF(AND(COUNT(A826:A837)=9,COUNT(F826:F837)=9),cubic_spline(F825:F834,A825:A834,B$14),IF(AND(COUNT(A826:A837)=10,COUNT(F826:F837)=10),cubic_spline(F825:F835,A825:A835,B$14),IF(AND(COUNT(A826:A837)=11,COUNT(F826:F837)=11),cubic_spline(F825:F836,A825:A836,B$14),IF(AND(COUNT(A826:A837)=12,COUNT(F826:F837)=12),cubic_spline(F825:F837,A825:A837,B$14),""))))))))))))</f>
        <v/>
      </c>
      <c r="L836" s="27" t="str">
        <f>IF(I836="","",B$13&amp;"-"&amp;B$14)</f>
        <v/>
      </c>
      <c r="M836" s="52" t="str">
        <f t="shared" si="315"/>
        <v/>
      </c>
    </row>
    <row r="837" spans="1:13" x14ac:dyDescent="0.35">
      <c r="A837" s="48"/>
      <c r="B837" s="48"/>
      <c r="C837" s="49"/>
      <c r="D837" s="50"/>
      <c r="E837" s="51" t="str">
        <f t="shared" si="314"/>
        <v/>
      </c>
      <c r="F837" s="71" t="str">
        <f t="shared" si="311"/>
        <v/>
      </c>
      <c r="G837" s="69" t="str">
        <f t="shared" si="313"/>
        <v/>
      </c>
      <c r="H837" s="70" t="str">
        <f t="shared" si="312"/>
        <v/>
      </c>
      <c r="I837" s="27" t="str">
        <f>IF(N(J837)=0,"",0&amp;"-"&amp;B$15)</f>
        <v/>
      </c>
      <c r="J837" s="52" t="str">
        <f>IF(N(B$15)=0,"",IF(AND(COUNT(H826:H837)=2,COUNT(F826:F837)=2),cubic_spline(F825:F827,H825:H827,B$15),IF(AND(COUNT(H826:H837)=3,COUNT(F826:F837)=3),cubic_spline(F825:F828,H825:H828,B$15),IF(AND(COUNT(H826:H837)=4,COUNT(F826:F837)=4),cubic_spline(F825:F829,H825:H829,B$15),IF(AND(COUNT(H826:H837)=5,COUNT(F826:F837)=5),cubic_spline(F825:F830,H825:H830,B$15),IF(AND(COUNT(H826:H837)=6,COUNT(F826:F837)=6),cubic_spline(F825:F831,H825:H831,B$15),IF(AND(COUNT(H826:H837)=7,COUNT(F826:F837)=7),cubic_spline(F825:F832,H825:H832,B$15),IF(AND(COUNT(H826:H837)=8,COUNT(F826:F837)=8),cubic_spline(F825:F833,H825:H833,B$15),IF(AND(COUNT(H826:H837)=9,COUNT(F826:F837)=9),cubic_spline(F825:F834,H825:H834,B$15),IF(AND(COUNT(H826:H837)=10,COUNT(F826:F837)=10),cubic_spline(F825:F835,H825:H835,B$15),IF(AND(COUNT(H826:H837)=11,COUNT(F826:F837)=11),cubic_spline(F825:F836,H825:H836,B$15),IF(AND(COUNT(H826:H837)=12,COUNT(F826:F837)=12),cubic_spline(F825:F837,H825:H837,B$15),""))))))))))))</f>
        <v/>
      </c>
      <c r="K837" s="52" t="str">
        <f>IF(N(B$15)=0,"",IF(AND(COUNT(A826:A837)=2,COUNT(F826:F837)=2),cubic_spline(F825:F827,A825:A827,B$15),IF(AND(COUNT(A826:A837)=3,COUNT(F826:F837)=3),cubic_spline(F825:F828,A825:A828,B$15),IF(AND(COUNT(A826:A837)=4,COUNT(F826:F837)=4),cubic_spline(F825:F829,A825:A829,B$15),IF(AND(COUNT(A826:A837)=5,COUNT(F826:F837)=5),cubic_spline(F825:F830,A825:A830,B$15),IF(AND(COUNT(A826:A837)=6,COUNT(F826:F837)=6),cubic_spline(F825:F831,A825:A831,B$15),IF(AND(COUNT(A826:A837)=7,COUNT(F826:F837)=7),cubic_spline(F825:F832,A825:A832,B$15),IF(AND(COUNT(A826:A837)=8,COUNT(F826:F837)=8),cubic_spline(F825:F833,A825:A833,B$15),IF(AND(COUNT(A826:A837)=9,COUNT(F826:F837)=9),cubic_spline(F825:F834,A825:A834,B$15),IF(AND(COUNT(A826:A837)=10,COUNT(F826:F837)=10),cubic_spline(F825:F835,A825:A835,B$15),IF(AND(COUNT(A826:A837)=11,COUNT(F826:F837)=11),cubic_spline(F825:F836,A825:A836,B$15),IF(AND(COUNT(A826:A837)=12,COUNT(F826:F837)=12),cubic_spline(F825:F837,A825:A837,B$15),""))))))))))))</f>
        <v/>
      </c>
      <c r="L837" s="27" t="str">
        <f>IF(I837="","",B$14&amp;"-"&amp;B$15)</f>
        <v/>
      </c>
      <c r="M837" s="52" t="str">
        <f t="shared" si="315"/>
        <v/>
      </c>
    </row>
    <row r="838" spans="1:13" ht="5.15" customHeight="1" x14ac:dyDescent="0.35">
      <c r="A838" s="47"/>
      <c r="B838" s="47"/>
      <c r="C838" s="47"/>
      <c r="D838" s="53"/>
      <c r="E838" s="54"/>
      <c r="F838" s="55"/>
      <c r="G838" s="72"/>
      <c r="H838" s="73"/>
      <c r="I838" s="47"/>
      <c r="J838" s="57"/>
      <c r="K838" s="57"/>
      <c r="L838" s="55"/>
      <c r="M838" s="57"/>
    </row>
    <row r="839" spans="1:13" x14ac:dyDescent="0.35">
      <c r="A839" s="48"/>
      <c r="B839" s="48"/>
      <c r="C839" s="49"/>
      <c r="D839" s="50"/>
      <c r="E839" s="51" t="str">
        <f>IF(N(C839)=0,"",C839/PI()/($D$1/2)^2/$D$2*10000)</f>
        <v/>
      </c>
      <c r="F839" s="68" t="str">
        <f t="shared" ref="F839:F850" si="316">IF(N(E839)=0,"",(N(E839)+N(F838)))</f>
        <v/>
      </c>
      <c r="G839" s="69" t="str">
        <f>IF(OR(N(D839)=0,N(E839)=0),"",(E839*D839)/1000)</f>
        <v/>
      </c>
      <c r="H839" s="70" t="str">
        <f t="shared" ref="H839:H850" si="317">IF(N(G839)=0,"",(N(G839)+N(H838)))</f>
        <v/>
      </c>
      <c r="I839" s="27" t="str">
        <f>IF(N(J839)=0,"",0&amp;"-"&amp;B$4)</f>
        <v/>
      </c>
      <c r="J839" s="52" t="str">
        <f>IF(N(B$4)=0,"",IF(AND(COUNT(H839:H850)=2,COUNT(F839:F850)=2),cubic_spline(F838:F840,H838:H840,B$4),IF(AND(COUNT(H839:H850)=3,COUNT(F839:F850)=3),cubic_spline(F838:F841,H838:H841,B$4),IF(AND(COUNT(H839:H850)=4,COUNT(F839:F850)=4),cubic_spline(F838:F842,H838:H842,B$4),IF(AND(COUNT(H839:H850)=5,COUNT(F839:F850)=5),cubic_spline(F838:F843,H838:H843,B$4),IF(AND(COUNT(H839:H850)=6,COUNT(F839:F850)=6),cubic_spline(F838:F844,H838:H844,B$4),IF(AND(COUNT(H839:H850)=7,COUNT(F839:F850)=7),cubic_spline(F838:F845,H838:H845,B$4),IF(AND(COUNT(H839:H850)=8,COUNT(F839:F850)=8),cubic_spline(F838:F846,H838:H846,B$4),IF(AND(COUNT(H839:H850)=9,COUNT(F839:F850)=9),cubic_spline(F838:F847,H838:H847,B$4),IF(AND(COUNT(H839:H850)=10,COUNT(F839:F850)=10),cubic_spline(F838:F848,H838:H848,B$4),IF(AND(COUNT(H839:H850)=11,COUNT(F839:F850)=11),cubic_spline(F838:F849,H838:H849,B$4),IF(AND(COUNT(H839:H850)=12,COUNT(F839:F850)=12),cubic_spline(F838:F850,H838:H850,B$4),""))))))))))))</f>
        <v/>
      </c>
      <c r="K839" s="52" t="str">
        <f>IF(N(B$4)=0,"",IF(AND(COUNT(A839:A850)=2,COUNT(F839:F850)=2),cubic_spline(F838:F840,A838:A840,B$4),IF(AND(COUNT(A839:A850)=3,COUNT(F839:F850)=3),cubic_spline(F838:F841,A838:A841,B$4),IF(AND(COUNT(A839:A850)=4,COUNT(F839:F850)=4),cubic_spline(F838:F842,A838:A842,B$4),IF(AND(COUNT(A839:A850)=5,COUNT(F839:F850)=5),cubic_spline(F838:F843,A838:A843,B$4),IF(AND(COUNT(A839:A850)=6,COUNT(F839:F850)=6),cubic_spline(F838:F844,A838:A844,B$4),IF(AND(COUNT(A839:A850)=7,COUNT(F839:F850)=7),cubic_spline(F838:F845,A838:A845,B$4),IF(AND(COUNT(A839:A850)=8,COUNT(F839:F850)=8),cubic_spline(F838:F846,A838:A846,B$4),IF(AND(COUNT(A839:A850)=9,COUNT(F839:F850)=9),cubic_spline(F838:F847,A838:A847,B$4),IF(AND(COUNT(A839:A850)=10,COUNT(F839:F850)=10),cubic_spline(F838:F848,A838:A848,B$4),IF(AND(COUNT(A839:A850)=11,COUNT(F839:F850)=11),cubic_spline(F838:F849,A838:A849,B$4),IF(AND(COUNT(A839:A850)=12,COUNT(F839:F850)=12),cubic_spline(F838:F850,A838:A850,B$4),""))))))))))))</f>
        <v/>
      </c>
      <c r="L839" s="27" t="str">
        <f>IF(I839="","",0&amp;"-"&amp;B$4)</f>
        <v/>
      </c>
      <c r="M839" s="52" t="str">
        <f>IF(N(J839)=0,"",J839-J838)</f>
        <v/>
      </c>
    </row>
    <row r="840" spans="1:13" x14ac:dyDescent="0.35">
      <c r="A840" s="48"/>
      <c r="B840" s="48"/>
      <c r="C840" s="49"/>
      <c r="D840" s="50"/>
      <c r="E840" s="51" t="str">
        <f>IF(N(C840)=0,"",C840/PI()/($D$1/2)^2/$D$2*10000)</f>
        <v/>
      </c>
      <c r="F840" s="68" t="str">
        <f t="shared" si="316"/>
        <v/>
      </c>
      <c r="G840" s="69" t="str">
        <f t="shared" ref="G840:G850" si="318">IF(OR(N(D840)=0,N(E840)=0),"",(E840*D840)/1000)</f>
        <v/>
      </c>
      <c r="H840" s="70" t="str">
        <f t="shared" si="317"/>
        <v/>
      </c>
      <c r="I840" s="27" t="str">
        <f>IF(N(J840)=0,"",0&amp;"-"&amp;B$5)</f>
        <v/>
      </c>
      <c r="J840" s="52" t="str">
        <f>IF(N(B$5)=0,"",IF(AND(COUNT(H839:H850)=2,COUNT(F839:F850)=2),cubic_spline(F838:F840,H838:H840,B$5),IF(AND(COUNT(H839:H850)=3,COUNT(F839:F850)=3),cubic_spline(F838:F841,H838:H841,B$5),IF(AND(COUNT(H839:H850)=4,COUNT(F839:F850)=4),cubic_spline(F838:F842,H838:H842,B$5),IF(AND(COUNT(H839:H850)=5,COUNT(F839:F850)=5),cubic_spline(F838:F843,H838:H843,B$5),IF(AND(COUNT(H839:H850)=6,COUNT(F839:F850)=6),cubic_spline(F838:F844,H838:H844,B$5),IF(AND(COUNT(H839:H850)=7,COUNT(F839:F850)=7),cubic_spline(F838:F845,H838:H845,B$5),IF(AND(COUNT(H839:H850)=8,COUNT(F839:F850)=8),cubic_spline(F838:F846,H838:H846,B$5),IF(AND(COUNT(H839:H850)=9,COUNT(F839:F850)=9),cubic_spline(F838:F847,H838:H847,B$5),IF(AND(COUNT(H839:H850)=10,COUNT(F839:F850)=10),cubic_spline(F838:F848,H838:H848,B$5),IF(AND(COUNT(H839:H850)=11,COUNT(F839:F850)=11),cubic_spline(F838:F849,H838:H849,B$5),IF(AND(COUNT(H839:H850)=12,COUNT(F839:F850)=12),cubic_spline(F838:F850,H838:H850,B$5),""))))))))))))</f>
        <v/>
      </c>
      <c r="K840" s="52" t="str">
        <f>IF(N(B$5)=0,"",IF(AND(COUNT(A839:A850)=2,COUNT(F839:F850)=2),cubic_spline(F838:F840,A838:A840,B$5),IF(AND(COUNT(A839:A850)=3,COUNT(F839:F850)=3),cubic_spline(F838:F841,A838:A841,B$5),IF(AND(COUNT(A839:A850)=4,COUNT(F839:F850)=4),cubic_spline(F838:F842,A838:A842,B$5),IF(AND(COUNT(A839:A850)=5,COUNT(F839:F850)=5),cubic_spline(F838:F843,A838:A843,B$5),IF(AND(COUNT(A839:A850)=6,COUNT(F839:F850)=6),cubic_spline(F838:F844,A838:A844,B$5),IF(AND(COUNT(A839:A850)=7,COUNT(F839:F850)=7),cubic_spline(F838:F845,A838:A845,B$5),IF(AND(COUNT(A839:A850)=8,COUNT(F839:F850)=8),cubic_spline(F838:F846,A838:A846,B$5),IF(AND(COUNT(A839:A850)=9,COUNT(F839:F850)=9),cubic_spline(F838:F847,A838:A847,B$5),IF(AND(COUNT(A839:A850)=10,COUNT(F839:F850)=10),cubic_spline(F838:F848,A838:A848,B$5),IF(AND(COUNT(A839:A850)=11,COUNT(F839:F850)=11),cubic_spline(F838:F849,A838:A849,B$5),IF(AND(COUNT(A839:A850)=12,COUNT(F839:F850)=12),cubic_spline(F838:F850,A838:A850,B$5),""))))))))))))</f>
        <v/>
      </c>
      <c r="L840" s="27" t="str">
        <f>IF(I840="","",B$4&amp;"-"&amp;B$5)</f>
        <v/>
      </c>
      <c r="M840" s="52" t="str">
        <f>IF(N(J840)=0,"",J840-J839)</f>
        <v/>
      </c>
    </row>
    <row r="841" spans="1:13" x14ac:dyDescent="0.35">
      <c r="A841" s="48"/>
      <c r="B841" s="48"/>
      <c r="C841" s="49"/>
      <c r="D841" s="50"/>
      <c r="E841" s="51" t="str">
        <f>IF(N(C841)=0,"",C841/PI()/($D$1/2)^2/$D$2*10000)</f>
        <v/>
      </c>
      <c r="F841" s="68" t="str">
        <f t="shared" si="316"/>
        <v/>
      </c>
      <c r="G841" s="69" t="str">
        <f t="shared" si="318"/>
        <v/>
      </c>
      <c r="H841" s="70" t="str">
        <f t="shared" si="317"/>
        <v/>
      </c>
      <c r="I841" s="27" t="str">
        <f>IF(N(J841)=0,"",0&amp;"-"&amp;B$6)</f>
        <v/>
      </c>
      <c r="J841" s="52" t="str">
        <f>IF(N(B$6)=0,"",IF(AND(COUNT(H839:H850)=2,COUNT(F839:F850)=2),cubic_spline(F838:F840,H838:H840,B$6),IF(AND(COUNT(H839:H850)=3,COUNT(F839:F850)=3),cubic_spline(F838:F841,H838:H841,B$6),IF(AND(COUNT(H839:H850)=4,COUNT(F839:F850)=4),cubic_spline(F838:F842,H838:H842,B$6),IF(AND(COUNT(H839:H850)=5,COUNT(F839:F850)=5),cubic_spline(F838:F843,H838:H843,B$6),IF(AND(COUNT(H839:H850)=6,COUNT(F839:F850)=6),cubic_spline(F838:F844,H838:H844,B$6),IF(AND(COUNT(H839:H850)=7,COUNT(F839:F850)=7),cubic_spline(F838:F845,H838:H845,B$6),IF(AND(COUNT(H839:H850)=8,COUNT(F839:F850)=8),cubic_spline(F838:F846,H838:H846,B$6),IF(AND(COUNT(H839:H850)=9,COUNT(F839:F850)=9),cubic_spline(F838:F847,H838:H847,B$6),IF(AND(COUNT(H839:H850)=10,COUNT(F839:F850)=10),cubic_spline(F838:F848,H838:H848,B$6),IF(AND(COUNT(H839:H850)=11,COUNT(F839:F850)=11),cubic_spline(F838:F849,H838:H849,B$6),IF(AND(COUNT(H839:H850)=12,COUNT(F839:F850)=12),cubic_spline(F838:F850,H838:H850,B$6),""))))))))))))</f>
        <v/>
      </c>
      <c r="K841" s="52" t="str">
        <f>IF(N(B$6)=0,"",IF(AND(COUNT(A839:A850)=2,COUNT(F839:F850)=2),cubic_spline(F838:F840,A838:A840,B$6),IF(AND(COUNT(A839:A850)=3,COUNT(F839:F850)=3),cubic_spline(F838:F841,A838:A841,B$6),IF(AND(COUNT(A839:A850)=4,COUNT(F839:F850)=4),cubic_spline(F838:F842,A838:A842,B$6),IF(AND(COUNT(A839:A850)=5,COUNT(F839:F850)=5),cubic_spline(F838:F843,A838:A843,B$6),IF(AND(COUNT(A839:A850)=6,COUNT(F839:F850)=6),cubic_spline(F838:F844,A838:A844,B$6),IF(AND(COUNT(A839:A850)=7,COUNT(F839:F850)=7),cubic_spline(F838:F845,A838:A845,B$6),IF(AND(COUNT(A839:A850)=8,COUNT(F839:F850)=8),cubic_spline(F838:F846,A838:A846,B$6),IF(AND(COUNT(A839:A850)=9,COUNT(F839:F850)=9),cubic_spline(F838:F847,A838:A847,B$6),IF(AND(COUNT(A839:A850)=10,COUNT(F839:F850)=10),cubic_spline(F838:F848,A838:A848,B$6),IF(AND(COUNT(A839:A850)=11,COUNT(F839:F850)=11),cubic_spline(F838:F849,A838:A849,B$6),IF(AND(COUNT(A839:A850)=12,COUNT(F839:F850)=12),cubic_spline(F838:F850,A838:A850,B$6),""))))))))))))</f>
        <v/>
      </c>
      <c r="L841" s="27" t="str">
        <f>IF(I841="","",B$5&amp;"-"&amp;B$6)</f>
        <v/>
      </c>
      <c r="M841" s="52" t="str">
        <f>IF(N(J841)=0,"",J841-J840)</f>
        <v/>
      </c>
    </row>
    <row r="842" spans="1:13" x14ac:dyDescent="0.35">
      <c r="A842" s="48"/>
      <c r="B842" s="48"/>
      <c r="C842" s="49"/>
      <c r="D842" s="50"/>
      <c r="E842" s="51" t="str">
        <f>IF(N(C842)=0,"",C842/PI()/($D$1/2)^2/$D$2*10000)</f>
        <v/>
      </c>
      <c r="F842" s="68" t="str">
        <f t="shared" si="316"/>
        <v/>
      </c>
      <c r="G842" s="69" t="str">
        <f t="shared" si="318"/>
        <v/>
      </c>
      <c r="H842" s="70" t="str">
        <f t="shared" si="317"/>
        <v/>
      </c>
      <c r="I842" s="27" t="str">
        <f>IF(N(J842)=0,"",0&amp;"-"&amp;B$7)</f>
        <v/>
      </c>
      <c r="J842" s="52" t="str">
        <f>IF(N(B$7)=0,"",IF(AND(COUNT(H839:H850)=2,COUNT(F839:F850)=2),cubic_spline(F838:F840,H838:H840,B$7),IF(AND(COUNT(H839:H850)=3,COUNT(F839:F850)=3),cubic_spline(F838:F841,H838:H841,B$7),IF(AND(COUNT(H839:H850)=4,COUNT(F839:F850)=4),cubic_spline(F838:F842,H838:H842,B$7),IF(AND(COUNT(H839:H850)=5,COUNT(F839:F850)=5),cubic_spline(F838:F843,H838:H843,B$7),IF(AND(COUNT(H839:H850)=6,COUNT(F839:F850)=6),cubic_spline(F838:F844,H838:H844,B$7),IF(AND(COUNT(H839:H850)=7,COUNT(F839:F850)=7),cubic_spline(F838:F845,H838:H845,B$7),IF(AND(COUNT(H839:H850)=8,COUNT(F839:F850)=8),cubic_spline(F838:F846,H838:H846,B$7),IF(AND(COUNT(H839:H850)=9,COUNT(F839:F850)=9),cubic_spline(F838:F847,H838:H847,B$7),IF(AND(COUNT(H839:H850)=10,COUNT(F839:F850)=10),cubic_spline(F838:F848,H838:H848,B$7),IF(AND(COUNT(H839:H850)=11,COUNT(F839:F850)=11),cubic_spline(F838:F849,H838:H849,B$7),IF(AND(COUNT(H839:H850)=12,COUNT(F839:F850)=12),cubic_spline(F838:F850,H838:H850,B$7),""))))))))))))</f>
        <v/>
      </c>
      <c r="K842" s="52" t="str">
        <f>IF(N(B$7)=0,"",IF(AND(COUNT(A839:A850)=2,COUNT(F839:F850)=2),cubic_spline(F838:F840,A838:A840,B$7),IF(AND(COUNT(A839:A850)=3,COUNT(F839:F850)=3),cubic_spline(F838:F841,A838:A841,B$7),IF(AND(COUNT(A839:A850)=4,COUNT(F839:F850)=4),cubic_spline(F838:F842,A838:A842,B$7),IF(AND(COUNT(A839:A850)=5,COUNT(F839:F850)=5),cubic_spline(F838:F843,A838:A843,B$7),IF(AND(COUNT(A839:A850)=6,COUNT(F839:F850)=6),cubic_spline(F838:F844,A838:A844,B$7),IF(AND(COUNT(A839:A850)=7,COUNT(F839:F850)=7),cubic_spline(F838:F845,A838:A845,B$7),IF(AND(COUNT(A839:A850)=8,COUNT(F839:F850)=8),cubic_spline(F838:F846,A838:A846,B$7),IF(AND(COUNT(A839:A850)=9,COUNT(F839:F850)=9),cubic_spline(F838:F847,A838:A847,B$7),IF(AND(COUNT(A839:A850)=10,COUNT(F839:F850)=10),cubic_spline(F838:F848,A838:A848,B$7),IF(AND(COUNT(A839:A850)=11,COUNT(F839:F850)=11),cubic_spline(F838:F849,A838:A849,B$7),IF(AND(COUNT(A839:A850)=12,COUNT(F839:F850)=12),cubic_spline(F838:F850,A838:A850,B$7),""))))))))))))</f>
        <v/>
      </c>
      <c r="L842" s="27" t="str">
        <f>IF(I842="","",B$6&amp;"-"&amp;B$7)</f>
        <v/>
      </c>
      <c r="M842" s="52" t="str">
        <f>IF(N(J842)=0,"",J842-J841)</f>
        <v/>
      </c>
    </row>
    <row r="843" spans="1:13" x14ac:dyDescent="0.35">
      <c r="A843" s="48"/>
      <c r="B843" s="48"/>
      <c r="C843" s="49"/>
      <c r="D843" s="50"/>
      <c r="E843" s="51" t="str">
        <f t="shared" ref="E843:E850" si="319">IF(N(C843)=0,"",C843/PI()/($D$1/2)^2/$D$2*10000)</f>
        <v/>
      </c>
      <c r="F843" s="71" t="str">
        <f t="shared" si="316"/>
        <v/>
      </c>
      <c r="G843" s="69" t="str">
        <f t="shared" si="318"/>
        <v/>
      </c>
      <c r="H843" s="70" t="str">
        <f t="shared" si="317"/>
        <v/>
      </c>
      <c r="I843" s="27" t="str">
        <f>IF(N(J843)=0,"",0&amp;"-"&amp;B$8)</f>
        <v/>
      </c>
      <c r="J843" s="52" t="str">
        <f>IF(N(B$8)=0,"",IF(AND(COUNT(H839:H850)=2,COUNT(F839:F850)=2),cubic_spline(F838:F840,H838:H840,B$8),IF(AND(COUNT(H839:H850)=3,COUNT(F839:F850)=3),cubic_spline(F838:F841,H838:H841,B$8),IF(AND(COUNT(H839:H850)=4,COUNT(F839:F850)=4),cubic_spline(F838:F842,H838:H842,B$8),IF(AND(COUNT(H839:H850)=5,COUNT(F839:F850)=5),cubic_spline(F838:F843,H838:H843,B$8),IF(AND(COUNT(H839:H850)=6,COUNT(F839:F850)=6),cubic_spline(F838:F844,H838:H844,B$8),IF(AND(COUNT(H839:H850)=7,COUNT(F839:F850)=7),cubic_spline(F838:F845,H838:H845,B$8),IF(AND(COUNT(H839:H850)=8,COUNT(F839:F850)=8),cubic_spline(F838:F846,H838:H846,B$8),IF(AND(COUNT(H839:H850)=9,COUNT(F839:F850)=9),cubic_spline(F838:F847,H838:H847,B$8),IF(AND(COUNT(H839:H850)=10,COUNT(F839:F850)=10),cubic_spline(F838:F848,H838:H848,B$8),IF(AND(COUNT(H839:H850)=11,COUNT(F839:F850)=11),cubic_spline(F838:F849,H838:H849,B$8),IF(AND(COUNT(H839:H850)=12,COUNT(F839:F850)=12),cubic_spline(F838:F850,H838:H850,B$8),""))))))))))))</f>
        <v/>
      </c>
      <c r="K843" s="52" t="str">
        <f>IF(N(B$8)=0,"",IF(AND(COUNT(A839:A850)=2,COUNT(F839:F850)=2),cubic_spline(F838:F840,A838:A840,B$8),IF(AND(COUNT(A839:A850)=3,COUNT(F839:F850)=3),cubic_spline(F838:F841,A838:A841,B$8),IF(AND(COUNT(A839:A850)=4,COUNT(F839:F850)=4),cubic_spline(F838:F842,A838:A842,B$8),IF(AND(COUNT(A839:A850)=5,COUNT(F839:F850)=5),cubic_spline(F838:F843,A838:A843,B$8),IF(AND(COUNT(A839:A850)=6,COUNT(F839:F850)=6),cubic_spline(F838:F844,A838:A844,B$8),IF(AND(COUNT(A839:A850)=7,COUNT(F839:F850)=7),cubic_spline(F838:F845,A838:A845,B$8),IF(AND(COUNT(A839:A850)=8,COUNT(F839:F850)=8),cubic_spline(F838:F846,A838:A846,B$8),IF(AND(COUNT(A839:A850)=9,COUNT(F839:F850)=9),cubic_spline(F838:F847,A838:A847,B$8),IF(AND(COUNT(A839:A850)=10,COUNT(F839:F850)=10),cubic_spline(F838:F848,A838:A848,B$8),IF(AND(COUNT(A839:A850)=11,COUNT(F839:F850)=11),cubic_spline(F838:F849,A838:A849,B$8),IF(AND(COUNT(A839:A850)=12,COUNT(F839:F850)=12),cubic_spline(F838:F850,A838:A850,B$8),""))))))))))))</f>
        <v/>
      </c>
      <c r="L843" s="27" t="str">
        <f>IF(I843="","",B$7&amp;"-"&amp;B$8)</f>
        <v/>
      </c>
      <c r="M843" s="52" t="str">
        <f>IF(N(J843)=0,"",J843-J842)</f>
        <v/>
      </c>
    </row>
    <row r="844" spans="1:13" x14ac:dyDescent="0.35">
      <c r="A844" s="48"/>
      <c r="B844" s="48"/>
      <c r="C844" s="49"/>
      <c r="D844" s="50"/>
      <c r="E844" s="51" t="str">
        <f t="shared" si="319"/>
        <v/>
      </c>
      <c r="F844" s="71" t="str">
        <f t="shared" si="316"/>
        <v/>
      </c>
      <c r="G844" s="69" t="str">
        <f t="shared" si="318"/>
        <v/>
      </c>
      <c r="H844" s="70" t="str">
        <f t="shared" si="317"/>
        <v/>
      </c>
      <c r="I844" s="27" t="str">
        <f>IF(N(J844)=0,"",0&amp;"-"&amp;B$9)</f>
        <v/>
      </c>
      <c r="J844" s="52" t="str">
        <f>IF(N(B$9)=0,"",IF(AND(COUNT(H839:H850)=2,COUNT(F839:F850)=2),cubic_spline(F838:F840,H838:H840,B$9),IF(AND(COUNT(H839:H850)=3,COUNT(F839:F850)=3),cubic_spline(F838:F841,H838:H841,B$9),IF(AND(COUNT(H839:H850)=4,COUNT(F839:F850)=4),cubic_spline(F838:F842,H838:H842,B$9),IF(AND(COUNT(H839:H850)=5,COUNT(F839:F850)=5),cubic_spline(F838:F843,H838:H843,B$9),IF(AND(COUNT(H839:H850)=6,COUNT(F839:F850)=6),cubic_spline(F838:F844,H838:H844,B$9),IF(AND(COUNT(H839:H850)=7,COUNT(F839:F850)=7),cubic_spline(F838:F845,H838:H845,B$9),IF(AND(COUNT(H839:H850)=8,COUNT(F839:F850)=8),cubic_spline(F838:F846,H838:H846,B$9),IF(AND(COUNT(H839:H850)=9,COUNT(F839:F850)=9),cubic_spline(F838:F847,H838:H847,B$9),IF(AND(COUNT(H839:H850)=10,COUNT(F839:F850)=10),cubic_spline(F838:F848,H838:H848,B$9),IF(AND(COUNT(H839:H850)=11,COUNT(F839:F850)=11),cubic_spline(F838:F849,H838:H849,B$9),IF(AND(COUNT(H839:H850)=12,COUNT(F839:F850)=12),cubic_spline(F838:F850,H838:H850,B$9),""))))))))))))</f>
        <v/>
      </c>
      <c r="K844" s="52" t="str">
        <f>IF(N(B$9)=0,"",IF(AND(COUNT(A839:A850)=2,COUNT(F839:F850)=2),cubic_spline(F838:F840,A838:A840,B$9),IF(AND(COUNT(A839:A850)=3,COUNT(F839:F850)=3),cubic_spline(F838:F841,A838:A841,B$9),IF(AND(COUNT(A839:A850)=4,COUNT(F839:F850)=4),cubic_spline(F838:F842,A838:A842,B$9),IF(AND(COUNT(A839:A850)=5,COUNT(F839:F850)=5),cubic_spline(F838:F843,A838:A843,B$9),IF(AND(COUNT(A839:A850)=6,COUNT(F839:F850)=6),cubic_spline(F838:F844,A838:A844,B$9),IF(AND(COUNT(A839:A850)=7,COUNT(F839:F850)=7),cubic_spline(F838:F845,A838:A845,B$9),IF(AND(COUNT(A839:A850)=8,COUNT(F839:F850)=8),cubic_spline(F838:F846,A838:A846,B$9),IF(AND(COUNT(A839:A850)=9,COUNT(F839:F850)=9),cubic_spline(F838:F847,A838:A847,B$9),IF(AND(COUNT(A839:A850)=10,COUNT(F839:F850)=10),cubic_spline(F838:F848,A838:A848,B$9),IF(AND(COUNT(A839:A850)=11,COUNT(F839:F850)=11),cubic_spline(F838:F849,A838:A849,B$9),IF(AND(COUNT(A839:A850)=12,COUNT(F839:F850)=12),cubic_spline(F838:F850,A838:A850,B$9),""))))))))))))</f>
        <v/>
      </c>
      <c r="L844" s="27" t="str">
        <f>IF(I844="","",B$8&amp;"-"&amp;B$9)</f>
        <v/>
      </c>
      <c r="M844" s="52" t="str">
        <f t="shared" ref="M844:M850" si="320">IF(N(J844)=0,"",J844-J843)</f>
        <v/>
      </c>
    </row>
    <row r="845" spans="1:13" x14ac:dyDescent="0.35">
      <c r="A845" s="48"/>
      <c r="B845" s="48"/>
      <c r="C845" s="49"/>
      <c r="D845" s="50"/>
      <c r="E845" s="51" t="str">
        <f t="shared" si="319"/>
        <v/>
      </c>
      <c r="F845" s="71" t="str">
        <f t="shared" si="316"/>
        <v/>
      </c>
      <c r="G845" s="69" t="str">
        <f t="shared" si="318"/>
        <v/>
      </c>
      <c r="H845" s="70" t="str">
        <f t="shared" si="317"/>
        <v/>
      </c>
      <c r="I845" s="27" t="str">
        <f>IF(N(J845)=0,"",0&amp;"-"&amp;B$10)</f>
        <v/>
      </c>
      <c r="J845" s="52" t="str">
        <f>IF(N(B$10)=0,"",IF(AND(COUNT(H839:H850)=2,COUNT(F839:F850)=2),cubic_spline(F838:F840,H838:H840,B$10),IF(AND(COUNT(H839:H850)=3,COUNT(F839:F850)=3),cubic_spline(F838:F841,H838:H841,B$10),IF(AND(COUNT(H839:H850)=4,COUNT(F839:F850)=4),cubic_spline(F838:F842,H838:H842,B$10),IF(AND(COUNT(H839:H850)=5,COUNT(F839:F850)=5),cubic_spline(F838:F843,H838:H843,B$10),IF(AND(COUNT(H839:H850)=6,COUNT(F839:F850)=6),cubic_spline(F838:F844,H838:H844,B$10),IF(AND(COUNT(H839:H850)=7,COUNT(F839:F850)=7),cubic_spline(F838:F845,H838:H845,B$10),IF(AND(COUNT(H839:H850)=8,COUNT(F839:F850)=8),cubic_spline(F838:F846,H838:H846,B$10),IF(AND(COUNT(H839:H850)=9,COUNT(F839:F850)=9),cubic_spline(F838:F847,H838:H847,B$10),IF(AND(COUNT(H839:H850)=10,COUNT(F839:F850)=10),cubic_spline(F838:F848,H838:H848,B$10),IF(AND(COUNT(H839:H850)=11,COUNT(F839:F850)=11),cubic_spline(F838:F849,H838:H849,B$10),IF(AND(COUNT(H839:H850)=12,COUNT(F839:F850)=12),cubic_spline(F838:F850,H838:H850,B$10),""))))))))))))</f>
        <v/>
      </c>
      <c r="K845" s="52" t="str">
        <f>IF(N(B$10)=0,"",IF(AND(COUNT(A839:A850)=2,COUNT(F839:F850)=2),cubic_spline(F838:F840,A838:A840,B$10),IF(AND(COUNT(A839:A850)=3,COUNT(F839:F850)=3),cubic_spline(F838:F841,A838:A841,B$10),IF(AND(COUNT(A839:A850)=4,COUNT(F839:F850)=4),cubic_spline(F838:F842,A838:A842,B$10),IF(AND(COUNT(A839:A850)=5,COUNT(F839:F850)=5),cubic_spline(F838:F843,A838:A843,B$10),IF(AND(COUNT(A839:A850)=6,COUNT(F839:F850)=6),cubic_spline(F838:F844,A838:A844,B$10),IF(AND(COUNT(A839:A850)=7,COUNT(F839:F850)=7),cubic_spline(F838:F845,A838:A845,B$10),IF(AND(COUNT(A839:A850)=8,COUNT(F839:F850)=8),cubic_spline(F838:F846,A838:A846,B$10),IF(AND(COUNT(A839:A850)=9,COUNT(F839:F850)=9),cubic_spline(F838:F847,A838:A847,B$10),IF(AND(COUNT(A839:A850)=10,COUNT(F839:F850)=10),cubic_spline(F838:F848,A838:A848,B$10),IF(AND(COUNT(A839:A850)=11,COUNT(F839:F850)=11),cubic_spline(F838:F849,A838:A849,B$10),IF(AND(COUNT(A839:A850)=12,COUNT(F839:F850)=12),cubic_spline(F838:F850,A838:A850,B$10),""))))))))))))</f>
        <v/>
      </c>
      <c r="L845" s="27" t="str">
        <f>IF(I845="","",B$9&amp;"-"&amp;B$10)</f>
        <v/>
      </c>
      <c r="M845" s="52" t="str">
        <f t="shared" si="320"/>
        <v/>
      </c>
    </row>
    <row r="846" spans="1:13" x14ac:dyDescent="0.35">
      <c r="A846" s="48"/>
      <c r="B846" s="48"/>
      <c r="C846" s="49"/>
      <c r="D846" s="50"/>
      <c r="E846" s="51" t="str">
        <f t="shared" si="319"/>
        <v/>
      </c>
      <c r="F846" s="71" t="str">
        <f t="shared" si="316"/>
        <v/>
      </c>
      <c r="G846" s="69" t="str">
        <f t="shared" si="318"/>
        <v/>
      </c>
      <c r="H846" s="70" t="str">
        <f t="shared" si="317"/>
        <v/>
      </c>
      <c r="I846" s="27" t="str">
        <f>IF(N(J846)=0,"",0&amp;"-"&amp;B$11)</f>
        <v/>
      </c>
      <c r="J846" s="52" t="str">
        <f>IF(N(B$11)=0,"",IF(AND(COUNT(H839:H850)=2,COUNT(F839:F850)=2),cubic_spline(F838:F840,H838:H840,B$11),IF(AND(COUNT(H839:H850)=3,COUNT(F839:F850)=3),cubic_spline(F838:F841,H838:H841,B$11),IF(AND(COUNT(H839:H850)=4,COUNT(F839:F850)=4),cubic_spline(F838:F842,H838:H842,B$11),IF(AND(COUNT(H839:H850)=5,COUNT(F839:F850)=5),cubic_spline(F838:F843,H838:H843,B$11),IF(AND(COUNT(H839:H850)=6,COUNT(F839:F850)=6),cubic_spline(F838:F844,H838:H844,B$11),IF(AND(COUNT(H839:H850)=7,COUNT(F839:F850)=7),cubic_spline(F838:F845,H838:H845,B$11),IF(AND(COUNT(H839:H850)=8,COUNT(F839:F850)=8),cubic_spline(F838:F846,H838:H846,B$11),IF(AND(COUNT(H839:H850)=9,COUNT(F839:F850)=9),cubic_spline(F838:F847,H838:H847,B$11),IF(AND(COUNT(H839:H850)=10,COUNT(F839:F850)=10),cubic_spline(F838:F848,H838:H848,B$11),IF(AND(COUNT(H839:H850)=11,COUNT(F839:F850)=11),cubic_spline(F838:F849,H838:H849,B$11),IF(AND(COUNT(H839:H850)=12,COUNT(F839:F850)=12),cubic_spline(F838:F850,H838:H850,B$11),""))))))))))))</f>
        <v/>
      </c>
      <c r="K846" s="52" t="str">
        <f>IF(N(B$11)=0,"",IF(AND(COUNT(A839:A850)=2,COUNT(F839:F850)=2),cubic_spline(F838:F840,A838:A840,B$11),IF(AND(COUNT(A839:A850)=3,COUNT(F839:F850)=3),cubic_spline(F838:F841,A838:A841,B$11),IF(AND(COUNT(A839:A850)=4,COUNT(F839:F850)=4),cubic_spline(F838:F842,A838:A842,B$11),IF(AND(COUNT(A839:A850)=5,COUNT(F839:F850)=5),cubic_spline(F838:F843,A838:A843,B$11),IF(AND(COUNT(A839:A850)=6,COUNT(F839:F850)=6),cubic_spline(F838:F844,A838:A844,B$11),IF(AND(COUNT(A839:A850)=7,COUNT(F839:F850)=7),cubic_spline(F838:F845,A838:A845,B$11),IF(AND(COUNT(A839:A850)=8,COUNT(F839:F850)=8),cubic_spline(F838:F846,A838:A846,B$11),IF(AND(COUNT(A839:A850)=9,COUNT(F839:F850)=9),cubic_spline(F838:F847,A838:A847,B$11),IF(AND(COUNT(A839:A850)=10,COUNT(F839:F850)=10),cubic_spline(F838:F848,A838:A848,B$11),IF(AND(COUNT(A839:A850)=11,COUNT(F839:F850)=11),cubic_spline(F838:F849,A838:A849,B$11),IF(AND(COUNT(A839:A850)=12,COUNT(F839:F850)=12),cubic_spline(F838:F850,A838:A850,B$11),""))))))))))))</f>
        <v/>
      </c>
      <c r="L846" s="27" t="str">
        <f>IF(I846="","",B$10&amp;"-"&amp;B$11)</f>
        <v/>
      </c>
      <c r="M846" s="52" t="str">
        <f t="shared" si="320"/>
        <v/>
      </c>
    </row>
    <row r="847" spans="1:13" x14ac:dyDescent="0.35">
      <c r="A847" s="48"/>
      <c r="B847" s="48"/>
      <c r="C847" s="49"/>
      <c r="D847" s="50"/>
      <c r="E847" s="51" t="str">
        <f t="shared" si="319"/>
        <v/>
      </c>
      <c r="F847" s="71" t="str">
        <f t="shared" si="316"/>
        <v/>
      </c>
      <c r="G847" s="69" t="str">
        <f t="shared" si="318"/>
        <v/>
      </c>
      <c r="H847" s="70" t="str">
        <f t="shared" si="317"/>
        <v/>
      </c>
      <c r="I847" s="27" t="str">
        <f>IF(N(J847)=0,"",0&amp;"-"&amp;B$12)</f>
        <v/>
      </c>
      <c r="J847" s="52" t="str">
        <f>IF(N(B$12)=0,"",IF(AND(COUNT(H839:H850)=2,COUNT(F839:F850)=2),cubic_spline(F838:F840,H838:H840,B$12),IF(AND(COUNT(H839:H850)=3,COUNT(F839:F850)=3),cubic_spline(F838:F841,H838:H841,B$12),IF(AND(COUNT(H839:H850)=4,COUNT(F839:F850)=4),cubic_spline(F838:F842,H838:H842,B$12),IF(AND(COUNT(H839:H850)=5,COUNT(F839:F850)=5),cubic_spline(F838:F843,H838:H843,B$12),IF(AND(COUNT(H839:H850)=6,COUNT(F839:F850)=6),cubic_spline(F838:F844,H838:H844,B$12),IF(AND(COUNT(H839:H850)=7,COUNT(F839:F850)=7),cubic_spline(F838:F845,H838:H845,B$12),IF(AND(COUNT(H839:H850)=8,COUNT(F839:F850)=8),cubic_spline(F838:F846,H838:H846,B$12),IF(AND(COUNT(H839:H850)=9,COUNT(F839:F850)=9),cubic_spline(F838:F847,H838:H847,B$12),IF(AND(COUNT(H839:H850)=10,COUNT(F839:F850)=10),cubic_spline(F838:F848,H838:H848,B$12),IF(AND(COUNT(H839:H850)=11,COUNT(F839:F850)=11),cubic_spline(F838:F849,H838:H849,B$12),IF(AND(COUNT(H839:H850)=12,COUNT(F839:F850)=12),cubic_spline(F838:F850,H838:H850,B$12),""))))))))))))</f>
        <v/>
      </c>
      <c r="K847" s="52" t="str">
        <f>IF(N(B$12)=0,"",IF(AND(COUNT(A839:A850)=2,COUNT(F839:F850)=2),cubic_spline(F838:F840,A838:A840,B$12),IF(AND(COUNT(A839:A850)=3,COUNT(F839:F850)=3),cubic_spline(F838:F841,A838:A841,B$12),IF(AND(COUNT(A839:A850)=4,COUNT(F839:F850)=4),cubic_spline(F838:F842,A838:A842,B$12),IF(AND(COUNT(A839:A850)=5,COUNT(F839:F850)=5),cubic_spline(F838:F843,A838:A843,B$12),IF(AND(COUNT(A839:A850)=6,COUNT(F839:F850)=6),cubic_spline(F838:F844,A838:A844,B$12),IF(AND(COUNT(A839:A850)=7,COUNT(F839:F850)=7),cubic_spline(F838:F845,A838:A845,B$12),IF(AND(COUNT(A839:A850)=8,COUNT(F839:F850)=8),cubic_spline(F838:F846,A838:A846,B$12),IF(AND(COUNT(A839:A850)=9,COUNT(F839:F850)=9),cubic_spline(F838:F847,A838:A847,B$12),IF(AND(COUNT(A839:A850)=10,COUNT(F839:F850)=10),cubic_spline(F838:F848,A838:A848,B$12),IF(AND(COUNT(A839:A850)=11,COUNT(F839:F850)=11),cubic_spline(F838:F849,A838:A849,B$12),IF(AND(COUNT(A839:A850)=12,COUNT(F839:F850)=12),cubic_spline(F838:F850,A838:A850,B$12),""))))))))))))</f>
        <v/>
      </c>
      <c r="L847" s="27" t="str">
        <f>IF(I847="","",B$11&amp;"-"&amp;B$12)</f>
        <v/>
      </c>
      <c r="M847" s="52" t="str">
        <f t="shared" si="320"/>
        <v/>
      </c>
    </row>
    <row r="848" spans="1:13" x14ac:dyDescent="0.35">
      <c r="A848" s="48"/>
      <c r="B848" s="48"/>
      <c r="C848" s="49"/>
      <c r="D848" s="50"/>
      <c r="E848" s="51" t="str">
        <f t="shared" si="319"/>
        <v/>
      </c>
      <c r="F848" s="71" t="str">
        <f t="shared" si="316"/>
        <v/>
      </c>
      <c r="G848" s="69" t="str">
        <f t="shared" si="318"/>
        <v/>
      </c>
      <c r="H848" s="70" t="str">
        <f t="shared" si="317"/>
        <v/>
      </c>
      <c r="I848" s="27" t="str">
        <f>IF(N(J848)=0,"",0&amp;"-"&amp;B$13)</f>
        <v/>
      </c>
      <c r="J848" s="52" t="str">
        <f>IF(N(B$13)=0,"",IF(AND(COUNT(H839:H850)=2,COUNT(F839:F850)=2),cubic_spline(F838:F840,H838:H840,B$13),IF(AND(COUNT(H839:H850)=3,COUNT(F839:F850)=3),cubic_spline(F838:F841,H838:H841,B$13),IF(AND(COUNT(H839:H850)=4,COUNT(F839:F850)=4),cubic_spline(F838:F842,H838:H842,B$13),IF(AND(COUNT(H839:H850)=5,COUNT(F839:F850)=5),cubic_spline(F838:F843,H838:H843,B$13),IF(AND(COUNT(H839:H850)=6,COUNT(F839:F850)=6),cubic_spline(F838:F844,H838:H844,B$13),IF(AND(COUNT(H839:H850)=7,COUNT(F839:F850)=7),cubic_spline(F838:F845,H838:H845,B$13),IF(AND(COUNT(H839:H850)=8,COUNT(F839:F850)=8),cubic_spline(F838:F846,H838:H846,B$13),IF(AND(COUNT(H839:H850)=9,COUNT(F839:F850)=9),cubic_spline(F838:F847,H838:H847,B$13),IF(AND(COUNT(H839:H850)=10,COUNT(F839:F850)=10),cubic_spline(F838:F848,H838:H848,B$13),IF(AND(COUNT(H839:H850)=11,COUNT(F839:F850)=11),cubic_spline(F838:F849,H838:H849,B$13),IF(AND(COUNT(H839:H850)=12,COUNT(F839:F850)=12),cubic_spline(F838:F850,H838:H850,B$13),""))))))))))))</f>
        <v/>
      </c>
      <c r="K848" s="52" t="str">
        <f>IF(N(B$13)=0,"",IF(AND(COUNT(A839:A850)=2,COUNT(F839:F850)=2),cubic_spline(F838:F840,A838:A840,B$13),IF(AND(COUNT(A839:A850)=3,COUNT(F839:F850)=3),cubic_spline(F838:F841,A838:A841,B$13),IF(AND(COUNT(A839:A850)=4,COUNT(F839:F850)=4),cubic_spline(F838:F842,A838:A842,B$13),IF(AND(COUNT(A839:A850)=5,COUNT(F839:F850)=5),cubic_spline(F838:F843,A838:A843,B$13),IF(AND(COUNT(A839:A850)=6,COUNT(F839:F850)=6),cubic_spline(F838:F844,A838:A844,B$13),IF(AND(COUNT(A839:A850)=7,COUNT(F839:F850)=7),cubic_spline(F838:F845,A838:A845,B$13),IF(AND(COUNT(A839:A850)=8,COUNT(F839:F850)=8),cubic_spline(F838:F846,A838:A846,B$13),IF(AND(COUNT(A839:A850)=9,COUNT(F839:F850)=9),cubic_spline(F838:F847,A838:A847,B$13),IF(AND(COUNT(A839:A850)=10,COUNT(F839:F850)=10),cubic_spline(F838:F848,A838:A848,B$13),IF(AND(COUNT(A839:A850)=11,COUNT(F839:F850)=11),cubic_spline(F838:F849,A838:A849,B$13),IF(AND(COUNT(A839:A850)=12,COUNT(F839:F850)=12),cubic_spline(F838:F850,A838:A850,B$13),""))))))))))))</f>
        <v/>
      </c>
      <c r="L848" s="27" t="str">
        <f>IF(I848="","",B$12&amp;"-"&amp;B$13)</f>
        <v/>
      </c>
      <c r="M848" s="52" t="str">
        <f t="shared" si="320"/>
        <v/>
      </c>
    </row>
    <row r="849" spans="1:13" x14ac:dyDescent="0.35">
      <c r="A849" s="48"/>
      <c r="B849" s="48"/>
      <c r="C849" s="49"/>
      <c r="D849" s="50"/>
      <c r="E849" s="51" t="str">
        <f t="shared" si="319"/>
        <v/>
      </c>
      <c r="F849" s="71" t="str">
        <f t="shared" si="316"/>
        <v/>
      </c>
      <c r="G849" s="69" t="str">
        <f t="shared" si="318"/>
        <v/>
      </c>
      <c r="H849" s="70" t="str">
        <f t="shared" si="317"/>
        <v/>
      </c>
      <c r="I849" s="27" t="str">
        <f>IF(N(J849)=0,"",0&amp;"-"&amp;B$14)</f>
        <v/>
      </c>
      <c r="J849" s="52" t="str">
        <f>IF(N(B$14)=0,"",IF(AND(COUNT(H839:H850)=2,COUNT(F839:F850)=2),cubic_spline(F838:F840,H838:H840,B$14),IF(AND(COUNT(H839:H850)=3,COUNT(F839:F850)=3),cubic_spline(F838:F841,H838:H841,B$14),IF(AND(COUNT(H839:H850)=4,COUNT(F839:F850)=4),cubic_spline(F838:F842,H838:H842,B$14),IF(AND(COUNT(H839:H850)=5,COUNT(F839:F850)=5),cubic_spline(F838:F843,H838:H843,B$14),IF(AND(COUNT(H839:H850)=6,COUNT(F839:F850)=6),cubic_spline(F838:F844,H838:H844,B$14),IF(AND(COUNT(H839:H850)=7,COUNT(F839:F850)=7),cubic_spline(F838:F845,H838:H845,B$14),IF(AND(COUNT(H839:H850)=8,COUNT(F839:F850)=8),cubic_spline(F838:F846,H838:H846,B$14),IF(AND(COUNT(H839:H850)=9,COUNT(F839:F850)=9),cubic_spline(F838:F847,H838:H847,B$14),IF(AND(COUNT(H839:H850)=10,COUNT(F839:F850)=10),cubic_spline(F838:F848,H838:H848,B$14),IF(AND(COUNT(H839:H850)=11,COUNT(F839:F850)=11),cubic_spline(F838:F849,H838:H849,B$14),IF(AND(COUNT(H839:H850)=12,COUNT(F839:F850)=12),cubic_spline(F838:F850,H838:H850,B$14),""))))))))))))</f>
        <v/>
      </c>
      <c r="K849" s="52" t="str">
        <f>IF(N(B$14)=0,"",IF(AND(COUNT(A839:A850)=2,COUNT(F839:F850)=2),cubic_spline(F838:F840,A838:A840,B$14),IF(AND(COUNT(A839:A850)=3,COUNT(F839:F850)=3),cubic_spline(F838:F841,A838:A841,B$14),IF(AND(COUNT(A839:A850)=4,COUNT(F839:F850)=4),cubic_spline(F838:F842,A838:A842,B$14),IF(AND(COUNT(A839:A850)=5,COUNT(F839:F850)=5),cubic_spline(F838:F843,A838:A843,B$14),IF(AND(COUNT(A839:A850)=6,COUNT(F839:F850)=6),cubic_spline(F838:F844,A838:A844,B$14),IF(AND(COUNT(A839:A850)=7,COUNT(F839:F850)=7),cubic_spline(F838:F845,A838:A845,B$14),IF(AND(COUNT(A839:A850)=8,COUNT(F839:F850)=8),cubic_spline(F838:F846,A838:A846,B$14),IF(AND(COUNT(A839:A850)=9,COUNT(F839:F850)=9),cubic_spline(F838:F847,A838:A847,B$14),IF(AND(COUNT(A839:A850)=10,COUNT(F839:F850)=10),cubic_spline(F838:F848,A838:A848,B$14),IF(AND(COUNT(A839:A850)=11,COUNT(F839:F850)=11),cubic_spline(F838:F849,A838:A849,B$14),IF(AND(COUNT(A839:A850)=12,COUNT(F839:F850)=12),cubic_spline(F838:F850,A838:A850,B$14),""))))))))))))</f>
        <v/>
      </c>
      <c r="L849" s="27" t="str">
        <f>IF(I849="","",B$13&amp;"-"&amp;B$14)</f>
        <v/>
      </c>
      <c r="M849" s="52" t="str">
        <f t="shared" si="320"/>
        <v/>
      </c>
    </row>
    <row r="850" spans="1:13" x14ac:dyDescent="0.35">
      <c r="A850" s="48"/>
      <c r="B850" s="48"/>
      <c r="C850" s="49"/>
      <c r="D850" s="50"/>
      <c r="E850" s="51" t="str">
        <f t="shared" si="319"/>
        <v/>
      </c>
      <c r="F850" s="71" t="str">
        <f t="shared" si="316"/>
        <v/>
      </c>
      <c r="G850" s="69" t="str">
        <f t="shared" si="318"/>
        <v/>
      </c>
      <c r="H850" s="70" t="str">
        <f t="shared" si="317"/>
        <v/>
      </c>
      <c r="I850" s="27" t="str">
        <f>IF(N(J850)=0,"",0&amp;"-"&amp;B$15)</f>
        <v/>
      </c>
      <c r="J850" s="52" t="str">
        <f>IF(N(B$15)=0,"",IF(AND(COUNT(H839:H850)=2,COUNT(F839:F850)=2),cubic_spline(F838:F840,H838:H840,B$15),IF(AND(COUNT(H839:H850)=3,COUNT(F839:F850)=3),cubic_spline(F838:F841,H838:H841,B$15),IF(AND(COUNT(H839:H850)=4,COUNT(F839:F850)=4),cubic_spline(F838:F842,H838:H842,B$15),IF(AND(COUNT(H839:H850)=5,COUNT(F839:F850)=5),cubic_spline(F838:F843,H838:H843,B$15),IF(AND(COUNT(H839:H850)=6,COUNT(F839:F850)=6),cubic_spline(F838:F844,H838:H844,B$15),IF(AND(COUNT(H839:H850)=7,COUNT(F839:F850)=7),cubic_spline(F838:F845,H838:H845,B$15),IF(AND(COUNT(H839:H850)=8,COUNT(F839:F850)=8),cubic_spline(F838:F846,H838:H846,B$15),IF(AND(COUNT(H839:H850)=9,COUNT(F839:F850)=9),cubic_spline(F838:F847,H838:H847,B$15),IF(AND(COUNT(H839:H850)=10,COUNT(F839:F850)=10),cubic_spline(F838:F848,H838:H848,B$15),IF(AND(COUNT(H839:H850)=11,COUNT(F839:F850)=11),cubic_spline(F838:F849,H838:H849,B$15),IF(AND(COUNT(H839:H850)=12,COUNT(F839:F850)=12),cubic_spline(F838:F850,H838:H850,B$15),""))))))))))))</f>
        <v/>
      </c>
      <c r="K850" s="52" t="str">
        <f>IF(N(B$15)=0,"",IF(AND(COUNT(A839:A850)=2,COUNT(F839:F850)=2),cubic_spline(F838:F840,A838:A840,B$15),IF(AND(COUNT(A839:A850)=3,COUNT(F839:F850)=3),cubic_spline(F838:F841,A838:A841,B$15),IF(AND(COUNT(A839:A850)=4,COUNT(F839:F850)=4),cubic_spline(F838:F842,A838:A842,B$15),IF(AND(COUNT(A839:A850)=5,COUNT(F839:F850)=5),cubic_spline(F838:F843,A838:A843,B$15),IF(AND(COUNT(A839:A850)=6,COUNT(F839:F850)=6),cubic_spline(F838:F844,A838:A844,B$15),IF(AND(COUNT(A839:A850)=7,COUNT(F839:F850)=7),cubic_spline(F838:F845,A838:A845,B$15),IF(AND(COUNT(A839:A850)=8,COUNT(F839:F850)=8),cubic_spline(F838:F846,A838:A846,B$15),IF(AND(COUNT(A839:A850)=9,COUNT(F839:F850)=9),cubic_spline(F838:F847,A838:A847,B$15),IF(AND(COUNT(A839:A850)=10,COUNT(F839:F850)=10),cubic_spline(F838:F848,A838:A848,B$15),IF(AND(COUNT(A839:A850)=11,COUNT(F839:F850)=11),cubic_spline(F838:F849,A838:A849,B$15),IF(AND(COUNT(A839:A850)=12,COUNT(F839:F850)=12),cubic_spline(F838:F850,A838:A850,B$15),""))))))))))))</f>
        <v/>
      </c>
      <c r="L850" s="27" t="str">
        <f>IF(I850="","",B$14&amp;"-"&amp;B$15)</f>
        <v/>
      </c>
      <c r="M850" s="52" t="str">
        <f t="shared" si="320"/>
        <v/>
      </c>
    </row>
    <row r="851" spans="1:13" ht="5.15" customHeight="1" x14ac:dyDescent="0.35">
      <c r="A851" s="47"/>
      <c r="B851" s="47"/>
      <c r="C851" s="47"/>
      <c r="D851" s="53"/>
      <c r="E851" s="54"/>
      <c r="F851" s="55"/>
      <c r="G851" s="72"/>
      <c r="H851" s="73"/>
      <c r="I851" s="47"/>
      <c r="J851" s="57"/>
      <c r="K851" s="57"/>
      <c r="L851" s="55"/>
      <c r="M851" s="57"/>
    </row>
    <row r="852" spans="1:13" x14ac:dyDescent="0.35">
      <c r="A852" s="48"/>
      <c r="B852" s="48"/>
      <c r="C852" s="49"/>
      <c r="D852" s="50"/>
      <c r="E852" s="51" t="str">
        <f>IF(N(C852)=0,"",C852/PI()/($D$1/2)^2/$D$2*10000)</f>
        <v/>
      </c>
      <c r="F852" s="68" t="str">
        <f t="shared" ref="F852:F863" si="321">IF(N(E852)=0,"",(N(E852)+N(F851)))</f>
        <v/>
      </c>
      <c r="G852" s="69" t="str">
        <f>IF(OR(N(D852)=0,N(E852)=0),"",(E852*D852)/1000)</f>
        <v/>
      </c>
      <c r="H852" s="70" t="str">
        <f t="shared" ref="H852:H863" si="322">IF(N(G852)=0,"",(N(G852)+N(H851)))</f>
        <v/>
      </c>
      <c r="I852" s="27" t="str">
        <f>IF(N(J852)=0,"",0&amp;"-"&amp;B$4)</f>
        <v/>
      </c>
      <c r="J852" s="52" t="str">
        <f>IF(N(B$4)=0,"",IF(AND(COUNT(H852:H863)=2,COUNT(F852:F863)=2),cubic_spline(F851:F853,H851:H853,B$4),IF(AND(COUNT(H852:H863)=3,COUNT(F852:F863)=3),cubic_spline(F851:F854,H851:H854,B$4),IF(AND(COUNT(H852:H863)=4,COUNT(F852:F863)=4),cubic_spline(F851:F855,H851:H855,B$4),IF(AND(COUNT(H852:H863)=5,COUNT(F852:F863)=5),cubic_spline(F851:F856,H851:H856,B$4),IF(AND(COUNT(H852:H863)=6,COUNT(F852:F863)=6),cubic_spline(F851:F857,H851:H857,B$4),IF(AND(COUNT(H852:H863)=7,COUNT(F852:F863)=7),cubic_spline(F851:F858,H851:H858,B$4),IF(AND(COUNT(H852:H863)=8,COUNT(F852:F863)=8),cubic_spline(F851:F859,H851:H859,B$4),IF(AND(COUNT(H852:H863)=9,COUNT(F852:F863)=9),cubic_spline(F851:F860,H851:H860,B$4),IF(AND(COUNT(H852:H863)=10,COUNT(F852:F863)=10),cubic_spline(F851:F861,H851:H861,B$4),IF(AND(COUNT(H852:H863)=11,COUNT(F852:F863)=11),cubic_spline(F851:F862,H851:H862,B$4),IF(AND(COUNT(H852:H863)=12,COUNT(F852:F863)=12),cubic_spline(F851:F863,H851:H863,B$4),""))))))))))))</f>
        <v/>
      </c>
      <c r="K852" s="52" t="str">
        <f>IF(N(B$4)=0,"",IF(AND(COUNT(A852:A863)=2,COUNT(F852:F863)=2),cubic_spline(F851:F853,A851:A853,B$4),IF(AND(COUNT(A852:A863)=3,COUNT(F852:F863)=3),cubic_spline(F851:F854,A851:A854,B$4),IF(AND(COUNT(A852:A863)=4,COUNT(F852:F863)=4),cubic_spline(F851:F855,A851:A855,B$4),IF(AND(COUNT(A852:A863)=5,COUNT(F852:F863)=5),cubic_spline(F851:F856,A851:A856,B$4),IF(AND(COUNT(A852:A863)=6,COUNT(F852:F863)=6),cubic_spline(F851:F857,A851:A857,B$4),IF(AND(COUNT(A852:A863)=7,COUNT(F852:F863)=7),cubic_spline(F851:F858,A851:A858,B$4),IF(AND(COUNT(A852:A863)=8,COUNT(F852:F863)=8),cubic_spline(F851:F859,A851:A859,B$4),IF(AND(COUNT(A852:A863)=9,COUNT(F852:F863)=9),cubic_spline(F851:F860,A851:A860,B$4),IF(AND(COUNT(A852:A863)=10,COUNT(F852:F863)=10),cubic_spline(F851:F861,A851:A861,B$4),IF(AND(COUNT(A852:A863)=11,COUNT(F852:F863)=11),cubic_spline(F851:F862,A851:A862,B$4),IF(AND(COUNT(A852:A863)=12,COUNT(F852:F863)=12),cubic_spline(F851:F863,A851:A863,B$4),""))))))))))))</f>
        <v/>
      </c>
      <c r="L852" s="27" t="str">
        <f>IF(I852="","",0&amp;"-"&amp;B$4)</f>
        <v/>
      </c>
      <c r="M852" s="52" t="str">
        <f>IF(N(J852)=0,"",J852-J851)</f>
        <v/>
      </c>
    </row>
    <row r="853" spans="1:13" x14ac:dyDescent="0.35">
      <c r="A853" s="48"/>
      <c r="B853" s="48"/>
      <c r="C853" s="49"/>
      <c r="D853" s="50"/>
      <c r="E853" s="51" t="str">
        <f>IF(N(C853)=0,"",C853/PI()/($D$1/2)^2/$D$2*10000)</f>
        <v/>
      </c>
      <c r="F853" s="68" t="str">
        <f t="shared" si="321"/>
        <v/>
      </c>
      <c r="G853" s="69" t="str">
        <f t="shared" ref="G853:G863" si="323">IF(OR(N(D853)=0,N(E853)=0),"",(E853*D853)/1000)</f>
        <v/>
      </c>
      <c r="H853" s="70" t="str">
        <f t="shared" si="322"/>
        <v/>
      </c>
      <c r="I853" s="27" t="str">
        <f>IF(N(J853)=0,"",0&amp;"-"&amp;B$5)</f>
        <v/>
      </c>
      <c r="J853" s="52" t="str">
        <f>IF(N(B$5)=0,"",IF(AND(COUNT(H852:H863)=2,COUNT(F852:F863)=2),cubic_spline(F851:F853,H851:H853,B$5),IF(AND(COUNT(H852:H863)=3,COUNT(F852:F863)=3),cubic_spline(F851:F854,H851:H854,B$5),IF(AND(COUNT(H852:H863)=4,COUNT(F852:F863)=4),cubic_spline(F851:F855,H851:H855,B$5),IF(AND(COUNT(H852:H863)=5,COUNT(F852:F863)=5),cubic_spline(F851:F856,H851:H856,B$5),IF(AND(COUNT(H852:H863)=6,COUNT(F852:F863)=6),cubic_spline(F851:F857,H851:H857,B$5),IF(AND(COUNT(H852:H863)=7,COUNT(F852:F863)=7),cubic_spline(F851:F858,H851:H858,B$5),IF(AND(COUNT(H852:H863)=8,COUNT(F852:F863)=8),cubic_spline(F851:F859,H851:H859,B$5),IF(AND(COUNT(H852:H863)=9,COUNT(F852:F863)=9),cubic_spline(F851:F860,H851:H860,B$5),IF(AND(COUNT(H852:H863)=10,COUNT(F852:F863)=10),cubic_spline(F851:F861,H851:H861,B$5),IF(AND(COUNT(H852:H863)=11,COUNT(F852:F863)=11),cubic_spline(F851:F862,H851:H862,B$5),IF(AND(COUNT(H852:H863)=12,COUNT(F852:F863)=12),cubic_spline(F851:F863,H851:H863,B$5),""))))))))))))</f>
        <v/>
      </c>
      <c r="K853" s="52" t="str">
        <f>IF(N(B$5)=0,"",IF(AND(COUNT(A852:A863)=2,COUNT(F852:F863)=2),cubic_spline(F851:F853,A851:A853,B$5),IF(AND(COUNT(A852:A863)=3,COUNT(F852:F863)=3),cubic_spline(F851:F854,A851:A854,B$5),IF(AND(COUNT(A852:A863)=4,COUNT(F852:F863)=4),cubic_spline(F851:F855,A851:A855,B$5),IF(AND(COUNT(A852:A863)=5,COUNT(F852:F863)=5),cubic_spline(F851:F856,A851:A856,B$5),IF(AND(COUNT(A852:A863)=6,COUNT(F852:F863)=6),cubic_spline(F851:F857,A851:A857,B$5),IF(AND(COUNT(A852:A863)=7,COUNT(F852:F863)=7),cubic_spline(F851:F858,A851:A858,B$5),IF(AND(COUNT(A852:A863)=8,COUNT(F852:F863)=8),cubic_spline(F851:F859,A851:A859,B$5),IF(AND(COUNT(A852:A863)=9,COUNT(F852:F863)=9),cubic_spline(F851:F860,A851:A860,B$5),IF(AND(COUNT(A852:A863)=10,COUNT(F852:F863)=10),cubic_spline(F851:F861,A851:A861,B$5),IF(AND(COUNT(A852:A863)=11,COUNT(F852:F863)=11),cubic_spline(F851:F862,A851:A862,B$5),IF(AND(COUNT(A852:A863)=12,COUNT(F852:F863)=12),cubic_spline(F851:F863,A851:A863,B$5),""))))))))))))</f>
        <v/>
      </c>
      <c r="L853" s="27" t="str">
        <f>IF(I853="","",B$4&amp;"-"&amp;B$5)</f>
        <v/>
      </c>
      <c r="M853" s="52" t="str">
        <f>IF(N(J853)=0,"",J853-J852)</f>
        <v/>
      </c>
    </row>
    <row r="854" spans="1:13" x14ac:dyDescent="0.35">
      <c r="A854" s="48"/>
      <c r="B854" s="48"/>
      <c r="C854" s="49"/>
      <c r="D854" s="50"/>
      <c r="E854" s="51" t="str">
        <f>IF(N(C854)=0,"",C854/PI()/($D$1/2)^2/$D$2*10000)</f>
        <v/>
      </c>
      <c r="F854" s="68" t="str">
        <f t="shared" si="321"/>
        <v/>
      </c>
      <c r="G854" s="69" t="str">
        <f t="shared" si="323"/>
        <v/>
      </c>
      <c r="H854" s="70" t="str">
        <f t="shared" si="322"/>
        <v/>
      </c>
      <c r="I854" s="27" t="str">
        <f>IF(N(J854)=0,"",0&amp;"-"&amp;B$6)</f>
        <v/>
      </c>
      <c r="J854" s="52" t="str">
        <f>IF(N(B$6)=0,"",IF(AND(COUNT(H852:H863)=2,COUNT(F852:F863)=2),cubic_spline(F851:F853,H851:H853,B$6),IF(AND(COUNT(H852:H863)=3,COUNT(F852:F863)=3),cubic_spline(F851:F854,H851:H854,B$6),IF(AND(COUNT(H852:H863)=4,COUNT(F852:F863)=4),cubic_spline(F851:F855,H851:H855,B$6),IF(AND(COUNT(H852:H863)=5,COUNT(F852:F863)=5),cubic_spline(F851:F856,H851:H856,B$6),IF(AND(COUNT(H852:H863)=6,COUNT(F852:F863)=6),cubic_spline(F851:F857,H851:H857,B$6),IF(AND(COUNT(H852:H863)=7,COUNT(F852:F863)=7),cubic_spline(F851:F858,H851:H858,B$6),IF(AND(COUNT(H852:H863)=8,COUNT(F852:F863)=8),cubic_spline(F851:F859,H851:H859,B$6),IF(AND(COUNT(H852:H863)=9,COUNT(F852:F863)=9),cubic_spline(F851:F860,H851:H860,B$6),IF(AND(COUNT(H852:H863)=10,COUNT(F852:F863)=10),cubic_spline(F851:F861,H851:H861,B$6),IF(AND(COUNT(H852:H863)=11,COUNT(F852:F863)=11),cubic_spline(F851:F862,H851:H862,B$6),IF(AND(COUNT(H852:H863)=12,COUNT(F852:F863)=12),cubic_spline(F851:F863,H851:H863,B$6),""))))))))))))</f>
        <v/>
      </c>
      <c r="K854" s="52" t="str">
        <f>IF(N(B$6)=0,"",IF(AND(COUNT(A852:A863)=2,COUNT(F852:F863)=2),cubic_spline(F851:F853,A851:A853,B$6),IF(AND(COUNT(A852:A863)=3,COUNT(F852:F863)=3),cubic_spline(F851:F854,A851:A854,B$6),IF(AND(COUNT(A852:A863)=4,COUNT(F852:F863)=4),cubic_spline(F851:F855,A851:A855,B$6),IF(AND(COUNT(A852:A863)=5,COUNT(F852:F863)=5),cubic_spline(F851:F856,A851:A856,B$6),IF(AND(COUNT(A852:A863)=6,COUNT(F852:F863)=6),cubic_spline(F851:F857,A851:A857,B$6),IF(AND(COUNT(A852:A863)=7,COUNT(F852:F863)=7),cubic_spline(F851:F858,A851:A858,B$6),IF(AND(COUNT(A852:A863)=8,COUNT(F852:F863)=8),cubic_spline(F851:F859,A851:A859,B$6),IF(AND(COUNT(A852:A863)=9,COUNT(F852:F863)=9),cubic_spline(F851:F860,A851:A860,B$6),IF(AND(COUNT(A852:A863)=10,COUNT(F852:F863)=10),cubic_spline(F851:F861,A851:A861,B$6),IF(AND(COUNT(A852:A863)=11,COUNT(F852:F863)=11),cubic_spline(F851:F862,A851:A862,B$6),IF(AND(COUNT(A852:A863)=12,COUNT(F852:F863)=12),cubic_spline(F851:F863,A851:A863,B$6),""))))))))))))</f>
        <v/>
      </c>
      <c r="L854" s="27" t="str">
        <f>IF(I854="","",B$5&amp;"-"&amp;B$6)</f>
        <v/>
      </c>
      <c r="M854" s="52" t="str">
        <f>IF(N(J854)=0,"",J854-J853)</f>
        <v/>
      </c>
    </row>
    <row r="855" spans="1:13" x14ac:dyDescent="0.35">
      <c r="A855" s="48"/>
      <c r="B855" s="48"/>
      <c r="C855" s="49"/>
      <c r="D855" s="50"/>
      <c r="E855" s="51" t="str">
        <f>IF(N(C855)=0,"",C855/PI()/($D$1/2)^2/$D$2*10000)</f>
        <v/>
      </c>
      <c r="F855" s="68" t="str">
        <f t="shared" si="321"/>
        <v/>
      </c>
      <c r="G855" s="69" t="str">
        <f t="shared" si="323"/>
        <v/>
      </c>
      <c r="H855" s="70" t="str">
        <f t="shared" si="322"/>
        <v/>
      </c>
      <c r="I855" s="27" t="str">
        <f>IF(N(J855)=0,"",0&amp;"-"&amp;B$7)</f>
        <v/>
      </c>
      <c r="J855" s="52" t="str">
        <f>IF(N(B$7)=0,"",IF(AND(COUNT(H852:H863)=2,COUNT(F852:F863)=2),cubic_spline(F851:F853,H851:H853,B$7),IF(AND(COUNT(H852:H863)=3,COUNT(F852:F863)=3),cubic_spline(F851:F854,H851:H854,B$7),IF(AND(COUNT(H852:H863)=4,COUNT(F852:F863)=4),cubic_spline(F851:F855,H851:H855,B$7),IF(AND(COUNT(H852:H863)=5,COUNT(F852:F863)=5),cubic_spline(F851:F856,H851:H856,B$7),IF(AND(COUNT(H852:H863)=6,COUNT(F852:F863)=6),cubic_spline(F851:F857,H851:H857,B$7),IF(AND(COUNT(H852:H863)=7,COUNT(F852:F863)=7),cubic_spline(F851:F858,H851:H858,B$7),IF(AND(COUNT(H852:H863)=8,COUNT(F852:F863)=8),cubic_spline(F851:F859,H851:H859,B$7),IF(AND(COUNT(H852:H863)=9,COUNT(F852:F863)=9),cubic_spline(F851:F860,H851:H860,B$7),IF(AND(COUNT(H852:H863)=10,COUNT(F852:F863)=10),cubic_spline(F851:F861,H851:H861,B$7),IF(AND(COUNT(H852:H863)=11,COUNT(F852:F863)=11),cubic_spline(F851:F862,H851:H862,B$7),IF(AND(COUNT(H852:H863)=12,COUNT(F852:F863)=12),cubic_spline(F851:F863,H851:H863,B$7),""))))))))))))</f>
        <v/>
      </c>
      <c r="K855" s="52" t="str">
        <f>IF(N(B$7)=0,"",IF(AND(COUNT(A852:A863)=2,COUNT(F852:F863)=2),cubic_spline(F851:F853,A851:A853,B$7),IF(AND(COUNT(A852:A863)=3,COUNT(F852:F863)=3),cubic_spline(F851:F854,A851:A854,B$7),IF(AND(COUNT(A852:A863)=4,COUNT(F852:F863)=4),cubic_spline(F851:F855,A851:A855,B$7),IF(AND(COUNT(A852:A863)=5,COUNT(F852:F863)=5),cubic_spline(F851:F856,A851:A856,B$7),IF(AND(COUNT(A852:A863)=6,COUNT(F852:F863)=6),cubic_spline(F851:F857,A851:A857,B$7),IF(AND(COUNT(A852:A863)=7,COUNT(F852:F863)=7),cubic_spline(F851:F858,A851:A858,B$7),IF(AND(COUNT(A852:A863)=8,COUNT(F852:F863)=8),cubic_spline(F851:F859,A851:A859,B$7),IF(AND(COUNT(A852:A863)=9,COUNT(F852:F863)=9),cubic_spline(F851:F860,A851:A860,B$7),IF(AND(COUNT(A852:A863)=10,COUNT(F852:F863)=10),cubic_spline(F851:F861,A851:A861,B$7),IF(AND(COUNT(A852:A863)=11,COUNT(F852:F863)=11),cubic_spline(F851:F862,A851:A862,B$7),IF(AND(COUNT(A852:A863)=12,COUNT(F852:F863)=12),cubic_spline(F851:F863,A851:A863,B$7),""))))))))))))</f>
        <v/>
      </c>
      <c r="L855" s="27" t="str">
        <f>IF(I855="","",B$6&amp;"-"&amp;B$7)</f>
        <v/>
      </c>
      <c r="M855" s="52" t="str">
        <f>IF(N(J855)=0,"",J855-J854)</f>
        <v/>
      </c>
    </row>
    <row r="856" spans="1:13" x14ac:dyDescent="0.35">
      <c r="A856" s="48"/>
      <c r="B856" s="48"/>
      <c r="C856" s="49"/>
      <c r="D856" s="50"/>
      <c r="E856" s="51" t="str">
        <f t="shared" ref="E856:E863" si="324">IF(N(C856)=0,"",C856/PI()/($D$1/2)^2/$D$2*10000)</f>
        <v/>
      </c>
      <c r="F856" s="71" t="str">
        <f t="shared" si="321"/>
        <v/>
      </c>
      <c r="G856" s="69" t="str">
        <f t="shared" si="323"/>
        <v/>
      </c>
      <c r="H856" s="70" t="str">
        <f t="shared" si="322"/>
        <v/>
      </c>
      <c r="I856" s="27" t="str">
        <f>IF(N(J856)=0,"",0&amp;"-"&amp;B$8)</f>
        <v/>
      </c>
      <c r="J856" s="52" t="str">
        <f>IF(N(B$8)=0,"",IF(AND(COUNT(H852:H863)=2,COUNT(F852:F863)=2),cubic_spline(F851:F853,H851:H853,B$8),IF(AND(COUNT(H852:H863)=3,COUNT(F852:F863)=3),cubic_spline(F851:F854,H851:H854,B$8),IF(AND(COUNT(H852:H863)=4,COUNT(F852:F863)=4),cubic_spline(F851:F855,H851:H855,B$8),IF(AND(COUNT(H852:H863)=5,COUNT(F852:F863)=5),cubic_spline(F851:F856,H851:H856,B$8),IF(AND(COUNT(H852:H863)=6,COUNT(F852:F863)=6),cubic_spline(F851:F857,H851:H857,B$8),IF(AND(COUNT(H852:H863)=7,COUNT(F852:F863)=7),cubic_spline(F851:F858,H851:H858,B$8),IF(AND(COUNT(H852:H863)=8,COUNT(F852:F863)=8),cubic_spline(F851:F859,H851:H859,B$8),IF(AND(COUNT(H852:H863)=9,COUNT(F852:F863)=9),cubic_spline(F851:F860,H851:H860,B$8),IF(AND(COUNT(H852:H863)=10,COUNT(F852:F863)=10),cubic_spline(F851:F861,H851:H861,B$8),IF(AND(COUNT(H852:H863)=11,COUNT(F852:F863)=11),cubic_spline(F851:F862,H851:H862,B$8),IF(AND(COUNT(H852:H863)=12,COUNT(F852:F863)=12),cubic_spline(F851:F863,H851:H863,B$8),""))))))))))))</f>
        <v/>
      </c>
      <c r="K856" s="52" t="str">
        <f>IF(N(B$8)=0,"",IF(AND(COUNT(A852:A863)=2,COUNT(F852:F863)=2),cubic_spline(F851:F853,A851:A853,B$8),IF(AND(COUNT(A852:A863)=3,COUNT(F852:F863)=3),cubic_spline(F851:F854,A851:A854,B$8),IF(AND(COUNT(A852:A863)=4,COUNT(F852:F863)=4),cubic_spline(F851:F855,A851:A855,B$8),IF(AND(COUNT(A852:A863)=5,COUNT(F852:F863)=5),cubic_spline(F851:F856,A851:A856,B$8),IF(AND(COUNT(A852:A863)=6,COUNT(F852:F863)=6),cubic_spline(F851:F857,A851:A857,B$8),IF(AND(COUNT(A852:A863)=7,COUNT(F852:F863)=7),cubic_spline(F851:F858,A851:A858,B$8),IF(AND(COUNT(A852:A863)=8,COUNT(F852:F863)=8),cubic_spline(F851:F859,A851:A859,B$8),IF(AND(COUNT(A852:A863)=9,COUNT(F852:F863)=9),cubic_spline(F851:F860,A851:A860,B$8),IF(AND(COUNT(A852:A863)=10,COUNT(F852:F863)=10),cubic_spline(F851:F861,A851:A861,B$8),IF(AND(COUNT(A852:A863)=11,COUNT(F852:F863)=11),cubic_spline(F851:F862,A851:A862,B$8),IF(AND(COUNT(A852:A863)=12,COUNT(F852:F863)=12),cubic_spline(F851:F863,A851:A863,B$8),""))))))))))))</f>
        <v/>
      </c>
      <c r="L856" s="27" t="str">
        <f>IF(I856="","",B$7&amp;"-"&amp;B$8)</f>
        <v/>
      </c>
      <c r="M856" s="52" t="str">
        <f>IF(N(J856)=0,"",J856-J855)</f>
        <v/>
      </c>
    </row>
    <row r="857" spans="1:13" x14ac:dyDescent="0.35">
      <c r="A857" s="48"/>
      <c r="B857" s="48"/>
      <c r="C857" s="49"/>
      <c r="D857" s="50"/>
      <c r="E857" s="51" t="str">
        <f t="shared" si="324"/>
        <v/>
      </c>
      <c r="F857" s="71" t="str">
        <f t="shared" si="321"/>
        <v/>
      </c>
      <c r="G857" s="69" t="str">
        <f t="shared" si="323"/>
        <v/>
      </c>
      <c r="H857" s="70" t="str">
        <f t="shared" si="322"/>
        <v/>
      </c>
      <c r="I857" s="27" t="str">
        <f>IF(N(J857)=0,"",0&amp;"-"&amp;B$9)</f>
        <v/>
      </c>
      <c r="J857" s="52" t="str">
        <f>IF(N(B$9)=0,"",IF(AND(COUNT(H852:H863)=2,COUNT(F852:F863)=2),cubic_spline(F851:F853,H851:H853,B$9),IF(AND(COUNT(H852:H863)=3,COUNT(F852:F863)=3),cubic_spline(F851:F854,H851:H854,B$9),IF(AND(COUNT(H852:H863)=4,COUNT(F852:F863)=4),cubic_spline(F851:F855,H851:H855,B$9),IF(AND(COUNT(H852:H863)=5,COUNT(F852:F863)=5),cubic_spline(F851:F856,H851:H856,B$9),IF(AND(COUNT(H852:H863)=6,COUNT(F852:F863)=6),cubic_spline(F851:F857,H851:H857,B$9),IF(AND(COUNT(H852:H863)=7,COUNT(F852:F863)=7),cubic_spline(F851:F858,H851:H858,B$9),IF(AND(COUNT(H852:H863)=8,COUNT(F852:F863)=8),cubic_spline(F851:F859,H851:H859,B$9),IF(AND(COUNT(H852:H863)=9,COUNT(F852:F863)=9),cubic_spline(F851:F860,H851:H860,B$9),IF(AND(COUNT(H852:H863)=10,COUNT(F852:F863)=10),cubic_spline(F851:F861,H851:H861,B$9),IF(AND(COUNT(H852:H863)=11,COUNT(F852:F863)=11),cubic_spline(F851:F862,H851:H862,B$9),IF(AND(COUNT(H852:H863)=12,COUNT(F852:F863)=12),cubic_spline(F851:F863,H851:H863,B$9),""))))))))))))</f>
        <v/>
      </c>
      <c r="K857" s="52" t="str">
        <f>IF(N(B$9)=0,"",IF(AND(COUNT(A852:A863)=2,COUNT(F852:F863)=2),cubic_spline(F851:F853,A851:A853,B$9),IF(AND(COUNT(A852:A863)=3,COUNT(F852:F863)=3),cubic_spline(F851:F854,A851:A854,B$9),IF(AND(COUNT(A852:A863)=4,COUNT(F852:F863)=4),cubic_spline(F851:F855,A851:A855,B$9),IF(AND(COUNT(A852:A863)=5,COUNT(F852:F863)=5),cubic_spline(F851:F856,A851:A856,B$9),IF(AND(COUNT(A852:A863)=6,COUNT(F852:F863)=6),cubic_spline(F851:F857,A851:A857,B$9),IF(AND(COUNT(A852:A863)=7,COUNT(F852:F863)=7),cubic_spline(F851:F858,A851:A858,B$9),IF(AND(COUNT(A852:A863)=8,COUNT(F852:F863)=8),cubic_spline(F851:F859,A851:A859,B$9),IF(AND(COUNT(A852:A863)=9,COUNT(F852:F863)=9),cubic_spline(F851:F860,A851:A860,B$9),IF(AND(COUNT(A852:A863)=10,COUNT(F852:F863)=10),cubic_spline(F851:F861,A851:A861,B$9),IF(AND(COUNT(A852:A863)=11,COUNT(F852:F863)=11),cubic_spline(F851:F862,A851:A862,B$9),IF(AND(COUNT(A852:A863)=12,COUNT(F852:F863)=12),cubic_spline(F851:F863,A851:A863,B$9),""))))))))))))</f>
        <v/>
      </c>
      <c r="L857" s="27" t="str">
        <f>IF(I857="","",B$8&amp;"-"&amp;B$9)</f>
        <v/>
      </c>
      <c r="M857" s="52" t="str">
        <f t="shared" ref="M857:M863" si="325">IF(N(J857)=0,"",J857-J856)</f>
        <v/>
      </c>
    </row>
    <row r="858" spans="1:13" x14ac:dyDescent="0.35">
      <c r="A858" s="48"/>
      <c r="B858" s="48"/>
      <c r="C858" s="49"/>
      <c r="D858" s="50"/>
      <c r="E858" s="51" t="str">
        <f t="shared" si="324"/>
        <v/>
      </c>
      <c r="F858" s="71" t="str">
        <f t="shared" si="321"/>
        <v/>
      </c>
      <c r="G858" s="69" t="str">
        <f t="shared" si="323"/>
        <v/>
      </c>
      <c r="H858" s="70" t="str">
        <f t="shared" si="322"/>
        <v/>
      </c>
      <c r="I858" s="27" t="str">
        <f>IF(N(J858)=0,"",0&amp;"-"&amp;B$10)</f>
        <v/>
      </c>
      <c r="J858" s="52" t="str">
        <f>IF(N(B$10)=0,"",IF(AND(COUNT(H852:H863)=2,COUNT(F852:F863)=2),cubic_spline(F851:F853,H851:H853,B$10),IF(AND(COUNT(H852:H863)=3,COUNT(F852:F863)=3),cubic_spline(F851:F854,H851:H854,B$10),IF(AND(COUNT(H852:H863)=4,COUNT(F852:F863)=4),cubic_spline(F851:F855,H851:H855,B$10),IF(AND(COUNT(H852:H863)=5,COUNT(F852:F863)=5),cubic_spline(F851:F856,H851:H856,B$10),IF(AND(COUNT(H852:H863)=6,COUNT(F852:F863)=6),cubic_spline(F851:F857,H851:H857,B$10),IF(AND(COUNT(H852:H863)=7,COUNT(F852:F863)=7),cubic_spline(F851:F858,H851:H858,B$10),IF(AND(COUNT(H852:H863)=8,COUNT(F852:F863)=8),cubic_spline(F851:F859,H851:H859,B$10),IF(AND(COUNT(H852:H863)=9,COUNT(F852:F863)=9),cubic_spline(F851:F860,H851:H860,B$10),IF(AND(COUNT(H852:H863)=10,COUNT(F852:F863)=10),cubic_spline(F851:F861,H851:H861,B$10),IF(AND(COUNT(H852:H863)=11,COUNT(F852:F863)=11),cubic_spline(F851:F862,H851:H862,B$10),IF(AND(COUNT(H852:H863)=12,COUNT(F852:F863)=12),cubic_spline(F851:F863,H851:H863,B$10),""))))))))))))</f>
        <v/>
      </c>
      <c r="K858" s="52" t="str">
        <f>IF(N(B$10)=0,"",IF(AND(COUNT(A852:A863)=2,COUNT(F852:F863)=2),cubic_spline(F851:F853,A851:A853,B$10),IF(AND(COUNT(A852:A863)=3,COUNT(F852:F863)=3),cubic_spline(F851:F854,A851:A854,B$10),IF(AND(COUNT(A852:A863)=4,COUNT(F852:F863)=4),cubic_spline(F851:F855,A851:A855,B$10),IF(AND(COUNT(A852:A863)=5,COUNT(F852:F863)=5),cubic_spline(F851:F856,A851:A856,B$10),IF(AND(COUNT(A852:A863)=6,COUNT(F852:F863)=6),cubic_spline(F851:F857,A851:A857,B$10),IF(AND(COUNT(A852:A863)=7,COUNT(F852:F863)=7),cubic_spline(F851:F858,A851:A858,B$10),IF(AND(COUNT(A852:A863)=8,COUNT(F852:F863)=8),cubic_spline(F851:F859,A851:A859,B$10),IF(AND(COUNT(A852:A863)=9,COUNT(F852:F863)=9),cubic_spline(F851:F860,A851:A860,B$10),IF(AND(COUNT(A852:A863)=10,COUNT(F852:F863)=10),cubic_spline(F851:F861,A851:A861,B$10),IF(AND(COUNT(A852:A863)=11,COUNT(F852:F863)=11),cubic_spline(F851:F862,A851:A862,B$10),IF(AND(COUNT(A852:A863)=12,COUNT(F852:F863)=12),cubic_spline(F851:F863,A851:A863,B$10),""))))))))))))</f>
        <v/>
      </c>
      <c r="L858" s="27" t="str">
        <f>IF(I858="","",B$9&amp;"-"&amp;B$10)</f>
        <v/>
      </c>
      <c r="M858" s="52" t="str">
        <f t="shared" si="325"/>
        <v/>
      </c>
    </row>
    <row r="859" spans="1:13" x14ac:dyDescent="0.35">
      <c r="A859" s="48"/>
      <c r="B859" s="48"/>
      <c r="C859" s="49"/>
      <c r="D859" s="50"/>
      <c r="E859" s="51" t="str">
        <f t="shared" si="324"/>
        <v/>
      </c>
      <c r="F859" s="71" t="str">
        <f t="shared" si="321"/>
        <v/>
      </c>
      <c r="G859" s="69" t="str">
        <f t="shared" si="323"/>
        <v/>
      </c>
      <c r="H859" s="70" t="str">
        <f t="shared" si="322"/>
        <v/>
      </c>
      <c r="I859" s="27" t="str">
        <f>IF(N(J859)=0,"",0&amp;"-"&amp;B$11)</f>
        <v/>
      </c>
      <c r="J859" s="52" t="str">
        <f>IF(N(B$11)=0,"",IF(AND(COUNT(H852:H863)=2,COUNT(F852:F863)=2),cubic_spline(F851:F853,H851:H853,B$11),IF(AND(COUNT(H852:H863)=3,COUNT(F852:F863)=3),cubic_spline(F851:F854,H851:H854,B$11),IF(AND(COUNT(H852:H863)=4,COUNT(F852:F863)=4),cubic_spline(F851:F855,H851:H855,B$11),IF(AND(COUNT(H852:H863)=5,COUNT(F852:F863)=5),cubic_spline(F851:F856,H851:H856,B$11),IF(AND(COUNT(H852:H863)=6,COUNT(F852:F863)=6),cubic_spline(F851:F857,H851:H857,B$11),IF(AND(COUNT(H852:H863)=7,COUNT(F852:F863)=7),cubic_spline(F851:F858,H851:H858,B$11),IF(AND(COUNT(H852:H863)=8,COUNT(F852:F863)=8),cubic_spline(F851:F859,H851:H859,B$11),IF(AND(COUNT(H852:H863)=9,COUNT(F852:F863)=9),cubic_spline(F851:F860,H851:H860,B$11),IF(AND(COUNT(H852:H863)=10,COUNT(F852:F863)=10),cubic_spline(F851:F861,H851:H861,B$11),IF(AND(COUNT(H852:H863)=11,COUNT(F852:F863)=11),cubic_spline(F851:F862,H851:H862,B$11),IF(AND(COUNT(H852:H863)=12,COUNT(F852:F863)=12),cubic_spline(F851:F863,H851:H863,B$11),""))))))))))))</f>
        <v/>
      </c>
      <c r="K859" s="52" t="str">
        <f>IF(N(B$11)=0,"",IF(AND(COUNT(A852:A863)=2,COUNT(F852:F863)=2),cubic_spline(F851:F853,A851:A853,B$11),IF(AND(COUNT(A852:A863)=3,COUNT(F852:F863)=3),cubic_spline(F851:F854,A851:A854,B$11),IF(AND(COUNT(A852:A863)=4,COUNT(F852:F863)=4),cubic_spline(F851:F855,A851:A855,B$11),IF(AND(COUNT(A852:A863)=5,COUNT(F852:F863)=5),cubic_spline(F851:F856,A851:A856,B$11),IF(AND(COUNT(A852:A863)=6,COUNT(F852:F863)=6),cubic_spline(F851:F857,A851:A857,B$11),IF(AND(COUNT(A852:A863)=7,COUNT(F852:F863)=7),cubic_spline(F851:F858,A851:A858,B$11),IF(AND(COUNT(A852:A863)=8,COUNT(F852:F863)=8),cubic_spline(F851:F859,A851:A859,B$11),IF(AND(COUNT(A852:A863)=9,COUNT(F852:F863)=9),cubic_spline(F851:F860,A851:A860,B$11),IF(AND(COUNT(A852:A863)=10,COUNT(F852:F863)=10),cubic_spline(F851:F861,A851:A861,B$11),IF(AND(COUNT(A852:A863)=11,COUNT(F852:F863)=11),cubic_spline(F851:F862,A851:A862,B$11),IF(AND(COUNT(A852:A863)=12,COUNT(F852:F863)=12),cubic_spline(F851:F863,A851:A863,B$11),""))))))))))))</f>
        <v/>
      </c>
      <c r="L859" s="27" t="str">
        <f>IF(I859="","",B$10&amp;"-"&amp;B$11)</f>
        <v/>
      </c>
      <c r="M859" s="52" t="str">
        <f t="shared" si="325"/>
        <v/>
      </c>
    </row>
    <row r="860" spans="1:13" x14ac:dyDescent="0.35">
      <c r="A860" s="48"/>
      <c r="B860" s="48"/>
      <c r="C860" s="49"/>
      <c r="D860" s="50"/>
      <c r="E860" s="51" t="str">
        <f t="shared" si="324"/>
        <v/>
      </c>
      <c r="F860" s="71" t="str">
        <f t="shared" si="321"/>
        <v/>
      </c>
      <c r="G860" s="69" t="str">
        <f t="shared" si="323"/>
        <v/>
      </c>
      <c r="H860" s="70" t="str">
        <f t="shared" si="322"/>
        <v/>
      </c>
      <c r="I860" s="27" t="str">
        <f>IF(N(J860)=0,"",0&amp;"-"&amp;B$12)</f>
        <v/>
      </c>
      <c r="J860" s="52" t="str">
        <f>IF(N(B$12)=0,"",IF(AND(COUNT(H852:H863)=2,COUNT(F852:F863)=2),cubic_spline(F851:F853,H851:H853,B$12),IF(AND(COUNT(H852:H863)=3,COUNT(F852:F863)=3),cubic_spline(F851:F854,H851:H854,B$12),IF(AND(COUNT(H852:H863)=4,COUNT(F852:F863)=4),cubic_spline(F851:F855,H851:H855,B$12),IF(AND(COUNT(H852:H863)=5,COUNT(F852:F863)=5),cubic_spline(F851:F856,H851:H856,B$12),IF(AND(COUNT(H852:H863)=6,COUNT(F852:F863)=6),cubic_spline(F851:F857,H851:H857,B$12),IF(AND(COUNT(H852:H863)=7,COUNT(F852:F863)=7),cubic_spline(F851:F858,H851:H858,B$12),IF(AND(COUNT(H852:H863)=8,COUNT(F852:F863)=8),cubic_spline(F851:F859,H851:H859,B$12),IF(AND(COUNT(H852:H863)=9,COUNT(F852:F863)=9),cubic_spline(F851:F860,H851:H860,B$12),IF(AND(COUNT(H852:H863)=10,COUNT(F852:F863)=10),cubic_spline(F851:F861,H851:H861,B$12),IF(AND(COUNT(H852:H863)=11,COUNT(F852:F863)=11),cubic_spline(F851:F862,H851:H862,B$12),IF(AND(COUNT(H852:H863)=12,COUNT(F852:F863)=12),cubic_spline(F851:F863,H851:H863,B$12),""))))))))))))</f>
        <v/>
      </c>
      <c r="K860" s="52" t="str">
        <f>IF(N(B$12)=0,"",IF(AND(COUNT(A852:A863)=2,COUNT(F852:F863)=2),cubic_spline(F851:F853,A851:A853,B$12),IF(AND(COUNT(A852:A863)=3,COUNT(F852:F863)=3),cubic_spline(F851:F854,A851:A854,B$12),IF(AND(COUNT(A852:A863)=4,COUNT(F852:F863)=4),cubic_spline(F851:F855,A851:A855,B$12),IF(AND(COUNT(A852:A863)=5,COUNT(F852:F863)=5),cubic_spline(F851:F856,A851:A856,B$12),IF(AND(COUNT(A852:A863)=6,COUNT(F852:F863)=6),cubic_spline(F851:F857,A851:A857,B$12),IF(AND(COUNT(A852:A863)=7,COUNT(F852:F863)=7),cubic_spline(F851:F858,A851:A858,B$12),IF(AND(COUNT(A852:A863)=8,COUNT(F852:F863)=8),cubic_spline(F851:F859,A851:A859,B$12),IF(AND(COUNT(A852:A863)=9,COUNT(F852:F863)=9),cubic_spline(F851:F860,A851:A860,B$12),IF(AND(COUNT(A852:A863)=10,COUNT(F852:F863)=10),cubic_spline(F851:F861,A851:A861,B$12),IF(AND(COUNT(A852:A863)=11,COUNT(F852:F863)=11),cubic_spline(F851:F862,A851:A862,B$12),IF(AND(COUNT(A852:A863)=12,COUNT(F852:F863)=12),cubic_spline(F851:F863,A851:A863,B$12),""))))))))))))</f>
        <v/>
      </c>
      <c r="L860" s="27" t="str">
        <f>IF(I860="","",B$11&amp;"-"&amp;B$12)</f>
        <v/>
      </c>
      <c r="M860" s="52" t="str">
        <f t="shared" si="325"/>
        <v/>
      </c>
    </row>
    <row r="861" spans="1:13" x14ac:dyDescent="0.35">
      <c r="A861" s="48"/>
      <c r="B861" s="48"/>
      <c r="C861" s="49"/>
      <c r="D861" s="50"/>
      <c r="E861" s="51" t="str">
        <f t="shared" si="324"/>
        <v/>
      </c>
      <c r="F861" s="71" t="str">
        <f t="shared" si="321"/>
        <v/>
      </c>
      <c r="G861" s="69" t="str">
        <f t="shared" si="323"/>
        <v/>
      </c>
      <c r="H861" s="70" t="str">
        <f t="shared" si="322"/>
        <v/>
      </c>
      <c r="I861" s="27" t="str">
        <f>IF(N(J861)=0,"",0&amp;"-"&amp;B$13)</f>
        <v/>
      </c>
      <c r="J861" s="52" t="str">
        <f>IF(N(B$13)=0,"",IF(AND(COUNT(H852:H863)=2,COUNT(F852:F863)=2),cubic_spline(F851:F853,H851:H853,B$13),IF(AND(COUNT(H852:H863)=3,COUNT(F852:F863)=3),cubic_spline(F851:F854,H851:H854,B$13),IF(AND(COUNT(H852:H863)=4,COUNT(F852:F863)=4),cubic_spline(F851:F855,H851:H855,B$13),IF(AND(COUNT(H852:H863)=5,COUNT(F852:F863)=5),cubic_spline(F851:F856,H851:H856,B$13),IF(AND(COUNT(H852:H863)=6,COUNT(F852:F863)=6),cubic_spline(F851:F857,H851:H857,B$13),IF(AND(COUNT(H852:H863)=7,COUNT(F852:F863)=7),cubic_spline(F851:F858,H851:H858,B$13),IF(AND(COUNT(H852:H863)=8,COUNT(F852:F863)=8),cubic_spline(F851:F859,H851:H859,B$13),IF(AND(COUNT(H852:H863)=9,COUNT(F852:F863)=9),cubic_spline(F851:F860,H851:H860,B$13),IF(AND(COUNT(H852:H863)=10,COUNT(F852:F863)=10),cubic_spline(F851:F861,H851:H861,B$13),IF(AND(COUNT(H852:H863)=11,COUNT(F852:F863)=11),cubic_spline(F851:F862,H851:H862,B$13),IF(AND(COUNT(H852:H863)=12,COUNT(F852:F863)=12),cubic_spline(F851:F863,H851:H863,B$13),""))))))))))))</f>
        <v/>
      </c>
      <c r="K861" s="52" t="str">
        <f>IF(N(B$13)=0,"",IF(AND(COUNT(A852:A863)=2,COUNT(F852:F863)=2),cubic_spline(F851:F853,A851:A853,B$13),IF(AND(COUNT(A852:A863)=3,COUNT(F852:F863)=3),cubic_spline(F851:F854,A851:A854,B$13),IF(AND(COUNT(A852:A863)=4,COUNT(F852:F863)=4),cubic_spline(F851:F855,A851:A855,B$13),IF(AND(COUNT(A852:A863)=5,COUNT(F852:F863)=5),cubic_spline(F851:F856,A851:A856,B$13),IF(AND(COUNT(A852:A863)=6,COUNT(F852:F863)=6),cubic_spline(F851:F857,A851:A857,B$13),IF(AND(COUNT(A852:A863)=7,COUNT(F852:F863)=7),cubic_spline(F851:F858,A851:A858,B$13),IF(AND(COUNT(A852:A863)=8,COUNT(F852:F863)=8),cubic_spline(F851:F859,A851:A859,B$13),IF(AND(COUNT(A852:A863)=9,COUNT(F852:F863)=9),cubic_spline(F851:F860,A851:A860,B$13),IF(AND(COUNT(A852:A863)=10,COUNT(F852:F863)=10),cubic_spline(F851:F861,A851:A861,B$13),IF(AND(COUNT(A852:A863)=11,COUNT(F852:F863)=11),cubic_spline(F851:F862,A851:A862,B$13),IF(AND(COUNT(A852:A863)=12,COUNT(F852:F863)=12),cubic_spline(F851:F863,A851:A863,B$13),""))))))))))))</f>
        <v/>
      </c>
      <c r="L861" s="27" t="str">
        <f>IF(I861="","",B$12&amp;"-"&amp;B$13)</f>
        <v/>
      </c>
      <c r="M861" s="52" t="str">
        <f t="shared" si="325"/>
        <v/>
      </c>
    </row>
    <row r="862" spans="1:13" x14ac:dyDescent="0.35">
      <c r="A862" s="48"/>
      <c r="B862" s="48"/>
      <c r="C862" s="49"/>
      <c r="D862" s="50"/>
      <c r="E862" s="51" t="str">
        <f t="shared" si="324"/>
        <v/>
      </c>
      <c r="F862" s="71" t="str">
        <f t="shared" si="321"/>
        <v/>
      </c>
      <c r="G862" s="69" t="str">
        <f t="shared" si="323"/>
        <v/>
      </c>
      <c r="H862" s="70" t="str">
        <f t="shared" si="322"/>
        <v/>
      </c>
      <c r="I862" s="27" t="str">
        <f>IF(N(J862)=0,"",0&amp;"-"&amp;B$14)</f>
        <v/>
      </c>
      <c r="J862" s="52" t="str">
        <f>IF(N(B$14)=0,"",IF(AND(COUNT(H852:H863)=2,COUNT(F852:F863)=2),cubic_spline(F851:F853,H851:H853,B$14),IF(AND(COUNT(H852:H863)=3,COUNT(F852:F863)=3),cubic_spline(F851:F854,H851:H854,B$14),IF(AND(COUNT(H852:H863)=4,COUNT(F852:F863)=4),cubic_spline(F851:F855,H851:H855,B$14),IF(AND(COUNT(H852:H863)=5,COUNT(F852:F863)=5),cubic_spline(F851:F856,H851:H856,B$14),IF(AND(COUNT(H852:H863)=6,COUNT(F852:F863)=6),cubic_spline(F851:F857,H851:H857,B$14),IF(AND(COUNT(H852:H863)=7,COUNT(F852:F863)=7),cubic_spline(F851:F858,H851:H858,B$14),IF(AND(COUNT(H852:H863)=8,COUNT(F852:F863)=8),cubic_spline(F851:F859,H851:H859,B$14),IF(AND(COUNT(H852:H863)=9,COUNT(F852:F863)=9),cubic_spline(F851:F860,H851:H860,B$14),IF(AND(COUNT(H852:H863)=10,COUNT(F852:F863)=10),cubic_spline(F851:F861,H851:H861,B$14),IF(AND(COUNT(H852:H863)=11,COUNT(F852:F863)=11),cubic_spline(F851:F862,H851:H862,B$14),IF(AND(COUNT(H852:H863)=12,COUNT(F852:F863)=12),cubic_spline(F851:F863,H851:H863,B$14),""))))))))))))</f>
        <v/>
      </c>
      <c r="K862" s="52" t="str">
        <f>IF(N(B$14)=0,"",IF(AND(COUNT(A852:A863)=2,COUNT(F852:F863)=2),cubic_spline(F851:F853,A851:A853,B$14),IF(AND(COUNT(A852:A863)=3,COUNT(F852:F863)=3),cubic_spline(F851:F854,A851:A854,B$14),IF(AND(COUNT(A852:A863)=4,COUNT(F852:F863)=4),cubic_spline(F851:F855,A851:A855,B$14),IF(AND(COUNT(A852:A863)=5,COUNT(F852:F863)=5),cubic_spline(F851:F856,A851:A856,B$14),IF(AND(COUNT(A852:A863)=6,COUNT(F852:F863)=6),cubic_spline(F851:F857,A851:A857,B$14),IF(AND(COUNT(A852:A863)=7,COUNT(F852:F863)=7),cubic_spline(F851:F858,A851:A858,B$14),IF(AND(COUNT(A852:A863)=8,COUNT(F852:F863)=8),cubic_spline(F851:F859,A851:A859,B$14),IF(AND(COUNT(A852:A863)=9,COUNT(F852:F863)=9),cubic_spline(F851:F860,A851:A860,B$14),IF(AND(COUNT(A852:A863)=10,COUNT(F852:F863)=10),cubic_spline(F851:F861,A851:A861,B$14),IF(AND(COUNT(A852:A863)=11,COUNT(F852:F863)=11),cubic_spline(F851:F862,A851:A862,B$14),IF(AND(COUNT(A852:A863)=12,COUNT(F852:F863)=12),cubic_spline(F851:F863,A851:A863,B$14),""))))))))))))</f>
        <v/>
      </c>
      <c r="L862" s="27" t="str">
        <f>IF(I862="","",B$13&amp;"-"&amp;B$14)</f>
        <v/>
      </c>
      <c r="M862" s="52" t="str">
        <f t="shared" si="325"/>
        <v/>
      </c>
    </row>
    <row r="863" spans="1:13" x14ac:dyDescent="0.35">
      <c r="A863" s="48"/>
      <c r="B863" s="48"/>
      <c r="C863" s="49"/>
      <c r="D863" s="50"/>
      <c r="E863" s="51" t="str">
        <f t="shared" si="324"/>
        <v/>
      </c>
      <c r="F863" s="71" t="str">
        <f t="shared" si="321"/>
        <v/>
      </c>
      <c r="G863" s="69" t="str">
        <f t="shared" si="323"/>
        <v/>
      </c>
      <c r="H863" s="70" t="str">
        <f t="shared" si="322"/>
        <v/>
      </c>
      <c r="I863" s="27" t="str">
        <f>IF(N(J863)=0,"",0&amp;"-"&amp;B$15)</f>
        <v/>
      </c>
      <c r="J863" s="52" t="str">
        <f>IF(N(B$15)=0,"",IF(AND(COUNT(H852:H863)=2,COUNT(F852:F863)=2),cubic_spline(F851:F853,H851:H853,B$15),IF(AND(COUNT(H852:H863)=3,COUNT(F852:F863)=3),cubic_spline(F851:F854,H851:H854,B$15),IF(AND(COUNT(H852:H863)=4,COUNT(F852:F863)=4),cubic_spline(F851:F855,H851:H855,B$15),IF(AND(COUNT(H852:H863)=5,COUNT(F852:F863)=5),cubic_spline(F851:F856,H851:H856,B$15),IF(AND(COUNT(H852:H863)=6,COUNT(F852:F863)=6),cubic_spline(F851:F857,H851:H857,B$15),IF(AND(COUNT(H852:H863)=7,COUNT(F852:F863)=7),cubic_spline(F851:F858,H851:H858,B$15),IF(AND(COUNT(H852:H863)=8,COUNT(F852:F863)=8),cubic_spline(F851:F859,H851:H859,B$15),IF(AND(COUNT(H852:H863)=9,COUNT(F852:F863)=9),cubic_spline(F851:F860,H851:H860,B$15),IF(AND(COUNT(H852:H863)=10,COUNT(F852:F863)=10),cubic_spline(F851:F861,H851:H861,B$15),IF(AND(COUNT(H852:H863)=11,COUNT(F852:F863)=11),cubic_spline(F851:F862,H851:H862,B$15),IF(AND(COUNT(H852:H863)=12,COUNT(F852:F863)=12),cubic_spline(F851:F863,H851:H863,B$15),""))))))))))))</f>
        <v/>
      </c>
      <c r="K863" s="52" t="str">
        <f>IF(N(B$15)=0,"",IF(AND(COUNT(A852:A863)=2,COUNT(F852:F863)=2),cubic_spline(F851:F853,A851:A853,B$15),IF(AND(COUNT(A852:A863)=3,COUNT(F852:F863)=3),cubic_spline(F851:F854,A851:A854,B$15),IF(AND(COUNT(A852:A863)=4,COUNT(F852:F863)=4),cubic_spline(F851:F855,A851:A855,B$15),IF(AND(COUNT(A852:A863)=5,COUNT(F852:F863)=5),cubic_spline(F851:F856,A851:A856,B$15),IF(AND(COUNT(A852:A863)=6,COUNT(F852:F863)=6),cubic_spline(F851:F857,A851:A857,B$15),IF(AND(COUNT(A852:A863)=7,COUNT(F852:F863)=7),cubic_spline(F851:F858,A851:A858,B$15),IF(AND(COUNT(A852:A863)=8,COUNT(F852:F863)=8),cubic_spline(F851:F859,A851:A859,B$15),IF(AND(COUNT(A852:A863)=9,COUNT(F852:F863)=9),cubic_spline(F851:F860,A851:A860,B$15),IF(AND(COUNT(A852:A863)=10,COUNT(F852:F863)=10),cubic_spline(F851:F861,A851:A861,B$15),IF(AND(COUNT(A852:A863)=11,COUNT(F852:F863)=11),cubic_spline(F851:F862,A851:A862,B$15),IF(AND(COUNT(A852:A863)=12,COUNT(F852:F863)=12),cubic_spline(F851:F863,A851:A863,B$15),""))))))))))))</f>
        <v/>
      </c>
      <c r="L863" s="27" t="str">
        <f>IF(I863="","",B$14&amp;"-"&amp;B$15)</f>
        <v/>
      </c>
      <c r="M863" s="52" t="str">
        <f t="shared" si="325"/>
        <v/>
      </c>
    </row>
    <row r="864" spans="1:13" ht="5.15" customHeight="1" x14ac:dyDescent="0.35">
      <c r="A864" s="47"/>
      <c r="B864" s="47"/>
      <c r="C864" s="47"/>
      <c r="D864" s="53"/>
      <c r="E864" s="54"/>
      <c r="F864" s="55"/>
      <c r="G864" s="72"/>
      <c r="H864" s="73"/>
      <c r="I864" s="47"/>
      <c r="J864" s="57"/>
      <c r="K864" s="57"/>
      <c r="L864" s="55"/>
      <c r="M864" s="57"/>
    </row>
    <row r="865" spans="1:13" x14ac:dyDescent="0.35">
      <c r="A865" s="48"/>
      <c r="B865" s="48"/>
      <c r="C865" s="49"/>
      <c r="D865" s="50"/>
      <c r="E865" s="51" t="str">
        <f>IF(N(C865)=0,"",C865/PI()/($D$1/2)^2/$D$2*10000)</f>
        <v/>
      </c>
      <c r="F865" s="68" t="str">
        <f t="shared" ref="F865:F876" si="326">IF(N(E865)=0,"",(N(E865)+N(F864)))</f>
        <v/>
      </c>
      <c r="G865" s="69" t="str">
        <f>IF(OR(N(D865)=0,N(E865)=0),"",(E865*D865)/1000)</f>
        <v/>
      </c>
      <c r="H865" s="70" t="str">
        <f t="shared" ref="H865:H876" si="327">IF(N(G865)=0,"",(N(G865)+N(H864)))</f>
        <v/>
      </c>
      <c r="I865" s="27" t="str">
        <f>IF(N(J865)=0,"",0&amp;"-"&amp;B$4)</f>
        <v/>
      </c>
      <c r="J865" s="52" t="str">
        <f>IF(N(B$4)=0,"",IF(AND(COUNT(H865:H876)=2,COUNT(F865:F876)=2),cubic_spline(F864:F866,H864:H866,B$4),IF(AND(COUNT(H865:H876)=3,COUNT(F865:F876)=3),cubic_spline(F864:F867,H864:H867,B$4),IF(AND(COUNT(H865:H876)=4,COUNT(F865:F876)=4),cubic_spline(F864:F868,H864:H868,B$4),IF(AND(COUNT(H865:H876)=5,COUNT(F865:F876)=5),cubic_spline(F864:F869,H864:H869,B$4),IF(AND(COUNT(H865:H876)=6,COUNT(F865:F876)=6),cubic_spline(F864:F870,H864:H870,B$4),IF(AND(COUNT(H865:H876)=7,COUNT(F865:F876)=7),cubic_spline(F864:F871,H864:H871,B$4),IF(AND(COUNT(H865:H876)=8,COUNT(F865:F876)=8),cubic_spline(F864:F872,H864:H872,B$4),IF(AND(COUNT(H865:H876)=9,COUNT(F865:F876)=9),cubic_spline(F864:F873,H864:H873,B$4),IF(AND(COUNT(H865:H876)=10,COUNT(F865:F876)=10),cubic_spline(F864:F874,H864:H874,B$4),IF(AND(COUNT(H865:H876)=11,COUNT(F865:F876)=11),cubic_spline(F864:F875,H864:H875,B$4),IF(AND(COUNT(H865:H876)=12,COUNT(F865:F876)=12),cubic_spline(F864:F876,H864:H876,B$4),""))))))))))))</f>
        <v/>
      </c>
      <c r="K865" s="52" t="str">
        <f>IF(N(B$4)=0,"",IF(AND(COUNT(A865:A876)=2,COUNT(F865:F876)=2),cubic_spline(F864:F866,A864:A866,B$4),IF(AND(COUNT(A865:A876)=3,COUNT(F865:F876)=3),cubic_spline(F864:F867,A864:A867,B$4),IF(AND(COUNT(A865:A876)=4,COUNT(F865:F876)=4),cubic_spline(F864:F868,A864:A868,B$4),IF(AND(COUNT(A865:A876)=5,COUNT(F865:F876)=5),cubic_spline(F864:F869,A864:A869,B$4),IF(AND(COUNT(A865:A876)=6,COUNT(F865:F876)=6),cubic_spline(F864:F870,A864:A870,B$4),IF(AND(COUNT(A865:A876)=7,COUNT(F865:F876)=7),cubic_spline(F864:F871,A864:A871,B$4),IF(AND(COUNT(A865:A876)=8,COUNT(F865:F876)=8),cubic_spline(F864:F872,A864:A872,B$4),IF(AND(COUNT(A865:A876)=9,COUNT(F865:F876)=9),cubic_spline(F864:F873,A864:A873,B$4),IF(AND(COUNT(A865:A876)=10,COUNT(F865:F876)=10),cubic_spline(F864:F874,A864:A874,B$4),IF(AND(COUNT(A865:A876)=11,COUNT(F865:F876)=11),cubic_spline(F864:F875,A864:A875,B$4),IF(AND(COUNT(A865:A876)=12,COUNT(F865:F876)=12),cubic_spline(F864:F876,A864:A876,B$4),""))))))))))))</f>
        <v/>
      </c>
      <c r="L865" s="27" t="str">
        <f>IF(I865="","",0&amp;"-"&amp;B$4)</f>
        <v/>
      </c>
      <c r="M865" s="52" t="str">
        <f>IF(N(J865)=0,"",J865-J864)</f>
        <v/>
      </c>
    </row>
    <row r="866" spans="1:13" x14ac:dyDescent="0.35">
      <c r="A866" s="48"/>
      <c r="B866" s="48"/>
      <c r="C866" s="49"/>
      <c r="D866" s="50"/>
      <c r="E866" s="51" t="str">
        <f>IF(N(C866)=0,"",C866/PI()/($D$1/2)^2/$D$2*10000)</f>
        <v/>
      </c>
      <c r="F866" s="68" t="str">
        <f t="shared" si="326"/>
        <v/>
      </c>
      <c r="G866" s="69" t="str">
        <f t="shared" ref="G866:G876" si="328">IF(OR(N(D866)=0,N(E866)=0),"",(E866*D866)/1000)</f>
        <v/>
      </c>
      <c r="H866" s="70" t="str">
        <f t="shared" si="327"/>
        <v/>
      </c>
      <c r="I866" s="27" t="str">
        <f>IF(N(J866)=0,"",0&amp;"-"&amp;B$5)</f>
        <v/>
      </c>
      <c r="J866" s="52" t="str">
        <f>IF(N(B$5)=0,"",IF(AND(COUNT(H865:H876)=2,COUNT(F865:F876)=2),cubic_spline(F864:F866,H864:H866,B$5),IF(AND(COUNT(H865:H876)=3,COUNT(F865:F876)=3),cubic_spline(F864:F867,H864:H867,B$5),IF(AND(COUNT(H865:H876)=4,COUNT(F865:F876)=4),cubic_spline(F864:F868,H864:H868,B$5),IF(AND(COUNT(H865:H876)=5,COUNT(F865:F876)=5),cubic_spline(F864:F869,H864:H869,B$5),IF(AND(COUNT(H865:H876)=6,COUNT(F865:F876)=6),cubic_spline(F864:F870,H864:H870,B$5),IF(AND(COUNT(H865:H876)=7,COUNT(F865:F876)=7),cubic_spline(F864:F871,H864:H871,B$5),IF(AND(COUNT(H865:H876)=8,COUNT(F865:F876)=8),cubic_spline(F864:F872,H864:H872,B$5),IF(AND(COUNT(H865:H876)=9,COUNT(F865:F876)=9),cubic_spline(F864:F873,H864:H873,B$5),IF(AND(COUNT(H865:H876)=10,COUNT(F865:F876)=10),cubic_spline(F864:F874,H864:H874,B$5),IF(AND(COUNT(H865:H876)=11,COUNT(F865:F876)=11),cubic_spline(F864:F875,H864:H875,B$5),IF(AND(COUNT(H865:H876)=12,COUNT(F865:F876)=12),cubic_spline(F864:F876,H864:H876,B$5),""))))))))))))</f>
        <v/>
      </c>
      <c r="K866" s="52" t="str">
        <f>IF(N(B$5)=0,"",IF(AND(COUNT(A865:A876)=2,COUNT(F865:F876)=2),cubic_spline(F864:F866,A864:A866,B$5),IF(AND(COUNT(A865:A876)=3,COUNT(F865:F876)=3),cubic_spline(F864:F867,A864:A867,B$5),IF(AND(COUNT(A865:A876)=4,COUNT(F865:F876)=4),cubic_spline(F864:F868,A864:A868,B$5),IF(AND(COUNT(A865:A876)=5,COUNT(F865:F876)=5),cubic_spline(F864:F869,A864:A869,B$5),IF(AND(COUNT(A865:A876)=6,COUNT(F865:F876)=6),cubic_spline(F864:F870,A864:A870,B$5),IF(AND(COUNT(A865:A876)=7,COUNT(F865:F876)=7),cubic_spline(F864:F871,A864:A871,B$5),IF(AND(COUNT(A865:A876)=8,COUNT(F865:F876)=8),cubic_spline(F864:F872,A864:A872,B$5),IF(AND(COUNT(A865:A876)=9,COUNT(F865:F876)=9),cubic_spline(F864:F873,A864:A873,B$5),IF(AND(COUNT(A865:A876)=10,COUNT(F865:F876)=10),cubic_spline(F864:F874,A864:A874,B$5),IF(AND(COUNT(A865:A876)=11,COUNT(F865:F876)=11),cubic_spline(F864:F875,A864:A875,B$5),IF(AND(COUNT(A865:A876)=12,COUNT(F865:F876)=12),cubic_spline(F864:F876,A864:A876,B$5),""))))))))))))</f>
        <v/>
      </c>
      <c r="L866" s="27" t="str">
        <f>IF(I866="","",B$4&amp;"-"&amp;B$5)</f>
        <v/>
      </c>
      <c r="M866" s="52" t="str">
        <f>IF(N(J866)=0,"",J866-J865)</f>
        <v/>
      </c>
    </row>
    <row r="867" spans="1:13" x14ac:dyDescent="0.35">
      <c r="A867" s="48"/>
      <c r="B867" s="48"/>
      <c r="C867" s="49"/>
      <c r="D867" s="50"/>
      <c r="E867" s="51" t="str">
        <f>IF(N(C867)=0,"",C867/PI()/($D$1/2)^2/$D$2*10000)</f>
        <v/>
      </c>
      <c r="F867" s="68" t="str">
        <f t="shared" si="326"/>
        <v/>
      </c>
      <c r="G867" s="69" t="str">
        <f t="shared" si="328"/>
        <v/>
      </c>
      <c r="H867" s="70" t="str">
        <f t="shared" si="327"/>
        <v/>
      </c>
      <c r="I867" s="27" t="str">
        <f>IF(N(J867)=0,"",0&amp;"-"&amp;B$6)</f>
        <v/>
      </c>
      <c r="J867" s="52" t="str">
        <f>IF(N(B$6)=0,"",IF(AND(COUNT(H865:H876)=2,COUNT(F865:F876)=2),cubic_spline(F864:F866,H864:H866,B$6),IF(AND(COUNT(H865:H876)=3,COUNT(F865:F876)=3),cubic_spline(F864:F867,H864:H867,B$6),IF(AND(COUNT(H865:H876)=4,COUNT(F865:F876)=4),cubic_spline(F864:F868,H864:H868,B$6),IF(AND(COUNT(H865:H876)=5,COUNT(F865:F876)=5),cubic_spline(F864:F869,H864:H869,B$6),IF(AND(COUNT(H865:H876)=6,COUNT(F865:F876)=6),cubic_spline(F864:F870,H864:H870,B$6),IF(AND(COUNT(H865:H876)=7,COUNT(F865:F876)=7),cubic_spline(F864:F871,H864:H871,B$6),IF(AND(COUNT(H865:H876)=8,COUNT(F865:F876)=8),cubic_spline(F864:F872,H864:H872,B$6),IF(AND(COUNT(H865:H876)=9,COUNT(F865:F876)=9),cubic_spline(F864:F873,H864:H873,B$6),IF(AND(COUNT(H865:H876)=10,COUNT(F865:F876)=10),cubic_spline(F864:F874,H864:H874,B$6),IF(AND(COUNT(H865:H876)=11,COUNT(F865:F876)=11),cubic_spline(F864:F875,H864:H875,B$6),IF(AND(COUNT(H865:H876)=12,COUNT(F865:F876)=12),cubic_spline(F864:F876,H864:H876,B$6),""))))))))))))</f>
        <v/>
      </c>
      <c r="K867" s="52" t="str">
        <f>IF(N(B$6)=0,"",IF(AND(COUNT(A865:A876)=2,COUNT(F865:F876)=2),cubic_spline(F864:F866,A864:A866,B$6),IF(AND(COUNT(A865:A876)=3,COUNT(F865:F876)=3),cubic_spline(F864:F867,A864:A867,B$6),IF(AND(COUNT(A865:A876)=4,COUNT(F865:F876)=4),cubic_spline(F864:F868,A864:A868,B$6),IF(AND(COUNT(A865:A876)=5,COUNT(F865:F876)=5),cubic_spline(F864:F869,A864:A869,B$6),IF(AND(COUNT(A865:A876)=6,COUNT(F865:F876)=6),cubic_spline(F864:F870,A864:A870,B$6),IF(AND(COUNT(A865:A876)=7,COUNT(F865:F876)=7),cubic_spline(F864:F871,A864:A871,B$6),IF(AND(COUNT(A865:A876)=8,COUNT(F865:F876)=8),cubic_spline(F864:F872,A864:A872,B$6),IF(AND(COUNT(A865:A876)=9,COUNT(F865:F876)=9),cubic_spline(F864:F873,A864:A873,B$6),IF(AND(COUNT(A865:A876)=10,COUNT(F865:F876)=10),cubic_spline(F864:F874,A864:A874,B$6),IF(AND(COUNT(A865:A876)=11,COUNT(F865:F876)=11),cubic_spline(F864:F875,A864:A875,B$6),IF(AND(COUNT(A865:A876)=12,COUNT(F865:F876)=12),cubic_spline(F864:F876,A864:A876,B$6),""))))))))))))</f>
        <v/>
      </c>
      <c r="L867" s="27" t="str">
        <f>IF(I867="","",B$5&amp;"-"&amp;B$6)</f>
        <v/>
      </c>
      <c r="M867" s="52" t="str">
        <f>IF(N(J867)=0,"",J867-J866)</f>
        <v/>
      </c>
    </row>
    <row r="868" spans="1:13" x14ac:dyDescent="0.35">
      <c r="A868" s="48"/>
      <c r="B868" s="48"/>
      <c r="C868" s="49"/>
      <c r="D868" s="50"/>
      <c r="E868" s="51" t="str">
        <f>IF(N(C868)=0,"",C868/PI()/($D$1/2)^2/$D$2*10000)</f>
        <v/>
      </c>
      <c r="F868" s="68" t="str">
        <f t="shared" si="326"/>
        <v/>
      </c>
      <c r="G868" s="69" t="str">
        <f t="shared" si="328"/>
        <v/>
      </c>
      <c r="H868" s="70" t="str">
        <f t="shared" si="327"/>
        <v/>
      </c>
      <c r="I868" s="27" t="str">
        <f>IF(N(J868)=0,"",0&amp;"-"&amp;B$7)</f>
        <v/>
      </c>
      <c r="J868" s="52" t="str">
        <f>IF(N(B$7)=0,"",IF(AND(COUNT(H865:H876)=2,COUNT(F865:F876)=2),cubic_spline(F864:F866,H864:H866,B$7),IF(AND(COUNT(H865:H876)=3,COUNT(F865:F876)=3),cubic_spline(F864:F867,H864:H867,B$7),IF(AND(COUNT(H865:H876)=4,COUNT(F865:F876)=4),cubic_spline(F864:F868,H864:H868,B$7),IF(AND(COUNT(H865:H876)=5,COUNT(F865:F876)=5),cubic_spline(F864:F869,H864:H869,B$7),IF(AND(COUNT(H865:H876)=6,COUNT(F865:F876)=6),cubic_spline(F864:F870,H864:H870,B$7),IF(AND(COUNT(H865:H876)=7,COUNT(F865:F876)=7),cubic_spline(F864:F871,H864:H871,B$7),IF(AND(COUNT(H865:H876)=8,COUNT(F865:F876)=8),cubic_spline(F864:F872,H864:H872,B$7),IF(AND(COUNT(H865:H876)=9,COUNT(F865:F876)=9),cubic_spline(F864:F873,H864:H873,B$7),IF(AND(COUNT(H865:H876)=10,COUNT(F865:F876)=10),cubic_spline(F864:F874,H864:H874,B$7),IF(AND(COUNT(H865:H876)=11,COUNT(F865:F876)=11),cubic_spline(F864:F875,H864:H875,B$7),IF(AND(COUNT(H865:H876)=12,COUNT(F865:F876)=12),cubic_spline(F864:F876,H864:H876,B$7),""))))))))))))</f>
        <v/>
      </c>
      <c r="K868" s="52" t="str">
        <f>IF(N(B$7)=0,"",IF(AND(COUNT(A865:A876)=2,COUNT(F865:F876)=2),cubic_spline(F864:F866,A864:A866,B$7),IF(AND(COUNT(A865:A876)=3,COUNT(F865:F876)=3),cubic_spline(F864:F867,A864:A867,B$7),IF(AND(COUNT(A865:A876)=4,COUNT(F865:F876)=4),cubic_spline(F864:F868,A864:A868,B$7),IF(AND(COUNT(A865:A876)=5,COUNT(F865:F876)=5),cubic_spline(F864:F869,A864:A869,B$7),IF(AND(COUNT(A865:A876)=6,COUNT(F865:F876)=6),cubic_spline(F864:F870,A864:A870,B$7),IF(AND(COUNT(A865:A876)=7,COUNT(F865:F876)=7),cubic_spline(F864:F871,A864:A871,B$7),IF(AND(COUNT(A865:A876)=8,COUNT(F865:F876)=8),cubic_spline(F864:F872,A864:A872,B$7),IF(AND(COUNT(A865:A876)=9,COUNT(F865:F876)=9),cubic_spline(F864:F873,A864:A873,B$7),IF(AND(COUNT(A865:A876)=10,COUNT(F865:F876)=10),cubic_spline(F864:F874,A864:A874,B$7),IF(AND(COUNT(A865:A876)=11,COUNT(F865:F876)=11),cubic_spline(F864:F875,A864:A875,B$7),IF(AND(COUNT(A865:A876)=12,COUNT(F865:F876)=12),cubic_spline(F864:F876,A864:A876,B$7),""))))))))))))</f>
        <v/>
      </c>
      <c r="L868" s="27" t="str">
        <f>IF(I868="","",B$6&amp;"-"&amp;B$7)</f>
        <v/>
      </c>
      <c r="M868" s="52" t="str">
        <f>IF(N(J868)=0,"",J868-J867)</f>
        <v/>
      </c>
    </row>
    <row r="869" spans="1:13" x14ac:dyDescent="0.35">
      <c r="A869" s="48"/>
      <c r="B869" s="48"/>
      <c r="C869" s="49"/>
      <c r="D869" s="50"/>
      <c r="E869" s="51" t="str">
        <f t="shared" ref="E869:E876" si="329">IF(N(C869)=0,"",C869/PI()/($D$1/2)^2/$D$2*10000)</f>
        <v/>
      </c>
      <c r="F869" s="71" t="str">
        <f t="shared" si="326"/>
        <v/>
      </c>
      <c r="G869" s="69" t="str">
        <f t="shared" si="328"/>
        <v/>
      </c>
      <c r="H869" s="70" t="str">
        <f t="shared" si="327"/>
        <v/>
      </c>
      <c r="I869" s="27" t="str">
        <f>IF(N(J869)=0,"",0&amp;"-"&amp;B$8)</f>
        <v/>
      </c>
      <c r="J869" s="52" t="str">
        <f>IF(N(B$8)=0,"",IF(AND(COUNT(H865:H876)=2,COUNT(F865:F876)=2),cubic_spline(F864:F866,H864:H866,B$8),IF(AND(COUNT(H865:H876)=3,COUNT(F865:F876)=3),cubic_spline(F864:F867,H864:H867,B$8),IF(AND(COUNT(H865:H876)=4,COUNT(F865:F876)=4),cubic_spline(F864:F868,H864:H868,B$8),IF(AND(COUNT(H865:H876)=5,COUNT(F865:F876)=5),cubic_spline(F864:F869,H864:H869,B$8),IF(AND(COUNT(H865:H876)=6,COUNT(F865:F876)=6),cubic_spline(F864:F870,H864:H870,B$8),IF(AND(COUNT(H865:H876)=7,COUNT(F865:F876)=7),cubic_spline(F864:F871,H864:H871,B$8),IF(AND(COUNT(H865:H876)=8,COUNT(F865:F876)=8),cubic_spline(F864:F872,H864:H872,B$8),IF(AND(COUNT(H865:H876)=9,COUNT(F865:F876)=9),cubic_spline(F864:F873,H864:H873,B$8),IF(AND(COUNT(H865:H876)=10,COUNT(F865:F876)=10),cubic_spline(F864:F874,H864:H874,B$8),IF(AND(COUNT(H865:H876)=11,COUNT(F865:F876)=11),cubic_spline(F864:F875,H864:H875,B$8),IF(AND(COUNT(H865:H876)=12,COUNT(F865:F876)=12),cubic_spline(F864:F876,H864:H876,B$8),""))))))))))))</f>
        <v/>
      </c>
      <c r="K869" s="52" t="str">
        <f>IF(N(B$8)=0,"",IF(AND(COUNT(A865:A876)=2,COUNT(F865:F876)=2),cubic_spline(F864:F866,A864:A866,B$8),IF(AND(COUNT(A865:A876)=3,COUNT(F865:F876)=3),cubic_spline(F864:F867,A864:A867,B$8),IF(AND(COUNT(A865:A876)=4,COUNT(F865:F876)=4),cubic_spline(F864:F868,A864:A868,B$8),IF(AND(COUNT(A865:A876)=5,COUNT(F865:F876)=5),cubic_spline(F864:F869,A864:A869,B$8),IF(AND(COUNT(A865:A876)=6,COUNT(F865:F876)=6),cubic_spline(F864:F870,A864:A870,B$8),IF(AND(COUNT(A865:A876)=7,COUNT(F865:F876)=7),cubic_spline(F864:F871,A864:A871,B$8),IF(AND(COUNT(A865:A876)=8,COUNT(F865:F876)=8),cubic_spline(F864:F872,A864:A872,B$8),IF(AND(COUNT(A865:A876)=9,COUNT(F865:F876)=9),cubic_spline(F864:F873,A864:A873,B$8),IF(AND(COUNT(A865:A876)=10,COUNT(F865:F876)=10),cubic_spline(F864:F874,A864:A874,B$8),IF(AND(COUNT(A865:A876)=11,COUNT(F865:F876)=11),cubic_spline(F864:F875,A864:A875,B$8),IF(AND(COUNT(A865:A876)=12,COUNT(F865:F876)=12),cubic_spline(F864:F876,A864:A876,B$8),""))))))))))))</f>
        <v/>
      </c>
      <c r="L869" s="27" t="str">
        <f>IF(I869="","",B$7&amp;"-"&amp;B$8)</f>
        <v/>
      </c>
      <c r="M869" s="52" t="str">
        <f>IF(N(J869)=0,"",J869-J868)</f>
        <v/>
      </c>
    </row>
    <row r="870" spans="1:13" x14ac:dyDescent="0.35">
      <c r="A870" s="48"/>
      <c r="B870" s="48"/>
      <c r="C870" s="49"/>
      <c r="D870" s="50"/>
      <c r="E870" s="51" t="str">
        <f t="shared" si="329"/>
        <v/>
      </c>
      <c r="F870" s="71" t="str">
        <f t="shared" si="326"/>
        <v/>
      </c>
      <c r="G870" s="69" t="str">
        <f t="shared" si="328"/>
        <v/>
      </c>
      <c r="H870" s="70" t="str">
        <f t="shared" si="327"/>
        <v/>
      </c>
      <c r="I870" s="27" t="str">
        <f>IF(N(J870)=0,"",0&amp;"-"&amp;B$9)</f>
        <v/>
      </c>
      <c r="J870" s="52" t="str">
        <f>IF(N(B$9)=0,"",IF(AND(COUNT(H865:H876)=2,COUNT(F865:F876)=2),cubic_spline(F864:F866,H864:H866,B$9),IF(AND(COUNT(H865:H876)=3,COUNT(F865:F876)=3),cubic_spline(F864:F867,H864:H867,B$9),IF(AND(COUNT(H865:H876)=4,COUNT(F865:F876)=4),cubic_spline(F864:F868,H864:H868,B$9),IF(AND(COUNT(H865:H876)=5,COUNT(F865:F876)=5),cubic_spline(F864:F869,H864:H869,B$9),IF(AND(COUNT(H865:H876)=6,COUNT(F865:F876)=6),cubic_spline(F864:F870,H864:H870,B$9),IF(AND(COUNT(H865:H876)=7,COUNT(F865:F876)=7),cubic_spline(F864:F871,H864:H871,B$9),IF(AND(COUNT(H865:H876)=8,COUNT(F865:F876)=8),cubic_spline(F864:F872,H864:H872,B$9),IF(AND(COUNT(H865:H876)=9,COUNT(F865:F876)=9),cubic_spline(F864:F873,H864:H873,B$9),IF(AND(COUNT(H865:H876)=10,COUNT(F865:F876)=10),cubic_spline(F864:F874,H864:H874,B$9),IF(AND(COUNT(H865:H876)=11,COUNT(F865:F876)=11),cubic_spline(F864:F875,H864:H875,B$9),IF(AND(COUNT(H865:H876)=12,COUNT(F865:F876)=12),cubic_spline(F864:F876,H864:H876,B$9),""))))))))))))</f>
        <v/>
      </c>
      <c r="K870" s="52" t="str">
        <f>IF(N(B$9)=0,"",IF(AND(COUNT(A865:A876)=2,COUNT(F865:F876)=2),cubic_spline(F864:F866,A864:A866,B$9),IF(AND(COUNT(A865:A876)=3,COUNT(F865:F876)=3),cubic_spline(F864:F867,A864:A867,B$9),IF(AND(COUNT(A865:A876)=4,COUNT(F865:F876)=4),cubic_spline(F864:F868,A864:A868,B$9),IF(AND(COUNT(A865:A876)=5,COUNT(F865:F876)=5),cubic_spline(F864:F869,A864:A869,B$9),IF(AND(COUNT(A865:A876)=6,COUNT(F865:F876)=6),cubic_spline(F864:F870,A864:A870,B$9),IF(AND(COUNT(A865:A876)=7,COUNT(F865:F876)=7),cubic_spline(F864:F871,A864:A871,B$9),IF(AND(COUNT(A865:A876)=8,COUNT(F865:F876)=8),cubic_spline(F864:F872,A864:A872,B$9),IF(AND(COUNT(A865:A876)=9,COUNT(F865:F876)=9),cubic_spline(F864:F873,A864:A873,B$9),IF(AND(COUNT(A865:A876)=10,COUNT(F865:F876)=10),cubic_spline(F864:F874,A864:A874,B$9),IF(AND(COUNT(A865:A876)=11,COUNT(F865:F876)=11),cubic_spline(F864:F875,A864:A875,B$9),IF(AND(COUNT(A865:A876)=12,COUNT(F865:F876)=12),cubic_spline(F864:F876,A864:A876,B$9),""))))))))))))</f>
        <v/>
      </c>
      <c r="L870" s="27" t="str">
        <f>IF(I870="","",B$8&amp;"-"&amp;B$9)</f>
        <v/>
      </c>
      <c r="M870" s="52" t="str">
        <f t="shared" ref="M870:M876" si="330">IF(N(J870)=0,"",J870-J869)</f>
        <v/>
      </c>
    </row>
    <row r="871" spans="1:13" x14ac:dyDescent="0.35">
      <c r="A871" s="48"/>
      <c r="B871" s="48"/>
      <c r="C871" s="49"/>
      <c r="D871" s="50"/>
      <c r="E871" s="51" t="str">
        <f t="shared" si="329"/>
        <v/>
      </c>
      <c r="F871" s="71" t="str">
        <f t="shared" si="326"/>
        <v/>
      </c>
      <c r="G871" s="69" t="str">
        <f t="shared" si="328"/>
        <v/>
      </c>
      <c r="H871" s="70" t="str">
        <f t="shared" si="327"/>
        <v/>
      </c>
      <c r="I871" s="27" t="str">
        <f>IF(N(J871)=0,"",0&amp;"-"&amp;B$10)</f>
        <v/>
      </c>
      <c r="J871" s="52" t="str">
        <f>IF(N(B$10)=0,"",IF(AND(COUNT(H865:H876)=2,COUNT(F865:F876)=2),cubic_spline(F864:F866,H864:H866,B$10),IF(AND(COUNT(H865:H876)=3,COUNT(F865:F876)=3),cubic_spline(F864:F867,H864:H867,B$10),IF(AND(COUNT(H865:H876)=4,COUNT(F865:F876)=4),cubic_spline(F864:F868,H864:H868,B$10),IF(AND(COUNT(H865:H876)=5,COUNT(F865:F876)=5),cubic_spline(F864:F869,H864:H869,B$10),IF(AND(COUNT(H865:H876)=6,COUNT(F865:F876)=6),cubic_spline(F864:F870,H864:H870,B$10),IF(AND(COUNT(H865:H876)=7,COUNT(F865:F876)=7),cubic_spline(F864:F871,H864:H871,B$10),IF(AND(COUNT(H865:H876)=8,COUNT(F865:F876)=8),cubic_spline(F864:F872,H864:H872,B$10),IF(AND(COUNT(H865:H876)=9,COUNT(F865:F876)=9),cubic_spline(F864:F873,H864:H873,B$10),IF(AND(COUNT(H865:H876)=10,COUNT(F865:F876)=10),cubic_spline(F864:F874,H864:H874,B$10),IF(AND(COUNT(H865:H876)=11,COUNT(F865:F876)=11),cubic_spline(F864:F875,H864:H875,B$10),IF(AND(COUNT(H865:H876)=12,COUNT(F865:F876)=12),cubic_spline(F864:F876,H864:H876,B$10),""))))))))))))</f>
        <v/>
      </c>
      <c r="K871" s="52" t="str">
        <f>IF(N(B$10)=0,"",IF(AND(COUNT(A865:A876)=2,COUNT(F865:F876)=2),cubic_spline(F864:F866,A864:A866,B$10),IF(AND(COUNT(A865:A876)=3,COUNT(F865:F876)=3),cubic_spline(F864:F867,A864:A867,B$10),IF(AND(COUNT(A865:A876)=4,COUNT(F865:F876)=4),cubic_spline(F864:F868,A864:A868,B$10),IF(AND(COUNT(A865:A876)=5,COUNT(F865:F876)=5),cubic_spline(F864:F869,A864:A869,B$10),IF(AND(COUNT(A865:A876)=6,COUNT(F865:F876)=6),cubic_spline(F864:F870,A864:A870,B$10),IF(AND(COUNT(A865:A876)=7,COUNT(F865:F876)=7),cubic_spline(F864:F871,A864:A871,B$10),IF(AND(COUNT(A865:A876)=8,COUNT(F865:F876)=8),cubic_spline(F864:F872,A864:A872,B$10),IF(AND(COUNT(A865:A876)=9,COUNT(F865:F876)=9),cubic_spline(F864:F873,A864:A873,B$10),IF(AND(COUNT(A865:A876)=10,COUNT(F865:F876)=10),cubic_spline(F864:F874,A864:A874,B$10),IF(AND(COUNT(A865:A876)=11,COUNT(F865:F876)=11),cubic_spline(F864:F875,A864:A875,B$10),IF(AND(COUNT(A865:A876)=12,COUNT(F865:F876)=12),cubic_spline(F864:F876,A864:A876,B$10),""))))))))))))</f>
        <v/>
      </c>
      <c r="L871" s="27" t="str">
        <f>IF(I871="","",B$9&amp;"-"&amp;B$10)</f>
        <v/>
      </c>
      <c r="M871" s="52" t="str">
        <f t="shared" si="330"/>
        <v/>
      </c>
    </row>
    <row r="872" spans="1:13" x14ac:dyDescent="0.35">
      <c r="A872" s="48"/>
      <c r="B872" s="48"/>
      <c r="C872" s="49"/>
      <c r="D872" s="50"/>
      <c r="E872" s="51" t="str">
        <f t="shared" si="329"/>
        <v/>
      </c>
      <c r="F872" s="71" t="str">
        <f t="shared" si="326"/>
        <v/>
      </c>
      <c r="G872" s="69" t="str">
        <f t="shared" si="328"/>
        <v/>
      </c>
      <c r="H872" s="70" t="str">
        <f t="shared" si="327"/>
        <v/>
      </c>
      <c r="I872" s="27" t="str">
        <f>IF(N(J872)=0,"",0&amp;"-"&amp;B$11)</f>
        <v/>
      </c>
      <c r="J872" s="52" t="str">
        <f>IF(N(B$11)=0,"",IF(AND(COUNT(H865:H876)=2,COUNT(F865:F876)=2),cubic_spline(F864:F866,H864:H866,B$11),IF(AND(COUNT(H865:H876)=3,COUNT(F865:F876)=3),cubic_spline(F864:F867,H864:H867,B$11),IF(AND(COUNT(H865:H876)=4,COUNT(F865:F876)=4),cubic_spline(F864:F868,H864:H868,B$11),IF(AND(COUNT(H865:H876)=5,COUNT(F865:F876)=5),cubic_spline(F864:F869,H864:H869,B$11),IF(AND(COUNT(H865:H876)=6,COUNT(F865:F876)=6),cubic_spline(F864:F870,H864:H870,B$11),IF(AND(COUNT(H865:H876)=7,COUNT(F865:F876)=7),cubic_spline(F864:F871,H864:H871,B$11),IF(AND(COUNT(H865:H876)=8,COUNT(F865:F876)=8),cubic_spline(F864:F872,H864:H872,B$11),IF(AND(COUNT(H865:H876)=9,COUNT(F865:F876)=9),cubic_spline(F864:F873,H864:H873,B$11),IF(AND(COUNT(H865:H876)=10,COUNT(F865:F876)=10),cubic_spline(F864:F874,H864:H874,B$11),IF(AND(COUNT(H865:H876)=11,COUNT(F865:F876)=11),cubic_spline(F864:F875,H864:H875,B$11),IF(AND(COUNT(H865:H876)=12,COUNT(F865:F876)=12),cubic_spline(F864:F876,H864:H876,B$11),""))))))))))))</f>
        <v/>
      </c>
      <c r="K872" s="52" t="str">
        <f>IF(N(B$11)=0,"",IF(AND(COUNT(A865:A876)=2,COUNT(F865:F876)=2),cubic_spline(F864:F866,A864:A866,B$11),IF(AND(COUNT(A865:A876)=3,COUNT(F865:F876)=3),cubic_spline(F864:F867,A864:A867,B$11),IF(AND(COUNT(A865:A876)=4,COUNT(F865:F876)=4),cubic_spline(F864:F868,A864:A868,B$11),IF(AND(COUNT(A865:A876)=5,COUNT(F865:F876)=5),cubic_spline(F864:F869,A864:A869,B$11),IF(AND(COUNT(A865:A876)=6,COUNT(F865:F876)=6),cubic_spline(F864:F870,A864:A870,B$11),IF(AND(COUNT(A865:A876)=7,COUNT(F865:F876)=7),cubic_spline(F864:F871,A864:A871,B$11),IF(AND(COUNT(A865:A876)=8,COUNT(F865:F876)=8),cubic_spline(F864:F872,A864:A872,B$11),IF(AND(COUNT(A865:A876)=9,COUNT(F865:F876)=9),cubic_spline(F864:F873,A864:A873,B$11),IF(AND(COUNT(A865:A876)=10,COUNT(F865:F876)=10),cubic_spline(F864:F874,A864:A874,B$11),IF(AND(COUNT(A865:A876)=11,COUNT(F865:F876)=11),cubic_spline(F864:F875,A864:A875,B$11),IF(AND(COUNT(A865:A876)=12,COUNT(F865:F876)=12),cubic_spline(F864:F876,A864:A876,B$11),""))))))))))))</f>
        <v/>
      </c>
      <c r="L872" s="27" t="str">
        <f>IF(I872="","",B$10&amp;"-"&amp;B$11)</f>
        <v/>
      </c>
      <c r="M872" s="52" t="str">
        <f t="shared" si="330"/>
        <v/>
      </c>
    </row>
    <row r="873" spans="1:13" x14ac:dyDescent="0.35">
      <c r="A873" s="48"/>
      <c r="B873" s="48"/>
      <c r="C873" s="49"/>
      <c r="D873" s="50"/>
      <c r="E873" s="51" t="str">
        <f t="shared" si="329"/>
        <v/>
      </c>
      <c r="F873" s="71" t="str">
        <f t="shared" si="326"/>
        <v/>
      </c>
      <c r="G873" s="69" t="str">
        <f t="shared" si="328"/>
        <v/>
      </c>
      <c r="H873" s="70" t="str">
        <f t="shared" si="327"/>
        <v/>
      </c>
      <c r="I873" s="27" t="str">
        <f>IF(N(J873)=0,"",0&amp;"-"&amp;B$12)</f>
        <v/>
      </c>
      <c r="J873" s="52" t="str">
        <f>IF(N(B$12)=0,"",IF(AND(COUNT(H865:H876)=2,COUNT(F865:F876)=2),cubic_spline(F864:F866,H864:H866,B$12),IF(AND(COUNT(H865:H876)=3,COUNT(F865:F876)=3),cubic_spline(F864:F867,H864:H867,B$12),IF(AND(COUNT(H865:H876)=4,COUNT(F865:F876)=4),cubic_spline(F864:F868,H864:H868,B$12),IF(AND(COUNT(H865:H876)=5,COUNT(F865:F876)=5),cubic_spline(F864:F869,H864:H869,B$12),IF(AND(COUNT(H865:H876)=6,COUNT(F865:F876)=6),cubic_spline(F864:F870,H864:H870,B$12),IF(AND(COUNT(H865:H876)=7,COUNT(F865:F876)=7),cubic_spline(F864:F871,H864:H871,B$12),IF(AND(COUNT(H865:H876)=8,COUNT(F865:F876)=8),cubic_spline(F864:F872,H864:H872,B$12),IF(AND(COUNT(H865:H876)=9,COUNT(F865:F876)=9),cubic_spline(F864:F873,H864:H873,B$12),IF(AND(COUNT(H865:H876)=10,COUNT(F865:F876)=10),cubic_spline(F864:F874,H864:H874,B$12),IF(AND(COUNT(H865:H876)=11,COUNT(F865:F876)=11),cubic_spline(F864:F875,H864:H875,B$12),IF(AND(COUNT(H865:H876)=12,COUNT(F865:F876)=12),cubic_spline(F864:F876,H864:H876,B$12),""))))))))))))</f>
        <v/>
      </c>
      <c r="K873" s="52" t="str">
        <f>IF(N(B$12)=0,"",IF(AND(COUNT(A865:A876)=2,COUNT(F865:F876)=2),cubic_spline(F864:F866,A864:A866,B$12),IF(AND(COUNT(A865:A876)=3,COUNT(F865:F876)=3),cubic_spline(F864:F867,A864:A867,B$12),IF(AND(COUNT(A865:A876)=4,COUNT(F865:F876)=4),cubic_spline(F864:F868,A864:A868,B$12),IF(AND(COUNT(A865:A876)=5,COUNT(F865:F876)=5),cubic_spline(F864:F869,A864:A869,B$12),IF(AND(COUNT(A865:A876)=6,COUNT(F865:F876)=6),cubic_spline(F864:F870,A864:A870,B$12),IF(AND(COUNT(A865:A876)=7,COUNT(F865:F876)=7),cubic_spline(F864:F871,A864:A871,B$12),IF(AND(COUNT(A865:A876)=8,COUNT(F865:F876)=8),cubic_spline(F864:F872,A864:A872,B$12),IF(AND(COUNT(A865:A876)=9,COUNT(F865:F876)=9),cubic_spline(F864:F873,A864:A873,B$12),IF(AND(COUNT(A865:A876)=10,COUNT(F865:F876)=10),cubic_spline(F864:F874,A864:A874,B$12),IF(AND(COUNT(A865:A876)=11,COUNT(F865:F876)=11),cubic_spline(F864:F875,A864:A875,B$12),IF(AND(COUNT(A865:A876)=12,COUNT(F865:F876)=12),cubic_spline(F864:F876,A864:A876,B$12),""))))))))))))</f>
        <v/>
      </c>
      <c r="L873" s="27" t="str">
        <f>IF(I873="","",B$11&amp;"-"&amp;B$12)</f>
        <v/>
      </c>
      <c r="M873" s="52" t="str">
        <f t="shared" si="330"/>
        <v/>
      </c>
    </row>
    <row r="874" spans="1:13" x14ac:dyDescent="0.35">
      <c r="A874" s="48"/>
      <c r="B874" s="48"/>
      <c r="C874" s="49"/>
      <c r="D874" s="50"/>
      <c r="E874" s="51" t="str">
        <f t="shared" si="329"/>
        <v/>
      </c>
      <c r="F874" s="71" t="str">
        <f t="shared" si="326"/>
        <v/>
      </c>
      <c r="G874" s="69" t="str">
        <f t="shared" si="328"/>
        <v/>
      </c>
      <c r="H874" s="70" t="str">
        <f t="shared" si="327"/>
        <v/>
      </c>
      <c r="I874" s="27" t="str">
        <f>IF(N(J874)=0,"",0&amp;"-"&amp;B$13)</f>
        <v/>
      </c>
      <c r="J874" s="52" t="str">
        <f>IF(N(B$13)=0,"",IF(AND(COUNT(H865:H876)=2,COUNT(F865:F876)=2),cubic_spline(F864:F866,H864:H866,B$13),IF(AND(COUNT(H865:H876)=3,COUNT(F865:F876)=3),cubic_spline(F864:F867,H864:H867,B$13),IF(AND(COUNT(H865:H876)=4,COUNT(F865:F876)=4),cubic_spline(F864:F868,H864:H868,B$13),IF(AND(COUNT(H865:H876)=5,COUNT(F865:F876)=5),cubic_spline(F864:F869,H864:H869,B$13),IF(AND(COUNT(H865:H876)=6,COUNT(F865:F876)=6),cubic_spline(F864:F870,H864:H870,B$13),IF(AND(COUNT(H865:H876)=7,COUNT(F865:F876)=7),cubic_spline(F864:F871,H864:H871,B$13),IF(AND(COUNT(H865:H876)=8,COUNT(F865:F876)=8),cubic_spline(F864:F872,H864:H872,B$13),IF(AND(COUNT(H865:H876)=9,COUNT(F865:F876)=9),cubic_spline(F864:F873,H864:H873,B$13),IF(AND(COUNT(H865:H876)=10,COUNT(F865:F876)=10),cubic_spline(F864:F874,H864:H874,B$13),IF(AND(COUNT(H865:H876)=11,COUNT(F865:F876)=11),cubic_spline(F864:F875,H864:H875,B$13),IF(AND(COUNT(H865:H876)=12,COUNT(F865:F876)=12),cubic_spline(F864:F876,H864:H876,B$13),""))))))))))))</f>
        <v/>
      </c>
      <c r="K874" s="52" t="str">
        <f>IF(N(B$13)=0,"",IF(AND(COUNT(A865:A876)=2,COUNT(F865:F876)=2),cubic_spline(F864:F866,A864:A866,B$13),IF(AND(COUNT(A865:A876)=3,COUNT(F865:F876)=3),cubic_spline(F864:F867,A864:A867,B$13),IF(AND(COUNT(A865:A876)=4,COUNT(F865:F876)=4),cubic_spline(F864:F868,A864:A868,B$13),IF(AND(COUNT(A865:A876)=5,COUNT(F865:F876)=5),cubic_spline(F864:F869,A864:A869,B$13),IF(AND(COUNT(A865:A876)=6,COUNT(F865:F876)=6),cubic_spline(F864:F870,A864:A870,B$13),IF(AND(COUNT(A865:A876)=7,COUNT(F865:F876)=7),cubic_spline(F864:F871,A864:A871,B$13),IF(AND(COUNT(A865:A876)=8,COUNT(F865:F876)=8),cubic_spline(F864:F872,A864:A872,B$13),IF(AND(COUNT(A865:A876)=9,COUNT(F865:F876)=9),cubic_spline(F864:F873,A864:A873,B$13),IF(AND(COUNT(A865:A876)=10,COUNT(F865:F876)=10),cubic_spline(F864:F874,A864:A874,B$13),IF(AND(COUNT(A865:A876)=11,COUNT(F865:F876)=11),cubic_spline(F864:F875,A864:A875,B$13),IF(AND(COUNT(A865:A876)=12,COUNT(F865:F876)=12),cubic_spline(F864:F876,A864:A876,B$13),""))))))))))))</f>
        <v/>
      </c>
      <c r="L874" s="27" t="str">
        <f>IF(I874="","",B$12&amp;"-"&amp;B$13)</f>
        <v/>
      </c>
      <c r="M874" s="52" t="str">
        <f t="shared" si="330"/>
        <v/>
      </c>
    </row>
    <row r="875" spans="1:13" x14ac:dyDescent="0.35">
      <c r="A875" s="48"/>
      <c r="B875" s="48"/>
      <c r="C875" s="49"/>
      <c r="D875" s="50"/>
      <c r="E875" s="51" t="str">
        <f t="shared" si="329"/>
        <v/>
      </c>
      <c r="F875" s="71" t="str">
        <f t="shared" si="326"/>
        <v/>
      </c>
      <c r="G875" s="69" t="str">
        <f t="shared" si="328"/>
        <v/>
      </c>
      <c r="H875" s="70" t="str">
        <f t="shared" si="327"/>
        <v/>
      </c>
      <c r="I875" s="27" t="str">
        <f>IF(N(J875)=0,"",0&amp;"-"&amp;B$14)</f>
        <v/>
      </c>
      <c r="J875" s="52" t="str">
        <f>IF(N(B$14)=0,"",IF(AND(COUNT(H865:H876)=2,COUNT(F865:F876)=2),cubic_spline(F864:F866,H864:H866,B$14),IF(AND(COUNT(H865:H876)=3,COUNT(F865:F876)=3),cubic_spline(F864:F867,H864:H867,B$14),IF(AND(COUNT(H865:H876)=4,COUNT(F865:F876)=4),cubic_spline(F864:F868,H864:H868,B$14),IF(AND(COUNT(H865:H876)=5,COUNT(F865:F876)=5),cubic_spline(F864:F869,H864:H869,B$14),IF(AND(COUNT(H865:H876)=6,COUNT(F865:F876)=6),cubic_spline(F864:F870,H864:H870,B$14),IF(AND(COUNT(H865:H876)=7,COUNT(F865:F876)=7),cubic_spline(F864:F871,H864:H871,B$14),IF(AND(COUNT(H865:H876)=8,COUNT(F865:F876)=8),cubic_spline(F864:F872,H864:H872,B$14),IF(AND(COUNT(H865:H876)=9,COUNT(F865:F876)=9),cubic_spline(F864:F873,H864:H873,B$14),IF(AND(COUNT(H865:H876)=10,COUNT(F865:F876)=10),cubic_spline(F864:F874,H864:H874,B$14),IF(AND(COUNT(H865:H876)=11,COUNT(F865:F876)=11),cubic_spline(F864:F875,H864:H875,B$14),IF(AND(COUNT(H865:H876)=12,COUNT(F865:F876)=12),cubic_spline(F864:F876,H864:H876,B$14),""))))))))))))</f>
        <v/>
      </c>
      <c r="K875" s="52" t="str">
        <f>IF(N(B$14)=0,"",IF(AND(COUNT(A865:A876)=2,COUNT(F865:F876)=2),cubic_spline(F864:F866,A864:A866,B$14),IF(AND(COUNT(A865:A876)=3,COUNT(F865:F876)=3),cubic_spline(F864:F867,A864:A867,B$14),IF(AND(COUNT(A865:A876)=4,COUNT(F865:F876)=4),cubic_spline(F864:F868,A864:A868,B$14),IF(AND(COUNT(A865:A876)=5,COUNT(F865:F876)=5),cubic_spline(F864:F869,A864:A869,B$14),IF(AND(COUNT(A865:A876)=6,COUNT(F865:F876)=6),cubic_spline(F864:F870,A864:A870,B$14),IF(AND(COUNT(A865:A876)=7,COUNT(F865:F876)=7),cubic_spline(F864:F871,A864:A871,B$14),IF(AND(COUNT(A865:A876)=8,COUNT(F865:F876)=8),cubic_spline(F864:F872,A864:A872,B$14),IF(AND(COUNT(A865:A876)=9,COUNT(F865:F876)=9),cubic_spline(F864:F873,A864:A873,B$14),IF(AND(COUNT(A865:A876)=10,COUNT(F865:F876)=10),cubic_spline(F864:F874,A864:A874,B$14),IF(AND(COUNT(A865:A876)=11,COUNT(F865:F876)=11),cubic_spline(F864:F875,A864:A875,B$14),IF(AND(COUNT(A865:A876)=12,COUNT(F865:F876)=12),cubic_spline(F864:F876,A864:A876,B$14),""))))))))))))</f>
        <v/>
      </c>
      <c r="L875" s="27" t="str">
        <f>IF(I875="","",B$13&amp;"-"&amp;B$14)</f>
        <v/>
      </c>
      <c r="M875" s="52" t="str">
        <f t="shared" si="330"/>
        <v/>
      </c>
    </row>
    <row r="876" spans="1:13" x14ac:dyDescent="0.35">
      <c r="A876" s="48"/>
      <c r="B876" s="48"/>
      <c r="C876" s="49"/>
      <c r="D876" s="50"/>
      <c r="E876" s="51" t="str">
        <f t="shared" si="329"/>
        <v/>
      </c>
      <c r="F876" s="71" t="str">
        <f t="shared" si="326"/>
        <v/>
      </c>
      <c r="G876" s="69" t="str">
        <f t="shared" si="328"/>
        <v/>
      </c>
      <c r="H876" s="70" t="str">
        <f t="shared" si="327"/>
        <v/>
      </c>
      <c r="I876" s="27" t="str">
        <f>IF(N(J876)=0,"",0&amp;"-"&amp;B$15)</f>
        <v/>
      </c>
      <c r="J876" s="52" t="str">
        <f>IF(N(B$15)=0,"",IF(AND(COUNT(H865:H876)=2,COUNT(F865:F876)=2),cubic_spline(F864:F866,H864:H866,B$15),IF(AND(COUNT(H865:H876)=3,COUNT(F865:F876)=3),cubic_spline(F864:F867,H864:H867,B$15),IF(AND(COUNT(H865:H876)=4,COUNT(F865:F876)=4),cubic_spline(F864:F868,H864:H868,B$15),IF(AND(COUNT(H865:H876)=5,COUNT(F865:F876)=5),cubic_spline(F864:F869,H864:H869,B$15),IF(AND(COUNT(H865:H876)=6,COUNT(F865:F876)=6),cubic_spline(F864:F870,H864:H870,B$15),IF(AND(COUNT(H865:H876)=7,COUNT(F865:F876)=7),cubic_spline(F864:F871,H864:H871,B$15),IF(AND(COUNT(H865:H876)=8,COUNT(F865:F876)=8),cubic_spline(F864:F872,H864:H872,B$15),IF(AND(COUNT(H865:H876)=9,COUNT(F865:F876)=9),cubic_spline(F864:F873,H864:H873,B$15),IF(AND(COUNT(H865:H876)=10,COUNT(F865:F876)=10),cubic_spline(F864:F874,H864:H874,B$15),IF(AND(COUNT(H865:H876)=11,COUNT(F865:F876)=11),cubic_spline(F864:F875,H864:H875,B$15),IF(AND(COUNT(H865:H876)=12,COUNT(F865:F876)=12),cubic_spline(F864:F876,H864:H876,B$15),""))))))))))))</f>
        <v/>
      </c>
      <c r="K876" s="52" t="str">
        <f>IF(N(B$15)=0,"",IF(AND(COUNT(A865:A876)=2,COUNT(F865:F876)=2),cubic_spline(F864:F866,A864:A866,B$15),IF(AND(COUNT(A865:A876)=3,COUNT(F865:F876)=3),cubic_spline(F864:F867,A864:A867,B$15),IF(AND(COUNT(A865:A876)=4,COUNT(F865:F876)=4),cubic_spline(F864:F868,A864:A868,B$15),IF(AND(COUNT(A865:A876)=5,COUNT(F865:F876)=5),cubic_spline(F864:F869,A864:A869,B$15),IF(AND(COUNT(A865:A876)=6,COUNT(F865:F876)=6),cubic_spline(F864:F870,A864:A870,B$15),IF(AND(COUNT(A865:A876)=7,COUNT(F865:F876)=7),cubic_spline(F864:F871,A864:A871,B$15),IF(AND(COUNT(A865:A876)=8,COUNT(F865:F876)=8),cubic_spline(F864:F872,A864:A872,B$15),IF(AND(COUNT(A865:A876)=9,COUNT(F865:F876)=9),cubic_spline(F864:F873,A864:A873,B$15),IF(AND(COUNT(A865:A876)=10,COUNT(F865:F876)=10),cubic_spline(F864:F874,A864:A874,B$15),IF(AND(COUNT(A865:A876)=11,COUNT(F865:F876)=11),cubic_spline(F864:F875,A864:A875,B$15),IF(AND(COUNT(A865:A876)=12,COUNT(F865:F876)=12),cubic_spline(F864:F876,A864:A876,B$15),""))))))))))))</f>
        <v/>
      </c>
      <c r="L876" s="27" t="str">
        <f>IF(I876="","",B$14&amp;"-"&amp;B$15)</f>
        <v/>
      </c>
      <c r="M876" s="52" t="str">
        <f t="shared" si="330"/>
        <v/>
      </c>
    </row>
    <row r="877" spans="1:13" ht="5.15" customHeight="1" x14ac:dyDescent="0.35">
      <c r="A877" s="47"/>
      <c r="B877" s="47"/>
      <c r="C877" s="47"/>
      <c r="D877" s="53"/>
      <c r="E877" s="54"/>
      <c r="F877" s="55"/>
      <c r="G877" s="72"/>
      <c r="H877" s="73"/>
      <c r="I877" s="47"/>
      <c r="J877" s="57"/>
      <c r="K877" s="57"/>
      <c r="L877" s="55"/>
      <c r="M877" s="57"/>
    </row>
    <row r="878" spans="1:13" x14ac:dyDescent="0.35">
      <c r="A878" s="48"/>
      <c r="B878" s="48"/>
      <c r="C878" s="49"/>
      <c r="D878" s="50"/>
      <c r="E878" s="51" t="str">
        <f>IF(N(C878)=0,"",C878/PI()/($D$1/2)^2/$D$2*10000)</f>
        <v/>
      </c>
      <c r="F878" s="68" t="str">
        <f t="shared" ref="F878:F889" si="331">IF(N(E878)=0,"",(N(E878)+N(F877)))</f>
        <v/>
      </c>
      <c r="G878" s="69" t="str">
        <f>IF(OR(N(D878)=0,N(E878)=0),"",(E878*D878)/1000)</f>
        <v/>
      </c>
      <c r="H878" s="70" t="str">
        <f t="shared" ref="H878:H889" si="332">IF(N(G878)=0,"",(N(G878)+N(H877)))</f>
        <v/>
      </c>
      <c r="I878" s="27" t="str">
        <f>IF(N(J878)=0,"",0&amp;"-"&amp;B$4)</f>
        <v/>
      </c>
      <c r="J878" s="52" t="str">
        <f>IF(N(B$4)=0,"",IF(AND(COUNT(H878:H889)=2,COUNT(F878:F889)=2),cubic_spline(F877:F879,H877:H879,B$4),IF(AND(COUNT(H878:H889)=3,COUNT(F878:F889)=3),cubic_spline(F877:F880,H877:H880,B$4),IF(AND(COUNT(H878:H889)=4,COUNT(F878:F889)=4),cubic_spline(F877:F881,H877:H881,B$4),IF(AND(COUNT(H878:H889)=5,COUNT(F878:F889)=5),cubic_spline(F877:F882,H877:H882,B$4),IF(AND(COUNT(H878:H889)=6,COUNT(F878:F889)=6),cubic_spline(F877:F883,H877:H883,B$4),IF(AND(COUNT(H878:H889)=7,COUNT(F878:F889)=7),cubic_spline(F877:F884,H877:H884,B$4),IF(AND(COUNT(H878:H889)=8,COUNT(F878:F889)=8),cubic_spline(F877:F885,H877:H885,B$4),IF(AND(COUNT(H878:H889)=9,COUNT(F878:F889)=9),cubic_spline(F877:F886,H877:H886,B$4),IF(AND(COUNT(H878:H889)=10,COUNT(F878:F889)=10),cubic_spline(F877:F887,H877:H887,B$4),IF(AND(COUNT(H878:H889)=11,COUNT(F878:F889)=11),cubic_spline(F877:F888,H877:H888,B$4),IF(AND(COUNT(H878:H889)=12,COUNT(F878:F889)=12),cubic_spline(F877:F889,H877:H889,B$4),""))))))))))))</f>
        <v/>
      </c>
      <c r="K878" s="52" t="str">
        <f>IF(N(B$4)=0,"",IF(AND(COUNT(A878:A889)=2,COUNT(F878:F889)=2),cubic_spline(F877:F879,A877:A879,B$4),IF(AND(COUNT(A878:A889)=3,COUNT(F878:F889)=3),cubic_spline(F877:F880,A877:A880,B$4),IF(AND(COUNT(A878:A889)=4,COUNT(F878:F889)=4),cubic_spline(F877:F881,A877:A881,B$4),IF(AND(COUNT(A878:A889)=5,COUNT(F878:F889)=5),cubic_spline(F877:F882,A877:A882,B$4),IF(AND(COUNT(A878:A889)=6,COUNT(F878:F889)=6),cubic_spline(F877:F883,A877:A883,B$4),IF(AND(COUNT(A878:A889)=7,COUNT(F878:F889)=7),cubic_spline(F877:F884,A877:A884,B$4),IF(AND(COUNT(A878:A889)=8,COUNT(F878:F889)=8),cubic_spline(F877:F885,A877:A885,B$4),IF(AND(COUNT(A878:A889)=9,COUNT(F878:F889)=9),cubic_spline(F877:F886,A877:A886,B$4),IF(AND(COUNT(A878:A889)=10,COUNT(F878:F889)=10),cubic_spline(F877:F887,A877:A887,B$4),IF(AND(COUNT(A878:A889)=11,COUNT(F878:F889)=11),cubic_spline(F877:F888,A877:A888,B$4),IF(AND(COUNT(A878:A889)=12,COUNT(F878:F889)=12),cubic_spline(F877:F889,A877:A889,B$4),""))))))))))))</f>
        <v/>
      </c>
      <c r="L878" s="27" t="str">
        <f>IF(I878="","",0&amp;"-"&amp;B$4)</f>
        <v/>
      </c>
      <c r="M878" s="52" t="str">
        <f>IF(N(J878)=0,"",J878-J877)</f>
        <v/>
      </c>
    </row>
    <row r="879" spans="1:13" x14ac:dyDescent="0.35">
      <c r="A879" s="48"/>
      <c r="B879" s="48"/>
      <c r="C879" s="49"/>
      <c r="D879" s="50"/>
      <c r="E879" s="51" t="str">
        <f>IF(N(C879)=0,"",C879/PI()/($D$1/2)^2/$D$2*10000)</f>
        <v/>
      </c>
      <c r="F879" s="68" t="str">
        <f t="shared" si="331"/>
        <v/>
      </c>
      <c r="G879" s="69" t="str">
        <f t="shared" ref="G879:G889" si="333">IF(OR(N(D879)=0,N(E879)=0),"",(E879*D879)/1000)</f>
        <v/>
      </c>
      <c r="H879" s="70" t="str">
        <f t="shared" si="332"/>
        <v/>
      </c>
      <c r="I879" s="27" t="str">
        <f>IF(N(J879)=0,"",0&amp;"-"&amp;B$5)</f>
        <v/>
      </c>
      <c r="J879" s="52" t="str">
        <f>IF(N(B$5)=0,"",IF(AND(COUNT(H878:H889)=2,COUNT(F878:F889)=2),cubic_spline(F877:F879,H877:H879,B$5),IF(AND(COUNT(H878:H889)=3,COUNT(F878:F889)=3),cubic_spline(F877:F880,H877:H880,B$5),IF(AND(COUNT(H878:H889)=4,COUNT(F878:F889)=4),cubic_spline(F877:F881,H877:H881,B$5),IF(AND(COUNT(H878:H889)=5,COUNT(F878:F889)=5),cubic_spline(F877:F882,H877:H882,B$5),IF(AND(COUNT(H878:H889)=6,COUNT(F878:F889)=6),cubic_spline(F877:F883,H877:H883,B$5),IF(AND(COUNT(H878:H889)=7,COUNT(F878:F889)=7),cubic_spline(F877:F884,H877:H884,B$5),IF(AND(COUNT(H878:H889)=8,COUNT(F878:F889)=8),cubic_spline(F877:F885,H877:H885,B$5),IF(AND(COUNT(H878:H889)=9,COUNT(F878:F889)=9),cubic_spline(F877:F886,H877:H886,B$5),IF(AND(COUNT(H878:H889)=10,COUNT(F878:F889)=10),cubic_spline(F877:F887,H877:H887,B$5),IF(AND(COUNT(H878:H889)=11,COUNT(F878:F889)=11),cubic_spline(F877:F888,H877:H888,B$5),IF(AND(COUNT(H878:H889)=12,COUNT(F878:F889)=12),cubic_spline(F877:F889,H877:H889,B$5),""))))))))))))</f>
        <v/>
      </c>
      <c r="K879" s="52" t="str">
        <f>IF(N(B$5)=0,"",IF(AND(COUNT(A878:A889)=2,COUNT(F878:F889)=2),cubic_spline(F877:F879,A877:A879,B$5),IF(AND(COUNT(A878:A889)=3,COUNT(F878:F889)=3),cubic_spline(F877:F880,A877:A880,B$5),IF(AND(COUNT(A878:A889)=4,COUNT(F878:F889)=4),cubic_spline(F877:F881,A877:A881,B$5),IF(AND(COUNT(A878:A889)=5,COUNT(F878:F889)=5),cubic_spline(F877:F882,A877:A882,B$5),IF(AND(COUNT(A878:A889)=6,COUNT(F878:F889)=6),cubic_spline(F877:F883,A877:A883,B$5),IF(AND(COUNT(A878:A889)=7,COUNT(F878:F889)=7),cubic_spline(F877:F884,A877:A884,B$5),IF(AND(COUNT(A878:A889)=8,COUNT(F878:F889)=8),cubic_spline(F877:F885,A877:A885,B$5),IF(AND(COUNT(A878:A889)=9,COUNT(F878:F889)=9),cubic_spline(F877:F886,A877:A886,B$5),IF(AND(COUNT(A878:A889)=10,COUNT(F878:F889)=10),cubic_spline(F877:F887,A877:A887,B$5),IF(AND(COUNT(A878:A889)=11,COUNT(F878:F889)=11),cubic_spline(F877:F888,A877:A888,B$5),IF(AND(COUNT(A878:A889)=12,COUNT(F878:F889)=12),cubic_spline(F877:F889,A877:A889,B$5),""))))))))))))</f>
        <v/>
      </c>
      <c r="L879" s="27" t="str">
        <f>IF(I879="","",B$4&amp;"-"&amp;B$5)</f>
        <v/>
      </c>
      <c r="M879" s="52" t="str">
        <f>IF(N(J879)=0,"",J879-J878)</f>
        <v/>
      </c>
    </row>
    <row r="880" spans="1:13" x14ac:dyDescent="0.35">
      <c r="A880" s="48"/>
      <c r="B880" s="48"/>
      <c r="C880" s="49"/>
      <c r="D880" s="50"/>
      <c r="E880" s="51" t="str">
        <f>IF(N(C880)=0,"",C880/PI()/($D$1/2)^2/$D$2*10000)</f>
        <v/>
      </c>
      <c r="F880" s="68" t="str">
        <f t="shared" si="331"/>
        <v/>
      </c>
      <c r="G880" s="69" t="str">
        <f t="shared" si="333"/>
        <v/>
      </c>
      <c r="H880" s="70" t="str">
        <f t="shared" si="332"/>
        <v/>
      </c>
      <c r="I880" s="27" t="str">
        <f>IF(N(J880)=0,"",0&amp;"-"&amp;B$6)</f>
        <v/>
      </c>
      <c r="J880" s="52" t="str">
        <f>IF(N(B$6)=0,"",IF(AND(COUNT(H878:H889)=2,COUNT(F878:F889)=2),cubic_spline(F877:F879,H877:H879,B$6),IF(AND(COUNT(H878:H889)=3,COUNT(F878:F889)=3),cubic_spline(F877:F880,H877:H880,B$6),IF(AND(COUNT(H878:H889)=4,COUNT(F878:F889)=4),cubic_spline(F877:F881,H877:H881,B$6),IF(AND(COUNT(H878:H889)=5,COUNT(F878:F889)=5),cubic_spline(F877:F882,H877:H882,B$6),IF(AND(COUNT(H878:H889)=6,COUNT(F878:F889)=6),cubic_spline(F877:F883,H877:H883,B$6),IF(AND(COUNT(H878:H889)=7,COUNT(F878:F889)=7),cubic_spline(F877:F884,H877:H884,B$6),IF(AND(COUNT(H878:H889)=8,COUNT(F878:F889)=8),cubic_spline(F877:F885,H877:H885,B$6),IF(AND(COUNT(H878:H889)=9,COUNT(F878:F889)=9),cubic_spline(F877:F886,H877:H886,B$6),IF(AND(COUNT(H878:H889)=10,COUNT(F878:F889)=10),cubic_spline(F877:F887,H877:H887,B$6),IF(AND(COUNT(H878:H889)=11,COUNT(F878:F889)=11),cubic_spline(F877:F888,H877:H888,B$6),IF(AND(COUNT(H878:H889)=12,COUNT(F878:F889)=12),cubic_spline(F877:F889,H877:H889,B$6),""))))))))))))</f>
        <v/>
      </c>
      <c r="K880" s="52" t="str">
        <f>IF(N(B$6)=0,"",IF(AND(COUNT(A878:A889)=2,COUNT(F878:F889)=2),cubic_spline(F877:F879,A877:A879,B$6),IF(AND(COUNT(A878:A889)=3,COUNT(F878:F889)=3),cubic_spline(F877:F880,A877:A880,B$6),IF(AND(COUNT(A878:A889)=4,COUNT(F878:F889)=4),cubic_spline(F877:F881,A877:A881,B$6),IF(AND(COUNT(A878:A889)=5,COUNT(F878:F889)=5),cubic_spline(F877:F882,A877:A882,B$6),IF(AND(COUNT(A878:A889)=6,COUNT(F878:F889)=6),cubic_spline(F877:F883,A877:A883,B$6),IF(AND(COUNT(A878:A889)=7,COUNT(F878:F889)=7),cubic_spline(F877:F884,A877:A884,B$6),IF(AND(COUNT(A878:A889)=8,COUNT(F878:F889)=8),cubic_spline(F877:F885,A877:A885,B$6),IF(AND(COUNT(A878:A889)=9,COUNT(F878:F889)=9),cubic_spline(F877:F886,A877:A886,B$6),IF(AND(COUNT(A878:A889)=10,COUNT(F878:F889)=10),cubic_spline(F877:F887,A877:A887,B$6),IF(AND(COUNT(A878:A889)=11,COUNT(F878:F889)=11),cubic_spline(F877:F888,A877:A888,B$6),IF(AND(COUNT(A878:A889)=12,COUNT(F878:F889)=12),cubic_spline(F877:F889,A877:A889,B$6),""))))))))))))</f>
        <v/>
      </c>
      <c r="L880" s="27" t="str">
        <f>IF(I880="","",B$5&amp;"-"&amp;B$6)</f>
        <v/>
      </c>
      <c r="M880" s="52" t="str">
        <f>IF(N(J880)=0,"",J880-J879)</f>
        <v/>
      </c>
    </row>
    <row r="881" spans="1:13" x14ac:dyDescent="0.35">
      <c r="A881" s="48"/>
      <c r="B881" s="48"/>
      <c r="C881" s="49"/>
      <c r="D881" s="50"/>
      <c r="E881" s="51" t="str">
        <f>IF(N(C881)=0,"",C881/PI()/($D$1/2)^2/$D$2*10000)</f>
        <v/>
      </c>
      <c r="F881" s="68" t="str">
        <f t="shared" si="331"/>
        <v/>
      </c>
      <c r="G881" s="69" t="str">
        <f t="shared" si="333"/>
        <v/>
      </c>
      <c r="H881" s="70" t="str">
        <f t="shared" si="332"/>
        <v/>
      </c>
      <c r="I881" s="27" t="str">
        <f>IF(N(J881)=0,"",0&amp;"-"&amp;B$7)</f>
        <v/>
      </c>
      <c r="J881" s="52" t="str">
        <f>IF(N(B$7)=0,"",IF(AND(COUNT(H878:H889)=2,COUNT(F878:F889)=2),cubic_spline(F877:F879,H877:H879,B$7),IF(AND(COUNT(H878:H889)=3,COUNT(F878:F889)=3),cubic_spline(F877:F880,H877:H880,B$7),IF(AND(COUNT(H878:H889)=4,COUNT(F878:F889)=4),cubic_spline(F877:F881,H877:H881,B$7),IF(AND(COUNT(H878:H889)=5,COUNT(F878:F889)=5),cubic_spline(F877:F882,H877:H882,B$7),IF(AND(COUNT(H878:H889)=6,COUNT(F878:F889)=6),cubic_spline(F877:F883,H877:H883,B$7),IF(AND(COUNT(H878:H889)=7,COUNT(F878:F889)=7),cubic_spline(F877:F884,H877:H884,B$7),IF(AND(COUNT(H878:H889)=8,COUNT(F878:F889)=8),cubic_spline(F877:F885,H877:H885,B$7),IF(AND(COUNT(H878:H889)=9,COUNT(F878:F889)=9),cubic_spline(F877:F886,H877:H886,B$7),IF(AND(COUNT(H878:H889)=10,COUNT(F878:F889)=10),cubic_spline(F877:F887,H877:H887,B$7),IF(AND(COUNT(H878:H889)=11,COUNT(F878:F889)=11),cubic_spline(F877:F888,H877:H888,B$7),IF(AND(COUNT(H878:H889)=12,COUNT(F878:F889)=12),cubic_spline(F877:F889,H877:H889,B$7),""))))))))))))</f>
        <v/>
      </c>
      <c r="K881" s="52" t="str">
        <f>IF(N(B$7)=0,"",IF(AND(COUNT(A878:A889)=2,COUNT(F878:F889)=2),cubic_spline(F877:F879,A877:A879,B$7),IF(AND(COUNT(A878:A889)=3,COUNT(F878:F889)=3),cubic_spline(F877:F880,A877:A880,B$7),IF(AND(COUNT(A878:A889)=4,COUNT(F878:F889)=4),cubic_spline(F877:F881,A877:A881,B$7),IF(AND(COUNT(A878:A889)=5,COUNT(F878:F889)=5),cubic_spline(F877:F882,A877:A882,B$7),IF(AND(COUNT(A878:A889)=6,COUNT(F878:F889)=6),cubic_spline(F877:F883,A877:A883,B$7),IF(AND(COUNT(A878:A889)=7,COUNT(F878:F889)=7),cubic_spline(F877:F884,A877:A884,B$7),IF(AND(COUNT(A878:A889)=8,COUNT(F878:F889)=8),cubic_spline(F877:F885,A877:A885,B$7),IF(AND(COUNT(A878:A889)=9,COUNT(F878:F889)=9),cubic_spline(F877:F886,A877:A886,B$7),IF(AND(COUNT(A878:A889)=10,COUNT(F878:F889)=10),cubic_spline(F877:F887,A877:A887,B$7),IF(AND(COUNT(A878:A889)=11,COUNT(F878:F889)=11),cubic_spline(F877:F888,A877:A888,B$7),IF(AND(COUNT(A878:A889)=12,COUNT(F878:F889)=12),cubic_spline(F877:F889,A877:A889,B$7),""))))))))))))</f>
        <v/>
      </c>
      <c r="L881" s="27" t="str">
        <f>IF(I881="","",B$6&amp;"-"&amp;B$7)</f>
        <v/>
      </c>
      <c r="M881" s="52" t="str">
        <f>IF(N(J881)=0,"",J881-J880)</f>
        <v/>
      </c>
    </row>
    <row r="882" spans="1:13" x14ac:dyDescent="0.35">
      <c r="A882" s="48"/>
      <c r="B882" s="48"/>
      <c r="C882" s="49"/>
      <c r="D882" s="50"/>
      <c r="E882" s="51" t="str">
        <f t="shared" ref="E882:E889" si="334">IF(N(C882)=0,"",C882/PI()/($D$1/2)^2/$D$2*10000)</f>
        <v/>
      </c>
      <c r="F882" s="71" t="str">
        <f t="shared" si="331"/>
        <v/>
      </c>
      <c r="G882" s="69" t="str">
        <f t="shared" si="333"/>
        <v/>
      </c>
      <c r="H882" s="70" t="str">
        <f t="shared" si="332"/>
        <v/>
      </c>
      <c r="I882" s="27" t="str">
        <f>IF(N(J882)=0,"",0&amp;"-"&amp;B$8)</f>
        <v/>
      </c>
      <c r="J882" s="52" t="str">
        <f>IF(N(B$8)=0,"",IF(AND(COUNT(H878:H889)=2,COUNT(F878:F889)=2),cubic_spline(F877:F879,H877:H879,B$8),IF(AND(COUNT(H878:H889)=3,COUNT(F878:F889)=3),cubic_spline(F877:F880,H877:H880,B$8),IF(AND(COUNT(H878:H889)=4,COUNT(F878:F889)=4),cubic_spline(F877:F881,H877:H881,B$8),IF(AND(COUNT(H878:H889)=5,COUNT(F878:F889)=5),cubic_spline(F877:F882,H877:H882,B$8),IF(AND(COUNT(H878:H889)=6,COUNT(F878:F889)=6),cubic_spline(F877:F883,H877:H883,B$8),IF(AND(COUNT(H878:H889)=7,COUNT(F878:F889)=7),cubic_spline(F877:F884,H877:H884,B$8),IF(AND(COUNT(H878:H889)=8,COUNT(F878:F889)=8),cubic_spline(F877:F885,H877:H885,B$8),IF(AND(COUNT(H878:H889)=9,COUNT(F878:F889)=9),cubic_spline(F877:F886,H877:H886,B$8),IF(AND(COUNT(H878:H889)=10,COUNT(F878:F889)=10),cubic_spline(F877:F887,H877:H887,B$8),IF(AND(COUNT(H878:H889)=11,COUNT(F878:F889)=11),cubic_spline(F877:F888,H877:H888,B$8),IF(AND(COUNT(H878:H889)=12,COUNT(F878:F889)=12),cubic_spline(F877:F889,H877:H889,B$8),""))))))))))))</f>
        <v/>
      </c>
      <c r="K882" s="52" t="str">
        <f>IF(N(B$8)=0,"",IF(AND(COUNT(A878:A889)=2,COUNT(F878:F889)=2),cubic_spline(F877:F879,A877:A879,B$8),IF(AND(COUNT(A878:A889)=3,COUNT(F878:F889)=3),cubic_spline(F877:F880,A877:A880,B$8),IF(AND(COUNT(A878:A889)=4,COUNT(F878:F889)=4),cubic_spline(F877:F881,A877:A881,B$8),IF(AND(COUNT(A878:A889)=5,COUNT(F878:F889)=5),cubic_spline(F877:F882,A877:A882,B$8),IF(AND(COUNT(A878:A889)=6,COUNT(F878:F889)=6),cubic_spline(F877:F883,A877:A883,B$8),IF(AND(COUNT(A878:A889)=7,COUNT(F878:F889)=7),cubic_spline(F877:F884,A877:A884,B$8),IF(AND(COUNT(A878:A889)=8,COUNT(F878:F889)=8),cubic_spline(F877:F885,A877:A885,B$8),IF(AND(COUNT(A878:A889)=9,COUNT(F878:F889)=9),cubic_spline(F877:F886,A877:A886,B$8),IF(AND(COUNT(A878:A889)=10,COUNT(F878:F889)=10),cubic_spline(F877:F887,A877:A887,B$8),IF(AND(COUNT(A878:A889)=11,COUNT(F878:F889)=11),cubic_spline(F877:F888,A877:A888,B$8),IF(AND(COUNT(A878:A889)=12,COUNT(F878:F889)=12),cubic_spline(F877:F889,A877:A889,B$8),""))))))))))))</f>
        <v/>
      </c>
      <c r="L882" s="27" t="str">
        <f>IF(I882="","",B$7&amp;"-"&amp;B$8)</f>
        <v/>
      </c>
      <c r="M882" s="52" t="str">
        <f>IF(N(J882)=0,"",J882-J881)</f>
        <v/>
      </c>
    </row>
    <row r="883" spans="1:13" x14ac:dyDescent="0.35">
      <c r="A883" s="48"/>
      <c r="B883" s="48"/>
      <c r="C883" s="49"/>
      <c r="D883" s="50"/>
      <c r="E883" s="51" t="str">
        <f t="shared" si="334"/>
        <v/>
      </c>
      <c r="F883" s="71" t="str">
        <f t="shared" si="331"/>
        <v/>
      </c>
      <c r="G883" s="69" t="str">
        <f t="shared" si="333"/>
        <v/>
      </c>
      <c r="H883" s="70" t="str">
        <f t="shared" si="332"/>
        <v/>
      </c>
      <c r="I883" s="27" t="str">
        <f>IF(N(J883)=0,"",0&amp;"-"&amp;B$9)</f>
        <v/>
      </c>
      <c r="J883" s="52" t="str">
        <f>IF(N(B$9)=0,"",IF(AND(COUNT(H878:H889)=2,COUNT(F878:F889)=2),cubic_spline(F877:F879,H877:H879,B$9),IF(AND(COUNT(H878:H889)=3,COUNT(F878:F889)=3),cubic_spline(F877:F880,H877:H880,B$9),IF(AND(COUNT(H878:H889)=4,COUNT(F878:F889)=4),cubic_spline(F877:F881,H877:H881,B$9),IF(AND(COUNT(H878:H889)=5,COUNT(F878:F889)=5),cubic_spline(F877:F882,H877:H882,B$9),IF(AND(COUNT(H878:H889)=6,COUNT(F878:F889)=6),cubic_spline(F877:F883,H877:H883,B$9),IF(AND(COUNT(H878:H889)=7,COUNT(F878:F889)=7),cubic_spline(F877:F884,H877:H884,B$9),IF(AND(COUNT(H878:H889)=8,COUNT(F878:F889)=8),cubic_spline(F877:F885,H877:H885,B$9),IF(AND(COUNT(H878:H889)=9,COUNT(F878:F889)=9),cubic_spline(F877:F886,H877:H886,B$9),IF(AND(COUNT(H878:H889)=10,COUNT(F878:F889)=10),cubic_spline(F877:F887,H877:H887,B$9),IF(AND(COUNT(H878:H889)=11,COUNT(F878:F889)=11),cubic_spline(F877:F888,H877:H888,B$9),IF(AND(COUNT(H878:H889)=12,COUNT(F878:F889)=12),cubic_spline(F877:F889,H877:H889,B$9),""))))))))))))</f>
        <v/>
      </c>
      <c r="K883" s="52" t="str">
        <f>IF(N(B$9)=0,"",IF(AND(COUNT(A878:A889)=2,COUNT(F878:F889)=2),cubic_spline(F877:F879,A877:A879,B$9),IF(AND(COUNT(A878:A889)=3,COUNT(F878:F889)=3),cubic_spline(F877:F880,A877:A880,B$9),IF(AND(COUNT(A878:A889)=4,COUNT(F878:F889)=4),cubic_spline(F877:F881,A877:A881,B$9),IF(AND(COUNT(A878:A889)=5,COUNT(F878:F889)=5),cubic_spline(F877:F882,A877:A882,B$9),IF(AND(COUNT(A878:A889)=6,COUNT(F878:F889)=6),cubic_spline(F877:F883,A877:A883,B$9),IF(AND(COUNT(A878:A889)=7,COUNT(F878:F889)=7),cubic_spline(F877:F884,A877:A884,B$9),IF(AND(COUNT(A878:A889)=8,COUNT(F878:F889)=8),cubic_spline(F877:F885,A877:A885,B$9),IF(AND(COUNT(A878:A889)=9,COUNT(F878:F889)=9),cubic_spline(F877:F886,A877:A886,B$9),IF(AND(COUNT(A878:A889)=10,COUNT(F878:F889)=10),cubic_spline(F877:F887,A877:A887,B$9),IF(AND(COUNT(A878:A889)=11,COUNT(F878:F889)=11),cubic_spline(F877:F888,A877:A888,B$9),IF(AND(COUNT(A878:A889)=12,COUNT(F878:F889)=12),cubic_spline(F877:F889,A877:A889,B$9),""))))))))))))</f>
        <v/>
      </c>
      <c r="L883" s="27" t="str">
        <f>IF(I883="","",B$8&amp;"-"&amp;B$9)</f>
        <v/>
      </c>
      <c r="M883" s="52" t="str">
        <f t="shared" ref="M883:M889" si="335">IF(N(J883)=0,"",J883-J882)</f>
        <v/>
      </c>
    </row>
    <row r="884" spans="1:13" x14ac:dyDescent="0.35">
      <c r="A884" s="48"/>
      <c r="B884" s="48"/>
      <c r="C884" s="49"/>
      <c r="D884" s="50"/>
      <c r="E884" s="51" t="str">
        <f t="shared" si="334"/>
        <v/>
      </c>
      <c r="F884" s="71" t="str">
        <f t="shared" si="331"/>
        <v/>
      </c>
      <c r="G884" s="69" t="str">
        <f t="shared" si="333"/>
        <v/>
      </c>
      <c r="H884" s="70" t="str">
        <f t="shared" si="332"/>
        <v/>
      </c>
      <c r="I884" s="27" t="str">
        <f>IF(N(J884)=0,"",0&amp;"-"&amp;B$10)</f>
        <v/>
      </c>
      <c r="J884" s="52" t="str">
        <f>IF(N(B$10)=0,"",IF(AND(COUNT(H878:H889)=2,COUNT(F878:F889)=2),cubic_spline(F877:F879,H877:H879,B$10),IF(AND(COUNT(H878:H889)=3,COUNT(F878:F889)=3),cubic_spline(F877:F880,H877:H880,B$10),IF(AND(COUNT(H878:H889)=4,COUNT(F878:F889)=4),cubic_spline(F877:F881,H877:H881,B$10),IF(AND(COUNT(H878:H889)=5,COUNT(F878:F889)=5),cubic_spline(F877:F882,H877:H882,B$10),IF(AND(COUNT(H878:H889)=6,COUNT(F878:F889)=6),cubic_spline(F877:F883,H877:H883,B$10),IF(AND(COUNT(H878:H889)=7,COUNT(F878:F889)=7),cubic_spline(F877:F884,H877:H884,B$10),IF(AND(COUNT(H878:H889)=8,COUNT(F878:F889)=8),cubic_spline(F877:F885,H877:H885,B$10),IF(AND(COUNT(H878:H889)=9,COUNT(F878:F889)=9),cubic_spline(F877:F886,H877:H886,B$10),IF(AND(COUNT(H878:H889)=10,COUNT(F878:F889)=10),cubic_spline(F877:F887,H877:H887,B$10),IF(AND(COUNT(H878:H889)=11,COUNT(F878:F889)=11),cubic_spline(F877:F888,H877:H888,B$10),IF(AND(COUNT(H878:H889)=12,COUNT(F878:F889)=12),cubic_spline(F877:F889,H877:H889,B$10),""))))))))))))</f>
        <v/>
      </c>
      <c r="K884" s="52" t="str">
        <f>IF(N(B$10)=0,"",IF(AND(COUNT(A878:A889)=2,COUNT(F878:F889)=2),cubic_spline(F877:F879,A877:A879,B$10),IF(AND(COUNT(A878:A889)=3,COUNT(F878:F889)=3),cubic_spline(F877:F880,A877:A880,B$10),IF(AND(COUNT(A878:A889)=4,COUNT(F878:F889)=4),cubic_spline(F877:F881,A877:A881,B$10),IF(AND(COUNT(A878:A889)=5,COUNT(F878:F889)=5),cubic_spline(F877:F882,A877:A882,B$10),IF(AND(COUNT(A878:A889)=6,COUNT(F878:F889)=6),cubic_spline(F877:F883,A877:A883,B$10),IF(AND(COUNT(A878:A889)=7,COUNT(F878:F889)=7),cubic_spline(F877:F884,A877:A884,B$10),IF(AND(COUNT(A878:A889)=8,COUNT(F878:F889)=8),cubic_spline(F877:F885,A877:A885,B$10),IF(AND(COUNT(A878:A889)=9,COUNT(F878:F889)=9),cubic_spline(F877:F886,A877:A886,B$10),IF(AND(COUNT(A878:A889)=10,COUNT(F878:F889)=10),cubic_spline(F877:F887,A877:A887,B$10),IF(AND(COUNT(A878:A889)=11,COUNT(F878:F889)=11),cubic_spline(F877:F888,A877:A888,B$10),IF(AND(COUNT(A878:A889)=12,COUNT(F878:F889)=12),cubic_spline(F877:F889,A877:A889,B$10),""))))))))))))</f>
        <v/>
      </c>
      <c r="L884" s="27" t="str">
        <f>IF(I884="","",B$9&amp;"-"&amp;B$10)</f>
        <v/>
      </c>
      <c r="M884" s="52" t="str">
        <f t="shared" si="335"/>
        <v/>
      </c>
    </row>
    <row r="885" spans="1:13" x14ac:dyDescent="0.35">
      <c r="A885" s="48"/>
      <c r="B885" s="48"/>
      <c r="C885" s="49"/>
      <c r="D885" s="50"/>
      <c r="E885" s="51" t="str">
        <f t="shared" si="334"/>
        <v/>
      </c>
      <c r="F885" s="71" t="str">
        <f t="shared" si="331"/>
        <v/>
      </c>
      <c r="G885" s="69" t="str">
        <f t="shared" si="333"/>
        <v/>
      </c>
      <c r="H885" s="70" t="str">
        <f t="shared" si="332"/>
        <v/>
      </c>
      <c r="I885" s="27" t="str">
        <f>IF(N(J885)=0,"",0&amp;"-"&amp;B$11)</f>
        <v/>
      </c>
      <c r="J885" s="52" t="str">
        <f>IF(N(B$11)=0,"",IF(AND(COUNT(H878:H889)=2,COUNT(F878:F889)=2),cubic_spline(F877:F879,H877:H879,B$11),IF(AND(COUNT(H878:H889)=3,COUNT(F878:F889)=3),cubic_spline(F877:F880,H877:H880,B$11),IF(AND(COUNT(H878:H889)=4,COUNT(F878:F889)=4),cubic_spline(F877:F881,H877:H881,B$11),IF(AND(COUNT(H878:H889)=5,COUNT(F878:F889)=5),cubic_spline(F877:F882,H877:H882,B$11),IF(AND(COUNT(H878:H889)=6,COUNT(F878:F889)=6),cubic_spline(F877:F883,H877:H883,B$11),IF(AND(COUNT(H878:H889)=7,COUNT(F878:F889)=7),cubic_spline(F877:F884,H877:H884,B$11),IF(AND(COUNT(H878:H889)=8,COUNT(F878:F889)=8),cubic_spline(F877:F885,H877:H885,B$11),IF(AND(COUNT(H878:H889)=9,COUNT(F878:F889)=9),cubic_spline(F877:F886,H877:H886,B$11),IF(AND(COUNT(H878:H889)=10,COUNT(F878:F889)=10),cubic_spline(F877:F887,H877:H887,B$11),IF(AND(COUNT(H878:H889)=11,COUNT(F878:F889)=11),cubic_spline(F877:F888,H877:H888,B$11),IF(AND(COUNT(H878:H889)=12,COUNT(F878:F889)=12),cubic_spline(F877:F889,H877:H889,B$11),""))))))))))))</f>
        <v/>
      </c>
      <c r="K885" s="52" t="str">
        <f>IF(N(B$11)=0,"",IF(AND(COUNT(A878:A889)=2,COUNT(F878:F889)=2),cubic_spline(F877:F879,A877:A879,B$11),IF(AND(COUNT(A878:A889)=3,COUNT(F878:F889)=3),cubic_spline(F877:F880,A877:A880,B$11),IF(AND(COUNT(A878:A889)=4,COUNT(F878:F889)=4),cubic_spline(F877:F881,A877:A881,B$11),IF(AND(COUNT(A878:A889)=5,COUNT(F878:F889)=5),cubic_spline(F877:F882,A877:A882,B$11),IF(AND(COUNT(A878:A889)=6,COUNT(F878:F889)=6),cubic_spline(F877:F883,A877:A883,B$11),IF(AND(COUNT(A878:A889)=7,COUNT(F878:F889)=7),cubic_spline(F877:F884,A877:A884,B$11),IF(AND(COUNT(A878:A889)=8,COUNT(F878:F889)=8),cubic_spline(F877:F885,A877:A885,B$11),IF(AND(COUNT(A878:A889)=9,COUNT(F878:F889)=9),cubic_spline(F877:F886,A877:A886,B$11),IF(AND(COUNT(A878:A889)=10,COUNT(F878:F889)=10),cubic_spline(F877:F887,A877:A887,B$11),IF(AND(COUNT(A878:A889)=11,COUNT(F878:F889)=11),cubic_spline(F877:F888,A877:A888,B$11),IF(AND(COUNT(A878:A889)=12,COUNT(F878:F889)=12),cubic_spline(F877:F889,A877:A889,B$11),""))))))))))))</f>
        <v/>
      </c>
      <c r="L885" s="27" t="str">
        <f>IF(I885="","",B$10&amp;"-"&amp;B$11)</f>
        <v/>
      </c>
      <c r="M885" s="52" t="str">
        <f t="shared" si="335"/>
        <v/>
      </c>
    </row>
    <row r="886" spans="1:13" x14ac:dyDescent="0.35">
      <c r="A886" s="48"/>
      <c r="B886" s="48"/>
      <c r="C886" s="49"/>
      <c r="D886" s="50"/>
      <c r="E886" s="51" t="str">
        <f t="shared" si="334"/>
        <v/>
      </c>
      <c r="F886" s="71" t="str">
        <f t="shared" si="331"/>
        <v/>
      </c>
      <c r="G886" s="69" t="str">
        <f t="shared" si="333"/>
        <v/>
      </c>
      <c r="H886" s="70" t="str">
        <f t="shared" si="332"/>
        <v/>
      </c>
      <c r="I886" s="27" t="str">
        <f>IF(N(J886)=0,"",0&amp;"-"&amp;B$12)</f>
        <v/>
      </c>
      <c r="J886" s="52" t="str">
        <f>IF(N(B$12)=0,"",IF(AND(COUNT(H878:H889)=2,COUNT(F878:F889)=2),cubic_spline(F877:F879,H877:H879,B$12),IF(AND(COUNT(H878:H889)=3,COUNT(F878:F889)=3),cubic_spline(F877:F880,H877:H880,B$12),IF(AND(COUNT(H878:H889)=4,COUNT(F878:F889)=4),cubic_spline(F877:F881,H877:H881,B$12),IF(AND(COUNT(H878:H889)=5,COUNT(F878:F889)=5),cubic_spline(F877:F882,H877:H882,B$12),IF(AND(COUNT(H878:H889)=6,COUNT(F878:F889)=6),cubic_spline(F877:F883,H877:H883,B$12),IF(AND(COUNT(H878:H889)=7,COUNT(F878:F889)=7),cubic_spline(F877:F884,H877:H884,B$12),IF(AND(COUNT(H878:H889)=8,COUNT(F878:F889)=8),cubic_spline(F877:F885,H877:H885,B$12),IF(AND(COUNT(H878:H889)=9,COUNT(F878:F889)=9),cubic_spline(F877:F886,H877:H886,B$12),IF(AND(COUNT(H878:H889)=10,COUNT(F878:F889)=10),cubic_spline(F877:F887,H877:H887,B$12),IF(AND(COUNT(H878:H889)=11,COUNT(F878:F889)=11),cubic_spline(F877:F888,H877:H888,B$12),IF(AND(COUNT(H878:H889)=12,COUNT(F878:F889)=12),cubic_spline(F877:F889,H877:H889,B$12),""))))))))))))</f>
        <v/>
      </c>
      <c r="K886" s="52" t="str">
        <f>IF(N(B$12)=0,"",IF(AND(COUNT(A878:A889)=2,COUNT(F878:F889)=2),cubic_spline(F877:F879,A877:A879,B$12),IF(AND(COUNT(A878:A889)=3,COUNT(F878:F889)=3),cubic_spline(F877:F880,A877:A880,B$12),IF(AND(COUNT(A878:A889)=4,COUNT(F878:F889)=4),cubic_spline(F877:F881,A877:A881,B$12),IF(AND(COUNT(A878:A889)=5,COUNT(F878:F889)=5),cubic_spline(F877:F882,A877:A882,B$12),IF(AND(COUNT(A878:A889)=6,COUNT(F878:F889)=6),cubic_spline(F877:F883,A877:A883,B$12),IF(AND(COUNT(A878:A889)=7,COUNT(F878:F889)=7),cubic_spline(F877:F884,A877:A884,B$12),IF(AND(COUNT(A878:A889)=8,COUNT(F878:F889)=8),cubic_spline(F877:F885,A877:A885,B$12),IF(AND(COUNT(A878:A889)=9,COUNT(F878:F889)=9),cubic_spline(F877:F886,A877:A886,B$12),IF(AND(COUNT(A878:A889)=10,COUNT(F878:F889)=10),cubic_spline(F877:F887,A877:A887,B$12),IF(AND(COUNT(A878:A889)=11,COUNT(F878:F889)=11),cubic_spline(F877:F888,A877:A888,B$12),IF(AND(COUNT(A878:A889)=12,COUNT(F878:F889)=12),cubic_spline(F877:F889,A877:A889,B$12),""))))))))))))</f>
        <v/>
      </c>
      <c r="L886" s="27" t="str">
        <f>IF(I886="","",B$11&amp;"-"&amp;B$12)</f>
        <v/>
      </c>
      <c r="M886" s="52" t="str">
        <f t="shared" si="335"/>
        <v/>
      </c>
    </row>
    <row r="887" spans="1:13" x14ac:dyDescent="0.35">
      <c r="A887" s="48"/>
      <c r="B887" s="48"/>
      <c r="C887" s="49"/>
      <c r="D887" s="50"/>
      <c r="E887" s="51" t="str">
        <f t="shared" si="334"/>
        <v/>
      </c>
      <c r="F887" s="71" t="str">
        <f t="shared" si="331"/>
        <v/>
      </c>
      <c r="G887" s="69" t="str">
        <f t="shared" si="333"/>
        <v/>
      </c>
      <c r="H887" s="70" t="str">
        <f t="shared" si="332"/>
        <v/>
      </c>
      <c r="I887" s="27" t="str">
        <f>IF(N(J887)=0,"",0&amp;"-"&amp;B$13)</f>
        <v/>
      </c>
      <c r="J887" s="52" t="str">
        <f>IF(N(B$13)=0,"",IF(AND(COUNT(H878:H889)=2,COUNT(F878:F889)=2),cubic_spline(F877:F879,H877:H879,B$13),IF(AND(COUNT(H878:H889)=3,COUNT(F878:F889)=3),cubic_spline(F877:F880,H877:H880,B$13),IF(AND(COUNT(H878:H889)=4,COUNT(F878:F889)=4),cubic_spline(F877:F881,H877:H881,B$13),IF(AND(COUNT(H878:H889)=5,COUNT(F878:F889)=5),cubic_spline(F877:F882,H877:H882,B$13),IF(AND(COUNT(H878:H889)=6,COUNT(F878:F889)=6),cubic_spline(F877:F883,H877:H883,B$13),IF(AND(COUNT(H878:H889)=7,COUNT(F878:F889)=7),cubic_spline(F877:F884,H877:H884,B$13),IF(AND(COUNT(H878:H889)=8,COUNT(F878:F889)=8),cubic_spline(F877:F885,H877:H885,B$13),IF(AND(COUNT(H878:H889)=9,COUNT(F878:F889)=9),cubic_spline(F877:F886,H877:H886,B$13),IF(AND(COUNT(H878:H889)=10,COUNT(F878:F889)=10),cubic_spline(F877:F887,H877:H887,B$13),IF(AND(COUNT(H878:H889)=11,COUNT(F878:F889)=11),cubic_spline(F877:F888,H877:H888,B$13),IF(AND(COUNT(H878:H889)=12,COUNT(F878:F889)=12),cubic_spline(F877:F889,H877:H889,B$13),""))))))))))))</f>
        <v/>
      </c>
      <c r="K887" s="52" t="str">
        <f>IF(N(B$13)=0,"",IF(AND(COUNT(A878:A889)=2,COUNT(F878:F889)=2),cubic_spline(F877:F879,A877:A879,B$13),IF(AND(COUNT(A878:A889)=3,COUNT(F878:F889)=3),cubic_spline(F877:F880,A877:A880,B$13),IF(AND(COUNT(A878:A889)=4,COUNT(F878:F889)=4),cubic_spline(F877:F881,A877:A881,B$13),IF(AND(COUNT(A878:A889)=5,COUNT(F878:F889)=5),cubic_spline(F877:F882,A877:A882,B$13),IF(AND(COUNT(A878:A889)=6,COUNT(F878:F889)=6),cubic_spline(F877:F883,A877:A883,B$13),IF(AND(COUNT(A878:A889)=7,COUNT(F878:F889)=7),cubic_spline(F877:F884,A877:A884,B$13),IF(AND(COUNT(A878:A889)=8,COUNT(F878:F889)=8),cubic_spline(F877:F885,A877:A885,B$13),IF(AND(COUNT(A878:A889)=9,COUNT(F878:F889)=9),cubic_spline(F877:F886,A877:A886,B$13),IF(AND(COUNT(A878:A889)=10,COUNT(F878:F889)=10),cubic_spline(F877:F887,A877:A887,B$13),IF(AND(COUNT(A878:A889)=11,COUNT(F878:F889)=11),cubic_spline(F877:F888,A877:A888,B$13),IF(AND(COUNT(A878:A889)=12,COUNT(F878:F889)=12),cubic_spline(F877:F889,A877:A889,B$13),""))))))))))))</f>
        <v/>
      </c>
      <c r="L887" s="27" t="str">
        <f>IF(I887="","",B$12&amp;"-"&amp;B$13)</f>
        <v/>
      </c>
      <c r="M887" s="52" t="str">
        <f t="shared" si="335"/>
        <v/>
      </c>
    </row>
    <row r="888" spans="1:13" x14ac:dyDescent="0.35">
      <c r="A888" s="48"/>
      <c r="B888" s="48"/>
      <c r="C888" s="49"/>
      <c r="D888" s="50"/>
      <c r="E888" s="51" t="str">
        <f t="shared" si="334"/>
        <v/>
      </c>
      <c r="F888" s="71" t="str">
        <f t="shared" si="331"/>
        <v/>
      </c>
      <c r="G888" s="69" t="str">
        <f t="shared" si="333"/>
        <v/>
      </c>
      <c r="H888" s="70" t="str">
        <f t="shared" si="332"/>
        <v/>
      </c>
      <c r="I888" s="27" t="str">
        <f>IF(N(J888)=0,"",0&amp;"-"&amp;B$14)</f>
        <v/>
      </c>
      <c r="J888" s="52" t="str">
        <f>IF(N(B$14)=0,"",IF(AND(COUNT(H878:H889)=2,COUNT(F878:F889)=2),cubic_spline(F877:F879,H877:H879,B$14),IF(AND(COUNT(H878:H889)=3,COUNT(F878:F889)=3),cubic_spline(F877:F880,H877:H880,B$14),IF(AND(COUNT(H878:H889)=4,COUNT(F878:F889)=4),cubic_spline(F877:F881,H877:H881,B$14),IF(AND(COUNT(H878:H889)=5,COUNT(F878:F889)=5),cubic_spline(F877:F882,H877:H882,B$14),IF(AND(COUNT(H878:H889)=6,COUNT(F878:F889)=6),cubic_spline(F877:F883,H877:H883,B$14),IF(AND(COUNT(H878:H889)=7,COUNT(F878:F889)=7),cubic_spline(F877:F884,H877:H884,B$14),IF(AND(COUNT(H878:H889)=8,COUNT(F878:F889)=8),cubic_spline(F877:F885,H877:H885,B$14),IF(AND(COUNT(H878:H889)=9,COUNT(F878:F889)=9),cubic_spline(F877:F886,H877:H886,B$14),IF(AND(COUNT(H878:H889)=10,COUNT(F878:F889)=10),cubic_spline(F877:F887,H877:H887,B$14),IF(AND(COUNT(H878:H889)=11,COUNT(F878:F889)=11),cubic_spline(F877:F888,H877:H888,B$14),IF(AND(COUNT(H878:H889)=12,COUNT(F878:F889)=12),cubic_spline(F877:F889,H877:H889,B$14),""))))))))))))</f>
        <v/>
      </c>
      <c r="K888" s="52" t="str">
        <f>IF(N(B$14)=0,"",IF(AND(COUNT(A878:A889)=2,COUNT(F878:F889)=2),cubic_spline(F877:F879,A877:A879,B$14),IF(AND(COUNT(A878:A889)=3,COUNT(F878:F889)=3),cubic_spline(F877:F880,A877:A880,B$14),IF(AND(COUNT(A878:A889)=4,COUNT(F878:F889)=4),cubic_spline(F877:F881,A877:A881,B$14),IF(AND(COUNT(A878:A889)=5,COUNT(F878:F889)=5),cubic_spline(F877:F882,A877:A882,B$14),IF(AND(COUNT(A878:A889)=6,COUNT(F878:F889)=6),cubic_spline(F877:F883,A877:A883,B$14),IF(AND(COUNT(A878:A889)=7,COUNT(F878:F889)=7),cubic_spline(F877:F884,A877:A884,B$14),IF(AND(COUNT(A878:A889)=8,COUNT(F878:F889)=8),cubic_spline(F877:F885,A877:A885,B$14),IF(AND(COUNT(A878:A889)=9,COUNT(F878:F889)=9),cubic_spline(F877:F886,A877:A886,B$14),IF(AND(COUNT(A878:A889)=10,COUNT(F878:F889)=10),cubic_spline(F877:F887,A877:A887,B$14),IF(AND(COUNT(A878:A889)=11,COUNT(F878:F889)=11),cubic_spline(F877:F888,A877:A888,B$14),IF(AND(COUNT(A878:A889)=12,COUNT(F878:F889)=12),cubic_spline(F877:F889,A877:A889,B$14),""))))))))))))</f>
        <v/>
      </c>
      <c r="L888" s="27" t="str">
        <f>IF(I888="","",B$13&amp;"-"&amp;B$14)</f>
        <v/>
      </c>
      <c r="M888" s="52" t="str">
        <f t="shared" si="335"/>
        <v/>
      </c>
    </row>
    <row r="889" spans="1:13" x14ac:dyDescent="0.35">
      <c r="A889" s="48"/>
      <c r="B889" s="48"/>
      <c r="C889" s="49"/>
      <c r="D889" s="50"/>
      <c r="E889" s="51" t="str">
        <f t="shared" si="334"/>
        <v/>
      </c>
      <c r="F889" s="71" t="str">
        <f t="shared" si="331"/>
        <v/>
      </c>
      <c r="G889" s="69" t="str">
        <f t="shared" si="333"/>
        <v/>
      </c>
      <c r="H889" s="70" t="str">
        <f t="shared" si="332"/>
        <v/>
      </c>
      <c r="I889" s="27" t="str">
        <f>IF(N(J889)=0,"",0&amp;"-"&amp;B$15)</f>
        <v/>
      </c>
      <c r="J889" s="52" t="str">
        <f>IF(N(B$15)=0,"",IF(AND(COUNT(H878:H889)=2,COUNT(F878:F889)=2),cubic_spline(F877:F879,H877:H879,B$15),IF(AND(COUNT(H878:H889)=3,COUNT(F878:F889)=3),cubic_spline(F877:F880,H877:H880,B$15),IF(AND(COUNT(H878:H889)=4,COUNT(F878:F889)=4),cubic_spline(F877:F881,H877:H881,B$15),IF(AND(COUNT(H878:H889)=5,COUNT(F878:F889)=5),cubic_spline(F877:F882,H877:H882,B$15),IF(AND(COUNT(H878:H889)=6,COUNT(F878:F889)=6),cubic_spline(F877:F883,H877:H883,B$15),IF(AND(COUNT(H878:H889)=7,COUNT(F878:F889)=7),cubic_spline(F877:F884,H877:H884,B$15),IF(AND(COUNT(H878:H889)=8,COUNT(F878:F889)=8),cubic_spline(F877:F885,H877:H885,B$15),IF(AND(COUNT(H878:H889)=9,COUNT(F878:F889)=9),cubic_spline(F877:F886,H877:H886,B$15),IF(AND(COUNT(H878:H889)=10,COUNT(F878:F889)=10),cubic_spline(F877:F887,H877:H887,B$15),IF(AND(COUNT(H878:H889)=11,COUNT(F878:F889)=11),cubic_spline(F877:F888,H877:H888,B$15),IF(AND(COUNT(H878:H889)=12,COUNT(F878:F889)=12),cubic_spline(F877:F889,H877:H889,B$15),""))))))))))))</f>
        <v/>
      </c>
      <c r="K889" s="52" t="str">
        <f>IF(N(B$15)=0,"",IF(AND(COUNT(A878:A889)=2,COUNT(F878:F889)=2),cubic_spline(F877:F879,A877:A879,B$15),IF(AND(COUNT(A878:A889)=3,COUNT(F878:F889)=3),cubic_spline(F877:F880,A877:A880,B$15),IF(AND(COUNT(A878:A889)=4,COUNT(F878:F889)=4),cubic_spline(F877:F881,A877:A881,B$15),IF(AND(COUNT(A878:A889)=5,COUNT(F878:F889)=5),cubic_spline(F877:F882,A877:A882,B$15),IF(AND(COUNT(A878:A889)=6,COUNT(F878:F889)=6),cubic_spline(F877:F883,A877:A883,B$15),IF(AND(COUNT(A878:A889)=7,COUNT(F878:F889)=7),cubic_spline(F877:F884,A877:A884,B$15),IF(AND(COUNT(A878:A889)=8,COUNT(F878:F889)=8),cubic_spline(F877:F885,A877:A885,B$15),IF(AND(COUNT(A878:A889)=9,COUNT(F878:F889)=9),cubic_spline(F877:F886,A877:A886,B$15),IF(AND(COUNT(A878:A889)=10,COUNT(F878:F889)=10),cubic_spline(F877:F887,A877:A887,B$15),IF(AND(COUNT(A878:A889)=11,COUNT(F878:F889)=11),cubic_spline(F877:F888,A877:A888,B$15),IF(AND(COUNT(A878:A889)=12,COUNT(F878:F889)=12),cubic_spline(F877:F889,A877:A889,B$15),""))))))))))))</f>
        <v/>
      </c>
      <c r="L889" s="27" t="str">
        <f>IF(I889="","",B$14&amp;"-"&amp;B$15)</f>
        <v/>
      </c>
      <c r="M889" s="52" t="str">
        <f t="shared" si="335"/>
        <v/>
      </c>
    </row>
    <row r="890" spans="1:13" ht="5.15" customHeight="1" x14ac:dyDescent="0.35">
      <c r="A890" s="47"/>
      <c r="B890" s="47"/>
      <c r="C890" s="47"/>
      <c r="D890" s="53"/>
      <c r="E890" s="54"/>
      <c r="F890" s="55"/>
      <c r="G890" s="72"/>
      <c r="H890" s="73"/>
      <c r="I890" s="47"/>
      <c r="J890" s="57"/>
      <c r="K890" s="57"/>
      <c r="L890" s="55"/>
      <c r="M890" s="57"/>
    </row>
    <row r="891" spans="1:13" x14ac:dyDescent="0.35">
      <c r="A891" s="48"/>
      <c r="B891" s="48"/>
      <c r="C891" s="49"/>
      <c r="D891" s="50"/>
      <c r="E891" s="51" t="str">
        <f>IF(N(C891)=0,"",C891/PI()/($D$1/2)^2/$D$2*10000)</f>
        <v/>
      </c>
      <c r="F891" s="68" t="str">
        <f t="shared" ref="F891:F902" si="336">IF(N(E891)=0,"",(N(E891)+N(F890)))</f>
        <v/>
      </c>
      <c r="G891" s="69" t="str">
        <f>IF(OR(N(D891)=0,N(E891)=0),"",(E891*D891)/1000)</f>
        <v/>
      </c>
      <c r="H891" s="70" t="str">
        <f t="shared" ref="H891:H902" si="337">IF(N(G891)=0,"",(N(G891)+N(H890)))</f>
        <v/>
      </c>
      <c r="I891" s="27" t="str">
        <f>IF(N(J891)=0,"",0&amp;"-"&amp;B$4)</f>
        <v/>
      </c>
      <c r="J891" s="52" t="str">
        <f>IF(N(B$4)=0,"",IF(AND(COUNT(H891:H902)=2,COUNT(F891:F902)=2),cubic_spline(F890:F892,H890:H892,B$4),IF(AND(COUNT(H891:H902)=3,COUNT(F891:F902)=3),cubic_spline(F890:F893,H890:H893,B$4),IF(AND(COUNT(H891:H902)=4,COUNT(F891:F902)=4),cubic_spline(F890:F894,H890:H894,B$4),IF(AND(COUNT(H891:H902)=5,COUNT(F891:F902)=5),cubic_spline(F890:F895,H890:H895,B$4),IF(AND(COUNT(H891:H902)=6,COUNT(F891:F902)=6),cubic_spline(F890:F896,H890:H896,B$4),IF(AND(COUNT(H891:H902)=7,COUNT(F891:F902)=7),cubic_spline(F890:F897,H890:H897,B$4),IF(AND(COUNT(H891:H902)=8,COUNT(F891:F902)=8),cubic_spline(F890:F898,H890:H898,B$4),IF(AND(COUNT(H891:H902)=9,COUNT(F891:F902)=9),cubic_spline(F890:F899,H890:H899,B$4),IF(AND(COUNT(H891:H902)=10,COUNT(F891:F902)=10),cubic_spline(F890:F900,H890:H900,B$4),IF(AND(COUNT(H891:H902)=11,COUNT(F891:F902)=11),cubic_spline(F890:F901,H890:H901,B$4),IF(AND(COUNT(H891:H902)=12,COUNT(F891:F902)=12),cubic_spline(F890:F902,H890:H902,B$4),""))))))))))))</f>
        <v/>
      </c>
      <c r="K891" s="52" t="str">
        <f>IF(N(B$4)=0,"",IF(AND(COUNT(A891:A902)=2,COUNT(F891:F902)=2),cubic_spline(F890:F892,A890:A892,B$4),IF(AND(COUNT(A891:A902)=3,COUNT(F891:F902)=3),cubic_spline(F890:F893,A890:A893,B$4),IF(AND(COUNT(A891:A902)=4,COUNT(F891:F902)=4),cubic_spline(F890:F894,A890:A894,B$4),IF(AND(COUNT(A891:A902)=5,COUNT(F891:F902)=5),cubic_spline(F890:F895,A890:A895,B$4),IF(AND(COUNT(A891:A902)=6,COUNT(F891:F902)=6),cubic_spline(F890:F896,A890:A896,B$4),IF(AND(COUNT(A891:A902)=7,COUNT(F891:F902)=7),cubic_spline(F890:F897,A890:A897,B$4),IF(AND(COUNT(A891:A902)=8,COUNT(F891:F902)=8),cubic_spline(F890:F898,A890:A898,B$4),IF(AND(COUNT(A891:A902)=9,COUNT(F891:F902)=9),cubic_spline(F890:F899,A890:A899,B$4),IF(AND(COUNT(A891:A902)=10,COUNT(F891:F902)=10),cubic_spline(F890:F900,A890:A900,B$4),IF(AND(COUNT(A891:A902)=11,COUNT(F891:F902)=11),cubic_spline(F890:F901,A890:A901,B$4),IF(AND(COUNT(A891:A902)=12,COUNT(F891:F902)=12),cubic_spline(F890:F902,A890:A902,B$4),""))))))))))))</f>
        <v/>
      </c>
      <c r="L891" s="27" t="str">
        <f>IF(I891="","",0&amp;"-"&amp;B$4)</f>
        <v/>
      </c>
      <c r="M891" s="52" t="str">
        <f>IF(N(J891)=0,"",J891-J890)</f>
        <v/>
      </c>
    </row>
    <row r="892" spans="1:13" x14ac:dyDescent="0.35">
      <c r="A892" s="48"/>
      <c r="B892" s="48"/>
      <c r="C892" s="49"/>
      <c r="D892" s="50"/>
      <c r="E892" s="51" t="str">
        <f>IF(N(C892)=0,"",C892/PI()/($D$1/2)^2/$D$2*10000)</f>
        <v/>
      </c>
      <c r="F892" s="68" t="str">
        <f t="shared" si="336"/>
        <v/>
      </c>
      <c r="G892" s="69" t="str">
        <f t="shared" ref="G892:G902" si="338">IF(OR(N(D892)=0,N(E892)=0),"",(E892*D892)/1000)</f>
        <v/>
      </c>
      <c r="H892" s="70" t="str">
        <f t="shared" si="337"/>
        <v/>
      </c>
      <c r="I892" s="27" t="str">
        <f>IF(N(J892)=0,"",0&amp;"-"&amp;B$5)</f>
        <v/>
      </c>
      <c r="J892" s="52" t="str">
        <f>IF(N(B$5)=0,"",IF(AND(COUNT(H891:H902)=2,COUNT(F891:F902)=2),cubic_spline(F890:F892,H890:H892,B$5),IF(AND(COUNT(H891:H902)=3,COUNT(F891:F902)=3),cubic_spline(F890:F893,H890:H893,B$5),IF(AND(COUNT(H891:H902)=4,COUNT(F891:F902)=4),cubic_spline(F890:F894,H890:H894,B$5),IF(AND(COUNT(H891:H902)=5,COUNT(F891:F902)=5),cubic_spline(F890:F895,H890:H895,B$5),IF(AND(COUNT(H891:H902)=6,COUNT(F891:F902)=6),cubic_spline(F890:F896,H890:H896,B$5),IF(AND(COUNT(H891:H902)=7,COUNT(F891:F902)=7),cubic_spline(F890:F897,H890:H897,B$5),IF(AND(COUNT(H891:H902)=8,COUNT(F891:F902)=8),cubic_spline(F890:F898,H890:H898,B$5),IF(AND(COUNT(H891:H902)=9,COUNT(F891:F902)=9),cubic_spline(F890:F899,H890:H899,B$5),IF(AND(COUNT(H891:H902)=10,COUNT(F891:F902)=10),cubic_spline(F890:F900,H890:H900,B$5),IF(AND(COUNT(H891:H902)=11,COUNT(F891:F902)=11),cubic_spline(F890:F901,H890:H901,B$5),IF(AND(COUNT(H891:H902)=12,COUNT(F891:F902)=12),cubic_spline(F890:F902,H890:H902,B$5),""))))))))))))</f>
        <v/>
      </c>
      <c r="K892" s="52" t="str">
        <f>IF(N(B$5)=0,"",IF(AND(COUNT(A891:A902)=2,COUNT(F891:F902)=2),cubic_spline(F890:F892,A890:A892,B$5),IF(AND(COUNT(A891:A902)=3,COUNT(F891:F902)=3),cubic_spline(F890:F893,A890:A893,B$5),IF(AND(COUNT(A891:A902)=4,COUNT(F891:F902)=4),cubic_spline(F890:F894,A890:A894,B$5),IF(AND(COUNT(A891:A902)=5,COUNT(F891:F902)=5),cubic_spline(F890:F895,A890:A895,B$5),IF(AND(COUNT(A891:A902)=6,COUNT(F891:F902)=6),cubic_spline(F890:F896,A890:A896,B$5),IF(AND(COUNT(A891:A902)=7,COUNT(F891:F902)=7),cubic_spline(F890:F897,A890:A897,B$5),IF(AND(COUNT(A891:A902)=8,COUNT(F891:F902)=8),cubic_spline(F890:F898,A890:A898,B$5),IF(AND(COUNT(A891:A902)=9,COUNT(F891:F902)=9),cubic_spline(F890:F899,A890:A899,B$5),IF(AND(COUNT(A891:A902)=10,COUNT(F891:F902)=10),cubic_spline(F890:F900,A890:A900,B$5),IF(AND(COUNT(A891:A902)=11,COUNT(F891:F902)=11),cubic_spline(F890:F901,A890:A901,B$5),IF(AND(COUNT(A891:A902)=12,COUNT(F891:F902)=12),cubic_spline(F890:F902,A890:A902,B$5),""))))))))))))</f>
        <v/>
      </c>
      <c r="L892" s="27" t="str">
        <f>IF(I892="","",B$4&amp;"-"&amp;B$5)</f>
        <v/>
      </c>
      <c r="M892" s="52" t="str">
        <f>IF(N(J892)=0,"",J892-J891)</f>
        <v/>
      </c>
    </row>
    <row r="893" spans="1:13" x14ac:dyDescent="0.35">
      <c r="A893" s="48"/>
      <c r="B893" s="48"/>
      <c r="C893" s="49"/>
      <c r="D893" s="50"/>
      <c r="E893" s="51" t="str">
        <f>IF(N(C893)=0,"",C893/PI()/($D$1/2)^2/$D$2*10000)</f>
        <v/>
      </c>
      <c r="F893" s="68" t="str">
        <f t="shared" si="336"/>
        <v/>
      </c>
      <c r="G893" s="69" t="str">
        <f t="shared" si="338"/>
        <v/>
      </c>
      <c r="H893" s="70" t="str">
        <f t="shared" si="337"/>
        <v/>
      </c>
      <c r="I893" s="27" t="str">
        <f>IF(N(J893)=0,"",0&amp;"-"&amp;B$6)</f>
        <v/>
      </c>
      <c r="J893" s="52" t="str">
        <f>IF(N(B$6)=0,"",IF(AND(COUNT(H891:H902)=2,COUNT(F891:F902)=2),cubic_spline(F890:F892,H890:H892,B$6),IF(AND(COUNT(H891:H902)=3,COUNT(F891:F902)=3),cubic_spline(F890:F893,H890:H893,B$6),IF(AND(COUNT(H891:H902)=4,COUNT(F891:F902)=4),cubic_spline(F890:F894,H890:H894,B$6),IF(AND(COUNT(H891:H902)=5,COUNT(F891:F902)=5),cubic_spline(F890:F895,H890:H895,B$6),IF(AND(COUNT(H891:H902)=6,COUNT(F891:F902)=6),cubic_spline(F890:F896,H890:H896,B$6),IF(AND(COUNT(H891:H902)=7,COUNT(F891:F902)=7),cubic_spline(F890:F897,H890:H897,B$6),IF(AND(COUNT(H891:H902)=8,COUNT(F891:F902)=8),cubic_spline(F890:F898,H890:H898,B$6),IF(AND(COUNT(H891:H902)=9,COUNT(F891:F902)=9),cubic_spline(F890:F899,H890:H899,B$6),IF(AND(COUNT(H891:H902)=10,COUNT(F891:F902)=10),cubic_spline(F890:F900,H890:H900,B$6),IF(AND(COUNT(H891:H902)=11,COUNT(F891:F902)=11),cubic_spline(F890:F901,H890:H901,B$6),IF(AND(COUNT(H891:H902)=12,COUNT(F891:F902)=12),cubic_spline(F890:F902,H890:H902,B$6),""))))))))))))</f>
        <v/>
      </c>
      <c r="K893" s="52" t="str">
        <f>IF(N(B$6)=0,"",IF(AND(COUNT(A891:A902)=2,COUNT(F891:F902)=2),cubic_spline(F890:F892,A890:A892,B$6),IF(AND(COUNT(A891:A902)=3,COUNT(F891:F902)=3),cubic_spline(F890:F893,A890:A893,B$6),IF(AND(COUNT(A891:A902)=4,COUNT(F891:F902)=4),cubic_spline(F890:F894,A890:A894,B$6),IF(AND(COUNT(A891:A902)=5,COUNT(F891:F902)=5),cubic_spline(F890:F895,A890:A895,B$6),IF(AND(COUNT(A891:A902)=6,COUNT(F891:F902)=6),cubic_spline(F890:F896,A890:A896,B$6),IF(AND(COUNT(A891:A902)=7,COUNT(F891:F902)=7),cubic_spline(F890:F897,A890:A897,B$6),IF(AND(COUNT(A891:A902)=8,COUNT(F891:F902)=8),cubic_spline(F890:F898,A890:A898,B$6),IF(AND(COUNT(A891:A902)=9,COUNT(F891:F902)=9),cubic_spline(F890:F899,A890:A899,B$6),IF(AND(COUNT(A891:A902)=10,COUNT(F891:F902)=10),cubic_spline(F890:F900,A890:A900,B$6),IF(AND(COUNT(A891:A902)=11,COUNT(F891:F902)=11),cubic_spline(F890:F901,A890:A901,B$6),IF(AND(COUNT(A891:A902)=12,COUNT(F891:F902)=12),cubic_spline(F890:F902,A890:A902,B$6),""))))))))))))</f>
        <v/>
      </c>
      <c r="L893" s="27" t="str">
        <f>IF(I893="","",B$5&amp;"-"&amp;B$6)</f>
        <v/>
      </c>
      <c r="M893" s="52" t="str">
        <f>IF(N(J893)=0,"",J893-J892)</f>
        <v/>
      </c>
    </row>
    <row r="894" spans="1:13" x14ac:dyDescent="0.35">
      <c r="A894" s="48"/>
      <c r="B894" s="48"/>
      <c r="C894" s="49"/>
      <c r="D894" s="50"/>
      <c r="E894" s="51" t="str">
        <f>IF(N(C894)=0,"",C894/PI()/($D$1/2)^2/$D$2*10000)</f>
        <v/>
      </c>
      <c r="F894" s="68" t="str">
        <f t="shared" si="336"/>
        <v/>
      </c>
      <c r="G894" s="69" t="str">
        <f t="shared" si="338"/>
        <v/>
      </c>
      <c r="H894" s="70" t="str">
        <f t="shared" si="337"/>
        <v/>
      </c>
      <c r="I894" s="27" t="str">
        <f>IF(N(J894)=0,"",0&amp;"-"&amp;B$7)</f>
        <v/>
      </c>
      <c r="J894" s="52" t="str">
        <f>IF(N(B$7)=0,"",IF(AND(COUNT(H891:H902)=2,COUNT(F891:F902)=2),cubic_spline(F890:F892,H890:H892,B$7),IF(AND(COUNT(H891:H902)=3,COUNT(F891:F902)=3),cubic_spline(F890:F893,H890:H893,B$7),IF(AND(COUNT(H891:H902)=4,COUNT(F891:F902)=4),cubic_spline(F890:F894,H890:H894,B$7),IF(AND(COUNT(H891:H902)=5,COUNT(F891:F902)=5),cubic_spline(F890:F895,H890:H895,B$7),IF(AND(COUNT(H891:H902)=6,COUNT(F891:F902)=6),cubic_spline(F890:F896,H890:H896,B$7),IF(AND(COUNT(H891:H902)=7,COUNT(F891:F902)=7),cubic_spline(F890:F897,H890:H897,B$7),IF(AND(COUNT(H891:H902)=8,COUNT(F891:F902)=8),cubic_spline(F890:F898,H890:H898,B$7),IF(AND(COUNT(H891:H902)=9,COUNT(F891:F902)=9),cubic_spline(F890:F899,H890:H899,B$7),IF(AND(COUNT(H891:H902)=10,COUNT(F891:F902)=10),cubic_spline(F890:F900,H890:H900,B$7),IF(AND(COUNT(H891:H902)=11,COUNT(F891:F902)=11),cubic_spline(F890:F901,H890:H901,B$7),IF(AND(COUNT(H891:H902)=12,COUNT(F891:F902)=12),cubic_spline(F890:F902,H890:H902,B$7),""))))))))))))</f>
        <v/>
      </c>
      <c r="K894" s="52" t="str">
        <f>IF(N(B$7)=0,"",IF(AND(COUNT(A891:A902)=2,COUNT(F891:F902)=2),cubic_spline(F890:F892,A890:A892,B$7),IF(AND(COUNT(A891:A902)=3,COUNT(F891:F902)=3),cubic_spline(F890:F893,A890:A893,B$7),IF(AND(COUNT(A891:A902)=4,COUNT(F891:F902)=4),cubic_spline(F890:F894,A890:A894,B$7),IF(AND(COUNT(A891:A902)=5,COUNT(F891:F902)=5),cubic_spline(F890:F895,A890:A895,B$7),IF(AND(COUNT(A891:A902)=6,COUNT(F891:F902)=6),cubic_spline(F890:F896,A890:A896,B$7),IF(AND(COUNT(A891:A902)=7,COUNT(F891:F902)=7),cubic_spline(F890:F897,A890:A897,B$7),IF(AND(COUNT(A891:A902)=8,COUNT(F891:F902)=8),cubic_spline(F890:F898,A890:A898,B$7),IF(AND(COUNT(A891:A902)=9,COUNT(F891:F902)=9),cubic_spline(F890:F899,A890:A899,B$7),IF(AND(COUNT(A891:A902)=10,COUNT(F891:F902)=10),cubic_spline(F890:F900,A890:A900,B$7),IF(AND(COUNT(A891:A902)=11,COUNT(F891:F902)=11),cubic_spline(F890:F901,A890:A901,B$7),IF(AND(COUNT(A891:A902)=12,COUNT(F891:F902)=12),cubic_spline(F890:F902,A890:A902,B$7),""))))))))))))</f>
        <v/>
      </c>
      <c r="L894" s="27" t="str">
        <f>IF(I894="","",B$6&amp;"-"&amp;B$7)</f>
        <v/>
      </c>
      <c r="M894" s="52" t="str">
        <f>IF(N(J894)=0,"",J894-J893)</f>
        <v/>
      </c>
    </row>
    <row r="895" spans="1:13" x14ac:dyDescent="0.35">
      <c r="A895" s="48"/>
      <c r="B895" s="48"/>
      <c r="C895" s="49"/>
      <c r="D895" s="50"/>
      <c r="E895" s="51" t="str">
        <f t="shared" ref="E895:E902" si="339">IF(N(C895)=0,"",C895/PI()/($D$1/2)^2/$D$2*10000)</f>
        <v/>
      </c>
      <c r="F895" s="71" t="str">
        <f t="shared" si="336"/>
        <v/>
      </c>
      <c r="G895" s="69" t="str">
        <f t="shared" si="338"/>
        <v/>
      </c>
      <c r="H895" s="70" t="str">
        <f t="shared" si="337"/>
        <v/>
      </c>
      <c r="I895" s="27" t="str">
        <f>IF(N(J895)=0,"",0&amp;"-"&amp;B$8)</f>
        <v/>
      </c>
      <c r="J895" s="52" t="str">
        <f>IF(N(B$8)=0,"",IF(AND(COUNT(H891:H902)=2,COUNT(F891:F902)=2),cubic_spline(F890:F892,H890:H892,B$8),IF(AND(COUNT(H891:H902)=3,COUNT(F891:F902)=3),cubic_spline(F890:F893,H890:H893,B$8),IF(AND(COUNT(H891:H902)=4,COUNT(F891:F902)=4),cubic_spline(F890:F894,H890:H894,B$8),IF(AND(COUNT(H891:H902)=5,COUNT(F891:F902)=5),cubic_spline(F890:F895,H890:H895,B$8),IF(AND(COUNT(H891:H902)=6,COUNT(F891:F902)=6),cubic_spline(F890:F896,H890:H896,B$8),IF(AND(COUNT(H891:H902)=7,COUNT(F891:F902)=7),cubic_spline(F890:F897,H890:H897,B$8),IF(AND(COUNT(H891:H902)=8,COUNT(F891:F902)=8),cubic_spline(F890:F898,H890:H898,B$8),IF(AND(COUNT(H891:H902)=9,COUNT(F891:F902)=9),cubic_spline(F890:F899,H890:H899,B$8),IF(AND(COUNT(H891:H902)=10,COUNT(F891:F902)=10),cubic_spline(F890:F900,H890:H900,B$8),IF(AND(COUNT(H891:H902)=11,COUNT(F891:F902)=11),cubic_spline(F890:F901,H890:H901,B$8),IF(AND(COUNT(H891:H902)=12,COUNT(F891:F902)=12),cubic_spline(F890:F902,H890:H902,B$8),""))))))))))))</f>
        <v/>
      </c>
      <c r="K895" s="52" t="str">
        <f>IF(N(B$8)=0,"",IF(AND(COUNT(A891:A902)=2,COUNT(F891:F902)=2),cubic_spline(F890:F892,A890:A892,B$8),IF(AND(COUNT(A891:A902)=3,COUNT(F891:F902)=3),cubic_spline(F890:F893,A890:A893,B$8),IF(AND(COUNT(A891:A902)=4,COUNT(F891:F902)=4),cubic_spline(F890:F894,A890:A894,B$8),IF(AND(COUNT(A891:A902)=5,COUNT(F891:F902)=5),cubic_spline(F890:F895,A890:A895,B$8),IF(AND(COUNT(A891:A902)=6,COUNT(F891:F902)=6),cubic_spline(F890:F896,A890:A896,B$8),IF(AND(COUNT(A891:A902)=7,COUNT(F891:F902)=7),cubic_spline(F890:F897,A890:A897,B$8),IF(AND(COUNT(A891:A902)=8,COUNT(F891:F902)=8),cubic_spline(F890:F898,A890:A898,B$8),IF(AND(COUNT(A891:A902)=9,COUNT(F891:F902)=9),cubic_spline(F890:F899,A890:A899,B$8),IF(AND(COUNT(A891:A902)=10,COUNT(F891:F902)=10),cubic_spline(F890:F900,A890:A900,B$8),IF(AND(COUNT(A891:A902)=11,COUNT(F891:F902)=11),cubic_spline(F890:F901,A890:A901,B$8),IF(AND(COUNT(A891:A902)=12,COUNT(F891:F902)=12),cubic_spline(F890:F902,A890:A902,B$8),""))))))))))))</f>
        <v/>
      </c>
      <c r="L895" s="27" t="str">
        <f>IF(I895="","",B$7&amp;"-"&amp;B$8)</f>
        <v/>
      </c>
      <c r="M895" s="52" t="str">
        <f>IF(N(J895)=0,"",J895-J894)</f>
        <v/>
      </c>
    </row>
    <row r="896" spans="1:13" x14ac:dyDescent="0.35">
      <c r="A896" s="48"/>
      <c r="B896" s="48"/>
      <c r="C896" s="49"/>
      <c r="D896" s="50"/>
      <c r="E896" s="51" t="str">
        <f t="shared" si="339"/>
        <v/>
      </c>
      <c r="F896" s="71" t="str">
        <f t="shared" si="336"/>
        <v/>
      </c>
      <c r="G896" s="69" t="str">
        <f t="shared" si="338"/>
        <v/>
      </c>
      <c r="H896" s="70" t="str">
        <f t="shared" si="337"/>
        <v/>
      </c>
      <c r="I896" s="27" t="str">
        <f>IF(N(J896)=0,"",0&amp;"-"&amp;B$9)</f>
        <v/>
      </c>
      <c r="J896" s="52" t="str">
        <f>IF(N(B$9)=0,"",IF(AND(COUNT(H891:H902)=2,COUNT(F891:F902)=2),cubic_spline(F890:F892,H890:H892,B$9),IF(AND(COUNT(H891:H902)=3,COUNT(F891:F902)=3),cubic_spline(F890:F893,H890:H893,B$9),IF(AND(COUNT(H891:H902)=4,COUNT(F891:F902)=4),cubic_spline(F890:F894,H890:H894,B$9),IF(AND(COUNT(H891:H902)=5,COUNT(F891:F902)=5),cubic_spline(F890:F895,H890:H895,B$9),IF(AND(COUNT(H891:H902)=6,COUNT(F891:F902)=6),cubic_spline(F890:F896,H890:H896,B$9),IF(AND(COUNT(H891:H902)=7,COUNT(F891:F902)=7),cubic_spline(F890:F897,H890:H897,B$9),IF(AND(COUNT(H891:H902)=8,COUNT(F891:F902)=8),cubic_spline(F890:F898,H890:H898,B$9),IF(AND(COUNT(H891:H902)=9,COUNT(F891:F902)=9),cubic_spline(F890:F899,H890:H899,B$9),IF(AND(COUNT(H891:H902)=10,COUNT(F891:F902)=10),cubic_spline(F890:F900,H890:H900,B$9),IF(AND(COUNT(H891:H902)=11,COUNT(F891:F902)=11),cubic_spline(F890:F901,H890:H901,B$9),IF(AND(COUNT(H891:H902)=12,COUNT(F891:F902)=12),cubic_spline(F890:F902,H890:H902,B$9),""))))))))))))</f>
        <v/>
      </c>
      <c r="K896" s="52" t="str">
        <f>IF(N(B$9)=0,"",IF(AND(COUNT(A891:A902)=2,COUNT(F891:F902)=2),cubic_spline(F890:F892,A890:A892,B$9),IF(AND(COUNT(A891:A902)=3,COUNT(F891:F902)=3),cubic_spline(F890:F893,A890:A893,B$9),IF(AND(COUNT(A891:A902)=4,COUNT(F891:F902)=4),cubic_spline(F890:F894,A890:A894,B$9),IF(AND(COUNT(A891:A902)=5,COUNT(F891:F902)=5),cubic_spline(F890:F895,A890:A895,B$9),IF(AND(COUNT(A891:A902)=6,COUNT(F891:F902)=6),cubic_spline(F890:F896,A890:A896,B$9),IF(AND(COUNT(A891:A902)=7,COUNT(F891:F902)=7),cubic_spline(F890:F897,A890:A897,B$9),IF(AND(COUNT(A891:A902)=8,COUNT(F891:F902)=8),cubic_spline(F890:F898,A890:A898,B$9),IF(AND(COUNT(A891:A902)=9,COUNT(F891:F902)=9),cubic_spline(F890:F899,A890:A899,B$9),IF(AND(COUNT(A891:A902)=10,COUNT(F891:F902)=10),cubic_spline(F890:F900,A890:A900,B$9),IF(AND(COUNT(A891:A902)=11,COUNT(F891:F902)=11),cubic_spline(F890:F901,A890:A901,B$9),IF(AND(COUNT(A891:A902)=12,COUNT(F891:F902)=12),cubic_spline(F890:F902,A890:A902,B$9),""))))))))))))</f>
        <v/>
      </c>
      <c r="L896" s="27" t="str">
        <f>IF(I896="","",B$8&amp;"-"&amp;B$9)</f>
        <v/>
      </c>
      <c r="M896" s="52" t="str">
        <f t="shared" ref="M896:M902" si="340">IF(N(J896)=0,"",J896-J895)</f>
        <v/>
      </c>
    </row>
    <row r="897" spans="1:13" x14ac:dyDescent="0.35">
      <c r="A897" s="48"/>
      <c r="B897" s="48"/>
      <c r="C897" s="49"/>
      <c r="D897" s="50"/>
      <c r="E897" s="51" t="str">
        <f t="shared" si="339"/>
        <v/>
      </c>
      <c r="F897" s="71" t="str">
        <f t="shared" si="336"/>
        <v/>
      </c>
      <c r="G897" s="69" t="str">
        <f t="shared" si="338"/>
        <v/>
      </c>
      <c r="H897" s="70" t="str">
        <f t="shared" si="337"/>
        <v/>
      </c>
      <c r="I897" s="27" t="str">
        <f>IF(N(J897)=0,"",0&amp;"-"&amp;B$10)</f>
        <v/>
      </c>
      <c r="J897" s="52" t="str">
        <f>IF(N(B$10)=0,"",IF(AND(COUNT(H891:H902)=2,COUNT(F891:F902)=2),cubic_spline(F890:F892,H890:H892,B$10),IF(AND(COUNT(H891:H902)=3,COUNT(F891:F902)=3),cubic_spline(F890:F893,H890:H893,B$10),IF(AND(COUNT(H891:H902)=4,COUNT(F891:F902)=4),cubic_spline(F890:F894,H890:H894,B$10),IF(AND(COUNT(H891:H902)=5,COUNT(F891:F902)=5),cubic_spline(F890:F895,H890:H895,B$10),IF(AND(COUNT(H891:H902)=6,COUNT(F891:F902)=6),cubic_spline(F890:F896,H890:H896,B$10),IF(AND(COUNT(H891:H902)=7,COUNT(F891:F902)=7),cubic_spline(F890:F897,H890:H897,B$10),IF(AND(COUNT(H891:H902)=8,COUNT(F891:F902)=8),cubic_spline(F890:F898,H890:H898,B$10),IF(AND(COUNT(H891:H902)=9,COUNT(F891:F902)=9),cubic_spline(F890:F899,H890:H899,B$10),IF(AND(COUNT(H891:H902)=10,COUNT(F891:F902)=10),cubic_spline(F890:F900,H890:H900,B$10),IF(AND(COUNT(H891:H902)=11,COUNT(F891:F902)=11),cubic_spline(F890:F901,H890:H901,B$10),IF(AND(COUNT(H891:H902)=12,COUNT(F891:F902)=12),cubic_spline(F890:F902,H890:H902,B$10),""))))))))))))</f>
        <v/>
      </c>
      <c r="K897" s="52" t="str">
        <f>IF(N(B$10)=0,"",IF(AND(COUNT(A891:A902)=2,COUNT(F891:F902)=2),cubic_spline(F890:F892,A890:A892,B$10),IF(AND(COUNT(A891:A902)=3,COUNT(F891:F902)=3),cubic_spline(F890:F893,A890:A893,B$10),IF(AND(COUNT(A891:A902)=4,COUNT(F891:F902)=4),cubic_spline(F890:F894,A890:A894,B$10),IF(AND(COUNT(A891:A902)=5,COUNT(F891:F902)=5),cubic_spline(F890:F895,A890:A895,B$10),IF(AND(COUNT(A891:A902)=6,COUNT(F891:F902)=6),cubic_spline(F890:F896,A890:A896,B$10),IF(AND(COUNT(A891:A902)=7,COUNT(F891:F902)=7),cubic_spline(F890:F897,A890:A897,B$10),IF(AND(COUNT(A891:A902)=8,COUNT(F891:F902)=8),cubic_spline(F890:F898,A890:A898,B$10),IF(AND(COUNT(A891:A902)=9,COUNT(F891:F902)=9),cubic_spline(F890:F899,A890:A899,B$10),IF(AND(COUNT(A891:A902)=10,COUNT(F891:F902)=10),cubic_spline(F890:F900,A890:A900,B$10),IF(AND(COUNT(A891:A902)=11,COUNT(F891:F902)=11),cubic_spline(F890:F901,A890:A901,B$10),IF(AND(COUNT(A891:A902)=12,COUNT(F891:F902)=12),cubic_spline(F890:F902,A890:A902,B$10),""))))))))))))</f>
        <v/>
      </c>
      <c r="L897" s="27" t="str">
        <f>IF(I897="","",B$9&amp;"-"&amp;B$10)</f>
        <v/>
      </c>
      <c r="M897" s="52" t="str">
        <f t="shared" si="340"/>
        <v/>
      </c>
    </row>
    <row r="898" spans="1:13" x14ac:dyDescent="0.35">
      <c r="A898" s="48"/>
      <c r="B898" s="48"/>
      <c r="C898" s="49"/>
      <c r="D898" s="50"/>
      <c r="E898" s="51" t="str">
        <f t="shared" si="339"/>
        <v/>
      </c>
      <c r="F898" s="71" t="str">
        <f t="shared" si="336"/>
        <v/>
      </c>
      <c r="G898" s="69" t="str">
        <f t="shared" si="338"/>
        <v/>
      </c>
      <c r="H898" s="70" t="str">
        <f t="shared" si="337"/>
        <v/>
      </c>
      <c r="I898" s="27" t="str">
        <f>IF(N(J898)=0,"",0&amp;"-"&amp;B$11)</f>
        <v/>
      </c>
      <c r="J898" s="52" t="str">
        <f>IF(N(B$11)=0,"",IF(AND(COUNT(H891:H902)=2,COUNT(F891:F902)=2),cubic_spline(F890:F892,H890:H892,B$11),IF(AND(COUNT(H891:H902)=3,COUNT(F891:F902)=3),cubic_spline(F890:F893,H890:H893,B$11),IF(AND(COUNT(H891:H902)=4,COUNT(F891:F902)=4),cubic_spline(F890:F894,H890:H894,B$11),IF(AND(COUNT(H891:H902)=5,COUNT(F891:F902)=5),cubic_spline(F890:F895,H890:H895,B$11),IF(AND(COUNT(H891:H902)=6,COUNT(F891:F902)=6),cubic_spline(F890:F896,H890:H896,B$11),IF(AND(COUNT(H891:H902)=7,COUNT(F891:F902)=7),cubic_spline(F890:F897,H890:H897,B$11),IF(AND(COUNT(H891:H902)=8,COUNT(F891:F902)=8),cubic_spline(F890:F898,H890:H898,B$11),IF(AND(COUNT(H891:H902)=9,COUNT(F891:F902)=9),cubic_spline(F890:F899,H890:H899,B$11),IF(AND(COUNT(H891:H902)=10,COUNT(F891:F902)=10),cubic_spline(F890:F900,H890:H900,B$11),IF(AND(COUNT(H891:H902)=11,COUNT(F891:F902)=11),cubic_spline(F890:F901,H890:H901,B$11),IF(AND(COUNT(H891:H902)=12,COUNT(F891:F902)=12),cubic_spline(F890:F902,H890:H902,B$11),""))))))))))))</f>
        <v/>
      </c>
      <c r="K898" s="52" t="str">
        <f>IF(N(B$11)=0,"",IF(AND(COUNT(A891:A902)=2,COUNT(F891:F902)=2),cubic_spline(F890:F892,A890:A892,B$11),IF(AND(COUNT(A891:A902)=3,COUNT(F891:F902)=3),cubic_spline(F890:F893,A890:A893,B$11),IF(AND(COUNT(A891:A902)=4,COUNT(F891:F902)=4),cubic_spline(F890:F894,A890:A894,B$11),IF(AND(COUNT(A891:A902)=5,COUNT(F891:F902)=5),cubic_spline(F890:F895,A890:A895,B$11),IF(AND(COUNT(A891:A902)=6,COUNT(F891:F902)=6),cubic_spline(F890:F896,A890:A896,B$11),IF(AND(COUNT(A891:A902)=7,COUNT(F891:F902)=7),cubic_spline(F890:F897,A890:A897,B$11),IF(AND(COUNT(A891:A902)=8,COUNT(F891:F902)=8),cubic_spline(F890:F898,A890:A898,B$11),IF(AND(COUNT(A891:A902)=9,COUNT(F891:F902)=9),cubic_spline(F890:F899,A890:A899,B$11),IF(AND(COUNT(A891:A902)=10,COUNT(F891:F902)=10),cubic_spline(F890:F900,A890:A900,B$11),IF(AND(COUNT(A891:A902)=11,COUNT(F891:F902)=11),cubic_spline(F890:F901,A890:A901,B$11),IF(AND(COUNT(A891:A902)=12,COUNT(F891:F902)=12),cubic_spline(F890:F902,A890:A902,B$11),""))))))))))))</f>
        <v/>
      </c>
      <c r="L898" s="27" t="str">
        <f>IF(I898="","",B$10&amp;"-"&amp;B$11)</f>
        <v/>
      </c>
      <c r="M898" s="52" t="str">
        <f t="shared" si="340"/>
        <v/>
      </c>
    </row>
    <row r="899" spans="1:13" x14ac:dyDescent="0.35">
      <c r="A899" s="48"/>
      <c r="B899" s="48"/>
      <c r="C899" s="49"/>
      <c r="D899" s="50"/>
      <c r="E899" s="51" t="str">
        <f t="shared" si="339"/>
        <v/>
      </c>
      <c r="F899" s="71" t="str">
        <f t="shared" si="336"/>
        <v/>
      </c>
      <c r="G899" s="69" t="str">
        <f t="shared" si="338"/>
        <v/>
      </c>
      <c r="H899" s="70" t="str">
        <f t="shared" si="337"/>
        <v/>
      </c>
      <c r="I899" s="27" t="str">
        <f>IF(N(J899)=0,"",0&amp;"-"&amp;B$12)</f>
        <v/>
      </c>
      <c r="J899" s="52" t="str">
        <f>IF(N(B$12)=0,"",IF(AND(COUNT(H891:H902)=2,COUNT(F891:F902)=2),cubic_spline(F890:F892,H890:H892,B$12),IF(AND(COUNT(H891:H902)=3,COUNT(F891:F902)=3),cubic_spline(F890:F893,H890:H893,B$12),IF(AND(COUNT(H891:H902)=4,COUNT(F891:F902)=4),cubic_spline(F890:F894,H890:H894,B$12),IF(AND(COUNT(H891:H902)=5,COUNT(F891:F902)=5),cubic_spline(F890:F895,H890:H895,B$12),IF(AND(COUNT(H891:H902)=6,COUNT(F891:F902)=6),cubic_spline(F890:F896,H890:H896,B$12),IF(AND(COUNT(H891:H902)=7,COUNT(F891:F902)=7),cubic_spline(F890:F897,H890:H897,B$12),IF(AND(COUNT(H891:H902)=8,COUNT(F891:F902)=8),cubic_spline(F890:F898,H890:H898,B$12),IF(AND(COUNT(H891:H902)=9,COUNT(F891:F902)=9),cubic_spline(F890:F899,H890:H899,B$12),IF(AND(COUNT(H891:H902)=10,COUNT(F891:F902)=10),cubic_spline(F890:F900,H890:H900,B$12),IF(AND(COUNT(H891:H902)=11,COUNT(F891:F902)=11),cubic_spline(F890:F901,H890:H901,B$12),IF(AND(COUNT(H891:H902)=12,COUNT(F891:F902)=12),cubic_spline(F890:F902,H890:H902,B$12),""))))))))))))</f>
        <v/>
      </c>
      <c r="K899" s="52" t="str">
        <f>IF(N(B$12)=0,"",IF(AND(COUNT(A891:A902)=2,COUNT(F891:F902)=2),cubic_spline(F890:F892,A890:A892,B$12),IF(AND(COUNT(A891:A902)=3,COUNT(F891:F902)=3),cubic_spline(F890:F893,A890:A893,B$12),IF(AND(COUNT(A891:A902)=4,COUNT(F891:F902)=4),cubic_spline(F890:F894,A890:A894,B$12),IF(AND(COUNT(A891:A902)=5,COUNT(F891:F902)=5),cubic_spline(F890:F895,A890:A895,B$12),IF(AND(COUNT(A891:A902)=6,COUNT(F891:F902)=6),cubic_spline(F890:F896,A890:A896,B$12),IF(AND(COUNT(A891:A902)=7,COUNT(F891:F902)=7),cubic_spline(F890:F897,A890:A897,B$12),IF(AND(COUNT(A891:A902)=8,COUNT(F891:F902)=8),cubic_spline(F890:F898,A890:A898,B$12),IF(AND(COUNT(A891:A902)=9,COUNT(F891:F902)=9),cubic_spline(F890:F899,A890:A899,B$12),IF(AND(COUNT(A891:A902)=10,COUNT(F891:F902)=10),cubic_spline(F890:F900,A890:A900,B$12),IF(AND(COUNT(A891:A902)=11,COUNT(F891:F902)=11),cubic_spline(F890:F901,A890:A901,B$12),IF(AND(COUNT(A891:A902)=12,COUNT(F891:F902)=12),cubic_spline(F890:F902,A890:A902,B$12),""))))))))))))</f>
        <v/>
      </c>
      <c r="L899" s="27" t="str">
        <f>IF(I899="","",B$11&amp;"-"&amp;B$12)</f>
        <v/>
      </c>
      <c r="M899" s="52" t="str">
        <f t="shared" si="340"/>
        <v/>
      </c>
    </row>
    <row r="900" spans="1:13" x14ac:dyDescent="0.35">
      <c r="A900" s="48"/>
      <c r="B900" s="48"/>
      <c r="C900" s="49"/>
      <c r="D900" s="50"/>
      <c r="E900" s="51" t="str">
        <f t="shared" si="339"/>
        <v/>
      </c>
      <c r="F900" s="71" t="str">
        <f t="shared" si="336"/>
        <v/>
      </c>
      <c r="G900" s="69" t="str">
        <f t="shared" si="338"/>
        <v/>
      </c>
      <c r="H900" s="70" t="str">
        <f t="shared" si="337"/>
        <v/>
      </c>
      <c r="I900" s="27" t="str">
        <f>IF(N(J900)=0,"",0&amp;"-"&amp;B$13)</f>
        <v/>
      </c>
      <c r="J900" s="52" t="str">
        <f>IF(N(B$13)=0,"",IF(AND(COUNT(H891:H902)=2,COUNT(F891:F902)=2),cubic_spline(F890:F892,H890:H892,B$13),IF(AND(COUNT(H891:H902)=3,COUNT(F891:F902)=3),cubic_spline(F890:F893,H890:H893,B$13),IF(AND(COUNT(H891:H902)=4,COUNT(F891:F902)=4),cubic_spline(F890:F894,H890:H894,B$13),IF(AND(COUNT(H891:H902)=5,COUNT(F891:F902)=5),cubic_spline(F890:F895,H890:H895,B$13),IF(AND(COUNT(H891:H902)=6,COUNT(F891:F902)=6),cubic_spline(F890:F896,H890:H896,B$13),IF(AND(COUNT(H891:H902)=7,COUNT(F891:F902)=7),cubic_spline(F890:F897,H890:H897,B$13),IF(AND(COUNT(H891:H902)=8,COUNT(F891:F902)=8),cubic_spline(F890:F898,H890:H898,B$13),IF(AND(COUNT(H891:H902)=9,COUNT(F891:F902)=9),cubic_spline(F890:F899,H890:H899,B$13),IF(AND(COUNT(H891:H902)=10,COUNT(F891:F902)=10),cubic_spline(F890:F900,H890:H900,B$13),IF(AND(COUNT(H891:H902)=11,COUNT(F891:F902)=11),cubic_spline(F890:F901,H890:H901,B$13),IF(AND(COUNT(H891:H902)=12,COUNT(F891:F902)=12),cubic_spline(F890:F902,H890:H902,B$13),""))))))))))))</f>
        <v/>
      </c>
      <c r="K900" s="52" t="str">
        <f>IF(N(B$13)=0,"",IF(AND(COUNT(A891:A902)=2,COUNT(F891:F902)=2),cubic_spline(F890:F892,A890:A892,B$13),IF(AND(COUNT(A891:A902)=3,COUNT(F891:F902)=3),cubic_spline(F890:F893,A890:A893,B$13),IF(AND(COUNT(A891:A902)=4,COUNT(F891:F902)=4),cubic_spline(F890:F894,A890:A894,B$13),IF(AND(COUNT(A891:A902)=5,COUNT(F891:F902)=5),cubic_spline(F890:F895,A890:A895,B$13),IF(AND(COUNT(A891:A902)=6,COUNT(F891:F902)=6),cubic_spline(F890:F896,A890:A896,B$13),IF(AND(COUNT(A891:A902)=7,COUNT(F891:F902)=7),cubic_spline(F890:F897,A890:A897,B$13),IF(AND(COUNT(A891:A902)=8,COUNT(F891:F902)=8),cubic_spline(F890:F898,A890:A898,B$13),IF(AND(COUNT(A891:A902)=9,COUNT(F891:F902)=9),cubic_spline(F890:F899,A890:A899,B$13),IF(AND(COUNT(A891:A902)=10,COUNT(F891:F902)=10),cubic_spline(F890:F900,A890:A900,B$13),IF(AND(COUNT(A891:A902)=11,COUNT(F891:F902)=11),cubic_spline(F890:F901,A890:A901,B$13),IF(AND(COUNT(A891:A902)=12,COUNT(F891:F902)=12),cubic_spline(F890:F902,A890:A902,B$13),""))))))))))))</f>
        <v/>
      </c>
      <c r="L900" s="27" t="str">
        <f>IF(I900="","",B$12&amp;"-"&amp;B$13)</f>
        <v/>
      </c>
      <c r="M900" s="52" t="str">
        <f t="shared" si="340"/>
        <v/>
      </c>
    </row>
    <row r="901" spans="1:13" x14ac:dyDescent="0.35">
      <c r="A901" s="48"/>
      <c r="B901" s="48"/>
      <c r="C901" s="49"/>
      <c r="D901" s="50"/>
      <c r="E901" s="51" t="str">
        <f t="shared" si="339"/>
        <v/>
      </c>
      <c r="F901" s="71" t="str">
        <f t="shared" si="336"/>
        <v/>
      </c>
      <c r="G901" s="69" t="str">
        <f t="shared" si="338"/>
        <v/>
      </c>
      <c r="H901" s="70" t="str">
        <f t="shared" si="337"/>
        <v/>
      </c>
      <c r="I901" s="27" t="str">
        <f>IF(N(J901)=0,"",0&amp;"-"&amp;B$14)</f>
        <v/>
      </c>
      <c r="J901" s="52" t="str">
        <f>IF(N(B$14)=0,"",IF(AND(COUNT(H891:H902)=2,COUNT(F891:F902)=2),cubic_spline(F890:F892,H890:H892,B$14),IF(AND(COUNT(H891:H902)=3,COUNT(F891:F902)=3),cubic_spline(F890:F893,H890:H893,B$14),IF(AND(COUNT(H891:H902)=4,COUNT(F891:F902)=4),cubic_spline(F890:F894,H890:H894,B$14),IF(AND(COUNT(H891:H902)=5,COUNT(F891:F902)=5),cubic_spline(F890:F895,H890:H895,B$14),IF(AND(COUNT(H891:H902)=6,COUNT(F891:F902)=6),cubic_spline(F890:F896,H890:H896,B$14),IF(AND(COUNT(H891:H902)=7,COUNT(F891:F902)=7),cubic_spline(F890:F897,H890:H897,B$14),IF(AND(COUNT(H891:H902)=8,COUNT(F891:F902)=8),cubic_spline(F890:F898,H890:H898,B$14),IF(AND(COUNT(H891:H902)=9,COUNT(F891:F902)=9),cubic_spline(F890:F899,H890:H899,B$14),IF(AND(COUNT(H891:H902)=10,COUNT(F891:F902)=10),cubic_spline(F890:F900,H890:H900,B$14),IF(AND(COUNT(H891:H902)=11,COUNT(F891:F902)=11),cubic_spline(F890:F901,H890:H901,B$14),IF(AND(COUNT(H891:H902)=12,COUNT(F891:F902)=12),cubic_spline(F890:F902,H890:H902,B$14),""))))))))))))</f>
        <v/>
      </c>
      <c r="K901" s="52" t="str">
        <f>IF(N(B$14)=0,"",IF(AND(COUNT(A891:A902)=2,COUNT(F891:F902)=2),cubic_spline(F890:F892,A890:A892,B$14),IF(AND(COUNT(A891:A902)=3,COUNT(F891:F902)=3),cubic_spline(F890:F893,A890:A893,B$14),IF(AND(COUNT(A891:A902)=4,COUNT(F891:F902)=4),cubic_spline(F890:F894,A890:A894,B$14),IF(AND(COUNT(A891:A902)=5,COUNT(F891:F902)=5),cubic_spline(F890:F895,A890:A895,B$14),IF(AND(COUNT(A891:A902)=6,COUNT(F891:F902)=6),cubic_spline(F890:F896,A890:A896,B$14),IF(AND(COUNT(A891:A902)=7,COUNT(F891:F902)=7),cubic_spline(F890:F897,A890:A897,B$14),IF(AND(COUNT(A891:A902)=8,COUNT(F891:F902)=8),cubic_spline(F890:F898,A890:A898,B$14),IF(AND(COUNT(A891:A902)=9,COUNT(F891:F902)=9),cubic_spline(F890:F899,A890:A899,B$14),IF(AND(COUNT(A891:A902)=10,COUNT(F891:F902)=10),cubic_spline(F890:F900,A890:A900,B$14),IF(AND(COUNT(A891:A902)=11,COUNT(F891:F902)=11),cubic_spline(F890:F901,A890:A901,B$14),IF(AND(COUNT(A891:A902)=12,COUNT(F891:F902)=12),cubic_spline(F890:F902,A890:A902,B$14),""))))))))))))</f>
        <v/>
      </c>
      <c r="L901" s="27" t="str">
        <f>IF(I901="","",B$13&amp;"-"&amp;B$14)</f>
        <v/>
      </c>
      <c r="M901" s="52" t="str">
        <f t="shared" si="340"/>
        <v/>
      </c>
    </row>
    <row r="902" spans="1:13" x14ac:dyDescent="0.35">
      <c r="A902" s="48"/>
      <c r="B902" s="48"/>
      <c r="C902" s="49"/>
      <c r="D902" s="50"/>
      <c r="E902" s="51" t="str">
        <f t="shared" si="339"/>
        <v/>
      </c>
      <c r="F902" s="71" t="str">
        <f t="shared" si="336"/>
        <v/>
      </c>
      <c r="G902" s="69" t="str">
        <f t="shared" si="338"/>
        <v/>
      </c>
      <c r="H902" s="70" t="str">
        <f t="shared" si="337"/>
        <v/>
      </c>
      <c r="I902" s="27" t="str">
        <f>IF(N(J902)=0,"",0&amp;"-"&amp;B$15)</f>
        <v/>
      </c>
      <c r="J902" s="52" t="str">
        <f>IF(N(B$15)=0,"",IF(AND(COUNT(H891:H902)=2,COUNT(F891:F902)=2),cubic_spline(F890:F892,H890:H892,B$15),IF(AND(COUNT(H891:H902)=3,COUNT(F891:F902)=3),cubic_spline(F890:F893,H890:H893,B$15),IF(AND(COUNT(H891:H902)=4,COUNT(F891:F902)=4),cubic_spline(F890:F894,H890:H894,B$15),IF(AND(COUNT(H891:H902)=5,COUNT(F891:F902)=5),cubic_spline(F890:F895,H890:H895,B$15),IF(AND(COUNT(H891:H902)=6,COUNT(F891:F902)=6),cubic_spline(F890:F896,H890:H896,B$15),IF(AND(COUNT(H891:H902)=7,COUNT(F891:F902)=7),cubic_spline(F890:F897,H890:H897,B$15),IF(AND(COUNT(H891:H902)=8,COUNT(F891:F902)=8),cubic_spline(F890:F898,H890:H898,B$15),IF(AND(COUNT(H891:H902)=9,COUNT(F891:F902)=9),cubic_spline(F890:F899,H890:H899,B$15),IF(AND(COUNT(H891:H902)=10,COUNT(F891:F902)=10),cubic_spline(F890:F900,H890:H900,B$15),IF(AND(COUNT(H891:H902)=11,COUNT(F891:F902)=11),cubic_spline(F890:F901,H890:H901,B$15),IF(AND(COUNT(H891:H902)=12,COUNT(F891:F902)=12),cubic_spline(F890:F902,H890:H902,B$15),""))))))))))))</f>
        <v/>
      </c>
      <c r="K902" s="52" t="str">
        <f>IF(N(B$15)=0,"",IF(AND(COUNT(A891:A902)=2,COUNT(F891:F902)=2),cubic_spline(F890:F892,A890:A892,B$15),IF(AND(COUNT(A891:A902)=3,COUNT(F891:F902)=3),cubic_spline(F890:F893,A890:A893,B$15),IF(AND(COUNT(A891:A902)=4,COUNT(F891:F902)=4),cubic_spline(F890:F894,A890:A894,B$15),IF(AND(COUNT(A891:A902)=5,COUNT(F891:F902)=5),cubic_spline(F890:F895,A890:A895,B$15),IF(AND(COUNT(A891:A902)=6,COUNT(F891:F902)=6),cubic_spline(F890:F896,A890:A896,B$15),IF(AND(COUNT(A891:A902)=7,COUNT(F891:F902)=7),cubic_spline(F890:F897,A890:A897,B$15),IF(AND(COUNT(A891:A902)=8,COUNT(F891:F902)=8),cubic_spline(F890:F898,A890:A898,B$15),IF(AND(COUNT(A891:A902)=9,COUNT(F891:F902)=9),cubic_spline(F890:F899,A890:A899,B$15),IF(AND(COUNT(A891:A902)=10,COUNT(F891:F902)=10),cubic_spline(F890:F900,A890:A900,B$15),IF(AND(COUNT(A891:A902)=11,COUNT(F891:F902)=11),cubic_spline(F890:F901,A890:A901,B$15),IF(AND(COUNT(A891:A902)=12,COUNT(F891:F902)=12),cubic_spline(F890:F902,A890:A902,B$15),""))))))))))))</f>
        <v/>
      </c>
      <c r="L902" s="27" t="str">
        <f>IF(I902="","",B$14&amp;"-"&amp;B$15)</f>
        <v/>
      </c>
      <c r="M902" s="52" t="str">
        <f t="shared" si="340"/>
        <v/>
      </c>
    </row>
    <row r="903" spans="1:13" ht="5.15" customHeight="1" x14ac:dyDescent="0.35">
      <c r="A903" s="47"/>
      <c r="B903" s="47"/>
      <c r="C903" s="47"/>
      <c r="D903" s="53"/>
      <c r="E903" s="54"/>
      <c r="F903" s="55"/>
      <c r="G903" s="72"/>
      <c r="H903" s="73"/>
      <c r="I903" s="47"/>
      <c r="J903" s="57"/>
      <c r="K903" s="57"/>
      <c r="L903" s="55"/>
      <c r="M903" s="57"/>
    </row>
    <row r="904" spans="1:13" x14ac:dyDescent="0.35">
      <c r="A904" s="48"/>
      <c r="B904" s="48"/>
      <c r="C904" s="49"/>
      <c r="D904" s="50"/>
      <c r="E904" s="51" t="str">
        <f>IF(N(C904)=0,"",C904/PI()/($D$1/2)^2/$D$2*10000)</f>
        <v/>
      </c>
      <c r="F904" s="68" t="str">
        <f t="shared" ref="F904:F915" si="341">IF(N(E904)=0,"",(N(E904)+N(F903)))</f>
        <v/>
      </c>
      <c r="G904" s="69" t="str">
        <f>IF(OR(N(D904)=0,N(E904)=0),"",(E904*D904)/1000)</f>
        <v/>
      </c>
      <c r="H904" s="70" t="str">
        <f t="shared" ref="H904:H915" si="342">IF(N(G904)=0,"",(N(G904)+N(H903)))</f>
        <v/>
      </c>
      <c r="I904" s="27" t="str">
        <f>IF(N(J904)=0,"",0&amp;"-"&amp;B$4)</f>
        <v/>
      </c>
      <c r="J904" s="52" t="str">
        <f>IF(N(B$4)=0,"",IF(AND(COUNT(H904:H915)=2,COUNT(F904:F915)=2),cubic_spline(F903:F905,H903:H905,B$4),IF(AND(COUNT(H904:H915)=3,COUNT(F904:F915)=3),cubic_spline(F903:F906,H903:H906,B$4),IF(AND(COUNT(H904:H915)=4,COUNT(F904:F915)=4),cubic_spline(F903:F907,H903:H907,B$4),IF(AND(COUNT(H904:H915)=5,COUNT(F904:F915)=5),cubic_spline(F903:F908,H903:H908,B$4),IF(AND(COUNT(H904:H915)=6,COUNT(F904:F915)=6),cubic_spline(F903:F909,H903:H909,B$4),IF(AND(COUNT(H904:H915)=7,COUNT(F904:F915)=7),cubic_spline(F903:F910,H903:H910,B$4),IF(AND(COUNT(H904:H915)=8,COUNT(F904:F915)=8),cubic_spline(F903:F911,H903:H911,B$4),IF(AND(COUNT(H904:H915)=9,COUNT(F904:F915)=9),cubic_spline(F903:F912,H903:H912,B$4),IF(AND(COUNT(H904:H915)=10,COUNT(F904:F915)=10),cubic_spline(F903:F913,H903:H913,B$4),IF(AND(COUNT(H904:H915)=11,COUNT(F904:F915)=11),cubic_spline(F903:F914,H903:H914,B$4),IF(AND(COUNT(H904:H915)=12,COUNT(F904:F915)=12),cubic_spline(F903:F915,H903:H915,B$4),""))))))))))))</f>
        <v/>
      </c>
      <c r="K904" s="52" t="str">
        <f>IF(N(B$4)=0,"",IF(AND(COUNT(A904:A915)=2,COUNT(F904:F915)=2),cubic_spline(F903:F905,A903:A905,B$4),IF(AND(COUNT(A904:A915)=3,COUNT(F904:F915)=3),cubic_spline(F903:F906,A903:A906,B$4),IF(AND(COUNT(A904:A915)=4,COUNT(F904:F915)=4),cubic_spline(F903:F907,A903:A907,B$4),IF(AND(COUNT(A904:A915)=5,COUNT(F904:F915)=5),cubic_spline(F903:F908,A903:A908,B$4),IF(AND(COUNT(A904:A915)=6,COUNT(F904:F915)=6),cubic_spline(F903:F909,A903:A909,B$4),IF(AND(COUNT(A904:A915)=7,COUNT(F904:F915)=7),cubic_spline(F903:F910,A903:A910,B$4),IF(AND(COUNT(A904:A915)=8,COUNT(F904:F915)=8),cubic_spline(F903:F911,A903:A911,B$4),IF(AND(COUNT(A904:A915)=9,COUNT(F904:F915)=9),cubic_spline(F903:F912,A903:A912,B$4),IF(AND(COUNT(A904:A915)=10,COUNT(F904:F915)=10),cubic_spline(F903:F913,A903:A913,B$4),IF(AND(COUNT(A904:A915)=11,COUNT(F904:F915)=11),cubic_spline(F903:F914,A903:A914,B$4),IF(AND(COUNT(A904:A915)=12,COUNT(F904:F915)=12),cubic_spline(F903:F915,A903:A915,B$4),""))))))))))))</f>
        <v/>
      </c>
      <c r="L904" s="27" t="str">
        <f>IF(I904="","",0&amp;"-"&amp;B$4)</f>
        <v/>
      </c>
      <c r="M904" s="52" t="str">
        <f>IF(N(J904)=0,"",J904-J903)</f>
        <v/>
      </c>
    </row>
    <row r="905" spans="1:13" x14ac:dyDescent="0.35">
      <c r="A905" s="48"/>
      <c r="B905" s="48"/>
      <c r="C905" s="49"/>
      <c r="D905" s="50"/>
      <c r="E905" s="51" t="str">
        <f>IF(N(C905)=0,"",C905/PI()/($D$1/2)^2/$D$2*10000)</f>
        <v/>
      </c>
      <c r="F905" s="68" t="str">
        <f t="shared" si="341"/>
        <v/>
      </c>
      <c r="G905" s="69" t="str">
        <f t="shared" ref="G905:G915" si="343">IF(OR(N(D905)=0,N(E905)=0),"",(E905*D905)/1000)</f>
        <v/>
      </c>
      <c r="H905" s="70" t="str">
        <f t="shared" si="342"/>
        <v/>
      </c>
      <c r="I905" s="27" t="str">
        <f>IF(N(J905)=0,"",0&amp;"-"&amp;B$5)</f>
        <v/>
      </c>
      <c r="J905" s="52" t="str">
        <f>IF(N(B$5)=0,"",IF(AND(COUNT(H904:H915)=2,COUNT(F904:F915)=2),cubic_spline(F903:F905,H903:H905,B$5),IF(AND(COUNT(H904:H915)=3,COUNT(F904:F915)=3),cubic_spline(F903:F906,H903:H906,B$5),IF(AND(COUNT(H904:H915)=4,COUNT(F904:F915)=4),cubic_spline(F903:F907,H903:H907,B$5),IF(AND(COUNT(H904:H915)=5,COUNT(F904:F915)=5),cubic_spline(F903:F908,H903:H908,B$5),IF(AND(COUNT(H904:H915)=6,COUNT(F904:F915)=6),cubic_spline(F903:F909,H903:H909,B$5),IF(AND(COUNT(H904:H915)=7,COUNT(F904:F915)=7),cubic_spline(F903:F910,H903:H910,B$5),IF(AND(COUNT(H904:H915)=8,COUNT(F904:F915)=8),cubic_spline(F903:F911,H903:H911,B$5),IF(AND(COUNT(H904:H915)=9,COUNT(F904:F915)=9),cubic_spline(F903:F912,H903:H912,B$5),IF(AND(COUNT(H904:H915)=10,COUNT(F904:F915)=10),cubic_spline(F903:F913,H903:H913,B$5),IF(AND(COUNT(H904:H915)=11,COUNT(F904:F915)=11),cubic_spline(F903:F914,H903:H914,B$5),IF(AND(COUNT(H904:H915)=12,COUNT(F904:F915)=12),cubic_spline(F903:F915,H903:H915,B$5),""))))))))))))</f>
        <v/>
      </c>
      <c r="K905" s="52" t="str">
        <f>IF(N(B$5)=0,"",IF(AND(COUNT(A904:A915)=2,COUNT(F904:F915)=2),cubic_spline(F903:F905,A903:A905,B$5),IF(AND(COUNT(A904:A915)=3,COUNT(F904:F915)=3),cubic_spline(F903:F906,A903:A906,B$5),IF(AND(COUNT(A904:A915)=4,COUNT(F904:F915)=4),cubic_spline(F903:F907,A903:A907,B$5),IF(AND(COUNT(A904:A915)=5,COUNT(F904:F915)=5),cubic_spline(F903:F908,A903:A908,B$5),IF(AND(COUNT(A904:A915)=6,COUNT(F904:F915)=6),cubic_spline(F903:F909,A903:A909,B$5),IF(AND(COUNT(A904:A915)=7,COUNT(F904:F915)=7),cubic_spline(F903:F910,A903:A910,B$5),IF(AND(COUNT(A904:A915)=8,COUNT(F904:F915)=8),cubic_spline(F903:F911,A903:A911,B$5),IF(AND(COUNT(A904:A915)=9,COUNT(F904:F915)=9),cubic_spline(F903:F912,A903:A912,B$5),IF(AND(COUNT(A904:A915)=10,COUNT(F904:F915)=10),cubic_spline(F903:F913,A903:A913,B$5),IF(AND(COUNT(A904:A915)=11,COUNT(F904:F915)=11),cubic_spline(F903:F914,A903:A914,B$5),IF(AND(COUNT(A904:A915)=12,COUNT(F904:F915)=12),cubic_spline(F903:F915,A903:A915,B$5),""))))))))))))</f>
        <v/>
      </c>
      <c r="L905" s="27" t="str">
        <f>IF(I905="","",B$4&amp;"-"&amp;B$5)</f>
        <v/>
      </c>
      <c r="M905" s="52" t="str">
        <f>IF(N(J905)=0,"",J905-J904)</f>
        <v/>
      </c>
    </row>
    <row r="906" spans="1:13" x14ac:dyDescent="0.35">
      <c r="A906" s="48"/>
      <c r="B906" s="48"/>
      <c r="C906" s="49"/>
      <c r="D906" s="50"/>
      <c r="E906" s="51" t="str">
        <f>IF(N(C906)=0,"",C906/PI()/($D$1/2)^2/$D$2*10000)</f>
        <v/>
      </c>
      <c r="F906" s="68" t="str">
        <f t="shared" si="341"/>
        <v/>
      </c>
      <c r="G906" s="69" t="str">
        <f t="shared" si="343"/>
        <v/>
      </c>
      <c r="H906" s="70" t="str">
        <f t="shared" si="342"/>
        <v/>
      </c>
      <c r="I906" s="27" t="str">
        <f>IF(N(J906)=0,"",0&amp;"-"&amp;B$6)</f>
        <v/>
      </c>
      <c r="J906" s="52" t="str">
        <f>IF(N(B$6)=0,"",IF(AND(COUNT(H904:H915)=2,COUNT(F904:F915)=2),cubic_spline(F903:F905,H903:H905,B$6),IF(AND(COUNT(H904:H915)=3,COUNT(F904:F915)=3),cubic_spline(F903:F906,H903:H906,B$6),IF(AND(COUNT(H904:H915)=4,COUNT(F904:F915)=4),cubic_spline(F903:F907,H903:H907,B$6),IF(AND(COUNT(H904:H915)=5,COUNT(F904:F915)=5),cubic_spline(F903:F908,H903:H908,B$6),IF(AND(COUNT(H904:H915)=6,COUNT(F904:F915)=6),cubic_spline(F903:F909,H903:H909,B$6),IF(AND(COUNT(H904:H915)=7,COUNT(F904:F915)=7),cubic_spline(F903:F910,H903:H910,B$6),IF(AND(COUNT(H904:H915)=8,COUNT(F904:F915)=8),cubic_spline(F903:F911,H903:H911,B$6),IF(AND(COUNT(H904:H915)=9,COUNT(F904:F915)=9),cubic_spline(F903:F912,H903:H912,B$6),IF(AND(COUNT(H904:H915)=10,COUNT(F904:F915)=10),cubic_spline(F903:F913,H903:H913,B$6),IF(AND(COUNT(H904:H915)=11,COUNT(F904:F915)=11),cubic_spline(F903:F914,H903:H914,B$6),IF(AND(COUNT(H904:H915)=12,COUNT(F904:F915)=12),cubic_spline(F903:F915,H903:H915,B$6),""))))))))))))</f>
        <v/>
      </c>
      <c r="K906" s="52" t="str">
        <f>IF(N(B$6)=0,"",IF(AND(COUNT(A904:A915)=2,COUNT(F904:F915)=2),cubic_spline(F903:F905,A903:A905,B$6),IF(AND(COUNT(A904:A915)=3,COUNT(F904:F915)=3),cubic_spline(F903:F906,A903:A906,B$6),IF(AND(COUNT(A904:A915)=4,COUNT(F904:F915)=4),cubic_spline(F903:F907,A903:A907,B$6),IF(AND(COUNT(A904:A915)=5,COUNT(F904:F915)=5),cubic_spline(F903:F908,A903:A908,B$6),IF(AND(COUNT(A904:A915)=6,COUNT(F904:F915)=6),cubic_spline(F903:F909,A903:A909,B$6),IF(AND(COUNT(A904:A915)=7,COUNT(F904:F915)=7),cubic_spline(F903:F910,A903:A910,B$6),IF(AND(COUNT(A904:A915)=8,COUNT(F904:F915)=8),cubic_spline(F903:F911,A903:A911,B$6),IF(AND(COUNT(A904:A915)=9,COUNT(F904:F915)=9),cubic_spline(F903:F912,A903:A912,B$6),IF(AND(COUNT(A904:A915)=10,COUNT(F904:F915)=10),cubic_spline(F903:F913,A903:A913,B$6),IF(AND(COUNT(A904:A915)=11,COUNT(F904:F915)=11),cubic_spline(F903:F914,A903:A914,B$6),IF(AND(COUNT(A904:A915)=12,COUNT(F904:F915)=12),cubic_spline(F903:F915,A903:A915,B$6),""))))))))))))</f>
        <v/>
      </c>
      <c r="L906" s="27" t="str">
        <f>IF(I906="","",B$5&amp;"-"&amp;B$6)</f>
        <v/>
      </c>
      <c r="M906" s="52" t="str">
        <f>IF(N(J906)=0,"",J906-J905)</f>
        <v/>
      </c>
    </row>
    <row r="907" spans="1:13" x14ac:dyDescent="0.35">
      <c r="A907" s="48"/>
      <c r="B907" s="48"/>
      <c r="C907" s="49"/>
      <c r="D907" s="50"/>
      <c r="E907" s="51" t="str">
        <f>IF(N(C907)=0,"",C907/PI()/($D$1/2)^2/$D$2*10000)</f>
        <v/>
      </c>
      <c r="F907" s="68" t="str">
        <f t="shared" si="341"/>
        <v/>
      </c>
      <c r="G907" s="69" t="str">
        <f t="shared" si="343"/>
        <v/>
      </c>
      <c r="H907" s="70" t="str">
        <f t="shared" si="342"/>
        <v/>
      </c>
      <c r="I907" s="27" t="str">
        <f>IF(N(J907)=0,"",0&amp;"-"&amp;B$7)</f>
        <v/>
      </c>
      <c r="J907" s="52" t="str">
        <f>IF(N(B$7)=0,"",IF(AND(COUNT(H904:H915)=2,COUNT(F904:F915)=2),cubic_spline(F903:F905,H903:H905,B$7),IF(AND(COUNT(H904:H915)=3,COUNT(F904:F915)=3),cubic_spline(F903:F906,H903:H906,B$7),IF(AND(COUNT(H904:H915)=4,COUNT(F904:F915)=4),cubic_spline(F903:F907,H903:H907,B$7),IF(AND(COUNT(H904:H915)=5,COUNT(F904:F915)=5),cubic_spline(F903:F908,H903:H908,B$7),IF(AND(COUNT(H904:H915)=6,COUNT(F904:F915)=6),cubic_spline(F903:F909,H903:H909,B$7),IF(AND(COUNT(H904:H915)=7,COUNT(F904:F915)=7),cubic_spline(F903:F910,H903:H910,B$7),IF(AND(COUNT(H904:H915)=8,COUNT(F904:F915)=8),cubic_spline(F903:F911,H903:H911,B$7),IF(AND(COUNT(H904:H915)=9,COUNT(F904:F915)=9),cubic_spline(F903:F912,H903:H912,B$7),IF(AND(COUNT(H904:H915)=10,COUNT(F904:F915)=10),cubic_spline(F903:F913,H903:H913,B$7),IF(AND(COUNT(H904:H915)=11,COUNT(F904:F915)=11),cubic_spline(F903:F914,H903:H914,B$7),IF(AND(COUNT(H904:H915)=12,COUNT(F904:F915)=12),cubic_spline(F903:F915,H903:H915,B$7),""))))))))))))</f>
        <v/>
      </c>
      <c r="K907" s="52" t="str">
        <f>IF(N(B$7)=0,"",IF(AND(COUNT(A904:A915)=2,COUNT(F904:F915)=2),cubic_spline(F903:F905,A903:A905,B$7),IF(AND(COUNT(A904:A915)=3,COUNT(F904:F915)=3),cubic_spline(F903:F906,A903:A906,B$7),IF(AND(COUNT(A904:A915)=4,COUNT(F904:F915)=4),cubic_spline(F903:F907,A903:A907,B$7),IF(AND(COUNT(A904:A915)=5,COUNT(F904:F915)=5),cubic_spline(F903:F908,A903:A908,B$7),IF(AND(COUNT(A904:A915)=6,COUNT(F904:F915)=6),cubic_spline(F903:F909,A903:A909,B$7),IF(AND(COUNT(A904:A915)=7,COUNT(F904:F915)=7),cubic_spline(F903:F910,A903:A910,B$7),IF(AND(COUNT(A904:A915)=8,COUNT(F904:F915)=8),cubic_spline(F903:F911,A903:A911,B$7),IF(AND(COUNT(A904:A915)=9,COUNT(F904:F915)=9),cubic_spline(F903:F912,A903:A912,B$7),IF(AND(COUNT(A904:A915)=10,COUNT(F904:F915)=10),cubic_spline(F903:F913,A903:A913,B$7),IF(AND(COUNT(A904:A915)=11,COUNT(F904:F915)=11),cubic_spline(F903:F914,A903:A914,B$7),IF(AND(COUNT(A904:A915)=12,COUNT(F904:F915)=12),cubic_spline(F903:F915,A903:A915,B$7),""))))))))))))</f>
        <v/>
      </c>
      <c r="L907" s="27" t="str">
        <f>IF(I907="","",B$6&amp;"-"&amp;B$7)</f>
        <v/>
      </c>
      <c r="M907" s="52" t="str">
        <f>IF(N(J907)=0,"",J907-J906)</f>
        <v/>
      </c>
    </row>
    <row r="908" spans="1:13" x14ac:dyDescent="0.35">
      <c r="A908" s="48"/>
      <c r="B908" s="48"/>
      <c r="C908" s="49"/>
      <c r="D908" s="50"/>
      <c r="E908" s="51" t="str">
        <f t="shared" ref="E908:E915" si="344">IF(N(C908)=0,"",C908/PI()/($D$1/2)^2/$D$2*10000)</f>
        <v/>
      </c>
      <c r="F908" s="71" t="str">
        <f t="shared" si="341"/>
        <v/>
      </c>
      <c r="G908" s="69" t="str">
        <f t="shared" si="343"/>
        <v/>
      </c>
      <c r="H908" s="70" t="str">
        <f t="shared" si="342"/>
        <v/>
      </c>
      <c r="I908" s="27" t="str">
        <f>IF(N(J908)=0,"",0&amp;"-"&amp;B$8)</f>
        <v/>
      </c>
      <c r="J908" s="52" t="str">
        <f>IF(N(B$8)=0,"",IF(AND(COUNT(H904:H915)=2,COUNT(F904:F915)=2),cubic_spline(F903:F905,H903:H905,B$8),IF(AND(COUNT(H904:H915)=3,COUNT(F904:F915)=3),cubic_spline(F903:F906,H903:H906,B$8),IF(AND(COUNT(H904:H915)=4,COUNT(F904:F915)=4),cubic_spline(F903:F907,H903:H907,B$8),IF(AND(COUNT(H904:H915)=5,COUNT(F904:F915)=5),cubic_spline(F903:F908,H903:H908,B$8),IF(AND(COUNT(H904:H915)=6,COUNT(F904:F915)=6),cubic_spline(F903:F909,H903:H909,B$8),IF(AND(COUNT(H904:H915)=7,COUNT(F904:F915)=7),cubic_spline(F903:F910,H903:H910,B$8),IF(AND(COUNT(H904:H915)=8,COUNT(F904:F915)=8),cubic_spline(F903:F911,H903:H911,B$8),IF(AND(COUNT(H904:H915)=9,COUNT(F904:F915)=9),cubic_spline(F903:F912,H903:H912,B$8),IF(AND(COUNT(H904:H915)=10,COUNT(F904:F915)=10),cubic_spline(F903:F913,H903:H913,B$8),IF(AND(COUNT(H904:H915)=11,COUNT(F904:F915)=11),cubic_spline(F903:F914,H903:H914,B$8),IF(AND(COUNT(H904:H915)=12,COUNT(F904:F915)=12),cubic_spline(F903:F915,H903:H915,B$8),""))))))))))))</f>
        <v/>
      </c>
      <c r="K908" s="52" t="str">
        <f>IF(N(B$8)=0,"",IF(AND(COUNT(A904:A915)=2,COUNT(F904:F915)=2),cubic_spline(F903:F905,A903:A905,B$8),IF(AND(COUNT(A904:A915)=3,COUNT(F904:F915)=3),cubic_spline(F903:F906,A903:A906,B$8),IF(AND(COUNT(A904:A915)=4,COUNT(F904:F915)=4),cubic_spline(F903:F907,A903:A907,B$8),IF(AND(COUNT(A904:A915)=5,COUNT(F904:F915)=5),cubic_spline(F903:F908,A903:A908,B$8),IF(AND(COUNT(A904:A915)=6,COUNT(F904:F915)=6),cubic_spline(F903:F909,A903:A909,B$8),IF(AND(COUNT(A904:A915)=7,COUNT(F904:F915)=7),cubic_spline(F903:F910,A903:A910,B$8),IF(AND(COUNT(A904:A915)=8,COUNT(F904:F915)=8),cubic_spline(F903:F911,A903:A911,B$8),IF(AND(COUNT(A904:A915)=9,COUNT(F904:F915)=9),cubic_spline(F903:F912,A903:A912,B$8),IF(AND(COUNT(A904:A915)=10,COUNT(F904:F915)=10),cubic_spline(F903:F913,A903:A913,B$8),IF(AND(COUNT(A904:A915)=11,COUNT(F904:F915)=11),cubic_spline(F903:F914,A903:A914,B$8),IF(AND(COUNT(A904:A915)=12,COUNT(F904:F915)=12),cubic_spline(F903:F915,A903:A915,B$8),""))))))))))))</f>
        <v/>
      </c>
      <c r="L908" s="27" t="str">
        <f>IF(I908="","",B$7&amp;"-"&amp;B$8)</f>
        <v/>
      </c>
      <c r="M908" s="52" t="str">
        <f>IF(N(J908)=0,"",J908-J907)</f>
        <v/>
      </c>
    </row>
    <row r="909" spans="1:13" x14ac:dyDescent="0.35">
      <c r="A909" s="48"/>
      <c r="B909" s="48"/>
      <c r="C909" s="49"/>
      <c r="D909" s="50"/>
      <c r="E909" s="51" t="str">
        <f t="shared" si="344"/>
        <v/>
      </c>
      <c r="F909" s="71" t="str">
        <f t="shared" si="341"/>
        <v/>
      </c>
      <c r="G909" s="69" t="str">
        <f t="shared" si="343"/>
        <v/>
      </c>
      <c r="H909" s="70" t="str">
        <f t="shared" si="342"/>
        <v/>
      </c>
      <c r="I909" s="27" t="str">
        <f>IF(N(J909)=0,"",0&amp;"-"&amp;B$9)</f>
        <v/>
      </c>
      <c r="J909" s="52" t="str">
        <f>IF(N(B$9)=0,"",IF(AND(COUNT(H904:H915)=2,COUNT(F904:F915)=2),cubic_spline(F903:F905,H903:H905,B$9),IF(AND(COUNT(H904:H915)=3,COUNT(F904:F915)=3),cubic_spline(F903:F906,H903:H906,B$9),IF(AND(COUNT(H904:H915)=4,COUNT(F904:F915)=4),cubic_spline(F903:F907,H903:H907,B$9),IF(AND(COUNT(H904:H915)=5,COUNT(F904:F915)=5),cubic_spline(F903:F908,H903:H908,B$9),IF(AND(COUNT(H904:H915)=6,COUNT(F904:F915)=6),cubic_spline(F903:F909,H903:H909,B$9),IF(AND(COUNT(H904:H915)=7,COUNT(F904:F915)=7),cubic_spline(F903:F910,H903:H910,B$9),IF(AND(COUNT(H904:H915)=8,COUNT(F904:F915)=8),cubic_spline(F903:F911,H903:H911,B$9),IF(AND(COUNT(H904:H915)=9,COUNT(F904:F915)=9),cubic_spline(F903:F912,H903:H912,B$9),IF(AND(COUNT(H904:H915)=10,COUNT(F904:F915)=10),cubic_spline(F903:F913,H903:H913,B$9),IF(AND(COUNT(H904:H915)=11,COUNT(F904:F915)=11),cubic_spline(F903:F914,H903:H914,B$9),IF(AND(COUNT(H904:H915)=12,COUNT(F904:F915)=12),cubic_spline(F903:F915,H903:H915,B$9),""))))))))))))</f>
        <v/>
      </c>
      <c r="K909" s="52" t="str">
        <f>IF(N(B$9)=0,"",IF(AND(COUNT(A904:A915)=2,COUNT(F904:F915)=2),cubic_spline(F903:F905,A903:A905,B$9),IF(AND(COUNT(A904:A915)=3,COUNT(F904:F915)=3),cubic_spline(F903:F906,A903:A906,B$9),IF(AND(COUNT(A904:A915)=4,COUNT(F904:F915)=4),cubic_spline(F903:F907,A903:A907,B$9),IF(AND(COUNT(A904:A915)=5,COUNT(F904:F915)=5),cubic_spline(F903:F908,A903:A908,B$9),IF(AND(COUNT(A904:A915)=6,COUNT(F904:F915)=6),cubic_spline(F903:F909,A903:A909,B$9),IF(AND(COUNT(A904:A915)=7,COUNT(F904:F915)=7),cubic_spline(F903:F910,A903:A910,B$9),IF(AND(COUNT(A904:A915)=8,COUNT(F904:F915)=8),cubic_spline(F903:F911,A903:A911,B$9),IF(AND(COUNT(A904:A915)=9,COUNT(F904:F915)=9),cubic_spline(F903:F912,A903:A912,B$9),IF(AND(COUNT(A904:A915)=10,COUNT(F904:F915)=10),cubic_spline(F903:F913,A903:A913,B$9),IF(AND(COUNT(A904:A915)=11,COUNT(F904:F915)=11),cubic_spline(F903:F914,A903:A914,B$9),IF(AND(COUNT(A904:A915)=12,COUNT(F904:F915)=12),cubic_spline(F903:F915,A903:A915,B$9),""))))))))))))</f>
        <v/>
      </c>
      <c r="L909" s="27" t="str">
        <f>IF(I909="","",B$8&amp;"-"&amp;B$9)</f>
        <v/>
      </c>
      <c r="M909" s="52" t="str">
        <f t="shared" ref="M909:M915" si="345">IF(N(J909)=0,"",J909-J908)</f>
        <v/>
      </c>
    </row>
    <row r="910" spans="1:13" x14ac:dyDescent="0.35">
      <c r="A910" s="48"/>
      <c r="B910" s="48"/>
      <c r="C910" s="49"/>
      <c r="D910" s="50"/>
      <c r="E910" s="51" t="str">
        <f t="shared" si="344"/>
        <v/>
      </c>
      <c r="F910" s="71" t="str">
        <f t="shared" si="341"/>
        <v/>
      </c>
      <c r="G910" s="69" t="str">
        <f t="shared" si="343"/>
        <v/>
      </c>
      <c r="H910" s="70" t="str">
        <f t="shared" si="342"/>
        <v/>
      </c>
      <c r="I910" s="27" t="str">
        <f>IF(N(J910)=0,"",0&amp;"-"&amp;B$10)</f>
        <v/>
      </c>
      <c r="J910" s="52" t="str">
        <f>IF(N(B$10)=0,"",IF(AND(COUNT(H904:H915)=2,COUNT(F904:F915)=2),cubic_spline(F903:F905,H903:H905,B$10),IF(AND(COUNT(H904:H915)=3,COUNT(F904:F915)=3),cubic_spline(F903:F906,H903:H906,B$10),IF(AND(COUNT(H904:H915)=4,COUNT(F904:F915)=4),cubic_spline(F903:F907,H903:H907,B$10),IF(AND(COUNT(H904:H915)=5,COUNT(F904:F915)=5),cubic_spline(F903:F908,H903:H908,B$10),IF(AND(COUNT(H904:H915)=6,COUNT(F904:F915)=6),cubic_spline(F903:F909,H903:H909,B$10),IF(AND(COUNT(H904:H915)=7,COUNT(F904:F915)=7),cubic_spline(F903:F910,H903:H910,B$10),IF(AND(COUNT(H904:H915)=8,COUNT(F904:F915)=8),cubic_spline(F903:F911,H903:H911,B$10),IF(AND(COUNT(H904:H915)=9,COUNT(F904:F915)=9),cubic_spline(F903:F912,H903:H912,B$10),IF(AND(COUNT(H904:H915)=10,COUNT(F904:F915)=10),cubic_spline(F903:F913,H903:H913,B$10),IF(AND(COUNT(H904:H915)=11,COUNT(F904:F915)=11),cubic_spline(F903:F914,H903:H914,B$10),IF(AND(COUNT(H904:H915)=12,COUNT(F904:F915)=12),cubic_spline(F903:F915,H903:H915,B$10),""))))))))))))</f>
        <v/>
      </c>
      <c r="K910" s="52" t="str">
        <f>IF(N(B$10)=0,"",IF(AND(COUNT(A904:A915)=2,COUNT(F904:F915)=2),cubic_spline(F903:F905,A903:A905,B$10),IF(AND(COUNT(A904:A915)=3,COUNT(F904:F915)=3),cubic_spline(F903:F906,A903:A906,B$10),IF(AND(COUNT(A904:A915)=4,COUNT(F904:F915)=4),cubic_spline(F903:F907,A903:A907,B$10),IF(AND(COUNT(A904:A915)=5,COUNT(F904:F915)=5),cubic_spline(F903:F908,A903:A908,B$10),IF(AND(COUNT(A904:A915)=6,COUNT(F904:F915)=6),cubic_spline(F903:F909,A903:A909,B$10),IF(AND(COUNT(A904:A915)=7,COUNT(F904:F915)=7),cubic_spline(F903:F910,A903:A910,B$10),IF(AND(COUNT(A904:A915)=8,COUNT(F904:F915)=8),cubic_spline(F903:F911,A903:A911,B$10),IF(AND(COUNT(A904:A915)=9,COUNT(F904:F915)=9),cubic_spline(F903:F912,A903:A912,B$10),IF(AND(COUNT(A904:A915)=10,COUNT(F904:F915)=10),cubic_spline(F903:F913,A903:A913,B$10),IF(AND(COUNT(A904:A915)=11,COUNT(F904:F915)=11),cubic_spline(F903:F914,A903:A914,B$10),IF(AND(COUNT(A904:A915)=12,COUNT(F904:F915)=12),cubic_spline(F903:F915,A903:A915,B$10),""))))))))))))</f>
        <v/>
      </c>
      <c r="L910" s="27" t="str">
        <f>IF(I910="","",B$9&amp;"-"&amp;B$10)</f>
        <v/>
      </c>
      <c r="M910" s="52" t="str">
        <f t="shared" si="345"/>
        <v/>
      </c>
    </row>
    <row r="911" spans="1:13" x14ac:dyDescent="0.35">
      <c r="A911" s="48"/>
      <c r="B911" s="48"/>
      <c r="C911" s="49"/>
      <c r="D911" s="50"/>
      <c r="E911" s="51" t="str">
        <f t="shared" si="344"/>
        <v/>
      </c>
      <c r="F911" s="71" t="str">
        <f t="shared" si="341"/>
        <v/>
      </c>
      <c r="G911" s="69" t="str">
        <f t="shared" si="343"/>
        <v/>
      </c>
      <c r="H911" s="70" t="str">
        <f t="shared" si="342"/>
        <v/>
      </c>
      <c r="I911" s="27" t="str">
        <f>IF(N(J911)=0,"",0&amp;"-"&amp;B$11)</f>
        <v/>
      </c>
      <c r="J911" s="52" t="str">
        <f>IF(N(B$11)=0,"",IF(AND(COUNT(H904:H915)=2,COUNT(F904:F915)=2),cubic_spline(F903:F905,H903:H905,B$11),IF(AND(COUNT(H904:H915)=3,COUNT(F904:F915)=3),cubic_spline(F903:F906,H903:H906,B$11),IF(AND(COUNT(H904:H915)=4,COUNT(F904:F915)=4),cubic_spline(F903:F907,H903:H907,B$11),IF(AND(COUNT(H904:H915)=5,COUNT(F904:F915)=5),cubic_spline(F903:F908,H903:H908,B$11),IF(AND(COUNT(H904:H915)=6,COUNT(F904:F915)=6),cubic_spline(F903:F909,H903:H909,B$11),IF(AND(COUNT(H904:H915)=7,COUNT(F904:F915)=7),cubic_spline(F903:F910,H903:H910,B$11),IF(AND(COUNT(H904:H915)=8,COUNT(F904:F915)=8),cubic_spline(F903:F911,H903:H911,B$11),IF(AND(COUNT(H904:H915)=9,COUNT(F904:F915)=9),cubic_spline(F903:F912,H903:H912,B$11),IF(AND(COUNT(H904:H915)=10,COUNT(F904:F915)=10),cubic_spline(F903:F913,H903:H913,B$11),IF(AND(COUNT(H904:H915)=11,COUNT(F904:F915)=11),cubic_spline(F903:F914,H903:H914,B$11),IF(AND(COUNT(H904:H915)=12,COUNT(F904:F915)=12),cubic_spline(F903:F915,H903:H915,B$11),""))))))))))))</f>
        <v/>
      </c>
      <c r="K911" s="52" t="str">
        <f>IF(N(B$11)=0,"",IF(AND(COUNT(A904:A915)=2,COUNT(F904:F915)=2),cubic_spline(F903:F905,A903:A905,B$11),IF(AND(COUNT(A904:A915)=3,COUNT(F904:F915)=3),cubic_spline(F903:F906,A903:A906,B$11),IF(AND(COUNT(A904:A915)=4,COUNT(F904:F915)=4),cubic_spline(F903:F907,A903:A907,B$11),IF(AND(COUNT(A904:A915)=5,COUNT(F904:F915)=5),cubic_spline(F903:F908,A903:A908,B$11),IF(AND(COUNT(A904:A915)=6,COUNT(F904:F915)=6),cubic_spline(F903:F909,A903:A909,B$11),IF(AND(COUNT(A904:A915)=7,COUNT(F904:F915)=7),cubic_spline(F903:F910,A903:A910,B$11),IF(AND(COUNT(A904:A915)=8,COUNT(F904:F915)=8),cubic_spline(F903:F911,A903:A911,B$11),IF(AND(COUNT(A904:A915)=9,COUNT(F904:F915)=9),cubic_spline(F903:F912,A903:A912,B$11),IF(AND(COUNT(A904:A915)=10,COUNT(F904:F915)=10),cubic_spline(F903:F913,A903:A913,B$11),IF(AND(COUNT(A904:A915)=11,COUNT(F904:F915)=11),cubic_spline(F903:F914,A903:A914,B$11),IF(AND(COUNT(A904:A915)=12,COUNT(F904:F915)=12),cubic_spline(F903:F915,A903:A915,B$11),""))))))))))))</f>
        <v/>
      </c>
      <c r="L911" s="27" t="str">
        <f>IF(I911="","",B$10&amp;"-"&amp;B$11)</f>
        <v/>
      </c>
      <c r="M911" s="52" t="str">
        <f t="shared" si="345"/>
        <v/>
      </c>
    </row>
    <row r="912" spans="1:13" x14ac:dyDescent="0.35">
      <c r="A912" s="48"/>
      <c r="B912" s="48"/>
      <c r="C912" s="49"/>
      <c r="D912" s="50"/>
      <c r="E912" s="51" t="str">
        <f t="shared" si="344"/>
        <v/>
      </c>
      <c r="F912" s="71" t="str">
        <f t="shared" si="341"/>
        <v/>
      </c>
      <c r="G912" s="69" t="str">
        <f t="shared" si="343"/>
        <v/>
      </c>
      <c r="H912" s="70" t="str">
        <f t="shared" si="342"/>
        <v/>
      </c>
      <c r="I912" s="27" t="str">
        <f>IF(N(J912)=0,"",0&amp;"-"&amp;B$12)</f>
        <v/>
      </c>
      <c r="J912" s="52" t="str">
        <f>IF(N(B$12)=0,"",IF(AND(COUNT(H904:H915)=2,COUNT(F904:F915)=2),cubic_spline(F903:F905,H903:H905,B$12),IF(AND(COUNT(H904:H915)=3,COUNT(F904:F915)=3),cubic_spline(F903:F906,H903:H906,B$12),IF(AND(COUNT(H904:H915)=4,COUNT(F904:F915)=4),cubic_spline(F903:F907,H903:H907,B$12),IF(AND(COUNT(H904:H915)=5,COUNT(F904:F915)=5),cubic_spline(F903:F908,H903:H908,B$12),IF(AND(COUNT(H904:H915)=6,COUNT(F904:F915)=6),cubic_spline(F903:F909,H903:H909,B$12),IF(AND(COUNT(H904:H915)=7,COUNT(F904:F915)=7),cubic_spline(F903:F910,H903:H910,B$12),IF(AND(COUNT(H904:H915)=8,COUNT(F904:F915)=8),cubic_spline(F903:F911,H903:H911,B$12),IF(AND(COUNT(H904:H915)=9,COUNT(F904:F915)=9),cubic_spline(F903:F912,H903:H912,B$12),IF(AND(COUNT(H904:H915)=10,COUNT(F904:F915)=10),cubic_spline(F903:F913,H903:H913,B$12),IF(AND(COUNT(H904:H915)=11,COUNT(F904:F915)=11),cubic_spline(F903:F914,H903:H914,B$12),IF(AND(COUNT(H904:H915)=12,COUNT(F904:F915)=12),cubic_spline(F903:F915,H903:H915,B$12),""))))))))))))</f>
        <v/>
      </c>
      <c r="K912" s="52" t="str">
        <f>IF(N(B$12)=0,"",IF(AND(COUNT(A904:A915)=2,COUNT(F904:F915)=2),cubic_spline(F903:F905,A903:A905,B$12),IF(AND(COUNT(A904:A915)=3,COUNT(F904:F915)=3),cubic_spline(F903:F906,A903:A906,B$12),IF(AND(COUNT(A904:A915)=4,COUNT(F904:F915)=4),cubic_spline(F903:F907,A903:A907,B$12),IF(AND(COUNT(A904:A915)=5,COUNT(F904:F915)=5),cubic_spline(F903:F908,A903:A908,B$12),IF(AND(COUNT(A904:A915)=6,COUNT(F904:F915)=6),cubic_spline(F903:F909,A903:A909,B$12),IF(AND(COUNT(A904:A915)=7,COUNT(F904:F915)=7),cubic_spline(F903:F910,A903:A910,B$12),IF(AND(COUNT(A904:A915)=8,COUNT(F904:F915)=8),cubic_spline(F903:F911,A903:A911,B$12),IF(AND(COUNT(A904:A915)=9,COUNT(F904:F915)=9),cubic_spline(F903:F912,A903:A912,B$12),IF(AND(COUNT(A904:A915)=10,COUNT(F904:F915)=10),cubic_spline(F903:F913,A903:A913,B$12),IF(AND(COUNT(A904:A915)=11,COUNT(F904:F915)=11),cubic_spline(F903:F914,A903:A914,B$12),IF(AND(COUNT(A904:A915)=12,COUNT(F904:F915)=12),cubic_spline(F903:F915,A903:A915,B$12),""))))))))))))</f>
        <v/>
      </c>
      <c r="L912" s="27" t="str">
        <f>IF(I912="","",B$11&amp;"-"&amp;B$12)</f>
        <v/>
      </c>
      <c r="M912" s="52" t="str">
        <f t="shared" si="345"/>
        <v/>
      </c>
    </row>
    <row r="913" spans="1:13" x14ac:dyDescent="0.35">
      <c r="A913" s="48"/>
      <c r="B913" s="48"/>
      <c r="C913" s="49"/>
      <c r="D913" s="50"/>
      <c r="E913" s="51" t="str">
        <f t="shared" si="344"/>
        <v/>
      </c>
      <c r="F913" s="71" t="str">
        <f t="shared" si="341"/>
        <v/>
      </c>
      <c r="G913" s="69" t="str">
        <f t="shared" si="343"/>
        <v/>
      </c>
      <c r="H913" s="70" t="str">
        <f t="shared" si="342"/>
        <v/>
      </c>
      <c r="I913" s="27" t="str">
        <f>IF(N(J913)=0,"",0&amp;"-"&amp;B$13)</f>
        <v/>
      </c>
      <c r="J913" s="52" t="str">
        <f>IF(N(B$13)=0,"",IF(AND(COUNT(H904:H915)=2,COUNT(F904:F915)=2),cubic_spline(F903:F905,H903:H905,B$13),IF(AND(COUNT(H904:H915)=3,COUNT(F904:F915)=3),cubic_spline(F903:F906,H903:H906,B$13),IF(AND(COUNT(H904:H915)=4,COUNT(F904:F915)=4),cubic_spline(F903:F907,H903:H907,B$13),IF(AND(COUNT(H904:H915)=5,COUNT(F904:F915)=5),cubic_spline(F903:F908,H903:H908,B$13),IF(AND(COUNT(H904:H915)=6,COUNT(F904:F915)=6),cubic_spline(F903:F909,H903:H909,B$13),IF(AND(COUNT(H904:H915)=7,COUNT(F904:F915)=7),cubic_spline(F903:F910,H903:H910,B$13),IF(AND(COUNT(H904:H915)=8,COUNT(F904:F915)=8),cubic_spline(F903:F911,H903:H911,B$13),IF(AND(COUNT(H904:H915)=9,COUNT(F904:F915)=9),cubic_spline(F903:F912,H903:H912,B$13),IF(AND(COUNT(H904:H915)=10,COUNT(F904:F915)=10),cubic_spline(F903:F913,H903:H913,B$13),IF(AND(COUNT(H904:H915)=11,COUNT(F904:F915)=11),cubic_spline(F903:F914,H903:H914,B$13),IF(AND(COUNT(H904:H915)=12,COUNT(F904:F915)=12),cubic_spline(F903:F915,H903:H915,B$13),""))))))))))))</f>
        <v/>
      </c>
      <c r="K913" s="52" t="str">
        <f>IF(N(B$13)=0,"",IF(AND(COUNT(A904:A915)=2,COUNT(F904:F915)=2),cubic_spline(F903:F905,A903:A905,B$13),IF(AND(COUNT(A904:A915)=3,COUNT(F904:F915)=3),cubic_spline(F903:F906,A903:A906,B$13),IF(AND(COUNT(A904:A915)=4,COUNT(F904:F915)=4),cubic_spline(F903:F907,A903:A907,B$13),IF(AND(COUNT(A904:A915)=5,COUNT(F904:F915)=5),cubic_spline(F903:F908,A903:A908,B$13),IF(AND(COUNT(A904:A915)=6,COUNT(F904:F915)=6),cubic_spline(F903:F909,A903:A909,B$13),IF(AND(COUNT(A904:A915)=7,COUNT(F904:F915)=7),cubic_spline(F903:F910,A903:A910,B$13),IF(AND(COUNT(A904:A915)=8,COUNT(F904:F915)=8),cubic_spline(F903:F911,A903:A911,B$13),IF(AND(COUNT(A904:A915)=9,COUNT(F904:F915)=9),cubic_spline(F903:F912,A903:A912,B$13),IF(AND(COUNT(A904:A915)=10,COUNT(F904:F915)=10),cubic_spline(F903:F913,A903:A913,B$13),IF(AND(COUNT(A904:A915)=11,COUNT(F904:F915)=11),cubic_spline(F903:F914,A903:A914,B$13),IF(AND(COUNT(A904:A915)=12,COUNT(F904:F915)=12),cubic_spline(F903:F915,A903:A915,B$13),""))))))))))))</f>
        <v/>
      </c>
      <c r="L913" s="27" t="str">
        <f>IF(I913="","",B$12&amp;"-"&amp;B$13)</f>
        <v/>
      </c>
      <c r="M913" s="52" t="str">
        <f t="shared" si="345"/>
        <v/>
      </c>
    </row>
    <row r="914" spans="1:13" x14ac:dyDescent="0.35">
      <c r="A914" s="48"/>
      <c r="B914" s="48"/>
      <c r="C914" s="49"/>
      <c r="D914" s="50"/>
      <c r="E914" s="51" t="str">
        <f t="shared" si="344"/>
        <v/>
      </c>
      <c r="F914" s="71" t="str">
        <f t="shared" si="341"/>
        <v/>
      </c>
      <c r="G914" s="69" t="str">
        <f t="shared" si="343"/>
        <v/>
      </c>
      <c r="H914" s="70" t="str">
        <f t="shared" si="342"/>
        <v/>
      </c>
      <c r="I914" s="27" t="str">
        <f>IF(N(J914)=0,"",0&amp;"-"&amp;B$14)</f>
        <v/>
      </c>
      <c r="J914" s="52" t="str">
        <f>IF(N(B$14)=0,"",IF(AND(COUNT(H904:H915)=2,COUNT(F904:F915)=2),cubic_spline(F903:F905,H903:H905,B$14),IF(AND(COUNT(H904:H915)=3,COUNT(F904:F915)=3),cubic_spline(F903:F906,H903:H906,B$14),IF(AND(COUNT(H904:H915)=4,COUNT(F904:F915)=4),cubic_spline(F903:F907,H903:H907,B$14),IF(AND(COUNT(H904:H915)=5,COUNT(F904:F915)=5),cubic_spline(F903:F908,H903:H908,B$14),IF(AND(COUNT(H904:H915)=6,COUNT(F904:F915)=6),cubic_spline(F903:F909,H903:H909,B$14),IF(AND(COUNT(H904:H915)=7,COUNT(F904:F915)=7),cubic_spline(F903:F910,H903:H910,B$14),IF(AND(COUNT(H904:H915)=8,COUNT(F904:F915)=8),cubic_spline(F903:F911,H903:H911,B$14),IF(AND(COUNT(H904:H915)=9,COUNT(F904:F915)=9),cubic_spline(F903:F912,H903:H912,B$14),IF(AND(COUNT(H904:H915)=10,COUNT(F904:F915)=10),cubic_spline(F903:F913,H903:H913,B$14),IF(AND(COUNT(H904:H915)=11,COUNT(F904:F915)=11),cubic_spline(F903:F914,H903:H914,B$14),IF(AND(COUNT(H904:H915)=12,COUNT(F904:F915)=12),cubic_spline(F903:F915,H903:H915,B$14),""))))))))))))</f>
        <v/>
      </c>
      <c r="K914" s="52" t="str">
        <f>IF(N(B$14)=0,"",IF(AND(COUNT(A904:A915)=2,COUNT(F904:F915)=2),cubic_spline(F903:F905,A903:A905,B$14),IF(AND(COUNT(A904:A915)=3,COUNT(F904:F915)=3),cubic_spline(F903:F906,A903:A906,B$14),IF(AND(COUNT(A904:A915)=4,COUNT(F904:F915)=4),cubic_spline(F903:F907,A903:A907,B$14),IF(AND(COUNT(A904:A915)=5,COUNT(F904:F915)=5),cubic_spline(F903:F908,A903:A908,B$14),IF(AND(COUNT(A904:A915)=6,COUNT(F904:F915)=6),cubic_spline(F903:F909,A903:A909,B$14),IF(AND(COUNT(A904:A915)=7,COUNT(F904:F915)=7),cubic_spline(F903:F910,A903:A910,B$14),IF(AND(COUNT(A904:A915)=8,COUNT(F904:F915)=8),cubic_spline(F903:F911,A903:A911,B$14),IF(AND(COUNT(A904:A915)=9,COUNT(F904:F915)=9),cubic_spline(F903:F912,A903:A912,B$14),IF(AND(COUNT(A904:A915)=10,COUNT(F904:F915)=10),cubic_spline(F903:F913,A903:A913,B$14),IF(AND(COUNT(A904:A915)=11,COUNT(F904:F915)=11),cubic_spline(F903:F914,A903:A914,B$14),IF(AND(COUNT(A904:A915)=12,COUNT(F904:F915)=12),cubic_spline(F903:F915,A903:A915,B$14),""))))))))))))</f>
        <v/>
      </c>
      <c r="L914" s="27" t="str">
        <f>IF(I914="","",B$13&amp;"-"&amp;B$14)</f>
        <v/>
      </c>
      <c r="M914" s="52" t="str">
        <f t="shared" si="345"/>
        <v/>
      </c>
    </row>
    <row r="915" spans="1:13" x14ac:dyDescent="0.35">
      <c r="A915" s="48"/>
      <c r="B915" s="48"/>
      <c r="C915" s="49"/>
      <c r="D915" s="50"/>
      <c r="E915" s="51" t="str">
        <f t="shared" si="344"/>
        <v/>
      </c>
      <c r="F915" s="71" t="str">
        <f t="shared" si="341"/>
        <v/>
      </c>
      <c r="G915" s="69" t="str">
        <f t="shared" si="343"/>
        <v/>
      </c>
      <c r="H915" s="70" t="str">
        <f t="shared" si="342"/>
        <v/>
      </c>
      <c r="I915" s="27" t="str">
        <f>IF(N(J915)=0,"",0&amp;"-"&amp;B$15)</f>
        <v/>
      </c>
      <c r="J915" s="52" t="str">
        <f>IF(N(B$15)=0,"",IF(AND(COUNT(H904:H915)=2,COUNT(F904:F915)=2),cubic_spline(F903:F905,H903:H905,B$15),IF(AND(COUNT(H904:H915)=3,COUNT(F904:F915)=3),cubic_spline(F903:F906,H903:H906,B$15),IF(AND(COUNT(H904:H915)=4,COUNT(F904:F915)=4),cubic_spline(F903:F907,H903:H907,B$15),IF(AND(COUNT(H904:H915)=5,COUNT(F904:F915)=5),cubic_spline(F903:F908,H903:H908,B$15),IF(AND(COUNT(H904:H915)=6,COUNT(F904:F915)=6),cubic_spline(F903:F909,H903:H909,B$15),IF(AND(COUNT(H904:H915)=7,COUNT(F904:F915)=7),cubic_spline(F903:F910,H903:H910,B$15),IF(AND(COUNT(H904:H915)=8,COUNT(F904:F915)=8),cubic_spline(F903:F911,H903:H911,B$15),IF(AND(COUNT(H904:H915)=9,COUNT(F904:F915)=9),cubic_spline(F903:F912,H903:H912,B$15),IF(AND(COUNT(H904:H915)=10,COUNT(F904:F915)=10),cubic_spline(F903:F913,H903:H913,B$15),IF(AND(COUNT(H904:H915)=11,COUNT(F904:F915)=11),cubic_spline(F903:F914,H903:H914,B$15),IF(AND(COUNT(H904:H915)=12,COUNT(F904:F915)=12),cubic_spline(F903:F915,H903:H915,B$15),""))))))))))))</f>
        <v/>
      </c>
      <c r="K915" s="52" t="str">
        <f>IF(N(B$15)=0,"",IF(AND(COUNT(A904:A915)=2,COUNT(F904:F915)=2),cubic_spline(F903:F905,A903:A905,B$15),IF(AND(COUNT(A904:A915)=3,COUNT(F904:F915)=3),cubic_spline(F903:F906,A903:A906,B$15),IF(AND(COUNT(A904:A915)=4,COUNT(F904:F915)=4),cubic_spline(F903:F907,A903:A907,B$15),IF(AND(COUNT(A904:A915)=5,COUNT(F904:F915)=5),cubic_spline(F903:F908,A903:A908,B$15),IF(AND(COUNT(A904:A915)=6,COUNT(F904:F915)=6),cubic_spline(F903:F909,A903:A909,B$15),IF(AND(COUNT(A904:A915)=7,COUNT(F904:F915)=7),cubic_spline(F903:F910,A903:A910,B$15),IF(AND(COUNT(A904:A915)=8,COUNT(F904:F915)=8),cubic_spline(F903:F911,A903:A911,B$15),IF(AND(COUNT(A904:A915)=9,COUNT(F904:F915)=9),cubic_spline(F903:F912,A903:A912,B$15),IF(AND(COUNT(A904:A915)=10,COUNT(F904:F915)=10),cubic_spline(F903:F913,A903:A913,B$15),IF(AND(COUNT(A904:A915)=11,COUNT(F904:F915)=11),cubic_spline(F903:F914,A903:A914,B$15),IF(AND(COUNT(A904:A915)=12,COUNT(F904:F915)=12),cubic_spline(F903:F915,A903:A915,B$15),""))))))))))))</f>
        <v/>
      </c>
      <c r="L915" s="27" t="str">
        <f>IF(I915="","",B$14&amp;"-"&amp;B$15)</f>
        <v/>
      </c>
      <c r="M915" s="52" t="str">
        <f t="shared" si="345"/>
        <v/>
      </c>
    </row>
    <row r="916" spans="1:13" ht="5.15" customHeight="1" x14ac:dyDescent="0.35">
      <c r="A916" s="47"/>
      <c r="B916" s="47"/>
      <c r="C916" s="47"/>
      <c r="D916" s="53"/>
      <c r="E916" s="54"/>
      <c r="F916" s="55"/>
      <c r="G916" s="72"/>
      <c r="H916" s="73"/>
      <c r="I916" s="47"/>
      <c r="J916" s="57"/>
      <c r="K916" s="57"/>
      <c r="L916" s="55"/>
      <c r="M916" s="57"/>
    </row>
    <row r="917" spans="1:13" x14ac:dyDescent="0.35">
      <c r="A917" s="48"/>
      <c r="B917" s="48"/>
      <c r="C917" s="49"/>
      <c r="D917" s="50"/>
      <c r="E917" s="51" t="str">
        <f>IF(N(C917)=0,"",C917/PI()/($D$1/2)^2/$D$2*10000)</f>
        <v/>
      </c>
      <c r="F917" s="68" t="str">
        <f t="shared" ref="F917:F928" si="346">IF(N(E917)=0,"",(N(E917)+N(F916)))</f>
        <v/>
      </c>
      <c r="G917" s="69" t="str">
        <f>IF(OR(N(D917)=0,N(E917)=0),"",(E917*D917)/1000)</f>
        <v/>
      </c>
      <c r="H917" s="70" t="str">
        <f t="shared" ref="H917:H928" si="347">IF(N(G917)=0,"",(N(G917)+N(H916)))</f>
        <v/>
      </c>
      <c r="I917" s="27" t="str">
        <f>IF(N(J917)=0,"",0&amp;"-"&amp;B$4)</f>
        <v/>
      </c>
      <c r="J917" s="52" t="str">
        <f>IF(N(B$4)=0,"",IF(AND(COUNT(H917:H928)=2,COUNT(F917:F928)=2),cubic_spline(F916:F918,H916:H918,B$4),IF(AND(COUNT(H917:H928)=3,COUNT(F917:F928)=3),cubic_spline(F916:F919,H916:H919,B$4),IF(AND(COUNT(H917:H928)=4,COUNT(F917:F928)=4),cubic_spline(F916:F920,H916:H920,B$4),IF(AND(COUNT(H917:H928)=5,COUNT(F917:F928)=5),cubic_spline(F916:F921,H916:H921,B$4),IF(AND(COUNT(H917:H928)=6,COUNT(F917:F928)=6),cubic_spline(F916:F922,H916:H922,B$4),IF(AND(COUNT(H917:H928)=7,COUNT(F917:F928)=7),cubic_spline(F916:F923,H916:H923,B$4),IF(AND(COUNT(H917:H928)=8,COUNT(F917:F928)=8),cubic_spline(F916:F924,H916:H924,B$4),IF(AND(COUNT(H917:H928)=9,COUNT(F917:F928)=9),cubic_spline(F916:F925,H916:H925,B$4),IF(AND(COUNT(H917:H928)=10,COUNT(F917:F928)=10),cubic_spline(F916:F926,H916:H926,B$4),IF(AND(COUNT(H917:H928)=11,COUNT(F917:F928)=11),cubic_spline(F916:F927,H916:H927,B$4),IF(AND(COUNT(H917:H928)=12,COUNT(F917:F928)=12),cubic_spline(F916:F928,H916:H928,B$4),""))))))))))))</f>
        <v/>
      </c>
      <c r="K917" s="52" t="str">
        <f>IF(N(B$4)=0,"",IF(AND(COUNT(A917:A928)=2,COUNT(F917:F928)=2),cubic_spline(F916:F918,A916:A918,B$4),IF(AND(COUNT(A917:A928)=3,COUNT(F917:F928)=3),cubic_spline(F916:F919,A916:A919,B$4),IF(AND(COUNT(A917:A928)=4,COUNT(F917:F928)=4),cubic_spline(F916:F920,A916:A920,B$4),IF(AND(COUNT(A917:A928)=5,COUNT(F917:F928)=5),cubic_spline(F916:F921,A916:A921,B$4),IF(AND(COUNT(A917:A928)=6,COUNT(F917:F928)=6),cubic_spline(F916:F922,A916:A922,B$4),IF(AND(COUNT(A917:A928)=7,COUNT(F917:F928)=7),cubic_spline(F916:F923,A916:A923,B$4),IF(AND(COUNT(A917:A928)=8,COUNT(F917:F928)=8),cubic_spline(F916:F924,A916:A924,B$4),IF(AND(COUNT(A917:A928)=9,COUNT(F917:F928)=9),cubic_spline(F916:F925,A916:A925,B$4),IF(AND(COUNT(A917:A928)=10,COUNT(F917:F928)=10),cubic_spline(F916:F926,A916:A926,B$4),IF(AND(COUNT(A917:A928)=11,COUNT(F917:F928)=11),cubic_spline(F916:F927,A916:A927,B$4),IF(AND(COUNT(A917:A928)=12,COUNT(F917:F928)=12),cubic_spline(F916:F928,A916:A928,B$4),""))))))))))))</f>
        <v/>
      </c>
      <c r="L917" s="27" t="str">
        <f>IF(I917="","",0&amp;"-"&amp;B$4)</f>
        <v/>
      </c>
      <c r="M917" s="52" t="str">
        <f>IF(N(J917)=0,"",J917-J916)</f>
        <v/>
      </c>
    </row>
    <row r="918" spans="1:13" x14ac:dyDescent="0.35">
      <c r="A918" s="48"/>
      <c r="B918" s="48"/>
      <c r="C918" s="49"/>
      <c r="D918" s="50"/>
      <c r="E918" s="51" t="str">
        <f>IF(N(C918)=0,"",C918/PI()/($D$1/2)^2/$D$2*10000)</f>
        <v/>
      </c>
      <c r="F918" s="68" t="str">
        <f t="shared" si="346"/>
        <v/>
      </c>
      <c r="G918" s="69" t="str">
        <f t="shared" ref="G918:G928" si="348">IF(OR(N(D918)=0,N(E918)=0),"",(E918*D918)/1000)</f>
        <v/>
      </c>
      <c r="H918" s="70" t="str">
        <f t="shared" si="347"/>
        <v/>
      </c>
      <c r="I918" s="27" t="str">
        <f>IF(N(J918)=0,"",0&amp;"-"&amp;B$5)</f>
        <v/>
      </c>
      <c r="J918" s="52" t="str">
        <f>IF(N(B$5)=0,"",IF(AND(COUNT(H917:H928)=2,COUNT(F917:F928)=2),cubic_spline(F916:F918,H916:H918,B$5),IF(AND(COUNT(H917:H928)=3,COUNT(F917:F928)=3),cubic_spline(F916:F919,H916:H919,B$5),IF(AND(COUNT(H917:H928)=4,COUNT(F917:F928)=4),cubic_spline(F916:F920,H916:H920,B$5),IF(AND(COUNT(H917:H928)=5,COUNT(F917:F928)=5),cubic_spline(F916:F921,H916:H921,B$5),IF(AND(COUNT(H917:H928)=6,COUNT(F917:F928)=6),cubic_spline(F916:F922,H916:H922,B$5),IF(AND(COUNT(H917:H928)=7,COUNT(F917:F928)=7),cubic_spline(F916:F923,H916:H923,B$5),IF(AND(COUNT(H917:H928)=8,COUNT(F917:F928)=8),cubic_spline(F916:F924,H916:H924,B$5),IF(AND(COUNT(H917:H928)=9,COUNT(F917:F928)=9),cubic_spline(F916:F925,H916:H925,B$5),IF(AND(COUNT(H917:H928)=10,COUNT(F917:F928)=10),cubic_spline(F916:F926,H916:H926,B$5),IF(AND(COUNT(H917:H928)=11,COUNT(F917:F928)=11),cubic_spline(F916:F927,H916:H927,B$5),IF(AND(COUNT(H917:H928)=12,COUNT(F917:F928)=12),cubic_spline(F916:F928,H916:H928,B$5),""))))))))))))</f>
        <v/>
      </c>
      <c r="K918" s="52" t="str">
        <f>IF(N(B$5)=0,"",IF(AND(COUNT(A917:A928)=2,COUNT(F917:F928)=2),cubic_spline(F916:F918,A916:A918,B$5),IF(AND(COUNT(A917:A928)=3,COUNT(F917:F928)=3),cubic_spline(F916:F919,A916:A919,B$5),IF(AND(COUNT(A917:A928)=4,COUNT(F917:F928)=4),cubic_spline(F916:F920,A916:A920,B$5),IF(AND(COUNT(A917:A928)=5,COUNT(F917:F928)=5),cubic_spline(F916:F921,A916:A921,B$5),IF(AND(COUNT(A917:A928)=6,COUNT(F917:F928)=6),cubic_spline(F916:F922,A916:A922,B$5),IF(AND(COUNT(A917:A928)=7,COUNT(F917:F928)=7),cubic_spline(F916:F923,A916:A923,B$5),IF(AND(COUNT(A917:A928)=8,COUNT(F917:F928)=8),cubic_spline(F916:F924,A916:A924,B$5),IF(AND(COUNT(A917:A928)=9,COUNT(F917:F928)=9),cubic_spline(F916:F925,A916:A925,B$5),IF(AND(COUNT(A917:A928)=10,COUNT(F917:F928)=10),cubic_spline(F916:F926,A916:A926,B$5),IF(AND(COUNT(A917:A928)=11,COUNT(F917:F928)=11),cubic_spline(F916:F927,A916:A927,B$5),IF(AND(COUNT(A917:A928)=12,COUNT(F917:F928)=12),cubic_spline(F916:F928,A916:A928,B$5),""))))))))))))</f>
        <v/>
      </c>
      <c r="L918" s="27" t="str">
        <f>IF(I918="","",B$4&amp;"-"&amp;B$5)</f>
        <v/>
      </c>
      <c r="M918" s="52" t="str">
        <f>IF(N(J918)=0,"",J918-J917)</f>
        <v/>
      </c>
    </row>
    <row r="919" spans="1:13" x14ac:dyDescent="0.35">
      <c r="A919" s="48"/>
      <c r="B919" s="48"/>
      <c r="C919" s="49"/>
      <c r="D919" s="50"/>
      <c r="E919" s="51" t="str">
        <f>IF(N(C919)=0,"",C919/PI()/($D$1/2)^2/$D$2*10000)</f>
        <v/>
      </c>
      <c r="F919" s="68" t="str">
        <f t="shared" si="346"/>
        <v/>
      </c>
      <c r="G919" s="69" t="str">
        <f t="shared" si="348"/>
        <v/>
      </c>
      <c r="H919" s="70" t="str">
        <f t="shared" si="347"/>
        <v/>
      </c>
      <c r="I919" s="27" t="str">
        <f>IF(N(J919)=0,"",0&amp;"-"&amp;B$6)</f>
        <v/>
      </c>
      <c r="J919" s="52" t="str">
        <f>IF(N(B$6)=0,"",IF(AND(COUNT(H917:H928)=2,COUNT(F917:F928)=2),cubic_spline(F916:F918,H916:H918,B$6),IF(AND(COUNT(H917:H928)=3,COUNT(F917:F928)=3),cubic_spline(F916:F919,H916:H919,B$6),IF(AND(COUNT(H917:H928)=4,COUNT(F917:F928)=4),cubic_spline(F916:F920,H916:H920,B$6),IF(AND(COUNT(H917:H928)=5,COUNT(F917:F928)=5),cubic_spline(F916:F921,H916:H921,B$6),IF(AND(COUNT(H917:H928)=6,COUNT(F917:F928)=6),cubic_spline(F916:F922,H916:H922,B$6),IF(AND(COUNT(H917:H928)=7,COUNT(F917:F928)=7),cubic_spline(F916:F923,H916:H923,B$6),IF(AND(COUNT(H917:H928)=8,COUNT(F917:F928)=8),cubic_spline(F916:F924,H916:H924,B$6),IF(AND(COUNT(H917:H928)=9,COUNT(F917:F928)=9),cubic_spline(F916:F925,H916:H925,B$6),IF(AND(COUNT(H917:H928)=10,COUNT(F917:F928)=10),cubic_spline(F916:F926,H916:H926,B$6),IF(AND(COUNT(H917:H928)=11,COUNT(F917:F928)=11),cubic_spline(F916:F927,H916:H927,B$6),IF(AND(COUNT(H917:H928)=12,COUNT(F917:F928)=12),cubic_spline(F916:F928,H916:H928,B$6),""))))))))))))</f>
        <v/>
      </c>
      <c r="K919" s="52" t="str">
        <f>IF(N(B$6)=0,"",IF(AND(COUNT(A917:A928)=2,COUNT(F917:F928)=2),cubic_spline(F916:F918,A916:A918,B$6),IF(AND(COUNT(A917:A928)=3,COUNT(F917:F928)=3),cubic_spline(F916:F919,A916:A919,B$6),IF(AND(COUNT(A917:A928)=4,COUNT(F917:F928)=4),cubic_spline(F916:F920,A916:A920,B$6),IF(AND(COUNT(A917:A928)=5,COUNT(F917:F928)=5),cubic_spline(F916:F921,A916:A921,B$6),IF(AND(COUNT(A917:A928)=6,COUNT(F917:F928)=6),cubic_spline(F916:F922,A916:A922,B$6),IF(AND(COUNT(A917:A928)=7,COUNT(F917:F928)=7),cubic_spline(F916:F923,A916:A923,B$6),IF(AND(COUNT(A917:A928)=8,COUNT(F917:F928)=8),cubic_spline(F916:F924,A916:A924,B$6),IF(AND(COUNT(A917:A928)=9,COUNT(F917:F928)=9),cubic_spline(F916:F925,A916:A925,B$6),IF(AND(COUNT(A917:A928)=10,COUNT(F917:F928)=10),cubic_spline(F916:F926,A916:A926,B$6),IF(AND(COUNT(A917:A928)=11,COUNT(F917:F928)=11),cubic_spline(F916:F927,A916:A927,B$6),IF(AND(COUNT(A917:A928)=12,COUNT(F917:F928)=12),cubic_spline(F916:F928,A916:A928,B$6),""))))))))))))</f>
        <v/>
      </c>
      <c r="L919" s="27" t="str">
        <f>IF(I919="","",B$5&amp;"-"&amp;B$6)</f>
        <v/>
      </c>
      <c r="M919" s="52" t="str">
        <f>IF(N(J919)=0,"",J919-J918)</f>
        <v/>
      </c>
    </row>
    <row r="920" spans="1:13" x14ac:dyDescent="0.35">
      <c r="A920" s="48"/>
      <c r="B920" s="48"/>
      <c r="C920" s="49"/>
      <c r="D920" s="50"/>
      <c r="E920" s="51" t="str">
        <f>IF(N(C920)=0,"",C920/PI()/($D$1/2)^2/$D$2*10000)</f>
        <v/>
      </c>
      <c r="F920" s="68" t="str">
        <f t="shared" si="346"/>
        <v/>
      </c>
      <c r="G920" s="69" t="str">
        <f t="shared" si="348"/>
        <v/>
      </c>
      <c r="H920" s="70" t="str">
        <f t="shared" si="347"/>
        <v/>
      </c>
      <c r="I920" s="27" t="str">
        <f>IF(N(J920)=0,"",0&amp;"-"&amp;B$7)</f>
        <v/>
      </c>
      <c r="J920" s="52" t="str">
        <f>IF(N(B$7)=0,"",IF(AND(COUNT(H917:H928)=2,COUNT(F917:F928)=2),cubic_spline(F916:F918,H916:H918,B$7),IF(AND(COUNT(H917:H928)=3,COUNT(F917:F928)=3),cubic_spline(F916:F919,H916:H919,B$7),IF(AND(COUNT(H917:H928)=4,COUNT(F917:F928)=4),cubic_spline(F916:F920,H916:H920,B$7),IF(AND(COUNT(H917:H928)=5,COUNT(F917:F928)=5),cubic_spline(F916:F921,H916:H921,B$7),IF(AND(COUNT(H917:H928)=6,COUNT(F917:F928)=6),cubic_spline(F916:F922,H916:H922,B$7),IF(AND(COUNT(H917:H928)=7,COUNT(F917:F928)=7),cubic_spline(F916:F923,H916:H923,B$7),IF(AND(COUNT(H917:H928)=8,COUNT(F917:F928)=8),cubic_spline(F916:F924,H916:H924,B$7),IF(AND(COUNT(H917:H928)=9,COUNT(F917:F928)=9),cubic_spline(F916:F925,H916:H925,B$7),IF(AND(COUNT(H917:H928)=10,COUNT(F917:F928)=10),cubic_spline(F916:F926,H916:H926,B$7),IF(AND(COUNT(H917:H928)=11,COUNT(F917:F928)=11),cubic_spline(F916:F927,H916:H927,B$7),IF(AND(COUNT(H917:H928)=12,COUNT(F917:F928)=12),cubic_spline(F916:F928,H916:H928,B$7),""))))))))))))</f>
        <v/>
      </c>
      <c r="K920" s="52" t="str">
        <f>IF(N(B$7)=0,"",IF(AND(COUNT(A917:A928)=2,COUNT(F917:F928)=2),cubic_spline(F916:F918,A916:A918,B$7),IF(AND(COUNT(A917:A928)=3,COUNT(F917:F928)=3),cubic_spline(F916:F919,A916:A919,B$7),IF(AND(COUNT(A917:A928)=4,COUNT(F917:F928)=4),cubic_spline(F916:F920,A916:A920,B$7),IF(AND(COUNT(A917:A928)=5,COUNT(F917:F928)=5),cubic_spline(F916:F921,A916:A921,B$7),IF(AND(COUNT(A917:A928)=6,COUNT(F917:F928)=6),cubic_spline(F916:F922,A916:A922,B$7),IF(AND(COUNT(A917:A928)=7,COUNT(F917:F928)=7),cubic_spline(F916:F923,A916:A923,B$7),IF(AND(COUNT(A917:A928)=8,COUNT(F917:F928)=8),cubic_spline(F916:F924,A916:A924,B$7),IF(AND(COUNT(A917:A928)=9,COUNT(F917:F928)=9),cubic_spline(F916:F925,A916:A925,B$7),IF(AND(COUNT(A917:A928)=10,COUNT(F917:F928)=10),cubic_spline(F916:F926,A916:A926,B$7),IF(AND(COUNT(A917:A928)=11,COUNT(F917:F928)=11),cubic_spline(F916:F927,A916:A927,B$7),IF(AND(COUNT(A917:A928)=12,COUNT(F917:F928)=12),cubic_spline(F916:F928,A916:A928,B$7),""))))))))))))</f>
        <v/>
      </c>
      <c r="L920" s="27" t="str">
        <f>IF(I920="","",B$6&amp;"-"&amp;B$7)</f>
        <v/>
      </c>
      <c r="M920" s="52" t="str">
        <f>IF(N(J920)=0,"",J920-J919)</f>
        <v/>
      </c>
    </row>
    <row r="921" spans="1:13" x14ac:dyDescent="0.35">
      <c r="A921" s="48"/>
      <c r="B921" s="48"/>
      <c r="C921" s="49"/>
      <c r="D921" s="50"/>
      <c r="E921" s="51" t="str">
        <f t="shared" ref="E921:E928" si="349">IF(N(C921)=0,"",C921/PI()/($D$1/2)^2/$D$2*10000)</f>
        <v/>
      </c>
      <c r="F921" s="71" t="str">
        <f t="shared" si="346"/>
        <v/>
      </c>
      <c r="G921" s="69" t="str">
        <f t="shared" si="348"/>
        <v/>
      </c>
      <c r="H921" s="70" t="str">
        <f t="shared" si="347"/>
        <v/>
      </c>
      <c r="I921" s="27" t="str">
        <f>IF(N(J921)=0,"",0&amp;"-"&amp;B$8)</f>
        <v/>
      </c>
      <c r="J921" s="52" t="str">
        <f>IF(N(B$8)=0,"",IF(AND(COUNT(H917:H928)=2,COUNT(F917:F928)=2),cubic_spline(F916:F918,H916:H918,B$8),IF(AND(COUNT(H917:H928)=3,COUNT(F917:F928)=3),cubic_spline(F916:F919,H916:H919,B$8),IF(AND(COUNT(H917:H928)=4,COUNT(F917:F928)=4),cubic_spline(F916:F920,H916:H920,B$8),IF(AND(COUNT(H917:H928)=5,COUNT(F917:F928)=5),cubic_spline(F916:F921,H916:H921,B$8),IF(AND(COUNT(H917:H928)=6,COUNT(F917:F928)=6),cubic_spline(F916:F922,H916:H922,B$8),IF(AND(COUNT(H917:H928)=7,COUNT(F917:F928)=7),cubic_spline(F916:F923,H916:H923,B$8),IF(AND(COUNT(H917:H928)=8,COUNT(F917:F928)=8),cubic_spline(F916:F924,H916:H924,B$8),IF(AND(COUNT(H917:H928)=9,COUNT(F917:F928)=9),cubic_spline(F916:F925,H916:H925,B$8),IF(AND(COUNT(H917:H928)=10,COUNT(F917:F928)=10),cubic_spline(F916:F926,H916:H926,B$8),IF(AND(COUNT(H917:H928)=11,COUNT(F917:F928)=11),cubic_spline(F916:F927,H916:H927,B$8),IF(AND(COUNT(H917:H928)=12,COUNT(F917:F928)=12),cubic_spline(F916:F928,H916:H928,B$8),""))))))))))))</f>
        <v/>
      </c>
      <c r="K921" s="52" t="str">
        <f>IF(N(B$8)=0,"",IF(AND(COUNT(A917:A928)=2,COUNT(F917:F928)=2),cubic_spline(F916:F918,A916:A918,B$8),IF(AND(COUNT(A917:A928)=3,COUNT(F917:F928)=3),cubic_spline(F916:F919,A916:A919,B$8),IF(AND(COUNT(A917:A928)=4,COUNT(F917:F928)=4),cubic_spline(F916:F920,A916:A920,B$8),IF(AND(COUNT(A917:A928)=5,COUNT(F917:F928)=5),cubic_spline(F916:F921,A916:A921,B$8),IF(AND(COUNT(A917:A928)=6,COUNT(F917:F928)=6),cubic_spline(F916:F922,A916:A922,B$8),IF(AND(COUNT(A917:A928)=7,COUNT(F917:F928)=7),cubic_spline(F916:F923,A916:A923,B$8),IF(AND(COUNT(A917:A928)=8,COUNT(F917:F928)=8),cubic_spline(F916:F924,A916:A924,B$8),IF(AND(COUNT(A917:A928)=9,COUNT(F917:F928)=9),cubic_spline(F916:F925,A916:A925,B$8),IF(AND(COUNT(A917:A928)=10,COUNT(F917:F928)=10),cubic_spline(F916:F926,A916:A926,B$8),IF(AND(COUNT(A917:A928)=11,COUNT(F917:F928)=11),cubic_spline(F916:F927,A916:A927,B$8),IF(AND(COUNT(A917:A928)=12,COUNT(F917:F928)=12),cubic_spline(F916:F928,A916:A928,B$8),""))))))))))))</f>
        <v/>
      </c>
      <c r="L921" s="27" t="str">
        <f>IF(I921="","",B$7&amp;"-"&amp;B$8)</f>
        <v/>
      </c>
      <c r="M921" s="52" t="str">
        <f>IF(N(J921)=0,"",J921-J920)</f>
        <v/>
      </c>
    </row>
    <row r="922" spans="1:13" x14ac:dyDescent="0.35">
      <c r="A922" s="48"/>
      <c r="B922" s="48"/>
      <c r="C922" s="49"/>
      <c r="D922" s="50"/>
      <c r="E922" s="51" t="str">
        <f t="shared" si="349"/>
        <v/>
      </c>
      <c r="F922" s="71" t="str">
        <f t="shared" si="346"/>
        <v/>
      </c>
      <c r="G922" s="69" t="str">
        <f t="shared" si="348"/>
        <v/>
      </c>
      <c r="H922" s="70" t="str">
        <f t="shared" si="347"/>
        <v/>
      </c>
      <c r="I922" s="27" t="str">
        <f>IF(N(J922)=0,"",0&amp;"-"&amp;B$9)</f>
        <v/>
      </c>
      <c r="J922" s="52" t="str">
        <f>IF(N(B$9)=0,"",IF(AND(COUNT(H917:H928)=2,COUNT(F917:F928)=2),cubic_spline(F916:F918,H916:H918,B$9),IF(AND(COUNT(H917:H928)=3,COUNT(F917:F928)=3),cubic_spline(F916:F919,H916:H919,B$9),IF(AND(COUNT(H917:H928)=4,COUNT(F917:F928)=4),cubic_spline(F916:F920,H916:H920,B$9),IF(AND(COUNT(H917:H928)=5,COUNT(F917:F928)=5),cubic_spline(F916:F921,H916:H921,B$9),IF(AND(COUNT(H917:H928)=6,COUNT(F917:F928)=6),cubic_spline(F916:F922,H916:H922,B$9),IF(AND(COUNT(H917:H928)=7,COUNT(F917:F928)=7),cubic_spline(F916:F923,H916:H923,B$9),IF(AND(COUNT(H917:H928)=8,COUNT(F917:F928)=8),cubic_spline(F916:F924,H916:H924,B$9),IF(AND(COUNT(H917:H928)=9,COUNT(F917:F928)=9),cubic_spline(F916:F925,H916:H925,B$9),IF(AND(COUNT(H917:H928)=10,COUNT(F917:F928)=10),cubic_spline(F916:F926,H916:H926,B$9),IF(AND(COUNT(H917:H928)=11,COUNT(F917:F928)=11),cubic_spline(F916:F927,H916:H927,B$9),IF(AND(COUNT(H917:H928)=12,COUNT(F917:F928)=12),cubic_spline(F916:F928,H916:H928,B$9),""))))))))))))</f>
        <v/>
      </c>
      <c r="K922" s="52" t="str">
        <f>IF(N(B$9)=0,"",IF(AND(COUNT(A917:A928)=2,COUNT(F917:F928)=2),cubic_spline(F916:F918,A916:A918,B$9),IF(AND(COUNT(A917:A928)=3,COUNT(F917:F928)=3),cubic_spline(F916:F919,A916:A919,B$9),IF(AND(COUNT(A917:A928)=4,COUNT(F917:F928)=4),cubic_spline(F916:F920,A916:A920,B$9),IF(AND(COUNT(A917:A928)=5,COUNT(F917:F928)=5),cubic_spline(F916:F921,A916:A921,B$9),IF(AND(COUNT(A917:A928)=6,COUNT(F917:F928)=6),cubic_spline(F916:F922,A916:A922,B$9),IF(AND(COUNT(A917:A928)=7,COUNT(F917:F928)=7),cubic_spline(F916:F923,A916:A923,B$9),IF(AND(COUNT(A917:A928)=8,COUNT(F917:F928)=8),cubic_spline(F916:F924,A916:A924,B$9),IF(AND(COUNT(A917:A928)=9,COUNT(F917:F928)=9),cubic_spline(F916:F925,A916:A925,B$9),IF(AND(COUNT(A917:A928)=10,COUNT(F917:F928)=10),cubic_spline(F916:F926,A916:A926,B$9),IF(AND(COUNT(A917:A928)=11,COUNT(F917:F928)=11),cubic_spline(F916:F927,A916:A927,B$9),IF(AND(COUNT(A917:A928)=12,COUNT(F917:F928)=12),cubic_spline(F916:F928,A916:A928,B$9),""))))))))))))</f>
        <v/>
      </c>
      <c r="L922" s="27" t="str">
        <f>IF(I922="","",B$8&amp;"-"&amp;B$9)</f>
        <v/>
      </c>
      <c r="M922" s="52" t="str">
        <f t="shared" ref="M922:M928" si="350">IF(N(J922)=0,"",J922-J921)</f>
        <v/>
      </c>
    </row>
    <row r="923" spans="1:13" x14ac:dyDescent="0.35">
      <c r="A923" s="48"/>
      <c r="B923" s="48"/>
      <c r="C923" s="49"/>
      <c r="D923" s="50"/>
      <c r="E923" s="51" t="str">
        <f t="shared" si="349"/>
        <v/>
      </c>
      <c r="F923" s="71" t="str">
        <f t="shared" si="346"/>
        <v/>
      </c>
      <c r="G923" s="69" t="str">
        <f t="shared" si="348"/>
        <v/>
      </c>
      <c r="H923" s="70" t="str">
        <f t="shared" si="347"/>
        <v/>
      </c>
      <c r="I923" s="27" t="str">
        <f>IF(N(J923)=0,"",0&amp;"-"&amp;B$10)</f>
        <v/>
      </c>
      <c r="J923" s="52" t="str">
        <f>IF(N(B$10)=0,"",IF(AND(COUNT(H917:H928)=2,COUNT(F917:F928)=2),cubic_spline(F916:F918,H916:H918,B$10),IF(AND(COUNT(H917:H928)=3,COUNT(F917:F928)=3),cubic_spline(F916:F919,H916:H919,B$10),IF(AND(COUNT(H917:H928)=4,COUNT(F917:F928)=4),cubic_spline(F916:F920,H916:H920,B$10),IF(AND(COUNT(H917:H928)=5,COUNT(F917:F928)=5),cubic_spline(F916:F921,H916:H921,B$10),IF(AND(COUNT(H917:H928)=6,COUNT(F917:F928)=6),cubic_spline(F916:F922,H916:H922,B$10),IF(AND(COUNT(H917:H928)=7,COUNT(F917:F928)=7),cubic_spline(F916:F923,H916:H923,B$10),IF(AND(COUNT(H917:H928)=8,COUNT(F917:F928)=8),cubic_spline(F916:F924,H916:H924,B$10),IF(AND(COUNT(H917:H928)=9,COUNT(F917:F928)=9),cubic_spline(F916:F925,H916:H925,B$10),IF(AND(COUNT(H917:H928)=10,COUNT(F917:F928)=10),cubic_spline(F916:F926,H916:H926,B$10),IF(AND(COUNT(H917:H928)=11,COUNT(F917:F928)=11),cubic_spline(F916:F927,H916:H927,B$10),IF(AND(COUNT(H917:H928)=12,COUNT(F917:F928)=12),cubic_spline(F916:F928,H916:H928,B$10),""))))))))))))</f>
        <v/>
      </c>
      <c r="K923" s="52" t="str">
        <f>IF(N(B$10)=0,"",IF(AND(COUNT(A917:A928)=2,COUNT(F917:F928)=2),cubic_spline(F916:F918,A916:A918,B$10),IF(AND(COUNT(A917:A928)=3,COUNT(F917:F928)=3),cubic_spline(F916:F919,A916:A919,B$10),IF(AND(COUNT(A917:A928)=4,COUNT(F917:F928)=4),cubic_spline(F916:F920,A916:A920,B$10),IF(AND(COUNT(A917:A928)=5,COUNT(F917:F928)=5),cubic_spline(F916:F921,A916:A921,B$10),IF(AND(COUNT(A917:A928)=6,COUNT(F917:F928)=6),cubic_spline(F916:F922,A916:A922,B$10),IF(AND(COUNT(A917:A928)=7,COUNT(F917:F928)=7),cubic_spline(F916:F923,A916:A923,B$10),IF(AND(COUNT(A917:A928)=8,COUNT(F917:F928)=8),cubic_spline(F916:F924,A916:A924,B$10),IF(AND(COUNT(A917:A928)=9,COUNT(F917:F928)=9),cubic_spline(F916:F925,A916:A925,B$10),IF(AND(COUNT(A917:A928)=10,COUNT(F917:F928)=10),cubic_spline(F916:F926,A916:A926,B$10),IF(AND(COUNT(A917:A928)=11,COUNT(F917:F928)=11),cubic_spline(F916:F927,A916:A927,B$10),IF(AND(COUNT(A917:A928)=12,COUNT(F917:F928)=12),cubic_spline(F916:F928,A916:A928,B$10),""))))))))))))</f>
        <v/>
      </c>
      <c r="L923" s="27" t="str">
        <f>IF(I923="","",B$9&amp;"-"&amp;B$10)</f>
        <v/>
      </c>
      <c r="M923" s="52" t="str">
        <f t="shared" si="350"/>
        <v/>
      </c>
    </row>
    <row r="924" spans="1:13" x14ac:dyDescent="0.35">
      <c r="A924" s="48"/>
      <c r="B924" s="48"/>
      <c r="C924" s="49"/>
      <c r="D924" s="50"/>
      <c r="E924" s="51" t="str">
        <f t="shared" si="349"/>
        <v/>
      </c>
      <c r="F924" s="71" t="str">
        <f t="shared" si="346"/>
        <v/>
      </c>
      <c r="G924" s="69" t="str">
        <f t="shared" si="348"/>
        <v/>
      </c>
      <c r="H924" s="70" t="str">
        <f t="shared" si="347"/>
        <v/>
      </c>
      <c r="I924" s="27" t="str">
        <f>IF(N(J924)=0,"",0&amp;"-"&amp;B$11)</f>
        <v/>
      </c>
      <c r="J924" s="52" t="str">
        <f>IF(N(B$11)=0,"",IF(AND(COUNT(H917:H928)=2,COUNT(F917:F928)=2),cubic_spline(F916:F918,H916:H918,B$11),IF(AND(COUNT(H917:H928)=3,COUNT(F917:F928)=3),cubic_spline(F916:F919,H916:H919,B$11),IF(AND(COUNT(H917:H928)=4,COUNT(F917:F928)=4),cubic_spline(F916:F920,H916:H920,B$11),IF(AND(COUNT(H917:H928)=5,COUNT(F917:F928)=5),cubic_spline(F916:F921,H916:H921,B$11),IF(AND(COUNT(H917:H928)=6,COUNT(F917:F928)=6),cubic_spline(F916:F922,H916:H922,B$11),IF(AND(COUNT(H917:H928)=7,COUNT(F917:F928)=7),cubic_spline(F916:F923,H916:H923,B$11),IF(AND(COUNT(H917:H928)=8,COUNT(F917:F928)=8),cubic_spline(F916:F924,H916:H924,B$11),IF(AND(COUNT(H917:H928)=9,COUNT(F917:F928)=9),cubic_spline(F916:F925,H916:H925,B$11),IF(AND(COUNT(H917:H928)=10,COUNT(F917:F928)=10),cubic_spline(F916:F926,H916:H926,B$11),IF(AND(COUNT(H917:H928)=11,COUNT(F917:F928)=11),cubic_spline(F916:F927,H916:H927,B$11),IF(AND(COUNT(H917:H928)=12,COUNT(F917:F928)=12),cubic_spline(F916:F928,H916:H928,B$11),""))))))))))))</f>
        <v/>
      </c>
      <c r="K924" s="52" t="str">
        <f>IF(N(B$11)=0,"",IF(AND(COUNT(A917:A928)=2,COUNT(F917:F928)=2),cubic_spline(F916:F918,A916:A918,B$11),IF(AND(COUNT(A917:A928)=3,COUNT(F917:F928)=3),cubic_spline(F916:F919,A916:A919,B$11),IF(AND(COUNT(A917:A928)=4,COUNT(F917:F928)=4),cubic_spline(F916:F920,A916:A920,B$11),IF(AND(COUNT(A917:A928)=5,COUNT(F917:F928)=5),cubic_spline(F916:F921,A916:A921,B$11),IF(AND(COUNT(A917:A928)=6,COUNT(F917:F928)=6),cubic_spline(F916:F922,A916:A922,B$11),IF(AND(COUNT(A917:A928)=7,COUNT(F917:F928)=7),cubic_spline(F916:F923,A916:A923,B$11),IF(AND(COUNT(A917:A928)=8,COUNT(F917:F928)=8),cubic_spline(F916:F924,A916:A924,B$11),IF(AND(COUNT(A917:A928)=9,COUNT(F917:F928)=9),cubic_spline(F916:F925,A916:A925,B$11),IF(AND(COUNT(A917:A928)=10,COUNT(F917:F928)=10),cubic_spline(F916:F926,A916:A926,B$11),IF(AND(COUNT(A917:A928)=11,COUNT(F917:F928)=11),cubic_spline(F916:F927,A916:A927,B$11),IF(AND(COUNT(A917:A928)=12,COUNT(F917:F928)=12),cubic_spline(F916:F928,A916:A928,B$11),""))))))))))))</f>
        <v/>
      </c>
      <c r="L924" s="27" t="str">
        <f>IF(I924="","",B$10&amp;"-"&amp;B$11)</f>
        <v/>
      </c>
      <c r="M924" s="52" t="str">
        <f t="shared" si="350"/>
        <v/>
      </c>
    </row>
    <row r="925" spans="1:13" x14ac:dyDescent="0.35">
      <c r="A925" s="48"/>
      <c r="B925" s="48"/>
      <c r="C925" s="49"/>
      <c r="D925" s="50"/>
      <c r="E925" s="51" t="str">
        <f t="shared" si="349"/>
        <v/>
      </c>
      <c r="F925" s="71" t="str">
        <f t="shared" si="346"/>
        <v/>
      </c>
      <c r="G925" s="69" t="str">
        <f t="shared" si="348"/>
        <v/>
      </c>
      <c r="H925" s="70" t="str">
        <f t="shared" si="347"/>
        <v/>
      </c>
      <c r="I925" s="27" t="str">
        <f>IF(N(J925)=0,"",0&amp;"-"&amp;B$12)</f>
        <v/>
      </c>
      <c r="J925" s="52" t="str">
        <f>IF(N(B$12)=0,"",IF(AND(COUNT(H917:H928)=2,COUNT(F917:F928)=2),cubic_spline(F916:F918,H916:H918,B$12),IF(AND(COUNT(H917:H928)=3,COUNT(F917:F928)=3),cubic_spline(F916:F919,H916:H919,B$12),IF(AND(COUNT(H917:H928)=4,COUNT(F917:F928)=4),cubic_spline(F916:F920,H916:H920,B$12),IF(AND(COUNT(H917:H928)=5,COUNT(F917:F928)=5),cubic_spline(F916:F921,H916:H921,B$12),IF(AND(COUNT(H917:H928)=6,COUNT(F917:F928)=6),cubic_spline(F916:F922,H916:H922,B$12),IF(AND(COUNT(H917:H928)=7,COUNT(F917:F928)=7),cubic_spline(F916:F923,H916:H923,B$12),IF(AND(COUNT(H917:H928)=8,COUNT(F917:F928)=8),cubic_spline(F916:F924,H916:H924,B$12),IF(AND(COUNT(H917:H928)=9,COUNT(F917:F928)=9),cubic_spline(F916:F925,H916:H925,B$12),IF(AND(COUNT(H917:H928)=10,COUNT(F917:F928)=10),cubic_spline(F916:F926,H916:H926,B$12),IF(AND(COUNT(H917:H928)=11,COUNT(F917:F928)=11),cubic_spline(F916:F927,H916:H927,B$12),IF(AND(COUNT(H917:H928)=12,COUNT(F917:F928)=12),cubic_spline(F916:F928,H916:H928,B$12),""))))))))))))</f>
        <v/>
      </c>
      <c r="K925" s="52" t="str">
        <f>IF(N(B$12)=0,"",IF(AND(COUNT(A917:A928)=2,COUNT(F917:F928)=2),cubic_spline(F916:F918,A916:A918,B$12),IF(AND(COUNT(A917:A928)=3,COUNT(F917:F928)=3),cubic_spline(F916:F919,A916:A919,B$12),IF(AND(COUNT(A917:A928)=4,COUNT(F917:F928)=4),cubic_spline(F916:F920,A916:A920,B$12),IF(AND(COUNT(A917:A928)=5,COUNT(F917:F928)=5),cubic_spline(F916:F921,A916:A921,B$12),IF(AND(COUNT(A917:A928)=6,COUNT(F917:F928)=6),cubic_spline(F916:F922,A916:A922,B$12),IF(AND(COUNT(A917:A928)=7,COUNT(F917:F928)=7),cubic_spline(F916:F923,A916:A923,B$12),IF(AND(COUNT(A917:A928)=8,COUNT(F917:F928)=8),cubic_spline(F916:F924,A916:A924,B$12),IF(AND(COUNT(A917:A928)=9,COUNT(F917:F928)=9),cubic_spline(F916:F925,A916:A925,B$12),IF(AND(COUNT(A917:A928)=10,COUNT(F917:F928)=10),cubic_spline(F916:F926,A916:A926,B$12),IF(AND(COUNT(A917:A928)=11,COUNT(F917:F928)=11),cubic_spline(F916:F927,A916:A927,B$12),IF(AND(COUNT(A917:A928)=12,COUNT(F917:F928)=12),cubic_spline(F916:F928,A916:A928,B$12),""))))))))))))</f>
        <v/>
      </c>
      <c r="L925" s="27" t="str">
        <f>IF(I925="","",B$11&amp;"-"&amp;B$12)</f>
        <v/>
      </c>
      <c r="M925" s="52" t="str">
        <f t="shared" si="350"/>
        <v/>
      </c>
    </row>
    <row r="926" spans="1:13" x14ac:dyDescent="0.35">
      <c r="A926" s="48"/>
      <c r="B926" s="48"/>
      <c r="C926" s="49"/>
      <c r="D926" s="50"/>
      <c r="E926" s="51" t="str">
        <f t="shared" si="349"/>
        <v/>
      </c>
      <c r="F926" s="71" t="str">
        <f t="shared" si="346"/>
        <v/>
      </c>
      <c r="G926" s="69" t="str">
        <f t="shared" si="348"/>
        <v/>
      </c>
      <c r="H926" s="70" t="str">
        <f t="shared" si="347"/>
        <v/>
      </c>
      <c r="I926" s="27" t="str">
        <f>IF(N(J926)=0,"",0&amp;"-"&amp;B$13)</f>
        <v/>
      </c>
      <c r="J926" s="52" t="str">
        <f>IF(N(B$13)=0,"",IF(AND(COUNT(H917:H928)=2,COUNT(F917:F928)=2),cubic_spline(F916:F918,H916:H918,B$13),IF(AND(COUNT(H917:H928)=3,COUNT(F917:F928)=3),cubic_spline(F916:F919,H916:H919,B$13),IF(AND(COUNT(H917:H928)=4,COUNT(F917:F928)=4),cubic_spline(F916:F920,H916:H920,B$13),IF(AND(COUNT(H917:H928)=5,COUNT(F917:F928)=5),cubic_spline(F916:F921,H916:H921,B$13),IF(AND(COUNT(H917:H928)=6,COUNT(F917:F928)=6),cubic_spline(F916:F922,H916:H922,B$13),IF(AND(COUNT(H917:H928)=7,COUNT(F917:F928)=7),cubic_spline(F916:F923,H916:H923,B$13),IF(AND(COUNT(H917:H928)=8,COUNT(F917:F928)=8),cubic_spline(F916:F924,H916:H924,B$13),IF(AND(COUNT(H917:H928)=9,COUNT(F917:F928)=9),cubic_spline(F916:F925,H916:H925,B$13),IF(AND(COUNT(H917:H928)=10,COUNT(F917:F928)=10),cubic_spline(F916:F926,H916:H926,B$13),IF(AND(COUNT(H917:H928)=11,COUNT(F917:F928)=11),cubic_spline(F916:F927,H916:H927,B$13),IF(AND(COUNT(H917:H928)=12,COUNT(F917:F928)=12),cubic_spline(F916:F928,H916:H928,B$13),""))))))))))))</f>
        <v/>
      </c>
      <c r="K926" s="52" t="str">
        <f>IF(N(B$13)=0,"",IF(AND(COUNT(A917:A928)=2,COUNT(F917:F928)=2),cubic_spline(F916:F918,A916:A918,B$13),IF(AND(COUNT(A917:A928)=3,COUNT(F917:F928)=3),cubic_spline(F916:F919,A916:A919,B$13),IF(AND(COUNT(A917:A928)=4,COUNT(F917:F928)=4),cubic_spline(F916:F920,A916:A920,B$13),IF(AND(COUNT(A917:A928)=5,COUNT(F917:F928)=5),cubic_spline(F916:F921,A916:A921,B$13),IF(AND(COUNT(A917:A928)=6,COUNT(F917:F928)=6),cubic_spline(F916:F922,A916:A922,B$13),IF(AND(COUNT(A917:A928)=7,COUNT(F917:F928)=7),cubic_spline(F916:F923,A916:A923,B$13),IF(AND(COUNT(A917:A928)=8,COUNT(F917:F928)=8),cubic_spline(F916:F924,A916:A924,B$13),IF(AND(COUNT(A917:A928)=9,COUNT(F917:F928)=9),cubic_spline(F916:F925,A916:A925,B$13),IF(AND(COUNT(A917:A928)=10,COUNT(F917:F928)=10),cubic_spline(F916:F926,A916:A926,B$13),IF(AND(COUNT(A917:A928)=11,COUNT(F917:F928)=11),cubic_spline(F916:F927,A916:A927,B$13),IF(AND(COUNT(A917:A928)=12,COUNT(F917:F928)=12),cubic_spline(F916:F928,A916:A928,B$13),""))))))))))))</f>
        <v/>
      </c>
      <c r="L926" s="27" t="str">
        <f>IF(I926="","",B$12&amp;"-"&amp;B$13)</f>
        <v/>
      </c>
      <c r="M926" s="52" t="str">
        <f t="shared" si="350"/>
        <v/>
      </c>
    </row>
    <row r="927" spans="1:13" x14ac:dyDescent="0.35">
      <c r="A927" s="48"/>
      <c r="B927" s="48"/>
      <c r="C927" s="49"/>
      <c r="D927" s="50"/>
      <c r="E927" s="51" t="str">
        <f t="shared" si="349"/>
        <v/>
      </c>
      <c r="F927" s="71" t="str">
        <f t="shared" si="346"/>
        <v/>
      </c>
      <c r="G927" s="69" t="str">
        <f t="shared" si="348"/>
        <v/>
      </c>
      <c r="H927" s="70" t="str">
        <f t="shared" si="347"/>
        <v/>
      </c>
      <c r="I927" s="27" t="str">
        <f>IF(N(J927)=0,"",0&amp;"-"&amp;B$14)</f>
        <v/>
      </c>
      <c r="J927" s="52" t="str">
        <f>IF(N(B$14)=0,"",IF(AND(COUNT(H917:H928)=2,COUNT(F917:F928)=2),cubic_spline(F916:F918,H916:H918,B$14),IF(AND(COUNT(H917:H928)=3,COUNT(F917:F928)=3),cubic_spline(F916:F919,H916:H919,B$14),IF(AND(COUNT(H917:H928)=4,COUNT(F917:F928)=4),cubic_spline(F916:F920,H916:H920,B$14),IF(AND(COUNT(H917:H928)=5,COUNT(F917:F928)=5),cubic_spline(F916:F921,H916:H921,B$14),IF(AND(COUNT(H917:H928)=6,COUNT(F917:F928)=6),cubic_spline(F916:F922,H916:H922,B$14),IF(AND(COUNT(H917:H928)=7,COUNT(F917:F928)=7),cubic_spline(F916:F923,H916:H923,B$14),IF(AND(COUNT(H917:H928)=8,COUNT(F917:F928)=8),cubic_spline(F916:F924,H916:H924,B$14),IF(AND(COUNT(H917:H928)=9,COUNT(F917:F928)=9),cubic_spline(F916:F925,H916:H925,B$14),IF(AND(COUNT(H917:H928)=10,COUNT(F917:F928)=10),cubic_spline(F916:F926,H916:H926,B$14),IF(AND(COUNT(H917:H928)=11,COUNT(F917:F928)=11),cubic_spline(F916:F927,H916:H927,B$14),IF(AND(COUNT(H917:H928)=12,COUNT(F917:F928)=12),cubic_spline(F916:F928,H916:H928,B$14),""))))))))))))</f>
        <v/>
      </c>
      <c r="K927" s="52" t="str">
        <f>IF(N(B$14)=0,"",IF(AND(COUNT(A917:A928)=2,COUNT(F917:F928)=2),cubic_spline(F916:F918,A916:A918,B$14),IF(AND(COUNT(A917:A928)=3,COUNT(F917:F928)=3),cubic_spline(F916:F919,A916:A919,B$14),IF(AND(COUNT(A917:A928)=4,COUNT(F917:F928)=4),cubic_spline(F916:F920,A916:A920,B$14),IF(AND(COUNT(A917:A928)=5,COUNT(F917:F928)=5),cubic_spline(F916:F921,A916:A921,B$14),IF(AND(COUNT(A917:A928)=6,COUNT(F917:F928)=6),cubic_spline(F916:F922,A916:A922,B$14),IF(AND(COUNT(A917:A928)=7,COUNT(F917:F928)=7),cubic_spline(F916:F923,A916:A923,B$14),IF(AND(COUNT(A917:A928)=8,COUNT(F917:F928)=8),cubic_spline(F916:F924,A916:A924,B$14),IF(AND(COUNT(A917:A928)=9,COUNT(F917:F928)=9),cubic_spline(F916:F925,A916:A925,B$14),IF(AND(COUNT(A917:A928)=10,COUNT(F917:F928)=10),cubic_spline(F916:F926,A916:A926,B$14),IF(AND(COUNT(A917:A928)=11,COUNT(F917:F928)=11),cubic_spline(F916:F927,A916:A927,B$14),IF(AND(COUNT(A917:A928)=12,COUNT(F917:F928)=12),cubic_spline(F916:F928,A916:A928,B$14),""))))))))))))</f>
        <v/>
      </c>
      <c r="L927" s="27" t="str">
        <f>IF(I927="","",B$13&amp;"-"&amp;B$14)</f>
        <v/>
      </c>
      <c r="M927" s="52" t="str">
        <f t="shared" si="350"/>
        <v/>
      </c>
    </row>
    <row r="928" spans="1:13" x14ac:dyDescent="0.35">
      <c r="A928" s="48"/>
      <c r="B928" s="48"/>
      <c r="C928" s="49"/>
      <c r="D928" s="50"/>
      <c r="E928" s="51" t="str">
        <f t="shared" si="349"/>
        <v/>
      </c>
      <c r="F928" s="71" t="str">
        <f t="shared" si="346"/>
        <v/>
      </c>
      <c r="G928" s="69" t="str">
        <f t="shared" si="348"/>
        <v/>
      </c>
      <c r="H928" s="70" t="str">
        <f t="shared" si="347"/>
        <v/>
      </c>
      <c r="I928" s="27" t="str">
        <f>IF(N(J928)=0,"",0&amp;"-"&amp;B$15)</f>
        <v/>
      </c>
      <c r="J928" s="52" t="str">
        <f>IF(N(B$15)=0,"",IF(AND(COUNT(H917:H928)=2,COUNT(F917:F928)=2),cubic_spline(F916:F918,H916:H918,B$15),IF(AND(COUNT(H917:H928)=3,COUNT(F917:F928)=3),cubic_spline(F916:F919,H916:H919,B$15),IF(AND(COUNT(H917:H928)=4,COUNT(F917:F928)=4),cubic_spline(F916:F920,H916:H920,B$15),IF(AND(COUNT(H917:H928)=5,COUNT(F917:F928)=5),cubic_spline(F916:F921,H916:H921,B$15),IF(AND(COUNT(H917:H928)=6,COUNT(F917:F928)=6),cubic_spline(F916:F922,H916:H922,B$15),IF(AND(COUNT(H917:H928)=7,COUNT(F917:F928)=7),cubic_spline(F916:F923,H916:H923,B$15),IF(AND(COUNT(H917:H928)=8,COUNT(F917:F928)=8),cubic_spline(F916:F924,H916:H924,B$15),IF(AND(COUNT(H917:H928)=9,COUNT(F917:F928)=9),cubic_spline(F916:F925,H916:H925,B$15),IF(AND(COUNT(H917:H928)=10,COUNT(F917:F928)=10),cubic_spline(F916:F926,H916:H926,B$15),IF(AND(COUNT(H917:H928)=11,COUNT(F917:F928)=11),cubic_spline(F916:F927,H916:H927,B$15),IF(AND(COUNT(H917:H928)=12,COUNT(F917:F928)=12),cubic_spline(F916:F928,H916:H928,B$15),""))))))))))))</f>
        <v/>
      </c>
      <c r="K928" s="52" t="str">
        <f>IF(N(B$15)=0,"",IF(AND(COUNT(A917:A928)=2,COUNT(F917:F928)=2),cubic_spline(F916:F918,A916:A918,B$15),IF(AND(COUNT(A917:A928)=3,COUNT(F917:F928)=3),cubic_spline(F916:F919,A916:A919,B$15),IF(AND(COUNT(A917:A928)=4,COUNT(F917:F928)=4),cubic_spline(F916:F920,A916:A920,B$15),IF(AND(COUNT(A917:A928)=5,COUNT(F917:F928)=5),cubic_spline(F916:F921,A916:A921,B$15),IF(AND(COUNT(A917:A928)=6,COUNT(F917:F928)=6),cubic_spline(F916:F922,A916:A922,B$15),IF(AND(COUNT(A917:A928)=7,COUNT(F917:F928)=7),cubic_spline(F916:F923,A916:A923,B$15),IF(AND(COUNT(A917:A928)=8,COUNT(F917:F928)=8),cubic_spline(F916:F924,A916:A924,B$15),IF(AND(COUNT(A917:A928)=9,COUNT(F917:F928)=9),cubic_spline(F916:F925,A916:A925,B$15),IF(AND(COUNT(A917:A928)=10,COUNT(F917:F928)=10),cubic_spline(F916:F926,A916:A926,B$15),IF(AND(COUNT(A917:A928)=11,COUNT(F917:F928)=11),cubic_spline(F916:F927,A916:A927,B$15),IF(AND(COUNT(A917:A928)=12,COUNT(F917:F928)=12),cubic_spline(F916:F928,A916:A928,B$15),""))))))))))))</f>
        <v/>
      </c>
      <c r="L928" s="27" t="str">
        <f>IF(I928="","",B$14&amp;"-"&amp;B$15)</f>
        <v/>
      </c>
      <c r="M928" s="52" t="str">
        <f t="shared" si="350"/>
        <v/>
      </c>
    </row>
    <row r="929" spans="1:13" ht="5.15" customHeight="1" x14ac:dyDescent="0.35">
      <c r="A929" s="47"/>
      <c r="B929" s="47"/>
      <c r="C929" s="47"/>
      <c r="D929" s="53"/>
      <c r="E929" s="54"/>
      <c r="F929" s="55"/>
      <c r="G929" s="72"/>
      <c r="H929" s="73"/>
      <c r="I929" s="47"/>
      <c r="J929" s="57"/>
      <c r="K929" s="57"/>
      <c r="L929" s="55"/>
      <c r="M929" s="57"/>
    </row>
    <row r="930" spans="1:13" x14ac:dyDescent="0.35">
      <c r="A930" s="48"/>
      <c r="B930" s="48"/>
      <c r="C930" s="49"/>
      <c r="D930" s="50"/>
      <c r="E930" s="51" t="str">
        <f>IF(N(C930)=0,"",C930/PI()/($D$1/2)^2/$D$2*10000)</f>
        <v/>
      </c>
      <c r="F930" s="68" t="str">
        <f t="shared" ref="F930:F941" si="351">IF(N(E930)=0,"",(N(E930)+N(F929)))</f>
        <v/>
      </c>
      <c r="G930" s="69" t="str">
        <f>IF(OR(N(D930)=0,N(E930)=0),"",(E930*D930)/1000)</f>
        <v/>
      </c>
      <c r="H930" s="70" t="str">
        <f t="shared" ref="H930:H941" si="352">IF(N(G930)=0,"",(N(G930)+N(H929)))</f>
        <v/>
      </c>
      <c r="I930" s="27" t="str">
        <f>IF(N(J930)=0,"",0&amp;"-"&amp;B$4)</f>
        <v/>
      </c>
      <c r="J930" s="52" t="str">
        <f>IF(N(B$4)=0,"",IF(AND(COUNT(H930:H941)=2,COUNT(F930:F941)=2),cubic_spline(F929:F931,H929:H931,B$4),IF(AND(COUNT(H930:H941)=3,COUNT(F930:F941)=3),cubic_spline(F929:F932,H929:H932,B$4),IF(AND(COUNT(H930:H941)=4,COUNT(F930:F941)=4),cubic_spline(F929:F933,H929:H933,B$4),IF(AND(COUNT(H930:H941)=5,COUNT(F930:F941)=5),cubic_spline(F929:F934,H929:H934,B$4),IF(AND(COUNT(H930:H941)=6,COUNT(F930:F941)=6),cubic_spline(F929:F935,H929:H935,B$4),IF(AND(COUNT(H930:H941)=7,COUNT(F930:F941)=7),cubic_spline(F929:F936,H929:H936,B$4),IF(AND(COUNT(H930:H941)=8,COUNT(F930:F941)=8),cubic_spline(F929:F937,H929:H937,B$4),IF(AND(COUNT(H930:H941)=9,COUNT(F930:F941)=9),cubic_spline(F929:F938,H929:H938,B$4),IF(AND(COUNT(H930:H941)=10,COUNT(F930:F941)=10),cubic_spline(F929:F939,H929:H939,B$4),IF(AND(COUNT(H930:H941)=11,COUNT(F930:F941)=11),cubic_spline(F929:F940,H929:H940,B$4),IF(AND(COUNT(H930:H941)=12,COUNT(F930:F941)=12),cubic_spline(F929:F941,H929:H941,B$4),""))))))))))))</f>
        <v/>
      </c>
      <c r="K930" s="52" t="str">
        <f>IF(N(B$4)=0,"",IF(AND(COUNT(A930:A941)=2,COUNT(F930:F941)=2),cubic_spline(F929:F931,A929:A931,B$4),IF(AND(COUNT(A930:A941)=3,COUNT(F930:F941)=3),cubic_spline(F929:F932,A929:A932,B$4),IF(AND(COUNT(A930:A941)=4,COUNT(F930:F941)=4),cubic_spline(F929:F933,A929:A933,B$4),IF(AND(COUNT(A930:A941)=5,COUNT(F930:F941)=5),cubic_spline(F929:F934,A929:A934,B$4),IF(AND(COUNT(A930:A941)=6,COUNT(F930:F941)=6),cubic_spline(F929:F935,A929:A935,B$4),IF(AND(COUNT(A930:A941)=7,COUNT(F930:F941)=7),cubic_spline(F929:F936,A929:A936,B$4),IF(AND(COUNT(A930:A941)=8,COUNT(F930:F941)=8),cubic_spline(F929:F937,A929:A937,B$4),IF(AND(COUNT(A930:A941)=9,COUNT(F930:F941)=9),cubic_spline(F929:F938,A929:A938,B$4),IF(AND(COUNT(A930:A941)=10,COUNT(F930:F941)=10),cubic_spline(F929:F939,A929:A939,B$4),IF(AND(COUNT(A930:A941)=11,COUNT(F930:F941)=11),cubic_spline(F929:F940,A929:A940,B$4),IF(AND(COUNT(A930:A941)=12,COUNT(F930:F941)=12),cubic_spline(F929:F941,A929:A941,B$4),""))))))))))))</f>
        <v/>
      </c>
      <c r="L930" s="27" t="str">
        <f>IF(I930="","",0&amp;"-"&amp;B$4)</f>
        <v/>
      </c>
      <c r="M930" s="52" t="str">
        <f>IF(N(J930)=0,"",J930-J929)</f>
        <v/>
      </c>
    </row>
    <row r="931" spans="1:13" x14ac:dyDescent="0.35">
      <c r="A931" s="48"/>
      <c r="B931" s="48"/>
      <c r="C931" s="49"/>
      <c r="D931" s="50"/>
      <c r="E931" s="51" t="str">
        <f>IF(N(C931)=0,"",C931/PI()/($D$1/2)^2/$D$2*10000)</f>
        <v/>
      </c>
      <c r="F931" s="68" t="str">
        <f t="shared" si="351"/>
        <v/>
      </c>
      <c r="G931" s="69" t="str">
        <f t="shared" ref="G931:G941" si="353">IF(OR(N(D931)=0,N(E931)=0),"",(E931*D931)/1000)</f>
        <v/>
      </c>
      <c r="H931" s="70" t="str">
        <f t="shared" si="352"/>
        <v/>
      </c>
      <c r="I931" s="27" t="str">
        <f>IF(N(J931)=0,"",0&amp;"-"&amp;B$5)</f>
        <v/>
      </c>
      <c r="J931" s="52" t="str">
        <f>IF(N(B$5)=0,"",IF(AND(COUNT(H930:H941)=2,COUNT(F930:F941)=2),cubic_spline(F929:F931,H929:H931,B$5),IF(AND(COUNT(H930:H941)=3,COUNT(F930:F941)=3),cubic_spline(F929:F932,H929:H932,B$5),IF(AND(COUNT(H930:H941)=4,COUNT(F930:F941)=4),cubic_spline(F929:F933,H929:H933,B$5),IF(AND(COUNT(H930:H941)=5,COUNT(F930:F941)=5),cubic_spline(F929:F934,H929:H934,B$5),IF(AND(COUNT(H930:H941)=6,COUNT(F930:F941)=6),cubic_spline(F929:F935,H929:H935,B$5),IF(AND(COUNT(H930:H941)=7,COUNT(F930:F941)=7),cubic_spline(F929:F936,H929:H936,B$5),IF(AND(COUNT(H930:H941)=8,COUNT(F930:F941)=8),cubic_spline(F929:F937,H929:H937,B$5),IF(AND(COUNT(H930:H941)=9,COUNT(F930:F941)=9),cubic_spline(F929:F938,H929:H938,B$5),IF(AND(COUNT(H930:H941)=10,COUNT(F930:F941)=10),cubic_spline(F929:F939,H929:H939,B$5),IF(AND(COUNT(H930:H941)=11,COUNT(F930:F941)=11),cubic_spline(F929:F940,H929:H940,B$5),IF(AND(COUNT(H930:H941)=12,COUNT(F930:F941)=12),cubic_spline(F929:F941,H929:H941,B$5),""))))))))))))</f>
        <v/>
      </c>
      <c r="K931" s="52" t="str">
        <f>IF(N(B$5)=0,"",IF(AND(COUNT(A930:A941)=2,COUNT(F930:F941)=2),cubic_spline(F929:F931,A929:A931,B$5),IF(AND(COUNT(A930:A941)=3,COUNT(F930:F941)=3),cubic_spline(F929:F932,A929:A932,B$5),IF(AND(COUNT(A930:A941)=4,COUNT(F930:F941)=4),cubic_spline(F929:F933,A929:A933,B$5),IF(AND(COUNT(A930:A941)=5,COUNT(F930:F941)=5),cubic_spline(F929:F934,A929:A934,B$5),IF(AND(COUNT(A930:A941)=6,COUNT(F930:F941)=6),cubic_spline(F929:F935,A929:A935,B$5),IF(AND(COUNT(A930:A941)=7,COUNT(F930:F941)=7),cubic_spline(F929:F936,A929:A936,B$5),IF(AND(COUNT(A930:A941)=8,COUNT(F930:F941)=8),cubic_spline(F929:F937,A929:A937,B$5),IF(AND(COUNT(A930:A941)=9,COUNT(F930:F941)=9),cubic_spline(F929:F938,A929:A938,B$5),IF(AND(COUNT(A930:A941)=10,COUNT(F930:F941)=10),cubic_spline(F929:F939,A929:A939,B$5),IF(AND(COUNT(A930:A941)=11,COUNT(F930:F941)=11),cubic_spline(F929:F940,A929:A940,B$5),IF(AND(COUNT(A930:A941)=12,COUNT(F930:F941)=12),cubic_spline(F929:F941,A929:A941,B$5),""))))))))))))</f>
        <v/>
      </c>
      <c r="L931" s="27" t="str">
        <f>IF(I931="","",B$4&amp;"-"&amp;B$5)</f>
        <v/>
      </c>
      <c r="M931" s="52" t="str">
        <f>IF(N(J931)=0,"",J931-J930)</f>
        <v/>
      </c>
    </row>
    <row r="932" spans="1:13" x14ac:dyDescent="0.35">
      <c r="A932" s="48"/>
      <c r="B932" s="48"/>
      <c r="C932" s="49"/>
      <c r="D932" s="50"/>
      <c r="E932" s="51" t="str">
        <f>IF(N(C932)=0,"",C932/PI()/($D$1/2)^2/$D$2*10000)</f>
        <v/>
      </c>
      <c r="F932" s="68" t="str">
        <f t="shared" si="351"/>
        <v/>
      </c>
      <c r="G932" s="69" t="str">
        <f t="shared" si="353"/>
        <v/>
      </c>
      <c r="H932" s="70" t="str">
        <f t="shared" si="352"/>
        <v/>
      </c>
      <c r="I932" s="27" t="str">
        <f>IF(N(J932)=0,"",0&amp;"-"&amp;B$6)</f>
        <v/>
      </c>
      <c r="J932" s="52" t="str">
        <f>IF(N(B$6)=0,"",IF(AND(COUNT(H930:H941)=2,COUNT(F930:F941)=2),cubic_spline(F929:F931,H929:H931,B$6),IF(AND(COUNT(H930:H941)=3,COUNT(F930:F941)=3),cubic_spline(F929:F932,H929:H932,B$6),IF(AND(COUNT(H930:H941)=4,COUNT(F930:F941)=4),cubic_spline(F929:F933,H929:H933,B$6),IF(AND(COUNT(H930:H941)=5,COUNT(F930:F941)=5),cubic_spline(F929:F934,H929:H934,B$6),IF(AND(COUNT(H930:H941)=6,COUNT(F930:F941)=6),cubic_spline(F929:F935,H929:H935,B$6),IF(AND(COUNT(H930:H941)=7,COUNT(F930:F941)=7),cubic_spline(F929:F936,H929:H936,B$6),IF(AND(COUNT(H930:H941)=8,COUNT(F930:F941)=8),cubic_spline(F929:F937,H929:H937,B$6),IF(AND(COUNT(H930:H941)=9,COUNT(F930:F941)=9),cubic_spline(F929:F938,H929:H938,B$6),IF(AND(COUNT(H930:H941)=10,COUNT(F930:F941)=10),cubic_spline(F929:F939,H929:H939,B$6),IF(AND(COUNT(H930:H941)=11,COUNT(F930:F941)=11),cubic_spline(F929:F940,H929:H940,B$6),IF(AND(COUNT(H930:H941)=12,COUNT(F930:F941)=12),cubic_spline(F929:F941,H929:H941,B$6),""))))))))))))</f>
        <v/>
      </c>
      <c r="K932" s="52" t="str">
        <f>IF(N(B$6)=0,"",IF(AND(COUNT(A930:A941)=2,COUNT(F930:F941)=2),cubic_spline(F929:F931,A929:A931,B$6),IF(AND(COUNT(A930:A941)=3,COUNT(F930:F941)=3),cubic_spline(F929:F932,A929:A932,B$6),IF(AND(COUNT(A930:A941)=4,COUNT(F930:F941)=4),cubic_spline(F929:F933,A929:A933,B$6),IF(AND(COUNT(A930:A941)=5,COUNT(F930:F941)=5),cubic_spline(F929:F934,A929:A934,B$6),IF(AND(COUNT(A930:A941)=6,COUNT(F930:F941)=6),cubic_spline(F929:F935,A929:A935,B$6),IF(AND(COUNT(A930:A941)=7,COUNT(F930:F941)=7),cubic_spline(F929:F936,A929:A936,B$6),IF(AND(COUNT(A930:A941)=8,COUNT(F930:F941)=8),cubic_spline(F929:F937,A929:A937,B$6),IF(AND(COUNT(A930:A941)=9,COUNT(F930:F941)=9),cubic_spline(F929:F938,A929:A938,B$6),IF(AND(COUNT(A930:A941)=10,COUNT(F930:F941)=10),cubic_spline(F929:F939,A929:A939,B$6),IF(AND(COUNT(A930:A941)=11,COUNT(F930:F941)=11),cubic_spline(F929:F940,A929:A940,B$6),IF(AND(COUNT(A930:A941)=12,COUNT(F930:F941)=12),cubic_spline(F929:F941,A929:A941,B$6),""))))))))))))</f>
        <v/>
      </c>
      <c r="L932" s="27" t="str">
        <f>IF(I932="","",B$5&amp;"-"&amp;B$6)</f>
        <v/>
      </c>
      <c r="M932" s="52" t="str">
        <f>IF(N(J932)=0,"",J932-J931)</f>
        <v/>
      </c>
    </row>
    <row r="933" spans="1:13" x14ac:dyDescent="0.35">
      <c r="A933" s="48"/>
      <c r="B933" s="48"/>
      <c r="C933" s="49"/>
      <c r="D933" s="50"/>
      <c r="E933" s="51" t="str">
        <f>IF(N(C933)=0,"",C933/PI()/($D$1/2)^2/$D$2*10000)</f>
        <v/>
      </c>
      <c r="F933" s="68" t="str">
        <f t="shared" si="351"/>
        <v/>
      </c>
      <c r="G933" s="69" t="str">
        <f t="shared" si="353"/>
        <v/>
      </c>
      <c r="H933" s="70" t="str">
        <f t="shared" si="352"/>
        <v/>
      </c>
      <c r="I933" s="27" t="str">
        <f>IF(N(J933)=0,"",0&amp;"-"&amp;B$7)</f>
        <v/>
      </c>
      <c r="J933" s="52" t="str">
        <f>IF(N(B$7)=0,"",IF(AND(COUNT(H930:H941)=2,COUNT(F930:F941)=2),cubic_spline(F929:F931,H929:H931,B$7),IF(AND(COUNT(H930:H941)=3,COUNT(F930:F941)=3),cubic_spline(F929:F932,H929:H932,B$7),IF(AND(COUNT(H930:H941)=4,COUNT(F930:F941)=4),cubic_spline(F929:F933,H929:H933,B$7),IF(AND(COUNT(H930:H941)=5,COUNT(F930:F941)=5),cubic_spline(F929:F934,H929:H934,B$7),IF(AND(COUNT(H930:H941)=6,COUNT(F930:F941)=6),cubic_spline(F929:F935,H929:H935,B$7),IF(AND(COUNT(H930:H941)=7,COUNT(F930:F941)=7),cubic_spline(F929:F936,H929:H936,B$7),IF(AND(COUNT(H930:H941)=8,COUNT(F930:F941)=8),cubic_spline(F929:F937,H929:H937,B$7),IF(AND(COUNT(H930:H941)=9,COUNT(F930:F941)=9),cubic_spline(F929:F938,H929:H938,B$7),IF(AND(COUNT(H930:H941)=10,COUNT(F930:F941)=10),cubic_spline(F929:F939,H929:H939,B$7),IF(AND(COUNT(H930:H941)=11,COUNT(F930:F941)=11),cubic_spline(F929:F940,H929:H940,B$7),IF(AND(COUNT(H930:H941)=12,COUNT(F930:F941)=12),cubic_spline(F929:F941,H929:H941,B$7),""))))))))))))</f>
        <v/>
      </c>
      <c r="K933" s="52" t="str">
        <f>IF(N(B$7)=0,"",IF(AND(COUNT(A930:A941)=2,COUNT(F930:F941)=2),cubic_spline(F929:F931,A929:A931,B$7),IF(AND(COUNT(A930:A941)=3,COUNT(F930:F941)=3),cubic_spline(F929:F932,A929:A932,B$7),IF(AND(COUNT(A930:A941)=4,COUNT(F930:F941)=4),cubic_spline(F929:F933,A929:A933,B$7),IF(AND(COUNT(A930:A941)=5,COUNT(F930:F941)=5),cubic_spline(F929:F934,A929:A934,B$7),IF(AND(COUNT(A930:A941)=6,COUNT(F930:F941)=6),cubic_spline(F929:F935,A929:A935,B$7),IF(AND(COUNT(A930:A941)=7,COUNT(F930:F941)=7),cubic_spline(F929:F936,A929:A936,B$7),IF(AND(COUNT(A930:A941)=8,COUNT(F930:F941)=8),cubic_spline(F929:F937,A929:A937,B$7),IF(AND(COUNT(A930:A941)=9,COUNT(F930:F941)=9),cubic_spline(F929:F938,A929:A938,B$7),IF(AND(COUNT(A930:A941)=10,COUNT(F930:F941)=10),cubic_spline(F929:F939,A929:A939,B$7),IF(AND(COUNT(A930:A941)=11,COUNT(F930:F941)=11),cubic_spline(F929:F940,A929:A940,B$7),IF(AND(COUNT(A930:A941)=12,COUNT(F930:F941)=12),cubic_spline(F929:F941,A929:A941,B$7),""))))))))))))</f>
        <v/>
      </c>
      <c r="L933" s="27" t="str">
        <f>IF(I933="","",B$6&amp;"-"&amp;B$7)</f>
        <v/>
      </c>
      <c r="M933" s="52" t="str">
        <f>IF(N(J933)=0,"",J933-J932)</f>
        <v/>
      </c>
    </row>
    <row r="934" spans="1:13" x14ac:dyDescent="0.35">
      <c r="A934" s="48"/>
      <c r="B934" s="48"/>
      <c r="C934" s="49"/>
      <c r="D934" s="50"/>
      <c r="E934" s="51" t="str">
        <f t="shared" ref="E934:E941" si="354">IF(N(C934)=0,"",C934/PI()/($D$1/2)^2/$D$2*10000)</f>
        <v/>
      </c>
      <c r="F934" s="71" t="str">
        <f t="shared" si="351"/>
        <v/>
      </c>
      <c r="G934" s="69" t="str">
        <f t="shared" si="353"/>
        <v/>
      </c>
      <c r="H934" s="70" t="str">
        <f t="shared" si="352"/>
        <v/>
      </c>
      <c r="I934" s="27" t="str">
        <f>IF(N(J934)=0,"",0&amp;"-"&amp;B$8)</f>
        <v/>
      </c>
      <c r="J934" s="52" t="str">
        <f>IF(N(B$8)=0,"",IF(AND(COUNT(H930:H941)=2,COUNT(F930:F941)=2),cubic_spline(F929:F931,H929:H931,B$8),IF(AND(COUNT(H930:H941)=3,COUNT(F930:F941)=3),cubic_spline(F929:F932,H929:H932,B$8),IF(AND(COUNT(H930:H941)=4,COUNT(F930:F941)=4),cubic_spline(F929:F933,H929:H933,B$8),IF(AND(COUNT(H930:H941)=5,COUNT(F930:F941)=5),cubic_spline(F929:F934,H929:H934,B$8),IF(AND(COUNT(H930:H941)=6,COUNT(F930:F941)=6),cubic_spline(F929:F935,H929:H935,B$8),IF(AND(COUNT(H930:H941)=7,COUNT(F930:F941)=7),cubic_spline(F929:F936,H929:H936,B$8),IF(AND(COUNT(H930:H941)=8,COUNT(F930:F941)=8),cubic_spline(F929:F937,H929:H937,B$8),IF(AND(COUNT(H930:H941)=9,COUNT(F930:F941)=9),cubic_spline(F929:F938,H929:H938,B$8),IF(AND(COUNT(H930:H941)=10,COUNT(F930:F941)=10),cubic_spline(F929:F939,H929:H939,B$8),IF(AND(COUNT(H930:H941)=11,COUNT(F930:F941)=11),cubic_spline(F929:F940,H929:H940,B$8),IF(AND(COUNT(H930:H941)=12,COUNT(F930:F941)=12),cubic_spline(F929:F941,H929:H941,B$8),""))))))))))))</f>
        <v/>
      </c>
      <c r="K934" s="52" t="str">
        <f>IF(N(B$8)=0,"",IF(AND(COUNT(A930:A941)=2,COUNT(F930:F941)=2),cubic_spline(F929:F931,A929:A931,B$8),IF(AND(COUNT(A930:A941)=3,COUNT(F930:F941)=3),cubic_spline(F929:F932,A929:A932,B$8),IF(AND(COUNT(A930:A941)=4,COUNT(F930:F941)=4),cubic_spline(F929:F933,A929:A933,B$8),IF(AND(COUNT(A930:A941)=5,COUNT(F930:F941)=5),cubic_spline(F929:F934,A929:A934,B$8),IF(AND(COUNT(A930:A941)=6,COUNT(F930:F941)=6),cubic_spline(F929:F935,A929:A935,B$8),IF(AND(COUNT(A930:A941)=7,COUNT(F930:F941)=7),cubic_spline(F929:F936,A929:A936,B$8),IF(AND(COUNT(A930:A941)=8,COUNT(F930:F941)=8),cubic_spline(F929:F937,A929:A937,B$8),IF(AND(COUNT(A930:A941)=9,COUNT(F930:F941)=9),cubic_spline(F929:F938,A929:A938,B$8),IF(AND(COUNT(A930:A941)=10,COUNT(F930:F941)=10),cubic_spline(F929:F939,A929:A939,B$8),IF(AND(COUNT(A930:A941)=11,COUNT(F930:F941)=11),cubic_spline(F929:F940,A929:A940,B$8),IF(AND(COUNT(A930:A941)=12,COUNT(F930:F941)=12),cubic_spline(F929:F941,A929:A941,B$8),""))))))))))))</f>
        <v/>
      </c>
      <c r="L934" s="27" t="str">
        <f>IF(I934="","",B$7&amp;"-"&amp;B$8)</f>
        <v/>
      </c>
      <c r="M934" s="52" t="str">
        <f>IF(N(J934)=0,"",J934-J933)</f>
        <v/>
      </c>
    </row>
    <row r="935" spans="1:13" x14ac:dyDescent="0.35">
      <c r="A935" s="48"/>
      <c r="B935" s="48"/>
      <c r="C935" s="49"/>
      <c r="D935" s="50"/>
      <c r="E935" s="51" t="str">
        <f t="shared" si="354"/>
        <v/>
      </c>
      <c r="F935" s="71" t="str">
        <f t="shared" si="351"/>
        <v/>
      </c>
      <c r="G935" s="69" t="str">
        <f t="shared" si="353"/>
        <v/>
      </c>
      <c r="H935" s="70" t="str">
        <f t="shared" si="352"/>
        <v/>
      </c>
      <c r="I935" s="27" t="str">
        <f>IF(N(J935)=0,"",0&amp;"-"&amp;B$9)</f>
        <v/>
      </c>
      <c r="J935" s="52" t="str">
        <f>IF(N(B$9)=0,"",IF(AND(COUNT(H930:H941)=2,COUNT(F930:F941)=2),cubic_spline(F929:F931,H929:H931,B$9),IF(AND(COUNT(H930:H941)=3,COUNT(F930:F941)=3),cubic_spline(F929:F932,H929:H932,B$9),IF(AND(COUNT(H930:H941)=4,COUNT(F930:F941)=4),cubic_spline(F929:F933,H929:H933,B$9),IF(AND(COUNT(H930:H941)=5,COUNT(F930:F941)=5),cubic_spline(F929:F934,H929:H934,B$9),IF(AND(COUNT(H930:H941)=6,COUNT(F930:F941)=6),cubic_spline(F929:F935,H929:H935,B$9),IF(AND(COUNT(H930:H941)=7,COUNT(F930:F941)=7),cubic_spline(F929:F936,H929:H936,B$9),IF(AND(COUNT(H930:H941)=8,COUNT(F930:F941)=8),cubic_spline(F929:F937,H929:H937,B$9),IF(AND(COUNT(H930:H941)=9,COUNT(F930:F941)=9),cubic_spline(F929:F938,H929:H938,B$9),IF(AND(COUNT(H930:H941)=10,COUNT(F930:F941)=10),cubic_spline(F929:F939,H929:H939,B$9),IF(AND(COUNT(H930:H941)=11,COUNT(F930:F941)=11),cubic_spline(F929:F940,H929:H940,B$9),IF(AND(COUNT(H930:H941)=12,COUNT(F930:F941)=12),cubic_spline(F929:F941,H929:H941,B$9),""))))))))))))</f>
        <v/>
      </c>
      <c r="K935" s="52" t="str">
        <f>IF(N(B$9)=0,"",IF(AND(COUNT(A930:A941)=2,COUNT(F930:F941)=2),cubic_spline(F929:F931,A929:A931,B$9),IF(AND(COUNT(A930:A941)=3,COUNT(F930:F941)=3),cubic_spline(F929:F932,A929:A932,B$9),IF(AND(COUNT(A930:A941)=4,COUNT(F930:F941)=4),cubic_spline(F929:F933,A929:A933,B$9),IF(AND(COUNT(A930:A941)=5,COUNT(F930:F941)=5),cubic_spline(F929:F934,A929:A934,B$9),IF(AND(COUNT(A930:A941)=6,COUNT(F930:F941)=6),cubic_spline(F929:F935,A929:A935,B$9),IF(AND(COUNT(A930:A941)=7,COUNT(F930:F941)=7),cubic_spline(F929:F936,A929:A936,B$9),IF(AND(COUNT(A930:A941)=8,COUNT(F930:F941)=8),cubic_spline(F929:F937,A929:A937,B$9),IF(AND(COUNT(A930:A941)=9,COUNT(F930:F941)=9),cubic_spline(F929:F938,A929:A938,B$9),IF(AND(COUNT(A930:A941)=10,COUNT(F930:F941)=10),cubic_spline(F929:F939,A929:A939,B$9),IF(AND(COUNT(A930:A941)=11,COUNT(F930:F941)=11),cubic_spline(F929:F940,A929:A940,B$9),IF(AND(COUNT(A930:A941)=12,COUNT(F930:F941)=12),cubic_spline(F929:F941,A929:A941,B$9),""))))))))))))</f>
        <v/>
      </c>
      <c r="L935" s="27" t="str">
        <f>IF(I935="","",B$8&amp;"-"&amp;B$9)</f>
        <v/>
      </c>
      <c r="M935" s="52" t="str">
        <f t="shared" ref="M935:M941" si="355">IF(N(J935)=0,"",J935-J934)</f>
        <v/>
      </c>
    </row>
    <row r="936" spans="1:13" x14ac:dyDescent="0.35">
      <c r="A936" s="48"/>
      <c r="B936" s="48"/>
      <c r="C936" s="49"/>
      <c r="D936" s="50"/>
      <c r="E936" s="51" t="str">
        <f t="shared" si="354"/>
        <v/>
      </c>
      <c r="F936" s="71" t="str">
        <f t="shared" si="351"/>
        <v/>
      </c>
      <c r="G936" s="69" t="str">
        <f t="shared" si="353"/>
        <v/>
      </c>
      <c r="H936" s="70" t="str">
        <f t="shared" si="352"/>
        <v/>
      </c>
      <c r="I936" s="27" t="str">
        <f>IF(N(J936)=0,"",0&amp;"-"&amp;B$10)</f>
        <v/>
      </c>
      <c r="J936" s="52" t="str">
        <f>IF(N(B$10)=0,"",IF(AND(COUNT(H930:H941)=2,COUNT(F930:F941)=2),cubic_spline(F929:F931,H929:H931,B$10),IF(AND(COUNT(H930:H941)=3,COUNT(F930:F941)=3),cubic_spline(F929:F932,H929:H932,B$10),IF(AND(COUNT(H930:H941)=4,COUNT(F930:F941)=4),cubic_spline(F929:F933,H929:H933,B$10),IF(AND(COUNT(H930:H941)=5,COUNT(F930:F941)=5),cubic_spline(F929:F934,H929:H934,B$10),IF(AND(COUNT(H930:H941)=6,COUNT(F930:F941)=6),cubic_spline(F929:F935,H929:H935,B$10),IF(AND(COUNT(H930:H941)=7,COUNT(F930:F941)=7),cubic_spline(F929:F936,H929:H936,B$10),IF(AND(COUNT(H930:H941)=8,COUNT(F930:F941)=8),cubic_spline(F929:F937,H929:H937,B$10),IF(AND(COUNT(H930:H941)=9,COUNT(F930:F941)=9),cubic_spline(F929:F938,H929:H938,B$10),IF(AND(COUNT(H930:H941)=10,COUNT(F930:F941)=10),cubic_spline(F929:F939,H929:H939,B$10),IF(AND(COUNT(H930:H941)=11,COUNT(F930:F941)=11),cubic_spline(F929:F940,H929:H940,B$10),IF(AND(COUNT(H930:H941)=12,COUNT(F930:F941)=12),cubic_spline(F929:F941,H929:H941,B$10),""))))))))))))</f>
        <v/>
      </c>
      <c r="K936" s="52" t="str">
        <f>IF(N(B$10)=0,"",IF(AND(COUNT(A930:A941)=2,COUNT(F930:F941)=2),cubic_spline(F929:F931,A929:A931,B$10),IF(AND(COUNT(A930:A941)=3,COUNT(F930:F941)=3),cubic_spline(F929:F932,A929:A932,B$10),IF(AND(COUNT(A930:A941)=4,COUNT(F930:F941)=4),cubic_spline(F929:F933,A929:A933,B$10),IF(AND(COUNT(A930:A941)=5,COUNT(F930:F941)=5),cubic_spline(F929:F934,A929:A934,B$10),IF(AND(COUNT(A930:A941)=6,COUNT(F930:F941)=6),cubic_spline(F929:F935,A929:A935,B$10),IF(AND(COUNT(A930:A941)=7,COUNT(F930:F941)=7),cubic_spline(F929:F936,A929:A936,B$10),IF(AND(COUNT(A930:A941)=8,COUNT(F930:F941)=8),cubic_spline(F929:F937,A929:A937,B$10),IF(AND(COUNT(A930:A941)=9,COUNT(F930:F941)=9),cubic_spline(F929:F938,A929:A938,B$10),IF(AND(COUNT(A930:A941)=10,COUNT(F930:F941)=10),cubic_spline(F929:F939,A929:A939,B$10),IF(AND(COUNT(A930:A941)=11,COUNT(F930:F941)=11),cubic_spline(F929:F940,A929:A940,B$10),IF(AND(COUNT(A930:A941)=12,COUNT(F930:F941)=12),cubic_spline(F929:F941,A929:A941,B$10),""))))))))))))</f>
        <v/>
      </c>
      <c r="L936" s="27" t="str">
        <f>IF(I936="","",B$9&amp;"-"&amp;B$10)</f>
        <v/>
      </c>
      <c r="M936" s="52" t="str">
        <f t="shared" si="355"/>
        <v/>
      </c>
    </row>
    <row r="937" spans="1:13" x14ac:dyDescent="0.35">
      <c r="A937" s="48"/>
      <c r="B937" s="48"/>
      <c r="C937" s="49"/>
      <c r="D937" s="50"/>
      <c r="E937" s="51" t="str">
        <f t="shared" si="354"/>
        <v/>
      </c>
      <c r="F937" s="71" t="str">
        <f t="shared" si="351"/>
        <v/>
      </c>
      <c r="G937" s="69" t="str">
        <f t="shared" si="353"/>
        <v/>
      </c>
      <c r="H937" s="70" t="str">
        <f t="shared" si="352"/>
        <v/>
      </c>
      <c r="I937" s="27" t="str">
        <f>IF(N(J937)=0,"",0&amp;"-"&amp;B$11)</f>
        <v/>
      </c>
      <c r="J937" s="52" t="str">
        <f>IF(N(B$11)=0,"",IF(AND(COUNT(H930:H941)=2,COUNT(F930:F941)=2),cubic_spline(F929:F931,H929:H931,B$11),IF(AND(COUNT(H930:H941)=3,COUNT(F930:F941)=3),cubic_spline(F929:F932,H929:H932,B$11),IF(AND(COUNT(H930:H941)=4,COUNT(F930:F941)=4),cubic_spline(F929:F933,H929:H933,B$11),IF(AND(COUNT(H930:H941)=5,COUNT(F930:F941)=5),cubic_spline(F929:F934,H929:H934,B$11),IF(AND(COUNT(H930:H941)=6,COUNT(F930:F941)=6),cubic_spline(F929:F935,H929:H935,B$11),IF(AND(COUNT(H930:H941)=7,COUNT(F930:F941)=7),cubic_spline(F929:F936,H929:H936,B$11),IF(AND(COUNT(H930:H941)=8,COUNT(F930:F941)=8),cubic_spline(F929:F937,H929:H937,B$11),IF(AND(COUNT(H930:H941)=9,COUNT(F930:F941)=9),cubic_spline(F929:F938,H929:H938,B$11),IF(AND(COUNT(H930:H941)=10,COUNT(F930:F941)=10),cubic_spline(F929:F939,H929:H939,B$11),IF(AND(COUNT(H930:H941)=11,COUNT(F930:F941)=11),cubic_spline(F929:F940,H929:H940,B$11),IF(AND(COUNT(H930:H941)=12,COUNT(F930:F941)=12),cubic_spline(F929:F941,H929:H941,B$11),""))))))))))))</f>
        <v/>
      </c>
      <c r="K937" s="52" t="str">
        <f>IF(N(B$11)=0,"",IF(AND(COUNT(A930:A941)=2,COUNT(F930:F941)=2),cubic_spline(F929:F931,A929:A931,B$11),IF(AND(COUNT(A930:A941)=3,COUNT(F930:F941)=3),cubic_spline(F929:F932,A929:A932,B$11),IF(AND(COUNT(A930:A941)=4,COUNT(F930:F941)=4),cubic_spline(F929:F933,A929:A933,B$11),IF(AND(COUNT(A930:A941)=5,COUNT(F930:F941)=5),cubic_spline(F929:F934,A929:A934,B$11),IF(AND(COUNT(A930:A941)=6,COUNT(F930:F941)=6),cubic_spline(F929:F935,A929:A935,B$11),IF(AND(COUNT(A930:A941)=7,COUNT(F930:F941)=7),cubic_spline(F929:F936,A929:A936,B$11),IF(AND(COUNT(A930:A941)=8,COUNT(F930:F941)=8),cubic_spline(F929:F937,A929:A937,B$11),IF(AND(COUNT(A930:A941)=9,COUNT(F930:F941)=9),cubic_spline(F929:F938,A929:A938,B$11),IF(AND(COUNT(A930:A941)=10,COUNT(F930:F941)=10),cubic_spline(F929:F939,A929:A939,B$11),IF(AND(COUNT(A930:A941)=11,COUNT(F930:F941)=11),cubic_spline(F929:F940,A929:A940,B$11),IF(AND(COUNT(A930:A941)=12,COUNT(F930:F941)=12),cubic_spline(F929:F941,A929:A941,B$11),""))))))))))))</f>
        <v/>
      </c>
      <c r="L937" s="27" t="str">
        <f>IF(I937="","",B$10&amp;"-"&amp;B$11)</f>
        <v/>
      </c>
      <c r="M937" s="52" t="str">
        <f t="shared" si="355"/>
        <v/>
      </c>
    </row>
    <row r="938" spans="1:13" x14ac:dyDescent="0.35">
      <c r="A938" s="48"/>
      <c r="B938" s="48"/>
      <c r="C938" s="49"/>
      <c r="D938" s="50"/>
      <c r="E938" s="51" t="str">
        <f t="shared" si="354"/>
        <v/>
      </c>
      <c r="F938" s="71" t="str">
        <f t="shared" si="351"/>
        <v/>
      </c>
      <c r="G938" s="69" t="str">
        <f t="shared" si="353"/>
        <v/>
      </c>
      <c r="H938" s="70" t="str">
        <f t="shared" si="352"/>
        <v/>
      </c>
      <c r="I938" s="27" t="str">
        <f>IF(N(J938)=0,"",0&amp;"-"&amp;B$12)</f>
        <v/>
      </c>
      <c r="J938" s="52" t="str">
        <f>IF(N(B$12)=0,"",IF(AND(COUNT(H930:H941)=2,COUNT(F930:F941)=2),cubic_spline(F929:F931,H929:H931,B$12),IF(AND(COUNT(H930:H941)=3,COUNT(F930:F941)=3),cubic_spline(F929:F932,H929:H932,B$12),IF(AND(COUNT(H930:H941)=4,COUNT(F930:F941)=4),cubic_spline(F929:F933,H929:H933,B$12),IF(AND(COUNT(H930:H941)=5,COUNT(F930:F941)=5),cubic_spline(F929:F934,H929:H934,B$12),IF(AND(COUNT(H930:H941)=6,COUNT(F930:F941)=6),cubic_spline(F929:F935,H929:H935,B$12),IF(AND(COUNT(H930:H941)=7,COUNT(F930:F941)=7),cubic_spline(F929:F936,H929:H936,B$12),IF(AND(COUNT(H930:H941)=8,COUNT(F930:F941)=8),cubic_spline(F929:F937,H929:H937,B$12),IF(AND(COUNT(H930:H941)=9,COUNT(F930:F941)=9),cubic_spline(F929:F938,H929:H938,B$12),IF(AND(COUNT(H930:H941)=10,COUNT(F930:F941)=10),cubic_spline(F929:F939,H929:H939,B$12),IF(AND(COUNT(H930:H941)=11,COUNT(F930:F941)=11),cubic_spline(F929:F940,H929:H940,B$12),IF(AND(COUNT(H930:H941)=12,COUNT(F930:F941)=12),cubic_spline(F929:F941,H929:H941,B$12),""))))))))))))</f>
        <v/>
      </c>
      <c r="K938" s="52" t="str">
        <f>IF(N(B$12)=0,"",IF(AND(COUNT(A930:A941)=2,COUNT(F930:F941)=2),cubic_spline(F929:F931,A929:A931,B$12),IF(AND(COUNT(A930:A941)=3,COUNT(F930:F941)=3),cubic_spline(F929:F932,A929:A932,B$12),IF(AND(COUNT(A930:A941)=4,COUNT(F930:F941)=4),cubic_spline(F929:F933,A929:A933,B$12),IF(AND(COUNT(A930:A941)=5,COUNT(F930:F941)=5),cubic_spline(F929:F934,A929:A934,B$12),IF(AND(COUNT(A930:A941)=6,COUNT(F930:F941)=6),cubic_spline(F929:F935,A929:A935,B$12),IF(AND(COUNT(A930:A941)=7,COUNT(F930:F941)=7),cubic_spline(F929:F936,A929:A936,B$12),IF(AND(COUNT(A930:A941)=8,COUNT(F930:F941)=8),cubic_spline(F929:F937,A929:A937,B$12),IF(AND(COUNT(A930:A941)=9,COUNT(F930:F941)=9),cubic_spline(F929:F938,A929:A938,B$12),IF(AND(COUNT(A930:A941)=10,COUNT(F930:F941)=10),cubic_spline(F929:F939,A929:A939,B$12),IF(AND(COUNT(A930:A941)=11,COUNT(F930:F941)=11),cubic_spline(F929:F940,A929:A940,B$12),IF(AND(COUNT(A930:A941)=12,COUNT(F930:F941)=12),cubic_spline(F929:F941,A929:A941,B$12),""))))))))))))</f>
        <v/>
      </c>
      <c r="L938" s="27" t="str">
        <f>IF(I938="","",B$11&amp;"-"&amp;B$12)</f>
        <v/>
      </c>
      <c r="M938" s="52" t="str">
        <f t="shared" si="355"/>
        <v/>
      </c>
    </row>
    <row r="939" spans="1:13" x14ac:dyDescent="0.35">
      <c r="A939" s="48"/>
      <c r="B939" s="48"/>
      <c r="C939" s="49"/>
      <c r="D939" s="50"/>
      <c r="E939" s="51" t="str">
        <f t="shared" si="354"/>
        <v/>
      </c>
      <c r="F939" s="71" t="str">
        <f t="shared" si="351"/>
        <v/>
      </c>
      <c r="G939" s="69" t="str">
        <f t="shared" si="353"/>
        <v/>
      </c>
      <c r="H939" s="70" t="str">
        <f t="shared" si="352"/>
        <v/>
      </c>
      <c r="I939" s="27" t="str">
        <f>IF(N(J939)=0,"",0&amp;"-"&amp;B$13)</f>
        <v/>
      </c>
      <c r="J939" s="52" t="str">
        <f>IF(N(B$13)=0,"",IF(AND(COUNT(H930:H941)=2,COUNT(F930:F941)=2),cubic_spline(F929:F931,H929:H931,B$13),IF(AND(COUNT(H930:H941)=3,COUNT(F930:F941)=3),cubic_spline(F929:F932,H929:H932,B$13),IF(AND(COUNT(H930:H941)=4,COUNT(F930:F941)=4),cubic_spline(F929:F933,H929:H933,B$13),IF(AND(COUNT(H930:H941)=5,COUNT(F930:F941)=5),cubic_spline(F929:F934,H929:H934,B$13),IF(AND(COUNT(H930:H941)=6,COUNT(F930:F941)=6),cubic_spline(F929:F935,H929:H935,B$13),IF(AND(COUNT(H930:H941)=7,COUNT(F930:F941)=7),cubic_spline(F929:F936,H929:H936,B$13),IF(AND(COUNT(H930:H941)=8,COUNT(F930:F941)=8),cubic_spline(F929:F937,H929:H937,B$13),IF(AND(COUNT(H930:H941)=9,COUNT(F930:F941)=9),cubic_spline(F929:F938,H929:H938,B$13),IF(AND(COUNT(H930:H941)=10,COUNT(F930:F941)=10),cubic_spline(F929:F939,H929:H939,B$13),IF(AND(COUNT(H930:H941)=11,COUNT(F930:F941)=11),cubic_spline(F929:F940,H929:H940,B$13),IF(AND(COUNT(H930:H941)=12,COUNT(F930:F941)=12),cubic_spline(F929:F941,H929:H941,B$13),""))))))))))))</f>
        <v/>
      </c>
      <c r="K939" s="52" t="str">
        <f>IF(N(B$13)=0,"",IF(AND(COUNT(A930:A941)=2,COUNT(F930:F941)=2),cubic_spline(F929:F931,A929:A931,B$13),IF(AND(COUNT(A930:A941)=3,COUNT(F930:F941)=3),cubic_spline(F929:F932,A929:A932,B$13),IF(AND(COUNT(A930:A941)=4,COUNT(F930:F941)=4),cubic_spline(F929:F933,A929:A933,B$13),IF(AND(COUNT(A930:A941)=5,COUNT(F930:F941)=5),cubic_spline(F929:F934,A929:A934,B$13),IF(AND(COUNT(A930:A941)=6,COUNT(F930:F941)=6),cubic_spline(F929:F935,A929:A935,B$13),IF(AND(COUNT(A930:A941)=7,COUNT(F930:F941)=7),cubic_spline(F929:F936,A929:A936,B$13),IF(AND(COUNT(A930:A941)=8,COUNT(F930:F941)=8),cubic_spline(F929:F937,A929:A937,B$13),IF(AND(COUNT(A930:A941)=9,COUNT(F930:F941)=9),cubic_spline(F929:F938,A929:A938,B$13),IF(AND(COUNT(A930:A941)=10,COUNT(F930:F941)=10),cubic_spline(F929:F939,A929:A939,B$13),IF(AND(COUNT(A930:A941)=11,COUNT(F930:F941)=11),cubic_spline(F929:F940,A929:A940,B$13),IF(AND(COUNT(A930:A941)=12,COUNT(F930:F941)=12),cubic_spline(F929:F941,A929:A941,B$13),""))))))))))))</f>
        <v/>
      </c>
      <c r="L939" s="27" t="str">
        <f>IF(I939="","",B$12&amp;"-"&amp;B$13)</f>
        <v/>
      </c>
      <c r="M939" s="52" t="str">
        <f t="shared" si="355"/>
        <v/>
      </c>
    </row>
    <row r="940" spans="1:13" x14ac:dyDescent="0.35">
      <c r="A940" s="48"/>
      <c r="B940" s="48"/>
      <c r="C940" s="49"/>
      <c r="D940" s="50"/>
      <c r="E940" s="51" t="str">
        <f t="shared" si="354"/>
        <v/>
      </c>
      <c r="F940" s="71" t="str">
        <f t="shared" si="351"/>
        <v/>
      </c>
      <c r="G940" s="69" t="str">
        <f t="shared" si="353"/>
        <v/>
      </c>
      <c r="H940" s="70" t="str">
        <f t="shared" si="352"/>
        <v/>
      </c>
      <c r="I940" s="27" t="str">
        <f>IF(N(J940)=0,"",0&amp;"-"&amp;B$14)</f>
        <v/>
      </c>
      <c r="J940" s="52" t="str">
        <f>IF(N(B$14)=0,"",IF(AND(COUNT(H930:H941)=2,COUNT(F930:F941)=2),cubic_spline(F929:F931,H929:H931,B$14),IF(AND(COUNT(H930:H941)=3,COUNT(F930:F941)=3),cubic_spline(F929:F932,H929:H932,B$14),IF(AND(COUNT(H930:H941)=4,COUNT(F930:F941)=4),cubic_spline(F929:F933,H929:H933,B$14),IF(AND(COUNT(H930:H941)=5,COUNT(F930:F941)=5),cubic_spline(F929:F934,H929:H934,B$14),IF(AND(COUNT(H930:H941)=6,COUNT(F930:F941)=6),cubic_spline(F929:F935,H929:H935,B$14),IF(AND(COUNT(H930:H941)=7,COUNT(F930:F941)=7),cubic_spline(F929:F936,H929:H936,B$14),IF(AND(COUNT(H930:H941)=8,COUNT(F930:F941)=8),cubic_spline(F929:F937,H929:H937,B$14),IF(AND(COUNT(H930:H941)=9,COUNT(F930:F941)=9),cubic_spline(F929:F938,H929:H938,B$14),IF(AND(COUNT(H930:H941)=10,COUNT(F930:F941)=10),cubic_spline(F929:F939,H929:H939,B$14),IF(AND(COUNT(H930:H941)=11,COUNT(F930:F941)=11),cubic_spline(F929:F940,H929:H940,B$14),IF(AND(COUNT(H930:H941)=12,COUNT(F930:F941)=12),cubic_spline(F929:F941,H929:H941,B$14),""))))))))))))</f>
        <v/>
      </c>
      <c r="K940" s="52" t="str">
        <f>IF(N(B$14)=0,"",IF(AND(COUNT(A930:A941)=2,COUNT(F930:F941)=2),cubic_spline(F929:F931,A929:A931,B$14),IF(AND(COUNT(A930:A941)=3,COUNT(F930:F941)=3),cubic_spline(F929:F932,A929:A932,B$14),IF(AND(COUNT(A930:A941)=4,COUNT(F930:F941)=4),cubic_spline(F929:F933,A929:A933,B$14),IF(AND(COUNT(A930:A941)=5,COUNT(F930:F941)=5),cubic_spline(F929:F934,A929:A934,B$14),IF(AND(COUNT(A930:A941)=6,COUNT(F930:F941)=6),cubic_spline(F929:F935,A929:A935,B$14),IF(AND(COUNT(A930:A941)=7,COUNT(F930:F941)=7),cubic_spline(F929:F936,A929:A936,B$14),IF(AND(COUNT(A930:A941)=8,COUNT(F930:F941)=8),cubic_spline(F929:F937,A929:A937,B$14),IF(AND(COUNT(A930:A941)=9,COUNT(F930:F941)=9),cubic_spline(F929:F938,A929:A938,B$14),IF(AND(COUNT(A930:A941)=10,COUNT(F930:F941)=10),cubic_spline(F929:F939,A929:A939,B$14),IF(AND(COUNT(A930:A941)=11,COUNT(F930:F941)=11),cubic_spline(F929:F940,A929:A940,B$14),IF(AND(COUNT(A930:A941)=12,COUNT(F930:F941)=12),cubic_spline(F929:F941,A929:A941,B$14),""))))))))))))</f>
        <v/>
      </c>
      <c r="L940" s="27" t="str">
        <f>IF(I940="","",B$13&amp;"-"&amp;B$14)</f>
        <v/>
      </c>
      <c r="M940" s="52" t="str">
        <f t="shared" si="355"/>
        <v/>
      </c>
    </row>
    <row r="941" spans="1:13" x14ac:dyDescent="0.35">
      <c r="A941" s="48"/>
      <c r="B941" s="48"/>
      <c r="C941" s="49"/>
      <c r="D941" s="50"/>
      <c r="E941" s="51" t="str">
        <f t="shared" si="354"/>
        <v/>
      </c>
      <c r="F941" s="71" t="str">
        <f t="shared" si="351"/>
        <v/>
      </c>
      <c r="G941" s="69" t="str">
        <f t="shared" si="353"/>
        <v/>
      </c>
      <c r="H941" s="70" t="str">
        <f t="shared" si="352"/>
        <v/>
      </c>
      <c r="I941" s="27" t="str">
        <f>IF(N(J941)=0,"",0&amp;"-"&amp;B$15)</f>
        <v/>
      </c>
      <c r="J941" s="52" t="str">
        <f>IF(N(B$15)=0,"",IF(AND(COUNT(H930:H941)=2,COUNT(F930:F941)=2),cubic_spline(F929:F931,H929:H931,B$15),IF(AND(COUNT(H930:H941)=3,COUNT(F930:F941)=3),cubic_spline(F929:F932,H929:H932,B$15),IF(AND(COUNT(H930:H941)=4,COUNT(F930:F941)=4),cubic_spline(F929:F933,H929:H933,B$15),IF(AND(COUNT(H930:H941)=5,COUNT(F930:F941)=5),cubic_spline(F929:F934,H929:H934,B$15),IF(AND(COUNT(H930:H941)=6,COUNT(F930:F941)=6),cubic_spline(F929:F935,H929:H935,B$15),IF(AND(COUNT(H930:H941)=7,COUNT(F930:F941)=7),cubic_spline(F929:F936,H929:H936,B$15),IF(AND(COUNT(H930:H941)=8,COUNT(F930:F941)=8),cubic_spline(F929:F937,H929:H937,B$15),IF(AND(COUNT(H930:H941)=9,COUNT(F930:F941)=9),cubic_spline(F929:F938,H929:H938,B$15),IF(AND(COUNT(H930:H941)=10,COUNT(F930:F941)=10),cubic_spline(F929:F939,H929:H939,B$15),IF(AND(COUNT(H930:H941)=11,COUNT(F930:F941)=11),cubic_spline(F929:F940,H929:H940,B$15),IF(AND(COUNT(H930:H941)=12,COUNT(F930:F941)=12),cubic_spline(F929:F941,H929:H941,B$15),""))))))))))))</f>
        <v/>
      </c>
      <c r="K941" s="52" t="str">
        <f>IF(N(B$15)=0,"",IF(AND(COUNT(A930:A941)=2,COUNT(F930:F941)=2),cubic_spline(F929:F931,A929:A931,B$15),IF(AND(COUNT(A930:A941)=3,COUNT(F930:F941)=3),cubic_spline(F929:F932,A929:A932,B$15),IF(AND(COUNT(A930:A941)=4,COUNT(F930:F941)=4),cubic_spline(F929:F933,A929:A933,B$15),IF(AND(COUNT(A930:A941)=5,COUNT(F930:F941)=5),cubic_spline(F929:F934,A929:A934,B$15),IF(AND(COUNT(A930:A941)=6,COUNT(F930:F941)=6),cubic_spline(F929:F935,A929:A935,B$15),IF(AND(COUNT(A930:A941)=7,COUNT(F930:F941)=7),cubic_spline(F929:F936,A929:A936,B$15),IF(AND(COUNT(A930:A941)=8,COUNT(F930:F941)=8),cubic_spline(F929:F937,A929:A937,B$15),IF(AND(COUNT(A930:A941)=9,COUNT(F930:F941)=9),cubic_spline(F929:F938,A929:A938,B$15),IF(AND(COUNT(A930:A941)=10,COUNT(F930:F941)=10),cubic_spline(F929:F939,A929:A939,B$15),IF(AND(COUNT(A930:A941)=11,COUNT(F930:F941)=11),cubic_spline(F929:F940,A929:A940,B$15),IF(AND(COUNT(A930:A941)=12,COUNT(F930:F941)=12),cubic_spline(F929:F941,A929:A941,B$15),""))))))))))))</f>
        <v/>
      </c>
      <c r="L941" s="27" t="str">
        <f>IF(I941="","",B$14&amp;"-"&amp;B$15)</f>
        <v/>
      </c>
      <c r="M941" s="52" t="str">
        <f t="shared" si="355"/>
        <v/>
      </c>
    </row>
    <row r="942" spans="1:13" ht="5.15" customHeight="1" x14ac:dyDescent="0.35">
      <c r="A942" s="47"/>
      <c r="B942" s="47"/>
      <c r="C942" s="47"/>
      <c r="D942" s="53"/>
      <c r="E942" s="54"/>
      <c r="F942" s="55"/>
      <c r="G942" s="72"/>
      <c r="H942" s="73"/>
      <c r="I942" s="47"/>
      <c r="J942" s="57"/>
      <c r="K942" s="57"/>
      <c r="L942" s="55"/>
      <c r="M942" s="57"/>
    </row>
    <row r="943" spans="1:13" x14ac:dyDescent="0.35">
      <c r="A943" s="48"/>
      <c r="B943" s="48"/>
      <c r="C943" s="49"/>
      <c r="D943" s="50"/>
      <c r="E943" s="51" t="str">
        <f>IF(N(C943)=0,"",C943/PI()/($D$1/2)^2/$D$2*10000)</f>
        <v/>
      </c>
      <c r="F943" s="68" t="str">
        <f t="shared" ref="F943:F954" si="356">IF(N(E943)=0,"",(N(E943)+N(F942)))</f>
        <v/>
      </c>
      <c r="G943" s="69" t="str">
        <f>IF(OR(N(D943)=0,N(E943)=0),"",(E943*D943)/1000)</f>
        <v/>
      </c>
      <c r="H943" s="70" t="str">
        <f t="shared" ref="H943:H954" si="357">IF(N(G943)=0,"",(N(G943)+N(H942)))</f>
        <v/>
      </c>
      <c r="I943" s="27" t="str">
        <f>IF(N(J943)=0,"",0&amp;"-"&amp;B$4)</f>
        <v/>
      </c>
      <c r="J943" s="52" t="str">
        <f>IF(N(B$4)=0,"",IF(AND(COUNT(H943:H954)=2,COUNT(F943:F954)=2),cubic_spline(F942:F944,H942:H944,B$4),IF(AND(COUNT(H943:H954)=3,COUNT(F943:F954)=3),cubic_spline(F942:F945,H942:H945,B$4),IF(AND(COUNT(H943:H954)=4,COUNT(F943:F954)=4),cubic_spline(F942:F946,H942:H946,B$4),IF(AND(COUNT(H943:H954)=5,COUNT(F943:F954)=5),cubic_spline(F942:F947,H942:H947,B$4),IF(AND(COUNT(H943:H954)=6,COUNT(F943:F954)=6),cubic_spline(F942:F948,H942:H948,B$4),IF(AND(COUNT(H943:H954)=7,COUNT(F943:F954)=7),cubic_spline(F942:F949,H942:H949,B$4),IF(AND(COUNT(H943:H954)=8,COUNT(F943:F954)=8),cubic_spline(F942:F950,H942:H950,B$4),IF(AND(COUNT(H943:H954)=9,COUNT(F943:F954)=9),cubic_spline(F942:F951,H942:H951,B$4),IF(AND(COUNT(H943:H954)=10,COUNT(F943:F954)=10),cubic_spline(F942:F952,H942:H952,B$4),IF(AND(COUNT(H943:H954)=11,COUNT(F943:F954)=11),cubic_spline(F942:F953,H942:H953,B$4),IF(AND(COUNT(H943:H954)=12,COUNT(F943:F954)=12),cubic_spline(F942:F954,H942:H954,B$4),""))))))))))))</f>
        <v/>
      </c>
      <c r="K943" s="52" t="str">
        <f>IF(N(B$4)=0,"",IF(AND(COUNT(A943:A954)=2,COUNT(F943:F954)=2),cubic_spline(F942:F944,A942:A944,B$4),IF(AND(COUNT(A943:A954)=3,COUNT(F943:F954)=3),cubic_spline(F942:F945,A942:A945,B$4),IF(AND(COUNT(A943:A954)=4,COUNT(F943:F954)=4),cubic_spline(F942:F946,A942:A946,B$4),IF(AND(COUNT(A943:A954)=5,COUNT(F943:F954)=5),cubic_spline(F942:F947,A942:A947,B$4),IF(AND(COUNT(A943:A954)=6,COUNT(F943:F954)=6),cubic_spline(F942:F948,A942:A948,B$4),IF(AND(COUNT(A943:A954)=7,COUNT(F943:F954)=7),cubic_spline(F942:F949,A942:A949,B$4),IF(AND(COUNT(A943:A954)=8,COUNT(F943:F954)=8),cubic_spline(F942:F950,A942:A950,B$4),IF(AND(COUNT(A943:A954)=9,COUNT(F943:F954)=9),cubic_spline(F942:F951,A942:A951,B$4),IF(AND(COUNT(A943:A954)=10,COUNT(F943:F954)=10),cubic_spline(F942:F952,A942:A952,B$4),IF(AND(COUNT(A943:A954)=11,COUNT(F943:F954)=11),cubic_spline(F942:F953,A942:A953,B$4),IF(AND(COUNT(A943:A954)=12,COUNT(F943:F954)=12),cubic_spline(F942:F954,A942:A954,B$4),""))))))))))))</f>
        <v/>
      </c>
      <c r="L943" s="27" t="str">
        <f>IF(I943="","",0&amp;"-"&amp;B$4)</f>
        <v/>
      </c>
      <c r="M943" s="52" t="str">
        <f>IF(N(J943)=0,"",J943-J942)</f>
        <v/>
      </c>
    </row>
    <row r="944" spans="1:13" x14ac:dyDescent="0.35">
      <c r="A944" s="48"/>
      <c r="B944" s="48"/>
      <c r="C944" s="49"/>
      <c r="D944" s="50"/>
      <c r="E944" s="51" t="str">
        <f>IF(N(C944)=0,"",C944/PI()/($D$1/2)^2/$D$2*10000)</f>
        <v/>
      </c>
      <c r="F944" s="68" t="str">
        <f t="shared" si="356"/>
        <v/>
      </c>
      <c r="G944" s="69" t="str">
        <f t="shared" ref="G944:G954" si="358">IF(OR(N(D944)=0,N(E944)=0),"",(E944*D944)/1000)</f>
        <v/>
      </c>
      <c r="H944" s="70" t="str">
        <f t="shared" si="357"/>
        <v/>
      </c>
      <c r="I944" s="27" t="str">
        <f>IF(N(J944)=0,"",0&amp;"-"&amp;B$5)</f>
        <v/>
      </c>
      <c r="J944" s="52" t="str">
        <f>IF(N(B$5)=0,"",IF(AND(COUNT(H943:H954)=2,COUNT(F943:F954)=2),cubic_spline(F942:F944,H942:H944,B$5),IF(AND(COUNT(H943:H954)=3,COUNT(F943:F954)=3),cubic_spline(F942:F945,H942:H945,B$5),IF(AND(COUNT(H943:H954)=4,COUNT(F943:F954)=4),cubic_spline(F942:F946,H942:H946,B$5),IF(AND(COUNT(H943:H954)=5,COUNT(F943:F954)=5),cubic_spline(F942:F947,H942:H947,B$5),IF(AND(COUNT(H943:H954)=6,COUNT(F943:F954)=6),cubic_spline(F942:F948,H942:H948,B$5),IF(AND(COUNT(H943:H954)=7,COUNT(F943:F954)=7),cubic_spline(F942:F949,H942:H949,B$5),IF(AND(COUNT(H943:H954)=8,COUNT(F943:F954)=8),cubic_spline(F942:F950,H942:H950,B$5),IF(AND(COUNT(H943:H954)=9,COUNT(F943:F954)=9),cubic_spline(F942:F951,H942:H951,B$5),IF(AND(COUNT(H943:H954)=10,COUNT(F943:F954)=10),cubic_spline(F942:F952,H942:H952,B$5),IF(AND(COUNT(H943:H954)=11,COUNT(F943:F954)=11),cubic_spline(F942:F953,H942:H953,B$5),IF(AND(COUNT(H943:H954)=12,COUNT(F943:F954)=12),cubic_spline(F942:F954,H942:H954,B$5),""))))))))))))</f>
        <v/>
      </c>
      <c r="K944" s="52" t="str">
        <f>IF(N(B$5)=0,"",IF(AND(COUNT(A943:A954)=2,COUNT(F943:F954)=2),cubic_spline(F942:F944,A942:A944,B$5),IF(AND(COUNT(A943:A954)=3,COUNT(F943:F954)=3),cubic_spline(F942:F945,A942:A945,B$5),IF(AND(COUNT(A943:A954)=4,COUNT(F943:F954)=4),cubic_spline(F942:F946,A942:A946,B$5),IF(AND(COUNT(A943:A954)=5,COUNT(F943:F954)=5),cubic_spline(F942:F947,A942:A947,B$5),IF(AND(COUNT(A943:A954)=6,COUNT(F943:F954)=6),cubic_spline(F942:F948,A942:A948,B$5),IF(AND(COUNT(A943:A954)=7,COUNT(F943:F954)=7),cubic_spline(F942:F949,A942:A949,B$5),IF(AND(COUNT(A943:A954)=8,COUNT(F943:F954)=8),cubic_spline(F942:F950,A942:A950,B$5),IF(AND(COUNT(A943:A954)=9,COUNT(F943:F954)=9),cubic_spline(F942:F951,A942:A951,B$5),IF(AND(COUNT(A943:A954)=10,COUNT(F943:F954)=10),cubic_spline(F942:F952,A942:A952,B$5),IF(AND(COUNT(A943:A954)=11,COUNT(F943:F954)=11),cubic_spline(F942:F953,A942:A953,B$5),IF(AND(COUNT(A943:A954)=12,COUNT(F943:F954)=12),cubic_spline(F942:F954,A942:A954,B$5),""))))))))))))</f>
        <v/>
      </c>
      <c r="L944" s="27" t="str">
        <f>IF(I944="","",B$4&amp;"-"&amp;B$5)</f>
        <v/>
      </c>
      <c r="M944" s="52" t="str">
        <f>IF(N(J944)=0,"",J944-J943)</f>
        <v/>
      </c>
    </row>
    <row r="945" spans="1:13" x14ac:dyDescent="0.35">
      <c r="A945" s="48"/>
      <c r="B945" s="48"/>
      <c r="C945" s="49"/>
      <c r="D945" s="50"/>
      <c r="E945" s="51" t="str">
        <f>IF(N(C945)=0,"",C945/PI()/($D$1/2)^2/$D$2*10000)</f>
        <v/>
      </c>
      <c r="F945" s="68" t="str">
        <f t="shared" si="356"/>
        <v/>
      </c>
      <c r="G945" s="69" t="str">
        <f t="shared" si="358"/>
        <v/>
      </c>
      <c r="H945" s="70" t="str">
        <f t="shared" si="357"/>
        <v/>
      </c>
      <c r="I945" s="27" t="str">
        <f>IF(N(J945)=0,"",0&amp;"-"&amp;B$6)</f>
        <v/>
      </c>
      <c r="J945" s="52" t="str">
        <f>IF(N(B$6)=0,"",IF(AND(COUNT(H943:H954)=2,COUNT(F943:F954)=2),cubic_spline(F942:F944,H942:H944,B$6),IF(AND(COUNT(H943:H954)=3,COUNT(F943:F954)=3),cubic_spline(F942:F945,H942:H945,B$6),IF(AND(COUNT(H943:H954)=4,COUNT(F943:F954)=4),cubic_spline(F942:F946,H942:H946,B$6),IF(AND(COUNT(H943:H954)=5,COUNT(F943:F954)=5),cubic_spline(F942:F947,H942:H947,B$6),IF(AND(COUNT(H943:H954)=6,COUNT(F943:F954)=6),cubic_spline(F942:F948,H942:H948,B$6),IF(AND(COUNT(H943:H954)=7,COUNT(F943:F954)=7),cubic_spline(F942:F949,H942:H949,B$6),IF(AND(COUNT(H943:H954)=8,COUNT(F943:F954)=8),cubic_spline(F942:F950,H942:H950,B$6),IF(AND(COUNT(H943:H954)=9,COUNT(F943:F954)=9),cubic_spline(F942:F951,H942:H951,B$6),IF(AND(COUNT(H943:H954)=10,COUNT(F943:F954)=10),cubic_spline(F942:F952,H942:H952,B$6),IF(AND(COUNT(H943:H954)=11,COUNT(F943:F954)=11),cubic_spline(F942:F953,H942:H953,B$6),IF(AND(COUNT(H943:H954)=12,COUNT(F943:F954)=12),cubic_spline(F942:F954,H942:H954,B$6),""))))))))))))</f>
        <v/>
      </c>
      <c r="K945" s="52" t="str">
        <f>IF(N(B$6)=0,"",IF(AND(COUNT(A943:A954)=2,COUNT(F943:F954)=2),cubic_spline(F942:F944,A942:A944,B$6),IF(AND(COUNT(A943:A954)=3,COUNT(F943:F954)=3),cubic_spline(F942:F945,A942:A945,B$6),IF(AND(COUNT(A943:A954)=4,COUNT(F943:F954)=4),cubic_spline(F942:F946,A942:A946,B$6),IF(AND(COUNT(A943:A954)=5,COUNT(F943:F954)=5),cubic_spline(F942:F947,A942:A947,B$6),IF(AND(COUNT(A943:A954)=6,COUNT(F943:F954)=6),cubic_spline(F942:F948,A942:A948,B$6),IF(AND(COUNT(A943:A954)=7,COUNT(F943:F954)=7),cubic_spline(F942:F949,A942:A949,B$6),IF(AND(COUNT(A943:A954)=8,COUNT(F943:F954)=8),cubic_spline(F942:F950,A942:A950,B$6),IF(AND(COUNT(A943:A954)=9,COUNT(F943:F954)=9),cubic_spline(F942:F951,A942:A951,B$6),IF(AND(COUNT(A943:A954)=10,COUNT(F943:F954)=10),cubic_spline(F942:F952,A942:A952,B$6),IF(AND(COUNT(A943:A954)=11,COUNT(F943:F954)=11),cubic_spline(F942:F953,A942:A953,B$6),IF(AND(COUNT(A943:A954)=12,COUNT(F943:F954)=12),cubic_spline(F942:F954,A942:A954,B$6),""))))))))))))</f>
        <v/>
      </c>
      <c r="L945" s="27" t="str">
        <f>IF(I945="","",B$5&amp;"-"&amp;B$6)</f>
        <v/>
      </c>
      <c r="M945" s="52" t="str">
        <f>IF(N(J945)=0,"",J945-J944)</f>
        <v/>
      </c>
    </row>
    <row r="946" spans="1:13" x14ac:dyDescent="0.35">
      <c r="A946" s="48"/>
      <c r="B946" s="48"/>
      <c r="C946" s="49"/>
      <c r="D946" s="50"/>
      <c r="E946" s="51" t="str">
        <f>IF(N(C946)=0,"",C946/PI()/($D$1/2)^2/$D$2*10000)</f>
        <v/>
      </c>
      <c r="F946" s="68" t="str">
        <f t="shared" si="356"/>
        <v/>
      </c>
      <c r="G946" s="69" t="str">
        <f t="shared" si="358"/>
        <v/>
      </c>
      <c r="H946" s="70" t="str">
        <f t="shared" si="357"/>
        <v/>
      </c>
      <c r="I946" s="27" t="str">
        <f>IF(N(J946)=0,"",0&amp;"-"&amp;B$7)</f>
        <v/>
      </c>
      <c r="J946" s="52" t="str">
        <f>IF(N(B$7)=0,"",IF(AND(COUNT(H943:H954)=2,COUNT(F943:F954)=2),cubic_spline(F942:F944,H942:H944,B$7),IF(AND(COUNT(H943:H954)=3,COUNT(F943:F954)=3),cubic_spline(F942:F945,H942:H945,B$7),IF(AND(COUNT(H943:H954)=4,COUNT(F943:F954)=4),cubic_spline(F942:F946,H942:H946,B$7),IF(AND(COUNT(H943:H954)=5,COUNT(F943:F954)=5),cubic_spline(F942:F947,H942:H947,B$7),IF(AND(COUNT(H943:H954)=6,COUNT(F943:F954)=6),cubic_spline(F942:F948,H942:H948,B$7),IF(AND(COUNT(H943:H954)=7,COUNT(F943:F954)=7),cubic_spline(F942:F949,H942:H949,B$7),IF(AND(COUNT(H943:H954)=8,COUNT(F943:F954)=8),cubic_spline(F942:F950,H942:H950,B$7),IF(AND(COUNT(H943:H954)=9,COUNT(F943:F954)=9),cubic_spline(F942:F951,H942:H951,B$7),IF(AND(COUNT(H943:H954)=10,COUNT(F943:F954)=10),cubic_spline(F942:F952,H942:H952,B$7),IF(AND(COUNT(H943:H954)=11,COUNT(F943:F954)=11),cubic_spline(F942:F953,H942:H953,B$7),IF(AND(COUNT(H943:H954)=12,COUNT(F943:F954)=12),cubic_spline(F942:F954,H942:H954,B$7),""))))))))))))</f>
        <v/>
      </c>
      <c r="K946" s="52" t="str">
        <f>IF(N(B$7)=0,"",IF(AND(COUNT(A943:A954)=2,COUNT(F943:F954)=2),cubic_spline(F942:F944,A942:A944,B$7),IF(AND(COUNT(A943:A954)=3,COUNT(F943:F954)=3),cubic_spline(F942:F945,A942:A945,B$7),IF(AND(COUNT(A943:A954)=4,COUNT(F943:F954)=4),cubic_spline(F942:F946,A942:A946,B$7),IF(AND(COUNT(A943:A954)=5,COUNT(F943:F954)=5),cubic_spline(F942:F947,A942:A947,B$7),IF(AND(COUNT(A943:A954)=6,COUNT(F943:F954)=6),cubic_spline(F942:F948,A942:A948,B$7),IF(AND(COUNT(A943:A954)=7,COUNT(F943:F954)=7),cubic_spline(F942:F949,A942:A949,B$7),IF(AND(COUNT(A943:A954)=8,COUNT(F943:F954)=8),cubic_spline(F942:F950,A942:A950,B$7),IF(AND(COUNT(A943:A954)=9,COUNT(F943:F954)=9),cubic_spline(F942:F951,A942:A951,B$7),IF(AND(COUNT(A943:A954)=10,COUNT(F943:F954)=10),cubic_spline(F942:F952,A942:A952,B$7),IF(AND(COUNT(A943:A954)=11,COUNT(F943:F954)=11),cubic_spline(F942:F953,A942:A953,B$7),IF(AND(COUNT(A943:A954)=12,COUNT(F943:F954)=12),cubic_spline(F942:F954,A942:A954,B$7),""))))))))))))</f>
        <v/>
      </c>
      <c r="L946" s="27" t="str">
        <f>IF(I946="","",B$6&amp;"-"&amp;B$7)</f>
        <v/>
      </c>
      <c r="M946" s="52" t="str">
        <f>IF(N(J946)=0,"",J946-J945)</f>
        <v/>
      </c>
    </row>
    <row r="947" spans="1:13" x14ac:dyDescent="0.35">
      <c r="A947" s="48"/>
      <c r="B947" s="48"/>
      <c r="C947" s="49"/>
      <c r="D947" s="50"/>
      <c r="E947" s="51" t="str">
        <f t="shared" ref="E947:E954" si="359">IF(N(C947)=0,"",C947/PI()/($D$1/2)^2/$D$2*10000)</f>
        <v/>
      </c>
      <c r="F947" s="71" t="str">
        <f t="shared" si="356"/>
        <v/>
      </c>
      <c r="G947" s="69" t="str">
        <f t="shared" si="358"/>
        <v/>
      </c>
      <c r="H947" s="70" t="str">
        <f t="shared" si="357"/>
        <v/>
      </c>
      <c r="I947" s="27" t="str">
        <f>IF(N(J947)=0,"",0&amp;"-"&amp;B$8)</f>
        <v/>
      </c>
      <c r="J947" s="52" t="str">
        <f>IF(N(B$8)=0,"",IF(AND(COUNT(H943:H954)=2,COUNT(F943:F954)=2),cubic_spline(F942:F944,H942:H944,B$8),IF(AND(COUNT(H943:H954)=3,COUNT(F943:F954)=3),cubic_spline(F942:F945,H942:H945,B$8),IF(AND(COUNT(H943:H954)=4,COUNT(F943:F954)=4),cubic_spline(F942:F946,H942:H946,B$8),IF(AND(COUNT(H943:H954)=5,COUNT(F943:F954)=5),cubic_spline(F942:F947,H942:H947,B$8),IF(AND(COUNT(H943:H954)=6,COUNT(F943:F954)=6),cubic_spline(F942:F948,H942:H948,B$8),IF(AND(COUNT(H943:H954)=7,COUNT(F943:F954)=7),cubic_spline(F942:F949,H942:H949,B$8),IF(AND(COUNT(H943:H954)=8,COUNT(F943:F954)=8),cubic_spline(F942:F950,H942:H950,B$8),IF(AND(COUNT(H943:H954)=9,COUNT(F943:F954)=9),cubic_spline(F942:F951,H942:H951,B$8),IF(AND(COUNT(H943:H954)=10,COUNT(F943:F954)=10),cubic_spline(F942:F952,H942:H952,B$8),IF(AND(COUNT(H943:H954)=11,COUNT(F943:F954)=11),cubic_spline(F942:F953,H942:H953,B$8),IF(AND(COUNT(H943:H954)=12,COUNT(F943:F954)=12),cubic_spline(F942:F954,H942:H954,B$8),""))))))))))))</f>
        <v/>
      </c>
      <c r="K947" s="52" t="str">
        <f>IF(N(B$8)=0,"",IF(AND(COUNT(A943:A954)=2,COUNT(F943:F954)=2),cubic_spline(F942:F944,A942:A944,B$8),IF(AND(COUNT(A943:A954)=3,COUNT(F943:F954)=3),cubic_spline(F942:F945,A942:A945,B$8),IF(AND(COUNT(A943:A954)=4,COUNT(F943:F954)=4),cubic_spline(F942:F946,A942:A946,B$8),IF(AND(COUNT(A943:A954)=5,COUNT(F943:F954)=5),cubic_spline(F942:F947,A942:A947,B$8),IF(AND(COUNT(A943:A954)=6,COUNT(F943:F954)=6),cubic_spline(F942:F948,A942:A948,B$8),IF(AND(COUNT(A943:A954)=7,COUNT(F943:F954)=7),cubic_spline(F942:F949,A942:A949,B$8),IF(AND(COUNT(A943:A954)=8,COUNT(F943:F954)=8),cubic_spline(F942:F950,A942:A950,B$8),IF(AND(COUNT(A943:A954)=9,COUNT(F943:F954)=9),cubic_spline(F942:F951,A942:A951,B$8),IF(AND(COUNT(A943:A954)=10,COUNT(F943:F954)=10),cubic_spline(F942:F952,A942:A952,B$8),IF(AND(COUNT(A943:A954)=11,COUNT(F943:F954)=11),cubic_spline(F942:F953,A942:A953,B$8),IF(AND(COUNT(A943:A954)=12,COUNT(F943:F954)=12),cubic_spline(F942:F954,A942:A954,B$8),""))))))))))))</f>
        <v/>
      </c>
      <c r="L947" s="27" t="str">
        <f>IF(I947="","",B$7&amp;"-"&amp;B$8)</f>
        <v/>
      </c>
      <c r="M947" s="52" t="str">
        <f>IF(N(J947)=0,"",J947-J946)</f>
        <v/>
      </c>
    </row>
    <row r="948" spans="1:13" x14ac:dyDescent="0.35">
      <c r="A948" s="48"/>
      <c r="B948" s="48"/>
      <c r="C948" s="49"/>
      <c r="D948" s="50"/>
      <c r="E948" s="51" t="str">
        <f t="shared" si="359"/>
        <v/>
      </c>
      <c r="F948" s="71" t="str">
        <f t="shared" si="356"/>
        <v/>
      </c>
      <c r="G948" s="69" t="str">
        <f t="shared" si="358"/>
        <v/>
      </c>
      <c r="H948" s="70" t="str">
        <f t="shared" si="357"/>
        <v/>
      </c>
      <c r="I948" s="27" t="str">
        <f>IF(N(J948)=0,"",0&amp;"-"&amp;B$9)</f>
        <v/>
      </c>
      <c r="J948" s="52" t="str">
        <f>IF(N(B$9)=0,"",IF(AND(COUNT(H943:H954)=2,COUNT(F943:F954)=2),cubic_spline(F942:F944,H942:H944,B$9),IF(AND(COUNT(H943:H954)=3,COUNT(F943:F954)=3),cubic_spline(F942:F945,H942:H945,B$9),IF(AND(COUNT(H943:H954)=4,COUNT(F943:F954)=4),cubic_spline(F942:F946,H942:H946,B$9),IF(AND(COUNT(H943:H954)=5,COUNT(F943:F954)=5),cubic_spline(F942:F947,H942:H947,B$9),IF(AND(COUNT(H943:H954)=6,COUNT(F943:F954)=6),cubic_spline(F942:F948,H942:H948,B$9),IF(AND(COUNT(H943:H954)=7,COUNT(F943:F954)=7),cubic_spline(F942:F949,H942:H949,B$9),IF(AND(COUNT(H943:H954)=8,COUNT(F943:F954)=8),cubic_spline(F942:F950,H942:H950,B$9),IF(AND(COUNT(H943:H954)=9,COUNT(F943:F954)=9),cubic_spline(F942:F951,H942:H951,B$9),IF(AND(COUNT(H943:H954)=10,COUNT(F943:F954)=10),cubic_spline(F942:F952,H942:H952,B$9),IF(AND(COUNT(H943:H954)=11,COUNT(F943:F954)=11),cubic_spline(F942:F953,H942:H953,B$9),IF(AND(COUNT(H943:H954)=12,COUNT(F943:F954)=12),cubic_spline(F942:F954,H942:H954,B$9),""))))))))))))</f>
        <v/>
      </c>
      <c r="K948" s="52" t="str">
        <f>IF(N(B$9)=0,"",IF(AND(COUNT(A943:A954)=2,COUNT(F943:F954)=2),cubic_spline(F942:F944,A942:A944,B$9),IF(AND(COUNT(A943:A954)=3,COUNT(F943:F954)=3),cubic_spline(F942:F945,A942:A945,B$9),IF(AND(COUNT(A943:A954)=4,COUNT(F943:F954)=4),cubic_spline(F942:F946,A942:A946,B$9),IF(AND(COUNT(A943:A954)=5,COUNT(F943:F954)=5),cubic_spline(F942:F947,A942:A947,B$9),IF(AND(COUNT(A943:A954)=6,COUNT(F943:F954)=6),cubic_spline(F942:F948,A942:A948,B$9),IF(AND(COUNT(A943:A954)=7,COUNT(F943:F954)=7),cubic_spline(F942:F949,A942:A949,B$9),IF(AND(COUNT(A943:A954)=8,COUNT(F943:F954)=8),cubic_spline(F942:F950,A942:A950,B$9),IF(AND(COUNT(A943:A954)=9,COUNT(F943:F954)=9),cubic_spline(F942:F951,A942:A951,B$9),IF(AND(COUNT(A943:A954)=10,COUNT(F943:F954)=10),cubic_spline(F942:F952,A942:A952,B$9),IF(AND(COUNT(A943:A954)=11,COUNT(F943:F954)=11),cubic_spline(F942:F953,A942:A953,B$9),IF(AND(COUNT(A943:A954)=12,COUNT(F943:F954)=12),cubic_spline(F942:F954,A942:A954,B$9),""))))))))))))</f>
        <v/>
      </c>
      <c r="L948" s="27" t="str">
        <f>IF(I948="","",B$8&amp;"-"&amp;B$9)</f>
        <v/>
      </c>
      <c r="M948" s="52" t="str">
        <f t="shared" ref="M948:M954" si="360">IF(N(J948)=0,"",J948-J947)</f>
        <v/>
      </c>
    </row>
    <row r="949" spans="1:13" x14ac:dyDescent="0.35">
      <c r="A949" s="48"/>
      <c r="B949" s="48"/>
      <c r="C949" s="49"/>
      <c r="D949" s="50"/>
      <c r="E949" s="51" t="str">
        <f t="shared" si="359"/>
        <v/>
      </c>
      <c r="F949" s="71" t="str">
        <f t="shared" si="356"/>
        <v/>
      </c>
      <c r="G949" s="69" t="str">
        <f t="shared" si="358"/>
        <v/>
      </c>
      <c r="H949" s="70" t="str">
        <f t="shared" si="357"/>
        <v/>
      </c>
      <c r="I949" s="27" t="str">
        <f>IF(N(J949)=0,"",0&amp;"-"&amp;B$10)</f>
        <v/>
      </c>
      <c r="J949" s="52" t="str">
        <f>IF(N(B$10)=0,"",IF(AND(COUNT(H943:H954)=2,COUNT(F943:F954)=2),cubic_spline(F942:F944,H942:H944,B$10),IF(AND(COUNT(H943:H954)=3,COUNT(F943:F954)=3),cubic_spline(F942:F945,H942:H945,B$10),IF(AND(COUNT(H943:H954)=4,COUNT(F943:F954)=4),cubic_spline(F942:F946,H942:H946,B$10),IF(AND(COUNT(H943:H954)=5,COUNT(F943:F954)=5),cubic_spline(F942:F947,H942:H947,B$10),IF(AND(COUNT(H943:H954)=6,COUNT(F943:F954)=6),cubic_spline(F942:F948,H942:H948,B$10),IF(AND(COUNT(H943:H954)=7,COUNT(F943:F954)=7),cubic_spline(F942:F949,H942:H949,B$10),IF(AND(COUNT(H943:H954)=8,COUNT(F943:F954)=8),cubic_spline(F942:F950,H942:H950,B$10),IF(AND(COUNT(H943:H954)=9,COUNT(F943:F954)=9),cubic_spline(F942:F951,H942:H951,B$10),IF(AND(COUNT(H943:H954)=10,COUNT(F943:F954)=10),cubic_spline(F942:F952,H942:H952,B$10),IF(AND(COUNT(H943:H954)=11,COUNT(F943:F954)=11),cubic_spline(F942:F953,H942:H953,B$10),IF(AND(COUNT(H943:H954)=12,COUNT(F943:F954)=12),cubic_spline(F942:F954,H942:H954,B$10),""))))))))))))</f>
        <v/>
      </c>
      <c r="K949" s="52" t="str">
        <f>IF(N(B$10)=0,"",IF(AND(COUNT(A943:A954)=2,COUNT(F943:F954)=2),cubic_spline(F942:F944,A942:A944,B$10),IF(AND(COUNT(A943:A954)=3,COUNT(F943:F954)=3),cubic_spline(F942:F945,A942:A945,B$10),IF(AND(COUNT(A943:A954)=4,COUNT(F943:F954)=4),cubic_spline(F942:F946,A942:A946,B$10),IF(AND(COUNT(A943:A954)=5,COUNT(F943:F954)=5),cubic_spline(F942:F947,A942:A947,B$10),IF(AND(COUNT(A943:A954)=6,COUNT(F943:F954)=6),cubic_spline(F942:F948,A942:A948,B$10),IF(AND(COUNT(A943:A954)=7,COUNT(F943:F954)=7),cubic_spline(F942:F949,A942:A949,B$10),IF(AND(COUNT(A943:A954)=8,COUNT(F943:F954)=8),cubic_spline(F942:F950,A942:A950,B$10),IF(AND(COUNT(A943:A954)=9,COUNT(F943:F954)=9),cubic_spline(F942:F951,A942:A951,B$10),IF(AND(COUNT(A943:A954)=10,COUNT(F943:F954)=10),cubic_spline(F942:F952,A942:A952,B$10),IF(AND(COUNT(A943:A954)=11,COUNT(F943:F954)=11),cubic_spline(F942:F953,A942:A953,B$10),IF(AND(COUNT(A943:A954)=12,COUNT(F943:F954)=12),cubic_spline(F942:F954,A942:A954,B$10),""))))))))))))</f>
        <v/>
      </c>
      <c r="L949" s="27" t="str">
        <f>IF(I949="","",B$9&amp;"-"&amp;B$10)</f>
        <v/>
      </c>
      <c r="M949" s="52" t="str">
        <f t="shared" si="360"/>
        <v/>
      </c>
    </row>
    <row r="950" spans="1:13" x14ac:dyDescent="0.35">
      <c r="A950" s="48"/>
      <c r="B950" s="48"/>
      <c r="C950" s="49"/>
      <c r="D950" s="50"/>
      <c r="E950" s="51" t="str">
        <f t="shared" si="359"/>
        <v/>
      </c>
      <c r="F950" s="71" t="str">
        <f t="shared" si="356"/>
        <v/>
      </c>
      <c r="G950" s="69" t="str">
        <f t="shared" si="358"/>
        <v/>
      </c>
      <c r="H950" s="70" t="str">
        <f t="shared" si="357"/>
        <v/>
      </c>
      <c r="I950" s="27" t="str">
        <f>IF(N(J950)=0,"",0&amp;"-"&amp;B$11)</f>
        <v/>
      </c>
      <c r="J950" s="52" t="str">
        <f>IF(N(B$11)=0,"",IF(AND(COUNT(H943:H954)=2,COUNT(F943:F954)=2),cubic_spline(F942:F944,H942:H944,B$11),IF(AND(COUNT(H943:H954)=3,COUNT(F943:F954)=3),cubic_spline(F942:F945,H942:H945,B$11),IF(AND(COUNT(H943:H954)=4,COUNT(F943:F954)=4),cubic_spline(F942:F946,H942:H946,B$11),IF(AND(COUNT(H943:H954)=5,COUNT(F943:F954)=5),cubic_spline(F942:F947,H942:H947,B$11),IF(AND(COUNT(H943:H954)=6,COUNT(F943:F954)=6),cubic_spline(F942:F948,H942:H948,B$11),IF(AND(COUNT(H943:H954)=7,COUNT(F943:F954)=7),cubic_spline(F942:F949,H942:H949,B$11),IF(AND(COUNT(H943:H954)=8,COUNT(F943:F954)=8),cubic_spline(F942:F950,H942:H950,B$11),IF(AND(COUNT(H943:H954)=9,COUNT(F943:F954)=9),cubic_spline(F942:F951,H942:H951,B$11),IF(AND(COUNT(H943:H954)=10,COUNT(F943:F954)=10),cubic_spline(F942:F952,H942:H952,B$11),IF(AND(COUNT(H943:H954)=11,COUNT(F943:F954)=11),cubic_spline(F942:F953,H942:H953,B$11),IF(AND(COUNT(H943:H954)=12,COUNT(F943:F954)=12),cubic_spline(F942:F954,H942:H954,B$11),""))))))))))))</f>
        <v/>
      </c>
      <c r="K950" s="52" t="str">
        <f>IF(N(B$11)=0,"",IF(AND(COUNT(A943:A954)=2,COUNT(F943:F954)=2),cubic_spline(F942:F944,A942:A944,B$11),IF(AND(COUNT(A943:A954)=3,COUNT(F943:F954)=3),cubic_spline(F942:F945,A942:A945,B$11),IF(AND(COUNT(A943:A954)=4,COUNT(F943:F954)=4),cubic_spline(F942:F946,A942:A946,B$11),IF(AND(COUNT(A943:A954)=5,COUNT(F943:F954)=5),cubic_spline(F942:F947,A942:A947,B$11),IF(AND(COUNT(A943:A954)=6,COUNT(F943:F954)=6),cubic_spline(F942:F948,A942:A948,B$11),IF(AND(COUNT(A943:A954)=7,COUNT(F943:F954)=7),cubic_spline(F942:F949,A942:A949,B$11),IF(AND(COUNT(A943:A954)=8,COUNT(F943:F954)=8),cubic_spline(F942:F950,A942:A950,B$11),IF(AND(COUNT(A943:A954)=9,COUNT(F943:F954)=9),cubic_spline(F942:F951,A942:A951,B$11),IF(AND(COUNT(A943:A954)=10,COUNT(F943:F954)=10),cubic_spline(F942:F952,A942:A952,B$11),IF(AND(COUNT(A943:A954)=11,COUNT(F943:F954)=11),cubic_spline(F942:F953,A942:A953,B$11),IF(AND(COUNT(A943:A954)=12,COUNT(F943:F954)=12),cubic_spline(F942:F954,A942:A954,B$11),""))))))))))))</f>
        <v/>
      </c>
      <c r="L950" s="27" t="str">
        <f>IF(I950="","",B$10&amp;"-"&amp;B$11)</f>
        <v/>
      </c>
      <c r="M950" s="52" t="str">
        <f t="shared" si="360"/>
        <v/>
      </c>
    </row>
    <row r="951" spans="1:13" x14ac:dyDescent="0.35">
      <c r="A951" s="48"/>
      <c r="B951" s="48"/>
      <c r="C951" s="49"/>
      <c r="D951" s="50"/>
      <c r="E951" s="51" t="str">
        <f t="shared" si="359"/>
        <v/>
      </c>
      <c r="F951" s="71" t="str">
        <f t="shared" si="356"/>
        <v/>
      </c>
      <c r="G951" s="69" t="str">
        <f t="shared" si="358"/>
        <v/>
      </c>
      <c r="H951" s="70" t="str">
        <f t="shared" si="357"/>
        <v/>
      </c>
      <c r="I951" s="27" t="str">
        <f>IF(N(J951)=0,"",0&amp;"-"&amp;B$12)</f>
        <v/>
      </c>
      <c r="J951" s="52" t="str">
        <f>IF(N(B$12)=0,"",IF(AND(COUNT(H943:H954)=2,COUNT(F943:F954)=2),cubic_spline(F942:F944,H942:H944,B$12),IF(AND(COUNT(H943:H954)=3,COUNT(F943:F954)=3),cubic_spline(F942:F945,H942:H945,B$12),IF(AND(COUNT(H943:H954)=4,COUNT(F943:F954)=4),cubic_spline(F942:F946,H942:H946,B$12),IF(AND(COUNT(H943:H954)=5,COUNT(F943:F954)=5),cubic_spline(F942:F947,H942:H947,B$12),IF(AND(COUNT(H943:H954)=6,COUNT(F943:F954)=6),cubic_spline(F942:F948,H942:H948,B$12),IF(AND(COUNT(H943:H954)=7,COUNT(F943:F954)=7),cubic_spline(F942:F949,H942:H949,B$12),IF(AND(COUNT(H943:H954)=8,COUNT(F943:F954)=8),cubic_spline(F942:F950,H942:H950,B$12),IF(AND(COUNT(H943:H954)=9,COUNT(F943:F954)=9),cubic_spline(F942:F951,H942:H951,B$12),IF(AND(COUNT(H943:H954)=10,COUNT(F943:F954)=10),cubic_spline(F942:F952,H942:H952,B$12),IF(AND(COUNT(H943:H954)=11,COUNT(F943:F954)=11),cubic_spline(F942:F953,H942:H953,B$12),IF(AND(COUNT(H943:H954)=12,COUNT(F943:F954)=12),cubic_spline(F942:F954,H942:H954,B$12),""))))))))))))</f>
        <v/>
      </c>
      <c r="K951" s="52" t="str">
        <f>IF(N(B$12)=0,"",IF(AND(COUNT(A943:A954)=2,COUNT(F943:F954)=2),cubic_spline(F942:F944,A942:A944,B$12),IF(AND(COUNT(A943:A954)=3,COUNT(F943:F954)=3),cubic_spline(F942:F945,A942:A945,B$12),IF(AND(COUNT(A943:A954)=4,COUNT(F943:F954)=4),cubic_spline(F942:F946,A942:A946,B$12),IF(AND(COUNT(A943:A954)=5,COUNT(F943:F954)=5),cubic_spline(F942:F947,A942:A947,B$12),IF(AND(COUNT(A943:A954)=6,COUNT(F943:F954)=6),cubic_spline(F942:F948,A942:A948,B$12),IF(AND(COUNT(A943:A954)=7,COUNT(F943:F954)=7),cubic_spline(F942:F949,A942:A949,B$12),IF(AND(COUNT(A943:A954)=8,COUNT(F943:F954)=8),cubic_spline(F942:F950,A942:A950,B$12),IF(AND(COUNT(A943:A954)=9,COUNT(F943:F954)=9),cubic_spline(F942:F951,A942:A951,B$12),IF(AND(COUNT(A943:A954)=10,COUNT(F943:F954)=10),cubic_spline(F942:F952,A942:A952,B$12),IF(AND(COUNT(A943:A954)=11,COUNT(F943:F954)=11),cubic_spline(F942:F953,A942:A953,B$12),IF(AND(COUNT(A943:A954)=12,COUNT(F943:F954)=12),cubic_spline(F942:F954,A942:A954,B$12),""))))))))))))</f>
        <v/>
      </c>
      <c r="L951" s="27" t="str">
        <f>IF(I951="","",B$11&amp;"-"&amp;B$12)</f>
        <v/>
      </c>
      <c r="M951" s="52" t="str">
        <f t="shared" si="360"/>
        <v/>
      </c>
    </row>
    <row r="952" spans="1:13" x14ac:dyDescent="0.35">
      <c r="A952" s="48"/>
      <c r="B952" s="48"/>
      <c r="C952" s="49"/>
      <c r="D952" s="50"/>
      <c r="E952" s="51" t="str">
        <f t="shared" si="359"/>
        <v/>
      </c>
      <c r="F952" s="71" t="str">
        <f t="shared" si="356"/>
        <v/>
      </c>
      <c r="G952" s="69" t="str">
        <f t="shared" si="358"/>
        <v/>
      </c>
      <c r="H952" s="70" t="str">
        <f t="shared" si="357"/>
        <v/>
      </c>
      <c r="I952" s="27" t="str">
        <f>IF(N(J952)=0,"",0&amp;"-"&amp;B$13)</f>
        <v/>
      </c>
      <c r="J952" s="52" t="str">
        <f>IF(N(B$13)=0,"",IF(AND(COUNT(H943:H954)=2,COUNT(F943:F954)=2),cubic_spline(F942:F944,H942:H944,B$13),IF(AND(COUNT(H943:H954)=3,COUNT(F943:F954)=3),cubic_spline(F942:F945,H942:H945,B$13),IF(AND(COUNT(H943:H954)=4,COUNT(F943:F954)=4),cubic_spline(F942:F946,H942:H946,B$13),IF(AND(COUNT(H943:H954)=5,COUNT(F943:F954)=5),cubic_spline(F942:F947,H942:H947,B$13),IF(AND(COUNT(H943:H954)=6,COUNT(F943:F954)=6),cubic_spline(F942:F948,H942:H948,B$13),IF(AND(COUNT(H943:H954)=7,COUNT(F943:F954)=7),cubic_spline(F942:F949,H942:H949,B$13),IF(AND(COUNT(H943:H954)=8,COUNT(F943:F954)=8),cubic_spline(F942:F950,H942:H950,B$13),IF(AND(COUNT(H943:H954)=9,COUNT(F943:F954)=9),cubic_spline(F942:F951,H942:H951,B$13),IF(AND(COUNT(H943:H954)=10,COUNT(F943:F954)=10),cubic_spline(F942:F952,H942:H952,B$13),IF(AND(COUNT(H943:H954)=11,COUNT(F943:F954)=11),cubic_spline(F942:F953,H942:H953,B$13),IF(AND(COUNT(H943:H954)=12,COUNT(F943:F954)=12),cubic_spline(F942:F954,H942:H954,B$13),""))))))))))))</f>
        <v/>
      </c>
      <c r="K952" s="52" t="str">
        <f>IF(N(B$13)=0,"",IF(AND(COUNT(A943:A954)=2,COUNT(F943:F954)=2),cubic_spline(F942:F944,A942:A944,B$13),IF(AND(COUNT(A943:A954)=3,COUNT(F943:F954)=3),cubic_spline(F942:F945,A942:A945,B$13),IF(AND(COUNT(A943:A954)=4,COUNT(F943:F954)=4),cubic_spline(F942:F946,A942:A946,B$13),IF(AND(COUNT(A943:A954)=5,COUNT(F943:F954)=5),cubic_spline(F942:F947,A942:A947,B$13),IF(AND(COUNT(A943:A954)=6,COUNT(F943:F954)=6),cubic_spline(F942:F948,A942:A948,B$13),IF(AND(COUNT(A943:A954)=7,COUNT(F943:F954)=7),cubic_spline(F942:F949,A942:A949,B$13),IF(AND(COUNT(A943:A954)=8,COUNT(F943:F954)=8),cubic_spline(F942:F950,A942:A950,B$13),IF(AND(COUNT(A943:A954)=9,COUNT(F943:F954)=9),cubic_spline(F942:F951,A942:A951,B$13),IF(AND(COUNT(A943:A954)=10,COUNT(F943:F954)=10),cubic_spline(F942:F952,A942:A952,B$13),IF(AND(COUNT(A943:A954)=11,COUNT(F943:F954)=11),cubic_spline(F942:F953,A942:A953,B$13),IF(AND(COUNT(A943:A954)=12,COUNT(F943:F954)=12),cubic_spline(F942:F954,A942:A954,B$13),""))))))))))))</f>
        <v/>
      </c>
      <c r="L952" s="27" t="str">
        <f>IF(I952="","",B$12&amp;"-"&amp;B$13)</f>
        <v/>
      </c>
      <c r="M952" s="52" t="str">
        <f t="shared" si="360"/>
        <v/>
      </c>
    </row>
    <row r="953" spans="1:13" x14ac:dyDescent="0.35">
      <c r="A953" s="48"/>
      <c r="B953" s="48"/>
      <c r="C953" s="49"/>
      <c r="D953" s="50"/>
      <c r="E953" s="51" t="str">
        <f t="shared" si="359"/>
        <v/>
      </c>
      <c r="F953" s="71" t="str">
        <f t="shared" si="356"/>
        <v/>
      </c>
      <c r="G953" s="69" t="str">
        <f t="shared" si="358"/>
        <v/>
      </c>
      <c r="H953" s="70" t="str">
        <f t="shared" si="357"/>
        <v/>
      </c>
      <c r="I953" s="27" t="str">
        <f>IF(N(J953)=0,"",0&amp;"-"&amp;B$14)</f>
        <v/>
      </c>
      <c r="J953" s="52" t="str">
        <f>IF(N(B$14)=0,"",IF(AND(COUNT(H943:H954)=2,COUNT(F943:F954)=2),cubic_spline(F942:F944,H942:H944,B$14),IF(AND(COUNT(H943:H954)=3,COUNT(F943:F954)=3),cubic_spline(F942:F945,H942:H945,B$14),IF(AND(COUNT(H943:H954)=4,COUNT(F943:F954)=4),cubic_spline(F942:F946,H942:H946,B$14),IF(AND(COUNT(H943:H954)=5,COUNT(F943:F954)=5),cubic_spline(F942:F947,H942:H947,B$14),IF(AND(COUNT(H943:H954)=6,COUNT(F943:F954)=6),cubic_spline(F942:F948,H942:H948,B$14),IF(AND(COUNT(H943:H954)=7,COUNT(F943:F954)=7),cubic_spline(F942:F949,H942:H949,B$14),IF(AND(COUNT(H943:H954)=8,COUNT(F943:F954)=8),cubic_spline(F942:F950,H942:H950,B$14),IF(AND(COUNT(H943:H954)=9,COUNT(F943:F954)=9),cubic_spline(F942:F951,H942:H951,B$14),IF(AND(COUNT(H943:H954)=10,COUNT(F943:F954)=10),cubic_spline(F942:F952,H942:H952,B$14),IF(AND(COUNT(H943:H954)=11,COUNT(F943:F954)=11),cubic_spline(F942:F953,H942:H953,B$14),IF(AND(COUNT(H943:H954)=12,COUNT(F943:F954)=12),cubic_spline(F942:F954,H942:H954,B$14),""))))))))))))</f>
        <v/>
      </c>
      <c r="K953" s="52" t="str">
        <f>IF(N(B$14)=0,"",IF(AND(COUNT(A943:A954)=2,COUNT(F943:F954)=2),cubic_spline(F942:F944,A942:A944,B$14),IF(AND(COUNT(A943:A954)=3,COUNT(F943:F954)=3),cubic_spline(F942:F945,A942:A945,B$14),IF(AND(COUNT(A943:A954)=4,COUNT(F943:F954)=4),cubic_spline(F942:F946,A942:A946,B$14),IF(AND(COUNT(A943:A954)=5,COUNT(F943:F954)=5),cubic_spline(F942:F947,A942:A947,B$14),IF(AND(COUNT(A943:A954)=6,COUNT(F943:F954)=6),cubic_spline(F942:F948,A942:A948,B$14),IF(AND(COUNT(A943:A954)=7,COUNT(F943:F954)=7),cubic_spline(F942:F949,A942:A949,B$14),IF(AND(COUNT(A943:A954)=8,COUNT(F943:F954)=8),cubic_spline(F942:F950,A942:A950,B$14),IF(AND(COUNT(A943:A954)=9,COUNT(F943:F954)=9),cubic_spline(F942:F951,A942:A951,B$14),IF(AND(COUNT(A943:A954)=10,COUNT(F943:F954)=10),cubic_spline(F942:F952,A942:A952,B$14),IF(AND(COUNT(A943:A954)=11,COUNT(F943:F954)=11),cubic_spline(F942:F953,A942:A953,B$14),IF(AND(COUNT(A943:A954)=12,COUNT(F943:F954)=12),cubic_spline(F942:F954,A942:A954,B$14),""))))))))))))</f>
        <v/>
      </c>
      <c r="L953" s="27" t="str">
        <f>IF(I953="","",B$13&amp;"-"&amp;B$14)</f>
        <v/>
      </c>
      <c r="M953" s="52" t="str">
        <f t="shared" si="360"/>
        <v/>
      </c>
    </row>
    <row r="954" spans="1:13" x14ac:dyDescent="0.35">
      <c r="A954" s="48"/>
      <c r="B954" s="48"/>
      <c r="C954" s="49"/>
      <c r="D954" s="50"/>
      <c r="E954" s="51" t="str">
        <f t="shared" si="359"/>
        <v/>
      </c>
      <c r="F954" s="71" t="str">
        <f t="shared" si="356"/>
        <v/>
      </c>
      <c r="G954" s="69" t="str">
        <f t="shared" si="358"/>
        <v/>
      </c>
      <c r="H954" s="70" t="str">
        <f t="shared" si="357"/>
        <v/>
      </c>
      <c r="I954" s="27" t="str">
        <f>IF(N(J954)=0,"",0&amp;"-"&amp;B$15)</f>
        <v/>
      </c>
      <c r="J954" s="52" t="str">
        <f>IF(N(B$15)=0,"",IF(AND(COUNT(H943:H954)=2,COUNT(F943:F954)=2),cubic_spline(F942:F944,H942:H944,B$15),IF(AND(COUNT(H943:H954)=3,COUNT(F943:F954)=3),cubic_spline(F942:F945,H942:H945,B$15),IF(AND(COUNT(H943:H954)=4,COUNT(F943:F954)=4),cubic_spline(F942:F946,H942:H946,B$15),IF(AND(COUNT(H943:H954)=5,COUNT(F943:F954)=5),cubic_spline(F942:F947,H942:H947,B$15),IF(AND(COUNT(H943:H954)=6,COUNT(F943:F954)=6),cubic_spline(F942:F948,H942:H948,B$15),IF(AND(COUNT(H943:H954)=7,COUNT(F943:F954)=7),cubic_spline(F942:F949,H942:H949,B$15),IF(AND(COUNT(H943:H954)=8,COUNT(F943:F954)=8),cubic_spline(F942:F950,H942:H950,B$15),IF(AND(COUNT(H943:H954)=9,COUNT(F943:F954)=9),cubic_spline(F942:F951,H942:H951,B$15),IF(AND(COUNT(H943:H954)=10,COUNT(F943:F954)=10),cubic_spline(F942:F952,H942:H952,B$15),IF(AND(COUNT(H943:H954)=11,COUNT(F943:F954)=11),cubic_spline(F942:F953,H942:H953,B$15),IF(AND(COUNT(H943:H954)=12,COUNT(F943:F954)=12),cubic_spline(F942:F954,H942:H954,B$15),""))))))))))))</f>
        <v/>
      </c>
      <c r="K954" s="52" t="str">
        <f>IF(N(B$15)=0,"",IF(AND(COUNT(A943:A954)=2,COUNT(F943:F954)=2),cubic_spline(F942:F944,A942:A944,B$15),IF(AND(COUNT(A943:A954)=3,COUNT(F943:F954)=3),cubic_spline(F942:F945,A942:A945,B$15),IF(AND(COUNT(A943:A954)=4,COUNT(F943:F954)=4),cubic_spline(F942:F946,A942:A946,B$15),IF(AND(COUNT(A943:A954)=5,COUNT(F943:F954)=5),cubic_spline(F942:F947,A942:A947,B$15),IF(AND(COUNT(A943:A954)=6,COUNT(F943:F954)=6),cubic_spline(F942:F948,A942:A948,B$15),IF(AND(COUNT(A943:A954)=7,COUNT(F943:F954)=7),cubic_spline(F942:F949,A942:A949,B$15),IF(AND(COUNT(A943:A954)=8,COUNT(F943:F954)=8),cubic_spline(F942:F950,A942:A950,B$15),IF(AND(COUNT(A943:A954)=9,COUNT(F943:F954)=9),cubic_spline(F942:F951,A942:A951,B$15),IF(AND(COUNT(A943:A954)=10,COUNT(F943:F954)=10),cubic_spline(F942:F952,A942:A952,B$15),IF(AND(COUNT(A943:A954)=11,COUNT(F943:F954)=11),cubic_spline(F942:F953,A942:A953,B$15),IF(AND(COUNT(A943:A954)=12,COUNT(F943:F954)=12),cubic_spline(F942:F954,A942:A954,B$15),""))))))))))))</f>
        <v/>
      </c>
      <c r="L954" s="27" t="str">
        <f>IF(I954="","",B$14&amp;"-"&amp;B$15)</f>
        <v/>
      </c>
      <c r="M954" s="52" t="str">
        <f t="shared" si="360"/>
        <v/>
      </c>
    </row>
    <row r="955" spans="1:13" ht="5.15" customHeight="1" x14ac:dyDescent="0.35">
      <c r="A955" s="47"/>
      <c r="B955" s="47"/>
      <c r="C955" s="47"/>
      <c r="D955" s="53"/>
      <c r="E955" s="54"/>
      <c r="F955" s="55"/>
      <c r="G955" s="72"/>
      <c r="H955" s="73"/>
      <c r="I955" s="47"/>
      <c r="J955" s="57"/>
      <c r="K955" s="57"/>
      <c r="L955" s="55"/>
      <c r="M955" s="57"/>
    </row>
    <row r="956" spans="1:13" x14ac:dyDescent="0.35">
      <c r="A956" s="48"/>
      <c r="B956" s="48"/>
      <c r="C956" s="49"/>
      <c r="D956" s="50"/>
      <c r="E956" s="51" t="str">
        <f>IF(N(C956)=0,"",C956/PI()/($D$1/2)^2/$D$2*10000)</f>
        <v/>
      </c>
      <c r="F956" s="68" t="str">
        <f t="shared" ref="F956:F967" si="361">IF(N(E956)=0,"",(N(E956)+N(F955)))</f>
        <v/>
      </c>
      <c r="G956" s="69" t="str">
        <f>IF(OR(N(D956)=0,N(E956)=0),"",(E956*D956)/1000)</f>
        <v/>
      </c>
      <c r="H956" s="70" t="str">
        <f t="shared" ref="H956:H967" si="362">IF(N(G956)=0,"",(N(G956)+N(H955)))</f>
        <v/>
      </c>
      <c r="I956" s="27" t="str">
        <f>IF(N(J956)=0,"",0&amp;"-"&amp;B$4)</f>
        <v/>
      </c>
      <c r="J956" s="52" t="str">
        <f>IF(N(B$4)=0,"",IF(AND(COUNT(H956:H967)=2,COUNT(F956:F967)=2),cubic_spline(F955:F957,H955:H957,B$4),IF(AND(COUNT(H956:H967)=3,COUNT(F956:F967)=3),cubic_spline(F955:F958,H955:H958,B$4),IF(AND(COUNT(H956:H967)=4,COUNT(F956:F967)=4),cubic_spline(F955:F959,H955:H959,B$4),IF(AND(COUNT(H956:H967)=5,COUNT(F956:F967)=5),cubic_spline(F955:F960,H955:H960,B$4),IF(AND(COUNT(H956:H967)=6,COUNT(F956:F967)=6),cubic_spline(F955:F961,H955:H961,B$4),IF(AND(COUNT(H956:H967)=7,COUNT(F956:F967)=7),cubic_spline(F955:F962,H955:H962,B$4),IF(AND(COUNT(H956:H967)=8,COUNT(F956:F967)=8),cubic_spline(F955:F963,H955:H963,B$4),IF(AND(COUNT(H956:H967)=9,COUNT(F956:F967)=9),cubic_spline(F955:F964,H955:H964,B$4),IF(AND(COUNT(H956:H967)=10,COUNT(F956:F967)=10),cubic_spline(F955:F965,H955:H965,B$4),IF(AND(COUNT(H956:H967)=11,COUNT(F956:F967)=11),cubic_spline(F955:F966,H955:H966,B$4),IF(AND(COUNT(H956:H967)=12,COUNT(F956:F967)=12),cubic_spline(F955:F967,H955:H967,B$4),""))))))))))))</f>
        <v/>
      </c>
      <c r="K956" s="52" t="str">
        <f>IF(N(B$4)=0,"",IF(AND(COUNT(A956:A967)=2,COUNT(F956:F967)=2),cubic_spline(F955:F957,A955:A957,B$4),IF(AND(COUNT(A956:A967)=3,COUNT(F956:F967)=3),cubic_spline(F955:F958,A955:A958,B$4),IF(AND(COUNT(A956:A967)=4,COUNT(F956:F967)=4),cubic_spline(F955:F959,A955:A959,B$4),IF(AND(COUNT(A956:A967)=5,COUNT(F956:F967)=5),cubic_spline(F955:F960,A955:A960,B$4),IF(AND(COUNT(A956:A967)=6,COUNT(F956:F967)=6),cubic_spline(F955:F961,A955:A961,B$4),IF(AND(COUNT(A956:A967)=7,COUNT(F956:F967)=7),cubic_spline(F955:F962,A955:A962,B$4),IF(AND(COUNT(A956:A967)=8,COUNT(F956:F967)=8),cubic_spline(F955:F963,A955:A963,B$4),IF(AND(COUNT(A956:A967)=9,COUNT(F956:F967)=9),cubic_spline(F955:F964,A955:A964,B$4),IF(AND(COUNT(A956:A967)=10,COUNT(F956:F967)=10),cubic_spline(F955:F965,A955:A965,B$4),IF(AND(COUNT(A956:A967)=11,COUNT(F956:F967)=11),cubic_spline(F955:F966,A955:A966,B$4),IF(AND(COUNT(A956:A967)=12,COUNT(F956:F967)=12),cubic_spline(F955:F967,A955:A967,B$4),""))))))))))))</f>
        <v/>
      </c>
      <c r="L956" s="27" t="str">
        <f>IF(I956="","",0&amp;"-"&amp;B$4)</f>
        <v/>
      </c>
      <c r="M956" s="52" t="str">
        <f>IF(N(J956)=0,"",J956-J955)</f>
        <v/>
      </c>
    </row>
    <row r="957" spans="1:13" x14ac:dyDescent="0.35">
      <c r="A957" s="48"/>
      <c r="B957" s="48"/>
      <c r="C957" s="49"/>
      <c r="D957" s="50"/>
      <c r="E957" s="51" t="str">
        <f>IF(N(C957)=0,"",C957/PI()/($D$1/2)^2/$D$2*10000)</f>
        <v/>
      </c>
      <c r="F957" s="68" t="str">
        <f t="shared" si="361"/>
        <v/>
      </c>
      <c r="G957" s="69" t="str">
        <f t="shared" ref="G957:G967" si="363">IF(OR(N(D957)=0,N(E957)=0),"",(E957*D957)/1000)</f>
        <v/>
      </c>
      <c r="H957" s="70" t="str">
        <f t="shared" si="362"/>
        <v/>
      </c>
      <c r="I957" s="27" t="str">
        <f>IF(N(J957)=0,"",0&amp;"-"&amp;B$5)</f>
        <v/>
      </c>
      <c r="J957" s="52" t="str">
        <f>IF(N(B$5)=0,"",IF(AND(COUNT(H956:H967)=2,COUNT(F956:F967)=2),cubic_spline(F955:F957,H955:H957,B$5),IF(AND(COUNT(H956:H967)=3,COUNT(F956:F967)=3),cubic_spline(F955:F958,H955:H958,B$5),IF(AND(COUNT(H956:H967)=4,COUNT(F956:F967)=4),cubic_spline(F955:F959,H955:H959,B$5),IF(AND(COUNT(H956:H967)=5,COUNT(F956:F967)=5),cubic_spline(F955:F960,H955:H960,B$5),IF(AND(COUNT(H956:H967)=6,COUNT(F956:F967)=6),cubic_spline(F955:F961,H955:H961,B$5),IF(AND(COUNT(H956:H967)=7,COUNT(F956:F967)=7),cubic_spline(F955:F962,H955:H962,B$5),IF(AND(COUNT(H956:H967)=8,COUNT(F956:F967)=8),cubic_spline(F955:F963,H955:H963,B$5),IF(AND(COUNT(H956:H967)=9,COUNT(F956:F967)=9),cubic_spline(F955:F964,H955:H964,B$5),IF(AND(COUNT(H956:H967)=10,COUNT(F956:F967)=10),cubic_spline(F955:F965,H955:H965,B$5),IF(AND(COUNT(H956:H967)=11,COUNT(F956:F967)=11),cubic_spline(F955:F966,H955:H966,B$5),IF(AND(COUNT(H956:H967)=12,COUNT(F956:F967)=12),cubic_spline(F955:F967,H955:H967,B$5),""))))))))))))</f>
        <v/>
      </c>
      <c r="K957" s="52" t="str">
        <f>IF(N(B$5)=0,"",IF(AND(COUNT(A956:A967)=2,COUNT(F956:F967)=2),cubic_spline(F955:F957,A955:A957,B$5),IF(AND(COUNT(A956:A967)=3,COUNT(F956:F967)=3),cubic_spline(F955:F958,A955:A958,B$5),IF(AND(COUNT(A956:A967)=4,COUNT(F956:F967)=4),cubic_spline(F955:F959,A955:A959,B$5),IF(AND(COUNT(A956:A967)=5,COUNT(F956:F967)=5),cubic_spline(F955:F960,A955:A960,B$5),IF(AND(COUNT(A956:A967)=6,COUNT(F956:F967)=6),cubic_spline(F955:F961,A955:A961,B$5),IF(AND(COUNT(A956:A967)=7,COUNT(F956:F967)=7),cubic_spline(F955:F962,A955:A962,B$5),IF(AND(COUNT(A956:A967)=8,COUNT(F956:F967)=8),cubic_spline(F955:F963,A955:A963,B$5),IF(AND(COUNT(A956:A967)=9,COUNT(F956:F967)=9),cubic_spline(F955:F964,A955:A964,B$5),IF(AND(COUNT(A956:A967)=10,COUNT(F956:F967)=10),cubic_spline(F955:F965,A955:A965,B$5),IF(AND(COUNT(A956:A967)=11,COUNT(F956:F967)=11),cubic_spline(F955:F966,A955:A966,B$5),IF(AND(COUNT(A956:A967)=12,COUNT(F956:F967)=12),cubic_spline(F955:F967,A955:A967,B$5),""))))))))))))</f>
        <v/>
      </c>
      <c r="L957" s="27" t="str">
        <f>IF(I957="","",B$4&amp;"-"&amp;B$5)</f>
        <v/>
      </c>
      <c r="M957" s="52" t="str">
        <f>IF(N(J957)=0,"",J957-J956)</f>
        <v/>
      </c>
    </row>
    <row r="958" spans="1:13" x14ac:dyDescent="0.35">
      <c r="A958" s="48"/>
      <c r="B958" s="48"/>
      <c r="C958" s="49"/>
      <c r="D958" s="50"/>
      <c r="E958" s="51" t="str">
        <f>IF(N(C958)=0,"",C958/PI()/($D$1/2)^2/$D$2*10000)</f>
        <v/>
      </c>
      <c r="F958" s="68" t="str">
        <f t="shared" si="361"/>
        <v/>
      </c>
      <c r="G958" s="69" t="str">
        <f t="shared" si="363"/>
        <v/>
      </c>
      <c r="H958" s="70" t="str">
        <f t="shared" si="362"/>
        <v/>
      </c>
      <c r="I958" s="27" t="str">
        <f>IF(N(J958)=0,"",0&amp;"-"&amp;B$6)</f>
        <v/>
      </c>
      <c r="J958" s="52" t="str">
        <f>IF(N(B$6)=0,"",IF(AND(COUNT(H956:H967)=2,COUNT(F956:F967)=2),cubic_spline(F955:F957,H955:H957,B$6),IF(AND(COUNT(H956:H967)=3,COUNT(F956:F967)=3),cubic_spline(F955:F958,H955:H958,B$6),IF(AND(COUNT(H956:H967)=4,COUNT(F956:F967)=4),cubic_spline(F955:F959,H955:H959,B$6),IF(AND(COUNT(H956:H967)=5,COUNT(F956:F967)=5),cubic_spline(F955:F960,H955:H960,B$6),IF(AND(COUNT(H956:H967)=6,COUNT(F956:F967)=6),cubic_spline(F955:F961,H955:H961,B$6),IF(AND(COUNT(H956:H967)=7,COUNT(F956:F967)=7),cubic_spline(F955:F962,H955:H962,B$6),IF(AND(COUNT(H956:H967)=8,COUNT(F956:F967)=8),cubic_spline(F955:F963,H955:H963,B$6),IF(AND(COUNT(H956:H967)=9,COUNT(F956:F967)=9),cubic_spline(F955:F964,H955:H964,B$6),IF(AND(COUNT(H956:H967)=10,COUNT(F956:F967)=10),cubic_spline(F955:F965,H955:H965,B$6),IF(AND(COUNT(H956:H967)=11,COUNT(F956:F967)=11),cubic_spline(F955:F966,H955:H966,B$6),IF(AND(COUNT(H956:H967)=12,COUNT(F956:F967)=12),cubic_spline(F955:F967,H955:H967,B$6),""))))))))))))</f>
        <v/>
      </c>
      <c r="K958" s="52" t="str">
        <f>IF(N(B$6)=0,"",IF(AND(COUNT(A956:A967)=2,COUNT(F956:F967)=2),cubic_spline(F955:F957,A955:A957,B$6),IF(AND(COUNT(A956:A967)=3,COUNT(F956:F967)=3),cubic_spline(F955:F958,A955:A958,B$6),IF(AND(COUNT(A956:A967)=4,COUNT(F956:F967)=4),cubic_spline(F955:F959,A955:A959,B$6),IF(AND(COUNT(A956:A967)=5,COUNT(F956:F967)=5),cubic_spline(F955:F960,A955:A960,B$6),IF(AND(COUNT(A956:A967)=6,COUNT(F956:F967)=6),cubic_spline(F955:F961,A955:A961,B$6),IF(AND(COUNT(A956:A967)=7,COUNT(F956:F967)=7),cubic_spline(F955:F962,A955:A962,B$6),IF(AND(COUNT(A956:A967)=8,COUNT(F956:F967)=8),cubic_spline(F955:F963,A955:A963,B$6),IF(AND(COUNT(A956:A967)=9,COUNT(F956:F967)=9),cubic_spline(F955:F964,A955:A964,B$6),IF(AND(COUNT(A956:A967)=10,COUNT(F956:F967)=10),cubic_spline(F955:F965,A955:A965,B$6),IF(AND(COUNT(A956:A967)=11,COUNT(F956:F967)=11),cubic_spline(F955:F966,A955:A966,B$6),IF(AND(COUNT(A956:A967)=12,COUNT(F956:F967)=12),cubic_spline(F955:F967,A955:A967,B$6),""))))))))))))</f>
        <v/>
      </c>
      <c r="L958" s="27" t="str">
        <f>IF(I958="","",B$5&amp;"-"&amp;B$6)</f>
        <v/>
      </c>
      <c r="M958" s="52" t="str">
        <f>IF(N(J958)=0,"",J958-J957)</f>
        <v/>
      </c>
    </row>
    <row r="959" spans="1:13" x14ac:dyDescent="0.35">
      <c r="A959" s="48"/>
      <c r="B959" s="48"/>
      <c r="C959" s="49"/>
      <c r="D959" s="50"/>
      <c r="E959" s="51" t="str">
        <f>IF(N(C959)=0,"",C959/PI()/($D$1/2)^2/$D$2*10000)</f>
        <v/>
      </c>
      <c r="F959" s="68" t="str">
        <f t="shared" si="361"/>
        <v/>
      </c>
      <c r="G959" s="69" t="str">
        <f t="shared" si="363"/>
        <v/>
      </c>
      <c r="H959" s="70" t="str">
        <f t="shared" si="362"/>
        <v/>
      </c>
      <c r="I959" s="27" t="str">
        <f>IF(N(J959)=0,"",0&amp;"-"&amp;B$7)</f>
        <v/>
      </c>
      <c r="J959" s="52" t="str">
        <f>IF(N(B$7)=0,"",IF(AND(COUNT(H956:H967)=2,COUNT(F956:F967)=2),cubic_spline(F955:F957,H955:H957,B$7),IF(AND(COUNT(H956:H967)=3,COUNT(F956:F967)=3),cubic_spline(F955:F958,H955:H958,B$7),IF(AND(COUNT(H956:H967)=4,COUNT(F956:F967)=4),cubic_spline(F955:F959,H955:H959,B$7),IF(AND(COUNT(H956:H967)=5,COUNT(F956:F967)=5),cubic_spline(F955:F960,H955:H960,B$7),IF(AND(COUNT(H956:H967)=6,COUNT(F956:F967)=6),cubic_spline(F955:F961,H955:H961,B$7),IF(AND(COUNT(H956:H967)=7,COUNT(F956:F967)=7),cubic_spline(F955:F962,H955:H962,B$7),IF(AND(COUNT(H956:H967)=8,COUNT(F956:F967)=8),cubic_spline(F955:F963,H955:H963,B$7),IF(AND(COUNT(H956:H967)=9,COUNT(F956:F967)=9),cubic_spline(F955:F964,H955:H964,B$7),IF(AND(COUNT(H956:H967)=10,COUNT(F956:F967)=10),cubic_spline(F955:F965,H955:H965,B$7),IF(AND(COUNT(H956:H967)=11,COUNT(F956:F967)=11),cubic_spline(F955:F966,H955:H966,B$7),IF(AND(COUNT(H956:H967)=12,COUNT(F956:F967)=12),cubic_spline(F955:F967,H955:H967,B$7),""))))))))))))</f>
        <v/>
      </c>
      <c r="K959" s="52" t="str">
        <f>IF(N(B$7)=0,"",IF(AND(COUNT(A956:A967)=2,COUNT(F956:F967)=2),cubic_spline(F955:F957,A955:A957,B$7),IF(AND(COUNT(A956:A967)=3,COUNT(F956:F967)=3),cubic_spline(F955:F958,A955:A958,B$7),IF(AND(COUNT(A956:A967)=4,COUNT(F956:F967)=4),cubic_spline(F955:F959,A955:A959,B$7),IF(AND(COUNT(A956:A967)=5,COUNT(F956:F967)=5),cubic_spline(F955:F960,A955:A960,B$7),IF(AND(COUNT(A956:A967)=6,COUNT(F956:F967)=6),cubic_spline(F955:F961,A955:A961,B$7),IF(AND(COUNT(A956:A967)=7,COUNT(F956:F967)=7),cubic_spline(F955:F962,A955:A962,B$7),IF(AND(COUNT(A956:A967)=8,COUNT(F956:F967)=8),cubic_spline(F955:F963,A955:A963,B$7),IF(AND(COUNT(A956:A967)=9,COUNT(F956:F967)=9),cubic_spline(F955:F964,A955:A964,B$7),IF(AND(COUNT(A956:A967)=10,COUNT(F956:F967)=10),cubic_spline(F955:F965,A955:A965,B$7),IF(AND(COUNT(A956:A967)=11,COUNT(F956:F967)=11),cubic_spline(F955:F966,A955:A966,B$7),IF(AND(COUNT(A956:A967)=12,COUNT(F956:F967)=12),cubic_spline(F955:F967,A955:A967,B$7),""))))))))))))</f>
        <v/>
      </c>
      <c r="L959" s="27" t="str">
        <f>IF(I959="","",B$6&amp;"-"&amp;B$7)</f>
        <v/>
      </c>
      <c r="M959" s="52" t="str">
        <f>IF(N(J959)=0,"",J959-J958)</f>
        <v/>
      </c>
    </row>
    <row r="960" spans="1:13" x14ac:dyDescent="0.35">
      <c r="A960" s="48"/>
      <c r="B960" s="48"/>
      <c r="C960" s="49"/>
      <c r="D960" s="50"/>
      <c r="E960" s="51" t="str">
        <f t="shared" ref="E960:E967" si="364">IF(N(C960)=0,"",C960/PI()/($D$1/2)^2/$D$2*10000)</f>
        <v/>
      </c>
      <c r="F960" s="71" t="str">
        <f t="shared" si="361"/>
        <v/>
      </c>
      <c r="G960" s="69" t="str">
        <f t="shared" si="363"/>
        <v/>
      </c>
      <c r="H960" s="70" t="str">
        <f t="shared" si="362"/>
        <v/>
      </c>
      <c r="I960" s="27" t="str">
        <f>IF(N(J960)=0,"",0&amp;"-"&amp;B$8)</f>
        <v/>
      </c>
      <c r="J960" s="52" t="str">
        <f>IF(N(B$8)=0,"",IF(AND(COUNT(H956:H967)=2,COUNT(F956:F967)=2),cubic_spline(F955:F957,H955:H957,B$8),IF(AND(COUNT(H956:H967)=3,COUNT(F956:F967)=3),cubic_spline(F955:F958,H955:H958,B$8),IF(AND(COUNT(H956:H967)=4,COUNT(F956:F967)=4),cubic_spline(F955:F959,H955:H959,B$8),IF(AND(COUNT(H956:H967)=5,COUNT(F956:F967)=5),cubic_spline(F955:F960,H955:H960,B$8),IF(AND(COUNT(H956:H967)=6,COUNT(F956:F967)=6),cubic_spline(F955:F961,H955:H961,B$8),IF(AND(COUNT(H956:H967)=7,COUNT(F956:F967)=7),cubic_spline(F955:F962,H955:H962,B$8),IF(AND(COUNT(H956:H967)=8,COUNT(F956:F967)=8),cubic_spline(F955:F963,H955:H963,B$8),IF(AND(COUNT(H956:H967)=9,COUNT(F956:F967)=9),cubic_spline(F955:F964,H955:H964,B$8),IF(AND(COUNT(H956:H967)=10,COUNT(F956:F967)=10),cubic_spline(F955:F965,H955:H965,B$8),IF(AND(COUNT(H956:H967)=11,COUNT(F956:F967)=11),cubic_spline(F955:F966,H955:H966,B$8),IF(AND(COUNT(H956:H967)=12,COUNT(F956:F967)=12),cubic_spline(F955:F967,H955:H967,B$8),""))))))))))))</f>
        <v/>
      </c>
      <c r="K960" s="52" t="str">
        <f>IF(N(B$8)=0,"",IF(AND(COUNT(A956:A967)=2,COUNT(F956:F967)=2),cubic_spline(F955:F957,A955:A957,B$8),IF(AND(COUNT(A956:A967)=3,COUNT(F956:F967)=3),cubic_spline(F955:F958,A955:A958,B$8),IF(AND(COUNT(A956:A967)=4,COUNT(F956:F967)=4),cubic_spline(F955:F959,A955:A959,B$8),IF(AND(COUNT(A956:A967)=5,COUNT(F956:F967)=5),cubic_spline(F955:F960,A955:A960,B$8),IF(AND(COUNT(A956:A967)=6,COUNT(F956:F967)=6),cubic_spline(F955:F961,A955:A961,B$8),IF(AND(COUNT(A956:A967)=7,COUNT(F956:F967)=7),cubic_spline(F955:F962,A955:A962,B$8),IF(AND(COUNT(A956:A967)=8,COUNT(F956:F967)=8),cubic_spline(F955:F963,A955:A963,B$8),IF(AND(COUNT(A956:A967)=9,COUNT(F956:F967)=9),cubic_spline(F955:F964,A955:A964,B$8),IF(AND(COUNT(A956:A967)=10,COUNT(F956:F967)=10),cubic_spline(F955:F965,A955:A965,B$8),IF(AND(COUNT(A956:A967)=11,COUNT(F956:F967)=11),cubic_spline(F955:F966,A955:A966,B$8),IF(AND(COUNT(A956:A967)=12,COUNT(F956:F967)=12),cubic_spline(F955:F967,A955:A967,B$8),""))))))))))))</f>
        <v/>
      </c>
      <c r="L960" s="27" t="str">
        <f>IF(I960="","",B$7&amp;"-"&amp;B$8)</f>
        <v/>
      </c>
      <c r="M960" s="52" t="str">
        <f>IF(N(J960)=0,"",J960-J959)</f>
        <v/>
      </c>
    </row>
    <row r="961" spans="1:13" x14ac:dyDescent="0.35">
      <c r="A961" s="48"/>
      <c r="B961" s="48"/>
      <c r="C961" s="49"/>
      <c r="D961" s="50"/>
      <c r="E961" s="51" t="str">
        <f t="shared" si="364"/>
        <v/>
      </c>
      <c r="F961" s="71" t="str">
        <f t="shared" si="361"/>
        <v/>
      </c>
      <c r="G961" s="69" t="str">
        <f t="shared" si="363"/>
        <v/>
      </c>
      <c r="H961" s="70" t="str">
        <f t="shared" si="362"/>
        <v/>
      </c>
      <c r="I961" s="27" t="str">
        <f>IF(N(J961)=0,"",0&amp;"-"&amp;B$9)</f>
        <v/>
      </c>
      <c r="J961" s="52" t="str">
        <f>IF(N(B$9)=0,"",IF(AND(COUNT(H956:H967)=2,COUNT(F956:F967)=2),cubic_spline(F955:F957,H955:H957,B$9),IF(AND(COUNT(H956:H967)=3,COUNT(F956:F967)=3),cubic_spline(F955:F958,H955:H958,B$9),IF(AND(COUNT(H956:H967)=4,COUNT(F956:F967)=4),cubic_spline(F955:F959,H955:H959,B$9),IF(AND(COUNT(H956:H967)=5,COUNT(F956:F967)=5),cubic_spline(F955:F960,H955:H960,B$9),IF(AND(COUNT(H956:H967)=6,COUNT(F956:F967)=6),cubic_spline(F955:F961,H955:H961,B$9),IF(AND(COUNT(H956:H967)=7,COUNT(F956:F967)=7),cubic_spline(F955:F962,H955:H962,B$9),IF(AND(COUNT(H956:H967)=8,COUNT(F956:F967)=8),cubic_spline(F955:F963,H955:H963,B$9),IF(AND(COUNT(H956:H967)=9,COUNT(F956:F967)=9),cubic_spline(F955:F964,H955:H964,B$9),IF(AND(COUNT(H956:H967)=10,COUNT(F956:F967)=10),cubic_spline(F955:F965,H955:H965,B$9),IF(AND(COUNT(H956:H967)=11,COUNT(F956:F967)=11),cubic_spline(F955:F966,H955:H966,B$9),IF(AND(COUNT(H956:H967)=12,COUNT(F956:F967)=12),cubic_spline(F955:F967,H955:H967,B$9),""))))))))))))</f>
        <v/>
      </c>
      <c r="K961" s="52" t="str">
        <f>IF(N(B$9)=0,"",IF(AND(COUNT(A956:A967)=2,COUNT(F956:F967)=2),cubic_spline(F955:F957,A955:A957,B$9),IF(AND(COUNT(A956:A967)=3,COUNT(F956:F967)=3),cubic_spline(F955:F958,A955:A958,B$9),IF(AND(COUNT(A956:A967)=4,COUNT(F956:F967)=4),cubic_spline(F955:F959,A955:A959,B$9),IF(AND(COUNT(A956:A967)=5,COUNT(F956:F967)=5),cubic_spline(F955:F960,A955:A960,B$9),IF(AND(COUNT(A956:A967)=6,COUNT(F956:F967)=6),cubic_spline(F955:F961,A955:A961,B$9),IF(AND(COUNT(A956:A967)=7,COUNT(F956:F967)=7),cubic_spline(F955:F962,A955:A962,B$9),IF(AND(COUNT(A956:A967)=8,COUNT(F956:F967)=8),cubic_spline(F955:F963,A955:A963,B$9),IF(AND(COUNT(A956:A967)=9,COUNT(F956:F967)=9),cubic_spline(F955:F964,A955:A964,B$9),IF(AND(COUNT(A956:A967)=10,COUNT(F956:F967)=10),cubic_spline(F955:F965,A955:A965,B$9),IF(AND(COUNT(A956:A967)=11,COUNT(F956:F967)=11),cubic_spline(F955:F966,A955:A966,B$9),IF(AND(COUNT(A956:A967)=12,COUNT(F956:F967)=12),cubic_spline(F955:F967,A955:A967,B$9),""))))))))))))</f>
        <v/>
      </c>
      <c r="L961" s="27" t="str">
        <f>IF(I961="","",B$8&amp;"-"&amp;B$9)</f>
        <v/>
      </c>
      <c r="M961" s="52" t="str">
        <f t="shared" ref="M961:M967" si="365">IF(N(J961)=0,"",J961-J960)</f>
        <v/>
      </c>
    </row>
    <row r="962" spans="1:13" x14ac:dyDescent="0.35">
      <c r="A962" s="48"/>
      <c r="B962" s="48"/>
      <c r="C962" s="49"/>
      <c r="D962" s="50"/>
      <c r="E962" s="51" t="str">
        <f t="shared" si="364"/>
        <v/>
      </c>
      <c r="F962" s="71" t="str">
        <f t="shared" si="361"/>
        <v/>
      </c>
      <c r="G962" s="69" t="str">
        <f t="shared" si="363"/>
        <v/>
      </c>
      <c r="H962" s="70" t="str">
        <f t="shared" si="362"/>
        <v/>
      </c>
      <c r="I962" s="27" t="str">
        <f>IF(N(J962)=0,"",0&amp;"-"&amp;B$10)</f>
        <v/>
      </c>
      <c r="J962" s="52" t="str">
        <f>IF(N(B$10)=0,"",IF(AND(COUNT(H956:H967)=2,COUNT(F956:F967)=2),cubic_spline(F955:F957,H955:H957,B$10),IF(AND(COUNT(H956:H967)=3,COUNT(F956:F967)=3),cubic_spline(F955:F958,H955:H958,B$10),IF(AND(COUNT(H956:H967)=4,COUNT(F956:F967)=4),cubic_spline(F955:F959,H955:H959,B$10),IF(AND(COUNT(H956:H967)=5,COUNT(F956:F967)=5),cubic_spline(F955:F960,H955:H960,B$10),IF(AND(COUNT(H956:H967)=6,COUNT(F956:F967)=6),cubic_spline(F955:F961,H955:H961,B$10),IF(AND(COUNT(H956:H967)=7,COUNT(F956:F967)=7),cubic_spline(F955:F962,H955:H962,B$10),IF(AND(COUNT(H956:H967)=8,COUNT(F956:F967)=8),cubic_spline(F955:F963,H955:H963,B$10),IF(AND(COUNT(H956:H967)=9,COUNT(F956:F967)=9),cubic_spline(F955:F964,H955:H964,B$10),IF(AND(COUNT(H956:H967)=10,COUNT(F956:F967)=10),cubic_spline(F955:F965,H955:H965,B$10),IF(AND(COUNT(H956:H967)=11,COUNT(F956:F967)=11),cubic_spline(F955:F966,H955:H966,B$10),IF(AND(COUNT(H956:H967)=12,COUNT(F956:F967)=12),cubic_spline(F955:F967,H955:H967,B$10),""))))))))))))</f>
        <v/>
      </c>
      <c r="K962" s="52" t="str">
        <f>IF(N(B$10)=0,"",IF(AND(COUNT(A956:A967)=2,COUNT(F956:F967)=2),cubic_spline(F955:F957,A955:A957,B$10),IF(AND(COUNT(A956:A967)=3,COUNT(F956:F967)=3),cubic_spline(F955:F958,A955:A958,B$10),IF(AND(COUNT(A956:A967)=4,COUNT(F956:F967)=4),cubic_spline(F955:F959,A955:A959,B$10),IF(AND(COUNT(A956:A967)=5,COUNT(F956:F967)=5),cubic_spline(F955:F960,A955:A960,B$10),IF(AND(COUNT(A956:A967)=6,COUNT(F956:F967)=6),cubic_spline(F955:F961,A955:A961,B$10),IF(AND(COUNT(A956:A967)=7,COUNT(F956:F967)=7),cubic_spline(F955:F962,A955:A962,B$10),IF(AND(COUNT(A956:A967)=8,COUNT(F956:F967)=8),cubic_spline(F955:F963,A955:A963,B$10),IF(AND(COUNT(A956:A967)=9,COUNT(F956:F967)=9),cubic_spline(F955:F964,A955:A964,B$10),IF(AND(COUNT(A956:A967)=10,COUNT(F956:F967)=10),cubic_spline(F955:F965,A955:A965,B$10),IF(AND(COUNT(A956:A967)=11,COUNT(F956:F967)=11),cubic_spline(F955:F966,A955:A966,B$10),IF(AND(COUNT(A956:A967)=12,COUNT(F956:F967)=12),cubic_spline(F955:F967,A955:A967,B$10),""))))))))))))</f>
        <v/>
      </c>
      <c r="L962" s="27" t="str">
        <f>IF(I962="","",B$9&amp;"-"&amp;B$10)</f>
        <v/>
      </c>
      <c r="M962" s="52" t="str">
        <f t="shared" si="365"/>
        <v/>
      </c>
    </row>
    <row r="963" spans="1:13" x14ac:dyDescent="0.35">
      <c r="A963" s="48"/>
      <c r="B963" s="48"/>
      <c r="C963" s="49"/>
      <c r="D963" s="50"/>
      <c r="E963" s="51" t="str">
        <f t="shared" si="364"/>
        <v/>
      </c>
      <c r="F963" s="71" t="str">
        <f t="shared" si="361"/>
        <v/>
      </c>
      <c r="G963" s="69" t="str">
        <f t="shared" si="363"/>
        <v/>
      </c>
      <c r="H963" s="70" t="str">
        <f t="shared" si="362"/>
        <v/>
      </c>
      <c r="I963" s="27" t="str">
        <f>IF(N(J963)=0,"",0&amp;"-"&amp;B$11)</f>
        <v/>
      </c>
      <c r="J963" s="52" t="str">
        <f>IF(N(B$11)=0,"",IF(AND(COUNT(H956:H967)=2,COUNT(F956:F967)=2),cubic_spline(F955:F957,H955:H957,B$11),IF(AND(COUNT(H956:H967)=3,COUNT(F956:F967)=3),cubic_spline(F955:F958,H955:H958,B$11),IF(AND(COUNT(H956:H967)=4,COUNT(F956:F967)=4),cubic_spline(F955:F959,H955:H959,B$11),IF(AND(COUNT(H956:H967)=5,COUNT(F956:F967)=5),cubic_spline(F955:F960,H955:H960,B$11),IF(AND(COUNT(H956:H967)=6,COUNT(F956:F967)=6),cubic_spline(F955:F961,H955:H961,B$11),IF(AND(COUNT(H956:H967)=7,COUNT(F956:F967)=7),cubic_spline(F955:F962,H955:H962,B$11),IF(AND(COUNT(H956:H967)=8,COUNT(F956:F967)=8),cubic_spline(F955:F963,H955:H963,B$11),IF(AND(COUNT(H956:H967)=9,COUNT(F956:F967)=9),cubic_spline(F955:F964,H955:H964,B$11),IF(AND(COUNT(H956:H967)=10,COUNT(F956:F967)=10),cubic_spline(F955:F965,H955:H965,B$11),IF(AND(COUNT(H956:H967)=11,COUNT(F956:F967)=11),cubic_spline(F955:F966,H955:H966,B$11),IF(AND(COUNT(H956:H967)=12,COUNT(F956:F967)=12),cubic_spline(F955:F967,H955:H967,B$11),""))))))))))))</f>
        <v/>
      </c>
      <c r="K963" s="52" t="str">
        <f>IF(N(B$11)=0,"",IF(AND(COUNT(A956:A967)=2,COUNT(F956:F967)=2),cubic_spline(F955:F957,A955:A957,B$11),IF(AND(COUNT(A956:A967)=3,COUNT(F956:F967)=3),cubic_spline(F955:F958,A955:A958,B$11),IF(AND(COUNT(A956:A967)=4,COUNT(F956:F967)=4),cubic_spline(F955:F959,A955:A959,B$11),IF(AND(COUNT(A956:A967)=5,COUNT(F956:F967)=5),cubic_spline(F955:F960,A955:A960,B$11),IF(AND(COUNT(A956:A967)=6,COUNT(F956:F967)=6),cubic_spline(F955:F961,A955:A961,B$11),IF(AND(COUNT(A956:A967)=7,COUNT(F956:F967)=7),cubic_spline(F955:F962,A955:A962,B$11),IF(AND(COUNT(A956:A967)=8,COUNT(F956:F967)=8),cubic_spline(F955:F963,A955:A963,B$11),IF(AND(COUNT(A956:A967)=9,COUNT(F956:F967)=9),cubic_spline(F955:F964,A955:A964,B$11),IF(AND(COUNT(A956:A967)=10,COUNT(F956:F967)=10),cubic_spline(F955:F965,A955:A965,B$11),IF(AND(COUNT(A956:A967)=11,COUNT(F956:F967)=11),cubic_spline(F955:F966,A955:A966,B$11),IF(AND(COUNT(A956:A967)=12,COUNT(F956:F967)=12),cubic_spline(F955:F967,A955:A967,B$11),""))))))))))))</f>
        <v/>
      </c>
      <c r="L963" s="27" t="str">
        <f>IF(I963="","",B$10&amp;"-"&amp;B$11)</f>
        <v/>
      </c>
      <c r="M963" s="52" t="str">
        <f t="shared" si="365"/>
        <v/>
      </c>
    </row>
    <row r="964" spans="1:13" x14ac:dyDescent="0.35">
      <c r="A964" s="48"/>
      <c r="B964" s="48"/>
      <c r="C964" s="49"/>
      <c r="D964" s="50"/>
      <c r="E964" s="51" t="str">
        <f t="shared" si="364"/>
        <v/>
      </c>
      <c r="F964" s="71" t="str">
        <f t="shared" si="361"/>
        <v/>
      </c>
      <c r="G964" s="69" t="str">
        <f t="shared" si="363"/>
        <v/>
      </c>
      <c r="H964" s="70" t="str">
        <f t="shared" si="362"/>
        <v/>
      </c>
      <c r="I964" s="27" t="str">
        <f>IF(N(J964)=0,"",0&amp;"-"&amp;B$12)</f>
        <v/>
      </c>
      <c r="J964" s="52" t="str">
        <f>IF(N(B$12)=0,"",IF(AND(COUNT(H956:H967)=2,COUNT(F956:F967)=2),cubic_spline(F955:F957,H955:H957,B$12),IF(AND(COUNT(H956:H967)=3,COUNT(F956:F967)=3),cubic_spline(F955:F958,H955:H958,B$12),IF(AND(COUNT(H956:H967)=4,COUNT(F956:F967)=4),cubic_spline(F955:F959,H955:H959,B$12),IF(AND(COUNT(H956:H967)=5,COUNT(F956:F967)=5),cubic_spline(F955:F960,H955:H960,B$12),IF(AND(COUNT(H956:H967)=6,COUNT(F956:F967)=6),cubic_spline(F955:F961,H955:H961,B$12),IF(AND(COUNT(H956:H967)=7,COUNT(F956:F967)=7),cubic_spline(F955:F962,H955:H962,B$12),IF(AND(COUNT(H956:H967)=8,COUNT(F956:F967)=8),cubic_spline(F955:F963,H955:H963,B$12),IF(AND(COUNT(H956:H967)=9,COUNT(F956:F967)=9),cubic_spline(F955:F964,H955:H964,B$12),IF(AND(COUNT(H956:H967)=10,COUNT(F956:F967)=10),cubic_spline(F955:F965,H955:H965,B$12),IF(AND(COUNT(H956:H967)=11,COUNT(F956:F967)=11),cubic_spline(F955:F966,H955:H966,B$12),IF(AND(COUNT(H956:H967)=12,COUNT(F956:F967)=12),cubic_spline(F955:F967,H955:H967,B$12),""))))))))))))</f>
        <v/>
      </c>
      <c r="K964" s="52" t="str">
        <f>IF(N(B$12)=0,"",IF(AND(COUNT(A956:A967)=2,COUNT(F956:F967)=2),cubic_spline(F955:F957,A955:A957,B$12),IF(AND(COUNT(A956:A967)=3,COUNT(F956:F967)=3),cubic_spline(F955:F958,A955:A958,B$12),IF(AND(COUNT(A956:A967)=4,COUNT(F956:F967)=4),cubic_spline(F955:F959,A955:A959,B$12),IF(AND(COUNT(A956:A967)=5,COUNT(F956:F967)=5),cubic_spline(F955:F960,A955:A960,B$12),IF(AND(COUNT(A956:A967)=6,COUNT(F956:F967)=6),cubic_spline(F955:F961,A955:A961,B$12),IF(AND(COUNT(A956:A967)=7,COUNT(F956:F967)=7),cubic_spline(F955:F962,A955:A962,B$12),IF(AND(COUNT(A956:A967)=8,COUNT(F956:F967)=8),cubic_spline(F955:F963,A955:A963,B$12),IF(AND(COUNT(A956:A967)=9,COUNT(F956:F967)=9),cubic_spline(F955:F964,A955:A964,B$12),IF(AND(COUNT(A956:A967)=10,COUNT(F956:F967)=10),cubic_spline(F955:F965,A955:A965,B$12),IF(AND(COUNT(A956:A967)=11,COUNT(F956:F967)=11),cubic_spline(F955:F966,A955:A966,B$12),IF(AND(COUNT(A956:A967)=12,COUNT(F956:F967)=12),cubic_spline(F955:F967,A955:A967,B$12),""))))))))))))</f>
        <v/>
      </c>
      <c r="L964" s="27" t="str">
        <f>IF(I964="","",B$11&amp;"-"&amp;B$12)</f>
        <v/>
      </c>
      <c r="M964" s="52" t="str">
        <f t="shared" si="365"/>
        <v/>
      </c>
    </row>
    <row r="965" spans="1:13" x14ac:dyDescent="0.35">
      <c r="A965" s="48"/>
      <c r="B965" s="48"/>
      <c r="C965" s="49"/>
      <c r="D965" s="50"/>
      <c r="E965" s="51" t="str">
        <f t="shared" si="364"/>
        <v/>
      </c>
      <c r="F965" s="71" t="str">
        <f t="shared" si="361"/>
        <v/>
      </c>
      <c r="G965" s="69" t="str">
        <f t="shared" si="363"/>
        <v/>
      </c>
      <c r="H965" s="70" t="str">
        <f t="shared" si="362"/>
        <v/>
      </c>
      <c r="I965" s="27" t="str">
        <f>IF(N(J965)=0,"",0&amp;"-"&amp;B$13)</f>
        <v/>
      </c>
      <c r="J965" s="52" t="str">
        <f>IF(N(B$13)=0,"",IF(AND(COUNT(H956:H967)=2,COUNT(F956:F967)=2),cubic_spline(F955:F957,H955:H957,B$13),IF(AND(COUNT(H956:H967)=3,COUNT(F956:F967)=3),cubic_spline(F955:F958,H955:H958,B$13),IF(AND(COUNT(H956:H967)=4,COUNT(F956:F967)=4),cubic_spline(F955:F959,H955:H959,B$13),IF(AND(COUNT(H956:H967)=5,COUNT(F956:F967)=5),cubic_spline(F955:F960,H955:H960,B$13),IF(AND(COUNT(H956:H967)=6,COUNT(F956:F967)=6),cubic_spline(F955:F961,H955:H961,B$13),IF(AND(COUNT(H956:H967)=7,COUNT(F956:F967)=7),cubic_spline(F955:F962,H955:H962,B$13),IF(AND(COUNT(H956:H967)=8,COUNT(F956:F967)=8),cubic_spline(F955:F963,H955:H963,B$13),IF(AND(COUNT(H956:H967)=9,COUNT(F956:F967)=9),cubic_spline(F955:F964,H955:H964,B$13),IF(AND(COUNT(H956:H967)=10,COUNT(F956:F967)=10),cubic_spline(F955:F965,H955:H965,B$13),IF(AND(COUNT(H956:H967)=11,COUNT(F956:F967)=11),cubic_spline(F955:F966,H955:H966,B$13),IF(AND(COUNT(H956:H967)=12,COUNT(F956:F967)=12),cubic_spline(F955:F967,H955:H967,B$13),""))))))))))))</f>
        <v/>
      </c>
      <c r="K965" s="52" t="str">
        <f>IF(N(B$13)=0,"",IF(AND(COUNT(A956:A967)=2,COUNT(F956:F967)=2),cubic_spline(F955:F957,A955:A957,B$13),IF(AND(COUNT(A956:A967)=3,COUNT(F956:F967)=3),cubic_spline(F955:F958,A955:A958,B$13),IF(AND(COUNT(A956:A967)=4,COUNT(F956:F967)=4),cubic_spline(F955:F959,A955:A959,B$13),IF(AND(COUNT(A956:A967)=5,COUNT(F956:F967)=5),cubic_spline(F955:F960,A955:A960,B$13),IF(AND(COUNT(A956:A967)=6,COUNT(F956:F967)=6),cubic_spline(F955:F961,A955:A961,B$13),IF(AND(COUNT(A956:A967)=7,COUNT(F956:F967)=7),cubic_spline(F955:F962,A955:A962,B$13),IF(AND(COUNT(A956:A967)=8,COUNT(F956:F967)=8),cubic_spline(F955:F963,A955:A963,B$13),IF(AND(COUNT(A956:A967)=9,COUNT(F956:F967)=9),cubic_spline(F955:F964,A955:A964,B$13),IF(AND(COUNT(A956:A967)=10,COUNT(F956:F967)=10),cubic_spline(F955:F965,A955:A965,B$13),IF(AND(COUNT(A956:A967)=11,COUNT(F956:F967)=11),cubic_spline(F955:F966,A955:A966,B$13),IF(AND(COUNT(A956:A967)=12,COUNT(F956:F967)=12),cubic_spline(F955:F967,A955:A967,B$13),""))))))))))))</f>
        <v/>
      </c>
      <c r="L965" s="27" t="str">
        <f>IF(I965="","",B$12&amp;"-"&amp;B$13)</f>
        <v/>
      </c>
      <c r="M965" s="52" t="str">
        <f t="shared" si="365"/>
        <v/>
      </c>
    </row>
    <row r="966" spans="1:13" x14ac:dyDescent="0.35">
      <c r="A966" s="48"/>
      <c r="B966" s="48"/>
      <c r="C966" s="49"/>
      <c r="D966" s="50"/>
      <c r="E966" s="51" t="str">
        <f t="shared" si="364"/>
        <v/>
      </c>
      <c r="F966" s="71" t="str">
        <f t="shared" si="361"/>
        <v/>
      </c>
      <c r="G966" s="69" t="str">
        <f t="shared" si="363"/>
        <v/>
      </c>
      <c r="H966" s="70" t="str">
        <f t="shared" si="362"/>
        <v/>
      </c>
      <c r="I966" s="27" t="str">
        <f>IF(N(J966)=0,"",0&amp;"-"&amp;B$14)</f>
        <v/>
      </c>
      <c r="J966" s="52" t="str">
        <f>IF(N(B$14)=0,"",IF(AND(COUNT(H956:H967)=2,COUNT(F956:F967)=2),cubic_spline(F955:F957,H955:H957,B$14),IF(AND(COUNT(H956:H967)=3,COUNT(F956:F967)=3),cubic_spline(F955:F958,H955:H958,B$14),IF(AND(COUNT(H956:H967)=4,COUNT(F956:F967)=4),cubic_spline(F955:F959,H955:H959,B$14),IF(AND(COUNT(H956:H967)=5,COUNT(F956:F967)=5),cubic_spline(F955:F960,H955:H960,B$14),IF(AND(COUNT(H956:H967)=6,COUNT(F956:F967)=6),cubic_spline(F955:F961,H955:H961,B$14),IF(AND(COUNT(H956:H967)=7,COUNT(F956:F967)=7),cubic_spline(F955:F962,H955:H962,B$14),IF(AND(COUNT(H956:H967)=8,COUNT(F956:F967)=8),cubic_spline(F955:F963,H955:H963,B$14),IF(AND(COUNT(H956:H967)=9,COUNT(F956:F967)=9),cubic_spline(F955:F964,H955:H964,B$14),IF(AND(COUNT(H956:H967)=10,COUNT(F956:F967)=10),cubic_spline(F955:F965,H955:H965,B$14),IF(AND(COUNT(H956:H967)=11,COUNT(F956:F967)=11),cubic_spline(F955:F966,H955:H966,B$14),IF(AND(COUNT(H956:H967)=12,COUNT(F956:F967)=12),cubic_spline(F955:F967,H955:H967,B$14),""))))))))))))</f>
        <v/>
      </c>
      <c r="K966" s="52" t="str">
        <f>IF(N(B$14)=0,"",IF(AND(COUNT(A956:A967)=2,COUNT(F956:F967)=2),cubic_spline(F955:F957,A955:A957,B$14),IF(AND(COUNT(A956:A967)=3,COUNT(F956:F967)=3),cubic_spline(F955:F958,A955:A958,B$14),IF(AND(COUNT(A956:A967)=4,COUNT(F956:F967)=4),cubic_spline(F955:F959,A955:A959,B$14),IF(AND(COUNT(A956:A967)=5,COUNT(F956:F967)=5),cubic_spline(F955:F960,A955:A960,B$14),IF(AND(COUNT(A956:A967)=6,COUNT(F956:F967)=6),cubic_spline(F955:F961,A955:A961,B$14),IF(AND(COUNT(A956:A967)=7,COUNT(F956:F967)=7),cubic_spline(F955:F962,A955:A962,B$14),IF(AND(COUNT(A956:A967)=8,COUNT(F956:F967)=8),cubic_spline(F955:F963,A955:A963,B$14),IF(AND(COUNT(A956:A967)=9,COUNT(F956:F967)=9),cubic_spline(F955:F964,A955:A964,B$14),IF(AND(COUNT(A956:A967)=10,COUNT(F956:F967)=10),cubic_spline(F955:F965,A955:A965,B$14),IF(AND(COUNT(A956:A967)=11,COUNT(F956:F967)=11),cubic_spline(F955:F966,A955:A966,B$14),IF(AND(COUNT(A956:A967)=12,COUNT(F956:F967)=12),cubic_spline(F955:F967,A955:A967,B$14),""))))))))))))</f>
        <v/>
      </c>
      <c r="L966" s="27" t="str">
        <f>IF(I966="","",B$13&amp;"-"&amp;B$14)</f>
        <v/>
      </c>
      <c r="M966" s="52" t="str">
        <f t="shared" si="365"/>
        <v/>
      </c>
    </row>
    <row r="967" spans="1:13" x14ac:dyDescent="0.35">
      <c r="A967" s="48"/>
      <c r="B967" s="48"/>
      <c r="C967" s="49"/>
      <c r="D967" s="50"/>
      <c r="E967" s="51" t="str">
        <f t="shared" si="364"/>
        <v/>
      </c>
      <c r="F967" s="71" t="str">
        <f t="shared" si="361"/>
        <v/>
      </c>
      <c r="G967" s="69" t="str">
        <f t="shared" si="363"/>
        <v/>
      </c>
      <c r="H967" s="70" t="str">
        <f t="shared" si="362"/>
        <v/>
      </c>
      <c r="I967" s="27" t="str">
        <f>IF(N(J967)=0,"",0&amp;"-"&amp;B$15)</f>
        <v/>
      </c>
      <c r="J967" s="52" t="str">
        <f>IF(N(B$15)=0,"",IF(AND(COUNT(H956:H967)=2,COUNT(F956:F967)=2),cubic_spline(F955:F957,H955:H957,B$15),IF(AND(COUNT(H956:H967)=3,COUNT(F956:F967)=3),cubic_spline(F955:F958,H955:H958,B$15),IF(AND(COUNT(H956:H967)=4,COUNT(F956:F967)=4),cubic_spline(F955:F959,H955:H959,B$15),IF(AND(COUNT(H956:H967)=5,COUNT(F956:F967)=5),cubic_spline(F955:F960,H955:H960,B$15),IF(AND(COUNT(H956:H967)=6,COUNT(F956:F967)=6),cubic_spline(F955:F961,H955:H961,B$15),IF(AND(COUNT(H956:H967)=7,COUNT(F956:F967)=7),cubic_spline(F955:F962,H955:H962,B$15),IF(AND(COUNT(H956:H967)=8,COUNT(F956:F967)=8),cubic_spline(F955:F963,H955:H963,B$15),IF(AND(COUNT(H956:H967)=9,COUNT(F956:F967)=9),cubic_spline(F955:F964,H955:H964,B$15),IF(AND(COUNT(H956:H967)=10,COUNT(F956:F967)=10),cubic_spline(F955:F965,H955:H965,B$15),IF(AND(COUNT(H956:H967)=11,COUNT(F956:F967)=11),cubic_spline(F955:F966,H955:H966,B$15),IF(AND(COUNT(H956:H967)=12,COUNT(F956:F967)=12),cubic_spline(F955:F967,H955:H967,B$15),""))))))))))))</f>
        <v/>
      </c>
      <c r="K967" s="52" t="str">
        <f>IF(N(B$15)=0,"",IF(AND(COUNT(A956:A967)=2,COUNT(F956:F967)=2),cubic_spline(F955:F957,A955:A957,B$15),IF(AND(COUNT(A956:A967)=3,COUNT(F956:F967)=3),cubic_spline(F955:F958,A955:A958,B$15),IF(AND(COUNT(A956:A967)=4,COUNT(F956:F967)=4),cubic_spline(F955:F959,A955:A959,B$15),IF(AND(COUNT(A956:A967)=5,COUNT(F956:F967)=5),cubic_spline(F955:F960,A955:A960,B$15),IF(AND(COUNT(A956:A967)=6,COUNT(F956:F967)=6),cubic_spline(F955:F961,A955:A961,B$15),IF(AND(COUNT(A956:A967)=7,COUNT(F956:F967)=7),cubic_spline(F955:F962,A955:A962,B$15),IF(AND(COUNT(A956:A967)=8,COUNT(F956:F967)=8),cubic_spline(F955:F963,A955:A963,B$15),IF(AND(COUNT(A956:A967)=9,COUNT(F956:F967)=9),cubic_spline(F955:F964,A955:A964,B$15),IF(AND(COUNT(A956:A967)=10,COUNT(F956:F967)=10),cubic_spline(F955:F965,A955:A965,B$15),IF(AND(COUNT(A956:A967)=11,COUNT(F956:F967)=11),cubic_spline(F955:F966,A955:A966,B$15),IF(AND(COUNT(A956:A967)=12,COUNT(F956:F967)=12),cubic_spline(F955:F967,A955:A967,B$15),""))))))))))))</f>
        <v/>
      </c>
      <c r="L967" s="27" t="str">
        <f>IF(I967="","",B$14&amp;"-"&amp;B$15)</f>
        <v/>
      </c>
      <c r="M967" s="52" t="str">
        <f t="shared" si="365"/>
        <v/>
      </c>
    </row>
    <row r="968" spans="1:13" ht="5.15" customHeight="1" x14ac:dyDescent="0.35">
      <c r="A968" s="47"/>
      <c r="B968" s="47"/>
      <c r="C968" s="47"/>
      <c r="D968" s="53"/>
      <c r="E968" s="54"/>
      <c r="F968" s="55"/>
      <c r="G968" s="72"/>
      <c r="H968" s="73"/>
      <c r="I968" s="47"/>
      <c r="J968" s="57"/>
      <c r="K968" s="57"/>
      <c r="L968" s="55"/>
      <c r="M968" s="57"/>
    </row>
    <row r="969" spans="1:13" x14ac:dyDescent="0.35">
      <c r="A969" s="48"/>
      <c r="B969" s="48"/>
      <c r="C969" s="49"/>
      <c r="D969" s="50"/>
      <c r="E969" s="51" t="str">
        <f>IF(N(C969)=0,"",C969/PI()/($D$1/2)^2/$D$2*10000)</f>
        <v/>
      </c>
      <c r="F969" s="68" t="str">
        <f t="shared" ref="F969:F980" si="366">IF(N(E969)=0,"",(N(E969)+N(F968)))</f>
        <v/>
      </c>
      <c r="G969" s="69" t="str">
        <f>IF(OR(N(D969)=0,N(E969)=0),"",(E969*D969)/1000)</f>
        <v/>
      </c>
      <c r="H969" s="70" t="str">
        <f t="shared" ref="H969:H980" si="367">IF(N(G969)=0,"",(N(G969)+N(H968)))</f>
        <v/>
      </c>
      <c r="I969" s="27" t="str">
        <f>IF(N(J969)=0,"",0&amp;"-"&amp;B$4)</f>
        <v/>
      </c>
      <c r="J969" s="52" t="str">
        <f>IF(N(B$4)=0,"",IF(AND(COUNT(H969:H980)=2,COUNT(F969:F980)=2),cubic_spline(F968:F970,H968:H970,B$4),IF(AND(COUNT(H969:H980)=3,COUNT(F969:F980)=3),cubic_spline(F968:F971,H968:H971,B$4),IF(AND(COUNT(H969:H980)=4,COUNT(F969:F980)=4),cubic_spline(F968:F972,H968:H972,B$4),IF(AND(COUNT(H969:H980)=5,COUNT(F969:F980)=5),cubic_spline(F968:F973,H968:H973,B$4),IF(AND(COUNT(H969:H980)=6,COUNT(F969:F980)=6),cubic_spline(F968:F974,H968:H974,B$4),IF(AND(COUNT(H969:H980)=7,COUNT(F969:F980)=7),cubic_spline(F968:F975,H968:H975,B$4),IF(AND(COUNT(H969:H980)=8,COUNT(F969:F980)=8),cubic_spline(F968:F976,H968:H976,B$4),IF(AND(COUNT(H969:H980)=9,COUNT(F969:F980)=9),cubic_spline(F968:F977,H968:H977,B$4),IF(AND(COUNT(H969:H980)=10,COUNT(F969:F980)=10),cubic_spline(F968:F978,H968:H978,B$4),IF(AND(COUNT(H969:H980)=11,COUNT(F969:F980)=11),cubic_spline(F968:F979,H968:H979,B$4),IF(AND(COUNT(H969:H980)=12,COUNT(F969:F980)=12),cubic_spline(F968:F980,H968:H980,B$4),""))))))))))))</f>
        <v/>
      </c>
      <c r="K969" s="52" t="str">
        <f>IF(N(B$4)=0,"",IF(AND(COUNT(A969:A980)=2,COUNT(F969:F980)=2),cubic_spline(F968:F970,A968:A970,B$4),IF(AND(COUNT(A969:A980)=3,COUNT(F969:F980)=3),cubic_spline(F968:F971,A968:A971,B$4),IF(AND(COUNT(A969:A980)=4,COUNT(F969:F980)=4),cubic_spline(F968:F972,A968:A972,B$4),IF(AND(COUNT(A969:A980)=5,COUNT(F969:F980)=5),cubic_spline(F968:F973,A968:A973,B$4),IF(AND(COUNT(A969:A980)=6,COUNT(F969:F980)=6),cubic_spline(F968:F974,A968:A974,B$4),IF(AND(COUNT(A969:A980)=7,COUNT(F969:F980)=7),cubic_spline(F968:F975,A968:A975,B$4),IF(AND(COUNT(A969:A980)=8,COUNT(F969:F980)=8),cubic_spline(F968:F976,A968:A976,B$4),IF(AND(COUNT(A969:A980)=9,COUNT(F969:F980)=9),cubic_spline(F968:F977,A968:A977,B$4),IF(AND(COUNT(A969:A980)=10,COUNT(F969:F980)=10),cubic_spline(F968:F978,A968:A978,B$4),IF(AND(COUNT(A969:A980)=11,COUNT(F969:F980)=11),cubic_spline(F968:F979,A968:A979,B$4),IF(AND(COUNT(A969:A980)=12,COUNT(F969:F980)=12),cubic_spline(F968:F980,A968:A980,B$4),""))))))))))))</f>
        <v/>
      </c>
      <c r="L969" s="27" t="str">
        <f>IF(I969="","",0&amp;"-"&amp;B$4)</f>
        <v/>
      </c>
      <c r="M969" s="52" t="str">
        <f>IF(N(J969)=0,"",J969-J968)</f>
        <v/>
      </c>
    </row>
    <row r="970" spans="1:13" x14ac:dyDescent="0.35">
      <c r="A970" s="48"/>
      <c r="B970" s="48"/>
      <c r="C970" s="49"/>
      <c r="D970" s="50"/>
      <c r="E970" s="51" t="str">
        <f>IF(N(C970)=0,"",C970/PI()/($D$1/2)^2/$D$2*10000)</f>
        <v/>
      </c>
      <c r="F970" s="68" t="str">
        <f t="shared" si="366"/>
        <v/>
      </c>
      <c r="G970" s="69" t="str">
        <f t="shared" ref="G970:G980" si="368">IF(OR(N(D970)=0,N(E970)=0),"",(E970*D970)/1000)</f>
        <v/>
      </c>
      <c r="H970" s="70" t="str">
        <f t="shared" si="367"/>
        <v/>
      </c>
      <c r="I970" s="27" t="str">
        <f>IF(N(J970)=0,"",0&amp;"-"&amp;B$5)</f>
        <v/>
      </c>
      <c r="J970" s="52" t="str">
        <f>IF(N(B$5)=0,"",IF(AND(COUNT(H969:H980)=2,COUNT(F969:F980)=2),cubic_spline(F968:F970,H968:H970,B$5),IF(AND(COUNT(H969:H980)=3,COUNT(F969:F980)=3),cubic_spline(F968:F971,H968:H971,B$5),IF(AND(COUNT(H969:H980)=4,COUNT(F969:F980)=4),cubic_spline(F968:F972,H968:H972,B$5),IF(AND(COUNT(H969:H980)=5,COUNT(F969:F980)=5),cubic_spline(F968:F973,H968:H973,B$5),IF(AND(COUNT(H969:H980)=6,COUNT(F969:F980)=6),cubic_spline(F968:F974,H968:H974,B$5),IF(AND(COUNT(H969:H980)=7,COUNT(F969:F980)=7),cubic_spline(F968:F975,H968:H975,B$5),IF(AND(COUNT(H969:H980)=8,COUNT(F969:F980)=8),cubic_spline(F968:F976,H968:H976,B$5),IF(AND(COUNT(H969:H980)=9,COUNT(F969:F980)=9),cubic_spline(F968:F977,H968:H977,B$5),IF(AND(COUNT(H969:H980)=10,COUNT(F969:F980)=10),cubic_spline(F968:F978,H968:H978,B$5),IF(AND(COUNT(H969:H980)=11,COUNT(F969:F980)=11),cubic_spline(F968:F979,H968:H979,B$5),IF(AND(COUNT(H969:H980)=12,COUNT(F969:F980)=12),cubic_spline(F968:F980,H968:H980,B$5),""))))))))))))</f>
        <v/>
      </c>
      <c r="K970" s="52" t="str">
        <f>IF(N(B$5)=0,"",IF(AND(COUNT(A969:A980)=2,COUNT(F969:F980)=2),cubic_spline(F968:F970,A968:A970,B$5),IF(AND(COUNT(A969:A980)=3,COUNT(F969:F980)=3),cubic_spline(F968:F971,A968:A971,B$5),IF(AND(COUNT(A969:A980)=4,COUNT(F969:F980)=4),cubic_spline(F968:F972,A968:A972,B$5),IF(AND(COUNT(A969:A980)=5,COUNT(F969:F980)=5),cubic_spline(F968:F973,A968:A973,B$5),IF(AND(COUNT(A969:A980)=6,COUNT(F969:F980)=6),cubic_spline(F968:F974,A968:A974,B$5),IF(AND(COUNT(A969:A980)=7,COUNT(F969:F980)=7),cubic_spline(F968:F975,A968:A975,B$5),IF(AND(COUNT(A969:A980)=8,COUNT(F969:F980)=8),cubic_spline(F968:F976,A968:A976,B$5),IF(AND(COUNT(A969:A980)=9,COUNT(F969:F980)=9),cubic_spline(F968:F977,A968:A977,B$5),IF(AND(COUNT(A969:A980)=10,COUNT(F969:F980)=10),cubic_spline(F968:F978,A968:A978,B$5),IF(AND(COUNT(A969:A980)=11,COUNT(F969:F980)=11),cubic_spline(F968:F979,A968:A979,B$5),IF(AND(COUNT(A969:A980)=12,COUNT(F969:F980)=12),cubic_spline(F968:F980,A968:A980,B$5),""))))))))))))</f>
        <v/>
      </c>
      <c r="L970" s="27" t="str">
        <f>IF(I970="","",B$4&amp;"-"&amp;B$5)</f>
        <v/>
      </c>
      <c r="M970" s="52" t="str">
        <f>IF(N(J970)=0,"",J970-J969)</f>
        <v/>
      </c>
    </row>
    <row r="971" spans="1:13" x14ac:dyDescent="0.35">
      <c r="A971" s="48"/>
      <c r="B971" s="48"/>
      <c r="C971" s="49"/>
      <c r="D971" s="50"/>
      <c r="E971" s="51" t="str">
        <f>IF(N(C971)=0,"",C971/PI()/($D$1/2)^2/$D$2*10000)</f>
        <v/>
      </c>
      <c r="F971" s="68" t="str">
        <f t="shared" si="366"/>
        <v/>
      </c>
      <c r="G971" s="69" t="str">
        <f t="shared" si="368"/>
        <v/>
      </c>
      <c r="H971" s="70" t="str">
        <f t="shared" si="367"/>
        <v/>
      </c>
      <c r="I971" s="27" t="str">
        <f>IF(N(J971)=0,"",0&amp;"-"&amp;B$6)</f>
        <v/>
      </c>
      <c r="J971" s="52" t="str">
        <f>IF(N(B$6)=0,"",IF(AND(COUNT(H969:H980)=2,COUNT(F969:F980)=2),cubic_spline(F968:F970,H968:H970,B$6),IF(AND(COUNT(H969:H980)=3,COUNT(F969:F980)=3),cubic_spline(F968:F971,H968:H971,B$6),IF(AND(COUNT(H969:H980)=4,COUNT(F969:F980)=4),cubic_spline(F968:F972,H968:H972,B$6),IF(AND(COUNT(H969:H980)=5,COUNT(F969:F980)=5),cubic_spline(F968:F973,H968:H973,B$6),IF(AND(COUNT(H969:H980)=6,COUNT(F969:F980)=6),cubic_spline(F968:F974,H968:H974,B$6),IF(AND(COUNT(H969:H980)=7,COUNT(F969:F980)=7),cubic_spline(F968:F975,H968:H975,B$6),IF(AND(COUNT(H969:H980)=8,COUNT(F969:F980)=8),cubic_spline(F968:F976,H968:H976,B$6),IF(AND(COUNT(H969:H980)=9,COUNT(F969:F980)=9),cubic_spline(F968:F977,H968:H977,B$6),IF(AND(COUNT(H969:H980)=10,COUNT(F969:F980)=10),cubic_spline(F968:F978,H968:H978,B$6),IF(AND(COUNT(H969:H980)=11,COUNT(F969:F980)=11),cubic_spline(F968:F979,H968:H979,B$6),IF(AND(COUNT(H969:H980)=12,COUNT(F969:F980)=12),cubic_spline(F968:F980,H968:H980,B$6),""))))))))))))</f>
        <v/>
      </c>
      <c r="K971" s="52" t="str">
        <f>IF(N(B$6)=0,"",IF(AND(COUNT(A969:A980)=2,COUNT(F969:F980)=2),cubic_spline(F968:F970,A968:A970,B$6),IF(AND(COUNT(A969:A980)=3,COUNT(F969:F980)=3),cubic_spline(F968:F971,A968:A971,B$6),IF(AND(COUNT(A969:A980)=4,COUNT(F969:F980)=4),cubic_spline(F968:F972,A968:A972,B$6),IF(AND(COUNT(A969:A980)=5,COUNT(F969:F980)=5),cubic_spline(F968:F973,A968:A973,B$6),IF(AND(COUNT(A969:A980)=6,COUNT(F969:F980)=6),cubic_spline(F968:F974,A968:A974,B$6),IF(AND(COUNT(A969:A980)=7,COUNT(F969:F980)=7),cubic_spline(F968:F975,A968:A975,B$6),IF(AND(COUNT(A969:A980)=8,COUNT(F969:F980)=8),cubic_spline(F968:F976,A968:A976,B$6),IF(AND(COUNT(A969:A980)=9,COUNT(F969:F980)=9),cubic_spline(F968:F977,A968:A977,B$6),IF(AND(COUNT(A969:A980)=10,COUNT(F969:F980)=10),cubic_spline(F968:F978,A968:A978,B$6),IF(AND(COUNT(A969:A980)=11,COUNT(F969:F980)=11),cubic_spline(F968:F979,A968:A979,B$6),IF(AND(COUNT(A969:A980)=12,COUNT(F969:F980)=12),cubic_spline(F968:F980,A968:A980,B$6),""))))))))))))</f>
        <v/>
      </c>
      <c r="L971" s="27" t="str">
        <f>IF(I971="","",B$5&amp;"-"&amp;B$6)</f>
        <v/>
      </c>
      <c r="M971" s="52" t="str">
        <f>IF(N(J971)=0,"",J971-J970)</f>
        <v/>
      </c>
    </row>
    <row r="972" spans="1:13" x14ac:dyDescent="0.35">
      <c r="A972" s="48"/>
      <c r="B972" s="48"/>
      <c r="C972" s="49"/>
      <c r="D972" s="50"/>
      <c r="E972" s="51" t="str">
        <f>IF(N(C972)=0,"",C972/PI()/($D$1/2)^2/$D$2*10000)</f>
        <v/>
      </c>
      <c r="F972" s="68" t="str">
        <f t="shared" si="366"/>
        <v/>
      </c>
      <c r="G972" s="69" t="str">
        <f t="shared" si="368"/>
        <v/>
      </c>
      <c r="H972" s="70" t="str">
        <f t="shared" si="367"/>
        <v/>
      </c>
      <c r="I972" s="27" t="str">
        <f>IF(N(J972)=0,"",0&amp;"-"&amp;B$7)</f>
        <v/>
      </c>
      <c r="J972" s="52" t="str">
        <f>IF(N(B$7)=0,"",IF(AND(COUNT(H969:H980)=2,COUNT(F969:F980)=2),cubic_spline(F968:F970,H968:H970,B$7),IF(AND(COUNT(H969:H980)=3,COUNT(F969:F980)=3),cubic_spline(F968:F971,H968:H971,B$7),IF(AND(COUNT(H969:H980)=4,COUNT(F969:F980)=4),cubic_spline(F968:F972,H968:H972,B$7),IF(AND(COUNT(H969:H980)=5,COUNT(F969:F980)=5),cubic_spline(F968:F973,H968:H973,B$7),IF(AND(COUNT(H969:H980)=6,COUNT(F969:F980)=6),cubic_spline(F968:F974,H968:H974,B$7),IF(AND(COUNT(H969:H980)=7,COUNT(F969:F980)=7),cubic_spline(F968:F975,H968:H975,B$7),IF(AND(COUNT(H969:H980)=8,COUNT(F969:F980)=8),cubic_spline(F968:F976,H968:H976,B$7),IF(AND(COUNT(H969:H980)=9,COUNT(F969:F980)=9),cubic_spline(F968:F977,H968:H977,B$7),IF(AND(COUNT(H969:H980)=10,COUNT(F969:F980)=10),cubic_spline(F968:F978,H968:H978,B$7),IF(AND(COUNT(H969:H980)=11,COUNT(F969:F980)=11),cubic_spline(F968:F979,H968:H979,B$7),IF(AND(COUNT(H969:H980)=12,COUNT(F969:F980)=12),cubic_spline(F968:F980,H968:H980,B$7),""))))))))))))</f>
        <v/>
      </c>
      <c r="K972" s="52" t="str">
        <f>IF(N(B$7)=0,"",IF(AND(COUNT(A969:A980)=2,COUNT(F969:F980)=2),cubic_spline(F968:F970,A968:A970,B$7),IF(AND(COUNT(A969:A980)=3,COUNT(F969:F980)=3),cubic_spline(F968:F971,A968:A971,B$7),IF(AND(COUNT(A969:A980)=4,COUNT(F969:F980)=4),cubic_spline(F968:F972,A968:A972,B$7),IF(AND(COUNT(A969:A980)=5,COUNT(F969:F980)=5),cubic_spline(F968:F973,A968:A973,B$7),IF(AND(COUNT(A969:A980)=6,COUNT(F969:F980)=6),cubic_spline(F968:F974,A968:A974,B$7),IF(AND(COUNT(A969:A980)=7,COUNT(F969:F980)=7),cubic_spline(F968:F975,A968:A975,B$7),IF(AND(COUNT(A969:A980)=8,COUNT(F969:F980)=8),cubic_spline(F968:F976,A968:A976,B$7),IF(AND(COUNT(A969:A980)=9,COUNT(F969:F980)=9),cubic_spline(F968:F977,A968:A977,B$7),IF(AND(COUNT(A969:A980)=10,COUNT(F969:F980)=10),cubic_spline(F968:F978,A968:A978,B$7),IF(AND(COUNT(A969:A980)=11,COUNT(F969:F980)=11),cubic_spline(F968:F979,A968:A979,B$7),IF(AND(COUNT(A969:A980)=12,COUNT(F969:F980)=12),cubic_spline(F968:F980,A968:A980,B$7),""))))))))))))</f>
        <v/>
      </c>
      <c r="L972" s="27" t="str">
        <f>IF(I972="","",B$6&amp;"-"&amp;B$7)</f>
        <v/>
      </c>
      <c r="M972" s="52" t="str">
        <f>IF(N(J972)=0,"",J972-J971)</f>
        <v/>
      </c>
    </row>
    <row r="973" spans="1:13" x14ac:dyDescent="0.35">
      <c r="A973" s="48"/>
      <c r="B973" s="48"/>
      <c r="C973" s="49"/>
      <c r="D973" s="50"/>
      <c r="E973" s="51" t="str">
        <f t="shared" ref="E973:E980" si="369">IF(N(C973)=0,"",C973/PI()/($D$1/2)^2/$D$2*10000)</f>
        <v/>
      </c>
      <c r="F973" s="71" t="str">
        <f t="shared" si="366"/>
        <v/>
      </c>
      <c r="G973" s="69" t="str">
        <f t="shared" si="368"/>
        <v/>
      </c>
      <c r="H973" s="70" t="str">
        <f t="shared" si="367"/>
        <v/>
      </c>
      <c r="I973" s="27" t="str">
        <f>IF(N(J973)=0,"",0&amp;"-"&amp;B$8)</f>
        <v/>
      </c>
      <c r="J973" s="52" t="str">
        <f>IF(N(B$8)=0,"",IF(AND(COUNT(H969:H980)=2,COUNT(F969:F980)=2),cubic_spline(F968:F970,H968:H970,B$8),IF(AND(COUNT(H969:H980)=3,COUNT(F969:F980)=3),cubic_spline(F968:F971,H968:H971,B$8),IF(AND(COUNT(H969:H980)=4,COUNT(F969:F980)=4),cubic_spline(F968:F972,H968:H972,B$8),IF(AND(COUNT(H969:H980)=5,COUNT(F969:F980)=5),cubic_spline(F968:F973,H968:H973,B$8),IF(AND(COUNT(H969:H980)=6,COUNT(F969:F980)=6),cubic_spline(F968:F974,H968:H974,B$8),IF(AND(COUNT(H969:H980)=7,COUNT(F969:F980)=7),cubic_spline(F968:F975,H968:H975,B$8),IF(AND(COUNT(H969:H980)=8,COUNT(F969:F980)=8),cubic_spline(F968:F976,H968:H976,B$8),IF(AND(COUNT(H969:H980)=9,COUNT(F969:F980)=9),cubic_spline(F968:F977,H968:H977,B$8),IF(AND(COUNT(H969:H980)=10,COUNT(F969:F980)=10),cubic_spline(F968:F978,H968:H978,B$8),IF(AND(COUNT(H969:H980)=11,COUNT(F969:F980)=11),cubic_spline(F968:F979,H968:H979,B$8),IF(AND(COUNT(H969:H980)=12,COUNT(F969:F980)=12),cubic_spline(F968:F980,H968:H980,B$8),""))))))))))))</f>
        <v/>
      </c>
      <c r="K973" s="52" t="str">
        <f>IF(N(B$8)=0,"",IF(AND(COUNT(A969:A980)=2,COUNT(F969:F980)=2),cubic_spline(F968:F970,A968:A970,B$8),IF(AND(COUNT(A969:A980)=3,COUNT(F969:F980)=3),cubic_spline(F968:F971,A968:A971,B$8),IF(AND(COUNT(A969:A980)=4,COUNT(F969:F980)=4),cubic_spline(F968:F972,A968:A972,B$8),IF(AND(COUNT(A969:A980)=5,COUNT(F969:F980)=5),cubic_spline(F968:F973,A968:A973,B$8),IF(AND(COUNT(A969:A980)=6,COUNT(F969:F980)=6),cubic_spline(F968:F974,A968:A974,B$8),IF(AND(COUNT(A969:A980)=7,COUNT(F969:F980)=7),cubic_spline(F968:F975,A968:A975,B$8),IF(AND(COUNT(A969:A980)=8,COUNT(F969:F980)=8),cubic_spline(F968:F976,A968:A976,B$8),IF(AND(COUNT(A969:A980)=9,COUNT(F969:F980)=9),cubic_spline(F968:F977,A968:A977,B$8),IF(AND(COUNT(A969:A980)=10,COUNT(F969:F980)=10),cubic_spline(F968:F978,A968:A978,B$8),IF(AND(COUNT(A969:A980)=11,COUNT(F969:F980)=11),cubic_spline(F968:F979,A968:A979,B$8),IF(AND(COUNT(A969:A980)=12,COUNT(F969:F980)=12),cubic_spline(F968:F980,A968:A980,B$8),""))))))))))))</f>
        <v/>
      </c>
      <c r="L973" s="27" t="str">
        <f>IF(I973="","",B$7&amp;"-"&amp;B$8)</f>
        <v/>
      </c>
      <c r="M973" s="52" t="str">
        <f>IF(N(J973)=0,"",J973-J972)</f>
        <v/>
      </c>
    </row>
    <row r="974" spans="1:13" x14ac:dyDescent="0.35">
      <c r="A974" s="48"/>
      <c r="B974" s="48"/>
      <c r="C974" s="49"/>
      <c r="D974" s="50"/>
      <c r="E974" s="51" t="str">
        <f t="shared" si="369"/>
        <v/>
      </c>
      <c r="F974" s="71" t="str">
        <f t="shared" si="366"/>
        <v/>
      </c>
      <c r="G974" s="69" t="str">
        <f t="shared" si="368"/>
        <v/>
      </c>
      <c r="H974" s="70" t="str">
        <f t="shared" si="367"/>
        <v/>
      </c>
      <c r="I974" s="27" t="str">
        <f>IF(N(J974)=0,"",0&amp;"-"&amp;B$9)</f>
        <v/>
      </c>
      <c r="J974" s="52" t="str">
        <f>IF(N(B$9)=0,"",IF(AND(COUNT(H969:H980)=2,COUNT(F969:F980)=2),cubic_spline(F968:F970,H968:H970,B$9),IF(AND(COUNT(H969:H980)=3,COUNT(F969:F980)=3),cubic_spline(F968:F971,H968:H971,B$9),IF(AND(COUNT(H969:H980)=4,COUNT(F969:F980)=4),cubic_spline(F968:F972,H968:H972,B$9),IF(AND(COUNT(H969:H980)=5,COUNT(F969:F980)=5),cubic_spline(F968:F973,H968:H973,B$9),IF(AND(COUNT(H969:H980)=6,COUNT(F969:F980)=6),cubic_spline(F968:F974,H968:H974,B$9),IF(AND(COUNT(H969:H980)=7,COUNT(F969:F980)=7),cubic_spline(F968:F975,H968:H975,B$9),IF(AND(COUNT(H969:H980)=8,COUNT(F969:F980)=8),cubic_spline(F968:F976,H968:H976,B$9),IF(AND(COUNT(H969:H980)=9,COUNT(F969:F980)=9),cubic_spline(F968:F977,H968:H977,B$9),IF(AND(COUNT(H969:H980)=10,COUNT(F969:F980)=10),cubic_spline(F968:F978,H968:H978,B$9),IF(AND(COUNT(H969:H980)=11,COUNT(F969:F980)=11),cubic_spline(F968:F979,H968:H979,B$9),IF(AND(COUNT(H969:H980)=12,COUNT(F969:F980)=12),cubic_spline(F968:F980,H968:H980,B$9),""))))))))))))</f>
        <v/>
      </c>
      <c r="K974" s="52" t="str">
        <f>IF(N(B$9)=0,"",IF(AND(COUNT(A969:A980)=2,COUNT(F969:F980)=2),cubic_spline(F968:F970,A968:A970,B$9),IF(AND(COUNT(A969:A980)=3,COUNT(F969:F980)=3),cubic_spline(F968:F971,A968:A971,B$9),IF(AND(COUNT(A969:A980)=4,COUNT(F969:F980)=4),cubic_spline(F968:F972,A968:A972,B$9),IF(AND(COUNT(A969:A980)=5,COUNT(F969:F980)=5),cubic_spline(F968:F973,A968:A973,B$9),IF(AND(COUNT(A969:A980)=6,COUNT(F969:F980)=6),cubic_spline(F968:F974,A968:A974,B$9),IF(AND(COUNT(A969:A980)=7,COUNT(F969:F980)=7),cubic_spline(F968:F975,A968:A975,B$9),IF(AND(COUNT(A969:A980)=8,COUNT(F969:F980)=8),cubic_spline(F968:F976,A968:A976,B$9),IF(AND(COUNT(A969:A980)=9,COUNT(F969:F980)=9),cubic_spline(F968:F977,A968:A977,B$9),IF(AND(COUNT(A969:A980)=10,COUNT(F969:F980)=10),cubic_spline(F968:F978,A968:A978,B$9),IF(AND(COUNT(A969:A980)=11,COUNT(F969:F980)=11),cubic_spline(F968:F979,A968:A979,B$9),IF(AND(COUNT(A969:A980)=12,COUNT(F969:F980)=12),cubic_spline(F968:F980,A968:A980,B$9),""))))))))))))</f>
        <v/>
      </c>
      <c r="L974" s="27" t="str">
        <f>IF(I974="","",B$8&amp;"-"&amp;B$9)</f>
        <v/>
      </c>
      <c r="M974" s="52" t="str">
        <f t="shared" ref="M974:M980" si="370">IF(N(J974)=0,"",J974-J973)</f>
        <v/>
      </c>
    </row>
    <row r="975" spans="1:13" x14ac:dyDescent="0.35">
      <c r="A975" s="48"/>
      <c r="B975" s="48"/>
      <c r="C975" s="49"/>
      <c r="D975" s="50"/>
      <c r="E975" s="51" t="str">
        <f t="shared" si="369"/>
        <v/>
      </c>
      <c r="F975" s="71" t="str">
        <f t="shared" si="366"/>
        <v/>
      </c>
      <c r="G975" s="69" t="str">
        <f t="shared" si="368"/>
        <v/>
      </c>
      <c r="H975" s="70" t="str">
        <f t="shared" si="367"/>
        <v/>
      </c>
      <c r="I975" s="27" t="str">
        <f>IF(N(J975)=0,"",0&amp;"-"&amp;B$10)</f>
        <v/>
      </c>
      <c r="J975" s="52" t="str">
        <f>IF(N(B$10)=0,"",IF(AND(COUNT(H969:H980)=2,COUNT(F969:F980)=2),cubic_spline(F968:F970,H968:H970,B$10),IF(AND(COUNT(H969:H980)=3,COUNT(F969:F980)=3),cubic_spline(F968:F971,H968:H971,B$10),IF(AND(COUNT(H969:H980)=4,COUNT(F969:F980)=4),cubic_spline(F968:F972,H968:H972,B$10),IF(AND(COUNT(H969:H980)=5,COUNT(F969:F980)=5),cubic_spline(F968:F973,H968:H973,B$10),IF(AND(COUNT(H969:H980)=6,COUNT(F969:F980)=6),cubic_spline(F968:F974,H968:H974,B$10),IF(AND(COUNT(H969:H980)=7,COUNT(F969:F980)=7),cubic_spline(F968:F975,H968:H975,B$10),IF(AND(COUNT(H969:H980)=8,COUNT(F969:F980)=8),cubic_spline(F968:F976,H968:H976,B$10),IF(AND(COUNT(H969:H980)=9,COUNT(F969:F980)=9),cubic_spline(F968:F977,H968:H977,B$10),IF(AND(COUNT(H969:H980)=10,COUNT(F969:F980)=10),cubic_spline(F968:F978,H968:H978,B$10),IF(AND(COUNT(H969:H980)=11,COUNT(F969:F980)=11),cubic_spline(F968:F979,H968:H979,B$10),IF(AND(COUNT(H969:H980)=12,COUNT(F969:F980)=12),cubic_spline(F968:F980,H968:H980,B$10),""))))))))))))</f>
        <v/>
      </c>
      <c r="K975" s="52" t="str">
        <f>IF(N(B$10)=0,"",IF(AND(COUNT(A969:A980)=2,COUNT(F969:F980)=2),cubic_spline(F968:F970,A968:A970,B$10),IF(AND(COUNT(A969:A980)=3,COUNT(F969:F980)=3),cubic_spline(F968:F971,A968:A971,B$10),IF(AND(COUNT(A969:A980)=4,COUNT(F969:F980)=4),cubic_spline(F968:F972,A968:A972,B$10),IF(AND(COUNT(A969:A980)=5,COUNT(F969:F980)=5),cubic_spline(F968:F973,A968:A973,B$10),IF(AND(COUNT(A969:A980)=6,COUNT(F969:F980)=6),cubic_spline(F968:F974,A968:A974,B$10),IF(AND(COUNT(A969:A980)=7,COUNT(F969:F980)=7),cubic_spline(F968:F975,A968:A975,B$10),IF(AND(COUNT(A969:A980)=8,COUNT(F969:F980)=8),cubic_spline(F968:F976,A968:A976,B$10),IF(AND(COUNT(A969:A980)=9,COUNT(F969:F980)=9),cubic_spline(F968:F977,A968:A977,B$10),IF(AND(COUNT(A969:A980)=10,COUNT(F969:F980)=10),cubic_spline(F968:F978,A968:A978,B$10),IF(AND(COUNT(A969:A980)=11,COUNT(F969:F980)=11),cubic_spline(F968:F979,A968:A979,B$10),IF(AND(COUNT(A969:A980)=12,COUNT(F969:F980)=12),cubic_spline(F968:F980,A968:A980,B$10),""))))))))))))</f>
        <v/>
      </c>
      <c r="L975" s="27" t="str">
        <f>IF(I975="","",B$9&amp;"-"&amp;B$10)</f>
        <v/>
      </c>
      <c r="M975" s="52" t="str">
        <f t="shared" si="370"/>
        <v/>
      </c>
    </row>
    <row r="976" spans="1:13" x14ac:dyDescent="0.35">
      <c r="A976" s="48"/>
      <c r="B976" s="48"/>
      <c r="C976" s="49"/>
      <c r="D976" s="50"/>
      <c r="E976" s="51" t="str">
        <f t="shared" si="369"/>
        <v/>
      </c>
      <c r="F976" s="71" t="str">
        <f t="shared" si="366"/>
        <v/>
      </c>
      <c r="G976" s="69" t="str">
        <f t="shared" si="368"/>
        <v/>
      </c>
      <c r="H976" s="70" t="str">
        <f t="shared" si="367"/>
        <v/>
      </c>
      <c r="I976" s="27" t="str">
        <f>IF(N(J976)=0,"",0&amp;"-"&amp;B$11)</f>
        <v/>
      </c>
      <c r="J976" s="52" t="str">
        <f>IF(N(B$11)=0,"",IF(AND(COUNT(H969:H980)=2,COUNT(F969:F980)=2),cubic_spline(F968:F970,H968:H970,B$11),IF(AND(COUNT(H969:H980)=3,COUNT(F969:F980)=3),cubic_spline(F968:F971,H968:H971,B$11),IF(AND(COUNT(H969:H980)=4,COUNT(F969:F980)=4),cubic_spline(F968:F972,H968:H972,B$11),IF(AND(COUNT(H969:H980)=5,COUNT(F969:F980)=5),cubic_spline(F968:F973,H968:H973,B$11),IF(AND(COUNT(H969:H980)=6,COUNT(F969:F980)=6),cubic_spline(F968:F974,H968:H974,B$11),IF(AND(COUNT(H969:H980)=7,COUNT(F969:F980)=7),cubic_spline(F968:F975,H968:H975,B$11),IF(AND(COUNT(H969:H980)=8,COUNT(F969:F980)=8),cubic_spline(F968:F976,H968:H976,B$11),IF(AND(COUNT(H969:H980)=9,COUNT(F969:F980)=9),cubic_spline(F968:F977,H968:H977,B$11),IF(AND(COUNT(H969:H980)=10,COUNT(F969:F980)=10),cubic_spline(F968:F978,H968:H978,B$11),IF(AND(COUNT(H969:H980)=11,COUNT(F969:F980)=11),cubic_spline(F968:F979,H968:H979,B$11),IF(AND(COUNT(H969:H980)=12,COUNT(F969:F980)=12),cubic_spline(F968:F980,H968:H980,B$11),""))))))))))))</f>
        <v/>
      </c>
      <c r="K976" s="52" t="str">
        <f>IF(N(B$11)=0,"",IF(AND(COUNT(A969:A980)=2,COUNT(F969:F980)=2),cubic_spline(F968:F970,A968:A970,B$11),IF(AND(COUNT(A969:A980)=3,COUNT(F969:F980)=3),cubic_spline(F968:F971,A968:A971,B$11),IF(AND(COUNT(A969:A980)=4,COUNT(F969:F980)=4),cubic_spline(F968:F972,A968:A972,B$11),IF(AND(COUNT(A969:A980)=5,COUNT(F969:F980)=5),cubic_spline(F968:F973,A968:A973,B$11),IF(AND(COUNT(A969:A980)=6,COUNT(F969:F980)=6),cubic_spline(F968:F974,A968:A974,B$11),IF(AND(COUNT(A969:A980)=7,COUNT(F969:F980)=7),cubic_spline(F968:F975,A968:A975,B$11),IF(AND(COUNT(A969:A980)=8,COUNT(F969:F980)=8),cubic_spline(F968:F976,A968:A976,B$11),IF(AND(COUNT(A969:A980)=9,COUNT(F969:F980)=9),cubic_spline(F968:F977,A968:A977,B$11),IF(AND(COUNT(A969:A980)=10,COUNT(F969:F980)=10),cubic_spline(F968:F978,A968:A978,B$11),IF(AND(COUNT(A969:A980)=11,COUNT(F969:F980)=11),cubic_spline(F968:F979,A968:A979,B$11),IF(AND(COUNT(A969:A980)=12,COUNT(F969:F980)=12),cubic_spline(F968:F980,A968:A980,B$11),""))))))))))))</f>
        <v/>
      </c>
      <c r="L976" s="27" t="str">
        <f>IF(I976="","",B$10&amp;"-"&amp;B$11)</f>
        <v/>
      </c>
      <c r="M976" s="52" t="str">
        <f t="shared" si="370"/>
        <v/>
      </c>
    </row>
    <row r="977" spans="1:13" x14ac:dyDescent="0.35">
      <c r="A977" s="48"/>
      <c r="B977" s="48"/>
      <c r="C977" s="49"/>
      <c r="D977" s="50"/>
      <c r="E977" s="51" t="str">
        <f t="shared" si="369"/>
        <v/>
      </c>
      <c r="F977" s="71" t="str">
        <f t="shared" si="366"/>
        <v/>
      </c>
      <c r="G977" s="69" t="str">
        <f t="shared" si="368"/>
        <v/>
      </c>
      <c r="H977" s="70" t="str">
        <f t="shared" si="367"/>
        <v/>
      </c>
      <c r="I977" s="27" t="str">
        <f>IF(N(J977)=0,"",0&amp;"-"&amp;B$12)</f>
        <v/>
      </c>
      <c r="J977" s="52" t="str">
        <f>IF(N(B$12)=0,"",IF(AND(COUNT(H969:H980)=2,COUNT(F969:F980)=2),cubic_spline(F968:F970,H968:H970,B$12),IF(AND(COUNT(H969:H980)=3,COUNT(F969:F980)=3),cubic_spline(F968:F971,H968:H971,B$12),IF(AND(COUNT(H969:H980)=4,COUNT(F969:F980)=4),cubic_spline(F968:F972,H968:H972,B$12),IF(AND(COUNT(H969:H980)=5,COUNT(F969:F980)=5),cubic_spline(F968:F973,H968:H973,B$12),IF(AND(COUNT(H969:H980)=6,COUNT(F969:F980)=6),cubic_spline(F968:F974,H968:H974,B$12),IF(AND(COUNT(H969:H980)=7,COUNT(F969:F980)=7),cubic_spline(F968:F975,H968:H975,B$12),IF(AND(COUNT(H969:H980)=8,COUNT(F969:F980)=8),cubic_spline(F968:F976,H968:H976,B$12),IF(AND(COUNT(H969:H980)=9,COUNT(F969:F980)=9),cubic_spline(F968:F977,H968:H977,B$12),IF(AND(COUNT(H969:H980)=10,COUNT(F969:F980)=10),cubic_spline(F968:F978,H968:H978,B$12),IF(AND(COUNT(H969:H980)=11,COUNT(F969:F980)=11),cubic_spline(F968:F979,H968:H979,B$12),IF(AND(COUNT(H969:H980)=12,COUNT(F969:F980)=12),cubic_spline(F968:F980,H968:H980,B$12),""))))))))))))</f>
        <v/>
      </c>
      <c r="K977" s="52" t="str">
        <f>IF(N(B$12)=0,"",IF(AND(COUNT(A969:A980)=2,COUNT(F969:F980)=2),cubic_spline(F968:F970,A968:A970,B$12),IF(AND(COUNT(A969:A980)=3,COUNT(F969:F980)=3),cubic_spline(F968:F971,A968:A971,B$12),IF(AND(COUNT(A969:A980)=4,COUNT(F969:F980)=4),cubic_spline(F968:F972,A968:A972,B$12),IF(AND(COUNT(A969:A980)=5,COUNT(F969:F980)=5),cubic_spline(F968:F973,A968:A973,B$12),IF(AND(COUNT(A969:A980)=6,COUNT(F969:F980)=6),cubic_spline(F968:F974,A968:A974,B$12),IF(AND(COUNT(A969:A980)=7,COUNT(F969:F980)=7),cubic_spline(F968:F975,A968:A975,B$12),IF(AND(COUNT(A969:A980)=8,COUNT(F969:F980)=8),cubic_spline(F968:F976,A968:A976,B$12),IF(AND(COUNT(A969:A980)=9,COUNT(F969:F980)=9),cubic_spline(F968:F977,A968:A977,B$12),IF(AND(COUNT(A969:A980)=10,COUNT(F969:F980)=10),cubic_spline(F968:F978,A968:A978,B$12),IF(AND(COUNT(A969:A980)=11,COUNT(F969:F980)=11),cubic_spline(F968:F979,A968:A979,B$12),IF(AND(COUNT(A969:A980)=12,COUNT(F969:F980)=12),cubic_spline(F968:F980,A968:A980,B$12),""))))))))))))</f>
        <v/>
      </c>
      <c r="L977" s="27" t="str">
        <f>IF(I977="","",B$11&amp;"-"&amp;B$12)</f>
        <v/>
      </c>
      <c r="M977" s="52" t="str">
        <f t="shared" si="370"/>
        <v/>
      </c>
    </row>
    <row r="978" spans="1:13" x14ac:dyDescent="0.35">
      <c r="A978" s="48"/>
      <c r="B978" s="48"/>
      <c r="C978" s="49"/>
      <c r="D978" s="50"/>
      <c r="E978" s="51" t="str">
        <f t="shared" si="369"/>
        <v/>
      </c>
      <c r="F978" s="71" t="str">
        <f t="shared" si="366"/>
        <v/>
      </c>
      <c r="G978" s="69" t="str">
        <f t="shared" si="368"/>
        <v/>
      </c>
      <c r="H978" s="70" t="str">
        <f t="shared" si="367"/>
        <v/>
      </c>
      <c r="I978" s="27" t="str">
        <f>IF(N(J978)=0,"",0&amp;"-"&amp;B$13)</f>
        <v/>
      </c>
      <c r="J978" s="52" t="str">
        <f>IF(N(B$13)=0,"",IF(AND(COUNT(H969:H980)=2,COUNT(F969:F980)=2),cubic_spline(F968:F970,H968:H970,B$13),IF(AND(COUNT(H969:H980)=3,COUNT(F969:F980)=3),cubic_spline(F968:F971,H968:H971,B$13),IF(AND(COUNT(H969:H980)=4,COUNT(F969:F980)=4),cubic_spline(F968:F972,H968:H972,B$13),IF(AND(COUNT(H969:H980)=5,COUNT(F969:F980)=5),cubic_spline(F968:F973,H968:H973,B$13),IF(AND(COUNT(H969:H980)=6,COUNT(F969:F980)=6),cubic_spline(F968:F974,H968:H974,B$13),IF(AND(COUNT(H969:H980)=7,COUNT(F969:F980)=7),cubic_spline(F968:F975,H968:H975,B$13),IF(AND(COUNT(H969:H980)=8,COUNT(F969:F980)=8),cubic_spline(F968:F976,H968:H976,B$13),IF(AND(COUNT(H969:H980)=9,COUNT(F969:F980)=9),cubic_spline(F968:F977,H968:H977,B$13),IF(AND(COUNT(H969:H980)=10,COUNT(F969:F980)=10),cubic_spline(F968:F978,H968:H978,B$13),IF(AND(COUNT(H969:H980)=11,COUNT(F969:F980)=11),cubic_spline(F968:F979,H968:H979,B$13),IF(AND(COUNT(H969:H980)=12,COUNT(F969:F980)=12),cubic_spline(F968:F980,H968:H980,B$13),""))))))))))))</f>
        <v/>
      </c>
      <c r="K978" s="52" t="str">
        <f>IF(N(B$13)=0,"",IF(AND(COUNT(A969:A980)=2,COUNT(F969:F980)=2),cubic_spline(F968:F970,A968:A970,B$13),IF(AND(COUNT(A969:A980)=3,COUNT(F969:F980)=3),cubic_spline(F968:F971,A968:A971,B$13),IF(AND(COUNT(A969:A980)=4,COUNT(F969:F980)=4),cubic_spline(F968:F972,A968:A972,B$13),IF(AND(COUNT(A969:A980)=5,COUNT(F969:F980)=5),cubic_spline(F968:F973,A968:A973,B$13),IF(AND(COUNT(A969:A980)=6,COUNT(F969:F980)=6),cubic_spline(F968:F974,A968:A974,B$13),IF(AND(COUNT(A969:A980)=7,COUNT(F969:F980)=7),cubic_spline(F968:F975,A968:A975,B$13),IF(AND(COUNT(A969:A980)=8,COUNT(F969:F980)=8),cubic_spline(F968:F976,A968:A976,B$13),IF(AND(COUNT(A969:A980)=9,COUNT(F969:F980)=9),cubic_spline(F968:F977,A968:A977,B$13),IF(AND(COUNT(A969:A980)=10,COUNT(F969:F980)=10),cubic_spline(F968:F978,A968:A978,B$13),IF(AND(COUNT(A969:A980)=11,COUNT(F969:F980)=11),cubic_spline(F968:F979,A968:A979,B$13),IF(AND(COUNT(A969:A980)=12,COUNT(F969:F980)=12),cubic_spline(F968:F980,A968:A980,B$13),""))))))))))))</f>
        <v/>
      </c>
      <c r="L978" s="27" t="str">
        <f>IF(I978="","",B$12&amp;"-"&amp;B$13)</f>
        <v/>
      </c>
      <c r="M978" s="52" t="str">
        <f t="shared" si="370"/>
        <v/>
      </c>
    </row>
    <row r="979" spans="1:13" x14ac:dyDescent="0.35">
      <c r="A979" s="48"/>
      <c r="B979" s="48"/>
      <c r="C979" s="49"/>
      <c r="D979" s="50"/>
      <c r="E979" s="51" t="str">
        <f t="shared" si="369"/>
        <v/>
      </c>
      <c r="F979" s="71" t="str">
        <f t="shared" si="366"/>
        <v/>
      </c>
      <c r="G979" s="69" t="str">
        <f t="shared" si="368"/>
        <v/>
      </c>
      <c r="H979" s="70" t="str">
        <f t="shared" si="367"/>
        <v/>
      </c>
      <c r="I979" s="27" t="str">
        <f>IF(N(J979)=0,"",0&amp;"-"&amp;B$14)</f>
        <v/>
      </c>
      <c r="J979" s="52" t="str">
        <f>IF(N(B$14)=0,"",IF(AND(COUNT(H969:H980)=2,COUNT(F969:F980)=2),cubic_spline(F968:F970,H968:H970,B$14),IF(AND(COUNT(H969:H980)=3,COUNT(F969:F980)=3),cubic_spline(F968:F971,H968:H971,B$14),IF(AND(COUNT(H969:H980)=4,COUNT(F969:F980)=4),cubic_spline(F968:F972,H968:H972,B$14),IF(AND(COUNT(H969:H980)=5,COUNT(F969:F980)=5),cubic_spline(F968:F973,H968:H973,B$14),IF(AND(COUNT(H969:H980)=6,COUNT(F969:F980)=6),cubic_spline(F968:F974,H968:H974,B$14),IF(AND(COUNT(H969:H980)=7,COUNT(F969:F980)=7),cubic_spline(F968:F975,H968:H975,B$14),IF(AND(COUNT(H969:H980)=8,COUNT(F969:F980)=8),cubic_spline(F968:F976,H968:H976,B$14),IF(AND(COUNT(H969:H980)=9,COUNT(F969:F980)=9),cubic_spline(F968:F977,H968:H977,B$14),IF(AND(COUNT(H969:H980)=10,COUNT(F969:F980)=10),cubic_spline(F968:F978,H968:H978,B$14),IF(AND(COUNT(H969:H980)=11,COUNT(F969:F980)=11),cubic_spline(F968:F979,H968:H979,B$14),IF(AND(COUNT(H969:H980)=12,COUNT(F969:F980)=12),cubic_spline(F968:F980,H968:H980,B$14),""))))))))))))</f>
        <v/>
      </c>
      <c r="K979" s="52" t="str">
        <f>IF(N(B$14)=0,"",IF(AND(COUNT(A969:A980)=2,COUNT(F969:F980)=2),cubic_spline(F968:F970,A968:A970,B$14),IF(AND(COUNT(A969:A980)=3,COUNT(F969:F980)=3),cubic_spline(F968:F971,A968:A971,B$14),IF(AND(COUNT(A969:A980)=4,COUNT(F969:F980)=4),cubic_spline(F968:F972,A968:A972,B$14),IF(AND(COUNT(A969:A980)=5,COUNT(F969:F980)=5),cubic_spline(F968:F973,A968:A973,B$14),IF(AND(COUNT(A969:A980)=6,COUNT(F969:F980)=6),cubic_spline(F968:F974,A968:A974,B$14),IF(AND(COUNT(A969:A980)=7,COUNT(F969:F980)=7),cubic_spline(F968:F975,A968:A975,B$14),IF(AND(COUNT(A969:A980)=8,COUNT(F969:F980)=8),cubic_spline(F968:F976,A968:A976,B$14),IF(AND(COUNT(A969:A980)=9,COUNT(F969:F980)=9),cubic_spline(F968:F977,A968:A977,B$14),IF(AND(COUNT(A969:A980)=10,COUNT(F969:F980)=10),cubic_spline(F968:F978,A968:A978,B$14),IF(AND(COUNT(A969:A980)=11,COUNT(F969:F980)=11),cubic_spline(F968:F979,A968:A979,B$14),IF(AND(COUNT(A969:A980)=12,COUNT(F969:F980)=12),cubic_spline(F968:F980,A968:A980,B$14),""))))))))))))</f>
        <v/>
      </c>
      <c r="L979" s="27" t="str">
        <f>IF(I979="","",B$13&amp;"-"&amp;B$14)</f>
        <v/>
      </c>
      <c r="M979" s="52" t="str">
        <f t="shared" si="370"/>
        <v/>
      </c>
    </row>
    <row r="980" spans="1:13" x14ac:dyDescent="0.35">
      <c r="A980" s="48"/>
      <c r="B980" s="48"/>
      <c r="C980" s="49"/>
      <c r="D980" s="50"/>
      <c r="E980" s="51" t="str">
        <f t="shared" si="369"/>
        <v/>
      </c>
      <c r="F980" s="71" t="str">
        <f t="shared" si="366"/>
        <v/>
      </c>
      <c r="G980" s="69" t="str">
        <f t="shared" si="368"/>
        <v/>
      </c>
      <c r="H980" s="70" t="str">
        <f t="shared" si="367"/>
        <v/>
      </c>
      <c r="I980" s="27" t="str">
        <f>IF(N(J980)=0,"",0&amp;"-"&amp;B$15)</f>
        <v/>
      </c>
      <c r="J980" s="52" t="str">
        <f>IF(N(B$15)=0,"",IF(AND(COUNT(H969:H980)=2,COUNT(F969:F980)=2),cubic_spline(F968:F970,H968:H970,B$15),IF(AND(COUNT(H969:H980)=3,COUNT(F969:F980)=3),cubic_spline(F968:F971,H968:H971,B$15),IF(AND(COUNT(H969:H980)=4,COUNT(F969:F980)=4),cubic_spline(F968:F972,H968:H972,B$15),IF(AND(COUNT(H969:H980)=5,COUNT(F969:F980)=5),cubic_spline(F968:F973,H968:H973,B$15),IF(AND(COUNT(H969:H980)=6,COUNT(F969:F980)=6),cubic_spline(F968:F974,H968:H974,B$15),IF(AND(COUNT(H969:H980)=7,COUNT(F969:F980)=7),cubic_spline(F968:F975,H968:H975,B$15),IF(AND(COUNT(H969:H980)=8,COUNT(F969:F980)=8),cubic_spline(F968:F976,H968:H976,B$15),IF(AND(COUNT(H969:H980)=9,COUNT(F969:F980)=9),cubic_spline(F968:F977,H968:H977,B$15),IF(AND(COUNT(H969:H980)=10,COUNT(F969:F980)=10),cubic_spline(F968:F978,H968:H978,B$15),IF(AND(COUNT(H969:H980)=11,COUNT(F969:F980)=11),cubic_spline(F968:F979,H968:H979,B$15),IF(AND(COUNT(H969:H980)=12,COUNT(F969:F980)=12),cubic_spline(F968:F980,H968:H980,B$15),""))))))))))))</f>
        <v/>
      </c>
      <c r="K980" s="52" t="str">
        <f>IF(N(B$15)=0,"",IF(AND(COUNT(A969:A980)=2,COUNT(F969:F980)=2),cubic_spline(F968:F970,A968:A970,B$15),IF(AND(COUNT(A969:A980)=3,COUNT(F969:F980)=3),cubic_spline(F968:F971,A968:A971,B$15),IF(AND(COUNT(A969:A980)=4,COUNT(F969:F980)=4),cubic_spline(F968:F972,A968:A972,B$15),IF(AND(COUNT(A969:A980)=5,COUNT(F969:F980)=5),cubic_spline(F968:F973,A968:A973,B$15),IF(AND(COUNT(A969:A980)=6,COUNT(F969:F980)=6),cubic_spline(F968:F974,A968:A974,B$15),IF(AND(COUNT(A969:A980)=7,COUNT(F969:F980)=7),cubic_spline(F968:F975,A968:A975,B$15),IF(AND(COUNT(A969:A980)=8,COUNT(F969:F980)=8),cubic_spline(F968:F976,A968:A976,B$15),IF(AND(COUNT(A969:A980)=9,COUNT(F969:F980)=9),cubic_spline(F968:F977,A968:A977,B$15),IF(AND(COUNT(A969:A980)=10,COUNT(F969:F980)=10),cubic_spline(F968:F978,A968:A978,B$15),IF(AND(COUNT(A969:A980)=11,COUNT(F969:F980)=11),cubic_spline(F968:F979,A968:A979,B$15),IF(AND(COUNT(A969:A980)=12,COUNT(F969:F980)=12),cubic_spline(F968:F980,A968:A980,B$15),""))))))))))))</f>
        <v/>
      </c>
      <c r="L980" s="27" t="str">
        <f>IF(I980="","",B$14&amp;"-"&amp;B$15)</f>
        <v/>
      </c>
      <c r="M980" s="52" t="str">
        <f t="shared" si="370"/>
        <v/>
      </c>
    </row>
    <row r="981" spans="1:13" ht="5.15" customHeight="1" x14ac:dyDescent="0.35">
      <c r="A981" s="47"/>
      <c r="B981" s="47"/>
      <c r="C981" s="47"/>
      <c r="D981" s="53"/>
      <c r="E981" s="54"/>
      <c r="F981" s="55"/>
      <c r="G981" s="72"/>
      <c r="H981" s="73"/>
      <c r="I981" s="47"/>
      <c r="J981" s="57"/>
      <c r="K981" s="57"/>
      <c r="L981" s="55"/>
      <c r="M981" s="57"/>
    </row>
    <row r="982" spans="1:13" x14ac:dyDescent="0.35">
      <c r="A982" s="48"/>
      <c r="B982" s="48"/>
      <c r="C982" s="49"/>
      <c r="D982" s="50"/>
      <c r="E982" s="51" t="str">
        <f>IF(N(C982)=0,"",C982/PI()/($D$1/2)^2/$D$2*10000)</f>
        <v/>
      </c>
      <c r="F982" s="68" t="str">
        <f t="shared" ref="F982:F993" si="371">IF(N(E982)=0,"",(N(E982)+N(F981)))</f>
        <v/>
      </c>
      <c r="G982" s="69" t="str">
        <f>IF(OR(N(D982)=0,N(E982)=0),"",(E982*D982)/1000)</f>
        <v/>
      </c>
      <c r="H982" s="70" t="str">
        <f t="shared" ref="H982:H993" si="372">IF(N(G982)=0,"",(N(G982)+N(H981)))</f>
        <v/>
      </c>
      <c r="I982" s="27" t="str">
        <f>IF(N(J982)=0,"",0&amp;"-"&amp;B$4)</f>
        <v/>
      </c>
      <c r="J982" s="52" t="str">
        <f>IF(N(B$4)=0,"",IF(AND(COUNT(H982:H993)=2,COUNT(F982:F993)=2),cubic_spline(F981:F983,H981:H983,B$4),IF(AND(COUNT(H982:H993)=3,COUNT(F982:F993)=3),cubic_spline(F981:F984,H981:H984,B$4),IF(AND(COUNT(H982:H993)=4,COUNT(F982:F993)=4),cubic_spline(F981:F985,H981:H985,B$4),IF(AND(COUNT(H982:H993)=5,COUNT(F982:F993)=5),cubic_spline(F981:F986,H981:H986,B$4),IF(AND(COUNT(H982:H993)=6,COUNT(F982:F993)=6),cubic_spline(F981:F987,H981:H987,B$4),IF(AND(COUNT(H982:H993)=7,COUNT(F982:F993)=7),cubic_spline(F981:F988,H981:H988,B$4),IF(AND(COUNT(H982:H993)=8,COUNT(F982:F993)=8),cubic_spline(F981:F989,H981:H989,B$4),IF(AND(COUNT(H982:H993)=9,COUNT(F982:F993)=9),cubic_spline(F981:F990,H981:H990,B$4),IF(AND(COUNT(H982:H993)=10,COUNT(F982:F993)=10),cubic_spline(F981:F991,H981:H991,B$4),IF(AND(COUNT(H982:H993)=11,COUNT(F982:F993)=11),cubic_spline(F981:F992,H981:H992,B$4),IF(AND(COUNT(H982:H993)=12,COUNT(F982:F993)=12),cubic_spline(F981:F993,H981:H993,B$4),""))))))))))))</f>
        <v/>
      </c>
      <c r="K982" s="52" t="str">
        <f>IF(N(B$4)=0,"",IF(AND(COUNT(A982:A993)=2,COUNT(F982:F993)=2),cubic_spline(F981:F983,A981:A983,B$4),IF(AND(COUNT(A982:A993)=3,COUNT(F982:F993)=3),cubic_spline(F981:F984,A981:A984,B$4),IF(AND(COUNT(A982:A993)=4,COUNT(F982:F993)=4),cubic_spline(F981:F985,A981:A985,B$4),IF(AND(COUNT(A982:A993)=5,COUNT(F982:F993)=5),cubic_spline(F981:F986,A981:A986,B$4),IF(AND(COUNT(A982:A993)=6,COUNT(F982:F993)=6),cubic_spline(F981:F987,A981:A987,B$4),IF(AND(COUNT(A982:A993)=7,COUNT(F982:F993)=7),cubic_spline(F981:F988,A981:A988,B$4),IF(AND(COUNT(A982:A993)=8,COUNT(F982:F993)=8),cubic_spline(F981:F989,A981:A989,B$4),IF(AND(COUNT(A982:A993)=9,COUNT(F982:F993)=9),cubic_spline(F981:F990,A981:A990,B$4),IF(AND(COUNT(A982:A993)=10,COUNT(F982:F993)=10),cubic_spline(F981:F991,A981:A991,B$4),IF(AND(COUNT(A982:A993)=11,COUNT(F982:F993)=11),cubic_spline(F981:F992,A981:A992,B$4),IF(AND(COUNT(A982:A993)=12,COUNT(F982:F993)=12),cubic_spline(F981:F993,A981:A993,B$4),""))))))))))))</f>
        <v/>
      </c>
      <c r="L982" s="27" t="str">
        <f>IF(I982="","",0&amp;"-"&amp;B$4)</f>
        <v/>
      </c>
      <c r="M982" s="52" t="str">
        <f>IF(N(J982)=0,"",J982-J981)</f>
        <v/>
      </c>
    </row>
    <row r="983" spans="1:13" x14ac:dyDescent="0.35">
      <c r="A983" s="48"/>
      <c r="B983" s="48"/>
      <c r="C983" s="49"/>
      <c r="D983" s="50"/>
      <c r="E983" s="51" t="str">
        <f>IF(N(C983)=0,"",C983/PI()/($D$1/2)^2/$D$2*10000)</f>
        <v/>
      </c>
      <c r="F983" s="68" t="str">
        <f t="shared" si="371"/>
        <v/>
      </c>
      <c r="G983" s="69" t="str">
        <f t="shared" ref="G983:G993" si="373">IF(OR(N(D983)=0,N(E983)=0),"",(E983*D983)/1000)</f>
        <v/>
      </c>
      <c r="H983" s="70" t="str">
        <f t="shared" si="372"/>
        <v/>
      </c>
      <c r="I983" s="27" t="str">
        <f>IF(N(J983)=0,"",0&amp;"-"&amp;B$5)</f>
        <v/>
      </c>
      <c r="J983" s="52" t="str">
        <f>IF(N(B$5)=0,"",IF(AND(COUNT(H982:H993)=2,COUNT(F982:F993)=2),cubic_spline(F981:F983,H981:H983,B$5),IF(AND(COUNT(H982:H993)=3,COUNT(F982:F993)=3),cubic_spline(F981:F984,H981:H984,B$5),IF(AND(COUNT(H982:H993)=4,COUNT(F982:F993)=4),cubic_spline(F981:F985,H981:H985,B$5),IF(AND(COUNT(H982:H993)=5,COUNT(F982:F993)=5),cubic_spline(F981:F986,H981:H986,B$5),IF(AND(COUNT(H982:H993)=6,COUNT(F982:F993)=6),cubic_spline(F981:F987,H981:H987,B$5),IF(AND(COUNT(H982:H993)=7,COUNT(F982:F993)=7),cubic_spline(F981:F988,H981:H988,B$5),IF(AND(COUNT(H982:H993)=8,COUNT(F982:F993)=8),cubic_spline(F981:F989,H981:H989,B$5),IF(AND(COUNT(H982:H993)=9,COUNT(F982:F993)=9),cubic_spline(F981:F990,H981:H990,B$5),IF(AND(COUNT(H982:H993)=10,COUNT(F982:F993)=10),cubic_spline(F981:F991,H981:H991,B$5),IF(AND(COUNT(H982:H993)=11,COUNT(F982:F993)=11),cubic_spline(F981:F992,H981:H992,B$5),IF(AND(COUNT(H982:H993)=12,COUNT(F982:F993)=12),cubic_spline(F981:F993,H981:H993,B$5),""))))))))))))</f>
        <v/>
      </c>
      <c r="K983" s="52" t="str">
        <f>IF(N(B$5)=0,"",IF(AND(COUNT(A982:A993)=2,COUNT(F982:F993)=2),cubic_spline(F981:F983,A981:A983,B$5),IF(AND(COUNT(A982:A993)=3,COUNT(F982:F993)=3),cubic_spline(F981:F984,A981:A984,B$5),IF(AND(COUNT(A982:A993)=4,COUNT(F982:F993)=4),cubic_spline(F981:F985,A981:A985,B$5),IF(AND(COUNT(A982:A993)=5,COUNT(F982:F993)=5),cubic_spline(F981:F986,A981:A986,B$5),IF(AND(COUNT(A982:A993)=6,COUNT(F982:F993)=6),cubic_spline(F981:F987,A981:A987,B$5),IF(AND(COUNT(A982:A993)=7,COUNT(F982:F993)=7),cubic_spline(F981:F988,A981:A988,B$5),IF(AND(COUNT(A982:A993)=8,COUNT(F982:F993)=8),cubic_spline(F981:F989,A981:A989,B$5),IF(AND(COUNT(A982:A993)=9,COUNT(F982:F993)=9),cubic_spline(F981:F990,A981:A990,B$5),IF(AND(COUNT(A982:A993)=10,COUNT(F982:F993)=10),cubic_spline(F981:F991,A981:A991,B$5),IF(AND(COUNT(A982:A993)=11,COUNT(F982:F993)=11),cubic_spline(F981:F992,A981:A992,B$5),IF(AND(COUNT(A982:A993)=12,COUNT(F982:F993)=12),cubic_spline(F981:F993,A981:A993,B$5),""))))))))))))</f>
        <v/>
      </c>
      <c r="L983" s="27" t="str">
        <f>IF(I983="","",B$4&amp;"-"&amp;B$5)</f>
        <v/>
      </c>
      <c r="M983" s="52" t="str">
        <f>IF(N(J983)=0,"",J983-J982)</f>
        <v/>
      </c>
    </row>
    <row r="984" spans="1:13" x14ac:dyDescent="0.35">
      <c r="A984" s="48"/>
      <c r="B984" s="48"/>
      <c r="C984" s="49"/>
      <c r="D984" s="50"/>
      <c r="E984" s="51" t="str">
        <f>IF(N(C984)=0,"",C984/PI()/($D$1/2)^2/$D$2*10000)</f>
        <v/>
      </c>
      <c r="F984" s="68" t="str">
        <f t="shared" si="371"/>
        <v/>
      </c>
      <c r="G984" s="69" t="str">
        <f t="shared" si="373"/>
        <v/>
      </c>
      <c r="H984" s="70" t="str">
        <f t="shared" si="372"/>
        <v/>
      </c>
      <c r="I984" s="27" t="str">
        <f>IF(N(J984)=0,"",0&amp;"-"&amp;B$6)</f>
        <v/>
      </c>
      <c r="J984" s="52" t="str">
        <f>IF(N(B$6)=0,"",IF(AND(COUNT(H982:H993)=2,COUNT(F982:F993)=2),cubic_spline(F981:F983,H981:H983,B$6),IF(AND(COUNT(H982:H993)=3,COUNT(F982:F993)=3),cubic_spline(F981:F984,H981:H984,B$6),IF(AND(COUNT(H982:H993)=4,COUNT(F982:F993)=4),cubic_spline(F981:F985,H981:H985,B$6),IF(AND(COUNT(H982:H993)=5,COUNT(F982:F993)=5),cubic_spline(F981:F986,H981:H986,B$6),IF(AND(COUNT(H982:H993)=6,COUNT(F982:F993)=6),cubic_spline(F981:F987,H981:H987,B$6),IF(AND(COUNT(H982:H993)=7,COUNT(F982:F993)=7),cubic_spline(F981:F988,H981:H988,B$6),IF(AND(COUNT(H982:H993)=8,COUNT(F982:F993)=8),cubic_spline(F981:F989,H981:H989,B$6),IF(AND(COUNT(H982:H993)=9,COUNT(F982:F993)=9),cubic_spline(F981:F990,H981:H990,B$6),IF(AND(COUNT(H982:H993)=10,COUNT(F982:F993)=10),cubic_spline(F981:F991,H981:H991,B$6),IF(AND(COUNT(H982:H993)=11,COUNT(F982:F993)=11),cubic_spline(F981:F992,H981:H992,B$6),IF(AND(COUNT(H982:H993)=12,COUNT(F982:F993)=12),cubic_spline(F981:F993,H981:H993,B$6),""))))))))))))</f>
        <v/>
      </c>
      <c r="K984" s="52" t="str">
        <f>IF(N(B$6)=0,"",IF(AND(COUNT(A982:A993)=2,COUNT(F982:F993)=2),cubic_spline(F981:F983,A981:A983,B$6),IF(AND(COUNT(A982:A993)=3,COUNT(F982:F993)=3),cubic_spline(F981:F984,A981:A984,B$6),IF(AND(COUNT(A982:A993)=4,COUNT(F982:F993)=4),cubic_spline(F981:F985,A981:A985,B$6),IF(AND(COUNT(A982:A993)=5,COUNT(F982:F993)=5),cubic_spline(F981:F986,A981:A986,B$6),IF(AND(COUNT(A982:A993)=6,COUNT(F982:F993)=6),cubic_spline(F981:F987,A981:A987,B$6),IF(AND(COUNT(A982:A993)=7,COUNT(F982:F993)=7),cubic_spline(F981:F988,A981:A988,B$6),IF(AND(COUNT(A982:A993)=8,COUNT(F982:F993)=8),cubic_spline(F981:F989,A981:A989,B$6),IF(AND(COUNT(A982:A993)=9,COUNT(F982:F993)=9),cubic_spline(F981:F990,A981:A990,B$6),IF(AND(COUNT(A982:A993)=10,COUNT(F982:F993)=10),cubic_spline(F981:F991,A981:A991,B$6),IF(AND(COUNT(A982:A993)=11,COUNT(F982:F993)=11),cubic_spline(F981:F992,A981:A992,B$6),IF(AND(COUNT(A982:A993)=12,COUNT(F982:F993)=12),cubic_spline(F981:F993,A981:A993,B$6),""))))))))))))</f>
        <v/>
      </c>
      <c r="L984" s="27" t="str">
        <f>IF(I984="","",B$5&amp;"-"&amp;B$6)</f>
        <v/>
      </c>
      <c r="M984" s="52" t="str">
        <f>IF(N(J984)=0,"",J984-J983)</f>
        <v/>
      </c>
    </row>
    <row r="985" spans="1:13" x14ac:dyDescent="0.35">
      <c r="A985" s="48"/>
      <c r="B985" s="48"/>
      <c r="C985" s="49"/>
      <c r="D985" s="50"/>
      <c r="E985" s="51" t="str">
        <f>IF(N(C985)=0,"",C985/PI()/($D$1/2)^2/$D$2*10000)</f>
        <v/>
      </c>
      <c r="F985" s="68" t="str">
        <f t="shared" si="371"/>
        <v/>
      </c>
      <c r="G985" s="69" t="str">
        <f t="shared" si="373"/>
        <v/>
      </c>
      <c r="H985" s="70" t="str">
        <f t="shared" si="372"/>
        <v/>
      </c>
      <c r="I985" s="27" t="str">
        <f>IF(N(J985)=0,"",0&amp;"-"&amp;B$7)</f>
        <v/>
      </c>
      <c r="J985" s="52" t="str">
        <f>IF(N(B$7)=0,"",IF(AND(COUNT(H982:H993)=2,COUNT(F982:F993)=2),cubic_spline(F981:F983,H981:H983,B$7),IF(AND(COUNT(H982:H993)=3,COUNT(F982:F993)=3),cubic_spline(F981:F984,H981:H984,B$7),IF(AND(COUNT(H982:H993)=4,COUNT(F982:F993)=4),cubic_spline(F981:F985,H981:H985,B$7),IF(AND(COUNT(H982:H993)=5,COUNT(F982:F993)=5),cubic_spline(F981:F986,H981:H986,B$7),IF(AND(COUNT(H982:H993)=6,COUNT(F982:F993)=6),cubic_spline(F981:F987,H981:H987,B$7),IF(AND(COUNT(H982:H993)=7,COUNT(F982:F993)=7),cubic_spline(F981:F988,H981:H988,B$7),IF(AND(COUNT(H982:H993)=8,COUNT(F982:F993)=8),cubic_spline(F981:F989,H981:H989,B$7),IF(AND(COUNT(H982:H993)=9,COUNT(F982:F993)=9),cubic_spline(F981:F990,H981:H990,B$7),IF(AND(COUNT(H982:H993)=10,COUNT(F982:F993)=10),cubic_spline(F981:F991,H981:H991,B$7),IF(AND(COUNT(H982:H993)=11,COUNT(F982:F993)=11),cubic_spline(F981:F992,H981:H992,B$7),IF(AND(COUNT(H982:H993)=12,COUNT(F982:F993)=12),cubic_spline(F981:F993,H981:H993,B$7),""))))))))))))</f>
        <v/>
      </c>
      <c r="K985" s="52" t="str">
        <f>IF(N(B$7)=0,"",IF(AND(COUNT(A982:A993)=2,COUNT(F982:F993)=2),cubic_spline(F981:F983,A981:A983,B$7),IF(AND(COUNT(A982:A993)=3,COUNT(F982:F993)=3),cubic_spline(F981:F984,A981:A984,B$7),IF(AND(COUNT(A982:A993)=4,COUNT(F982:F993)=4),cubic_spline(F981:F985,A981:A985,B$7),IF(AND(COUNT(A982:A993)=5,COUNT(F982:F993)=5),cubic_spline(F981:F986,A981:A986,B$7),IF(AND(COUNT(A982:A993)=6,COUNT(F982:F993)=6),cubic_spline(F981:F987,A981:A987,B$7),IF(AND(COUNT(A982:A993)=7,COUNT(F982:F993)=7),cubic_spline(F981:F988,A981:A988,B$7),IF(AND(COUNT(A982:A993)=8,COUNT(F982:F993)=8),cubic_spline(F981:F989,A981:A989,B$7),IF(AND(COUNT(A982:A993)=9,COUNT(F982:F993)=9),cubic_spline(F981:F990,A981:A990,B$7),IF(AND(COUNT(A982:A993)=10,COUNT(F982:F993)=10),cubic_spline(F981:F991,A981:A991,B$7),IF(AND(COUNT(A982:A993)=11,COUNT(F982:F993)=11),cubic_spline(F981:F992,A981:A992,B$7),IF(AND(COUNT(A982:A993)=12,COUNT(F982:F993)=12),cubic_spline(F981:F993,A981:A993,B$7),""))))))))))))</f>
        <v/>
      </c>
      <c r="L985" s="27" t="str">
        <f>IF(I985="","",B$6&amp;"-"&amp;B$7)</f>
        <v/>
      </c>
      <c r="M985" s="52" t="str">
        <f>IF(N(J985)=0,"",J985-J984)</f>
        <v/>
      </c>
    </row>
    <row r="986" spans="1:13" x14ac:dyDescent="0.35">
      <c r="A986" s="48"/>
      <c r="B986" s="48"/>
      <c r="C986" s="49"/>
      <c r="D986" s="50"/>
      <c r="E986" s="51" t="str">
        <f t="shared" ref="E986:E993" si="374">IF(N(C986)=0,"",C986/PI()/($D$1/2)^2/$D$2*10000)</f>
        <v/>
      </c>
      <c r="F986" s="71" t="str">
        <f t="shared" si="371"/>
        <v/>
      </c>
      <c r="G986" s="69" t="str">
        <f t="shared" si="373"/>
        <v/>
      </c>
      <c r="H986" s="70" t="str">
        <f t="shared" si="372"/>
        <v/>
      </c>
      <c r="I986" s="27" t="str">
        <f>IF(N(J986)=0,"",0&amp;"-"&amp;B$8)</f>
        <v/>
      </c>
      <c r="J986" s="52" t="str">
        <f>IF(N(B$8)=0,"",IF(AND(COUNT(H982:H993)=2,COUNT(F982:F993)=2),cubic_spline(F981:F983,H981:H983,B$8),IF(AND(COUNT(H982:H993)=3,COUNT(F982:F993)=3),cubic_spline(F981:F984,H981:H984,B$8),IF(AND(COUNT(H982:H993)=4,COUNT(F982:F993)=4),cubic_spline(F981:F985,H981:H985,B$8),IF(AND(COUNT(H982:H993)=5,COUNT(F982:F993)=5),cubic_spline(F981:F986,H981:H986,B$8),IF(AND(COUNT(H982:H993)=6,COUNT(F982:F993)=6),cubic_spline(F981:F987,H981:H987,B$8),IF(AND(COUNT(H982:H993)=7,COUNT(F982:F993)=7),cubic_spline(F981:F988,H981:H988,B$8),IF(AND(COUNT(H982:H993)=8,COUNT(F982:F993)=8),cubic_spline(F981:F989,H981:H989,B$8),IF(AND(COUNT(H982:H993)=9,COUNT(F982:F993)=9),cubic_spline(F981:F990,H981:H990,B$8),IF(AND(COUNT(H982:H993)=10,COUNT(F982:F993)=10),cubic_spline(F981:F991,H981:H991,B$8),IF(AND(COUNT(H982:H993)=11,COUNT(F982:F993)=11),cubic_spline(F981:F992,H981:H992,B$8),IF(AND(COUNT(H982:H993)=12,COUNT(F982:F993)=12),cubic_spline(F981:F993,H981:H993,B$8),""))))))))))))</f>
        <v/>
      </c>
      <c r="K986" s="52" t="str">
        <f>IF(N(B$8)=0,"",IF(AND(COUNT(A982:A993)=2,COUNT(F982:F993)=2),cubic_spline(F981:F983,A981:A983,B$8),IF(AND(COUNT(A982:A993)=3,COUNT(F982:F993)=3),cubic_spline(F981:F984,A981:A984,B$8),IF(AND(COUNT(A982:A993)=4,COUNT(F982:F993)=4),cubic_spline(F981:F985,A981:A985,B$8),IF(AND(COUNT(A982:A993)=5,COUNT(F982:F993)=5),cubic_spline(F981:F986,A981:A986,B$8),IF(AND(COUNT(A982:A993)=6,COUNT(F982:F993)=6),cubic_spline(F981:F987,A981:A987,B$8),IF(AND(COUNT(A982:A993)=7,COUNT(F982:F993)=7),cubic_spline(F981:F988,A981:A988,B$8),IF(AND(COUNT(A982:A993)=8,COUNT(F982:F993)=8),cubic_spline(F981:F989,A981:A989,B$8),IF(AND(COUNT(A982:A993)=9,COUNT(F982:F993)=9),cubic_spline(F981:F990,A981:A990,B$8),IF(AND(COUNT(A982:A993)=10,COUNT(F982:F993)=10),cubic_spline(F981:F991,A981:A991,B$8),IF(AND(COUNT(A982:A993)=11,COUNT(F982:F993)=11),cubic_spline(F981:F992,A981:A992,B$8),IF(AND(COUNT(A982:A993)=12,COUNT(F982:F993)=12),cubic_spline(F981:F993,A981:A993,B$8),""))))))))))))</f>
        <v/>
      </c>
      <c r="L986" s="27" t="str">
        <f>IF(I986="","",B$7&amp;"-"&amp;B$8)</f>
        <v/>
      </c>
      <c r="M986" s="52" t="str">
        <f>IF(N(J986)=0,"",J986-J985)</f>
        <v/>
      </c>
    </row>
    <row r="987" spans="1:13" x14ac:dyDescent="0.35">
      <c r="A987" s="48"/>
      <c r="B987" s="48"/>
      <c r="C987" s="49"/>
      <c r="D987" s="50"/>
      <c r="E987" s="51" t="str">
        <f t="shared" si="374"/>
        <v/>
      </c>
      <c r="F987" s="71" t="str">
        <f t="shared" si="371"/>
        <v/>
      </c>
      <c r="G987" s="69" t="str">
        <f t="shared" si="373"/>
        <v/>
      </c>
      <c r="H987" s="70" t="str">
        <f t="shared" si="372"/>
        <v/>
      </c>
      <c r="I987" s="27" t="str">
        <f>IF(N(J987)=0,"",0&amp;"-"&amp;B$9)</f>
        <v/>
      </c>
      <c r="J987" s="52" t="str">
        <f>IF(N(B$9)=0,"",IF(AND(COUNT(H982:H993)=2,COUNT(F982:F993)=2),cubic_spline(F981:F983,H981:H983,B$9),IF(AND(COUNT(H982:H993)=3,COUNT(F982:F993)=3),cubic_spline(F981:F984,H981:H984,B$9),IF(AND(COUNT(H982:H993)=4,COUNT(F982:F993)=4),cubic_spline(F981:F985,H981:H985,B$9),IF(AND(COUNT(H982:H993)=5,COUNT(F982:F993)=5),cubic_spline(F981:F986,H981:H986,B$9),IF(AND(COUNT(H982:H993)=6,COUNT(F982:F993)=6),cubic_spline(F981:F987,H981:H987,B$9),IF(AND(COUNT(H982:H993)=7,COUNT(F982:F993)=7),cubic_spline(F981:F988,H981:H988,B$9),IF(AND(COUNT(H982:H993)=8,COUNT(F982:F993)=8),cubic_spline(F981:F989,H981:H989,B$9),IF(AND(COUNT(H982:H993)=9,COUNT(F982:F993)=9),cubic_spline(F981:F990,H981:H990,B$9),IF(AND(COUNT(H982:H993)=10,COUNT(F982:F993)=10),cubic_spline(F981:F991,H981:H991,B$9),IF(AND(COUNT(H982:H993)=11,COUNT(F982:F993)=11),cubic_spline(F981:F992,H981:H992,B$9),IF(AND(COUNT(H982:H993)=12,COUNT(F982:F993)=12),cubic_spline(F981:F993,H981:H993,B$9),""))))))))))))</f>
        <v/>
      </c>
      <c r="K987" s="52" t="str">
        <f>IF(N(B$9)=0,"",IF(AND(COUNT(A982:A993)=2,COUNT(F982:F993)=2),cubic_spline(F981:F983,A981:A983,B$9),IF(AND(COUNT(A982:A993)=3,COUNT(F982:F993)=3),cubic_spline(F981:F984,A981:A984,B$9),IF(AND(COUNT(A982:A993)=4,COUNT(F982:F993)=4),cubic_spline(F981:F985,A981:A985,B$9),IF(AND(COUNT(A982:A993)=5,COUNT(F982:F993)=5),cubic_spline(F981:F986,A981:A986,B$9),IF(AND(COUNT(A982:A993)=6,COUNT(F982:F993)=6),cubic_spline(F981:F987,A981:A987,B$9),IF(AND(COUNT(A982:A993)=7,COUNT(F982:F993)=7),cubic_spline(F981:F988,A981:A988,B$9),IF(AND(COUNT(A982:A993)=8,COUNT(F982:F993)=8),cubic_spline(F981:F989,A981:A989,B$9),IF(AND(COUNT(A982:A993)=9,COUNT(F982:F993)=9),cubic_spline(F981:F990,A981:A990,B$9),IF(AND(COUNT(A982:A993)=10,COUNT(F982:F993)=10),cubic_spline(F981:F991,A981:A991,B$9),IF(AND(COUNT(A982:A993)=11,COUNT(F982:F993)=11),cubic_spline(F981:F992,A981:A992,B$9),IF(AND(COUNT(A982:A993)=12,COUNT(F982:F993)=12),cubic_spline(F981:F993,A981:A993,B$9),""))))))))))))</f>
        <v/>
      </c>
      <c r="L987" s="27" t="str">
        <f>IF(I987="","",B$8&amp;"-"&amp;B$9)</f>
        <v/>
      </c>
      <c r="M987" s="52" t="str">
        <f t="shared" ref="M987:M993" si="375">IF(N(J987)=0,"",J987-J986)</f>
        <v/>
      </c>
    </row>
    <row r="988" spans="1:13" x14ac:dyDescent="0.35">
      <c r="A988" s="48"/>
      <c r="B988" s="48"/>
      <c r="C988" s="49"/>
      <c r="D988" s="50"/>
      <c r="E988" s="51" t="str">
        <f t="shared" si="374"/>
        <v/>
      </c>
      <c r="F988" s="71" t="str">
        <f t="shared" si="371"/>
        <v/>
      </c>
      <c r="G988" s="69" t="str">
        <f t="shared" si="373"/>
        <v/>
      </c>
      <c r="H988" s="70" t="str">
        <f t="shared" si="372"/>
        <v/>
      </c>
      <c r="I988" s="27" t="str">
        <f>IF(N(J988)=0,"",0&amp;"-"&amp;B$10)</f>
        <v/>
      </c>
      <c r="J988" s="52" t="str">
        <f>IF(N(B$10)=0,"",IF(AND(COUNT(H982:H993)=2,COUNT(F982:F993)=2),cubic_spline(F981:F983,H981:H983,B$10),IF(AND(COUNT(H982:H993)=3,COUNT(F982:F993)=3),cubic_spline(F981:F984,H981:H984,B$10),IF(AND(COUNT(H982:H993)=4,COUNT(F982:F993)=4),cubic_spline(F981:F985,H981:H985,B$10),IF(AND(COUNT(H982:H993)=5,COUNT(F982:F993)=5),cubic_spline(F981:F986,H981:H986,B$10),IF(AND(COUNT(H982:H993)=6,COUNT(F982:F993)=6),cubic_spline(F981:F987,H981:H987,B$10),IF(AND(COUNT(H982:H993)=7,COUNT(F982:F993)=7),cubic_spline(F981:F988,H981:H988,B$10),IF(AND(COUNT(H982:H993)=8,COUNT(F982:F993)=8),cubic_spline(F981:F989,H981:H989,B$10),IF(AND(COUNT(H982:H993)=9,COUNT(F982:F993)=9),cubic_spline(F981:F990,H981:H990,B$10),IF(AND(COUNT(H982:H993)=10,COUNT(F982:F993)=10),cubic_spline(F981:F991,H981:H991,B$10),IF(AND(COUNT(H982:H993)=11,COUNT(F982:F993)=11),cubic_spline(F981:F992,H981:H992,B$10),IF(AND(COUNT(H982:H993)=12,COUNT(F982:F993)=12),cubic_spline(F981:F993,H981:H993,B$10),""))))))))))))</f>
        <v/>
      </c>
      <c r="K988" s="52" t="str">
        <f>IF(N(B$10)=0,"",IF(AND(COUNT(A982:A993)=2,COUNT(F982:F993)=2),cubic_spline(F981:F983,A981:A983,B$10),IF(AND(COUNT(A982:A993)=3,COUNT(F982:F993)=3),cubic_spline(F981:F984,A981:A984,B$10),IF(AND(COUNT(A982:A993)=4,COUNT(F982:F993)=4),cubic_spline(F981:F985,A981:A985,B$10),IF(AND(COUNT(A982:A993)=5,COUNT(F982:F993)=5),cubic_spline(F981:F986,A981:A986,B$10),IF(AND(COUNT(A982:A993)=6,COUNT(F982:F993)=6),cubic_spline(F981:F987,A981:A987,B$10),IF(AND(COUNT(A982:A993)=7,COUNT(F982:F993)=7),cubic_spline(F981:F988,A981:A988,B$10),IF(AND(COUNT(A982:A993)=8,COUNT(F982:F993)=8),cubic_spline(F981:F989,A981:A989,B$10),IF(AND(COUNT(A982:A993)=9,COUNT(F982:F993)=9),cubic_spline(F981:F990,A981:A990,B$10),IF(AND(COUNT(A982:A993)=10,COUNT(F982:F993)=10),cubic_spline(F981:F991,A981:A991,B$10),IF(AND(COUNT(A982:A993)=11,COUNT(F982:F993)=11),cubic_spline(F981:F992,A981:A992,B$10),IF(AND(COUNT(A982:A993)=12,COUNT(F982:F993)=12),cubic_spline(F981:F993,A981:A993,B$10),""))))))))))))</f>
        <v/>
      </c>
      <c r="L988" s="27" t="str">
        <f>IF(I988="","",B$9&amp;"-"&amp;B$10)</f>
        <v/>
      </c>
      <c r="M988" s="52" t="str">
        <f t="shared" si="375"/>
        <v/>
      </c>
    </row>
    <row r="989" spans="1:13" x14ac:dyDescent="0.35">
      <c r="A989" s="48"/>
      <c r="B989" s="48"/>
      <c r="C989" s="49"/>
      <c r="D989" s="50"/>
      <c r="E989" s="51" t="str">
        <f t="shared" si="374"/>
        <v/>
      </c>
      <c r="F989" s="71" t="str">
        <f t="shared" si="371"/>
        <v/>
      </c>
      <c r="G989" s="69" t="str">
        <f t="shared" si="373"/>
        <v/>
      </c>
      <c r="H989" s="70" t="str">
        <f t="shared" si="372"/>
        <v/>
      </c>
      <c r="I989" s="27" t="str">
        <f>IF(N(J989)=0,"",0&amp;"-"&amp;B$11)</f>
        <v/>
      </c>
      <c r="J989" s="52" t="str">
        <f>IF(N(B$11)=0,"",IF(AND(COUNT(H982:H993)=2,COUNT(F982:F993)=2),cubic_spline(F981:F983,H981:H983,B$11),IF(AND(COUNT(H982:H993)=3,COUNT(F982:F993)=3),cubic_spline(F981:F984,H981:H984,B$11),IF(AND(COUNT(H982:H993)=4,COUNT(F982:F993)=4),cubic_spline(F981:F985,H981:H985,B$11),IF(AND(COUNT(H982:H993)=5,COUNT(F982:F993)=5),cubic_spline(F981:F986,H981:H986,B$11),IF(AND(COUNT(H982:H993)=6,COUNT(F982:F993)=6),cubic_spline(F981:F987,H981:H987,B$11),IF(AND(COUNT(H982:H993)=7,COUNT(F982:F993)=7),cubic_spline(F981:F988,H981:H988,B$11),IF(AND(COUNT(H982:H993)=8,COUNT(F982:F993)=8),cubic_spline(F981:F989,H981:H989,B$11),IF(AND(COUNT(H982:H993)=9,COUNT(F982:F993)=9),cubic_spline(F981:F990,H981:H990,B$11),IF(AND(COUNT(H982:H993)=10,COUNT(F982:F993)=10),cubic_spline(F981:F991,H981:H991,B$11),IF(AND(COUNT(H982:H993)=11,COUNT(F982:F993)=11),cubic_spline(F981:F992,H981:H992,B$11),IF(AND(COUNT(H982:H993)=12,COUNT(F982:F993)=12),cubic_spline(F981:F993,H981:H993,B$11),""))))))))))))</f>
        <v/>
      </c>
      <c r="K989" s="52" t="str">
        <f>IF(N(B$11)=0,"",IF(AND(COUNT(A982:A993)=2,COUNT(F982:F993)=2),cubic_spline(F981:F983,A981:A983,B$11),IF(AND(COUNT(A982:A993)=3,COUNT(F982:F993)=3),cubic_spline(F981:F984,A981:A984,B$11),IF(AND(COUNT(A982:A993)=4,COUNT(F982:F993)=4),cubic_spline(F981:F985,A981:A985,B$11),IF(AND(COUNT(A982:A993)=5,COUNT(F982:F993)=5),cubic_spline(F981:F986,A981:A986,B$11),IF(AND(COUNT(A982:A993)=6,COUNT(F982:F993)=6),cubic_spline(F981:F987,A981:A987,B$11),IF(AND(COUNT(A982:A993)=7,COUNT(F982:F993)=7),cubic_spline(F981:F988,A981:A988,B$11),IF(AND(COUNT(A982:A993)=8,COUNT(F982:F993)=8),cubic_spline(F981:F989,A981:A989,B$11),IF(AND(COUNT(A982:A993)=9,COUNT(F982:F993)=9),cubic_spline(F981:F990,A981:A990,B$11),IF(AND(COUNT(A982:A993)=10,COUNT(F982:F993)=10),cubic_spline(F981:F991,A981:A991,B$11),IF(AND(COUNT(A982:A993)=11,COUNT(F982:F993)=11),cubic_spline(F981:F992,A981:A992,B$11),IF(AND(COUNT(A982:A993)=12,COUNT(F982:F993)=12),cubic_spline(F981:F993,A981:A993,B$11),""))))))))))))</f>
        <v/>
      </c>
      <c r="L989" s="27" t="str">
        <f>IF(I989="","",B$10&amp;"-"&amp;B$11)</f>
        <v/>
      </c>
      <c r="M989" s="52" t="str">
        <f t="shared" si="375"/>
        <v/>
      </c>
    </row>
    <row r="990" spans="1:13" x14ac:dyDescent="0.35">
      <c r="A990" s="48"/>
      <c r="B990" s="48"/>
      <c r="C990" s="49"/>
      <c r="D990" s="50"/>
      <c r="E990" s="51" t="str">
        <f t="shared" si="374"/>
        <v/>
      </c>
      <c r="F990" s="71" t="str">
        <f t="shared" si="371"/>
        <v/>
      </c>
      <c r="G990" s="69" t="str">
        <f t="shared" si="373"/>
        <v/>
      </c>
      <c r="H990" s="70" t="str">
        <f t="shared" si="372"/>
        <v/>
      </c>
      <c r="I990" s="27" t="str">
        <f>IF(N(J990)=0,"",0&amp;"-"&amp;B$12)</f>
        <v/>
      </c>
      <c r="J990" s="52" t="str">
        <f>IF(N(B$12)=0,"",IF(AND(COUNT(H982:H993)=2,COUNT(F982:F993)=2),cubic_spline(F981:F983,H981:H983,B$12),IF(AND(COUNT(H982:H993)=3,COUNT(F982:F993)=3),cubic_spline(F981:F984,H981:H984,B$12),IF(AND(COUNT(H982:H993)=4,COUNT(F982:F993)=4),cubic_spline(F981:F985,H981:H985,B$12),IF(AND(COUNT(H982:H993)=5,COUNT(F982:F993)=5),cubic_spline(F981:F986,H981:H986,B$12),IF(AND(COUNT(H982:H993)=6,COUNT(F982:F993)=6),cubic_spline(F981:F987,H981:H987,B$12),IF(AND(COUNT(H982:H993)=7,COUNT(F982:F993)=7),cubic_spline(F981:F988,H981:H988,B$12),IF(AND(COUNT(H982:H993)=8,COUNT(F982:F993)=8),cubic_spline(F981:F989,H981:H989,B$12),IF(AND(COUNT(H982:H993)=9,COUNT(F982:F993)=9),cubic_spline(F981:F990,H981:H990,B$12),IF(AND(COUNT(H982:H993)=10,COUNT(F982:F993)=10),cubic_spline(F981:F991,H981:H991,B$12),IF(AND(COUNT(H982:H993)=11,COUNT(F982:F993)=11),cubic_spline(F981:F992,H981:H992,B$12),IF(AND(COUNT(H982:H993)=12,COUNT(F982:F993)=12),cubic_spline(F981:F993,H981:H993,B$12),""))))))))))))</f>
        <v/>
      </c>
      <c r="K990" s="52" t="str">
        <f>IF(N(B$12)=0,"",IF(AND(COUNT(A982:A993)=2,COUNT(F982:F993)=2),cubic_spline(F981:F983,A981:A983,B$12),IF(AND(COUNT(A982:A993)=3,COUNT(F982:F993)=3),cubic_spline(F981:F984,A981:A984,B$12),IF(AND(COUNT(A982:A993)=4,COUNT(F982:F993)=4),cubic_spline(F981:F985,A981:A985,B$12),IF(AND(COUNT(A982:A993)=5,COUNT(F982:F993)=5),cubic_spline(F981:F986,A981:A986,B$12),IF(AND(COUNT(A982:A993)=6,COUNT(F982:F993)=6),cubic_spline(F981:F987,A981:A987,B$12),IF(AND(COUNT(A982:A993)=7,COUNT(F982:F993)=7),cubic_spline(F981:F988,A981:A988,B$12),IF(AND(COUNT(A982:A993)=8,COUNT(F982:F993)=8),cubic_spline(F981:F989,A981:A989,B$12),IF(AND(COUNT(A982:A993)=9,COUNT(F982:F993)=9),cubic_spline(F981:F990,A981:A990,B$12),IF(AND(COUNT(A982:A993)=10,COUNT(F982:F993)=10),cubic_spline(F981:F991,A981:A991,B$12),IF(AND(COUNT(A982:A993)=11,COUNT(F982:F993)=11),cubic_spline(F981:F992,A981:A992,B$12),IF(AND(COUNT(A982:A993)=12,COUNT(F982:F993)=12),cubic_spline(F981:F993,A981:A993,B$12),""))))))))))))</f>
        <v/>
      </c>
      <c r="L990" s="27" t="str">
        <f>IF(I990="","",B$11&amp;"-"&amp;B$12)</f>
        <v/>
      </c>
      <c r="M990" s="52" t="str">
        <f t="shared" si="375"/>
        <v/>
      </c>
    </row>
    <row r="991" spans="1:13" x14ac:dyDescent="0.35">
      <c r="A991" s="48"/>
      <c r="B991" s="48"/>
      <c r="C991" s="49"/>
      <c r="D991" s="50"/>
      <c r="E991" s="51" t="str">
        <f t="shared" si="374"/>
        <v/>
      </c>
      <c r="F991" s="71" t="str">
        <f t="shared" si="371"/>
        <v/>
      </c>
      <c r="G991" s="69" t="str">
        <f t="shared" si="373"/>
        <v/>
      </c>
      <c r="H991" s="70" t="str">
        <f t="shared" si="372"/>
        <v/>
      </c>
      <c r="I991" s="27" t="str">
        <f>IF(N(J991)=0,"",0&amp;"-"&amp;B$13)</f>
        <v/>
      </c>
      <c r="J991" s="52" t="str">
        <f>IF(N(B$13)=0,"",IF(AND(COUNT(H982:H993)=2,COUNT(F982:F993)=2),cubic_spline(F981:F983,H981:H983,B$13),IF(AND(COUNT(H982:H993)=3,COUNT(F982:F993)=3),cubic_spline(F981:F984,H981:H984,B$13),IF(AND(COUNT(H982:H993)=4,COUNT(F982:F993)=4),cubic_spline(F981:F985,H981:H985,B$13),IF(AND(COUNT(H982:H993)=5,COUNT(F982:F993)=5),cubic_spline(F981:F986,H981:H986,B$13),IF(AND(COUNT(H982:H993)=6,COUNT(F982:F993)=6),cubic_spline(F981:F987,H981:H987,B$13),IF(AND(COUNT(H982:H993)=7,COUNT(F982:F993)=7),cubic_spline(F981:F988,H981:H988,B$13),IF(AND(COUNT(H982:H993)=8,COUNT(F982:F993)=8),cubic_spline(F981:F989,H981:H989,B$13),IF(AND(COUNT(H982:H993)=9,COUNT(F982:F993)=9),cubic_spline(F981:F990,H981:H990,B$13),IF(AND(COUNT(H982:H993)=10,COUNT(F982:F993)=10),cubic_spline(F981:F991,H981:H991,B$13),IF(AND(COUNT(H982:H993)=11,COUNT(F982:F993)=11),cubic_spline(F981:F992,H981:H992,B$13),IF(AND(COUNT(H982:H993)=12,COUNT(F982:F993)=12),cubic_spline(F981:F993,H981:H993,B$13),""))))))))))))</f>
        <v/>
      </c>
      <c r="K991" s="52" t="str">
        <f>IF(N(B$13)=0,"",IF(AND(COUNT(A982:A993)=2,COUNT(F982:F993)=2),cubic_spline(F981:F983,A981:A983,B$13),IF(AND(COUNT(A982:A993)=3,COUNT(F982:F993)=3),cubic_spline(F981:F984,A981:A984,B$13),IF(AND(COUNT(A982:A993)=4,COUNT(F982:F993)=4),cubic_spline(F981:F985,A981:A985,B$13),IF(AND(COUNT(A982:A993)=5,COUNT(F982:F993)=5),cubic_spline(F981:F986,A981:A986,B$13),IF(AND(COUNT(A982:A993)=6,COUNT(F982:F993)=6),cubic_spline(F981:F987,A981:A987,B$13),IF(AND(COUNT(A982:A993)=7,COUNT(F982:F993)=7),cubic_spline(F981:F988,A981:A988,B$13),IF(AND(COUNT(A982:A993)=8,COUNT(F982:F993)=8),cubic_spline(F981:F989,A981:A989,B$13),IF(AND(COUNT(A982:A993)=9,COUNT(F982:F993)=9),cubic_spline(F981:F990,A981:A990,B$13),IF(AND(COUNT(A982:A993)=10,COUNT(F982:F993)=10),cubic_spline(F981:F991,A981:A991,B$13),IF(AND(COUNT(A982:A993)=11,COUNT(F982:F993)=11),cubic_spline(F981:F992,A981:A992,B$13),IF(AND(COUNT(A982:A993)=12,COUNT(F982:F993)=12),cubic_spline(F981:F993,A981:A993,B$13),""))))))))))))</f>
        <v/>
      </c>
      <c r="L991" s="27" t="str">
        <f>IF(I991="","",B$12&amp;"-"&amp;B$13)</f>
        <v/>
      </c>
      <c r="M991" s="52" t="str">
        <f t="shared" si="375"/>
        <v/>
      </c>
    </row>
    <row r="992" spans="1:13" x14ac:dyDescent="0.35">
      <c r="A992" s="48"/>
      <c r="B992" s="48"/>
      <c r="C992" s="49"/>
      <c r="D992" s="50"/>
      <c r="E992" s="51" t="str">
        <f t="shared" si="374"/>
        <v/>
      </c>
      <c r="F992" s="71" t="str">
        <f t="shared" si="371"/>
        <v/>
      </c>
      <c r="G992" s="69" t="str">
        <f t="shared" si="373"/>
        <v/>
      </c>
      <c r="H992" s="70" t="str">
        <f t="shared" si="372"/>
        <v/>
      </c>
      <c r="I992" s="27" t="str">
        <f>IF(N(J992)=0,"",0&amp;"-"&amp;B$14)</f>
        <v/>
      </c>
      <c r="J992" s="52" t="str">
        <f>IF(N(B$14)=0,"",IF(AND(COUNT(H982:H993)=2,COUNT(F982:F993)=2),cubic_spline(F981:F983,H981:H983,B$14),IF(AND(COUNT(H982:H993)=3,COUNT(F982:F993)=3),cubic_spline(F981:F984,H981:H984,B$14),IF(AND(COUNT(H982:H993)=4,COUNT(F982:F993)=4),cubic_spline(F981:F985,H981:H985,B$14),IF(AND(COUNT(H982:H993)=5,COUNT(F982:F993)=5),cubic_spline(F981:F986,H981:H986,B$14),IF(AND(COUNT(H982:H993)=6,COUNT(F982:F993)=6),cubic_spline(F981:F987,H981:H987,B$14),IF(AND(COUNT(H982:H993)=7,COUNT(F982:F993)=7),cubic_spline(F981:F988,H981:H988,B$14),IF(AND(COUNT(H982:H993)=8,COUNT(F982:F993)=8),cubic_spline(F981:F989,H981:H989,B$14),IF(AND(COUNT(H982:H993)=9,COUNT(F982:F993)=9),cubic_spline(F981:F990,H981:H990,B$14),IF(AND(COUNT(H982:H993)=10,COUNT(F982:F993)=10),cubic_spline(F981:F991,H981:H991,B$14),IF(AND(COUNT(H982:H993)=11,COUNT(F982:F993)=11),cubic_spline(F981:F992,H981:H992,B$14),IF(AND(COUNT(H982:H993)=12,COUNT(F982:F993)=12),cubic_spline(F981:F993,H981:H993,B$14),""))))))))))))</f>
        <v/>
      </c>
      <c r="K992" s="52" t="str">
        <f>IF(N(B$14)=0,"",IF(AND(COUNT(A982:A993)=2,COUNT(F982:F993)=2),cubic_spline(F981:F983,A981:A983,B$14),IF(AND(COUNT(A982:A993)=3,COUNT(F982:F993)=3),cubic_spline(F981:F984,A981:A984,B$14),IF(AND(COUNT(A982:A993)=4,COUNT(F982:F993)=4),cubic_spline(F981:F985,A981:A985,B$14),IF(AND(COUNT(A982:A993)=5,COUNT(F982:F993)=5),cubic_spline(F981:F986,A981:A986,B$14),IF(AND(COUNT(A982:A993)=6,COUNT(F982:F993)=6),cubic_spline(F981:F987,A981:A987,B$14),IF(AND(COUNT(A982:A993)=7,COUNT(F982:F993)=7),cubic_spline(F981:F988,A981:A988,B$14),IF(AND(COUNT(A982:A993)=8,COUNT(F982:F993)=8),cubic_spline(F981:F989,A981:A989,B$14),IF(AND(COUNT(A982:A993)=9,COUNT(F982:F993)=9),cubic_spline(F981:F990,A981:A990,B$14),IF(AND(COUNT(A982:A993)=10,COUNT(F982:F993)=10),cubic_spline(F981:F991,A981:A991,B$14),IF(AND(COUNT(A982:A993)=11,COUNT(F982:F993)=11),cubic_spline(F981:F992,A981:A992,B$14),IF(AND(COUNT(A982:A993)=12,COUNT(F982:F993)=12),cubic_spline(F981:F993,A981:A993,B$14),""))))))))))))</f>
        <v/>
      </c>
      <c r="L992" s="27" t="str">
        <f>IF(I992="","",B$13&amp;"-"&amp;B$14)</f>
        <v/>
      </c>
      <c r="M992" s="52" t="str">
        <f t="shared" si="375"/>
        <v/>
      </c>
    </row>
    <row r="993" spans="1:13" x14ac:dyDescent="0.35">
      <c r="A993" s="48"/>
      <c r="B993" s="48"/>
      <c r="C993" s="49"/>
      <c r="D993" s="50"/>
      <c r="E993" s="51" t="str">
        <f t="shared" si="374"/>
        <v/>
      </c>
      <c r="F993" s="71" t="str">
        <f t="shared" si="371"/>
        <v/>
      </c>
      <c r="G993" s="69" t="str">
        <f t="shared" si="373"/>
        <v/>
      </c>
      <c r="H993" s="70" t="str">
        <f t="shared" si="372"/>
        <v/>
      </c>
      <c r="I993" s="27" t="str">
        <f>IF(N(J993)=0,"",0&amp;"-"&amp;B$15)</f>
        <v/>
      </c>
      <c r="J993" s="52" t="str">
        <f>IF(N(B$15)=0,"",IF(AND(COUNT(H982:H993)=2,COUNT(F982:F993)=2),cubic_spline(F981:F983,H981:H983,B$15),IF(AND(COUNT(H982:H993)=3,COUNT(F982:F993)=3),cubic_spline(F981:F984,H981:H984,B$15),IF(AND(COUNT(H982:H993)=4,COUNT(F982:F993)=4),cubic_spline(F981:F985,H981:H985,B$15),IF(AND(COUNT(H982:H993)=5,COUNT(F982:F993)=5),cubic_spline(F981:F986,H981:H986,B$15),IF(AND(COUNT(H982:H993)=6,COUNT(F982:F993)=6),cubic_spline(F981:F987,H981:H987,B$15),IF(AND(COUNT(H982:H993)=7,COUNT(F982:F993)=7),cubic_spline(F981:F988,H981:H988,B$15),IF(AND(COUNT(H982:H993)=8,COUNT(F982:F993)=8),cubic_spline(F981:F989,H981:H989,B$15),IF(AND(COUNT(H982:H993)=9,COUNT(F982:F993)=9),cubic_spline(F981:F990,H981:H990,B$15),IF(AND(COUNT(H982:H993)=10,COUNT(F982:F993)=10),cubic_spline(F981:F991,H981:H991,B$15),IF(AND(COUNT(H982:H993)=11,COUNT(F982:F993)=11),cubic_spline(F981:F992,H981:H992,B$15),IF(AND(COUNT(H982:H993)=12,COUNT(F982:F993)=12),cubic_spline(F981:F993,H981:H993,B$15),""))))))))))))</f>
        <v/>
      </c>
      <c r="K993" s="52" t="str">
        <f>IF(N(B$15)=0,"",IF(AND(COUNT(A982:A993)=2,COUNT(F982:F993)=2),cubic_spline(F981:F983,A981:A983,B$15),IF(AND(COUNT(A982:A993)=3,COUNT(F982:F993)=3),cubic_spline(F981:F984,A981:A984,B$15),IF(AND(COUNT(A982:A993)=4,COUNT(F982:F993)=4),cubic_spline(F981:F985,A981:A985,B$15),IF(AND(COUNT(A982:A993)=5,COUNT(F982:F993)=5),cubic_spline(F981:F986,A981:A986,B$15),IF(AND(COUNT(A982:A993)=6,COUNT(F982:F993)=6),cubic_spline(F981:F987,A981:A987,B$15),IF(AND(COUNT(A982:A993)=7,COUNT(F982:F993)=7),cubic_spline(F981:F988,A981:A988,B$15),IF(AND(COUNT(A982:A993)=8,COUNT(F982:F993)=8),cubic_spline(F981:F989,A981:A989,B$15),IF(AND(COUNT(A982:A993)=9,COUNT(F982:F993)=9),cubic_spline(F981:F990,A981:A990,B$15),IF(AND(COUNT(A982:A993)=10,COUNT(F982:F993)=10),cubic_spline(F981:F991,A981:A991,B$15),IF(AND(COUNT(A982:A993)=11,COUNT(F982:F993)=11),cubic_spline(F981:F992,A981:A992,B$15),IF(AND(COUNT(A982:A993)=12,COUNT(F982:F993)=12),cubic_spline(F981:F993,A981:A993,B$15),""))))))))))))</f>
        <v/>
      </c>
      <c r="L993" s="27" t="str">
        <f>IF(I993="","",B$14&amp;"-"&amp;B$15)</f>
        <v/>
      </c>
      <c r="M993" s="52" t="str">
        <f t="shared" si="375"/>
        <v/>
      </c>
    </row>
    <row r="994" spans="1:13" ht="5.15" customHeight="1" x14ac:dyDescent="0.35">
      <c r="A994" s="47"/>
      <c r="B994" s="47"/>
      <c r="C994" s="47"/>
      <c r="D994" s="53"/>
      <c r="E994" s="54"/>
      <c r="F994" s="55"/>
      <c r="G994" s="72"/>
      <c r="H994" s="73"/>
      <c r="I994" s="47"/>
      <c r="J994" s="57"/>
      <c r="K994" s="57"/>
      <c r="L994" s="55"/>
      <c r="M994" s="57"/>
    </row>
    <row r="995" spans="1:13" x14ac:dyDescent="0.35">
      <c r="A995" s="48"/>
      <c r="B995" s="48"/>
      <c r="C995" s="49"/>
      <c r="D995" s="50"/>
      <c r="E995" s="51" t="str">
        <f>IF(N(C995)=0,"",C995/PI()/($D$1/2)^2/$D$2*10000)</f>
        <v/>
      </c>
      <c r="F995" s="68" t="str">
        <f t="shared" ref="F995:F1006" si="376">IF(N(E995)=0,"",(N(E995)+N(F994)))</f>
        <v/>
      </c>
      <c r="G995" s="69" t="str">
        <f>IF(OR(N(D995)=0,N(E995)=0),"",(E995*D995)/1000)</f>
        <v/>
      </c>
      <c r="H995" s="70" t="str">
        <f t="shared" ref="H995:H1006" si="377">IF(N(G995)=0,"",(N(G995)+N(H994)))</f>
        <v/>
      </c>
      <c r="I995" s="27" t="str">
        <f>IF(N(J995)=0,"",0&amp;"-"&amp;B$4)</f>
        <v/>
      </c>
      <c r="J995" s="52" t="str">
        <f>IF(N(B$4)=0,"",IF(AND(COUNT(H995:H1006)=2,COUNT(F995:F1006)=2),cubic_spline(F994:F996,H994:H996,B$4),IF(AND(COUNT(H995:H1006)=3,COUNT(F995:F1006)=3),cubic_spline(F994:F997,H994:H997,B$4),IF(AND(COUNT(H995:H1006)=4,COUNT(F995:F1006)=4),cubic_spline(F994:F998,H994:H998,B$4),IF(AND(COUNT(H995:H1006)=5,COUNT(F995:F1006)=5),cubic_spline(F994:F999,H994:H999,B$4),IF(AND(COUNT(H995:H1006)=6,COUNT(F995:F1006)=6),cubic_spline(F994:F1000,H994:H1000,B$4),IF(AND(COUNT(H995:H1006)=7,COUNT(F995:F1006)=7),cubic_spline(F994:F1001,H994:H1001,B$4),IF(AND(COUNT(H995:H1006)=8,COUNT(F995:F1006)=8),cubic_spline(F994:F1002,H994:H1002,B$4),IF(AND(COUNT(H995:H1006)=9,COUNT(F995:F1006)=9),cubic_spline(F994:F1003,H994:H1003,B$4),IF(AND(COUNT(H995:H1006)=10,COUNT(F995:F1006)=10),cubic_spline(F994:F1004,H994:H1004,B$4),IF(AND(COUNT(H995:H1006)=11,COUNT(F995:F1006)=11),cubic_spline(F994:F1005,H994:H1005,B$4),IF(AND(COUNT(H995:H1006)=12,COUNT(F995:F1006)=12),cubic_spline(F994:F1006,H994:H1006,B$4),""))))))))))))</f>
        <v/>
      </c>
      <c r="K995" s="52" t="str">
        <f>IF(N(B$4)=0,"",IF(AND(COUNT(A995:A1006)=2,COUNT(F995:F1006)=2),cubic_spline(F994:F996,A994:A996,B$4),IF(AND(COUNT(A995:A1006)=3,COUNT(F995:F1006)=3),cubic_spline(F994:F997,A994:A997,B$4),IF(AND(COUNT(A995:A1006)=4,COUNT(F995:F1006)=4),cubic_spline(F994:F998,A994:A998,B$4),IF(AND(COUNT(A995:A1006)=5,COUNT(F995:F1006)=5),cubic_spline(F994:F999,A994:A999,B$4),IF(AND(COUNT(A995:A1006)=6,COUNT(F995:F1006)=6),cubic_spline(F994:F1000,A994:A1000,B$4),IF(AND(COUNT(A995:A1006)=7,COUNT(F995:F1006)=7),cubic_spline(F994:F1001,A994:A1001,B$4),IF(AND(COUNT(A995:A1006)=8,COUNT(F995:F1006)=8),cubic_spline(F994:F1002,A994:A1002,B$4),IF(AND(COUNT(A995:A1006)=9,COUNT(F995:F1006)=9),cubic_spline(F994:F1003,A994:A1003,B$4),IF(AND(COUNT(A995:A1006)=10,COUNT(F995:F1006)=10),cubic_spline(F994:F1004,A994:A1004,B$4),IF(AND(COUNT(A995:A1006)=11,COUNT(F995:F1006)=11),cubic_spline(F994:F1005,A994:A1005,B$4),IF(AND(COUNT(A995:A1006)=12,COUNT(F995:F1006)=12),cubic_spline(F994:F1006,A994:A1006,B$4),""))))))))))))</f>
        <v/>
      </c>
      <c r="L995" s="27" t="str">
        <f>IF(I995="","",0&amp;"-"&amp;B$4)</f>
        <v/>
      </c>
      <c r="M995" s="52" t="str">
        <f>IF(N(J995)=0,"",J995-J994)</f>
        <v/>
      </c>
    </row>
    <row r="996" spans="1:13" x14ac:dyDescent="0.35">
      <c r="A996" s="48"/>
      <c r="B996" s="48"/>
      <c r="C996" s="49"/>
      <c r="D996" s="50"/>
      <c r="E996" s="51" t="str">
        <f>IF(N(C996)=0,"",C996/PI()/($D$1/2)^2/$D$2*10000)</f>
        <v/>
      </c>
      <c r="F996" s="68" t="str">
        <f t="shared" si="376"/>
        <v/>
      </c>
      <c r="G996" s="69" t="str">
        <f t="shared" ref="G996:G1006" si="378">IF(OR(N(D996)=0,N(E996)=0),"",(E996*D996)/1000)</f>
        <v/>
      </c>
      <c r="H996" s="70" t="str">
        <f t="shared" si="377"/>
        <v/>
      </c>
      <c r="I996" s="27" t="str">
        <f>IF(N(J996)=0,"",0&amp;"-"&amp;B$5)</f>
        <v/>
      </c>
      <c r="J996" s="52" t="str">
        <f>IF(N(B$5)=0,"",IF(AND(COUNT(H995:H1006)=2,COUNT(F995:F1006)=2),cubic_spline(F994:F996,H994:H996,B$5),IF(AND(COUNT(H995:H1006)=3,COUNT(F995:F1006)=3),cubic_spline(F994:F997,H994:H997,B$5),IF(AND(COUNT(H995:H1006)=4,COUNT(F995:F1006)=4),cubic_spline(F994:F998,H994:H998,B$5),IF(AND(COUNT(H995:H1006)=5,COUNT(F995:F1006)=5),cubic_spline(F994:F999,H994:H999,B$5),IF(AND(COUNT(H995:H1006)=6,COUNT(F995:F1006)=6),cubic_spline(F994:F1000,H994:H1000,B$5),IF(AND(COUNT(H995:H1006)=7,COUNT(F995:F1006)=7),cubic_spline(F994:F1001,H994:H1001,B$5),IF(AND(COUNT(H995:H1006)=8,COUNT(F995:F1006)=8),cubic_spline(F994:F1002,H994:H1002,B$5),IF(AND(COUNT(H995:H1006)=9,COUNT(F995:F1006)=9),cubic_spline(F994:F1003,H994:H1003,B$5),IF(AND(COUNT(H995:H1006)=10,COUNT(F995:F1006)=10),cubic_spline(F994:F1004,H994:H1004,B$5),IF(AND(COUNT(H995:H1006)=11,COUNT(F995:F1006)=11),cubic_spline(F994:F1005,H994:H1005,B$5),IF(AND(COUNT(H995:H1006)=12,COUNT(F995:F1006)=12),cubic_spline(F994:F1006,H994:H1006,B$5),""))))))))))))</f>
        <v/>
      </c>
      <c r="K996" s="52" t="str">
        <f>IF(N(B$5)=0,"",IF(AND(COUNT(A995:A1006)=2,COUNT(F995:F1006)=2),cubic_spline(F994:F996,A994:A996,B$5),IF(AND(COUNT(A995:A1006)=3,COUNT(F995:F1006)=3),cubic_spline(F994:F997,A994:A997,B$5),IF(AND(COUNT(A995:A1006)=4,COUNT(F995:F1006)=4),cubic_spline(F994:F998,A994:A998,B$5),IF(AND(COUNT(A995:A1006)=5,COUNT(F995:F1006)=5),cubic_spline(F994:F999,A994:A999,B$5),IF(AND(COUNT(A995:A1006)=6,COUNT(F995:F1006)=6),cubic_spline(F994:F1000,A994:A1000,B$5),IF(AND(COUNT(A995:A1006)=7,COUNT(F995:F1006)=7),cubic_spline(F994:F1001,A994:A1001,B$5),IF(AND(COUNT(A995:A1006)=8,COUNT(F995:F1006)=8),cubic_spline(F994:F1002,A994:A1002,B$5),IF(AND(COUNT(A995:A1006)=9,COUNT(F995:F1006)=9),cubic_spline(F994:F1003,A994:A1003,B$5),IF(AND(COUNT(A995:A1006)=10,COUNT(F995:F1006)=10),cubic_spline(F994:F1004,A994:A1004,B$5),IF(AND(COUNT(A995:A1006)=11,COUNT(F995:F1006)=11),cubic_spline(F994:F1005,A994:A1005,B$5),IF(AND(COUNT(A995:A1006)=12,COUNT(F995:F1006)=12),cubic_spline(F994:F1006,A994:A1006,B$5),""))))))))))))</f>
        <v/>
      </c>
      <c r="L996" s="27" t="str">
        <f>IF(I996="","",B$4&amp;"-"&amp;B$5)</f>
        <v/>
      </c>
      <c r="M996" s="52" t="str">
        <f>IF(N(J996)=0,"",J996-J995)</f>
        <v/>
      </c>
    </row>
    <row r="997" spans="1:13" x14ac:dyDescent="0.35">
      <c r="A997" s="48"/>
      <c r="B997" s="48"/>
      <c r="C997" s="49"/>
      <c r="D997" s="50"/>
      <c r="E997" s="51" t="str">
        <f>IF(N(C997)=0,"",C997/PI()/($D$1/2)^2/$D$2*10000)</f>
        <v/>
      </c>
      <c r="F997" s="68" t="str">
        <f t="shared" si="376"/>
        <v/>
      </c>
      <c r="G997" s="69" t="str">
        <f t="shared" si="378"/>
        <v/>
      </c>
      <c r="H997" s="70" t="str">
        <f t="shared" si="377"/>
        <v/>
      </c>
      <c r="I997" s="27" t="str">
        <f>IF(N(J997)=0,"",0&amp;"-"&amp;B$6)</f>
        <v/>
      </c>
      <c r="J997" s="52" t="str">
        <f>IF(N(B$6)=0,"",IF(AND(COUNT(H995:H1006)=2,COUNT(F995:F1006)=2),cubic_spline(F994:F996,H994:H996,B$6),IF(AND(COUNT(H995:H1006)=3,COUNT(F995:F1006)=3),cubic_spline(F994:F997,H994:H997,B$6),IF(AND(COUNT(H995:H1006)=4,COUNT(F995:F1006)=4),cubic_spline(F994:F998,H994:H998,B$6),IF(AND(COUNT(H995:H1006)=5,COUNT(F995:F1006)=5),cubic_spline(F994:F999,H994:H999,B$6),IF(AND(COUNT(H995:H1006)=6,COUNT(F995:F1006)=6),cubic_spline(F994:F1000,H994:H1000,B$6),IF(AND(COUNT(H995:H1006)=7,COUNT(F995:F1006)=7),cubic_spline(F994:F1001,H994:H1001,B$6),IF(AND(COUNT(H995:H1006)=8,COUNT(F995:F1006)=8),cubic_spline(F994:F1002,H994:H1002,B$6),IF(AND(COUNT(H995:H1006)=9,COUNT(F995:F1006)=9),cubic_spline(F994:F1003,H994:H1003,B$6),IF(AND(COUNT(H995:H1006)=10,COUNT(F995:F1006)=10),cubic_spline(F994:F1004,H994:H1004,B$6),IF(AND(COUNT(H995:H1006)=11,COUNT(F995:F1006)=11),cubic_spline(F994:F1005,H994:H1005,B$6),IF(AND(COUNT(H995:H1006)=12,COUNT(F995:F1006)=12),cubic_spline(F994:F1006,H994:H1006,B$6),""))))))))))))</f>
        <v/>
      </c>
      <c r="K997" s="52" t="str">
        <f>IF(N(B$6)=0,"",IF(AND(COUNT(A995:A1006)=2,COUNT(F995:F1006)=2),cubic_spline(F994:F996,A994:A996,B$6),IF(AND(COUNT(A995:A1006)=3,COUNT(F995:F1006)=3),cubic_spline(F994:F997,A994:A997,B$6),IF(AND(COUNT(A995:A1006)=4,COUNT(F995:F1006)=4),cubic_spline(F994:F998,A994:A998,B$6),IF(AND(COUNT(A995:A1006)=5,COUNT(F995:F1006)=5),cubic_spline(F994:F999,A994:A999,B$6),IF(AND(COUNT(A995:A1006)=6,COUNT(F995:F1006)=6),cubic_spline(F994:F1000,A994:A1000,B$6),IF(AND(COUNT(A995:A1006)=7,COUNT(F995:F1006)=7),cubic_spline(F994:F1001,A994:A1001,B$6),IF(AND(COUNT(A995:A1006)=8,COUNT(F995:F1006)=8),cubic_spline(F994:F1002,A994:A1002,B$6),IF(AND(COUNT(A995:A1006)=9,COUNT(F995:F1006)=9),cubic_spline(F994:F1003,A994:A1003,B$6),IF(AND(COUNT(A995:A1006)=10,COUNT(F995:F1006)=10),cubic_spline(F994:F1004,A994:A1004,B$6),IF(AND(COUNT(A995:A1006)=11,COUNT(F995:F1006)=11),cubic_spline(F994:F1005,A994:A1005,B$6),IF(AND(COUNT(A995:A1006)=12,COUNT(F995:F1006)=12),cubic_spline(F994:F1006,A994:A1006,B$6),""))))))))))))</f>
        <v/>
      </c>
      <c r="L997" s="27" t="str">
        <f>IF(I997="","",B$5&amp;"-"&amp;B$6)</f>
        <v/>
      </c>
      <c r="M997" s="52" t="str">
        <f>IF(N(J997)=0,"",J997-J996)</f>
        <v/>
      </c>
    </row>
    <row r="998" spans="1:13" x14ac:dyDescent="0.35">
      <c r="A998" s="48"/>
      <c r="B998" s="48"/>
      <c r="C998" s="49"/>
      <c r="D998" s="50"/>
      <c r="E998" s="51" t="str">
        <f>IF(N(C998)=0,"",C998/PI()/($D$1/2)^2/$D$2*10000)</f>
        <v/>
      </c>
      <c r="F998" s="68" t="str">
        <f t="shared" si="376"/>
        <v/>
      </c>
      <c r="G998" s="69" t="str">
        <f t="shared" si="378"/>
        <v/>
      </c>
      <c r="H998" s="70" t="str">
        <f t="shared" si="377"/>
        <v/>
      </c>
      <c r="I998" s="27" t="str">
        <f>IF(N(J998)=0,"",0&amp;"-"&amp;B$7)</f>
        <v/>
      </c>
      <c r="J998" s="52" t="str">
        <f>IF(N(B$7)=0,"",IF(AND(COUNT(H995:H1006)=2,COUNT(F995:F1006)=2),cubic_spline(F994:F996,H994:H996,B$7),IF(AND(COUNT(H995:H1006)=3,COUNT(F995:F1006)=3),cubic_spline(F994:F997,H994:H997,B$7),IF(AND(COUNT(H995:H1006)=4,COUNT(F995:F1006)=4),cubic_spline(F994:F998,H994:H998,B$7),IF(AND(COUNT(H995:H1006)=5,COUNT(F995:F1006)=5),cubic_spline(F994:F999,H994:H999,B$7),IF(AND(COUNT(H995:H1006)=6,COUNT(F995:F1006)=6),cubic_spline(F994:F1000,H994:H1000,B$7),IF(AND(COUNT(H995:H1006)=7,COUNT(F995:F1006)=7),cubic_spline(F994:F1001,H994:H1001,B$7),IF(AND(COUNT(H995:H1006)=8,COUNT(F995:F1006)=8),cubic_spline(F994:F1002,H994:H1002,B$7),IF(AND(COUNT(H995:H1006)=9,COUNT(F995:F1006)=9),cubic_spline(F994:F1003,H994:H1003,B$7),IF(AND(COUNT(H995:H1006)=10,COUNT(F995:F1006)=10),cubic_spline(F994:F1004,H994:H1004,B$7),IF(AND(COUNT(H995:H1006)=11,COUNT(F995:F1006)=11),cubic_spline(F994:F1005,H994:H1005,B$7),IF(AND(COUNT(H995:H1006)=12,COUNT(F995:F1006)=12),cubic_spline(F994:F1006,H994:H1006,B$7),""))))))))))))</f>
        <v/>
      </c>
      <c r="K998" s="52" t="str">
        <f>IF(N(B$7)=0,"",IF(AND(COUNT(A995:A1006)=2,COUNT(F995:F1006)=2),cubic_spline(F994:F996,A994:A996,B$7),IF(AND(COUNT(A995:A1006)=3,COUNT(F995:F1006)=3),cubic_spline(F994:F997,A994:A997,B$7),IF(AND(COUNT(A995:A1006)=4,COUNT(F995:F1006)=4),cubic_spline(F994:F998,A994:A998,B$7),IF(AND(COUNT(A995:A1006)=5,COUNT(F995:F1006)=5),cubic_spline(F994:F999,A994:A999,B$7),IF(AND(COUNT(A995:A1006)=6,COUNT(F995:F1006)=6),cubic_spline(F994:F1000,A994:A1000,B$7),IF(AND(COUNT(A995:A1006)=7,COUNT(F995:F1006)=7),cubic_spline(F994:F1001,A994:A1001,B$7),IF(AND(COUNT(A995:A1006)=8,COUNT(F995:F1006)=8),cubic_spline(F994:F1002,A994:A1002,B$7),IF(AND(COUNT(A995:A1006)=9,COUNT(F995:F1006)=9),cubic_spline(F994:F1003,A994:A1003,B$7),IF(AND(COUNT(A995:A1006)=10,COUNT(F995:F1006)=10),cubic_spline(F994:F1004,A994:A1004,B$7),IF(AND(COUNT(A995:A1006)=11,COUNT(F995:F1006)=11),cubic_spline(F994:F1005,A994:A1005,B$7),IF(AND(COUNT(A995:A1006)=12,COUNT(F995:F1006)=12),cubic_spline(F994:F1006,A994:A1006,B$7),""))))))))))))</f>
        <v/>
      </c>
      <c r="L998" s="27" t="str">
        <f>IF(I998="","",B$6&amp;"-"&amp;B$7)</f>
        <v/>
      </c>
      <c r="M998" s="52" t="str">
        <f>IF(N(J998)=0,"",J998-J997)</f>
        <v/>
      </c>
    </row>
    <row r="999" spans="1:13" x14ac:dyDescent="0.35">
      <c r="A999" s="48"/>
      <c r="B999" s="48"/>
      <c r="C999" s="49"/>
      <c r="D999" s="50"/>
      <c r="E999" s="51" t="str">
        <f t="shared" ref="E999:E1006" si="379">IF(N(C999)=0,"",C999/PI()/($D$1/2)^2/$D$2*10000)</f>
        <v/>
      </c>
      <c r="F999" s="71" t="str">
        <f t="shared" si="376"/>
        <v/>
      </c>
      <c r="G999" s="69" t="str">
        <f t="shared" si="378"/>
        <v/>
      </c>
      <c r="H999" s="70" t="str">
        <f t="shared" si="377"/>
        <v/>
      </c>
      <c r="I999" s="27" t="str">
        <f>IF(N(J999)=0,"",0&amp;"-"&amp;B$8)</f>
        <v/>
      </c>
      <c r="J999" s="52" t="str">
        <f>IF(N(B$8)=0,"",IF(AND(COUNT(H995:H1006)=2,COUNT(F995:F1006)=2),cubic_spline(F994:F996,H994:H996,B$8),IF(AND(COUNT(H995:H1006)=3,COUNT(F995:F1006)=3),cubic_spline(F994:F997,H994:H997,B$8),IF(AND(COUNT(H995:H1006)=4,COUNT(F995:F1006)=4),cubic_spline(F994:F998,H994:H998,B$8),IF(AND(COUNT(H995:H1006)=5,COUNT(F995:F1006)=5),cubic_spline(F994:F999,H994:H999,B$8),IF(AND(COUNT(H995:H1006)=6,COUNT(F995:F1006)=6),cubic_spline(F994:F1000,H994:H1000,B$8),IF(AND(COUNT(H995:H1006)=7,COUNT(F995:F1006)=7),cubic_spline(F994:F1001,H994:H1001,B$8),IF(AND(COUNT(H995:H1006)=8,COUNT(F995:F1006)=8),cubic_spline(F994:F1002,H994:H1002,B$8),IF(AND(COUNT(H995:H1006)=9,COUNT(F995:F1006)=9),cubic_spline(F994:F1003,H994:H1003,B$8),IF(AND(COUNT(H995:H1006)=10,COUNT(F995:F1006)=10),cubic_spline(F994:F1004,H994:H1004,B$8),IF(AND(COUNT(H995:H1006)=11,COUNT(F995:F1006)=11),cubic_spline(F994:F1005,H994:H1005,B$8),IF(AND(COUNT(H995:H1006)=12,COUNT(F995:F1006)=12),cubic_spline(F994:F1006,H994:H1006,B$8),""))))))))))))</f>
        <v/>
      </c>
      <c r="K999" s="52" t="str">
        <f>IF(N(B$8)=0,"",IF(AND(COUNT(A995:A1006)=2,COUNT(F995:F1006)=2),cubic_spline(F994:F996,A994:A996,B$8),IF(AND(COUNT(A995:A1006)=3,COUNT(F995:F1006)=3),cubic_spline(F994:F997,A994:A997,B$8),IF(AND(COUNT(A995:A1006)=4,COUNT(F995:F1006)=4),cubic_spline(F994:F998,A994:A998,B$8),IF(AND(COUNT(A995:A1006)=5,COUNT(F995:F1006)=5),cubic_spline(F994:F999,A994:A999,B$8),IF(AND(COUNT(A995:A1006)=6,COUNT(F995:F1006)=6),cubic_spline(F994:F1000,A994:A1000,B$8),IF(AND(COUNT(A995:A1006)=7,COUNT(F995:F1006)=7),cubic_spline(F994:F1001,A994:A1001,B$8),IF(AND(COUNT(A995:A1006)=8,COUNT(F995:F1006)=8),cubic_spline(F994:F1002,A994:A1002,B$8),IF(AND(COUNT(A995:A1006)=9,COUNT(F995:F1006)=9),cubic_spline(F994:F1003,A994:A1003,B$8),IF(AND(COUNT(A995:A1006)=10,COUNT(F995:F1006)=10),cubic_spline(F994:F1004,A994:A1004,B$8),IF(AND(COUNT(A995:A1006)=11,COUNT(F995:F1006)=11),cubic_spline(F994:F1005,A994:A1005,B$8),IF(AND(COUNT(A995:A1006)=12,COUNT(F995:F1006)=12),cubic_spline(F994:F1006,A994:A1006,B$8),""))))))))))))</f>
        <v/>
      </c>
      <c r="L999" s="27" t="str">
        <f>IF(I999="","",B$7&amp;"-"&amp;B$8)</f>
        <v/>
      </c>
      <c r="M999" s="52" t="str">
        <f>IF(N(J999)=0,"",J999-J998)</f>
        <v/>
      </c>
    </row>
    <row r="1000" spans="1:13" x14ac:dyDescent="0.35">
      <c r="A1000" s="48"/>
      <c r="B1000" s="48"/>
      <c r="C1000" s="49"/>
      <c r="D1000" s="50"/>
      <c r="E1000" s="51" t="str">
        <f t="shared" si="379"/>
        <v/>
      </c>
      <c r="F1000" s="71" t="str">
        <f t="shared" si="376"/>
        <v/>
      </c>
      <c r="G1000" s="69" t="str">
        <f t="shared" si="378"/>
        <v/>
      </c>
      <c r="H1000" s="70" t="str">
        <f t="shared" si="377"/>
        <v/>
      </c>
      <c r="I1000" s="27" t="str">
        <f>IF(N(J1000)=0,"",0&amp;"-"&amp;B$9)</f>
        <v/>
      </c>
      <c r="J1000" s="52" t="str">
        <f>IF(N(B$9)=0,"",IF(AND(COUNT(H995:H1006)=2,COUNT(F995:F1006)=2),cubic_spline(F994:F996,H994:H996,B$9),IF(AND(COUNT(H995:H1006)=3,COUNT(F995:F1006)=3),cubic_spline(F994:F997,H994:H997,B$9),IF(AND(COUNT(H995:H1006)=4,COUNT(F995:F1006)=4),cubic_spline(F994:F998,H994:H998,B$9),IF(AND(COUNT(H995:H1006)=5,COUNT(F995:F1006)=5),cubic_spline(F994:F999,H994:H999,B$9),IF(AND(COUNT(H995:H1006)=6,COUNT(F995:F1006)=6),cubic_spline(F994:F1000,H994:H1000,B$9),IF(AND(COUNT(H995:H1006)=7,COUNT(F995:F1006)=7),cubic_spline(F994:F1001,H994:H1001,B$9),IF(AND(COUNT(H995:H1006)=8,COUNT(F995:F1006)=8),cubic_spline(F994:F1002,H994:H1002,B$9),IF(AND(COUNT(H995:H1006)=9,COUNT(F995:F1006)=9),cubic_spline(F994:F1003,H994:H1003,B$9),IF(AND(COUNT(H995:H1006)=10,COUNT(F995:F1006)=10),cubic_spline(F994:F1004,H994:H1004,B$9),IF(AND(COUNT(H995:H1006)=11,COUNT(F995:F1006)=11),cubic_spline(F994:F1005,H994:H1005,B$9),IF(AND(COUNT(H995:H1006)=12,COUNT(F995:F1006)=12),cubic_spline(F994:F1006,H994:H1006,B$9),""))))))))))))</f>
        <v/>
      </c>
      <c r="K1000" s="52" t="str">
        <f>IF(N(B$9)=0,"",IF(AND(COUNT(A995:A1006)=2,COUNT(F995:F1006)=2),cubic_spline(F994:F996,A994:A996,B$9),IF(AND(COUNT(A995:A1006)=3,COUNT(F995:F1006)=3),cubic_spline(F994:F997,A994:A997,B$9),IF(AND(COUNT(A995:A1006)=4,COUNT(F995:F1006)=4),cubic_spline(F994:F998,A994:A998,B$9),IF(AND(COUNT(A995:A1006)=5,COUNT(F995:F1006)=5),cubic_spline(F994:F999,A994:A999,B$9),IF(AND(COUNT(A995:A1006)=6,COUNT(F995:F1006)=6),cubic_spline(F994:F1000,A994:A1000,B$9),IF(AND(COUNT(A995:A1006)=7,COUNT(F995:F1006)=7),cubic_spline(F994:F1001,A994:A1001,B$9),IF(AND(COUNT(A995:A1006)=8,COUNT(F995:F1006)=8),cubic_spline(F994:F1002,A994:A1002,B$9),IF(AND(COUNT(A995:A1006)=9,COUNT(F995:F1006)=9),cubic_spline(F994:F1003,A994:A1003,B$9),IF(AND(COUNT(A995:A1006)=10,COUNT(F995:F1006)=10),cubic_spline(F994:F1004,A994:A1004,B$9),IF(AND(COUNT(A995:A1006)=11,COUNT(F995:F1006)=11),cubic_spline(F994:F1005,A994:A1005,B$9),IF(AND(COUNT(A995:A1006)=12,COUNT(F995:F1006)=12),cubic_spline(F994:F1006,A994:A1006,B$9),""))))))))))))</f>
        <v/>
      </c>
      <c r="L1000" s="27" t="str">
        <f>IF(I1000="","",B$8&amp;"-"&amp;B$9)</f>
        <v/>
      </c>
      <c r="M1000" s="52" t="str">
        <f t="shared" ref="M1000:M1006" si="380">IF(N(J1000)=0,"",J1000-J999)</f>
        <v/>
      </c>
    </row>
    <row r="1001" spans="1:13" x14ac:dyDescent="0.35">
      <c r="A1001" s="48"/>
      <c r="B1001" s="48"/>
      <c r="C1001" s="49"/>
      <c r="D1001" s="50"/>
      <c r="E1001" s="51" t="str">
        <f t="shared" si="379"/>
        <v/>
      </c>
      <c r="F1001" s="71" t="str">
        <f t="shared" si="376"/>
        <v/>
      </c>
      <c r="G1001" s="69" t="str">
        <f t="shared" si="378"/>
        <v/>
      </c>
      <c r="H1001" s="70" t="str">
        <f t="shared" si="377"/>
        <v/>
      </c>
      <c r="I1001" s="27" t="str">
        <f>IF(N(J1001)=0,"",0&amp;"-"&amp;B$10)</f>
        <v/>
      </c>
      <c r="J1001" s="52" t="str">
        <f>IF(N(B$10)=0,"",IF(AND(COUNT(H995:H1006)=2,COUNT(F995:F1006)=2),cubic_spline(F994:F996,H994:H996,B$10),IF(AND(COUNT(H995:H1006)=3,COUNT(F995:F1006)=3),cubic_spline(F994:F997,H994:H997,B$10),IF(AND(COUNT(H995:H1006)=4,COUNT(F995:F1006)=4),cubic_spline(F994:F998,H994:H998,B$10),IF(AND(COUNT(H995:H1006)=5,COUNT(F995:F1006)=5),cubic_spline(F994:F999,H994:H999,B$10),IF(AND(COUNT(H995:H1006)=6,COUNT(F995:F1006)=6),cubic_spline(F994:F1000,H994:H1000,B$10),IF(AND(COUNT(H995:H1006)=7,COUNT(F995:F1006)=7),cubic_spline(F994:F1001,H994:H1001,B$10),IF(AND(COUNT(H995:H1006)=8,COUNT(F995:F1006)=8),cubic_spline(F994:F1002,H994:H1002,B$10),IF(AND(COUNT(H995:H1006)=9,COUNT(F995:F1006)=9),cubic_spline(F994:F1003,H994:H1003,B$10),IF(AND(COUNT(H995:H1006)=10,COUNT(F995:F1006)=10),cubic_spline(F994:F1004,H994:H1004,B$10),IF(AND(COUNT(H995:H1006)=11,COUNT(F995:F1006)=11),cubic_spline(F994:F1005,H994:H1005,B$10),IF(AND(COUNT(H995:H1006)=12,COUNT(F995:F1006)=12),cubic_spline(F994:F1006,H994:H1006,B$10),""))))))))))))</f>
        <v/>
      </c>
      <c r="K1001" s="52" t="str">
        <f>IF(N(B$10)=0,"",IF(AND(COUNT(A995:A1006)=2,COUNT(F995:F1006)=2),cubic_spline(F994:F996,A994:A996,B$10),IF(AND(COUNT(A995:A1006)=3,COUNT(F995:F1006)=3),cubic_spline(F994:F997,A994:A997,B$10),IF(AND(COUNT(A995:A1006)=4,COUNT(F995:F1006)=4),cubic_spline(F994:F998,A994:A998,B$10),IF(AND(COUNT(A995:A1006)=5,COUNT(F995:F1006)=5),cubic_spline(F994:F999,A994:A999,B$10),IF(AND(COUNT(A995:A1006)=6,COUNT(F995:F1006)=6),cubic_spline(F994:F1000,A994:A1000,B$10),IF(AND(COUNT(A995:A1006)=7,COUNT(F995:F1006)=7),cubic_spline(F994:F1001,A994:A1001,B$10),IF(AND(COUNT(A995:A1006)=8,COUNT(F995:F1006)=8),cubic_spline(F994:F1002,A994:A1002,B$10),IF(AND(COUNT(A995:A1006)=9,COUNT(F995:F1006)=9),cubic_spline(F994:F1003,A994:A1003,B$10),IF(AND(COUNT(A995:A1006)=10,COUNT(F995:F1006)=10),cubic_spline(F994:F1004,A994:A1004,B$10),IF(AND(COUNT(A995:A1006)=11,COUNT(F995:F1006)=11),cubic_spline(F994:F1005,A994:A1005,B$10),IF(AND(COUNT(A995:A1006)=12,COUNT(F995:F1006)=12),cubic_spline(F994:F1006,A994:A1006,B$10),""))))))))))))</f>
        <v/>
      </c>
      <c r="L1001" s="27" t="str">
        <f>IF(I1001="","",B$9&amp;"-"&amp;B$10)</f>
        <v/>
      </c>
      <c r="M1001" s="52" t="str">
        <f t="shared" si="380"/>
        <v/>
      </c>
    </row>
    <row r="1002" spans="1:13" x14ac:dyDescent="0.35">
      <c r="A1002" s="48"/>
      <c r="B1002" s="48"/>
      <c r="C1002" s="49"/>
      <c r="D1002" s="50"/>
      <c r="E1002" s="51" t="str">
        <f t="shared" si="379"/>
        <v/>
      </c>
      <c r="F1002" s="71" t="str">
        <f t="shared" si="376"/>
        <v/>
      </c>
      <c r="G1002" s="69" t="str">
        <f t="shared" si="378"/>
        <v/>
      </c>
      <c r="H1002" s="70" t="str">
        <f t="shared" si="377"/>
        <v/>
      </c>
      <c r="I1002" s="27" t="str">
        <f>IF(N(J1002)=0,"",0&amp;"-"&amp;B$11)</f>
        <v/>
      </c>
      <c r="J1002" s="52" t="str">
        <f>IF(N(B$11)=0,"",IF(AND(COUNT(H995:H1006)=2,COUNT(F995:F1006)=2),cubic_spline(F994:F996,H994:H996,B$11),IF(AND(COUNT(H995:H1006)=3,COUNT(F995:F1006)=3),cubic_spline(F994:F997,H994:H997,B$11),IF(AND(COUNT(H995:H1006)=4,COUNT(F995:F1006)=4),cubic_spline(F994:F998,H994:H998,B$11),IF(AND(COUNT(H995:H1006)=5,COUNT(F995:F1006)=5),cubic_spline(F994:F999,H994:H999,B$11),IF(AND(COUNT(H995:H1006)=6,COUNT(F995:F1006)=6),cubic_spline(F994:F1000,H994:H1000,B$11),IF(AND(COUNT(H995:H1006)=7,COUNT(F995:F1006)=7),cubic_spline(F994:F1001,H994:H1001,B$11),IF(AND(COUNT(H995:H1006)=8,COUNT(F995:F1006)=8),cubic_spline(F994:F1002,H994:H1002,B$11),IF(AND(COUNT(H995:H1006)=9,COUNT(F995:F1006)=9),cubic_spline(F994:F1003,H994:H1003,B$11),IF(AND(COUNT(H995:H1006)=10,COUNT(F995:F1006)=10),cubic_spline(F994:F1004,H994:H1004,B$11),IF(AND(COUNT(H995:H1006)=11,COUNT(F995:F1006)=11),cubic_spline(F994:F1005,H994:H1005,B$11),IF(AND(COUNT(H995:H1006)=12,COUNT(F995:F1006)=12),cubic_spline(F994:F1006,H994:H1006,B$11),""))))))))))))</f>
        <v/>
      </c>
      <c r="K1002" s="52" t="str">
        <f>IF(N(B$11)=0,"",IF(AND(COUNT(A995:A1006)=2,COUNT(F995:F1006)=2),cubic_spline(F994:F996,A994:A996,B$11),IF(AND(COUNT(A995:A1006)=3,COUNT(F995:F1006)=3),cubic_spline(F994:F997,A994:A997,B$11),IF(AND(COUNT(A995:A1006)=4,COUNT(F995:F1006)=4),cubic_spline(F994:F998,A994:A998,B$11),IF(AND(COUNT(A995:A1006)=5,COUNT(F995:F1006)=5),cubic_spline(F994:F999,A994:A999,B$11),IF(AND(COUNT(A995:A1006)=6,COUNT(F995:F1006)=6),cubic_spline(F994:F1000,A994:A1000,B$11),IF(AND(COUNT(A995:A1006)=7,COUNT(F995:F1006)=7),cubic_spline(F994:F1001,A994:A1001,B$11),IF(AND(COUNT(A995:A1006)=8,COUNT(F995:F1006)=8),cubic_spline(F994:F1002,A994:A1002,B$11),IF(AND(COUNT(A995:A1006)=9,COUNT(F995:F1006)=9),cubic_spline(F994:F1003,A994:A1003,B$11),IF(AND(COUNT(A995:A1006)=10,COUNT(F995:F1006)=10),cubic_spline(F994:F1004,A994:A1004,B$11),IF(AND(COUNT(A995:A1006)=11,COUNT(F995:F1006)=11),cubic_spline(F994:F1005,A994:A1005,B$11),IF(AND(COUNT(A995:A1006)=12,COUNT(F995:F1006)=12),cubic_spline(F994:F1006,A994:A1006,B$11),""))))))))))))</f>
        <v/>
      </c>
      <c r="L1002" s="27" t="str">
        <f>IF(I1002="","",B$10&amp;"-"&amp;B$11)</f>
        <v/>
      </c>
      <c r="M1002" s="52" t="str">
        <f t="shared" si="380"/>
        <v/>
      </c>
    </row>
    <row r="1003" spans="1:13" x14ac:dyDescent="0.35">
      <c r="A1003" s="48"/>
      <c r="B1003" s="48"/>
      <c r="C1003" s="49"/>
      <c r="D1003" s="50"/>
      <c r="E1003" s="51" t="str">
        <f t="shared" si="379"/>
        <v/>
      </c>
      <c r="F1003" s="71" t="str">
        <f t="shared" si="376"/>
        <v/>
      </c>
      <c r="G1003" s="69" t="str">
        <f t="shared" si="378"/>
        <v/>
      </c>
      <c r="H1003" s="70" t="str">
        <f t="shared" si="377"/>
        <v/>
      </c>
      <c r="I1003" s="27" t="str">
        <f>IF(N(J1003)=0,"",0&amp;"-"&amp;B$12)</f>
        <v/>
      </c>
      <c r="J1003" s="52" t="str">
        <f>IF(N(B$12)=0,"",IF(AND(COUNT(H995:H1006)=2,COUNT(F995:F1006)=2),cubic_spline(F994:F996,H994:H996,B$12),IF(AND(COUNT(H995:H1006)=3,COUNT(F995:F1006)=3),cubic_spline(F994:F997,H994:H997,B$12),IF(AND(COUNT(H995:H1006)=4,COUNT(F995:F1006)=4),cubic_spline(F994:F998,H994:H998,B$12),IF(AND(COUNT(H995:H1006)=5,COUNT(F995:F1006)=5),cubic_spline(F994:F999,H994:H999,B$12),IF(AND(COUNT(H995:H1006)=6,COUNT(F995:F1006)=6),cubic_spline(F994:F1000,H994:H1000,B$12),IF(AND(COUNT(H995:H1006)=7,COUNT(F995:F1006)=7),cubic_spline(F994:F1001,H994:H1001,B$12),IF(AND(COUNT(H995:H1006)=8,COUNT(F995:F1006)=8),cubic_spline(F994:F1002,H994:H1002,B$12),IF(AND(COUNT(H995:H1006)=9,COUNT(F995:F1006)=9),cubic_spline(F994:F1003,H994:H1003,B$12),IF(AND(COUNT(H995:H1006)=10,COUNT(F995:F1006)=10),cubic_spline(F994:F1004,H994:H1004,B$12),IF(AND(COUNT(H995:H1006)=11,COUNT(F995:F1006)=11),cubic_spline(F994:F1005,H994:H1005,B$12),IF(AND(COUNT(H995:H1006)=12,COUNT(F995:F1006)=12),cubic_spline(F994:F1006,H994:H1006,B$12),""))))))))))))</f>
        <v/>
      </c>
      <c r="K1003" s="52" t="str">
        <f>IF(N(B$12)=0,"",IF(AND(COUNT(A995:A1006)=2,COUNT(F995:F1006)=2),cubic_spline(F994:F996,A994:A996,B$12),IF(AND(COUNT(A995:A1006)=3,COUNT(F995:F1006)=3),cubic_spline(F994:F997,A994:A997,B$12),IF(AND(COUNT(A995:A1006)=4,COUNT(F995:F1006)=4),cubic_spline(F994:F998,A994:A998,B$12),IF(AND(COUNT(A995:A1006)=5,COUNT(F995:F1006)=5),cubic_spline(F994:F999,A994:A999,B$12),IF(AND(COUNT(A995:A1006)=6,COUNT(F995:F1006)=6),cubic_spline(F994:F1000,A994:A1000,B$12),IF(AND(COUNT(A995:A1006)=7,COUNT(F995:F1006)=7),cubic_spline(F994:F1001,A994:A1001,B$12),IF(AND(COUNT(A995:A1006)=8,COUNT(F995:F1006)=8),cubic_spline(F994:F1002,A994:A1002,B$12),IF(AND(COUNT(A995:A1006)=9,COUNT(F995:F1006)=9),cubic_spline(F994:F1003,A994:A1003,B$12),IF(AND(COUNT(A995:A1006)=10,COUNT(F995:F1006)=10),cubic_spline(F994:F1004,A994:A1004,B$12),IF(AND(COUNT(A995:A1006)=11,COUNT(F995:F1006)=11),cubic_spline(F994:F1005,A994:A1005,B$12),IF(AND(COUNT(A995:A1006)=12,COUNT(F995:F1006)=12),cubic_spline(F994:F1006,A994:A1006,B$12),""))))))))))))</f>
        <v/>
      </c>
      <c r="L1003" s="27" t="str">
        <f>IF(I1003="","",B$11&amp;"-"&amp;B$12)</f>
        <v/>
      </c>
      <c r="M1003" s="52" t="str">
        <f t="shared" si="380"/>
        <v/>
      </c>
    </row>
    <row r="1004" spans="1:13" x14ac:dyDescent="0.35">
      <c r="A1004" s="48"/>
      <c r="B1004" s="48"/>
      <c r="C1004" s="49"/>
      <c r="D1004" s="50"/>
      <c r="E1004" s="51" t="str">
        <f t="shared" si="379"/>
        <v/>
      </c>
      <c r="F1004" s="71" t="str">
        <f t="shared" si="376"/>
        <v/>
      </c>
      <c r="G1004" s="69" t="str">
        <f t="shared" si="378"/>
        <v/>
      </c>
      <c r="H1004" s="70" t="str">
        <f t="shared" si="377"/>
        <v/>
      </c>
      <c r="I1004" s="27" t="str">
        <f>IF(N(J1004)=0,"",0&amp;"-"&amp;B$13)</f>
        <v/>
      </c>
      <c r="J1004" s="52" t="str">
        <f>IF(N(B$13)=0,"",IF(AND(COUNT(H995:H1006)=2,COUNT(F995:F1006)=2),cubic_spline(F994:F996,H994:H996,B$13),IF(AND(COUNT(H995:H1006)=3,COUNT(F995:F1006)=3),cubic_spline(F994:F997,H994:H997,B$13),IF(AND(COUNT(H995:H1006)=4,COUNT(F995:F1006)=4),cubic_spline(F994:F998,H994:H998,B$13),IF(AND(COUNT(H995:H1006)=5,COUNT(F995:F1006)=5),cubic_spline(F994:F999,H994:H999,B$13),IF(AND(COUNT(H995:H1006)=6,COUNT(F995:F1006)=6),cubic_spline(F994:F1000,H994:H1000,B$13),IF(AND(COUNT(H995:H1006)=7,COUNT(F995:F1006)=7),cubic_spline(F994:F1001,H994:H1001,B$13),IF(AND(COUNT(H995:H1006)=8,COUNT(F995:F1006)=8),cubic_spline(F994:F1002,H994:H1002,B$13),IF(AND(COUNT(H995:H1006)=9,COUNT(F995:F1006)=9),cubic_spline(F994:F1003,H994:H1003,B$13),IF(AND(COUNT(H995:H1006)=10,COUNT(F995:F1006)=10),cubic_spline(F994:F1004,H994:H1004,B$13),IF(AND(COUNT(H995:H1006)=11,COUNT(F995:F1006)=11),cubic_spline(F994:F1005,H994:H1005,B$13),IF(AND(COUNT(H995:H1006)=12,COUNT(F995:F1006)=12),cubic_spline(F994:F1006,H994:H1006,B$13),""))))))))))))</f>
        <v/>
      </c>
      <c r="K1004" s="52" t="str">
        <f>IF(N(B$13)=0,"",IF(AND(COUNT(A995:A1006)=2,COUNT(F995:F1006)=2),cubic_spline(F994:F996,A994:A996,B$13),IF(AND(COUNT(A995:A1006)=3,COUNT(F995:F1006)=3),cubic_spline(F994:F997,A994:A997,B$13),IF(AND(COUNT(A995:A1006)=4,COUNT(F995:F1006)=4),cubic_spline(F994:F998,A994:A998,B$13),IF(AND(COUNT(A995:A1006)=5,COUNT(F995:F1006)=5),cubic_spline(F994:F999,A994:A999,B$13),IF(AND(COUNT(A995:A1006)=6,COUNT(F995:F1006)=6),cubic_spline(F994:F1000,A994:A1000,B$13),IF(AND(COUNT(A995:A1006)=7,COUNT(F995:F1006)=7),cubic_spline(F994:F1001,A994:A1001,B$13),IF(AND(COUNT(A995:A1006)=8,COUNT(F995:F1006)=8),cubic_spline(F994:F1002,A994:A1002,B$13),IF(AND(COUNT(A995:A1006)=9,COUNT(F995:F1006)=9),cubic_spline(F994:F1003,A994:A1003,B$13),IF(AND(COUNT(A995:A1006)=10,COUNT(F995:F1006)=10),cubic_spline(F994:F1004,A994:A1004,B$13),IF(AND(COUNT(A995:A1006)=11,COUNT(F995:F1006)=11),cubic_spline(F994:F1005,A994:A1005,B$13),IF(AND(COUNT(A995:A1006)=12,COUNT(F995:F1006)=12),cubic_spline(F994:F1006,A994:A1006,B$13),""))))))))))))</f>
        <v/>
      </c>
      <c r="L1004" s="27" t="str">
        <f>IF(I1004="","",B$12&amp;"-"&amp;B$13)</f>
        <v/>
      </c>
      <c r="M1004" s="52" t="str">
        <f t="shared" si="380"/>
        <v/>
      </c>
    </row>
    <row r="1005" spans="1:13" x14ac:dyDescent="0.35">
      <c r="A1005" s="48"/>
      <c r="B1005" s="48"/>
      <c r="C1005" s="49"/>
      <c r="D1005" s="50"/>
      <c r="E1005" s="51" t="str">
        <f t="shared" si="379"/>
        <v/>
      </c>
      <c r="F1005" s="71" t="str">
        <f t="shared" si="376"/>
        <v/>
      </c>
      <c r="G1005" s="69" t="str">
        <f t="shared" si="378"/>
        <v/>
      </c>
      <c r="H1005" s="70" t="str">
        <f t="shared" si="377"/>
        <v/>
      </c>
      <c r="I1005" s="27" t="str">
        <f>IF(N(J1005)=0,"",0&amp;"-"&amp;B$14)</f>
        <v/>
      </c>
      <c r="J1005" s="52" t="str">
        <f>IF(N(B$14)=0,"",IF(AND(COUNT(H995:H1006)=2,COUNT(F995:F1006)=2),cubic_spline(F994:F996,H994:H996,B$14),IF(AND(COUNT(H995:H1006)=3,COUNT(F995:F1006)=3),cubic_spline(F994:F997,H994:H997,B$14),IF(AND(COUNT(H995:H1006)=4,COUNT(F995:F1006)=4),cubic_spline(F994:F998,H994:H998,B$14),IF(AND(COUNT(H995:H1006)=5,COUNT(F995:F1006)=5),cubic_spline(F994:F999,H994:H999,B$14),IF(AND(COUNT(H995:H1006)=6,COUNT(F995:F1006)=6),cubic_spline(F994:F1000,H994:H1000,B$14),IF(AND(COUNT(H995:H1006)=7,COUNT(F995:F1006)=7),cubic_spline(F994:F1001,H994:H1001,B$14),IF(AND(COUNT(H995:H1006)=8,COUNT(F995:F1006)=8),cubic_spline(F994:F1002,H994:H1002,B$14),IF(AND(COUNT(H995:H1006)=9,COUNT(F995:F1006)=9),cubic_spline(F994:F1003,H994:H1003,B$14),IF(AND(COUNT(H995:H1006)=10,COUNT(F995:F1006)=10),cubic_spline(F994:F1004,H994:H1004,B$14),IF(AND(COUNT(H995:H1006)=11,COUNT(F995:F1006)=11),cubic_spline(F994:F1005,H994:H1005,B$14),IF(AND(COUNT(H995:H1006)=12,COUNT(F995:F1006)=12),cubic_spline(F994:F1006,H994:H1006,B$14),""))))))))))))</f>
        <v/>
      </c>
      <c r="K1005" s="52" t="str">
        <f>IF(N(B$14)=0,"",IF(AND(COUNT(A995:A1006)=2,COUNT(F995:F1006)=2),cubic_spline(F994:F996,A994:A996,B$14),IF(AND(COUNT(A995:A1006)=3,COUNT(F995:F1006)=3),cubic_spline(F994:F997,A994:A997,B$14),IF(AND(COUNT(A995:A1006)=4,COUNT(F995:F1006)=4),cubic_spline(F994:F998,A994:A998,B$14),IF(AND(COUNT(A995:A1006)=5,COUNT(F995:F1006)=5),cubic_spline(F994:F999,A994:A999,B$14),IF(AND(COUNT(A995:A1006)=6,COUNT(F995:F1006)=6),cubic_spline(F994:F1000,A994:A1000,B$14),IF(AND(COUNT(A995:A1006)=7,COUNT(F995:F1006)=7),cubic_spline(F994:F1001,A994:A1001,B$14),IF(AND(COUNT(A995:A1006)=8,COUNT(F995:F1006)=8),cubic_spline(F994:F1002,A994:A1002,B$14),IF(AND(COUNT(A995:A1006)=9,COUNT(F995:F1006)=9),cubic_spline(F994:F1003,A994:A1003,B$14),IF(AND(COUNT(A995:A1006)=10,COUNT(F995:F1006)=10),cubic_spline(F994:F1004,A994:A1004,B$14),IF(AND(COUNT(A995:A1006)=11,COUNT(F995:F1006)=11),cubic_spline(F994:F1005,A994:A1005,B$14),IF(AND(COUNT(A995:A1006)=12,COUNT(F995:F1006)=12),cubic_spline(F994:F1006,A994:A1006,B$14),""))))))))))))</f>
        <v/>
      </c>
      <c r="L1005" s="27" t="str">
        <f>IF(I1005="","",B$13&amp;"-"&amp;B$14)</f>
        <v/>
      </c>
      <c r="M1005" s="52" t="str">
        <f t="shared" si="380"/>
        <v/>
      </c>
    </row>
    <row r="1006" spans="1:13" x14ac:dyDescent="0.35">
      <c r="A1006" s="48"/>
      <c r="B1006" s="48"/>
      <c r="C1006" s="49"/>
      <c r="D1006" s="50"/>
      <c r="E1006" s="51" t="str">
        <f t="shared" si="379"/>
        <v/>
      </c>
      <c r="F1006" s="71" t="str">
        <f t="shared" si="376"/>
        <v/>
      </c>
      <c r="G1006" s="69" t="str">
        <f t="shared" si="378"/>
        <v/>
      </c>
      <c r="H1006" s="70" t="str">
        <f t="shared" si="377"/>
        <v/>
      </c>
      <c r="I1006" s="27" t="str">
        <f>IF(N(J1006)=0,"",0&amp;"-"&amp;B$15)</f>
        <v/>
      </c>
      <c r="J1006" s="52" t="str">
        <f>IF(N(B$15)=0,"",IF(AND(COUNT(H995:H1006)=2,COUNT(F995:F1006)=2),cubic_spline(F994:F996,H994:H996,B$15),IF(AND(COUNT(H995:H1006)=3,COUNT(F995:F1006)=3),cubic_spline(F994:F997,H994:H997,B$15),IF(AND(COUNT(H995:H1006)=4,COUNT(F995:F1006)=4),cubic_spline(F994:F998,H994:H998,B$15),IF(AND(COUNT(H995:H1006)=5,COUNT(F995:F1006)=5),cubic_spline(F994:F999,H994:H999,B$15),IF(AND(COUNT(H995:H1006)=6,COUNT(F995:F1006)=6),cubic_spline(F994:F1000,H994:H1000,B$15),IF(AND(COUNT(H995:H1006)=7,COUNT(F995:F1006)=7),cubic_spline(F994:F1001,H994:H1001,B$15),IF(AND(COUNT(H995:H1006)=8,COUNT(F995:F1006)=8),cubic_spline(F994:F1002,H994:H1002,B$15),IF(AND(COUNT(H995:H1006)=9,COUNT(F995:F1006)=9),cubic_spline(F994:F1003,H994:H1003,B$15),IF(AND(COUNT(H995:H1006)=10,COUNT(F995:F1006)=10),cubic_spline(F994:F1004,H994:H1004,B$15),IF(AND(COUNT(H995:H1006)=11,COUNT(F995:F1006)=11),cubic_spline(F994:F1005,H994:H1005,B$15),IF(AND(COUNT(H995:H1006)=12,COUNT(F995:F1006)=12),cubic_spline(F994:F1006,H994:H1006,B$15),""))))))))))))</f>
        <v/>
      </c>
      <c r="K1006" s="52" t="str">
        <f>IF(N(B$15)=0,"",IF(AND(COUNT(A995:A1006)=2,COUNT(F995:F1006)=2),cubic_spline(F994:F996,A994:A996,B$15),IF(AND(COUNT(A995:A1006)=3,COUNT(F995:F1006)=3),cubic_spline(F994:F997,A994:A997,B$15),IF(AND(COUNT(A995:A1006)=4,COUNT(F995:F1006)=4),cubic_spline(F994:F998,A994:A998,B$15),IF(AND(COUNT(A995:A1006)=5,COUNT(F995:F1006)=5),cubic_spline(F994:F999,A994:A999,B$15),IF(AND(COUNT(A995:A1006)=6,COUNT(F995:F1006)=6),cubic_spline(F994:F1000,A994:A1000,B$15),IF(AND(COUNT(A995:A1006)=7,COUNT(F995:F1006)=7),cubic_spline(F994:F1001,A994:A1001,B$15),IF(AND(COUNT(A995:A1006)=8,COUNT(F995:F1006)=8),cubic_spline(F994:F1002,A994:A1002,B$15),IF(AND(COUNT(A995:A1006)=9,COUNT(F995:F1006)=9),cubic_spline(F994:F1003,A994:A1003,B$15),IF(AND(COUNT(A995:A1006)=10,COUNT(F995:F1006)=10),cubic_spline(F994:F1004,A994:A1004,B$15),IF(AND(COUNT(A995:A1006)=11,COUNT(F995:F1006)=11),cubic_spline(F994:F1005,A994:A1005,B$15),IF(AND(COUNT(A995:A1006)=12,COUNT(F995:F1006)=12),cubic_spline(F994:F1006,A994:A1006,B$15),""))))))))))))</f>
        <v/>
      </c>
      <c r="L1006" s="27" t="str">
        <f>IF(I1006="","",B$14&amp;"-"&amp;B$15)</f>
        <v/>
      </c>
      <c r="M1006" s="52" t="str">
        <f t="shared" si="380"/>
        <v/>
      </c>
    </row>
    <row r="1007" spans="1:13" ht="5.15" customHeight="1" x14ac:dyDescent="0.35">
      <c r="A1007" s="47"/>
      <c r="B1007" s="47"/>
      <c r="C1007" s="47"/>
      <c r="D1007" s="53"/>
      <c r="E1007" s="54"/>
      <c r="F1007" s="55"/>
      <c r="G1007" s="72"/>
      <c r="H1007" s="73"/>
      <c r="I1007" s="47"/>
      <c r="J1007" s="57"/>
      <c r="K1007" s="57"/>
      <c r="L1007" s="55"/>
      <c r="M1007" s="57"/>
    </row>
    <row r="1008" spans="1:13" x14ac:dyDescent="0.35">
      <c r="A1008" s="48"/>
      <c r="B1008" s="48"/>
      <c r="C1008" s="49"/>
      <c r="D1008" s="50"/>
      <c r="E1008" s="51" t="str">
        <f>IF(N(C1008)=0,"",C1008/PI()/($D$1/2)^2/$D$2*10000)</f>
        <v/>
      </c>
      <c r="F1008" s="68" t="str">
        <f t="shared" ref="F1008:F1019" si="381">IF(N(E1008)=0,"",(N(E1008)+N(F1007)))</f>
        <v/>
      </c>
      <c r="G1008" s="69" t="str">
        <f>IF(OR(N(D1008)=0,N(E1008)=0),"",(E1008*D1008)/1000)</f>
        <v/>
      </c>
      <c r="H1008" s="70" t="str">
        <f t="shared" ref="H1008:H1019" si="382">IF(N(G1008)=0,"",(N(G1008)+N(H1007)))</f>
        <v/>
      </c>
      <c r="I1008" s="27" t="str">
        <f>IF(N(J1008)=0,"",0&amp;"-"&amp;B$4)</f>
        <v/>
      </c>
      <c r="J1008" s="52" t="str">
        <f>IF(N(B$4)=0,"",IF(AND(COUNT(H1008:H1019)=2,COUNT(F1008:F1019)=2),cubic_spline(F1007:F1009,H1007:H1009,B$4),IF(AND(COUNT(H1008:H1019)=3,COUNT(F1008:F1019)=3),cubic_spline(F1007:F1010,H1007:H1010,B$4),IF(AND(COUNT(H1008:H1019)=4,COUNT(F1008:F1019)=4),cubic_spline(F1007:F1011,H1007:H1011,B$4),IF(AND(COUNT(H1008:H1019)=5,COUNT(F1008:F1019)=5),cubic_spline(F1007:F1012,H1007:H1012,B$4),IF(AND(COUNT(H1008:H1019)=6,COUNT(F1008:F1019)=6),cubic_spline(F1007:F1013,H1007:H1013,B$4),IF(AND(COUNT(H1008:H1019)=7,COUNT(F1008:F1019)=7),cubic_spline(F1007:F1014,H1007:H1014,B$4),IF(AND(COUNT(H1008:H1019)=8,COUNT(F1008:F1019)=8),cubic_spline(F1007:F1015,H1007:H1015,B$4),IF(AND(COUNT(H1008:H1019)=9,COUNT(F1008:F1019)=9),cubic_spline(F1007:F1016,H1007:H1016,B$4),IF(AND(COUNT(H1008:H1019)=10,COUNT(F1008:F1019)=10),cubic_spline(F1007:F1017,H1007:H1017,B$4),IF(AND(COUNT(H1008:H1019)=11,COUNT(F1008:F1019)=11),cubic_spline(F1007:F1018,H1007:H1018,B$4),IF(AND(COUNT(H1008:H1019)=12,COUNT(F1008:F1019)=12),cubic_spline(F1007:F1019,H1007:H1019,B$4),""))))))))))))</f>
        <v/>
      </c>
      <c r="K1008" s="52" t="str">
        <f>IF(N(B$4)=0,"",IF(AND(COUNT(A1008:A1019)=2,COUNT(F1008:F1019)=2),cubic_spline(F1007:F1009,A1007:A1009,B$4),IF(AND(COUNT(A1008:A1019)=3,COUNT(F1008:F1019)=3),cubic_spline(F1007:F1010,A1007:A1010,B$4),IF(AND(COUNT(A1008:A1019)=4,COUNT(F1008:F1019)=4),cubic_spline(F1007:F1011,A1007:A1011,B$4),IF(AND(COUNT(A1008:A1019)=5,COUNT(F1008:F1019)=5),cubic_spline(F1007:F1012,A1007:A1012,B$4),IF(AND(COUNT(A1008:A1019)=6,COUNT(F1008:F1019)=6),cubic_spline(F1007:F1013,A1007:A1013,B$4),IF(AND(COUNT(A1008:A1019)=7,COUNT(F1008:F1019)=7),cubic_spline(F1007:F1014,A1007:A1014,B$4),IF(AND(COUNT(A1008:A1019)=8,COUNT(F1008:F1019)=8),cubic_spline(F1007:F1015,A1007:A1015,B$4),IF(AND(COUNT(A1008:A1019)=9,COUNT(F1008:F1019)=9),cubic_spline(F1007:F1016,A1007:A1016,B$4),IF(AND(COUNT(A1008:A1019)=10,COUNT(F1008:F1019)=10),cubic_spline(F1007:F1017,A1007:A1017,B$4),IF(AND(COUNT(A1008:A1019)=11,COUNT(F1008:F1019)=11),cubic_spline(F1007:F1018,A1007:A1018,B$4),IF(AND(COUNT(A1008:A1019)=12,COUNT(F1008:F1019)=12),cubic_spline(F1007:F1019,A1007:A1019,B$4),""))))))))))))</f>
        <v/>
      </c>
      <c r="L1008" s="27" t="str">
        <f>IF(I1008="","",0&amp;"-"&amp;B$4)</f>
        <v/>
      </c>
      <c r="M1008" s="52" t="str">
        <f>IF(N(J1008)=0,"",J1008-J1007)</f>
        <v/>
      </c>
    </row>
    <row r="1009" spans="1:13" x14ac:dyDescent="0.35">
      <c r="A1009" s="48"/>
      <c r="B1009" s="48"/>
      <c r="C1009" s="49"/>
      <c r="D1009" s="50"/>
      <c r="E1009" s="51" t="str">
        <f>IF(N(C1009)=0,"",C1009/PI()/($D$1/2)^2/$D$2*10000)</f>
        <v/>
      </c>
      <c r="F1009" s="68" t="str">
        <f t="shared" si="381"/>
        <v/>
      </c>
      <c r="G1009" s="69" t="str">
        <f t="shared" ref="G1009:G1019" si="383">IF(OR(N(D1009)=0,N(E1009)=0),"",(E1009*D1009)/1000)</f>
        <v/>
      </c>
      <c r="H1009" s="70" t="str">
        <f t="shared" si="382"/>
        <v/>
      </c>
      <c r="I1009" s="27" t="str">
        <f>IF(N(J1009)=0,"",0&amp;"-"&amp;B$5)</f>
        <v/>
      </c>
      <c r="J1009" s="52" t="str">
        <f>IF(N(B$5)=0,"",IF(AND(COUNT(H1008:H1019)=2,COUNT(F1008:F1019)=2),cubic_spline(F1007:F1009,H1007:H1009,B$5),IF(AND(COUNT(H1008:H1019)=3,COUNT(F1008:F1019)=3),cubic_spline(F1007:F1010,H1007:H1010,B$5),IF(AND(COUNT(H1008:H1019)=4,COUNT(F1008:F1019)=4),cubic_spline(F1007:F1011,H1007:H1011,B$5),IF(AND(COUNT(H1008:H1019)=5,COUNT(F1008:F1019)=5),cubic_spline(F1007:F1012,H1007:H1012,B$5),IF(AND(COUNT(H1008:H1019)=6,COUNT(F1008:F1019)=6),cubic_spline(F1007:F1013,H1007:H1013,B$5),IF(AND(COUNT(H1008:H1019)=7,COUNT(F1008:F1019)=7),cubic_spline(F1007:F1014,H1007:H1014,B$5),IF(AND(COUNT(H1008:H1019)=8,COUNT(F1008:F1019)=8),cubic_spline(F1007:F1015,H1007:H1015,B$5),IF(AND(COUNT(H1008:H1019)=9,COUNT(F1008:F1019)=9),cubic_spline(F1007:F1016,H1007:H1016,B$5),IF(AND(COUNT(H1008:H1019)=10,COUNT(F1008:F1019)=10),cubic_spline(F1007:F1017,H1007:H1017,B$5),IF(AND(COUNT(H1008:H1019)=11,COUNT(F1008:F1019)=11),cubic_spline(F1007:F1018,H1007:H1018,B$5),IF(AND(COUNT(H1008:H1019)=12,COUNT(F1008:F1019)=12),cubic_spline(F1007:F1019,H1007:H1019,B$5),""))))))))))))</f>
        <v/>
      </c>
      <c r="K1009" s="52" t="str">
        <f>IF(N(B$5)=0,"",IF(AND(COUNT(A1008:A1019)=2,COUNT(F1008:F1019)=2),cubic_spline(F1007:F1009,A1007:A1009,B$5),IF(AND(COUNT(A1008:A1019)=3,COUNT(F1008:F1019)=3),cubic_spline(F1007:F1010,A1007:A1010,B$5),IF(AND(COUNT(A1008:A1019)=4,COUNT(F1008:F1019)=4),cubic_spline(F1007:F1011,A1007:A1011,B$5),IF(AND(COUNT(A1008:A1019)=5,COUNT(F1008:F1019)=5),cubic_spline(F1007:F1012,A1007:A1012,B$5),IF(AND(COUNT(A1008:A1019)=6,COUNT(F1008:F1019)=6),cubic_spline(F1007:F1013,A1007:A1013,B$5),IF(AND(COUNT(A1008:A1019)=7,COUNT(F1008:F1019)=7),cubic_spline(F1007:F1014,A1007:A1014,B$5),IF(AND(COUNT(A1008:A1019)=8,COUNT(F1008:F1019)=8),cubic_spline(F1007:F1015,A1007:A1015,B$5),IF(AND(COUNT(A1008:A1019)=9,COUNT(F1008:F1019)=9),cubic_spline(F1007:F1016,A1007:A1016,B$5),IF(AND(COUNT(A1008:A1019)=10,COUNT(F1008:F1019)=10),cubic_spline(F1007:F1017,A1007:A1017,B$5),IF(AND(COUNT(A1008:A1019)=11,COUNT(F1008:F1019)=11),cubic_spline(F1007:F1018,A1007:A1018,B$5),IF(AND(COUNT(A1008:A1019)=12,COUNT(F1008:F1019)=12),cubic_spline(F1007:F1019,A1007:A1019,B$5),""))))))))))))</f>
        <v/>
      </c>
      <c r="L1009" s="27" t="str">
        <f>IF(I1009="","",B$4&amp;"-"&amp;B$5)</f>
        <v/>
      </c>
      <c r="M1009" s="52" t="str">
        <f>IF(N(J1009)=0,"",J1009-J1008)</f>
        <v/>
      </c>
    </row>
    <row r="1010" spans="1:13" x14ac:dyDescent="0.35">
      <c r="A1010" s="48"/>
      <c r="B1010" s="48"/>
      <c r="C1010" s="49"/>
      <c r="D1010" s="50"/>
      <c r="E1010" s="51" t="str">
        <f>IF(N(C1010)=0,"",C1010/PI()/($D$1/2)^2/$D$2*10000)</f>
        <v/>
      </c>
      <c r="F1010" s="68" t="str">
        <f t="shared" si="381"/>
        <v/>
      </c>
      <c r="G1010" s="69" t="str">
        <f t="shared" si="383"/>
        <v/>
      </c>
      <c r="H1010" s="70" t="str">
        <f t="shared" si="382"/>
        <v/>
      </c>
      <c r="I1010" s="27" t="str">
        <f>IF(N(J1010)=0,"",0&amp;"-"&amp;B$6)</f>
        <v/>
      </c>
      <c r="J1010" s="52" t="str">
        <f>IF(N(B$6)=0,"",IF(AND(COUNT(H1008:H1019)=2,COUNT(F1008:F1019)=2),cubic_spline(F1007:F1009,H1007:H1009,B$6),IF(AND(COUNT(H1008:H1019)=3,COUNT(F1008:F1019)=3),cubic_spline(F1007:F1010,H1007:H1010,B$6),IF(AND(COUNT(H1008:H1019)=4,COUNT(F1008:F1019)=4),cubic_spline(F1007:F1011,H1007:H1011,B$6),IF(AND(COUNT(H1008:H1019)=5,COUNT(F1008:F1019)=5),cubic_spline(F1007:F1012,H1007:H1012,B$6),IF(AND(COUNT(H1008:H1019)=6,COUNT(F1008:F1019)=6),cubic_spline(F1007:F1013,H1007:H1013,B$6),IF(AND(COUNT(H1008:H1019)=7,COUNT(F1008:F1019)=7),cubic_spline(F1007:F1014,H1007:H1014,B$6),IF(AND(COUNT(H1008:H1019)=8,COUNT(F1008:F1019)=8),cubic_spline(F1007:F1015,H1007:H1015,B$6),IF(AND(COUNT(H1008:H1019)=9,COUNT(F1008:F1019)=9),cubic_spline(F1007:F1016,H1007:H1016,B$6),IF(AND(COUNT(H1008:H1019)=10,COUNT(F1008:F1019)=10),cubic_spline(F1007:F1017,H1007:H1017,B$6),IF(AND(COUNT(H1008:H1019)=11,COUNT(F1008:F1019)=11),cubic_spline(F1007:F1018,H1007:H1018,B$6),IF(AND(COUNT(H1008:H1019)=12,COUNT(F1008:F1019)=12),cubic_spline(F1007:F1019,H1007:H1019,B$6),""))))))))))))</f>
        <v/>
      </c>
      <c r="K1010" s="52" t="str">
        <f>IF(N(B$6)=0,"",IF(AND(COUNT(A1008:A1019)=2,COUNT(F1008:F1019)=2),cubic_spline(F1007:F1009,A1007:A1009,B$6),IF(AND(COUNT(A1008:A1019)=3,COUNT(F1008:F1019)=3),cubic_spline(F1007:F1010,A1007:A1010,B$6),IF(AND(COUNT(A1008:A1019)=4,COUNT(F1008:F1019)=4),cubic_spline(F1007:F1011,A1007:A1011,B$6),IF(AND(COUNT(A1008:A1019)=5,COUNT(F1008:F1019)=5),cubic_spline(F1007:F1012,A1007:A1012,B$6),IF(AND(COUNT(A1008:A1019)=6,COUNT(F1008:F1019)=6),cubic_spline(F1007:F1013,A1007:A1013,B$6),IF(AND(COUNT(A1008:A1019)=7,COUNT(F1008:F1019)=7),cubic_spline(F1007:F1014,A1007:A1014,B$6),IF(AND(COUNT(A1008:A1019)=8,COUNT(F1008:F1019)=8),cubic_spline(F1007:F1015,A1007:A1015,B$6),IF(AND(COUNT(A1008:A1019)=9,COUNT(F1008:F1019)=9),cubic_spline(F1007:F1016,A1007:A1016,B$6),IF(AND(COUNT(A1008:A1019)=10,COUNT(F1008:F1019)=10),cubic_spline(F1007:F1017,A1007:A1017,B$6),IF(AND(COUNT(A1008:A1019)=11,COUNT(F1008:F1019)=11),cubic_spline(F1007:F1018,A1007:A1018,B$6),IF(AND(COUNT(A1008:A1019)=12,COUNT(F1008:F1019)=12),cubic_spline(F1007:F1019,A1007:A1019,B$6),""))))))))))))</f>
        <v/>
      </c>
      <c r="L1010" s="27" t="str">
        <f>IF(I1010="","",B$5&amp;"-"&amp;B$6)</f>
        <v/>
      </c>
      <c r="M1010" s="52" t="str">
        <f>IF(N(J1010)=0,"",J1010-J1009)</f>
        <v/>
      </c>
    </row>
    <row r="1011" spans="1:13" x14ac:dyDescent="0.35">
      <c r="A1011" s="48"/>
      <c r="B1011" s="48"/>
      <c r="C1011" s="49"/>
      <c r="D1011" s="50"/>
      <c r="E1011" s="51" t="str">
        <f>IF(N(C1011)=0,"",C1011/PI()/($D$1/2)^2/$D$2*10000)</f>
        <v/>
      </c>
      <c r="F1011" s="68" t="str">
        <f t="shared" si="381"/>
        <v/>
      </c>
      <c r="G1011" s="69" t="str">
        <f t="shared" si="383"/>
        <v/>
      </c>
      <c r="H1011" s="70" t="str">
        <f t="shared" si="382"/>
        <v/>
      </c>
      <c r="I1011" s="27" t="str">
        <f>IF(N(J1011)=0,"",0&amp;"-"&amp;B$7)</f>
        <v/>
      </c>
      <c r="J1011" s="52" t="str">
        <f>IF(N(B$7)=0,"",IF(AND(COUNT(H1008:H1019)=2,COUNT(F1008:F1019)=2),cubic_spline(F1007:F1009,H1007:H1009,B$7),IF(AND(COUNT(H1008:H1019)=3,COUNT(F1008:F1019)=3),cubic_spline(F1007:F1010,H1007:H1010,B$7),IF(AND(COUNT(H1008:H1019)=4,COUNT(F1008:F1019)=4),cubic_spline(F1007:F1011,H1007:H1011,B$7),IF(AND(COUNT(H1008:H1019)=5,COUNT(F1008:F1019)=5),cubic_spline(F1007:F1012,H1007:H1012,B$7),IF(AND(COUNT(H1008:H1019)=6,COUNT(F1008:F1019)=6),cubic_spline(F1007:F1013,H1007:H1013,B$7),IF(AND(COUNT(H1008:H1019)=7,COUNT(F1008:F1019)=7),cubic_spline(F1007:F1014,H1007:H1014,B$7),IF(AND(COUNT(H1008:H1019)=8,COUNT(F1008:F1019)=8),cubic_spline(F1007:F1015,H1007:H1015,B$7),IF(AND(COUNT(H1008:H1019)=9,COUNT(F1008:F1019)=9),cubic_spline(F1007:F1016,H1007:H1016,B$7),IF(AND(COUNT(H1008:H1019)=10,COUNT(F1008:F1019)=10),cubic_spline(F1007:F1017,H1007:H1017,B$7),IF(AND(COUNT(H1008:H1019)=11,COUNT(F1008:F1019)=11),cubic_spline(F1007:F1018,H1007:H1018,B$7),IF(AND(COUNT(H1008:H1019)=12,COUNT(F1008:F1019)=12),cubic_spline(F1007:F1019,H1007:H1019,B$7),""))))))))))))</f>
        <v/>
      </c>
      <c r="K1011" s="52" t="str">
        <f>IF(N(B$7)=0,"",IF(AND(COUNT(A1008:A1019)=2,COUNT(F1008:F1019)=2),cubic_spline(F1007:F1009,A1007:A1009,B$7),IF(AND(COUNT(A1008:A1019)=3,COUNT(F1008:F1019)=3),cubic_spline(F1007:F1010,A1007:A1010,B$7),IF(AND(COUNT(A1008:A1019)=4,COUNT(F1008:F1019)=4),cubic_spline(F1007:F1011,A1007:A1011,B$7),IF(AND(COUNT(A1008:A1019)=5,COUNT(F1008:F1019)=5),cubic_spline(F1007:F1012,A1007:A1012,B$7),IF(AND(COUNT(A1008:A1019)=6,COUNT(F1008:F1019)=6),cubic_spline(F1007:F1013,A1007:A1013,B$7),IF(AND(COUNT(A1008:A1019)=7,COUNT(F1008:F1019)=7),cubic_spline(F1007:F1014,A1007:A1014,B$7),IF(AND(COUNT(A1008:A1019)=8,COUNT(F1008:F1019)=8),cubic_spline(F1007:F1015,A1007:A1015,B$7),IF(AND(COUNT(A1008:A1019)=9,COUNT(F1008:F1019)=9),cubic_spline(F1007:F1016,A1007:A1016,B$7),IF(AND(COUNT(A1008:A1019)=10,COUNT(F1008:F1019)=10),cubic_spline(F1007:F1017,A1007:A1017,B$7),IF(AND(COUNT(A1008:A1019)=11,COUNT(F1008:F1019)=11),cubic_spline(F1007:F1018,A1007:A1018,B$7),IF(AND(COUNT(A1008:A1019)=12,COUNT(F1008:F1019)=12),cubic_spline(F1007:F1019,A1007:A1019,B$7),""))))))))))))</f>
        <v/>
      </c>
      <c r="L1011" s="27" t="str">
        <f>IF(I1011="","",B$6&amp;"-"&amp;B$7)</f>
        <v/>
      </c>
      <c r="M1011" s="52" t="str">
        <f>IF(N(J1011)=0,"",J1011-J1010)</f>
        <v/>
      </c>
    </row>
    <row r="1012" spans="1:13" x14ac:dyDescent="0.35">
      <c r="A1012" s="48"/>
      <c r="B1012" s="48"/>
      <c r="C1012" s="49"/>
      <c r="D1012" s="50"/>
      <c r="E1012" s="51" t="str">
        <f t="shared" ref="E1012:E1019" si="384">IF(N(C1012)=0,"",C1012/PI()/($D$1/2)^2/$D$2*10000)</f>
        <v/>
      </c>
      <c r="F1012" s="71" t="str">
        <f t="shared" si="381"/>
        <v/>
      </c>
      <c r="G1012" s="69" t="str">
        <f t="shared" si="383"/>
        <v/>
      </c>
      <c r="H1012" s="70" t="str">
        <f t="shared" si="382"/>
        <v/>
      </c>
      <c r="I1012" s="27" t="str">
        <f>IF(N(J1012)=0,"",0&amp;"-"&amp;B$8)</f>
        <v/>
      </c>
      <c r="J1012" s="52" t="str">
        <f>IF(N(B$8)=0,"",IF(AND(COUNT(H1008:H1019)=2,COUNT(F1008:F1019)=2),cubic_spline(F1007:F1009,H1007:H1009,B$8),IF(AND(COUNT(H1008:H1019)=3,COUNT(F1008:F1019)=3),cubic_spline(F1007:F1010,H1007:H1010,B$8),IF(AND(COUNT(H1008:H1019)=4,COUNT(F1008:F1019)=4),cubic_spline(F1007:F1011,H1007:H1011,B$8),IF(AND(COUNT(H1008:H1019)=5,COUNT(F1008:F1019)=5),cubic_spline(F1007:F1012,H1007:H1012,B$8),IF(AND(COUNT(H1008:H1019)=6,COUNT(F1008:F1019)=6),cubic_spline(F1007:F1013,H1007:H1013,B$8),IF(AND(COUNT(H1008:H1019)=7,COUNT(F1008:F1019)=7),cubic_spline(F1007:F1014,H1007:H1014,B$8),IF(AND(COUNT(H1008:H1019)=8,COUNT(F1008:F1019)=8),cubic_spline(F1007:F1015,H1007:H1015,B$8),IF(AND(COUNT(H1008:H1019)=9,COUNT(F1008:F1019)=9),cubic_spline(F1007:F1016,H1007:H1016,B$8),IF(AND(COUNT(H1008:H1019)=10,COUNT(F1008:F1019)=10),cubic_spline(F1007:F1017,H1007:H1017,B$8),IF(AND(COUNT(H1008:H1019)=11,COUNT(F1008:F1019)=11),cubic_spline(F1007:F1018,H1007:H1018,B$8),IF(AND(COUNT(H1008:H1019)=12,COUNT(F1008:F1019)=12),cubic_spline(F1007:F1019,H1007:H1019,B$8),""))))))))))))</f>
        <v/>
      </c>
      <c r="K1012" s="52" t="str">
        <f>IF(N(B$8)=0,"",IF(AND(COUNT(A1008:A1019)=2,COUNT(F1008:F1019)=2),cubic_spline(F1007:F1009,A1007:A1009,B$8),IF(AND(COUNT(A1008:A1019)=3,COUNT(F1008:F1019)=3),cubic_spline(F1007:F1010,A1007:A1010,B$8),IF(AND(COUNT(A1008:A1019)=4,COUNT(F1008:F1019)=4),cubic_spline(F1007:F1011,A1007:A1011,B$8),IF(AND(COUNT(A1008:A1019)=5,COUNT(F1008:F1019)=5),cubic_spline(F1007:F1012,A1007:A1012,B$8),IF(AND(COUNT(A1008:A1019)=6,COUNT(F1008:F1019)=6),cubic_spline(F1007:F1013,A1007:A1013,B$8),IF(AND(COUNT(A1008:A1019)=7,COUNT(F1008:F1019)=7),cubic_spline(F1007:F1014,A1007:A1014,B$8),IF(AND(COUNT(A1008:A1019)=8,COUNT(F1008:F1019)=8),cubic_spline(F1007:F1015,A1007:A1015,B$8),IF(AND(COUNT(A1008:A1019)=9,COUNT(F1008:F1019)=9),cubic_spline(F1007:F1016,A1007:A1016,B$8),IF(AND(COUNT(A1008:A1019)=10,COUNT(F1008:F1019)=10),cubic_spline(F1007:F1017,A1007:A1017,B$8),IF(AND(COUNT(A1008:A1019)=11,COUNT(F1008:F1019)=11),cubic_spline(F1007:F1018,A1007:A1018,B$8),IF(AND(COUNT(A1008:A1019)=12,COUNT(F1008:F1019)=12),cubic_spline(F1007:F1019,A1007:A1019,B$8),""))))))))))))</f>
        <v/>
      </c>
      <c r="L1012" s="27" t="str">
        <f>IF(I1012="","",B$7&amp;"-"&amp;B$8)</f>
        <v/>
      </c>
      <c r="M1012" s="52" t="str">
        <f>IF(N(J1012)=0,"",J1012-J1011)</f>
        <v/>
      </c>
    </row>
    <row r="1013" spans="1:13" x14ac:dyDescent="0.35">
      <c r="A1013" s="48"/>
      <c r="B1013" s="48"/>
      <c r="C1013" s="49"/>
      <c r="D1013" s="50"/>
      <c r="E1013" s="51" t="str">
        <f t="shared" si="384"/>
        <v/>
      </c>
      <c r="F1013" s="71" t="str">
        <f t="shared" si="381"/>
        <v/>
      </c>
      <c r="G1013" s="69" t="str">
        <f t="shared" si="383"/>
        <v/>
      </c>
      <c r="H1013" s="70" t="str">
        <f t="shared" si="382"/>
        <v/>
      </c>
      <c r="I1013" s="27" t="str">
        <f>IF(N(J1013)=0,"",0&amp;"-"&amp;B$9)</f>
        <v/>
      </c>
      <c r="J1013" s="52" t="str">
        <f>IF(N(B$9)=0,"",IF(AND(COUNT(H1008:H1019)=2,COUNT(F1008:F1019)=2),cubic_spline(F1007:F1009,H1007:H1009,B$9),IF(AND(COUNT(H1008:H1019)=3,COUNT(F1008:F1019)=3),cubic_spline(F1007:F1010,H1007:H1010,B$9),IF(AND(COUNT(H1008:H1019)=4,COUNT(F1008:F1019)=4),cubic_spline(F1007:F1011,H1007:H1011,B$9),IF(AND(COUNT(H1008:H1019)=5,COUNT(F1008:F1019)=5),cubic_spline(F1007:F1012,H1007:H1012,B$9),IF(AND(COUNT(H1008:H1019)=6,COUNT(F1008:F1019)=6),cubic_spline(F1007:F1013,H1007:H1013,B$9),IF(AND(COUNT(H1008:H1019)=7,COUNT(F1008:F1019)=7),cubic_spline(F1007:F1014,H1007:H1014,B$9),IF(AND(COUNT(H1008:H1019)=8,COUNT(F1008:F1019)=8),cubic_spline(F1007:F1015,H1007:H1015,B$9),IF(AND(COUNT(H1008:H1019)=9,COUNT(F1008:F1019)=9),cubic_spline(F1007:F1016,H1007:H1016,B$9),IF(AND(COUNT(H1008:H1019)=10,COUNT(F1008:F1019)=10),cubic_spline(F1007:F1017,H1007:H1017,B$9),IF(AND(COUNT(H1008:H1019)=11,COUNT(F1008:F1019)=11),cubic_spline(F1007:F1018,H1007:H1018,B$9),IF(AND(COUNT(H1008:H1019)=12,COUNT(F1008:F1019)=12),cubic_spline(F1007:F1019,H1007:H1019,B$9),""))))))))))))</f>
        <v/>
      </c>
      <c r="K1013" s="52" t="str">
        <f>IF(N(B$9)=0,"",IF(AND(COUNT(A1008:A1019)=2,COUNT(F1008:F1019)=2),cubic_spline(F1007:F1009,A1007:A1009,B$9),IF(AND(COUNT(A1008:A1019)=3,COUNT(F1008:F1019)=3),cubic_spline(F1007:F1010,A1007:A1010,B$9),IF(AND(COUNT(A1008:A1019)=4,COUNT(F1008:F1019)=4),cubic_spline(F1007:F1011,A1007:A1011,B$9),IF(AND(COUNT(A1008:A1019)=5,COUNT(F1008:F1019)=5),cubic_spline(F1007:F1012,A1007:A1012,B$9),IF(AND(COUNT(A1008:A1019)=6,COUNT(F1008:F1019)=6),cubic_spline(F1007:F1013,A1007:A1013,B$9),IF(AND(COUNT(A1008:A1019)=7,COUNT(F1008:F1019)=7),cubic_spline(F1007:F1014,A1007:A1014,B$9),IF(AND(COUNT(A1008:A1019)=8,COUNT(F1008:F1019)=8),cubic_spline(F1007:F1015,A1007:A1015,B$9),IF(AND(COUNT(A1008:A1019)=9,COUNT(F1008:F1019)=9),cubic_spline(F1007:F1016,A1007:A1016,B$9),IF(AND(COUNT(A1008:A1019)=10,COUNT(F1008:F1019)=10),cubic_spline(F1007:F1017,A1007:A1017,B$9),IF(AND(COUNT(A1008:A1019)=11,COUNT(F1008:F1019)=11),cubic_spline(F1007:F1018,A1007:A1018,B$9),IF(AND(COUNT(A1008:A1019)=12,COUNT(F1008:F1019)=12),cubic_spline(F1007:F1019,A1007:A1019,B$9),""))))))))))))</f>
        <v/>
      </c>
      <c r="L1013" s="27" t="str">
        <f>IF(I1013="","",B$8&amp;"-"&amp;B$9)</f>
        <v/>
      </c>
      <c r="M1013" s="52" t="str">
        <f t="shared" ref="M1013:M1019" si="385">IF(N(J1013)=0,"",J1013-J1012)</f>
        <v/>
      </c>
    </row>
    <row r="1014" spans="1:13" x14ac:dyDescent="0.35">
      <c r="A1014" s="48"/>
      <c r="B1014" s="48"/>
      <c r="C1014" s="49"/>
      <c r="D1014" s="50"/>
      <c r="E1014" s="51" t="str">
        <f t="shared" si="384"/>
        <v/>
      </c>
      <c r="F1014" s="71" t="str">
        <f t="shared" si="381"/>
        <v/>
      </c>
      <c r="G1014" s="69" t="str">
        <f t="shared" si="383"/>
        <v/>
      </c>
      <c r="H1014" s="70" t="str">
        <f t="shared" si="382"/>
        <v/>
      </c>
      <c r="I1014" s="27" t="str">
        <f>IF(N(J1014)=0,"",0&amp;"-"&amp;B$10)</f>
        <v/>
      </c>
      <c r="J1014" s="52" t="str">
        <f>IF(N(B$10)=0,"",IF(AND(COUNT(H1008:H1019)=2,COUNT(F1008:F1019)=2),cubic_spline(F1007:F1009,H1007:H1009,B$10),IF(AND(COUNT(H1008:H1019)=3,COUNT(F1008:F1019)=3),cubic_spline(F1007:F1010,H1007:H1010,B$10),IF(AND(COUNT(H1008:H1019)=4,COUNT(F1008:F1019)=4),cubic_spline(F1007:F1011,H1007:H1011,B$10),IF(AND(COUNT(H1008:H1019)=5,COUNT(F1008:F1019)=5),cubic_spline(F1007:F1012,H1007:H1012,B$10),IF(AND(COUNT(H1008:H1019)=6,COUNT(F1008:F1019)=6),cubic_spline(F1007:F1013,H1007:H1013,B$10),IF(AND(COUNT(H1008:H1019)=7,COUNT(F1008:F1019)=7),cubic_spline(F1007:F1014,H1007:H1014,B$10),IF(AND(COUNT(H1008:H1019)=8,COUNT(F1008:F1019)=8),cubic_spline(F1007:F1015,H1007:H1015,B$10),IF(AND(COUNT(H1008:H1019)=9,COUNT(F1008:F1019)=9),cubic_spline(F1007:F1016,H1007:H1016,B$10),IF(AND(COUNT(H1008:H1019)=10,COUNT(F1008:F1019)=10),cubic_spline(F1007:F1017,H1007:H1017,B$10),IF(AND(COUNT(H1008:H1019)=11,COUNT(F1008:F1019)=11),cubic_spline(F1007:F1018,H1007:H1018,B$10),IF(AND(COUNT(H1008:H1019)=12,COUNT(F1008:F1019)=12),cubic_spline(F1007:F1019,H1007:H1019,B$10),""))))))))))))</f>
        <v/>
      </c>
      <c r="K1014" s="52" t="str">
        <f>IF(N(B$10)=0,"",IF(AND(COUNT(A1008:A1019)=2,COUNT(F1008:F1019)=2),cubic_spline(F1007:F1009,A1007:A1009,B$10),IF(AND(COUNT(A1008:A1019)=3,COUNT(F1008:F1019)=3),cubic_spline(F1007:F1010,A1007:A1010,B$10),IF(AND(COUNT(A1008:A1019)=4,COUNT(F1008:F1019)=4),cubic_spline(F1007:F1011,A1007:A1011,B$10),IF(AND(COUNT(A1008:A1019)=5,COUNT(F1008:F1019)=5),cubic_spline(F1007:F1012,A1007:A1012,B$10),IF(AND(COUNT(A1008:A1019)=6,COUNT(F1008:F1019)=6),cubic_spline(F1007:F1013,A1007:A1013,B$10),IF(AND(COUNT(A1008:A1019)=7,COUNT(F1008:F1019)=7),cubic_spline(F1007:F1014,A1007:A1014,B$10),IF(AND(COUNT(A1008:A1019)=8,COUNT(F1008:F1019)=8),cubic_spline(F1007:F1015,A1007:A1015,B$10),IF(AND(COUNT(A1008:A1019)=9,COUNT(F1008:F1019)=9),cubic_spline(F1007:F1016,A1007:A1016,B$10),IF(AND(COUNT(A1008:A1019)=10,COUNT(F1008:F1019)=10),cubic_spline(F1007:F1017,A1007:A1017,B$10),IF(AND(COUNT(A1008:A1019)=11,COUNT(F1008:F1019)=11),cubic_spline(F1007:F1018,A1007:A1018,B$10),IF(AND(COUNT(A1008:A1019)=12,COUNT(F1008:F1019)=12),cubic_spline(F1007:F1019,A1007:A1019,B$10),""))))))))))))</f>
        <v/>
      </c>
      <c r="L1014" s="27" t="str">
        <f>IF(I1014="","",B$9&amp;"-"&amp;B$10)</f>
        <v/>
      </c>
      <c r="M1014" s="52" t="str">
        <f t="shared" si="385"/>
        <v/>
      </c>
    </row>
    <row r="1015" spans="1:13" x14ac:dyDescent="0.35">
      <c r="A1015" s="48"/>
      <c r="B1015" s="48"/>
      <c r="C1015" s="49"/>
      <c r="D1015" s="50"/>
      <c r="E1015" s="51" t="str">
        <f t="shared" si="384"/>
        <v/>
      </c>
      <c r="F1015" s="71" t="str">
        <f t="shared" si="381"/>
        <v/>
      </c>
      <c r="G1015" s="69" t="str">
        <f t="shared" si="383"/>
        <v/>
      </c>
      <c r="H1015" s="70" t="str">
        <f t="shared" si="382"/>
        <v/>
      </c>
      <c r="I1015" s="27" t="str">
        <f>IF(N(J1015)=0,"",0&amp;"-"&amp;B$11)</f>
        <v/>
      </c>
      <c r="J1015" s="52" t="str">
        <f>IF(N(B$11)=0,"",IF(AND(COUNT(H1008:H1019)=2,COUNT(F1008:F1019)=2),cubic_spline(F1007:F1009,H1007:H1009,B$11),IF(AND(COUNT(H1008:H1019)=3,COUNT(F1008:F1019)=3),cubic_spline(F1007:F1010,H1007:H1010,B$11),IF(AND(COUNT(H1008:H1019)=4,COUNT(F1008:F1019)=4),cubic_spline(F1007:F1011,H1007:H1011,B$11),IF(AND(COUNT(H1008:H1019)=5,COUNT(F1008:F1019)=5),cubic_spline(F1007:F1012,H1007:H1012,B$11),IF(AND(COUNT(H1008:H1019)=6,COUNT(F1008:F1019)=6),cubic_spline(F1007:F1013,H1007:H1013,B$11),IF(AND(COUNT(H1008:H1019)=7,COUNT(F1008:F1019)=7),cubic_spline(F1007:F1014,H1007:H1014,B$11),IF(AND(COUNT(H1008:H1019)=8,COUNT(F1008:F1019)=8),cubic_spline(F1007:F1015,H1007:H1015,B$11),IF(AND(COUNT(H1008:H1019)=9,COUNT(F1008:F1019)=9),cubic_spline(F1007:F1016,H1007:H1016,B$11),IF(AND(COUNT(H1008:H1019)=10,COUNT(F1008:F1019)=10),cubic_spline(F1007:F1017,H1007:H1017,B$11),IF(AND(COUNT(H1008:H1019)=11,COUNT(F1008:F1019)=11),cubic_spline(F1007:F1018,H1007:H1018,B$11),IF(AND(COUNT(H1008:H1019)=12,COUNT(F1008:F1019)=12),cubic_spline(F1007:F1019,H1007:H1019,B$11),""))))))))))))</f>
        <v/>
      </c>
      <c r="K1015" s="52" t="str">
        <f>IF(N(B$11)=0,"",IF(AND(COUNT(A1008:A1019)=2,COUNT(F1008:F1019)=2),cubic_spline(F1007:F1009,A1007:A1009,B$11),IF(AND(COUNT(A1008:A1019)=3,COUNT(F1008:F1019)=3),cubic_spline(F1007:F1010,A1007:A1010,B$11),IF(AND(COUNT(A1008:A1019)=4,COUNT(F1008:F1019)=4),cubic_spline(F1007:F1011,A1007:A1011,B$11),IF(AND(COUNT(A1008:A1019)=5,COUNT(F1008:F1019)=5),cubic_spline(F1007:F1012,A1007:A1012,B$11),IF(AND(COUNT(A1008:A1019)=6,COUNT(F1008:F1019)=6),cubic_spline(F1007:F1013,A1007:A1013,B$11),IF(AND(COUNT(A1008:A1019)=7,COUNT(F1008:F1019)=7),cubic_spline(F1007:F1014,A1007:A1014,B$11),IF(AND(COUNT(A1008:A1019)=8,COUNT(F1008:F1019)=8),cubic_spline(F1007:F1015,A1007:A1015,B$11),IF(AND(COUNT(A1008:A1019)=9,COUNT(F1008:F1019)=9),cubic_spline(F1007:F1016,A1007:A1016,B$11),IF(AND(COUNT(A1008:A1019)=10,COUNT(F1008:F1019)=10),cubic_spline(F1007:F1017,A1007:A1017,B$11),IF(AND(COUNT(A1008:A1019)=11,COUNT(F1008:F1019)=11),cubic_spline(F1007:F1018,A1007:A1018,B$11),IF(AND(COUNT(A1008:A1019)=12,COUNT(F1008:F1019)=12),cubic_spline(F1007:F1019,A1007:A1019,B$11),""))))))))))))</f>
        <v/>
      </c>
      <c r="L1015" s="27" t="str">
        <f>IF(I1015="","",B$10&amp;"-"&amp;B$11)</f>
        <v/>
      </c>
      <c r="M1015" s="52" t="str">
        <f t="shared" si="385"/>
        <v/>
      </c>
    </row>
    <row r="1016" spans="1:13" x14ac:dyDescent="0.35">
      <c r="A1016" s="48"/>
      <c r="B1016" s="48"/>
      <c r="C1016" s="49"/>
      <c r="D1016" s="50"/>
      <c r="E1016" s="51" t="str">
        <f t="shared" si="384"/>
        <v/>
      </c>
      <c r="F1016" s="71" t="str">
        <f t="shared" si="381"/>
        <v/>
      </c>
      <c r="G1016" s="69" t="str">
        <f t="shared" si="383"/>
        <v/>
      </c>
      <c r="H1016" s="70" t="str">
        <f t="shared" si="382"/>
        <v/>
      </c>
      <c r="I1016" s="27" t="str">
        <f>IF(N(J1016)=0,"",0&amp;"-"&amp;B$12)</f>
        <v/>
      </c>
      <c r="J1016" s="52" t="str">
        <f>IF(N(B$12)=0,"",IF(AND(COUNT(H1008:H1019)=2,COUNT(F1008:F1019)=2),cubic_spline(F1007:F1009,H1007:H1009,B$12),IF(AND(COUNT(H1008:H1019)=3,COUNT(F1008:F1019)=3),cubic_spline(F1007:F1010,H1007:H1010,B$12),IF(AND(COUNT(H1008:H1019)=4,COUNT(F1008:F1019)=4),cubic_spline(F1007:F1011,H1007:H1011,B$12),IF(AND(COUNT(H1008:H1019)=5,COUNT(F1008:F1019)=5),cubic_spline(F1007:F1012,H1007:H1012,B$12),IF(AND(COUNT(H1008:H1019)=6,COUNT(F1008:F1019)=6),cubic_spline(F1007:F1013,H1007:H1013,B$12),IF(AND(COUNT(H1008:H1019)=7,COUNT(F1008:F1019)=7),cubic_spline(F1007:F1014,H1007:H1014,B$12),IF(AND(COUNT(H1008:H1019)=8,COUNT(F1008:F1019)=8),cubic_spline(F1007:F1015,H1007:H1015,B$12),IF(AND(COUNT(H1008:H1019)=9,COUNT(F1008:F1019)=9),cubic_spline(F1007:F1016,H1007:H1016,B$12),IF(AND(COUNT(H1008:H1019)=10,COUNT(F1008:F1019)=10),cubic_spline(F1007:F1017,H1007:H1017,B$12),IF(AND(COUNT(H1008:H1019)=11,COUNT(F1008:F1019)=11),cubic_spline(F1007:F1018,H1007:H1018,B$12),IF(AND(COUNT(H1008:H1019)=12,COUNT(F1008:F1019)=12),cubic_spline(F1007:F1019,H1007:H1019,B$12),""))))))))))))</f>
        <v/>
      </c>
      <c r="K1016" s="52" t="str">
        <f>IF(N(B$12)=0,"",IF(AND(COUNT(A1008:A1019)=2,COUNT(F1008:F1019)=2),cubic_spline(F1007:F1009,A1007:A1009,B$12),IF(AND(COUNT(A1008:A1019)=3,COUNT(F1008:F1019)=3),cubic_spline(F1007:F1010,A1007:A1010,B$12),IF(AND(COUNT(A1008:A1019)=4,COUNT(F1008:F1019)=4),cubic_spline(F1007:F1011,A1007:A1011,B$12),IF(AND(COUNT(A1008:A1019)=5,COUNT(F1008:F1019)=5),cubic_spline(F1007:F1012,A1007:A1012,B$12),IF(AND(COUNT(A1008:A1019)=6,COUNT(F1008:F1019)=6),cubic_spline(F1007:F1013,A1007:A1013,B$12),IF(AND(COUNT(A1008:A1019)=7,COUNT(F1008:F1019)=7),cubic_spline(F1007:F1014,A1007:A1014,B$12),IF(AND(COUNT(A1008:A1019)=8,COUNT(F1008:F1019)=8),cubic_spline(F1007:F1015,A1007:A1015,B$12),IF(AND(COUNT(A1008:A1019)=9,COUNT(F1008:F1019)=9),cubic_spline(F1007:F1016,A1007:A1016,B$12),IF(AND(COUNT(A1008:A1019)=10,COUNT(F1008:F1019)=10),cubic_spline(F1007:F1017,A1007:A1017,B$12),IF(AND(COUNT(A1008:A1019)=11,COUNT(F1008:F1019)=11),cubic_spline(F1007:F1018,A1007:A1018,B$12),IF(AND(COUNT(A1008:A1019)=12,COUNT(F1008:F1019)=12),cubic_spline(F1007:F1019,A1007:A1019,B$12),""))))))))))))</f>
        <v/>
      </c>
      <c r="L1016" s="27" t="str">
        <f>IF(I1016="","",B$11&amp;"-"&amp;B$12)</f>
        <v/>
      </c>
      <c r="M1016" s="52" t="str">
        <f t="shared" si="385"/>
        <v/>
      </c>
    </row>
    <row r="1017" spans="1:13" x14ac:dyDescent="0.35">
      <c r="A1017" s="48"/>
      <c r="B1017" s="48"/>
      <c r="C1017" s="49"/>
      <c r="D1017" s="50"/>
      <c r="E1017" s="51" t="str">
        <f t="shared" si="384"/>
        <v/>
      </c>
      <c r="F1017" s="71" t="str">
        <f t="shared" si="381"/>
        <v/>
      </c>
      <c r="G1017" s="69" t="str">
        <f t="shared" si="383"/>
        <v/>
      </c>
      <c r="H1017" s="70" t="str">
        <f t="shared" si="382"/>
        <v/>
      </c>
      <c r="I1017" s="27" t="str">
        <f>IF(N(J1017)=0,"",0&amp;"-"&amp;B$13)</f>
        <v/>
      </c>
      <c r="J1017" s="52" t="str">
        <f>IF(N(B$13)=0,"",IF(AND(COUNT(H1008:H1019)=2,COUNT(F1008:F1019)=2),cubic_spline(F1007:F1009,H1007:H1009,B$13),IF(AND(COUNT(H1008:H1019)=3,COUNT(F1008:F1019)=3),cubic_spline(F1007:F1010,H1007:H1010,B$13),IF(AND(COUNT(H1008:H1019)=4,COUNT(F1008:F1019)=4),cubic_spline(F1007:F1011,H1007:H1011,B$13),IF(AND(COUNT(H1008:H1019)=5,COUNT(F1008:F1019)=5),cubic_spline(F1007:F1012,H1007:H1012,B$13),IF(AND(COUNT(H1008:H1019)=6,COUNT(F1008:F1019)=6),cubic_spline(F1007:F1013,H1007:H1013,B$13),IF(AND(COUNT(H1008:H1019)=7,COUNT(F1008:F1019)=7),cubic_spline(F1007:F1014,H1007:H1014,B$13),IF(AND(COUNT(H1008:H1019)=8,COUNT(F1008:F1019)=8),cubic_spline(F1007:F1015,H1007:H1015,B$13),IF(AND(COUNT(H1008:H1019)=9,COUNT(F1008:F1019)=9),cubic_spline(F1007:F1016,H1007:H1016,B$13),IF(AND(COUNT(H1008:H1019)=10,COUNT(F1008:F1019)=10),cubic_spline(F1007:F1017,H1007:H1017,B$13),IF(AND(COUNT(H1008:H1019)=11,COUNT(F1008:F1019)=11),cubic_spline(F1007:F1018,H1007:H1018,B$13),IF(AND(COUNT(H1008:H1019)=12,COUNT(F1008:F1019)=12),cubic_spline(F1007:F1019,H1007:H1019,B$13),""))))))))))))</f>
        <v/>
      </c>
      <c r="K1017" s="52" t="str">
        <f>IF(N(B$13)=0,"",IF(AND(COUNT(A1008:A1019)=2,COUNT(F1008:F1019)=2),cubic_spline(F1007:F1009,A1007:A1009,B$13),IF(AND(COUNT(A1008:A1019)=3,COUNT(F1008:F1019)=3),cubic_spline(F1007:F1010,A1007:A1010,B$13),IF(AND(COUNT(A1008:A1019)=4,COUNT(F1008:F1019)=4),cubic_spline(F1007:F1011,A1007:A1011,B$13),IF(AND(COUNT(A1008:A1019)=5,COUNT(F1008:F1019)=5),cubic_spline(F1007:F1012,A1007:A1012,B$13),IF(AND(COUNT(A1008:A1019)=6,COUNT(F1008:F1019)=6),cubic_spline(F1007:F1013,A1007:A1013,B$13),IF(AND(COUNT(A1008:A1019)=7,COUNT(F1008:F1019)=7),cubic_spline(F1007:F1014,A1007:A1014,B$13),IF(AND(COUNT(A1008:A1019)=8,COUNT(F1008:F1019)=8),cubic_spline(F1007:F1015,A1007:A1015,B$13),IF(AND(COUNT(A1008:A1019)=9,COUNT(F1008:F1019)=9),cubic_spline(F1007:F1016,A1007:A1016,B$13),IF(AND(COUNT(A1008:A1019)=10,COUNT(F1008:F1019)=10),cubic_spline(F1007:F1017,A1007:A1017,B$13),IF(AND(COUNT(A1008:A1019)=11,COUNT(F1008:F1019)=11),cubic_spline(F1007:F1018,A1007:A1018,B$13),IF(AND(COUNT(A1008:A1019)=12,COUNT(F1008:F1019)=12),cubic_spline(F1007:F1019,A1007:A1019,B$13),""))))))))))))</f>
        <v/>
      </c>
      <c r="L1017" s="27" t="str">
        <f>IF(I1017="","",B$12&amp;"-"&amp;B$13)</f>
        <v/>
      </c>
      <c r="M1017" s="52" t="str">
        <f t="shared" si="385"/>
        <v/>
      </c>
    </row>
    <row r="1018" spans="1:13" x14ac:dyDescent="0.35">
      <c r="A1018" s="48"/>
      <c r="B1018" s="48"/>
      <c r="C1018" s="49"/>
      <c r="D1018" s="50"/>
      <c r="E1018" s="51" t="str">
        <f t="shared" si="384"/>
        <v/>
      </c>
      <c r="F1018" s="71" t="str">
        <f t="shared" si="381"/>
        <v/>
      </c>
      <c r="G1018" s="69" t="str">
        <f t="shared" si="383"/>
        <v/>
      </c>
      <c r="H1018" s="70" t="str">
        <f t="shared" si="382"/>
        <v/>
      </c>
      <c r="I1018" s="27" t="str">
        <f>IF(N(J1018)=0,"",0&amp;"-"&amp;B$14)</f>
        <v/>
      </c>
      <c r="J1018" s="52" t="str">
        <f>IF(N(B$14)=0,"",IF(AND(COUNT(H1008:H1019)=2,COUNT(F1008:F1019)=2),cubic_spline(F1007:F1009,H1007:H1009,B$14),IF(AND(COUNT(H1008:H1019)=3,COUNT(F1008:F1019)=3),cubic_spline(F1007:F1010,H1007:H1010,B$14),IF(AND(COUNT(H1008:H1019)=4,COUNT(F1008:F1019)=4),cubic_spline(F1007:F1011,H1007:H1011,B$14),IF(AND(COUNT(H1008:H1019)=5,COUNT(F1008:F1019)=5),cubic_spline(F1007:F1012,H1007:H1012,B$14),IF(AND(COUNT(H1008:H1019)=6,COUNT(F1008:F1019)=6),cubic_spline(F1007:F1013,H1007:H1013,B$14),IF(AND(COUNT(H1008:H1019)=7,COUNT(F1008:F1019)=7),cubic_spline(F1007:F1014,H1007:H1014,B$14),IF(AND(COUNT(H1008:H1019)=8,COUNT(F1008:F1019)=8),cubic_spline(F1007:F1015,H1007:H1015,B$14),IF(AND(COUNT(H1008:H1019)=9,COUNT(F1008:F1019)=9),cubic_spline(F1007:F1016,H1007:H1016,B$14),IF(AND(COUNT(H1008:H1019)=10,COUNT(F1008:F1019)=10),cubic_spline(F1007:F1017,H1007:H1017,B$14),IF(AND(COUNT(H1008:H1019)=11,COUNT(F1008:F1019)=11),cubic_spline(F1007:F1018,H1007:H1018,B$14),IF(AND(COUNT(H1008:H1019)=12,COUNT(F1008:F1019)=12),cubic_spline(F1007:F1019,H1007:H1019,B$14),""))))))))))))</f>
        <v/>
      </c>
      <c r="K1018" s="52" t="str">
        <f>IF(N(B$14)=0,"",IF(AND(COUNT(A1008:A1019)=2,COUNT(F1008:F1019)=2),cubic_spline(F1007:F1009,A1007:A1009,B$14),IF(AND(COUNT(A1008:A1019)=3,COUNT(F1008:F1019)=3),cubic_spline(F1007:F1010,A1007:A1010,B$14),IF(AND(COUNT(A1008:A1019)=4,COUNT(F1008:F1019)=4),cubic_spline(F1007:F1011,A1007:A1011,B$14),IF(AND(COUNT(A1008:A1019)=5,COUNT(F1008:F1019)=5),cubic_spline(F1007:F1012,A1007:A1012,B$14),IF(AND(COUNT(A1008:A1019)=6,COUNT(F1008:F1019)=6),cubic_spline(F1007:F1013,A1007:A1013,B$14),IF(AND(COUNT(A1008:A1019)=7,COUNT(F1008:F1019)=7),cubic_spline(F1007:F1014,A1007:A1014,B$14),IF(AND(COUNT(A1008:A1019)=8,COUNT(F1008:F1019)=8),cubic_spline(F1007:F1015,A1007:A1015,B$14),IF(AND(COUNT(A1008:A1019)=9,COUNT(F1008:F1019)=9),cubic_spline(F1007:F1016,A1007:A1016,B$14),IF(AND(COUNT(A1008:A1019)=10,COUNT(F1008:F1019)=10),cubic_spline(F1007:F1017,A1007:A1017,B$14),IF(AND(COUNT(A1008:A1019)=11,COUNT(F1008:F1019)=11),cubic_spline(F1007:F1018,A1007:A1018,B$14),IF(AND(COUNT(A1008:A1019)=12,COUNT(F1008:F1019)=12),cubic_spline(F1007:F1019,A1007:A1019,B$14),""))))))))))))</f>
        <v/>
      </c>
      <c r="L1018" s="27" t="str">
        <f>IF(I1018="","",B$13&amp;"-"&amp;B$14)</f>
        <v/>
      </c>
      <c r="M1018" s="52" t="str">
        <f t="shared" si="385"/>
        <v/>
      </c>
    </row>
    <row r="1019" spans="1:13" x14ac:dyDescent="0.35">
      <c r="A1019" s="48"/>
      <c r="B1019" s="48"/>
      <c r="C1019" s="49"/>
      <c r="D1019" s="50"/>
      <c r="E1019" s="51" t="str">
        <f t="shared" si="384"/>
        <v/>
      </c>
      <c r="F1019" s="71" t="str">
        <f t="shared" si="381"/>
        <v/>
      </c>
      <c r="G1019" s="69" t="str">
        <f t="shared" si="383"/>
        <v/>
      </c>
      <c r="H1019" s="70" t="str">
        <f t="shared" si="382"/>
        <v/>
      </c>
      <c r="I1019" s="27" t="str">
        <f>IF(N(J1019)=0,"",0&amp;"-"&amp;B$15)</f>
        <v/>
      </c>
      <c r="J1019" s="52" t="str">
        <f>IF(N(B$15)=0,"",IF(AND(COUNT(H1008:H1019)=2,COUNT(F1008:F1019)=2),cubic_spline(F1007:F1009,H1007:H1009,B$15),IF(AND(COUNT(H1008:H1019)=3,COUNT(F1008:F1019)=3),cubic_spline(F1007:F1010,H1007:H1010,B$15),IF(AND(COUNT(H1008:H1019)=4,COUNT(F1008:F1019)=4),cubic_spline(F1007:F1011,H1007:H1011,B$15),IF(AND(COUNT(H1008:H1019)=5,COUNT(F1008:F1019)=5),cubic_spline(F1007:F1012,H1007:H1012,B$15),IF(AND(COUNT(H1008:H1019)=6,COUNT(F1008:F1019)=6),cubic_spline(F1007:F1013,H1007:H1013,B$15),IF(AND(COUNT(H1008:H1019)=7,COUNT(F1008:F1019)=7),cubic_spline(F1007:F1014,H1007:H1014,B$15),IF(AND(COUNT(H1008:H1019)=8,COUNT(F1008:F1019)=8),cubic_spline(F1007:F1015,H1007:H1015,B$15),IF(AND(COUNT(H1008:H1019)=9,COUNT(F1008:F1019)=9),cubic_spline(F1007:F1016,H1007:H1016,B$15),IF(AND(COUNT(H1008:H1019)=10,COUNT(F1008:F1019)=10),cubic_spline(F1007:F1017,H1007:H1017,B$15),IF(AND(COUNT(H1008:H1019)=11,COUNT(F1008:F1019)=11),cubic_spline(F1007:F1018,H1007:H1018,B$15),IF(AND(COUNT(H1008:H1019)=12,COUNT(F1008:F1019)=12),cubic_spline(F1007:F1019,H1007:H1019,B$15),""))))))))))))</f>
        <v/>
      </c>
      <c r="K1019" s="52" t="str">
        <f>IF(N(B$15)=0,"",IF(AND(COUNT(A1008:A1019)=2,COUNT(F1008:F1019)=2),cubic_spline(F1007:F1009,A1007:A1009,B$15),IF(AND(COUNT(A1008:A1019)=3,COUNT(F1008:F1019)=3),cubic_spline(F1007:F1010,A1007:A1010,B$15),IF(AND(COUNT(A1008:A1019)=4,COUNT(F1008:F1019)=4),cubic_spline(F1007:F1011,A1007:A1011,B$15),IF(AND(COUNT(A1008:A1019)=5,COUNT(F1008:F1019)=5),cubic_spline(F1007:F1012,A1007:A1012,B$15),IF(AND(COUNT(A1008:A1019)=6,COUNT(F1008:F1019)=6),cubic_spline(F1007:F1013,A1007:A1013,B$15),IF(AND(COUNT(A1008:A1019)=7,COUNT(F1008:F1019)=7),cubic_spline(F1007:F1014,A1007:A1014,B$15),IF(AND(COUNT(A1008:A1019)=8,COUNT(F1008:F1019)=8),cubic_spline(F1007:F1015,A1007:A1015,B$15),IF(AND(COUNT(A1008:A1019)=9,COUNT(F1008:F1019)=9),cubic_spline(F1007:F1016,A1007:A1016,B$15),IF(AND(COUNT(A1008:A1019)=10,COUNT(F1008:F1019)=10),cubic_spline(F1007:F1017,A1007:A1017,B$15),IF(AND(COUNT(A1008:A1019)=11,COUNT(F1008:F1019)=11),cubic_spline(F1007:F1018,A1007:A1018,B$15),IF(AND(COUNT(A1008:A1019)=12,COUNT(F1008:F1019)=12),cubic_spline(F1007:F1019,A1007:A1019,B$15),""))))))))))))</f>
        <v/>
      </c>
      <c r="L1019" s="27" t="str">
        <f>IF(I1019="","",B$14&amp;"-"&amp;B$15)</f>
        <v/>
      </c>
      <c r="M1019" s="52" t="str">
        <f t="shared" si="385"/>
        <v/>
      </c>
    </row>
    <row r="1020" spans="1:13" ht="5.15" customHeight="1" x14ac:dyDescent="0.35">
      <c r="A1020" s="47"/>
      <c r="B1020" s="47"/>
      <c r="C1020" s="47"/>
      <c r="D1020" s="53"/>
      <c r="E1020" s="54"/>
      <c r="F1020" s="55"/>
      <c r="G1020" s="72"/>
      <c r="H1020" s="73"/>
      <c r="I1020" s="47"/>
      <c r="J1020" s="57"/>
      <c r="K1020" s="57"/>
      <c r="L1020" s="55"/>
      <c r="M1020" s="57"/>
    </row>
    <row r="1021" spans="1:13" x14ac:dyDescent="0.35">
      <c r="A1021" s="48"/>
      <c r="B1021" s="48"/>
      <c r="C1021" s="49"/>
      <c r="D1021" s="50"/>
      <c r="E1021" s="51" t="str">
        <f>IF(N(C1021)=0,"",C1021/PI()/($D$1/2)^2/$D$2*10000)</f>
        <v/>
      </c>
      <c r="F1021" s="68" t="str">
        <f t="shared" ref="F1021:F1032" si="386">IF(N(E1021)=0,"",(N(E1021)+N(F1020)))</f>
        <v/>
      </c>
      <c r="G1021" s="69" t="str">
        <f>IF(OR(N(D1021)=0,N(E1021)=0),"",(E1021*D1021)/1000)</f>
        <v/>
      </c>
      <c r="H1021" s="70" t="str">
        <f t="shared" ref="H1021:H1032" si="387">IF(N(G1021)=0,"",(N(G1021)+N(H1020)))</f>
        <v/>
      </c>
      <c r="I1021" s="27" t="str">
        <f>IF(N(J1021)=0,"",0&amp;"-"&amp;B$4)</f>
        <v/>
      </c>
      <c r="J1021" s="52" t="str">
        <f>IF(N(B$4)=0,"",IF(AND(COUNT(H1021:H1032)=2,COUNT(F1021:F1032)=2),cubic_spline(F1020:F1022,H1020:H1022,B$4),IF(AND(COUNT(H1021:H1032)=3,COUNT(F1021:F1032)=3),cubic_spline(F1020:F1023,H1020:H1023,B$4),IF(AND(COUNT(H1021:H1032)=4,COUNT(F1021:F1032)=4),cubic_spline(F1020:F1024,H1020:H1024,B$4),IF(AND(COUNT(H1021:H1032)=5,COUNT(F1021:F1032)=5),cubic_spline(F1020:F1025,H1020:H1025,B$4),IF(AND(COUNT(H1021:H1032)=6,COUNT(F1021:F1032)=6),cubic_spline(F1020:F1026,H1020:H1026,B$4),IF(AND(COUNT(H1021:H1032)=7,COUNT(F1021:F1032)=7),cubic_spline(F1020:F1027,H1020:H1027,B$4),IF(AND(COUNT(H1021:H1032)=8,COUNT(F1021:F1032)=8),cubic_spline(F1020:F1028,H1020:H1028,B$4),IF(AND(COUNT(H1021:H1032)=9,COUNT(F1021:F1032)=9),cubic_spline(F1020:F1029,H1020:H1029,B$4),IF(AND(COUNT(H1021:H1032)=10,COUNT(F1021:F1032)=10),cubic_spline(F1020:F1030,H1020:H1030,B$4),IF(AND(COUNT(H1021:H1032)=11,COUNT(F1021:F1032)=11),cubic_spline(F1020:F1031,H1020:H1031,B$4),IF(AND(COUNT(H1021:H1032)=12,COUNT(F1021:F1032)=12),cubic_spline(F1020:F1032,H1020:H1032,B$4),""))))))))))))</f>
        <v/>
      </c>
      <c r="K1021" s="52" t="str">
        <f>IF(N(B$4)=0,"",IF(AND(COUNT(A1021:A1032)=2,COUNT(F1021:F1032)=2),cubic_spline(F1020:F1022,A1020:A1022,B$4),IF(AND(COUNT(A1021:A1032)=3,COUNT(F1021:F1032)=3),cubic_spline(F1020:F1023,A1020:A1023,B$4),IF(AND(COUNT(A1021:A1032)=4,COUNT(F1021:F1032)=4),cubic_spline(F1020:F1024,A1020:A1024,B$4),IF(AND(COUNT(A1021:A1032)=5,COUNT(F1021:F1032)=5),cubic_spline(F1020:F1025,A1020:A1025,B$4),IF(AND(COUNT(A1021:A1032)=6,COUNT(F1021:F1032)=6),cubic_spline(F1020:F1026,A1020:A1026,B$4),IF(AND(COUNT(A1021:A1032)=7,COUNT(F1021:F1032)=7),cubic_spline(F1020:F1027,A1020:A1027,B$4),IF(AND(COUNT(A1021:A1032)=8,COUNT(F1021:F1032)=8),cubic_spline(F1020:F1028,A1020:A1028,B$4),IF(AND(COUNT(A1021:A1032)=9,COUNT(F1021:F1032)=9),cubic_spline(F1020:F1029,A1020:A1029,B$4),IF(AND(COUNT(A1021:A1032)=10,COUNT(F1021:F1032)=10),cubic_spline(F1020:F1030,A1020:A1030,B$4),IF(AND(COUNT(A1021:A1032)=11,COUNT(F1021:F1032)=11),cubic_spline(F1020:F1031,A1020:A1031,B$4),IF(AND(COUNT(A1021:A1032)=12,COUNT(F1021:F1032)=12),cubic_spline(F1020:F1032,A1020:A1032,B$4),""))))))))))))</f>
        <v/>
      </c>
      <c r="L1021" s="27" t="str">
        <f>IF(I1021="","",0&amp;"-"&amp;B$4)</f>
        <v/>
      </c>
      <c r="M1021" s="52" t="str">
        <f>IF(N(J1021)=0,"",J1021-J1020)</f>
        <v/>
      </c>
    </row>
    <row r="1022" spans="1:13" x14ac:dyDescent="0.35">
      <c r="A1022" s="48"/>
      <c r="B1022" s="48"/>
      <c r="C1022" s="49"/>
      <c r="D1022" s="50"/>
      <c r="E1022" s="51" t="str">
        <f>IF(N(C1022)=0,"",C1022/PI()/($D$1/2)^2/$D$2*10000)</f>
        <v/>
      </c>
      <c r="F1022" s="68" t="str">
        <f t="shared" si="386"/>
        <v/>
      </c>
      <c r="G1022" s="69" t="str">
        <f t="shared" ref="G1022:G1032" si="388">IF(OR(N(D1022)=0,N(E1022)=0),"",(E1022*D1022)/1000)</f>
        <v/>
      </c>
      <c r="H1022" s="70" t="str">
        <f t="shared" si="387"/>
        <v/>
      </c>
      <c r="I1022" s="27" t="str">
        <f>IF(N(J1022)=0,"",0&amp;"-"&amp;B$5)</f>
        <v/>
      </c>
      <c r="J1022" s="52" t="str">
        <f>IF(N(B$5)=0,"",IF(AND(COUNT(H1021:H1032)=2,COUNT(F1021:F1032)=2),cubic_spline(F1020:F1022,H1020:H1022,B$5),IF(AND(COUNT(H1021:H1032)=3,COUNT(F1021:F1032)=3),cubic_spline(F1020:F1023,H1020:H1023,B$5),IF(AND(COUNT(H1021:H1032)=4,COUNT(F1021:F1032)=4),cubic_spline(F1020:F1024,H1020:H1024,B$5),IF(AND(COUNT(H1021:H1032)=5,COUNT(F1021:F1032)=5),cubic_spline(F1020:F1025,H1020:H1025,B$5),IF(AND(COUNT(H1021:H1032)=6,COUNT(F1021:F1032)=6),cubic_spline(F1020:F1026,H1020:H1026,B$5),IF(AND(COUNT(H1021:H1032)=7,COUNT(F1021:F1032)=7),cubic_spline(F1020:F1027,H1020:H1027,B$5),IF(AND(COUNT(H1021:H1032)=8,COUNT(F1021:F1032)=8),cubic_spline(F1020:F1028,H1020:H1028,B$5),IF(AND(COUNT(H1021:H1032)=9,COUNT(F1021:F1032)=9),cubic_spline(F1020:F1029,H1020:H1029,B$5),IF(AND(COUNT(H1021:H1032)=10,COUNT(F1021:F1032)=10),cubic_spline(F1020:F1030,H1020:H1030,B$5),IF(AND(COUNT(H1021:H1032)=11,COUNT(F1021:F1032)=11),cubic_spline(F1020:F1031,H1020:H1031,B$5),IF(AND(COUNT(H1021:H1032)=12,COUNT(F1021:F1032)=12),cubic_spline(F1020:F1032,H1020:H1032,B$5),""))))))))))))</f>
        <v/>
      </c>
      <c r="K1022" s="52" t="str">
        <f>IF(N(B$5)=0,"",IF(AND(COUNT(A1021:A1032)=2,COUNT(F1021:F1032)=2),cubic_spline(F1020:F1022,A1020:A1022,B$5),IF(AND(COUNT(A1021:A1032)=3,COUNT(F1021:F1032)=3),cubic_spline(F1020:F1023,A1020:A1023,B$5),IF(AND(COUNT(A1021:A1032)=4,COUNT(F1021:F1032)=4),cubic_spline(F1020:F1024,A1020:A1024,B$5),IF(AND(COUNT(A1021:A1032)=5,COUNT(F1021:F1032)=5),cubic_spline(F1020:F1025,A1020:A1025,B$5),IF(AND(COUNT(A1021:A1032)=6,COUNT(F1021:F1032)=6),cubic_spline(F1020:F1026,A1020:A1026,B$5),IF(AND(COUNT(A1021:A1032)=7,COUNT(F1021:F1032)=7),cubic_spline(F1020:F1027,A1020:A1027,B$5),IF(AND(COUNT(A1021:A1032)=8,COUNT(F1021:F1032)=8),cubic_spline(F1020:F1028,A1020:A1028,B$5),IF(AND(COUNT(A1021:A1032)=9,COUNT(F1021:F1032)=9),cubic_spline(F1020:F1029,A1020:A1029,B$5),IF(AND(COUNT(A1021:A1032)=10,COUNT(F1021:F1032)=10),cubic_spline(F1020:F1030,A1020:A1030,B$5),IF(AND(COUNT(A1021:A1032)=11,COUNT(F1021:F1032)=11),cubic_spline(F1020:F1031,A1020:A1031,B$5),IF(AND(COUNT(A1021:A1032)=12,COUNT(F1021:F1032)=12),cubic_spline(F1020:F1032,A1020:A1032,B$5),""))))))))))))</f>
        <v/>
      </c>
      <c r="L1022" s="27" t="str">
        <f>IF(I1022="","",B$4&amp;"-"&amp;B$5)</f>
        <v/>
      </c>
      <c r="M1022" s="52" t="str">
        <f>IF(N(J1022)=0,"",J1022-J1021)</f>
        <v/>
      </c>
    </row>
    <row r="1023" spans="1:13" x14ac:dyDescent="0.35">
      <c r="A1023" s="48"/>
      <c r="B1023" s="48"/>
      <c r="C1023" s="49"/>
      <c r="D1023" s="50"/>
      <c r="E1023" s="51" t="str">
        <f>IF(N(C1023)=0,"",C1023/PI()/($D$1/2)^2/$D$2*10000)</f>
        <v/>
      </c>
      <c r="F1023" s="68" t="str">
        <f t="shared" si="386"/>
        <v/>
      </c>
      <c r="G1023" s="69" t="str">
        <f t="shared" si="388"/>
        <v/>
      </c>
      <c r="H1023" s="70" t="str">
        <f t="shared" si="387"/>
        <v/>
      </c>
      <c r="I1023" s="27" t="str">
        <f>IF(N(J1023)=0,"",0&amp;"-"&amp;B$6)</f>
        <v/>
      </c>
      <c r="J1023" s="52" t="str">
        <f>IF(N(B$6)=0,"",IF(AND(COUNT(H1021:H1032)=2,COUNT(F1021:F1032)=2),cubic_spline(F1020:F1022,H1020:H1022,B$6),IF(AND(COUNT(H1021:H1032)=3,COUNT(F1021:F1032)=3),cubic_spline(F1020:F1023,H1020:H1023,B$6),IF(AND(COUNT(H1021:H1032)=4,COUNT(F1021:F1032)=4),cubic_spline(F1020:F1024,H1020:H1024,B$6),IF(AND(COUNT(H1021:H1032)=5,COUNT(F1021:F1032)=5),cubic_spline(F1020:F1025,H1020:H1025,B$6),IF(AND(COUNT(H1021:H1032)=6,COUNT(F1021:F1032)=6),cubic_spline(F1020:F1026,H1020:H1026,B$6),IF(AND(COUNT(H1021:H1032)=7,COUNT(F1021:F1032)=7),cubic_spline(F1020:F1027,H1020:H1027,B$6),IF(AND(COUNT(H1021:H1032)=8,COUNT(F1021:F1032)=8),cubic_spline(F1020:F1028,H1020:H1028,B$6),IF(AND(COUNT(H1021:H1032)=9,COUNT(F1021:F1032)=9),cubic_spline(F1020:F1029,H1020:H1029,B$6),IF(AND(COUNT(H1021:H1032)=10,COUNT(F1021:F1032)=10),cubic_spline(F1020:F1030,H1020:H1030,B$6),IF(AND(COUNT(H1021:H1032)=11,COUNT(F1021:F1032)=11),cubic_spline(F1020:F1031,H1020:H1031,B$6),IF(AND(COUNT(H1021:H1032)=12,COUNT(F1021:F1032)=12),cubic_spline(F1020:F1032,H1020:H1032,B$6),""))))))))))))</f>
        <v/>
      </c>
      <c r="K1023" s="52" t="str">
        <f>IF(N(B$6)=0,"",IF(AND(COUNT(A1021:A1032)=2,COUNT(F1021:F1032)=2),cubic_spline(F1020:F1022,A1020:A1022,B$6),IF(AND(COUNT(A1021:A1032)=3,COUNT(F1021:F1032)=3),cubic_spline(F1020:F1023,A1020:A1023,B$6),IF(AND(COUNT(A1021:A1032)=4,COUNT(F1021:F1032)=4),cubic_spline(F1020:F1024,A1020:A1024,B$6),IF(AND(COUNT(A1021:A1032)=5,COUNT(F1021:F1032)=5),cubic_spline(F1020:F1025,A1020:A1025,B$6),IF(AND(COUNT(A1021:A1032)=6,COUNT(F1021:F1032)=6),cubic_spline(F1020:F1026,A1020:A1026,B$6),IF(AND(COUNT(A1021:A1032)=7,COUNT(F1021:F1032)=7),cubic_spline(F1020:F1027,A1020:A1027,B$6),IF(AND(COUNT(A1021:A1032)=8,COUNT(F1021:F1032)=8),cubic_spline(F1020:F1028,A1020:A1028,B$6),IF(AND(COUNT(A1021:A1032)=9,COUNT(F1021:F1032)=9),cubic_spline(F1020:F1029,A1020:A1029,B$6),IF(AND(COUNT(A1021:A1032)=10,COUNT(F1021:F1032)=10),cubic_spline(F1020:F1030,A1020:A1030,B$6),IF(AND(COUNT(A1021:A1032)=11,COUNT(F1021:F1032)=11),cubic_spline(F1020:F1031,A1020:A1031,B$6),IF(AND(COUNT(A1021:A1032)=12,COUNT(F1021:F1032)=12),cubic_spline(F1020:F1032,A1020:A1032,B$6),""))))))))))))</f>
        <v/>
      </c>
      <c r="L1023" s="27" t="str">
        <f>IF(I1023="","",B$5&amp;"-"&amp;B$6)</f>
        <v/>
      </c>
      <c r="M1023" s="52" t="str">
        <f>IF(N(J1023)=0,"",J1023-J1022)</f>
        <v/>
      </c>
    </row>
    <row r="1024" spans="1:13" x14ac:dyDescent="0.35">
      <c r="A1024" s="48"/>
      <c r="B1024" s="48"/>
      <c r="C1024" s="49"/>
      <c r="D1024" s="50"/>
      <c r="E1024" s="51" t="str">
        <f>IF(N(C1024)=0,"",C1024/PI()/($D$1/2)^2/$D$2*10000)</f>
        <v/>
      </c>
      <c r="F1024" s="68" t="str">
        <f t="shared" si="386"/>
        <v/>
      </c>
      <c r="G1024" s="69" t="str">
        <f t="shared" si="388"/>
        <v/>
      </c>
      <c r="H1024" s="70" t="str">
        <f t="shared" si="387"/>
        <v/>
      </c>
      <c r="I1024" s="27" t="str">
        <f>IF(N(J1024)=0,"",0&amp;"-"&amp;B$7)</f>
        <v/>
      </c>
      <c r="J1024" s="52" t="str">
        <f>IF(N(B$7)=0,"",IF(AND(COUNT(H1021:H1032)=2,COUNT(F1021:F1032)=2),cubic_spline(F1020:F1022,H1020:H1022,B$7),IF(AND(COUNT(H1021:H1032)=3,COUNT(F1021:F1032)=3),cubic_spline(F1020:F1023,H1020:H1023,B$7),IF(AND(COUNT(H1021:H1032)=4,COUNT(F1021:F1032)=4),cubic_spline(F1020:F1024,H1020:H1024,B$7),IF(AND(COUNT(H1021:H1032)=5,COUNT(F1021:F1032)=5),cubic_spline(F1020:F1025,H1020:H1025,B$7),IF(AND(COUNT(H1021:H1032)=6,COUNT(F1021:F1032)=6),cubic_spline(F1020:F1026,H1020:H1026,B$7),IF(AND(COUNT(H1021:H1032)=7,COUNT(F1021:F1032)=7),cubic_spline(F1020:F1027,H1020:H1027,B$7),IF(AND(COUNT(H1021:H1032)=8,COUNT(F1021:F1032)=8),cubic_spline(F1020:F1028,H1020:H1028,B$7),IF(AND(COUNT(H1021:H1032)=9,COUNT(F1021:F1032)=9),cubic_spline(F1020:F1029,H1020:H1029,B$7),IF(AND(COUNT(H1021:H1032)=10,COUNT(F1021:F1032)=10),cubic_spline(F1020:F1030,H1020:H1030,B$7),IF(AND(COUNT(H1021:H1032)=11,COUNT(F1021:F1032)=11),cubic_spline(F1020:F1031,H1020:H1031,B$7),IF(AND(COUNT(H1021:H1032)=12,COUNT(F1021:F1032)=12),cubic_spline(F1020:F1032,H1020:H1032,B$7),""))))))))))))</f>
        <v/>
      </c>
      <c r="K1024" s="52" t="str">
        <f>IF(N(B$7)=0,"",IF(AND(COUNT(A1021:A1032)=2,COUNT(F1021:F1032)=2),cubic_spline(F1020:F1022,A1020:A1022,B$7),IF(AND(COUNT(A1021:A1032)=3,COUNT(F1021:F1032)=3),cubic_spline(F1020:F1023,A1020:A1023,B$7),IF(AND(COUNT(A1021:A1032)=4,COUNT(F1021:F1032)=4),cubic_spline(F1020:F1024,A1020:A1024,B$7),IF(AND(COUNT(A1021:A1032)=5,COUNT(F1021:F1032)=5),cubic_spline(F1020:F1025,A1020:A1025,B$7),IF(AND(COUNT(A1021:A1032)=6,COUNT(F1021:F1032)=6),cubic_spline(F1020:F1026,A1020:A1026,B$7),IF(AND(COUNT(A1021:A1032)=7,COUNT(F1021:F1032)=7),cubic_spline(F1020:F1027,A1020:A1027,B$7),IF(AND(COUNT(A1021:A1032)=8,COUNT(F1021:F1032)=8),cubic_spline(F1020:F1028,A1020:A1028,B$7),IF(AND(COUNT(A1021:A1032)=9,COUNT(F1021:F1032)=9),cubic_spline(F1020:F1029,A1020:A1029,B$7),IF(AND(COUNT(A1021:A1032)=10,COUNT(F1021:F1032)=10),cubic_spline(F1020:F1030,A1020:A1030,B$7),IF(AND(COUNT(A1021:A1032)=11,COUNT(F1021:F1032)=11),cubic_spline(F1020:F1031,A1020:A1031,B$7),IF(AND(COUNT(A1021:A1032)=12,COUNT(F1021:F1032)=12),cubic_spline(F1020:F1032,A1020:A1032,B$7),""))))))))))))</f>
        <v/>
      </c>
      <c r="L1024" s="27" t="str">
        <f>IF(I1024="","",B$6&amp;"-"&amp;B$7)</f>
        <v/>
      </c>
      <c r="M1024" s="52" t="str">
        <f>IF(N(J1024)=0,"",J1024-J1023)</f>
        <v/>
      </c>
    </row>
    <row r="1025" spans="1:13" x14ac:dyDescent="0.35">
      <c r="A1025" s="48"/>
      <c r="B1025" s="48"/>
      <c r="C1025" s="49"/>
      <c r="D1025" s="50"/>
      <c r="E1025" s="51" t="str">
        <f t="shared" ref="E1025:E1032" si="389">IF(N(C1025)=0,"",C1025/PI()/($D$1/2)^2/$D$2*10000)</f>
        <v/>
      </c>
      <c r="F1025" s="71" t="str">
        <f t="shared" si="386"/>
        <v/>
      </c>
      <c r="G1025" s="69" t="str">
        <f t="shared" si="388"/>
        <v/>
      </c>
      <c r="H1025" s="70" t="str">
        <f t="shared" si="387"/>
        <v/>
      </c>
      <c r="I1025" s="27" t="str">
        <f>IF(N(J1025)=0,"",0&amp;"-"&amp;B$8)</f>
        <v/>
      </c>
      <c r="J1025" s="52" t="str">
        <f>IF(N(B$8)=0,"",IF(AND(COUNT(H1021:H1032)=2,COUNT(F1021:F1032)=2),cubic_spline(F1020:F1022,H1020:H1022,B$8),IF(AND(COUNT(H1021:H1032)=3,COUNT(F1021:F1032)=3),cubic_spline(F1020:F1023,H1020:H1023,B$8),IF(AND(COUNT(H1021:H1032)=4,COUNT(F1021:F1032)=4),cubic_spline(F1020:F1024,H1020:H1024,B$8),IF(AND(COUNT(H1021:H1032)=5,COUNT(F1021:F1032)=5),cubic_spline(F1020:F1025,H1020:H1025,B$8),IF(AND(COUNT(H1021:H1032)=6,COUNT(F1021:F1032)=6),cubic_spline(F1020:F1026,H1020:H1026,B$8),IF(AND(COUNT(H1021:H1032)=7,COUNT(F1021:F1032)=7),cubic_spline(F1020:F1027,H1020:H1027,B$8),IF(AND(COUNT(H1021:H1032)=8,COUNT(F1021:F1032)=8),cubic_spline(F1020:F1028,H1020:H1028,B$8),IF(AND(COUNT(H1021:H1032)=9,COUNT(F1021:F1032)=9),cubic_spline(F1020:F1029,H1020:H1029,B$8),IF(AND(COUNT(H1021:H1032)=10,COUNT(F1021:F1032)=10),cubic_spline(F1020:F1030,H1020:H1030,B$8),IF(AND(COUNT(H1021:H1032)=11,COUNT(F1021:F1032)=11),cubic_spline(F1020:F1031,H1020:H1031,B$8),IF(AND(COUNT(H1021:H1032)=12,COUNT(F1021:F1032)=12),cubic_spline(F1020:F1032,H1020:H1032,B$8),""))))))))))))</f>
        <v/>
      </c>
      <c r="K1025" s="52" t="str">
        <f>IF(N(B$8)=0,"",IF(AND(COUNT(A1021:A1032)=2,COUNT(F1021:F1032)=2),cubic_spline(F1020:F1022,A1020:A1022,B$8),IF(AND(COUNT(A1021:A1032)=3,COUNT(F1021:F1032)=3),cubic_spline(F1020:F1023,A1020:A1023,B$8),IF(AND(COUNT(A1021:A1032)=4,COUNT(F1021:F1032)=4),cubic_spline(F1020:F1024,A1020:A1024,B$8),IF(AND(COUNT(A1021:A1032)=5,COUNT(F1021:F1032)=5),cubic_spline(F1020:F1025,A1020:A1025,B$8),IF(AND(COUNT(A1021:A1032)=6,COUNT(F1021:F1032)=6),cubic_spline(F1020:F1026,A1020:A1026,B$8),IF(AND(COUNT(A1021:A1032)=7,COUNT(F1021:F1032)=7),cubic_spline(F1020:F1027,A1020:A1027,B$8),IF(AND(COUNT(A1021:A1032)=8,COUNT(F1021:F1032)=8),cubic_spline(F1020:F1028,A1020:A1028,B$8),IF(AND(COUNT(A1021:A1032)=9,COUNT(F1021:F1032)=9),cubic_spline(F1020:F1029,A1020:A1029,B$8),IF(AND(COUNT(A1021:A1032)=10,COUNT(F1021:F1032)=10),cubic_spline(F1020:F1030,A1020:A1030,B$8),IF(AND(COUNT(A1021:A1032)=11,COUNT(F1021:F1032)=11),cubic_spline(F1020:F1031,A1020:A1031,B$8),IF(AND(COUNT(A1021:A1032)=12,COUNT(F1021:F1032)=12),cubic_spline(F1020:F1032,A1020:A1032,B$8),""))))))))))))</f>
        <v/>
      </c>
      <c r="L1025" s="27" t="str">
        <f>IF(I1025="","",B$7&amp;"-"&amp;B$8)</f>
        <v/>
      </c>
      <c r="M1025" s="52" t="str">
        <f>IF(N(J1025)=0,"",J1025-J1024)</f>
        <v/>
      </c>
    </row>
    <row r="1026" spans="1:13" x14ac:dyDescent="0.35">
      <c r="A1026" s="48"/>
      <c r="B1026" s="48"/>
      <c r="C1026" s="49"/>
      <c r="D1026" s="50"/>
      <c r="E1026" s="51" t="str">
        <f t="shared" si="389"/>
        <v/>
      </c>
      <c r="F1026" s="71" t="str">
        <f t="shared" si="386"/>
        <v/>
      </c>
      <c r="G1026" s="69" t="str">
        <f t="shared" si="388"/>
        <v/>
      </c>
      <c r="H1026" s="70" t="str">
        <f t="shared" si="387"/>
        <v/>
      </c>
      <c r="I1026" s="27" t="str">
        <f>IF(N(J1026)=0,"",0&amp;"-"&amp;B$9)</f>
        <v/>
      </c>
      <c r="J1026" s="52" t="str">
        <f>IF(N(B$9)=0,"",IF(AND(COUNT(H1021:H1032)=2,COUNT(F1021:F1032)=2),cubic_spline(F1020:F1022,H1020:H1022,B$9),IF(AND(COUNT(H1021:H1032)=3,COUNT(F1021:F1032)=3),cubic_spline(F1020:F1023,H1020:H1023,B$9),IF(AND(COUNT(H1021:H1032)=4,COUNT(F1021:F1032)=4),cubic_spline(F1020:F1024,H1020:H1024,B$9),IF(AND(COUNT(H1021:H1032)=5,COUNT(F1021:F1032)=5),cubic_spline(F1020:F1025,H1020:H1025,B$9),IF(AND(COUNT(H1021:H1032)=6,COUNT(F1021:F1032)=6),cubic_spline(F1020:F1026,H1020:H1026,B$9),IF(AND(COUNT(H1021:H1032)=7,COUNT(F1021:F1032)=7),cubic_spline(F1020:F1027,H1020:H1027,B$9),IF(AND(COUNT(H1021:H1032)=8,COUNT(F1021:F1032)=8),cubic_spline(F1020:F1028,H1020:H1028,B$9),IF(AND(COUNT(H1021:H1032)=9,COUNT(F1021:F1032)=9),cubic_spline(F1020:F1029,H1020:H1029,B$9),IF(AND(COUNT(H1021:H1032)=10,COUNT(F1021:F1032)=10),cubic_spline(F1020:F1030,H1020:H1030,B$9),IF(AND(COUNT(H1021:H1032)=11,COUNT(F1021:F1032)=11),cubic_spline(F1020:F1031,H1020:H1031,B$9),IF(AND(COUNT(H1021:H1032)=12,COUNT(F1021:F1032)=12),cubic_spline(F1020:F1032,H1020:H1032,B$9),""))))))))))))</f>
        <v/>
      </c>
      <c r="K1026" s="52" t="str">
        <f>IF(N(B$9)=0,"",IF(AND(COUNT(A1021:A1032)=2,COUNT(F1021:F1032)=2),cubic_spline(F1020:F1022,A1020:A1022,B$9),IF(AND(COUNT(A1021:A1032)=3,COUNT(F1021:F1032)=3),cubic_spline(F1020:F1023,A1020:A1023,B$9),IF(AND(COUNT(A1021:A1032)=4,COUNT(F1021:F1032)=4),cubic_spline(F1020:F1024,A1020:A1024,B$9),IF(AND(COUNT(A1021:A1032)=5,COUNT(F1021:F1032)=5),cubic_spline(F1020:F1025,A1020:A1025,B$9),IF(AND(COUNT(A1021:A1032)=6,COUNT(F1021:F1032)=6),cubic_spline(F1020:F1026,A1020:A1026,B$9),IF(AND(COUNT(A1021:A1032)=7,COUNT(F1021:F1032)=7),cubic_spline(F1020:F1027,A1020:A1027,B$9),IF(AND(COUNT(A1021:A1032)=8,COUNT(F1021:F1032)=8),cubic_spline(F1020:F1028,A1020:A1028,B$9),IF(AND(COUNT(A1021:A1032)=9,COUNT(F1021:F1032)=9),cubic_spline(F1020:F1029,A1020:A1029,B$9),IF(AND(COUNT(A1021:A1032)=10,COUNT(F1021:F1032)=10),cubic_spline(F1020:F1030,A1020:A1030,B$9),IF(AND(COUNT(A1021:A1032)=11,COUNT(F1021:F1032)=11),cubic_spline(F1020:F1031,A1020:A1031,B$9),IF(AND(COUNT(A1021:A1032)=12,COUNT(F1021:F1032)=12),cubic_spline(F1020:F1032,A1020:A1032,B$9),""))))))))))))</f>
        <v/>
      </c>
      <c r="L1026" s="27" t="str">
        <f>IF(I1026="","",B$8&amp;"-"&amp;B$9)</f>
        <v/>
      </c>
      <c r="M1026" s="52" t="str">
        <f t="shared" ref="M1026:M1032" si="390">IF(N(J1026)=0,"",J1026-J1025)</f>
        <v/>
      </c>
    </row>
    <row r="1027" spans="1:13" x14ac:dyDescent="0.35">
      <c r="A1027" s="48"/>
      <c r="B1027" s="48"/>
      <c r="C1027" s="49"/>
      <c r="D1027" s="50"/>
      <c r="E1027" s="51" t="str">
        <f t="shared" si="389"/>
        <v/>
      </c>
      <c r="F1027" s="71" t="str">
        <f t="shared" si="386"/>
        <v/>
      </c>
      <c r="G1027" s="69" t="str">
        <f t="shared" si="388"/>
        <v/>
      </c>
      <c r="H1027" s="70" t="str">
        <f t="shared" si="387"/>
        <v/>
      </c>
      <c r="I1027" s="27" t="str">
        <f>IF(N(J1027)=0,"",0&amp;"-"&amp;B$10)</f>
        <v/>
      </c>
      <c r="J1027" s="52" t="str">
        <f>IF(N(B$10)=0,"",IF(AND(COUNT(H1021:H1032)=2,COUNT(F1021:F1032)=2),cubic_spline(F1020:F1022,H1020:H1022,B$10),IF(AND(COUNT(H1021:H1032)=3,COUNT(F1021:F1032)=3),cubic_spline(F1020:F1023,H1020:H1023,B$10),IF(AND(COUNT(H1021:H1032)=4,COUNT(F1021:F1032)=4),cubic_spline(F1020:F1024,H1020:H1024,B$10),IF(AND(COUNT(H1021:H1032)=5,COUNT(F1021:F1032)=5),cubic_spline(F1020:F1025,H1020:H1025,B$10),IF(AND(COUNT(H1021:H1032)=6,COUNT(F1021:F1032)=6),cubic_spline(F1020:F1026,H1020:H1026,B$10),IF(AND(COUNT(H1021:H1032)=7,COUNT(F1021:F1032)=7),cubic_spline(F1020:F1027,H1020:H1027,B$10),IF(AND(COUNT(H1021:H1032)=8,COUNT(F1021:F1032)=8),cubic_spline(F1020:F1028,H1020:H1028,B$10),IF(AND(COUNT(H1021:H1032)=9,COUNT(F1021:F1032)=9),cubic_spline(F1020:F1029,H1020:H1029,B$10),IF(AND(COUNT(H1021:H1032)=10,COUNT(F1021:F1032)=10),cubic_spline(F1020:F1030,H1020:H1030,B$10),IF(AND(COUNT(H1021:H1032)=11,COUNT(F1021:F1032)=11),cubic_spline(F1020:F1031,H1020:H1031,B$10),IF(AND(COUNT(H1021:H1032)=12,COUNT(F1021:F1032)=12),cubic_spline(F1020:F1032,H1020:H1032,B$10),""))))))))))))</f>
        <v/>
      </c>
      <c r="K1027" s="52" t="str">
        <f>IF(N(B$10)=0,"",IF(AND(COUNT(A1021:A1032)=2,COUNT(F1021:F1032)=2),cubic_spline(F1020:F1022,A1020:A1022,B$10),IF(AND(COUNT(A1021:A1032)=3,COUNT(F1021:F1032)=3),cubic_spline(F1020:F1023,A1020:A1023,B$10),IF(AND(COUNT(A1021:A1032)=4,COUNT(F1021:F1032)=4),cubic_spline(F1020:F1024,A1020:A1024,B$10),IF(AND(COUNT(A1021:A1032)=5,COUNT(F1021:F1032)=5),cubic_spline(F1020:F1025,A1020:A1025,B$10),IF(AND(COUNT(A1021:A1032)=6,COUNT(F1021:F1032)=6),cubic_spline(F1020:F1026,A1020:A1026,B$10),IF(AND(COUNT(A1021:A1032)=7,COUNT(F1021:F1032)=7),cubic_spline(F1020:F1027,A1020:A1027,B$10),IF(AND(COUNT(A1021:A1032)=8,COUNT(F1021:F1032)=8),cubic_spline(F1020:F1028,A1020:A1028,B$10),IF(AND(COUNT(A1021:A1032)=9,COUNT(F1021:F1032)=9),cubic_spline(F1020:F1029,A1020:A1029,B$10),IF(AND(COUNT(A1021:A1032)=10,COUNT(F1021:F1032)=10),cubic_spline(F1020:F1030,A1020:A1030,B$10),IF(AND(COUNT(A1021:A1032)=11,COUNT(F1021:F1032)=11),cubic_spline(F1020:F1031,A1020:A1031,B$10),IF(AND(COUNT(A1021:A1032)=12,COUNT(F1021:F1032)=12),cubic_spline(F1020:F1032,A1020:A1032,B$10),""))))))))))))</f>
        <v/>
      </c>
      <c r="L1027" s="27" t="str">
        <f>IF(I1027="","",B$9&amp;"-"&amp;B$10)</f>
        <v/>
      </c>
      <c r="M1027" s="52" t="str">
        <f t="shared" si="390"/>
        <v/>
      </c>
    </row>
    <row r="1028" spans="1:13" x14ac:dyDescent="0.35">
      <c r="A1028" s="48"/>
      <c r="B1028" s="48"/>
      <c r="C1028" s="49"/>
      <c r="D1028" s="50"/>
      <c r="E1028" s="51" t="str">
        <f t="shared" si="389"/>
        <v/>
      </c>
      <c r="F1028" s="71" t="str">
        <f t="shared" si="386"/>
        <v/>
      </c>
      <c r="G1028" s="69" t="str">
        <f t="shared" si="388"/>
        <v/>
      </c>
      <c r="H1028" s="70" t="str">
        <f t="shared" si="387"/>
        <v/>
      </c>
      <c r="I1028" s="27" t="str">
        <f>IF(N(J1028)=0,"",0&amp;"-"&amp;B$11)</f>
        <v/>
      </c>
      <c r="J1028" s="52" t="str">
        <f>IF(N(B$11)=0,"",IF(AND(COUNT(H1021:H1032)=2,COUNT(F1021:F1032)=2),cubic_spline(F1020:F1022,H1020:H1022,B$11),IF(AND(COUNT(H1021:H1032)=3,COUNT(F1021:F1032)=3),cubic_spline(F1020:F1023,H1020:H1023,B$11),IF(AND(COUNT(H1021:H1032)=4,COUNT(F1021:F1032)=4),cubic_spline(F1020:F1024,H1020:H1024,B$11),IF(AND(COUNT(H1021:H1032)=5,COUNT(F1021:F1032)=5),cubic_spline(F1020:F1025,H1020:H1025,B$11),IF(AND(COUNT(H1021:H1032)=6,COUNT(F1021:F1032)=6),cubic_spline(F1020:F1026,H1020:H1026,B$11),IF(AND(COUNT(H1021:H1032)=7,COUNT(F1021:F1032)=7),cubic_spline(F1020:F1027,H1020:H1027,B$11),IF(AND(COUNT(H1021:H1032)=8,COUNT(F1021:F1032)=8),cubic_spline(F1020:F1028,H1020:H1028,B$11),IF(AND(COUNT(H1021:H1032)=9,COUNT(F1021:F1032)=9),cubic_spline(F1020:F1029,H1020:H1029,B$11),IF(AND(COUNT(H1021:H1032)=10,COUNT(F1021:F1032)=10),cubic_spline(F1020:F1030,H1020:H1030,B$11),IF(AND(COUNT(H1021:H1032)=11,COUNT(F1021:F1032)=11),cubic_spline(F1020:F1031,H1020:H1031,B$11),IF(AND(COUNT(H1021:H1032)=12,COUNT(F1021:F1032)=12),cubic_spline(F1020:F1032,H1020:H1032,B$11),""))))))))))))</f>
        <v/>
      </c>
      <c r="K1028" s="52" t="str">
        <f>IF(N(B$11)=0,"",IF(AND(COUNT(A1021:A1032)=2,COUNT(F1021:F1032)=2),cubic_spline(F1020:F1022,A1020:A1022,B$11),IF(AND(COUNT(A1021:A1032)=3,COUNT(F1021:F1032)=3),cubic_spline(F1020:F1023,A1020:A1023,B$11),IF(AND(COUNT(A1021:A1032)=4,COUNT(F1021:F1032)=4),cubic_spline(F1020:F1024,A1020:A1024,B$11),IF(AND(COUNT(A1021:A1032)=5,COUNT(F1021:F1032)=5),cubic_spline(F1020:F1025,A1020:A1025,B$11),IF(AND(COUNT(A1021:A1032)=6,COUNT(F1021:F1032)=6),cubic_spline(F1020:F1026,A1020:A1026,B$11),IF(AND(COUNT(A1021:A1032)=7,COUNT(F1021:F1032)=7),cubic_spline(F1020:F1027,A1020:A1027,B$11),IF(AND(COUNT(A1021:A1032)=8,COUNT(F1021:F1032)=8),cubic_spline(F1020:F1028,A1020:A1028,B$11),IF(AND(COUNT(A1021:A1032)=9,COUNT(F1021:F1032)=9),cubic_spline(F1020:F1029,A1020:A1029,B$11),IF(AND(COUNT(A1021:A1032)=10,COUNT(F1021:F1032)=10),cubic_spline(F1020:F1030,A1020:A1030,B$11),IF(AND(COUNT(A1021:A1032)=11,COUNT(F1021:F1032)=11),cubic_spline(F1020:F1031,A1020:A1031,B$11),IF(AND(COUNT(A1021:A1032)=12,COUNT(F1021:F1032)=12),cubic_spline(F1020:F1032,A1020:A1032,B$11),""))))))))))))</f>
        <v/>
      </c>
      <c r="L1028" s="27" t="str">
        <f>IF(I1028="","",B$10&amp;"-"&amp;B$11)</f>
        <v/>
      </c>
      <c r="M1028" s="52" t="str">
        <f t="shared" si="390"/>
        <v/>
      </c>
    </row>
    <row r="1029" spans="1:13" x14ac:dyDescent="0.35">
      <c r="A1029" s="48"/>
      <c r="B1029" s="48"/>
      <c r="C1029" s="49"/>
      <c r="D1029" s="50"/>
      <c r="E1029" s="51" t="str">
        <f t="shared" si="389"/>
        <v/>
      </c>
      <c r="F1029" s="71" t="str">
        <f t="shared" si="386"/>
        <v/>
      </c>
      <c r="G1029" s="69" t="str">
        <f t="shared" si="388"/>
        <v/>
      </c>
      <c r="H1029" s="70" t="str">
        <f t="shared" si="387"/>
        <v/>
      </c>
      <c r="I1029" s="27" t="str">
        <f>IF(N(J1029)=0,"",0&amp;"-"&amp;B$12)</f>
        <v/>
      </c>
      <c r="J1029" s="52" t="str">
        <f>IF(N(B$12)=0,"",IF(AND(COUNT(H1021:H1032)=2,COUNT(F1021:F1032)=2),cubic_spline(F1020:F1022,H1020:H1022,B$12),IF(AND(COUNT(H1021:H1032)=3,COUNT(F1021:F1032)=3),cubic_spline(F1020:F1023,H1020:H1023,B$12),IF(AND(COUNT(H1021:H1032)=4,COUNT(F1021:F1032)=4),cubic_spline(F1020:F1024,H1020:H1024,B$12),IF(AND(COUNT(H1021:H1032)=5,COUNT(F1021:F1032)=5),cubic_spline(F1020:F1025,H1020:H1025,B$12),IF(AND(COUNT(H1021:H1032)=6,COUNT(F1021:F1032)=6),cubic_spline(F1020:F1026,H1020:H1026,B$12),IF(AND(COUNT(H1021:H1032)=7,COUNT(F1021:F1032)=7),cubic_spline(F1020:F1027,H1020:H1027,B$12),IF(AND(COUNT(H1021:H1032)=8,COUNT(F1021:F1032)=8),cubic_spline(F1020:F1028,H1020:H1028,B$12),IF(AND(COUNT(H1021:H1032)=9,COUNT(F1021:F1032)=9),cubic_spline(F1020:F1029,H1020:H1029,B$12),IF(AND(COUNT(H1021:H1032)=10,COUNT(F1021:F1032)=10),cubic_spline(F1020:F1030,H1020:H1030,B$12),IF(AND(COUNT(H1021:H1032)=11,COUNT(F1021:F1032)=11),cubic_spline(F1020:F1031,H1020:H1031,B$12),IF(AND(COUNT(H1021:H1032)=12,COUNT(F1021:F1032)=12),cubic_spline(F1020:F1032,H1020:H1032,B$12),""))))))))))))</f>
        <v/>
      </c>
      <c r="K1029" s="52" t="str">
        <f>IF(N(B$12)=0,"",IF(AND(COUNT(A1021:A1032)=2,COUNT(F1021:F1032)=2),cubic_spline(F1020:F1022,A1020:A1022,B$12),IF(AND(COUNT(A1021:A1032)=3,COUNT(F1021:F1032)=3),cubic_spline(F1020:F1023,A1020:A1023,B$12),IF(AND(COUNT(A1021:A1032)=4,COUNT(F1021:F1032)=4),cubic_spline(F1020:F1024,A1020:A1024,B$12),IF(AND(COUNT(A1021:A1032)=5,COUNT(F1021:F1032)=5),cubic_spline(F1020:F1025,A1020:A1025,B$12),IF(AND(COUNT(A1021:A1032)=6,COUNT(F1021:F1032)=6),cubic_spline(F1020:F1026,A1020:A1026,B$12),IF(AND(COUNT(A1021:A1032)=7,COUNT(F1021:F1032)=7),cubic_spline(F1020:F1027,A1020:A1027,B$12),IF(AND(COUNT(A1021:A1032)=8,COUNT(F1021:F1032)=8),cubic_spline(F1020:F1028,A1020:A1028,B$12),IF(AND(COUNT(A1021:A1032)=9,COUNT(F1021:F1032)=9),cubic_spline(F1020:F1029,A1020:A1029,B$12),IF(AND(COUNT(A1021:A1032)=10,COUNT(F1021:F1032)=10),cubic_spline(F1020:F1030,A1020:A1030,B$12),IF(AND(COUNT(A1021:A1032)=11,COUNT(F1021:F1032)=11),cubic_spline(F1020:F1031,A1020:A1031,B$12),IF(AND(COUNT(A1021:A1032)=12,COUNT(F1021:F1032)=12),cubic_spline(F1020:F1032,A1020:A1032,B$12),""))))))))))))</f>
        <v/>
      </c>
      <c r="L1029" s="27" t="str">
        <f>IF(I1029="","",B$11&amp;"-"&amp;B$12)</f>
        <v/>
      </c>
      <c r="M1029" s="52" t="str">
        <f t="shared" si="390"/>
        <v/>
      </c>
    </row>
    <row r="1030" spans="1:13" x14ac:dyDescent="0.35">
      <c r="A1030" s="48"/>
      <c r="B1030" s="48"/>
      <c r="C1030" s="49"/>
      <c r="D1030" s="50"/>
      <c r="E1030" s="51" t="str">
        <f t="shared" si="389"/>
        <v/>
      </c>
      <c r="F1030" s="71" t="str">
        <f t="shared" si="386"/>
        <v/>
      </c>
      <c r="G1030" s="69" t="str">
        <f t="shared" si="388"/>
        <v/>
      </c>
      <c r="H1030" s="70" t="str">
        <f t="shared" si="387"/>
        <v/>
      </c>
      <c r="I1030" s="27" t="str">
        <f>IF(N(J1030)=0,"",0&amp;"-"&amp;B$13)</f>
        <v/>
      </c>
      <c r="J1030" s="52" t="str">
        <f>IF(N(B$13)=0,"",IF(AND(COUNT(H1021:H1032)=2,COUNT(F1021:F1032)=2),cubic_spline(F1020:F1022,H1020:H1022,B$13),IF(AND(COUNT(H1021:H1032)=3,COUNT(F1021:F1032)=3),cubic_spline(F1020:F1023,H1020:H1023,B$13),IF(AND(COUNT(H1021:H1032)=4,COUNT(F1021:F1032)=4),cubic_spline(F1020:F1024,H1020:H1024,B$13),IF(AND(COUNT(H1021:H1032)=5,COUNT(F1021:F1032)=5),cubic_spline(F1020:F1025,H1020:H1025,B$13),IF(AND(COUNT(H1021:H1032)=6,COUNT(F1021:F1032)=6),cubic_spline(F1020:F1026,H1020:H1026,B$13),IF(AND(COUNT(H1021:H1032)=7,COUNT(F1021:F1032)=7),cubic_spline(F1020:F1027,H1020:H1027,B$13),IF(AND(COUNT(H1021:H1032)=8,COUNT(F1021:F1032)=8),cubic_spline(F1020:F1028,H1020:H1028,B$13),IF(AND(COUNT(H1021:H1032)=9,COUNT(F1021:F1032)=9),cubic_spline(F1020:F1029,H1020:H1029,B$13),IF(AND(COUNT(H1021:H1032)=10,COUNT(F1021:F1032)=10),cubic_spline(F1020:F1030,H1020:H1030,B$13),IF(AND(COUNT(H1021:H1032)=11,COUNT(F1021:F1032)=11),cubic_spline(F1020:F1031,H1020:H1031,B$13),IF(AND(COUNT(H1021:H1032)=12,COUNT(F1021:F1032)=12),cubic_spline(F1020:F1032,H1020:H1032,B$13),""))))))))))))</f>
        <v/>
      </c>
      <c r="K1030" s="52" t="str">
        <f>IF(N(B$13)=0,"",IF(AND(COUNT(A1021:A1032)=2,COUNT(F1021:F1032)=2),cubic_spline(F1020:F1022,A1020:A1022,B$13),IF(AND(COUNT(A1021:A1032)=3,COUNT(F1021:F1032)=3),cubic_spline(F1020:F1023,A1020:A1023,B$13),IF(AND(COUNT(A1021:A1032)=4,COUNT(F1021:F1032)=4),cubic_spline(F1020:F1024,A1020:A1024,B$13),IF(AND(COUNT(A1021:A1032)=5,COUNT(F1021:F1032)=5),cubic_spline(F1020:F1025,A1020:A1025,B$13),IF(AND(COUNT(A1021:A1032)=6,COUNT(F1021:F1032)=6),cubic_spline(F1020:F1026,A1020:A1026,B$13),IF(AND(COUNT(A1021:A1032)=7,COUNT(F1021:F1032)=7),cubic_spline(F1020:F1027,A1020:A1027,B$13),IF(AND(COUNT(A1021:A1032)=8,COUNT(F1021:F1032)=8),cubic_spline(F1020:F1028,A1020:A1028,B$13),IF(AND(COUNT(A1021:A1032)=9,COUNT(F1021:F1032)=9),cubic_spline(F1020:F1029,A1020:A1029,B$13),IF(AND(COUNT(A1021:A1032)=10,COUNT(F1021:F1032)=10),cubic_spline(F1020:F1030,A1020:A1030,B$13),IF(AND(COUNT(A1021:A1032)=11,COUNT(F1021:F1032)=11),cubic_spline(F1020:F1031,A1020:A1031,B$13),IF(AND(COUNT(A1021:A1032)=12,COUNT(F1021:F1032)=12),cubic_spline(F1020:F1032,A1020:A1032,B$13),""))))))))))))</f>
        <v/>
      </c>
      <c r="L1030" s="27" t="str">
        <f>IF(I1030="","",B$12&amp;"-"&amp;B$13)</f>
        <v/>
      </c>
      <c r="M1030" s="52" t="str">
        <f t="shared" si="390"/>
        <v/>
      </c>
    </row>
    <row r="1031" spans="1:13" x14ac:dyDescent="0.35">
      <c r="A1031" s="48"/>
      <c r="B1031" s="48"/>
      <c r="C1031" s="49"/>
      <c r="D1031" s="50"/>
      <c r="E1031" s="51" t="str">
        <f t="shared" si="389"/>
        <v/>
      </c>
      <c r="F1031" s="71" t="str">
        <f t="shared" si="386"/>
        <v/>
      </c>
      <c r="G1031" s="69" t="str">
        <f t="shared" si="388"/>
        <v/>
      </c>
      <c r="H1031" s="70" t="str">
        <f t="shared" si="387"/>
        <v/>
      </c>
      <c r="I1031" s="27" t="str">
        <f>IF(N(J1031)=0,"",0&amp;"-"&amp;B$14)</f>
        <v/>
      </c>
      <c r="J1031" s="52" t="str">
        <f>IF(N(B$14)=0,"",IF(AND(COUNT(H1021:H1032)=2,COUNT(F1021:F1032)=2),cubic_spline(F1020:F1022,H1020:H1022,B$14),IF(AND(COUNT(H1021:H1032)=3,COUNT(F1021:F1032)=3),cubic_spline(F1020:F1023,H1020:H1023,B$14),IF(AND(COUNT(H1021:H1032)=4,COUNT(F1021:F1032)=4),cubic_spline(F1020:F1024,H1020:H1024,B$14),IF(AND(COUNT(H1021:H1032)=5,COUNT(F1021:F1032)=5),cubic_spline(F1020:F1025,H1020:H1025,B$14),IF(AND(COUNT(H1021:H1032)=6,COUNT(F1021:F1032)=6),cubic_spline(F1020:F1026,H1020:H1026,B$14),IF(AND(COUNT(H1021:H1032)=7,COUNT(F1021:F1032)=7),cubic_spline(F1020:F1027,H1020:H1027,B$14),IF(AND(COUNT(H1021:H1032)=8,COUNT(F1021:F1032)=8),cubic_spline(F1020:F1028,H1020:H1028,B$14),IF(AND(COUNT(H1021:H1032)=9,COUNT(F1021:F1032)=9),cubic_spline(F1020:F1029,H1020:H1029,B$14),IF(AND(COUNT(H1021:H1032)=10,COUNT(F1021:F1032)=10),cubic_spline(F1020:F1030,H1020:H1030,B$14),IF(AND(COUNT(H1021:H1032)=11,COUNT(F1021:F1032)=11),cubic_spline(F1020:F1031,H1020:H1031,B$14),IF(AND(COUNT(H1021:H1032)=12,COUNT(F1021:F1032)=12),cubic_spline(F1020:F1032,H1020:H1032,B$14),""))))))))))))</f>
        <v/>
      </c>
      <c r="K1031" s="52" t="str">
        <f>IF(N(B$14)=0,"",IF(AND(COUNT(A1021:A1032)=2,COUNT(F1021:F1032)=2),cubic_spline(F1020:F1022,A1020:A1022,B$14),IF(AND(COUNT(A1021:A1032)=3,COUNT(F1021:F1032)=3),cubic_spline(F1020:F1023,A1020:A1023,B$14),IF(AND(COUNT(A1021:A1032)=4,COUNT(F1021:F1032)=4),cubic_spline(F1020:F1024,A1020:A1024,B$14),IF(AND(COUNT(A1021:A1032)=5,COUNT(F1021:F1032)=5),cubic_spline(F1020:F1025,A1020:A1025,B$14),IF(AND(COUNT(A1021:A1032)=6,COUNT(F1021:F1032)=6),cubic_spline(F1020:F1026,A1020:A1026,B$14),IF(AND(COUNT(A1021:A1032)=7,COUNT(F1021:F1032)=7),cubic_spline(F1020:F1027,A1020:A1027,B$14),IF(AND(COUNT(A1021:A1032)=8,COUNT(F1021:F1032)=8),cubic_spline(F1020:F1028,A1020:A1028,B$14),IF(AND(COUNT(A1021:A1032)=9,COUNT(F1021:F1032)=9),cubic_spline(F1020:F1029,A1020:A1029,B$14),IF(AND(COUNT(A1021:A1032)=10,COUNT(F1021:F1032)=10),cubic_spline(F1020:F1030,A1020:A1030,B$14),IF(AND(COUNT(A1021:A1032)=11,COUNT(F1021:F1032)=11),cubic_spline(F1020:F1031,A1020:A1031,B$14),IF(AND(COUNT(A1021:A1032)=12,COUNT(F1021:F1032)=12),cubic_spline(F1020:F1032,A1020:A1032,B$14),""))))))))))))</f>
        <v/>
      </c>
      <c r="L1031" s="27" t="str">
        <f>IF(I1031="","",B$13&amp;"-"&amp;B$14)</f>
        <v/>
      </c>
      <c r="M1031" s="52" t="str">
        <f t="shared" si="390"/>
        <v/>
      </c>
    </row>
    <row r="1032" spans="1:13" x14ac:dyDescent="0.35">
      <c r="A1032" s="48"/>
      <c r="B1032" s="48"/>
      <c r="C1032" s="49"/>
      <c r="D1032" s="50"/>
      <c r="E1032" s="51" t="str">
        <f t="shared" si="389"/>
        <v/>
      </c>
      <c r="F1032" s="71" t="str">
        <f t="shared" si="386"/>
        <v/>
      </c>
      <c r="G1032" s="69" t="str">
        <f t="shared" si="388"/>
        <v/>
      </c>
      <c r="H1032" s="70" t="str">
        <f t="shared" si="387"/>
        <v/>
      </c>
      <c r="I1032" s="27" t="str">
        <f>IF(N(J1032)=0,"",0&amp;"-"&amp;B$15)</f>
        <v/>
      </c>
      <c r="J1032" s="52" t="str">
        <f>IF(N(B$15)=0,"",IF(AND(COUNT(H1021:H1032)=2,COUNT(F1021:F1032)=2),cubic_spline(F1020:F1022,H1020:H1022,B$15),IF(AND(COUNT(H1021:H1032)=3,COUNT(F1021:F1032)=3),cubic_spline(F1020:F1023,H1020:H1023,B$15),IF(AND(COUNT(H1021:H1032)=4,COUNT(F1021:F1032)=4),cubic_spline(F1020:F1024,H1020:H1024,B$15),IF(AND(COUNT(H1021:H1032)=5,COUNT(F1021:F1032)=5),cubic_spline(F1020:F1025,H1020:H1025,B$15),IF(AND(COUNT(H1021:H1032)=6,COUNT(F1021:F1032)=6),cubic_spline(F1020:F1026,H1020:H1026,B$15),IF(AND(COUNT(H1021:H1032)=7,COUNT(F1021:F1032)=7),cubic_spline(F1020:F1027,H1020:H1027,B$15),IF(AND(COUNT(H1021:H1032)=8,COUNT(F1021:F1032)=8),cubic_spline(F1020:F1028,H1020:H1028,B$15),IF(AND(COUNT(H1021:H1032)=9,COUNT(F1021:F1032)=9),cubic_spline(F1020:F1029,H1020:H1029,B$15),IF(AND(COUNT(H1021:H1032)=10,COUNT(F1021:F1032)=10),cubic_spline(F1020:F1030,H1020:H1030,B$15),IF(AND(COUNT(H1021:H1032)=11,COUNT(F1021:F1032)=11),cubic_spline(F1020:F1031,H1020:H1031,B$15),IF(AND(COUNT(H1021:H1032)=12,COUNT(F1021:F1032)=12),cubic_spline(F1020:F1032,H1020:H1032,B$15),""))))))))))))</f>
        <v/>
      </c>
      <c r="K1032" s="52" t="str">
        <f>IF(N(B$15)=0,"",IF(AND(COUNT(A1021:A1032)=2,COUNT(F1021:F1032)=2),cubic_spline(F1020:F1022,A1020:A1022,B$15),IF(AND(COUNT(A1021:A1032)=3,COUNT(F1021:F1032)=3),cubic_spline(F1020:F1023,A1020:A1023,B$15),IF(AND(COUNT(A1021:A1032)=4,COUNT(F1021:F1032)=4),cubic_spline(F1020:F1024,A1020:A1024,B$15),IF(AND(COUNT(A1021:A1032)=5,COUNT(F1021:F1032)=5),cubic_spline(F1020:F1025,A1020:A1025,B$15),IF(AND(COUNT(A1021:A1032)=6,COUNT(F1021:F1032)=6),cubic_spline(F1020:F1026,A1020:A1026,B$15),IF(AND(COUNT(A1021:A1032)=7,COUNT(F1021:F1032)=7),cubic_spline(F1020:F1027,A1020:A1027,B$15),IF(AND(COUNT(A1021:A1032)=8,COUNT(F1021:F1032)=8),cubic_spline(F1020:F1028,A1020:A1028,B$15),IF(AND(COUNT(A1021:A1032)=9,COUNT(F1021:F1032)=9),cubic_spline(F1020:F1029,A1020:A1029,B$15),IF(AND(COUNT(A1021:A1032)=10,COUNT(F1021:F1032)=10),cubic_spline(F1020:F1030,A1020:A1030,B$15),IF(AND(COUNT(A1021:A1032)=11,COUNT(F1021:F1032)=11),cubic_spline(F1020:F1031,A1020:A1031,B$15),IF(AND(COUNT(A1021:A1032)=12,COUNT(F1021:F1032)=12),cubic_spline(F1020:F1032,A1020:A1032,B$15),""))))))))))))</f>
        <v/>
      </c>
      <c r="L1032" s="27" t="str">
        <f>IF(I1032="","",B$14&amp;"-"&amp;B$15)</f>
        <v/>
      </c>
      <c r="M1032" s="52" t="str">
        <f t="shared" si="390"/>
        <v/>
      </c>
    </row>
    <row r="1033" spans="1:13" ht="5.15" customHeight="1" x14ac:dyDescent="0.35">
      <c r="A1033" s="47"/>
      <c r="B1033" s="47"/>
      <c r="C1033" s="47"/>
      <c r="D1033" s="53"/>
      <c r="E1033" s="54"/>
      <c r="F1033" s="55"/>
      <c r="G1033" s="72"/>
      <c r="H1033" s="73"/>
      <c r="I1033" s="47"/>
      <c r="J1033" s="57"/>
      <c r="K1033" s="57"/>
      <c r="L1033" s="55"/>
      <c r="M1033" s="57"/>
    </row>
    <row r="1034" spans="1:13" x14ac:dyDescent="0.35">
      <c r="A1034" s="48"/>
      <c r="B1034" s="48"/>
      <c r="C1034" s="49"/>
      <c r="D1034" s="50"/>
      <c r="E1034" s="51" t="str">
        <f>IF(N(C1034)=0,"",C1034/PI()/($D$1/2)^2/$D$2*10000)</f>
        <v/>
      </c>
      <c r="F1034" s="68" t="str">
        <f t="shared" ref="F1034:F1045" si="391">IF(N(E1034)=0,"",(N(E1034)+N(F1033)))</f>
        <v/>
      </c>
      <c r="G1034" s="69" t="str">
        <f>IF(OR(N(D1034)=0,N(E1034)=0),"",(E1034*D1034)/1000)</f>
        <v/>
      </c>
      <c r="H1034" s="70" t="str">
        <f t="shared" ref="H1034:H1045" si="392">IF(N(G1034)=0,"",(N(G1034)+N(H1033)))</f>
        <v/>
      </c>
      <c r="I1034" s="27" t="str">
        <f>IF(N(J1034)=0,"",0&amp;"-"&amp;B$4)</f>
        <v/>
      </c>
      <c r="J1034" s="52" t="str">
        <f>IF(N(B$4)=0,"",IF(AND(COUNT(H1034:H1045)=2,COUNT(F1034:F1045)=2),cubic_spline(F1033:F1035,H1033:H1035,B$4),IF(AND(COUNT(H1034:H1045)=3,COUNT(F1034:F1045)=3),cubic_spline(F1033:F1036,H1033:H1036,B$4),IF(AND(COUNT(H1034:H1045)=4,COUNT(F1034:F1045)=4),cubic_spline(F1033:F1037,H1033:H1037,B$4),IF(AND(COUNT(H1034:H1045)=5,COUNT(F1034:F1045)=5),cubic_spline(F1033:F1038,H1033:H1038,B$4),IF(AND(COUNT(H1034:H1045)=6,COUNT(F1034:F1045)=6),cubic_spline(F1033:F1039,H1033:H1039,B$4),IF(AND(COUNT(H1034:H1045)=7,COUNT(F1034:F1045)=7),cubic_spline(F1033:F1040,H1033:H1040,B$4),IF(AND(COUNT(H1034:H1045)=8,COUNT(F1034:F1045)=8),cubic_spline(F1033:F1041,H1033:H1041,B$4),IF(AND(COUNT(H1034:H1045)=9,COUNT(F1034:F1045)=9),cubic_spline(F1033:F1042,H1033:H1042,B$4),IF(AND(COUNT(H1034:H1045)=10,COUNT(F1034:F1045)=10),cubic_spline(F1033:F1043,H1033:H1043,B$4),IF(AND(COUNT(H1034:H1045)=11,COUNT(F1034:F1045)=11),cubic_spline(F1033:F1044,H1033:H1044,B$4),IF(AND(COUNT(H1034:H1045)=12,COUNT(F1034:F1045)=12),cubic_spline(F1033:F1045,H1033:H1045,B$4),""))))))))))))</f>
        <v/>
      </c>
      <c r="K1034" s="52" t="str">
        <f>IF(N(B$4)=0,"",IF(AND(COUNT(A1034:A1045)=2,COUNT(F1034:F1045)=2),cubic_spline(F1033:F1035,A1033:A1035,B$4),IF(AND(COUNT(A1034:A1045)=3,COUNT(F1034:F1045)=3),cubic_spline(F1033:F1036,A1033:A1036,B$4),IF(AND(COUNT(A1034:A1045)=4,COUNT(F1034:F1045)=4),cubic_spline(F1033:F1037,A1033:A1037,B$4),IF(AND(COUNT(A1034:A1045)=5,COUNT(F1034:F1045)=5),cubic_spline(F1033:F1038,A1033:A1038,B$4),IF(AND(COUNT(A1034:A1045)=6,COUNT(F1034:F1045)=6),cubic_spline(F1033:F1039,A1033:A1039,B$4),IF(AND(COUNT(A1034:A1045)=7,COUNT(F1034:F1045)=7),cubic_spline(F1033:F1040,A1033:A1040,B$4),IF(AND(COUNT(A1034:A1045)=8,COUNT(F1034:F1045)=8),cubic_spline(F1033:F1041,A1033:A1041,B$4),IF(AND(COUNT(A1034:A1045)=9,COUNT(F1034:F1045)=9),cubic_spline(F1033:F1042,A1033:A1042,B$4),IF(AND(COUNT(A1034:A1045)=10,COUNT(F1034:F1045)=10),cubic_spline(F1033:F1043,A1033:A1043,B$4),IF(AND(COUNT(A1034:A1045)=11,COUNT(F1034:F1045)=11),cubic_spline(F1033:F1044,A1033:A1044,B$4),IF(AND(COUNT(A1034:A1045)=12,COUNT(F1034:F1045)=12),cubic_spline(F1033:F1045,A1033:A1045,B$4),""))))))))))))</f>
        <v/>
      </c>
      <c r="L1034" s="27" t="str">
        <f>IF(I1034="","",0&amp;"-"&amp;B$4)</f>
        <v/>
      </c>
      <c r="M1034" s="52" t="str">
        <f>IF(N(J1034)=0,"",J1034-J1033)</f>
        <v/>
      </c>
    </row>
    <row r="1035" spans="1:13" x14ac:dyDescent="0.35">
      <c r="A1035" s="48"/>
      <c r="B1035" s="48"/>
      <c r="C1035" s="49"/>
      <c r="D1035" s="50"/>
      <c r="E1035" s="51" t="str">
        <f>IF(N(C1035)=0,"",C1035/PI()/($D$1/2)^2/$D$2*10000)</f>
        <v/>
      </c>
      <c r="F1035" s="68" t="str">
        <f t="shared" si="391"/>
        <v/>
      </c>
      <c r="G1035" s="69" t="str">
        <f t="shared" ref="G1035:G1045" si="393">IF(OR(N(D1035)=0,N(E1035)=0),"",(E1035*D1035)/1000)</f>
        <v/>
      </c>
      <c r="H1035" s="70" t="str">
        <f t="shared" si="392"/>
        <v/>
      </c>
      <c r="I1035" s="27" t="str">
        <f>IF(N(J1035)=0,"",0&amp;"-"&amp;B$5)</f>
        <v/>
      </c>
      <c r="J1035" s="52" t="str">
        <f>IF(N(B$5)=0,"",IF(AND(COUNT(H1034:H1045)=2,COUNT(F1034:F1045)=2),cubic_spline(F1033:F1035,H1033:H1035,B$5),IF(AND(COUNT(H1034:H1045)=3,COUNT(F1034:F1045)=3),cubic_spline(F1033:F1036,H1033:H1036,B$5),IF(AND(COUNT(H1034:H1045)=4,COUNT(F1034:F1045)=4),cubic_spline(F1033:F1037,H1033:H1037,B$5),IF(AND(COUNT(H1034:H1045)=5,COUNT(F1034:F1045)=5),cubic_spline(F1033:F1038,H1033:H1038,B$5),IF(AND(COUNT(H1034:H1045)=6,COUNT(F1034:F1045)=6),cubic_spline(F1033:F1039,H1033:H1039,B$5),IF(AND(COUNT(H1034:H1045)=7,COUNT(F1034:F1045)=7),cubic_spline(F1033:F1040,H1033:H1040,B$5),IF(AND(COUNT(H1034:H1045)=8,COUNT(F1034:F1045)=8),cubic_spline(F1033:F1041,H1033:H1041,B$5),IF(AND(COUNT(H1034:H1045)=9,COUNT(F1034:F1045)=9),cubic_spline(F1033:F1042,H1033:H1042,B$5),IF(AND(COUNT(H1034:H1045)=10,COUNT(F1034:F1045)=10),cubic_spline(F1033:F1043,H1033:H1043,B$5),IF(AND(COUNT(H1034:H1045)=11,COUNT(F1034:F1045)=11),cubic_spline(F1033:F1044,H1033:H1044,B$5),IF(AND(COUNT(H1034:H1045)=12,COUNT(F1034:F1045)=12),cubic_spline(F1033:F1045,H1033:H1045,B$5),""))))))))))))</f>
        <v/>
      </c>
      <c r="K1035" s="52" t="str">
        <f>IF(N(B$5)=0,"",IF(AND(COUNT(A1034:A1045)=2,COUNT(F1034:F1045)=2),cubic_spline(F1033:F1035,A1033:A1035,B$5),IF(AND(COUNT(A1034:A1045)=3,COUNT(F1034:F1045)=3),cubic_spline(F1033:F1036,A1033:A1036,B$5),IF(AND(COUNT(A1034:A1045)=4,COUNT(F1034:F1045)=4),cubic_spline(F1033:F1037,A1033:A1037,B$5),IF(AND(COUNT(A1034:A1045)=5,COUNT(F1034:F1045)=5),cubic_spline(F1033:F1038,A1033:A1038,B$5),IF(AND(COUNT(A1034:A1045)=6,COUNT(F1034:F1045)=6),cubic_spline(F1033:F1039,A1033:A1039,B$5),IF(AND(COUNT(A1034:A1045)=7,COUNT(F1034:F1045)=7),cubic_spline(F1033:F1040,A1033:A1040,B$5),IF(AND(COUNT(A1034:A1045)=8,COUNT(F1034:F1045)=8),cubic_spline(F1033:F1041,A1033:A1041,B$5),IF(AND(COUNT(A1034:A1045)=9,COUNT(F1034:F1045)=9),cubic_spline(F1033:F1042,A1033:A1042,B$5),IF(AND(COUNT(A1034:A1045)=10,COUNT(F1034:F1045)=10),cubic_spline(F1033:F1043,A1033:A1043,B$5),IF(AND(COUNT(A1034:A1045)=11,COUNT(F1034:F1045)=11),cubic_spline(F1033:F1044,A1033:A1044,B$5),IF(AND(COUNT(A1034:A1045)=12,COUNT(F1034:F1045)=12),cubic_spline(F1033:F1045,A1033:A1045,B$5),""))))))))))))</f>
        <v/>
      </c>
      <c r="L1035" s="27" t="str">
        <f>IF(I1035="","",B$4&amp;"-"&amp;B$5)</f>
        <v/>
      </c>
      <c r="M1035" s="52" t="str">
        <f>IF(N(J1035)=0,"",J1035-J1034)</f>
        <v/>
      </c>
    </row>
    <row r="1036" spans="1:13" x14ac:dyDescent="0.35">
      <c r="A1036" s="48"/>
      <c r="B1036" s="48"/>
      <c r="C1036" s="49"/>
      <c r="D1036" s="50"/>
      <c r="E1036" s="51" t="str">
        <f>IF(N(C1036)=0,"",C1036/PI()/($D$1/2)^2/$D$2*10000)</f>
        <v/>
      </c>
      <c r="F1036" s="68" t="str">
        <f t="shared" si="391"/>
        <v/>
      </c>
      <c r="G1036" s="69" t="str">
        <f t="shared" si="393"/>
        <v/>
      </c>
      <c r="H1036" s="70" t="str">
        <f t="shared" si="392"/>
        <v/>
      </c>
      <c r="I1036" s="27" t="str">
        <f>IF(N(J1036)=0,"",0&amp;"-"&amp;B$6)</f>
        <v/>
      </c>
      <c r="J1036" s="52" t="str">
        <f>IF(N(B$6)=0,"",IF(AND(COUNT(H1034:H1045)=2,COUNT(F1034:F1045)=2),cubic_spline(F1033:F1035,H1033:H1035,B$6),IF(AND(COUNT(H1034:H1045)=3,COUNT(F1034:F1045)=3),cubic_spline(F1033:F1036,H1033:H1036,B$6),IF(AND(COUNT(H1034:H1045)=4,COUNT(F1034:F1045)=4),cubic_spline(F1033:F1037,H1033:H1037,B$6),IF(AND(COUNT(H1034:H1045)=5,COUNT(F1034:F1045)=5),cubic_spline(F1033:F1038,H1033:H1038,B$6),IF(AND(COUNT(H1034:H1045)=6,COUNT(F1034:F1045)=6),cubic_spline(F1033:F1039,H1033:H1039,B$6),IF(AND(COUNT(H1034:H1045)=7,COUNT(F1034:F1045)=7),cubic_spline(F1033:F1040,H1033:H1040,B$6),IF(AND(COUNT(H1034:H1045)=8,COUNT(F1034:F1045)=8),cubic_spline(F1033:F1041,H1033:H1041,B$6),IF(AND(COUNT(H1034:H1045)=9,COUNT(F1034:F1045)=9),cubic_spline(F1033:F1042,H1033:H1042,B$6),IF(AND(COUNT(H1034:H1045)=10,COUNT(F1034:F1045)=10),cubic_spline(F1033:F1043,H1033:H1043,B$6),IF(AND(COUNT(H1034:H1045)=11,COUNT(F1034:F1045)=11),cubic_spline(F1033:F1044,H1033:H1044,B$6),IF(AND(COUNT(H1034:H1045)=12,COUNT(F1034:F1045)=12),cubic_spline(F1033:F1045,H1033:H1045,B$6),""))))))))))))</f>
        <v/>
      </c>
      <c r="K1036" s="52" t="str">
        <f>IF(N(B$6)=0,"",IF(AND(COUNT(A1034:A1045)=2,COUNT(F1034:F1045)=2),cubic_spline(F1033:F1035,A1033:A1035,B$6),IF(AND(COUNT(A1034:A1045)=3,COUNT(F1034:F1045)=3),cubic_spline(F1033:F1036,A1033:A1036,B$6),IF(AND(COUNT(A1034:A1045)=4,COUNT(F1034:F1045)=4),cubic_spline(F1033:F1037,A1033:A1037,B$6),IF(AND(COUNT(A1034:A1045)=5,COUNT(F1034:F1045)=5),cubic_spline(F1033:F1038,A1033:A1038,B$6),IF(AND(COUNT(A1034:A1045)=6,COUNT(F1034:F1045)=6),cubic_spline(F1033:F1039,A1033:A1039,B$6),IF(AND(COUNT(A1034:A1045)=7,COUNT(F1034:F1045)=7),cubic_spline(F1033:F1040,A1033:A1040,B$6),IF(AND(COUNT(A1034:A1045)=8,COUNT(F1034:F1045)=8),cubic_spline(F1033:F1041,A1033:A1041,B$6),IF(AND(COUNT(A1034:A1045)=9,COUNT(F1034:F1045)=9),cubic_spline(F1033:F1042,A1033:A1042,B$6),IF(AND(COUNT(A1034:A1045)=10,COUNT(F1034:F1045)=10),cubic_spline(F1033:F1043,A1033:A1043,B$6),IF(AND(COUNT(A1034:A1045)=11,COUNT(F1034:F1045)=11),cubic_spline(F1033:F1044,A1033:A1044,B$6),IF(AND(COUNT(A1034:A1045)=12,COUNT(F1034:F1045)=12),cubic_spline(F1033:F1045,A1033:A1045,B$6),""))))))))))))</f>
        <v/>
      </c>
      <c r="L1036" s="27" t="str">
        <f>IF(I1036="","",B$5&amp;"-"&amp;B$6)</f>
        <v/>
      </c>
      <c r="M1036" s="52" t="str">
        <f>IF(N(J1036)=0,"",J1036-J1035)</f>
        <v/>
      </c>
    </row>
    <row r="1037" spans="1:13" x14ac:dyDescent="0.35">
      <c r="A1037" s="48"/>
      <c r="B1037" s="48"/>
      <c r="C1037" s="49"/>
      <c r="D1037" s="50"/>
      <c r="E1037" s="51" t="str">
        <f>IF(N(C1037)=0,"",C1037/PI()/($D$1/2)^2/$D$2*10000)</f>
        <v/>
      </c>
      <c r="F1037" s="68" t="str">
        <f t="shared" si="391"/>
        <v/>
      </c>
      <c r="G1037" s="69" t="str">
        <f t="shared" si="393"/>
        <v/>
      </c>
      <c r="H1037" s="70" t="str">
        <f t="shared" si="392"/>
        <v/>
      </c>
      <c r="I1037" s="27" t="str">
        <f>IF(N(J1037)=0,"",0&amp;"-"&amp;B$7)</f>
        <v/>
      </c>
      <c r="J1037" s="52" t="str">
        <f>IF(N(B$7)=0,"",IF(AND(COUNT(H1034:H1045)=2,COUNT(F1034:F1045)=2),cubic_spline(F1033:F1035,H1033:H1035,B$7),IF(AND(COUNT(H1034:H1045)=3,COUNT(F1034:F1045)=3),cubic_spline(F1033:F1036,H1033:H1036,B$7),IF(AND(COUNT(H1034:H1045)=4,COUNT(F1034:F1045)=4),cubic_spline(F1033:F1037,H1033:H1037,B$7),IF(AND(COUNT(H1034:H1045)=5,COUNT(F1034:F1045)=5),cubic_spline(F1033:F1038,H1033:H1038,B$7),IF(AND(COUNT(H1034:H1045)=6,COUNT(F1034:F1045)=6),cubic_spline(F1033:F1039,H1033:H1039,B$7),IF(AND(COUNT(H1034:H1045)=7,COUNT(F1034:F1045)=7),cubic_spline(F1033:F1040,H1033:H1040,B$7),IF(AND(COUNT(H1034:H1045)=8,COUNT(F1034:F1045)=8),cubic_spline(F1033:F1041,H1033:H1041,B$7),IF(AND(COUNT(H1034:H1045)=9,COUNT(F1034:F1045)=9),cubic_spline(F1033:F1042,H1033:H1042,B$7),IF(AND(COUNT(H1034:H1045)=10,COUNT(F1034:F1045)=10),cubic_spline(F1033:F1043,H1033:H1043,B$7),IF(AND(COUNT(H1034:H1045)=11,COUNT(F1034:F1045)=11),cubic_spline(F1033:F1044,H1033:H1044,B$7),IF(AND(COUNT(H1034:H1045)=12,COUNT(F1034:F1045)=12),cubic_spline(F1033:F1045,H1033:H1045,B$7),""))))))))))))</f>
        <v/>
      </c>
      <c r="K1037" s="52" t="str">
        <f>IF(N(B$7)=0,"",IF(AND(COUNT(A1034:A1045)=2,COUNT(F1034:F1045)=2),cubic_spline(F1033:F1035,A1033:A1035,B$7),IF(AND(COUNT(A1034:A1045)=3,COUNT(F1034:F1045)=3),cubic_spline(F1033:F1036,A1033:A1036,B$7),IF(AND(COUNT(A1034:A1045)=4,COUNT(F1034:F1045)=4),cubic_spline(F1033:F1037,A1033:A1037,B$7),IF(AND(COUNT(A1034:A1045)=5,COUNT(F1034:F1045)=5),cubic_spline(F1033:F1038,A1033:A1038,B$7),IF(AND(COUNT(A1034:A1045)=6,COUNT(F1034:F1045)=6),cubic_spline(F1033:F1039,A1033:A1039,B$7),IF(AND(COUNT(A1034:A1045)=7,COUNT(F1034:F1045)=7),cubic_spline(F1033:F1040,A1033:A1040,B$7),IF(AND(COUNT(A1034:A1045)=8,COUNT(F1034:F1045)=8),cubic_spline(F1033:F1041,A1033:A1041,B$7),IF(AND(COUNT(A1034:A1045)=9,COUNT(F1034:F1045)=9),cubic_spline(F1033:F1042,A1033:A1042,B$7),IF(AND(COUNT(A1034:A1045)=10,COUNT(F1034:F1045)=10),cubic_spline(F1033:F1043,A1033:A1043,B$7),IF(AND(COUNT(A1034:A1045)=11,COUNT(F1034:F1045)=11),cubic_spline(F1033:F1044,A1033:A1044,B$7),IF(AND(COUNT(A1034:A1045)=12,COUNT(F1034:F1045)=12),cubic_spline(F1033:F1045,A1033:A1045,B$7),""))))))))))))</f>
        <v/>
      </c>
      <c r="L1037" s="27" t="str">
        <f>IF(I1037="","",B$6&amp;"-"&amp;B$7)</f>
        <v/>
      </c>
      <c r="M1037" s="52" t="str">
        <f>IF(N(J1037)=0,"",J1037-J1036)</f>
        <v/>
      </c>
    </row>
    <row r="1038" spans="1:13" x14ac:dyDescent="0.35">
      <c r="A1038" s="48"/>
      <c r="B1038" s="48"/>
      <c r="C1038" s="49"/>
      <c r="D1038" s="50"/>
      <c r="E1038" s="51" t="str">
        <f t="shared" ref="E1038:E1045" si="394">IF(N(C1038)=0,"",C1038/PI()/($D$1/2)^2/$D$2*10000)</f>
        <v/>
      </c>
      <c r="F1038" s="71" t="str">
        <f t="shared" si="391"/>
        <v/>
      </c>
      <c r="G1038" s="69" t="str">
        <f t="shared" si="393"/>
        <v/>
      </c>
      <c r="H1038" s="70" t="str">
        <f t="shared" si="392"/>
        <v/>
      </c>
      <c r="I1038" s="27" t="str">
        <f>IF(N(J1038)=0,"",0&amp;"-"&amp;B$8)</f>
        <v/>
      </c>
      <c r="J1038" s="52" t="str">
        <f>IF(N(B$8)=0,"",IF(AND(COUNT(H1034:H1045)=2,COUNT(F1034:F1045)=2),cubic_spline(F1033:F1035,H1033:H1035,B$8),IF(AND(COUNT(H1034:H1045)=3,COUNT(F1034:F1045)=3),cubic_spline(F1033:F1036,H1033:H1036,B$8),IF(AND(COUNT(H1034:H1045)=4,COUNT(F1034:F1045)=4),cubic_spline(F1033:F1037,H1033:H1037,B$8),IF(AND(COUNT(H1034:H1045)=5,COUNT(F1034:F1045)=5),cubic_spline(F1033:F1038,H1033:H1038,B$8),IF(AND(COUNT(H1034:H1045)=6,COUNT(F1034:F1045)=6),cubic_spline(F1033:F1039,H1033:H1039,B$8),IF(AND(COUNT(H1034:H1045)=7,COUNT(F1034:F1045)=7),cubic_spline(F1033:F1040,H1033:H1040,B$8),IF(AND(COUNT(H1034:H1045)=8,COUNT(F1034:F1045)=8),cubic_spline(F1033:F1041,H1033:H1041,B$8),IF(AND(COUNT(H1034:H1045)=9,COUNT(F1034:F1045)=9),cubic_spline(F1033:F1042,H1033:H1042,B$8),IF(AND(COUNT(H1034:H1045)=10,COUNT(F1034:F1045)=10),cubic_spline(F1033:F1043,H1033:H1043,B$8),IF(AND(COUNT(H1034:H1045)=11,COUNT(F1034:F1045)=11),cubic_spline(F1033:F1044,H1033:H1044,B$8),IF(AND(COUNT(H1034:H1045)=12,COUNT(F1034:F1045)=12),cubic_spline(F1033:F1045,H1033:H1045,B$8),""))))))))))))</f>
        <v/>
      </c>
      <c r="K1038" s="52" t="str">
        <f>IF(N(B$8)=0,"",IF(AND(COUNT(A1034:A1045)=2,COUNT(F1034:F1045)=2),cubic_spline(F1033:F1035,A1033:A1035,B$8),IF(AND(COUNT(A1034:A1045)=3,COUNT(F1034:F1045)=3),cubic_spline(F1033:F1036,A1033:A1036,B$8),IF(AND(COUNT(A1034:A1045)=4,COUNT(F1034:F1045)=4),cubic_spline(F1033:F1037,A1033:A1037,B$8),IF(AND(COUNT(A1034:A1045)=5,COUNT(F1034:F1045)=5),cubic_spline(F1033:F1038,A1033:A1038,B$8),IF(AND(COUNT(A1034:A1045)=6,COUNT(F1034:F1045)=6),cubic_spline(F1033:F1039,A1033:A1039,B$8),IF(AND(COUNT(A1034:A1045)=7,COUNT(F1034:F1045)=7),cubic_spline(F1033:F1040,A1033:A1040,B$8),IF(AND(COUNT(A1034:A1045)=8,COUNT(F1034:F1045)=8),cubic_spline(F1033:F1041,A1033:A1041,B$8),IF(AND(COUNT(A1034:A1045)=9,COUNT(F1034:F1045)=9),cubic_spline(F1033:F1042,A1033:A1042,B$8),IF(AND(COUNT(A1034:A1045)=10,COUNT(F1034:F1045)=10),cubic_spline(F1033:F1043,A1033:A1043,B$8),IF(AND(COUNT(A1034:A1045)=11,COUNT(F1034:F1045)=11),cubic_spline(F1033:F1044,A1033:A1044,B$8),IF(AND(COUNT(A1034:A1045)=12,COUNT(F1034:F1045)=12),cubic_spline(F1033:F1045,A1033:A1045,B$8),""))))))))))))</f>
        <v/>
      </c>
      <c r="L1038" s="27" t="str">
        <f>IF(I1038="","",B$7&amp;"-"&amp;B$8)</f>
        <v/>
      </c>
      <c r="M1038" s="52" t="str">
        <f>IF(N(J1038)=0,"",J1038-J1037)</f>
        <v/>
      </c>
    </row>
    <row r="1039" spans="1:13" x14ac:dyDescent="0.35">
      <c r="A1039" s="48"/>
      <c r="B1039" s="48"/>
      <c r="C1039" s="49"/>
      <c r="D1039" s="50"/>
      <c r="E1039" s="51" t="str">
        <f t="shared" si="394"/>
        <v/>
      </c>
      <c r="F1039" s="71" t="str">
        <f t="shared" si="391"/>
        <v/>
      </c>
      <c r="G1039" s="69" t="str">
        <f t="shared" si="393"/>
        <v/>
      </c>
      <c r="H1039" s="70" t="str">
        <f t="shared" si="392"/>
        <v/>
      </c>
      <c r="I1039" s="27" t="str">
        <f>IF(N(J1039)=0,"",0&amp;"-"&amp;B$9)</f>
        <v/>
      </c>
      <c r="J1039" s="52" t="str">
        <f>IF(N(B$9)=0,"",IF(AND(COUNT(H1034:H1045)=2,COUNT(F1034:F1045)=2),cubic_spline(F1033:F1035,H1033:H1035,B$9),IF(AND(COUNT(H1034:H1045)=3,COUNT(F1034:F1045)=3),cubic_spline(F1033:F1036,H1033:H1036,B$9),IF(AND(COUNT(H1034:H1045)=4,COUNT(F1034:F1045)=4),cubic_spline(F1033:F1037,H1033:H1037,B$9),IF(AND(COUNT(H1034:H1045)=5,COUNT(F1034:F1045)=5),cubic_spline(F1033:F1038,H1033:H1038,B$9),IF(AND(COUNT(H1034:H1045)=6,COUNT(F1034:F1045)=6),cubic_spline(F1033:F1039,H1033:H1039,B$9),IF(AND(COUNT(H1034:H1045)=7,COUNT(F1034:F1045)=7),cubic_spline(F1033:F1040,H1033:H1040,B$9),IF(AND(COUNT(H1034:H1045)=8,COUNT(F1034:F1045)=8),cubic_spline(F1033:F1041,H1033:H1041,B$9),IF(AND(COUNT(H1034:H1045)=9,COUNT(F1034:F1045)=9),cubic_spline(F1033:F1042,H1033:H1042,B$9),IF(AND(COUNT(H1034:H1045)=10,COUNT(F1034:F1045)=10),cubic_spline(F1033:F1043,H1033:H1043,B$9),IF(AND(COUNT(H1034:H1045)=11,COUNT(F1034:F1045)=11),cubic_spline(F1033:F1044,H1033:H1044,B$9),IF(AND(COUNT(H1034:H1045)=12,COUNT(F1034:F1045)=12),cubic_spline(F1033:F1045,H1033:H1045,B$9),""))))))))))))</f>
        <v/>
      </c>
      <c r="K1039" s="52" t="str">
        <f>IF(N(B$9)=0,"",IF(AND(COUNT(A1034:A1045)=2,COUNT(F1034:F1045)=2),cubic_spline(F1033:F1035,A1033:A1035,B$9),IF(AND(COUNT(A1034:A1045)=3,COUNT(F1034:F1045)=3),cubic_spline(F1033:F1036,A1033:A1036,B$9),IF(AND(COUNT(A1034:A1045)=4,COUNT(F1034:F1045)=4),cubic_spline(F1033:F1037,A1033:A1037,B$9),IF(AND(COUNT(A1034:A1045)=5,COUNT(F1034:F1045)=5),cubic_spline(F1033:F1038,A1033:A1038,B$9),IF(AND(COUNT(A1034:A1045)=6,COUNT(F1034:F1045)=6),cubic_spline(F1033:F1039,A1033:A1039,B$9),IF(AND(COUNT(A1034:A1045)=7,COUNT(F1034:F1045)=7),cubic_spline(F1033:F1040,A1033:A1040,B$9),IF(AND(COUNT(A1034:A1045)=8,COUNT(F1034:F1045)=8),cubic_spline(F1033:F1041,A1033:A1041,B$9),IF(AND(COUNT(A1034:A1045)=9,COUNT(F1034:F1045)=9),cubic_spline(F1033:F1042,A1033:A1042,B$9),IF(AND(COUNT(A1034:A1045)=10,COUNT(F1034:F1045)=10),cubic_spline(F1033:F1043,A1033:A1043,B$9),IF(AND(COUNT(A1034:A1045)=11,COUNT(F1034:F1045)=11),cubic_spline(F1033:F1044,A1033:A1044,B$9),IF(AND(COUNT(A1034:A1045)=12,COUNT(F1034:F1045)=12),cubic_spline(F1033:F1045,A1033:A1045,B$9),""))))))))))))</f>
        <v/>
      </c>
      <c r="L1039" s="27" t="str">
        <f>IF(I1039="","",B$8&amp;"-"&amp;B$9)</f>
        <v/>
      </c>
      <c r="M1039" s="52" t="str">
        <f t="shared" ref="M1039:M1045" si="395">IF(N(J1039)=0,"",J1039-J1038)</f>
        <v/>
      </c>
    </row>
    <row r="1040" spans="1:13" x14ac:dyDescent="0.35">
      <c r="A1040" s="48"/>
      <c r="B1040" s="48"/>
      <c r="C1040" s="49"/>
      <c r="D1040" s="50"/>
      <c r="E1040" s="51" t="str">
        <f t="shared" si="394"/>
        <v/>
      </c>
      <c r="F1040" s="71" t="str">
        <f t="shared" si="391"/>
        <v/>
      </c>
      <c r="G1040" s="69" t="str">
        <f t="shared" si="393"/>
        <v/>
      </c>
      <c r="H1040" s="70" t="str">
        <f t="shared" si="392"/>
        <v/>
      </c>
      <c r="I1040" s="27" t="str">
        <f>IF(N(J1040)=0,"",0&amp;"-"&amp;B$10)</f>
        <v/>
      </c>
      <c r="J1040" s="52" t="str">
        <f>IF(N(B$10)=0,"",IF(AND(COUNT(H1034:H1045)=2,COUNT(F1034:F1045)=2),cubic_spline(F1033:F1035,H1033:H1035,B$10),IF(AND(COUNT(H1034:H1045)=3,COUNT(F1034:F1045)=3),cubic_spline(F1033:F1036,H1033:H1036,B$10),IF(AND(COUNT(H1034:H1045)=4,COUNT(F1034:F1045)=4),cubic_spline(F1033:F1037,H1033:H1037,B$10),IF(AND(COUNT(H1034:H1045)=5,COUNT(F1034:F1045)=5),cubic_spline(F1033:F1038,H1033:H1038,B$10),IF(AND(COUNT(H1034:H1045)=6,COUNT(F1034:F1045)=6),cubic_spline(F1033:F1039,H1033:H1039,B$10),IF(AND(COUNT(H1034:H1045)=7,COUNT(F1034:F1045)=7),cubic_spline(F1033:F1040,H1033:H1040,B$10),IF(AND(COUNT(H1034:H1045)=8,COUNT(F1034:F1045)=8),cubic_spline(F1033:F1041,H1033:H1041,B$10),IF(AND(COUNT(H1034:H1045)=9,COUNT(F1034:F1045)=9),cubic_spline(F1033:F1042,H1033:H1042,B$10),IF(AND(COUNT(H1034:H1045)=10,COUNT(F1034:F1045)=10),cubic_spline(F1033:F1043,H1033:H1043,B$10),IF(AND(COUNT(H1034:H1045)=11,COUNT(F1034:F1045)=11),cubic_spline(F1033:F1044,H1033:H1044,B$10),IF(AND(COUNT(H1034:H1045)=12,COUNT(F1034:F1045)=12),cubic_spline(F1033:F1045,H1033:H1045,B$10),""))))))))))))</f>
        <v/>
      </c>
      <c r="K1040" s="52" t="str">
        <f>IF(N(B$10)=0,"",IF(AND(COUNT(A1034:A1045)=2,COUNT(F1034:F1045)=2),cubic_spline(F1033:F1035,A1033:A1035,B$10),IF(AND(COUNT(A1034:A1045)=3,COUNT(F1034:F1045)=3),cubic_spline(F1033:F1036,A1033:A1036,B$10),IF(AND(COUNT(A1034:A1045)=4,COUNT(F1034:F1045)=4),cubic_spline(F1033:F1037,A1033:A1037,B$10),IF(AND(COUNT(A1034:A1045)=5,COUNT(F1034:F1045)=5),cubic_spline(F1033:F1038,A1033:A1038,B$10),IF(AND(COUNT(A1034:A1045)=6,COUNT(F1034:F1045)=6),cubic_spline(F1033:F1039,A1033:A1039,B$10),IF(AND(COUNT(A1034:A1045)=7,COUNT(F1034:F1045)=7),cubic_spline(F1033:F1040,A1033:A1040,B$10),IF(AND(COUNT(A1034:A1045)=8,COUNT(F1034:F1045)=8),cubic_spline(F1033:F1041,A1033:A1041,B$10),IF(AND(COUNT(A1034:A1045)=9,COUNT(F1034:F1045)=9),cubic_spline(F1033:F1042,A1033:A1042,B$10),IF(AND(COUNT(A1034:A1045)=10,COUNT(F1034:F1045)=10),cubic_spline(F1033:F1043,A1033:A1043,B$10),IF(AND(COUNT(A1034:A1045)=11,COUNT(F1034:F1045)=11),cubic_spline(F1033:F1044,A1033:A1044,B$10),IF(AND(COUNT(A1034:A1045)=12,COUNT(F1034:F1045)=12),cubic_spline(F1033:F1045,A1033:A1045,B$10),""))))))))))))</f>
        <v/>
      </c>
      <c r="L1040" s="27" t="str">
        <f>IF(I1040="","",B$9&amp;"-"&amp;B$10)</f>
        <v/>
      </c>
      <c r="M1040" s="52" t="str">
        <f t="shared" si="395"/>
        <v/>
      </c>
    </row>
    <row r="1041" spans="1:13" x14ac:dyDescent="0.35">
      <c r="A1041" s="48"/>
      <c r="B1041" s="48"/>
      <c r="C1041" s="49"/>
      <c r="D1041" s="50"/>
      <c r="E1041" s="51" t="str">
        <f t="shared" si="394"/>
        <v/>
      </c>
      <c r="F1041" s="71" t="str">
        <f t="shared" si="391"/>
        <v/>
      </c>
      <c r="G1041" s="69" t="str">
        <f t="shared" si="393"/>
        <v/>
      </c>
      <c r="H1041" s="70" t="str">
        <f t="shared" si="392"/>
        <v/>
      </c>
      <c r="I1041" s="27" t="str">
        <f>IF(N(J1041)=0,"",0&amp;"-"&amp;B$11)</f>
        <v/>
      </c>
      <c r="J1041" s="52" t="str">
        <f>IF(N(B$11)=0,"",IF(AND(COUNT(H1034:H1045)=2,COUNT(F1034:F1045)=2),cubic_spline(F1033:F1035,H1033:H1035,B$11),IF(AND(COUNT(H1034:H1045)=3,COUNT(F1034:F1045)=3),cubic_spline(F1033:F1036,H1033:H1036,B$11),IF(AND(COUNT(H1034:H1045)=4,COUNT(F1034:F1045)=4),cubic_spline(F1033:F1037,H1033:H1037,B$11),IF(AND(COUNT(H1034:H1045)=5,COUNT(F1034:F1045)=5),cubic_spline(F1033:F1038,H1033:H1038,B$11),IF(AND(COUNT(H1034:H1045)=6,COUNT(F1034:F1045)=6),cubic_spline(F1033:F1039,H1033:H1039,B$11),IF(AND(COUNT(H1034:H1045)=7,COUNT(F1034:F1045)=7),cubic_spline(F1033:F1040,H1033:H1040,B$11),IF(AND(COUNT(H1034:H1045)=8,COUNT(F1034:F1045)=8),cubic_spline(F1033:F1041,H1033:H1041,B$11),IF(AND(COUNT(H1034:H1045)=9,COUNT(F1034:F1045)=9),cubic_spline(F1033:F1042,H1033:H1042,B$11),IF(AND(COUNT(H1034:H1045)=10,COUNT(F1034:F1045)=10),cubic_spline(F1033:F1043,H1033:H1043,B$11),IF(AND(COUNT(H1034:H1045)=11,COUNT(F1034:F1045)=11),cubic_spline(F1033:F1044,H1033:H1044,B$11),IF(AND(COUNT(H1034:H1045)=12,COUNT(F1034:F1045)=12),cubic_spline(F1033:F1045,H1033:H1045,B$11),""))))))))))))</f>
        <v/>
      </c>
      <c r="K1041" s="52" t="str">
        <f>IF(N(B$11)=0,"",IF(AND(COUNT(A1034:A1045)=2,COUNT(F1034:F1045)=2),cubic_spline(F1033:F1035,A1033:A1035,B$11),IF(AND(COUNT(A1034:A1045)=3,COUNT(F1034:F1045)=3),cubic_spline(F1033:F1036,A1033:A1036,B$11),IF(AND(COUNT(A1034:A1045)=4,COUNT(F1034:F1045)=4),cubic_spline(F1033:F1037,A1033:A1037,B$11),IF(AND(COUNT(A1034:A1045)=5,COUNT(F1034:F1045)=5),cubic_spline(F1033:F1038,A1033:A1038,B$11),IF(AND(COUNT(A1034:A1045)=6,COUNT(F1034:F1045)=6),cubic_spline(F1033:F1039,A1033:A1039,B$11),IF(AND(COUNT(A1034:A1045)=7,COUNT(F1034:F1045)=7),cubic_spline(F1033:F1040,A1033:A1040,B$11),IF(AND(COUNT(A1034:A1045)=8,COUNT(F1034:F1045)=8),cubic_spline(F1033:F1041,A1033:A1041,B$11),IF(AND(COUNT(A1034:A1045)=9,COUNT(F1034:F1045)=9),cubic_spline(F1033:F1042,A1033:A1042,B$11),IF(AND(COUNT(A1034:A1045)=10,COUNT(F1034:F1045)=10),cubic_spline(F1033:F1043,A1033:A1043,B$11),IF(AND(COUNT(A1034:A1045)=11,COUNT(F1034:F1045)=11),cubic_spline(F1033:F1044,A1033:A1044,B$11),IF(AND(COUNT(A1034:A1045)=12,COUNT(F1034:F1045)=12),cubic_spline(F1033:F1045,A1033:A1045,B$11),""))))))))))))</f>
        <v/>
      </c>
      <c r="L1041" s="27" t="str">
        <f>IF(I1041="","",B$10&amp;"-"&amp;B$11)</f>
        <v/>
      </c>
      <c r="M1041" s="52" t="str">
        <f t="shared" si="395"/>
        <v/>
      </c>
    </row>
    <row r="1042" spans="1:13" x14ac:dyDescent="0.35">
      <c r="A1042" s="48"/>
      <c r="B1042" s="48"/>
      <c r="C1042" s="49"/>
      <c r="D1042" s="50"/>
      <c r="E1042" s="51" t="str">
        <f t="shared" si="394"/>
        <v/>
      </c>
      <c r="F1042" s="71" t="str">
        <f t="shared" si="391"/>
        <v/>
      </c>
      <c r="G1042" s="69" t="str">
        <f t="shared" si="393"/>
        <v/>
      </c>
      <c r="H1042" s="70" t="str">
        <f t="shared" si="392"/>
        <v/>
      </c>
      <c r="I1042" s="27" t="str">
        <f>IF(N(J1042)=0,"",0&amp;"-"&amp;B$12)</f>
        <v/>
      </c>
      <c r="J1042" s="52" t="str">
        <f>IF(N(B$12)=0,"",IF(AND(COUNT(H1034:H1045)=2,COUNT(F1034:F1045)=2),cubic_spline(F1033:F1035,H1033:H1035,B$12),IF(AND(COUNT(H1034:H1045)=3,COUNT(F1034:F1045)=3),cubic_spline(F1033:F1036,H1033:H1036,B$12),IF(AND(COUNT(H1034:H1045)=4,COUNT(F1034:F1045)=4),cubic_spline(F1033:F1037,H1033:H1037,B$12),IF(AND(COUNT(H1034:H1045)=5,COUNT(F1034:F1045)=5),cubic_spline(F1033:F1038,H1033:H1038,B$12),IF(AND(COUNT(H1034:H1045)=6,COUNT(F1034:F1045)=6),cubic_spline(F1033:F1039,H1033:H1039,B$12),IF(AND(COUNT(H1034:H1045)=7,COUNT(F1034:F1045)=7),cubic_spline(F1033:F1040,H1033:H1040,B$12),IF(AND(COUNT(H1034:H1045)=8,COUNT(F1034:F1045)=8),cubic_spline(F1033:F1041,H1033:H1041,B$12),IF(AND(COUNT(H1034:H1045)=9,COUNT(F1034:F1045)=9),cubic_spline(F1033:F1042,H1033:H1042,B$12),IF(AND(COUNT(H1034:H1045)=10,COUNT(F1034:F1045)=10),cubic_spline(F1033:F1043,H1033:H1043,B$12),IF(AND(COUNT(H1034:H1045)=11,COUNT(F1034:F1045)=11),cubic_spline(F1033:F1044,H1033:H1044,B$12),IF(AND(COUNT(H1034:H1045)=12,COUNT(F1034:F1045)=12),cubic_spline(F1033:F1045,H1033:H1045,B$12),""))))))))))))</f>
        <v/>
      </c>
      <c r="K1042" s="52" t="str">
        <f>IF(N(B$12)=0,"",IF(AND(COUNT(A1034:A1045)=2,COUNT(F1034:F1045)=2),cubic_spline(F1033:F1035,A1033:A1035,B$12),IF(AND(COUNT(A1034:A1045)=3,COUNT(F1034:F1045)=3),cubic_spline(F1033:F1036,A1033:A1036,B$12),IF(AND(COUNT(A1034:A1045)=4,COUNT(F1034:F1045)=4),cubic_spline(F1033:F1037,A1033:A1037,B$12),IF(AND(COUNT(A1034:A1045)=5,COUNT(F1034:F1045)=5),cubic_spline(F1033:F1038,A1033:A1038,B$12),IF(AND(COUNT(A1034:A1045)=6,COUNT(F1034:F1045)=6),cubic_spline(F1033:F1039,A1033:A1039,B$12),IF(AND(COUNT(A1034:A1045)=7,COUNT(F1034:F1045)=7),cubic_spline(F1033:F1040,A1033:A1040,B$12),IF(AND(COUNT(A1034:A1045)=8,COUNT(F1034:F1045)=8),cubic_spline(F1033:F1041,A1033:A1041,B$12),IF(AND(COUNT(A1034:A1045)=9,COUNT(F1034:F1045)=9),cubic_spline(F1033:F1042,A1033:A1042,B$12),IF(AND(COUNT(A1034:A1045)=10,COUNT(F1034:F1045)=10),cubic_spline(F1033:F1043,A1033:A1043,B$12),IF(AND(COUNT(A1034:A1045)=11,COUNT(F1034:F1045)=11),cubic_spline(F1033:F1044,A1033:A1044,B$12),IF(AND(COUNT(A1034:A1045)=12,COUNT(F1034:F1045)=12),cubic_spline(F1033:F1045,A1033:A1045,B$12),""))))))))))))</f>
        <v/>
      </c>
      <c r="L1042" s="27" t="str">
        <f>IF(I1042="","",B$11&amp;"-"&amp;B$12)</f>
        <v/>
      </c>
      <c r="M1042" s="52" t="str">
        <f t="shared" si="395"/>
        <v/>
      </c>
    </row>
    <row r="1043" spans="1:13" x14ac:dyDescent="0.35">
      <c r="A1043" s="48"/>
      <c r="B1043" s="48"/>
      <c r="C1043" s="49"/>
      <c r="D1043" s="50"/>
      <c r="E1043" s="51" t="str">
        <f t="shared" si="394"/>
        <v/>
      </c>
      <c r="F1043" s="71" t="str">
        <f t="shared" si="391"/>
        <v/>
      </c>
      <c r="G1043" s="69" t="str">
        <f t="shared" si="393"/>
        <v/>
      </c>
      <c r="H1043" s="70" t="str">
        <f t="shared" si="392"/>
        <v/>
      </c>
      <c r="I1043" s="27" t="str">
        <f>IF(N(J1043)=0,"",0&amp;"-"&amp;B$13)</f>
        <v/>
      </c>
      <c r="J1043" s="52" t="str">
        <f>IF(N(B$13)=0,"",IF(AND(COUNT(H1034:H1045)=2,COUNT(F1034:F1045)=2),cubic_spline(F1033:F1035,H1033:H1035,B$13),IF(AND(COUNT(H1034:H1045)=3,COUNT(F1034:F1045)=3),cubic_spline(F1033:F1036,H1033:H1036,B$13),IF(AND(COUNT(H1034:H1045)=4,COUNT(F1034:F1045)=4),cubic_spline(F1033:F1037,H1033:H1037,B$13),IF(AND(COUNT(H1034:H1045)=5,COUNT(F1034:F1045)=5),cubic_spline(F1033:F1038,H1033:H1038,B$13),IF(AND(COUNT(H1034:H1045)=6,COUNT(F1034:F1045)=6),cubic_spline(F1033:F1039,H1033:H1039,B$13),IF(AND(COUNT(H1034:H1045)=7,COUNT(F1034:F1045)=7),cubic_spline(F1033:F1040,H1033:H1040,B$13),IF(AND(COUNT(H1034:H1045)=8,COUNT(F1034:F1045)=8),cubic_spline(F1033:F1041,H1033:H1041,B$13),IF(AND(COUNT(H1034:H1045)=9,COUNT(F1034:F1045)=9),cubic_spline(F1033:F1042,H1033:H1042,B$13),IF(AND(COUNT(H1034:H1045)=10,COUNT(F1034:F1045)=10),cubic_spline(F1033:F1043,H1033:H1043,B$13),IF(AND(COUNT(H1034:H1045)=11,COUNT(F1034:F1045)=11),cubic_spline(F1033:F1044,H1033:H1044,B$13),IF(AND(COUNT(H1034:H1045)=12,COUNT(F1034:F1045)=12),cubic_spline(F1033:F1045,H1033:H1045,B$13),""))))))))))))</f>
        <v/>
      </c>
      <c r="K1043" s="52" t="str">
        <f>IF(N(B$13)=0,"",IF(AND(COUNT(A1034:A1045)=2,COUNT(F1034:F1045)=2),cubic_spline(F1033:F1035,A1033:A1035,B$13),IF(AND(COUNT(A1034:A1045)=3,COUNT(F1034:F1045)=3),cubic_spline(F1033:F1036,A1033:A1036,B$13),IF(AND(COUNT(A1034:A1045)=4,COUNT(F1034:F1045)=4),cubic_spline(F1033:F1037,A1033:A1037,B$13),IF(AND(COUNT(A1034:A1045)=5,COUNT(F1034:F1045)=5),cubic_spline(F1033:F1038,A1033:A1038,B$13),IF(AND(COUNT(A1034:A1045)=6,COUNT(F1034:F1045)=6),cubic_spline(F1033:F1039,A1033:A1039,B$13),IF(AND(COUNT(A1034:A1045)=7,COUNT(F1034:F1045)=7),cubic_spline(F1033:F1040,A1033:A1040,B$13),IF(AND(COUNT(A1034:A1045)=8,COUNT(F1034:F1045)=8),cubic_spline(F1033:F1041,A1033:A1041,B$13),IF(AND(COUNT(A1034:A1045)=9,COUNT(F1034:F1045)=9),cubic_spline(F1033:F1042,A1033:A1042,B$13),IF(AND(COUNT(A1034:A1045)=10,COUNT(F1034:F1045)=10),cubic_spline(F1033:F1043,A1033:A1043,B$13),IF(AND(COUNT(A1034:A1045)=11,COUNT(F1034:F1045)=11),cubic_spline(F1033:F1044,A1033:A1044,B$13),IF(AND(COUNT(A1034:A1045)=12,COUNT(F1034:F1045)=12),cubic_spline(F1033:F1045,A1033:A1045,B$13),""))))))))))))</f>
        <v/>
      </c>
      <c r="L1043" s="27" t="str">
        <f>IF(I1043="","",B$12&amp;"-"&amp;B$13)</f>
        <v/>
      </c>
      <c r="M1043" s="52" t="str">
        <f t="shared" si="395"/>
        <v/>
      </c>
    </row>
    <row r="1044" spans="1:13" x14ac:dyDescent="0.35">
      <c r="A1044" s="48"/>
      <c r="B1044" s="48"/>
      <c r="C1044" s="49"/>
      <c r="D1044" s="50"/>
      <c r="E1044" s="51" t="str">
        <f t="shared" si="394"/>
        <v/>
      </c>
      <c r="F1044" s="71" t="str">
        <f t="shared" si="391"/>
        <v/>
      </c>
      <c r="G1044" s="69" t="str">
        <f t="shared" si="393"/>
        <v/>
      </c>
      <c r="H1044" s="70" t="str">
        <f t="shared" si="392"/>
        <v/>
      </c>
      <c r="I1044" s="27" t="str">
        <f>IF(N(J1044)=0,"",0&amp;"-"&amp;B$14)</f>
        <v/>
      </c>
      <c r="J1044" s="52" t="str">
        <f>IF(N(B$14)=0,"",IF(AND(COUNT(H1034:H1045)=2,COUNT(F1034:F1045)=2),cubic_spline(F1033:F1035,H1033:H1035,B$14),IF(AND(COUNT(H1034:H1045)=3,COUNT(F1034:F1045)=3),cubic_spline(F1033:F1036,H1033:H1036,B$14),IF(AND(COUNT(H1034:H1045)=4,COUNT(F1034:F1045)=4),cubic_spline(F1033:F1037,H1033:H1037,B$14),IF(AND(COUNT(H1034:H1045)=5,COUNT(F1034:F1045)=5),cubic_spline(F1033:F1038,H1033:H1038,B$14),IF(AND(COUNT(H1034:H1045)=6,COUNT(F1034:F1045)=6),cubic_spline(F1033:F1039,H1033:H1039,B$14),IF(AND(COUNT(H1034:H1045)=7,COUNT(F1034:F1045)=7),cubic_spline(F1033:F1040,H1033:H1040,B$14),IF(AND(COUNT(H1034:H1045)=8,COUNT(F1034:F1045)=8),cubic_spline(F1033:F1041,H1033:H1041,B$14),IF(AND(COUNT(H1034:H1045)=9,COUNT(F1034:F1045)=9),cubic_spline(F1033:F1042,H1033:H1042,B$14),IF(AND(COUNT(H1034:H1045)=10,COUNT(F1034:F1045)=10),cubic_spline(F1033:F1043,H1033:H1043,B$14),IF(AND(COUNT(H1034:H1045)=11,COUNT(F1034:F1045)=11),cubic_spline(F1033:F1044,H1033:H1044,B$14),IF(AND(COUNT(H1034:H1045)=12,COUNT(F1034:F1045)=12),cubic_spline(F1033:F1045,H1033:H1045,B$14),""))))))))))))</f>
        <v/>
      </c>
      <c r="K1044" s="52" t="str">
        <f>IF(N(B$14)=0,"",IF(AND(COUNT(A1034:A1045)=2,COUNT(F1034:F1045)=2),cubic_spline(F1033:F1035,A1033:A1035,B$14),IF(AND(COUNT(A1034:A1045)=3,COUNT(F1034:F1045)=3),cubic_spline(F1033:F1036,A1033:A1036,B$14),IF(AND(COUNT(A1034:A1045)=4,COUNT(F1034:F1045)=4),cubic_spline(F1033:F1037,A1033:A1037,B$14),IF(AND(COUNT(A1034:A1045)=5,COUNT(F1034:F1045)=5),cubic_spline(F1033:F1038,A1033:A1038,B$14),IF(AND(COUNT(A1034:A1045)=6,COUNT(F1034:F1045)=6),cubic_spline(F1033:F1039,A1033:A1039,B$14),IF(AND(COUNT(A1034:A1045)=7,COUNT(F1034:F1045)=7),cubic_spline(F1033:F1040,A1033:A1040,B$14),IF(AND(COUNT(A1034:A1045)=8,COUNT(F1034:F1045)=8),cubic_spline(F1033:F1041,A1033:A1041,B$14),IF(AND(COUNT(A1034:A1045)=9,COUNT(F1034:F1045)=9),cubic_spline(F1033:F1042,A1033:A1042,B$14),IF(AND(COUNT(A1034:A1045)=10,COUNT(F1034:F1045)=10),cubic_spline(F1033:F1043,A1033:A1043,B$14),IF(AND(COUNT(A1034:A1045)=11,COUNT(F1034:F1045)=11),cubic_spline(F1033:F1044,A1033:A1044,B$14),IF(AND(COUNT(A1034:A1045)=12,COUNT(F1034:F1045)=12),cubic_spline(F1033:F1045,A1033:A1045,B$14),""))))))))))))</f>
        <v/>
      </c>
      <c r="L1044" s="27" t="str">
        <f>IF(I1044="","",B$13&amp;"-"&amp;B$14)</f>
        <v/>
      </c>
      <c r="M1044" s="52" t="str">
        <f t="shared" si="395"/>
        <v/>
      </c>
    </row>
    <row r="1045" spans="1:13" x14ac:dyDescent="0.35">
      <c r="A1045" s="48"/>
      <c r="B1045" s="48"/>
      <c r="C1045" s="49"/>
      <c r="D1045" s="50"/>
      <c r="E1045" s="51" t="str">
        <f t="shared" si="394"/>
        <v/>
      </c>
      <c r="F1045" s="71" t="str">
        <f t="shared" si="391"/>
        <v/>
      </c>
      <c r="G1045" s="69" t="str">
        <f t="shared" si="393"/>
        <v/>
      </c>
      <c r="H1045" s="70" t="str">
        <f t="shared" si="392"/>
        <v/>
      </c>
      <c r="I1045" s="27" t="str">
        <f>IF(N(J1045)=0,"",0&amp;"-"&amp;B$15)</f>
        <v/>
      </c>
      <c r="J1045" s="52" t="str">
        <f>IF(N(B$15)=0,"",IF(AND(COUNT(H1034:H1045)=2,COUNT(F1034:F1045)=2),cubic_spline(F1033:F1035,H1033:H1035,B$15),IF(AND(COUNT(H1034:H1045)=3,COUNT(F1034:F1045)=3),cubic_spline(F1033:F1036,H1033:H1036,B$15),IF(AND(COUNT(H1034:H1045)=4,COUNT(F1034:F1045)=4),cubic_spline(F1033:F1037,H1033:H1037,B$15),IF(AND(COUNT(H1034:H1045)=5,COUNT(F1034:F1045)=5),cubic_spline(F1033:F1038,H1033:H1038,B$15),IF(AND(COUNT(H1034:H1045)=6,COUNT(F1034:F1045)=6),cubic_spline(F1033:F1039,H1033:H1039,B$15),IF(AND(COUNT(H1034:H1045)=7,COUNT(F1034:F1045)=7),cubic_spline(F1033:F1040,H1033:H1040,B$15),IF(AND(COUNT(H1034:H1045)=8,COUNT(F1034:F1045)=8),cubic_spline(F1033:F1041,H1033:H1041,B$15),IF(AND(COUNT(H1034:H1045)=9,COUNT(F1034:F1045)=9),cubic_spline(F1033:F1042,H1033:H1042,B$15),IF(AND(COUNT(H1034:H1045)=10,COUNT(F1034:F1045)=10),cubic_spline(F1033:F1043,H1033:H1043,B$15),IF(AND(COUNT(H1034:H1045)=11,COUNT(F1034:F1045)=11),cubic_spline(F1033:F1044,H1033:H1044,B$15),IF(AND(COUNT(H1034:H1045)=12,COUNT(F1034:F1045)=12),cubic_spline(F1033:F1045,H1033:H1045,B$15),""))))))))))))</f>
        <v/>
      </c>
      <c r="K1045" s="52" t="str">
        <f>IF(N(B$15)=0,"",IF(AND(COUNT(A1034:A1045)=2,COUNT(F1034:F1045)=2),cubic_spline(F1033:F1035,A1033:A1035,B$15),IF(AND(COUNT(A1034:A1045)=3,COUNT(F1034:F1045)=3),cubic_spline(F1033:F1036,A1033:A1036,B$15),IF(AND(COUNT(A1034:A1045)=4,COUNT(F1034:F1045)=4),cubic_spline(F1033:F1037,A1033:A1037,B$15),IF(AND(COUNT(A1034:A1045)=5,COUNT(F1034:F1045)=5),cubic_spline(F1033:F1038,A1033:A1038,B$15),IF(AND(COUNT(A1034:A1045)=6,COUNT(F1034:F1045)=6),cubic_spline(F1033:F1039,A1033:A1039,B$15),IF(AND(COUNT(A1034:A1045)=7,COUNT(F1034:F1045)=7),cubic_spline(F1033:F1040,A1033:A1040,B$15),IF(AND(COUNT(A1034:A1045)=8,COUNT(F1034:F1045)=8),cubic_spline(F1033:F1041,A1033:A1041,B$15),IF(AND(COUNT(A1034:A1045)=9,COUNT(F1034:F1045)=9),cubic_spline(F1033:F1042,A1033:A1042,B$15),IF(AND(COUNT(A1034:A1045)=10,COUNT(F1034:F1045)=10),cubic_spline(F1033:F1043,A1033:A1043,B$15),IF(AND(COUNT(A1034:A1045)=11,COUNT(F1034:F1045)=11),cubic_spline(F1033:F1044,A1033:A1044,B$15),IF(AND(COUNT(A1034:A1045)=12,COUNT(F1034:F1045)=12),cubic_spline(F1033:F1045,A1033:A1045,B$15),""))))))))))))</f>
        <v/>
      </c>
      <c r="L1045" s="27" t="str">
        <f>IF(I1045="","",B$14&amp;"-"&amp;B$15)</f>
        <v/>
      </c>
      <c r="M1045" s="52" t="str">
        <f t="shared" si="395"/>
        <v/>
      </c>
    </row>
    <row r="1046" spans="1:13" ht="5.15" customHeight="1" x14ac:dyDescent="0.35">
      <c r="A1046" s="47"/>
      <c r="B1046" s="47"/>
      <c r="C1046" s="47"/>
      <c r="D1046" s="53"/>
      <c r="E1046" s="54"/>
      <c r="F1046" s="55"/>
      <c r="G1046" s="72"/>
      <c r="H1046" s="73"/>
      <c r="I1046" s="47"/>
      <c r="J1046" s="57"/>
      <c r="K1046" s="57"/>
      <c r="L1046" s="55"/>
      <c r="M1046" s="57"/>
    </row>
    <row r="1047" spans="1:13" x14ac:dyDescent="0.35">
      <c r="A1047" s="48"/>
      <c r="B1047" s="48"/>
      <c r="C1047" s="49"/>
      <c r="D1047" s="50"/>
      <c r="E1047" s="51" t="str">
        <f>IF(N(C1047)=0,"",C1047/PI()/($D$1/2)^2/$D$2*10000)</f>
        <v/>
      </c>
      <c r="F1047" s="68" t="str">
        <f t="shared" ref="F1047:F1058" si="396">IF(N(E1047)=0,"",(N(E1047)+N(F1046)))</f>
        <v/>
      </c>
      <c r="G1047" s="69" t="str">
        <f>IF(OR(N(D1047)=0,N(E1047)=0),"",(E1047*D1047)/1000)</f>
        <v/>
      </c>
      <c r="H1047" s="70" t="str">
        <f t="shared" ref="H1047:H1058" si="397">IF(N(G1047)=0,"",(N(G1047)+N(H1046)))</f>
        <v/>
      </c>
      <c r="I1047" s="27" t="str">
        <f>IF(N(J1047)=0,"",0&amp;"-"&amp;B$4)</f>
        <v/>
      </c>
      <c r="J1047" s="52" t="str">
        <f>IF(N(B$4)=0,"",IF(AND(COUNT(H1047:H1058)=2,COUNT(F1047:F1058)=2),cubic_spline(F1046:F1048,H1046:H1048,B$4),IF(AND(COUNT(H1047:H1058)=3,COUNT(F1047:F1058)=3),cubic_spline(F1046:F1049,H1046:H1049,B$4),IF(AND(COUNT(H1047:H1058)=4,COUNT(F1047:F1058)=4),cubic_spline(F1046:F1050,H1046:H1050,B$4),IF(AND(COUNT(H1047:H1058)=5,COUNT(F1047:F1058)=5),cubic_spline(F1046:F1051,H1046:H1051,B$4),IF(AND(COUNT(H1047:H1058)=6,COUNT(F1047:F1058)=6),cubic_spline(F1046:F1052,H1046:H1052,B$4),IF(AND(COUNT(H1047:H1058)=7,COUNT(F1047:F1058)=7),cubic_spline(F1046:F1053,H1046:H1053,B$4),IF(AND(COUNT(H1047:H1058)=8,COUNT(F1047:F1058)=8),cubic_spline(F1046:F1054,H1046:H1054,B$4),IF(AND(COUNT(H1047:H1058)=9,COUNT(F1047:F1058)=9),cubic_spline(F1046:F1055,H1046:H1055,B$4),IF(AND(COUNT(H1047:H1058)=10,COUNT(F1047:F1058)=10),cubic_spline(F1046:F1056,H1046:H1056,B$4),IF(AND(COUNT(H1047:H1058)=11,COUNT(F1047:F1058)=11),cubic_spline(F1046:F1057,H1046:H1057,B$4),IF(AND(COUNT(H1047:H1058)=12,COUNT(F1047:F1058)=12),cubic_spline(F1046:F1058,H1046:H1058,B$4),""))))))))))))</f>
        <v/>
      </c>
      <c r="K1047" s="52" t="str">
        <f>IF(N(B$4)=0,"",IF(AND(COUNT(A1047:A1058)=2,COUNT(F1047:F1058)=2),cubic_spline(F1046:F1048,A1046:A1048,B$4),IF(AND(COUNT(A1047:A1058)=3,COUNT(F1047:F1058)=3),cubic_spline(F1046:F1049,A1046:A1049,B$4),IF(AND(COUNT(A1047:A1058)=4,COUNT(F1047:F1058)=4),cubic_spline(F1046:F1050,A1046:A1050,B$4),IF(AND(COUNT(A1047:A1058)=5,COUNT(F1047:F1058)=5),cubic_spline(F1046:F1051,A1046:A1051,B$4),IF(AND(COUNT(A1047:A1058)=6,COUNT(F1047:F1058)=6),cubic_spline(F1046:F1052,A1046:A1052,B$4),IF(AND(COUNT(A1047:A1058)=7,COUNT(F1047:F1058)=7),cubic_spline(F1046:F1053,A1046:A1053,B$4),IF(AND(COUNT(A1047:A1058)=8,COUNT(F1047:F1058)=8),cubic_spline(F1046:F1054,A1046:A1054,B$4),IF(AND(COUNT(A1047:A1058)=9,COUNT(F1047:F1058)=9),cubic_spline(F1046:F1055,A1046:A1055,B$4),IF(AND(COUNT(A1047:A1058)=10,COUNT(F1047:F1058)=10),cubic_spline(F1046:F1056,A1046:A1056,B$4),IF(AND(COUNT(A1047:A1058)=11,COUNT(F1047:F1058)=11),cubic_spline(F1046:F1057,A1046:A1057,B$4),IF(AND(COUNT(A1047:A1058)=12,COUNT(F1047:F1058)=12),cubic_spline(F1046:F1058,A1046:A1058,B$4),""))))))))))))</f>
        <v/>
      </c>
      <c r="L1047" s="27" t="str">
        <f>IF(I1047="","",0&amp;"-"&amp;B$4)</f>
        <v/>
      </c>
      <c r="M1047" s="52" t="str">
        <f>IF(N(J1047)=0,"",J1047-J1046)</f>
        <v/>
      </c>
    </row>
    <row r="1048" spans="1:13" x14ac:dyDescent="0.35">
      <c r="A1048" s="48"/>
      <c r="B1048" s="48"/>
      <c r="C1048" s="49"/>
      <c r="D1048" s="50"/>
      <c r="E1048" s="51" t="str">
        <f>IF(N(C1048)=0,"",C1048/PI()/($D$1/2)^2/$D$2*10000)</f>
        <v/>
      </c>
      <c r="F1048" s="68" t="str">
        <f t="shared" si="396"/>
        <v/>
      </c>
      <c r="G1048" s="69" t="str">
        <f t="shared" ref="G1048:G1058" si="398">IF(OR(N(D1048)=0,N(E1048)=0),"",(E1048*D1048)/1000)</f>
        <v/>
      </c>
      <c r="H1048" s="70" t="str">
        <f t="shared" si="397"/>
        <v/>
      </c>
      <c r="I1048" s="27" t="str">
        <f>IF(N(J1048)=0,"",0&amp;"-"&amp;B$5)</f>
        <v/>
      </c>
      <c r="J1048" s="52" t="str">
        <f>IF(N(B$5)=0,"",IF(AND(COUNT(H1047:H1058)=2,COUNT(F1047:F1058)=2),cubic_spline(F1046:F1048,H1046:H1048,B$5),IF(AND(COUNT(H1047:H1058)=3,COUNT(F1047:F1058)=3),cubic_spline(F1046:F1049,H1046:H1049,B$5),IF(AND(COUNT(H1047:H1058)=4,COUNT(F1047:F1058)=4),cubic_spline(F1046:F1050,H1046:H1050,B$5),IF(AND(COUNT(H1047:H1058)=5,COUNT(F1047:F1058)=5),cubic_spline(F1046:F1051,H1046:H1051,B$5),IF(AND(COUNT(H1047:H1058)=6,COUNT(F1047:F1058)=6),cubic_spline(F1046:F1052,H1046:H1052,B$5),IF(AND(COUNT(H1047:H1058)=7,COUNT(F1047:F1058)=7),cubic_spline(F1046:F1053,H1046:H1053,B$5),IF(AND(COUNT(H1047:H1058)=8,COUNT(F1047:F1058)=8),cubic_spline(F1046:F1054,H1046:H1054,B$5),IF(AND(COUNT(H1047:H1058)=9,COUNT(F1047:F1058)=9),cubic_spline(F1046:F1055,H1046:H1055,B$5),IF(AND(COUNT(H1047:H1058)=10,COUNT(F1047:F1058)=10),cubic_spline(F1046:F1056,H1046:H1056,B$5),IF(AND(COUNT(H1047:H1058)=11,COUNT(F1047:F1058)=11),cubic_spline(F1046:F1057,H1046:H1057,B$5),IF(AND(COUNT(H1047:H1058)=12,COUNT(F1047:F1058)=12),cubic_spline(F1046:F1058,H1046:H1058,B$5),""))))))))))))</f>
        <v/>
      </c>
      <c r="K1048" s="52" t="str">
        <f>IF(N(B$5)=0,"",IF(AND(COUNT(A1047:A1058)=2,COUNT(F1047:F1058)=2),cubic_spline(F1046:F1048,A1046:A1048,B$5),IF(AND(COUNT(A1047:A1058)=3,COUNT(F1047:F1058)=3),cubic_spline(F1046:F1049,A1046:A1049,B$5),IF(AND(COUNT(A1047:A1058)=4,COUNT(F1047:F1058)=4),cubic_spline(F1046:F1050,A1046:A1050,B$5),IF(AND(COUNT(A1047:A1058)=5,COUNT(F1047:F1058)=5),cubic_spline(F1046:F1051,A1046:A1051,B$5),IF(AND(COUNT(A1047:A1058)=6,COUNT(F1047:F1058)=6),cubic_spline(F1046:F1052,A1046:A1052,B$5),IF(AND(COUNT(A1047:A1058)=7,COUNT(F1047:F1058)=7),cubic_spline(F1046:F1053,A1046:A1053,B$5),IF(AND(COUNT(A1047:A1058)=8,COUNT(F1047:F1058)=8),cubic_spline(F1046:F1054,A1046:A1054,B$5),IF(AND(COUNT(A1047:A1058)=9,COUNT(F1047:F1058)=9),cubic_spline(F1046:F1055,A1046:A1055,B$5),IF(AND(COUNT(A1047:A1058)=10,COUNT(F1047:F1058)=10),cubic_spline(F1046:F1056,A1046:A1056,B$5),IF(AND(COUNT(A1047:A1058)=11,COUNT(F1047:F1058)=11),cubic_spline(F1046:F1057,A1046:A1057,B$5),IF(AND(COUNT(A1047:A1058)=12,COUNT(F1047:F1058)=12),cubic_spline(F1046:F1058,A1046:A1058,B$5),""))))))))))))</f>
        <v/>
      </c>
      <c r="L1048" s="27" t="str">
        <f>IF(I1048="","",B$4&amp;"-"&amp;B$5)</f>
        <v/>
      </c>
      <c r="M1048" s="52" t="str">
        <f>IF(N(J1048)=0,"",J1048-J1047)</f>
        <v/>
      </c>
    </row>
    <row r="1049" spans="1:13" x14ac:dyDescent="0.35">
      <c r="A1049" s="48"/>
      <c r="B1049" s="48"/>
      <c r="C1049" s="49"/>
      <c r="D1049" s="50"/>
      <c r="E1049" s="51" t="str">
        <f>IF(N(C1049)=0,"",C1049/PI()/($D$1/2)^2/$D$2*10000)</f>
        <v/>
      </c>
      <c r="F1049" s="68" t="str">
        <f t="shared" si="396"/>
        <v/>
      </c>
      <c r="G1049" s="69" t="str">
        <f t="shared" si="398"/>
        <v/>
      </c>
      <c r="H1049" s="70" t="str">
        <f t="shared" si="397"/>
        <v/>
      </c>
      <c r="I1049" s="27" t="str">
        <f>IF(N(J1049)=0,"",0&amp;"-"&amp;B$6)</f>
        <v/>
      </c>
      <c r="J1049" s="52" t="str">
        <f>IF(N(B$6)=0,"",IF(AND(COUNT(H1047:H1058)=2,COUNT(F1047:F1058)=2),cubic_spline(F1046:F1048,H1046:H1048,B$6),IF(AND(COUNT(H1047:H1058)=3,COUNT(F1047:F1058)=3),cubic_spline(F1046:F1049,H1046:H1049,B$6),IF(AND(COUNT(H1047:H1058)=4,COUNT(F1047:F1058)=4),cubic_spline(F1046:F1050,H1046:H1050,B$6),IF(AND(COUNT(H1047:H1058)=5,COUNT(F1047:F1058)=5),cubic_spline(F1046:F1051,H1046:H1051,B$6),IF(AND(COUNT(H1047:H1058)=6,COUNT(F1047:F1058)=6),cubic_spline(F1046:F1052,H1046:H1052,B$6),IF(AND(COUNT(H1047:H1058)=7,COUNT(F1047:F1058)=7),cubic_spline(F1046:F1053,H1046:H1053,B$6),IF(AND(COUNT(H1047:H1058)=8,COUNT(F1047:F1058)=8),cubic_spline(F1046:F1054,H1046:H1054,B$6),IF(AND(COUNT(H1047:H1058)=9,COUNT(F1047:F1058)=9),cubic_spline(F1046:F1055,H1046:H1055,B$6),IF(AND(COUNT(H1047:H1058)=10,COUNT(F1047:F1058)=10),cubic_spline(F1046:F1056,H1046:H1056,B$6),IF(AND(COUNT(H1047:H1058)=11,COUNT(F1047:F1058)=11),cubic_spline(F1046:F1057,H1046:H1057,B$6),IF(AND(COUNT(H1047:H1058)=12,COUNT(F1047:F1058)=12),cubic_spline(F1046:F1058,H1046:H1058,B$6),""))))))))))))</f>
        <v/>
      </c>
      <c r="K1049" s="52" t="str">
        <f>IF(N(B$6)=0,"",IF(AND(COUNT(A1047:A1058)=2,COUNT(F1047:F1058)=2),cubic_spline(F1046:F1048,A1046:A1048,B$6),IF(AND(COUNT(A1047:A1058)=3,COUNT(F1047:F1058)=3),cubic_spline(F1046:F1049,A1046:A1049,B$6),IF(AND(COUNT(A1047:A1058)=4,COUNT(F1047:F1058)=4),cubic_spline(F1046:F1050,A1046:A1050,B$6),IF(AND(COUNT(A1047:A1058)=5,COUNT(F1047:F1058)=5),cubic_spline(F1046:F1051,A1046:A1051,B$6),IF(AND(COUNT(A1047:A1058)=6,COUNT(F1047:F1058)=6),cubic_spline(F1046:F1052,A1046:A1052,B$6),IF(AND(COUNT(A1047:A1058)=7,COUNT(F1047:F1058)=7),cubic_spline(F1046:F1053,A1046:A1053,B$6),IF(AND(COUNT(A1047:A1058)=8,COUNT(F1047:F1058)=8),cubic_spline(F1046:F1054,A1046:A1054,B$6),IF(AND(COUNT(A1047:A1058)=9,COUNT(F1047:F1058)=9),cubic_spline(F1046:F1055,A1046:A1055,B$6),IF(AND(COUNT(A1047:A1058)=10,COUNT(F1047:F1058)=10),cubic_spline(F1046:F1056,A1046:A1056,B$6),IF(AND(COUNT(A1047:A1058)=11,COUNT(F1047:F1058)=11),cubic_spline(F1046:F1057,A1046:A1057,B$6),IF(AND(COUNT(A1047:A1058)=12,COUNT(F1047:F1058)=12),cubic_spline(F1046:F1058,A1046:A1058,B$6),""))))))))))))</f>
        <v/>
      </c>
      <c r="L1049" s="27" t="str">
        <f>IF(I1049="","",B$5&amp;"-"&amp;B$6)</f>
        <v/>
      </c>
      <c r="M1049" s="52" t="str">
        <f>IF(N(J1049)=0,"",J1049-J1048)</f>
        <v/>
      </c>
    </row>
    <row r="1050" spans="1:13" x14ac:dyDescent="0.35">
      <c r="A1050" s="48"/>
      <c r="B1050" s="48"/>
      <c r="C1050" s="49"/>
      <c r="D1050" s="50"/>
      <c r="E1050" s="51" t="str">
        <f>IF(N(C1050)=0,"",C1050/PI()/($D$1/2)^2/$D$2*10000)</f>
        <v/>
      </c>
      <c r="F1050" s="68" t="str">
        <f t="shared" si="396"/>
        <v/>
      </c>
      <c r="G1050" s="69" t="str">
        <f t="shared" si="398"/>
        <v/>
      </c>
      <c r="H1050" s="70" t="str">
        <f t="shared" si="397"/>
        <v/>
      </c>
      <c r="I1050" s="27" t="str">
        <f>IF(N(J1050)=0,"",0&amp;"-"&amp;B$7)</f>
        <v/>
      </c>
      <c r="J1050" s="52" t="str">
        <f>IF(N(B$7)=0,"",IF(AND(COUNT(H1047:H1058)=2,COUNT(F1047:F1058)=2),cubic_spline(F1046:F1048,H1046:H1048,B$7),IF(AND(COUNT(H1047:H1058)=3,COUNT(F1047:F1058)=3),cubic_spline(F1046:F1049,H1046:H1049,B$7),IF(AND(COUNT(H1047:H1058)=4,COUNT(F1047:F1058)=4),cubic_spline(F1046:F1050,H1046:H1050,B$7),IF(AND(COUNT(H1047:H1058)=5,COUNT(F1047:F1058)=5),cubic_spline(F1046:F1051,H1046:H1051,B$7),IF(AND(COUNT(H1047:H1058)=6,COUNT(F1047:F1058)=6),cubic_spline(F1046:F1052,H1046:H1052,B$7),IF(AND(COUNT(H1047:H1058)=7,COUNT(F1047:F1058)=7),cubic_spline(F1046:F1053,H1046:H1053,B$7),IF(AND(COUNT(H1047:H1058)=8,COUNT(F1047:F1058)=8),cubic_spline(F1046:F1054,H1046:H1054,B$7),IF(AND(COUNT(H1047:H1058)=9,COUNT(F1047:F1058)=9),cubic_spline(F1046:F1055,H1046:H1055,B$7),IF(AND(COUNT(H1047:H1058)=10,COUNT(F1047:F1058)=10),cubic_spline(F1046:F1056,H1046:H1056,B$7),IF(AND(COUNT(H1047:H1058)=11,COUNT(F1047:F1058)=11),cubic_spline(F1046:F1057,H1046:H1057,B$7),IF(AND(COUNT(H1047:H1058)=12,COUNT(F1047:F1058)=12),cubic_spline(F1046:F1058,H1046:H1058,B$7),""))))))))))))</f>
        <v/>
      </c>
      <c r="K1050" s="52" t="str">
        <f>IF(N(B$7)=0,"",IF(AND(COUNT(A1047:A1058)=2,COUNT(F1047:F1058)=2),cubic_spline(F1046:F1048,A1046:A1048,B$7),IF(AND(COUNT(A1047:A1058)=3,COUNT(F1047:F1058)=3),cubic_spline(F1046:F1049,A1046:A1049,B$7),IF(AND(COUNT(A1047:A1058)=4,COUNT(F1047:F1058)=4),cubic_spline(F1046:F1050,A1046:A1050,B$7),IF(AND(COUNT(A1047:A1058)=5,COUNT(F1047:F1058)=5),cubic_spline(F1046:F1051,A1046:A1051,B$7),IF(AND(COUNT(A1047:A1058)=6,COUNT(F1047:F1058)=6),cubic_spline(F1046:F1052,A1046:A1052,B$7),IF(AND(COUNT(A1047:A1058)=7,COUNT(F1047:F1058)=7),cubic_spline(F1046:F1053,A1046:A1053,B$7),IF(AND(COUNT(A1047:A1058)=8,COUNT(F1047:F1058)=8),cubic_spline(F1046:F1054,A1046:A1054,B$7),IF(AND(COUNT(A1047:A1058)=9,COUNT(F1047:F1058)=9),cubic_spline(F1046:F1055,A1046:A1055,B$7),IF(AND(COUNT(A1047:A1058)=10,COUNT(F1047:F1058)=10),cubic_spline(F1046:F1056,A1046:A1056,B$7),IF(AND(COUNT(A1047:A1058)=11,COUNT(F1047:F1058)=11),cubic_spline(F1046:F1057,A1046:A1057,B$7),IF(AND(COUNT(A1047:A1058)=12,COUNT(F1047:F1058)=12),cubic_spline(F1046:F1058,A1046:A1058,B$7),""))))))))))))</f>
        <v/>
      </c>
      <c r="L1050" s="27" t="str">
        <f>IF(I1050="","",B$6&amp;"-"&amp;B$7)</f>
        <v/>
      </c>
      <c r="M1050" s="52" t="str">
        <f>IF(N(J1050)=0,"",J1050-J1049)</f>
        <v/>
      </c>
    </row>
    <row r="1051" spans="1:13" x14ac:dyDescent="0.35">
      <c r="A1051" s="48"/>
      <c r="B1051" s="48"/>
      <c r="C1051" s="49"/>
      <c r="D1051" s="50"/>
      <c r="E1051" s="51" t="str">
        <f t="shared" ref="E1051:E1058" si="399">IF(N(C1051)=0,"",C1051/PI()/($D$1/2)^2/$D$2*10000)</f>
        <v/>
      </c>
      <c r="F1051" s="71" t="str">
        <f t="shared" si="396"/>
        <v/>
      </c>
      <c r="G1051" s="69" t="str">
        <f t="shared" si="398"/>
        <v/>
      </c>
      <c r="H1051" s="70" t="str">
        <f t="shared" si="397"/>
        <v/>
      </c>
      <c r="I1051" s="27" t="str">
        <f>IF(N(J1051)=0,"",0&amp;"-"&amp;B$8)</f>
        <v/>
      </c>
      <c r="J1051" s="52" t="str">
        <f>IF(N(B$8)=0,"",IF(AND(COUNT(H1047:H1058)=2,COUNT(F1047:F1058)=2),cubic_spline(F1046:F1048,H1046:H1048,B$8),IF(AND(COUNT(H1047:H1058)=3,COUNT(F1047:F1058)=3),cubic_spline(F1046:F1049,H1046:H1049,B$8),IF(AND(COUNT(H1047:H1058)=4,COUNT(F1047:F1058)=4),cubic_spline(F1046:F1050,H1046:H1050,B$8),IF(AND(COUNT(H1047:H1058)=5,COUNT(F1047:F1058)=5),cubic_spline(F1046:F1051,H1046:H1051,B$8),IF(AND(COUNT(H1047:H1058)=6,COUNT(F1047:F1058)=6),cubic_spline(F1046:F1052,H1046:H1052,B$8),IF(AND(COUNT(H1047:H1058)=7,COUNT(F1047:F1058)=7),cubic_spline(F1046:F1053,H1046:H1053,B$8),IF(AND(COUNT(H1047:H1058)=8,COUNT(F1047:F1058)=8),cubic_spline(F1046:F1054,H1046:H1054,B$8),IF(AND(COUNT(H1047:H1058)=9,COUNT(F1047:F1058)=9),cubic_spline(F1046:F1055,H1046:H1055,B$8),IF(AND(COUNT(H1047:H1058)=10,COUNT(F1047:F1058)=10),cubic_spline(F1046:F1056,H1046:H1056,B$8),IF(AND(COUNT(H1047:H1058)=11,COUNT(F1047:F1058)=11),cubic_spline(F1046:F1057,H1046:H1057,B$8),IF(AND(COUNT(H1047:H1058)=12,COUNT(F1047:F1058)=12),cubic_spline(F1046:F1058,H1046:H1058,B$8),""))))))))))))</f>
        <v/>
      </c>
      <c r="K1051" s="52" t="str">
        <f>IF(N(B$8)=0,"",IF(AND(COUNT(A1047:A1058)=2,COUNT(F1047:F1058)=2),cubic_spline(F1046:F1048,A1046:A1048,B$8),IF(AND(COUNT(A1047:A1058)=3,COUNT(F1047:F1058)=3),cubic_spline(F1046:F1049,A1046:A1049,B$8),IF(AND(COUNT(A1047:A1058)=4,COUNT(F1047:F1058)=4),cubic_spline(F1046:F1050,A1046:A1050,B$8),IF(AND(COUNT(A1047:A1058)=5,COUNT(F1047:F1058)=5),cubic_spline(F1046:F1051,A1046:A1051,B$8),IF(AND(COUNT(A1047:A1058)=6,COUNT(F1047:F1058)=6),cubic_spline(F1046:F1052,A1046:A1052,B$8),IF(AND(COUNT(A1047:A1058)=7,COUNT(F1047:F1058)=7),cubic_spline(F1046:F1053,A1046:A1053,B$8),IF(AND(COUNT(A1047:A1058)=8,COUNT(F1047:F1058)=8),cubic_spline(F1046:F1054,A1046:A1054,B$8),IF(AND(COUNT(A1047:A1058)=9,COUNT(F1047:F1058)=9),cubic_spline(F1046:F1055,A1046:A1055,B$8),IF(AND(COUNT(A1047:A1058)=10,COUNT(F1047:F1058)=10),cubic_spline(F1046:F1056,A1046:A1056,B$8),IF(AND(COUNT(A1047:A1058)=11,COUNT(F1047:F1058)=11),cubic_spline(F1046:F1057,A1046:A1057,B$8),IF(AND(COUNT(A1047:A1058)=12,COUNT(F1047:F1058)=12),cubic_spline(F1046:F1058,A1046:A1058,B$8),""))))))))))))</f>
        <v/>
      </c>
      <c r="L1051" s="27" t="str">
        <f>IF(I1051="","",B$7&amp;"-"&amp;B$8)</f>
        <v/>
      </c>
      <c r="M1051" s="52" t="str">
        <f>IF(N(J1051)=0,"",J1051-J1050)</f>
        <v/>
      </c>
    </row>
    <row r="1052" spans="1:13" x14ac:dyDescent="0.35">
      <c r="A1052" s="48"/>
      <c r="B1052" s="48"/>
      <c r="C1052" s="49"/>
      <c r="D1052" s="50"/>
      <c r="E1052" s="51" t="str">
        <f t="shared" si="399"/>
        <v/>
      </c>
      <c r="F1052" s="71" t="str">
        <f t="shared" si="396"/>
        <v/>
      </c>
      <c r="G1052" s="69" t="str">
        <f t="shared" si="398"/>
        <v/>
      </c>
      <c r="H1052" s="70" t="str">
        <f t="shared" si="397"/>
        <v/>
      </c>
      <c r="I1052" s="27" t="str">
        <f>IF(N(J1052)=0,"",0&amp;"-"&amp;B$9)</f>
        <v/>
      </c>
      <c r="J1052" s="52" t="str">
        <f>IF(N(B$9)=0,"",IF(AND(COUNT(H1047:H1058)=2,COUNT(F1047:F1058)=2),cubic_spline(F1046:F1048,H1046:H1048,B$9),IF(AND(COUNT(H1047:H1058)=3,COUNT(F1047:F1058)=3),cubic_spline(F1046:F1049,H1046:H1049,B$9),IF(AND(COUNT(H1047:H1058)=4,COUNT(F1047:F1058)=4),cubic_spline(F1046:F1050,H1046:H1050,B$9),IF(AND(COUNT(H1047:H1058)=5,COUNT(F1047:F1058)=5),cubic_spline(F1046:F1051,H1046:H1051,B$9),IF(AND(COUNT(H1047:H1058)=6,COUNT(F1047:F1058)=6),cubic_spline(F1046:F1052,H1046:H1052,B$9),IF(AND(COUNT(H1047:H1058)=7,COUNT(F1047:F1058)=7),cubic_spline(F1046:F1053,H1046:H1053,B$9),IF(AND(COUNT(H1047:H1058)=8,COUNT(F1047:F1058)=8),cubic_spline(F1046:F1054,H1046:H1054,B$9),IF(AND(COUNT(H1047:H1058)=9,COUNT(F1047:F1058)=9),cubic_spline(F1046:F1055,H1046:H1055,B$9),IF(AND(COUNT(H1047:H1058)=10,COUNT(F1047:F1058)=10),cubic_spline(F1046:F1056,H1046:H1056,B$9),IF(AND(COUNT(H1047:H1058)=11,COUNT(F1047:F1058)=11),cubic_spline(F1046:F1057,H1046:H1057,B$9),IF(AND(COUNT(H1047:H1058)=12,COUNT(F1047:F1058)=12),cubic_spline(F1046:F1058,H1046:H1058,B$9),""))))))))))))</f>
        <v/>
      </c>
      <c r="K1052" s="52" t="str">
        <f>IF(N(B$9)=0,"",IF(AND(COUNT(A1047:A1058)=2,COUNT(F1047:F1058)=2),cubic_spline(F1046:F1048,A1046:A1048,B$9),IF(AND(COUNT(A1047:A1058)=3,COUNT(F1047:F1058)=3),cubic_spline(F1046:F1049,A1046:A1049,B$9),IF(AND(COUNT(A1047:A1058)=4,COUNT(F1047:F1058)=4),cubic_spline(F1046:F1050,A1046:A1050,B$9),IF(AND(COUNT(A1047:A1058)=5,COUNT(F1047:F1058)=5),cubic_spline(F1046:F1051,A1046:A1051,B$9),IF(AND(COUNT(A1047:A1058)=6,COUNT(F1047:F1058)=6),cubic_spline(F1046:F1052,A1046:A1052,B$9),IF(AND(COUNT(A1047:A1058)=7,COUNT(F1047:F1058)=7),cubic_spline(F1046:F1053,A1046:A1053,B$9),IF(AND(COUNT(A1047:A1058)=8,COUNT(F1047:F1058)=8),cubic_spline(F1046:F1054,A1046:A1054,B$9),IF(AND(COUNT(A1047:A1058)=9,COUNT(F1047:F1058)=9),cubic_spline(F1046:F1055,A1046:A1055,B$9),IF(AND(COUNT(A1047:A1058)=10,COUNT(F1047:F1058)=10),cubic_spline(F1046:F1056,A1046:A1056,B$9),IF(AND(COUNT(A1047:A1058)=11,COUNT(F1047:F1058)=11),cubic_spline(F1046:F1057,A1046:A1057,B$9),IF(AND(COUNT(A1047:A1058)=12,COUNT(F1047:F1058)=12),cubic_spline(F1046:F1058,A1046:A1058,B$9),""))))))))))))</f>
        <v/>
      </c>
      <c r="L1052" s="27" t="str">
        <f>IF(I1052="","",B$8&amp;"-"&amp;B$9)</f>
        <v/>
      </c>
      <c r="M1052" s="52" t="str">
        <f t="shared" ref="M1052:M1058" si="400">IF(N(J1052)=0,"",J1052-J1051)</f>
        <v/>
      </c>
    </row>
    <row r="1053" spans="1:13" x14ac:dyDescent="0.35">
      <c r="A1053" s="48"/>
      <c r="B1053" s="48"/>
      <c r="C1053" s="49"/>
      <c r="D1053" s="50"/>
      <c r="E1053" s="51" t="str">
        <f t="shared" si="399"/>
        <v/>
      </c>
      <c r="F1053" s="71" t="str">
        <f t="shared" si="396"/>
        <v/>
      </c>
      <c r="G1053" s="69" t="str">
        <f t="shared" si="398"/>
        <v/>
      </c>
      <c r="H1053" s="70" t="str">
        <f t="shared" si="397"/>
        <v/>
      </c>
      <c r="I1053" s="27" t="str">
        <f>IF(N(J1053)=0,"",0&amp;"-"&amp;B$10)</f>
        <v/>
      </c>
      <c r="J1053" s="52" t="str">
        <f>IF(N(B$10)=0,"",IF(AND(COUNT(H1047:H1058)=2,COUNT(F1047:F1058)=2),cubic_spline(F1046:F1048,H1046:H1048,B$10),IF(AND(COUNT(H1047:H1058)=3,COUNT(F1047:F1058)=3),cubic_spline(F1046:F1049,H1046:H1049,B$10),IF(AND(COUNT(H1047:H1058)=4,COUNT(F1047:F1058)=4),cubic_spline(F1046:F1050,H1046:H1050,B$10),IF(AND(COUNT(H1047:H1058)=5,COUNT(F1047:F1058)=5),cubic_spline(F1046:F1051,H1046:H1051,B$10),IF(AND(COUNT(H1047:H1058)=6,COUNT(F1047:F1058)=6),cubic_spline(F1046:F1052,H1046:H1052,B$10),IF(AND(COUNT(H1047:H1058)=7,COUNT(F1047:F1058)=7),cubic_spline(F1046:F1053,H1046:H1053,B$10),IF(AND(COUNT(H1047:H1058)=8,COUNT(F1047:F1058)=8),cubic_spline(F1046:F1054,H1046:H1054,B$10),IF(AND(COUNT(H1047:H1058)=9,COUNT(F1047:F1058)=9),cubic_spline(F1046:F1055,H1046:H1055,B$10),IF(AND(COUNT(H1047:H1058)=10,COUNT(F1047:F1058)=10),cubic_spline(F1046:F1056,H1046:H1056,B$10),IF(AND(COUNT(H1047:H1058)=11,COUNT(F1047:F1058)=11),cubic_spline(F1046:F1057,H1046:H1057,B$10),IF(AND(COUNT(H1047:H1058)=12,COUNT(F1047:F1058)=12),cubic_spline(F1046:F1058,H1046:H1058,B$10),""))))))))))))</f>
        <v/>
      </c>
      <c r="K1053" s="52" t="str">
        <f>IF(N(B$10)=0,"",IF(AND(COUNT(A1047:A1058)=2,COUNT(F1047:F1058)=2),cubic_spline(F1046:F1048,A1046:A1048,B$10),IF(AND(COUNT(A1047:A1058)=3,COUNT(F1047:F1058)=3),cubic_spline(F1046:F1049,A1046:A1049,B$10),IF(AND(COUNT(A1047:A1058)=4,COUNT(F1047:F1058)=4),cubic_spline(F1046:F1050,A1046:A1050,B$10),IF(AND(COUNT(A1047:A1058)=5,COUNT(F1047:F1058)=5),cubic_spline(F1046:F1051,A1046:A1051,B$10),IF(AND(COUNT(A1047:A1058)=6,COUNT(F1047:F1058)=6),cubic_spline(F1046:F1052,A1046:A1052,B$10),IF(AND(COUNT(A1047:A1058)=7,COUNT(F1047:F1058)=7),cubic_spline(F1046:F1053,A1046:A1053,B$10),IF(AND(COUNT(A1047:A1058)=8,COUNT(F1047:F1058)=8),cubic_spline(F1046:F1054,A1046:A1054,B$10),IF(AND(COUNT(A1047:A1058)=9,COUNT(F1047:F1058)=9),cubic_spline(F1046:F1055,A1046:A1055,B$10),IF(AND(COUNT(A1047:A1058)=10,COUNT(F1047:F1058)=10),cubic_spline(F1046:F1056,A1046:A1056,B$10),IF(AND(COUNT(A1047:A1058)=11,COUNT(F1047:F1058)=11),cubic_spline(F1046:F1057,A1046:A1057,B$10),IF(AND(COUNT(A1047:A1058)=12,COUNT(F1047:F1058)=12),cubic_spline(F1046:F1058,A1046:A1058,B$10),""))))))))))))</f>
        <v/>
      </c>
      <c r="L1053" s="27" t="str">
        <f>IF(I1053="","",B$9&amp;"-"&amp;B$10)</f>
        <v/>
      </c>
      <c r="M1053" s="52" t="str">
        <f t="shared" si="400"/>
        <v/>
      </c>
    </row>
    <row r="1054" spans="1:13" x14ac:dyDescent="0.35">
      <c r="A1054" s="48"/>
      <c r="B1054" s="48"/>
      <c r="C1054" s="49"/>
      <c r="D1054" s="50"/>
      <c r="E1054" s="51" t="str">
        <f t="shared" si="399"/>
        <v/>
      </c>
      <c r="F1054" s="71" t="str">
        <f t="shared" si="396"/>
        <v/>
      </c>
      <c r="G1054" s="69" t="str">
        <f t="shared" si="398"/>
        <v/>
      </c>
      <c r="H1054" s="70" t="str">
        <f t="shared" si="397"/>
        <v/>
      </c>
      <c r="I1054" s="27" t="str">
        <f>IF(N(J1054)=0,"",0&amp;"-"&amp;B$11)</f>
        <v/>
      </c>
      <c r="J1054" s="52" t="str">
        <f>IF(N(B$11)=0,"",IF(AND(COUNT(H1047:H1058)=2,COUNT(F1047:F1058)=2),cubic_spline(F1046:F1048,H1046:H1048,B$11),IF(AND(COUNT(H1047:H1058)=3,COUNT(F1047:F1058)=3),cubic_spline(F1046:F1049,H1046:H1049,B$11),IF(AND(COUNT(H1047:H1058)=4,COUNT(F1047:F1058)=4),cubic_spline(F1046:F1050,H1046:H1050,B$11),IF(AND(COUNT(H1047:H1058)=5,COUNT(F1047:F1058)=5),cubic_spline(F1046:F1051,H1046:H1051,B$11),IF(AND(COUNT(H1047:H1058)=6,COUNT(F1047:F1058)=6),cubic_spline(F1046:F1052,H1046:H1052,B$11),IF(AND(COUNT(H1047:H1058)=7,COUNT(F1047:F1058)=7),cubic_spline(F1046:F1053,H1046:H1053,B$11),IF(AND(COUNT(H1047:H1058)=8,COUNT(F1047:F1058)=8),cubic_spline(F1046:F1054,H1046:H1054,B$11),IF(AND(COUNT(H1047:H1058)=9,COUNT(F1047:F1058)=9),cubic_spline(F1046:F1055,H1046:H1055,B$11),IF(AND(COUNT(H1047:H1058)=10,COUNT(F1047:F1058)=10),cubic_spline(F1046:F1056,H1046:H1056,B$11),IF(AND(COUNT(H1047:H1058)=11,COUNT(F1047:F1058)=11),cubic_spline(F1046:F1057,H1046:H1057,B$11),IF(AND(COUNT(H1047:H1058)=12,COUNT(F1047:F1058)=12),cubic_spline(F1046:F1058,H1046:H1058,B$11),""))))))))))))</f>
        <v/>
      </c>
      <c r="K1054" s="52" t="str">
        <f>IF(N(B$11)=0,"",IF(AND(COUNT(A1047:A1058)=2,COUNT(F1047:F1058)=2),cubic_spline(F1046:F1048,A1046:A1048,B$11),IF(AND(COUNT(A1047:A1058)=3,COUNT(F1047:F1058)=3),cubic_spline(F1046:F1049,A1046:A1049,B$11),IF(AND(COUNT(A1047:A1058)=4,COUNT(F1047:F1058)=4),cubic_spline(F1046:F1050,A1046:A1050,B$11),IF(AND(COUNT(A1047:A1058)=5,COUNT(F1047:F1058)=5),cubic_spline(F1046:F1051,A1046:A1051,B$11),IF(AND(COUNT(A1047:A1058)=6,COUNT(F1047:F1058)=6),cubic_spline(F1046:F1052,A1046:A1052,B$11),IF(AND(COUNT(A1047:A1058)=7,COUNT(F1047:F1058)=7),cubic_spline(F1046:F1053,A1046:A1053,B$11),IF(AND(COUNT(A1047:A1058)=8,COUNT(F1047:F1058)=8),cubic_spline(F1046:F1054,A1046:A1054,B$11),IF(AND(COUNT(A1047:A1058)=9,COUNT(F1047:F1058)=9),cubic_spline(F1046:F1055,A1046:A1055,B$11),IF(AND(COUNT(A1047:A1058)=10,COUNT(F1047:F1058)=10),cubic_spline(F1046:F1056,A1046:A1056,B$11),IF(AND(COUNT(A1047:A1058)=11,COUNT(F1047:F1058)=11),cubic_spline(F1046:F1057,A1046:A1057,B$11),IF(AND(COUNT(A1047:A1058)=12,COUNT(F1047:F1058)=12),cubic_spline(F1046:F1058,A1046:A1058,B$11),""))))))))))))</f>
        <v/>
      </c>
      <c r="L1054" s="27" t="str">
        <f>IF(I1054="","",B$10&amp;"-"&amp;B$11)</f>
        <v/>
      </c>
      <c r="M1054" s="52" t="str">
        <f t="shared" si="400"/>
        <v/>
      </c>
    </row>
    <row r="1055" spans="1:13" x14ac:dyDescent="0.35">
      <c r="A1055" s="48"/>
      <c r="B1055" s="48"/>
      <c r="C1055" s="49"/>
      <c r="D1055" s="50"/>
      <c r="E1055" s="51" t="str">
        <f t="shared" si="399"/>
        <v/>
      </c>
      <c r="F1055" s="71" t="str">
        <f t="shared" si="396"/>
        <v/>
      </c>
      <c r="G1055" s="69" t="str">
        <f t="shared" si="398"/>
        <v/>
      </c>
      <c r="H1055" s="70" t="str">
        <f t="shared" si="397"/>
        <v/>
      </c>
      <c r="I1055" s="27" t="str">
        <f>IF(N(J1055)=0,"",0&amp;"-"&amp;B$12)</f>
        <v/>
      </c>
      <c r="J1055" s="52" t="str">
        <f>IF(N(B$12)=0,"",IF(AND(COUNT(H1047:H1058)=2,COUNT(F1047:F1058)=2),cubic_spline(F1046:F1048,H1046:H1048,B$12),IF(AND(COUNT(H1047:H1058)=3,COUNT(F1047:F1058)=3),cubic_spline(F1046:F1049,H1046:H1049,B$12),IF(AND(COUNT(H1047:H1058)=4,COUNT(F1047:F1058)=4),cubic_spline(F1046:F1050,H1046:H1050,B$12),IF(AND(COUNT(H1047:H1058)=5,COUNT(F1047:F1058)=5),cubic_spline(F1046:F1051,H1046:H1051,B$12),IF(AND(COUNT(H1047:H1058)=6,COUNT(F1047:F1058)=6),cubic_spline(F1046:F1052,H1046:H1052,B$12),IF(AND(COUNT(H1047:H1058)=7,COUNT(F1047:F1058)=7),cubic_spline(F1046:F1053,H1046:H1053,B$12),IF(AND(COUNT(H1047:H1058)=8,COUNT(F1047:F1058)=8),cubic_spline(F1046:F1054,H1046:H1054,B$12),IF(AND(COUNT(H1047:H1058)=9,COUNT(F1047:F1058)=9),cubic_spline(F1046:F1055,H1046:H1055,B$12),IF(AND(COUNT(H1047:H1058)=10,COUNT(F1047:F1058)=10),cubic_spline(F1046:F1056,H1046:H1056,B$12),IF(AND(COUNT(H1047:H1058)=11,COUNT(F1047:F1058)=11),cubic_spline(F1046:F1057,H1046:H1057,B$12),IF(AND(COUNT(H1047:H1058)=12,COUNT(F1047:F1058)=12),cubic_spline(F1046:F1058,H1046:H1058,B$12),""))))))))))))</f>
        <v/>
      </c>
      <c r="K1055" s="52" t="str">
        <f>IF(N(B$12)=0,"",IF(AND(COUNT(A1047:A1058)=2,COUNT(F1047:F1058)=2),cubic_spline(F1046:F1048,A1046:A1048,B$12),IF(AND(COUNT(A1047:A1058)=3,COUNT(F1047:F1058)=3),cubic_spline(F1046:F1049,A1046:A1049,B$12),IF(AND(COUNT(A1047:A1058)=4,COUNT(F1047:F1058)=4),cubic_spline(F1046:F1050,A1046:A1050,B$12),IF(AND(COUNT(A1047:A1058)=5,COUNT(F1047:F1058)=5),cubic_spline(F1046:F1051,A1046:A1051,B$12),IF(AND(COUNT(A1047:A1058)=6,COUNT(F1047:F1058)=6),cubic_spline(F1046:F1052,A1046:A1052,B$12),IF(AND(COUNT(A1047:A1058)=7,COUNT(F1047:F1058)=7),cubic_spline(F1046:F1053,A1046:A1053,B$12),IF(AND(COUNT(A1047:A1058)=8,COUNT(F1047:F1058)=8),cubic_spline(F1046:F1054,A1046:A1054,B$12),IF(AND(COUNT(A1047:A1058)=9,COUNT(F1047:F1058)=9),cubic_spline(F1046:F1055,A1046:A1055,B$12),IF(AND(COUNT(A1047:A1058)=10,COUNT(F1047:F1058)=10),cubic_spline(F1046:F1056,A1046:A1056,B$12),IF(AND(COUNT(A1047:A1058)=11,COUNT(F1047:F1058)=11),cubic_spline(F1046:F1057,A1046:A1057,B$12),IF(AND(COUNT(A1047:A1058)=12,COUNT(F1047:F1058)=12),cubic_spline(F1046:F1058,A1046:A1058,B$12),""))))))))))))</f>
        <v/>
      </c>
      <c r="L1055" s="27" t="str">
        <f>IF(I1055="","",B$11&amp;"-"&amp;B$12)</f>
        <v/>
      </c>
      <c r="M1055" s="52" t="str">
        <f t="shared" si="400"/>
        <v/>
      </c>
    </row>
    <row r="1056" spans="1:13" x14ac:dyDescent="0.35">
      <c r="A1056" s="48"/>
      <c r="B1056" s="48"/>
      <c r="C1056" s="49"/>
      <c r="D1056" s="50"/>
      <c r="E1056" s="51" t="str">
        <f t="shared" si="399"/>
        <v/>
      </c>
      <c r="F1056" s="71" t="str">
        <f t="shared" si="396"/>
        <v/>
      </c>
      <c r="G1056" s="69" t="str">
        <f t="shared" si="398"/>
        <v/>
      </c>
      <c r="H1056" s="70" t="str">
        <f t="shared" si="397"/>
        <v/>
      </c>
      <c r="I1056" s="27" t="str">
        <f>IF(N(J1056)=0,"",0&amp;"-"&amp;B$13)</f>
        <v/>
      </c>
      <c r="J1056" s="52" t="str">
        <f>IF(N(B$13)=0,"",IF(AND(COUNT(H1047:H1058)=2,COUNT(F1047:F1058)=2),cubic_spline(F1046:F1048,H1046:H1048,B$13),IF(AND(COUNT(H1047:H1058)=3,COUNT(F1047:F1058)=3),cubic_spline(F1046:F1049,H1046:H1049,B$13),IF(AND(COUNT(H1047:H1058)=4,COUNT(F1047:F1058)=4),cubic_spline(F1046:F1050,H1046:H1050,B$13),IF(AND(COUNT(H1047:H1058)=5,COUNT(F1047:F1058)=5),cubic_spline(F1046:F1051,H1046:H1051,B$13),IF(AND(COUNT(H1047:H1058)=6,COUNT(F1047:F1058)=6),cubic_spline(F1046:F1052,H1046:H1052,B$13),IF(AND(COUNT(H1047:H1058)=7,COUNT(F1047:F1058)=7),cubic_spline(F1046:F1053,H1046:H1053,B$13),IF(AND(COUNT(H1047:H1058)=8,COUNT(F1047:F1058)=8),cubic_spline(F1046:F1054,H1046:H1054,B$13),IF(AND(COUNT(H1047:H1058)=9,COUNT(F1047:F1058)=9),cubic_spline(F1046:F1055,H1046:H1055,B$13),IF(AND(COUNT(H1047:H1058)=10,COUNT(F1047:F1058)=10),cubic_spline(F1046:F1056,H1046:H1056,B$13),IF(AND(COUNT(H1047:H1058)=11,COUNT(F1047:F1058)=11),cubic_spline(F1046:F1057,H1046:H1057,B$13),IF(AND(COUNT(H1047:H1058)=12,COUNT(F1047:F1058)=12),cubic_spline(F1046:F1058,H1046:H1058,B$13),""))))))))))))</f>
        <v/>
      </c>
      <c r="K1056" s="52" t="str">
        <f>IF(N(B$13)=0,"",IF(AND(COUNT(A1047:A1058)=2,COUNT(F1047:F1058)=2),cubic_spline(F1046:F1048,A1046:A1048,B$13),IF(AND(COUNT(A1047:A1058)=3,COUNT(F1047:F1058)=3),cubic_spline(F1046:F1049,A1046:A1049,B$13),IF(AND(COUNT(A1047:A1058)=4,COUNT(F1047:F1058)=4),cubic_spline(F1046:F1050,A1046:A1050,B$13),IF(AND(COUNT(A1047:A1058)=5,COUNT(F1047:F1058)=5),cubic_spline(F1046:F1051,A1046:A1051,B$13),IF(AND(COUNT(A1047:A1058)=6,COUNT(F1047:F1058)=6),cubic_spline(F1046:F1052,A1046:A1052,B$13),IF(AND(COUNT(A1047:A1058)=7,COUNT(F1047:F1058)=7),cubic_spline(F1046:F1053,A1046:A1053,B$13),IF(AND(COUNT(A1047:A1058)=8,COUNT(F1047:F1058)=8),cubic_spline(F1046:F1054,A1046:A1054,B$13),IF(AND(COUNT(A1047:A1058)=9,COUNT(F1047:F1058)=9),cubic_spline(F1046:F1055,A1046:A1055,B$13),IF(AND(COUNT(A1047:A1058)=10,COUNT(F1047:F1058)=10),cubic_spline(F1046:F1056,A1046:A1056,B$13),IF(AND(COUNT(A1047:A1058)=11,COUNT(F1047:F1058)=11),cubic_spline(F1046:F1057,A1046:A1057,B$13),IF(AND(COUNT(A1047:A1058)=12,COUNT(F1047:F1058)=12),cubic_spline(F1046:F1058,A1046:A1058,B$13),""))))))))))))</f>
        <v/>
      </c>
      <c r="L1056" s="27" t="str">
        <f>IF(I1056="","",B$12&amp;"-"&amp;B$13)</f>
        <v/>
      </c>
      <c r="M1056" s="52" t="str">
        <f t="shared" si="400"/>
        <v/>
      </c>
    </row>
    <row r="1057" spans="1:13" x14ac:dyDescent="0.35">
      <c r="A1057" s="48"/>
      <c r="B1057" s="48"/>
      <c r="C1057" s="49"/>
      <c r="D1057" s="50"/>
      <c r="E1057" s="51" t="str">
        <f t="shared" si="399"/>
        <v/>
      </c>
      <c r="F1057" s="71" t="str">
        <f t="shared" si="396"/>
        <v/>
      </c>
      <c r="G1057" s="69" t="str">
        <f t="shared" si="398"/>
        <v/>
      </c>
      <c r="H1057" s="70" t="str">
        <f t="shared" si="397"/>
        <v/>
      </c>
      <c r="I1057" s="27" t="str">
        <f>IF(N(J1057)=0,"",0&amp;"-"&amp;B$14)</f>
        <v/>
      </c>
      <c r="J1057" s="52" t="str">
        <f>IF(N(B$14)=0,"",IF(AND(COUNT(H1047:H1058)=2,COUNT(F1047:F1058)=2),cubic_spline(F1046:F1048,H1046:H1048,B$14),IF(AND(COUNT(H1047:H1058)=3,COUNT(F1047:F1058)=3),cubic_spline(F1046:F1049,H1046:H1049,B$14),IF(AND(COUNT(H1047:H1058)=4,COUNT(F1047:F1058)=4),cubic_spline(F1046:F1050,H1046:H1050,B$14),IF(AND(COUNT(H1047:H1058)=5,COUNT(F1047:F1058)=5),cubic_spline(F1046:F1051,H1046:H1051,B$14),IF(AND(COUNT(H1047:H1058)=6,COUNT(F1047:F1058)=6),cubic_spline(F1046:F1052,H1046:H1052,B$14),IF(AND(COUNT(H1047:H1058)=7,COUNT(F1047:F1058)=7),cubic_spline(F1046:F1053,H1046:H1053,B$14),IF(AND(COUNT(H1047:H1058)=8,COUNT(F1047:F1058)=8),cubic_spline(F1046:F1054,H1046:H1054,B$14),IF(AND(COUNT(H1047:H1058)=9,COUNT(F1047:F1058)=9),cubic_spline(F1046:F1055,H1046:H1055,B$14),IF(AND(COUNT(H1047:H1058)=10,COUNT(F1047:F1058)=10),cubic_spline(F1046:F1056,H1046:H1056,B$14),IF(AND(COUNT(H1047:H1058)=11,COUNT(F1047:F1058)=11),cubic_spline(F1046:F1057,H1046:H1057,B$14),IF(AND(COUNT(H1047:H1058)=12,COUNT(F1047:F1058)=12),cubic_spline(F1046:F1058,H1046:H1058,B$14),""))))))))))))</f>
        <v/>
      </c>
      <c r="K1057" s="52" t="str">
        <f>IF(N(B$14)=0,"",IF(AND(COUNT(A1047:A1058)=2,COUNT(F1047:F1058)=2),cubic_spline(F1046:F1048,A1046:A1048,B$14),IF(AND(COUNT(A1047:A1058)=3,COUNT(F1047:F1058)=3),cubic_spline(F1046:F1049,A1046:A1049,B$14),IF(AND(COUNT(A1047:A1058)=4,COUNT(F1047:F1058)=4),cubic_spline(F1046:F1050,A1046:A1050,B$14),IF(AND(COUNT(A1047:A1058)=5,COUNT(F1047:F1058)=5),cubic_spline(F1046:F1051,A1046:A1051,B$14),IF(AND(COUNT(A1047:A1058)=6,COUNT(F1047:F1058)=6),cubic_spline(F1046:F1052,A1046:A1052,B$14),IF(AND(COUNT(A1047:A1058)=7,COUNT(F1047:F1058)=7),cubic_spline(F1046:F1053,A1046:A1053,B$14),IF(AND(COUNT(A1047:A1058)=8,COUNT(F1047:F1058)=8),cubic_spline(F1046:F1054,A1046:A1054,B$14),IF(AND(COUNT(A1047:A1058)=9,COUNT(F1047:F1058)=9),cubic_spline(F1046:F1055,A1046:A1055,B$14),IF(AND(COUNT(A1047:A1058)=10,COUNT(F1047:F1058)=10),cubic_spline(F1046:F1056,A1046:A1056,B$14),IF(AND(COUNT(A1047:A1058)=11,COUNT(F1047:F1058)=11),cubic_spline(F1046:F1057,A1046:A1057,B$14),IF(AND(COUNT(A1047:A1058)=12,COUNT(F1047:F1058)=12),cubic_spline(F1046:F1058,A1046:A1058,B$14),""))))))))))))</f>
        <v/>
      </c>
      <c r="L1057" s="27" t="str">
        <f>IF(I1057="","",B$13&amp;"-"&amp;B$14)</f>
        <v/>
      </c>
      <c r="M1057" s="52" t="str">
        <f t="shared" si="400"/>
        <v/>
      </c>
    </row>
    <row r="1058" spans="1:13" x14ac:dyDescent="0.35">
      <c r="A1058" s="48"/>
      <c r="B1058" s="48"/>
      <c r="C1058" s="49"/>
      <c r="D1058" s="50"/>
      <c r="E1058" s="51" t="str">
        <f t="shared" si="399"/>
        <v/>
      </c>
      <c r="F1058" s="71" t="str">
        <f t="shared" si="396"/>
        <v/>
      </c>
      <c r="G1058" s="69" t="str">
        <f t="shared" si="398"/>
        <v/>
      </c>
      <c r="H1058" s="70" t="str">
        <f t="shared" si="397"/>
        <v/>
      </c>
      <c r="I1058" s="27" t="str">
        <f>IF(N(J1058)=0,"",0&amp;"-"&amp;B$15)</f>
        <v/>
      </c>
      <c r="J1058" s="52" t="str">
        <f>IF(N(B$15)=0,"",IF(AND(COUNT(H1047:H1058)=2,COUNT(F1047:F1058)=2),cubic_spline(F1046:F1048,H1046:H1048,B$15),IF(AND(COUNT(H1047:H1058)=3,COUNT(F1047:F1058)=3),cubic_spline(F1046:F1049,H1046:H1049,B$15),IF(AND(COUNT(H1047:H1058)=4,COUNT(F1047:F1058)=4),cubic_spline(F1046:F1050,H1046:H1050,B$15),IF(AND(COUNT(H1047:H1058)=5,COUNT(F1047:F1058)=5),cubic_spline(F1046:F1051,H1046:H1051,B$15),IF(AND(COUNT(H1047:H1058)=6,COUNT(F1047:F1058)=6),cubic_spline(F1046:F1052,H1046:H1052,B$15),IF(AND(COUNT(H1047:H1058)=7,COUNT(F1047:F1058)=7),cubic_spline(F1046:F1053,H1046:H1053,B$15),IF(AND(COUNT(H1047:H1058)=8,COUNT(F1047:F1058)=8),cubic_spline(F1046:F1054,H1046:H1054,B$15),IF(AND(COUNT(H1047:H1058)=9,COUNT(F1047:F1058)=9),cubic_spline(F1046:F1055,H1046:H1055,B$15),IF(AND(COUNT(H1047:H1058)=10,COUNT(F1047:F1058)=10),cubic_spline(F1046:F1056,H1046:H1056,B$15),IF(AND(COUNT(H1047:H1058)=11,COUNT(F1047:F1058)=11),cubic_spline(F1046:F1057,H1046:H1057,B$15),IF(AND(COUNT(H1047:H1058)=12,COUNT(F1047:F1058)=12),cubic_spline(F1046:F1058,H1046:H1058,B$15),""))))))))))))</f>
        <v/>
      </c>
      <c r="K1058" s="52" t="str">
        <f>IF(N(B$15)=0,"",IF(AND(COUNT(A1047:A1058)=2,COUNT(F1047:F1058)=2),cubic_spline(F1046:F1048,A1046:A1048,B$15),IF(AND(COUNT(A1047:A1058)=3,COUNT(F1047:F1058)=3),cubic_spline(F1046:F1049,A1046:A1049,B$15),IF(AND(COUNT(A1047:A1058)=4,COUNT(F1047:F1058)=4),cubic_spline(F1046:F1050,A1046:A1050,B$15),IF(AND(COUNT(A1047:A1058)=5,COUNT(F1047:F1058)=5),cubic_spline(F1046:F1051,A1046:A1051,B$15),IF(AND(COUNT(A1047:A1058)=6,COUNT(F1047:F1058)=6),cubic_spline(F1046:F1052,A1046:A1052,B$15),IF(AND(COUNT(A1047:A1058)=7,COUNT(F1047:F1058)=7),cubic_spline(F1046:F1053,A1046:A1053,B$15),IF(AND(COUNT(A1047:A1058)=8,COUNT(F1047:F1058)=8),cubic_spline(F1046:F1054,A1046:A1054,B$15),IF(AND(COUNT(A1047:A1058)=9,COUNT(F1047:F1058)=9),cubic_spline(F1046:F1055,A1046:A1055,B$15),IF(AND(COUNT(A1047:A1058)=10,COUNT(F1047:F1058)=10),cubic_spline(F1046:F1056,A1046:A1056,B$15),IF(AND(COUNT(A1047:A1058)=11,COUNT(F1047:F1058)=11),cubic_spline(F1046:F1057,A1046:A1057,B$15),IF(AND(COUNT(A1047:A1058)=12,COUNT(F1047:F1058)=12),cubic_spline(F1046:F1058,A1046:A1058,B$15),""))))))))))))</f>
        <v/>
      </c>
      <c r="L1058" s="27" t="str">
        <f>IF(I1058="","",B$14&amp;"-"&amp;B$15)</f>
        <v/>
      </c>
      <c r="M1058" s="52" t="str">
        <f t="shared" si="400"/>
        <v/>
      </c>
    </row>
    <row r="1059" spans="1:13" ht="5.15" customHeight="1" x14ac:dyDescent="0.35">
      <c r="A1059" s="47"/>
      <c r="B1059" s="47"/>
      <c r="C1059" s="47"/>
      <c r="D1059" s="53"/>
      <c r="E1059" s="54"/>
      <c r="F1059" s="55"/>
      <c r="G1059" s="72"/>
      <c r="H1059" s="73"/>
      <c r="I1059" s="47"/>
      <c r="J1059" s="57"/>
      <c r="K1059" s="57"/>
      <c r="L1059" s="55"/>
      <c r="M1059" s="57"/>
    </row>
    <row r="1060" spans="1:13" x14ac:dyDescent="0.35">
      <c r="A1060" s="48"/>
      <c r="B1060" s="48"/>
      <c r="C1060" s="49"/>
      <c r="D1060" s="50"/>
      <c r="E1060" s="51" t="str">
        <f>IF(N(C1060)=0,"",C1060/PI()/($D$1/2)^2/$D$2*10000)</f>
        <v/>
      </c>
      <c r="F1060" s="68" t="str">
        <f t="shared" ref="F1060:F1071" si="401">IF(N(E1060)=0,"",(N(E1060)+N(F1059)))</f>
        <v/>
      </c>
      <c r="G1060" s="69" t="str">
        <f>IF(OR(N(D1060)=0,N(E1060)=0),"",(E1060*D1060)/1000)</f>
        <v/>
      </c>
      <c r="H1060" s="70" t="str">
        <f t="shared" ref="H1060:H1071" si="402">IF(N(G1060)=0,"",(N(G1060)+N(H1059)))</f>
        <v/>
      </c>
      <c r="I1060" s="27" t="str">
        <f>IF(N(J1060)=0,"",0&amp;"-"&amp;B$4)</f>
        <v/>
      </c>
      <c r="J1060" s="52" t="str">
        <f>IF(N(B$4)=0,"",IF(AND(COUNT(H1060:H1071)=2,COUNT(F1060:F1071)=2),cubic_spline(F1059:F1061,H1059:H1061,B$4),IF(AND(COUNT(H1060:H1071)=3,COUNT(F1060:F1071)=3),cubic_spline(F1059:F1062,H1059:H1062,B$4),IF(AND(COUNT(H1060:H1071)=4,COUNT(F1060:F1071)=4),cubic_spline(F1059:F1063,H1059:H1063,B$4),IF(AND(COUNT(H1060:H1071)=5,COUNT(F1060:F1071)=5),cubic_spline(F1059:F1064,H1059:H1064,B$4),IF(AND(COUNT(H1060:H1071)=6,COUNT(F1060:F1071)=6),cubic_spline(F1059:F1065,H1059:H1065,B$4),IF(AND(COUNT(H1060:H1071)=7,COUNT(F1060:F1071)=7),cubic_spline(F1059:F1066,H1059:H1066,B$4),IF(AND(COUNT(H1060:H1071)=8,COUNT(F1060:F1071)=8),cubic_spline(F1059:F1067,H1059:H1067,B$4),IF(AND(COUNT(H1060:H1071)=9,COUNT(F1060:F1071)=9),cubic_spline(F1059:F1068,H1059:H1068,B$4),IF(AND(COUNT(H1060:H1071)=10,COUNT(F1060:F1071)=10),cubic_spline(F1059:F1069,H1059:H1069,B$4),IF(AND(COUNT(H1060:H1071)=11,COUNT(F1060:F1071)=11),cubic_spline(F1059:F1070,H1059:H1070,B$4),IF(AND(COUNT(H1060:H1071)=12,COUNT(F1060:F1071)=12),cubic_spline(F1059:F1071,H1059:H1071,B$4),""))))))))))))</f>
        <v/>
      </c>
      <c r="K1060" s="52" t="str">
        <f>IF(N(B$4)=0,"",IF(AND(COUNT(A1060:A1071)=2,COUNT(F1060:F1071)=2),cubic_spline(F1059:F1061,A1059:A1061,B$4),IF(AND(COUNT(A1060:A1071)=3,COUNT(F1060:F1071)=3),cubic_spline(F1059:F1062,A1059:A1062,B$4),IF(AND(COUNT(A1060:A1071)=4,COUNT(F1060:F1071)=4),cubic_spline(F1059:F1063,A1059:A1063,B$4),IF(AND(COUNT(A1060:A1071)=5,COUNT(F1060:F1071)=5),cubic_spline(F1059:F1064,A1059:A1064,B$4),IF(AND(COUNT(A1060:A1071)=6,COUNT(F1060:F1071)=6),cubic_spline(F1059:F1065,A1059:A1065,B$4),IF(AND(COUNT(A1060:A1071)=7,COUNT(F1060:F1071)=7),cubic_spline(F1059:F1066,A1059:A1066,B$4),IF(AND(COUNT(A1060:A1071)=8,COUNT(F1060:F1071)=8),cubic_spline(F1059:F1067,A1059:A1067,B$4),IF(AND(COUNT(A1060:A1071)=9,COUNT(F1060:F1071)=9),cubic_spline(F1059:F1068,A1059:A1068,B$4),IF(AND(COUNT(A1060:A1071)=10,COUNT(F1060:F1071)=10),cubic_spline(F1059:F1069,A1059:A1069,B$4),IF(AND(COUNT(A1060:A1071)=11,COUNT(F1060:F1071)=11),cubic_spline(F1059:F1070,A1059:A1070,B$4),IF(AND(COUNT(A1060:A1071)=12,COUNT(F1060:F1071)=12),cubic_spline(F1059:F1071,A1059:A1071,B$4),""))))))))))))</f>
        <v/>
      </c>
      <c r="L1060" s="27" t="str">
        <f>IF(I1060="","",0&amp;"-"&amp;B$4)</f>
        <v/>
      </c>
      <c r="M1060" s="52" t="str">
        <f>IF(N(J1060)=0,"",J1060-J1059)</f>
        <v/>
      </c>
    </row>
    <row r="1061" spans="1:13" x14ac:dyDescent="0.35">
      <c r="A1061" s="48"/>
      <c r="B1061" s="48"/>
      <c r="C1061" s="49"/>
      <c r="D1061" s="50"/>
      <c r="E1061" s="51" t="str">
        <f>IF(N(C1061)=0,"",C1061/PI()/($D$1/2)^2/$D$2*10000)</f>
        <v/>
      </c>
      <c r="F1061" s="68" t="str">
        <f t="shared" si="401"/>
        <v/>
      </c>
      <c r="G1061" s="69" t="str">
        <f t="shared" ref="G1061:G1071" si="403">IF(OR(N(D1061)=0,N(E1061)=0),"",(E1061*D1061)/1000)</f>
        <v/>
      </c>
      <c r="H1061" s="70" t="str">
        <f t="shared" si="402"/>
        <v/>
      </c>
      <c r="I1061" s="27" t="str">
        <f>IF(N(J1061)=0,"",0&amp;"-"&amp;B$5)</f>
        <v/>
      </c>
      <c r="J1061" s="52" t="str">
        <f>IF(N(B$5)=0,"",IF(AND(COUNT(H1060:H1071)=2,COUNT(F1060:F1071)=2),cubic_spline(F1059:F1061,H1059:H1061,B$5),IF(AND(COUNT(H1060:H1071)=3,COUNT(F1060:F1071)=3),cubic_spline(F1059:F1062,H1059:H1062,B$5),IF(AND(COUNT(H1060:H1071)=4,COUNT(F1060:F1071)=4),cubic_spline(F1059:F1063,H1059:H1063,B$5),IF(AND(COUNT(H1060:H1071)=5,COUNT(F1060:F1071)=5),cubic_spline(F1059:F1064,H1059:H1064,B$5),IF(AND(COUNT(H1060:H1071)=6,COUNT(F1060:F1071)=6),cubic_spline(F1059:F1065,H1059:H1065,B$5),IF(AND(COUNT(H1060:H1071)=7,COUNT(F1060:F1071)=7),cubic_spline(F1059:F1066,H1059:H1066,B$5),IF(AND(COUNT(H1060:H1071)=8,COUNT(F1060:F1071)=8),cubic_spline(F1059:F1067,H1059:H1067,B$5),IF(AND(COUNT(H1060:H1071)=9,COUNT(F1060:F1071)=9),cubic_spline(F1059:F1068,H1059:H1068,B$5),IF(AND(COUNT(H1060:H1071)=10,COUNT(F1060:F1071)=10),cubic_spline(F1059:F1069,H1059:H1069,B$5),IF(AND(COUNT(H1060:H1071)=11,COUNT(F1060:F1071)=11),cubic_spline(F1059:F1070,H1059:H1070,B$5),IF(AND(COUNT(H1060:H1071)=12,COUNT(F1060:F1071)=12),cubic_spline(F1059:F1071,H1059:H1071,B$5),""))))))))))))</f>
        <v/>
      </c>
      <c r="K1061" s="52" t="str">
        <f>IF(N(B$5)=0,"",IF(AND(COUNT(A1060:A1071)=2,COUNT(F1060:F1071)=2),cubic_spline(F1059:F1061,A1059:A1061,B$5),IF(AND(COUNT(A1060:A1071)=3,COUNT(F1060:F1071)=3),cubic_spline(F1059:F1062,A1059:A1062,B$5),IF(AND(COUNT(A1060:A1071)=4,COUNT(F1060:F1071)=4),cubic_spline(F1059:F1063,A1059:A1063,B$5),IF(AND(COUNT(A1060:A1071)=5,COUNT(F1060:F1071)=5),cubic_spline(F1059:F1064,A1059:A1064,B$5),IF(AND(COUNT(A1060:A1071)=6,COUNT(F1060:F1071)=6),cubic_spline(F1059:F1065,A1059:A1065,B$5),IF(AND(COUNT(A1060:A1071)=7,COUNT(F1060:F1071)=7),cubic_spline(F1059:F1066,A1059:A1066,B$5),IF(AND(COUNT(A1060:A1071)=8,COUNT(F1060:F1071)=8),cubic_spline(F1059:F1067,A1059:A1067,B$5),IF(AND(COUNT(A1060:A1071)=9,COUNT(F1060:F1071)=9),cubic_spline(F1059:F1068,A1059:A1068,B$5),IF(AND(COUNT(A1060:A1071)=10,COUNT(F1060:F1071)=10),cubic_spline(F1059:F1069,A1059:A1069,B$5),IF(AND(COUNT(A1060:A1071)=11,COUNT(F1060:F1071)=11),cubic_spline(F1059:F1070,A1059:A1070,B$5),IF(AND(COUNT(A1060:A1071)=12,COUNT(F1060:F1071)=12),cubic_spline(F1059:F1071,A1059:A1071,B$5),""))))))))))))</f>
        <v/>
      </c>
      <c r="L1061" s="27" t="str">
        <f>IF(I1061="","",B$4&amp;"-"&amp;B$5)</f>
        <v/>
      </c>
      <c r="M1061" s="52" t="str">
        <f>IF(N(J1061)=0,"",J1061-J1060)</f>
        <v/>
      </c>
    </row>
    <row r="1062" spans="1:13" x14ac:dyDescent="0.35">
      <c r="A1062" s="48"/>
      <c r="B1062" s="48"/>
      <c r="C1062" s="49"/>
      <c r="D1062" s="50"/>
      <c r="E1062" s="51" t="str">
        <f>IF(N(C1062)=0,"",C1062/PI()/($D$1/2)^2/$D$2*10000)</f>
        <v/>
      </c>
      <c r="F1062" s="68" t="str">
        <f t="shared" si="401"/>
        <v/>
      </c>
      <c r="G1062" s="69" t="str">
        <f t="shared" si="403"/>
        <v/>
      </c>
      <c r="H1062" s="70" t="str">
        <f t="shared" si="402"/>
        <v/>
      </c>
      <c r="I1062" s="27" t="str">
        <f>IF(N(J1062)=0,"",0&amp;"-"&amp;B$6)</f>
        <v/>
      </c>
      <c r="J1062" s="52" t="str">
        <f>IF(N(B$6)=0,"",IF(AND(COUNT(H1060:H1071)=2,COUNT(F1060:F1071)=2),cubic_spline(F1059:F1061,H1059:H1061,B$6),IF(AND(COUNT(H1060:H1071)=3,COUNT(F1060:F1071)=3),cubic_spline(F1059:F1062,H1059:H1062,B$6),IF(AND(COUNT(H1060:H1071)=4,COUNT(F1060:F1071)=4),cubic_spline(F1059:F1063,H1059:H1063,B$6),IF(AND(COUNT(H1060:H1071)=5,COUNT(F1060:F1071)=5),cubic_spline(F1059:F1064,H1059:H1064,B$6),IF(AND(COUNT(H1060:H1071)=6,COUNT(F1060:F1071)=6),cubic_spline(F1059:F1065,H1059:H1065,B$6),IF(AND(COUNT(H1060:H1071)=7,COUNT(F1060:F1071)=7),cubic_spline(F1059:F1066,H1059:H1066,B$6),IF(AND(COUNT(H1060:H1071)=8,COUNT(F1060:F1071)=8),cubic_spline(F1059:F1067,H1059:H1067,B$6),IF(AND(COUNT(H1060:H1071)=9,COUNT(F1060:F1071)=9),cubic_spline(F1059:F1068,H1059:H1068,B$6),IF(AND(COUNT(H1060:H1071)=10,COUNT(F1060:F1071)=10),cubic_spline(F1059:F1069,H1059:H1069,B$6),IF(AND(COUNT(H1060:H1071)=11,COUNT(F1060:F1071)=11),cubic_spline(F1059:F1070,H1059:H1070,B$6),IF(AND(COUNT(H1060:H1071)=12,COUNT(F1060:F1071)=12),cubic_spline(F1059:F1071,H1059:H1071,B$6),""))))))))))))</f>
        <v/>
      </c>
      <c r="K1062" s="52" t="str">
        <f>IF(N(B$6)=0,"",IF(AND(COUNT(A1060:A1071)=2,COUNT(F1060:F1071)=2),cubic_spline(F1059:F1061,A1059:A1061,B$6),IF(AND(COUNT(A1060:A1071)=3,COUNT(F1060:F1071)=3),cubic_spline(F1059:F1062,A1059:A1062,B$6),IF(AND(COUNT(A1060:A1071)=4,COUNT(F1060:F1071)=4),cubic_spline(F1059:F1063,A1059:A1063,B$6),IF(AND(COUNT(A1060:A1071)=5,COUNT(F1060:F1071)=5),cubic_spline(F1059:F1064,A1059:A1064,B$6),IF(AND(COUNT(A1060:A1071)=6,COUNT(F1060:F1071)=6),cubic_spline(F1059:F1065,A1059:A1065,B$6),IF(AND(COUNT(A1060:A1071)=7,COUNT(F1060:F1071)=7),cubic_spline(F1059:F1066,A1059:A1066,B$6),IF(AND(COUNT(A1060:A1071)=8,COUNT(F1060:F1071)=8),cubic_spline(F1059:F1067,A1059:A1067,B$6),IF(AND(COUNT(A1060:A1071)=9,COUNT(F1060:F1071)=9),cubic_spline(F1059:F1068,A1059:A1068,B$6),IF(AND(COUNT(A1060:A1071)=10,COUNT(F1060:F1071)=10),cubic_spline(F1059:F1069,A1059:A1069,B$6),IF(AND(COUNT(A1060:A1071)=11,COUNT(F1060:F1071)=11),cubic_spline(F1059:F1070,A1059:A1070,B$6),IF(AND(COUNT(A1060:A1071)=12,COUNT(F1060:F1071)=12),cubic_spline(F1059:F1071,A1059:A1071,B$6),""))))))))))))</f>
        <v/>
      </c>
      <c r="L1062" s="27" t="str">
        <f>IF(I1062="","",B$5&amp;"-"&amp;B$6)</f>
        <v/>
      </c>
      <c r="M1062" s="52" t="str">
        <f>IF(N(J1062)=0,"",J1062-J1061)</f>
        <v/>
      </c>
    </row>
    <row r="1063" spans="1:13" x14ac:dyDescent="0.35">
      <c r="A1063" s="48"/>
      <c r="B1063" s="48"/>
      <c r="C1063" s="49"/>
      <c r="D1063" s="50"/>
      <c r="E1063" s="51" t="str">
        <f>IF(N(C1063)=0,"",C1063/PI()/($D$1/2)^2/$D$2*10000)</f>
        <v/>
      </c>
      <c r="F1063" s="68" t="str">
        <f t="shared" si="401"/>
        <v/>
      </c>
      <c r="G1063" s="69" t="str">
        <f t="shared" si="403"/>
        <v/>
      </c>
      <c r="H1063" s="70" t="str">
        <f t="shared" si="402"/>
        <v/>
      </c>
      <c r="I1063" s="27" t="str">
        <f>IF(N(J1063)=0,"",0&amp;"-"&amp;B$7)</f>
        <v/>
      </c>
      <c r="J1063" s="52" t="str">
        <f>IF(N(B$7)=0,"",IF(AND(COUNT(H1060:H1071)=2,COUNT(F1060:F1071)=2),cubic_spline(F1059:F1061,H1059:H1061,B$7),IF(AND(COUNT(H1060:H1071)=3,COUNT(F1060:F1071)=3),cubic_spline(F1059:F1062,H1059:H1062,B$7),IF(AND(COUNT(H1060:H1071)=4,COUNT(F1060:F1071)=4),cubic_spline(F1059:F1063,H1059:H1063,B$7),IF(AND(COUNT(H1060:H1071)=5,COUNT(F1060:F1071)=5),cubic_spline(F1059:F1064,H1059:H1064,B$7),IF(AND(COUNT(H1060:H1071)=6,COUNT(F1060:F1071)=6),cubic_spline(F1059:F1065,H1059:H1065,B$7),IF(AND(COUNT(H1060:H1071)=7,COUNT(F1060:F1071)=7),cubic_spline(F1059:F1066,H1059:H1066,B$7),IF(AND(COUNT(H1060:H1071)=8,COUNT(F1060:F1071)=8),cubic_spline(F1059:F1067,H1059:H1067,B$7),IF(AND(COUNT(H1060:H1071)=9,COUNT(F1060:F1071)=9),cubic_spline(F1059:F1068,H1059:H1068,B$7),IF(AND(COUNT(H1060:H1071)=10,COUNT(F1060:F1071)=10),cubic_spline(F1059:F1069,H1059:H1069,B$7),IF(AND(COUNT(H1060:H1071)=11,COUNT(F1060:F1071)=11),cubic_spline(F1059:F1070,H1059:H1070,B$7),IF(AND(COUNT(H1060:H1071)=12,COUNT(F1060:F1071)=12),cubic_spline(F1059:F1071,H1059:H1071,B$7),""))))))))))))</f>
        <v/>
      </c>
      <c r="K1063" s="52" t="str">
        <f>IF(N(B$7)=0,"",IF(AND(COUNT(A1060:A1071)=2,COUNT(F1060:F1071)=2),cubic_spline(F1059:F1061,A1059:A1061,B$7),IF(AND(COUNT(A1060:A1071)=3,COUNT(F1060:F1071)=3),cubic_spline(F1059:F1062,A1059:A1062,B$7),IF(AND(COUNT(A1060:A1071)=4,COUNT(F1060:F1071)=4),cubic_spline(F1059:F1063,A1059:A1063,B$7),IF(AND(COUNT(A1060:A1071)=5,COUNT(F1060:F1071)=5),cubic_spline(F1059:F1064,A1059:A1064,B$7),IF(AND(COUNT(A1060:A1071)=6,COUNT(F1060:F1071)=6),cubic_spline(F1059:F1065,A1059:A1065,B$7),IF(AND(COUNT(A1060:A1071)=7,COUNT(F1060:F1071)=7),cubic_spline(F1059:F1066,A1059:A1066,B$7),IF(AND(COUNT(A1060:A1071)=8,COUNT(F1060:F1071)=8),cubic_spline(F1059:F1067,A1059:A1067,B$7),IF(AND(COUNT(A1060:A1071)=9,COUNT(F1060:F1071)=9),cubic_spline(F1059:F1068,A1059:A1068,B$7),IF(AND(COUNT(A1060:A1071)=10,COUNT(F1060:F1071)=10),cubic_spline(F1059:F1069,A1059:A1069,B$7),IF(AND(COUNT(A1060:A1071)=11,COUNT(F1060:F1071)=11),cubic_spline(F1059:F1070,A1059:A1070,B$7),IF(AND(COUNT(A1060:A1071)=12,COUNT(F1060:F1071)=12),cubic_spline(F1059:F1071,A1059:A1071,B$7),""))))))))))))</f>
        <v/>
      </c>
      <c r="L1063" s="27" t="str">
        <f>IF(I1063="","",B$6&amp;"-"&amp;B$7)</f>
        <v/>
      </c>
      <c r="M1063" s="52" t="str">
        <f>IF(N(J1063)=0,"",J1063-J1062)</f>
        <v/>
      </c>
    </row>
    <row r="1064" spans="1:13" x14ac:dyDescent="0.35">
      <c r="A1064" s="48"/>
      <c r="B1064" s="48"/>
      <c r="C1064" s="49"/>
      <c r="D1064" s="50"/>
      <c r="E1064" s="51" t="str">
        <f t="shared" ref="E1064:E1071" si="404">IF(N(C1064)=0,"",C1064/PI()/($D$1/2)^2/$D$2*10000)</f>
        <v/>
      </c>
      <c r="F1064" s="71" t="str">
        <f t="shared" si="401"/>
        <v/>
      </c>
      <c r="G1064" s="69" t="str">
        <f t="shared" si="403"/>
        <v/>
      </c>
      <c r="H1064" s="70" t="str">
        <f t="shared" si="402"/>
        <v/>
      </c>
      <c r="I1064" s="27" t="str">
        <f>IF(N(J1064)=0,"",0&amp;"-"&amp;B$8)</f>
        <v/>
      </c>
      <c r="J1064" s="52" t="str">
        <f>IF(N(B$8)=0,"",IF(AND(COUNT(H1060:H1071)=2,COUNT(F1060:F1071)=2),cubic_spline(F1059:F1061,H1059:H1061,B$8),IF(AND(COUNT(H1060:H1071)=3,COUNT(F1060:F1071)=3),cubic_spline(F1059:F1062,H1059:H1062,B$8),IF(AND(COUNT(H1060:H1071)=4,COUNT(F1060:F1071)=4),cubic_spline(F1059:F1063,H1059:H1063,B$8),IF(AND(COUNT(H1060:H1071)=5,COUNT(F1060:F1071)=5),cubic_spline(F1059:F1064,H1059:H1064,B$8),IF(AND(COUNT(H1060:H1071)=6,COUNT(F1060:F1071)=6),cubic_spline(F1059:F1065,H1059:H1065,B$8),IF(AND(COUNT(H1060:H1071)=7,COUNT(F1060:F1071)=7),cubic_spline(F1059:F1066,H1059:H1066,B$8),IF(AND(COUNT(H1060:H1071)=8,COUNT(F1060:F1071)=8),cubic_spline(F1059:F1067,H1059:H1067,B$8),IF(AND(COUNT(H1060:H1071)=9,COUNT(F1060:F1071)=9),cubic_spline(F1059:F1068,H1059:H1068,B$8),IF(AND(COUNT(H1060:H1071)=10,COUNT(F1060:F1071)=10),cubic_spline(F1059:F1069,H1059:H1069,B$8),IF(AND(COUNT(H1060:H1071)=11,COUNT(F1060:F1071)=11),cubic_spline(F1059:F1070,H1059:H1070,B$8),IF(AND(COUNT(H1060:H1071)=12,COUNT(F1060:F1071)=12),cubic_spline(F1059:F1071,H1059:H1071,B$8),""))))))))))))</f>
        <v/>
      </c>
      <c r="K1064" s="52" t="str">
        <f>IF(N(B$8)=0,"",IF(AND(COUNT(A1060:A1071)=2,COUNT(F1060:F1071)=2),cubic_spline(F1059:F1061,A1059:A1061,B$8),IF(AND(COUNT(A1060:A1071)=3,COUNT(F1060:F1071)=3),cubic_spline(F1059:F1062,A1059:A1062,B$8),IF(AND(COUNT(A1060:A1071)=4,COUNT(F1060:F1071)=4),cubic_spline(F1059:F1063,A1059:A1063,B$8),IF(AND(COUNT(A1060:A1071)=5,COUNT(F1060:F1071)=5),cubic_spline(F1059:F1064,A1059:A1064,B$8),IF(AND(COUNT(A1060:A1071)=6,COUNT(F1060:F1071)=6),cubic_spline(F1059:F1065,A1059:A1065,B$8),IF(AND(COUNT(A1060:A1071)=7,COUNT(F1060:F1071)=7),cubic_spline(F1059:F1066,A1059:A1066,B$8),IF(AND(COUNT(A1060:A1071)=8,COUNT(F1060:F1071)=8),cubic_spline(F1059:F1067,A1059:A1067,B$8),IF(AND(COUNT(A1060:A1071)=9,COUNT(F1060:F1071)=9),cubic_spline(F1059:F1068,A1059:A1068,B$8),IF(AND(COUNT(A1060:A1071)=10,COUNT(F1060:F1071)=10),cubic_spline(F1059:F1069,A1059:A1069,B$8),IF(AND(COUNT(A1060:A1071)=11,COUNT(F1060:F1071)=11),cubic_spline(F1059:F1070,A1059:A1070,B$8),IF(AND(COUNT(A1060:A1071)=12,COUNT(F1060:F1071)=12),cubic_spline(F1059:F1071,A1059:A1071,B$8),""))))))))))))</f>
        <v/>
      </c>
      <c r="L1064" s="27" t="str">
        <f>IF(I1064="","",B$7&amp;"-"&amp;B$8)</f>
        <v/>
      </c>
      <c r="M1064" s="52" t="str">
        <f>IF(N(J1064)=0,"",J1064-J1063)</f>
        <v/>
      </c>
    </row>
    <row r="1065" spans="1:13" x14ac:dyDescent="0.35">
      <c r="A1065" s="48"/>
      <c r="B1065" s="48"/>
      <c r="C1065" s="49"/>
      <c r="D1065" s="50"/>
      <c r="E1065" s="51" t="str">
        <f t="shared" si="404"/>
        <v/>
      </c>
      <c r="F1065" s="71" t="str">
        <f t="shared" si="401"/>
        <v/>
      </c>
      <c r="G1065" s="69" t="str">
        <f t="shared" si="403"/>
        <v/>
      </c>
      <c r="H1065" s="70" t="str">
        <f t="shared" si="402"/>
        <v/>
      </c>
      <c r="I1065" s="27" t="str">
        <f>IF(N(J1065)=0,"",0&amp;"-"&amp;B$9)</f>
        <v/>
      </c>
      <c r="J1065" s="52" t="str">
        <f>IF(N(B$9)=0,"",IF(AND(COUNT(H1060:H1071)=2,COUNT(F1060:F1071)=2),cubic_spline(F1059:F1061,H1059:H1061,B$9),IF(AND(COUNT(H1060:H1071)=3,COUNT(F1060:F1071)=3),cubic_spline(F1059:F1062,H1059:H1062,B$9),IF(AND(COUNT(H1060:H1071)=4,COUNT(F1060:F1071)=4),cubic_spline(F1059:F1063,H1059:H1063,B$9),IF(AND(COUNT(H1060:H1071)=5,COUNT(F1060:F1071)=5),cubic_spline(F1059:F1064,H1059:H1064,B$9),IF(AND(COUNT(H1060:H1071)=6,COUNT(F1060:F1071)=6),cubic_spline(F1059:F1065,H1059:H1065,B$9),IF(AND(COUNT(H1060:H1071)=7,COUNT(F1060:F1071)=7),cubic_spline(F1059:F1066,H1059:H1066,B$9),IF(AND(COUNT(H1060:H1071)=8,COUNT(F1060:F1071)=8),cubic_spline(F1059:F1067,H1059:H1067,B$9),IF(AND(COUNT(H1060:H1071)=9,COUNT(F1060:F1071)=9),cubic_spline(F1059:F1068,H1059:H1068,B$9),IF(AND(COUNT(H1060:H1071)=10,COUNT(F1060:F1071)=10),cubic_spline(F1059:F1069,H1059:H1069,B$9),IF(AND(COUNT(H1060:H1071)=11,COUNT(F1060:F1071)=11),cubic_spline(F1059:F1070,H1059:H1070,B$9),IF(AND(COUNT(H1060:H1071)=12,COUNT(F1060:F1071)=12),cubic_spline(F1059:F1071,H1059:H1071,B$9),""))))))))))))</f>
        <v/>
      </c>
      <c r="K1065" s="52" t="str">
        <f>IF(N(B$9)=0,"",IF(AND(COUNT(A1060:A1071)=2,COUNT(F1060:F1071)=2),cubic_spline(F1059:F1061,A1059:A1061,B$9),IF(AND(COUNT(A1060:A1071)=3,COUNT(F1060:F1071)=3),cubic_spline(F1059:F1062,A1059:A1062,B$9),IF(AND(COUNT(A1060:A1071)=4,COUNT(F1060:F1071)=4),cubic_spline(F1059:F1063,A1059:A1063,B$9),IF(AND(COUNT(A1060:A1071)=5,COUNT(F1060:F1071)=5),cubic_spline(F1059:F1064,A1059:A1064,B$9),IF(AND(COUNT(A1060:A1071)=6,COUNT(F1060:F1071)=6),cubic_spline(F1059:F1065,A1059:A1065,B$9),IF(AND(COUNT(A1060:A1071)=7,COUNT(F1060:F1071)=7),cubic_spline(F1059:F1066,A1059:A1066,B$9),IF(AND(COUNT(A1060:A1071)=8,COUNT(F1060:F1071)=8),cubic_spline(F1059:F1067,A1059:A1067,B$9),IF(AND(COUNT(A1060:A1071)=9,COUNT(F1060:F1071)=9),cubic_spline(F1059:F1068,A1059:A1068,B$9),IF(AND(COUNT(A1060:A1071)=10,COUNT(F1060:F1071)=10),cubic_spline(F1059:F1069,A1059:A1069,B$9),IF(AND(COUNT(A1060:A1071)=11,COUNT(F1060:F1071)=11),cubic_spline(F1059:F1070,A1059:A1070,B$9),IF(AND(COUNT(A1060:A1071)=12,COUNT(F1060:F1071)=12),cubic_spline(F1059:F1071,A1059:A1071,B$9),""))))))))))))</f>
        <v/>
      </c>
      <c r="L1065" s="27" t="str">
        <f>IF(I1065="","",B$8&amp;"-"&amp;B$9)</f>
        <v/>
      </c>
      <c r="M1065" s="52" t="str">
        <f t="shared" ref="M1065:M1071" si="405">IF(N(J1065)=0,"",J1065-J1064)</f>
        <v/>
      </c>
    </row>
    <row r="1066" spans="1:13" x14ac:dyDescent="0.35">
      <c r="A1066" s="48"/>
      <c r="B1066" s="48"/>
      <c r="C1066" s="49"/>
      <c r="D1066" s="50"/>
      <c r="E1066" s="51" t="str">
        <f t="shared" si="404"/>
        <v/>
      </c>
      <c r="F1066" s="71" t="str">
        <f t="shared" si="401"/>
        <v/>
      </c>
      <c r="G1066" s="69" t="str">
        <f t="shared" si="403"/>
        <v/>
      </c>
      <c r="H1066" s="70" t="str">
        <f t="shared" si="402"/>
        <v/>
      </c>
      <c r="I1066" s="27" t="str">
        <f>IF(N(J1066)=0,"",0&amp;"-"&amp;B$10)</f>
        <v/>
      </c>
      <c r="J1066" s="52" t="str">
        <f>IF(N(B$10)=0,"",IF(AND(COUNT(H1060:H1071)=2,COUNT(F1060:F1071)=2),cubic_spline(F1059:F1061,H1059:H1061,B$10),IF(AND(COUNT(H1060:H1071)=3,COUNT(F1060:F1071)=3),cubic_spline(F1059:F1062,H1059:H1062,B$10),IF(AND(COUNT(H1060:H1071)=4,COUNT(F1060:F1071)=4),cubic_spline(F1059:F1063,H1059:H1063,B$10),IF(AND(COUNT(H1060:H1071)=5,COUNT(F1060:F1071)=5),cubic_spline(F1059:F1064,H1059:H1064,B$10),IF(AND(COUNT(H1060:H1071)=6,COUNT(F1060:F1071)=6),cubic_spline(F1059:F1065,H1059:H1065,B$10),IF(AND(COUNT(H1060:H1071)=7,COUNT(F1060:F1071)=7),cubic_spline(F1059:F1066,H1059:H1066,B$10),IF(AND(COUNT(H1060:H1071)=8,COUNT(F1060:F1071)=8),cubic_spline(F1059:F1067,H1059:H1067,B$10),IF(AND(COUNT(H1060:H1071)=9,COUNT(F1060:F1071)=9),cubic_spline(F1059:F1068,H1059:H1068,B$10),IF(AND(COUNT(H1060:H1071)=10,COUNT(F1060:F1071)=10),cubic_spline(F1059:F1069,H1059:H1069,B$10),IF(AND(COUNT(H1060:H1071)=11,COUNT(F1060:F1071)=11),cubic_spline(F1059:F1070,H1059:H1070,B$10),IF(AND(COUNT(H1060:H1071)=12,COUNT(F1060:F1071)=12),cubic_spline(F1059:F1071,H1059:H1071,B$10),""))))))))))))</f>
        <v/>
      </c>
      <c r="K1066" s="52" t="str">
        <f>IF(N(B$10)=0,"",IF(AND(COUNT(A1060:A1071)=2,COUNT(F1060:F1071)=2),cubic_spline(F1059:F1061,A1059:A1061,B$10),IF(AND(COUNT(A1060:A1071)=3,COUNT(F1060:F1071)=3),cubic_spline(F1059:F1062,A1059:A1062,B$10),IF(AND(COUNT(A1060:A1071)=4,COUNT(F1060:F1071)=4),cubic_spline(F1059:F1063,A1059:A1063,B$10),IF(AND(COUNT(A1060:A1071)=5,COUNT(F1060:F1071)=5),cubic_spline(F1059:F1064,A1059:A1064,B$10),IF(AND(COUNT(A1060:A1071)=6,COUNT(F1060:F1071)=6),cubic_spline(F1059:F1065,A1059:A1065,B$10),IF(AND(COUNT(A1060:A1071)=7,COUNT(F1060:F1071)=7),cubic_spline(F1059:F1066,A1059:A1066,B$10),IF(AND(COUNT(A1060:A1071)=8,COUNT(F1060:F1071)=8),cubic_spline(F1059:F1067,A1059:A1067,B$10),IF(AND(COUNT(A1060:A1071)=9,COUNT(F1060:F1071)=9),cubic_spline(F1059:F1068,A1059:A1068,B$10),IF(AND(COUNT(A1060:A1071)=10,COUNT(F1060:F1071)=10),cubic_spline(F1059:F1069,A1059:A1069,B$10),IF(AND(COUNT(A1060:A1071)=11,COUNT(F1060:F1071)=11),cubic_spline(F1059:F1070,A1059:A1070,B$10),IF(AND(COUNT(A1060:A1071)=12,COUNT(F1060:F1071)=12),cubic_spline(F1059:F1071,A1059:A1071,B$10),""))))))))))))</f>
        <v/>
      </c>
      <c r="L1066" s="27" t="str">
        <f>IF(I1066="","",B$9&amp;"-"&amp;B$10)</f>
        <v/>
      </c>
      <c r="M1066" s="52" t="str">
        <f t="shared" si="405"/>
        <v/>
      </c>
    </row>
    <row r="1067" spans="1:13" x14ac:dyDescent="0.35">
      <c r="A1067" s="48"/>
      <c r="B1067" s="48"/>
      <c r="C1067" s="49"/>
      <c r="D1067" s="50"/>
      <c r="E1067" s="51" t="str">
        <f t="shared" si="404"/>
        <v/>
      </c>
      <c r="F1067" s="71" t="str">
        <f t="shared" si="401"/>
        <v/>
      </c>
      <c r="G1067" s="69" t="str">
        <f t="shared" si="403"/>
        <v/>
      </c>
      <c r="H1067" s="70" t="str">
        <f t="shared" si="402"/>
        <v/>
      </c>
      <c r="I1067" s="27" t="str">
        <f>IF(N(J1067)=0,"",0&amp;"-"&amp;B$11)</f>
        <v/>
      </c>
      <c r="J1067" s="52" t="str">
        <f>IF(N(B$11)=0,"",IF(AND(COUNT(H1060:H1071)=2,COUNT(F1060:F1071)=2),cubic_spline(F1059:F1061,H1059:H1061,B$11),IF(AND(COUNT(H1060:H1071)=3,COUNT(F1060:F1071)=3),cubic_spline(F1059:F1062,H1059:H1062,B$11),IF(AND(COUNT(H1060:H1071)=4,COUNT(F1060:F1071)=4),cubic_spline(F1059:F1063,H1059:H1063,B$11),IF(AND(COUNT(H1060:H1071)=5,COUNT(F1060:F1071)=5),cubic_spline(F1059:F1064,H1059:H1064,B$11),IF(AND(COUNT(H1060:H1071)=6,COUNT(F1060:F1071)=6),cubic_spline(F1059:F1065,H1059:H1065,B$11),IF(AND(COUNT(H1060:H1071)=7,COUNT(F1060:F1071)=7),cubic_spline(F1059:F1066,H1059:H1066,B$11),IF(AND(COUNT(H1060:H1071)=8,COUNT(F1060:F1071)=8),cubic_spline(F1059:F1067,H1059:H1067,B$11),IF(AND(COUNT(H1060:H1071)=9,COUNT(F1060:F1071)=9),cubic_spline(F1059:F1068,H1059:H1068,B$11),IF(AND(COUNT(H1060:H1071)=10,COUNT(F1060:F1071)=10),cubic_spline(F1059:F1069,H1059:H1069,B$11),IF(AND(COUNT(H1060:H1071)=11,COUNT(F1060:F1071)=11),cubic_spline(F1059:F1070,H1059:H1070,B$11),IF(AND(COUNT(H1060:H1071)=12,COUNT(F1060:F1071)=12),cubic_spline(F1059:F1071,H1059:H1071,B$11),""))))))))))))</f>
        <v/>
      </c>
      <c r="K1067" s="52" t="str">
        <f>IF(N(B$11)=0,"",IF(AND(COUNT(A1060:A1071)=2,COUNT(F1060:F1071)=2),cubic_spline(F1059:F1061,A1059:A1061,B$11),IF(AND(COUNT(A1060:A1071)=3,COUNT(F1060:F1071)=3),cubic_spline(F1059:F1062,A1059:A1062,B$11),IF(AND(COUNT(A1060:A1071)=4,COUNT(F1060:F1071)=4),cubic_spline(F1059:F1063,A1059:A1063,B$11),IF(AND(COUNT(A1060:A1071)=5,COUNT(F1060:F1071)=5),cubic_spline(F1059:F1064,A1059:A1064,B$11),IF(AND(COUNT(A1060:A1071)=6,COUNT(F1060:F1071)=6),cubic_spline(F1059:F1065,A1059:A1065,B$11),IF(AND(COUNT(A1060:A1071)=7,COUNT(F1060:F1071)=7),cubic_spline(F1059:F1066,A1059:A1066,B$11),IF(AND(COUNT(A1060:A1071)=8,COUNT(F1060:F1071)=8),cubic_spline(F1059:F1067,A1059:A1067,B$11),IF(AND(COUNT(A1060:A1071)=9,COUNT(F1060:F1071)=9),cubic_spline(F1059:F1068,A1059:A1068,B$11),IF(AND(COUNT(A1060:A1071)=10,COUNT(F1060:F1071)=10),cubic_spline(F1059:F1069,A1059:A1069,B$11),IF(AND(COUNT(A1060:A1071)=11,COUNT(F1060:F1071)=11),cubic_spline(F1059:F1070,A1059:A1070,B$11),IF(AND(COUNT(A1060:A1071)=12,COUNT(F1060:F1071)=12),cubic_spline(F1059:F1071,A1059:A1071,B$11),""))))))))))))</f>
        <v/>
      </c>
      <c r="L1067" s="27" t="str">
        <f>IF(I1067="","",B$10&amp;"-"&amp;B$11)</f>
        <v/>
      </c>
      <c r="M1067" s="52" t="str">
        <f t="shared" si="405"/>
        <v/>
      </c>
    </row>
    <row r="1068" spans="1:13" x14ac:dyDescent="0.35">
      <c r="A1068" s="48"/>
      <c r="B1068" s="48"/>
      <c r="C1068" s="49"/>
      <c r="D1068" s="50"/>
      <c r="E1068" s="51" t="str">
        <f t="shared" si="404"/>
        <v/>
      </c>
      <c r="F1068" s="71" t="str">
        <f t="shared" si="401"/>
        <v/>
      </c>
      <c r="G1068" s="69" t="str">
        <f t="shared" si="403"/>
        <v/>
      </c>
      <c r="H1068" s="70" t="str">
        <f t="shared" si="402"/>
        <v/>
      </c>
      <c r="I1068" s="27" t="str">
        <f>IF(N(J1068)=0,"",0&amp;"-"&amp;B$12)</f>
        <v/>
      </c>
      <c r="J1068" s="52" t="str">
        <f>IF(N(B$12)=0,"",IF(AND(COUNT(H1060:H1071)=2,COUNT(F1060:F1071)=2),cubic_spline(F1059:F1061,H1059:H1061,B$12),IF(AND(COUNT(H1060:H1071)=3,COUNT(F1060:F1071)=3),cubic_spline(F1059:F1062,H1059:H1062,B$12),IF(AND(COUNT(H1060:H1071)=4,COUNT(F1060:F1071)=4),cubic_spline(F1059:F1063,H1059:H1063,B$12),IF(AND(COUNT(H1060:H1071)=5,COUNT(F1060:F1071)=5),cubic_spline(F1059:F1064,H1059:H1064,B$12),IF(AND(COUNT(H1060:H1071)=6,COUNT(F1060:F1071)=6),cubic_spline(F1059:F1065,H1059:H1065,B$12),IF(AND(COUNT(H1060:H1071)=7,COUNT(F1060:F1071)=7),cubic_spline(F1059:F1066,H1059:H1066,B$12),IF(AND(COUNT(H1060:H1071)=8,COUNT(F1060:F1071)=8),cubic_spline(F1059:F1067,H1059:H1067,B$12),IF(AND(COUNT(H1060:H1071)=9,COUNT(F1060:F1071)=9),cubic_spline(F1059:F1068,H1059:H1068,B$12),IF(AND(COUNT(H1060:H1071)=10,COUNT(F1060:F1071)=10),cubic_spline(F1059:F1069,H1059:H1069,B$12),IF(AND(COUNT(H1060:H1071)=11,COUNT(F1060:F1071)=11),cubic_spline(F1059:F1070,H1059:H1070,B$12),IF(AND(COUNT(H1060:H1071)=12,COUNT(F1060:F1071)=12),cubic_spline(F1059:F1071,H1059:H1071,B$12),""))))))))))))</f>
        <v/>
      </c>
      <c r="K1068" s="52" t="str">
        <f>IF(N(B$12)=0,"",IF(AND(COUNT(A1060:A1071)=2,COUNT(F1060:F1071)=2),cubic_spline(F1059:F1061,A1059:A1061,B$12),IF(AND(COUNT(A1060:A1071)=3,COUNT(F1060:F1071)=3),cubic_spline(F1059:F1062,A1059:A1062,B$12),IF(AND(COUNT(A1060:A1071)=4,COUNT(F1060:F1071)=4),cubic_spline(F1059:F1063,A1059:A1063,B$12),IF(AND(COUNT(A1060:A1071)=5,COUNT(F1060:F1071)=5),cubic_spline(F1059:F1064,A1059:A1064,B$12),IF(AND(COUNT(A1060:A1071)=6,COUNT(F1060:F1071)=6),cubic_spline(F1059:F1065,A1059:A1065,B$12),IF(AND(COUNT(A1060:A1071)=7,COUNT(F1060:F1071)=7),cubic_spline(F1059:F1066,A1059:A1066,B$12),IF(AND(COUNT(A1060:A1071)=8,COUNT(F1060:F1071)=8),cubic_spline(F1059:F1067,A1059:A1067,B$12),IF(AND(COUNT(A1060:A1071)=9,COUNT(F1060:F1071)=9),cubic_spline(F1059:F1068,A1059:A1068,B$12),IF(AND(COUNT(A1060:A1071)=10,COUNT(F1060:F1071)=10),cubic_spline(F1059:F1069,A1059:A1069,B$12),IF(AND(COUNT(A1060:A1071)=11,COUNT(F1060:F1071)=11),cubic_spline(F1059:F1070,A1059:A1070,B$12),IF(AND(COUNT(A1060:A1071)=12,COUNT(F1060:F1071)=12),cubic_spline(F1059:F1071,A1059:A1071,B$12),""))))))))))))</f>
        <v/>
      </c>
      <c r="L1068" s="27" t="str">
        <f>IF(I1068="","",B$11&amp;"-"&amp;B$12)</f>
        <v/>
      </c>
      <c r="M1068" s="52" t="str">
        <f t="shared" si="405"/>
        <v/>
      </c>
    </row>
    <row r="1069" spans="1:13" x14ac:dyDescent="0.35">
      <c r="A1069" s="48"/>
      <c r="B1069" s="48"/>
      <c r="C1069" s="49"/>
      <c r="D1069" s="50"/>
      <c r="E1069" s="51" t="str">
        <f t="shared" si="404"/>
        <v/>
      </c>
      <c r="F1069" s="71" t="str">
        <f t="shared" si="401"/>
        <v/>
      </c>
      <c r="G1069" s="69" t="str">
        <f t="shared" si="403"/>
        <v/>
      </c>
      <c r="H1069" s="70" t="str">
        <f t="shared" si="402"/>
        <v/>
      </c>
      <c r="I1069" s="27" t="str">
        <f>IF(N(J1069)=0,"",0&amp;"-"&amp;B$13)</f>
        <v/>
      </c>
      <c r="J1069" s="52" t="str">
        <f>IF(N(B$13)=0,"",IF(AND(COUNT(H1060:H1071)=2,COUNT(F1060:F1071)=2),cubic_spline(F1059:F1061,H1059:H1061,B$13),IF(AND(COUNT(H1060:H1071)=3,COUNT(F1060:F1071)=3),cubic_spline(F1059:F1062,H1059:H1062,B$13),IF(AND(COUNT(H1060:H1071)=4,COUNT(F1060:F1071)=4),cubic_spline(F1059:F1063,H1059:H1063,B$13),IF(AND(COUNT(H1060:H1071)=5,COUNT(F1060:F1071)=5),cubic_spline(F1059:F1064,H1059:H1064,B$13),IF(AND(COUNT(H1060:H1071)=6,COUNT(F1060:F1071)=6),cubic_spline(F1059:F1065,H1059:H1065,B$13),IF(AND(COUNT(H1060:H1071)=7,COUNT(F1060:F1071)=7),cubic_spline(F1059:F1066,H1059:H1066,B$13),IF(AND(COUNT(H1060:H1071)=8,COUNT(F1060:F1071)=8),cubic_spline(F1059:F1067,H1059:H1067,B$13),IF(AND(COUNT(H1060:H1071)=9,COUNT(F1060:F1071)=9),cubic_spline(F1059:F1068,H1059:H1068,B$13),IF(AND(COUNT(H1060:H1071)=10,COUNT(F1060:F1071)=10),cubic_spline(F1059:F1069,H1059:H1069,B$13),IF(AND(COUNT(H1060:H1071)=11,COUNT(F1060:F1071)=11),cubic_spline(F1059:F1070,H1059:H1070,B$13),IF(AND(COUNT(H1060:H1071)=12,COUNT(F1060:F1071)=12),cubic_spline(F1059:F1071,H1059:H1071,B$13),""))))))))))))</f>
        <v/>
      </c>
      <c r="K1069" s="52" t="str">
        <f>IF(N(B$13)=0,"",IF(AND(COUNT(A1060:A1071)=2,COUNT(F1060:F1071)=2),cubic_spline(F1059:F1061,A1059:A1061,B$13),IF(AND(COUNT(A1060:A1071)=3,COUNT(F1060:F1071)=3),cubic_spline(F1059:F1062,A1059:A1062,B$13),IF(AND(COUNT(A1060:A1071)=4,COUNT(F1060:F1071)=4),cubic_spline(F1059:F1063,A1059:A1063,B$13),IF(AND(COUNT(A1060:A1071)=5,COUNT(F1060:F1071)=5),cubic_spline(F1059:F1064,A1059:A1064,B$13),IF(AND(COUNT(A1060:A1071)=6,COUNT(F1060:F1071)=6),cubic_spline(F1059:F1065,A1059:A1065,B$13),IF(AND(COUNT(A1060:A1071)=7,COUNT(F1060:F1071)=7),cubic_spline(F1059:F1066,A1059:A1066,B$13),IF(AND(COUNT(A1060:A1071)=8,COUNT(F1060:F1071)=8),cubic_spline(F1059:F1067,A1059:A1067,B$13),IF(AND(COUNT(A1060:A1071)=9,COUNT(F1060:F1071)=9),cubic_spline(F1059:F1068,A1059:A1068,B$13),IF(AND(COUNT(A1060:A1071)=10,COUNT(F1060:F1071)=10),cubic_spline(F1059:F1069,A1059:A1069,B$13),IF(AND(COUNT(A1060:A1071)=11,COUNT(F1060:F1071)=11),cubic_spline(F1059:F1070,A1059:A1070,B$13),IF(AND(COUNT(A1060:A1071)=12,COUNT(F1060:F1071)=12),cubic_spline(F1059:F1071,A1059:A1071,B$13),""))))))))))))</f>
        <v/>
      </c>
      <c r="L1069" s="27" t="str">
        <f>IF(I1069="","",B$12&amp;"-"&amp;B$13)</f>
        <v/>
      </c>
      <c r="M1069" s="52" t="str">
        <f t="shared" si="405"/>
        <v/>
      </c>
    </row>
    <row r="1070" spans="1:13" x14ac:dyDescent="0.35">
      <c r="A1070" s="48"/>
      <c r="B1070" s="48"/>
      <c r="C1070" s="49"/>
      <c r="D1070" s="50"/>
      <c r="E1070" s="51" t="str">
        <f t="shared" si="404"/>
        <v/>
      </c>
      <c r="F1070" s="71" t="str">
        <f t="shared" si="401"/>
        <v/>
      </c>
      <c r="G1070" s="69" t="str">
        <f t="shared" si="403"/>
        <v/>
      </c>
      <c r="H1070" s="70" t="str">
        <f t="shared" si="402"/>
        <v/>
      </c>
      <c r="I1070" s="27" t="str">
        <f>IF(N(J1070)=0,"",0&amp;"-"&amp;B$14)</f>
        <v/>
      </c>
      <c r="J1070" s="52" t="str">
        <f>IF(N(B$14)=0,"",IF(AND(COUNT(H1060:H1071)=2,COUNT(F1060:F1071)=2),cubic_spline(F1059:F1061,H1059:H1061,B$14),IF(AND(COUNT(H1060:H1071)=3,COUNT(F1060:F1071)=3),cubic_spline(F1059:F1062,H1059:H1062,B$14),IF(AND(COUNT(H1060:H1071)=4,COUNT(F1060:F1071)=4),cubic_spline(F1059:F1063,H1059:H1063,B$14),IF(AND(COUNT(H1060:H1071)=5,COUNT(F1060:F1071)=5),cubic_spline(F1059:F1064,H1059:H1064,B$14),IF(AND(COUNT(H1060:H1071)=6,COUNT(F1060:F1071)=6),cubic_spline(F1059:F1065,H1059:H1065,B$14),IF(AND(COUNT(H1060:H1071)=7,COUNT(F1060:F1071)=7),cubic_spline(F1059:F1066,H1059:H1066,B$14),IF(AND(COUNT(H1060:H1071)=8,COUNT(F1060:F1071)=8),cubic_spline(F1059:F1067,H1059:H1067,B$14),IF(AND(COUNT(H1060:H1071)=9,COUNT(F1060:F1071)=9),cubic_spline(F1059:F1068,H1059:H1068,B$14),IF(AND(COUNT(H1060:H1071)=10,COUNT(F1060:F1071)=10),cubic_spline(F1059:F1069,H1059:H1069,B$14),IF(AND(COUNT(H1060:H1071)=11,COUNT(F1060:F1071)=11),cubic_spline(F1059:F1070,H1059:H1070,B$14),IF(AND(COUNT(H1060:H1071)=12,COUNT(F1060:F1071)=12),cubic_spline(F1059:F1071,H1059:H1071,B$14),""))))))))))))</f>
        <v/>
      </c>
      <c r="K1070" s="52" t="str">
        <f>IF(N(B$14)=0,"",IF(AND(COUNT(A1060:A1071)=2,COUNT(F1060:F1071)=2),cubic_spline(F1059:F1061,A1059:A1061,B$14),IF(AND(COUNT(A1060:A1071)=3,COUNT(F1060:F1071)=3),cubic_spline(F1059:F1062,A1059:A1062,B$14),IF(AND(COUNT(A1060:A1071)=4,COUNT(F1060:F1071)=4),cubic_spline(F1059:F1063,A1059:A1063,B$14),IF(AND(COUNT(A1060:A1071)=5,COUNT(F1060:F1071)=5),cubic_spline(F1059:F1064,A1059:A1064,B$14),IF(AND(COUNT(A1060:A1071)=6,COUNT(F1060:F1071)=6),cubic_spline(F1059:F1065,A1059:A1065,B$14),IF(AND(COUNT(A1060:A1071)=7,COUNT(F1060:F1071)=7),cubic_spline(F1059:F1066,A1059:A1066,B$14),IF(AND(COUNT(A1060:A1071)=8,COUNT(F1060:F1071)=8),cubic_spline(F1059:F1067,A1059:A1067,B$14),IF(AND(COUNT(A1060:A1071)=9,COUNT(F1060:F1071)=9),cubic_spline(F1059:F1068,A1059:A1068,B$14),IF(AND(COUNT(A1060:A1071)=10,COUNT(F1060:F1071)=10),cubic_spline(F1059:F1069,A1059:A1069,B$14),IF(AND(COUNT(A1060:A1071)=11,COUNT(F1060:F1071)=11),cubic_spline(F1059:F1070,A1059:A1070,B$14),IF(AND(COUNT(A1060:A1071)=12,COUNT(F1060:F1071)=12),cubic_spline(F1059:F1071,A1059:A1071,B$14),""))))))))))))</f>
        <v/>
      </c>
      <c r="L1070" s="27" t="str">
        <f>IF(I1070="","",B$13&amp;"-"&amp;B$14)</f>
        <v/>
      </c>
      <c r="M1070" s="52" t="str">
        <f t="shared" si="405"/>
        <v/>
      </c>
    </row>
    <row r="1071" spans="1:13" x14ac:dyDescent="0.35">
      <c r="A1071" s="48"/>
      <c r="B1071" s="48"/>
      <c r="C1071" s="49"/>
      <c r="D1071" s="50"/>
      <c r="E1071" s="51" t="str">
        <f t="shared" si="404"/>
        <v/>
      </c>
      <c r="F1071" s="71" t="str">
        <f t="shared" si="401"/>
        <v/>
      </c>
      <c r="G1071" s="69" t="str">
        <f t="shared" si="403"/>
        <v/>
      </c>
      <c r="H1071" s="70" t="str">
        <f t="shared" si="402"/>
        <v/>
      </c>
      <c r="I1071" s="27" t="str">
        <f>IF(N(J1071)=0,"",0&amp;"-"&amp;B$15)</f>
        <v/>
      </c>
      <c r="J1071" s="52" t="str">
        <f>IF(N(B$15)=0,"",IF(AND(COUNT(H1060:H1071)=2,COUNT(F1060:F1071)=2),cubic_spline(F1059:F1061,H1059:H1061,B$15),IF(AND(COUNT(H1060:H1071)=3,COUNT(F1060:F1071)=3),cubic_spline(F1059:F1062,H1059:H1062,B$15),IF(AND(COUNT(H1060:H1071)=4,COUNT(F1060:F1071)=4),cubic_spline(F1059:F1063,H1059:H1063,B$15),IF(AND(COUNT(H1060:H1071)=5,COUNT(F1060:F1071)=5),cubic_spline(F1059:F1064,H1059:H1064,B$15),IF(AND(COUNT(H1060:H1071)=6,COUNT(F1060:F1071)=6),cubic_spline(F1059:F1065,H1059:H1065,B$15),IF(AND(COUNT(H1060:H1071)=7,COUNT(F1060:F1071)=7),cubic_spline(F1059:F1066,H1059:H1066,B$15),IF(AND(COUNT(H1060:H1071)=8,COUNT(F1060:F1071)=8),cubic_spline(F1059:F1067,H1059:H1067,B$15),IF(AND(COUNT(H1060:H1071)=9,COUNT(F1060:F1071)=9),cubic_spline(F1059:F1068,H1059:H1068,B$15),IF(AND(COUNT(H1060:H1071)=10,COUNT(F1060:F1071)=10),cubic_spline(F1059:F1069,H1059:H1069,B$15),IF(AND(COUNT(H1060:H1071)=11,COUNT(F1060:F1071)=11),cubic_spline(F1059:F1070,H1059:H1070,B$15),IF(AND(COUNT(H1060:H1071)=12,COUNT(F1060:F1071)=12),cubic_spline(F1059:F1071,H1059:H1071,B$15),""))))))))))))</f>
        <v/>
      </c>
      <c r="K1071" s="52" t="str">
        <f>IF(N(B$15)=0,"",IF(AND(COUNT(A1060:A1071)=2,COUNT(F1060:F1071)=2),cubic_spline(F1059:F1061,A1059:A1061,B$15),IF(AND(COUNT(A1060:A1071)=3,COUNT(F1060:F1071)=3),cubic_spline(F1059:F1062,A1059:A1062,B$15),IF(AND(COUNT(A1060:A1071)=4,COUNT(F1060:F1071)=4),cubic_spline(F1059:F1063,A1059:A1063,B$15),IF(AND(COUNT(A1060:A1071)=5,COUNT(F1060:F1071)=5),cubic_spline(F1059:F1064,A1059:A1064,B$15),IF(AND(COUNT(A1060:A1071)=6,COUNT(F1060:F1071)=6),cubic_spline(F1059:F1065,A1059:A1065,B$15),IF(AND(COUNT(A1060:A1071)=7,COUNT(F1060:F1071)=7),cubic_spline(F1059:F1066,A1059:A1066,B$15),IF(AND(COUNT(A1060:A1071)=8,COUNT(F1060:F1071)=8),cubic_spline(F1059:F1067,A1059:A1067,B$15),IF(AND(COUNT(A1060:A1071)=9,COUNT(F1060:F1071)=9),cubic_spline(F1059:F1068,A1059:A1068,B$15),IF(AND(COUNT(A1060:A1071)=10,COUNT(F1060:F1071)=10),cubic_spline(F1059:F1069,A1059:A1069,B$15),IF(AND(COUNT(A1060:A1071)=11,COUNT(F1060:F1071)=11),cubic_spline(F1059:F1070,A1059:A1070,B$15),IF(AND(COUNT(A1060:A1071)=12,COUNT(F1060:F1071)=12),cubic_spline(F1059:F1071,A1059:A1071,B$15),""))))))))))))</f>
        <v/>
      </c>
      <c r="L1071" s="27" t="str">
        <f>IF(I1071="","",B$14&amp;"-"&amp;B$15)</f>
        <v/>
      </c>
      <c r="M1071" s="52" t="str">
        <f t="shared" si="405"/>
        <v/>
      </c>
    </row>
    <row r="1072" spans="1:13" ht="5.15" customHeight="1" x14ac:dyDescent="0.35">
      <c r="A1072" s="47"/>
      <c r="B1072" s="47"/>
      <c r="C1072" s="47"/>
      <c r="D1072" s="53"/>
      <c r="E1072" s="54"/>
      <c r="F1072" s="55"/>
      <c r="G1072" s="72"/>
      <c r="H1072" s="73"/>
      <c r="I1072" s="47"/>
      <c r="J1072" s="57"/>
      <c r="K1072" s="57"/>
      <c r="L1072" s="55"/>
      <c r="M1072" s="57"/>
    </row>
    <row r="1073" spans="1:13" x14ac:dyDescent="0.35">
      <c r="A1073" s="48"/>
      <c r="B1073" s="48"/>
      <c r="C1073" s="49"/>
      <c r="D1073" s="50"/>
      <c r="E1073" s="51" t="str">
        <f>IF(N(C1073)=0,"",C1073/PI()/($D$1/2)^2/$D$2*10000)</f>
        <v/>
      </c>
      <c r="F1073" s="68" t="str">
        <f t="shared" ref="F1073:F1084" si="406">IF(N(E1073)=0,"",(N(E1073)+N(F1072)))</f>
        <v/>
      </c>
      <c r="G1073" s="69" t="str">
        <f>IF(OR(N(D1073)=0,N(E1073)=0),"",(E1073*D1073)/1000)</f>
        <v/>
      </c>
      <c r="H1073" s="70" t="str">
        <f t="shared" ref="H1073:H1084" si="407">IF(N(G1073)=0,"",(N(G1073)+N(H1072)))</f>
        <v/>
      </c>
      <c r="I1073" s="27" t="str">
        <f>IF(N(J1073)=0,"",0&amp;"-"&amp;B$4)</f>
        <v/>
      </c>
      <c r="J1073" s="52" t="str">
        <f>IF(N(B$4)=0,"",IF(AND(COUNT(H1073:H1084)=2,COUNT(F1073:F1084)=2),cubic_spline(F1072:F1074,H1072:H1074,B$4),IF(AND(COUNT(H1073:H1084)=3,COUNT(F1073:F1084)=3),cubic_spline(F1072:F1075,H1072:H1075,B$4),IF(AND(COUNT(H1073:H1084)=4,COUNT(F1073:F1084)=4),cubic_spline(F1072:F1076,H1072:H1076,B$4),IF(AND(COUNT(H1073:H1084)=5,COUNT(F1073:F1084)=5),cubic_spline(F1072:F1077,H1072:H1077,B$4),IF(AND(COUNT(H1073:H1084)=6,COUNT(F1073:F1084)=6),cubic_spline(F1072:F1078,H1072:H1078,B$4),IF(AND(COUNT(H1073:H1084)=7,COUNT(F1073:F1084)=7),cubic_spline(F1072:F1079,H1072:H1079,B$4),IF(AND(COUNT(H1073:H1084)=8,COUNT(F1073:F1084)=8),cubic_spline(F1072:F1080,H1072:H1080,B$4),IF(AND(COUNT(H1073:H1084)=9,COUNT(F1073:F1084)=9),cubic_spline(F1072:F1081,H1072:H1081,B$4),IF(AND(COUNT(H1073:H1084)=10,COUNT(F1073:F1084)=10),cubic_spline(F1072:F1082,H1072:H1082,B$4),IF(AND(COUNT(H1073:H1084)=11,COUNT(F1073:F1084)=11),cubic_spline(F1072:F1083,H1072:H1083,B$4),IF(AND(COUNT(H1073:H1084)=12,COUNT(F1073:F1084)=12),cubic_spline(F1072:F1084,H1072:H1084,B$4),""))))))))))))</f>
        <v/>
      </c>
      <c r="K1073" s="52" t="str">
        <f>IF(N(B$4)=0,"",IF(AND(COUNT(A1073:A1084)=2,COUNT(F1073:F1084)=2),cubic_spline(F1072:F1074,A1072:A1074,B$4),IF(AND(COUNT(A1073:A1084)=3,COUNT(F1073:F1084)=3),cubic_spline(F1072:F1075,A1072:A1075,B$4),IF(AND(COUNT(A1073:A1084)=4,COUNT(F1073:F1084)=4),cubic_spline(F1072:F1076,A1072:A1076,B$4),IF(AND(COUNT(A1073:A1084)=5,COUNT(F1073:F1084)=5),cubic_spline(F1072:F1077,A1072:A1077,B$4),IF(AND(COUNT(A1073:A1084)=6,COUNT(F1073:F1084)=6),cubic_spline(F1072:F1078,A1072:A1078,B$4),IF(AND(COUNT(A1073:A1084)=7,COUNT(F1073:F1084)=7),cubic_spline(F1072:F1079,A1072:A1079,B$4),IF(AND(COUNT(A1073:A1084)=8,COUNT(F1073:F1084)=8),cubic_spline(F1072:F1080,A1072:A1080,B$4),IF(AND(COUNT(A1073:A1084)=9,COUNT(F1073:F1084)=9),cubic_spline(F1072:F1081,A1072:A1081,B$4),IF(AND(COUNT(A1073:A1084)=10,COUNT(F1073:F1084)=10),cubic_spline(F1072:F1082,A1072:A1082,B$4),IF(AND(COUNT(A1073:A1084)=11,COUNT(F1073:F1084)=11),cubic_spline(F1072:F1083,A1072:A1083,B$4),IF(AND(COUNT(A1073:A1084)=12,COUNT(F1073:F1084)=12),cubic_spline(F1072:F1084,A1072:A1084,B$4),""))))))))))))</f>
        <v/>
      </c>
      <c r="L1073" s="27" t="str">
        <f>IF(I1073="","",0&amp;"-"&amp;B$4)</f>
        <v/>
      </c>
      <c r="M1073" s="52" t="str">
        <f>IF(N(J1073)=0,"",J1073-J1072)</f>
        <v/>
      </c>
    </row>
    <row r="1074" spans="1:13" x14ac:dyDescent="0.35">
      <c r="A1074" s="48"/>
      <c r="B1074" s="48"/>
      <c r="C1074" s="49"/>
      <c r="D1074" s="50"/>
      <c r="E1074" s="51" t="str">
        <f>IF(N(C1074)=0,"",C1074/PI()/($D$1/2)^2/$D$2*10000)</f>
        <v/>
      </c>
      <c r="F1074" s="68" t="str">
        <f t="shared" si="406"/>
        <v/>
      </c>
      <c r="G1074" s="69" t="str">
        <f t="shared" ref="G1074:G1084" si="408">IF(OR(N(D1074)=0,N(E1074)=0),"",(E1074*D1074)/1000)</f>
        <v/>
      </c>
      <c r="H1074" s="70" t="str">
        <f t="shared" si="407"/>
        <v/>
      </c>
      <c r="I1074" s="27" t="str">
        <f>IF(N(J1074)=0,"",0&amp;"-"&amp;B$5)</f>
        <v/>
      </c>
      <c r="J1074" s="52" t="str">
        <f>IF(N(B$5)=0,"",IF(AND(COUNT(H1073:H1084)=2,COUNT(F1073:F1084)=2),cubic_spline(F1072:F1074,H1072:H1074,B$5),IF(AND(COUNT(H1073:H1084)=3,COUNT(F1073:F1084)=3),cubic_spline(F1072:F1075,H1072:H1075,B$5),IF(AND(COUNT(H1073:H1084)=4,COUNT(F1073:F1084)=4),cubic_spline(F1072:F1076,H1072:H1076,B$5),IF(AND(COUNT(H1073:H1084)=5,COUNT(F1073:F1084)=5),cubic_spline(F1072:F1077,H1072:H1077,B$5),IF(AND(COUNT(H1073:H1084)=6,COUNT(F1073:F1084)=6),cubic_spline(F1072:F1078,H1072:H1078,B$5),IF(AND(COUNT(H1073:H1084)=7,COUNT(F1073:F1084)=7),cubic_spline(F1072:F1079,H1072:H1079,B$5),IF(AND(COUNT(H1073:H1084)=8,COUNT(F1073:F1084)=8),cubic_spline(F1072:F1080,H1072:H1080,B$5),IF(AND(COUNT(H1073:H1084)=9,COUNT(F1073:F1084)=9),cubic_spline(F1072:F1081,H1072:H1081,B$5),IF(AND(COUNT(H1073:H1084)=10,COUNT(F1073:F1084)=10),cubic_spline(F1072:F1082,H1072:H1082,B$5),IF(AND(COUNT(H1073:H1084)=11,COUNT(F1073:F1084)=11),cubic_spline(F1072:F1083,H1072:H1083,B$5),IF(AND(COUNT(H1073:H1084)=12,COUNT(F1073:F1084)=12),cubic_spline(F1072:F1084,H1072:H1084,B$5),""))))))))))))</f>
        <v/>
      </c>
      <c r="K1074" s="52" t="str">
        <f>IF(N(B$5)=0,"",IF(AND(COUNT(A1073:A1084)=2,COUNT(F1073:F1084)=2),cubic_spline(F1072:F1074,A1072:A1074,B$5),IF(AND(COUNT(A1073:A1084)=3,COUNT(F1073:F1084)=3),cubic_spline(F1072:F1075,A1072:A1075,B$5),IF(AND(COUNT(A1073:A1084)=4,COUNT(F1073:F1084)=4),cubic_spline(F1072:F1076,A1072:A1076,B$5),IF(AND(COUNT(A1073:A1084)=5,COUNT(F1073:F1084)=5),cubic_spline(F1072:F1077,A1072:A1077,B$5),IF(AND(COUNT(A1073:A1084)=6,COUNT(F1073:F1084)=6),cubic_spline(F1072:F1078,A1072:A1078,B$5),IF(AND(COUNT(A1073:A1084)=7,COUNT(F1073:F1084)=7),cubic_spline(F1072:F1079,A1072:A1079,B$5),IF(AND(COUNT(A1073:A1084)=8,COUNT(F1073:F1084)=8),cubic_spline(F1072:F1080,A1072:A1080,B$5),IF(AND(COUNT(A1073:A1084)=9,COUNT(F1073:F1084)=9),cubic_spline(F1072:F1081,A1072:A1081,B$5),IF(AND(COUNT(A1073:A1084)=10,COUNT(F1073:F1084)=10),cubic_spline(F1072:F1082,A1072:A1082,B$5),IF(AND(COUNT(A1073:A1084)=11,COUNT(F1073:F1084)=11),cubic_spline(F1072:F1083,A1072:A1083,B$5),IF(AND(COUNT(A1073:A1084)=12,COUNT(F1073:F1084)=12),cubic_spline(F1072:F1084,A1072:A1084,B$5),""))))))))))))</f>
        <v/>
      </c>
      <c r="L1074" s="27" t="str">
        <f>IF(I1074="","",B$4&amp;"-"&amp;B$5)</f>
        <v/>
      </c>
      <c r="M1074" s="52" t="str">
        <f>IF(N(J1074)=0,"",J1074-J1073)</f>
        <v/>
      </c>
    </row>
    <row r="1075" spans="1:13" x14ac:dyDescent="0.35">
      <c r="A1075" s="48"/>
      <c r="B1075" s="48"/>
      <c r="C1075" s="49"/>
      <c r="D1075" s="50"/>
      <c r="E1075" s="51" t="str">
        <f>IF(N(C1075)=0,"",C1075/PI()/($D$1/2)^2/$D$2*10000)</f>
        <v/>
      </c>
      <c r="F1075" s="68" t="str">
        <f t="shared" si="406"/>
        <v/>
      </c>
      <c r="G1075" s="69" t="str">
        <f t="shared" si="408"/>
        <v/>
      </c>
      <c r="H1075" s="70" t="str">
        <f t="shared" si="407"/>
        <v/>
      </c>
      <c r="I1075" s="27" t="str">
        <f>IF(N(J1075)=0,"",0&amp;"-"&amp;B$6)</f>
        <v/>
      </c>
      <c r="J1075" s="52" t="str">
        <f>IF(N(B$6)=0,"",IF(AND(COUNT(H1073:H1084)=2,COUNT(F1073:F1084)=2),cubic_spline(F1072:F1074,H1072:H1074,B$6),IF(AND(COUNT(H1073:H1084)=3,COUNT(F1073:F1084)=3),cubic_spline(F1072:F1075,H1072:H1075,B$6),IF(AND(COUNT(H1073:H1084)=4,COUNT(F1073:F1084)=4),cubic_spline(F1072:F1076,H1072:H1076,B$6),IF(AND(COUNT(H1073:H1084)=5,COUNT(F1073:F1084)=5),cubic_spline(F1072:F1077,H1072:H1077,B$6),IF(AND(COUNT(H1073:H1084)=6,COUNT(F1073:F1084)=6),cubic_spline(F1072:F1078,H1072:H1078,B$6),IF(AND(COUNT(H1073:H1084)=7,COUNT(F1073:F1084)=7),cubic_spline(F1072:F1079,H1072:H1079,B$6),IF(AND(COUNT(H1073:H1084)=8,COUNT(F1073:F1084)=8),cubic_spline(F1072:F1080,H1072:H1080,B$6),IF(AND(COUNT(H1073:H1084)=9,COUNT(F1073:F1084)=9),cubic_spline(F1072:F1081,H1072:H1081,B$6),IF(AND(COUNT(H1073:H1084)=10,COUNT(F1073:F1084)=10),cubic_spline(F1072:F1082,H1072:H1082,B$6),IF(AND(COUNT(H1073:H1084)=11,COUNT(F1073:F1084)=11),cubic_spline(F1072:F1083,H1072:H1083,B$6),IF(AND(COUNT(H1073:H1084)=12,COUNT(F1073:F1084)=12),cubic_spline(F1072:F1084,H1072:H1084,B$6),""))))))))))))</f>
        <v/>
      </c>
      <c r="K1075" s="52" t="str">
        <f>IF(N(B$6)=0,"",IF(AND(COUNT(A1073:A1084)=2,COUNT(F1073:F1084)=2),cubic_spline(F1072:F1074,A1072:A1074,B$6),IF(AND(COUNT(A1073:A1084)=3,COUNT(F1073:F1084)=3),cubic_spline(F1072:F1075,A1072:A1075,B$6),IF(AND(COUNT(A1073:A1084)=4,COUNT(F1073:F1084)=4),cubic_spline(F1072:F1076,A1072:A1076,B$6),IF(AND(COUNT(A1073:A1084)=5,COUNT(F1073:F1084)=5),cubic_spline(F1072:F1077,A1072:A1077,B$6),IF(AND(COUNT(A1073:A1084)=6,COUNT(F1073:F1084)=6),cubic_spline(F1072:F1078,A1072:A1078,B$6),IF(AND(COUNT(A1073:A1084)=7,COUNT(F1073:F1084)=7),cubic_spline(F1072:F1079,A1072:A1079,B$6),IF(AND(COUNT(A1073:A1084)=8,COUNT(F1073:F1084)=8),cubic_spline(F1072:F1080,A1072:A1080,B$6),IF(AND(COUNT(A1073:A1084)=9,COUNT(F1073:F1084)=9),cubic_spline(F1072:F1081,A1072:A1081,B$6),IF(AND(COUNT(A1073:A1084)=10,COUNT(F1073:F1084)=10),cubic_spline(F1072:F1082,A1072:A1082,B$6),IF(AND(COUNT(A1073:A1084)=11,COUNT(F1073:F1084)=11),cubic_spline(F1072:F1083,A1072:A1083,B$6),IF(AND(COUNT(A1073:A1084)=12,COUNT(F1073:F1084)=12),cubic_spline(F1072:F1084,A1072:A1084,B$6),""))))))))))))</f>
        <v/>
      </c>
      <c r="L1075" s="27" t="str">
        <f>IF(I1075="","",B$5&amp;"-"&amp;B$6)</f>
        <v/>
      </c>
      <c r="M1075" s="52" t="str">
        <f>IF(N(J1075)=0,"",J1075-J1074)</f>
        <v/>
      </c>
    </row>
    <row r="1076" spans="1:13" x14ac:dyDescent="0.35">
      <c r="A1076" s="48"/>
      <c r="B1076" s="48"/>
      <c r="C1076" s="49"/>
      <c r="D1076" s="50"/>
      <c r="E1076" s="51" t="str">
        <f>IF(N(C1076)=0,"",C1076/PI()/($D$1/2)^2/$D$2*10000)</f>
        <v/>
      </c>
      <c r="F1076" s="68" t="str">
        <f t="shared" si="406"/>
        <v/>
      </c>
      <c r="G1076" s="69" t="str">
        <f t="shared" si="408"/>
        <v/>
      </c>
      <c r="H1076" s="70" t="str">
        <f t="shared" si="407"/>
        <v/>
      </c>
      <c r="I1076" s="27" t="str">
        <f>IF(N(J1076)=0,"",0&amp;"-"&amp;B$7)</f>
        <v/>
      </c>
      <c r="J1076" s="52" t="str">
        <f>IF(N(B$7)=0,"",IF(AND(COUNT(H1073:H1084)=2,COUNT(F1073:F1084)=2),cubic_spline(F1072:F1074,H1072:H1074,B$7),IF(AND(COUNT(H1073:H1084)=3,COUNT(F1073:F1084)=3),cubic_spline(F1072:F1075,H1072:H1075,B$7),IF(AND(COUNT(H1073:H1084)=4,COUNT(F1073:F1084)=4),cubic_spline(F1072:F1076,H1072:H1076,B$7),IF(AND(COUNT(H1073:H1084)=5,COUNT(F1073:F1084)=5),cubic_spline(F1072:F1077,H1072:H1077,B$7),IF(AND(COUNT(H1073:H1084)=6,COUNT(F1073:F1084)=6),cubic_spline(F1072:F1078,H1072:H1078,B$7),IF(AND(COUNT(H1073:H1084)=7,COUNT(F1073:F1084)=7),cubic_spline(F1072:F1079,H1072:H1079,B$7),IF(AND(COUNT(H1073:H1084)=8,COUNT(F1073:F1084)=8),cubic_spline(F1072:F1080,H1072:H1080,B$7),IF(AND(COUNT(H1073:H1084)=9,COUNT(F1073:F1084)=9),cubic_spline(F1072:F1081,H1072:H1081,B$7),IF(AND(COUNT(H1073:H1084)=10,COUNT(F1073:F1084)=10),cubic_spline(F1072:F1082,H1072:H1082,B$7),IF(AND(COUNT(H1073:H1084)=11,COUNT(F1073:F1084)=11),cubic_spline(F1072:F1083,H1072:H1083,B$7),IF(AND(COUNT(H1073:H1084)=12,COUNT(F1073:F1084)=12),cubic_spline(F1072:F1084,H1072:H1084,B$7),""))))))))))))</f>
        <v/>
      </c>
      <c r="K1076" s="52" t="str">
        <f>IF(N(B$7)=0,"",IF(AND(COUNT(A1073:A1084)=2,COUNT(F1073:F1084)=2),cubic_spline(F1072:F1074,A1072:A1074,B$7),IF(AND(COUNT(A1073:A1084)=3,COUNT(F1073:F1084)=3),cubic_spline(F1072:F1075,A1072:A1075,B$7),IF(AND(COUNT(A1073:A1084)=4,COUNT(F1073:F1084)=4),cubic_spline(F1072:F1076,A1072:A1076,B$7),IF(AND(COUNT(A1073:A1084)=5,COUNT(F1073:F1084)=5),cubic_spline(F1072:F1077,A1072:A1077,B$7),IF(AND(COUNT(A1073:A1084)=6,COUNT(F1073:F1084)=6),cubic_spline(F1072:F1078,A1072:A1078,B$7),IF(AND(COUNT(A1073:A1084)=7,COUNT(F1073:F1084)=7),cubic_spline(F1072:F1079,A1072:A1079,B$7),IF(AND(COUNT(A1073:A1084)=8,COUNT(F1073:F1084)=8),cubic_spline(F1072:F1080,A1072:A1080,B$7),IF(AND(COUNT(A1073:A1084)=9,COUNT(F1073:F1084)=9),cubic_spline(F1072:F1081,A1072:A1081,B$7),IF(AND(COUNT(A1073:A1084)=10,COUNT(F1073:F1084)=10),cubic_spline(F1072:F1082,A1072:A1082,B$7),IF(AND(COUNT(A1073:A1084)=11,COUNT(F1073:F1084)=11),cubic_spline(F1072:F1083,A1072:A1083,B$7),IF(AND(COUNT(A1073:A1084)=12,COUNT(F1073:F1084)=12),cubic_spline(F1072:F1084,A1072:A1084,B$7),""))))))))))))</f>
        <v/>
      </c>
      <c r="L1076" s="27" t="str">
        <f>IF(I1076="","",B$6&amp;"-"&amp;B$7)</f>
        <v/>
      </c>
      <c r="M1076" s="52" t="str">
        <f>IF(N(J1076)=0,"",J1076-J1075)</f>
        <v/>
      </c>
    </row>
    <row r="1077" spans="1:13" x14ac:dyDescent="0.35">
      <c r="A1077" s="48"/>
      <c r="B1077" s="48"/>
      <c r="C1077" s="49"/>
      <c r="D1077" s="50"/>
      <c r="E1077" s="51" t="str">
        <f t="shared" ref="E1077:E1084" si="409">IF(N(C1077)=0,"",C1077/PI()/($D$1/2)^2/$D$2*10000)</f>
        <v/>
      </c>
      <c r="F1077" s="71" t="str">
        <f t="shared" si="406"/>
        <v/>
      </c>
      <c r="G1077" s="69" t="str">
        <f t="shared" si="408"/>
        <v/>
      </c>
      <c r="H1077" s="70" t="str">
        <f t="shared" si="407"/>
        <v/>
      </c>
      <c r="I1077" s="27" t="str">
        <f>IF(N(J1077)=0,"",0&amp;"-"&amp;B$8)</f>
        <v/>
      </c>
      <c r="J1077" s="52" t="str">
        <f>IF(N(B$8)=0,"",IF(AND(COUNT(H1073:H1084)=2,COUNT(F1073:F1084)=2),cubic_spline(F1072:F1074,H1072:H1074,B$8),IF(AND(COUNT(H1073:H1084)=3,COUNT(F1073:F1084)=3),cubic_spline(F1072:F1075,H1072:H1075,B$8),IF(AND(COUNT(H1073:H1084)=4,COUNT(F1073:F1084)=4),cubic_spline(F1072:F1076,H1072:H1076,B$8),IF(AND(COUNT(H1073:H1084)=5,COUNT(F1073:F1084)=5),cubic_spline(F1072:F1077,H1072:H1077,B$8),IF(AND(COUNT(H1073:H1084)=6,COUNT(F1073:F1084)=6),cubic_spline(F1072:F1078,H1072:H1078,B$8),IF(AND(COUNT(H1073:H1084)=7,COUNT(F1073:F1084)=7),cubic_spline(F1072:F1079,H1072:H1079,B$8),IF(AND(COUNT(H1073:H1084)=8,COUNT(F1073:F1084)=8),cubic_spline(F1072:F1080,H1072:H1080,B$8),IF(AND(COUNT(H1073:H1084)=9,COUNT(F1073:F1084)=9),cubic_spline(F1072:F1081,H1072:H1081,B$8),IF(AND(COUNT(H1073:H1084)=10,COUNT(F1073:F1084)=10),cubic_spline(F1072:F1082,H1072:H1082,B$8),IF(AND(COUNT(H1073:H1084)=11,COUNT(F1073:F1084)=11),cubic_spline(F1072:F1083,H1072:H1083,B$8),IF(AND(COUNT(H1073:H1084)=12,COUNT(F1073:F1084)=12),cubic_spline(F1072:F1084,H1072:H1084,B$8),""))))))))))))</f>
        <v/>
      </c>
      <c r="K1077" s="52" t="str">
        <f>IF(N(B$8)=0,"",IF(AND(COUNT(A1073:A1084)=2,COUNT(F1073:F1084)=2),cubic_spline(F1072:F1074,A1072:A1074,B$8),IF(AND(COUNT(A1073:A1084)=3,COUNT(F1073:F1084)=3),cubic_spline(F1072:F1075,A1072:A1075,B$8),IF(AND(COUNT(A1073:A1084)=4,COUNT(F1073:F1084)=4),cubic_spline(F1072:F1076,A1072:A1076,B$8),IF(AND(COUNT(A1073:A1084)=5,COUNT(F1073:F1084)=5),cubic_spline(F1072:F1077,A1072:A1077,B$8),IF(AND(COUNT(A1073:A1084)=6,COUNT(F1073:F1084)=6),cubic_spline(F1072:F1078,A1072:A1078,B$8),IF(AND(COUNT(A1073:A1084)=7,COUNT(F1073:F1084)=7),cubic_spline(F1072:F1079,A1072:A1079,B$8),IF(AND(COUNT(A1073:A1084)=8,COUNT(F1073:F1084)=8),cubic_spline(F1072:F1080,A1072:A1080,B$8),IF(AND(COUNT(A1073:A1084)=9,COUNT(F1073:F1084)=9),cubic_spline(F1072:F1081,A1072:A1081,B$8),IF(AND(COUNT(A1073:A1084)=10,COUNT(F1073:F1084)=10),cubic_spline(F1072:F1082,A1072:A1082,B$8),IF(AND(COUNT(A1073:A1084)=11,COUNT(F1073:F1084)=11),cubic_spline(F1072:F1083,A1072:A1083,B$8),IF(AND(COUNT(A1073:A1084)=12,COUNT(F1073:F1084)=12),cubic_spline(F1072:F1084,A1072:A1084,B$8),""))))))))))))</f>
        <v/>
      </c>
      <c r="L1077" s="27" t="str">
        <f>IF(I1077="","",B$7&amp;"-"&amp;B$8)</f>
        <v/>
      </c>
      <c r="M1077" s="52" t="str">
        <f>IF(N(J1077)=0,"",J1077-J1076)</f>
        <v/>
      </c>
    </row>
    <row r="1078" spans="1:13" x14ac:dyDescent="0.35">
      <c r="A1078" s="48"/>
      <c r="B1078" s="48"/>
      <c r="C1078" s="49"/>
      <c r="D1078" s="50"/>
      <c r="E1078" s="51" t="str">
        <f t="shared" si="409"/>
        <v/>
      </c>
      <c r="F1078" s="71" t="str">
        <f t="shared" si="406"/>
        <v/>
      </c>
      <c r="G1078" s="69" t="str">
        <f t="shared" si="408"/>
        <v/>
      </c>
      <c r="H1078" s="70" t="str">
        <f t="shared" si="407"/>
        <v/>
      </c>
      <c r="I1078" s="27" t="str">
        <f>IF(N(J1078)=0,"",0&amp;"-"&amp;B$9)</f>
        <v/>
      </c>
      <c r="J1078" s="52" t="str">
        <f>IF(N(B$9)=0,"",IF(AND(COUNT(H1073:H1084)=2,COUNT(F1073:F1084)=2),cubic_spline(F1072:F1074,H1072:H1074,B$9),IF(AND(COUNT(H1073:H1084)=3,COUNT(F1073:F1084)=3),cubic_spline(F1072:F1075,H1072:H1075,B$9),IF(AND(COUNT(H1073:H1084)=4,COUNT(F1073:F1084)=4),cubic_spline(F1072:F1076,H1072:H1076,B$9),IF(AND(COUNT(H1073:H1084)=5,COUNT(F1073:F1084)=5),cubic_spline(F1072:F1077,H1072:H1077,B$9),IF(AND(COUNT(H1073:H1084)=6,COUNT(F1073:F1084)=6),cubic_spline(F1072:F1078,H1072:H1078,B$9),IF(AND(COUNT(H1073:H1084)=7,COUNT(F1073:F1084)=7),cubic_spline(F1072:F1079,H1072:H1079,B$9),IF(AND(COUNT(H1073:H1084)=8,COUNT(F1073:F1084)=8),cubic_spline(F1072:F1080,H1072:H1080,B$9),IF(AND(COUNT(H1073:H1084)=9,COUNT(F1073:F1084)=9),cubic_spline(F1072:F1081,H1072:H1081,B$9),IF(AND(COUNT(H1073:H1084)=10,COUNT(F1073:F1084)=10),cubic_spline(F1072:F1082,H1072:H1082,B$9),IF(AND(COUNT(H1073:H1084)=11,COUNT(F1073:F1084)=11),cubic_spline(F1072:F1083,H1072:H1083,B$9),IF(AND(COUNT(H1073:H1084)=12,COUNT(F1073:F1084)=12),cubic_spline(F1072:F1084,H1072:H1084,B$9),""))))))))))))</f>
        <v/>
      </c>
      <c r="K1078" s="52" t="str">
        <f>IF(N(B$9)=0,"",IF(AND(COUNT(A1073:A1084)=2,COUNT(F1073:F1084)=2),cubic_spline(F1072:F1074,A1072:A1074,B$9),IF(AND(COUNT(A1073:A1084)=3,COUNT(F1073:F1084)=3),cubic_spline(F1072:F1075,A1072:A1075,B$9),IF(AND(COUNT(A1073:A1084)=4,COUNT(F1073:F1084)=4),cubic_spline(F1072:F1076,A1072:A1076,B$9),IF(AND(COUNT(A1073:A1084)=5,COUNT(F1073:F1084)=5),cubic_spline(F1072:F1077,A1072:A1077,B$9),IF(AND(COUNT(A1073:A1084)=6,COUNT(F1073:F1084)=6),cubic_spline(F1072:F1078,A1072:A1078,B$9),IF(AND(COUNT(A1073:A1084)=7,COUNT(F1073:F1084)=7),cubic_spline(F1072:F1079,A1072:A1079,B$9),IF(AND(COUNT(A1073:A1084)=8,COUNT(F1073:F1084)=8),cubic_spline(F1072:F1080,A1072:A1080,B$9),IF(AND(COUNT(A1073:A1084)=9,COUNT(F1073:F1084)=9),cubic_spline(F1072:F1081,A1072:A1081,B$9),IF(AND(COUNT(A1073:A1084)=10,COUNT(F1073:F1084)=10),cubic_spline(F1072:F1082,A1072:A1082,B$9),IF(AND(COUNT(A1073:A1084)=11,COUNT(F1073:F1084)=11),cubic_spline(F1072:F1083,A1072:A1083,B$9),IF(AND(COUNT(A1073:A1084)=12,COUNT(F1073:F1084)=12),cubic_spline(F1072:F1084,A1072:A1084,B$9),""))))))))))))</f>
        <v/>
      </c>
      <c r="L1078" s="27" t="str">
        <f>IF(I1078="","",B$8&amp;"-"&amp;B$9)</f>
        <v/>
      </c>
      <c r="M1078" s="52" t="str">
        <f t="shared" ref="M1078:M1084" si="410">IF(N(J1078)=0,"",J1078-J1077)</f>
        <v/>
      </c>
    </row>
    <row r="1079" spans="1:13" x14ac:dyDescent="0.35">
      <c r="A1079" s="48"/>
      <c r="B1079" s="48"/>
      <c r="C1079" s="49"/>
      <c r="D1079" s="50"/>
      <c r="E1079" s="51" t="str">
        <f t="shared" si="409"/>
        <v/>
      </c>
      <c r="F1079" s="71" t="str">
        <f t="shared" si="406"/>
        <v/>
      </c>
      <c r="G1079" s="69" t="str">
        <f t="shared" si="408"/>
        <v/>
      </c>
      <c r="H1079" s="70" t="str">
        <f t="shared" si="407"/>
        <v/>
      </c>
      <c r="I1079" s="27" t="str">
        <f>IF(N(J1079)=0,"",0&amp;"-"&amp;B$10)</f>
        <v/>
      </c>
      <c r="J1079" s="52" t="str">
        <f>IF(N(B$10)=0,"",IF(AND(COUNT(H1073:H1084)=2,COUNT(F1073:F1084)=2),cubic_spline(F1072:F1074,H1072:H1074,B$10),IF(AND(COUNT(H1073:H1084)=3,COUNT(F1073:F1084)=3),cubic_spline(F1072:F1075,H1072:H1075,B$10),IF(AND(COUNT(H1073:H1084)=4,COUNT(F1073:F1084)=4),cubic_spline(F1072:F1076,H1072:H1076,B$10),IF(AND(COUNT(H1073:H1084)=5,COUNT(F1073:F1084)=5),cubic_spline(F1072:F1077,H1072:H1077,B$10),IF(AND(COUNT(H1073:H1084)=6,COUNT(F1073:F1084)=6),cubic_spline(F1072:F1078,H1072:H1078,B$10),IF(AND(COUNT(H1073:H1084)=7,COUNT(F1073:F1084)=7),cubic_spline(F1072:F1079,H1072:H1079,B$10),IF(AND(COUNT(H1073:H1084)=8,COUNT(F1073:F1084)=8),cubic_spline(F1072:F1080,H1072:H1080,B$10),IF(AND(COUNT(H1073:H1084)=9,COUNT(F1073:F1084)=9),cubic_spline(F1072:F1081,H1072:H1081,B$10),IF(AND(COUNT(H1073:H1084)=10,COUNT(F1073:F1084)=10),cubic_spline(F1072:F1082,H1072:H1082,B$10),IF(AND(COUNT(H1073:H1084)=11,COUNT(F1073:F1084)=11),cubic_spline(F1072:F1083,H1072:H1083,B$10),IF(AND(COUNT(H1073:H1084)=12,COUNT(F1073:F1084)=12),cubic_spline(F1072:F1084,H1072:H1084,B$10),""))))))))))))</f>
        <v/>
      </c>
      <c r="K1079" s="52" t="str">
        <f>IF(N(B$10)=0,"",IF(AND(COUNT(A1073:A1084)=2,COUNT(F1073:F1084)=2),cubic_spline(F1072:F1074,A1072:A1074,B$10),IF(AND(COUNT(A1073:A1084)=3,COUNT(F1073:F1084)=3),cubic_spline(F1072:F1075,A1072:A1075,B$10),IF(AND(COUNT(A1073:A1084)=4,COUNT(F1073:F1084)=4),cubic_spline(F1072:F1076,A1072:A1076,B$10),IF(AND(COUNT(A1073:A1084)=5,COUNT(F1073:F1084)=5),cubic_spline(F1072:F1077,A1072:A1077,B$10),IF(AND(COUNT(A1073:A1084)=6,COUNT(F1073:F1084)=6),cubic_spline(F1072:F1078,A1072:A1078,B$10),IF(AND(COUNT(A1073:A1084)=7,COUNT(F1073:F1084)=7),cubic_spline(F1072:F1079,A1072:A1079,B$10),IF(AND(COUNT(A1073:A1084)=8,COUNT(F1073:F1084)=8),cubic_spline(F1072:F1080,A1072:A1080,B$10),IF(AND(COUNT(A1073:A1084)=9,COUNT(F1073:F1084)=9),cubic_spline(F1072:F1081,A1072:A1081,B$10),IF(AND(COUNT(A1073:A1084)=10,COUNT(F1073:F1084)=10),cubic_spline(F1072:F1082,A1072:A1082,B$10),IF(AND(COUNT(A1073:A1084)=11,COUNT(F1073:F1084)=11),cubic_spline(F1072:F1083,A1072:A1083,B$10),IF(AND(COUNT(A1073:A1084)=12,COUNT(F1073:F1084)=12),cubic_spline(F1072:F1084,A1072:A1084,B$10),""))))))))))))</f>
        <v/>
      </c>
      <c r="L1079" s="27" t="str">
        <f>IF(I1079="","",B$9&amp;"-"&amp;B$10)</f>
        <v/>
      </c>
      <c r="M1079" s="52" t="str">
        <f t="shared" si="410"/>
        <v/>
      </c>
    </row>
    <row r="1080" spans="1:13" x14ac:dyDescent="0.35">
      <c r="A1080" s="48"/>
      <c r="B1080" s="48"/>
      <c r="C1080" s="49"/>
      <c r="D1080" s="50"/>
      <c r="E1080" s="51" t="str">
        <f t="shared" si="409"/>
        <v/>
      </c>
      <c r="F1080" s="71" t="str">
        <f t="shared" si="406"/>
        <v/>
      </c>
      <c r="G1080" s="69" t="str">
        <f t="shared" si="408"/>
        <v/>
      </c>
      <c r="H1080" s="70" t="str">
        <f t="shared" si="407"/>
        <v/>
      </c>
      <c r="I1080" s="27" t="str">
        <f>IF(N(J1080)=0,"",0&amp;"-"&amp;B$11)</f>
        <v/>
      </c>
      <c r="J1080" s="52" t="str">
        <f>IF(N(B$11)=0,"",IF(AND(COUNT(H1073:H1084)=2,COUNT(F1073:F1084)=2),cubic_spline(F1072:F1074,H1072:H1074,B$11),IF(AND(COUNT(H1073:H1084)=3,COUNT(F1073:F1084)=3),cubic_spline(F1072:F1075,H1072:H1075,B$11),IF(AND(COUNT(H1073:H1084)=4,COUNT(F1073:F1084)=4),cubic_spline(F1072:F1076,H1072:H1076,B$11),IF(AND(COUNT(H1073:H1084)=5,COUNT(F1073:F1084)=5),cubic_spline(F1072:F1077,H1072:H1077,B$11),IF(AND(COUNT(H1073:H1084)=6,COUNT(F1073:F1084)=6),cubic_spline(F1072:F1078,H1072:H1078,B$11),IF(AND(COUNT(H1073:H1084)=7,COUNT(F1073:F1084)=7),cubic_spline(F1072:F1079,H1072:H1079,B$11),IF(AND(COUNT(H1073:H1084)=8,COUNT(F1073:F1084)=8),cubic_spline(F1072:F1080,H1072:H1080,B$11),IF(AND(COUNT(H1073:H1084)=9,COUNT(F1073:F1084)=9),cubic_spline(F1072:F1081,H1072:H1081,B$11),IF(AND(COUNT(H1073:H1084)=10,COUNT(F1073:F1084)=10),cubic_spline(F1072:F1082,H1072:H1082,B$11),IF(AND(COUNT(H1073:H1084)=11,COUNT(F1073:F1084)=11),cubic_spline(F1072:F1083,H1072:H1083,B$11),IF(AND(COUNT(H1073:H1084)=12,COUNT(F1073:F1084)=12),cubic_spline(F1072:F1084,H1072:H1084,B$11),""))))))))))))</f>
        <v/>
      </c>
      <c r="K1080" s="52" t="str">
        <f>IF(N(B$11)=0,"",IF(AND(COUNT(A1073:A1084)=2,COUNT(F1073:F1084)=2),cubic_spline(F1072:F1074,A1072:A1074,B$11),IF(AND(COUNT(A1073:A1084)=3,COUNT(F1073:F1084)=3),cubic_spline(F1072:F1075,A1072:A1075,B$11),IF(AND(COUNT(A1073:A1084)=4,COUNT(F1073:F1084)=4),cubic_spline(F1072:F1076,A1072:A1076,B$11),IF(AND(COUNT(A1073:A1084)=5,COUNT(F1073:F1084)=5),cubic_spline(F1072:F1077,A1072:A1077,B$11),IF(AND(COUNT(A1073:A1084)=6,COUNT(F1073:F1084)=6),cubic_spline(F1072:F1078,A1072:A1078,B$11),IF(AND(COUNT(A1073:A1084)=7,COUNT(F1073:F1084)=7),cubic_spline(F1072:F1079,A1072:A1079,B$11),IF(AND(COUNT(A1073:A1084)=8,COUNT(F1073:F1084)=8),cubic_spline(F1072:F1080,A1072:A1080,B$11),IF(AND(COUNT(A1073:A1084)=9,COUNT(F1073:F1084)=9),cubic_spline(F1072:F1081,A1072:A1081,B$11),IF(AND(COUNT(A1073:A1084)=10,COUNT(F1073:F1084)=10),cubic_spline(F1072:F1082,A1072:A1082,B$11),IF(AND(COUNT(A1073:A1084)=11,COUNT(F1073:F1084)=11),cubic_spline(F1072:F1083,A1072:A1083,B$11),IF(AND(COUNT(A1073:A1084)=12,COUNT(F1073:F1084)=12),cubic_spline(F1072:F1084,A1072:A1084,B$11),""))))))))))))</f>
        <v/>
      </c>
      <c r="L1080" s="27" t="str">
        <f>IF(I1080="","",B$10&amp;"-"&amp;B$11)</f>
        <v/>
      </c>
      <c r="M1080" s="52" t="str">
        <f t="shared" si="410"/>
        <v/>
      </c>
    </row>
    <row r="1081" spans="1:13" x14ac:dyDescent="0.35">
      <c r="A1081" s="48"/>
      <c r="B1081" s="48"/>
      <c r="C1081" s="49"/>
      <c r="D1081" s="50"/>
      <c r="E1081" s="51" t="str">
        <f t="shared" si="409"/>
        <v/>
      </c>
      <c r="F1081" s="71" t="str">
        <f t="shared" si="406"/>
        <v/>
      </c>
      <c r="G1081" s="69" t="str">
        <f t="shared" si="408"/>
        <v/>
      </c>
      <c r="H1081" s="70" t="str">
        <f t="shared" si="407"/>
        <v/>
      </c>
      <c r="I1081" s="27" t="str">
        <f>IF(N(J1081)=0,"",0&amp;"-"&amp;B$12)</f>
        <v/>
      </c>
      <c r="J1081" s="52" t="str">
        <f>IF(N(B$12)=0,"",IF(AND(COUNT(H1073:H1084)=2,COUNT(F1073:F1084)=2),cubic_spline(F1072:F1074,H1072:H1074,B$12),IF(AND(COUNT(H1073:H1084)=3,COUNT(F1073:F1084)=3),cubic_spline(F1072:F1075,H1072:H1075,B$12),IF(AND(COUNT(H1073:H1084)=4,COUNT(F1073:F1084)=4),cubic_spline(F1072:F1076,H1072:H1076,B$12),IF(AND(COUNT(H1073:H1084)=5,COUNT(F1073:F1084)=5),cubic_spline(F1072:F1077,H1072:H1077,B$12),IF(AND(COUNT(H1073:H1084)=6,COUNT(F1073:F1084)=6),cubic_spline(F1072:F1078,H1072:H1078,B$12),IF(AND(COUNT(H1073:H1084)=7,COUNT(F1073:F1084)=7),cubic_spline(F1072:F1079,H1072:H1079,B$12),IF(AND(COUNT(H1073:H1084)=8,COUNT(F1073:F1084)=8),cubic_spline(F1072:F1080,H1072:H1080,B$12),IF(AND(COUNT(H1073:H1084)=9,COUNT(F1073:F1084)=9),cubic_spline(F1072:F1081,H1072:H1081,B$12),IF(AND(COUNT(H1073:H1084)=10,COUNT(F1073:F1084)=10),cubic_spline(F1072:F1082,H1072:H1082,B$12),IF(AND(COUNT(H1073:H1084)=11,COUNT(F1073:F1084)=11),cubic_spline(F1072:F1083,H1072:H1083,B$12),IF(AND(COUNT(H1073:H1084)=12,COUNT(F1073:F1084)=12),cubic_spline(F1072:F1084,H1072:H1084,B$12),""))))))))))))</f>
        <v/>
      </c>
      <c r="K1081" s="52" t="str">
        <f>IF(N(B$12)=0,"",IF(AND(COUNT(A1073:A1084)=2,COUNT(F1073:F1084)=2),cubic_spline(F1072:F1074,A1072:A1074,B$12),IF(AND(COUNT(A1073:A1084)=3,COUNT(F1073:F1084)=3),cubic_spline(F1072:F1075,A1072:A1075,B$12),IF(AND(COUNT(A1073:A1084)=4,COUNT(F1073:F1084)=4),cubic_spline(F1072:F1076,A1072:A1076,B$12),IF(AND(COUNT(A1073:A1084)=5,COUNT(F1073:F1084)=5),cubic_spline(F1072:F1077,A1072:A1077,B$12),IF(AND(COUNT(A1073:A1084)=6,COUNT(F1073:F1084)=6),cubic_spline(F1072:F1078,A1072:A1078,B$12),IF(AND(COUNT(A1073:A1084)=7,COUNT(F1073:F1084)=7),cubic_spline(F1072:F1079,A1072:A1079,B$12),IF(AND(COUNT(A1073:A1084)=8,COUNT(F1073:F1084)=8),cubic_spline(F1072:F1080,A1072:A1080,B$12),IF(AND(COUNT(A1073:A1084)=9,COUNT(F1073:F1084)=9),cubic_spline(F1072:F1081,A1072:A1081,B$12),IF(AND(COUNT(A1073:A1084)=10,COUNT(F1073:F1084)=10),cubic_spline(F1072:F1082,A1072:A1082,B$12),IF(AND(COUNT(A1073:A1084)=11,COUNT(F1073:F1084)=11),cubic_spline(F1072:F1083,A1072:A1083,B$12),IF(AND(COUNT(A1073:A1084)=12,COUNT(F1073:F1084)=12),cubic_spline(F1072:F1084,A1072:A1084,B$12),""))))))))))))</f>
        <v/>
      </c>
      <c r="L1081" s="27" t="str">
        <f>IF(I1081="","",B$11&amp;"-"&amp;B$12)</f>
        <v/>
      </c>
      <c r="M1081" s="52" t="str">
        <f t="shared" si="410"/>
        <v/>
      </c>
    </row>
    <row r="1082" spans="1:13" x14ac:dyDescent="0.35">
      <c r="A1082" s="48"/>
      <c r="B1082" s="48"/>
      <c r="C1082" s="49"/>
      <c r="D1082" s="50"/>
      <c r="E1082" s="51" t="str">
        <f t="shared" si="409"/>
        <v/>
      </c>
      <c r="F1082" s="71" t="str">
        <f t="shared" si="406"/>
        <v/>
      </c>
      <c r="G1082" s="69" t="str">
        <f t="shared" si="408"/>
        <v/>
      </c>
      <c r="H1082" s="70" t="str">
        <f t="shared" si="407"/>
        <v/>
      </c>
      <c r="I1082" s="27" t="str">
        <f>IF(N(J1082)=0,"",0&amp;"-"&amp;B$13)</f>
        <v/>
      </c>
      <c r="J1082" s="52" t="str">
        <f>IF(N(B$13)=0,"",IF(AND(COUNT(H1073:H1084)=2,COUNT(F1073:F1084)=2),cubic_spline(F1072:F1074,H1072:H1074,B$13),IF(AND(COUNT(H1073:H1084)=3,COUNT(F1073:F1084)=3),cubic_spline(F1072:F1075,H1072:H1075,B$13),IF(AND(COUNT(H1073:H1084)=4,COUNT(F1073:F1084)=4),cubic_spline(F1072:F1076,H1072:H1076,B$13),IF(AND(COUNT(H1073:H1084)=5,COUNT(F1073:F1084)=5),cubic_spline(F1072:F1077,H1072:H1077,B$13),IF(AND(COUNT(H1073:H1084)=6,COUNT(F1073:F1084)=6),cubic_spline(F1072:F1078,H1072:H1078,B$13),IF(AND(COUNT(H1073:H1084)=7,COUNT(F1073:F1084)=7),cubic_spline(F1072:F1079,H1072:H1079,B$13),IF(AND(COUNT(H1073:H1084)=8,COUNT(F1073:F1084)=8),cubic_spline(F1072:F1080,H1072:H1080,B$13),IF(AND(COUNT(H1073:H1084)=9,COUNT(F1073:F1084)=9),cubic_spline(F1072:F1081,H1072:H1081,B$13),IF(AND(COUNT(H1073:H1084)=10,COUNT(F1073:F1084)=10),cubic_spline(F1072:F1082,H1072:H1082,B$13),IF(AND(COUNT(H1073:H1084)=11,COUNT(F1073:F1084)=11),cubic_spline(F1072:F1083,H1072:H1083,B$13),IF(AND(COUNT(H1073:H1084)=12,COUNT(F1073:F1084)=12),cubic_spline(F1072:F1084,H1072:H1084,B$13),""))))))))))))</f>
        <v/>
      </c>
      <c r="K1082" s="52" t="str">
        <f>IF(N(B$13)=0,"",IF(AND(COUNT(A1073:A1084)=2,COUNT(F1073:F1084)=2),cubic_spline(F1072:F1074,A1072:A1074,B$13),IF(AND(COUNT(A1073:A1084)=3,COUNT(F1073:F1084)=3),cubic_spline(F1072:F1075,A1072:A1075,B$13),IF(AND(COUNT(A1073:A1084)=4,COUNT(F1073:F1084)=4),cubic_spline(F1072:F1076,A1072:A1076,B$13),IF(AND(COUNT(A1073:A1084)=5,COUNT(F1073:F1084)=5),cubic_spline(F1072:F1077,A1072:A1077,B$13),IF(AND(COUNT(A1073:A1084)=6,COUNT(F1073:F1084)=6),cubic_spline(F1072:F1078,A1072:A1078,B$13),IF(AND(COUNT(A1073:A1084)=7,COUNT(F1073:F1084)=7),cubic_spline(F1072:F1079,A1072:A1079,B$13),IF(AND(COUNT(A1073:A1084)=8,COUNT(F1073:F1084)=8),cubic_spline(F1072:F1080,A1072:A1080,B$13),IF(AND(COUNT(A1073:A1084)=9,COUNT(F1073:F1084)=9),cubic_spline(F1072:F1081,A1072:A1081,B$13),IF(AND(COUNT(A1073:A1084)=10,COUNT(F1073:F1084)=10),cubic_spline(F1072:F1082,A1072:A1082,B$13),IF(AND(COUNT(A1073:A1084)=11,COUNT(F1073:F1084)=11),cubic_spline(F1072:F1083,A1072:A1083,B$13),IF(AND(COUNT(A1073:A1084)=12,COUNT(F1073:F1084)=12),cubic_spline(F1072:F1084,A1072:A1084,B$13),""))))))))))))</f>
        <v/>
      </c>
      <c r="L1082" s="27" t="str">
        <f>IF(I1082="","",B$12&amp;"-"&amp;B$13)</f>
        <v/>
      </c>
      <c r="M1082" s="52" t="str">
        <f t="shared" si="410"/>
        <v/>
      </c>
    </row>
    <row r="1083" spans="1:13" x14ac:dyDescent="0.35">
      <c r="A1083" s="48"/>
      <c r="B1083" s="48"/>
      <c r="C1083" s="49"/>
      <c r="D1083" s="50"/>
      <c r="E1083" s="51" t="str">
        <f t="shared" si="409"/>
        <v/>
      </c>
      <c r="F1083" s="71" t="str">
        <f t="shared" si="406"/>
        <v/>
      </c>
      <c r="G1083" s="69" t="str">
        <f t="shared" si="408"/>
        <v/>
      </c>
      <c r="H1083" s="70" t="str">
        <f t="shared" si="407"/>
        <v/>
      </c>
      <c r="I1083" s="27" t="str">
        <f>IF(N(J1083)=0,"",0&amp;"-"&amp;B$14)</f>
        <v/>
      </c>
      <c r="J1083" s="52" t="str">
        <f>IF(N(B$14)=0,"",IF(AND(COUNT(H1073:H1084)=2,COUNT(F1073:F1084)=2),cubic_spline(F1072:F1074,H1072:H1074,B$14),IF(AND(COUNT(H1073:H1084)=3,COUNT(F1073:F1084)=3),cubic_spline(F1072:F1075,H1072:H1075,B$14),IF(AND(COUNT(H1073:H1084)=4,COUNT(F1073:F1084)=4),cubic_spline(F1072:F1076,H1072:H1076,B$14),IF(AND(COUNT(H1073:H1084)=5,COUNT(F1073:F1084)=5),cubic_spline(F1072:F1077,H1072:H1077,B$14),IF(AND(COUNT(H1073:H1084)=6,COUNT(F1073:F1084)=6),cubic_spline(F1072:F1078,H1072:H1078,B$14),IF(AND(COUNT(H1073:H1084)=7,COUNT(F1073:F1084)=7),cubic_spline(F1072:F1079,H1072:H1079,B$14),IF(AND(COUNT(H1073:H1084)=8,COUNT(F1073:F1084)=8),cubic_spline(F1072:F1080,H1072:H1080,B$14),IF(AND(COUNT(H1073:H1084)=9,COUNT(F1073:F1084)=9),cubic_spline(F1072:F1081,H1072:H1081,B$14),IF(AND(COUNT(H1073:H1084)=10,COUNT(F1073:F1084)=10),cubic_spline(F1072:F1082,H1072:H1082,B$14),IF(AND(COUNT(H1073:H1084)=11,COUNT(F1073:F1084)=11),cubic_spline(F1072:F1083,H1072:H1083,B$14),IF(AND(COUNT(H1073:H1084)=12,COUNT(F1073:F1084)=12),cubic_spline(F1072:F1084,H1072:H1084,B$14),""))))))))))))</f>
        <v/>
      </c>
      <c r="K1083" s="52" t="str">
        <f>IF(N(B$14)=0,"",IF(AND(COUNT(A1073:A1084)=2,COUNT(F1073:F1084)=2),cubic_spline(F1072:F1074,A1072:A1074,B$14),IF(AND(COUNT(A1073:A1084)=3,COUNT(F1073:F1084)=3),cubic_spline(F1072:F1075,A1072:A1075,B$14),IF(AND(COUNT(A1073:A1084)=4,COUNT(F1073:F1084)=4),cubic_spline(F1072:F1076,A1072:A1076,B$14),IF(AND(COUNT(A1073:A1084)=5,COUNT(F1073:F1084)=5),cubic_spline(F1072:F1077,A1072:A1077,B$14),IF(AND(COUNT(A1073:A1084)=6,COUNT(F1073:F1084)=6),cubic_spline(F1072:F1078,A1072:A1078,B$14),IF(AND(COUNT(A1073:A1084)=7,COUNT(F1073:F1084)=7),cubic_spline(F1072:F1079,A1072:A1079,B$14),IF(AND(COUNT(A1073:A1084)=8,COUNT(F1073:F1084)=8),cubic_spline(F1072:F1080,A1072:A1080,B$14),IF(AND(COUNT(A1073:A1084)=9,COUNT(F1073:F1084)=9),cubic_spline(F1072:F1081,A1072:A1081,B$14),IF(AND(COUNT(A1073:A1084)=10,COUNT(F1073:F1084)=10),cubic_spline(F1072:F1082,A1072:A1082,B$14),IF(AND(COUNT(A1073:A1084)=11,COUNT(F1073:F1084)=11),cubic_spline(F1072:F1083,A1072:A1083,B$14),IF(AND(COUNT(A1073:A1084)=12,COUNT(F1073:F1084)=12),cubic_spline(F1072:F1084,A1072:A1084,B$14),""))))))))))))</f>
        <v/>
      </c>
      <c r="L1083" s="27" t="str">
        <f>IF(I1083="","",B$13&amp;"-"&amp;B$14)</f>
        <v/>
      </c>
      <c r="M1083" s="52" t="str">
        <f t="shared" si="410"/>
        <v/>
      </c>
    </row>
    <row r="1084" spans="1:13" x14ac:dyDescent="0.35">
      <c r="A1084" s="48"/>
      <c r="B1084" s="48"/>
      <c r="C1084" s="49"/>
      <c r="D1084" s="50"/>
      <c r="E1084" s="51" t="str">
        <f t="shared" si="409"/>
        <v/>
      </c>
      <c r="F1084" s="71" t="str">
        <f t="shared" si="406"/>
        <v/>
      </c>
      <c r="G1084" s="69" t="str">
        <f t="shared" si="408"/>
        <v/>
      </c>
      <c r="H1084" s="70" t="str">
        <f t="shared" si="407"/>
        <v/>
      </c>
      <c r="I1084" s="27" t="str">
        <f>IF(N(J1084)=0,"",0&amp;"-"&amp;B$15)</f>
        <v/>
      </c>
      <c r="J1084" s="52" t="str">
        <f>IF(N(B$15)=0,"",IF(AND(COUNT(H1073:H1084)=2,COUNT(F1073:F1084)=2),cubic_spline(F1072:F1074,H1072:H1074,B$15),IF(AND(COUNT(H1073:H1084)=3,COUNT(F1073:F1084)=3),cubic_spline(F1072:F1075,H1072:H1075,B$15),IF(AND(COUNT(H1073:H1084)=4,COUNT(F1073:F1084)=4),cubic_spline(F1072:F1076,H1072:H1076,B$15),IF(AND(COUNT(H1073:H1084)=5,COUNT(F1073:F1084)=5),cubic_spline(F1072:F1077,H1072:H1077,B$15),IF(AND(COUNT(H1073:H1084)=6,COUNT(F1073:F1084)=6),cubic_spline(F1072:F1078,H1072:H1078,B$15),IF(AND(COUNT(H1073:H1084)=7,COUNT(F1073:F1084)=7),cubic_spline(F1072:F1079,H1072:H1079,B$15),IF(AND(COUNT(H1073:H1084)=8,COUNT(F1073:F1084)=8),cubic_spline(F1072:F1080,H1072:H1080,B$15),IF(AND(COUNT(H1073:H1084)=9,COUNT(F1073:F1084)=9),cubic_spline(F1072:F1081,H1072:H1081,B$15),IF(AND(COUNT(H1073:H1084)=10,COUNT(F1073:F1084)=10),cubic_spline(F1072:F1082,H1072:H1082,B$15),IF(AND(COUNT(H1073:H1084)=11,COUNT(F1073:F1084)=11),cubic_spline(F1072:F1083,H1072:H1083,B$15),IF(AND(COUNT(H1073:H1084)=12,COUNT(F1073:F1084)=12),cubic_spline(F1072:F1084,H1072:H1084,B$15),""))))))))))))</f>
        <v/>
      </c>
      <c r="K1084" s="52" t="str">
        <f>IF(N(B$15)=0,"",IF(AND(COUNT(A1073:A1084)=2,COUNT(F1073:F1084)=2),cubic_spline(F1072:F1074,A1072:A1074,B$15),IF(AND(COUNT(A1073:A1084)=3,COUNT(F1073:F1084)=3),cubic_spline(F1072:F1075,A1072:A1075,B$15),IF(AND(COUNT(A1073:A1084)=4,COUNT(F1073:F1084)=4),cubic_spline(F1072:F1076,A1072:A1076,B$15),IF(AND(COUNT(A1073:A1084)=5,COUNT(F1073:F1084)=5),cubic_spline(F1072:F1077,A1072:A1077,B$15),IF(AND(COUNT(A1073:A1084)=6,COUNT(F1073:F1084)=6),cubic_spline(F1072:F1078,A1072:A1078,B$15),IF(AND(COUNT(A1073:A1084)=7,COUNT(F1073:F1084)=7),cubic_spline(F1072:F1079,A1072:A1079,B$15),IF(AND(COUNT(A1073:A1084)=8,COUNT(F1073:F1084)=8),cubic_spline(F1072:F1080,A1072:A1080,B$15),IF(AND(COUNT(A1073:A1084)=9,COUNT(F1073:F1084)=9),cubic_spline(F1072:F1081,A1072:A1081,B$15),IF(AND(COUNT(A1073:A1084)=10,COUNT(F1073:F1084)=10),cubic_spline(F1072:F1082,A1072:A1082,B$15),IF(AND(COUNT(A1073:A1084)=11,COUNT(F1073:F1084)=11),cubic_spline(F1072:F1083,A1072:A1083,B$15),IF(AND(COUNT(A1073:A1084)=12,COUNT(F1073:F1084)=12),cubic_spline(F1072:F1084,A1072:A1084,B$15),""))))))))))))</f>
        <v/>
      </c>
      <c r="L1084" s="27" t="str">
        <f>IF(I1084="","",B$14&amp;"-"&amp;B$15)</f>
        <v/>
      </c>
      <c r="M1084" s="52" t="str">
        <f t="shared" si="410"/>
        <v/>
      </c>
    </row>
    <row r="1085" spans="1:13" ht="5.15" customHeight="1" x14ac:dyDescent="0.35">
      <c r="A1085" s="47"/>
      <c r="B1085" s="47"/>
      <c r="C1085" s="47"/>
      <c r="D1085" s="53"/>
      <c r="E1085" s="54"/>
      <c r="F1085" s="55"/>
      <c r="G1085" s="72"/>
      <c r="H1085" s="73"/>
      <c r="I1085" s="47"/>
      <c r="J1085" s="57"/>
      <c r="K1085" s="57"/>
      <c r="L1085" s="55"/>
      <c r="M1085" s="57"/>
    </row>
    <row r="1086" spans="1:13" x14ac:dyDescent="0.35">
      <c r="A1086" s="48"/>
      <c r="B1086" s="48"/>
      <c r="C1086" s="49"/>
      <c r="D1086" s="50"/>
      <c r="E1086" s="51" t="str">
        <f>IF(N(C1086)=0,"",C1086/PI()/($D$1/2)^2/$D$2*10000)</f>
        <v/>
      </c>
      <c r="F1086" s="68" t="str">
        <f t="shared" ref="F1086:F1097" si="411">IF(N(E1086)=0,"",(N(E1086)+N(F1085)))</f>
        <v/>
      </c>
      <c r="G1086" s="69" t="str">
        <f>IF(OR(N(D1086)=0,N(E1086)=0),"",(E1086*D1086)/1000)</f>
        <v/>
      </c>
      <c r="H1086" s="70" t="str">
        <f t="shared" ref="H1086:H1097" si="412">IF(N(G1086)=0,"",(N(G1086)+N(H1085)))</f>
        <v/>
      </c>
      <c r="I1086" s="27" t="str">
        <f>IF(N(J1086)=0,"",0&amp;"-"&amp;B$4)</f>
        <v/>
      </c>
      <c r="J1086" s="52" t="str">
        <f>IF(N(B$4)=0,"",IF(AND(COUNT(H1086:H1097)=2,COUNT(F1086:F1097)=2),cubic_spline(F1085:F1087,H1085:H1087,B$4),IF(AND(COUNT(H1086:H1097)=3,COUNT(F1086:F1097)=3),cubic_spline(F1085:F1088,H1085:H1088,B$4),IF(AND(COUNT(H1086:H1097)=4,COUNT(F1086:F1097)=4),cubic_spline(F1085:F1089,H1085:H1089,B$4),IF(AND(COUNT(H1086:H1097)=5,COUNT(F1086:F1097)=5),cubic_spline(F1085:F1090,H1085:H1090,B$4),IF(AND(COUNT(H1086:H1097)=6,COUNT(F1086:F1097)=6),cubic_spline(F1085:F1091,H1085:H1091,B$4),IF(AND(COUNT(H1086:H1097)=7,COUNT(F1086:F1097)=7),cubic_spline(F1085:F1092,H1085:H1092,B$4),IF(AND(COUNT(H1086:H1097)=8,COUNT(F1086:F1097)=8),cubic_spline(F1085:F1093,H1085:H1093,B$4),IF(AND(COUNT(H1086:H1097)=9,COUNT(F1086:F1097)=9),cubic_spline(F1085:F1094,H1085:H1094,B$4),IF(AND(COUNT(H1086:H1097)=10,COUNT(F1086:F1097)=10),cubic_spline(F1085:F1095,H1085:H1095,B$4),IF(AND(COUNT(H1086:H1097)=11,COUNT(F1086:F1097)=11),cubic_spline(F1085:F1096,H1085:H1096,B$4),IF(AND(COUNT(H1086:H1097)=12,COUNT(F1086:F1097)=12),cubic_spline(F1085:F1097,H1085:H1097,B$4),""))))))))))))</f>
        <v/>
      </c>
      <c r="K1086" s="52" t="str">
        <f>IF(N(B$4)=0,"",IF(AND(COUNT(A1086:A1097)=2,COUNT(F1086:F1097)=2),cubic_spline(F1085:F1087,A1085:A1087,B$4),IF(AND(COUNT(A1086:A1097)=3,COUNT(F1086:F1097)=3),cubic_spline(F1085:F1088,A1085:A1088,B$4),IF(AND(COUNT(A1086:A1097)=4,COUNT(F1086:F1097)=4),cubic_spline(F1085:F1089,A1085:A1089,B$4),IF(AND(COUNT(A1086:A1097)=5,COUNT(F1086:F1097)=5),cubic_spline(F1085:F1090,A1085:A1090,B$4),IF(AND(COUNT(A1086:A1097)=6,COUNT(F1086:F1097)=6),cubic_spline(F1085:F1091,A1085:A1091,B$4),IF(AND(COUNT(A1086:A1097)=7,COUNT(F1086:F1097)=7),cubic_spline(F1085:F1092,A1085:A1092,B$4),IF(AND(COUNT(A1086:A1097)=8,COUNT(F1086:F1097)=8),cubic_spline(F1085:F1093,A1085:A1093,B$4),IF(AND(COUNT(A1086:A1097)=9,COUNT(F1086:F1097)=9),cubic_spline(F1085:F1094,A1085:A1094,B$4),IF(AND(COUNT(A1086:A1097)=10,COUNT(F1086:F1097)=10),cubic_spline(F1085:F1095,A1085:A1095,B$4),IF(AND(COUNT(A1086:A1097)=11,COUNT(F1086:F1097)=11),cubic_spline(F1085:F1096,A1085:A1096,B$4),IF(AND(COUNT(A1086:A1097)=12,COUNT(F1086:F1097)=12),cubic_spline(F1085:F1097,A1085:A1097,B$4),""))))))))))))</f>
        <v/>
      </c>
      <c r="L1086" s="27" t="str">
        <f>IF(I1086="","",0&amp;"-"&amp;B$4)</f>
        <v/>
      </c>
      <c r="M1086" s="52" t="str">
        <f>IF(N(J1086)=0,"",J1086-J1085)</f>
        <v/>
      </c>
    </row>
    <row r="1087" spans="1:13" x14ac:dyDescent="0.35">
      <c r="A1087" s="48"/>
      <c r="B1087" s="48"/>
      <c r="C1087" s="49"/>
      <c r="D1087" s="50"/>
      <c r="E1087" s="51" t="str">
        <f>IF(N(C1087)=0,"",C1087/PI()/($D$1/2)^2/$D$2*10000)</f>
        <v/>
      </c>
      <c r="F1087" s="68" t="str">
        <f t="shared" si="411"/>
        <v/>
      </c>
      <c r="G1087" s="69" t="str">
        <f t="shared" ref="G1087:G1097" si="413">IF(OR(N(D1087)=0,N(E1087)=0),"",(E1087*D1087)/1000)</f>
        <v/>
      </c>
      <c r="H1087" s="70" t="str">
        <f t="shared" si="412"/>
        <v/>
      </c>
      <c r="I1087" s="27" t="str">
        <f>IF(N(J1087)=0,"",0&amp;"-"&amp;B$5)</f>
        <v/>
      </c>
      <c r="J1087" s="52" t="str">
        <f>IF(N(B$5)=0,"",IF(AND(COUNT(H1086:H1097)=2,COUNT(F1086:F1097)=2),cubic_spline(F1085:F1087,H1085:H1087,B$5),IF(AND(COUNT(H1086:H1097)=3,COUNT(F1086:F1097)=3),cubic_spline(F1085:F1088,H1085:H1088,B$5),IF(AND(COUNT(H1086:H1097)=4,COUNT(F1086:F1097)=4),cubic_spline(F1085:F1089,H1085:H1089,B$5),IF(AND(COUNT(H1086:H1097)=5,COUNT(F1086:F1097)=5),cubic_spline(F1085:F1090,H1085:H1090,B$5),IF(AND(COUNT(H1086:H1097)=6,COUNT(F1086:F1097)=6),cubic_spline(F1085:F1091,H1085:H1091,B$5),IF(AND(COUNT(H1086:H1097)=7,COUNT(F1086:F1097)=7),cubic_spline(F1085:F1092,H1085:H1092,B$5),IF(AND(COUNT(H1086:H1097)=8,COUNT(F1086:F1097)=8),cubic_spline(F1085:F1093,H1085:H1093,B$5),IF(AND(COUNT(H1086:H1097)=9,COUNT(F1086:F1097)=9),cubic_spline(F1085:F1094,H1085:H1094,B$5),IF(AND(COUNT(H1086:H1097)=10,COUNT(F1086:F1097)=10),cubic_spline(F1085:F1095,H1085:H1095,B$5),IF(AND(COUNT(H1086:H1097)=11,COUNT(F1086:F1097)=11),cubic_spline(F1085:F1096,H1085:H1096,B$5),IF(AND(COUNT(H1086:H1097)=12,COUNT(F1086:F1097)=12),cubic_spline(F1085:F1097,H1085:H1097,B$5),""))))))))))))</f>
        <v/>
      </c>
      <c r="K1087" s="52" t="str">
        <f>IF(N(B$5)=0,"",IF(AND(COUNT(A1086:A1097)=2,COUNT(F1086:F1097)=2),cubic_spline(F1085:F1087,A1085:A1087,B$5),IF(AND(COUNT(A1086:A1097)=3,COUNT(F1086:F1097)=3),cubic_spline(F1085:F1088,A1085:A1088,B$5),IF(AND(COUNT(A1086:A1097)=4,COUNT(F1086:F1097)=4),cubic_spline(F1085:F1089,A1085:A1089,B$5),IF(AND(COUNT(A1086:A1097)=5,COUNT(F1086:F1097)=5),cubic_spline(F1085:F1090,A1085:A1090,B$5),IF(AND(COUNT(A1086:A1097)=6,COUNT(F1086:F1097)=6),cubic_spline(F1085:F1091,A1085:A1091,B$5),IF(AND(COUNT(A1086:A1097)=7,COUNT(F1086:F1097)=7),cubic_spline(F1085:F1092,A1085:A1092,B$5),IF(AND(COUNT(A1086:A1097)=8,COUNT(F1086:F1097)=8),cubic_spline(F1085:F1093,A1085:A1093,B$5),IF(AND(COUNT(A1086:A1097)=9,COUNT(F1086:F1097)=9),cubic_spline(F1085:F1094,A1085:A1094,B$5),IF(AND(COUNT(A1086:A1097)=10,COUNT(F1086:F1097)=10),cubic_spline(F1085:F1095,A1085:A1095,B$5),IF(AND(COUNT(A1086:A1097)=11,COUNT(F1086:F1097)=11),cubic_spline(F1085:F1096,A1085:A1096,B$5),IF(AND(COUNT(A1086:A1097)=12,COUNT(F1086:F1097)=12),cubic_spline(F1085:F1097,A1085:A1097,B$5),""))))))))))))</f>
        <v/>
      </c>
      <c r="L1087" s="27" t="str">
        <f>IF(I1087="","",B$4&amp;"-"&amp;B$5)</f>
        <v/>
      </c>
      <c r="M1087" s="52" t="str">
        <f>IF(N(J1087)=0,"",J1087-J1086)</f>
        <v/>
      </c>
    </row>
    <row r="1088" spans="1:13" x14ac:dyDescent="0.35">
      <c r="A1088" s="48"/>
      <c r="B1088" s="48"/>
      <c r="C1088" s="49"/>
      <c r="D1088" s="50"/>
      <c r="E1088" s="51" t="str">
        <f>IF(N(C1088)=0,"",C1088/PI()/($D$1/2)^2/$D$2*10000)</f>
        <v/>
      </c>
      <c r="F1088" s="68" t="str">
        <f t="shared" si="411"/>
        <v/>
      </c>
      <c r="G1088" s="69" t="str">
        <f t="shared" si="413"/>
        <v/>
      </c>
      <c r="H1088" s="70" t="str">
        <f t="shared" si="412"/>
        <v/>
      </c>
      <c r="I1088" s="27" t="str">
        <f>IF(N(J1088)=0,"",0&amp;"-"&amp;B$6)</f>
        <v/>
      </c>
      <c r="J1088" s="52" t="str">
        <f>IF(N(B$6)=0,"",IF(AND(COUNT(H1086:H1097)=2,COUNT(F1086:F1097)=2),cubic_spline(F1085:F1087,H1085:H1087,B$6),IF(AND(COUNT(H1086:H1097)=3,COUNT(F1086:F1097)=3),cubic_spline(F1085:F1088,H1085:H1088,B$6),IF(AND(COUNT(H1086:H1097)=4,COUNT(F1086:F1097)=4),cubic_spline(F1085:F1089,H1085:H1089,B$6),IF(AND(COUNT(H1086:H1097)=5,COUNT(F1086:F1097)=5),cubic_spline(F1085:F1090,H1085:H1090,B$6),IF(AND(COUNT(H1086:H1097)=6,COUNT(F1086:F1097)=6),cubic_spline(F1085:F1091,H1085:H1091,B$6),IF(AND(COUNT(H1086:H1097)=7,COUNT(F1086:F1097)=7),cubic_spline(F1085:F1092,H1085:H1092,B$6),IF(AND(COUNT(H1086:H1097)=8,COUNT(F1086:F1097)=8),cubic_spline(F1085:F1093,H1085:H1093,B$6),IF(AND(COUNT(H1086:H1097)=9,COUNT(F1086:F1097)=9),cubic_spline(F1085:F1094,H1085:H1094,B$6),IF(AND(COUNT(H1086:H1097)=10,COUNT(F1086:F1097)=10),cubic_spline(F1085:F1095,H1085:H1095,B$6),IF(AND(COUNT(H1086:H1097)=11,COUNT(F1086:F1097)=11),cubic_spline(F1085:F1096,H1085:H1096,B$6),IF(AND(COUNT(H1086:H1097)=12,COUNT(F1086:F1097)=12),cubic_spline(F1085:F1097,H1085:H1097,B$6),""))))))))))))</f>
        <v/>
      </c>
      <c r="K1088" s="52" t="str">
        <f>IF(N(B$6)=0,"",IF(AND(COUNT(A1086:A1097)=2,COUNT(F1086:F1097)=2),cubic_spline(F1085:F1087,A1085:A1087,B$6),IF(AND(COUNT(A1086:A1097)=3,COUNT(F1086:F1097)=3),cubic_spline(F1085:F1088,A1085:A1088,B$6),IF(AND(COUNT(A1086:A1097)=4,COUNT(F1086:F1097)=4),cubic_spline(F1085:F1089,A1085:A1089,B$6),IF(AND(COUNT(A1086:A1097)=5,COUNT(F1086:F1097)=5),cubic_spline(F1085:F1090,A1085:A1090,B$6),IF(AND(COUNT(A1086:A1097)=6,COUNT(F1086:F1097)=6),cubic_spline(F1085:F1091,A1085:A1091,B$6),IF(AND(COUNT(A1086:A1097)=7,COUNT(F1086:F1097)=7),cubic_spline(F1085:F1092,A1085:A1092,B$6),IF(AND(COUNT(A1086:A1097)=8,COUNT(F1086:F1097)=8),cubic_spline(F1085:F1093,A1085:A1093,B$6),IF(AND(COUNT(A1086:A1097)=9,COUNT(F1086:F1097)=9),cubic_spline(F1085:F1094,A1085:A1094,B$6),IF(AND(COUNT(A1086:A1097)=10,COUNT(F1086:F1097)=10),cubic_spline(F1085:F1095,A1085:A1095,B$6),IF(AND(COUNT(A1086:A1097)=11,COUNT(F1086:F1097)=11),cubic_spline(F1085:F1096,A1085:A1096,B$6),IF(AND(COUNT(A1086:A1097)=12,COUNT(F1086:F1097)=12),cubic_spline(F1085:F1097,A1085:A1097,B$6),""))))))))))))</f>
        <v/>
      </c>
      <c r="L1088" s="27" t="str">
        <f>IF(I1088="","",B$5&amp;"-"&amp;B$6)</f>
        <v/>
      </c>
      <c r="M1088" s="52" t="str">
        <f>IF(N(J1088)=0,"",J1088-J1087)</f>
        <v/>
      </c>
    </row>
    <row r="1089" spans="1:13" x14ac:dyDescent="0.35">
      <c r="A1089" s="48"/>
      <c r="B1089" s="48"/>
      <c r="C1089" s="49"/>
      <c r="D1089" s="50"/>
      <c r="E1089" s="51" t="str">
        <f>IF(N(C1089)=0,"",C1089/PI()/($D$1/2)^2/$D$2*10000)</f>
        <v/>
      </c>
      <c r="F1089" s="68" t="str">
        <f t="shared" si="411"/>
        <v/>
      </c>
      <c r="G1089" s="69" t="str">
        <f t="shared" si="413"/>
        <v/>
      </c>
      <c r="H1089" s="70" t="str">
        <f t="shared" si="412"/>
        <v/>
      </c>
      <c r="I1089" s="27" t="str">
        <f>IF(N(J1089)=0,"",0&amp;"-"&amp;B$7)</f>
        <v/>
      </c>
      <c r="J1089" s="52" t="str">
        <f>IF(N(B$7)=0,"",IF(AND(COUNT(H1086:H1097)=2,COUNT(F1086:F1097)=2),cubic_spline(F1085:F1087,H1085:H1087,B$7),IF(AND(COUNT(H1086:H1097)=3,COUNT(F1086:F1097)=3),cubic_spline(F1085:F1088,H1085:H1088,B$7),IF(AND(COUNT(H1086:H1097)=4,COUNT(F1086:F1097)=4),cubic_spline(F1085:F1089,H1085:H1089,B$7),IF(AND(COUNT(H1086:H1097)=5,COUNT(F1086:F1097)=5),cubic_spline(F1085:F1090,H1085:H1090,B$7),IF(AND(COUNT(H1086:H1097)=6,COUNT(F1086:F1097)=6),cubic_spline(F1085:F1091,H1085:H1091,B$7),IF(AND(COUNT(H1086:H1097)=7,COUNT(F1086:F1097)=7),cubic_spline(F1085:F1092,H1085:H1092,B$7),IF(AND(COUNT(H1086:H1097)=8,COUNT(F1086:F1097)=8),cubic_spline(F1085:F1093,H1085:H1093,B$7),IF(AND(COUNT(H1086:H1097)=9,COUNT(F1086:F1097)=9),cubic_spline(F1085:F1094,H1085:H1094,B$7),IF(AND(COUNT(H1086:H1097)=10,COUNT(F1086:F1097)=10),cubic_spline(F1085:F1095,H1085:H1095,B$7),IF(AND(COUNT(H1086:H1097)=11,COUNT(F1086:F1097)=11),cubic_spline(F1085:F1096,H1085:H1096,B$7),IF(AND(COUNT(H1086:H1097)=12,COUNT(F1086:F1097)=12),cubic_spline(F1085:F1097,H1085:H1097,B$7),""))))))))))))</f>
        <v/>
      </c>
      <c r="K1089" s="52" t="str">
        <f>IF(N(B$7)=0,"",IF(AND(COUNT(A1086:A1097)=2,COUNT(F1086:F1097)=2),cubic_spline(F1085:F1087,A1085:A1087,B$7),IF(AND(COUNT(A1086:A1097)=3,COUNT(F1086:F1097)=3),cubic_spline(F1085:F1088,A1085:A1088,B$7),IF(AND(COUNT(A1086:A1097)=4,COUNT(F1086:F1097)=4),cubic_spline(F1085:F1089,A1085:A1089,B$7),IF(AND(COUNT(A1086:A1097)=5,COUNT(F1086:F1097)=5),cubic_spline(F1085:F1090,A1085:A1090,B$7),IF(AND(COUNT(A1086:A1097)=6,COUNT(F1086:F1097)=6),cubic_spline(F1085:F1091,A1085:A1091,B$7),IF(AND(COUNT(A1086:A1097)=7,COUNT(F1086:F1097)=7),cubic_spline(F1085:F1092,A1085:A1092,B$7),IF(AND(COUNT(A1086:A1097)=8,COUNT(F1086:F1097)=8),cubic_spline(F1085:F1093,A1085:A1093,B$7),IF(AND(COUNT(A1086:A1097)=9,COUNT(F1086:F1097)=9),cubic_spline(F1085:F1094,A1085:A1094,B$7),IF(AND(COUNT(A1086:A1097)=10,COUNT(F1086:F1097)=10),cubic_spline(F1085:F1095,A1085:A1095,B$7),IF(AND(COUNT(A1086:A1097)=11,COUNT(F1086:F1097)=11),cubic_spline(F1085:F1096,A1085:A1096,B$7),IF(AND(COUNT(A1086:A1097)=12,COUNT(F1086:F1097)=12),cubic_spline(F1085:F1097,A1085:A1097,B$7),""))))))))))))</f>
        <v/>
      </c>
      <c r="L1089" s="27" t="str">
        <f>IF(I1089="","",B$6&amp;"-"&amp;B$7)</f>
        <v/>
      </c>
      <c r="M1089" s="52" t="str">
        <f>IF(N(J1089)=0,"",J1089-J1088)</f>
        <v/>
      </c>
    </row>
    <row r="1090" spans="1:13" x14ac:dyDescent="0.35">
      <c r="A1090" s="48"/>
      <c r="B1090" s="48"/>
      <c r="C1090" s="49"/>
      <c r="D1090" s="50"/>
      <c r="E1090" s="51" t="str">
        <f t="shared" ref="E1090:E1097" si="414">IF(N(C1090)=0,"",C1090/PI()/($D$1/2)^2/$D$2*10000)</f>
        <v/>
      </c>
      <c r="F1090" s="71" t="str">
        <f t="shared" si="411"/>
        <v/>
      </c>
      <c r="G1090" s="69" t="str">
        <f t="shared" si="413"/>
        <v/>
      </c>
      <c r="H1090" s="70" t="str">
        <f t="shared" si="412"/>
        <v/>
      </c>
      <c r="I1090" s="27" t="str">
        <f>IF(N(J1090)=0,"",0&amp;"-"&amp;B$8)</f>
        <v/>
      </c>
      <c r="J1090" s="52" t="str">
        <f>IF(N(B$8)=0,"",IF(AND(COUNT(H1086:H1097)=2,COUNT(F1086:F1097)=2),cubic_spline(F1085:F1087,H1085:H1087,B$8),IF(AND(COUNT(H1086:H1097)=3,COUNT(F1086:F1097)=3),cubic_spline(F1085:F1088,H1085:H1088,B$8),IF(AND(COUNT(H1086:H1097)=4,COUNT(F1086:F1097)=4),cubic_spline(F1085:F1089,H1085:H1089,B$8),IF(AND(COUNT(H1086:H1097)=5,COUNT(F1086:F1097)=5),cubic_spline(F1085:F1090,H1085:H1090,B$8),IF(AND(COUNT(H1086:H1097)=6,COUNT(F1086:F1097)=6),cubic_spline(F1085:F1091,H1085:H1091,B$8),IF(AND(COUNT(H1086:H1097)=7,COUNT(F1086:F1097)=7),cubic_spline(F1085:F1092,H1085:H1092,B$8),IF(AND(COUNT(H1086:H1097)=8,COUNT(F1086:F1097)=8),cubic_spline(F1085:F1093,H1085:H1093,B$8),IF(AND(COUNT(H1086:H1097)=9,COUNT(F1086:F1097)=9),cubic_spline(F1085:F1094,H1085:H1094,B$8),IF(AND(COUNT(H1086:H1097)=10,COUNT(F1086:F1097)=10),cubic_spline(F1085:F1095,H1085:H1095,B$8),IF(AND(COUNT(H1086:H1097)=11,COUNT(F1086:F1097)=11),cubic_spline(F1085:F1096,H1085:H1096,B$8),IF(AND(COUNT(H1086:H1097)=12,COUNT(F1086:F1097)=12),cubic_spline(F1085:F1097,H1085:H1097,B$8),""))))))))))))</f>
        <v/>
      </c>
      <c r="K1090" s="52" t="str">
        <f>IF(N(B$8)=0,"",IF(AND(COUNT(A1086:A1097)=2,COUNT(F1086:F1097)=2),cubic_spline(F1085:F1087,A1085:A1087,B$8),IF(AND(COUNT(A1086:A1097)=3,COUNT(F1086:F1097)=3),cubic_spline(F1085:F1088,A1085:A1088,B$8),IF(AND(COUNT(A1086:A1097)=4,COUNT(F1086:F1097)=4),cubic_spline(F1085:F1089,A1085:A1089,B$8),IF(AND(COUNT(A1086:A1097)=5,COUNT(F1086:F1097)=5),cubic_spline(F1085:F1090,A1085:A1090,B$8),IF(AND(COUNT(A1086:A1097)=6,COUNT(F1086:F1097)=6),cubic_spline(F1085:F1091,A1085:A1091,B$8),IF(AND(COUNT(A1086:A1097)=7,COUNT(F1086:F1097)=7),cubic_spline(F1085:F1092,A1085:A1092,B$8),IF(AND(COUNT(A1086:A1097)=8,COUNT(F1086:F1097)=8),cubic_spline(F1085:F1093,A1085:A1093,B$8),IF(AND(COUNT(A1086:A1097)=9,COUNT(F1086:F1097)=9),cubic_spline(F1085:F1094,A1085:A1094,B$8),IF(AND(COUNT(A1086:A1097)=10,COUNT(F1086:F1097)=10),cubic_spline(F1085:F1095,A1085:A1095,B$8),IF(AND(COUNT(A1086:A1097)=11,COUNT(F1086:F1097)=11),cubic_spline(F1085:F1096,A1085:A1096,B$8),IF(AND(COUNT(A1086:A1097)=12,COUNT(F1086:F1097)=12),cubic_spline(F1085:F1097,A1085:A1097,B$8),""))))))))))))</f>
        <v/>
      </c>
      <c r="L1090" s="27" t="str">
        <f>IF(I1090="","",B$7&amp;"-"&amp;B$8)</f>
        <v/>
      </c>
      <c r="M1090" s="52" t="str">
        <f>IF(N(J1090)=0,"",J1090-J1089)</f>
        <v/>
      </c>
    </row>
    <row r="1091" spans="1:13" x14ac:dyDescent="0.35">
      <c r="A1091" s="48"/>
      <c r="B1091" s="48"/>
      <c r="C1091" s="49"/>
      <c r="D1091" s="50"/>
      <c r="E1091" s="51" t="str">
        <f t="shared" si="414"/>
        <v/>
      </c>
      <c r="F1091" s="71" t="str">
        <f t="shared" si="411"/>
        <v/>
      </c>
      <c r="G1091" s="69" t="str">
        <f t="shared" si="413"/>
        <v/>
      </c>
      <c r="H1091" s="70" t="str">
        <f t="shared" si="412"/>
        <v/>
      </c>
      <c r="I1091" s="27" t="str">
        <f>IF(N(J1091)=0,"",0&amp;"-"&amp;B$9)</f>
        <v/>
      </c>
      <c r="J1091" s="52" t="str">
        <f>IF(N(B$9)=0,"",IF(AND(COUNT(H1086:H1097)=2,COUNT(F1086:F1097)=2),cubic_spline(F1085:F1087,H1085:H1087,B$9),IF(AND(COUNT(H1086:H1097)=3,COUNT(F1086:F1097)=3),cubic_spline(F1085:F1088,H1085:H1088,B$9),IF(AND(COUNT(H1086:H1097)=4,COUNT(F1086:F1097)=4),cubic_spline(F1085:F1089,H1085:H1089,B$9),IF(AND(COUNT(H1086:H1097)=5,COUNT(F1086:F1097)=5),cubic_spline(F1085:F1090,H1085:H1090,B$9),IF(AND(COUNT(H1086:H1097)=6,COUNT(F1086:F1097)=6),cubic_spline(F1085:F1091,H1085:H1091,B$9),IF(AND(COUNT(H1086:H1097)=7,COUNT(F1086:F1097)=7),cubic_spline(F1085:F1092,H1085:H1092,B$9),IF(AND(COUNT(H1086:H1097)=8,COUNT(F1086:F1097)=8),cubic_spline(F1085:F1093,H1085:H1093,B$9),IF(AND(COUNT(H1086:H1097)=9,COUNT(F1086:F1097)=9),cubic_spline(F1085:F1094,H1085:H1094,B$9),IF(AND(COUNT(H1086:H1097)=10,COUNT(F1086:F1097)=10),cubic_spline(F1085:F1095,H1085:H1095,B$9),IF(AND(COUNT(H1086:H1097)=11,COUNT(F1086:F1097)=11),cubic_spline(F1085:F1096,H1085:H1096,B$9),IF(AND(COUNT(H1086:H1097)=12,COUNT(F1086:F1097)=12),cubic_spline(F1085:F1097,H1085:H1097,B$9),""))))))))))))</f>
        <v/>
      </c>
      <c r="K1091" s="52" t="str">
        <f>IF(N(B$9)=0,"",IF(AND(COUNT(A1086:A1097)=2,COUNT(F1086:F1097)=2),cubic_spline(F1085:F1087,A1085:A1087,B$9),IF(AND(COUNT(A1086:A1097)=3,COUNT(F1086:F1097)=3),cubic_spline(F1085:F1088,A1085:A1088,B$9),IF(AND(COUNT(A1086:A1097)=4,COUNT(F1086:F1097)=4),cubic_spline(F1085:F1089,A1085:A1089,B$9),IF(AND(COUNT(A1086:A1097)=5,COUNT(F1086:F1097)=5),cubic_spline(F1085:F1090,A1085:A1090,B$9),IF(AND(COUNT(A1086:A1097)=6,COUNT(F1086:F1097)=6),cubic_spline(F1085:F1091,A1085:A1091,B$9),IF(AND(COUNT(A1086:A1097)=7,COUNT(F1086:F1097)=7),cubic_spline(F1085:F1092,A1085:A1092,B$9),IF(AND(COUNT(A1086:A1097)=8,COUNT(F1086:F1097)=8),cubic_spline(F1085:F1093,A1085:A1093,B$9),IF(AND(COUNT(A1086:A1097)=9,COUNT(F1086:F1097)=9),cubic_spline(F1085:F1094,A1085:A1094,B$9),IF(AND(COUNT(A1086:A1097)=10,COUNT(F1086:F1097)=10),cubic_spline(F1085:F1095,A1085:A1095,B$9),IF(AND(COUNT(A1086:A1097)=11,COUNT(F1086:F1097)=11),cubic_spline(F1085:F1096,A1085:A1096,B$9),IF(AND(COUNT(A1086:A1097)=12,COUNT(F1086:F1097)=12),cubic_spline(F1085:F1097,A1085:A1097,B$9),""))))))))))))</f>
        <v/>
      </c>
      <c r="L1091" s="27" t="str">
        <f>IF(I1091="","",B$8&amp;"-"&amp;B$9)</f>
        <v/>
      </c>
      <c r="M1091" s="52" t="str">
        <f t="shared" ref="M1091:M1097" si="415">IF(N(J1091)=0,"",J1091-J1090)</f>
        <v/>
      </c>
    </row>
    <row r="1092" spans="1:13" x14ac:dyDescent="0.35">
      <c r="A1092" s="48"/>
      <c r="B1092" s="48"/>
      <c r="C1092" s="49"/>
      <c r="D1092" s="50"/>
      <c r="E1092" s="51" t="str">
        <f t="shared" si="414"/>
        <v/>
      </c>
      <c r="F1092" s="71" t="str">
        <f t="shared" si="411"/>
        <v/>
      </c>
      <c r="G1092" s="69" t="str">
        <f t="shared" si="413"/>
        <v/>
      </c>
      <c r="H1092" s="70" t="str">
        <f t="shared" si="412"/>
        <v/>
      </c>
      <c r="I1092" s="27" t="str">
        <f>IF(N(J1092)=0,"",0&amp;"-"&amp;B$10)</f>
        <v/>
      </c>
      <c r="J1092" s="52" t="str">
        <f>IF(N(B$10)=0,"",IF(AND(COUNT(H1086:H1097)=2,COUNT(F1086:F1097)=2),cubic_spline(F1085:F1087,H1085:H1087,B$10),IF(AND(COUNT(H1086:H1097)=3,COUNT(F1086:F1097)=3),cubic_spline(F1085:F1088,H1085:H1088,B$10),IF(AND(COUNT(H1086:H1097)=4,COUNT(F1086:F1097)=4),cubic_spline(F1085:F1089,H1085:H1089,B$10),IF(AND(COUNT(H1086:H1097)=5,COUNT(F1086:F1097)=5),cubic_spline(F1085:F1090,H1085:H1090,B$10),IF(AND(COUNT(H1086:H1097)=6,COUNT(F1086:F1097)=6),cubic_spline(F1085:F1091,H1085:H1091,B$10),IF(AND(COUNT(H1086:H1097)=7,COUNT(F1086:F1097)=7),cubic_spline(F1085:F1092,H1085:H1092,B$10),IF(AND(COUNT(H1086:H1097)=8,COUNT(F1086:F1097)=8),cubic_spline(F1085:F1093,H1085:H1093,B$10),IF(AND(COUNT(H1086:H1097)=9,COUNT(F1086:F1097)=9),cubic_spline(F1085:F1094,H1085:H1094,B$10),IF(AND(COUNT(H1086:H1097)=10,COUNT(F1086:F1097)=10),cubic_spline(F1085:F1095,H1085:H1095,B$10),IF(AND(COUNT(H1086:H1097)=11,COUNT(F1086:F1097)=11),cubic_spline(F1085:F1096,H1085:H1096,B$10),IF(AND(COUNT(H1086:H1097)=12,COUNT(F1086:F1097)=12),cubic_spline(F1085:F1097,H1085:H1097,B$10),""))))))))))))</f>
        <v/>
      </c>
      <c r="K1092" s="52" t="str">
        <f>IF(N(B$10)=0,"",IF(AND(COUNT(A1086:A1097)=2,COUNT(F1086:F1097)=2),cubic_spline(F1085:F1087,A1085:A1087,B$10),IF(AND(COUNT(A1086:A1097)=3,COUNT(F1086:F1097)=3),cubic_spline(F1085:F1088,A1085:A1088,B$10),IF(AND(COUNT(A1086:A1097)=4,COUNT(F1086:F1097)=4),cubic_spline(F1085:F1089,A1085:A1089,B$10),IF(AND(COUNT(A1086:A1097)=5,COUNT(F1086:F1097)=5),cubic_spline(F1085:F1090,A1085:A1090,B$10),IF(AND(COUNT(A1086:A1097)=6,COUNT(F1086:F1097)=6),cubic_spline(F1085:F1091,A1085:A1091,B$10),IF(AND(COUNT(A1086:A1097)=7,COUNT(F1086:F1097)=7),cubic_spline(F1085:F1092,A1085:A1092,B$10),IF(AND(COUNT(A1086:A1097)=8,COUNT(F1086:F1097)=8),cubic_spline(F1085:F1093,A1085:A1093,B$10),IF(AND(COUNT(A1086:A1097)=9,COUNT(F1086:F1097)=9),cubic_spline(F1085:F1094,A1085:A1094,B$10),IF(AND(COUNT(A1086:A1097)=10,COUNT(F1086:F1097)=10),cubic_spline(F1085:F1095,A1085:A1095,B$10),IF(AND(COUNT(A1086:A1097)=11,COUNT(F1086:F1097)=11),cubic_spline(F1085:F1096,A1085:A1096,B$10),IF(AND(COUNT(A1086:A1097)=12,COUNT(F1086:F1097)=12),cubic_spline(F1085:F1097,A1085:A1097,B$10),""))))))))))))</f>
        <v/>
      </c>
      <c r="L1092" s="27" t="str">
        <f>IF(I1092="","",B$9&amp;"-"&amp;B$10)</f>
        <v/>
      </c>
      <c r="M1092" s="52" t="str">
        <f t="shared" si="415"/>
        <v/>
      </c>
    </row>
    <row r="1093" spans="1:13" x14ac:dyDescent="0.35">
      <c r="A1093" s="48"/>
      <c r="B1093" s="48"/>
      <c r="C1093" s="49"/>
      <c r="D1093" s="50"/>
      <c r="E1093" s="51" t="str">
        <f t="shared" si="414"/>
        <v/>
      </c>
      <c r="F1093" s="71" t="str">
        <f t="shared" si="411"/>
        <v/>
      </c>
      <c r="G1093" s="69" t="str">
        <f t="shared" si="413"/>
        <v/>
      </c>
      <c r="H1093" s="70" t="str">
        <f t="shared" si="412"/>
        <v/>
      </c>
      <c r="I1093" s="27" t="str">
        <f>IF(N(J1093)=0,"",0&amp;"-"&amp;B$11)</f>
        <v/>
      </c>
      <c r="J1093" s="52" t="str">
        <f>IF(N(B$11)=0,"",IF(AND(COUNT(H1086:H1097)=2,COUNT(F1086:F1097)=2),cubic_spline(F1085:F1087,H1085:H1087,B$11),IF(AND(COUNT(H1086:H1097)=3,COUNT(F1086:F1097)=3),cubic_spline(F1085:F1088,H1085:H1088,B$11),IF(AND(COUNT(H1086:H1097)=4,COUNT(F1086:F1097)=4),cubic_spline(F1085:F1089,H1085:H1089,B$11),IF(AND(COUNT(H1086:H1097)=5,COUNT(F1086:F1097)=5),cubic_spline(F1085:F1090,H1085:H1090,B$11),IF(AND(COUNT(H1086:H1097)=6,COUNT(F1086:F1097)=6),cubic_spline(F1085:F1091,H1085:H1091,B$11),IF(AND(COUNT(H1086:H1097)=7,COUNT(F1086:F1097)=7),cubic_spline(F1085:F1092,H1085:H1092,B$11),IF(AND(COUNT(H1086:H1097)=8,COUNT(F1086:F1097)=8),cubic_spline(F1085:F1093,H1085:H1093,B$11),IF(AND(COUNT(H1086:H1097)=9,COUNT(F1086:F1097)=9),cubic_spline(F1085:F1094,H1085:H1094,B$11),IF(AND(COUNT(H1086:H1097)=10,COUNT(F1086:F1097)=10),cubic_spline(F1085:F1095,H1085:H1095,B$11),IF(AND(COUNT(H1086:H1097)=11,COUNT(F1086:F1097)=11),cubic_spline(F1085:F1096,H1085:H1096,B$11),IF(AND(COUNT(H1086:H1097)=12,COUNT(F1086:F1097)=12),cubic_spline(F1085:F1097,H1085:H1097,B$11),""))))))))))))</f>
        <v/>
      </c>
      <c r="K1093" s="52" t="str">
        <f>IF(N(B$11)=0,"",IF(AND(COUNT(A1086:A1097)=2,COUNT(F1086:F1097)=2),cubic_spline(F1085:F1087,A1085:A1087,B$11),IF(AND(COUNT(A1086:A1097)=3,COUNT(F1086:F1097)=3),cubic_spline(F1085:F1088,A1085:A1088,B$11),IF(AND(COUNT(A1086:A1097)=4,COUNT(F1086:F1097)=4),cubic_spline(F1085:F1089,A1085:A1089,B$11),IF(AND(COUNT(A1086:A1097)=5,COUNT(F1086:F1097)=5),cubic_spline(F1085:F1090,A1085:A1090,B$11),IF(AND(COUNT(A1086:A1097)=6,COUNT(F1086:F1097)=6),cubic_spline(F1085:F1091,A1085:A1091,B$11),IF(AND(COUNT(A1086:A1097)=7,COUNT(F1086:F1097)=7),cubic_spline(F1085:F1092,A1085:A1092,B$11),IF(AND(COUNT(A1086:A1097)=8,COUNT(F1086:F1097)=8),cubic_spline(F1085:F1093,A1085:A1093,B$11),IF(AND(COUNT(A1086:A1097)=9,COUNT(F1086:F1097)=9),cubic_spline(F1085:F1094,A1085:A1094,B$11),IF(AND(COUNT(A1086:A1097)=10,COUNT(F1086:F1097)=10),cubic_spline(F1085:F1095,A1085:A1095,B$11),IF(AND(COUNT(A1086:A1097)=11,COUNT(F1086:F1097)=11),cubic_spline(F1085:F1096,A1085:A1096,B$11),IF(AND(COUNT(A1086:A1097)=12,COUNT(F1086:F1097)=12),cubic_spline(F1085:F1097,A1085:A1097,B$11),""))))))))))))</f>
        <v/>
      </c>
      <c r="L1093" s="27" t="str">
        <f>IF(I1093="","",B$10&amp;"-"&amp;B$11)</f>
        <v/>
      </c>
      <c r="M1093" s="52" t="str">
        <f t="shared" si="415"/>
        <v/>
      </c>
    </row>
    <row r="1094" spans="1:13" x14ac:dyDescent="0.35">
      <c r="A1094" s="48"/>
      <c r="B1094" s="48"/>
      <c r="C1094" s="49"/>
      <c r="D1094" s="50"/>
      <c r="E1094" s="51" t="str">
        <f t="shared" si="414"/>
        <v/>
      </c>
      <c r="F1094" s="71" t="str">
        <f t="shared" si="411"/>
        <v/>
      </c>
      <c r="G1094" s="69" t="str">
        <f t="shared" si="413"/>
        <v/>
      </c>
      <c r="H1094" s="70" t="str">
        <f t="shared" si="412"/>
        <v/>
      </c>
      <c r="I1094" s="27" t="str">
        <f>IF(N(J1094)=0,"",0&amp;"-"&amp;B$12)</f>
        <v/>
      </c>
      <c r="J1094" s="52" t="str">
        <f>IF(N(B$12)=0,"",IF(AND(COUNT(H1086:H1097)=2,COUNT(F1086:F1097)=2),cubic_spline(F1085:F1087,H1085:H1087,B$12),IF(AND(COUNT(H1086:H1097)=3,COUNT(F1086:F1097)=3),cubic_spline(F1085:F1088,H1085:H1088,B$12),IF(AND(COUNT(H1086:H1097)=4,COUNT(F1086:F1097)=4),cubic_spline(F1085:F1089,H1085:H1089,B$12),IF(AND(COUNT(H1086:H1097)=5,COUNT(F1086:F1097)=5),cubic_spline(F1085:F1090,H1085:H1090,B$12),IF(AND(COUNT(H1086:H1097)=6,COUNT(F1086:F1097)=6),cubic_spline(F1085:F1091,H1085:H1091,B$12),IF(AND(COUNT(H1086:H1097)=7,COUNT(F1086:F1097)=7),cubic_spline(F1085:F1092,H1085:H1092,B$12),IF(AND(COUNT(H1086:H1097)=8,COUNT(F1086:F1097)=8),cubic_spline(F1085:F1093,H1085:H1093,B$12),IF(AND(COUNT(H1086:H1097)=9,COUNT(F1086:F1097)=9),cubic_spline(F1085:F1094,H1085:H1094,B$12),IF(AND(COUNT(H1086:H1097)=10,COUNT(F1086:F1097)=10),cubic_spline(F1085:F1095,H1085:H1095,B$12),IF(AND(COUNT(H1086:H1097)=11,COUNT(F1086:F1097)=11),cubic_spline(F1085:F1096,H1085:H1096,B$12),IF(AND(COUNT(H1086:H1097)=12,COUNT(F1086:F1097)=12),cubic_spline(F1085:F1097,H1085:H1097,B$12),""))))))))))))</f>
        <v/>
      </c>
      <c r="K1094" s="52" t="str">
        <f>IF(N(B$12)=0,"",IF(AND(COUNT(A1086:A1097)=2,COUNT(F1086:F1097)=2),cubic_spline(F1085:F1087,A1085:A1087,B$12),IF(AND(COUNT(A1086:A1097)=3,COUNT(F1086:F1097)=3),cubic_spline(F1085:F1088,A1085:A1088,B$12),IF(AND(COUNT(A1086:A1097)=4,COUNT(F1086:F1097)=4),cubic_spline(F1085:F1089,A1085:A1089,B$12),IF(AND(COUNT(A1086:A1097)=5,COUNT(F1086:F1097)=5),cubic_spline(F1085:F1090,A1085:A1090,B$12),IF(AND(COUNT(A1086:A1097)=6,COUNT(F1086:F1097)=6),cubic_spline(F1085:F1091,A1085:A1091,B$12),IF(AND(COUNT(A1086:A1097)=7,COUNT(F1086:F1097)=7),cubic_spline(F1085:F1092,A1085:A1092,B$12),IF(AND(COUNT(A1086:A1097)=8,COUNT(F1086:F1097)=8),cubic_spline(F1085:F1093,A1085:A1093,B$12),IF(AND(COUNT(A1086:A1097)=9,COUNT(F1086:F1097)=9),cubic_spline(F1085:F1094,A1085:A1094,B$12),IF(AND(COUNT(A1086:A1097)=10,COUNT(F1086:F1097)=10),cubic_spline(F1085:F1095,A1085:A1095,B$12),IF(AND(COUNT(A1086:A1097)=11,COUNT(F1086:F1097)=11),cubic_spline(F1085:F1096,A1085:A1096,B$12),IF(AND(COUNT(A1086:A1097)=12,COUNT(F1086:F1097)=12),cubic_spline(F1085:F1097,A1085:A1097,B$12),""))))))))))))</f>
        <v/>
      </c>
      <c r="L1094" s="27" t="str">
        <f>IF(I1094="","",B$11&amp;"-"&amp;B$12)</f>
        <v/>
      </c>
      <c r="M1094" s="52" t="str">
        <f t="shared" si="415"/>
        <v/>
      </c>
    </row>
    <row r="1095" spans="1:13" x14ac:dyDescent="0.35">
      <c r="A1095" s="48"/>
      <c r="B1095" s="48"/>
      <c r="C1095" s="49"/>
      <c r="D1095" s="50"/>
      <c r="E1095" s="51" t="str">
        <f t="shared" si="414"/>
        <v/>
      </c>
      <c r="F1095" s="71" t="str">
        <f t="shared" si="411"/>
        <v/>
      </c>
      <c r="G1095" s="69" t="str">
        <f t="shared" si="413"/>
        <v/>
      </c>
      <c r="H1095" s="70" t="str">
        <f t="shared" si="412"/>
        <v/>
      </c>
      <c r="I1095" s="27" t="str">
        <f>IF(N(J1095)=0,"",0&amp;"-"&amp;B$13)</f>
        <v/>
      </c>
      <c r="J1095" s="52" t="str">
        <f>IF(N(B$13)=0,"",IF(AND(COUNT(H1086:H1097)=2,COUNT(F1086:F1097)=2),cubic_spline(F1085:F1087,H1085:H1087,B$13),IF(AND(COUNT(H1086:H1097)=3,COUNT(F1086:F1097)=3),cubic_spline(F1085:F1088,H1085:H1088,B$13),IF(AND(COUNT(H1086:H1097)=4,COUNT(F1086:F1097)=4),cubic_spline(F1085:F1089,H1085:H1089,B$13),IF(AND(COUNT(H1086:H1097)=5,COUNT(F1086:F1097)=5),cubic_spline(F1085:F1090,H1085:H1090,B$13),IF(AND(COUNT(H1086:H1097)=6,COUNT(F1086:F1097)=6),cubic_spline(F1085:F1091,H1085:H1091,B$13),IF(AND(COUNT(H1086:H1097)=7,COUNT(F1086:F1097)=7),cubic_spline(F1085:F1092,H1085:H1092,B$13),IF(AND(COUNT(H1086:H1097)=8,COUNT(F1086:F1097)=8),cubic_spline(F1085:F1093,H1085:H1093,B$13),IF(AND(COUNT(H1086:H1097)=9,COUNT(F1086:F1097)=9),cubic_spline(F1085:F1094,H1085:H1094,B$13),IF(AND(COUNT(H1086:H1097)=10,COUNT(F1086:F1097)=10),cubic_spline(F1085:F1095,H1085:H1095,B$13),IF(AND(COUNT(H1086:H1097)=11,COUNT(F1086:F1097)=11),cubic_spline(F1085:F1096,H1085:H1096,B$13),IF(AND(COUNT(H1086:H1097)=12,COUNT(F1086:F1097)=12),cubic_spline(F1085:F1097,H1085:H1097,B$13),""))))))))))))</f>
        <v/>
      </c>
      <c r="K1095" s="52" t="str">
        <f>IF(N(B$13)=0,"",IF(AND(COUNT(A1086:A1097)=2,COUNT(F1086:F1097)=2),cubic_spline(F1085:F1087,A1085:A1087,B$13),IF(AND(COUNT(A1086:A1097)=3,COUNT(F1086:F1097)=3),cubic_spline(F1085:F1088,A1085:A1088,B$13),IF(AND(COUNT(A1086:A1097)=4,COUNT(F1086:F1097)=4),cubic_spline(F1085:F1089,A1085:A1089,B$13),IF(AND(COUNT(A1086:A1097)=5,COUNT(F1086:F1097)=5),cubic_spline(F1085:F1090,A1085:A1090,B$13),IF(AND(COUNT(A1086:A1097)=6,COUNT(F1086:F1097)=6),cubic_spline(F1085:F1091,A1085:A1091,B$13),IF(AND(COUNT(A1086:A1097)=7,COUNT(F1086:F1097)=7),cubic_spline(F1085:F1092,A1085:A1092,B$13),IF(AND(COUNT(A1086:A1097)=8,COUNT(F1086:F1097)=8),cubic_spline(F1085:F1093,A1085:A1093,B$13),IF(AND(COUNT(A1086:A1097)=9,COUNT(F1086:F1097)=9),cubic_spline(F1085:F1094,A1085:A1094,B$13),IF(AND(COUNT(A1086:A1097)=10,COUNT(F1086:F1097)=10),cubic_spline(F1085:F1095,A1085:A1095,B$13),IF(AND(COUNT(A1086:A1097)=11,COUNT(F1086:F1097)=11),cubic_spline(F1085:F1096,A1085:A1096,B$13),IF(AND(COUNT(A1086:A1097)=12,COUNT(F1086:F1097)=12),cubic_spline(F1085:F1097,A1085:A1097,B$13),""))))))))))))</f>
        <v/>
      </c>
      <c r="L1095" s="27" t="str">
        <f>IF(I1095="","",B$12&amp;"-"&amp;B$13)</f>
        <v/>
      </c>
      <c r="M1095" s="52" t="str">
        <f t="shared" si="415"/>
        <v/>
      </c>
    </row>
    <row r="1096" spans="1:13" x14ac:dyDescent="0.35">
      <c r="A1096" s="48"/>
      <c r="B1096" s="48"/>
      <c r="C1096" s="49"/>
      <c r="D1096" s="50"/>
      <c r="E1096" s="51" t="str">
        <f t="shared" si="414"/>
        <v/>
      </c>
      <c r="F1096" s="71" t="str">
        <f t="shared" si="411"/>
        <v/>
      </c>
      <c r="G1096" s="69" t="str">
        <f t="shared" si="413"/>
        <v/>
      </c>
      <c r="H1096" s="70" t="str">
        <f t="shared" si="412"/>
        <v/>
      </c>
      <c r="I1096" s="27" t="str">
        <f>IF(N(J1096)=0,"",0&amp;"-"&amp;B$14)</f>
        <v/>
      </c>
      <c r="J1096" s="52" t="str">
        <f>IF(N(B$14)=0,"",IF(AND(COUNT(H1086:H1097)=2,COUNT(F1086:F1097)=2),cubic_spline(F1085:F1087,H1085:H1087,B$14),IF(AND(COUNT(H1086:H1097)=3,COUNT(F1086:F1097)=3),cubic_spline(F1085:F1088,H1085:H1088,B$14),IF(AND(COUNT(H1086:H1097)=4,COUNT(F1086:F1097)=4),cubic_spline(F1085:F1089,H1085:H1089,B$14),IF(AND(COUNT(H1086:H1097)=5,COUNT(F1086:F1097)=5),cubic_spline(F1085:F1090,H1085:H1090,B$14),IF(AND(COUNT(H1086:H1097)=6,COUNT(F1086:F1097)=6),cubic_spline(F1085:F1091,H1085:H1091,B$14),IF(AND(COUNT(H1086:H1097)=7,COUNT(F1086:F1097)=7),cubic_spline(F1085:F1092,H1085:H1092,B$14),IF(AND(COUNT(H1086:H1097)=8,COUNT(F1086:F1097)=8),cubic_spline(F1085:F1093,H1085:H1093,B$14),IF(AND(COUNT(H1086:H1097)=9,COUNT(F1086:F1097)=9),cubic_spline(F1085:F1094,H1085:H1094,B$14),IF(AND(COUNT(H1086:H1097)=10,COUNT(F1086:F1097)=10),cubic_spline(F1085:F1095,H1085:H1095,B$14),IF(AND(COUNT(H1086:H1097)=11,COUNT(F1086:F1097)=11),cubic_spline(F1085:F1096,H1085:H1096,B$14),IF(AND(COUNT(H1086:H1097)=12,COUNT(F1086:F1097)=12),cubic_spline(F1085:F1097,H1085:H1097,B$14),""))))))))))))</f>
        <v/>
      </c>
      <c r="K1096" s="52" t="str">
        <f>IF(N(B$14)=0,"",IF(AND(COUNT(A1086:A1097)=2,COUNT(F1086:F1097)=2),cubic_spline(F1085:F1087,A1085:A1087,B$14),IF(AND(COUNT(A1086:A1097)=3,COUNT(F1086:F1097)=3),cubic_spline(F1085:F1088,A1085:A1088,B$14),IF(AND(COUNT(A1086:A1097)=4,COUNT(F1086:F1097)=4),cubic_spline(F1085:F1089,A1085:A1089,B$14),IF(AND(COUNT(A1086:A1097)=5,COUNT(F1086:F1097)=5),cubic_spline(F1085:F1090,A1085:A1090,B$14),IF(AND(COUNT(A1086:A1097)=6,COUNT(F1086:F1097)=6),cubic_spline(F1085:F1091,A1085:A1091,B$14),IF(AND(COUNT(A1086:A1097)=7,COUNT(F1086:F1097)=7),cubic_spline(F1085:F1092,A1085:A1092,B$14),IF(AND(COUNT(A1086:A1097)=8,COUNT(F1086:F1097)=8),cubic_spline(F1085:F1093,A1085:A1093,B$14),IF(AND(COUNT(A1086:A1097)=9,COUNT(F1086:F1097)=9),cubic_spline(F1085:F1094,A1085:A1094,B$14),IF(AND(COUNT(A1086:A1097)=10,COUNT(F1086:F1097)=10),cubic_spline(F1085:F1095,A1085:A1095,B$14),IF(AND(COUNT(A1086:A1097)=11,COUNT(F1086:F1097)=11),cubic_spline(F1085:F1096,A1085:A1096,B$14),IF(AND(COUNT(A1086:A1097)=12,COUNT(F1086:F1097)=12),cubic_spline(F1085:F1097,A1085:A1097,B$14),""))))))))))))</f>
        <v/>
      </c>
      <c r="L1096" s="27" t="str">
        <f>IF(I1096="","",B$13&amp;"-"&amp;B$14)</f>
        <v/>
      </c>
      <c r="M1096" s="52" t="str">
        <f t="shared" si="415"/>
        <v/>
      </c>
    </row>
    <row r="1097" spans="1:13" x14ac:dyDescent="0.35">
      <c r="A1097" s="48"/>
      <c r="B1097" s="48"/>
      <c r="C1097" s="49"/>
      <c r="D1097" s="50"/>
      <c r="E1097" s="51" t="str">
        <f t="shared" si="414"/>
        <v/>
      </c>
      <c r="F1097" s="71" t="str">
        <f t="shared" si="411"/>
        <v/>
      </c>
      <c r="G1097" s="69" t="str">
        <f t="shared" si="413"/>
        <v/>
      </c>
      <c r="H1097" s="70" t="str">
        <f t="shared" si="412"/>
        <v/>
      </c>
      <c r="I1097" s="27" t="str">
        <f>IF(N(J1097)=0,"",0&amp;"-"&amp;B$15)</f>
        <v/>
      </c>
      <c r="J1097" s="52" t="str">
        <f>IF(N(B$15)=0,"",IF(AND(COUNT(H1086:H1097)=2,COUNT(F1086:F1097)=2),cubic_spline(F1085:F1087,H1085:H1087,B$15),IF(AND(COUNT(H1086:H1097)=3,COUNT(F1086:F1097)=3),cubic_spline(F1085:F1088,H1085:H1088,B$15),IF(AND(COUNT(H1086:H1097)=4,COUNT(F1086:F1097)=4),cubic_spline(F1085:F1089,H1085:H1089,B$15),IF(AND(COUNT(H1086:H1097)=5,COUNT(F1086:F1097)=5),cubic_spline(F1085:F1090,H1085:H1090,B$15),IF(AND(COUNT(H1086:H1097)=6,COUNT(F1086:F1097)=6),cubic_spline(F1085:F1091,H1085:H1091,B$15),IF(AND(COUNT(H1086:H1097)=7,COUNT(F1086:F1097)=7),cubic_spline(F1085:F1092,H1085:H1092,B$15),IF(AND(COUNT(H1086:H1097)=8,COUNT(F1086:F1097)=8),cubic_spline(F1085:F1093,H1085:H1093,B$15),IF(AND(COUNT(H1086:H1097)=9,COUNT(F1086:F1097)=9),cubic_spline(F1085:F1094,H1085:H1094,B$15),IF(AND(COUNT(H1086:H1097)=10,COUNT(F1086:F1097)=10),cubic_spline(F1085:F1095,H1085:H1095,B$15),IF(AND(COUNT(H1086:H1097)=11,COUNT(F1086:F1097)=11),cubic_spline(F1085:F1096,H1085:H1096,B$15),IF(AND(COUNT(H1086:H1097)=12,COUNT(F1086:F1097)=12),cubic_spline(F1085:F1097,H1085:H1097,B$15),""))))))))))))</f>
        <v/>
      </c>
      <c r="K1097" s="52" t="str">
        <f>IF(N(B$15)=0,"",IF(AND(COUNT(A1086:A1097)=2,COUNT(F1086:F1097)=2),cubic_spline(F1085:F1087,A1085:A1087,B$15),IF(AND(COUNT(A1086:A1097)=3,COUNT(F1086:F1097)=3),cubic_spline(F1085:F1088,A1085:A1088,B$15),IF(AND(COUNT(A1086:A1097)=4,COUNT(F1086:F1097)=4),cubic_spline(F1085:F1089,A1085:A1089,B$15),IF(AND(COUNT(A1086:A1097)=5,COUNT(F1086:F1097)=5),cubic_spline(F1085:F1090,A1085:A1090,B$15),IF(AND(COUNT(A1086:A1097)=6,COUNT(F1086:F1097)=6),cubic_spline(F1085:F1091,A1085:A1091,B$15),IF(AND(COUNT(A1086:A1097)=7,COUNT(F1086:F1097)=7),cubic_spline(F1085:F1092,A1085:A1092,B$15),IF(AND(COUNT(A1086:A1097)=8,COUNT(F1086:F1097)=8),cubic_spline(F1085:F1093,A1085:A1093,B$15),IF(AND(COUNT(A1086:A1097)=9,COUNT(F1086:F1097)=9),cubic_spline(F1085:F1094,A1085:A1094,B$15),IF(AND(COUNT(A1086:A1097)=10,COUNT(F1086:F1097)=10),cubic_spline(F1085:F1095,A1085:A1095,B$15),IF(AND(COUNT(A1086:A1097)=11,COUNT(F1086:F1097)=11),cubic_spline(F1085:F1096,A1085:A1096,B$15),IF(AND(COUNT(A1086:A1097)=12,COUNT(F1086:F1097)=12),cubic_spline(F1085:F1097,A1085:A1097,B$15),""))))))))))))</f>
        <v/>
      </c>
      <c r="L1097" s="27" t="str">
        <f>IF(I1097="","",B$14&amp;"-"&amp;B$15)</f>
        <v/>
      </c>
      <c r="M1097" s="52" t="str">
        <f t="shared" si="415"/>
        <v/>
      </c>
    </row>
    <row r="1098" spans="1:13" ht="5.15" customHeight="1" x14ac:dyDescent="0.35">
      <c r="A1098" s="47"/>
      <c r="B1098" s="47"/>
      <c r="C1098" s="47"/>
      <c r="D1098" s="53"/>
      <c r="E1098" s="54"/>
      <c r="F1098" s="55"/>
      <c r="G1098" s="72"/>
      <c r="H1098" s="73"/>
      <c r="I1098" s="47"/>
      <c r="J1098" s="57"/>
      <c r="K1098" s="57"/>
      <c r="L1098" s="55"/>
      <c r="M1098" s="57"/>
    </row>
    <row r="1099" spans="1:13" x14ac:dyDescent="0.35">
      <c r="A1099" s="48"/>
      <c r="B1099" s="48"/>
      <c r="C1099" s="49"/>
      <c r="D1099" s="50"/>
      <c r="E1099" s="51" t="str">
        <f>IF(N(C1099)=0,"",C1099/PI()/($D$1/2)^2/$D$2*10000)</f>
        <v/>
      </c>
      <c r="F1099" s="68" t="str">
        <f t="shared" ref="F1099:F1110" si="416">IF(N(E1099)=0,"",(N(E1099)+N(F1098)))</f>
        <v/>
      </c>
      <c r="G1099" s="69" t="str">
        <f>IF(OR(N(D1099)=0,N(E1099)=0),"",(E1099*D1099)/1000)</f>
        <v/>
      </c>
      <c r="H1099" s="70" t="str">
        <f t="shared" ref="H1099:H1110" si="417">IF(N(G1099)=0,"",(N(G1099)+N(H1098)))</f>
        <v/>
      </c>
      <c r="I1099" s="27" t="str">
        <f>IF(N(J1099)=0,"",0&amp;"-"&amp;B$4)</f>
        <v/>
      </c>
      <c r="J1099" s="52" t="str">
        <f>IF(N(B$4)=0,"",IF(AND(COUNT(H1099:H1110)=2,COUNT(F1099:F1110)=2),cubic_spline(F1098:F1100,H1098:H1100,B$4),IF(AND(COUNT(H1099:H1110)=3,COUNT(F1099:F1110)=3),cubic_spline(F1098:F1101,H1098:H1101,B$4),IF(AND(COUNT(H1099:H1110)=4,COUNT(F1099:F1110)=4),cubic_spline(F1098:F1102,H1098:H1102,B$4),IF(AND(COUNT(H1099:H1110)=5,COUNT(F1099:F1110)=5),cubic_spline(F1098:F1103,H1098:H1103,B$4),IF(AND(COUNT(H1099:H1110)=6,COUNT(F1099:F1110)=6),cubic_spline(F1098:F1104,H1098:H1104,B$4),IF(AND(COUNT(H1099:H1110)=7,COUNT(F1099:F1110)=7),cubic_spline(F1098:F1105,H1098:H1105,B$4),IF(AND(COUNT(H1099:H1110)=8,COUNT(F1099:F1110)=8),cubic_spline(F1098:F1106,H1098:H1106,B$4),IF(AND(COUNT(H1099:H1110)=9,COUNT(F1099:F1110)=9),cubic_spline(F1098:F1107,H1098:H1107,B$4),IF(AND(COUNT(H1099:H1110)=10,COUNT(F1099:F1110)=10),cubic_spline(F1098:F1108,H1098:H1108,B$4),IF(AND(COUNT(H1099:H1110)=11,COUNT(F1099:F1110)=11),cubic_spline(F1098:F1109,H1098:H1109,B$4),IF(AND(COUNT(H1099:H1110)=12,COUNT(F1099:F1110)=12),cubic_spline(F1098:F1110,H1098:H1110,B$4),""))))))))))))</f>
        <v/>
      </c>
      <c r="K1099" s="52" t="str">
        <f>IF(N(B$4)=0,"",IF(AND(COUNT(A1099:A1110)=2,COUNT(F1099:F1110)=2),cubic_spline(F1098:F1100,A1098:A1100,B$4),IF(AND(COUNT(A1099:A1110)=3,COUNT(F1099:F1110)=3),cubic_spline(F1098:F1101,A1098:A1101,B$4),IF(AND(COUNT(A1099:A1110)=4,COUNT(F1099:F1110)=4),cubic_spline(F1098:F1102,A1098:A1102,B$4),IF(AND(COUNT(A1099:A1110)=5,COUNT(F1099:F1110)=5),cubic_spline(F1098:F1103,A1098:A1103,B$4),IF(AND(COUNT(A1099:A1110)=6,COUNT(F1099:F1110)=6),cubic_spline(F1098:F1104,A1098:A1104,B$4),IF(AND(COUNT(A1099:A1110)=7,COUNT(F1099:F1110)=7),cubic_spline(F1098:F1105,A1098:A1105,B$4),IF(AND(COUNT(A1099:A1110)=8,COUNT(F1099:F1110)=8),cubic_spline(F1098:F1106,A1098:A1106,B$4),IF(AND(COUNT(A1099:A1110)=9,COUNT(F1099:F1110)=9),cubic_spline(F1098:F1107,A1098:A1107,B$4),IF(AND(COUNT(A1099:A1110)=10,COUNT(F1099:F1110)=10),cubic_spline(F1098:F1108,A1098:A1108,B$4),IF(AND(COUNT(A1099:A1110)=11,COUNT(F1099:F1110)=11),cubic_spline(F1098:F1109,A1098:A1109,B$4),IF(AND(COUNT(A1099:A1110)=12,COUNT(F1099:F1110)=12),cubic_spline(F1098:F1110,A1098:A1110,B$4),""))))))))))))</f>
        <v/>
      </c>
      <c r="L1099" s="27" t="str">
        <f>IF(I1099="","",0&amp;"-"&amp;B$4)</f>
        <v/>
      </c>
      <c r="M1099" s="52" t="str">
        <f>IF(N(J1099)=0,"",J1099-J1098)</f>
        <v/>
      </c>
    </row>
    <row r="1100" spans="1:13" x14ac:dyDescent="0.35">
      <c r="A1100" s="48"/>
      <c r="B1100" s="48"/>
      <c r="C1100" s="49"/>
      <c r="D1100" s="50"/>
      <c r="E1100" s="51" t="str">
        <f>IF(N(C1100)=0,"",C1100/PI()/($D$1/2)^2/$D$2*10000)</f>
        <v/>
      </c>
      <c r="F1100" s="68" t="str">
        <f t="shared" si="416"/>
        <v/>
      </c>
      <c r="G1100" s="69" t="str">
        <f t="shared" ref="G1100:G1110" si="418">IF(OR(N(D1100)=0,N(E1100)=0),"",(E1100*D1100)/1000)</f>
        <v/>
      </c>
      <c r="H1100" s="70" t="str">
        <f t="shared" si="417"/>
        <v/>
      </c>
      <c r="I1100" s="27" t="str">
        <f>IF(N(J1100)=0,"",0&amp;"-"&amp;B$5)</f>
        <v/>
      </c>
      <c r="J1100" s="52" t="str">
        <f>IF(N(B$5)=0,"",IF(AND(COUNT(H1099:H1110)=2,COUNT(F1099:F1110)=2),cubic_spline(F1098:F1100,H1098:H1100,B$5),IF(AND(COUNT(H1099:H1110)=3,COUNT(F1099:F1110)=3),cubic_spline(F1098:F1101,H1098:H1101,B$5),IF(AND(COUNT(H1099:H1110)=4,COUNT(F1099:F1110)=4),cubic_spline(F1098:F1102,H1098:H1102,B$5),IF(AND(COUNT(H1099:H1110)=5,COUNT(F1099:F1110)=5),cubic_spline(F1098:F1103,H1098:H1103,B$5),IF(AND(COUNT(H1099:H1110)=6,COUNT(F1099:F1110)=6),cubic_spline(F1098:F1104,H1098:H1104,B$5),IF(AND(COUNT(H1099:H1110)=7,COUNT(F1099:F1110)=7),cubic_spline(F1098:F1105,H1098:H1105,B$5),IF(AND(COUNT(H1099:H1110)=8,COUNT(F1099:F1110)=8),cubic_spline(F1098:F1106,H1098:H1106,B$5),IF(AND(COUNT(H1099:H1110)=9,COUNT(F1099:F1110)=9),cubic_spline(F1098:F1107,H1098:H1107,B$5),IF(AND(COUNT(H1099:H1110)=10,COUNT(F1099:F1110)=10),cubic_spline(F1098:F1108,H1098:H1108,B$5),IF(AND(COUNT(H1099:H1110)=11,COUNT(F1099:F1110)=11),cubic_spline(F1098:F1109,H1098:H1109,B$5),IF(AND(COUNT(H1099:H1110)=12,COUNT(F1099:F1110)=12),cubic_spline(F1098:F1110,H1098:H1110,B$5),""))))))))))))</f>
        <v/>
      </c>
      <c r="K1100" s="52" t="str">
        <f>IF(N(B$5)=0,"",IF(AND(COUNT(A1099:A1110)=2,COUNT(F1099:F1110)=2),cubic_spline(F1098:F1100,A1098:A1100,B$5),IF(AND(COUNT(A1099:A1110)=3,COUNT(F1099:F1110)=3),cubic_spline(F1098:F1101,A1098:A1101,B$5),IF(AND(COUNT(A1099:A1110)=4,COUNT(F1099:F1110)=4),cubic_spline(F1098:F1102,A1098:A1102,B$5),IF(AND(COUNT(A1099:A1110)=5,COUNT(F1099:F1110)=5),cubic_spline(F1098:F1103,A1098:A1103,B$5),IF(AND(COUNT(A1099:A1110)=6,COUNT(F1099:F1110)=6),cubic_spline(F1098:F1104,A1098:A1104,B$5),IF(AND(COUNT(A1099:A1110)=7,COUNT(F1099:F1110)=7),cubic_spline(F1098:F1105,A1098:A1105,B$5),IF(AND(COUNT(A1099:A1110)=8,COUNT(F1099:F1110)=8),cubic_spline(F1098:F1106,A1098:A1106,B$5),IF(AND(COUNT(A1099:A1110)=9,COUNT(F1099:F1110)=9),cubic_spline(F1098:F1107,A1098:A1107,B$5),IF(AND(COUNT(A1099:A1110)=10,COUNT(F1099:F1110)=10),cubic_spline(F1098:F1108,A1098:A1108,B$5),IF(AND(COUNT(A1099:A1110)=11,COUNT(F1099:F1110)=11),cubic_spline(F1098:F1109,A1098:A1109,B$5),IF(AND(COUNT(A1099:A1110)=12,COUNT(F1099:F1110)=12),cubic_spline(F1098:F1110,A1098:A1110,B$5),""))))))))))))</f>
        <v/>
      </c>
      <c r="L1100" s="27" t="str">
        <f>IF(I1100="","",B$4&amp;"-"&amp;B$5)</f>
        <v/>
      </c>
      <c r="M1100" s="52" t="str">
        <f>IF(N(J1100)=0,"",J1100-J1099)</f>
        <v/>
      </c>
    </row>
    <row r="1101" spans="1:13" x14ac:dyDescent="0.35">
      <c r="A1101" s="48"/>
      <c r="B1101" s="48"/>
      <c r="C1101" s="49"/>
      <c r="D1101" s="50"/>
      <c r="E1101" s="51" t="str">
        <f>IF(N(C1101)=0,"",C1101/PI()/($D$1/2)^2/$D$2*10000)</f>
        <v/>
      </c>
      <c r="F1101" s="68" t="str">
        <f t="shared" si="416"/>
        <v/>
      </c>
      <c r="G1101" s="69" t="str">
        <f t="shared" si="418"/>
        <v/>
      </c>
      <c r="H1101" s="70" t="str">
        <f t="shared" si="417"/>
        <v/>
      </c>
      <c r="I1101" s="27" t="str">
        <f>IF(N(J1101)=0,"",0&amp;"-"&amp;B$6)</f>
        <v/>
      </c>
      <c r="J1101" s="52" t="str">
        <f>IF(N(B$6)=0,"",IF(AND(COUNT(H1099:H1110)=2,COUNT(F1099:F1110)=2),cubic_spline(F1098:F1100,H1098:H1100,B$6),IF(AND(COUNT(H1099:H1110)=3,COUNT(F1099:F1110)=3),cubic_spline(F1098:F1101,H1098:H1101,B$6),IF(AND(COUNT(H1099:H1110)=4,COUNT(F1099:F1110)=4),cubic_spline(F1098:F1102,H1098:H1102,B$6),IF(AND(COUNT(H1099:H1110)=5,COUNT(F1099:F1110)=5),cubic_spline(F1098:F1103,H1098:H1103,B$6),IF(AND(COUNT(H1099:H1110)=6,COUNT(F1099:F1110)=6),cubic_spline(F1098:F1104,H1098:H1104,B$6),IF(AND(COUNT(H1099:H1110)=7,COUNT(F1099:F1110)=7),cubic_spline(F1098:F1105,H1098:H1105,B$6),IF(AND(COUNT(H1099:H1110)=8,COUNT(F1099:F1110)=8),cubic_spline(F1098:F1106,H1098:H1106,B$6),IF(AND(COUNT(H1099:H1110)=9,COUNT(F1099:F1110)=9),cubic_spline(F1098:F1107,H1098:H1107,B$6),IF(AND(COUNT(H1099:H1110)=10,COUNT(F1099:F1110)=10),cubic_spline(F1098:F1108,H1098:H1108,B$6),IF(AND(COUNT(H1099:H1110)=11,COUNT(F1099:F1110)=11),cubic_spline(F1098:F1109,H1098:H1109,B$6),IF(AND(COUNT(H1099:H1110)=12,COUNT(F1099:F1110)=12),cubic_spline(F1098:F1110,H1098:H1110,B$6),""))))))))))))</f>
        <v/>
      </c>
      <c r="K1101" s="52" t="str">
        <f>IF(N(B$6)=0,"",IF(AND(COUNT(A1099:A1110)=2,COUNT(F1099:F1110)=2),cubic_spline(F1098:F1100,A1098:A1100,B$6),IF(AND(COUNT(A1099:A1110)=3,COUNT(F1099:F1110)=3),cubic_spline(F1098:F1101,A1098:A1101,B$6),IF(AND(COUNT(A1099:A1110)=4,COUNT(F1099:F1110)=4),cubic_spline(F1098:F1102,A1098:A1102,B$6),IF(AND(COUNT(A1099:A1110)=5,COUNT(F1099:F1110)=5),cubic_spline(F1098:F1103,A1098:A1103,B$6),IF(AND(COUNT(A1099:A1110)=6,COUNT(F1099:F1110)=6),cubic_spline(F1098:F1104,A1098:A1104,B$6),IF(AND(COUNT(A1099:A1110)=7,COUNT(F1099:F1110)=7),cubic_spline(F1098:F1105,A1098:A1105,B$6),IF(AND(COUNT(A1099:A1110)=8,COUNT(F1099:F1110)=8),cubic_spline(F1098:F1106,A1098:A1106,B$6),IF(AND(COUNT(A1099:A1110)=9,COUNT(F1099:F1110)=9),cubic_spline(F1098:F1107,A1098:A1107,B$6),IF(AND(COUNT(A1099:A1110)=10,COUNT(F1099:F1110)=10),cubic_spline(F1098:F1108,A1098:A1108,B$6),IF(AND(COUNT(A1099:A1110)=11,COUNT(F1099:F1110)=11),cubic_spline(F1098:F1109,A1098:A1109,B$6),IF(AND(COUNT(A1099:A1110)=12,COUNT(F1099:F1110)=12),cubic_spline(F1098:F1110,A1098:A1110,B$6),""))))))))))))</f>
        <v/>
      </c>
      <c r="L1101" s="27" t="str">
        <f>IF(I1101="","",B$5&amp;"-"&amp;B$6)</f>
        <v/>
      </c>
      <c r="M1101" s="52" t="str">
        <f>IF(N(J1101)=0,"",J1101-J1100)</f>
        <v/>
      </c>
    </row>
    <row r="1102" spans="1:13" x14ac:dyDescent="0.35">
      <c r="A1102" s="48"/>
      <c r="B1102" s="48"/>
      <c r="C1102" s="49"/>
      <c r="D1102" s="50"/>
      <c r="E1102" s="51" t="str">
        <f>IF(N(C1102)=0,"",C1102/PI()/($D$1/2)^2/$D$2*10000)</f>
        <v/>
      </c>
      <c r="F1102" s="68" t="str">
        <f t="shared" si="416"/>
        <v/>
      </c>
      <c r="G1102" s="69" t="str">
        <f t="shared" si="418"/>
        <v/>
      </c>
      <c r="H1102" s="70" t="str">
        <f t="shared" si="417"/>
        <v/>
      </c>
      <c r="I1102" s="27" t="str">
        <f>IF(N(J1102)=0,"",0&amp;"-"&amp;B$7)</f>
        <v/>
      </c>
      <c r="J1102" s="52" t="str">
        <f>IF(N(B$7)=0,"",IF(AND(COUNT(H1099:H1110)=2,COUNT(F1099:F1110)=2),cubic_spline(F1098:F1100,H1098:H1100,B$7),IF(AND(COUNT(H1099:H1110)=3,COUNT(F1099:F1110)=3),cubic_spline(F1098:F1101,H1098:H1101,B$7),IF(AND(COUNT(H1099:H1110)=4,COUNT(F1099:F1110)=4),cubic_spline(F1098:F1102,H1098:H1102,B$7),IF(AND(COUNT(H1099:H1110)=5,COUNT(F1099:F1110)=5),cubic_spline(F1098:F1103,H1098:H1103,B$7),IF(AND(COUNT(H1099:H1110)=6,COUNT(F1099:F1110)=6),cubic_spline(F1098:F1104,H1098:H1104,B$7),IF(AND(COUNT(H1099:H1110)=7,COUNT(F1099:F1110)=7),cubic_spline(F1098:F1105,H1098:H1105,B$7),IF(AND(COUNT(H1099:H1110)=8,COUNT(F1099:F1110)=8),cubic_spline(F1098:F1106,H1098:H1106,B$7),IF(AND(COUNT(H1099:H1110)=9,COUNT(F1099:F1110)=9),cubic_spline(F1098:F1107,H1098:H1107,B$7),IF(AND(COUNT(H1099:H1110)=10,COUNT(F1099:F1110)=10),cubic_spline(F1098:F1108,H1098:H1108,B$7),IF(AND(COUNT(H1099:H1110)=11,COUNT(F1099:F1110)=11),cubic_spline(F1098:F1109,H1098:H1109,B$7),IF(AND(COUNT(H1099:H1110)=12,COUNT(F1099:F1110)=12),cubic_spline(F1098:F1110,H1098:H1110,B$7),""))))))))))))</f>
        <v/>
      </c>
      <c r="K1102" s="52" t="str">
        <f>IF(N(B$7)=0,"",IF(AND(COUNT(A1099:A1110)=2,COUNT(F1099:F1110)=2),cubic_spline(F1098:F1100,A1098:A1100,B$7),IF(AND(COUNT(A1099:A1110)=3,COUNT(F1099:F1110)=3),cubic_spline(F1098:F1101,A1098:A1101,B$7),IF(AND(COUNT(A1099:A1110)=4,COUNT(F1099:F1110)=4),cubic_spline(F1098:F1102,A1098:A1102,B$7),IF(AND(COUNT(A1099:A1110)=5,COUNT(F1099:F1110)=5),cubic_spline(F1098:F1103,A1098:A1103,B$7),IF(AND(COUNT(A1099:A1110)=6,COUNT(F1099:F1110)=6),cubic_spline(F1098:F1104,A1098:A1104,B$7),IF(AND(COUNT(A1099:A1110)=7,COUNT(F1099:F1110)=7),cubic_spline(F1098:F1105,A1098:A1105,B$7),IF(AND(COUNT(A1099:A1110)=8,COUNT(F1099:F1110)=8),cubic_spline(F1098:F1106,A1098:A1106,B$7),IF(AND(COUNT(A1099:A1110)=9,COUNT(F1099:F1110)=9),cubic_spline(F1098:F1107,A1098:A1107,B$7),IF(AND(COUNT(A1099:A1110)=10,COUNT(F1099:F1110)=10),cubic_spline(F1098:F1108,A1098:A1108,B$7),IF(AND(COUNT(A1099:A1110)=11,COUNT(F1099:F1110)=11),cubic_spline(F1098:F1109,A1098:A1109,B$7),IF(AND(COUNT(A1099:A1110)=12,COUNT(F1099:F1110)=12),cubic_spline(F1098:F1110,A1098:A1110,B$7),""))))))))))))</f>
        <v/>
      </c>
      <c r="L1102" s="27" t="str">
        <f>IF(I1102="","",B$6&amp;"-"&amp;B$7)</f>
        <v/>
      </c>
      <c r="M1102" s="52" t="str">
        <f>IF(N(J1102)=0,"",J1102-J1101)</f>
        <v/>
      </c>
    </row>
    <row r="1103" spans="1:13" x14ac:dyDescent="0.35">
      <c r="A1103" s="48"/>
      <c r="B1103" s="48"/>
      <c r="C1103" s="49"/>
      <c r="D1103" s="50"/>
      <c r="E1103" s="51" t="str">
        <f t="shared" ref="E1103:E1110" si="419">IF(N(C1103)=0,"",C1103/PI()/($D$1/2)^2/$D$2*10000)</f>
        <v/>
      </c>
      <c r="F1103" s="71" t="str">
        <f t="shared" si="416"/>
        <v/>
      </c>
      <c r="G1103" s="69" t="str">
        <f t="shared" si="418"/>
        <v/>
      </c>
      <c r="H1103" s="70" t="str">
        <f t="shared" si="417"/>
        <v/>
      </c>
      <c r="I1103" s="27" t="str">
        <f>IF(N(J1103)=0,"",0&amp;"-"&amp;B$8)</f>
        <v/>
      </c>
      <c r="J1103" s="52" t="str">
        <f>IF(N(B$8)=0,"",IF(AND(COUNT(H1099:H1110)=2,COUNT(F1099:F1110)=2),cubic_spline(F1098:F1100,H1098:H1100,B$8),IF(AND(COUNT(H1099:H1110)=3,COUNT(F1099:F1110)=3),cubic_spline(F1098:F1101,H1098:H1101,B$8),IF(AND(COUNT(H1099:H1110)=4,COUNT(F1099:F1110)=4),cubic_spline(F1098:F1102,H1098:H1102,B$8),IF(AND(COUNT(H1099:H1110)=5,COUNT(F1099:F1110)=5),cubic_spline(F1098:F1103,H1098:H1103,B$8),IF(AND(COUNT(H1099:H1110)=6,COUNT(F1099:F1110)=6),cubic_spline(F1098:F1104,H1098:H1104,B$8),IF(AND(COUNT(H1099:H1110)=7,COUNT(F1099:F1110)=7),cubic_spline(F1098:F1105,H1098:H1105,B$8),IF(AND(COUNT(H1099:H1110)=8,COUNT(F1099:F1110)=8),cubic_spline(F1098:F1106,H1098:H1106,B$8),IF(AND(COUNT(H1099:H1110)=9,COUNT(F1099:F1110)=9),cubic_spline(F1098:F1107,H1098:H1107,B$8),IF(AND(COUNT(H1099:H1110)=10,COUNT(F1099:F1110)=10),cubic_spline(F1098:F1108,H1098:H1108,B$8),IF(AND(COUNT(H1099:H1110)=11,COUNT(F1099:F1110)=11),cubic_spline(F1098:F1109,H1098:H1109,B$8),IF(AND(COUNT(H1099:H1110)=12,COUNT(F1099:F1110)=12),cubic_spline(F1098:F1110,H1098:H1110,B$8),""))))))))))))</f>
        <v/>
      </c>
      <c r="K1103" s="52" t="str">
        <f>IF(N(B$8)=0,"",IF(AND(COUNT(A1099:A1110)=2,COUNT(F1099:F1110)=2),cubic_spline(F1098:F1100,A1098:A1100,B$8),IF(AND(COUNT(A1099:A1110)=3,COUNT(F1099:F1110)=3),cubic_spline(F1098:F1101,A1098:A1101,B$8),IF(AND(COUNT(A1099:A1110)=4,COUNT(F1099:F1110)=4),cubic_spline(F1098:F1102,A1098:A1102,B$8),IF(AND(COUNT(A1099:A1110)=5,COUNT(F1099:F1110)=5),cubic_spline(F1098:F1103,A1098:A1103,B$8),IF(AND(COUNT(A1099:A1110)=6,COUNT(F1099:F1110)=6),cubic_spline(F1098:F1104,A1098:A1104,B$8),IF(AND(COUNT(A1099:A1110)=7,COUNT(F1099:F1110)=7),cubic_spline(F1098:F1105,A1098:A1105,B$8),IF(AND(COUNT(A1099:A1110)=8,COUNT(F1099:F1110)=8),cubic_spline(F1098:F1106,A1098:A1106,B$8),IF(AND(COUNT(A1099:A1110)=9,COUNT(F1099:F1110)=9),cubic_spline(F1098:F1107,A1098:A1107,B$8),IF(AND(COUNT(A1099:A1110)=10,COUNT(F1099:F1110)=10),cubic_spline(F1098:F1108,A1098:A1108,B$8),IF(AND(COUNT(A1099:A1110)=11,COUNT(F1099:F1110)=11),cubic_spline(F1098:F1109,A1098:A1109,B$8),IF(AND(COUNT(A1099:A1110)=12,COUNT(F1099:F1110)=12),cubic_spline(F1098:F1110,A1098:A1110,B$8),""))))))))))))</f>
        <v/>
      </c>
      <c r="L1103" s="27" t="str">
        <f>IF(I1103="","",B$7&amp;"-"&amp;B$8)</f>
        <v/>
      </c>
      <c r="M1103" s="52" t="str">
        <f>IF(N(J1103)=0,"",J1103-J1102)</f>
        <v/>
      </c>
    </row>
    <row r="1104" spans="1:13" x14ac:dyDescent="0.35">
      <c r="A1104" s="48"/>
      <c r="B1104" s="48"/>
      <c r="C1104" s="49"/>
      <c r="D1104" s="50"/>
      <c r="E1104" s="51" t="str">
        <f t="shared" si="419"/>
        <v/>
      </c>
      <c r="F1104" s="71" t="str">
        <f t="shared" si="416"/>
        <v/>
      </c>
      <c r="G1104" s="69" t="str">
        <f t="shared" si="418"/>
        <v/>
      </c>
      <c r="H1104" s="70" t="str">
        <f t="shared" si="417"/>
        <v/>
      </c>
      <c r="I1104" s="27" t="str">
        <f>IF(N(J1104)=0,"",0&amp;"-"&amp;B$9)</f>
        <v/>
      </c>
      <c r="J1104" s="52" t="str">
        <f>IF(N(B$9)=0,"",IF(AND(COUNT(H1099:H1110)=2,COUNT(F1099:F1110)=2),cubic_spline(F1098:F1100,H1098:H1100,B$9),IF(AND(COUNT(H1099:H1110)=3,COUNT(F1099:F1110)=3),cubic_spline(F1098:F1101,H1098:H1101,B$9),IF(AND(COUNT(H1099:H1110)=4,COUNT(F1099:F1110)=4),cubic_spline(F1098:F1102,H1098:H1102,B$9),IF(AND(COUNT(H1099:H1110)=5,COUNT(F1099:F1110)=5),cubic_spline(F1098:F1103,H1098:H1103,B$9),IF(AND(COUNT(H1099:H1110)=6,COUNT(F1099:F1110)=6),cubic_spline(F1098:F1104,H1098:H1104,B$9),IF(AND(COUNT(H1099:H1110)=7,COUNT(F1099:F1110)=7),cubic_spline(F1098:F1105,H1098:H1105,B$9),IF(AND(COUNT(H1099:H1110)=8,COUNT(F1099:F1110)=8),cubic_spline(F1098:F1106,H1098:H1106,B$9),IF(AND(COUNT(H1099:H1110)=9,COUNT(F1099:F1110)=9),cubic_spline(F1098:F1107,H1098:H1107,B$9),IF(AND(COUNT(H1099:H1110)=10,COUNT(F1099:F1110)=10),cubic_spline(F1098:F1108,H1098:H1108,B$9),IF(AND(COUNT(H1099:H1110)=11,COUNT(F1099:F1110)=11),cubic_spline(F1098:F1109,H1098:H1109,B$9),IF(AND(COUNT(H1099:H1110)=12,COUNT(F1099:F1110)=12),cubic_spline(F1098:F1110,H1098:H1110,B$9),""))))))))))))</f>
        <v/>
      </c>
      <c r="K1104" s="52" t="str">
        <f>IF(N(B$9)=0,"",IF(AND(COUNT(A1099:A1110)=2,COUNT(F1099:F1110)=2),cubic_spline(F1098:F1100,A1098:A1100,B$9),IF(AND(COUNT(A1099:A1110)=3,COUNT(F1099:F1110)=3),cubic_spline(F1098:F1101,A1098:A1101,B$9),IF(AND(COUNT(A1099:A1110)=4,COUNT(F1099:F1110)=4),cubic_spline(F1098:F1102,A1098:A1102,B$9),IF(AND(COUNT(A1099:A1110)=5,COUNT(F1099:F1110)=5),cubic_spline(F1098:F1103,A1098:A1103,B$9),IF(AND(COUNT(A1099:A1110)=6,COUNT(F1099:F1110)=6),cubic_spline(F1098:F1104,A1098:A1104,B$9),IF(AND(COUNT(A1099:A1110)=7,COUNT(F1099:F1110)=7),cubic_spline(F1098:F1105,A1098:A1105,B$9),IF(AND(COUNT(A1099:A1110)=8,COUNT(F1099:F1110)=8),cubic_spline(F1098:F1106,A1098:A1106,B$9),IF(AND(COUNT(A1099:A1110)=9,COUNT(F1099:F1110)=9),cubic_spline(F1098:F1107,A1098:A1107,B$9),IF(AND(COUNT(A1099:A1110)=10,COUNT(F1099:F1110)=10),cubic_spline(F1098:F1108,A1098:A1108,B$9),IF(AND(COUNT(A1099:A1110)=11,COUNT(F1099:F1110)=11),cubic_spline(F1098:F1109,A1098:A1109,B$9),IF(AND(COUNT(A1099:A1110)=12,COUNT(F1099:F1110)=12),cubic_spline(F1098:F1110,A1098:A1110,B$9),""))))))))))))</f>
        <v/>
      </c>
      <c r="L1104" s="27" t="str">
        <f>IF(I1104="","",B$8&amp;"-"&amp;B$9)</f>
        <v/>
      </c>
      <c r="M1104" s="52" t="str">
        <f t="shared" ref="M1104:M1110" si="420">IF(N(J1104)=0,"",J1104-J1103)</f>
        <v/>
      </c>
    </row>
    <row r="1105" spans="1:13" x14ac:dyDescent="0.35">
      <c r="A1105" s="48"/>
      <c r="B1105" s="48"/>
      <c r="C1105" s="49"/>
      <c r="D1105" s="50"/>
      <c r="E1105" s="51" t="str">
        <f t="shared" si="419"/>
        <v/>
      </c>
      <c r="F1105" s="71" t="str">
        <f t="shared" si="416"/>
        <v/>
      </c>
      <c r="G1105" s="69" t="str">
        <f t="shared" si="418"/>
        <v/>
      </c>
      <c r="H1105" s="70" t="str">
        <f t="shared" si="417"/>
        <v/>
      </c>
      <c r="I1105" s="27" t="str">
        <f>IF(N(J1105)=0,"",0&amp;"-"&amp;B$10)</f>
        <v/>
      </c>
      <c r="J1105" s="52" t="str">
        <f>IF(N(B$10)=0,"",IF(AND(COUNT(H1099:H1110)=2,COUNT(F1099:F1110)=2),cubic_spline(F1098:F1100,H1098:H1100,B$10),IF(AND(COUNT(H1099:H1110)=3,COUNT(F1099:F1110)=3),cubic_spline(F1098:F1101,H1098:H1101,B$10),IF(AND(COUNT(H1099:H1110)=4,COUNT(F1099:F1110)=4),cubic_spline(F1098:F1102,H1098:H1102,B$10),IF(AND(COUNT(H1099:H1110)=5,COUNT(F1099:F1110)=5),cubic_spline(F1098:F1103,H1098:H1103,B$10),IF(AND(COUNT(H1099:H1110)=6,COUNT(F1099:F1110)=6),cubic_spline(F1098:F1104,H1098:H1104,B$10),IF(AND(COUNT(H1099:H1110)=7,COUNT(F1099:F1110)=7),cubic_spline(F1098:F1105,H1098:H1105,B$10),IF(AND(COUNT(H1099:H1110)=8,COUNT(F1099:F1110)=8),cubic_spline(F1098:F1106,H1098:H1106,B$10),IF(AND(COUNT(H1099:H1110)=9,COUNT(F1099:F1110)=9),cubic_spline(F1098:F1107,H1098:H1107,B$10),IF(AND(COUNT(H1099:H1110)=10,COUNT(F1099:F1110)=10),cubic_spline(F1098:F1108,H1098:H1108,B$10),IF(AND(COUNT(H1099:H1110)=11,COUNT(F1099:F1110)=11),cubic_spline(F1098:F1109,H1098:H1109,B$10),IF(AND(COUNT(H1099:H1110)=12,COUNT(F1099:F1110)=12),cubic_spline(F1098:F1110,H1098:H1110,B$10),""))))))))))))</f>
        <v/>
      </c>
      <c r="K1105" s="52" t="str">
        <f>IF(N(B$10)=0,"",IF(AND(COUNT(A1099:A1110)=2,COUNT(F1099:F1110)=2),cubic_spline(F1098:F1100,A1098:A1100,B$10),IF(AND(COUNT(A1099:A1110)=3,COUNT(F1099:F1110)=3),cubic_spline(F1098:F1101,A1098:A1101,B$10),IF(AND(COUNT(A1099:A1110)=4,COUNT(F1099:F1110)=4),cubic_spline(F1098:F1102,A1098:A1102,B$10),IF(AND(COUNT(A1099:A1110)=5,COUNT(F1099:F1110)=5),cubic_spline(F1098:F1103,A1098:A1103,B$10),IF(AND(COUNT(A1099:A1110)=6,COUNT(F1099:F1110)=6),cubic_spline(F1098:F1104,A1098:A1104,B$10),IF(AND(COUNT(A1099:A1110)=7,COUNT(F1099:F1110)=7),cubic_spline(F1098:F1105,A1098:A1105,B$10),IF(AND(COUNT(A1099:A1110)=8,COUNT(F1099:F1110)=8),cubic_spline(F1098:F1106,A1098:A1106,B$10),IF(AND(COUNT(A1099:A1110)=9,COUNT(F1099:F1110)=9),cubic_spline(F1098:F1107,A1098:A1107,B$10),IF(AND(COUNT(A1099:A1110)=10,COUNT(F1099:F1110)=10),cubic_spline(F1098:F1108,A1098:A1108,B$10),IF(AND(COUNT(A1099:A1110)=11,COUNT(F1099:F1110)=11),cubic_spline(F1098:F1109,A1098:A1109,B$10),IF(AND(COUNT(A1099:A1110)=12,COUNT(F1099:F1110)=12),cubic_spline(F1098:F1110,A1098:A1110,B$10),""))))))))))))</f>
        <v/>
      </c>
      <c r="L1105" s="27" t="str">
        <f>IF(I1105="","",B$9&amp;"-"&amp;B$10)</f>
        <v/>
      </c>
      <c r="M1105" s="52" t="str">
        <f t="shared" si="420"/>
        <v/>
      </c>
    </row>
    <row r="1106" spans="1:13" x14ac:dyDescent="0.35">
      <c r="A1106" s="48"/>
      <c r="B1106" s="48"/>
      <c r="C1106" s="49"/>
      <c r="D1106" s="50"/>
      <c r="E1106" s="51" t="str">
        <f t="shared" si="419"/>
        <v/>
      </c>
      <c r="F1106" s="71" t="str">
        <f t="shared" si="416"/>
        <v/>
      </c>
      <c r="G1106" s="69" t="str">
        <f t="shared" si="418"/>
        <v/>
      </c>
      <c r="H1106" s="70" t="str">
        <f t="shared" si="417"/>
        <v/>
      </c>
      <c r="I1106" s="27" t="str">
        <f>IF(N(J1106)=0,"",0&amp;"-"&amp;B$11)</f>
        <v/>
      </c>
      <c r="J1106" s="52" t="str">
        <f>IF(N(B$11)=0,"",IF(AND(COUNT(H1099:H1110)=2,COUNT(F1099:F1110)=2),cubic_spline(F1098:F1100,H1098:H1100,B$11),IF(AND(COUNT(H1099:H1110)=3,COUNT(F1099:F1110)=3),cubic_spline(F1098:F1101,H1098:H1101,B$11),IF(AND(COUNT(H1099:H1110)=4,COUNT(F1099:F1110)=4),cubic_spline(F1098:F1102,H1098:H1102,B$11),IF(AND(COUNT(H1099:H1110)=5,COUNT(F1099:F1110)=5),cubic_spline(F1098:F1103,H1098:H1103,B$11),IF(AND(COUNT(H1099:H1110)=6,COUNT(F1099:F1110)=6),cubic_spline(F1098:F1104,H1098:H1104,B$11),IF(AND(COUNT(H1099:H1110)=7,COUNT(F1099:F1110)=7),cubic_spline(F1098:F1105,H1098:H1105,B$11),IF(AND(COUNT(H1099:H1110)=8,COUNT(F1099:F1110)=8),cubic_spline(F1098:F1106,H1098:H1106,B$11),IF(AND(COUNT(H1099:H1110)=9,COUNT(F1099:F1110)=9),cubic_spline(F1098:F1107,H1098:H1107,B$11),IF(AND(COUNT(H1099:H1110)=10,COUNT(F1099:F1110)=10),cubic_spline(F1098:F1108,H1098:H1108,B$11),IF(AND(COUNT(H1099:H1110)=11,COUNT(F1099:F1110)=11),cubic_spline(F1098:F1109,H1098:H1109,B$11),IF(AND(COUNT(H1099:H1110)=12,COUNT(F1099:F1110)=12),cubic_spline(F1098:F1110,H1098:H1110,B$11),""))))))))))))</f>
        <v/>
      </c>
      <c r="K1106" s="52" t="str">
        <f>IF(N(B$11)=0,"",IF(AND(COUNT(A1099:A1110)=2,COUNT(F1099:F1110)=2),cubic_spline(F1098:F1100,A1098:A1100,B$11),IF(AND(COUNT(A1099:A1110)=3,COUNT(F1099:F1110)=3),cubic_spline(F1098:F1101,A1098:A1101,B$11),IF(AND(COUNT(A1099:A1110)=4,COUNT(F1099:F1110)=4),cubic_spline(F1098:F1102,A1098:A1102,B$11),IF(AND(COUNT(A1099:A1110)=5,COUNT(F1099:F1110)=5),cubic_spline(F1098:F1103,A1098:A1103,B$11),IF(AND(COUNT(A1099:A1110)=6,COUNT(F1099:F1110)=6),cubic_spline(F1098:F1104,A1098:A1104,B$11),IF(AND(COUNT(A1099:A1110)=7,COUNT(F1099:F1110)=7),cubic_spline(F1098:F1105,A1098:A1105,B$11),IF(AND(COUNT(A1099:A1110)=8,COUNT(F1099:F1110)=8),cubic_spline(F1098:F1106,A1098:A1106,B$11),IF(AND(COUNT(A1099:A1110)=9,COUNT(F1099:F1110)=9),cubic_spline(F1098:F1107,A1098:A1107,B$11),IF(AND(COUNT(A1099:A1110)=10,COUNT(F1099:F1110)=10),cubic_spline(F1098:F1108,A1098:A1108,B$11),IF(AND(COUNT(A1099:A1110)=11,COUNT(F1099:F1110)=11),cubic_spline(F1098:F1109,A1098:A1109,B$11),IF(AND(COUNT(A1099:A1110)=12,COUNT(F1099:F1110)=12),cubic_spline(F1098:F1110,A1098:A1110,B$11),""))))))))))))</f>
        <v/>
      </c>
      <c r="L1106" s="27" t="str">
        <f>IF(I1106="","",B$10&amp;"-"&amp;B$11)</f>
        <v/>
      </c>
      <c r="M1106" s="52" t="str">
        <f t="shared" si="420"/>
        <v/>
      </c>
    </row>
    <row r="1107" spans="1:13" x14ac:dyDescent="0.35">
      <c r="A1107" s="48"/>
      <c r="B1107" s="48"/>
      <c r="C1107" s="49"/>
      <c r="D1107" s="50"/>
      <c r="E1107" s="51" t="str">
        <f t="shared" si="419"/>
        <v/>
      </c>
      <c r="F1107" s="71" t="str">
        <f t="shared" si="416"/>
        <v/>
      </c>
      <c r="G1107" s="69" t="str">
        <f t="shared" si="418"/>
        <v/>
      </c>
      <c r="H1107" s="70" t="str">
        <f t="shared" si="417"/>
        <v/>
      </c>
      <c r="I1107" s="27" t="str">
        <f>IF(N(J1107)=0,"",0&amp;"-"&amp;B$12)</f>
        <v/>
      </c>
      <c r="J1107" s="52" t="str">
        <f>IF(N(B$12)=0,"",IF(AND(COUNT(H1099:H1110)=2,COUNT(F1099:F1110)=2),cubic_spline(F1098:F1100,H1098:H1100,B$12),IF(AND(COUNT(H1099:H1110)=3,COUNT(F1099:F1110)=3),cubic_spline(F1098:F1101,H1098:H1101,B$12),IF(AND(COUNT(H1099:H1110)=4,COUNT(F1099:F1110)=4),cubic_spline(F1098:F1102,H1098:H1102,B$12),IF(AND(COUNT(H1099:H1110)=5,COUNT(F1099:F1110)=5),cubic_spline(F1098:F1103,H1098:H1103,B$12),IF(AND(COUNT(H1099:H1110)=6,COUNT(F1099:F1110)=6),cubic_spline(F1098:F1104,H1098:H1104,B$12),IF(AND(COUNT(H1099:H1110)=7,COUNT(F1099:F1110)=7),cubic_spline(F1098:F1105,H1098:H1105,B$12),IF(AND(COUNT(H1099:H1110)=8,COUNT(F1099:F1110)=8),cubic_spline(F1098:F1106,H1098:H1106,B$12),IF(AND(COUNT(H1099:H1110)=9,COUNT(F1099:F1110)=9),cubic_spline(F1098:F1107,H1098:H1107,B$12),IF(AND(COUNT(H1099:H1110)=10,COUNT(F1099:F1110)=10),cubic_spline(F1098:F1108,H1098:H1108,B$12),IF(AND(COUNT(H1099:H1110)=11,COUNT(F1099:F1110)=11),cubic_spline(F1098:F1109,H1098:H1109,B$12),IF(AND(COUNT(H1099:H1110)=12,COUNT(F1099:F1110)=12),cubic_spline(F1098:F1110,H1098:H1110,B$12),""))))))))))))</f>
        <v/>
      </c>
      <c r="K1107" s="52" t="str">
        <f>IF(N(B$12)=0,"",IF(AND(COUNT(A1099:A1110)=2,COUNT(F1099:F1110)=2),cubic_spline(F1098:F1100,A1098:A1100,B$12),IF(AND(COUNT(A1099:A1110)=3,COUNT(F1099:F1110)=3),cubic_spline(F1098:F1101,A1098:A1101,B$12),IF(AND(COUNT(A1099:A1110)=4,COUNT(F1099:F1110)=4),cubic_spline(F1098:F1102,A1098:A1102,B$12),IF(AND(COUNT(A1099:A1110)=5,COUNT(F1099:F1110)=5),cubic_spline(F1098:F1103,A1098:A1103,B$12),IF(AND(COUNT(A1099:A1110)=6,COUNT(F1099:F1110)=6),cubic_spline(F1098:F1104,A1098:A1104,B$12),IF(AND(COUNT(A1099:A1110)=7,COUNT(F1099:F1110)=7),cubic_spline(F1098:F1105,A1098:A1105,B$12),IF(AND(COUNT(A1099:A1110)=8,COUNT(F1099:F1110)=8),cubic_spline(F1098:F1106,A1098:A1106,B$12),IF(AND(COUNT(A1099:A1110)=9,COUNT(F1099:F1110)=9),cubic_spline(F1098:F1107,A1098:A1107,B$12),IF(AND(COUNT(A1099:A1110)=10,COUNT(F1099:F1110)=10),cubic_spline(F1098:F1108,A1098:A1108,B$12),IF(AND(COUNT(A1099:A1110)=11,COUNT(F1099:F1110)=11),cubic_spline(F1098:F1109,A1098:A1109,B$12),IF(AND(COUNT(A1099:A1110)=12,COUNT(F1099:F1110)=12),cubic_spline(F1098:F1110,A1098:A1110,B$12),""))))))))))))</f>
        <v/>
      </c>
      <c r="L1107" s="27" t="str">
        <f>IF(I1107="","",B$11&amp;"-"&amp;B$12)</f>
        <v/>
      </c>
      <c r="M1107" s="52" t="str">
        <f t="shared" si="420"/>
        <v/>
      </c>
    </row>
    <row r="1108" spans="1:13" x14ac:dyDescent="0.35">
      <c r="A1108" s="48"/>
      <c r="B1108" s="48"/>
      <c r="C1108" s="49"/>
      <c r="D1108" s="50"/>
      <c r="E1108" s="51" t="str">
        <f t="shared" si="419"/>
        <v/>
      </c>
      <c r="F1108" s="71" t="str">
        <f t="shared" si="416"/>
        <v/>
      </c>
      <c r="G1108" s="69" t="str">
        <f t="shared" si="418"/>
        <v/>
      </c>
      <c r="H1108" s="70" t="str">
        <f t="shared" si="417"/>
        <v/>
      </c>
      <c r="I1108" s="27" t="str">
        <f>IF(N(J1108)=0,"",0&amp;"-"&amp;B$13)</f>
        <v/>
      </c>
      <c r="J1108" s="52" t="str">
        <f>IF(N(B$13)=0,"",IF(AND(COUNT(H1099:H1110)=2,COUNT(F1099:F1110)=2),cubic_spline(F1098:F1100,H1098:H1100,B$13),IF(AND(COUNT(H1099:H1110)=3,COUNT(F1099:F1110)=3),cubic_spline(F1098:F1101,H1098:H1101,B$13),IF(AND(COUNT(H1099:H1110)=4,COUNT(F1099:F1110)=4),cubic_spline(F1098:F1102,H1098:H1102,B$13),IF(AND(COUNT(H1099:H1110)=5,COUNT(F1099:F1110)=5),cubic_spline(F1098:F1103,H1098:H1103,B$13),IF(AND(COUNT(H1099:H1110)=6,COUNT(F1099:F1110)=6),cubic_spline(F1098:F1104,H1098:H1104,B$13),IF(AND(COUNT(H1099:H1110)=7,COUNT(F1099:F1110)=7),cubic_spline(F1098:F1105,H1098:H1105,B$13),IF(AND(COUNT(H1099:H1110)=8,COUNT(F1099:F1110)=8),cubic_spline(F1098:F1106,H1098:H1106,B$13),IF(AND(COUNT(H1099:H1110)=9,COUNT(F1099:F1110)=9),cubic_spline(F1098:F1107,H1098:H1107,B$13),IF(AND(COUNT(H1099:H1110)=10,COUNT(F1099:F1110)=10),cubic_spline(F1098:F1108,H1098:H1108,B$13),IF(AND(COUNT(H1099:H1110)=11,COUNT(F1099:F1110)=11),cubic_spline(F1098:F1109,H1098:H1109,B$13),IF(AND(COUNT(H1099:H1110)=12,COUNT(F1099:F1110)=12),cubic_spline(F1098:F1110,H1098:H1110,B$13),""))))))))))))</f>
        <v/>
      </c>
      <c r="K1108" s="52" t="str">
        <f>IF(N(B$13)=0,"",IF(AND(COUNT(A1099:A1110)=2,COUNT(F1099:F1110)=2),cubic_spline(F1098:F1100,A1098:A1100,B$13),IF(AND(COUNT(A1099:A1110)=3,COUNT(F1099:F1110)=3),cubic_spline(F1098:F1101,A1098:A1101,B$13),IF(AND(COUNT(A1099:A1110)=4,COUNT(F1099:F1110)=4),cubic_spline(F1098:F1102,A1098:A1102,B$13),IF(AND(COUNT(A1099:A1110)=5,COUNT(F1099:F1110)=5),cubic_spline(F1098:F1103,A1098:A1103,B$13),IF(AND(COUNT(A1099:A1110)=6,COUNT(F1099:F1110)=6),cubic_spline(F1098:F1104,A1098:A1104,B$13),IF(AND(COUNT(A1099:A1110)=7,COUNT(F1099:F1110)=7),cubic_spline(F1098:F1105,A1098:A1105,B$13),IF(AND(COUNT(A1099:A1110)=8,COUNT(F1099:F1110)=8),cubic_spline(F1098:F1106,A1098:A1106,B$13),IF(AND(COUNT(A1099:A1110)=9,COUNT(F1099:F1110)=9),cubic_spline(F1098:F1107,A1098:A1107,B$13),IF(AND(COUNT(A1099:A1110)=10,COUNT(F1099:F1110)=10),cubic_spline(F1098:F1108,A1098:A1108,B$13),IF(AND(COUNT(A1099:A1110)=11,COUNT(F1099:F1110)=11),cubic_spline(F1098:F1109,A1098:A1109,B$13),IF(AND(COUNT(A1099:A1110)=12,COUNT(F1099:F1110)=12),cubic_spline(F1098:F1110,A1098:A1110,B$13),""))))))))))))</f>
        <v/>
      </c>
      <c r="L1108" s="27" t="str">
        <f>IF(I1108="","",B$12&amp;"-"&amp;B$13)</f>
        <v/>
      </c>
      <c r="M1108" s="52" t="str">
        <f t="shared" si="420"/>
        <v/>
      </c>
    </row>
    <row r="1109" spans="1:13" x14ac:dyDescent="0.35">
      <c r="A1109" s="48"/>
      <c r="B1109" s="48"/>
      <c r="C1109" s="49"/>
      <c r="D1109" s="50"/>
      <c r="E1109" s="51" t="str">
        <f t="shared" si="419"/>
        <v/>
      </c>
      <c r="F1109" s="71" t="str">
        <f t="shared" si="416"/>
        <v/>
      </c>
      <c r="G1109" s="69" t="str">
        <f t="shared" si="418"/>
        <v/>
      </c>
      <c r="H1109" s="70" t="str">
        <f t="shared" si="417"/>
        <v/>
      </c>
      <c r="I1109" s="27" t="str">
        <f>IF(N(J1109)=0,"",0&amp;"-"&amp;B$14)</f>
        <v/>
      </c>
      <c r="J1109" s="52" t="str">
        <f>IF(N(B$14)=0,"",IF(AND(COUNT(H1099:H1110)=2,COUNT(F1099:F1110)=2),cubic_spline(F1098:F1100,H1098:H1100,B$14),IF(AND(COUNT(H1099:H1110)=3,COUNT(F1099:F1110)=3),cubic_spline(F1098:F1101,H1098:H1101,B$14),IF(AND(COUNT(H1099:H1110)=4,COUNT(F1099:F1110)=4),cubic_spline(F1098:F1102,H1098:H1102,B$14),IF(AND(COUNT(H1099:H1110)=5,COUNT(F1099:F1110)=5),cubic_spline(F1098:F1103,H1098:H1103,B$14),IF(AND(COUNT(H1099:H1110)=6,COUNT(F1099:F1110)=6),cubic_spline(F1098:F1104,H1098:H1104,B$14),IF(AND(COUNT(H1099:H1110)=7,COUNT(F1099:F1110)=7),cubic_spline(F1098:F1105,H1098:H1105,B$14),IF(AND(COUNT(H1099:H1110)=8,COUNT(F1099:F1110)=8),cubic_spline(F1098:F1106,H1098:H1106,B$14),IF(AND(COUNT(H1099:H1110)=9,COUNT(F1099:F1110)=9),cubic_spline(F1098:F1107,H1098:H1107,B$14),IF(AND(COUNT(H1099:H1110)=10,COUNT(F1099:F1110)=10),cubic_spline(F1098:F1108,H1098:H1108,B$14),IF(AND(COUNT(H1099:H1110)=11,COUNT(F1099:F1110)=11),cubic_spline(F1098:F1109,H1098:H1109,B$14),IF(AND(COUNT(H1099:H1110)=12,COUNT(F1099:F1110)=12),cubic_spline(F1098:F1110,H1098:H1110,B$14),""))))))))))))</f>
        <v/>
      </c>
      <c r="K1109" s="52" t="str">
        <f>IF(N(B$14)=0,"",IF(AND(COUNT(A1099:A1110)=2,COUNT(F1099:F1110)=2),cubic_spline(F1098:F1100,A1098:A1100,B$14),IF(AND(COUNT(A1099:A1110)=3,COUNT(F1099:F1110)=3),cubic_spline(F1098:F1101,A1098:A1101,B$14),IF(AND(COUNT(A1099:A1110)=4,COUNT(F1099:F1110)=4),cubic_spline(F1098:F1102,A1098:A1102,B$14),IF(AND(COUNT(A1099:A1110)=5,COUNT(F1099:F1110)=5),cubic_spline(F1098:F1103,A1098:A1103,B$14),IF(AND(COUNT(A1099:A1110)=6,COUNT(F1099:F1110)=6),cubic_spline(F1098:F1104,A1098:A1104,B$14),IF(AND(COUNT(A1099:A1110)=7,COUNT(F1099:F1110)=7),cubic_spline(F1098:F1105,A1098:A1105,B$14),IF(AND(COUNT(A1099:A1110)=8,COUNT(F1099:F1110)=8),cubic_spline(F1098:F1106,A1098:A1106,B$14),IF(AND(COUNT(A1099:A1110)=9,COUNT(F1099:F1110)=9),cubic_spline(F1098:F1107,A1098:A1107,B$14),IF(AND(COUNT(A1099:A1110)=10,COUNT(F1099:F1110)=10),cubic_spline(F1098:F1108,A1098:A1108,B$14),IF(AND(COUNT(A1099:A1110)=11,COUNT(F1099:F1110)=11),cubic_spline(F1098:F1109,A1098:A1109,B$14),IF(AND(COUNT(A1099:A1110)=12,COUNT(F1099:F1110)=12),cubic_spline(F1098:F1110,A1098:A1110,B$14),""))))))))))))</f>
        <v/>
      </c>
      <c r="L1109" s="27" t="str">
        <f>IF(I1109="","",B$13&amp;"-"&amp;B$14)</f>
        <v/>
      </c>
      <c r="M1109" s="52" t="str">
        <f t="shared" si="420"/>
        <v/>
      </c>
    </row>
    <row r="1110" spans="1:13" x14ac:dyDescent="0.35">
      <c r="A1110" s="48"/>
      <c r="B1110" s="48"/>
      <c r="C1110" s="49"/>
      <c r="D1110" s="50"/>
      <c r="E1110" s="51" t="str">
        <f t="shared" si="419"/>
        <v/>
      </c>
      <c r="F1110" s="71" t="str">
        <f t="shared" si="416"/>
        <v/>
      </c>
      <c r="G1110" s="69" t="str">
        <f t="shared" si="418"/>
        <v/>
      </c>
      <c r="H1110" s="70" t="str">
        <f t="shared" si="417"/>
        <v/>
      </c>
      <c r="I1110" s="27" t="str">
        <f>IF(N(J1110)=0,"",0&amp;"-"&amp;B$15)</f>
        <v/>
      </c>
      <c r="J1110" s="52" t="str">
        <f>IF(N(B$15)=0,"",IF(AND(COUNT(H1099:H1110)=2,COUNT(F1099:F1110)=2),cubic_spline(F1098:F1100,H1098:H1100,B$15),IF(AND(COUNT(H1099:H1110)=3,COUNT(F1099:F1110)=3),cubic_spline(F1098:F1101,H1098:H1101,B$15),IF(AND(COUNT(H1099:H1110)=4,COUNT(F1099:F1110)=4),cubic_spline(F1098:F1102,H1098:H1102,B$15),IF(AND(COUNT(H1099:H1110)=5,COUNT(F1099:F1110)=5),cubic_spline(F1098:F1103,H1098:H1103,B$15),IF(AND(COUNT(H1099:H1110)=6,COUNT(F1099:F1110)=6),cubic_spline(F1098:F1104,H1098:H1104,B$15),IF(AND(COUNT(H1099:H1110)=7,COUNT(F1099:F1110)=7),cubic_spline(F1098:F1105,H1098:H1105,B$15),IF(AND(COUNT(H1099:H1110)=8,COUNT(F1099:F1110)=8),cubic_spline(F1098:F1106,H1098:H1106,B$15),IF(AND(COUNT(H1099:H1110)=9,COUNT(F1099:F1110)=9),cubic_spline(F1098:F1107,H1098:H1107,B$15),IF(AND(COUNT(H1099:H1110)=10,COUNT(F1099:F1110)=10),cubic_spline(F1098:F1108,H1098:H1108,B$15),IF(AND(COUNT(H1099:H1110)=11,COUNT(F1099:F1110)=11),cubic_spline(F1098:F1109,H1098:H1109,B$15),IF(AND(COUNT(H1099:H1110)=12,COUNT(F1099:F1110)=12),cubic_spline(F1098:F1110,H1098:H1110,B$15),""))))))))))))</f>
        <v/>
      </c>
      <c r="K1110" s="52" t="str">
        <f>IF(N(B$15)=0,"",IF(AND(COUNT(A1099:A1110)=2,COUNT(F1099:F1110)=2),cubic_spline(F1098:F1100,A1098:A1100,B$15),IF(AND(COUNT(A1099:A1110)=3,COUNT(F1099:F1110)=3),cubic_spline(F1098:F1101,A1098:A1101,B$15),IF(AND(COUNT(A1099:A1110)=4,COUNT(F1099:F1110)=4),cubic_spline(F1098:F1102,A1098:A1102,B$15),IF(AND(COUNT(A1099:A1110)=5,COUNT(F1099:F1110)=5),cubic_spline(F1098:F1103,A1098:A1103,B$15),IF(AND(COUNT(A1099:A1110)=6,COUNT(F1099:F1110)=6),cubic_spline(F1098:F1104,A1098:A1104,B$15),IF(AND(COUNT(A1099:A1110)=7,COUNT(F1099:F1110)=7),cubic_spline(F1098:F1105,A1098:A1105,B$15),IF(AND(COUNT(A1099:A1110)=8,COUNT(F1099:F1110)=8),cubic_spline(F1098:F1106,A1098:A1106,B$15),IF(AND(COUNT(A1099:A1110)=9,COUNT(F1099:F1110)=9),cubic_spline(F1098:F1107,A1098:A1107,B$15),IF(AND(COUNT(A1099:A1110)=10,COUNT(F1099:F1110)=10),cubic_spline(F1098:F1108,A1098:A1108,B$15),IF(AND(COUNT(A1099:A1110)=11,COUNT(F1099:F1110)=11),cubic_spline(F1098:F1109,A1098:A1109,B$15),IF(AND(COUNT(A1099:A1110)=12,COUNT(F1099:F1110)=12),cubic_spline(F1098:F1110,A1098:A1110,B$15),""))))))))))))</f>
        <v/>
      </c>
      <c r="L1110" s="27" t="str">
        <f>IF(I1110="","",B$14&amp;"-"&amp;B$15)</f>
        <v/>
      </c>
      <c r="M1110" s="52" t="str">
        <f t="shared" si="420"/>
        <v/>
      </c>
    </row>
    <row r="1111" spans="1:13" ht="5.15" customHeight="1" x14ac:dyDescent="0.35">
      <c r="A1111" s="47"/>
      <c r="B1111" s="47"/>
      <c r="C1111" s="47"/>
      <c r="D1111" s="53"/>
      <c r="E1111" s="54"/>
      <c r="F1111" s="55"/>
      <c r="G1111" s="72"/>
      <c r="H1111" s="73"/>
      <c r="I1111" s="47"/>
      <c r="J1111" s="57"/>
      <c r="K1111" s="57"/>
      <c r="L1111" s="55"/>
      <c r="M1111" s="57"/>
    </row>
    <row r="1112" spans="1:13" x14ac:dyDescent="0.35">
      <c r="A1112" s="48"/>
      <c r="B1112" s="48"/>
      <c r="C1112" s="49"/>
      <c r="D1112" s="50"/>
      <c r="E1112" s="51" t="str">
        <f>IF(N(C1112)=0,"",C1112/PI()/($D$1/2)^2/$D$2*10000)</f>
        <v/>
      </c>
      <c r="F1112" s="68" t="str">
        <f t="shared" ref="F1112:F1123" si="421">IF(N(E1112)=0,"",(N(E1112)+N(F1111)))</f>
        <v/>
      </c>
      <c r="G1112" s="69" t="str">
        <f>IF(OR(N(D1112)=0,N(E1112)=0),"",(E1112*D1112)/1000)</f>
        <v/>
      </c>
      <c r="H1112" s="70" t="str">
        <f t="shared" ref="H1112:H1123" si="422">IF(N(G1112)=0,"",(N(G1112)+N(H1111)))</f>
        <v/>
      </c>
      <c r="I1112" s="27" t="str">
        <f>IF(N(J1112)=0,"",0&amp;"-"&amp;B$4)</f>
        <v/>
      </c>
      <c r="J1112" s="52" t="str">
        <f>IF(N(B$4)=0,"",IF(AND(COUNT(H1112:H1123)=2,COUNT(F1112:F1123)=2),cubic_spline(F1111:F1113,H1111:H1113,B$4),IF(AND(COUNT(H1112:H1123)=3,COUNT(F1112:F1123)=3),cubic_spline(F1111:F1114,H1111:H1114,B$4),IF(AND(COUNT(H1112:H1123)=4,COUNT(F1112:F1123)=4),cubic_spline(F1111:F1115,H1111:H1115,B$4),IF(AND(COUNT(H1112:H1123)=5,COUNT(F1112:F1123)=5),cubic_spline(F1111:F1116,H1111:H1116,B$4),IF(AND(COUNT(H1112:H1123)=6,COUNT(F1112:F1123)=6),cubic_spline(F1111:F1117,H1111:H1117,B$4),IF(AND(COUNT(H1112:H1123)=7,COUNT(F1112:F1123)=7),cubic_spline(F1111:F1118,H1111:H1118,B$4),IF(AND(COUNT(H1112:H1123)=8,COUNT(F1112:F1123)=8),cubic_spline(F1111:F1119,H1111:H1119,B$4),IF(AND(COUNT(H1112:H1123)=9,COUNT(F1112:F1123)=9),cubic_spline(F1111:F1120,H1111:H1120,B$4),IF(AND(COUNT(H1112:H1123)=10,COUNT(F1112:F1123)=10),cubic_spline(F1111:F1121,H1111:H1121,B$4),IF(AND(COUNT(H1112:H1123)=11,COUNT(F1112:F1123)=11),cubic_spline(F1111:F1122,H1111:H1122,B$4),IF(AND(COUNT(H1112:H1123)=12,COUNT(F1112:F1123)=12),cubic_spline(F1111:F1123,H1111:H1123,B$4),""))))))))))))</f>
        <v/>
      </c>
      <c r="K1112" s="52" t="str">
        <f>IF(N(B$4)=0,"",IF(AND(COUNT(A1112:A1123)=2,COUNT(F1112:F1123)=2),cubic_spline(F1111:F1113,A1111:A1113,B$4),IF(AND(COUNT(A1112:A1123)=3,COUNT(F1112:F1123)=3),cubic_spline(F1111:F1114,A1111:A1114,B$4),IF(AND(COUNT(A1112:A1123)=4,COUNT(F1112:F1123)=4),cubic_spline(F1111:F1115,A1111:A1115,B$4),IF(AND(COUNT(A1112:A1123)=5,COUNT(F1112:F1123)=5),cubic_spline(F1111:F1116,A1111:A1116,B$4),IF(AND(COUNT(A1112:A1123)=6,COUNT(F1112:F1123)=6),cubic_spline(F1111:F1117,A1111:A1117,B$4),IF(AND(COUNT(A1112:A1123)=7,COUNT(F1112:F1123)=7),cubic_spline(F1111:F1118,A1111:A1118,B$4),IF(AND(COUNT(A1112:A1123)=8,COUNT(F1112:F1123)=8),cubic_spline(F1111:F1119,A1111:A1119,B$4),IF(AND(COUNT(A1112:A1123)=9,COUNT(F1112:F1123)=9),cubic_spline(F1111:F1120,A1111:A1120,B$4),IF(AND(COUNT(A1112:A1123)=10,COUNT(F1112:F1123)=10),cubic_spline(F1111:F1121,A1111:A1121,B$4),IF(AND(COUNT(A1112:A1123)=11,COUNT(F1112:F1123)=11),cubic_spline(F1111:F1122,A1111:A1122,B$4),IF(AND(COUNT(A1112:A1123)=12,COUNT(F1112:F1123)=12),cubic_spline(F1111:F1123,A1111:A1123,B$4),""))))))))))))</f>
        <v/>
      </c>
      <c r="L1112" s="27" t="str">
        <f>IF(I1112="","",0&amp;"-"&amp;B$4)</f>
        <v/>
      </c>
      <c r="M1112" s="52" t="str">
        <f>IF(N(J1112)=0,"",J1112-J1111)</f>
        <v/>
      </c>
    </row>
    <row r="1113" spans="1:13" x14ac:dyDescent="0.35">
      <c r="A1113" s="48"/>
      <c r="B1113" s="48"/>
      <c r="C1113" s="49"/>
      <c r="D1113" s="50"/>
      <c r="E1113" s="51" t="str">
        <f>IF(N(C1113)=0,"",C1113/PI()/($D$1/2)^2/$D$2*10000)</f>
        <v/>
      </c>
      <c r="F1113" s="68" t="str">
        <f t="shared" si="421"/>
        <v/>
      </c>
      <c r="G1113" s="69" t="str">
        <f t="shared" ref="G1113:G1123" si="423">IF(OR(N(D1113)=0,N(E1113)=0),"",(E1113*D1113)/1000)</f>
        <v/>
      </c>
      <c r="H1113" s="70" t="str">
        <f t="shared" si="422"/>
        <v/>
      </c>
      <c r="I1113" s="27" t="str">
        <f>IF(N(J1113)=0,"",0&amp;"-"&amp;B$5)</f>
        <v/>
      </c>
      <c r="J1113" s="52" t="str">
        <f>IF(N(B$5)=0,"",IF(AND(COUNT(H1112:H1123)=2,COUNT(F1112:F1123)=2),cubic_spline(F1111:F1113,H1111:H1113,B$5),IF(AND(COUNT(H1112:H1123)=3,COUNT(F1112:F1123)=3),cubic_spline(F1111:F1114,H1111:H1114,B$5),IF(AND(COUNT(H1112:H1123)=4,COUNT(F1112:F1123)=4),cubic_spline(F1111:F1115,H1111:H1115,B$5),IF(AND(COUNT(H1112:H1123)=5,COUNT(F1112:F1123)=5),cubic_spline(F1111:F1116,H1111:H1116,B$5),IF(AND(COUNT(H1112:H1123)=6,COUNT(F1112:F1123)=6),cubic_spline(F1111:F1117,H1111:H1117,B$5),IF(AND(COUNT(H1112:H1123)=7,COUNT(F1112:F1123)=7),cubic_spline(F1111:F1118,H1111:H1118,B$5),IF(AND(COUNT(H1112:H1123)=8,COUNT(F1112:F1123)=8),cubic_spline(F1111:F1119,H1111:H1119,B$5),IF(AND(COUNT(H1112:H1123)=9,COUNT(F1112:F1123)=9),cubic_spline(F1111:F1120,H1111:H1120,B$5),IF(AND(COUNT(H1112:H1123)=10,COUNT(F1112:F1123)=10),cubic_spline(F1111:F1121,H1111:H1121,B$5),IF(AND(COUNT(H1112:H1123)=11,COUNT(F1112:F1123)=11),cubic_spline(F1111:F1122,H1111:H1122,B$5),IF(AND(COUNT(H1112:H1123)=12,COUNT(F1112:F1123)=12),cubic_spline(F1111:F1123,H1111:H1123,B$5),""))))))))))))</f>
        <v/>
      </c>
      <c r="K1113" s="52" t="str">
        <f>IF(N(B$5)=0,"",IF(AND(COUNT(A1112:A1123)=2,COUNT(F1112:F1123)=2),cubic_spline(F1111:F1113,A1111:A1113,B$5),IF(AND(COUNT(A1112:A1123)=3,COUNT(F1112:F1123)=3),cubic_spline(F1111:F1114,A1111:A1114,B$5),IF(AND(COUNT(A1112:A1123)=4,COUNT(F1112:F1123)=4),cubic_spline(F1111:F1115,A1111:A1115,B$5),IF(AND(COUNT(A1112:A1123)=5,COUNT(F1112:F1123)=5),cubic_spline(F1111:F1116,A1111:A1116,B$5),IF(AND(COUNT(A1112:A1123)=6,COUNT(F1112:F1123)=6),cubic_spline(F1111:F1117,A1111:A1117,B$5),IF(AND(COUNT(A1112:A1123)=7,COUNT(F1112:F1123)=7),cubic_spline(F1111:F1118,A1111:A1118,B$5),IF(AND(COUNT(A1112:A1123)=8,COUNT(F1112:F1123)=8),cubic_spline(F1111:F1119,A1111:A1119,B$5),IF(AND(COUNT(A1112:A1123)=9,COUNT(F1112:F1123)=9),cubic_spline(F1111:F1120,A1111:A1120,B$5),IF(AND(COUNT(A1112:A1123)=10,COUNT(F1112:F1123)=10),cubic_spline(F1111:F1121,A1111:A1121,B$5),IF(AND(COUNT(A1112:A1123)=11,COUNT(F1112:F1123)=11),cubic_spline(F1111:F1122,A1111:A1122,B$5),IF(AND(COUNT(A1112:A1123)=12,COUNT(F1112:F1123)=12),cubic_spline(F1111:F1123,A1111:A1123,B$5),""))))))))))))</f>
        <v/>
      </c>
      <c r="L1113" s="27" t="str">
        <f>IF(I1113="","",B$4&amp;"-"&amp;B$5)</f>
        <v/>
      </c>
      <c r="M1113" s="52" t="str">
        <f>IF(N(J1113)=0,"",J1113-J1112)</f>
        <v/>
      </c>
    </row>
    <row r="1114" spans="1:13" x14ac:dyDescent="0.35">
      <c r="A1114" s="48"/>
      <c r="B1114" s="48"/>
      <c r="C1114" s="49"/>
      <c r="D1114" s="50"/>
      <c r="E1114" s="51" t="str">
        <f>IF(N(C1114)=0,"",C1114/PI()/($D$1/2)^2/$D$2*10000)</f>
        <v/>
      </c>
      <c r="F1114" s="68" t="str">
        <f t="shared" si="421"/>
        <v/>
      </c>
      <c r="G1114" s="69" t="str">
        <f t="shared" si="423"/>
        <v/>
      </c>
      <c r="H1114" s="70" t="str">
        <f t="shared" si="422"/>
        <v/>
      </c>
      <c r="I1114" s="27" t="str">
        <f>IF(N(J1114)=0,"",0&amp;"-"&amp;B$6)</f>
        <v/>
      </c>
      <c r="J1114" s="52" t="str">
        <f>IF(N(B$6)=0,"",IF(AND(COUNT(H1112:H1123)=2,COUNT(F1112:F1123)=2),cubic_spline(F1111:F1113,H1111:H1113,B$6),IF(AND(COUNT(H1112:H1123)=3,COUNT(F1112:F1123)=3),cubic_spline(F1111:F1114,H1111:H1114,B$6),IF(AND(COUNT(H1112:H1123)=4,COUNT(F1112:F1123)=4),cubic_spline(F1111:F1115,H1111:H1115,B$6),IF(AND(COUNT(H1112:H1123)=5,COUNT(F1112:F1123)=5),cubic_spline(F1111:F1116,H1111:H1116,B$6),IF(AND(COUNT(H1112:H1123)=6,COUNT(F1112:F1123)=6),cubic_spline(F1111:F1117,H1111:H1117,B$6),IF(AND(COUNT(H1112:H1123)=7,COUNT(F1112:F1123)=7),cubic_spline(F1111:F1118,H1111:H1118,B$6),IF(AND(COUNT(H1112:H1123)=8,COUNT(F1112:F1123)=8),cubic_spline(F1111:F1119,H1111:H1119,B$6),IF(AND(COUNT(H1112:H1123)=9,COUNT(F1112:F1123)=9),cubic_spline(F1111:F1120,H1111:H1120,B$6),IF(AND(COUNT(H1112:H1123)=10,COUNT(F1112:F1123)=10),cubic_spline(F1111:F1121,H1111:H1121,B$6),IF(AND(COUNT(H1112:H1123)=11,COUNT(F1112:F1123)=11),cubic_spline(F1111:F1122,H1111:H1122,B$6),IF(AND(COUNT(H1112:H1123)=12,COUNT(F1112:F1123)=12),cubic_spline(F1111:F1123,H1111:H1123,B$6),""))))))))))))</f>
        <v/>
      </c>
      <c r="K1114" s="52" t="str">
        <f>IF(N(B$6)=0,"",IF(AND(COUNT(A1112:A1123)=2,COUNT(F1112:F1123)=2),cubic_spline(F1111:F1113,A1111:A1113,B$6),IF(AND(COUNT(A1112:A1123)=3,COUNT(F1112:F1123)=3),cubic_spline(F1111:F1114,A1111:A1114,B$6),IF(AND(COUNT(A1112:A1123)=4,COUNT(F1112:F1123)=4),cubic_spline(F1111:F1115,A1111:A1115,B$6),IF(AND(COUNT(A1112:A1123)=5,COUNT(F1112:F1123)=5),cubic_spline(F1111:F1116,A1111:A1116,B$6),IF(AND(COUNT(A1112:A1123)=6,COUNT(F1112:F1123)=6),cubic_spline(F1111:F1117,A1111:A1117,B$6),IF(AND(COUNT(A1112:A1123)=7,COUNT(F1112:F1123)=7),cubic_spline(F1111:F1118,A1111:A1118,B$6),IF(AND(COUNT(A1112:A1123)=8,COUNT(F1112:F1123)=8),cubic_spline(F1111:F1119,A1111:A1119,B$6),IF(AND(COUNT(A1112:A1123)=9,COUNT(F1112:F1123)=9),cubic_spline(F1111:F1120,A1111:A1120,B$6),IF(AND(COUNT(A1112:A1123)=10,COUNT(F1112:F1123)=10),cubic_spline(F1111:F1121,A1111:A1121,B$6),IF(AND(COUNT(A1112:A1123)=11,COUNT(F1112:F1123)=11),cubic_spline(F1111:F1122,A1111:A1122,B$6),IF(AND(COUNT(A1112:A1123)=12,COUNT(F1112:F1123)=12),cubic_spline(F1111:F1123,A1111:A1123,B$6),""))))))))))))</f>
        <v/>
      </c>
      <c r="L1114" s="27" t="str">
        <f>IF(I1114="","",B$5&amp;"-"&amp;B$6)</f>
        <v/>
      </c>
      <c r="M1114" s="52" t="str">
        <f>IF(N(J1114)=0,"",J1114-J1113)</f>
        <v/>
      </c>
    </row>
    <row r="1115" spans="1:13" x14ac:dyDescent="0.35">
      <c r="A1115" s="48"/>
      <c r="B1115" s="48"/>
      <c r="C1115" s="49"/>
      <c r="D1115" s="50"/>
      <c r="E1115" s="51" t="str">
        <f>IF(N(C1115)=0,"",C1115/PI()/($D$1/2)^2/$D$2*10000)</f>
        <v/>
      </c>
      <c r="F1115" s="68" t="str">
        <f t="shared" si="421"/>
        <v/>
      </c>
      <c r="G1115" s="69" t="str">
        <f t="shared" si="423"/>
        <v/>
      </c>
      <c r="H1115" s="70" t="str">
        <f t="shared" si="422"/>
        <v/>
      </c>
      <c r="I1115" s="27" t="str">
        <f>IF(N(J1115)=0,"",0&amp;"-"&amp;B$7)</f>
        <v/>
      </c>
      <c r="J1115" s="52" t="str">
        <f>IF(N(B$7)=0,"",IF(AND(COUNT(H1112:H1123)=2,COUNT(F1112:F1123)=2),cubic_spline(F1111:F1113,H1111:H1113,B$7),IF(AND(COUNT(H1112:H1123)=3,COUNT(F1112:F1123)=3),cubic_spline(F1111:F1114,H1111:H1114,B$7),IF(AND(COUNT(H1112:H1123)=4,COUNT(F1112:F1123)=4),cubic_spline(F1111:F1115,H1111:H1115,B$7),IF(AND(COUNT(H1112:H1123)=5,COUNT(F1112:F1123)=5),cubic_spline(F1111:F1116,H1111:H1116,B$7),IF(AND(COUNT(H1112:H1123)=6,COUNT(F1112:F1123)=6),cubic_spline(F1111:F1117,H1111:H1117,B$7),IF(AND(COUNT(H1112:H1123)=7,COUNT(F1112:F1123)=7),cubic_spline(F1111:F1118,H1111:H1118,B$7),IF(AND(COUNT(H1112:H1123)=8,COUNT(F1112:F1123)=8),cubic_spline(F1111:F1119,H1111:H1119,B$7),IF(AND(COUNT(H1112:H1123)=9,COUNT(F1112:F1123)=9),cubic_spline(F1111:F1120,H1111:H1120,B$7),IF(AND(COUNT(H1112:H1123)=10,COUNT(F1112:F1123)=10),cubic_spline(F1111:F1121,H1111:H1121,B$7),IF(AND(COUNT(H1112:H1123)=11,COUNT(F1112:F1123)=11),cubic_spline(F1111:F1122,H1111:H1122,B$7),IF(AND(COUNT(H1112:H1123)=12,COUNT(F1112:F1123)=12),cubic_spline(F1111:F1123,H1111:H1123,B$7),""))))))))))))</f>
        <v/>
      </c>
      <c r="K1115" s="52" t="str">
        <f>IF(N(B$7)=0,"",IF(AND(COUNT(A1112:A1123)=2,COUNT(F1112:F1123)=2),cubic_spline(F1111:F1113,A1111:A1113,B$7),IF(AND(COUNT(A1112:A1123)=3,COUNT(F1112:F1123)=3),cubic_spline(F1111:F1114,A1111:A1114,B$7),IF(AND(COUNT(A1112:A1123)=4,COUNT(F1112:F1123)=4),cubic_spline(F1111:F1115,A1111:A1115,B$7),IF(AND(COUNT(A1112:A1123)=5,COUNT(F1112:F1123)=5),cubic_spline(F1111:F1116,A1111:A1116,B$7),IF(AND(COUNT(A1112:A1123)=6,COUNT(F1112:F1123)=6),cubic_spline(F1111:F1117,A1111:A1117,B$7),IF(AND(COUNT(A1112:A1123)=7,COUNT(F1112:F1123)=7),cubic_spline(F1111:F1118,A1111:A1118,B$7),IF(AND(COUNT(A1112:A1123)=8,COUNT(F1112:F1123)=8),cubic_spline(F1111:F1119,A1111:A1119,B$7),IF(AND(COUNT(A1112:A1123)=9,COUNT(F1112:F1123)=9),cubic_spline(F1111:F1120,A1111:A1120,B$7),IF(AND(COUNT(A1112:A1123)=10,COUNT(F1112:F1123)=10),cubic_spline(F1111:F1121,A1111:A1121,B$7),IF(AND(COUNT(A1112:A1123)=11,COUNT(F1112:F1123)=11),cubic_spline(F1111:F1122,A1111:A1122,B$7),IF(AND(COUNT(A1112:A1123)=12,COUNT(F1112:F1123)=12),cubic_spline(F1111:F1123,A1111:A1123,B$7),""))))))))))))</f>
        <v/>
      </c>
      <c r="L1115" s="27" t="str">
        <f>IF(I1115="","",B$6&amp;"-"&amp;B$7)</f>
        <v/>
      </c>
      <c r="M1115" s="52" t="str">
        <f>IF(N(J1115)=0,"",J1115-J1114)</f>
        <v/>
      </c>
    </row>
    <row r="1116" spans="1:13" x14ac:dyDescent="0.35">
      <c r="A1116" s="48"/>
      <c r="B1116" s="48"/>
      <c r="C1116" s="49"/>
      <c r="D1116" s="50"/>
      <c r="E1116" s="51" t="str">
        <f t="shared" ref="E1116:E1123" si="424">IF(N(C1116)=0,"",C1116/PI()/($D$1/2)^2/$D$2*10000)</f>
        <v/>
      </c>
      <c r="F1116" s="71" t="str">
        <f t="shared" si="421"/>
        <v/>
      </c>
      <c r="G1116" s="69" t="str">
        <f t="shared" si="423"/>
        <v/>
      </c>
      <c r="H1116" s="70" t="str">
        <f t="shared" si="422"/>
        <v/>
      </c>
      <c r="I1116" s="27" t="str">
        <f>IF(N(J1116)=0,"",0&amp;"-"&amp;B$8)</f>
        <v/>
      </c>
      <c r="J1116" s="52" t="str">
        <f>IF(N(B$8)=0,"",IF(AND(COUNT(H1112:H1123)=2,COUNT(F1112:F1123)=2),cubic_spline(F1111:F1113,H1111:H1113,B$8),IF(AND(COUNT(H1112:H1123)=3,COUNT(F1112:F1123)=3),cubic_spline(F1111:F1114,H1111:H1114,B$8),IF(AND(COUNT(H1112:H1123)=4,COUNT(F1112:F1123)=4),cubic_spline(F1111:F1115,H1111:H1115,B$8),IF(AND(COUNT(H1112:H1123)=5,COUNT(F1112:F1123)=5),cubic_spline(F1111:F1116,H1111:H1116,B$8),IF(AND(COUNT(H1112:H1123)=6,COUNT(F1112:F1123)=6),cubic_spline(F1111:F1117,H1111:H1117,B$8),IF(AND(COUNT(H1112:H1123)=7,COUNT(F1112:F1123)=7),cubic_spline(F1111:F1118,H1111:H1118,B$8),IF(AND(COUNT(H1112:H1123)=8,COUNT(F1112:F1123)=8),cubic_spline(F1111:F1119,H1111:H1119,B$8),IF(AND(COUNT(H1112:H1123)=9,COUNT(F1112:F1123)=9),cubic_spline(F1111:F1120,H1111:H1120,B$8),IF(AND(COUNT(H1112:H1123)=10,COUNT(F1112:F1123)=10),cubic_spline(F1111:F1121,H1111:H1121,B$8),IF(AND(COUNT(H1112:H1123)=11,COUNT(F1112:F1123)=11),cubic_spline(F1111:F1122,H1111:H1122,B$8),IF(AND(COUNT(H1112:H1123)=12,COUNT(F1112:F1123)=12),cubic_spline(F1111:F1123,H1111:H1123,B$8),""))))))))))))</f>
        <v/>
      </c>
      <c r="K1116" s="52" t="str">
        <f>IF(N(B$8)=0,"",IF(AND(COUNT(A1112:A1123)=2,COUNT(F1112:F1123)=2),cubic_spline(F1111:F1113,A1111:A1113,B$8),IF(AND(COUNT(A1112:A1123)=3,COUNT(F1112:F1123)=3),cubic_spline(F1111:F1114,A1111:A1114,B$8),IF(AND(COUNT(A1112:A1123)=4,COUNT(F1112:F1123)=4),cubic_spline(F1111:F1115,A1111:A1115,B$8),IF(AND(COUNT(A1112:A1123)=5,COUNT(F1112:F1123)=5),cubic_spline(F1111:F1116,A1111:A1116,B$8),IF(AND(COUNT(A1112:A1123)=6,COUNT(F1112:F1123)=6),cubic_spline(F1111:F1117,A1111:A1117,B$8),IF(AND(COUNT(A1112:A1123)=7,COUNT(F1112:F1123)=7),cubic_spline(F1111:F1118,A1111:A1118,B$8),IF(AND(COUNT(A1112:A1123)=8,COUNT(F1112:F1123)=8),cubic_spline(F1111:F1119,A1111:A1119,B$8),IF(AND(COUNT(A1112:A1123)=9,COUNT(F1112:F1123)=9),cubic_spline(F1111:F1120,A1111:A1120,B$8),IF(AND(COUNT(A1112:A1123)=10,COUNT(F1112:F1123)=10),cubic_spline(F1111:F1121,A1111:A1121,B$8),IF(AND(COUNT(A1112:A1123)=11,COUNT(F1112:F1123)=11),cubic_spline(F1111:F1122,A1111:A1122,B$8),IF(AND(COUNT(A1112:A1123)=12,COUNT(F1112:F1123)=12),cubic_spline(F1111:F1123,A1111:A1123,B$8),""))))))))))))</f>
        <v/>
      </c>
      <c r="L1116" s="27" t="str">
        <f>IF(I1116="","",B$7&amp;"-"&amp;B$8)</f>
        <v/>
      </c>
      <c r="M1116" s="52" t="str">
        <f>IF(N(J1116)=0,"",J1116-J1115)</f>
        <v/>
      </c>
    </row>
    <row r="1117" spans="1:13" x14ac:dyDescent="0.35">
      <c r="A1117" s="48"/>
      <c r="B1117" s="48"/>
      <c r="C1117" s="49"/>
      <c r="D1117" s="50"/>
      <c r="E1117" s="51" t="str">
        <f t="shared" si="424"/>
        <v/>
      </c>
      <c r="F1117" s="71" t="str">
        <f t="shared" si="421"/>
        <v/>
      </c>
      <c r="G1117" s="69" t="str">
        <f t="shared" si="423"/>
        <v/>
      </c>
      <c r="H1117" s="70" t="str">
        <f t="shared" si="422"/>
        <v/>
      </c>
      <c r="I1117" s="27" t="str">
        <f>IF(N(J1117)=0,"",0&amp;"-"&amp;B$9)</f>
        <v/>
      </c>
      <c r="J1117" s="52" t="str">
        <f>IF(N(B$9)=0,"",IF(AND(COUNT(H1112:H1123)=2,COUNT(F1112:F1123)=2),cubic_spline(F1111:F1113,H1111:H1113,B$9),IF(AND(COUNT(H1112:H1123)=3,COUNT(F1112:F1123)=3),cubic_spline(F1111:F1114,H1111:H1114,B$9),IF(AND(COUNT(H1112:H1123)=4,COUNT(F1112:F1123)=4),cubic_spline(F1111:F1115,H1111:H1115,B$9),IF(AND(COUNT(H1112:H1123)=5,COUNT(F1112:F1123)=5),cubic_spline(F1111:F1116,H1111:H1116,B$9),IF(AND(COUNT(H1112:H1123)=6,COUNT(F1112:F1123)=6),cubic_spline(F1111:F1117,H1111:H1117,B$9),IF(AND(COUNT(H1112:H1123)=7,COUNT(F1112:F1123)=7),cubic_spline(F1111:F1118,H1111:H1118,B$9),IF(AND(COUNT(H1112:H1123)=8,COUNT(F1112:F1123)=8),cubic_spline(F1111:F1119,H1111:H1119,B$9),IF(AND(COUNT(H1112:H1123)=9,COUNT(F1112:F1123)=9),cubic_spline(F1111:F1120,H1111:H1120,B$9),IF(AND(COUNT(H1112:H1123)=10,COUNT(F1112:F1123)=10),cubic_spline(F1111:F1121,H1111:H1121,B$9),IF(AND(COUNT(H1112:H1123)=11,COUNT(F1112:F1123)=11),cubic_spline(F1111:F1122,H1111:H1122,B$9),IF(AND(COUNT(H1112:H1123)=12,COUNT(F1112:F1123)=12),cubic_spline(F1111:F1123,H1111:H1123,B$9),""))))))))))))</f>
        <v/>
      </c>
      <c r="K1117" s="52" t="str">
        <f>IF(N(B$9)=0,"",IF(AND(COUNT(A1112:A1123)=2,COUNT(F1112:F1123)=2),cubic_spline(F1111:F1113,A1111:A1113,B$9),IF(AND(COUNT(A1112:A1123)=3,COUNT(F1112:F1123)=3),cubic_spline(F1111:F1114,A1111:A1114,B$9),IF(AND(COUNT(A1112:A1123)=4,COUNT(F1112:F1123)=4),cubic_spline(F1111:F1115,A1111:A1115,B$9),IF(AND(COUNT(A1112:A1123)=5,COUNT(F1112:F1123)=5),cubic_spline(F1111:F1116,A1111:A1116,B$9),IF(AND(COUNT(A1112:A1123)=6,COUNT(F1112:F1123)=6),cubic_spline(F1111:F1117,A1111:A1117,B$9),IF(AND(COUNT(A1112:A1123)=7,COUNT(F1112:F1123)=7),cubic_spline(F1111:F1118,A1111:A1118,B$9),IF(AND(COUNT(A1112:A1123)=8,COUNT(F1112:F1123)=8),cubic_spline(F1111:F1119,A1111:A1119,B$9),IF(AND(COUNT(A1112:A1123)=9,COUNT(F1112:F1123)=9),cubic_spline(F1111:F1120,A1111:A1120,B$9),IF(AND(COUNT(A1112:A1123)=10,COUNT(F1112:F1123)=10),cubic_spline(F1111:F1121,A1111:A1121,B$9),IF(AND(COUNT(A1112:A1123)=11,COUNT(F1112:F1123)=11),cubic_spline(F1111:F1122,A1111:A1122,B$9),IF(AND(COUNT(A1112:A1123)=12,COUNT(F1112:F1123)=12),cubic_spline(F1111:F1123,A1111:A1123,B$9),""))))))))))))</f>
        <v/>
      </c>
      <c r="L1117" s="27" t="str">
        <f>IF(I1117="","",B$8&amp;"-"&amp;B$9)</f>
        <v/>
      </c>
      <c r="M1117" s="52" t="str">
        <f t="shared" ref="M1117:M1123" si="425">IF(N(J1117)=0,"",J1117-J1116)</f>
        <v/>
      </c>
    </row>
    <row r="1118" spans="1:13" x14ac:dyDescent="0.35">
      <c r="A1118" s="48"/>
      <c r="B1118" s="48"/>
      <c r="C1118" s="49"/>
      <c r="D1118" s="50"/>
      <c r="E1118" s="51" t="str">
        <f t="shared" si="424"/>
        <v/>
      </c>
      <c r="F1118" s="71" t="str">
        <f t="shared" si="421"/>
        <v/>
      </c>
      <c r="G1118" s="69" t="str">
        <f t="shared" si="423"/>
        <v/>
      </c>
      <c r="H1118" s="70" t="str">
        <f t="shared" si="422"/>
        <v/>
      </c>
      <c r="I1118" s="27" t="str">
        <f>IF(N(J1118)=0,"",0&amp;"-"&amp;B$10)</f>
        <v/>
      </c>
      <c r="J1118" s="52" t="str">
        <f>IF(N(B$10)=0,"",IF(AND(COUNT(H1112:H1123)=2,COUNT(F1112:F1123)=2),cubic_spline(F1111:F1113,H1111:H1113,B$10),IF(AND(COUNT(H1112:H1123)=3,COUNT(F1112:F1123)=3),cubic_spline(F1111:F1114,H1111:H1114,B$10),IF(AND(COUNT(H1112:H1123)=4,COUNT(F1112:F1123)=4),cubic_spline(F1111:F1115,H1111:H1115,B$10),IF(AND(COUNT(H1112:H1123)=5,COUNT(F1112:F1123)=5),cubic_spline(F1111:F1116,H1111:H1116,B$10),IF(AND(COUNT(H1112:H1123)=6,COUNT(F1112:F1123)=6),cubic_spline(F1111:F1117,H1111:H1117,B$10),IF(AND(COUNT(H1112:H1123)=7,COUNT(F1112:F1123)=7),cubic_spline(F1111:F1118,H1111:H1118,B$10),IF(AND(COUNT(H1112:H1123)=8,COUNT(F1112:F1123)=8),cubic_spline(F1111:F1119,H1111:H1119,B$10),IF(AND(COUNT(H1112:H1123)=9,COUNT(F1112:F1123)=9),cubic_spline(F1111:F1120,H1111:H1120,B$10),IF(AND(COUNT(H1112:H1123)=10,COUNT(F1112:F1123)=10),cubic_spline(F1111:F1121,H1111:H1121,B$10),IF(AND(COUNT(H1112:H1123)=11,COUNT(F1112:F1123)=11),cubic_spline(F1111:F1122,H1111:H1122,B$10),IF(AND(COUNT(H1112:H1123)=12,COUNT(F1112:F1123)=12),cubic_spline(F1111:F1123,H1111:H1123,B$10),""))))))))))))</f>
        <v/>
      </c>
      <c r="K1118" s="52" t="str">
        <f>IF(N(B$10)=0,"",IF(AND(COUNT(A1112:A1123)=2,COUNT(F1112:F1123)=2),cubic_spline(F1111:F1113,A1111:A1113,B$10),IF(AND(COUNT(A1112:A1123)=3,COUNT(F1112:F1123)=3),cubic_spline(F1111:F1114,A1111:A1114,B$10),IF(AND(COUNT(A1112:A1123)=4,COUNT(F1112:F1123)=4),cubic_spline(F1111:F1115,A1111:A1115,B$10),IF(AND(COUNT(A1112:A1123)=5,COUNT(F1112:F1123)=5),cubic_spline(F1111:F1116,A1111:A1116,B$10),IF(AND(COUNT(A1112:A1123)=6,COUNT(F1112:F1123)=6),cubic_spline(F1111:F1117,A1111:A1117,B$10),IF(AND(COUNT(A1112:A1123)=7,COUNT(F1112:F1123)=7),cubic_spline(F1111:F1118,A1111:A1118,B$10),IF(AND(COUNT(A1112:A1123)=8,COUNT(F1112:F1123)=8),cubic_spline(F1111:F1119,A1111:A1119,B$10),IF(AND(COUNT(A1112:A1123)=9,COUNT(F1112:F1123)=9),cubic_spline(F1111:F1120,A1111:A1120,B$10),IF(AND(COUNT(A1112:A1123)=10,COUNT(F1112:F1123)=10),cubic_spline(F1111:F1121,A1111:A1121,B$10),IF(AND(COUNT(A1112:A1123)=11,COUNT(F1112:F1123)=11),cubic_spline(F1111:F1122,A1111:A1122,B$10),IF(AND(COUNT(A1112:A1123)=12,COUNT(F1112:F1123)=12),cubic_spline(F1111:F1123,A1111:A1123,B$10),""))))))))))))</f>
        <v/>
      </c>
      <c r="L1118" s="27" t="str">
        <f>IF(I1118="","",B$9&amp;"-"&amp;B$10)</f>
        <v/>
      </c>
      <c r="M1118" s="52" t="str">
        <f t="shared" si="425"/>
        <v/>
      </c>
    </row>
    <row r="1119" spans="1:13" x14ac:dyDescent="0.35">
      <c r="A1119" s="48"/>
      <c r="B1119" s="48"/>
      <c r="C1119" s="49"/>
      <c r="D1119" s="50"/>
      <c r="E1119" s="51" t="str">
        <f t="shared" si="424"/>
        <v/>
      </c>
      <c r="F1119" s="71" t="str">
        <f t="shared" si="421"/>
        <v/>
      </c>
      <c r="G1119" s="69" t="str">
        <f t="shared" si="423"/>
        <v/>
      </c>
      <c r="H1119" s="70" t="str">
        <f t="shared" si="422"/>
        <v/>
      </c>
      <c r="I1119" s="27" t="str">
        <f>IF(N(J1119)=0,"",0&amp;"-"&amp;B$11)</f>
        <v/>
      </c>
      <c r="J1119" s="52" t="str">
        <f>IF(N(B$11)=0,"",IF(AND(COUNT(H1112:H1123)=2,COUNT(F1112:F1123)=2),cubic_spline(F1111:F1113,H1111:H1113,B$11),IF(AND(COUNT(H1112:H1123)=3,COUNT(F1112:F1123)=3),cubic_spline(F1111:F1114,H1111:H1114,B$11),IF(AND(COUNT(H1112:H1123)=4,COUNT(F1112:F1123)=4),cubic_spline(F1111:F1115,H1111:H1115,B$11),IF(AND(COUNT(H1112:H1123)=5,COUNT(F1112:F1123)=5),cubic_spline(F1111:F1116,H1111:H1116,B$11),IF(AND(COUNT(H1112:H1123)=6,COUNT(F1112:F1123)=6),cubic_spline(F1111:F1117,H1111:H1117,B$11),IF(AND(COUNT(H1112:H1123)=7,COUNT(F1112:F1123)=7),cubic_spline(F1111:F1118,H1111:H1118,B$11),IF(AND(COUNT(H1112:H1123)=8,COUNT(F1112:F1123)=8),cubic_spline(F1111:F1119,H1111:H1119,B$11),IF(AND(COUNT(H1112:H1123)=9,COUNT(F1112:F1123)=9),cubic_spline(F1111:F1120,H1111:H1120,B$11),IF(AND(COUNT(H1112:H1123)=10,COUNT(F1112:F1123)=10),cubic_spline(F1111:F1121,H1111:H1121,B$11),IF(AND(COUNT(H1112:H1123)=11,COUNT(F1112:F1123)=11),cubic_spline(F1111:F1122,H1111:H1122,B$11),IF(AND(COUNT(H1112:H1123)=12,COUNT(F1112:F1123)=12),cubic_spline(F1111:F1123,H1111:H1123,B$11),""))))))))))))</f>
        <v/>
      </c>
      <c r="K1119" s="52" t="str">
        <f>IF(N(B$11)=0,"",IF(AND(COUNT(A1112:A1123)=2,COUNT(F1112:F1123)=2),cubic_spline(F1111:F1113,A1111:A1113,B$11),IF(AND(COUNT(A1112:A1123)=3,COUNT(F1112:F1123)=3),cubic_spline(F1111:F1114,A1111:A1114,B$11),IF(AND(COUNT(A1112:A1123)=4,COUNT(F1112:F1123)=4),cubic_spline(F1111:F1115,A1111:A1115,B$11),IF(AND(COUNT(A1112:A1123)=5,COUNT(F1112:F1123)=5),cubic_spline(F1111:F1116,A1111:A1116,B$11),IF(AND(COUNT(A1112:A1123)=6,COUNT(F1112:F1123)=6),cubic_spline(F1111:F1117,A1111:A1117,B$11),IF(AND(COUNT(A1112:A1123)=7,COUNT(F1112:F1123)=7),cubic_spline(F1111:F1118,A1111:A1118,B$11),IF(AND(COUNT(A1112:A1123)=8,COUNT(F1112:F1123)=8),cubic_spline(F1111:F1119,A1111:A1119,B$11),IF(AND(COUNT(A1112:A1123)=9,COUNT(F1112:F1123)=9),cubic_spline(F1111:F1120,A1111:A1120,B$11),IF(AND(COUNT(A1112:A1123)=10,COUNT(F1112:F1123)=10),cubic_spline(F1111:F1121,A1111:A1121,B$11),IF(AND(COUNT(A1112:A1123)=11,COUNT(F1112:F1123)=11),cubic_spline(F1111:F1122,A1111:A1122,B$11),IF(AND(COUNT(A1112:A1123)=12,COUNT(F1112:F1123)=12),cubic_spline(F1111:F1123,A1111:A1123,B$11),""))))))))))))</f>
        <v/>
      </c>
      <c r="L1119" s="27" t="str">
        <f>IF(I1119="","",B$10&amp;"-"&amp;B$11)</f>
        <v/>
      </c>
      <c r="M1119" s="52" t="str">
        <f t="shared" si="425"/>
        <v/>
      </c>
    </row>
    <row r="1120" spans="1:13" x14ac:dyDescent="0.35">
      <c r="A1120" s="48"/>
      <c r="B1120" s="48"/>
      <c r="C1120" s="49"/>
      <c r="D1120" s="50"/>
      <c r="E1120" s="51" t="str">
        <f t="shared" si="424"/>
        <v/>
      </c>
      <c r="F1120" s="71" t="str">
        <f t="shared" si="421"/>
        <v/>
      </c>
      <c r="G1120" s="69" t="str">
        <f t="shared" si="423"/>
        <v/>
      </c>
      <c r="H1120" s="70" t="str">
        <f t="shared" si="422"/>
        <v/>
      </c>
      <c r="I1120" s="27" t="str">
        <f>IF(N(J1120)=0,"",0&amp;"-"&amp;B$12)</f>
        <v/>
      </c>
      <c r="J1120" s="52" t="str">
        <f>IF(N(B$12)=0,"",IF(AND(COUNT(H1112:H1123)=2,COUNT(F1112:F1123)=2),cubic_spline(F1111:F1113,H1111:H1113,B$12),IF(AND(COUNT(H1112:H1123)=3,COUNT(F1112:F1123)=3),cubic_spline(F1111:F1114,H1111:H1114,B$12),IF(AND(COUNT(H1112:H1123)=4,COUNT(F1112:F1123)=4),cubic_spline(F1111:F1115,H1111:H1115,B$12),IF(AND(COUNT(H1112:H1123)=5,COUNT(F1112:F1123)=5),cubic_spline(F1111:F1116,H1111:H1116,B$12),IF(AND(COUNT(H1112:H1123)=6,COUNT(F1112:F1123)=6),cubic_spline(F1111:F1117,H1111:H1117,B$12),IF(AND(COUNT(H1112:H1123)=7,COUNT(F1112:F1123)=7),cubic_spline(F1111:F1118,H1111:H1118,B$12),IF(AND(COUNT(H1112:H1123)=8,COUNT(F1112:F1123)=8),cubic_spline(F1111:F1119,H1111:H1119,B$12),IF(AND(COUNT(H1112:H1123)=9,COUNT(F1112:F1123)=9),cubic_spline(F1111:F1120,H1111:H1120,B$12),IF(AND(COUNT(H1112:H1123)=10,COUNT(F1112:F1123)=10),cubic_spline(F1111:F1121,H1111:H1121,B$12),IF(AND(COUNT(H1112:H1123)=11,COUNT(F1112:F1123)=11),cubic_spline(F1111:F1122,H1111:H1122,B$12),IF(AND(COUNT(H1112:H1123)=12,COUNT(F1112:F1123)=12),cubic_spline(F1111:F1123,H1111:H1123,B$12),""))))))))))))</f>
        <v/>
      </c>
      <c r="K1120" s="52" t="str">
        <f>IF(N(B$12)=0,"",IF(AND(COUNT(A1112:A1123)=2,COUNT(F1112:F1123)=2),cubic_spline(F1111:F1113,A1111:A1113,B$12),IF(AND(COUNT(A1112:A1123)=3,COUNT(F1112:F1123)=3),cubic_spline(F1111:F1114,A1111:A1114,B$12),IF(AND(COUNT(A1112:A1123)=4,COUNT(F1112:F1123)=4),cubic_spline(F1111:F1115,A1111:A1115,B$12),IF(AND(COUNT(A1112:A1123)=5,COUNT(F1112:F1123)=5),cubic_spline(F1111:F1116,A1111:A1116,B$12),IF(AND(COUNT(A1112:A1123)=6,COUNT(F1112:F1123)=6),cubic_spline(F1111:F1117,A1111:A1117,B$12),IF(AND(COUNT(A1112:A1123)=7,COUNT(F1112:F1123)=7),cubic_spline(F1111:F1118,A1111:A1118,B$12),IF(AND(COUNT(A1112:A1123)=8,COUNT(F1112:F1123)=8),cubic_spline(F1111:F1119,A1111:A1119,B$12),IF(AND(COUNT(A1112:A1123)=9,COUNT(F1112:F1123)=9),cubic_spline(F1111:F1120,A1111:A1120,B$12),IF(AND(COUNT(A1112:A1123)=10,COUNT(F1112:F1123)=10),cubic_spline(F1111:F1121,A1111:A1121,B$12),IF(AND(COUNT(A1112:A1123)=11,COUNT(F1112:F1123)=11),cubic_spline(F1111:F1122,A1111:A1122,B$12),IF(AND(COUNT(A1112:A1123)=12,COUNT(F1112:F1123)=12),cubic_spline(F1111:F1123,A1111:A1123,B$12),""))))))))))))</f>
        <v/>
      </c>
      <c r="L1120" s="27" t="str">
        <f>IF(I1120="","",B$11&amp;"-"&amp;B$12)</f>
        <v/>
      </c>
      <c r="M1120" s="52" t="str">
        <f t="shared" si="425"/>
        <v/>
      </c>
    </row>
    <row r="1121" spans="1:13" x14ac:dyDescent="0.35">
      <c r="A1121" s="48"/>
      <c r="B1121" s="48"/>
      <c r="C1121" s="49"/>
      <c r="D1121" s="50"/>
      <c r="E1121" s="51" t="str">
        <f t="shared" si="424"/>
        <v/>
      </c>
      <c r="F1121" s="71" t="str">
        <f t="shared" si="421"/>
        <v/>
      </c>
      <c r="G1121" s="69" t="str">
        <f t="shared" si="423"/>
        <v/>
      </c>
      <c r="H1121" s="70" t="str">
        <f t="shared" si="422"/>
        <v/>
      </c>
      <c r="I1121" s="27" t="str">
        <f>IF(N(J1121)=0,"",0&amp;"-"&amp;B$13)</f>
        <v/>
      </c>
      <c r="J1121" s="52" t="str">
        <f>IF(N(B$13)=0,"",IF(AND(COUNT(H1112:H1123)=2,COUNT(F1112:F1123)=2),cubic_spline(F1111:F1113,H1111:H1113,B$13),IF(AND(COUNT(H1112:H1123)=3,COUNT(F1112:F1123)=3),cubic_spline(F1111:F1114,H1111:H1114,B$13),IF(AND(COUNT(H1112:H1123)=4,COUNT(F1112:F1123)=4),cubic_spline(F1111:F1115,H1111:H1115,B$13),IF(AND(COUNT(H1112:H1123)=5,COUNT(F1112:F1123)=5),cubic_spline(F1111:F1116,H1111:H1116,B$13),IF(AND(COUNT(H1112:H1123)=6,COUNT(F1112:F1123)=6),cubic_spline(F1111:F1117,H1111:H1117,B$13),IF(AND(COUNT(H1112:H1123)=7,COUNT(F1112:F1123)=7),cubic_spline(F1111:F1118,H1111:H1118,B$13),IF(AND(COUNT(H1112:H1123)=8,COUNT(F1112:F1123)=8),cubic_spline(F1111:F1119,H1111:H1119,B$13),IF(AND(COUNT(H1112:H1123)=9,COUNT(F1112:F1123)=9),cubic_spline(F1111:F1120,H1111:H1120,B$13),IF(AND(COUNT(H1112:H1123)=10,COUNT(F1112:F1123)=10),cubic_spline(F1111:F1121,H1111:H1121,B$13),IF(AND(COUNT(H1112:H1123)=11,COUNT(F1112:F1123)=11),cubic_spline(F1111:F1122,H1111:H1122,B$13),IF(AND(COUNT(H1112:H1123)=12,COUNT(F1112:F1123)=12),cubic_spline(F1111:F1123,H1111:H1123,B$13),""))))))))))))</f>
        <v/>
      </c>
      <c r="K1121" s="52" t="str">
        <f>IF(N(B$13)=0,"",IF(AND(COUNT(A1112:A1123)=2,COUNT(F1112:F1123)=2),cubic_spline(F1111:F1113,A1111:A1113,B$13),IF(AND(COUNT(A1112:A1123)=3,COUNT(F1112:F1123)=3),cubic_spline(F1111:F1114,A1111:A1114,B$13),IF(AND(COUNT(A1112:A1123)=4,COUNT(F1112:F1123)=4),cubic_spline(F1111:F1115,A1111:A1115,B$13),IF(AND(COUNT(A1112:A1123)=5,COUNT(F1112:F1123)=5),cubic_spline(F1111:F1116,A1111:A1116,B$13),IF(AND(COUNT(A1112:A1123)=6,COUNT(F1112:F1123)=6),cubic_spline(F1111:F1117,A1111:A1117,B$13),IF(AND(COUNT(A1112:A1123)=7,COUNT(F1112:F1123)=7),cubic_spline(F1111:F1118,A1111:A1118,B$13),IF(AND(COUNT(A1112:A1123)=8,COUNT(F1112:F1123)=8),cubic_spline(F1111:F1119,A1111:A1119,B$13),IF(AND(COUNT(A1112:A1123)=9,COUNT(F1112:F1123)=9),cubic_spline(F1111:F1120,A1111:A1120,B$13),IF(AND(COUNT(A1112:A1123)=10,COUNT(F1112:F1123)=10),cubic_spline(F1111:F1121,A1111:A1121,B$13),IF(AND(COUNT(A1112:A1123)=11,COUNT(F1112:F1123)=11),cubic_spline(F1111:F1122,A1111:A1122,B$13),IF(AND(COUNT(A1112:A1123)=12,COUNT(F1112:F1123)=12),cubic_spline(F1111:F1123,A1111:A1123,B$13),""))))))))))))</f>
        <v/>
      </c>
      <c r="L1121" s="27" t="str">
        <f>IF(I1121="","",B$12&amp;"-"&amp;B$13)</f>
        <v/>
      </c>
      <c r="M1121" s="52" t="str">
        <f t="shared" si="425"/>
        <v/>
      </c>
    </row>
    <row r="1122" spans="1:13" x14ac:dyDescent="0.35">
      <c r="A1122" s="48"/>
      <c r="B1122" s="48"/>
      <c r="C1122" s="49"/>
      <c r="D1122" s="50"/>
      <c r="E1122" s="51" t="str">
        <f t="shared" si="424"/>
        <v/>
      </c>
      <c r="F1122" s="71" t="str">
        <f t="shared" si="421"/>
        <v/>
      </c>
      <c r="G1122" s="69" t="str">
        <f t="shared" si="423"/>
        <v/>
      </c>
      <c r="H1122" s="70" t="str">
        <f t="shared" si="422"/>
        <v/>
      </c>
      <c r="I1122" s="27" t="str">
        <f>IF(N(J1122)=0,"",0&amp;"-"&amp;B$14)</f>
        <v/>
      </c>
      <c r="J1122" s="52" t="str">
        <f>IF(N(B$14)=0,"",IF(AND(COUNT(H1112:H1123)=2,COUNT(F1112:F1123)=2),cubic_spline(F1111:F1113,H1111:H1113,B$14),IF(AND(COUNT(H1112:H1123)=3,COUNT(F1112:F1123)=3),cubic_spline(F1111:F1114,H1111:H1114,B$14),IF(AND(COUNT(H1112:H1123)=4,COUNT(F1112:F1123)=4),cubic_spline(F1111:F1115,H1111:H1115,B$14),IF(AND(COUNT(H1112:H1123)=5,COUNT(F1112:F1123)=5),cubic_spline(F1111:F1116,H1111:H1116,B$14),IF(AND(COUNT(H1112:H1123)=6,COUNT(F1112:F1123)=6),cubic_spline(F1111:F1117,H1111:H1117,B$14),IF(AND(COUNT(H1112:H1123)=7,COUNT(F1112:F1123)=7),cubic_spline(F1111:F1118,H1111:H1118,B$14),IF(AND(COUNT(H1112:H1123)=8,COUNT(F1112:F1123)=8),cubic_spline(F1111:F1119,H1111:H1119,B$14),IF(AND(COUNT(H1112:H1123)=9,COUNT(F1112:F1123)=9),cubic_spline(F1111:F1120,H1111:H1120,B$14),IF(AND(COUNT(H1112:H1123)=10,COUNT(F1112:F1123)=10),cubic_spline(F1111:F1121,H1111:H1121,B$14),IF(AND(COUNT(H1112:H1123)=11,COUNT(F1112:F1123)=11),cubic_spline(F1111:F1122,H1111:H1122,B$14),IF(AND(COUNT(H1112:H1123)=12,COUNT(F1112:F1123)=12),cubic_spline(F1111:F1123,H1111:H1123,B$14),""))))))))))))</f>
        <v/>
      </c>
      <c r="K1122" s="52" t="str">
        <f>IF(N(B$14)=0,"",IF(AND(COUNT(A1112:A1123)=2,COUNT(F1112:F1123)=2),cubic_spline(F1111:F1113,A1111:A1113,B$14),IF(AND(COUNT(A1112:A1123)=3,COUNT(F1112:F1123)=3),cubic_spline(F1111:F1114,A1111:A1114,B$14),IF(AND(COUNT(A1112:A1123)=4,COUNT(F1112:F1123)=4),cubic_spline(F1111:F1115,A1111:A1115,B$14),IF(AND(COUNT(A1112:A1123)=5,COUNT(F1112:F1123)=5),cubic_spline(F1111:F1116,A1111:A1116,B$14),IF(AND(COUNT(A1112:A1123)=6,COUNT(F1112:F1123)=6),cubic_spline(F1111:F1117,A1111:A1117,B$14),IF(AND(COUNT(A1112:A1123)=7,COUNT(F1112:F1123)=7),cubic_spline(F1111:F1118,A1111:A1118,B$14),IF(AND(COUNT(A1112:A1123)=8,COUNT(F1112:F1123)=8),cubic_spline(F1111:F1119,A1111:A1119,B$14),IF(AND(COUNT(A1112:A1123)=9,COUNT(F1112:F1123)=9),cubic_spline(F1111:F1120,A1111:A1120,B$14),IF(AND(COUNT(A1112:A1123)=10,COUNT(F1112:F1123)=10),cubic_spline(F1111:F1121,A1111:A1121,B$14),IF(AND(COUNT(A1112:A1123)=11,COUNT(F1112:F1123)=11),cubic_spline(F1111:F1122,A1111:A1122,B$14),IF(AND(COUNT(A1112:A1123)=12,COUNT(F1112:F1123)=12),cubic_spline(F1111:F1123,A1111:A1123,B$14),""))))))))))))</f>
        <v/>
      </c>
      <c r="L1122" s="27" t="str">
        <f>IF(I1122="","",B$13&amp;"-"&amp;B$14)</f>
        <v/>
      </c>
      <c r="M1122" s="52" t="str">
        <f t="shared" si="425"/>
        <v/>
      </c>
    </row>
    <row r="1123" spans="1:13" x14ac:dyDescent="0.35">
      <c r="A1123" s="48"/>
      <c r="B1123" s="48"/>
      <c r="C1123" s="49"/>
      <c r="D1123" s="50"/>
      <c r="E1123" s="51" t="str">
        <f t="shared" si="424"/>
        <v/>
      </c>
      <c r="F1123" s="71" t="str">
        <f t="shared" si="421"/>
        <v/>
      </c>
      <c r="G1123" s="69" t="str">
        <f t="shared" si="423"/>
        <v/>
      </c>
      <c r="H1123" s="70" t="str">
        <f t="shared" si="422"/>
        <v/>
      </c>
      <c r="I1123" s="27" t="str">
        <f>IF(N(J1123)=0,"",0&amp;"-"&amp;B$15)</f>
        <v/>
      </c>
      <c r="J1123" s="52" t="str">
        <f>IF(N(B$15)=0,"",IF(AND(COUNT(H1112:H1123)=2,COUNT(F1112:F1123)=2),cubic_spline(F1111:F1113,H1111:H1113,B$15),IF(AND(COUNT(H1112:H1123)=3,COUNT(F1112:F1123)=3),cubic_spline(F1111:F1114,H1111:H1114,B$15),IF(AND(COUNT(H1112:H1123)=4,COUNT(F1112:F1123)=4),cubic_spline(F1111:F1115,H1111:H1115,B$15),IF(AND(COUNT(H1112:H1123)=5,COUNT(F1112:F1123)=5),cubic_spline(F1111:F1116,H1111:H1116,B$15),IF(AND(COUNT(H1112:H1123)=6,COUNT(F1112:F1123)=6),cubic_spline(F1111:F1117,H1111:H1117,B$15),IF(AND(COUNT(H1112:H1123)=7,COUNT(F1112:F1123)=7),cubic_spline(F1111:F1118,H1111:H1118,B$15),IF(AND(COUNT(H1112:H1123)=8,COUNT(F1112:F1123)=8),cubic_spline(F1111:F1119,H1111:H1119,B$15),IF(AND(COUNT(H1112:H1123)=9,COUNT(F1112:F1123)=9),cubic_spline(F1111:F1120,H1111:H1120,B$15),IF(AND(COUNT(H1112:H1123)=10,COUNT(F1112:F1123)=10),cubic_spline(F1111:F1121,H1111:H1121,B$15),IF(AND(COUNT(H1112:H1123)=11,COUNT(F1112:F1123)=11),cubic_spline(F1111:F1122,H1111:H1122,B$15),IF(AND(COUNT(H1112:H1123)=12,COUNT(F1112:F1123)=12),cubic_spline(F1111:F1123,H1111:H1123,B$15),""))))))))))))</f>
        <v/>
      </c>
      <c r="K1123" s="52" t="str">
        <f>IF(N(B$15)=0,"",IF(AND(COUNT(A1112:A1123)=2,COUNT(F1112:F1123)=2),cubic_spline(F1111:F1113,A1111:A1113,B$15),IF(AND(COUNT(A1112:A1123)=3,COUNT(F1112:F1123)=3),cubic_spline(F1111:F1114,A1111:A1114,B$15),IF(AND(COUNT(A1112:A1123)=4,COUNT(F1112:F1123)=4),cubic_spline(F1111:F1115,A1111:A1115,B$15),IF(AND(COUNT(A1112:A1123)=5,COUNT(F1112:F1123)=5),cubic_spline(F1111:F1116,A1111:A1116,B$15),IF(AND(COUNT(A1112:A1123)=6,COUNT(F1112:F1123)=6),cubic_spline(F1111:F1117,A1111:A1117,B$15),IF(AND(COUNT(A1112:A1123)=7,COUNT(F1112:F1123)=7),cubic_spline(F1111:F1118,A1111:A1118,B$15),IF(AND(COUNT(A1112:A1123)=8,COUNT(F1112:F1123)=8),cubic_spline(F1111:F1119,A1111:A1119,B$15),IF(AND(COUNT(A1112:A1123)=9,COUNT(F1112:F1123)=9),cubic_spline(F1111:F1120,A1111:A1120,B$15),IF(AND(COUNT(A1112:A1123)=10,COUNT(F1112:F1123)=10),cubic_spline(F1111:F1121,A1111:A1121,B$15),IF(AND(COUNT(A1112:A1123)=11,COUNT(F1112:F1123)=11),cubic_spline(F1111:F1122,A1111:A1122,B$15),IF(AND(COUNT(A1112:A1123)=12,COUNT(F1112:F1123)=12),cubic_spline(F1111:F1123,A1111:A1123,B$15),""))))))))))))</f>
        <v/>
      </c>
      <c r="L1123" s="27" t="str">
        <f>IF(I1123="","",B$14&amp;"-"&amp;B$15)</f>
        <v/>
      </c>
      <c r="M1123" s="52" t="str">
        <f t="shared" si="425"/>
        <v/>
      </c>
    </row>
    <row r="1124" spans="1:13" ht="5.15" customHeight="1" x14ac:dyDescent="0.35">
      <c r="A1124" s="47"/>
      <c r="B1124" s="47"/>
      <c r="C1124" s="47"/>
      <c r="D1124" s="53"/>
      <c r="E1124" s="54"/>
      <c r="F1124" s="55"/>
      <c r="G1124" s="72"/>
      <c r="H1124" s="73"/>
      <c r="I1124" s="47"/>
      <c r="J1124" s="57"/>
      <c r="K1124" s="57"/>
      <c r="L1124" s="55"/>
      <c r="M1124" s="57"/>
    </row>
    <row r="1125" spans="1:13" x14ac:dyDescent="0.35">
      <c r="A1125" s="48"/>
      <c r="B1125" s="48"/>
      <c r="C1125" s="49"/>
      <c r="D1125" s="50"/>
      <c r="E1125" s="51" t="str">
        <f>IF(N(C1125)=0,"",C1125/PI()/($D$1/2)^2/$D$2*10000)</f>
        <v/>
      </c>
      <c r="F1125" s="68" t="str">
        <f t="shared" ref="F1125:F1136" si="426">IF(N(E1125)=0,"",(N(E1125)+N(F1124)))</f>
        <v/>
      </c>
      <c r="G1125" s="69" t="str">
        <f>IF(OR(N(D1125)=0,N(E1125)=0),"",(E1125*D1125)/1000)</f>
        <v/>
      </c>
      <c r="H1125" s="70" t="str">
        <f t="shared" ref="H1125:H1136" si="427">IF(N(G1125)=0,"",(N(G1125)+N(H1124)))</f>
        <v/>
      </c>
      <c r="I1125" s="27" t="str">
        <f>IF(N(J1125)=0,"",0&amp;"-"&amp;B$4)</f>
        <v/>
      </c>
      <c r="J1125" s="52" t="str">
        <f>IF(N(B$4)=0,"",IF(AND(COUNT(H1125:H1136)=2,COUNT(F1125:F1136)=2),cubic_spline(F1124:F1126,H1124:H1126,B$4),IF(AND(COUNT(H1125:H1136)=3,COUNT(F1125:F1136)=3),cubic_spline(F1124:F1127,H1124:H1127,B$4),IF(AND(COUNT(H1125:H1136)=4,COUNT(F1125:F1136)=4),cubic_spline(F1124:F1128,H1124:H1128,B$4),IF(AND(COUNT(H1125:H1136)=5,COUNT(F1125:F1136)=5),cubic_spline(F1124:F1129,H1124:H1129,B$4),IF(AND(COUNT(H1125:H1136)=6,COUNT(F1125:F1136)=6),cubic_spline(F1124:F1130,H1124:H1130,B$4),IF(AND(COUNT(H1125:H1136)=7,COUNT(F1125:F1136)=7),cubic_spline(F1124:F1131,H1124:H1131,B$4),IF(AND(COUNT(H1125:H1136)=8,COUNT(F1125:F1136)=8),cubic_spline(F1124:F1132,H1124:H1132,B$4),IF(AND(COUNT(H1125:H1136)=9,COUNT(F1125:F1136)=9),cubic_spline(F1124:F1133,H1124:H1133,B$4),IF(AND(COUNT(H1125:H1136)=10,COUNT(F1125:F1136)=10),cubic_spline(F1124:F1134,H1124:H1134,B$4),IF(AND(COUNT(H1125:H1136)=11,COUNT(F1125:F1136)=11),cubic_spline(F1124:F1135,H1124:H1135,B$4),IF(AND(COUNT(H1125:H1136)=12,COUNT(F1125:F1136)=12),cubic_spline(F1124:F1136,H1124:H1136,B$4),""))))))))))))</f>
        <v/>
      </c>
      <c r="K1125" s="52" t="str">
        <f>IF(N(B$4)=0,"",IF(AND(COUNT(A1125:A1136)=2,COUNT(F1125:F1136)=2),cubic_spline(F1124:F1126,A1124:A1126,B$4),IF(AND(COUNT(A1125:A1136)=3,COUNT(F1125:F1136)=3),cubic_spline(F1124:F1127,A1124:A1127,B$4),IF(AND(COUNT(A1125:A1136)=4,COUNT(F1125:F1136)=4),cubic_spline(F1124:F1128,A1124:A1128,B$4),IF(AND(COUNT(A1125:A1136)=5,COUNT(F1125:F1136)=5),cubic_spline(F1124:F1129,A1124:A1129,B$4),IF(AND(COUNT(A1125:A1136)=6,COUNT(F1125:F1136)=6),cubic_spline(F1124:F1130,A1124:A1130,B$4),IF(AND(COUNT(A1125:A1136)=7,COUNT(F1125:F1136)=7),cubic_spline(F1124:F1131,A1124:A1131,B$4),IF(AND(COUNT(A1125:A1136)=8,COUNT(F1125:F1136)=8),cubic_spline(F1124:F1132,A1124:A1132,B$4),IF(AND(COUNT(A1125:A1136)=9,COUNT(F1125:F1136)=9),cubic_spline(F1124:F1133,A1124:A1133,B$4),IF(AND(COUNT(A1125:A1136)=10,COUNT(F1125:F1136)=10),cubic_spline(F1124:F1134,A1124:A1134,B$4),IF(AND(COUNT(A1125:A1136)=11,COUNT(F1125:F1136)=11),cubic_spline(F1124:F1135,A1124:A1135,B$4),IF(AND(COUNT(A1125:A1136)=12,COUNT(F1125:F1136)=12),cubic_spline(F1124:F1136,A1124:A1136,B$4),""))))))))))))</f>
        <v/>
      </c>
      <c r="L1125" s="27" t="str">
        <f>IF(I1125="","",0&amp;"-"&amp;B$4)</f>
        <v/>
      </c>
      <c r="M1125" s="52" t="str">
        <f>IF(N(J1125)=0,"",J1125-J1124)</f>
        <v/>
      </c>
    </row>
    <row r="1126" spans="1:13" x14ac:dyDescent="0.35">
      <c r="A1126" s="48"/>
      <c r="B1126" s="48"/>
      <c r="C1126" s="49"/>
      <c r="D1126" s="50"/>
      <c r="E1126" s="51" t="str">
        <f>IF(N(C1126)=0,"",C1126/PI()/($D$1/2)^2/$D$2*10000)</f>
        <v/>
      </c>
      <c r="F1126" s="68" t="str">
        <f t="shared" si="426"/>
        <v/>
      </c>
      <c r="G1126" s="69" t="str">
        <f t="shared" ref="G1126:G1136" si="428">IF(OR(N(D1126)=0,N(E1126)=0),"",(E1126*D1126)/1000)</f>
        <v/>
      </c>
      <c r="H1126" s="70" t="str">
        <f t="shared" si="427"/>
        <v/>
      </c>
      <c r="I1126" s="27" t="str">
        <f>IF(N(J1126)=0,"",0&amp;"-"&amp;B$5)</f>
        <v/>
      </c>
      <c r="J1126" s="52" t="str">
        <f>IF(N(B$5)=0,"",IF(AND(COUNT(H1125:H1136)=2,COUNT(F1125:F1136)=2),cubic_spline(F1124:F1126,H1124:H1126,B$5),IF(AND(COUNT(H1125:H1136)=3,COUNT(F1125:F1136)=3),cubic_spline(F1124:F1127,H1124:H1127,B$5),IF(AND(COUNT(H1125:H1136)=4,COUNT(F1125:F1136)=4),cubic_spline(F1124:F1128,H1124:H1128,B$5),IF(AND(COUNT(H1125:H1136)=5,COUNT(F1125:F1136)=5),cubic_spline(F1124:F1129,H1124:H1129,B$5),IF(AND(COUNT(H1125:H1136)=6,COUNT(F1125:F1136)=6),cubic_spline(F1124:F1130,H1124:H1130,B$5),IF(AND(COUNT(H1125:H1136)=7,COUNT(F1125:F1136)=7),cubic_spline(F1124:F1131,H1124:H1131,B$5),IF(AND(COUNT(H1125:H1136)=8,COUNT(F1125:F1136)=8),cubic_spline(F1124:F1132,H1124:H1132,B$5),IF(AND(COUNT(H1125:H1136)=9,COUNT(F1125:F1136)=9),cubic_spline(F1124:F1133,H1124:H1133,B$5),IF(AND(COUNT(H1125:H1136)=10,COUNT(F1125:F1136)=10),cubic_spline(F1124:F1134,H1124:H1134,B$5),IF(AND(COUNT(H1125:H1136)=11,COUNT(F1125:F1136)=11),cubic_spline(F1124:F1135,H1124:H1135,B$5),IF(AND(COUNT(H1125:H1136)=12,COUNT(F1125:F1136)=12),cubic_spline(F1124:F1136,H1124:H1136,B$5),""))))))))))))</f>
        <v/>
      </c>
      <c r="K1126" s="52" t="str">
        <f>IF(N(B$5)=0,"",IF(AND(COUNT(A1125:A1136)=2,COUNT(F1125:F1136)=2),cubic_spline(F1124:F1126,A1124:A1126,B$5),IF(AND(COUNT(A1125:A1136)=3,COUNT(F1125:F1136)=3),cubic_spline(F1124:F1127,A1124:A1127,B$5),IF(AND(COUNT(A1125:A1136)=4,COUNT(F1125:F1136)=4),cubic_spline(F1124:F1128,A1124:A1128,B$5),IF(AND(COUNT(A1125:A1136)=5,COUNT(F1125:F1136)=5),cubic_spline(F1124:F1129,A1124:A1129,B$5),IF(AND(COUNT(A1125:A1136)=6,COUNT(F1125:F1136)=6),cubic_spline(F1124:F1130,A1124:A1130,B$5),IF(AND(COUNT(A1125:A1136)=7,COUNT(F1125:F1136)=7),cubic_spline(F1124:F1131,A1124:A1131,B$5),IF(AND(COUNT(A1125:A1136)=8,COUNT(F1125:F1136)=8),cubic_spline(F1124:F1132,A1124:A1132,B$5),IF(AND(COUNT(A1125:A1136)=9,COUNT(F1125:F1136)=9),cubic_spline(F1124:F1133,A1124:A1133,B$5),IF(AND(COUNT(A1125:A1136)=10,COUNT(F1125:F1136)=10),cubic_spline(F1124:F1134,A1124:A1134,B$5),IF(AND(COUNT(A1125:A1136)=11,COUNT(F1125:F1136)=11),cubic_spline(F1124:F1135,A1124:A1135,B$5),IF(AND(COUNT(A1125:A1136)=12,COUNT(F1125:F1136)=12),cubic_spline(F1124:F1136,A1124:A1136,B$5),""))))))))))))</f>
        <v/>
      </c>
      <c r="L1126" s="27" t="str">
        <f>IF(I1126="","",B$4&amp;"-"&amp;B$5)</f>
        <v/>
      </c>
      <c r="M1126" s="52" t="str">
        <f>IF(N(J1126)=0,"",J1126-J1125)</f>
        <v/>
      </c>
    </row>
    <row r="1127" spans="1:13" x14ac:dyDescent="0.35">
      <c r="A1127" s="48"/>
      <c r="B1127" s="48"/>
      <c r="C1127" s="49"/>
      <c r="D1127" s="50"/>
      <c r="E1127" s="51" t="str">
        <f>IF(N(C1127)=0,"",C1127/PI()/($D$1/2)^2/$D$2*10000)</f>
        <v/>
      </c>
      <c r="F1127" s="68" t="str">
        <f t="shared" si="426"/>
        <v/>
      </c>
      <c r="G1127" s="69" t="str">
        <f t="shared" si="428"/>
        <v/>
      </c>
      <c r="H1127" s="70" t="str">
        <f t="shared" si="427"/>
        <v/>
      </c>
      <c r="I1127" s="27" t="str">
        <f>IF(N(J1127)=0,"",0&amp;"-"&amp;B$6)</f>
        <v/>
      </c>
      <c r="J1127" s="52" t="str">
        <f>IF(N(B$6)=0,"",IF(AND(COUNT(H1125:H1136)=2,COUNT(F1125:F1136)=2),cubic_spline(F1124:F1126,H1124:H1126,B$6),IF(AND(COUNT(H1125:H1136)=3,COUNT(F1125:F1136)=3),cubic_spline(F1124:F1127,H1124:H1127,B$6),IF(AND(COUNT(H1125:H1136)=4,COUNT(F1125:F1136)=4),cubic_spline(F1124:F1128,H1124:H1128,B$6),IF(AND(COUNT(H1125:H1136)=5,COUNT(F1125:F1136)=5),cubic_spline(F1124:F1129,H1124:H1129,B$6),IF(AND(COUNT(H1125:H1136)=6,COUNT(F1125:F1136)=6),cubic_spline(F1124:F1130,H1124:H1130,B$6),IF(AND(COUNT(H1125:H1136)=7,COUNT(F1125:F1136)=7),cubic_spline(F1124:F1131,H1124:H1131,B$6),IF(AND(COUNT(H1125:H1136)=8,COUNT(F1125:F1136)=8),cubic_spline(F1124:F1132,H1124:H1132,B$6),IF(AND(COUNT(H1125:H1136)=9,COUNT(F1125:F1136)=9),cubic_spline(F1124:F1133,H1124:H1133,B$6),IF(AND(COUNT(H1125:H1136)=10,COUNT(F1125:F1136)=10),cubic_spline(F1124:F1134,H1124:H1134,B$6),IF(AND(COUNT(H1125:H1136)=11,COUNT(F1125:F1136)=11),cubic_spline(F1124:F1135,H1124:H1135,B$6),IF(AND(COUNT(H1125:H1136)=12,COUNT(F1125:F1136)=12),cubic_spline(F1124:F1136,H1124:H1136,B$6),""))))))))))))</f>
        <v/>
      </c>
      <c r="K1127" s="52" t="str">
        <f>IF(N(B$6)=0,"",IF(AND(COUNT(A1125:A1136)=2,COUNT(F1125:F1136)=2),cubic_spline(F1124:F1126,A1124:A1126,B$6),IF(AND(COUNT(A1125:A1136)=3,COUNT(F1125:F1136)=3),cubic_spline(F1124:F1127,A1124:A1127,B$6),IF(AND(COUNT(A1125:A1136)=4,COUNT(F1125:F1136)=4),cubic_spline(F1124:F1128,A1124:A1128,B$6),IF(AND(COUNT(A1125:A1136)=5,COUNT(F1125:F1136)=5),cubic_spline(F1124:F1129,A1124:A1129,B$6),IF(AND(COUNT(A1125:A1136)=6,COUNT(F1125:F1136)=6),cubic_spline(F1124:F1130,A1124:A1130,B$6),IF(AND(COUNT(A1125:A1136)=7,COUNT(F1125:F1136)=7),cubic_spline(F1124:F1131,A1124:A1131,B$6),IF(AND(COUNT(A1125:A1136)=8,COUNT(F1125:F1136)=8),cubic_spline(F1124:F1132,A1124:A1132,B$6),IF(AND(COUNT(A1125:A1136)=9,COUNT(F1125:F1136)=9),cubic_spline(F1124:F1133,A1124:A1133,B$6),IF(AND(COUNT(A1125:A1136)=10,COUNT(F1125:F1136)=10),cubic_spline(F1124:F1134,A1124:A1134,B$6),IF(AND(COUNT(A1125:A1136)=11,COUNT(F1125:F1136)=11),cubic_spline(F1124:F1135,A1124:A1135,B$6),IF(AND(COUNT(A1125:A1136)=12,COUNT(F1125:F1136)=12),cubic_spline(F1124:F1136,A1124:A1136,B$6),""))))))))))))</f>
        <v/>
      </c>
      <c r="L1127" s="27" t="str">
        <f>IF(I1127="","",B$5&amp;"-"&amp;B$6)</f>
        <v/>
      </c>
      <c r="M1127" s="52" t="str">
        <f>IF(N(J1127)=0,"",J1127-J1126)</f>
        <v/>
      </c>
    </row>
    <row r="1128" spans="1:13" x14ac:dyDescent="0.35">
      <c r="A1128" s="48"/>
      <c r="B1128" s="48"/>
      <c r="C1128" s="49"/>
      <c r="D1128" s="50"/>
      <c r="E1128" s="51" t="str">
        <f>IF(N(C1128)=0,"",C1128/PI()/($D$1/2)^2/$D$2*10000)</f>
        <v/>
      </c>
      <c r="F1128" s="68" t="str">
        <f t="shared" si="426"/>
        <v/>
      </c>
      <c r="G1128" s="69" t="str">
        <f t="shared" si="428"/>
        <v/>
      </c>
      <c r="H1128" s="70" t="str">
        <f t="shared" si="427"/>
        <v/>
      </c>
      <c r="I1128" s="27" t="str">
        <f>IF(N(J1128)=0,"",0&amp;"-"&amp;B$7)</f>
        <v/>
      </c>
      <c r="J1128" s="52" t="str">
        <f>IF(N(B$7)=0,"",IF(AND(COUNT(H1125:H1136)=2,COUNT(F1125:F1136)=2),cubic_spline(F1124:F1126,H1124:H1126,B$7),IF(AND(COUNT(H1125:H1136)=3,COUNT(F1125:F1136)=3),cubic_spline(F1124:F1127,H1124:H1127,B$7),IF(AND(COUNT(H1125:H1136)=4,COUNT(F1125:F1136)=4),cubic_spline(F1124:F1128,H1124:H1128,B$7),IF(AND(COUNT(H1125:H1136)=5,COUNT(F1125:F1136)=5),cubic_spline(F1124:F1129,H1124:H1129,B$7),IF(AND(COUNT(H1125:H1136)=6,COUNT(F1125:F1136)=6),cubic_spline(F1124:F1130,H1124:H1130,B$7),IF(AND(COUNT(H1125:H1136)=7,COUNT(F1125:F1136)=7),cubic_spline(F1124:F1131,H1124:H1131,B$7),IF(AND(COUNT(H1125:H1136)=8,COUNT(F1125:F1136)=8),cubic_spline(F1124:F1132,H1124:H1132,B$7),IF(AND(COUNT(H1125:H1136)=9,COUNT(F1125:F1136)=9),cubic_spline(F1124:F1133,H1124:H1133,B$7),IF(AND(COUNT(H1125:H1136)=10,COUNT(F1125:F1136)=10),cubic_spline(F1124:F1134,H1124:H1134,B$7),IF(AND(COUNT(H1125:H1136)=11,COUNT(F1125:F1136)=11),cubic_spline(F1124:F1135,H1124:H1135,B$7),IF(AND(COUNT(H1125:H1136)=12,COUNT(F1125:F1136)=12),cubic_spline(F1124:F1136,H1124:H1136,B$7),""))))))))))))</f>
        <v/>
      </c>
      <c r="K1128" s="52" t="str">
        <f>IF(N(B$7)=0,"",IF(AND(COUNT(A1125:A1136)=2,COUNT(F1125:F1136)=2),cubic_spline(F1124:F1126,A1124:A1126,B$7),IF(AND(COUNT(A1125:A1136)=3,COUNT(F1125:F1136)=3),cubic_spline(F1124:F1127,A1124:A1127,B$7),IF(AND(COUNT(A1125:A1136)=4,COUNT(F1125:F1136)=4),cubic_spline(F1124:F1128,A1124:A1128,B$7),IF(AND(COUNT(A1125:A1136)=5,COUNT(F1125:F1136)=5),cubic_spline(F1124:F1129,A1124:A1129,B$7),IF(AND(COUNT(A1125:A1136)=6,COUNT(F1125:F1136)=6),cubic_spline(F1124:F1130,A1124:A1130,B$7),IF(AND(COUNT(A1125:A1136)=7,COUNT(F1125:F1136)=7),cubic_spline(F1124:F1131,A1124:A1131,B$7),IF(AND(COUNT(A1125:A1136)=8,COUNT(F1125:F1136)=8),cubic_spline(F1124:F1132,A1124:A1132,B$7),IF(AND(COUNT(A1125:A1136)=9,COUNT(F1125:F1136)=9),cubic_spline(F1124:F1133,A1124:A1133,B$7),IF(AND(COUNT(A1125:A1136)=10,COUNT(F1125:F1136)=10),cubic_spline(F1124:F1134,A1124:A1134,B$7),IF(AND(COUNT(A1125:A1136)=11,COUNT(F1125:F1136)=11),cubic_spline(F1124:F1135,A1124:A1135,B$7),IF(AND(COUNT(A1125:A1136)=12,COUNT(F1125:F1136)=12),cubic_spline(F1124:F1136,A1124:A1136,B$7),""))))))))))))</f>
        <v/>
      </c>
      <c r="L1128" s="27" t="str">
        <f>IF(I1128="","",B$6&amp;"-"&amp;B$7)</f>
        <v/>
      </c>
      <c r="M1128" s="52" t="str">
        <f>IF(N(J1128)=0,"",J1128-J1127)</f>
        <v/>
      </c>
    </row>
    <row r="1129" spans="1:13" x14ac:dyDescent="0.35">
      <c r="A1129" s="48"/>
      <c r="B1129" s="48"/>
      <c r="C1129" s="49"/>
      <c r="D1129" s="50"/>
      <c r="E1129" s="51" t="str">
        <f t="shared" ref="E1129:E1136" si="429">IF(N(C1129)=0,"",C1129/PI()/($D$1/2)^2/$D$2*10000)</f>
        <v/>
      </c>
      <c r="F1129" s="71" t="str">
        <f t="shared" si="426"/>
        <v/>
      </c>
      <c r="G1129" s="69" t="str">
        <f t="shared" si="428"/>
        <v/>
      </c>
      <c r="H1129" s="70" t="str">
        <f t="shared" si="427"/>
        <v/>
      </c>
      <c r="I1129" s="27" t="str">
        <f>IF(N(J1129)=0,"",0&amp;"-"&amp;B$8)</f>
        <v/>
      </c>
      <c r="J1129" s="52" t="str">
        <f>IF(N(B$8)=0,"",IF(AND(COUNT(H1125:H1136)=2,COUNT(F1125:F1136)=2),cubic_spline(F1124:F1126,H1124:H1126,B$8),IF(AND(COUNT(H1125:H1136)=3,COUNT(F1125:F1136)=3),cubic_spline(F1124:F1127,H1124:H1127,B$8),IF(AND(COUNT(H1125:H1136)=4,COUNT(F1125:F1136)=4),cubic_spline(F1124:F1128,H1124:H1128,B$8),IF(AND(COUNT(H1125:H1136)=5,COUNT(F1125:F1136)=5),cubic_spline(F1124:F1129,H1124:H1129,B$8),IF(AND(COUNT(H1125:H1136)=6,COUNT(F1125:F1136)=6),cubic_spline(F1124:F1130,H1124:H1130,B$8),IF(AND(COUNT(H1125:H1136)=7,COUNT(F1125:F1136)=7),cubic_spline(F1124:F1131,H1124:H1131,B$8),IF(AND(COUNT(H1125:H1136)=8,COUNT(F1125:F1136)=8),cubic_spline(F1124:F1132,H1124:H1132,B$8),IF(AND(COUNT(H1125:H1136)=9,COUNT(F1125:F1136)=9),cubic_spline(F1124:F1133,H1124:H1133,B$8),IF(AND(COUNT(H1125:H1136)=10,COUNT(F1125:F1136)=10),cubic_spline(F1124:F1134,H1124:H1134,B$8),IF(AND(COUNT(H1125:H1136)=11,COUNT(F1125:F1136)=11),cubic_spline(F1124:F1135,H1124:H1135,B$8),IF(AND(COUNT(H1125:H1136)=12,COUNT(F1125:F1136)=12),cubic_spline(F1124:F1136,H1124:H1136,B$8),""))))))))))))</f>
        <v/>
      </c>
      <c r="K1129" s="52" t="str">
        <f>IF(N(B$8)=0,"",IF(AND(COUNT(A1125:A1136)=2,COUNT(F1125:F1136)=2),cubic_spline(F1124:F1126,A1124:A1126,B$8),IF(AND(COUNT(A1125:A1136)=3,COUNT(F1125:F1136)=3),cubic_spline(F1124:F1127,A1124:A1127,B$8),IF(AND(COUNT(A1125:A1136)=4,COUNT(F1125:F1136)=4),cubic_spline(F1124:F1128,A1124:A1128,B$8),IF(AND(COUNT(A1125:A1136)=5,COUNT(F1125:F1136)=5),cubic_spline(F1124:F1129,A1124:A1129,B$8),IF(AND(COUNT(A1125:A1136)=6,COUNT(F1125:F1136)=6),cubic_spline(F1124:F1130,A1124:A1130,B$8),IF(AND(COUNT(A1125:A1136)=7,COUNT(F1125:F1136)=7),cubic_spline(F1124:F1131,A1124:A1131,B$8),IF(AND(COUNT(A1125:A1136)=8,COUNT(F1125:F1136)=8),cubic_spline(F1124:F1132,A1124:A1132,B$8),IF(AND(COUNT(A1125:A1136)=9,COUNT(F1125:F1136)=9),cubic_spline(F1124:F1133,A1124:A1133,B$8),IF(AND(COUNT(A1125:A1136)=10,COUNT(F1125:F1136)=10),cubic_spline(F1124:F1134,A1124:A1134,B$8),IF(AND(COUNT(A1125:A1136)=11,COUNT(F1125:F1136)=11),cubic_spline(F1124:F1135,A1124:A1135,B$8),IF(AND(COUNT(A1125:A1136)=12,COUNT(F1125:F1136)=12),cubic_spline(F1124:F1136,A1124:A1136,B$8),""))))))))))))</f>
        <v/>
      </c>
      <c r="L1129" s="27" t="str">
        <f>IF(I1129="","",B$7&amp;"-"&amp;B$8)</f>
        <v/>
      </c>
      <c r="M1129" s="52" t="str">
        <f>IF(N(J1129)=0,"",J1129-J1128)</f>
        <v/>
      </c>
    </row>
    <row r="1130" spans="1:13" x14ac:dyDescent="0.35">
      <c r="A1130" s="48"/>
      <c r="B1130" s="48"/>
      <c r="C1130" s="49"/>
      <c r="D1130" s="50"/>
      <c r="E1130" s="51" t="str">
        <f t="shared" si="429"/>
        <v/>
      </c>
      <c r="F1130" s="71" t="str">
        <f t="shared" si="426"/>
        <v/>
      </c>
      <c r="G1130" s="69" t="str">
        <f t="shared" si="428"/>
        <v/>
      </c>
      <c r="H1130" s="70" t="str">
        <f t="shared" si="427"/>
        <v/>
      </c>
      <c r="I1130" s="27" t="str">
        <f>IF(N(J1130)=0,"",0&amp;"-"&amp;B$9)</f>
        <v/>
      </c>
      <c r="J1130" s="52" t="str">
        <f>IF(N(B$9)=0,"",IF(AND(COUNT(H1125:H1136)=2,COUNT(F1125:F1136)=2),cubic_spline(F1124:F1126,H1124:H1126,B$9),IF(AND(COUNT(H1125:H1136)=3,COUNT(F1125:F1136)=3),cubic_spline(F1124:F1127,H1124:H1127,B$9),IF(AND(COUNT(H1125:H1136)=4,COUNT(F1125:F1136)=4),cubic_spline(F1124:F1128,H1124:H1128,B$9),IF(AND(COUNT(H1125:H1136)=5,COUNT(F1125:F1136)=5),cubic_spline(F1124:F1129,H1124:H1129,B$9),IF(AND(COUNT(H1125:H1136)=6,COUNT(F1125:F1136)=6),cubic_spline(F1124:F1130,H1124:H1130,B$9),IF(AND(COUNT(H1125:H1136)=7,COUNT(F1125:F1136)=7),cubic_spline(F1124:F1131,H1124:H1131,B$9),IF(AND(COUNT(H1125:H1136)=8,COUNT(F1125:F1136)=8),cubic_spline(F1124:F1132,H1124:H1132,B$9),IF(AND(COUNT(H1125:H1136)=9,COUNT(F1125:F1136)=9),cubic_spline(F1124:F1133,H1124:H1133,B$9),IF(AND(COUNT(H1125:H1136)=10,COUNT(F1125:F1136)=10),cubic_spline(F1124:F1134,H1124:H1134,B$9),IF(AND(COUNT(H1125:H1136)=11,COUNT(F1125:F1136)=11),cubic_spline(F1124:F1135,H1124:H1135,B$9),IF(AND(COUNT(H1125:H1136)=12,COUNT(F1125:F1136)=12),cubic_spline(F1124:F1136,H1124:H1136,B$9),""))))))))))))</f>
        <v/>
      </c>
      <c r="K1130" s="52" t="str">
        <f>IF(N(B$9)=0,"",IF(AND(COUNT(A1125:A1136)=2,COUNT(F1125:F1136)=2),cubic_spline(F1124:F1126,A1124:A1126,B$9),IF(AND(COUNT(A1125:A1136)=3,COUNT(F1125:F1136)=3),cubic_spline(F1124:F1127,A1124:A1127,B$9),IF(AND(COUNT(A1125:A1136)=4,COUNT(F1125:F1136)=4),cubic_spline(F1124:F1128,A1124:A1128,B$9),IF(AND(COUNT(A1125:A1136)=5,COUNT(F1125:F1136)=5),cubic_spline(F1124:F1129,A1124:A1129,B$9),IF(AND(COUNT(A1125:A1136)=6,COUNT(F1125:F1136)=6),cubic_spline(F1124:F1130,A1124:A1130,B$9),IF(AND(COUNT(A1125:A1136)=7,COUNT(F1125:F1136)=7),cubic_spline(F1124:F1131,A1124:A1131,B$9),IF(AND(COUNT(A1125:A1136)=8,COUNT(F1125:F1136)=8),cubic_spline(F1124:F1132,A1124:A1132,B$9),IF(AND(COUNT(A1125:A1136)=9,COUNT(F1125:F1136)=9),cubic_spline(F1124:F1133,A1124:A1133,B$9),IF(AND(COUNT(A1125:A1136)=10,COUNT(F1125:F1136)=10),cubic_spline(F1124:F1134,A1124:A1134,B$9),IF(AND(COUNT(A1125:A1136)=11,COUNT(F1125:F1136)=11),cubic_spline(F1124:F1135,A1124:A1135,B$9),IF(AND(COUNT(A1125:A1136)=12,COUNT(F1125:F1136)=12),cubic_spline(F1124:F1136,A1124:A1136,B$9),""))))))))))))</f>
        <v/>
      </c>
      <c r="L1130" s="27" t="str">
        <f>IF(I1130="","",B$8&amp;"-"&amp;B$9)</f>
        <v/>
      </c>
      <c r="M1130" s="52" t="str">
        <f t="shared" ref="M1130:M1136" si="430">IF(N(J1130)=0,"",J1130-J1129)</f>
        <v/>
      </c>
    </row>
    <row r="1131" spans="1:13" x14ac:dyDescent="0.35">
      <c r="A1131" s="48"/>
      <c r="B1131" s="48"/>
      <c r="C1131" s="49"/>
      <c r="D1131" s="50"/>
      <c r="E1131" s="51" t="str">
        <f t="shared" si="429"/>
        <v/>
      </c>
      <c r="F1131" s="71" t="str">
        <f t="shared" si="426"/>
        <v/>
      </c>
      <c r="G1131" s="69" t="str">
        <f t="shared" si="428"/>
        <v/>
      </c>
      <c r="H1131" s="70" t="str">
        <f t="shared" si="427"/>
        <v/>
      </c>
      <c r="I1131" s="27" t="str">
        <f>IF(N(J1131)=0,"",0&amp;"-"&amp;B$10)</f>
        <v/>
      </c>
      <c r="J1131" s="52" t="str">
        <f>IF(N(B$10)=0,"",IF(AND(COUNT(H1125:H1136)=2,COUNT(F1125:F1136)=2),cubic_spline(F1124:F1126,H1124:H1126,B$10),IF(AND(COUNT(H1125:H1136)=3,COUNT(F1125:F1136)=3),cubic_spline(F1124:F1127,H1124:H1127,B$10),IF(AND(COUNT(H1125:H1136)=4,COUNT(F1125:F1136)=4),cubic_spline(F1124:F1128,H1124:H1128,B$10),IF(AND(COUNT(H1125:H1136)=5,COUNT(F1125:F1136)=5),cubic_spline(F1124:F1129,H1124:H1129,B$10),IF(AND(COUNT(H1125:H1136)=6,COUNT(F1125:F1136)=6),cubic_spline(F1124:F1130,H1124:H1130,B$10),IF(AND(COUNT(H1125:H1136)=7,COUNT(F1125:F1136)=7),cubic_spline(F1124:F1131,H1124:H1131,B$10),IF(AND(COUNT(H1125:H1136)=8,COUNT(F1125:F1136)=8),cubic_spline(F1124:F1132,H1124:H1132,B$10),IF(AND(COUNT(H1125:H1136)=9,COUNT(F1125:F1136)=9),cubic_spline(F1124:F1133,H1124:H1133,B$10),IF(AND(COUNT(H1125:H1136)=10,COUNT(F1125:F1136)=10),cubic_spline(F1124:F1134,H1124:H1134,B$10),IF(AND(COUNT(H1125:H1136)=11,COUNT(F1125:F1136)=11),cubic_spline(F1124:F1135,H1124:H1135,B$10),IF(AND(COUNT(H1125:H1136)=12,COUNT(F1125:F1136)=12),cubic_spline(F1124:F1136,H1124:H1136,B$10),""))))))))))))</f>
        <v/>
      </c>
      <c r="K1131" s="52" t="str">
        <f>IF(N(B$10)=0,"",IF(AND(COUNT(A1125:A1136)=2,COUNT(F1125:F1136)=2),cubic_spline(F1124:F1126,A1124:A1126,B$10),IF(AND(COUNT(A1125:A1136)=3,COUNT(F1125:F1136)=3),cubic_spline(F1124:F1127,A1124:A1127,B$10),IF(AND(COUNT(A1125:A1136)=4,COUNT(F1125:F1136)=4),cubic_spline(F1124:F1128,A1124:A1128,B$10),IF(AND(COUNT(A1125:A1136)=5,COUNT(F1125:F1136)=5),cubic_spline(F1124:F1129,A1124:A1129,B$10),IF(AND(COUNT(A1125:A1136)=6,COUNT(F1125:F1136)=6),cubic_spline(F1124:F1130,A1124:A1130,B$10),IF(AND(COUNT(A1125:A1136)=7,COUNT(F1125:F1136)=7),cubic_spline(F1124:F1131,A1124:A1131,B$10),IF(AND(COUNT(A1125:A1136)=8,COUNT(F1125:F1136)=8),cubic_spline(F1124:F1132,A1124:A1132,B$10),IF(AND(COUNT(A1125:A1136)=9,COUNT(F1125:F1136)=9),cubic_spline(F1124:F1133,A1124:A1133,B$10),IF(AND(COUNT(A1125:A1136)=10,COUNT(F1125:F1136)=10),cubic_spline(F1124:F1134,A1124:A1134,B$10),IF(AND(COUNT(A1125:A1136)=11,COUNT(F1125:F1136)=11),cubic_spline(F1124:F1135,A1124:A1135,B$10),IF(AND(COUNT(A1125:A1136)=12,COUNT(F1125:F1136)=12),cubic_spline(F1124:F1136,A1124:A1136,B$10),""))))))))))))</f>
        <v/>
      </c>
      <c r="L1131" s="27" t="str">
        <f>IF(I1131="","",B$9&amp;"-"&amp;B$10)</f>
        <v/>
      </c>
      <c r="M1131" s="52" t="str">
        <f t="shared" si="430"/>
        <v/>
      </c>
    </row>
    <row r="1132" spans="1:13" x14ac:dyDescent="0.35">
      <c r="A1132" s="48"/>
      <c r="B1132" s="48"/>
      <c r="C1132" s="49"/>
      <c r="D1132" s="50"/>
      <c r="E1132" s="51" t="str">
        <f t="shared" si="429"/>
        <v/>
      </c>
      <c r="F1132" s="71" t="str">
        <f t="shared" si="426"/>
        <v/>
      </c>
      <c r="G1132" s="69" t="str">
        <f t="shared" si="428"/>
        <v/>
      </c>
      <c r="H1132" s="70" t="str">
        <f t="shared" si="427"/>
        <v/>
      </c>
      <c r="I1132" s="27" t="str">
        <f>IF(N(J1132)=0,"",0&amp;"-"&amp;B$11)</f>
        <v/>
      </c>
      <c r="J1132" s="52" t="str">
        <f>IF(N(B$11)=0,"",IF(AND(COUNT(H1125:H1136)=2,COUNT(F1125:F1136)=2),cubic_spline(F1124:F1126,H1124:H1126,B$11),IF(AND(COUNT(H1125:H1136)=3,COUNT(F1125:F1136)=3),cubic_spline(F1124:F1127,H1124:H1127,B$11),IF(AND(COUNT(H1125:H1136)=4,COUNT(F1125:F1136)=4),cubic_spline(F1124:F1128,H1124:H1128,B$11),IF(AND(COUNT(H1125:H1136)=5,COUNT(F1125:F1136)=5),cubic_spline(F1124:F1129,H1124:H1129,B$11),IF(AND(COUNT(H1125:H1136)=6,COUNT(F1125:F1136)=6),cubic_spline(F1124:F1130,H1124:H1130,B$11),IF(AND(COUNT(H1125:H1136)=7,COUNT(F1125:F1136)=7),cubic_spline(F1124:F1131,H1124:H1131,B$11),IF(AND(COUNT(H1125:H1136)=8,COUNT(F1125:F1136)=8),cubic_spline(F1124:F1132,H1124:H1132,B$11),IF(AND(COUNT(H1125:H1136)=9,COUNT(F1125:F1136)=9),cubic_spline(F1124:F1133,H1124:H1133,B$11),IF(AND(COUNT(H1125:H1136)=10,COUNT(F1125:F1136)=10),cubic_spline(F1124:F1134,H1124:H1134,B$11),IF(AND(COUNT(H1125:H1136)=11,COUNT(F1125:F1136)=11),cubic_spline(F1124:F1135,H1124:H1135,B$11),IF(AND(COUNT(H1125:H1136)=12,COUNT(F1125:F1136)=12),cubic_spline(F1124:F1136,H1124:H1136,B$11),""))))))))))))</f>
        <v/>
      </c>
      <c r="K1132" s="52" t="str">
        <f>IF(N(B$11)=0,"",IF(AND(COUNT(A1125:A1136)=2,COUNT(F1125:F1136)=2),cubic_spline(F1124:F1126,A1124:A1126,B$11),IF(AND(COUNT(A1125:A1136)=3,COUNT(F1125:F1136)=3),cubic_spline(F1124:F1127,A1124:A1127,B$11),IF(AND(COUNT(A1125:A1136)=4,COUNT(F1125:F1136)=4),cubic_spline(F1124:F1128,A1124:A1128,B$11),IF(AND(COUNT(A1125:A1136)=5,COUNT(F1125:F1136)=5),cubic_spline(F1124:F1129,A1124:A1129,B$11),IF(AND(COUNT(A1125:A1136)=6,COUNT(F1125:F1136)=6),cubic_spline(F1124:F1130,A1124:A1130,B$11),IF(AND(COUNT(A1125:A1136)=7,COUNT(F1125:F1136)=7),cubic_spline(F1124:F1131,A1124:A1131,B$11),IF(AND(COUNT(A1125:A1136)=8,COUNT(F1125:F1136)=8),cubic_spline(F1124:F1132,A1124:A1132,B$11),IF(AND(COUNT(A1125:A1136)=9,COUNT(F1125:F1136)=9),cubic_spline(F1124:F1133,A1124:A1133,B$11),IF(AND(COUNT(A1125:A1136)=10,COUNT(F1125:F1136)=10),cubic_spline(F1124:F1134,A1124:A1134,B$11),IF(AND(COUNT(A1125:A1136)=11,COUNT(F1125:F1136)=11),cubic_spline(F1124:F1135,A1124:A1135,B$11),IF(AND(COUNT(A1125:A1136)=12,COUNT(F1125:F1136)=12),cubic_spline(F1124:F1136,A1124:A1136,B$11),""))))))))))))</f>
        <v/>
      </c>
      <c r="L1132" s="27" t="str">
        <f>IF(I1132="","",B$10&amp;"-"&amp;B$11)</f>
        <v/>
      </c>
      <c r="M1132" s="52" t="str">
        <f t="shared" si="430"/>
        <v/>
      </c>
    </row>
    <row r="1133" spans="1:13" x14ac:dyDescent="0.35">
      <c r="A1133" s="48"/>
      <c r="B1133" s="48"/>
      <c r="C1133" s="49"/>
      <c r="D1133" s="50"/>
      <c r="E1133" s="51" t="str">
        <f t="shared" si="429"/>
        <v/>
      </c>
      <c r="F1133" s="71" t="str">
        <f t="shared" si="426"/>
        <v/>
      </c>
      <c r="G1133" s="69" t="str">
        <f t="shared" si="428"/>
        <v/>
      </c>
      <c r="H1133" s="70" t="str">
        <f t="shared" si="427"/>
        <v/>
      </c>
      <c r="I1133" s="27" t="str">
        <f>IF(N(J1133)=0,"",0&amp;"-"&amp;B$12)</f>
        <v/>
      </c>
      <c r="J1133" s="52" t="str">
        <f>IF(N(B$12)=0,"",IF(AND(COUNT(H1125:H1136)=2,COUNT(F1125:F1136)=2),cubic_spline(F1124:F1126,H1124:H1126,B$12),IF(AND(COUNT(H1125:H1136)=3,COUNT(F1125:F1136)=3),cubic_spline(F1124:F1127,H1124:H1127,B$12),IF(AND(COUNT(H1125:H1136)=4,COUNT(F1125:F1136)=4),cubic_spline(F1124:F1128,H1124:H1128,B$12),IF(AND(COUNT(H1125:H1136)=5,COUNT(F1125:F1136)=5),cubic_spline(F1124:F1129,H1124:H1129,B$12),IF(AND(COUNT(H1125:H1136)=6,COUNT(F1125:F1136)=6),cubic_spline(F1124:F1130,H1124:H1130,B$12),IF(AND(COUNT(H1125:H1136)=7,COUNT(F1125:F1136)=7),cubic_spline(F1124:F1131,H1124:H1131,B$12),IF(AND(COUNT(H1125:H1136)=8,COUNT(F1125:F1136)=8),cubic_spline(F1124:F1132,H1124:H1132,B$12),IF(AND(COUNT(H1125:H1136)=9,COUNT(F1125:F1136)=9),cubic_spline(F1124:F1133,H1124:H1133,B$12),IF(AND(COUNT(H1125:H1136)=10,COUNT(F1125:F1136)=10),cubic_spline(F1124:F1134,H1124:H1134,B$12),IF(AND(COUNT(H1125:H1136)=11,COUNT(F1125:F1136)=11),cubic_spline(F1124:F1135,H1124:H1135,B$12),IF(AND(COUNT(H1125:H1136)=12,COUNT(F1125:F1136)=12),cubic_spline(F1124:F1136,H1124:H1136,B$12),""))))))))))))</f>
        <v/>
      </c>
      <c r="K1133" s="52" t="str">
        <f>IF(N(B$12)=0,"",IF(AND(COUNT(A1125:A1136)=2,COUNT(F1125:F1136)=2),cubic_spline(F1124:F1126,A1124:A1126,B$12),IF(AND(COUNT(A1125:A1136)=3,COUNT(F1125:F1136)=3),cubic_spline(F1124:F1127,A1124:A1127,B$12),IF(AND(COUNT(A1125:A1136)=4,COUNT(F1125:F1136)=4),cubic_spline(F1124:F1128,A1124:A1128,B$12),IF(AND(COUNT(A1125:A1136)=5,COUNT(F1125:F1136)=5),cubic_spline(F1124:F1129,A1124:A1129,B$12),IF(AND(COUNT(A1125:A1136)=6,COUNT(F1125:F1136)=6),cubic_spline(F1124:F1130,A1124:A1130,B$12),IF(AND(COUNT(A1125:A1136)=7,COUNT(F1125:F1136)=7),cubic_spline(F1124:F1131,A1124:A1131,B$12),IF(AND(COUNT(A1125:A1136)=8,COUNT(F1125:F1136)=8),cubic_spline(F1124:F1132,A1124:A1132,B$12),IF(AND(COUNT(A1125:A1136)=9,COUNT(F1125:F1136)=9),cubic_spline(F1124:F1133,A1124:A1133,B$12),IF(AND(COUNT(A1125:A1136)=10,COUNT(F1125:F1136)=10),cubic_spline(F1124:F1134,A1124:A1134,B$12),IF(AND(COUNT(A1125:A1136)=11,COUNT(F1125:F1136)=11),cubic_spline(F1124:F1135,A1124:A1135,B$12),IF(AND(COUNT(A1125:A1136)=12,COUNT(F1125:F1136)=12),cubic_spline(F1124:F1136,A1124:A1136,B$12),""))))))))))))</f>
        <v/>
      </c>
      <c r="L1133" s="27" t="str">
        <f>IF(I1133="","",B$11&amp;"-"&amp;B$12)</f>
        <v/>
      </c>
      <c r="M1133" s="52" t="str">
        <f t="shared" si="430"/>
        <v/>
      </c>
    </row>
    <row r="1134" spans="1:13" x14ac:dyDescent="0.35">
      <c r="A1134" s="48"/>
      <c r="B1134" s="48"/>
      <c r="C1134" s="49"/>
      <c r="D1134" s="50"/>
      <c r="E1134" s="51" t="str">
        <f t="shared" si="429"/>
        <v/>
      </c>
      <c r="F1134" s="71" t="str">
        <f t="shared" si="426"/>
        <v/>
      </c>
      <c r="G1134" s="69" t="str">
        <f t="shared" si="428"/>
        <v/>
      </c>
      <c r="H1134" s="70" t="str">
        <f t="shared" si="427"/>
        <v/>
      </c>
      <c r="I1134" s="27" t="str">
        <f>IF(N(J1134)=0,"",0&amp;"-"&amp;B$13)</f>
        <v/>
      </c>
      <c r="J1134" s="52" t="str">
        <f>IF(N(B$13)=0,"",IF(AND(COUNT(H1125:H1136)=2,COUNT(F1125:F1136)=2),cubic_spline(F1124:F1126,H1124:H1126,B$13),IF(AND(COUNT(H1125:H1136)=3,COUNT(F1125:F1136)=3),cubic_spline(F1124:F1127,H1124:H1127,B$13),IF(AND(COUNT(H1125:H1136)=4,COUNT(F1125:F1136)=4),cubic_spline(F1124:F1128,H1124:H1128,B$13),IF(AND(COUNT(H1125:H1136)=5,COUNT(F1125:F1136)=5),cubic_spline(F1124:F1129,H1124:H1129,B$13),IF(AND(COUNT(H1125:H1136)=6,COUNT(F1125:F1136)=6),cubic_spline(F1124:F1130,H1124:H1130,B$13),IF(AND(COUNT(H1125:H1136)=7,COUNT(F1125:F1136)=7),cubic_spline(F1124:F1131,H1124:H1131,B$13),IF(AND(COUNT(H1125:H1136)=8,COUNT(F1125:F1136)=8),cubic_spline(F1124:F1132,H1124:H1132,B$13),IF(AND(COUNT(H1125:H1136)=9,COUNT(F1125:F1136)=9),cubic_spline(F1124:F1133,H1124:H1133,B$13),IF(AND(COUNT(H1125:H1136)=10,COUNT(F1125:F1136)=10),cubic_spline(F1124:F1134,H1124:H1134,B$13),IF(AND(COUNT(H1125:H1136)=11,COUNT(F1125:F1136)=11),cubic_spline(F1124:F1135,H1124:H1135,B$13),IF(AND(COUNT(H1125:H1136)=12,COUNT(F1125:F1136)=12),cubic_spline(F1124:F1136,H1124:H1136,B$13),""))))))))))))</f>
        <v/>
      </c>
      <c r="K1134" s="52" t="str">
        <f>IF(N(B$13)=0,"",IF(AND(COUNT(A1125:A1136)=2,COUNT(F1125:F1136)=2),cubic_spline(F1124:F1126,A1124:A1126,B$13),IF(AND(COUNT(A1125:A1136)=3,COUNT(F1125:F1136)=3),cubic_spline(F1124:F1127,A1124:A1127,B$13),IF(AND(COUNT(A1125:A1136)=4,COUNT(F1125:F1136)=4),cubic_spline(F1124:F1128,A1124:A1128,B$13),IF(AND(COUNT(A1125:A1136)=5,COUNT(F1125:F1136)=5),cubic_spline(F1124:F1129,A1124:A1129,B$13),IF(AND(COUNT(A1125:A1136)=6,COUNT(F1125:F1136)=6),cubic_spline(F1124:F1130,A1124:A1130,B$13),IF(AND(COUNT(A1125:A1136)=7,COUNT(F1125:F1136)=7),cubic_spline(F1124:F1131,A1124:A1131,B$13),IF(AND(COUNT(A1125:A1136)=8,COUNT(F1125:F1136)=8),cubic_spline(F1124:F1132,A1124:A1132,B$13),IF(AND(COUNT(A1125:A1136)=9,COUNT(F1125:F1136)=9),cubic_spline(F1124:F1133,A1124:A1133,B$13),IF(AND(COUNT(A1125:A1136)=10,COUNT(F1125:F1136)=10),cubic_spline(F1124:F1134,A1124:A1134,B$13),IF(AND(COUNT(A1125:A1136)=11,COUNT(F1125:F1136)=11),cubic_spline(F1124:F1135,A1124:A1135,B$13),IF(AND(COUNT(A1125:A1136)=12,COUNT(F1125:F1136)=12),cubic_spline(F1124:F1136,A1124:A1136,B$13),""))))))))))))</f>
        <v/>
      </c>
      <c r="L1134" s="27" t="str">
        <f>IF(I1134="","",B$12&amp;"-"&amp;B$13)</f>
        <v/>
      </c>
      <c r="M1134" s="52" t="str">
        <f t="shared" si="430"/>
        <v/>
      </c>
    </row>
    <row r="1135" spans="1:13" x14ac:dyDescent="0.35">
      <c r="A1135" s="48"/>
      <c r="B1135" s="48"/>
      <c r="C1135" s="49"/>
      <c r="D1135" s="50"/>
      <c r="E1135" s="51" t="str">
        <f t="shared" si="429"/>
        <v/>
      </c>
      <c r="F1135" s="71" t="str">
        <f t="shared" si="426"/>
        <v/>
      </c>
      <c r="G1135" s="69" t="str">
        <f t="shared" si="428"/>
        <v/>
      </c>
      <c r="H1135" s="70" t="str">
        <f t="shared" si="427"/>
        <v/>
      </c>
      <c r="I1135" s="27" t="str">
        <f>IF(N(J1135)=0,"",0&amp;"-"&amp;B$14)</f>
        <v/>
      </c>
      <c r="J1135" s="52" t="str">
        <f>IF(N(B$14)=0,"",IF(AND(COUNT(H1125:H1136)=2,COUNT(F1125:F1136)=2),cubic_spline(F1124:F1126,H1124:H1126,B$14),IF(AND(COUNT(H1125:H1136)=3,COUNT(F1125:F1136)=3),cubic_spline(F1124:F1127,H1124:H1127,B$14),IF(AND(COUNT(H1125:H1136)=4,COUNT(F1125:F1136)=4),cubic_spline(F1124:F1128,H1124:H1128,B$14),IF(AND(COUNT(H1125:H1136)=5,COUNT(F1125:F1136)=5),cubic_spline(F1124:F1129,H1124:H1129,B$14),IF(AND(COUNT(H1125:H1136)=6,COUNT(F1125:F1136)=6),cubic_spline(F1124:F1130,H1124:H1130,B$14),IF(AND(COUNT(H1125:H1136)=7,COUNT(F1125:F1136)=7),cubic_spline(F1124:F1131,H1124:H1131,B$14),IF(AND(COUNT(H1125:H1136)=8,COUNT(F1125:F1136)=8),cubic_spline(F1124:F1132,H1124:H1132,B$14),IF(AND(COUNT(H1125:H1136)=9,COUNT(F1125:F1136)=9),cubic_spline(F1124:F1133,H1124:H1133,B$14),IF(AND(COUNT(H1125:H1136)=10,COUNT(F1125:F1136)=10),cubic_spline(F1124:F1134,H1124:H1134,B$14),IF(AND(COUNT(H1125:H1136)=11,COUNT(F1125:F1136)=11),cubic_spline(F1124:F1135,H1124:H1135,B$14),IF(AND(COUNT(H1125:H1136)=12,COUNT(F1125:F1136)=12),cubic_spline(F1124:F1136,H1124:H1136,B$14),""))))))))))))</f>
        <v/>
      </c>
      <c r="K1135" s="52" t="str">
        <f>IF(N(B$14)=0,"",IF(AND(COUNT(A1125:A1136)=2,COUNT(F1125:F1136)=2),cubic_spline(F1124:F1126,A1124:A1126,B$14),IF(AND(COUNT(A1125:A1136)=3,COUNT(F1125:F1136)=3),cubic_spline(F1124:F1127,A1124:A1127,B$14),IF(AND(COUNT(A1125:A1136)=4,COUNT(F1125:F1136)=4),cubic_spline(F1124:F1128,A1124:A1128,B$14),IF(AND(COUNT(A1125:A1136)=5,COUNT(F1125:F1136)=5),cubic_spline(F1124:F1129,A1124:A1129,B$14),IF(AND(COUNT(A1125:A1136)=6,COUNT(F1125:F1136)=6),cubic_spline(F1124:F1130,A1124:A1130,B$14),IF(AND(COUNT(A1125:A1136)=7,COUNT(F1125:F1136)=7),cubic_spline(F1124:F1131,A1124:A1131,B$14),IF(AND(COUNT(A1125:A1136)=8,COUNT(F1125:F1136)=8),cubic_spline(F1124:F1132,A1124:A1132,B$14),IF(AND(COUNT(A1125:A1136)=9,COUNT(F1125:F1136)=9),cubic_spline(F1124:F1133,A1124:A1133,B$14),IF(AND(COUNT(A1125:A1136)=10,COUNT(F1125:F1136)=10),cubic_spline(F1124:F1134,A1124:A1134,B$14),IF(AND(COUNT(A1125:A1136)=11,COUNT(F1125:F1136)=11),cubic_spline(F1124:F1135,A1124:A1135,B$14),IF(AND(COUNT(A1125:A1136)=12,COUNT(F1125:F1136)=12),cubic_spline(F1124:F1136,A1124:A1136,B$14),""))))))))))))</f>
        <v/>
      </c>
      <c r="L1135" s="27" t="str">
        <f>IF(I1135="","",B$13&amp;"-"&amp;B$14)</f>
        <v/>
      </c>
      <c r="M1135" s="52" t="str">
        <f t="shared" si="430"/>
        <v/>
      </c>
    </row>
    <row r="1136" spans="1:13" x14ac:dyDescent="0.35">
      <c r="A1136" s="48"/>
      <c r="B1136" s="48"/>
      <c r="C1136" s="49"/>
      <c r="D1136" s="50"/>
      <c r="E1136" s="51" t="str">
        <f t="shared" si="429"/>
        <v/>
      </c>
      <c r="F1136" s="71" t="str">
        <f t="shared" si="426"/>
        <v/>
      </c>
      <c r="G1136" s="69" t="str">
        <f t="shared" si="428"/>
        <v/>
      </c>
      <c r="H1136" s="70" t="str">
        <f t="shared" si="427"/>
        <v/>
      </c>
      <c r="I1136" s="27" t="str">
        <f>IF(N(J1136)=0,"",0&amp;"-"&amp;B$15)</f>
        <v/>
      </c>
      <c r="J1136" s="52" t="str">
        <f>IF(N(B$15)=0,"",IF(AND(COUNT(H1125:H1136)=2,COUNT(F1125:F1136)=2),cubic_spline(F1124:F1126,H1124:H1126,B$15),IF(AND(COUNT(H1125:H1136)=3,COUNT(F1125:F1136)=3),cubic_spline(F1124:F1127,H1124:H1127,B$15),IF(AND(COUNT(H1125:H1136)=4,COUNT(F1125:F1136)=4),cubic_spline(F1124:F1128,H1124:H1128,B$15),IF(AND(COUNT(H1125:H1136)=5,COUNT(F1125:F1136)=5),cubic_spline(F1124:F1129,H1124:H1129,B$15),IF(AND(COUNT(H1125:H1136)=6,COUNT(F1125:F1136)=6),cubic_spline(F1124:F1130,H1124:H1130,B$15),IF(AND(COUNT(H1125:H1136)=7,COUNT(F1125:F1136)=7),cubic_spline(F1124:F1131,H1124:H1131,B$15),IF(AND(COUNT(H1125:H1136)=8,COUNT(F1125:F1136)=8),cubic_spline(F1124:F1132,H1124:H1132,B$15),IF(AND(COUNT(H1125:H1136)=9,COUNT(F1125:F1136)=9),cubic_spline(F1124:F1133,H1124:H1133,B$15),IF(AND(COUNT(H1125:H1136)=10,COUNT(F1125:F1136)=10),cubic_spline(F1124:F1134,H1124:H1134,B$15),IF(AND(COUNT(H1125:H1136)=11,COUNT(F1125:F1136)=11),cubic_spline(F1124:F1135,H1124:H1135,B$15),IF(AND(COUNT(H1125:H1136)=12,COUNT(F1125:F1136)=12),cubic_spline(F1124:F1136,H1124:H1136,B$15),""))))))))))))</f>
        <v/>
      </c>
      <c r="K1136" s="52" t="str">
        <f>IF(N(B$15)=0,"",IF(AND(COUNT(A1125:A1136)=2,COUNT(F1125:F1136)=2),cubic_spline(F1124:F1126,A1124:A1126,B$15),IF(AND(COUNT(A1125:A1136)=3,COUNT(F1125:F1136)=3),cubic_spline(F1124:F1127,A1124:A1127,B$15),IF(AND(COUNT(A1125:A1136)=4,COUNT(F1125:F1136)=4),cubic_spline(F1124:F1128,A1124:A1128,B$15),IF(AND(COUNT(A1125:A1136)=5,COUNT(F1125:F1136)=5),cubic_spline(F1124:F1129,A1124:A1129,B$15),IF(AND(COUNT(A1125:A1136)=6,COUNT(F1125:F1136)=6),cubic_spline(F1124:F1130,A1124:A1130,B$15),IF(AND(COUNT(A1125:A1136)=7,COUNT(F1125:F1136)=7),cubic_spline(F1124:F1131,A1124:A1131,B$15),IF(AND(COUNT(A1125:A1136)=8,COUNT(F1125:F1136)=8),cubic_spline(F1124:F1132,A1124:A1132,B$15),IF(AND(COUNT(A1125:A1136)=9,COUNT(F1125:F1136)=9),cubic_spline(F1124:F1133,A1124:A1133,B$15),IF(AND(COUNT(A1125:A1136)=10,COUNT(F1125:F1136)=10),cubic_spline(F1124:F1134,A1124:A1134,B$15),IF(AND(COUNT(A1125:A1136)=11,COUNT(F1125:F1136)=11),cubic_spline(F1124:F1135,A1124:A1135,B$15),IF(AND(COUNT(A1125:A1136)=12,COUNT(F1125:F1136)=12),cubic_spline(F1124:F1136,A1124:A1136,B$15),""))))))))))))</f>
        <v/>
      </c>
      <c r="L1136" s="27" t="str">
        <f>IF(I1136="","",B$14&amp;"-"&amp;B$15)</f>
        <v/>
      </c>
      <c r="M1136" s="52" t="str">
        <f t="shared" si="430"/>
        <v/>
      </c>
    </row>
    <row r="1137" spans="1:13" ht="5.15" customHeight="1" x14ac:dyDescent="0.35">
      <c r="A1137" s="47"/>
      <c r="B1137" s="47"/>
      <c r="C1137" s="47"/>
      <c r="D1137" s="53"/>
      <c r="E1137" s="54"/>
      <c r="F1137" s="55"/>
      <c r="G1137" s="72"/>
      <c r="H1137" s="73"/>
      <c r="I1137" s="47"/>
      <c r="J1137" s="57"/>
      <c r="K1137" s="57"/>
      <c r="L1137" s="55"/>
      <c r="M1137" s="57"/>
    </row>
    <row r="1138" spans="1:13" x14ac:dyDescent="0.35">
      <c r="A1138" s="48"/>
      <c r="B1138" s="48"/>
      <c r="C1138" s="49"/>
      <c r="D1138" s="50"/>
      <c r="E1138" s="51" t="str">
        <f>IF(N(C1138)=0,"",C1138/PI()/($D$1/2)^2/$D$2*10000)</f>
        <v/>
      </c>
      <c r="F1138" s="68" t="str">
        <f t="shared" ref="F1138:F1149" si="431">IF(N(E1138)=0,"",(N(E1138)+N(F1137)))</f>
        <v/>
      </c>
      <c r="G1138" s="69" t="str">
        <f>IF(OR(N(D1138)=0,N(E1138)=0),"",(E1138*D1138)/1000)</f>
        <v/>
      </c>
      <c r="H1138" s="70" t="str">
        <f t="shared" ref="H1138:H1149" si="432">IF(N(G1138)=0,"",(N(G1138)+N(H1137)))</f>
        <v/>
      </c>
      <c r="I1138" s="27" t="str">
        <f>IF(N(J1138)=0,"",0&amp;"-"&amp;B$4)</f>
        <v/>
      </c>
      <c r="J1138" s="52" t="str">
        <f>IF(N(B$4)=0,"",IF(AND(COUNT(H1138:H1149)=2,COUNT(F1138:F1149)=2),cubic_spline(F1137:F1139,H1137:H1139,B$4),IF(AND(COUNT(H1138:H1149)=3,COUNT(F1138:F1149)=3),cubic_spline(F1137:F1140,H1137:H1140,B$4),IF(AND(COUNT(H1138:H1149)=4,COUNT(F1138:F1149)=4),cubic_spline(F1137:F1141,H1137:H1141,B$4),IF(AND(COUNT(H1138:H1149)=5,COUNT(F1138:F1149)=5),cubic_spline(F1137:F1142,H1137:H1142,B$4),IF(AND(COUNT(H1138:H1149)=6,COUNT(F1138:F1149)=6),cubic_spline(F1137:F1143,H1137:H1143,B$4),IF(AND(COUNT(H1138:H1149)=7,COUNT(F1138:F1149)=7),cubic_spline(F1137:F1144,H1137:H1144,B$4),IF(AND(COUNT(H1138:H1149)=8,COUNT(F1138:F1149)=8),cubic_spline(F1137:F1145,H1137:H1145,B$4),IF(AND(COUNT(H1138:H1149)=9,COUNT(F1138:F1149)=9),cubic_spline(F1137:F1146,H1137:H1146,B$4),IF(AND(COUNT(H1138:H1149)=10,COUNT(F1138:F1149)=10),cubic_spline(F1137:F1147,H1137:H1147,B$4),IF(AND(COUNT(H1138:H1149)=11,COUNT(F1138:F1149)=11),cubic_spline(F1137:F1148,H1137:H1148,B$4),IF(AND(COUNT(H1138:H1149)=12,COUNT(F1138:F1149)=12),cubic_spline(F1137:F1149,H1137:H1149,B$4),""))))))))))))</f>
        <v/>
      </c>
      <c r="K1138" s="52" t="str">
        <f>IF(N(B$4)=0,"",IF(AND(COUNT(A1138:A1149)=2,COUNT(F1138:F1149)=2),cubic_spline(F1137:F1139,A1137:A1139,B$4),IF(AND(COUNT(A1138:A1149)=3,COUNT(F1138:F1149)=3),cubic_spline(F1137:F1140,A1137:A1140,B$4),IF(AND(COUNT(A1138:A1149)=4,COUNT(F1138:F1149)=4),cubic_spline(F1137:F1141,A1137:A1141,B$4),IF(AND(COUNT(A1138:A1149)=5,COUNT(F1138:F1149)=5),cubic_spline(F1137:F1142,A1137:A1142,B$4),IF(AND(COUNT(A1138:A1149)=6,COUNT(F1138:F1149)=6),cubic_spline(F1137:F1143,A1137:A1143,B$4),IF(AND(COUNT(A1138:A1149)=7,COUNT(F1138:F1149)=7),cubic_spline(F1137:F1144,A1137:A1144,B$4),IF(AND(COUNT(A1138:A1149)=8,COUNT(F1138:F1149)=8),cubic_spline(F1137:F1145,A1137:A1145,B$4),IF(AND(COUNT(A1138:A1149)=9,COUNT(F1138:F1149)=9),cubic_spline(F1137:F1146,A1137:A1146,B$4),IF(AND(COUNT(A1138:A1149)=10,COUNT(F1138:F1149)=10),cubic_spline(F1137:F1147,A1137:A1147,B$4),IF(AND(COUNT(A1138:A1149)=11,COUNT(F1138:F1149)=11),cubic_spline(F1137:F1148,A1137:A1148,B$4),IF(AND(COUNT(A1138:A1149)=12,COUNT(F1138:F1149)=12),cubic_spline(F1137:F1149,A1137:A1149,B$4),""))))))))))))</f>
        <v/>
      </c>
      <c r="L1138" s="27" t="str">
        <f>IF(I1138="","",0&amp;"-"&amp;B$4)</f>
        <v/>
      </c>
      <c r="M1138" s="52" t="str">
        <f>IF(N(J1138)=0,"",J1138-J1137)</f>
        <v/>
      </c>
    </row>
    <row r="1139" spans="1:13" x14ac:dyDescent="0.35">
      <c r="A1139" s="48"/>
      <c r="B1139" s="48"/>
      <c r="C1139" s="49"/>
      <c r="D1139" s="50"/>
      <c r="E1139" s="51" t="str">
        <f>IF(N(C1139)=0,"",C1139/PI()/($D$1/2)^2/$D$2*10000)</f>
        <v/>
      </c>
      <c r="F1139" s="68" t="str">
        <f t="shared" si="431"/>
        <v/>
      </c>
      <c r="G1139" s="69" t="str">
        <f t="shared" ref="G1139:G1149" si="433">IF(OR(N(D1139)=0,N(E1139)=0),"",(E1139*D1139)/1000)</f>
        <v/>
      </c>
      <c r="H1139" s="70" t="str">
        <f t="shared" si="432"/>
        <v/>
      </c>
      <c r="I1139" s="27" t="str">
        <f>IF(N(J1139)=0,"",0&amp;"-"&amp;B$5)</f>
        <v/>
      </c>
      <c r="J1139" s="52" t="str">
        <f>IF(N(B$5)=0,"",IF(AND(COUNT(H1138:H1149)=2,COUNT(F1138:F1149)=2),cubic_spline(F1137:F1139,H1137:H1139,B$5),IF(AND(COUNT(H1138:H1149)=3,COUNT(F1138:F1149)=3),cubic_spline(F1137:F1140,H1137:H1140,B$5),IF(AND(COUNT(H1138:H1149)=4,COUNT(F1138:F1149)=4),cubic_spline(F1137:F1141,H1137:H1141,B$5),IF(AND(COUNT(H1138:H1149)=5,COUNT(F1138:F1149)=5),cubic_spline(F1137:F1142,H1137:H1142,B$5),IF(AND(COUNT(H1138:H1149)=6,COUNT(F1138:F1149)=6),cubic_spline(F1137:F1143,H1137:H1143,B$5),IF(AND(COUNT(H1138:H1149)=7,COUNT(F1138:F1149)=7),cubic_spline(F1137:F1144,H1137:H1144,B$5),IF(AND(COUNT(H1138:H1149)=8,COUNT(F1138:F1149)=8),cubic_spline(F1137:F1145,H1137:H1145,B$5),IF(AND(COUNT(H1138:H1149)=9,COUNT(F1138:F1149)=9),cubic_spline(F1137:F1146,H1137:H1146,B$5),IF(AND(COUNT(H1138:H1149)=10,COUNT(F1138:F1149)=10),cubic_spline(F1137:F1147,H1137:H1147,B$5),IF(AND(COUNT(H1138:H1149)=11,COUNT(F1138:F1149)=11),cubic_spline(F1137:F1148,H1137:H1148,B$5),IF(AND(COUNT(H1138:H1149)=12,COUNT(F1138:F1149)=12),cubic_spline(F1137:F1149,H1137:H1149,B$5),""))))))))))))</f>
        <v/>
      </c>
      <c r="K1139" s="52" t="str">
        <f>IF(N(B$5)=0,"",IF(AND(COUNT(A1138:A1149)=2,COUNT(F1138:F1149)=2),cubic_spline(F1137:F1139,A1137:A1139,B$5),IF(AND(COUNT(A1138:A1149)=3,COUNT(F1138:F1149)=3),cubic_spline(F1137:F1140,A1137:A1140,B$5),IF(AND(COUNT(A1138:A1149)=4,COUNT(F1138:F1149)=4),cubic_spline(F1137:F1141,A1137:A1141,B$5),IF(AND(COUNT(A1138:A1149)=5,COUNT(F1138:F1149)=5),cubic_spline(F1137:F1142,A1137:A1142,B$5),IF(AND(COUNT(A1138:A1149)=6,COUNT(F1138:F1149)=6),cubic_spline(F1137:F1143,A1137:A1143,B$5),IF(AND(COUNT(A1138:A1149)=7,COUNT(F1138:F1149)=7),cubic_spline(F1137:F1144,A1137:A1144,B$5),IF(AND(COUNT(A1138:A1149)=8,COUNT(F1138:F1149)=8),cubic_spline(F1137:F1145,A1137:A1145,B$5),IF(AND(COUNT(A1138:A1149)=9,COUNT(F1138:F1149)=9),cubic_spline(F1137:F1146,A1137:A1146,B$5),IF(AND(COUNT(A1138:A1149)=10,COUNT(F1138:F1149)=10),cubic_spline(F1137:F1147,A1137:A1147,B$5),IF(AND(COUNT(A1138:A1149)=11,COUNT(F1138:F1149)=11),cubic_spline(F1137:F1148,A1137:A1148,B$5),IF(AND(COUNT(A1138:A1149)=12,COUNT(F1138:F1149)=12),cubic_spline(F1137:F1149,A1137:A1149,B$5),""))))))))))))</f>
        <v/>
      </c>
      <c r="L1139" s="27" t="str">
        <f>IF(I1139="","",B$4&amp;"-"&amp;B$5)</f>
        <v/>
      </c>
      <c r="M1139" s="52" t="str">
        <f>IF(N(J1139)=0,"",J1139-J1138)</f>
        <v/>
      </c>
    </row>
    <row r="1140" spans="1:13" x14ac:dyDescent="0.35">
      <c r="A1140" s="48"/>
      <c r="B1140" s="48"/>
      <c r="C1140" s="49"/>
      <c r="D1140" s="50"/>
      <c r="E1140" s="51" t="str">
        <f>IF(N(C1140)=0,"",C1140/PI()/($D$1/2)^2/$D$2*10000)</f>
        <v/>
      </c>
      <c r="F1140" s="68" t="str">
        <f t="shared" si="431"/>
        <v/>
      </c>
      <c r="G1140" s="69" t="str">
        <f t="shared" si="433"/>
        <v/>
      </c>
      <c r="H1140" s="70" t="str">
        <f t="shared" si="432"/>
        <v/>
      </c>
      <c r="I1140" s="27" t="str">
        <f>IF(N(J1140)=0,"",0&amp;"-"&amp;B$6)</f>
        <v/>
      </c>
      <c r="J1140" s="52" t="str">
        <f>IF(N(B$6)=0,"",IF(AND(COUNT(H1138:H1149)=2,COUNT(F1138:F1149)=2),cubic_spline(F1137:F1139,H1137:H1139,B$6),IF(AND(COUNT(H1138:H1149)=3,COUNT(F1138:F1149)=3),cubic_spline(F1137:F1140,H1137:H1140,B$6),IF(AND(COUNT(H1138:H1149)=4,COUNT(F1138:F1149)=4),cubic_spline(F1137:F1141,H1137:H1141,B$6),IF(AND(COUNT(H1138:H1149)=5,COUNT(F1138:F1149)=5),cubic_spline(F1137:F1142,H1137:H1142,B$6),IF(AND(COUNT(H1138:H1149)=6,COUNT(F1138:F1149)=6),cubic_spline(F1137:F1143,H1137:H1143,B$6),IF(AND(COUNT(H1138:H1149)=7,COUNT(F1138:F1149)=7),cubic_spline(F1137:F1144,H1137:H1144,B$6),IF(AND(COUNT(H1138:H1149)=8,COUNT(F1138:F1149)=8),cubic_spline(F1137:F1145,H1137:H1145,B$6),IF(AND(COUNT(H1138:H1149)=9,COUNT(F1138:F1149)=9),cubic_spline(F1137:F1146,H1137:H1146,B$6),IF(AND(COUNT(H1138:H1149)=10,COUNT(F1138:F1149)=10),cubic_spline(F1137:F1147,H1137:H1147,B$6),IF(AND(COUNT(H1138:H1149)=11,COUNT(F1138:F1149)=11),cubic_spline(F1137:F1148,H1137:H1148,B$6),IF(AND(COUNT(H1138:H1149)=12,COUNT(F1138:F1149)=12),cubic_spline(F1137:F1149,H1137:H1149,B$6),""))))))))))))</f>
        <v/>
      </c>
      <c r="K1140" s="52" t="str">
        <f>IF(N(B$6)=0,"",IF(AND(COUNT(A1138:A1149)=2,COUNT(F1138:F1149)=2),cubic_spline(F1137:F1139,A1137:A1139,B$6),IF(AND(COUNT(A1138:A1149)=3,COUNT(F1138:F1149)=3),cubic_spline(F1137:F1140,A1137:A1140,B$6),IF(AND(COUNT(A1138:A1149)=4,COUNT(F1138:F1149)=4),cubic_spline(F1137:F1141,A1137:A1141,B$6),IF(AND(COUNT(A1138:A1149)=5,COUNT(F1138:F1149)=5),cubic_spline(F1137:F1142,A1137:A1142,B$6),IF(AND(COUNT(A1138:A1149)=6,COUNT(F1138:F1149)=6),cubic_spline(F1137:F1143,A1137:A1143,B$6),IF(AND(COUNT(A1138:A1149)=7,COUNT(F1138:F1149)=7),cubic_spline(F1137:F1144,A1137:A1144,B$6),IF(AND(COUNT(A1138:A1149)=8,COUNT(F1138:F1149)=8),cubic_spline(F1137:F1145,A1137:A1145,B$6),IF(AND(COUNT(A1138:A1149)=9,COUNT(F1138:F1149)=9),cubic_spline(F1137:F1146,A1137:A1146,B$6),IF(AND(COUNT(A1138:A1149)=10,COUNT(F1138:F1149)=10),cubic_spline(F1137:F1147,A1137:A1147,B$6),IF(AND(COUNT(A1138:A1149)=11,COUNT(F1138:F1149)=11),cubic_spline(F1137:F1148,A1137:A1148,B$6),IF(AND(COUNT(A1138:A1149)=12,COUNT(F1138:F1149)=12),cubic_spline(F1137:F1149,A1137:A1149,B$6),""))))))))))))</f>
        <v/>
      </c>
      <c r="L1140" s="27" t="str">
        <f>IF(I1140="","",B$5&amp;"-"&amp;B$6)</f>
        <v/>
      </c>
      <c r="M1140" s="52" t="str">
        <f>IF(N(J1140)=0,"",J1140-J1139)</f>
        <v/>
      </c>
    </row>
    <row r="1141" spans="1:13" x14ac:dyDescent="0.35">
      <c r="A1141" s="48"/>
      <c r="B1141" s="48"/>
      <c r="C1141" s="49"/>
      <c r="D1141" s="50"/>
      <c r="E1141" s="51" t="str">
        <f>IF(N(C1141)=0,"",C1141/PI()/($D$1/2)^2/$D$2*10000)</f>
        <v/>
      </c>
      <c r="F1141" s="68" t="str">
        <f t="shared" si="431"/>
        <v/>
      </c>
      <c r="G1141" s="69" t="str">
        <f t="shared" si="433"/>
        <v/>
      </c>
      <c r="H1141" s="70" t="str">
        <f t="shared" si="432"/>
        <v/>
      </c>
      <c r="I1141" s="27" t="str">
        <f>IF(N(J1141)=0,"",0&amp;"-"&amp;B$7)</f>
        <v/>
      </c>
      <c r="J1141" s="52" t="str">
        <f>IF(N(B$7)=0,"",IF(AND(COUNT(H1138:H1149)=2,COUNT(F1138:F1149)=2),cubic_spline(F1137:F1139,H1137:H1139,B$7),IF(AND(COUNT(H1138:H1149)=3,COUNT(F1138:F1149)=3),cubic_spline(F1137:F1140,H1137:H1140,B$7),IF(AND(COUNT(H1138:H1149)=4,COUNT(F1138:F1149)=4),cubic_spline(F1137:F1141,H1137:H1141,B$7),IF(AND(COUNT(H1138:H1149)=5,COUNT(F1138:F1149)=5),cubic_spline(F1137:F1142,H1137:H1142,B$7),IF(AND(COUNT(H1138:H1149)=6,COUNT(F1138:F1149)=6),cubic_spline(F1137:F1143,H1137:H1143,B$7),IF(AND(COUNT(H1138:H1149)=7,COUNT(F1138:F1149)=7),cubic_spline(F1137:F1144,H1137:H1144,B$7),IF(AND(COUNT(H1138:H1149)=8,COUNT(F1138:F1149)=8),cubic_spline(F1137:F1145,H1137:H1145,B$7),IF(AND(COUNT(H1138:H1149)=9,COUNT(F1138:F1149)=9),cubic_spline(F1137:F1146,H1137:H1146,B$7),IF(AND(COUNT(H1138:H1149)=10,COUNT(F1138:F1149)=10),cubic_spline(F1137:F1147,H1137:H1147,B$7),IF(AND(COUNT(H1138:H1149)=11,COUNT(F1138:F1149)=11),cubic_spline(F1137:F1148,H1137:H1148,B$7),IF(AND(COUNT(H1138:H1149)=12,COUNT(F1138:F1149)=12),cubic_spline(F1137:F1149,H1137:H1149,B$7),""))))))))))))</f>
        <v/>
      </c>
      <c r="K1141" s="52" t="str">
        <f>IF(N(B$7)=0,"",IF(AND(COUNT(A1138:A1149)=2,COUNT(F1138:F1149)=2),cubic_spline(F1137:F1139,A1137:A1139,B$7),IF(AND(COUNT(A1138:A1149)=3,COUNT(F1138:F1149)=3),cubic_spline(F1137:F1140,A1137:A1140,B$7),IF(AND(COUNT(A1138:A1149)=4,COUNT(F1138:F1149)=4),cubic_spline(F1137:F1141,A1137:A1141,B$7),IF(AND(COUNT(A1138:A1149)=5,COUNT(F1138:F1149)=5),cubic_spline(F1137:F1142,A1137:A1142,B$7),IF(AND(COUNT(A1138:A1149)=6,COUNT(F1138:F1149)=6),cubic_spline(F1137:F1143,A1137:A1143,B$7),IF(AND(COUNT(A1138:A1149)=7,COUNT(F1138:F1149)=7),cubic_spline(F1137:F1144,A1137:A1144,B$7),IF(AND(COUNT(A1138:A1149)=8,COUNT(F1138:F1149)=8),cubic_spline(F1137:F1145,A1137:A1145,B$7),IF(AND(COUNT(A1138:A1149)=9,COUNT(F1138:F1149)=9),cubic_spline(F1137:F1146,A1137:A1146,B$7),IF(AND(COUNT(A1138:A1149)=10,COUNT(F1138:F1149)=10),cubic_spline(F1137:F1147,A1137:A1147,B$7),IF(AND(COUNT(A1138:A1149)=11,COUNT(F1138:F1149)=11),cubic_spline(F1137:F1148,A1137:A1148,B$7),IF(AND(COUNT(A1138:A1149)=12,COUNT(F1138:F1149)=12),cubic_spline(F1137:F1149,A1137:A1149,B$7),""))))))))))))</f>
        <v/>
      </c>
      <c r="L1141" s="27" t="str">
        <f>IF(I1141="","",B$6&amp;"-"&amp;B$7)</f>
        <v/>
      </c>
      <c r="M1141" s="52" t="str">
        <f>IF(N(J1141)=0,"",J1141-J1140)</f>
        <v/>
      </c>
    </row>
    <row r="1142" spans="1:13" x14ac:dyDescent="0.35">
      <c r="A1142" s="48"/>
      <c r="B1142" s="48"/>
      <c r="C1142" s="49"/>
      <c r="D1142" s="50"/>
      <c r="E1142" s="51" t="str">
        <f t="shared" ref="E1142:E1149" si="434">IF(N(C1142)=0,"",C1142/PI()/($D$1/2)^2/$D$2*10000)</f>
        <v/>
      </c>
      <c r="F1142" s="71" t="str">
        <f t="shared" si="431"/>
        <v/>
      </c>
      <c r="G1142" s="69" t="str">
        <f t="shared" si="433"/>
        <v/>
      </c>
      <c r="H1142" s="70" t="str">
        <f t="shared" si="432"/>
        <v/>
      </c>
      <c r="I1142" s="27" t="str">
        <f>IF(N(J1142)=0,"",0&amp;"-"&amp;B$8)</f>
        <v/>
      </c>
      <c r="J1142" s="52" t="str">
        <f>IF(N(B$8)=0,"",IF(AND(COUNT(H1138:H1149)=2,COUNT(F1138:F1149)=2),cubic_spline(F1137:F1139,H1137:H1139,B$8),IF(AND(COUNT(H1138:H1149)=3,COUNT(F1138:F1149)=3),cubic_spline(F1137:F1140,H1137:H1140,B$8),IF(AND(COUNT(H1138:H1149)=4,COUNT(F1138:F1149)=4),cubic_spline(F1137:F1141,H1137:H1141,B$8),IF(AND(COUNT(H1138:H1149)=5,COUNT(F1138:F1149)=5),cubic_spline(F1137:F1142,H1137:H1142,B$8),IF(AND(COUNT(H1138:H1149)=6,COUNT(F1138:F1149)=6),cubic_spline(F1137:F1143,H1137:H1143,B$8),IF(AND(COUNT(H1138:H1149)=7,COUNT(F1138:F1149)=7),cubic_spline(F1137:F1144,H1137:H1144,B$8),IF(AND(COUNT(H1138:H1149)=8,COUNT(F1138:F1149)=8),cubic_spline(F1137:F1145,H1137:H1145,B$8),IF(AND(COUNT(H1138:H1149)=9,COUNT(F1138:F1149)=9),cubic_spline(F1137:F1146,H1137:H1146,B$8),IF(AND(COUNT(H1138:H1149)=10,COUNT(F1138:F1149)=10),cubic_spline(F1137:F1147,H1137:H1147,B$8),IF(AND(COUNT(H1138:H1149)=11,COUNT(F1138:F1149)=11),cubic_spline(F1137:F1148,H1137:H1148,B$8),IF(AND(COUNT(H1138:H1149)=12,COUNT(F1138:F1149)=12),cubic_spline(F1137:F1149,H1137:H1149,B$8),""))))))))))))</f>
        <v/>
      </c>
      <c r="K1142" s="52" t="str">
        <f>IF(N(B$8)=0,"",IF(AND(COUNT(A1138:A1149)=2,COUNT(F1138:F1149)=2),cubic_spline(F1137:F1139,A1137:A1139,B$8),IF(AND(COUNT(A1138:A1149)=3,COUNT(F1138:F1149)=3),cubic_spline(F1137:F1140,A1137:A1140,B$8),IF(AND(COUNT(A1138:A1149)=4,COUNT(F1138:F1149)=4),cubic_spline(F1137:F1141,A1137:A1141,B$8),IF(AND(COUNT(A1138:A1149)=5,COUNT(F1138:F1149)=5),cubic_spline(F1137:F1142,A1137:A1142,B$8),IF(AND(COUNT(A1138:A1149)=6,COUNT(F1138:F1149)=6),cubic_spline(F1137:F1143,A1137:A1143,B$8),IF(AND(COUNT(A1138:A1149)=7,COUNT(F1138:F1149)=7),cubic_spline(F1137:F1144,A1137:A1144,B$8),IF(AND(COUNT(A1138:A1149)=8,COUNT(F1138:F1149)=8),cubic_spline(F1137:F1145,A1137:A1145,B$8),IF(AND(COUNT(A1138:A1149)=9,COUNT(F1138:F1149)=9),cubic_spline(F1137:F1146,A1137:A1146,B$8),IF(AND(COUNT(A1138:A1149)=10,COUNT(F1138:F1149)=10),cubic_spline(F1137:F1147,A1137:A1147,B$8),IF(AND(COUNT(A1138:A1149)=11,COUNT(F1138:F1149)=11),cubic_spline(F1137:F1148,A1137:A1148,B$8),IF(AND(COUNT(A1138:A1149)=12,COUNT(F1138:F1149)=12),cubic_spline(F1137:F1149,A1137:A1149,B$8),""))))))))))))</f>
        <v/>
      </c>
      <c r="L1142" s="27" t="str">
        <f>IF(I1142="","",B$7&amp;"-"&amp;B$8)</f>
        <v/>
      </c>
      <c r="M1142" s="52" t="str">
        <f>IF(N(J1142)=0,"",J1142-J1141)</f>
        <v/>
      </c>
    </row>
    <row r="1143" spans="1:13" x14ac:dyDescent="0.35">
      <c r="A1143" s="48"/>
      <c r="B1143" s="48"/>
      <c r="C1143" s="49"/>
      <c r="D1143" s="50"/>
      <c r="E1143" s="51" t="str">
        <f t="shared" si="434"/>
        <v/>
      </c>
      <c r="F1143" s="71" t="str">
        <f t="shared" si="431"/>
        <v/>
      </c>
      <c r="G1143" s="69" t="str">
        <f t="shared" si="433"/>
        <v/>
      </c>
      <c r="H1143" s="70" t="str">
        <f t="shared" si="432"/>
        <v/>
      </c>
      <c r="I1143" s="27" t="str">
        <f>IF(N(J1143)=0,"",0&amp;"-"&amp;B$9)</f>
        <v/>
      </c>
      <c r="J1143" s="52" t="str">
        <f>IF(N(B$9)=0,"",IF(AND(COUNT(H1138:H1149)=2,COUNT(F1138:F1149)=2),cubic_spline(F1137:F1139,H1137:H1139,B$9),IF(AND(COUNT(H1138:H1149)=3,COUNT(F1138:F1149)=3),cubic_spline(F1137:F1140,H1137:H1140,B$9),IF(AND(COUNT(H1138:H1149)=4,COUNT(F1138:F1149)=4),cubic_spline(F1137:F1141,H1137:H1141,B$9),IF(AND(COUNT(H1138:H1149)=5,COUNT(F1138:F1149)=5),cubic_spline(F1137:F1142,H1137:H1142,B$9),IF(AND(COUNT(H1138:H1149)=6,COUNT(F1138:F1149)=6),cubic_spline(F1137:F1143,H1137:H1143,B$9),IF(AND(COUNT(H1138:H1149)=7,COUNT(F1138:F1149)=7),cubic_spline(F1137:F1144,H1137:H1144,B$9),IF(AND(COUNT(H1138:H1149)=8,COUNT(F1138:F1149)=8),cubic_spline(F1137:F1145,H1137:H1145,B$9),IF(AND(COUNT(H1138:H1149)=9,COUNT(F1138:F1149)=9),cubic_spline(F1137:F1146,H1137:H1146,B$9),IF(AND(COUNT(H1138:H1149)=10,COUNT(F1138:F1149)=10),cubic_spline(F1137:F1147,H1137:H1147,B$9),IF(AND(COUNT(H1138:H1149)=11,COUNT(F1138:F1149)=11),cubic_spline(F1137:F1148,H1137:H1148,B$9),IF(AND(COUNT(H1138:H1149)=12,COUNT(F1138:F1149)=12),cubic_spline(F1137:F1149,H1137:H1149,B$9),""))))))))))))</f>
        <v/>
      </c>
      <c r="K1143" s="52" t="str">
        <f>IF(N(B$9)=0,"",IF(AND(COUNT(A1138:A1149)=2,COUNT(F1138:F1149)=2),cubic_spline(F1137:F1139,A1137:A1139,B$9),IF(AND(COUNT(A1138:A1149)=3,COUNT(F1138:F1149)=3),cubic_spline(F1137:F1140,A1137:A1140,B$9),IF(AND(COUNT(A1138:A1149)=4,COUNT(F1138:F1149)=4),cubic_spline(F1137:F1141,A1137:A1141,B$9),IF(AND(COUNT(A1138:A1149)=5,COUNT(F1138:F1149)=5),cubic_spline(F1137:F1142,A1137:A1142,B$9),IF(AND(COUNT(A1138:A1149)=6,COUNT(F1138:F1149)=6),cubic_spline(F1137:F1143,A1137:A1143,B$9),IF(AND(COUNT(A1138:A1149)=7,COUNT(F1138:F1149)=7),cubic_spline(F1137:F1144,A1137:A1144,B$9),IF(AND(COUNT(A1138:A1149)=8,COUNT(F1138:F1149)=8),cubic_spline(F1137:F1145,A1137:A1145,B$9),IF(AND(COUNT(A1138:A1149)=9,COUNT(F1138:F1149)=9),cubic_spline(F1137:F1146,A1137:A1146,B$9),IF(AND(COUNT(A1138:A1149)=10,COUNT(F1138:F1149)=10),cubic_spline(F1137:F1147,A1137:A1147,B$9),IF(AND(COUNT(A1138:A1149)=11,COUNT(F1138:F1149)=11),cubic_spline(F1137:F1148,A1137:A1148,B$9),IF(AND(COUNT(A1138:A1149)=12,COUNT(F1138:F1149)=12),cubic_spline(F1137:F1149,A1137:A1149,B$9),""))))))))))))</f>
        <v/>
      </c>
      <c r="L1143" s="27" t="str">
        <f>IF(I1143="","",B$8&amp;"-"&amp;B$9)</f>
        <v/>
      </c>
      <c r="M1143" s="52" t="str">
        <f t="shared" ref="M1143:M1149" si="435">IF(N(J1143)=0,"",J1143-J1142)</f>
        <v/>
      </c>
    </row>
    <row r="1144" spans="1:13" x14ac:dyDescent="0.35">
      <c r="A1144" s="48"/>
      <c r="B1144" s="48"/>
      <c r="C1144" s="49"/>
      <c r="D1144" s="50"/>
      <c r="E1144" s="51" t="str">
        <f t="shared" si="434"/>
        <v/>
      </c>
      <c r="F1144" s="71" t="str">
        <f t="shared" si="431"/>
        <v/>
      </c>
      <c r="G1144" s="69" t="str">
        <f t="shared" si="433"/>
        <v/>
      </c>
      <c r="H1144" s="70" t="str">
        <f t="shared" si="432"/>
        <v/>
      </c>
      <c r="I1144" s="27" t="str">
        <f>IF(N(J1144)=0,"",0&amp;"-"&amp;B$10)</f>
        <v/>
      </c>
      <c r="J1144" s="52" t="str">
        <f>IF(N(B$10)=0,"",IF(AND(COUNT(H1138:H1149)=2,COUNT(F1138:F1149)=2),cubic_spline(F1137:F1139,H1137:H1139,B$10),IF(AND(COUNT(H1138:H1149)=3,COUNT(F1138:F1149)=3),cubic_spline(F1137:F1140,H1137:H1140,B$10),IF(AND(COUNT(H1138:H1149)=4,COUNT(F1138:F1149)=4),cubic_spline(F1137:F1141,H1137:H1141,B$10),IF(AND(COUNT(H1138:H1149)=5,COUNT(F1138:F1149)=5),cubic_spline(F1137:F1142,H1137:H1142,B$10),IF(AND(COUNT(H1138:H1149)=6,COUNT(F1138:F1149)=6),cubic_spline(F1137:F1143,H1137:H1143,B$10),IF(AND(COUNT(H1138:H1149)=7,COUNT(F1138:F1149)=7),cubic_spline(F1137:F1144,H1137:H1144,B$10),IF(AND(COUNT(H1138:H1149)=8,COUNT(F1138:F1149)=8),cubic_spline(F1137:F1145,H1137:H1145,B$10),IF(AND(COUNT(H1138:H1149)=9,COUNT(F1138:F1149)=9),cubic_spline(F1137:F1146,H1137:H1146,B$10),IF(AND(COUNT(H1138:H1149)=10,COUNT(F1138:F1149)=10),cubic_spline(F1137:F1147,H1137:H1147,B$10),IF(AND(COUNT(H1138:H1149)=11,COUNT(F1138:F1149)=11),cubic_spline(F1137:F1148,H1137:H1148,B$10),IF(AND(COUNT(H1138:H1149)=12,COUNT(F1138:F1149)=12),cubic_spline(F1137:F1149,H1137:H1149,B$10),""))))))))))))</f>
        <v/>
      </c>
      <c r="K1144" s="52" t="str">
        <f>IF(N(B$10)=0,"",IF(AND(COUNT(A1138:A1149)=2,COUNT(F1138:F1149)=2),cubic_spline(F1137:F1139,A1137:A1139,B$10),IF(AND(COUNT(A1138:A1149)=3,COUNT(F1138:F1149)=3),cubic_spline(F1137:F1140,A1137:A1140,B$10),IF(AND(COUNT(A1138:A1149)=4,COUNT(F1138:F1149)=4),cubic_spline(F1137:F1141,A1137:A1141,B$10),IF(AND(COUNT(A1138:A1149)=5,COUNT(F1138:F1149)=5),cubic_spline(F1137:F1142,A1137:A1142,B$10),IF(AND(COUNT(A1138:A1149)=6,COUNT(F1138:F1149)=6),cubic_spline(F1137:F1143,A1137:A1143,B$10),IF(AND(COUNT(A1138:A1149)=7,COUNT(F1138:F1149)=7),cubic_spline(F1137:F1144,A1137:A1144,B$10),IF(AND(COUNT(A1138:A1149)=8,COUNT(F1138:F1149)=8),cubic_spline(F1137:F1145,A1137:A1145,B$10),IF(AND(COUNT(A1138:A1149)=9,COUNT(F1138:F1149)=9),cubic_spline(F1137:F1146,A1137:A1146,B$10),IF(AND(COUNT(A1138:A1149)=10,COUNT(F1138:F1149)=10),cubic_spline(F1137:F1147,A1137:A1147,B$10),IF(AND(COUNT(A1138:A1149)=11,COUNT(F1138:F1149)=11),cubic_spline(F1137:F1148,A1137:A1148,B$10),IF(AND(COUNT(A1138:A1149)=12,COUNT(F1138:F1149)=12),cubic_spline(F1137:F1149,A1137:A1149,B$10),""))))))))))))</f>
        <v/>
      </c>
      <c r="L1144" s="27" t="str">
        <f>IF(I1144="","",B$9&amp;"-"&amp;B$10)</f>
        <v/>
      </c>
      <c r="M1144" s="52" t="str">
        <f t="shared" si="435"/>
        <v/>
      </c>
    </row>
    <row r="1145" spans="1:13" x14ac:dyDescent="0.35">
      <c r="A1145" s="48"/>
      <c r="B1145" s="48"/>
      <c r="C1145" s="49"/>
      <c r="D1145" s="50"/>
      <c r="E1145" s="51" t="str">
        <f t="shared" si="434"/>
        <v/>
      </c>
      <c r="F1145" s="71" t="str">
        <f t="shared" si="431"/>
        <v/>
      </c>
      <c r="G1145" s="69" t="str">
        <f t="shared" si="433"/>
        <v/>
      </c>
      <c r="H1145" s="70" t="str">
        <f t="shared" si="432"/>
        <v/>
      </c>
      <c r="I1145" s="27" t="str">
        <f>IF(N(J1145)=0,"",0&amp;"-"&amp;B$11)</f>
        <v/>
      </c>
      <c r="J1145" s="52" t="str">
        <f>IF(N(B$11)=0,"",IF(AND(COUNT(H1138:H1149)=2,COUNT(F1138:F1149)=2),cubic_spline(F1137:F1139,H1137:H1139,B$11),IF(AND(COUNT(H1138:H1149)=3,COUNT(F1138:F1149)=3),cubic_spline(F1137:F1140,H1137:H1140,B$11),IF(AND(COUNT(H1138:H1149)=4,COUNT(F1138:F1149)=4),cubic_spline(F1137:F1141,H1137:H1141,B$11),IF(AND(COUNT(H1138:H1149)=5,COUNT(F1138:F1149)=5),cubic_spline(F1137:F1142,H1137:H1142,B$11),IF(AND(COUNT(H1138:H1149)=6,COUNT(F1138:F1149)=6),cubic_spline(F1137:F1143,H1137:H1143,B$11),IF(AND(COUNT(H1138:H1149)=7,COUNT(F1138:F1149)=7),cubic_spline(F1137:F1144,H1137:H1144,B$11),IF(AND(COUNT(H1138:H1149)=8,COUNT(F1138:F1149)=8),cubic_spline(F1137:F1145,H1137:H1145,B$11),IF(AND(COUNT(H1138:H1149)=9,COUNT(F1138:F1149)=9),cubic_spline(F1137:F1146,H1137:H1146,B$11),IF(AND(COUNT(H1138:H1149)=10,COUNT(F1138:F1149)=10),cubic_spline(F1137:F1147,H1137:H1147,B$11),IF(AND(COUNT(H1138:H1149)=11,COUNT(F1138:F1149)=11),cubic_spline(F1137:F1148,H1137:H1148,B$11),IF(AND(COUNT(H1138:H1149)=12,COUNT(F1138:F1149)=12),cubic_spline(F1137:F1149,H1137:H1149,B$11),""))))))))))))</f>
        <v/>
      </c>
      <c r="K1145" s="52" t="str">
        <f>IF(N(B$11)=0,"",IF(AND(COUNT(A1138:A1149)=2,COUNT(F1138:F1149)=2),cubic_spline(F1137:F1139,A1137:A1139,B$11),IF(AND(COUNT(A1138:A1149)=3,COUNT(F1138:F1149)=3),cubic_spline(F1137:F1140,A1137:A1140,B$11),IF(AND(COUNT(A1138:A1149)=4,COUNT(F1138:F1149)=4),cubic_spline(F1137:F1141,A1137:A1141,B$11),IF(AND(COUNT(A1138:A1149)=5,COUNT(F1138:F1149)=5),cubic_spline(F1137:F1142,A1137:A1142,B$11),IF(AND(COUNT(A1138:A1149)=6,COUNT(F1138:F1149)=6),cubic_spline(F1137:F1143,A1137:A1143,B$11),IF(AND(COUNT(A1138:A1149)=7,COUNT(F1138:F1149)=7),cubic_spline(F1137:F1144,A1137:A1144,B$11),IF(AND(COUNT(A1138:A1149)=8,COUNT(F1138:F1149)=8),cubic_spline(F1137:F1145,A1137:A1145,B$11),IF(AND(COUNT(A1138:A1149)=9,COUNT(F1138:F1149)=9),cubic_spline(F1137:F1146,A1137:A1146,B$11),IF(AND(COUNT(A1138:A1149)=10,COUNT(F1138:F1149)=10),cubic_spline(F1137:F1147,A1137:A1147,B$11),IF(AND(COUNT(A1138:A1149)=11,COUNT(F1138:F1149)=11),cubic_spline(F1137:F1148,A1137:A1148,B$11),IF(AND(COUNT(A1138:A1149)=12,COUNT(F1138:F1149)=12),cubic_spline(F1137:F1149,A1137:A1149,B$11),""))))))))))))</f>
        <v/>
      </c>
      <c r="L1145" s="27" t="str">
        <f>IF(I1145="","",B$10&amp;"-"&amp;B$11)</f>
        <v/>
      </c>
      <c r="M1145" s="52" t="str">
        <f t="shared" si="435"/>
        <v/>
      </c>
    </row>
    <row r="1146" spans="1:13" x14ac:dyDescent="0.35">
      <c r="A1146" s="48"/>
      <c r="B1146" s="48"/>
      <c r="C1146" s="49"/>
      <c r="D1146" s="50"/>
      <c r="E1146" s="51" t="str">
        <f t="shared" si="434"/>
        <v/>
      </c>
      <c r="F1146" s="71" t="str">
        <f t="shared" si="431"/>
        <v/>
      </c>
      <c r="G1146" s="69" t="str">
        <f t="shared" si="433"/>
        <v/>
      </c>
      <c r="H1146" s="70" t="str">
        <f t="shared" si="432"/>
        <v/>
      </c>
      <c r="I1146" s="27" t="str">
        <f>IF(N(J1146)=0,"",0&amp;"-"&amp;B$12)</f>
        <v/>
      </c>
      <c r="J1146" s="52" t="str">
        <f>IF(N(B$12)=0,"",IF(AND(COUNT(H1138:H1149)=2,COUNT(F1138:F1149)=2),cubic_spline(F1137:F1139,H1137:H1139,B$12),IF(AND(COUNT(H1138:H1149)=3,COUNT(F1138:F1149)=3),cubic_spline(F1137:F1140,H1137:H1140,B$12),IF(AND(COUNT(H1138:H1149)=4,COUNT(F1138:F1149)=4),cubic_spline(F1137:F1141,H1137:H1141,B$12),IF(AND(COUNT(H1138:H1149)=5,COUNT(F1138:F1149)=5),cubic_spline(F1137:F1142,H1137:H1142,B$12),IF(AND(COUNT(H1138:H1149)=6,COUNT(F1138:F1149)=6),cubic_spline(F1137:F1143,H1137:H1143,B$12),IF(AND(COUNT(H1138:H1149)=7,COUNT(F1138:F1149)=7),cubic_spline(F1137:F1144,H1137:H1144,B$12),IF(AND(COUNT(H1138:H1149)=8,COUNT(F1138:F1149)=8),cubic_spline(F1137:F1145,H1137:H1145,B$12),IF(AND(COUNT(H1138:H1149)=9,COUNT(F1138:F1149)=9),cubic_spline(F1137:F1146,H1137:H1146,B$12),IF(AND(COUNT(H1138:H1149)=10,COUNT(F1138:F1149)=10),cubic_spline(F1137:F1147,H1137:H1147,B$12),IF(AND(COUNT(H1138:H1149)=11,COUNT(F1138:F1149)=11),cubic_spline(F1137:F1148,H1137:H1148,B$12),IF(AND(COUNT(H1138:H1149)=12,COUNT(F1138:F1149)=12),cubic_spline(F1137:F1149,H1137:H1149,B$12),""))))))))))))</f>
        <v/>
      </c>
      <c r="K1146" s="52" t="str">
        <f>IF(N(B$12)=0,"",IF(AND(COUNT(A1138:A1149)=2,COUNT(F1138:F1149)=2),cubic_spline(F1137:F1139,A1137:A1139,B$12),IF(AND(COUNT(A1138:A1149)=3,COUNT(F1138:F1149)=3),cubic_spline(F1137:F1140,A1137:A1140,B$12),IF(AND(COUNT(A1138:A1149)=4,COUNT(F1138:F1149)=4),cubic_spline(F1137:F1141,A1137:A1141,B$12),IF(AND(COUNT(A1138:A1149)=5,COUNT(F1138:F1149)=5),cubic_spline(F1137:F1142,A1137:A1142,B$12),IF(AND(COUNT(A1138:A1149)=6,COUNT(F1138:F1149)=6),cubic_spline(F1137:F1143,A1137:A1143,B$12),IF(AND(COUNT(A1138:A1149)=7,COUNT(F1138:F1149)=7),cubic_spline(F1137:F1144,A1137:A1144,B$12),IF(AND(COUNT(A1138:A1149)=8,COUNT(F1138:F1149)=8),cubic_spline(F1137:F1145,A1137:A1145,B$12),IF(AND(COUNT(A1138:A1149)=9,COUNT(F1138:F1149)=9),cubic_spline(F1137:F1146,A1137:A1146,B$12),IF(AND(COUNT(A1138:A1149)=10,COUNT(F1138:F1149)=10),cubic_spline(F1137:F1147,A1137:A1147,B$12),IF(AND(COUNT(A1138:A1149)=11,COUNT(F1138:F1149)=11),cubic_spline(F1137:F1148,A1137:A1148,B$12),IF(AND(COUNT(A1138:A1149)=12,COUNT(F1138:F1149)=12),cubic_spline(F1137:F1149,A1137:A1149,B$12),""))))))))))))</f>
        <v/>
      </c>
      <c r="L1146" s="27" t="str">
        <f>IF(I1146="","",B$11&amp;"-"&amp;B$12)</f>
        <v/>
      </c>
      <c r="M1146" s="52" t="str">
        <f t="shared" si="435"/>
        <v/>
      </c>
    </row>
    <row r="1147" spans="1:13" x14ac:dyDescent="0.35">
      <c r="A1147" s="48"/>
      <c r="B1147" s="48"/>
      <c r="C1147" s="49"/>
      <c r="D1147" s="50"/>
      <c r="E1147" s="51" t="str">
        <f t="shared" si="434"/>
        <v/>
      </c>
      <c r="F1147" s="71" t="str">
        <f t="shared" si="431"/>
        <v/>
      </c>
      <c r="G1147" s="69" t="str">
        <f t="shared" si="433"/>
        <v/>
      </c>
      <c r="H1147" s="70" t="str">
        <f t="shared" si="432"/>
        <v/>
      </c>
      <c r="I1147" s="27" t="str">
        <f>IF(N(J1147)=0,"",0&amp;"-"&amp;B$13)</f>
        <v/>
      </c>
      <c r="J1147" s="52" t="str">
        <f>IF(N(B$13)=0,"",IF(AND(COUNT(H1138:H1149)=2,COUNT(F1138:F1149)=2),cubic_spline(F1137:F1139,H1137:H1139,B$13),IF(AND(COUNT(H1138:H1149)=3,COUNT(F1138:F1149)=3),cubic_spline(F1137:F1140,H1137:H1140,B$13),IF(AND(COUNT(H1138:H1149)=4,COUNT(F1138:F1149)=4),cubic_spline(F1137:F1141,H1137:H1141,B$13),IF(AND(COUNT(H1138:H1149)=5,COUNT(F1138:F1149)=5),cubic_spline(F1137:F1142,H1137:H1142,B$13),IF(AND(COUNT(H1138:H1149)=6,COUNT(F1138:F1149)=6),cubic_spline(F1137:F1143,H1137:H1143,B$13),IF(AND(COUNT(H1138:H1149)=7,COUNT(F1138:F1149)=7),cubic_spline(F1137:F1144,H1137:H1144,B$13),IF(AND(COUNT(H1138:H1149)=8,COUNT(F1138:F1149)=8),cubic_spline(F1137:F1145,H1137:H1145,B$13),IF(AND(COUNT(H1138:H1149)=9,COUNT(F1138:F1149)=9),cubic_spline(F1137:F1146,H1137:H1146,B$13),IF(AND(COUNT(H1138:H1149)=10,COUNT(F1138:F1149)=10),cubic_spline(F1137:F1147,H1137:H1147,B$13),IF(AND(COUNT(H1138:H1149)=11,COUNT(F1138:F1149)=11),cubic_spline(F1137:F1148,H1137:H1148,B$13),IF(AND(COUNT(H1138:H1149)=12,COUNT(F1138:F1149)=12),cubic_spline(F1137:F1149,H1137:H1149,B$13),""))))))))))))</f>
        <v/>
      </c>
      <c r="K1147" s="52" t="str">
        <f>IF(N(B$13)=0,"",IF(AND(COUNT(A1138:A1149)=2,COUNT(F1138:F1149)=2),cubic_spline(F1137:F1139,A1137:A1139,B$13),IF(AND(COUNT(A1138:A1149)=3,COUNT(F1138:F1149)=3),cubic_spline(F1137:F1140,A1137:A1140,B$13),IF(AND(COUNT(A1138:A1149)=4,COUNT(F1138:F1149)=4),cubic_spline(F1137:F1141,A1137:A1141,B$13),IF(AND(COUNT(A1138:A1149)=5,COUNT(F1138:F1149)=5),cubic_spline(F1137:F1142,A1137:A1142,B$13),IF(AND(COUNT(A1138:A1149)=6,COUNT(F1138:F1149)=6),cubic_spline(F1137:F1143,A1137:A1143,B$13),IF(AND(COUNT(A1138:A1149)=7,COUNT(F1138:F1149)=7),cubic_spline(F1137:F1144,A1137:A1144,B$13),IF(AND(COUNT(A1138:A1149)=8,COUNT(F1138:F1149)=8),cubic_spline(F1137:F1145,A1137:A1145,B$13),IF(AND(COUNT(A1138:A1149)=9,COUNT(F1138:F1149)=9),cubic_spline(F1137:F1146,A1137:A1146,B$13),IF(AND(COUNT(A1138:A1149)=10,COUNT(F1138:F1149)=10),cubic_spline(F1137:F1147,A1137:A1147,B$13),IF(AND(COUNT(A1138:A1149)=11,COUNT(F1138:F1149)=11),cubic_spline(F1137:F1148,A1137:A1148,B$13),IF(AND(COUNT(A1138:A1149)=12,COUNT(F1138:F1149)=12),cubic_spline(F1137:F1149,A1137:A1149,B$13),""))))))))))))</f>
        <v/>
      </c>
      <c r="L1147" s="27" t="str">
        <f>IF(I1147="","",B$12&amp;"-"&amp;B$13)</f>
        <v/>
      </c>
      <c r="M1147" s="52" t="str">
        <f t="shared" si="435"/>
        <v/>
      </c>
    </row>
    <row r="1148" spans="1:13" x14ac:dyDescent="0.35">
      <c r="A1148" s="48"/>
      <c r="B1148" s="48"/>
      <c r="C1148" s="49"/>
      <c r="D1148" s="50"/>
      <c r="E1148" s="51" t="str">
        <f t="shared" si="434"/>
        <v/>
      </c>
      <c r="F1148" s="71" t="str">
        <f t="shared" si="431"/>
        <v/>
      </c>
      <c r="G1148" s="69" t="str">
        <f t="shared" si="433"/>
        <v/>
      </c>
      <c r="H1148" s="70" t="str">
        <f t="shared" si="432"/>
        <v/>
      </c>
      <c r="I1148" s="27" t="str">
        <f>IF(N(J1148)=0,"",0&amp;"-"&amp;B$14)</f>
        <v/>
      </c>
      <c r="J1148" s="52" t="str">
        <f>IF(N(B$14)=0,"",IF(AND(COUNT(H1138:H1149)=2,COUNT(F1138:F1149)=2),cubic_spline(F1137:F1139,H1137:H1139,B$14),IF(AND(COUNT(H1138:H1149)=3,COUNT(F1138:F1149)=3),cubic_spline(F1137:F1140,H1137:H1140,B$14),IF(AND(COUNT(H1138:H1149)=4,COUNT(F1138:F1149)=4),cubic_spline(F1137:F1141,H1137:H1141,B$14),IF(AND(COUNT(H1138:H1149)=5,COUNT(F1138:F1149)=5),cubic_spline(F1137:F1142,H1137:H1142,B$14),IF(AND(COUNT(H1138:H1149)=6,COUNT(F1138:F1149)=6),cubic_spline(F1137:F1143,H1137:H1143,B$14),IF(AND(COUNT(H1138:H1149)=7,COUNT(F1138:F1149)=7),cubic_spline(F1137:F1144,H1137:H1144,B$14),IF(AND(COUNT(H1138:H1149)=8,COUNT(F1138:F1149)=8),cubic_spline(F1137:F1145,H1137:H1145,B$14),IF(AND(COUNT(H1138:H1149)=9,COUNT(F1138:F1149)=9),cubic_spline(F1137:F1146,H1137:H1146,B$14),IF(AND(COUNT(H1138:H1149)=10,COUNT(F1138:F1149)=10),cubic_spline(F1137:F1147,H1137:H1147,B$14),IF(AND(COUNT(H1138:H1149)=11,COUNT(F1138:F1149)=11),cubic_spline(F1137:F1148,H1137:H1148,B$14),IF(AND(COUNT(H1138:H1149)=12,COUNT(F1138:F1149)=12),cubic_spline(F1137:F1149,H1137:H1149,B$14),""))))))))))))</f>
        <v/>
      </c>
      <c r="K1148" s="52" t="str">
        <f>IF(N(B$14)=0,"",IF(AND(COUNT(A1138:A1149)=2,COUNT(F1138:F1149)=2),cubic_spline(F1137:F1139,A1137:A1139,B$14),IF(AND(COUNT(A1138:A1149)=3,COUNT(F1138:F1149)=3),cubic_spline(F1137:F1140,A1137:A1140,B$14),IF(AND(COUNT(A1138:A1149)=4,COUNT(F1138:F1149)=4),cubic_spline(F1137:F1141,A1137:A1141,B$14),IF(AND(COUNT(A1138:A1149)=5,COUNT(F1138:F1149)=5),cubic_spline(F1137:F1142,A1137:A1142,B$14),IF(AND(COUNT(A1138:A1149)=6,COUNT(F1138:F1149)=6),cubic_spline(F1137:F1143,A1137:A1143,B$14),IF(AND(COUNT(A1138:A1149)=7,COUNT(F1138:F1149)=7),cubic_spline(F1137:F1144,A1137:A1144,B$14),IF(AND(COUNT(A1138:A1149)=8,COUNT(F1138:F1149)=8),cubic_spline(F1137:F1145,A1137:A1145,B$14),IF(AND(COUNT(A1138:A1149)=9,COUNT(F1138:F1149)=9),cubic_spline(F1137:F1146,A1137:A1146,B$14),IF(AND(COUNT(A1138:A1149)=10,COUNT(F1138:F1149)=10),cubic_spline(F1137:F1147,A1137:A1147,B$14),IF(AND(COUNT(A1138:A1149)=11,COUNT(F1138:F1149)=11),cubic_spline(F1137:F1148,A1137:A1148,B$14),IF(AND(COUNT(A1138:A1149)=12,COUNT(F1138:F1149)=12),cubic_spline(F1137:F1149,A1137:A1149,B$14),""))))))))))))</f>
        <v/>
      </c>
      <c r="L1148" s="27" t="str">
        <f>IF(I1148="","",B$13&amp;"-"&amp;B$14)</f>
        <v/>
      </c>
      <c r="M1148" s="52" t="str">
        <f t="shared" si="435"/>
        <v/>
      </c>
    </row>
    <row r="1149" spans="1:13" x14ac:dyDescent="0.35">
      <c r="A1149" s="48"/>
      <c r="B1149" s="48"/>
      <c r="C1149" s="49"/>
      <c r="D1149" s="50"/>
      <c r="E1149" s="51" t="str">
        <f t="shared" si="434"/>
        <v/>
      </c>
      <c r="F1149" s="71" t="str">
        <f t="shared" si="431"/>
        <v/>
      </c>
      <c r="G1149" s="69" t="str">
        <f t="shared" si="433"/>
        <v/>
      </c>
      <c r="H1149" s="70" t="str">
        <f t="shared" si="432"/>
        <v/>
      </c>
      <c r="I1149" s="27" t="str">
        <f>IF(N(J1149)=0,"",0&amp;"-"&amp;B$15)</f>
        <v/>
      </c>
      <c r="J1149" s="52" t="str">
        <f>IF(N(B$15)=0,"",IF(AND(COUNT(H1138:H1149)=2,COUNT(F1138:F1149)=2),cubic_spline(F1137:F1139,H1137:H1139,B$15),IF(AND(COUNT(H1138:H1149)=3,COUNT(F1138:F1149)=3),cubic_spline(F1137:F1140,H1137:H1140,B$15),IF(AND(COUNT(H1138:H1149)=4,COUNT(F1138:F1149)=4),cubic_spline(F1137:F1141,H1137:H1141,B$15),IF(AND(COUNT(H1138:H1149)=5,COUNT(F1138:F1149)=5),cubic_spline(F1137:F1142,H1137:H1142,B$15),IF(AND(COUNT(H1138:H1149)=6,COUNT(F1138:F1149)=6),cubic_spline(F1137:F1143,H1137:H1143,B$15),IF(AND(COUNT(H1138:H1149)=7,COUNT(F1138:F1149)=7),cubic_spline(F1137:F1144,H1137:H1144,B$15),IF(AND(COUNT(H1138:H1149)=8,COUNT(F1138:F1149)=8),cubic_spline(F1137:F1145,H1137:H1145,B$15),IF(AND(COUNT(H1138:H1149)=9,COUNT(F1138:F1149)=9),cubic_spline(F1137:F1146,H1137:H1146,B$15),IF(AND(COUNT(H1138:H1149)=10,COUNT(F1138:F1149)=10),cubic_spline(F1137:F1147,H1137:H1147,B$15),IF(AND(COUNT(H1138:H1149)=11,COUNT(F1138:F1149)=11),cubic_spline(F1137:F1148,H1137:H1148,B$15),IF(AND(COUNT(H1138:H1149)=12,COUNT(F1138:F1149)=12),cubic_spline(F1137:F1149,H1137:H1149,B$15),""))))))))))))</f>
        <v/>
      </c>
      <c r="K1149" s="52" t="str">
        <f>IF(N(B$15)=0,"",IF(AND(COUNT(A1138:A1149)=2,COUNT(F1138:F1149)=2),cubic_spline(F1137:F1139,A1137:A1139,B$15),IF(AND(COUNT(A1138:A1149)=3,COUNT(F1138:F1149)=3),cubic_spline(F1137:F1140,A1137:A1140,B$15),IF(AND(COUNT(A1138:A1149)=4,COUNT(F1138:F1149)=4),cubic_spline(F1137:F1141,A1137:A1141,B$15),IF(AND(COUNT(A1138:A1149)=5,COUNT(F1138:F1149)=5),cubic_spline(F1137:F1142,A1137:A1142,B$15),IF(AND(COUNT(A1138:A1149)=6,COUNT(F1138:F1149)=6),cubic_spline(F1137:F1143,A1137:A1143,B$15),IF(AND(COUNT(A1138:A1149)=7,COUNT(F1138:F1149)=7),cubic_spline(F1137:F1144,A1137:A1144,B$15),IF(AND(COUNT(A1138:A1149)=8,COUNT(F1138:F1149)=8),cubic_spline(F1137:F1145,A1137:A1145,B$15),IF(AND(COUNT(A1138:A1149)=9,COUNT(F1138:F1149)=9),cubic_spline(F1137:F1146,A1137:A1146,B$15),IF(AND(COUNT(A1138:A1149)=10,COUNT(F1138:F1149)=10),cubic_spline(F1137:F1147,A1137:A1147,B$15),IF(AND(COUNT(A1138:A1149)=11,COUNT(F1138:F1149)=11),cubic_spline(F1137:F1148,A1137:A1148,B$15),IF(AND(COUNT(A1138:A1149)=12,COUNT(F1138:F1149)=12),cubic_spline(F1137:F1149,A1137:A1149,B$15),""))))))))))))</f>
        <v/>
      </c>
      <c r="L1149" s="27" t="str">
        <f>IF(I1149="","",B$14&amp;"-"&amp;B$15)</f>
        <v/>
      </c>
      <c r="M1149" s="52" t="str">
        <f t="shared" si="435"/>
        <v/>
      </c>
    </row>
    <row r="1150" spans="1:13" ht="5.15" customHeight="1" x14ac:dyDescent="0.35">
      <c r="A1150" s="47"/>
      <c r="B1150" s="47"/>
      <c r="C1150" s="47"/>
      <c r="D1150" s="53"/>
      <c r="E1150" s="54"/>
      <c r="F1150" s="55"/>
      <c r="G1150" s="72"/>
      <c r="H1150" s="73"/>
      <c r="I1150" s="47"/>
      <c r="J1150" s="57"/>
      <c r="K1150" s="57"/>
      <c r="L1150" s="55"/>
      <c r="M1150" s="57"/>
    </row>
    <row r="1151" spans="1:13" x14ac:dyDescent="0.35">
      <c r="A1151" s="48"/>
      <c r="B1151" s="48"/>
      <c r="C1151" s="49"/>
      <c r="D1151" s="50"/>
      <c r="E1151" s="51" t="str">
        <f>IF(N(C1151)=0,"",C1151/PI()/($D$1/2)^2/$D$2*10000)</f>
        <v/>
      </c>
      <c r="F1151" s="68" t="str">
        <f t="shared" ref="F1151:F1162" si="436">IF(N(E1151)=0,"",(N(E1151)+N(F1150)))</f>
        <v/>
      </c>
      <c r="G1151" s="69" t="str">
        <f>IF(OR(N(D1151)=0,N(E1151)=0),"",(E1151*D1151)/1000)</f>
        <v/>
      </c>
      <c r="H1151" s="70" t="str">
        <f t="shared" ref="H1151:H1162" si="437">IF(N(G1151)=0,"",(N(G1151)+N(H1150)))</f>
        <v/>
      </c>
      <c r="I1151" s="27" t="str">
        <f>IF(N(J1151)=0,"",0&amp;"-"&amp;B$4)</f>
        <v/>
      </c>
      <c r="J1151" s="52" t="str">
        <f>IF(N(B$4)=0,"",IF(AND(COUNT(H1151:H1162)=2,COUNT(F1151:F1162)=2),cubic_spline(F1150:F1152,H1150:H1152,B$4),IF(AND(COUNT(H1151:H1162)=3,COUNT(F1151:F1162)=3),cubic_spline(F1150:F1153,H1150:H1153,B$4),IF(AND(COUNT(H1151:H1162)=4,COUNT(F1151:F1162)=4),cubic_spline(F1150:F1154,H1150:H1154,B$4),IF(AND(COUNT(H1151:H1162)=5,COUNT(F1151:F1162)=5),cubic_spline(F1150:F1155,H1150:H1155,B$4),IF(AND(COUNT(H1151:H1162)=6,COUNT(F1151:F1162)=6),cubic_spline(F1150:F1156,H1150:H1156,B$4),IF(AND(COUNT(H1151:H1162)=7,COUNT(F1151:F1162)=7),cubic_spline(F1150:F1157,H1150:H1157,B$4),IF(AND(COUNT(H1151:H1162)=8,COUNT(F1151:F1162)=8),cubic_spline(F1150:F1158,H1150:H1158,B$4),IF(AND(COUNT(H1151:H1162)=9,COUNT(F1151:F1162)=9),cubic_spline(F1150:F1159,H1150:H1159,B$4),IF(AND(COUNT(H1151:H1162)=10,COUNT(F1151:F1162)=10),cubic_spline(F1150:F1160,H1150:H1160,B$4),IF(AND(COUNT(H1151:H1162)=11,COUNT(F1151:F1162)=11),cubic_spline(F1150:F1161,H1150:H1161,B$4),IF(AND(COUNT(H1151:H1162)=12,COUNT(F1151:F1162)=12),cubic_spline(F1150:F1162,H1150:H1162,B$4),""))))))))))))</f>
        <v/>
      </c>
      <c r="K1151" s="52" t="str">
        <f>IF(N(B$4)=0,"",IF(AND(COUNT(A1151:A1162)=2,COUNT(F1151:F1162)=2),cubic_spline(F1150:F1152,A1150:A1152,B$4),IF(AND(COUNT(A1151:A1162)=3,COUNT(F1151:F1162)=3),cubic_spline(F1150:F1153,A1150:A1153,B$4),IF(AND(COUNT(A1151:A1162)=4,COUNT(F1151:F1162)=4),cubic_spline(F1150:F1154,A1150:A1154,B$4),IF(AND(COUNT(A1151:A1162)=5,COUNT(F1151:F1162)=5),cubic_spline(F1150:F1155,A1150:A1155,B$4),IF(AND(COUNT(A1151:A1162)=6,COUNT(F1151:F1162)=6),cubic_spline(F1150:F1156,A1150:A1156,B$4),IF(AND(COUNT(A1151:A1162)=7,COUNT(F1151:F1162)=7),cubic_spline(F1150:F1157,A1150:A1157,B$4),IF(AND(COUNT(A1151:A1162)=8,COUNT(F1151:F1162)=8),cubic_spline(F1150:F1158,A1150:A1158,B$4),IF(AND(COUNT(A1151:A1162)=9,COUNT(F1151:F1162)=9),cubic_spline(F1150:F1159,A1150:A1159,B$4),IF(AND(COUNT(A1151:A1162)=10,COUNT(F1151:F1162)=10),cubic_spline(F1150:F1160,A1150:A1160,B$4),IF(AND(COUNT(A1151:A1162)=11,COUNT(F1151:F1162)=11),cubic_spline(F1150:F1161,A1150:A1161,B$4),IF(AND(COUNT(A1151:A1162)=12,COUNT(F1151:F1162)=12),cubic_spline(F1150:F1162,A1150:A1162,B$4),""))))))))))))</f>
        <v/>
      </c>
      <c r="L1151" s="27" t="str">
        <f>IF(I1151="","",0&amp;"-"&amp;B$4)</f>
        <v/>
      </c>
      <c r="M1151" s="52" t="str">
        <f>IF(N(J1151)=0,"",J1151-J1150)</f>
        <v/>
      </c>
    </row>
    <row r="1152" spans="1:13" x14ac:dyDescent="0.35">
      <c r="A1152" s="48"/>
      <c r="B1152" s="48"/>
      <c r="C1152" s="49"/>
      <c r="D1152" s="50"/>
      <c r="E1152" s="51" t="str">
        <f>IF(N(C1152)=0,"",C1152/PI()/($D$1/2)^2/$D$2*10000)</f>
        <v/>
      </c>
      <c r="F1152" s="68" t="str">
        <f t="shared" si="436"/>
        <v/>
      </c>
      <c r="G1152" s="69" t="str">
        <f t="shared" ref="G1152:G1162" si="438">IF(OR(N(D1152)=0,N(E1152)=0),"",(E1152*D1152)/1000)</f>
        <v/>
      </c>
      <c r="H1152" s="70" t="str">
        <f t="shared" si="437"/>
        <v/>
      </c>
      <c r="I1152" s="27" t="str">
        <f>IF(N(J1152)=0,"",0&amp;"-"&amp;B$5)</f>
        <v/>
      </c>
      <c r="J1152" s="52" t="str">
        <f>IF(N(B$5)=0,"",IF(AND(COUNT(H1151:H1162)=2,COUNT(F1151:F1162)=2),cubic_spline(F1150:F1152,H1150:H1152,B$5),IF(AND(COUNT(H1151:H1162)=3,COUNT(F1151:F1162)=3),cubic_spline(F1150:F1153,H1150:H1153,B$5),IF(AND(COUNT(H1151:H1162)=4,COUNT(F1151:F1162)=4),cubic_spline(F1150:F1154,H1150:H1154,B$5),IF(AND(COUNT(H1151:H1162)=5,COUNT(F1151:F1162)=5),cubic_spline(F1150:F1155,H1150:H1155,B$5),IF(AND(COUNT(H1151:H1162)=6,COUNT(F1151:F1162)=6),cubic_spline(F1150:F1156,H1150:H1156,B$5),IF(AND(COUNT(H1151:H1162)=7,COUNT(F1151:F1162)=7),cubic_spline(F1150:F1157,H1150:H1157,B$5),IF(AND(COUNT(H1151:H1162)=8,COUNT(F1151:F1162)=8),cubic_spline(F1150:F1158,H1150:H1158,B$5),IF(AND(COUNT(H1151:H1162)=9,COUNT(F1151:F1162)=9),cubic_spline(F1150:F1159,H1150:H1159,B$5),IF(AND(COUNT(H1151:H1162)=10,COUNT(F1151:F1162)=10),cubic_spline(F1150:F1160,H1150:H1160,B$5),IF(AND(COUNT(H1151:H1162)=11,COUNT(F1151:F1162)=11),cubic_spline(F1150:F1161,H1150:H1161,B$5),IF(AND(COUNT(H1151:H1162)=12,COUNT(F1151:F1162)=12),cubic_spline(F1150:F1162,H1150:H1162,B$5),""))))))))))))</f>
        <v/>
      </c>
      <c r="K1152" s="52" t="str">
        <f>IF(N(B$5)=0,"",IF(AND(COUNT(A1151:A1162)=2,COUNT(F1151:F1162)=2),cubic_spline(F1150:F1152,A1150:A1152,B$5),IF(AND(COUNT(A1151:A1162)=3,COUNT(F1151:F1162)=3),cubic_spline(F1150:F1153,A1150:A1153,B$5),IF(AND(COUNT(A1151:A1162)=4,COUNT(F1151:F1162)=4),cubic_spline(F1150:F1154,A1150:A1154,B$5),IF(AND(COUNT(A1151:A1162)=5,COUNT(F1151:F1162)=5),cubic_spline(F1150:F1155,A1150:A1155,B$5),IF(AND(COUNT(A1151:A1162)=6,COUNT(F1151:F1162)=6),cubic_spline(F1150:F1156,A1150:A1156,B$5),IF(AND(COUNT(A1151:A1162)=7,COUNT(F1151:F1162)=7),cubic_spline(F1150:F1157,A1150:A1157,B$5),IF(AND(COUNT(A1151:A1162)=8,COUNT(F1151:F1162)=8),cubic_spline(F1150:F1158,A1150:A1158,B$5),IF(AND(COUNT(A1151:A1162)=9,COUNT(F1151:F1162)=9),cubic_spline(F1150:F1159,A1150:A1159,B$5),IF(AND(COUNT(A1151:A1162)=10,COUNT(F1151:F1162)=10),cubic_spline(F1150:F1160,A1150:A1160,B$5),IF(AND(COUNT(A1151:A1162)=11,COUNT(F1151:F1162)=11),cubic_spline(F1150:F1161,A1150:A1161,B$5),IF(AND(COUNT(A1151:A1162)=12,COUNT(F1151:F1162)=12),cubic_spline(F1150:F1162,A1150:A1162,B$5),""))))))))))))</f>
        <v/>
      </c>
      <c r="L1152" s="27" t="str">
        <f>IF(I1152="","",B$4&amp;"-"&amp;B$5)</f>
        <v/>
      </c>
      <c r="M1152" s="52" t="str">
        <f>IF(N(J1152)=0,"",J1152-J1151)</f>
        <v/>
      </c>
    </row>
    <row r="1153" spans="1:13" x14ac:dyDescent="0.35">
      <c r="A1153" s="48"/>
      <c r="B1153" s="48"/>
      <c r="C1153" s="49"/>
      <c r="D1153" s="50"/>
      <c r="E1153" s="51" t="str">
        <f>IF(N(C1153)=0,"",C1153/PI()/($D$1/2)^2/$D$2*10000)</f>
        <v/>
      </c>
      <c r="F1153" s="68" t="str">
        <f t="shared" si="436"/>
        <v/>
      </c>
      <c r="G1153" s="69" t="str">
        <f t="shared" si="438"/>
        <v/>
      </c>
      <c r="H1153" s="70" t="str">
        <f t="shared" si="437"/>
        <v/>
      </c>
      <c r="I1153" s="27" t="str">
        <f>IF(N(J1153)=0,"",0&amp;"-"&amp;B$6)</f>
        <v/>
      </c>
      <c r="J1153" s="52" t="str">
        <f>IF(N(B$6)=0,"",IF(AND(COUNT(H1151:H1162)=2,COUNT(F1151:F1162)=2),cubic_spline(F1150:F1152,H1150:H1152,B$6),IF(AND(COUNT(H1151:H1162)=3,COUNT(F1151:F1162)=3),cubic_spline(F1150:F1153,H1150:H1153,B$6),IF(AND(COUNT(H1151:H1162)=4,COUNT(F1151:F1162)=4),cubic_spline(F1150:F1154,H1150:H1154,B$6),IF(AND(COUNT(H1151:H1162)=5,COUNT(F1151:F1162)=5),cubic_spline(F1150:F1155,H1150:H1155,B$6),IF(AND(COUNT(H1151:H1162)=6,COUNT(F1151:F1162)=6),cubic_spline(F1150:F1156,H1150:H1156,B$6),IF(AND(COUNT(H1151:H1162)=7,COUNT(F1151:F1162)=7),cubic_spline(F1150:F1157,H1150:H1157,B$6),IF(AND(COUNT(H1151:H1162)=8,COUNT(F1151:F1162)=8),cubic_spline(F1150:F1158,H1150:H1158,B$6),IF(AND(COUNT(H1151:H1162)=9,COUNT(F1151:F1162)=9),cubic_spline(F1150:F1159,H1150:H1159,B$6),IF(AND(COUNT(H1151:H1162)=10,COUNT(F1151:F1162)=10),cubic_spline(F1150:F1160,H1150:H1160,B$6),IF(AND(COUNT(H1151:H1162)=11,COUNT(F1151:F1162)=11),cubic_spline(F1150:F1161,H1150:H1161,B$6),IF(AND(COUNT(H1151:H1162)=12,COUNT(F1151:F1162)=12),cubic_spline(F1150:F1162,H1150:H1162,B$6),""))))))))))))</f>
        <v/>
      </c>
      <c r="K1153" s="52" t="str">
        <f>IF(N(B$6)=0,"",IF(AND(COUNT(A1151:A1162)=2,COUNT(F1151:F1162)=2),cubic_spline(F1150:F1152,A1150:A1152,B$6),IF(AND(COUNT(A1151:A1162)=3,COUNT(F1151:F1162)=3),cubic_spline(F1150:F1153,A1150:A1153,B$6),IF(AND(COUNT(A1151:A1162)=4,COUNT(F1151:F1162)=4),cubic_spline(F1150:F1154,A1150:A1154,B$6),IF(AND(COUNT(A1151:A1162)=5,COUNT(F1151:F1162)=5),cubic_spline(F1150:F1155,A1150:A1155,B$6),IF(AND(COUNT(A1151:A1162)=6,COUNT(F1151:F1162)=6),cubic_spline(F1150:F1156,A1150:A1156,B$6),IF(AND(COUNT(A1151:A1162)=7,COUNT(F1151:F1162)=7),cubic_spline(F1150:F1157,A1150:A1157,B$6),IF(AND(COUNT(A1151:A1162)=8,COUNT(F1151:F1162)=8),cubic_spline(F1150:F1158,A1150:A1158,B$6),IF(AND(COUNT(A1151:A1162)=9,COUNT(F1151:F1162)=9),cubic_spline(F1150:F1159,A1150:A1159,B$6),IF(AND(COUNT(A1151:A1162)=10,COUNT(F1151:F1162)=10),cubic_spline(F1150:F1160,A1150:A1160,B$6),IF(AND(COUNT(A1151:A1162)=11,COUNT(F1151:F1162)=11),cubic_spline(F1150:F1161,A1150:A1161,B$6),IF(AND(COUNT(A1151:A1162)=12,COUNT(F1151:F1162)=12),cubic_spline(F1150:F1162,A1150:A1162,B$6),""))))))))))))</f>
        <v/>
      </c>
      <c r="L1153" s="27" t="str">
        <f>IF(I1153="","",B$5&amp;"-"&amp;B$6)</f>
        <v/>
      </c>
      <c r="M1153" s="52" t="str">
        <f>IF(N(J1153)=0,"",J1153-J1152)</f>
        <v/>
      </c>
    </row>
    <row r="1154" spans="1:13" x14ac:dyDescent="0.35">
      <c r="A1154" s="48"/>
      <c r="B1154" s="48"/>
      <c r="C1154" s="49"/>
      <c r="D1154" s="50"/>
      <c r="E1154" s="51" t="str">
        <f>IF(N(C1154)=0,"",C1154/PI()/($D$1/2)^2/$D$2*10000)</f>
        <v/>
      </c>
      <c r="F1154" s="68" t="str">
        <f t="shared" si="436"/>
        <v/>
      </c>
      <c r="G1154" s="69" t="str">
        <f t="shared" si="438"/>
        <v/>
      </c>
      <c r="H1154" s="70" t="str">
        <f t="shared" si="437"/>
        <v/>
      </c>
      <c r="I1154" s="27" t="str">
        <f>IF(N(J1154)=0,"",0&amp;"-"&amp;B$7)</f>
        <v/>
      </c>
      <c r="J1154" s="52" t="str">
        <f>IF(N(B$7)=0,"",IF(AND(COUNT(H1151:H1162)=2,COUNT(F1151:F1162)=2),cubic_spline(F1150:F1152,H1150:H1152,B$7),IF(AND(COUNT(H1151:H1162)=3,COUNT(F1151:F1162)=3),cubic_spline(F1150:F1153,H1150:H1153,B$7),IF(AND(COUNT(H1151:H1162)=4,COUNT(F1151:F1162)=4),cubic_spline(F1150:F1154,H1150:H1154,B$7),IF(AND(COUNT(H1151:H1162)=5,COUNT(F1151:F1162)=5),cubic_spline(F1150:F1155,H1150:H1155,B$7),IF(AND(COUNT(H1151:H1162)=6,COUNT(F1151:F1162)=6),cubic_spline(F1150:F1156,H1150:H1156,B$7),IF(AND(COUNT(H1151:H1162)=7,COUNT(F1151:F1162)=7),cubic_spline(F1150:F1157,H1150:H1157,B$7),IF(AND(COUNT(H1151:H1162)=8,COUNT(F1151:F1162)=8),cubic_spline(F1150:F1158,H1150:H1158,B$7),IF(AND(COUNT(H1151:H1162)=9,COUNT(F1151:F1162)=9),cubic_spline(F1150:F1159,H1150:H1159,B$7),IF(AND(COUNT(H1151:H1162)=10,COUNT(F1151:F1162)=10),cubic_spline(F1150:F1160,H1150:H1160,B$7),IF(AND(COUNT(H1151:H1162)=11,COUNT(F1151:F1162)=11),cubic_spline(F1150:F1161,H1150:H1161,B$7),IF(AND(COUNT(H1151:H1162)=12,COUNT(F1151:F1162)=12),cubic_spline(F1150:F1162,H1150:H1162,B$7),""))))))))))))</f>
        <v/>
      </c>
      <c r="K1154" s="52" t="str">
        <f>IF(N(B$7)=0,"",IF(AND(COUNT(A1151:A1162)=2,COUNT(F1151:F1162)=2),cubic_spline(F1150:F1152,A1150:A1152,B$7),IF(AND(COUNT(A1151:A1162)=3,COUNT(F1151:F1162)=3),cubic_spline(F1150:F1153,A1150:A1153,B$7),IF(AND(COUNT(A1151:A1162)=4,COUNT(F1151:F1162)=4),cubic_spline(F1150:F1154,A1150:A1154,B$7),IF(AND(COUNT(A1151:A1162)=5,COUNT(F1151:F1162)=5),cubic_spline(F1150:F1155,A1150:A1155,B$7),IF(AND(COUNT(A1151:A1162)=6,COUNT(F1151:F1162)=6),cubic_spline(F1150:F1156,A1150:A1156,B$7),IF(AND(COUNT(A1151:A1162)=7,COUNT(F1151:F1162)=7),cubic_spline(F1150:F1157,A1150:A1157,B$7),IF(AND(COUNT(A1151:A1162)=8,COUNT(F1151:F1162)=8),cubic_spline(F1150:F1158,A1150:A1158,B$7),IF(AND(COUNT(A1151:A1162)=9,COUNT(F1151:F1162)=9),cubic_spline(F1150:F1159,A1150:A1159,B$7),IF(AND(COUNT(A1151:A1162)=10,COUNT(F1151:F1162)=10),cubic_spline(F1150:F1160,A1150:A1160,B$7),IF(AND(COUNT(A1151:A1162)=11,COUNT(F1151:F1162)=11),cubic_spline(F1150:F1161,A1150:A1161,B$7),IF(AND(COUNT(A1151:A1162)=12,COUNT(F1151:F1162)=12),cubic_spline(F1150:F1162,A1150:A1162,B$7),""))))))))))))</f>
        <v/>
      </c>
      <c r="L1154" s="27" t="str">
        <f>IF(I1154="","",B$6&amp;"-"&amp;B$7)</f>
        <v/>
      </c>
      <c r="M1154" s="52" t="str">
        <f>IF(N(J1154)=0,"",J1154-J1153)</f>
        <v/>
      </c>
    </row>
    <row r="1155" spans="1:13" x14ac:dyDescent="0.35">
      <c r="A1155" s="48"/>
      <c r="B1155" s="48"/>
      <c r="C1155" s="49"/>
      <c r="D1155" s="50"/>
      <c r="E1155" s="51" t="str">
        <f t="shared" ref="E1155:E1162" si="439">IF(N(C1155)=0,"",C1155/PI()/($D$1/2)^2/$D$2*10000)</f>
        <v/>
      </c>
      <c r="F1155" s="71" t="str">
        <f t="shared" si="436"/>
        <v/>
      </c>
      <c r="G1155" s="69" t="str">
        <f t="shared" si="438"/>
        <v/>
      </c>
      <c r="H1155" s="70" t="str">
        <f t="shared" si="437"/>
        <v/>
      </c>
      <c r="I1155" s="27" t="str">
        <f>IF(N(J1155)=0,"",0&amp;"-"&amp;B$8)</f>
        <v/>
      </c>
      <c r="J1155" s="52" t="str">
        <f>IF(N(B$8)=0,"",IF(AND(COUNT(H1151:H1162)=2,COUNT(F1151:F1162)=2),cubic_spline(F1150:F1152,H1150:H1152,B$8),IF(AND(COUNT(H1151:H1162)=3,COUNT(F1151:F1162)=3),cubic_spline(F1150:F1153,H1150:H1153,B$8),IF(AND(COUNT(H1151:H1162)=4,COUNT(F1151:F1162)=4),cubic_spline(F1150:F1154,H1150:H1154,B$8),IF(AND(COUNT(H1151:H1162)=5,COUNT(F1151:F1162)=5),cubic_spline(F1150:F1155,H1150:H1155,B$8),IF(AND(COUNT(H1151:H1162)=6,COUNT(F1151:F1162)=6),cubic_spline(F1150:F1156,H1150:H1156,B$8),IF(AND(COUNT(H1151:H1162)=7,COUNT(F1151:F1162)=7),cubic_spline(F1150:F1157,H1150:H1157,B$8),IF(AND(COUNT(H1151:H1162)=8,COUNT(F1151:F1162)=8),cubic_spline(F1150:F1158,H1150:H1158,B$8),IF(AND(COUNT(H1151:H1162)=9,COUNT(F1151:F1162)=9),cubic_spline(F1150:F1159,H1150:H1159,B$8),IF(AND(COUNT(H1151:H1162)=10,COUNT(F1151:F1162)=10),cubic_spline(F1150:F1160,H1150:H1160,B$8),IF(AND(COUNT(H1151:H1162)=11,COUNT(F1151:F1162)=11),cubic_spline(F1150:F1161,H1150:H1161,B$8),IF(AND(COUNT(H1151:H1162)=12,COUNT(F1151:F1162)=12),cubic_spline(F1150:F1162,H1150:H1162,B$8),""))))))))))))</f>
        <v/>
      </c>
      <c r="K1155" s="52" t="str">
        <f>IF(N(B$8)=0,"",IF(AND(COUNT(A1151:A1162)=2,COUNT(F1151:F1162)=2),cubic_spline(F1150:F1152,A1150:A1152,B$8),IF(AND(COUNT(A1151:A1162)=3,COUNT(F1151:F1162)=3),cubic_spline(F1150:F1153,A1150:A1153,B$8),IF(AND(COUNT(A1151:A1162)=4,COUNT(F1151:F1162)=4),cubic_spline(F1150:F1154,A1150:A1154,B$8),IF(AND(COUNT(A1151:A1162)=5,COUNT(F1151:F1162)=5),cubic_spline(F1150:F1155,A1150:A1155,B$8),IF(AND(COUNT(A1151:A1162)=6,COUNT(F1151:F1162)=6),cubic_spline(F1150:F1156,A1150:A1156,B$8),IF(AND(COUNT(A1151:A1162)=7,COUNT(F1151:F1162)=7),cubic_spline(F1150:F1157,A1150:A1157,B$8),IF(AND(COUNT(A1151:A1162)=8,COUNT(F1151:F1162)=8),cubic_spline(F1150:F1158,A1150:A1158,B$8),IF(AND(COUNT(A1151:A1162)=9,COUNT(F1151:F1162)=9),cubic_spline(F1150:F1159,A1150:A1159,B$8),IF(AND(COUNT(A1151:A1162)=10,COUNT(F1151:F1162)=10),cubic_spline(F1150:F1160,A1150:A1160,B$8),IF(AND(COUNT(A1151:A1162)=11,COUNT(F1151:F1162)=11),cubic_spline(F1150:F1161,A1150:A1161,B$8),IF(AND(COUNT(A1151:A1162)=12,COUNT(F1151:F1162)=12),cubic_spline(F1150:F1162,A1150:A1162,B$8),""))))))))))))</f>
        <v/>
      </c>
      <c r="L1155" s="27" t="str">
        <f>IF(I1155="","",B$7&amp;"-"&amp;B$8)</f>
        <v/>
      </c>
      <c r="M1155" s="52" t="str">
        <f>IF(N(J1155)=0,"",J1155-J1154)</f>
        <v/>
      </c>
    </row>
    <row r="1156" spans="1:13" x14ac:dyDescent="0.35">
      <c r="A1156" s="48"/>
      <c r="B1156" s="48"/>
      <c r="C1156" s="49"/>
      <c r="D1156" s="50"/>
      <c r="E1156" s="51" t="str">
        <f t="shared" si="439"/>
        <v/>
      </c>
      <c r="F1156" s="71" t="str">
        <f t="shared" si="436"/>
        <v/>
      </c>
      <c r="G1156" s="69" t="str">
        <f t="shared" si="438"/>
        <v/>
      </c>
      <c r="H1156" s="70" t="str">
        <f t="shared" si="437"/>
        <v/>
      </c>
      <c r="I1156" s="27" t="str">
        <f>IF(N(J1156)=0,"",0&amp;"-"&amp;B$9)</f>
        <v/>
      </c>
      <c r="J1156" s="52" t="str">
        <f>IF(N(B$9)=0,"",IF(AND(COUNT(H1151:H1162)=2,COUNT(F1151:F1162)=2),cubic_spline(F1150:F1152,H1150:H1152,B$9),IF(AND(COUNT(H1151:H1162)=3,COUNT(F1151:F1162)=3),cubic_spline(F1150:F1153,H1150:H1153,B$9),IF(AND(COUNT(H1151:H1162)=4,COUNT(F1151:F1162)=4),cubic_spline(F1150:F1154,H1150:H1154,B$9),IF(AND(COUNT(H1151:H1162)=5,COUNT(F1151:F1162)=5),cubic_spline(F1150:F1155,H1150:H1155,B$9),IF(AND(COUNT(H1151:H1162)=6,COUNT(F1151:F1162)=6),cubic_spline(F1150:F1156,H1150:H1156,B$9),IF(AND(COUNT(H1151:H1162)=7,COUNT(F1151:F1162)=7),cubic_spline(F1150:F1157,H1150:H1157,B$9),IF(AND(COUNT(H1151:H1162)=8,COUNT(F1151:F1162)=8),cubic_spline(F1150:F1158,H1150:H1158,B$9),IF(AND(COUNT(H1151:H1162)=9,COUNT(F1151:F1162)=9),cubic_spline(F1150:F1159,H1150:H1159,B$9),IF(AND(COUNT(H1151:H1162)=10,COUNT(F1151:F1162)=10),cubic_spline(F1150:F1160,H1150:H1160,B$9),IF(AND(COUNT(H1151:H1162)=11,COUNT(F1151:F1162)=11),cubic_spline(F1150:F1161,H1150:H1161,B$9),IF(AND(COUNT(H1151:H1162)=12,COUNT(F1151:F1162)=12),cubic_spline(F1150:F1162,H1150:H1162,B$9),""))))))))))))</f>
        <v/>
      </c>
      <c r="K1156" s="52" t="str">
        <f>IF(N(B$9)=0,"",IF(AND(COUNT(A1151:A1162)=2,COUNT(F1151:F1162)=2),cubic_spline(F1150:F1152,A1150:A1152,B$9),IF(AND(COUNT(A1151:A1162)=3,COUNT(F1151:F1162)=3),cubic_spline(F1150:F1153,A1150:A1153,B$9),IF(AND(COUNT(A1151:A1162)=4,COUNT(F1151:F1162)=4),cubic_spline(F1150:F1154,A1150:A1154,B$9),IF(AND(COUNT(A1151:A1162)=5,COUNT(F1151:F1162)=5),cubic_spline(F1150:F1155,A1150:A1155,B$9),IF(AND(COUNT(A1151:A1162)=6,COUNT(F1151:F1162)=6),cubic_spline(F1150:F1156,A1150:A1156,B$9),IF(AND(COUNT(A1151:A1162)=7,COUNT(F1151:F1162)=7),cubic_spline(F1150:F1157,A1150:A1157,B$9),IF(AND(COUNT(A1151:A1162)=8,COUNT(F1151:F1162)=8),cubic_spline(F1150:F1158,A1150:A1158,B$9),IF(AND(COUNT(A1151:A1162)=9,COUNT(F1151:F1162)=9),cubic_spline(F1150:F1159,A1150:A1159,B$9),IF(AND(COUNT(A1151:A1162)=10,COUNT(F1151:F1162)=10),cubic_spline(F1150:F1160,A1150:A1160,B$9),IF(AND(COUNT(A1151:A1162)=11,COUNT(F1151:F1162)=11),cubic_spline(F1150:F1161,A1150:A1161,B$9),IF(AND(COUNT(A1151:A1162)=12,COUNT(F1151:F1162)=12),cubic_spline(F1150:F1162,A1150:A1162,B$9),""))))))))))))</f>
        <v/>
      </c>
      <c r="L1156" s="27" t="str">
        <f>IF(I1156="","",B$8&amp;"-"&amp;B$9)</f>
        <v/>
      </c>
      <c r="M1156" s="52" t="str">
        <f t="shared" ref="M1156:M1162" si="440">IF(N(J1156)=0,"",J1156-J1155)</f>
        <v/>
      </c>
    </row>
    <row r="1157" spans="1:13" x14ac:dyDescent="0.35">
      <c r="A1157" s="48"/>
      <c r="B1157" s="48"/>
      <c r="C1157" s="49"/>
      <c r="D1157" s="50"/>
      <c r="E1157" s="51" t="str">
        <f t="shared" si="439"/>
        <v/>
      </c>
      <c r="F1157" s="71" t="str">
        <f t="shared" si="436"/>
        <v/>
      </c>
      <c r="G1157" s="69" t="str">
        <f t="shared" si="438"/>
        <v/>
      </c>
      <c r="H1157" s="70" t="str">
        <f t="shared" si="437"/>
        <v/>
      </c>
      <c r="I1157" s="27" t="str">
        <f>IF(N(J1157)=0,"",0&amp;"-"&amp;B$10)</f>
        <v/>
      </c>
      <c r="J1157" s="52" t="str">
        <f>IF(N(B$10)=0,"",IF(AND(COUNT(H1151:H1162)=2,COUNT(F1151:F1162)=2),cubic_spline(F1150:F1152,H1150:H1152,B$10),IF(AND(COUNT(H1151:H1162)=3,COUNT(F1151:F1162)=3),cubic_spline(F1150:F1153,H1150:H1153,B$10),IF(AND(COUNT(H1151:H1162)=4,COUNT(F1151:F1162)=4),cubic_spline(F1150:F1154,H1150:H1154,B$10),IF(AND(COUNT(H1151:H1162)=5,COUNT(F1151:F1162)=5),cubic_spline(F1150:F1155,H1150:H1155,B$10),IF(AND(COUNT(H1151:H1162)=6,COUNT(F1151:F1162)=6),cubic_spline(F1150:F1156,H1150:H1156,B$10),IF(AND(COUNT(H1151:H1162)=7,COUNT(F1151:F1162)=7),cubic_spline(F1150:F1157,H1150:H1157,B$10),IF(AND(COUNT(H1151:H1162)=8,COUNT(F1151:F1162)=8),cubic_spline(F1150:F1158,H1150:H1158,B$10),IF(AND(COUNT(H1151:H1162)=9,COUNT(F1151:F1162)=9),cubic_spline(F1150:F1159,H1150:H1159,B$10),IF(AND(COUNT(H1151:H1162)=10,COUNT(F1151:F1162)=10),cubic_spline(F1150:F1160,H1150:H1160,B$10),IF(AND(COUNT(H1151:H1162)=11,COUNT(F1151:F1162)=11),cubic_spline(F1150:F1161,H1150:H1161,B$10),IF(AND(COUNT(H1151:H1162)=12,COUNT(F1151:F1162)=12),cubic_spline(F1150:F1162,H1150:H1162,B$10),""))))))))))))</f>
        <v/>
      </c>
      <c r="K1157" s="52" t="str">
        <f>IF(N(B$10)=0,"",IF(AND(COUNT(A1151:A1162)=2,COUNT(F1151:F1162)=2),cubic_spline(F1150:F1152,A1150:A1152,B$10),IF(AND(COUNT(A1151:A1162)=3,COUNT(F1151:F1162)=3),cubic_spline(F1150:F1153,A1150:A1153,B$10),IF(AND(COUNT(A1151:A1162)=4,COUNT(F1151:F1162)=4),cubic_spline(F1150:F1154,A1150:A1154,B$10),IF(AND(COUNT(A1151:A1162)=5,COUNT(F1151:F1162)=5),cubic_spline(F1150:F1155,A1150:A1155,B$10),IF(AND(COUNT(A1151:A1162)=6,COUNT(F1151:F1162)=6),cubic_spline(F1150:F1156,A1150:A1156,B$10),IF(AND(COUNT(A1151:A1162)=7,COUNT(F1151:F1162)=7),cubic_spline(F1150:F1157,A1150:A1157,B$10),IF(AND(COUNT(A1151:A1162)=8,COUNT(F1151:F1162)=8),cubic_spline(F1150:F1158,A1150:A1158,B$10),IF(AND(COUNT(A1151:A1162)=9,COUNT(F1151:F1162)=9),cubic_spline(F1150:F1159,A1150:A1159,B$10),IF(AND(COUNT(A1151:A1162)=10,COUNT(F1151:F1162)=10),cubic_spline(F1150:F1160,A1150:A1160,B$10),IF(AND(COUNT(A1151:A1162)=11,COUNT(F1151:F1162)=11),cubic_spline(F1150:F1161,A1150:A1161,B$10),IF(AND(COUNT(A1151:A1162)=12,COUNT(F1151:F1162)=12),cubic_spline(F1150:F1162,A1150:A1162,B$10),""))))))))))))</f>
        <v/>
      </c>
      <c r="L1157" s="27" t="str">
        <f>IF(I1157="","",B$9&amp;"-"&amp;B$10)</f>
        <v/>
      </c>
      <c r="M1157" s="52" t="str">
        <f t="shared" si="440"/>
        <v/>
      </c>
    </row>
    <row r="1158" spans="1:13" x14ac:dyDescent="0.35">
      <c r="A1158" s="48"/>
      <c r="B1158" s="48"/>
      <c r="C1158" s="49"/>
      <c r="D1158" s="50"/>
      <c r="E1158" s="51" t="str">
        <f t="shared" si="439"/>
        <v/>
      </c>
      <c r="F1158" s="71" t="str">
        <f t="shared" si="436"/>
        <v/>
      </c>
      <c r="G1158" s="69" t="str">
        <f t="shared" si="438"/>
        <v/>
      </c>
      <c r="H1158" s="70" t="str">
        <f t="shared" si="437"/>
        <v/>
      </c>
      <c r="I1158" s="27" t="str">
        <f>IF(N(J1158)=0,"",0&amp;"-"&amp;B$11)</f>
        <v/>
      </c>
      <c r="J1158" s="52" t="str">
        <f>IF(N(B$11)=0,"",IF(AND(COUNT(H1151:H1162)=2,COUNT(F1151:F1162)=2),cubic_spline(F1150:F1152,H1150:H1152,B$11),IF(AND(COUNT(H1151:H1162)=3,COUNT(F1151:F1162)=3),cubic_spline(F1150:F1153,H1150:H1153,B$11),IF(AND(COUNT(H1151:H1162)=4,COUNT(F1151:F1162)=4),cubic_spline(F1150:F1154,H1150:H1154,B$11),IF(AND(COUNT(H1151:H1162)=5,COUNT(F1151:F1162)=5),cubic_spline(F1150:F1155,H1150:H1155,B$11),IF(AND(COUNT(H1151:H1162)=6,COUNT(F1151:F1162)=6),cubic_spline(F1150:F1156,H1150:H1156,B$11),IF(AND(COUNT(H1151:H1162)=7,COUNT(F1151:F1162)=7),cubic_spline(F1150:F1157,H1150:H1157,B$11),IF(AND(COUNT(H1151:H1162)=8,COUNT(F1151:F1162)=8),cubic_spline(F1150:F1158,H1150:H1158,B$11),IF(AND(COUNT(H1151:H1162)=9,COUNT(F1151:F1162)=9),cubic_spline(F1150:F1159,H1150:H1159,B$11),IF(AND(COUNT(H1151:H1162)=10,COUNT(F1151:F1162)=10),cubic_spline(F1150:F1160,H1150:H1160,B$11),IF(AND(COUNT(H1151:H1162)=11,COUNT(F1151:F1162)=11),cubic_spline(F1150:F1161,H1150:H1161,B$11),IF(AND(COUNT(H1151:H1162)=12,COUNT(F1151:F1162)=12),cubic_spline(F1150:F1162,H1150:H1162,B$11),""))))))))))))</f>
        <v/>
      </c>
      <c r="K1158" s="52" t="str">
        <f>IF(N(B$11)=0,"",IF(AND(COUNT(A1151:A1162)=2,COUNT(F1151:F1162)=2),cubic_spline(F1150:F1152,A1150:A1152,B$11),IF(AND(COUNT(A1151:A1162)=3,COUNT(F1151:F1162)=3),cubic_spline(F1150:F1153,A1150:A1153,B$11),IF(AND(COUNT(A1151:A1162)=4,COUNT(F1151:F1162)=4),cubic_spline(F1150:F1154,A1150:A1154,B$11),IF(AND(COUNT(A1151:A1162)=5,COUNT(F1151:F1162)=5),cubic_spline(F1150:F1155,A1150:A1155,B$11),IF(AND(COUNT(A1151:A1162)=6,COUNT(F1151:F1162)=6),cubic_spline(F1150:F1156,A1150:A1156,B$11),IF(AND(COUNT(A1151:A1162)=7,COUNT(F1151:F1162)=7),cubic_spline(F1150:F1157,A1150:A1157,B$11),IF(AND(COUNT(A1151:A1162)=8,COUNT(F1151:F1162)=8),cubic_spline(F1150:F1158,A1150:A1158,B$11),IF(AND(COUNT(A1151:A1162)=9,COUNT(F1151:F1162)=9),cubic_spline(F1150:F1159,A1150:A1159,B$11),IF(AND(COUNT(A1151:A1162)=10,COUNT(F1151:F1162)=10),cubic_spline(F1150:F1160,A1150:A1160,B$11),IF(AND(COUNT(A1151:A1162)=11,COUNT(F1151:F1162)=11),cubic_spline(F1150:F1161,A1150:A1161,B$11),IF(AND(COUNT(A1151:A1162)=12,COUNT(F1151:F1162)=12),cubic_spline(F1150:F1162,A1150:A1162,B$11),""))))))))))))</f>
        <v/>
      </c>
      <c r="L1158" s="27" t="str">
        <f>IF(I1158="","",B$10&amp;"-"&amp;B$11)</f>
        <v/>
      </c>
      <c r="M1158" s="52" t="str">
        <f t="shared" si="440"/>
        <v/>
      </c>
    </row>
    <row r="1159" spans="1:13" x14ac:dyDescent="0.35">
      <c r="A1159" s="48"/>
      <c r="B1159" s="48"/>
      <c r="C1159" s="49"/>
      <c r="D1159" s="50"/>
      <c r="E1159" s="51" t="str">
        <f t="shared" si="439"/>
        <v/>
      </c>
      <c r="F1159" s="71" t="str">
        <f t="shared" si="436"/>
        <v/>
      </c>
      <c r="G1159" s="69" t="str">
        <f t="shared" si="438"/>
        <v/>
      </c>
      <c r="H1159" s="70" t="str">
        <f t="shared" si="437"/>
        <v/>
      </c>
      <c r="I1159" s="27" t="str">
        <f>IF(N(J1159)=0,"",0&amp;"-"&amp;B$12)</f>
        <v/>
      </c>
      <c r="J1159" s="52" t="str">
        <f>IF(N(B$12)=0,"",IF(AND(COUNT(H1151:H1162)=2,COUNT(F1151:F1162)=2),cubic_spline(F1150:F1152,H1150:H1152,B$12),IF(AND(COUNT(H1151:H1162)=3,COUNT(F1151:F1162)=3),cubic_spline(F1150:F1153,H1150:H1153,B$12),IF(AND(COUNT(H1151:H1162)=4,COUNT(F1151:F1162)=4),cubic_spline(F1150:F1154,H1150:H1154,B$12),IF(AND(COUNT(H1151:H1162)=5,COUNT(F1151:F1162)=5),cubic_spline(F1150:F1155,H1150:H1155,B$12),IF(AND(COUNT(H1151:H1162)=6,COUNT(F1151:F1162)=6),cubic_spline(F1150:F1156,H1150:H1156,B$12),IF(AND(COUNT(H1151:H1162)=7,COUNT(F1151:F1162)=7),cubic_spline(F1150:F1157,H1150:H1157,B$12),IF(AND(COUNT(H1151:H1162)=8,COUNT(F1151:F1162)=8),cubic_spline(F1150:F1158,H1150:H1158,B$12),IF(AND(COUNT(H1151:H1162)=9,COUNT(F1151:F1162)=9),cubic_spline(F1150:F1159,H1150:H1159,B$12),IF(AND(COUNT(H1151:H1162)=10,COUNT(F1151:F1162)=10),cubic_spline(F1150:F1160,H1150:H1160,B$12),IF(AND(COUNT(H1151:H1162)=11,COUNT(F1151:F1162)=11),cubic_spline(F1150:F1161,H1150:H1161,B$12),IF(AND(COUNT(H1151:H1162)=12,COUNT(F1151:F1162)=12),cubic_spline(F1150:F1162,H1150:H1162,B$12),""))))))))))))</f>
        <v/>
      </c>
      <c r="K1159" s="52" t="str">
        <f>IF(N(B$12)=0,"",IF(AND(COUNT(A1151:A1162)=2,COUNT(F1151:F1162)=2),cubic_spline(F1150:F1152,A1150:A1152,B$12),IF(AND(COUNT(A1151:A1162)=3,COUNT(F1151:F1162)=3),cubic_spline(F1150:F1153,A1150:A1153,B$12),IF(AND(COUNT(A1151:A1162)=4,COUNT(F1151:F1162)=4),cubic_spline(F1150:F1154,A1150:A1154,B$12),IF(AND(COUNT(A1151:A1162)=5,COUNT(F1151:F1162)=5),cubic_spline(F1150:F1155,A1150:A1155,B$12),IF(AND(COUNT(A1151:A1162)=6,COUNT(F1151:F1162)=6),cubic_spline(F1150:F1156,A1150:A1156,B$12),IF(AND(COUNT(A1151:A1162)=7,COUNT(F1151:F1162)=7),cubic_spline(F1150:F1157,A1150:A1157,B$12),IF(AND(COUNT(A1151:A1162)=8,COUNT(F1151:F1162)=8),cubic_spline(F1150:F1158,A1150:A1158,B$12),IF(AND(COUNT(A1151:A1162)=9,COUNT(F1151:F1162)=9),cubic_spline(F1150:F1159,A1150:A1159,B$12),IF(AND(COUNT(A1151:A1162)=10,COUNT(F1151:F1162)=10),cubic_spline(F1150:F1160,A1150:A1160,B$12),IF(AND(COUNT(A1151:A1162)=11,COUNT(F1151:F1162)=11),cubic_spline(F1150:F1161,A1150:A1161,B$12),IF(AND(COUNT(A1151:A1162)=12,COUNT(F1151:F1162)=12),cubic_spline(F1150:F1162,A1150:A1162,B$12),""))))))))))))</f>
        <v/>
      </c>
      <c r="L1159" s="27" t="str">
        <f>IF(I1159="","",B$11&amp;"-"&amp;B$12)</f>
        <v/>
      </c>
      <c r="M1159" s="52" t="str">
        <f t="shared" si="440"/>
        <v/>
      </c>
    </row>
    <row r="1160" spans="1:13" x14ac:dyDescent="0.35">
      <c r="A1160" s="48"/>
      <c r="B1160" s="48"/>
      <c r="C1160" s="49"/>
      <c r="D1160" s="50"/>
      <c r="E1160" s="51" t="str">
        <f t="shared" si="439"/>
        <v/>
      </c>
      <c r="F1160" s="71" t="str">
        <f t="shared" si="436"/>
        <v/>
      </c>
      <c r="G1160" s="69" t="str">
        <f t="shared" si="438"/>
        <v/>
      </c>
      <c r="H1160" s="70" t="str">
        <f t="shared" si="437"/>
        <v/>
      </c>
      <c r="I1160" s="27" t="str">
        <f>IF(N(J1160)=0,"",0&amp;"-"&amp;B$13)</f>
        <v/>
      </c>
      <c r="J1160" s="52" t="str">
        <f>IF(N(B$13)=0,"",IF(AND(COUNT(H1151:H1162)=2,COUNT(F1151:F1162)=2),cubic_spline(F1150:F1152,H1150:H1152,B$13),IF(AND(COUNT(H1151:H1162)=3,COUNT(F1151:F1162)=3),cubic_spline(F1150:F1153,H1150:H1153,B$13),IF(AND(COUNT(H1151:H1162)=4,COUNT(F1151:F1162)=4),cubic_spline(F1150:F1154,H1150:H1154,B$13),IF(AND(COUNT(H1151:H1162)=5,COUNT(F1151:F1162)=5),cubic_spline(F1150:F1155,H1150:H1155,B$13),IF(AND(COUNT(H1151:H1162)=6,COUNT(F1151:F1162)=6),cubic_spline(F1150:F1156,H1150:H1156,B$13),IF(AND(COUNT(H1151:H1162)=7,COUNT(F1151:F1162)=7),cubic_spline(F1150:F1157,H1150:H1157,B$13),IF(AND(COUNT(H1151:H1162)=8,COUNT(F1151:F1162)=8),cubic_spline(F1150:F1158,H1150:H1158,B$13),IF(AND(COUNT(H1151:H1162)=9,COUNT(F1151:F1162)=9),cubic_spline(F1150:F1159,H1150:H1159,B$13),IF(AND(COUNT(H1151:H1162)=10,COUNT(F1151:F1162)=10),cubic_spline(F1150:F1160,H1150:H1160,B$13),IF(AND(COUNT(H1151:H1162)=11,COUNT(F1151:F1162)=11),cubic_spline(F1150:F1161,H1150:H1161,B$13),IF(AND(COUNT(H1151:H1162)=12,COUNT(F1151:F1162)=12),cubic_spline(F1150:F1162,H1150:H1162,B$13),""))))))))))))</f>
        <v/>
      </c>
      <c r="K1160" s="52" t="str">
        <f>IF(N(B$13)=0,"",IF(AND(COUNT(A1151:A1162)=2,COUNT(F1151:F1162)=2),cubic_spline(F1150:F1152,A1150:A1152,B$13),IF(AND(COUNT(A1151:A1162)=3,COUNT(F1151:F1162)=3),cubic_spline(F1150:F1153,A1150:A1153,B$13),IF(AND(COUNT(A1151:A1162)=4,COUNT(F1151:F1162)=4),cubic_spline(F1150:F1154,A1150:A1154,B$13),IF(AND(COUNT(A1151:A1162)=5,COUNT(F1151:F1162)=5),cubic_spline(F1150:F1155,A1150:A1155,B$13),IF(AND(COUNT(A1151:A1162)=6,COUNT(F1151:F1162)=6),cubic_spline(F1150:F1156,A1150:A1156,B$13),IF(AND(COUNT(A1151:A1162)=7,COUNT(F1151:F1162)=7),cubic_spline(F1150:F1157,A1150:A1157,B$13),IF(AND(COUNT(A1151:A1162)=8,COUNT(F1151:F1162)=8),cubic_spline(F1150:F1158,A1150:A1158,B$13),IF(AND(COUNT(A1151:A1162)=9,COUNT(F1151:F1162)=9),cubic_spline(F1150:F1159,A1150:A1159,B$13),IF(AND(COUNT(A1151:A1162)=10,COUNT(F1151:F1162)=10),cubic_spline(F1150:F1160,A1150:A1160,B$13),IF(AND(COUNT(A1151:A1162)=11,COUNT(F1151:F1162)=11),cubic_spline(F1150:F1161,A1150:A1161,B$13),IF(AND(COUNT(A1151:A1162)=12,COUNT(F1151:F1162)=12),cubic_spline(F1150:F1162,A1150:A1162,B$13),""))))))))))))</f>
        <v/>
      </c>
      <c r="L1160" s="27" t="str">
        <f>IF(I1160="","",B$12&amp;"-"&amp;B$13)</f>
        <v/>
      </c>
      <c r="M1160" s="52" t="str">
        <f t="shared" si="440"/>
        <v/>
      </c>
    </row>
    <row r="1161" spans="1:13" x14ac:dyDescent="0.35">
      <c r="A1161" s="48"/>
      <c r="B1161" s="48"/>
      <c r="C1161" s="49"/>
      <c r="D1161" s="50"/>
      <c r="E1161" s="51" t="str">
        <f t="shared" si="439"/>
        <v/>
      </c>
      <c r="F1161" s="71" t="str">
        <f t="shared" si="436"/>
        <v/>
      </c>
      <c r="G1161" s="69" t="str">
        <f t="shared" si="438"/>
        <v/>
      </c>
      <c r="H1161" s="70" t="str">
        <f t="shared" si="437"/>
        <v/>
      </c>
      <c r="I1161" s="27" t="str">
        <f>IF(N(J1161)=0,"",0&amp;"-"&amp;B$14)</f>
        <v/>
      </c>
      <c r="J1161" s="52" t="str">
        <f>IF(N(B$14)=0,"",IF(AND(COUNT(H1151:H1162)=2,COUNT(F1151:F1162)=2),cubic_spline(F1150:F1152,H1150:H1152,B$14),IF(AND(COUNT(H1151:H1162)=3,COUNT(F1151:F1162)=3),cubic_spline(F1150:F1153,H1150:H1153,B$14),IF(AND(COUNT(H1151:H1162)=4,COUNT(F1151:F1162)=4),cubic_spline(F1150:F1154,H1150:H1154,B$14),IF(AND(COUNT(H1151:H1162)=5,COUNT(F1151:F1162)=5),cubic_spline(F1150:F1155,H1150:H1155,B$14),IF(AND(COUNT(H1151:H1162)=6,COUNT(F1151:F1162)=6),cubic_spline(F1150:F1156,H1150:H1156,B$14),IF(AND(COUNT(H1151:H1162)=7,COUNT(F1151:F1162)=7),cubic_spline(F1150:F1157,H1150:H1157,B$14),IF(AND(COUNT(H1151:H1162)=8,COUNT(F1151:F1162)=8),cubic_spline(F1150:F1158,H1150:H1158,B$14),IF(AND(COUNT(H1151:H1162)=9,COUNT(F1151:F1162)=9),cubic_spline(F1150:F1159,H1150:H1159,B$14),IF(AND(COUNT(H1151:H1162)=10,COUNT(F1151:F1162)=10),cubic_spline(F1150:F1160,H1150:H1160,B$14),IF(AND(COUNT(H1151:H1162)=11,COUNT(F1151:F1162)=11),cubic_spline(F1150:F1161,H1150:H1161,B$14),IF(AND(COUNT(H1151:H1162)=12,COUNT(F1151:F1162)=12),cubic_spline(F1150:F1162,H1150:H1162,B$14),""))))))))))))</f>
        <v/>
      </c>
      <c r="K1161" s="52" t="str">
        <f>IF(N(B$14)=0,"",IF(AND(COUNT(A1151:A1162)=2,COUNT(F1151:F1162)=2),cubic_spline(F1150:F1152,A1150:A1152,B$14),IF(AND(COUNT(A1151:A1162)=3,COUNT(F1151:F1162)=3),cubic_spline(F1150:F1153,A1150:A1153,B$14),IF(AND(COUNT(A1151:A1162)=4,COUNT(F1151:F1162)=4),cubic_spline(F1150:F1154,A1150:A1154,B$14),IF(AND(COUNT(A1151:A1162)=5,COUNT(F1151:F1162)=5),cubic_spline(F1150:F1155,A1150:A1155,B$14),IF(AND(COUNT(A1151:A1162)=6,COUNT(F1151:F1162)=6),cubic_spline(F1150:F1156,A1150:A1156,B$14),IF(AND(COUNT(A1151:A1162)=7,COUNT(F1151:F1162)=7),cubic_spline(F1150:F1157,A1150:A1157,B$14),IF(AND(COUNT(A1151:A1162)=8,COUNT(F1151:F1162)=8),cubic_spline(F1150:F1158,A1150:A1158,B$14),IF(AND(COUNT(A1151:A1162)=9,COUNT(F1151:F1162)=9),cubic_spline(F1150:F1159,A1150:A1159,B$14),IF(AND(COUNT(A1151:A1162)=10,COUNT(F1151:F1162)=10),cubic_spline(F1150:F1160,A1150:A1160,B$14),IF(AND(COUNT(A1151:A1162)=11,COUNT(F1151:F1162)=11),cubic_spline(F1150:F1161,A1150:A1161,B$14),IF(AND(COUNT(A1151:A1162)=12,COUNT(F1151:F1162)=12),cubic_spline(F1150:F1162,A1150:A1162,B$14),""))))))))))))</f>
        <v/>
      </c>
      <c r="L1161" s="27" t="str">
        <f>IF(I1161="","",B$13&amp;"-"&amp;B$14)</f>
        <v/>
      </c>
      <c r="M1161" s="52" t="str">
        <f t="shared" si="440"/>
        <v/>
      </c>
    </row>
    <row r="1162" spans="1:13" x14ac:dyDescent="0.35">
      <c r="A1162" s="48"/>
      <c r="B1162" s="48"/>
      <c r="C1162" s="49"/>
      <c r="D1162" s="50"/>
      <c r="E1162" s="51" t="str">
        <f t="shared" si="439"/>
        <v/>
      </c>
      <c r="F1162" s="71" t="str">
        <f t="shared" si="436"/>
        <v/>
      </c>
      <c r="G1162" s="69" t="str">
        <f t="shared" si="438"/>
        <v/>
      </c>
      <c r="H1162" s="70" t="str">
        <f t="shared" si="437"/>
        <v/>
      </c>
      <c r="I1162" s="27" t="str">
        <f>IF(N(J1162)=0,"",0&amp;"-"&amp;B$15)</f>
        <v/>
      </c>
      <c r="J1162" s="52" t="str">
        <f>IF(N(B$15)=0,"",IF(AND(COUNT(H1151:H1162)=2,COUNT(F1151:F1162)=2),cubic_spline(F1150:F1152,H1150:H1152,B$15),IF(AND(COUNT(H1151:H1162)=3,COUNT(F1151:F1162)=3),cubic_spline(F1150:F1153,H1150:H1153,B$15),IF(AND(COUNT(H1151:H1162)=4,COUNT(F1151:F1162)=4),cubic_spline(F1150:F1154,H1150:H1154,B$15),IF(AND(COUNT(H1151:H1162)=5,COUNT(F1151:F1162)=5),cubic_spline(F1150:F1155,H1150:H1155,B$15),IF(AND(COUNT(H1151:H1162)=6,COUNT(F1151:F1162)=6),cubic_spline(F1150:F1156,H1150:H1156,B$15),IF(AND(COUNT(H1151:H1162)=7,COUNT(F1151:F1162)=7),cubic_spline(F1150:F1157,H1150:H1157,B$15),IF(AND(COUNT(H1151:H1162)=8,COUNT(F1151:F1162)=8),cubic_spline(F1150:F1158,H1150:H1158,B$15),IF(AND(COUNT(H1151:H1162)=9,COUNT(F1151:F1162)=9),cubic_spline(F1150:F1159,H1150:H1159,B$15),IF(AND(COUNT(H1151:H1162)=10,COUNT(F1151:F1162)=10),cubic_spline(F1150:F1160,H1150:H1160,B$15),IF(AND(COUNT(H1151:H1162)=11,COUNT(F1151:F1162)=11),cubic_spline(F1150:F1161,H1150:H1161,B$15),IF(AND(COUNT(H1151:H1162)=12,COUNT(F1151:F1162)=12),cubic_spline(F1150:F1162,H1150:H1162,B$15),""))))))))))))</f>
        <v/>
      </c>
      <c r="K1162" s="52" t="str">
        <f>IF(N(B$15)=0,"",IF(AND(COUNT(A1151:A1162)=2,COUNT(F1151:F1162)=2),cubic_spline(F1150:F1152,A1150:A1152,B$15),IF(AND(COUNT(A1151:A1162)=3,COUNT(F1151:F1162)=3),cubic_spline(F1150:F1153,A1150:A1153,B$15),IF(AND(COUNT(A1151:A1162)=4,COUNT(F1151:F1162)=4),cubic_spline(F1150:F1154,A1150:A1154,B$15),IF(AND(COUNT(A1151:A1162)=5,COUNT(F1151:F1162)=5),cubic_spline(F1150:F1155,A1150:A1155,B$15),IF(AND(COUNT(A1151:A1162)=6,COUNT(F1151:F1162)=6),cubic_spline(F1150:F1156,A1150:A1156,B$15),IF(AND(COUNT(A1151:A1162)=7,COUNT(F1151:F1162)=7),cubic_spline(F1150:F1157,A1150:A1157,B$15),IF(AND(COUNT(A1151:A1162)=8,COUNT(F1151:F1162)=8),cubic_spline(F1150:F1158,A1150:A1158,B$15),IF(AND(COUNT(A1151:A1162)=9,COUNT(F1151:F1162)=9),cubic_spline(F1150:F1159,A1150:A1159,B$15),IF(AND(COUNT(A1151:A1162)=10,COUNT(F1151:F1162)=10),cubic_spline(F1150:F1160,A1150:A1160,B$15),IF(AND(COUNT(A1151:A1162)=11,COUNT(F1151:F1162)=11),cubic_spline(F1150:F1161,A1150:A1161,B$15),IF(AND(COUNT(A1151:A1162)=12,COUNT(F1151:F1162)=12),cubic_spline(F1150:F1162,A1150:A1162,B$15),""))))))))))))</f>
        <v/>
      </c>
      <c r="L1162" s="27" t="str">
        <f>IF(I1162="","",B$14&amp;"-"&amp;B$15)</f>
        <v/>
      </c>
      <c r="M1162" s="52" t="str">
        <f t="shared" si="440"/>
        <v/>
      </c>
    </row>
    <row r="1163" spans="1:13" ht="5.15" customHeight="1" x14ac:dyDescent="0.35">
      <c r="A1163" s="47"/>
      <c r="B1163" s="47"/>
      <c r="C1163" s="47"/>
      <c r="D1163" s="53"/>
      <c r="E1163" s="54"/>
      <c r="F1163" s="55"/>
      <c r="G1163" s="72"/>
      <c r="H1163" s="73"/>
      <c r="I1163" s="47"/>
      <c r="J1163" s="57"/>
      <c r="K1163" s="57"/>
      <c r="L1163" s="55"/>
      <c r="M1163" s="57"/>
    </row>
    <row r="1164" spans="1:13" x14ac:dyDescent="0.35">
      <c r="A1164" s="48"/>
      <c r="B1164" s="48"/>
      <c r="C1164" s="49"/>
      <c r="D1164" s="50"/>
      <c r="E1164" s="51" t="str">
        <f>IF(N(C1164)=0,"",C1164/PI()/($D$1/2)^2/$D$2*10000)</f>
        <v/>
      </c>
      <c r="F1164" s="68" t="str">
        <f t="shared" ref="F1164:F1175" si="441">IF(N(E1164)=0,"",(N(E1164)+N(F1163)))</f>
        <v/>
      </c>
      <c r="G1164" s="69" t="str">
        <f>IF(OR(N(D1164)=0,N(E1164)=0),"",(E1164*D1164)/1000)</f>
        <v/>
      </c>
      <c r="H1164" s="70" t="str">
        <f t="shared" ref="H1164:H1175" si="442">IF(N(G1164)=0,"",(N(G1164)+N(H1163)))</f>
        <v/>
      </c>
      <c r="I1164" s="27" t="str">
        <f>IF(N(J1164)=0,"",0&amp;"-"&amp;B$4)</f>
        <v/>
      </c>
      <c r="J1164" s="52" t="str">
        <f>IF(N(B$4)=0,"",IF(AND(COUNT(H1164:H1175)=2,COUNT(F1164:F1175)=2),cubic_spline(F1163:F1165,H1163:H1165,B$4),IF(AND(COUNT(H1164:H1175)=3,COUNT(F1164:F1175)=3),cubic_spline(F1163:F1166,H1163:H1166,B$4),IF(AND(COUNT(H1164:H1175)=4,COUNT(F1164:F1175)=4),cubic_spline(F1163:F1167,H1163:H1167,B$4),IF(AND(COUNT(H1164:H1175)=5,COUNT(F1164:F1175)=5),cubic_spline(F1163:F1168,H1163:H1168,B$4),IF(AND(COUNT(H1164:H1175)=6,COUNT(F1164:F1175)=6),cubic_spline(F1163:F1169,H1163:H1169,B$4),IF(AND(COUNT(H1164:H1175)=7,COUNT(F1164:F1175)=7),cubic_spline(F1163:F1170,H1163:H1170,B$4),IF(AND(COUNT(H1164:H1175)=8,COUNT(F1164:F1175)=8),cubic_spline(F1163:F1171,H1163:H1171,B$4),IF(AND(COUNT(H1164:H1175)=9,COUNT(F1164:F1175)=9),cubic_spline(F1163:F1172,H1163:H1172,B$4),IF(AND(COUNT(H1164:H1175)=10,COUNT(F1164:F1175)=10),cubic_spline(F1163:F1173,H1163:H1173,B$4),IF(AND(COUNT(H1164:H1175)=11,COUNT(F1164:F1175)=11),cubic_spline(F1163:F1174,H1163:H1174,B$4),IF(AND(COUNT(H1164:H1175)=12,COUNT(F1164:F1175)=12),cubic_spline(F1163:F1175,H1163:H1175,B$4),""))))))))))))</f>
        <v/>
      </c>
      <c r="K1164" s="52" t="str">
        <f>IF(N(B$4)=0,"",IF(AND(COUNT(A1164:A1175)=2,COUNT(F1164:F1175)=2),cubic_spline(F1163:F1165,A1163:A1165,B$4),IF(AND(COUNT(A1164:A1175)=3,COUNT(F1164:F1175)=3),cubic_spline(F1163:F1166,A1163:A1166,B$4),IF(AND(COUNT(A1164:A1175)=4,COUNT(F1164:F1175)=4),cubic_spline(F1163:F1167,A1163:A1167,B$4),IF(AND(COUNT(A1164:A1175)=5,COUNT(F1164:F1175)=5),cubic_spline(F1163:F1168,A1163:A1168,B$4),IF(AND(COUNT(A1164:A1175)=6,COUNT(F1164:F1175)=6),cubic_spline(F1163:F1169,A1163:A1169,B$4),IF(AND(COUNT(A1164:A1175)=7,COUNT(F1164:F1175)=7),cubic_spline(F1163:F1170,A1163:A1170,B$4),IF(AND(COUNT(A1164:A1175)=8,COUNT(F1164:F1175)=8),cubic_spline(F1163:F1171,A1163:A1171,B$4),IF(AND(COUNT(A1164:A1175)=9,COUNT(F1164:F1175)=9),cubic_spline(F1163:F1172,A1163:A1172,B$4),IF(AND(COUNT(A1164:A1175)=10,COUNT(F1164:F1175)=10),cubic_spline(F1163:F1173,A1163:A1173,B$4),IF(AND(COUNT(A1164:A1175)=11,COUNT(F1164:F1175)=11),cubic_spline(F1163:F1174,A1163:A1174,B$4),IF(AND(COUNT(A1164:A1175)=12,COUNT(F1164:F1175)=12),cubic_spline(F1163:F1175,A1163:A1175,B$4),""))))))))))))</f>
        <v/>
      </c>
      <c r="L1164" s="27" t="str">
        <f>IF(I1164="","",0&amp;"-"&amp;B$4)</f>
        <v/>
      </c>
      <c r="M1164" s="52" t="str">
        <f>IF(N(J1164)=0,"",J1164-J1163)</f>
        <v/>
      </c>
    </row>
    <row r="1165" spans="1:13" x14ac:dyDescent="0.35">
      <c r="A1165" s="48"/>
      <c r="B1165" s="48"/>
      <c r="C1165" s="49"/>
      <c r="D1165" s="50"/>
      <c r="E1165" s="51" t="str">
        <f>IF(N(C1165)=0,"",C1165/PI()/($D$1/2)^2/$D$2*10000)</f>
        <v/>
      </c>
      <c r="F1165" s="68" t="str">
        <f t="shared" si="441"/>
        <v/>
      </c>
      <c r="G1165" s="69" t="str">
        <f t="shared" ref="G1165:G1175" si="443">IF(OR(N(D1165)=0,N(E1165)=0),"",(E1165*D1165)/1000)</f>
        <v/>
      </c>
      <c r="H1165" s="70" t="str">
        <f t="shared" si="442"/>
        <v/>
      </c>
      <c r="I1165" s="27" t="str">
        <f>IF(N(J1165)=0,"",0&amp;"-"&amp;B$5)</f>
        <v/>
      </c>
      <c r="J1165" s="52" t="str">
        <f>IF(N(B$5)=0,"",IF(AND(COUNT(H1164:H1175)=2,COUNT(F1164:F1175)=2),cubic_spline(F1163:F1165,H1163:H1165,B$5),IF(AND(COUNT(H1164:H1175)=3,COUNT(F1164:F1175)=3),cubic_spline(F1163:F1166,H1163:H1166,B$5),IF(AND(COUNT(H1164:H1175)=4,COUNT(F1164:F1175)=4),cubic_spline(F1163:F1167,H1163:H1167,B$5),IF(AND(COUNT(H1164:H1175)=5,COUNT(F1164:F1175)=5),cubic_spline(F1163:F1168,H1163:H1168,B$5),IF(AND(COUNT(H1164:H1175)=6,COUNT(F1164:F1175)=6),cubic_spline(F1163:F1169,H1163:H1169,B$5),IF(AND(COUNT(H1164:H1175)=7,COUNT(F1164:F1175)=7),cubic_spline(F1163:F1170,H1163:H1170,B$5),IF(AND(COUNT(H1164:H1175)=8,COUNT(F1164:F1175)=8),cubic_spline(F1163:F1171,H1163:H1171,B$5),IF(AND(COUNT(H1164:H1175)=9,COUNT(F1164:F1175)=9),cubic_spline(F1163:F1172,H1163:H1172,B$5),IF(AND(COUNT(H1164:H1175)=10,COUNT(F1164:F1175)=10),cubic_spline(F1163:F1173,H1163:H1173,B$5),IF(AND(COUNT(H1164:H1175)=11,COUNT(F1164:F1175)=11),cubic_spline(F1163:F1174,H1163:H1174,B$5),IF(AND(COUNT(H1164:H1175)=12,COUNT(F1164:F1175)=12),cubic_spline(F1163:F1175,H1163:H1175,B$5),""))))))))))))</f>
        <v/>
      </c>
      <c r="K1165" s="52" t="str">
        <f>IF(N(B$5)=0,"",IF(AND(COUNT(A1164:A1175)=2,COUNT(F1164:F1175)=2),cubic_spline(F1163:F1165,A1163:A1165,B$5),IF(AND(COUNT(A1164:A1175)=3,COUNT(F1164:F1175)=3),cubic_spline(F1163:F1166,A1163:A1166,B$5),IF(AND(COUNT(A1164:A1175)=4,COUNT(F1164:F1175)=4),cubic_spline(F1163:F1167,A1163:A1167,B$5),IF(AND(COUNT(A1164:A1175)=5,COUNT(F1164:F1175)=5),cubic_spline(F1163:F1168,A1163:A1168,B$5),IF(AND(COUNT(A1164:A1175)=6,COUNT(F1164:F1175)=6),cubic_spline(F1163:F1169,A1163:A1169,B$5),IF(AND(COUNT(A1164:A1175)=7,COUNT(F1164:F1175)=7),cubic_spline(F1163:F1170,A1163:A1170,B$5),IF(AND(COUNT(A1164:A1175)=8,COUNT(F1164:F1175)=8),cubic_spline(F1163:F1171,A1163:A1171,B$5),IF(AND(COUNT(A1164:A1175)=9,COUNT(F1164:F1175)=9),cubic_spline(F1163:F1172,A1163:A1172,B$5),IF(AND(COUNT(A1164:A1175)=10,COUNT(F1164:F1175)=10),cubic_spline(F1163:F1173,A1163:A1173,B$5),IF(AND(COUNT(A1164:A1175)=11,COUNT(F1164:F1175)=11),cubic_spline(F1163:F1174,A1163:A1174,B$5),IF(AND(COUNT(A1164:A1175)=12,COUNT(F1164:F1175)=12),cubic_spline(F1163:F1175,A1163:A1175,B$5),""))))))))))))</f>
        <v/>
      </c>
      <c r="L1165" s="27" t="str">
        <f>IF(I1165="","",B$4&amp;"-"&amp;B$5)</f>
        <v/>
      </c>
      <c r="M1165" s="52" t="str">
        <f>IF(N(J1165)=0,"",J1165-J1164)</f>
        <v/>
      </c>
    </row>
    <row r="1166" spans="1:13" x14ac:dyDescent="0.35">
      <c r="A1166" s="48"/>
      <c r="B1166" s="48"/>
      <c r="C1166" s="49"/>
      <c r="D1166" s="50"/>
      <c r="E1166" s="51" t="str">
        <f>IF(N(C1166)=0,"",C1166/PI()/($D$1/2)^2/$D$2*10000)</f>
        <v/>
      </c>
      <c r="F1166" s="68" t="str">
        <f t="shared" si="441"/>
        <v/>
      </c>
      <c r="G1166" s="69" t="str">
        <f t="shared" si="443"/>
        <v/>
      </c>
      <c r="H1166" s="70" t="str">
        <f t="shared" si="442"/>
        <v/>
      </c>
      <c r="I1166" s="27" t="str">
        <f>IF(N(J1166)=0,"",0&amp;"-"&amp;B$6)</f>
        <v/>
      </c>
      <c r="J1166" s="52" t="str">
        <f>IF(N(B$6)=0,"",IF(AND(COUNT(H1164:H1175)=2,COUNT(F1164:F1175)=2),cubic_spline(F1163:F1165,H1163:H1165,B$6),IF(AND(COUNT(H1164:H1175)=3,COUNT(F1164:F1175)=3),cubic_spline(F1163:F1166,H1163:H1166,B$6),IF(AND(COUNT(H1164:H1175)=4,COUNT(F1164:F1175)=4),cubic_spline(F1163:F1167,H1163:H1167,B$6),IF(AND(COUNT(H1164:H1175)=5,COUNT(F1164:F1175)=5),cubic_spline(F1163:F1168,H1163:H1168,B$6),IF(AND(COUNT(H1164:H1175)=6,COUNT(F1164:F1175)=6),cubic_spline(F1163:F1169,H1163:H1169,B$6),IF(AND(COUNT(H1164:H1175)=7,COUNT(F1164:F1175)=7),cubic_spline(F1163:F1170,H1163:H1170,B$6),IF(AND(COUNT(H1164:H1175)=8,COUNT(F1164:F1175)=8),cubic_spline(F1163:F1171,H1163:H1171,B$6),IF(AND(COUNT(H1164:H1175)=9,COUNT(F1164:F1175)=9),cubic_spline(F1163:F1172,H1163:H1172,B$6),IF(AND(COUNT(H1164:H1175)=10,COUNT(F1164:F1175)=10),cubic_spline(F1163:F1173,H1163:H1173,B$6),IF(AND(COUNT(H1164:H1175)=11,COUNT(F1164:F1175)=11),cubic_spline(F1163:F1174,H1163:H1174,B$6),IF(AND(COUNT(H1164:H1175)=12,COUNT(F1164:F1175)=12),cubic_spline(F1163:F1175,H1163:H1175,B$6),""))))))))))))</f>
        <v/>
      </c>
      <c r="K1166" s="52" t="str">
        <f>IF(N(B$6)=0,"",IF(AND(COUNT(A1164:A1175)=2,COUNT(F1164:F1175)=2),cubic_spline(F1163:F1165,A1163:A1165,B$6),IF(AND(COUNT(A1164:A1175)=3,COUNT(F1164:F1175)=3),cubic_spline(F1163:F1166,A1163:A1166,B$6),IF(AND(COUNT(A1164:A1175)=4,COUNT(F1164:F1175)=4),cubic_spline(F1163:F1167,A1163:A1167,B$6),IF(AND(COUNT(A1164:A1175)=5,COUNT(F1164:F1175)=5),cubic_spline(F1163:F1168,A1163:A1168,B$6),IF(AND(COUNT(A1164:A1175)=6,COUNT(F1164:F1175)=6),cubic_spline(F1163:F1169,A1163:A1169,B$6),IF(AND(COUNT(A1164:A1175)=7,COUNT(F1164:F1175)=7),cubic_spline(F1163:F1170,A1163:A1170,B$6),IF(AND(COUNT(A1164:A1175)=8,COUNT(F1164:F1175)=8),cubic_spline(F1163:F1171,A1163:A1171,B$6),IF(AND(COUNT(A1164:A1175)=9,COUNT(F1164:F1175)=9),cubic_spline(F1163:F1172,A1163:A1172,B$6),IF(AND(COUNT(A1164:A1175)=10,COUNT(F1164:F1175)=10),cubic_spline(F1163:F1173,A1163:A1173,B$6),IF(AND(COUNT(A1164:A1175)=11,COUNT(F1164:F1175)=11),cubic_spline(F1163:F1174,A1163:A1174,B$6),IF(AND(COUNT(A1164:A1175)=12,COUNT(F1164:F1175)=12),cubic_spline(F1163:F1175,A1163:A1175,B$6),""))))))))))))</f>
        <v/>
      </c>
      <c r="L1166" s="27" t="str">
        <f>IF(I1166="","",B$5&amp;"-"&amp;B$6)</f>
        <v/>
      </c>
      <c r="M1166" s="52" t="str">
        <f>IF(N(J1166)=0,"",J1166-J1165)</f>
        <v/>
      </c>
    </row>
    <row r="1167" spans="1:13" x14ac:dyDescent="0.35">
      <c r="A1167" s="48"/>
      <c r="B1167" s="48"/>
      <c r="C1167" s="49"/>
      <c r="D1167" s="50"/>
      <c r="E1167" s="51" t="str">
        <f>IF(N(C1167)=0,"",C1167/PI()/($D$1/2)^2/$D$2*10000)</f>
        <v/>
      </c>
      <c r="F1167" s="68" t="str">
        <f t="shared" si="441"/>
        <v/>
      </c>
      <c r="G1167" s="69" t="str">
        <f t="shared" si="443"/>
        <v/>
      </c>
      <c r="H1167" s="70" t="str">
        <f t="shared" si="442"/>
        <v/>
      </c>
      <c r="I1167" s="27" t="str">
        <f>IF(N(J1167)=0,"",0&amp;"-"&amp;B$7)</f>
        <v/>
      </c>
      <c r="J1167" s="52" t="str">
        <f>IF(N(B$7)=0,"",IF(AND(COUNT(H1164:H1175)=2,COUNT(F1164:F1175)=2),cubic_spline(F1163:F1165,H1163:H1165,B$7),IF(AND(COUNT(H1164:H1175)=3,COUNT(F1164:F1175)=3),cubic_spline(F1163:F1166,H1163:H1166,B$7),IF(AND(COUNT(H1164:H1175)=4,COUNT(F1164:F1175)=4),cubic_spline(F1163:F1167,H1163:H1167,B$7),IF(AND(COUNT(H1164:H1175)=5,COUNT(F1164:F1175)=5),cubic_spline(F1163:F1168,H1163:H1168,B$7),IF(AND(COUNT(H1164:H1175)=6,COUNT(F1164:F1175)=6),cubic_spline(F1163:F1169,H1163:H1169,B$7),IF(AND(COUNT(H1164:H1175)=7,COUNT(F1164:F1175)=7),cubic_spline(F1163:F1170,H1163:H1170,B$7),IF(AND(COUNT(H1164:H1175)=8,COUNT(F1164:F1175)=8),cubic_spline(F1163:F1171,H1163:H1171,B$7),IF(AND(COUNT(H1164:H1175)=9,COUNT(F1164:F1175)=9),cubic_spline(F1163:F1172,H1163:H1172,B$7),IF(AND(COUNT(H1164:H1175)=10,COUNT(F1164:F1175)=10),cubic_spline(F1163:F1173,H1163:H1173,B$7),IF(AND(COUNT(H1164:H1175)=11,COUNT(F1164:F1175)=11),cubic_spline(F1163:F1174,H1163:H1174,B$7),IF(AND(COUNT(H1164:H1175)=12,COUNT(F1164:F1175)=12),cubic_spline(F1163:F1175,H1163:H1175,B$7),""))))))))))))</f>
        <v/>
      </c>
      <c r="K1167" s="52" t="str">
        <f>IF(N(B$7)=0,"",IF(AND(COUNT(A1164:A1175)=2,COUNT(F1164:F1175)=2),cubic_spline(F1163:F1165,A1163:A1165,B$7),IF(AND(COUNT(A1164:A1175)=3,COUNT(F1164:F1175)=3),cubic_spline(F1163:F1166,A1163:A1166,B$7),IF(AND(COUNT(A1164:A1175)=4,COUNT(F1164:F1175)=4),cubic_spline(F1163:F1167,A1163:A1167,B$7),IF(AND(COUNT(A1164:A1175)=5,COUNT(F1164:F1175)=5),cubic_spline(F1163:F1168,A1163:A1168,B$7),IF(AND(COUNT(A1164:A1175)=6,COUNT(F1164:F1175)=6),cubic_spline(F1163:F1169,A1163:A1169,B$7),IF(AND(COUNT(A1164:A1175)=7,COUNT(F1164:F1175)=7),cubic_spline(F1163:F1170,A1163:A1170,B$7),IF(AND(COUNT(A1164:A1175)=8,COUNT(F1164:F1175)=8),cubic_spline(F1163:F1171,A1163:A1171,B$7),IF(AND(COUNT(A1164:A1175)=9,COUNT(F1164:F1175)=9),cubic_spline(F1163:F1172,A1163:A1172,B$7),IF(AND(COUNT(A1164:A1175)=10,COUNT(F1164:F1175)=10),cubic_spline(F1163:F1173,A1163:A1173,B$7),IF(AND(COUNT(A1164:A1175)=11,COUNT(F1164:F1175)=11),cubic_spline(F1163:F1174,A1163:A1174,B$7),IF(AND(COUNT(A1164:A1175)=12,COUNT(F1164:F1175)=12),cubic_spline(F1163:F1175,A1163:A1175,B$7),""))))))))))))</f>
        <v/>
      </c>
      <c r="L1167" s="27" t="str">
        <f>IF(I1167="","",B$6&amp;"-"&amp;B$7)</f>
        <v/>
      </c>
      <c r="M1167" s="52" t="str">
        <f>IF(N(J1167)=0,"",J1167-J1166)</f>
        <v/>
      </c>
    </row>
    <row r="1168" spans="1:13" x14ac:dyDescent="0.35">
      <c r="A1168" s="48"/>
      <c r="B1168" s="48"/>
      <c r="C1168" s="49"/>
      <c r="D1168" s="50"/>
      <c r="E1168" s="51" t="str">
        <f t="shared" ref="E1168:E1175" si="444">IF(N(C1168)=0,"",C1168/PI()/($D$1/2)^2/$D$2*10000)</f>
        <v/>
      </c>
      <c r="F1168" s="71" t="str">
        <f t="shared" si="441"/>
        <v/>
      </c>
      <c r="G1168" s="69" t="str">
        <f t="shared" si="443"/>
        <v/>
      </c>
      <c r="H1168" s="70" t="str">
        <f t="shared" si="442"/>
        <v/>
      </c>
      <c r="I1168" s="27" t="str">
        <f>IF(N(J1168)=0,"",0&amp;"-"&amp;B$8)</f>
        <v/>
      </c>
      <c r="J1168" s="52" t="str">
        <f>IF(N(B$8)=0,"",IF(AND(COUNT(H1164:H1175)=2,COUNT(F1164:F1175)=2),cubic_spline(F1163:F1165,H1163:H1165,B$8),IF(AND(COUNT(H1164:H1175)=3,COUNT(F1164:F1175)=3),cubic_spline(F1163:F1166,H1163:H1166,B$8),IF(AND(COUNT(H1164:H1175)=4,COUNT(F1164:F1175)=4),cubic_spline(F1163:F1167,H1163:H1167,B$8),IF(AND(COUNT(H1164:H1175)=5,COUNT(F1164:F1175)=5),cubic_spline(F1163:F1168,H1163:H1168,B$8),IF(AND(COUNT(H1164:H1175)=6,COUNT(F1164:F1175)=6),cubic_spline(F1163:F1169,H1163:H1169,B$8),IF(AND(COUNT(H1164:H1175)=7,COUNT(F1164:F1175)=7),cubic_spline(F1163:F1170,H1163:H1170,B$8),IF(AND(COUNT(H1164:H1175)=8,COUNT(F1164:F1175)=8),cubic_spline(F1163:F1171,H1163:H1171,B$8),IF(AND(COUNT(H1164:H1175)=9,COUNT(F1164:F1175)=9),cubic_spline(F1163:F1172,H1163:H1172,B$8),IF(AND(COUNT(H1164:H1175)=10,COUNT(F1164:F1175)=10),cubic_spline(F1163:F1173,H1163:H1173,B$8),IF(AND(COUNT(H1164:H1175)=11,COUNT(F1164:F1175)=11),cubic_spline(F1163:F1174,H1163:H1174,B$8),IF(AND(COUNT(H1164:H1175)=12,COUNT(F1164:F1175)=12),cubic_spline(F1163:F1175,H1163:H1175,B$8),""))))))))))))</f>
        <v/>
      </c>
      <c r="K1168" s="52" t="str">
        <f>IF(N(B$8)=0,"",IF(AND(COUNT(A1164:A1175)=2,COUNT(F1164:F1175)=2),cubic_spline(F1163:F1165,A1163:A1165,B$8),IF(AND(COUNT(A1164:A1175)=3,COUNT(F1164:F1175)=3),cubic_spline(F1163:F1166,A1163:A1166,B$8),IF(AND(COUNT(A1164:A1175)=4,COUNT(F1164:F1175)=4),cubic_spline(F1163:F1167,A1163:A1167,B$8),IF(AND(COUNT(A1164:A1175)=5,COUNT(F1164:F1175)=5),cubic_spline(F1163:F1168,A1163:A1168,B$8),IF(AND(COUNT(A1164:A1175)=6,COUNT(F1164:F1175)=6),cubic_spline(F1163:F1169,A1163:A1169,B$8),IF(AND(COUNT(A1164:A1175)=7,COUNT(F1164:F1175)=7),cubic_spline(F1163:F1170,A1163:A1170,B$8),IF(AND(COUNT(A1164:A1175)=8,COUNT(F1164:F1175)=8),cubic_spline(F1163:F1171,A1163:A1171,B$8),IF(AND(COUNT(A1164:A1175)=9,COUNT(F1164:F1175)=9),cubic_spline(F1163:F1172,A1163:A1172,B$8),IF(AND(COUNT(A1164:A1175)=10,COUNT(F1164:F1175)=10),cubic_spline(F1163:F1173,A1163:A1173,B$8),IF(AND(COUNT(A1164:A1175)=11,COUNT(F1164:F1175)=11),cubic_spline(F1163:F1174,A1163:A1174,B$8),IF(AND(COUNT(A1164:A1175)=12,COUNT(F1164:F1175)=12),cubic_spline(F1163:F1175,A1163:A1175,B$8),""))))))))))))</f>
        <v/>
      </c>
      <c r="L1168" s="27" t="str">
        <f>IF(I1168="","",B$7&amp;"-"&amp;B$8)</f>
        <v/>
      </c>
      <c r="M1168" s="52" t="str">
        <f>IF(N(J1168)=0,"",J1168-J1167)</f>
        <v/>
      </c>
    </row>
    <row r="1169" spans="1:13" x14ac:dyDescent="0.35">
      <c r="A1169" s="48"/>
      <c r="B1169" s="48"/>
      <c r="C1169" s="49"/>
      <c r="D1169" s="50"/>
      <c r="E1169" s="51" t="str">
        <f t="shared" si="444"/>
        <v/>
      </c>
      <c r="F1169" s="71" t="str">
        <f t="shared" si="441"/>
        <v/>
      </c>
      <c r="G1169" s="69" t="str">
        <f t="shared" si="443"/>
        <v/>
      </c>
      <c r="H1169" s="70" t="str">
        <f t="shared" si="442"/>
        <v/>
      </c>
      <c r="I1169" s="27" t="str">
        <f>IF(N(J1169)=0,"",0&amp;"-"&amp;B$9)</f>
        <v/>
      </c>
      <c r="J1169" s="52" t="str">
        <f>IF(N(B$9)=0,"",IF(AND(COUNT(H1164:H1175)=2,COUNT(F1164:F1175)=2),cubic_spline(F1163:F1165,H1163:H1165,B$9),IF(AND(COUNT(H1164:H1175)=3,COUNT(F1164:F1175)=3),cubic_spline(F1163:F1166,H1163:H1166,B$9),IF(AND(COUNT(H1164:H1175)=4,COUNT(F1164:F1175)=4),cubic_spline(F1163:F1167,H1163:H1167,B$9),IF(AND(COUNT(H1164:H1175)=5,COUNT(F1164:F1175)=5),cubic_spline(F1163:F1168,H1163:H1168,B$9),IF(AND(COUNT(H1164:H1175)=6,COUNT(F1164:F1175)=6),cubic_spline(F1163:F1169,H1163:H1169,B$9),IF(AND(COUNT(H1164:H1175)=7,COUNT(F1164:F1175)=7),cubic_spline(F1163:F1170,H1163:H1170,B$9),IF(AND(COUNT(H1164:H1175)=8,COUNT(F1164:F1175)=8),cubic_spline(F1163:F1171,H1163:H1171,B$9),IF(AND(COUNT(H1164:H1175)=9,COUNT(F1164:F1175)=9),cubic_spline(F1163:F1172,H1163:H1172,B$9),IF(AND(COUNT(H1164:H1175)=10,COUNT(F1164:F1175)=10),cubic_spline(F1163:F1173,H1163:H1173,B$9),IF(AND(COUNT(H1164:H1175)=11,COUNT(F1164:F1175)=11),cubic_spline(F1163:F1174,H1163:H1174,B$9),IF(AND(COUNT(H1164:H1175)=12,COUNT(F1164:F1175)=12),cubic_spline(F1163:F1175,H1163:H1175,B$9),""))))))))))))</f>
        <v/>
      </c>
      <c r="K1169" s="52" t="str">
        <f>IF(N(B$9)=0,"",IF(AND(COUNT(A1164:A1175)=2,COUNT(F1164:F1175)=2),cubic_spline(F1163:F1165,A1163:A1165,B$9),IF(AND(COUNT(A1164:A1175)=3,COUNT(F1164:F1175)=3),cubic_spline(F1163:F1166,A1163:A1166,B$9),IF(AND(COUNT(A1164:A1175)=4,COUNT(F1164:F1175)=4),cubic_spline(F1163:F1167,A1163:A1167,B$9),IF(AND(COUNT(A1164:A1175)=5,COUNT(F1164:F1175)=5),cubic_spline(F1163:F1168,A1163:A1168,B$9),IF(AND(COUNT(A1164:A1175)=6,COUNT(F1164:F1175)=6),cubic_spline(F1163:F1169,A1163:A1169,B$9),IF(AND(COUNT(A1164:A1175)=7,COUNT(F1164:F1175)=7),cubic_spline(F1163:F1170,A1163:A1170,B$9),IF(AND(COUNT(A1164:A1175)=8,COUNT(F1164:F1175)=8),cubic_spline(F1163:F1171,A1163:A1171,B$9),IF(AND(COUNT(A1164:A1175)=9,COUNT(F1164:F1175)=9),cubic_spline(F1163:F1172,A1163:A1172,B$9),IF(AND(COUNT(A1164:A1175)=10,COUNT(F1164:F1175)=10),cubic_spline(F1163:F1173,A1163:A1173,B$9),IF(AND(COUNT(A1164:A1175)=11,COUNT(F1164:F1175)=11),cubic_spline(F1163:F1174,A1163:A1174,B$9),IF(AND(COUNT(A1164:A1175)=12,COUNT(F1164:F1175)=12),cubic_spline(F1163:F1175,A1163:A1175,B$9),""))))))))))))</f>
        <v/>
      </c>
      <c r="L1169" s="27" t="str">
        <f>IF(I1169="","",B$8&amp;"-"&amp;B$9)</f>
        <v/>
      </c>
      <c r="M1169" s="52" t="str">
        <f t="shared" ref="M1169:M1175" si="445">IF(N(J1169)=0,"",J1169-J1168)</f>
        <v/>
      </c>
    </row>
    <row r="1170" spans="1:13" x14ac:dyDescent="0.35">
      <c r="A1170" s="48"/>
      <c r="B1170" s="48"/>
      <c r="C1170" s="49"/>
      <c r="D1170" s="50"/>
      <c r="E1170" s="51" t="str">
        <f t="shared" si="444"/>
        <v/>
      </c>
      <c r="F1170" s="71" t="str">
        <f t="shared" si="441"/>
        <v/>
      </c>
      <c r="G1170" s="69" t="str">
        <f t="shared" si="443"/>
        <v/>
      </c>
      <c r="H1170" s="70" t="str">
        <f t="shared" si="442"/>
        <v/>
      </c>
      <c r="I1170" s="27" t="str">
        <f>IF(N(J1170)=0,"",0&amp;"-"&amp;B$10)</f>
        <v/>
      </c>
      <c r="J1170" s="52" t="str">
        <f>IF(N(B$10)=0,"",IF(AND(COUNT(H1164:H1175)=2,COUNT(F1164:F1175)=2),cubic_spline(F1163:F1165,H1163:H1165,B$10),IF(AND(COUNT(H1164:H1175)=3,COUNT(F1164:F1175)=3),cubic_spline(F1163:F1166,H1163:H1166,B$10),IF(AND(COUNT(H1164:H1175)=4,COUNT(F1164:F1175)=4),cubic_spline(F1163:F1167,H1163:H1167,B$10),IF(AND(COUNT(H1164:H1175)=5,COUNT(F1164:F1175)=5),cubic_spline(F1163:F1168,H1163:H1168,B$10),IF(AND(COUNT(H1164:H1175)=6,COUNT(F1164:F1175)=6),cubic_spline(F1163:F1169,H1163:H1169,B$10),IF(AND(COUNT(H1164:H1175)=7,COUNT(F1164:F1175)=7),cubic_spline(F1163:F1170,H1163:H1170,B$10),IF(AND(COUNT(H1164:H1175)=8,COUNT(F1164:F1175)=8),cubic_spline(F1163:F1171,H1163:H1171,B$10),IF(AND(COUNT(H1164:H1175)=9,COUNT(F1164:F1175)=9),cubic_spline(F1163:F1172,H1163:H1172,B$10),IF(AND(COUNT(H1164:H1175)=10,COUNT(F1164:F1175)=10),cubic_spline(F1163:F1173,H1163:H1173,B$10),IF(AND(COUNT(H1164:H1175)=11,COUNT(F1164:F1175)=11),cubic_spline(F1163:F1174,H1163:H1174,B$10),IF(AND(COUNT(H1164:H1175)=12,COUNT(F1164:F1175)=12),cubic_spline(F1163:F1175,H1163:H1175,B$10),""))))))))))))</f>
        <v/>
      </c>
      <c r="K1170" s="52" t="str">
        <f>IF(N(B$10)=0,"",IF(AND(COUNT(A1164:A1175)=2,COUNT(F1164:F1175)=2),cubic_spline(F1163:F1165,A1163:A1165,B$10),IF(AND(COUNT(A1164:A1175)=3,COUNT(F1164:F1175)=3),cubic_spline(F1163:F1166,A1163:A1166,B$10),IF(AND(COUNT(A1164:A1175)=4,COUNT(F1164:F1175)=4),cubic_spline(F1163:F1167,A1163:A1167,B$10),IF(AND(COUNT(A1164:A1175)=5,COUNT(F1164:F1175)=5),cubic_spline(F1163:F1168,A1163:A1168,B$10),IF(AND(COUNT(A1164:A1175)=6,COUNT(F1164:F1175)=6),cubic_spline(F1163:F1169,A1163:A1169,B$10),IF(AND(COUNT(A1164:A1175)=7,COUNT(F1164:F1175)=7),cubic_spline(F1163:F1170,A1163:A1170,B$10),IF(AND(COUNT(A1164:A1175)=8,COUNT(F1164:F1175)=8),cubic_spline(F1163:F1171,A1163:A1171,B$10),IF(AND(COUNT(A1164:A1175)=9,COUNT(F1164:F1175)=9),cubic_spline(F1163:F1172,A1163:A1172,B$10),IF(AND(COUNT(A1164:A1175)=10,COUNT(F1164:F1175)=10),cubic_spline(F1163:F1173,A1163:A1173,B$10),IF(AND(COUNT(A1164:A1175)=11,COUNT(F1164:F1175)=11),cubic_spline(F1163:F1174,A1163:A1174,B$10),IF(AND(COUNT(A1164:A1175)=12,COUNT(F1164:F1175)=12),cubic_spline(F1163:F1175,A1163:A1175,B$10),""))))))))))))</f>
        <v/>
      </c>
      <c r="L1170" s="27" t="str">
        <f>IF(I1170="","",B$9&amp;"-"&amp;B$10)</f>
        <v/>
      </c>
      <c r="M1170" s="52" t="str">
        <f t="shared" si="445"/>
        <v/>
      </c>
    </row>
    <row r="1171" spans="1:13" x14ac:dyDescent="0.35">
      <c r="A1171" s="48"/>
      <c r="B1171" s="48"/>
      <c r="C1171" s="49"/>
      <c r="D1171" s="50"/>
      <c r="E1171" s="51" t="str">
        <f t="shared" si="444"/>
        <v/>
      </c>
      <c r="F1171" s="71" t="str">
        <f t="shared" si="441"/>
        <v/>
      </c>
      <c r="G1171" s="69" t="str">
        <f t="shared" si="443"/>
        <v/>
      </c>
      <c r="H1171" s="70" t="str">
        <f t="shared" si="442"/>
        <v/>
      </c>
      <c r="I1171" s="27" t="str">
        <f>IF(N(J1171)=0,"",0&amp;"-"&amp;B$11)</f>
        <v/>
      </c>
      <c r="J1171" s="52" t="str">
        <f>IF(N(B$11)=0,"",IF(AND(COUNT(H1164:H1175)=2,COUNT(F1164:F1175)=2),cubic_spline(F1163:F1165,H1163:H1165,B$11),IF(AND(COUNT(H1164:H1175)=3,COUNT(F1164:F1175)=3),cubic_spline(F1163:F1166,H1163:H1166,B$11),IF(AND(COUNT(H1164:H1175)=4,COUNT(F1164:F1175)=4),cubic_spline(F1163:F1167,H1163:H1167,B$11),IF(AND(COUNT(H1164:H1175)=5,COUNT(F1164:F1175)=5),cubic_spline(F1163:F1168,H1163:H1168,B$11),IF(AND(COUNT(H1164:H1175)=6,COUNT(F1164:F1175)=6),cubic_spline(F1163:F1169,H1163:H1169,B$11),IF(AND(COUNT(H1164:H1175)=7,COUNT(F1164:F1175)=7),cubic_spline(F1163:F1170,H1163:H1170,B$11),IF(AND(COUNT(H1164:H1175)=8,COUNT(F1164:F1175)=8),cubic_spline(F1163:F1171,H1163:H1171,B$11),IF(AND(COUNT(H1164:H1175)=9,COUNT(F1164:F1175)=9),cubic_spline(F1163:F1172,H1163:H1172,B$11),IF(AND(COUNT(H1164:H1175)=10,COUNT(F1164:F1175)=10),cubic_spline(F1163:F1173,H1163:H1173,B$11),IF(AND(COUNT(H1164:H1175)=11,COUNT(F1164:F1175)=11),cubic_spline(F1163:F1174,H1163:H1174,B$11),IF(AND(COUNT(H1164:H1175)=12,COUNT(F1164:F1175)=12),cubic_spline(F1163:F1175,H1163:H1175,B$11),""))))))))))))</f>
        <v/>
      </c>
      <c r="K1171" s="52" t="str">
        <f>IF(N(B$11)=0,"",IF(AND(COUNT(A1164:A1175)=2,COUNT(F1164:F1175)=2),cubic_spline(F1163:F1165,A1163:A1165,B$11),IF(AND(COUNT(A1164:A1175)=3,COUNT(F1164:F1175)=3),cubic_spline(F1163:F1166,A1163:A1166,B$11),IF(AND(COUNT(A1164:A1175)=4,COUNT(F1164:F1175)=4),cubic_spline(F1163:F1167,A1163:A1167,B$11),IF(AND(COUNT(A1164:A1175)=5,COUNT(F1164:F1175)=5),cubic_spline(F1163:F1168,A1163:A1168,B$11),IF(AND(COUNT(A1164:A1175)=6,COUNT(F1164:F1175)=6),cubic_spline(F1163:F1169,A1163:A1169,B$11),IF(AND(COUNT(A1164:A1175)=7,COUNT(F1164:F1175)=7),cubic_spline(F1163:F1170,A1163:A1170,B$11),IF(AND(COUNT(A1164:A1175)=8,COUNT(F1164:F1175)=8),cubic_spline(F1163:F1171,A1163:A1171,B$11),IF(AND(COUNT(A1164:A1175)=9,COUNT(F1164:F1175)=9),cubic_spline(F1163:F1172,A1163:A1172,B$11),IF(AND(COUNT(A1164:A1175)=10,COUNT(F1164:F1175)=10),cubic_spline(F1163:F1173,A1163:A1173,B$11),IF(AND(COUNT(A1164:A1175)=11,COUNT(F1164:F1175)=11),cubic_spline(F1163:F1174,A1163:A1174,B$11),IF(AND(COUNT(A1164:A1175)=12,COUNT(F1164:F1175)=12),cubic_spline(F1163:F1175,A1163:A1175,B$11),""))))))))))))</f>
        <v/>
      </c>
      <c r="L1171" s="27" t="str">
        <f>IF(I1171="","",B$10&amp;"-"&amp;B$11)</f>
        <v/>
      </c>
      <c r="M1171" s="52" t="str">
        <f t="shared" si="445"/>
        <v/>
      </c>
    </row>
    <row r="1172" spans="1:13" x14ac:dyDescent="0.35">
      <c r="A1172" s="48"/>
      <c r="B1172" s="48"/>
      <c r="C1172" s="49"/>
      <c r="D1172" s="50"/>
      <c r="E1172" s="51" t="str">
        <f t="shared" si="444"/>
        <v/>
      </c>
      <c r="F1172" s="71" t="str">
        <f t="shared" si="441"/>
        <v/>
      </c>
      <c r="G1172" s="69" t="str">
        <f t="shared" si="443"/>
        <v/>
      </c>
      <c r="H1172" s="70" t="str">
        <f t="shared" si="442"/>
        <v/>
      </c>
      <c r="I1172" s="27" t="str">
        <f>IF(N(J1172)=0,"",0&amp;"-"&amp;B$12)</f>
        <v/>
      </c>
      <c r="J1172" s="52" t="str">
        <f>IF(N(B$12)=0,"",IF(AND(COUNT(H1164:H1175)=2,COUNT(F1164:F1175)=2),cubic_spline(F1163:F1165,H1163:H1165,B$12),IF(AND(COUNT(H1164:H1175)=3,COUNT(F1164:F1175)=3),cubic_spline(F1163:F1166,H1163:H1166,B$12),IF(AND(COUNT(H1164:H1175)=4,COUNT(F1164:F1175)=4),cubic_spline(F1163:F1167,H1163:H1167,B$12),IF(AND(COUNT(H1164:H1175)=5,COUNT(F1164:F1175)=5),cubic_spline(F1163:F1168,H1163:H1168,B$12),IF(AND(COUNT(H1164:H1175)=6,COUNT(F1164:F1175)=6),cubic_spline(F1163:F1169,H1163:H1169,B$12),IF(AND(COUNT(H1164:H1175)=7,COUNT(F1164:F1175)=7),cubic_spline(F1163:F1170,H1163:H1170,B$12),IF(AND(COUNT(H1164:H1175)=8,COUNT(F1164:F1175)=8),cubic_spline(F1163:F1171,H1163:H1171,B$12),IF(AND(COUNT(H1164:H1175)=9,COUNT(F1164:F1175)=9),cubic_spline(F1163:F1172,H1163:H1172,B$12),IF(AND(COUNT(H1164:H1175)=10,COUNT(F1164:F1175)=10),cubic_spline(F1163:F1173,H1163:H1173,B$12),IF(AND(COUNT(H1164:H1175)=11,COUNT(F1164:F1175)=11),cubic_spline(F1163:F1174,H1163:H1174,B$12),IF(AND(COUNT(H1164:H1175)=12,COUNT(F1164:F1175)=12),cubic_spline(F1163:F1175,H1163:H1175,B$12),""))))))))))))</f>
        <v/>
      </c>
      <c r="K1172" s="52" t="str">
        <f>IF(N(B$12)=0,"",IF(AND(COUNT(A1164:A1175)=2,COUNT(F1164:F1175)=2),cubic_spline(F1163:F1165,A1163:A1165,B$12),IF(AND(COUNT(A1164:A1175)=3,COUNT(F1164:F1175)=3),cubic_spline(F1163:F1166,A1163:A1166,B$12),IF(AND(COUNT(A1164:A1175)=4,COUNT(F1164:F1175)=4),cubic_spline(F1163:F1167,A1163:A1167,B$12),IF(AND(COUNT(A1164:A1175)=5,COUNT(F1164:F1175)=5),cubic_spline(F1163:F1168,A1163:A1168,B$12),IF(AND(COUNT(A1164:A1175)=6,COUNT(F1164:F1175)=6),cubic_spline(F1163:F1169,A1163:A1169,B$12),IF(AND(COUNT(A1164:A1175)=7,COUNT(F1164:F1175)=7),cubic_spline(F1163:F1170,A1163:A1170,B$12),IF(AND(COUNT(A1164:A1175)=8,COUNT(F1164:F1175)=8),cubic_spline(F1163:F1171,A1163:A1171,B$12),IF(AND(COUNT(A1164:A1175)=9,COUNT(F1164:F1175)=9),cubic_spline(F1163:F1172,A1163:A1172,B$12),IF(AND(COUNT(A1164:A1175)=10,COUNT(F1164:F1175)=10),cubic_spline(F1163:F1173,A1163:A1173,B$12),IF(AND(COUNT(A1164:A1175)=11,COUNT(F1164:F1175)=11),cubic_spline(F1163:F1174,A1163:A1174,B$12),IF(AND(COUNT(A1164:A1175)=12,COUNT(F1164:F1175)=12),cubic_spline(F1163:F1175,A1163:A1175,B$12),""))))))))))))</f>
        <v/>
      </c>
      <c r="L1172" s="27" t="str">
        <f>IF(I1172="","",B$11&amp;"-"&amp;B$12)</f>
        <v/>
      </c>
      <c r="M1172" s="52" t="str">
        <f t="shared" si="445"/>
        <v/>
      </c>
    </row>
    <row r="1173" spans="1:13" x14ac:dyDescent="0.35">
      <c r="A1173" s="48"/>
      <c r="B1173" s="48"/>
      <c r="C1173" s="49"/>
      <c r="D1173" s="50"/>
      <c r="E1173" s="51" t="str">
        <f t="shared" si="444"/>
        <v/>
      </c>
      <c r="F1173" s="71" t="str">
        <f t="shared" si="441"/>
        <v/>
      </c>
      <c r="G1173" s="69" t="str">
        <f t="shared" si="443"/>
        <v/>
      </c>
      <c r="H1173" s="70" t="str">
        <f t="shared" si="442"/>
        <v/>
      </c>
      <c r="I1173" s="27" t="str">
        <f>IF(N(J1173)=0,"",0&amp;"-"&amp;B$13)</f>
        <v/>
      </c>
      <c r="J1173" s="52" t="str">
        <f>IF(N(B$13)=0,"",IF(AND(COUNT(H1164:H1175)=2,COUNT(F1164:F1175)=2),cubic_spline(F1163:F1165,H1163:H1165,B$13),IF(AND(COUNT(H1164:H1175)=3,COUNT(F1164:F1175)=3),cubic_spline(F1163:F1166,H1163:H1166,B$13),IF(AND(COUNT(H1164:H1175)=4,COUNT(F1164:F1175)=4),cubic_spline(F1163:F1167,H1163:H1167,B$13),IF(AND(COUNT(H1164:H1175)=5,COUNT(F1164:F1175)=5),cubic_spline(F1163:F1168,H1163:H1168,B$13),IF(AND(COUNT(H1164:H1175)=6,COUNT(F1164:F1175)=6),cubic_spline(F1163:F1169,H1163:H1169,B$13),IF(AND(COUNT(H1164:H1175)=7,COUNT(F1164:F1175)=7),cubic_spline(F1163:F1170,H1163:H1170,B$13),IF(AND(COUNT(H1164:H1175)=8,COUNT(F1164:F1175)=8),cubic_spline(F1163:F1171,H1163:H1171,B$13),IF(AND(COUNT(H1164:H1175)=9,COUNT(F1164:F1175)=9),cubic_spline(F1163:F1172,H1163:H1172,B$13),IF(AND(COUNT(H1164:H1175)=10,COUNT(F1164:F1175)=10),cubic_spline(F1163:F1173,H1163:H1173,B$13),IF(AND(COUNT(H1164:H1175)=11,COUNT(F1164:F1175)=11),cubic_spline(F1163:F1174,H1163:H1174,B$13),IF(AND(COUNT(H1164:H1175)=12,COUNT(F1164:F1175)=12),cubic_spline(F1163:F1175,H1163:H1175,B$13),""))))))))))))</f>
        <v/>
      </c>
      <c r="K1173" s="52" t="str">
        <f>IF(N(B$13)=0,"",IF(AND(COUNT(A1164:A1175)=2,COUNT(F1164:F1175)=2),cubic_spline(F1163:F1165,A1163:A1165,B$13),IF(AND(COUNT(A1164:A1175)=3,COUNT(F1164:F1175)=3),cubic_spline(F1163:F1166,A1163:A1166,B$13),IF(AND(COUNT(A1164:A1175)=4,COUNT(F1164:F1175)=4),cubic_spline(F1163:F1167,A1163:A1167,B$13),IF(AND(COUNT(A1164:A1175)=5,COUNT(F1164:F1175)=5),cubic_spline(F1163:F1168,A1163:A1168,B$13),IF(AND(COUNT(A1164:A1175)=6,COUNT(F1164:F1175)=6),cubic_spline(F1163:F1169,A1163:A1169,B$13),IF(AND(COUNT(A1164:A1175)=7,COUNT(F1164:F1175)=7),cubic_spline(F1163:F1170,A1163:A1170,B$13),IF(AND(COUNT(A1164:A1175)=8,COUNT(F1164:F1175)=8),cubic_spline(F1163:F1171,A1163:A1171,B$13),IF(AND(COUNT(A1164:A1175)=9,COUNT(F1164:F1175)=9),cubic_spline(F1163:F1172,A1163:A1172,B$13),IF(AND(COUNT(A1164:A1175)=10,COUNT(F1164:F1175)=10),cubic_spline(F1163:F1173,A1163:A1173,B$13),IF(AND(COUNT(A1164:A1175)=11,COUNT(F1164:F1175)=11),cubic_spline(F1163:F1174,A1163:A1174,B$13),IF(AND(COUNT(A1164:A1175)=12,COUNT(F1164:F1175)=12),cubic_spline(F1163:F1175,A1163:A1175,B$13),""))))))))))))</f>
        <v/>
      </c>
      <c r="L1173" s="27" t="str">
        <f>IF(I1173="","",B$12&amp;"-"&amp;B$13)</f>
        <v/>
      </c>
      <c r="M1173" s="52" t="str">
        <f t="shared" si="445"/>
        <v/>
      </c>
    </row>
    <row r="1174" spans="1:13" x14ac:dyDescent="0.35">
      <c r="A1174" s="48"/>
      <c r="B1174" s="48"/>
      <c r="C1174" s="49"/>
      <c r="D1174" s="50"/>
      <c r="E1174" s="51" t="str">
        <f t="shared" si="444"/>
        <v/>
      </c>
      <c r="F1174" s="71" t="str">
        <f t="shared" si="441"/>
        <v/>
      </c>
      <c r="G1174" s="69" t="str">
        <f t="shared" si="443"/>
        <v/>
      </c>
      <c r="H1174" s="70" t="str">
        <f t="shared" si="442"/>
        <v/>
      </c>
      <c r="I1174" s="27" t="str">
        <f>IF(N(J1174)=0,"",0&amp;"-"&amp;B$14)</f>
        <v/>
      </c>
      <c r="J1174" s="52" t="str">
        <f>IF(N(B$14)=0,"",IF(AND(COUNT(H1164:H1175)=2,COUNT(F1164:F1175)=2),cubic_spline(F1163:F1165,H1163:H1165,B$14),IF(AND(COUNT(H1164:H1175)=3,COUNT(F1164:F1175)=3),cubic_spline(F1163:F1166,H1163:H1166,B$14),IF(AND(COUNT(H1164:H1175)=4,COUNT(F1164:F1175)=4),cubic_spline(F1163:F1167,H1163:H1167,B$14),IF(AND(COUNT(H1164:H1175)=5,COUNT(F1164:F1175)=5),cubic_spline(F1163:F1168,H1163:H1168,B$14),IF(AND(COUNT(H1164:H1175)=6,COUNT(F1164:F1175)=6),cubic_spline(F1163:F1169,H1163:H1169,B$14),IF(AND(COUNT(H1164:H1175)=7,COUNT(F1164:F1175)=7),cubic_spline(F1163:F1170,H1163:H1170,B$14),IF(AND(COUNT(H1164:H1175)=8,COUNT(F1164:F1175)=8),cubic_spline(F1163:F1171,H1163:H1171,B$14),IF(AND(COUNT(H1164:H1175)=9,COUNT(F1164:F1175)=9),cubic_spline(F1163:F1172,H1163:H1172,B$14),IF(AND(COUNT(H1164:H1175)=10,COUNT(F1164:F1175)=10),cubic_spline(F1163:F1173,H1163:H1173,B$14),IF(AND(COUNT(H1164:H1175)=11,COUNT(F1164:F1175)=11),cubic_spline(F1163:F1174,H1163:H1174,B$14),IF(AND(COUNT(H1164:H1175)=12,COUNT(F1164:F1175)=12),cubic_spline(F1163:F1175,H1163:H1175,B$14),""))))))))))))</f>
        <v/>
      </c>
      <c r="K1174" s="52" t="str">
        <f>IF(N(B$14)=0,"",IF(AND(COUNT(A1164:A1175)=2,COUNT(F1164:F1175)=2),cubic_spline(F1163:F1165,A1163:A1165,B$14),IF(AND(COUNT(A1164:A1175)=3,COUNT(F1164:F1175)=3),cubic_spline(F1163:F1166,A1163:A1166,B$14),IF(AND(COUNT(A1164:A1175)=4,COUNT(F1164:F1175)=4),cubic_spline(F1163:F1167,A1163:A1167,B$14),IF(AND(COUNT(A1164:A1175)=5,COUNT(F1164:F1175)=5),cubic_spline(F1163:F1168,A1163:A1168,B$14),IF(AND(COUNT(A1164:A1175)=6,COUNT(F1164:F1175)=6),cubic_spline(F1163:F1169,A1163:A1169,B$14),IF(AND(COUNT(A1164:A1175)=7,COUNT(F1164:F1175)=7),cubic_spline(F1163:F1170,A1163:A1170,B$14),IF(AND(COUNT(A1164:A1175)=8,COUNT(F1164:F1175)=8),cubic_spline(F1163:F1171,A1163:A1171,B$14),IF(AND(COUNT(A1164:A1175)=9,COUNT(F1164:F1175)=9),cubic_spline(F1163:F1172,A1163:A1172,B$14),IF(AND(COUNT(A1164:A1175)=10,COUNT(F1164:F1175)=10),cubic_spline(F1163:F1173,A1163:A1173,B$14),IF(AND(COUNT(A1164:A1175)=11,COUNT(F1164:F1175)=11),cubic_spline(F1163:F1174,A1163:A1174,B$14),IF(AND(COUNT(A1164:A1175)=12,COUNT(F1164:F1175)=12),cubic_spline(F1163:F1175,A1163:A1175,B$14),""))))))))))))</f>
        <v/>
      </c>
      <c r="L1174" s="27" t="str">
        <f>IF(I1174="","",B$13&amp;"-"&amp;B$14)</f>
        <v/>
      </c>
      <c r="M1174" s="52" t="str">
        <f t="shared" si="445"/>
        <v/>
      </c>
    </row>
    <row r="1175" spans="1:13" x14ac:dyDescent="0.35">
      <c r="A1175" s="48"/>
      <c r="B1175" s="48"/>
      <c r="C1175" s="49"/>
      <c r="D1175" s="50"/>
      <c r="E1175" s="51" t="str">
        <f t="shared" si="444"/>
        <v/>
      </c>
      <c r="F1175" s="71" t="str">
        <f t="shared" si="441"/>
        <v/>
      </c>
      <c r="G1175" s="69" t="str">
        <f t="shared" si="443"/>
        <v/>
      </c>
      <c r="H1175" s="70" t="str">
        <f t="shared" si="442"/>
        <v/>
      </c>
      <c r="I1175" s="27" t="str">
        <f>IF(N(J1175)=0,"",0&amp;"-"&amp;B$15)</f>
        <v/>
      </c>
      <c r="J1175" s="52" t="str">
        <f>IF(N(B$15)=0,"",IF(AND(COUNT(H1164:H1175)=2,COUNT(F1164:F1175)=2),cubic_spline(F1163:F1165,H1163:H1165,B$15),IF(AND(COUNT(H1164:H1175)=3,COUNT(F1164:F1175)=3),cubic_spline(F1163:F1166,H1163:H1166,B$15),IF(AND(COUNT(H1164:H1175)=4,COUNT(F1164:F1175)=4),cubic_spline(F1163:F1167,H1163:H1167,B$15),IF(AND(COUNT(H1164:H1175)=5,COUNT(F1164:F1175)=5),cubic_spline(F1163:F1168,H1163:H1168,B$15),IF(AND(COUNT(H1164:H1175)=6,COUNT(F1164:F1175)=6),cubic_spline(F1163:F1169,H1163:H1169,B$15),IF(AND(COUNT(H1164:H1175)=7,COUNT(F1164:F1175)=7),cubic_spline(F1163:F1170,H1163:H1170,B$15),IF(AND(COUNT(H1164:H1175)=8,COUNT(F1164:F1175)=8),cubic_spline(F1163:F1171,H1163:H1171,B$15),IF(AND(COUNT(H1164:H1175)=9,COUNT(F1164:F1175)=9),cubic_spline(F1163:F1172,H1163:H1172,B$15),IF(AND(COUNT(H1164:H1175)=10,COUNT(F1164:F1175)=10),cubic_spline(F1163:F1173,H1163:H1173,B$15),IF(AND(COUNT(H1164:H1175)=11,COUNT(F1164:F1175)=11),cubic_spline(F1163:F1174,H1163:H1174,B$15),IF(AND(COUNT(H1164:H1175)=12,COUNT(F1164:F1175)=12),cubic_spline(F1163:F1175,H1163:H1175,B$15),""))))))))))))</f>
        <v/>
      </c>
      <c r="K1175" s="52" t="str">
        <f>IF(N(B$15)=0,"",IF(AND(COUNT(A1164:A1175)=2,COUNT(F1164:F1175)=2),cubic_spline(F1163:F1165,A1163:A1165,B$15),IF(AND(COUNT(A1164:A1175)=3,COUNT(F1164:F1175)=3),cubic_spline(F1163:F1166,A1163:A1166,B$15),IF(AND(COUNT(A1164:A1175)=4,COUNT(F1164:F1175)=4),cubic_spline(F1163:F1167,A1163:A1167,B$15),IF(AND(COUNT(A1164:A1175)=5,COUNT(F1164:F1175)=5),cubic_spline(F1163:F1168,A1163:A1168,B$15),IF(AND(COUNT(A1164:A1175)=6,COUNT(F1164:F1175)=6),cubic_spline(F1163:F1169,A1163:A1169,B$15),IF(AND(COUNT(A1164:A1175)=7,COUNT(F1164:F1175)=7),cubic_spline(F1163:F1170,A1163:A1170,B$15),IF(AND(COUNT(A1164:A1175)=8,COUNT(F1164:F1175)=8),cubic_spline(F1163:F1171,A1163:A1171,B$15),IF(AND(COUNT(A1164:A1175)=9,COUNT(F1164:F1175)=9),cubic_spline(F1163:F1172,A1163:A1172,B$15),IF(AND(COUNT(A1164:A1175)=10,COUNT(F1164:F1175)=10),cubic_spline(F1163:F1173,A1163:A1173,B$15),IF(AND(COUNT(A1164:A1175)=11,COUNT(F1164:F1175)=11),cubic_spline(F1163:F1174,A1163:A1174,B$15),IF(AND(COUNT(A1164:A1175)=12,COUNT(F1164:F1175)=12),cubic_spline(F1163:F1175,A1163:A1175,B$15),""))))))))))))</f>
        <v/>
      </c>
      <c r="L1175" s="27" t="str">
        <f>IF(I1175="","",B$14&amp;"-"&amp;B$15)</f>
        <v/>
      </c>
      <c r="M1175" s="52" t="str">
        <f t="shared" si="445"/>
        <v/>
      </c>
    </row>
    <row r="1176" spans="1:13" ht="5.15" customHeight="1" x14ac:dyDescent="0.35">
      <c r="A1176" s="47"/>
      <c r="B1176" s="47"/>
      <c r="C1176" s="47"/>
      <c r="D1176" s="53"/>
      <c r="E1176" s="54"/>
      <c r="F1176" s="55"/>
      <c r="G1176" s="72"/>
      <c r="H1176" s="73"/>
      <c r="I1176" s="47"/>
      <c r="J1176" s="57"/>
      <c r="K1176" s="57"/>
      <c r="L1176" s="55"/>
      <c r="M1176" s="57"/>
    </row>
    <row r="1177" spans="1:13" x14ac:dyDescent="0.35">
      <c r="A1177" s="48"/>
      <c r="B1177" s="48"/>
      <c r="C1177" s="49"/>
      <c r="D1177" s="50"/>
      <c r="E1177" s="51" t="str">
        <f>IF(N(C1177)=0,"",C1177/PI()/($D$1/2)^2/$D$2*10000)</f>
        <v/>
      </c>
      <c r="F1177" s="68" t="str">
        <f t="shared" ref="F1177:F1188" si="446">IF(N(E1177)=0,"",(N(E1177)+N(F1176)))</f>
        <v/>
      </c>
      <c r="G1177" s="69" t="str">
        <f>IF(OR(N(D1177)=0,N(E1177)=0),"",(E1177*D1177)/1000)</f>
        <v/>
      </c>
      <c r="H1177" s="70" t="str">
        <f t="shared" ref="H1177:H1188" si="447">IF(N(G1177)=0,"",(N(G1177)+N(H1176)))</f>
        <v/>
      </c>
      <c r="I1177" s="27" t="str">
        <f>IF(N(J1177)=0,"",0&amp;"-"&amp;B$4)</f>
        <v/>
      </c>
      <c r="J1177" s="52" t="str">
        <f>IF(N(B$4)=0,"",IF(AND(COUNT(H1177:H1188)=2,COUNT(F1177:F1188)=2),cubic_spline(F1176:F1178,H1176:H1178,B$4),IF(AND(COUNT(H1177:H1188)=3,COUNT(F1177:F1188)=3),cubic_spline(F1176:F1179,H1176:H1179,B$4),IF(AND(COUNT(H1177:H1188)=4,COUNT(F1177:F1188)=4),cubic_spline(F1176:F1180,H1176:H1180,B$4),IF(AND(COUNT(H1177:H1188)=5,COUNT(F1177:F1188)=5),cubic_spline(F1176:F1181,H1176:H1181,B$4),IF(AND(COUNT(H1177:H1188)=6,COUNT(F1177:F1188)=6),cubic_spline(F1176:F1182,H1176:H1182,B$4),IF(AND(COUNT(H1177:H1188)=7,COUNT(F1177:F1188)=7),cubic_spline(F1176:F1183,H1176:H1183,B$4),IF(AND(COUNT(H1177:H1188)=8,COUNT(F1177:F1188)=8),cubic_spline(F1176:F1184,H1176:H1184,B$4),IF(AND(COUNT(H1177:H1188)=9,COUNT(F1177:F1188)=9),cubic_spline(F1176:F1185,H1176:H1185,B$4),IF(AND(COUNT(H1177:H1188)=10,COUNT(F1177:F1188)=10),cubic_spline(F1176:F1186,H1176:H1186,B$4),IF(AND(COUNT(H1177:H1188)=11,COUNT(F1177:F1188)=11),cubic_spline(F1176:F1187,H1176:H1187,B$4),IF(AND(COUNT(H1177:H1188)=12,COUNT(F1177:F1188)=12),cubic_spline(F1176:F1188,H1176:H1188,B$4),""))))))))))))</f>
        <v/>
      </c>
      <c r="K1177" s="52" t="str">
        <f>IF(N(B$4)=0,"",IF(AND(COUNT(A1177:A1188)=2,COUNT(F1177:F1188)=2),cubic_spline(F1176:F1178,A1176:A1178,B$4),IF(AND(COUNT(A1177:A1188)=3,COUNT(F1177:F1188)=3),cubic_spline(F1176:F1179,A1176:A1179,B$4),IF(AND(COUNT(A1177:A1188)=4,COUNT(F1177:F1188)=4),cubic_spline(F1176:F1180,A1176:A1180,B$4),IF(AND(COUNT(A1177:A1188)=5,COUNT(F1177:F1188)=5),cubic_spline(F1176:F1181,A1176:A1181,B$4),IF(AND(COUNT(A1177:A1188)=6,COUNT(F1177:F1188)=6),cubic_spline(F1176:F1182,A1176:A1182,B$4),IF(AND(COUNT(A1177:A1188)=7,COUNT(F1177:F1188)=7),cubic_spline(F1176:F1183,A1176:A1183,B$4),IF(AND(COUNT(A1177:A1188)=8,COUNT(F1177:F1188)=8),cubic_spline(F1176:F1184,A1176:A1184,B$4),IF(AND(COUNT(A1177:A1188)=9,COUNT(F1177:F1188)=9),cubic_spline(F1176:F1185,A1176:A1185,B$4),IF(AND(COUNT(A1177:A1188)=10,COUNT(F1177:F1188)=10),cubic_spline(F1176:F1186,A1176:A1186,B$4),IF(AND(COUNT(A1177:A1188)=11,COUNT(F1177:F1188)=11),cubic_spline(F1176:F1187,A1176:A1187,B$4),IF(AND(COUNT(A1177:A1188)=12,COUNT(F1177:F1188)=12),cubic_spline(F1176:F1188,A1176:A1188,B$4),""))))))))))))</f>
        <v/>
      </c>
      <c r="L1177" s="27" t="str">
        <f>IF(I1177="","",0&amp;"-"&amp;B$4)</f>
        <v/>
      </c>
      <c r="M1177" s="52" t="str">
        <f>IF(N(J1177)=0,"",J1177-J1176)</f>
        <v/>
      </c>
    </row>
    <row r="1178" spans="1:13" x14ac:dyDescent="0.35">
      <c r="A1178" s="48"/>
      <c r="B1178" s="48"/>
      <c r="C1178" s="49"/>
      <c r="D1178" s="50"/>
      <c r="E1178" s="51" t="str">
        <f>IF(N(C1178)=0,"",C1178/PI()/($D$1/2)^2/$D$2*10000)</f>
        <v/>
      </c>
      <c r="F1178" s="68" t="str">
        <f t="shared" si="446"/>
        <v/>
      </c>
      <c r="G1178" s="69" t="str">
        <f t="shared" ref="G1178:G1188" si="448">IF(OR(N(D1178)=0,N(E1178)=0),"",(E1178*D1178)/1000)</f>
        <v/>
      </c>
      <c r="H1178" s="70" t="str">
        <f t="shared" si="447"/>
        <v/>
      </c>
      <c r="I1178" s="27" t="str">
        <f>IF(N(J1178)=0,"",0&amp;"-"&amp;B$5)</f>
        <v/>
      </c>
      <c r="J1178" s="52" t="str">
        <f>IF(N(B$5)=0,"",IF(AND(COUNT(H1177:H1188)=2,COUNT(F1177:F1188)=2),cubic_spline(F1176:F1178,H1176:H1178,B$5),IF(AND(COUNT(H1177:H1188)=3,COUNT(F1177:F1188)=3),cubic_spline(F1176:F1179,H1176:H1179,B$5),IF(AND(COUNT(H1177:H1188)=4,COUNT(F1177:F1188)=4),cubic_spline(F1176:F1180,H1176:H1180,B$5),IF(AND(COUNT(H1177:H1188)=5,COUNT(F1177:F1188)=5),cubic_spline(F1176:F1181,H1176:H1181,B$5),IF(AND(COUNT(H1177:H1188)=6,COUNT(F1177:F1188)=6),cubic_spline(F1176:F1182,H1176:H1182,B$5),IF(AND(COUNT(H1177:H1188)=7,COUNT(F1177:F1188)=7),cubic_spline(F1176:F1183,H1176:H1183,B$5),IF(AND(COUNT(H1177:H1188)=8,COUNT(F1177:F1188)=8),cubic_spline(F1176:F1184,H1176:H1184,B$5),IF(AND(COUNT(H1177:H1188)=9,COUNT(F1177:F1188)=9),cubic_spline(F1176:F1185,H1176:H1185,B$5),IF(AND(COUNT(H1177:H1188)=10,COUNT(F1177:F1188)=10),cubic_spline(F1176:F1186,H1176:H1186,B$5),IF(AND(COUNT(H1177:H1188)=11,COUNT(F1177:F1188)=11),cubic_spline(F1176:F1187,H1176:H1187,B$5),IF(AND(COUNT(H1177:H1188)=12,COUNT(F1177:F1188)=12),cubic_spline(F1176:F1188,H1176:H1188,B$5),""))))))))))))</f>
        <v/>
      </c>
      <c r="K1178" s="52" t="str">
        <f>IF(N(B$5)=0,"",IF(AND(COUNT(A1177:A1188)=2,COUNT(F1177:F1188)=2),cubic_spline(F1176:F1178,A1176:A1178,B$5),IF(AND(COUNT(A1177:A1188)=3,COUNT(F1177:F1188)=3),cubic_spline(F1176:F1179,A1176:A1179,B$5),IF(AND(COUNT(A1177:A1188)=4,COUNT(F1177:F1188)=4),cubic_spline(F1176:F1180,A1176:A1180,B$5),IF(AND(COUNT(A1177:A1188)=5,COUNT(F1177:F1188)=5),cubic_spline(F1176:F1181,A1176:A1181,B$5),IF(AND(COUNT(A1177:A1188)=6,COUNT(F1177:F1188)=6),cubic_spline(F1176:F1182,A1176:A1182,B$5),IF(AND(COUNT(A1177:A1188)=7,COUNT(F1177:F1188)=7),cubic_spline(F1176:F1183,A1176:A1183,B$5),IF(AND(COUNT(A1177:A1188)=8,COUNT(F1177:F1188)=8),cubic_spline(F1176:F1184,A1176:A1184,B$5),IF(AND(COUNT(A1177:A1188)=9,COUNT(F1177:F1188)=9),cubic_spline(F1176:F1185,A1176:A1185,B$5),IF(AND(COUNT(A1177:A1188)=10,COUNT(F1177:F1188)=10),cubic_spline(F1176:F1186,A1176:A1186,B$5),IF(AND(COUNT(A1177:A1188)=11,COUNT(F1177:F1188)=11),cubic_spline(F1176:F1187,A1176:A1187,B$5),IF(AND(COUNT(A1177:A1188)=12,COUNT(F1177:F1188)=12),cubic_spline(F1176:F1188,A1176:A1188,B$5),""))))))))))))</f>
        <v/>
      </c>
      <c r="L1178" s="27" t="str">
        <f>IF(I1178="","",B$4&amp;"-"&amp;B$5)</f>
        <v/>
      </c>
      <c r="M1178" s="52" t="str">
        <f>IF(N(J1178)=0,"",J1178-J1177)</f>
        <v/>
      </c>
    </row>
    <row r="1179" spans="1:13" x14ac:dyDescent="0.35">
      <c r="A1179" s="48"/>
      <c r="B1179" s="48"/>
      <c r="C1179" s="49"/>
      <c r="D1179" s="50"/>
      <c r="E1179" s="51" t="str">
        <f>IF(N(C1179)=0,"",C1179/PI()/($D$1/2)^2/$D$2*10000)</f>
        <v/>
      </c>
      <c r="F1179" s="68" t="str">
        <f t="shared" si="446"/>
        <v/>
      </c>
      <c r="G1179" s="69" t="str">
        <f t="shared" si="448"/>
        <v/>
      </c>
      <c r="H1179" s="70" t="str">
        <f t="shared" si="447"/>
        <v/>
      </c>
      <c r="I1179" s="27" t="str">
        <f>IF(N(J1179)=0,"",0&amp;"-"&amp;B$6)</f>
        <v/>
      </c>
      <c r="J1179" s="52" t="str">
        <f>IF(N(B$6)=0,"",IF(AND(COUNT(H1177:H1188)=2,COUNT(F1177:F1188)=2),cubic_spline(F1176:F1178,H1176:H1178,B$6),IF(AND(COUNT(H1177:H1188)=3,COUNT(F1177:F1188)=3),cubic_spline(F1176:F1179,H1176:H1179,B$6),IF(AND(COUNT(H1177:H1188)=4,COUNT(F1177:F1188)=4),cubic_spline(F1176:F1180,H1176:H1180,B$6),IF(AND(COUNT(H1177:H1188)=5,COUNT(F1177:F1188)=5),cubic_spline(F1176:F1181,H1176:H1181,B$6),IF(AND(COUNT(H1177:H1188)=6,COUNT(F1177:F1188)=6),cubic_spline(F1176:F1182,H1176:H1182,B$6),IF(AND(COUNT(H1177:H1188)=7,COUNT(F1177:F1188)=7),cubic_spline(F1176:F1183,H1176:H1183,B$6),IF(AND(COUNT(H1177:H1188)=8,COUNT(F1177:F1188)=8),cubic_spline(F1176:F1184,H1176:H1184,B$6),IF(AND(COUNT(H1177:H1188)=9,COUNT(F1177:F1188)=9),cubic_spline(F1176:F1185,H1176:H1185,B$6),IF(AND(COUNT(H1177:H1188)=10,COUNT(F1177:F1188)=10),cubic_spline(F1176:F1186,H1176:H1186,B$6),IF(AND(COUNT(H1177:H1188)=11,COUNT(F1177:F1188)=11),cubic_spline(F1176:F1187,H1176:H1187,B$6),IF(AND(COUNT(H1177:H1188)=12,COUNT(F1177:F1188)=12),cubic_spline(F1176:F1188,H1176:H1188,B$6),""))))))))))))</f>
        <v/>
      </c>
      <c r="K1179" s="52" t="str">
        <f>IF(N(B$6)=0,"",IF(AND(COUNT(A1177:A1188)=2,COUNT(F1177:F1188)=2),cubic_spline(F1176:F1178,A1176:A1178,B$6),IF(AND(COUNT(A1177:A1188)=3,COUNT(F1177:F1188)=3),cubic_spline(F1176:F1179,A1176:A1179,B$6),IF(AND(COUNT(A1177:A1188)=4,COUNT(F1177:F1188)=4),cubic_spline(F1176:F1180,A1176:A1180,B$6),IF(AND(COUNT(A1177:A1188)=5,COUNT(F1177:F1188)=5),cubic_spline(F1176:F1181,A1176:A1181,B$6),IF(AND(COUNT(A1177:A1188)=6,COUNT(F1177:F1188)=6),cubic_spline(F1176:F1182,A1176:A1182,B$6),IF(AND(COUNT(A1177:A1188)=7,COUNT(F1177:F1188)=7),cubic_spline(F1176:F1183,A1176:A1183,B$6),IF(AND(COUNT(A1177:A1188)=8,COUNT(F1177:F1188)=8),cubic_spline(F1176:F1184,A1176:A1184,B$6),IF(AND(COUNT(A1177:A1188)=9,COUNT(F1177:F1188)=9),cubic_spline(F1176:F1185,A1176:A1185,B$6),IF(AND(COUNT(A1177:A1188)=10,COUNT(F1177:F1188)=10),cubic_spline(F1176:F1186,A1176:A1186,B$6),IF(AND(COUNT(A1177:A1188)=11,COUNT(F1177:F1188)=11),cubic_spline(F1176:F1187,A1176:A1187,B$6),IF(AND(COUNT(A1177:A1188)=12,COUNT(F1177:F1188)=12),cubic_spline(F1176:F1188,A1176:A1188,B$6),""))))))))))))</f>
        <v/>
      </c>
      <c r="L1179" s="27" t="str">
        <f>IF(I1179="","",B$5&amp;"-"&amp;B$6)</f>
        <v/>
      </c>
      <c r="M1179" s="52" t="str">
        <f>IF(N(J1179)=0,"",J1179-J1178)</f>
        <v/>
      </c>
    </row>
    <row r="1180" spans="1:13" x14ac:dyDescent="0.35">
      <c r="A1180" s="48"/>
      <c r="B1180" s="48"/>
      <c r="C1180" s="49"/>
      <c r="D1180" s="50"/>
      <c r="E1180" s="51" t="str">
        <f>IF(N(C1180)=0,"",C1180/PI()/($D$1/2)^2/$D$2*10000)</f>
        <v/>
      </c>
      <c r="F1180" s="68" t="str">
        <f t="shared" si="446"/>
        <v/>
      </c>
      <c r="G1180" s="69" t="str">
        <f t="shared" si="448"/>
        <v/>
      </c>
      <c r="H1180" s="70" t="str">
        <f t="shared" si="447"/>
        <v/>
      </c>
      <c r="I1180" s="27" t="str">
        <f>IF(N(J1180)=0,"",0&amp;"-"&amp;B$7)</f>
        <v/>
      </c>
      <c r="J1180" s="52" t="str">
        <f>IF(N(B$7)=0,"",IF(AND(COUNT(H1177:H1188)=2,COUNT(F1177:F1188)=2),cubic_spline(F1176:F1178,H1176:H1178,B$7),IF(AND(COUNT(H1177:H1188)=3,COUNT(F1177:F1188)=3),cubic_spline(F1176:F1179,H1176:H1179,B$7),IF(AND(COUNT(H1177:H1188)=4,COUNT(F1177:F1188)=4),cubic_spline(F1176:F1180,H1176:H1180,B$7),IF(AND(COUNT(H1177:H1188)=5,COUNT(F1177:F1188)=5),cubic_spline(F1176:F1181,H1176:H1181,B$7),IF(AND(COUNT(H1177:H1188)=6,COUNT(F1177:F1188)=6),cubic_spline(F1176:F1182,H1176:H1182,B$7),IF(AND(COUNT(H1177:H1188)=7,COUNT(F1177:F1188)=7),cubic_spline(F1176:F1183,H1176:H1183,B$7),IF(AND(COUNT(H1177:H1188)=8,COUNT(F1177:F1188)=8),cubic_spline(F1176:F1184,H1176:H1184,B$7),IF(AND(COUNT(H1177:H1188)=9,COUNT(F1177:F1188)=9),cubic_spline(F1176:F1185,H1176:H1185,B$7),IF(AND(COUNT(H1177:H1188)=10,COUNT(F1177:F1188)=10),cubic_spline(F1176:F1186,H1176:H1186,B$7),IF(AND(COUNT(H1177:H1188)=11,COUNT(F1177:F1188)=11),cubic_spline(F1176:F1187,H1176:H1187,B$7),IF(AND(COUNT(H1177:H1188)=12,COUNT(F1177:F1188)=12),cubic_spline(F1176:F1188,H1176:H1188,B$7),""))))))))))))</f>
        <v/>
      </c>
      <c r="K1180" s="52" t="str">
        <f>IF(N(B$7)=0,"",IF(AND(COUNT(A1177:A1188)=2,COUNT(F1177:F1188)=2),cubic_spline(F1176:F1178,A1176:A1178,B$7),IF(AND(COUNT(A1177:A1188)=3,COUNT(F1177:F1188)=3),cubic_spline(F1176:F1179,A1176:A1179,B$7),IF(AND(COUNT(A1177:A1188)=4,COUNT(F1177:F1188)=4),cubic_spline(F1176:F1180,A1176:A1180,B$7),IF(AND(COUNT(A1177:A1188)=5,COUNT(F1177:F1188)=5),cubic_spline(F1176:F1181,A1176:A1181,B$7),IF(AND(COUNT(A1177:A1188)=6,COUNT(F1177:F1188)=6),cubic_spline(F1176:F1182,A1176:A1182,B$7),IF(AND(COUNT(A1177:A1188)=7,COUNT(F1177:F1188)=7),cubic_spline(F1176:F1183,A1176:A1183,B$7),IF(AND(COUNT(A1177:A1188)=8,COUNT(F1177:F1188)=8),cubic_spline(F1176:F1184,A1176:A1184,B$7),IF(AND(COUNT(A1177:A1188)=9,COUNT(F1177:F1188)=9),cubic_spline(F1176:F1185,A1176:A1185,B$7),IF(AND(COUNT(A1177:A1188)=10,COUNT(F1177:F1188)=10),cubic_spline(F1176:F1186,A1176:A1186,B$7),IF(AND(COUNT(A1177:A1188)=11,COUNT(F1177:F1188)=11),cubic_spline(F1176:F1187,A1176:A1187,B$7),IF(AND(COUNT(A1177:A1188)=12,COUNT(F1177:F1188)=12),cubic_spline(F1176:F1188,A1176:A1188,B$7),""))))))))))))</f>
        <v/>
      </c>
      <c r="L1180" s="27" t="str">
        <f>IF(I1180="","",B$6&amp;"-"&amp;B$7)</f>
        <v/>
      </c>
      <c r="M1180" s="52" t="str">
        <f>IF(N(J1180)=0,"",J1180-J1179)</f>
        <v/>
      </c>
    </row>
    <row r="1181" spans="1:13" x14ac:dyDescent="0.35">
      <c r="A1181" s="48"/>
      <c r="B1181" s="48"/>
      <c r="C1181" s="49"/>
      <c r="D1181" s="50"/>
      <c r="E1181" s="51" t="str">
        <f t="shared" ref="E1181:E1188" si="449">IF(N(C1181)=0,"",C1181/PI()/($D$1/2)^2/$D$2*10000)</f>
        <v/>
      </c>
      <c r="F1181" s="71" t="str">
        <f t="shared" si="446"/>
        <v/>
      </c>
      <c r="G1181" s="69" t="str">
        <f t="shared" si="448"/>
        <v/>
      </c>
      <c r="H1181" s="70" t="str">
        <f t="shared" si="447"/>
        <v/>
      </c>
      <c r="I1181" s="27" t="str">
        <f>IF(N(J1181)=0,"",0&amp;"-"&amp;B$8)</f>
        <v/>
      </c>
      <c r="J1181" s="52" t="str">
        <f>IF(N(B$8)=0,"",IF(AND(COUNT(H1177:H1188)=2,COUNT(F1177:F1188)=2),cubic_spline(F1176:F1178,H1176:H1178,B$8),IF(AND(COUNT(H1177:H1188)=3,COUNT(F1177:F1188)=3),cubic_spline(F1176:F1179,H1176:H1179,B$8),IF(AND(COUNT(H1177:H1188)=4,COUNT(F1177:F1188)=4),cubic_spline(F1176:F1180,H1176:H1180,B$8),IF(AND(COUNT(H1177:H1188)=5,COUNT(F1177:F1188)=5),cubic_spline(F1176:F1181,H1176:H1181,B$8),IF(AND(COUNT(H1177:H1188)=6,COUNT(F1177:F1188)=6),cubic_spline(F1176:F1182,H1176:H1182,B$8),IF(AND(COUNT(H1177:H1188)=7,COUNT(F1177:F1188)=7),cubic_spline(F1176:F1183,H1176:H1183,B$8),IF(AND(COUNT(H1177:H1188)=8,COUNT(F1177:F1188)=8),cubic_spline(F1176:F1184,H1176:H1184,B$8),IF(AND(COUNT(H1177:H1188)=9,COUNT(F1177:F1188)=9),cubic_spline(F1176:F1185,H1176:H1185,B$8),IF(AND(COUNT(H1177:H1188)=10,COUNT(F1177:F1188)=10),cubic_spline(F1176:F1186,H1176:H1186,B$8),IF(AND(COUNT(H1177:H1188)=11,COUNT(F1177:F1188)=11),cubic_spline(F1176:F1187,H1176:H1187,B$8),IF(AND(COUNT(H1177:H1188)=12,COUNT(F1177:F1188)=12),cubic_spline(F1176:F1188,H1176:H1188,B$8),""))))))))))))</f>
        <v/>
      </c>
      <c r="K1181" s="52" t="str">
        <f>IF(N(B$8)=0,"",IF(AND(COUNT(A1177:A1188)=2,COUNT(F1177:F1188)=2),cubic_spline(F1176:F1178,A1176:A1178,B$8),IF(AND(COUNT(A1177:A1188)=3,COUNT(F1177:F1188)=3),cubic_spline(F1176:F1179,A1176:A1179,B$8),IF(AND(COUNT(A1177:A1188)=4,COUNT(F1177:F1188)=4),cubic_spline(F1176:F1180,A1176:A1180,B$8),IF(AND(COUNT(A1177:A1188)=5,COUNT(F1177:F1188)=5),cubic_spline(F1176:F1181,A1176:A1181,B$8),IF(AND(COUNT(A1177:A1188)=6,COUNT(F1177:F1188)=6),cubic_spline(F1176:F1182,A1176:A1182,B$8),IF(AND(COUNT(A1177:A1188)=7,COUNT(F1177:F1188)=7),cubic_spline(F1176:F1183,A1176:A1183,B$8),IF(AND(COUNT(A1177:A1188)=8,COUNT(F1177:F1188)=8),cubic_spline(F1176:F1184,A1176:A1184,B$8),IF(AND(COUNT(A1177:A1188)=9,COUNT(F1177:F1188)=9),cubic_spline(F1176:F1185,A1176:A1185,B$8),IF(AND(COUNT(A1177:A1188)=10,COUNT(F1177:F1188)=10),cubic_spline(F1176:F1186,A1176:A1186,B$8),IF(AND(COUNT(A1177:A1188)=11,COUNT(F1177:F1188)=11),cubic_spline(F1176:F1187,A1176:A1187,B$8),IF(AND(COUNT(A1177:A1188)=12,COUNT(F1177:F1188)=12),cubic_spline(F1176:F1188,A1176:A1188,B$8),""))))))))))))</f>
        <v/>
      </c>
      <c r="L1181" s="27" t="str">
        <f>IF(I1181="","",B$7&amp;"-"&amp;B$8)</f>
        <v/>
      </c>
      <c r="M1181" s="52" t="str">
        <f>IF(N(J1181)=0,"",J1181-J1180)</f>
        <v/>
      </c>
    </row>
    <row r="1182" spans="1:13" x14ac:dyDescent="0.35">
      <c r="A1182" s="48"/>
      <c r="B1182" s="48"/>
      <c r="C1182" s="49"/>
      <c r="D1182" s="50"/>
      <c r="E1182" s="51" t="str">
        <f t="shared" si="449"/>
        <v/>
      </c>
      <c r="F1182" s="71" t="str">
        <f t="shared" si="446"/>
        <v/>
      </c>
      <c r="G1182" s="69" t="str">
        <f t="shared" si="448"/>
        <v/>
      </c>
      <c r="H1182" s="70" t="str">
        <f t="shared" si="447"/>
        <v/>
      </c>
      <c r="I1182" s="27" t="str">
        <f>IF(N(J1182)=0,"",0&amp;"-"&amp;B$9)</f>
        <v/>
      </c>
      <c r="J1182" s="52" t="str">
        <f>IF(N(B$9)=0,"",IF(AND(COUNT(H1177:H1188)=2,COUNT(F1177:F1188)=2),cubic_spline(F1176:F1178,H1176:H1178,B$9),IF(AND(COUNT(H1177:H1188)=3,COUNT(F1177:F1188)=3),cubic_spline(F1176:F1179,H1176:H1179,B$9),IF(AND(COUNT(H1177:H1188)=4,COUNT(F1177:F1188)=4),cubic_spline(F1176:F1180,H1176:H1180,B$9),IF(AND(COUNT(H1177:H1188)=5,COUNT(F1177:F1188)=5),cubic_spline(F1176:F1181,H1176:H1181,B$9),IF(AND(COUNT(H1177:H1188)=6,COUNT(F1177:F1188)=6),cubic_spline(F1176:F1182,H1176:H1182,B$9),IF(AND(COUNT(H1177:H1188)=7,COUNT(F1177:F1188)=7),cubic_spline(F1176:F1183,H1176:H1183,B$9),IF(AND(COUNT(H1177:H1188)=8,COUNT(F1177:F1188)=8),cubic_spline(F1176:F1184,H1176:H1184,B$9),IF(AND(COUNT(H1177:H1188)=9,COUNT(F1177:F1188)=9),cubic_spline(F1176:F1185,H1176:H1185,B$9),IF(AND(COUNT(H1177:H1188)=10,COUNT(F1177:F1188)=10),cubic_spline(F1176:F1186,H1176:H1186,B$9),IF(AND(COUNT(H1177:H1188)=11,COUNT(F1177:F1188)=11),cubic_spline(F1176:F1187,H1176:H1187,B$9),IF(AND(COUNT(H1177:H1188)=12,COUNT(F1177:F1188)=12),cubic_spline(F1176:F1188,H1176:H1188,B$9),""))))))))))))</f>
        <v/>
      </c>
      <c r="K1182" s="52" t="str">
        <f>IF(N(B$9)=0,"",IF(AND(COUNT(A1177:A1188)=2,COUNT(F1177:F1188)=2),cubic_spline(F1176:F1178,A1176:A1178,B$9),IF(AND(COUNT(A1177:A1188)=3,COUNT(F1177:F1188)=3),cubic_spline(F1176:F1179,A1176:A1179,B$9),IF(AND(COUNT(A1177:A1188)=4,COUNT(F1177:F1188)=4),cubic_spline(F1176:F1180,A1176:A1180,B$9),IF(AND(COUNT(A1177:A1188)=5,COUNT(F1177:F1188)=5),cubic_spline(F1176:F1181,A1176:A1181,B$9),IF(AND(COUNT(A1177:A1188)=6,COUNT(F1177:F1188)=6),cubic_spline(F1176:F1182,A1176:A1182,B$9),IF(AND(COUNT(A1177:A1188)=7,COUNT(F1177:F1188)=7),cubic_spline(F1176:F1183,A1176:A1183,B$9),IF(AND(COUNT(A1177:A1188)=8,COUNT(F1177:F1188)=8),cubic_spline(F1176:F1184,A1176:A1184,B$9),IF(AND(COUNT(A1177:A1188)=9,COUNT(F1177:F1188)=9),cubic_spline(F1176:F1185,A1176:A1185,B$9),IF(AND(COUNT(A1177:A1188)=10,COUNT(F1177:F1188)=10),cubic_spline(F1176:F1186,A1176:A1186,B$9),IF(AND(COUNT(A1177:A1188)=11,COUNT(F1177:F1188)=11),cubic_spline(F1176:F1187,A1176:A1187,B$9),IF(AND(COUNT(A1177:A1188)=12,COUNT(F1177:F1188)=12),cubic_spline(F1176:F1188,A1176:A1188,B$9),""))))))))))))</f>
        <v/>
      </c>
      <c r="L1182" s="27" t="str">
        <f>IF(I1182="","",B$8&amp;"-"&amp;B$9)</f>
        <v/>
      </c>
      <c r="M1182" s="52" t="str">
        <f t="shared" ref="M1182:M1188" si="450">IF(N(J1182)=0,"",J1182-J1181)</f>
        <v/>
      </c>
    </row>
    <row r="1183" spans="1:13" x14ac:dyDescent="0.35">
      <c r="A1183" s="48"/>
      <c r="B1183" s="48"/>
      <c r="C1183" s="49"/>
      <c r="D1183" s="50"/>
      <c r="E1183" s="51" t="str">
        <f t="shared" si="449"/>
        <v/>
      </c>
      <c r="F1183" s="71" t="str">
        <f t="shared" si="446"/>
        <v/>
      </c>
      <c r="G1183" s="69" t="str">
        <f t="shared" si="448"/>
        <v/>
      </c>
      <c r="H1183" s="70" t="str">
        <f t="shared" si="447"/>
        <v/>
      </c>
      <c r="I1183" s="27" t="str">
        <f>IF(N(J1183)=0,"",0&amp;"-"&amp;B$10)</f>
        <v/>
      </c>
      <c r="J1183" s="52" t="str">
        <f>IF(N(B$10)=0,"",IF(AND(COUNT(H1177:H1188)=2,COUNT(F1177:F1188)=2),cubic_spline(F1176:F1178,H1176:H1178,B$10),IF(AND(COUNT(H1177:H1188)=3,COUNT(F1177:F1188)=3),cubic_spline(F1176:F1179,H1176:H1179,B$10),IF(AND(COUNT(H1177:H1188)=4,COUNT(F1177:F1188)=4),cubic_spline(F1176:F1180,H1176:H1180,B$10),IF(AND(COUNT(H1177:H1188)=5,COUNT(F1177:F1188)=5),cubic_spline(F1176:F1181,H1176:H1181,B$10),IF(AND(COUNT(H1177:H1188)=6,COUNT(F1177:F1188)=6),cubic_spline(F1176:F1182,H1176:H1182,B$10),IF(AND(COUNT(H1177:H1188)=7,COUNT(F1177:F1188)=7),cubic_spline(F1176:F1183,H1176:H1183,B$10),IF(AND(COUNT(H1177:H1188)=8,COUNT(F1177:F1188)=8),cubic_spline(F1176:F1184,H1176:H1184,B$10),IF(AND(COUNT(H1177:H1188)=9,COUNT(F1177:F1188)=9),cubic_spline(F1176:F1185,H1176:H1185,B$10),IF(AND(COUNT(H1177:H1188)=10,COUNT(F1177:F1188)=10),cubic_spline(F1176:F1186,H1176:H1186,B$10),IF(AND(COUNT(H1177:H1188)=11,COUNT(F1177:F1188)=11),cubic_spline(F1176:F1187,H1176:H1187,B$10),IF(AND(COUNT(H1177:H1188)=12,COUNT(F1177:F1188)=12),cubic_spline(F1176:F1188,H1176:H1188,B$10),""))))))))))))</f>
        <v/>
      </c>
      <c r="K1183" s="52" t="str">
        <f>IF(N(B$10)=0,"",IF(AND(COUNT(A1177:A1188)=2,COUNT(F1177:F1188)=2),cubic_spline(F1176:F1178,A1176:A1178,B$10),IF(AND(COUNT(A1177:A1188)=3,COUNT(F1177:F1188)=3),cubic_spline(F1176:F1179,A1176:A1179,B$10),IF(AND(COUNT(A1177:A1188)=4,COUNT(F1177:F1188)=4),cubic_spline(F1176:F1180,A1176:A1180,B$10),IF(AND(COUNT(A1177:A1188)=5,COUNT(F1177:F1188)=5),cubic_spline(F1176:F1181,A1176:A1181,B$10),IF(AND(COUNT(A1177:A1188)=6,COUNT(F1177:F1188)=6),cubic_spline(F1176:F1182,A1176:A1182,B$10),IF(AND(COUNT(A1177:A1188)=7,COUNT(F1177:F1188)=7),cubic_spline(F1176:F1183,A1176:A1183,B$10),IF(AND(COUNT(A1177:A1188)=8,COUNT(F1177:F1188)=8),cubic_spline(F1176:F1184,A1176:A1184,B$10),IF(AND(COUNT(A1177:A1188)=9,COUNT(F1177:F1188)=9),cubic_spline(F1176:F1185,A1176:A1185,B$10),IF(AND(COUNT(A1177:A1188)=10,COUNT(F1177:F1188)=10),cubic_spline(F1176:F1186,A1176:A1186,B$10),IF(AND(COUNT(A1177:A1188)=11,COUNT(F1177:F1188)=11),cubic_spline(F1176:F1187,A1176:A1187,B$10),IF(AND(COUNT(A1177:A1188)=12,COUNT(F1177:F1188)=12),cubic_spline(F1176:F1188,A1176:A1188,B$10),""))))))))))))</f>
        <v/>
      </c>
      <c r="L1183" s="27" t="str">
        <f>IF(I1183="","",B$9&amp;"-"&amp;B$10)</f>
        <v/>
      </c>
      <c r="M1183" s="52" t="str">
        <f t="shared" si="450"/>
        <v/>
      </c>
    </row>
    <row r="1184" spans="1:13" x14ac:dyDescent="0.35">
      <c r="A1184" s="48"/>
      <c r="B1184" s="48"/>
      <c r="C1184" s="49"/>
      <c r="D1184" s="50"/>
      <c r="E1184" s="51" t="str">
        <f t="shared" si="449"/>
        <v/>
      </c>
      <c r="F1184" s="71" t="str">
        <f t="shared" si="446"/>
        <v/>
      </c>
      <c r="G1184" s="69" t="str">
        <f t="shared" si="448"/>
        <v/>
      </c>
      <c r="H1184" s="70" t="str">
        <f t="shared" si="447"/>
        <v/>
      </c>
      <c r="I1184" s="27" t="str">
        <f>IF(N(J1184)=0,"",0&amp;"-"&amp;B$11)</f>
        <v/>
      </c>
      <c r="J1184" s="52" t="str">
        <f>IF(N(B$11)=0,"",IF(AND(COUNT(H1177:H1188)=2,COUNT(F1177:F1188)=2),cubic_spline(F1176:F1178,H1176:H1178,B$11),IF(AND(COUNT(H1177:H1188)=3,COUNT(F1177:F1188)=3),cubic_spline(F1176:F1179,H1176:H1179,B$11),IF(AND(COUNT(H1177:H1188)=4,COUNT(F1177:F1188)=4),cubic_spline(F1176:F1180,H1176:H1180,B$11),IF(AND(COUNT(H1177:H1188)=5,COUNT(F1177:F1188)=5),cubic_spline(F1176:F1181,H1176:H1181,B$11),IF(AND(COUNT(H1177:H1188)=6,COUNT(F1177:F1188)=6),cubic_spline(F1176:F1182,H1176:H1182,B$11),IF(AND(COUNT(H1177:H1188)=7,COUNT(F1177:F1188)=7),cubic_spline(F1176:F1183,H1176:H1183,B$11),IF(AND(COUNT(H1177:H1188)=8,COUNT(F1177:F1188)=8),cubic_spline(F1176:F1184,H1176:H1184,B$11),IF(AND(COUNT(H1177:H1188)=9,COUNT(F1177:F1188)=9),cubic_spline(F1176:F1185,H1176:H1185,B$11),IF(AND(COUNT(H1177:H1188)=10,COUNT(F1177:F1188)=10),cubic_spline(F1176:F1186,H1176:H1186,B$11),IF(AND(COUNT(H1177:H1188)=11,COUNT(F1177:F1188)=11),cubic_spline(F1176:F1187,H1176:H1187,B$11),IF(AND(COUNT(H1177:H1188)=12,COUNT(F1177:F1188)=12),cubic_spline(F1176:F1188,H1176:H1188,B$11),""))))))))))))</f>
        <v/>
      </c>
      <c r="K1184" s="52" t="str">
        <f>IF(N(B$11)=0,"",IF(AND(COUNT(A1177:A1188)=2,COUNT(F1177:F1188)=2),cubic_spline(F1176:F1178,A1176:A1178,B$11),IF(AND(COUNT(A1177:A1188)=3,COUNT(F1177:F1188)=3),cubic_spline(F1176:F1179,A1176:A1179,B$11),IF(AND(COUNT(A1177:A1188)=4,COUNT(F1177:F1188)=4),cubic_spline(F1176:F1180,A1176:A1180,B$11),IF(AND(COUNT(A1177:A1188)=5,COUNT(F1177:F1188)=5),cubic_spline(F1176:F1181,A1176:A1181,B$11),IF(AND(COUNT(A1177:A1188)=6,COUNT(F1177:F1188)=6),cubic_spline(F1176:F1182,A1176:A1182,B$11),IF(AND(COUNT(A1177:A1188)=7,COUNT(F1177:F1188)=7),cubic_spline(F1176:F1183,A1176:A1183,B$11),IF(AND(COUNT(A1177:A1188)=8,COUNT(F1177:F1188)=8),cubic_spline(F1176:F1184,A1176:A1184,B$11),IF(AND(COUNT(A1177:A1188)=9,COUNT(F1177:F1188)=9),cubic_spline(F1176:F1185,A1176:A1185,B$11),IF(AND(COUNT(A1177:A1188)=10,COUNT(F1177:F1188)=10),cubic_spline(F1176:F1186,A1176:A1186,B$11),IF(AND(COUNT(A1177:A1188)=11,COUNT(F1177:F1188)=11),cubic_spline(F1176:F1187,A1176:A1187,B$11),IF(AND(COUNT(A1177:A1188)=12,COUNT(F1177:F1188)=12),cubic_spline(F1176:F1188,A1176:A1188,B$11),""))))))))))))</f>
        <v/>
      </c>
      <c r="L1184" s="27" t="str">
        <f>IF(I1184="","",B$10&amp;"-"&amp;B$11)</f>
        <v/>
      </c>
      <c r="M1184" s="52" t="str">
        <f t="shared" si="450"/>
        <v/>
      </c>
    </row>
    <row r="1185" spans="1:13" x14ac:dyDescent="0.35">
      <c r="A1185" s="48"/>
      <c r="B1185" s="48"/>
      <c r="C1185" s="49"/>
      <c r="D1185" s="50"/>
      <c r="E1185" s="51" t="str">
        <f t="shared" si="449"/>
        <v/>
      </c>
      <c r="F1185" s="71" t="str">
        <f t="shared" si="446"/>
        <v/>
      </c>
      <c r="G1185" s="69" t="str">
        <f t="shared" si="448"/>
        <v/>
      </c>
      <c r="H1185" s="70" t="str">
        <f t="shared" si="447"/>
        <v/>
      </c>
      <c r="I1185" s="27" t="str">
        <f>IF(N(J1185)=0,"",0&amp;"-"&amp;B$12)</f>
        <v/>
      </c>
      <c r="J1185" s="52" t="str">
        <f>IF(N(B$12)=0,"",IF(AND(COUNT(H1177:H1188)=2,COUNT(F1177:F1188)=2),cubic_spline(F1176:F1178,H1176:H1178,B$12),IF(AND(COUNT(H1177:H1188)=3,COUNT(F1177:F1188)=3),cubic_spline(F1176:F1179,H1176:H1179,B$12),IF(AND(COUNT(H1177:H1188)=4,COUNT(F1177:F1188)=4),cubic_spline(F1176:F1180,H1176:H1180,B$12),IF(AND(COUNT(H1177:H1188)=5,COUNT(F1177:F1188)=5),cubic_spline(F1176:F1181,H1176:H1181,B$12),IF(AND(COUNT(H1177:H1188)=6,COUNT(F1177:F1188)=6),cubic_spline(F1176:F1182,H1176:H1182,B$12),IF(AND(COUNT(H1177:H1188)=7,COUNT(F1177:F1188)=7),cubic_spline(F1176:F1183,H1176:H1183,B$12),IF(AND(COUNT(H1177:H1188)=8,COUNT(F1177:F1188)=8),cubic_spline(F1176:F1184,H1176:H1184,B$12),IF(AND(COUNT(H1177:H1188)=9,COUNT(F1177:F1188)=9),cubic_spline(F1176:F1185,H1176:H1185,B$12),IF(AND(COUNT(H1177:H1188)=10,COUNT(F1177:F1188)=10),cubic_spline(F1176:F1186,H1176:H1186,B$12),IF(AND(COUNT(H1177:H1188)=11,COUNT(F1177:F1188)=11),cubic_spline(F1176:F1187,H1176:H1187,B$12),IF(AND(COUNT(H1177:H1188)=12,COUNT(F1177:F1188)=12),cubic_spline(F1176:F1188,H1176:H1188,B$12),""))))))))))))</f>
        <v/>
      </c>
      <c r="K1185" s="52" t="str">
        <f>IF(N(B$12)=0,"",IF(AND(COUNT(A1177:A1188)=2,COUNT(F1177:F1188)=2),cubic_spline(F1176:F1178,A1176:A1178,B$12),IF(AND(COUNT(A1177:A1188)=3,COUNT(F1177:F1188)=3),cubic_spline(F1176:F1179,A1176:A1179,B$12),IF(AND(COUNT(A1177:A1188)=4,COUNT(F1177:F1188)=4),cubic_spline(F1176:F1180,A1176:A1180,B$12),IF(AND(COUNT(A1177:A1188)=5,COUNT(F1177:F1188)=5),cubic_spline(F1176:F1181,A1176:A1181,B$12),IF(AND(COUNT(A1177:A1188)=6,COUNT(F1177:F1188)=6),cubic_spline(F1176:F1182,A1176:A1182,B$12),IF(AND(COUNT(A1177:A1188)=7,COUNT(F1177:F1188)=7),cubic_spline(F1176:F1183,A1176:A1183,B$12),IF(AND(COUNT(A1177:A1188)=8,COUNT(F1177:F1188)=8),cubic_spline(F1176:F1184,A1176:A1184,B$12),IF(AND(COUNT(A1177:A1188)=9,COUNT(F1177:F1188)=9),cubic_spline(F1176:F1185,A1176:A1185,B$12),IF(AND(COUNT(A1177:A1188)=10,COUNT(F1177:F1188)=10),cubic_spline(F1176:F1186,A1176:A1186,B$12),IF(AND(COUNT(A1177:A1188)=11,COUNT(F1177:F1188)=11),cubic_spline(F1176:F1187,A1176:A1187,B$12),IF(AND(COUNT(A1177:A1188)=12,COUNT(F1177:F1188)=12),cubic_spline(F1176:F1188,A1176:A1188,B$12),""))))))))))))</f>
        <v/>
      </c>
      <c r="L1185" s="27" t="str">
        <f>IF(I1185="","",B$11&amp;"-"&amp;B$12)</f>
        <v/>
      </c>
      <c r="M1185" s="52" t="str">
        <f t="shared" si="450"/>
        <v/>
      </c>
    </row>
    <row r="1186" spans="1:13" x14ac:dyDescent="0.35">
      <c r="A1186" s="48"/>
      <c r="B1186" s="48"/>
      <c r="C1186" s="49"/>
      <c r="D1186" s="50"/>
      <c r="E1186" s="51" t="str">
        <f t="shared" si="449"/>
        <v/>
      </c>
      <c r="F1186" s="71" t="str">
        <f t="shared" si="446"/>
        <v/>
      </c>
      <c r="G1186" s="69" t="str">
        <f t="shared" si="448"/>
        <v/>
      </c>
      <c r="H1186" s="70" t="str">
        <f t="shared" si="447"/>
        <v/>
      </c>
      <c r="I1186" s="27" t="str">
        <f>IF(N(J1186)=0,"",0&amp;"-"&amp;B$13)</f>
        <v/>
      </c>
      <c r="J1186" s="52" t="str">
        <f>IF(N(B$13)=0,"",IF(AND(COUNT(H1177:H1188)=2,COUNT(F1177:F1188)=2),cubic_spline(F1176:F1178,H1176:H1178,B$13),IF(AND(COUNT(H1177:H1188)=3,COUNT(F1177:F1188)=3),cubic_spline(F1176:F1179,H1176:H1179,B$13),IF(AND(COUNT(H1177:H1188)=4,COUNT(F1177:F1188)=4),cubic_spline(F1176:F1180,H1176:H1180,B$13),IF(AND(COUNT(H1177:H1188)=5,COUNT(F1177:F1188)=5),cubic_spline(F1176:F1181,H1176:H1181,B$13),IF(AND(COUNT(H1177:H1188)=6,COUNT(F1177:F1188)=6),cubic_spline(F1176:F1182,H1176:H1182,B$13),IF(AND(COUNT(H1177:H1188)=7,COUNT(F1177:F1188)=7),cubic_spline(F1176:F1183,H1176:H1183,B$13),IF(AND(COUNT(H1177:H1188)=8,COUNT(F1177:F1188)=8),cubic_spline(F1176:F1184,H1176:H1184,B$13),IF(AND(COUNT(H1177:H1188)=9,COUNT(F1177:F1188)=9),cubic_spline(F1176:F1185,H1176:H1185,B$13),IF(AND(COUNT(H1177:H1188)=10,COUNT(F1177:F1188)=10),cubic_spline(F1176:F1186,H1176:H1186,B$13),IF(AND(COUNT(H1177:H1188)=11,COUNT(F1177:F1188)=11),cubic_spline(F1176:F1187,H1176:H1187,B$13),IF(AND(COUNT(H1177:H1188)=12,COUNT(F1177:F1188)=12),cubic_spline(F1176:F1188,H1176:H1188,B$13),""))))))))))))</f>
        <v/>
      </c>
      <c r="K1186" s="52" t="str">
        <f>IF(N(B$13)=0,"",IF(AND(COUNT(A1177:A1188)=2,COUNT(F1177:F1188)=2),cubic_spline(F1176:F1178,A1176:A1178,B$13),IF(AND(COUNT(A1177:A1188)=3,COUNT(F1177:F1188)=3),cubic_spline(F1176:F1179,A1176:A1179,B$13),IF(AND(COUNT(A1177:A1188)=4,COUNT(F1177:F1188)=4),cubic_spline(F1176:F1180,A1176:A1180,B$13),IF(AND(COUNT(A1177:A1188)=5,COUNT(F1177:F1188)=5),cubic_spline(F1176:F1181,A1176:A1181,B$13),IF(AND(COUNT(A1177:A1188)=6,COUNT(F1177:F1188)=6),cubic_spline(F1176:F1182,A1176:A1182,B$13),IF(AND(COUNT(A1177:A1188)=7,COUNT(F1177:F1188)=7),cubic_spline(F1176:F1183,A1176:A1183,B$13),IF(AND(COUNT(A1177:A1188)=8,COUNT(F1177:F1188)=8),cubic_spline(F1176:F1184,A1176:A1184,B$13),IF(AND(COUNT(A1177:A1188)=9,COUNT(F1177:F1188)=9),cubic_spline(F1176:F1185,A1176:A1185,B$13),IF(AND(COUNT(A1177:A1188)=10,COUNT(F1177:F1188)=10),cubic_spline(F1176:F1186,A1176:A1186,B$13),IF(AND(COUNT(A1177:A1188)=11,COUNT(F1177:F1188)=11),cubic_spline(F1176:F1187,A1176:A1187,B$13),IF(AND(COUNT(A1177:A1188)=12,COUNT(F1177:F1188)=12),cubic_spline(F1176:F1188,A1176:A1188,B$13),""))))))))))))</f>
        <v/>
      </c>
      <c r="L1186" s="27" t="str">
        <f>IF(I1186="","",B$12&amp;"-"&amp;B$13)</f>
        <v/>
      </c>
      <c r="M1186" s="52" t="str">
        <f t="shared" si="450"/>
        <v/>
      </c>
    </row>
    <row r="1187" spans="1:13" x14ac:dyDescent="0.35">
      <c r="A1187" s="48"/>
      <c r="B1187" s="48"/>
      <c r="C1187" s="49"/>
      <c r="D1187" s="50"/>
      <c r="E1187" s="51" t="str">
        <f t="shared" si="449"/>
        <v/>
      </c>
      <c r="F1187" s="71" t="str">
        <f t="shared" si="446"/>
        <v/>
      </c>
      <c r="G1187" s="69" t="str">
        <f t="shared" si="448"/>
        <v/>
      </c>
      <c r="H1187" s="70" t="str">
        <f t="shared" si="447"/>
        <v/>
      </c>
      <c r="I1187" s="27" t="str">
        <f>IF(N(J1187)=0,"",0&amp;"-"&amp;B$14)</f>
        <v/>
      </c>
      <c r="J1187" s="52" t="str">
        <f>IF(N(B$14)=0,"",IF(AND(COUNT(H1177:H1188)=2,COUNT(F1177:F1188)=2),cubic_spline(F1176:F1178,H1176:H1178,B$14),IF(AND(COUNT(H1177:H1188)=3,COUNT(F1177:F1188)=3),cubic_spline(F1176:F1179,H1176:H1179,B$14),IF(AND(COUNT(H1177:H1188)=4,COUNT(F1177:F1188)=4),cubic_spline(F1176:F1180,H1176:H1180,B$14),IF(AND(COUNT(H1177:H1188)=5,COUNT(F1177:F1188)=5),cubic_spline(F1176:F1181,H1176:H1181,B$14),IF(AND(COUNT(H1177:H1188)=6,COUNT(F1177:F1188)=6),cubic_spline(F1176:F1182,H1176:H1182,B$14),IF(AND(COUNT(H1177:H1188)=7,COUNT(F1177:F1188)=7),cubic_spline(F1176:F1183,H1176:H1183,B$14),IF(AND(COUNT(H1177:H1188)=8,COUNT(F1177:F1188)=8),cubic_spline(F1176:F1184,H1176:H1184,B$14),IF(AND(COUNT(H1177:H1188)=9,COUNT(F1177:F1188)=9),cubic_spline(F1176:F1185,H1176:H1185,B$14),IF(AND(COUNT(H1177:H1188)=10,COUNT(F1177:F1188)=10),cubic_spline(F1176:F1186,H1176:H1186,B$14),IF(AND(COUNT(H1177:H1188)=11,COUNT(F1177:F1188)=11),cubic_spline(F1176:F1187,H1176:H1187,B$14),IF(AND(COUNT(H1177:H1188)=12,COUNT(F1177:F1188)=12),cubic_spline(F1176:F1188,H1176:H1188,B$14),""))))))))))))</f>
        <v/>
      </c>
      <c r="K1187" s="52" t="str">
        <f>IF(N(B$14)=0,"",IF(AND(COUNT(A1177:A1188)=2,COUNT(F1177:F1188)=2),cubic_spline(F1176:F1178,A1176:A1178,B$14),IF(AND(COUNT(A1177:A1188)=3,COUNT(F1177:F1188)=3),cubic_spline(F1176:F1179,A1176:A1179,B$14),IF(AND(COUNT(A1177:A1188)=4,COUNT(F1177:F1188)=4),cubic_spline(F1176:F1180,A1176:A1180,B$14),IF(AND(COUNT(A1177:A1188)=5,COUNT(F1177:F1188)=5),cubic_spline(F1176:F1181,A1176:A1181,B$14),IF(AND(COUNT(A1177:A1188)=6,COUNT(F1177:F1188)=6),cubic_spline(F1176:F1182,A1176:A1182,B$14),IF(AND(COUNT(A1177:A1188)=7,COUNT(F1177:F1188)=7),cubic_spline(F1176:F1183,A1176:A1183,B$14),IF(AND(COUNT(A1177:A1188)=8,COUNT(F1177:F1188)=8),cubic_spline(F1176:F1184,A1176:A1184,B$14),IF(AND(COUNT(A1177:A1188)=9,COUNT(F1177:F1188)=9),cubic_spline(F1176:F1185,A1176:A1185,B$14),IF(AND(COUNT(A1177:A1188)=10,COUNT(F1177:F1188)=10),cubic_spline(F1176:F1186,A1176:A1186,B$14),IF(AND(COUNT(A1177:A1188)=11,COUNT(F1177:F1188)=11),cubic_spline(F1176:F1187,A1176:A1187,B$14),IF(AND(COUNT(A1177:A1188)=12,COUNT(F1177:F1188)=12),cubic_spline(F1176:F1188,A1176:A1188,B$14),""))))))))))))</f>
        <v/>
      </c>
      <c r="L1187" s="27" t="str">
        <f>IF(I1187="","",B$13&amp;"-"&amp;B$14)</f>
        <v/>
      </c>
      <c r="M1187" s="52" t="str">
        <f t="shared" si="450"/>
        <v/>
      </c>
    </row>
    <row r="1188" spans="1:13" x14ac:dyDescent="0.35">
      <c r="A1188" s="48"/>
      <c r="B1188" s="48"/>
      <c r="C1188" s="49"/>
      <c r="D1188" s="50"/>
      <c r="E1188" s="51" t="str">
        <f t="shared" si="449"/>
        <v/>
      </c>
      <c r="F1188" s="71" t="str">
        <f t="shared" si="446"/>
        <v/>
      </c>
      <c r="G1188" s="69" t="str">
        <f t="shared" si="448"/>
        <v/>
      </c>
      <c r="H1188" s="70" t="str">
        <f t="shared" si="447"/>
        <v/>
      </c>
      <c r="I1188" s="27" t="str">
        <f>IF(N(J1188)=0,"",0&amp;"-"&amp;B$15)</f>
        <v/>
      </c>
      <c r="J1188" s="52" t="str">
        <f>IF(N(B$15)=0,"",IF(AND(COUNT(H1177:H1188)=2,COUNT(F1177:F1188)=2),cubic_spline(F1176:F1178,H1176:H1178,B$15),IF(AND(COUNT(H1177:H1188)=3,COUNT(F1177:F1188)=3),cubic_spline(F1176:F1179,H1176:H1179,B$15),IF(AND(COUNT(H1177:H1188)=4,COUNT(F1177:F1188)=4),cubic_spline(F1176:F1180,H1176:H1180,B$15),IF(AND(COUNT(H1177:H1188)=5,COUNT(F1177:F1188)=5),cubic_spline(F1176:F1181,H1176:H1181,B$15),IF(AND(COUNT(H1177:H1188)=6,COUNT(F1177:F1188)=6),cubic_spline(F1176:F1182,H1176:H1182,B$15),IF(AND(COUNT(H1177:H1188)=7,COUNT(F1177:F1188)=7),cubic_spline(F1176:F1183,H1176:H1183,B$15),IF(AND(COUNT(H1177:H1188)=8,COUNT(F1177:F1188)=8),cubic_spline(F1176:F1184,H1176:H1184,B$15),IF(AND(COUNT(H1177:H1188)=9,COUNT(F1177:F1188)=9),cubic_spline(F1176:F1185,H1176:H1185,B$15),IF(AND(COUNT(H1177:H1188)=10,COUNT(F1177:F1188)=10),cubic_spline(F1176:F1186,H1176:H1186,B$15),IF(AND(COUNT(H1177:H1188)=11,COUNT(F1177:F1188)=11),cubic_spline(F1176:F1187,H1176:H1187,B$15),IF(AND(COUNT(H1177:H1188)=12,COUNT(F1177:F1188)=12),cubic_spline(F1176:F1188,H1176:H1188,B$15),""))))))))))))</f>
        <v/>
      </c>
      <c r="K1188" s="52" t="str">
        <f>IF(N(B$15)=0,"",IF(AND(COUNT(A1177:A1188)=2,COUNT(F1177:F1188)=2),cubic_spline(F1176:F1178,A1176:A1178,B$15),IF(AND(COUNT(A1177:A1188)=3,COUNT(F1177:F1188)=3),cubic_spline(F1176:F1179,A1176:A1179,B$15),IF(AND(COUNT(A1177:A1188)=4,COUNT(F1177:F1188)=4),cubic_spline(F1176:F1180,A1176:A1180,B$15),IF(AND(COUNT(A1177:A1188)=5,COUNT(F1177:F1188)=5),cubic_spline(F1176:F1181,A1176:A1181,B$15),IF(AND(COUNT(A1177:A1188)=6,COUNT(F1177:F1188)=6),cubic_spline(F1176:F1182,A1176:A1182,B$15),IF(AND(COUNT(A1177:A1188)=7,COUNT(F1177:F1188)=7),cubic_spline(F1176:F1183,A1176:A1183,B$15),IF(AND(COUNT(A1177:A1188)=8,COUNT(F1177:F1188)=8),cubic_spline(F1176:F1184,A1176:A1184,B$15),IF(AND(COUNT(A1177:A1188)=9,COUNT(F1177:F1188)=9),cubic_spline(F1176:F1185,A1176:A1185,B$15),IF(AND(COUNT(A1177:A1188)=10,COUNT(F1177:F1188)=10),cubic_spline(F1176:F1186,A1176:A1186,B$15),IF(AND(COUNT(A1177:A1188)=11,COUNT(F1177:F1188)=11),cubic_spline(F1176:F1187,A1176:A1187,B$15),IF(AND(COUNT(A1177:A1188)=12,COUNT(F1177:F1188)=12),cubic_spline(F1176:F1188,A1176:A1188,B$15),""))))))))))))</f>
        <v/>
      </c>
      <c r="L1188" s="27" t="str">
        <f>IF(I1188="","",B$14&amp;"-"&amp;B$15)</f>
        <v/>
      </c>
      <c r="M1188" s="52" t="str">
        <f t="shared" si="450"/>
        <v/>
      </c>
    </row>
    <row r="1189" spans="1:13" ht="5.15" customHeight="1" x14ac:dyDescent="0.35">
      <c r="A1189" s="47"/>
      <c r="B1189" s="47"/>
      <c r="C1189" s="47"/>
      <c r="D1189" s="53"/>
      <c r="E1189" s="54"/>
      <c r="F1189" s="55"/>
      <c r="G1189" s="72"/>
      <c r="H1189" s="73"/>
      <c r="I1189" s="47"/>
      <c r="J1189" s="57"/>
      <c r="K1189" s="57"/>
      <c r="L1189" s="55"/>
      <c r="M1189" s="57"/>
    </row>
    <row r="1190" spans="1:13" x14ac:dyDescent="0.35">
      <c r="A1190" s="48"/>
      <c r="B1190" s="48"/>
      <c r="C1190" s="49"/>
      <c r="D1190" s="50"/>
      <c r="E1190" s="51" t="str">
        <f>IF(N(C1190)=0,"",C1190/PI()/($D$1/2)^2/$D$2*10000)</f>
        <v/>
      </c>
      <c r="F1190" s="68" t="str">
        <f t="shared" ref="F1190:F1201" si="451">IF(N(E1190)=0,"",(N(E1190)+N(F1189)))</f>
        <v/>
      </c>
      <c r="G1190" s="69" t="str">
        <f>IF(OR(N(D1190)=0,N(E1190)=0),"",(E1190*D1190)/1000)</f>
        <v/>
      </c>
      <c r="H1190" s="70" t="str">
        <f t="shared" ref="H1190:H1201" si="452">IF(N(G1190)=0,"",(N(G1190)+N(H1189)))</f>
        <v/>
      </c>
      <c r="I1190" s="27" t="str">
        <f>IF(N(J1190)=0,"",0&amp;"-"&amp;B$4)</f>
        <v/>
      </c>
      <c r="J1190" s="52" t="str">
        <f>IF(N(B$4)=0,"",IF(AND(COUNT(H1190:H1201)=2,COUNT(F1190:F1201)=2),cubic_spline(F1189:F1191,H1189:H1191,B$4),IF(AND(COUNT(H1190:H1201)=3,COUNT(F1190:F1201)=3),cubic_spline(F1189:F1192,H1189:H1192,B$4),IF(AND(COUNT(H1190:H1201)=4,COUNT(F1190:F1201)=4),cubic_spline(F1189:F1193,H1189:H1193,B$4),IF(AND(COUNT(H1190:H1201)=5,COUNT(F1190:F1201)=5),cubic_spline(F1189:F1194,H1189:H1194,B$4),IF(AND(COUNT(H1190:H1201)=6,COUNT(F1190:F1201)=6),cubic_spline(F1189:F1195,H1189:H1195,B$4),IF(AND(COUNT(H1190:H1201)=7,COUNT(F1190:F1201)=7),cubic_spline(F1189:F1196,H1189:H1196,B$4),IF(AND(COUNT(H1190:H1201)=8,COUNT(F1190:F1201)=8),cubic_spline(F1189:F1197,H1189:H1197,B$4),IF(AND(COUNT(H1190:H1201)=9,COUNT(F1190:F1201)=9),cubic_spline(F1189:F1198,H1189:H1198,B$4),IF(AND(COUNT(H1190:H1201)=10,COUNT(F1190:F1201)=10),cubic_spline(F1189:F1199,H1189:H1199,B$4),IF(AND(COUNT(H1190:H1201)=11,COUNT(F1190:F1201)=11),cubic_spline(F1189:F1200,H1189:H1200,B$4),IF(AND(COUNT(H1190:H1201)=12,COUNT(F1190:F1201)=12),cubic_spline(F1189:F1201,H1189:H1201,B$4),""))))))))))))</f>
        <v/>
      </c>
      <c r="K1190" s="52" t="str">
        <f>IF(N(B$4)=0,"",IF(AND(COUNT(A1190:A1201)=2,COUNT(F1190:F1201)=2),cubic_spline(F1189:F1191,A1189:A1191,B$4),IF(AND(COUNT(A1190:A1201)=3,COUNT(F1190:F1201)=3),cubic_spline(F1189:F1192,A1189:A1192,B$4),IF(AND(COUNT(A1190:A1201)=4,COUNT(F1190:F1201)=4),cubic_spline(F1189:F1193,A1189:A1193,B$4),IF(AND(COUNT(A1190:A1201)=5,COUNT(F1190:F1201)=5),cubic_spline(F1189:F1194,A1189:A1194,B$4),IF(AND(COUNT(A1190:A1201)=6,COUNT(F1190:F1201)=6),cubic_spline(F1189:F1195,A1189:A1195,B$4),IF(AND(COUNT(A1190:A1201)=7,COUNT(F1190:F1201)=7),cubic_spline(F1189:F1196,A1189:A1196,B$4),IF(AND(COUNT(A1190:A1201)=8,COUNT(F1190:F1201)=8),cubic_spline(F1189:F1197,A1189:A1197,B$4),IF(AND(COUNT(A1190:A1201)=9,COUNT(F1190:F1201)=9),cubic_spline(F1189:F1198,A1189:A1198,B$4),IF(AND(COUNT(A1190:A1201)=10,COUNT(F1190:F1201)=10),cubic_spline(F1189:F1199,A1189:A1199,B$4),IF(AND(COUNT(A1190:A1201)=11,COUNT(F1190:F1201)=11),cubic_spline(F1189:F1200,A1189:A1200,B$4),IF(AND(COUNT(A1190:A1201)=12,COUNT(F1190:F1201)=12),cubic_spline(F1189:F1201,A1189:A1201,B$4),""))))))))))))</f>
        <v/>
      </c>
      <c r="L1190" s="27" t="str">
        <f>IF(I1190="","",0&amp;"-"&amp;B$4)</f>
        <v/>
      </c>
      <c r="M1190" s="52" t="str">
        <f>IF(N(J1190)=0,"",J1190-J1189)</f>
        <v/>
      </c>
    </row>
    <row r="1191" spans="1:13" x14ac:dyDescent="0.35">
      <c r="A1191" s="48"/>
      <c r="B1191" s="48"/>
      <c r="C1191" s="49"/>
      <c r="D1191" s="50"/>
      <c r="E1191" s="51" t="str">
        <f>IF(N(C1191)=0,"",C1191/PI()/($D$1/2)^2/$D$2*10000)</f>
        <v/>
      </c>
      <c r="F1191" s="68" t="str">
        <f t="shared" si="451"/>
        <v/>
      </c>
      <c r="G1191" s="69" t="str">
        <f t="shared" ref="G1191:G1201" si="453">IF(OR(N(D1191)=0,N(E1191)=0),"",(E1191*D1191)/1000)</f>
        <v/>
      </c>
      <c r="H1191" s="70" t="str">
        <f t="shared" si="452"/>
        <v/>
      </c>
      <c r="I1191" s="27" t="str">
        <f>IF(N(J1191)=0,"",0&amp;"-"&amp;B$5)</f>
        <v/>
      </c>
      <c r="J1191" s="52" t="str">
        <f>IF(N(B$5)=0,"",IF(AND(COUNT(H1190:H1201)=2,COUNT(F1190:F1201)=2),cubic_spline(F1189:F1191,H1189:H1191,B$5),IF(AND(COUNT(H1190:H1201)=3,COUNT(F1190:F1201)=3),cubic_spline(F1189:F1192,H1189:H1192,B$5),IF(AND(COUNT(H1190:H1201)=4,COUNT(F1190:F1201)=4),cubic_spline(F1189:F1193,H1189:H1193,B$5),IF(AND(COUNT(H1190:H1201)=5,COUNT(F1190:F1201)=5),cubic_spline(F1189:F1194,H1189:H1194,B$5),IF(AND(COUNT(H1190:H1201)=6,COUNT(F1190:F1201)=6),cubic_spline(F1189:F1195,H1189:H1195,B$5),IF(AND(COUNT(H1190:H1201)=7,COUNT(F1190:F1201)=7),cubic_spline(F1189:F1196,H1189:H1196,B$5),IF(AND(COUNT(H1190:H1201)=8,COUNT(F1190:F1201)=8),cubic_spline(F1189:F1197,H1189:H1197,B$5),IF(AND(COUNT(H1190:H1201)=9,COUNT(F1190:F1201)=9),cubic_spline(F1189:F1198,H1189:H1198,B$5),IF(AND(COUNT(H1190:H1201)=10,COUNT(F1190:F1201)=10),cubic_spline(F1189:F1199,H1189:H1199,B$5),IF(AND(COUNT(H1190:H1201)=11,COUNT(F1190:F1201)=11),cubic_spline(F1189:F1200,H1189:H1200,B$5),IF(AND(COUNT(H1190:H1201)=12,COUNT(F1190:F1201)=12),cubic_spline(F1189:F1201,H1189:H1201,B$5),""))))))))))))</f>
        <v/>
      </c>
      <c r="K1191" s="52" t="str">
        <f>IF(N(B$5)=0,"",IF(AND(COUNT(A1190:A1201)=2,COUNT(F1190:F1201)=2),cubic_spline(F1189:F1191,A1189:A1191,B$5),IF(AND(COUNT(A1190:A1201)=3,COUNT(F1190:F1201)=3),cubic_spline(F1189:F1192,A1189:A1192,B$5),IF(AND(COUNT(A1190:A1201)=4,COUNT(F1190:F1201)=4),cubic_spline(F1189:F1193,A1189:A1193,B$5),IF(AND(COUNT(A1190:A1201)=5,COUNT(F1190:F1201)=5),cubic_spline(F1189:F1194,A1189:A1194,B$5),IF(AND(COUNT(A1190:A1201)=6,COUNT(F1190:F1201)=6),cubic_spline(F1189:F1195,A1189:A1195,B$5),IF(AND(COUNT(A1190:A1201)=7,COUNT(F1190:F1201)=7),cubic_spline(F1189:F1196,A1189:A1196,B$5),IF(AND(COUNT(A1190:A1201)=8,COUNT(F1190:F1201)=8),cubic_spline(F1189:F1197,A1189:A1197,B$5),IF(AND(COUNT(A1190:A1201)=9,COUNT(F1190:F1201)=9),cubic_spline(F1189:F1198,A1189:A1198,B$5),IF(AND(COUNT(A1190:A1201)=10,COUNT(F1190:F1201)=10),cubic_spline(F1189:F1199,A1189:A1199,B$5),IF(AND(COUNT(A1190:A1201)=11,COUNT(F1190:F1201)=11),cubic_spline(F1189:F1200,A1189:A1200,B$5),IF(AND(COUNT(A1190:A1201)=12,COUNT(F1190:F1201)=12),cubic_spline(F1189:F1201,A1189:A1201,B$5),""))))))))))))</f>
        <v/>
      </c>
      <c r="L1191" s="27" t="str">
        <f>IF(I1191="","",B$4&amp;"-"&amp;B$5)</f>
        <v/>
      </c>
      <c r="M1191" s="52" t="str">
        <f>IF(N(J1191)=0,"",J1191-J1190)</f>
        <v/>
      </c>
    </row>
    <row r="1192" spans="1:13" x14ac:dyDescent="0.35">
      <c r="A1192" s="48"/>
      <c r="B1192" s="48"/>
      <c r="C1192" s="49"/>
      <c r="D1192" s="50"/>
      <c r="E1192" s="51" t="str">
        <f>IF(N(C1192)=0,"",C1192/PI()/($D$1/2)^2/$D$2*10000)</f>
        <v/>
      </c>
      <c r="F1192" s="68" t="str">
        <f t="shared" si="451"/>
        <v/>
      </c>
      <c r="G1192" s="69" t="str">
        <f t="shared" si="453"/>
        <v/>
      </c>
      <c r="H1192" s="70" t="str">
        <f t="shared" si="452"/>
        <v/>
      </c>
      <c r="I1192" s="27" t="str">
        <f>IF(N(J1192)=0,"",0&amp;"-"&amp;B$6)</f>
        <v/>
      </c>
      <c r="J1192" s="52" t="str">
        <f>IF(N(B$6)=0,"",IF(AND(COUNT(H1190:H1201)=2,COUNT(F1190:F1201)=2),cubic_spline(F1189:F1191,H1189:H1191,B$6),IF(AND(COUNT(H1190:H1201)=3,COUNT(F1190:F1201)=3),cubic_spline(F1189:F1192,H1189:H1192,B$6),IF(AND(COUNT(H1190:H1201)=4,COUNT(F1190:F1201)=4),cubic_spline(F1189:F1193,H1189:H1193,B$6),IF(AND(COUNT(H1190:H1201)=5,COUNT(F1190:F1201)=5),cubic_spline(F1189:F1194,H1189:H1194,B$6),IF(AND(COUNT(H1190:H1201)=6,COUNT(F1190:F1201)=6),cubic_spline(F1189:F1195,H1189:H1195,B$6),IF(AND(COUNT(H1190:H1201)=7,COUNT(F1190:F1201)=7),cubic_spline(F1189:F1196,H1189:H1196,B$6),IF(AND(COUNT(H1190:H1201)=8,COUNT(F1190:F1201)=8),cubic_spline(F1189:F1197,H1189:H1197,B$6),IF(AND(COUNT(H1190:H1201)=9,COUNT(F1190:F1201)=9),cubic_spline(F1189:F1198,H1189:H1198,B$6),IF(AND(COUNT(H1190:H1201)=10,COUNT(F1190:F1201)=10),cubic_spline(F1189:F1199,H1189:H1199,B$6),IF(AND(COUNT(H1190:H1201)=11,COUNT(F1190:F1201)=11),cubic_spline(F1189:F1200,H1189:H1200,B$6),IF(AND(COUNT(H1190:H1201)=12,COUNT(F1190:F1201)=12),cubic_spline(F1189:F1201,H1189:H1201,B$6),""))))))))))))</f>
        <v/>
      </c>
      <c r="K1192" s="52" t="str">
        <f>IF(N(B$6)=0,"",IF(AND(COUNT(A1190:A1201)=2,COUNT(F1190:F1201)=2),cubic_spline(F1189:F1191,A1189:A1191,B$6),IF(AND(COUNT(A1190:A1201)=3,COUNT(F1190:F1201)=3),cubic_spline(F1189:F1192,A1189:A1192,B$6),IF(AND(COUNT(A1190:A1201)=4,COUNT(F1190:F1201)=4),cubic_spline(F1189:F1193,A1189:A1193,B$6),IF(AND(COUNT(A1190:A1201)=5,COUNT(F1190:F1201)=5),cubic_spline(F1189:F1194,A1189:A1194,B$6),IF(AND(COUNT(A1190:A1201)=6,COUNT(F1190:F1201)=6),cubic_spline(F1189:F1195,A1189:A1195,B$6),IF(AND(COUNT(A1190:A1201)=7,COUNT(F1190:F1201)=7),cubic_spline(F1189:F1196,A1189:A1196,B$6),IF(AND(COUNT(A1190:A1201)=8,COUNT(F1190:F1201)=8),cubic_spline(F1189:F1197,A1189:A1197,B$6),IF(AND(COUNT(A1190:A1201)=9,COUNT(F1190:F1201)=9),cubic_spline(F1189:F1198,A1189:A1198,B$6),IF(AND(COUNT(A1190:A1201)=10,COUNT(F1190:F1201)=10),cubic_spline(F1189:F1199,A1189:A1199,B$6),IF(AND(COUNT(A1190:A1201)=11,COUNT(F1190:F1201)=11),cubic_spline(F1189:F1200,A1189:A1200,B$6),IF(AND(COUNT(A1190:A1201)=12,COUNT(F1190:F1201)=12),cubic_spline(F1189:F1201,A1189:A1201,B$6),""))))))))))))</f>
        <v/>
      </c>
      <c r="L1192" s="27" t="str">
        <f>IF(I1192="","",B$5&amp;"-"&amp;B$6)</f>
        <v/>
      </c>
      <c r="M1192" s="52" t="str">
        <f>IF(N(J1192)=0,"",J1192-J1191)</f>
        <v/>
      </c>
    </row>
    <row r="1193" spans="1:13" x14ac:dyDescent="0.35">
      <c r="A1193" s="48"/>
      <c r="B1193" s="48"/>
      <c r="C1193" s="49"/>
      <c r="D1193" s="50"/>
      <c r="E1193" s="51" t="str">
        <f>IF(N(C1193)=0,"",C1193/PI()/($D$1/2)^2/$D$2*10000)</f>
        <v/>
      </c>
      <c r="F1193" s="68" t="str">
        <f t="shared" si="451"/>
        <v/>
      </c>
      <c r="G1193" s="69" t="str">
        <f t="shared" si="453"/>
        <v/>
      </c>
      <c r="H1193" s="70" t="str">
        <f t="shared" si="452"/>
        <v/>
      </c>
      <c r="I1193" s="27" t="str">
        <f>IF(N(J1193)=0,"",0&amp;"-"&amp;B$7)</f>
        <v/>
      </c>
      <c r="J1193" s="52" t="str">
        <f>IF(N(B$7)=0,"",IF(AND(COUNT(H1190:H1201)=2,COUNT(F1190:F1201)=2),cubic_spline(F1189:F1191,H1189:H1191,B$7),IF(AND(COUNT(H1190:H1201)=3,COUNT(F1190:F1201)=3),cubic_spline(F1189:F1192,H1189:H1192,B$7),IF(AND(COUNT(H1190:H1201)=4,COUNT(F1190:F1201)=4),cubic_spline(F1189:F1193,H1189:H1193,B$7),IF(AND(COUNT(H1190:H1201)=5,COUNT(F1190:F1201)=5),cubic_spline(F1189:F1194,H1189:H1194,B$7),IF(AND(COUNT(H1190:H1201)=6,COUNT(F1190:F1201)=6),cubic_spline(F1189:F1195,H1189:H1195,B$7),IF(AND(COUNT(H1190:H1201)=7,COUNT(F1190:F1201)=7),cubic_spline(F1189:F1196,H1189:H1196,B$7),IF(AND(COUNT(H1190:H1201)=8,COUNT(F1190:F1201)=8),cubic_spline(F1189:F1197,H1189:H1197,B$7),IF(AND(COUNT(H1190:H1201)=9,COUNT(F1190:F1201)=9),cubic_spline(F1189:F1198,H1189:H1198,B$7),IF(AND(COUNT(H1190:H1201)=10,COUNT(F1190:F1201)=10),cubic_spline(F1189:F1199,H1189:H1199,B$7),IF(AND(COUNT(H1190:H1201)=11,COUNT(F1190:F1201)=11),cubic_spline(F1189:F1200,H1189:H1200,B$7),IF(AND(COUNT(H1190:H1201)=12,COUNT(F1190:F1201)=12),cubic_spline(F1189:F1201,H1189:H1201,B$7),""))))))))))))</f>
        <v/>
      </c>
      <c r="K1193" s="52" t="str">
        <f>IF(N(B$7)=0,"",IF(AND(COUNT(A1190:A1201)=2,COUNT(F1190:F1201)=2),cubic_spline(F1189:F1191,A1189:A1191,B$7),IF(AND(COUNT(A1190:A1201)=3,COUNT(F1190:F1201)=3),cubic_spline(F1189:F1192,A1189:A1192,B$7),IF(AND(COUNT(A1190:A1201)=4,COUNT(F1190:F1201)=4),cubic_spline(F1189:F1193,A1189:A1193,B$7),IF(AND(COUNT(A1190:A1201)=5,COUNT(F1190:F1201)=5),cubic_spline(F1189:F1194,A1189:A1194,B$7),IF(AND(COUNT(A1190:A1201)=6,COUNT(F1190:F1201)=6),cubic_spline(F1189:F1195,A1189:A1195,B$7),IF(AND(COUNT(A1190:A1201)=7,COUNT(F1190:F1201)=7),cubic_spline(F1189:F1196,A1189:A1196,B$7),IF(AND(COUNT(A1190:A1201)=8,COUNT(F1190:F1201)=8),cubic_spline(F1189:F1197,A1189:A1197,B$7),IF(AND(COUNT(A1190:A1201)=9,COUNT(F1190:F1201)=9),cubic_spline(F1189:F1198,A1189:A1198,B$7),IF(AND(COUNT(A1190:A1201)=10,COUNT(F1190:F1201)=10),cubic_spline(F1189:F1199,A1189:A1199,B$7),IF(AND(COUNT(A1190:A1201)=11,COUNT(F1190:F1201)=11),cubic_spline(F1189:F1200,A1189:A1200,B$7),IF(AND(COUNT(A1190:A1201)=12,COUNT(F1190:F1201)=12),cubic_spline(F1189:F1201,A1189:A1201,B$7),""))))))))))))</f>
        <v/>
      </c>
      <c r="L1193" s="27" t="str">
        <f>IF(I1193="","",B$6&amp;"-"&amp;B$7)</f>
        <v/>
      </c>
      <c r="M1193" s="52" t="str">
        <f>IF(N(J1193)=0,"",J1193-J1192)</f>
        <v/>
      </c>
    </row>
    <row r="1194" spans="1:13" x14ac:dyDescent="0.35">
      <c r="A1194" s="48"/>
      <c r="B1194" s="48"/>
      <c r="C1194" s="49"/>
      <c r="D1194" s="50"/>
      <c r="E1194" s="51" t="str">
        <f t="shared" ref="E1194:E1201" si="454">IF(N(C1194)=0,"",C1194/PI()/($D$1/2)^2/$D$2*10000)</f>
        <v/>
      </c>
      <c r="F1194" s="71" t="str">
        <f t="shared" si="451"/>
        <v/>
      </c>
      <c r="G1194" s="69" t="str">
        <f t="shared" si="453"/>
        <v/>
      </c>
      <c r="H1194" s="70" t="str">
        <f t="shared" si="452"/>
        <v/>
      </c>
      <c r="I1194" s="27" t="str">
        <f>IF(N(J1194)=0,"",0&amp;"-"&amp;B$8)</f>
        <v/>
      </c>
      <c r="J1194" s="52" t="str">
        <f>IF(N(B$8)=0,"",IF(AND(COUNT(H1190:H1201)=2,COUNT(F1190:F1201)=2),cubic_spline(F1189:F1191,H1189:H1191,B$8),IF(AND(COUNT(H1190:H1201)=3,COUNT(F1190:F1201)=3),cubic_spline(F1189:F1192,H1189:H1192,B$8),IF(AND(COUNT(H1190:H1201)=4,COUNT(F1190:F1201)=4),cubic_spline(F1189:F1193,H1189:H1193,B$8),IF(AND(COUNT(H1190:H1201)=5,COUNT(F1190:F1201)=5),cubic_spline(F1189:F1194,H1189:H1194,B$8),IF(AND(COUNT(H1190:H1201)=6,COUNT(F1190:F1201)=6),cubic_spline(F1189:F1195,H1189:H1195,B$8),IF(AND(COUNT(H1190:H1201)=7,COUNT(F1190:F1201)=7),cubic_spline(F1189:F1196,H1189:H1196,B$8),IF(AND(COUNT(H1190:H1201)=8,COUNT(F1190:F1201)=8),cubic_spline(F1189:F1197,H1189:H1197,B$8),IF(AND(COUNT(H1190:H1201)=9,COUNT(F1190:F1201)=9),cubic_spline(F1189:F1198,H1189:H1198,B$8),IF(AND(COUNT(H1190:H1201)=10,COUNT(F1190:F1201)=10),cubic_spline(F1189:F1199,H1189:H1199,B$8),IF(AND(COUNT(H1190:H1201)=11,COUNT(F1190:F1201)=11),cubic_spline(F1189:F1200,H1189:H1200,B$8),IF(AND(COUNT(H1190:H1201)=12,COUNT(F1190:F1201)=12),cubic_spline(F1189:F1201,H1189:H1201,B$8),""))))))))))))</f>
        <v/>
      </c>
      <c r="K1194" s="52" t="str">
        <f>IF(N(B$8)=0,"",IF(AND(COUNT(A1190:A1201)=2,COUNT(F1190:F1201)=2),cubic_spline(F1189:F1191,A1189:A1191,B$8),IF(AND(COUNT(A1190:A1201)=3,COUNT(F1190:F1201)=3),cubic_spline(F1189:F1192,A1189:A1192,B$8),IF(AND(COUNT(A1190:A1201)=4,COUNT(F1190:F1201)=4),cubic_spline(F1189:F1193,A1189:A1193,B$8),IF(AND(COUNT(A1190:A1201)=5,COUNT(F1190:F1201)=5),cubic_spline(F1189:F1194,A1189:A1194,B$8),IF(AND(COUNT(A1190:A1201)=6,COUNT(F1190:F1201)=6),cubic_spline(F1189:F1195,A1189:A1195,B$8),IF(AND(COUNT(A1190:A1201)=7,COUNT(F1190:F1201)=7),cubic_spline(F1189:F1196,A1189:A1196,B$8),IF(AND(COUNT(A1190:A1201)=8,COUNT(F1190:F1201)=8),cubic_spline(F1189:F1197,A1189:A1197,B$8),IF(AND(COUNT(A1190:A1201)=9,COUNT(F1190:F1201)=9),cubic_spline(F1189:F1198,A1189:A1198,B$8),IF(AND(COUNT(A1190:A1201)=10,COUNT(F1190:F1201)=10),cubic_spline(F1189:F1199,A1189:A1199,B$8),IF(AND(COUNT(A1190:A1201)=11,COUNT(F1190:F1201)=11),cubic_spline(F1189:F1200,A1189:A1200,B$8),IF(AND(COUNT(A1190:A1201)=12,COUNT(F1190:F1201)=12),cubic_spline(F1189:F1201,A1189:A1201,B$8),""))))))))))))</f>
        <v/>
      </c>
      <c r="L1194" s="27" t="str">
        <f>IF(I1194="","",B$7&amp;"-"&amp;B$8)</f>
        <v/>
      </c>
      <c r="M1194" s="52" t="str">
        <f>IF(N(J1194)=0,"",J1194-J1193)</f>
        <v/>
      </c>
    </row>
    <row r="1195" spans="1:13" x14ac:dyDescent="0.35">
      <c r="A1195" s="48"/>
      <c r="B1195" s="48"/>
      <c r="C1195" s="49"/>
      <c r="D1195" s="50"/>
      <c r="E1195" s="51" t="str">
        <f t="shared" si="454"/>
        <v/>
      </c>
      <c r="F1195" s="71" t="str">
        <f t="shared" si="451"/>
        <v/>
      </c>
      <c r="G1195" s="69" t="str">
        <f t="shared" si="453"/>
        <v/>
      </c>
      <c r="H1195" s="70" t="str">
        <f t="shared" si="452"/>
        <v/>
      </c>
      <c r="I1195" s="27" t="str">
        <f>IF(N(J1195)=0,"",0&amp;"-"&amp;B$9)</f>
        <v/>
      </c>
      <c r="J1195" s="52" t="str">
        <f>IF(N(B$9)=0,"",IF(AND(COUNT(H1190:H1201)=2,COUNT(F1190:F1201)=2),cubic_spline(F1189:F1191,H1189:H1191,B$9),IF(AND(COUNT(H1190:H1201)=3,COUNT(F1190:F1201)=3),cubic_spline(F1189:F1192,H1189:H1192,B$9),IF(AND(COUNT(H1190:H1201)=4,COUNT(F1190:F1201)=4),cubic_spline(F1189:F1193,H1189:H1193,B$9),IF(AND(COUNT(H1190:H1201)=5,COUNT(F1190:F1201)=5),cubic_spline(F1189:F1194,H1189:H1194,B$9),IF(AND(COUNT(H1190:H1201)=6,COUNT(F1190:F1201)=6),cubic_spline(F1189:F1195,H1189:H1195,B$9),IF(AND(COUNT(H1190:H1201)=7,COUNT(F1190:F1201)=7),cubic_spline(F1189:F1196,H1189:H1196,B$9),IF(AND(COUNT(H1190:H1201)=8,COUNT(F1190:F1201)=8),cubic_spline(F1189:F1197,H1189:H1197,B$9),IF(AND(COUNT(H1190:H1201)=9,COUNT(F1190:F1201)=9),cubic_spline(F1189:F1198,H1189:H1198,B$9),IF(AND(COUNT(H1190:H1201)=10,COUNT(F1190:F1201)=10),cubic_spline(F1189:F1199,H1189:H1199,B$9),IF(AND(COUNT(H1190:H1201)=11,COUNT(F1190:F1201)=11),cubic_spline(F1189:F1200,H1189:H1200,B$9),IF(AND(COUNT(H1190:H1201)=12,COUNT(F1190:F1201)=12),cubic_spline(F1189:F1201,H1189:H1201,B$9),""))))))))))))</f>
        <v/>
      </c>
      <c r="K1195" s="52" t="str">
        <f>IF(N(B$9)=0,"",IF(AND(COUNT(A1190:A1201)=2,COUNT(F1190:F1201)=2),cubic_spline(F1189:F1191,A1189:A1191,B$9),IF(AND(COUNT(A1190:A1201)=3,COUNT(F1190:F1201)=3),cubic_spline(F1189:F1192,A1189:A1192,B$9),IF(AND(COUNT(A1190:A1201)=4,COUNT(F1190:F1201)=4),cubic_spline(F1189:F1193,A1189:A1193,B$9),IF(AND(COUNT(A1190:A1201)=5,COUNT(F1190:F1201)=5),cubic_spline(F1189:F1194,A1189:A1194,B$9),IF(AND(COUNT(A1190:A1201)=6,COUNT(F1190:F1201)=6),cubic_spline(F1189:F1195,A1189:A1195,B$9),IF(AND(COUNT(A1190:A1201)=7,COUNT(F1190:F1201)=7),cubic_spline(F1189:F1196,A1189:A1196,B$9),IF(AND(COUNT(A1190:A1201)=8,COUNT(F1190:F1201)=8),cubic_spline(F1189:F1197,A1189:A1197,B$9),IF(AND(COUNT(A1190:A1201)=9,COUNT(F1190:F1201)=9),cubic_spline(F1189:F1198,A1189:A1198,B$9),IF(AND(COUNT(A1190:A1201)=10,COUNT(F1190:F1201)=10),cubic_spline(F1189:F1199,A1189:A1199,B$9),IF(AND(COUNT(A1190:A1201)=11,COUNT(F1190:F1201)=11),cubic_spline(F1189:F1200,A1189:A1200,B$9),IF(AND(COUNT(A1190:A1201)=12,COUNT(F1190:F1201)=12),cubic_spline(F1189:F1201,A1189:A1201,B$9),""))))))))))))</f>
        <v/>
      </c>
      <c r="L1195" s="27" t="str">
        <f>IF(I1195="","",B$8&amp;"-"&amp;B$9)</f>
        <v/>
      </c>
      <c r="M1195" s="52" t="str">
        <f t="shared" ref="M1195:M1201" si="455">IF(N(J1195)=0,"",J1195-J1194)</f>
        <v/>
      </c>
    </row>
    <row r="1196" spans="1:13" x14ac:dyDescent="0.35">
      <c r="A1196" s="48"/>
      <c r="B1196" s="48"/>
      <c r="C1196" s="49"/>
      <c r="D1196" s="50"/>
      <c r="E1196" s="51" t="str">
        <f t="shared" si="454"/>
        <v/>
      </c>
      <c r="F1196" s="71" t="str">
        <f t="shared" si="451"/>
        <v/>
      </c>
      <c r="G1196" s="69" t="str">
        <f t="shared" si="453"/>
        <v/>
      </c>
      <c r="H1196" s="70" t="str">
        <f t="shared" si="452"/>
        <v/>
      </c>
      <c r="I1196" s="27" t="str">
        <f>IF(N(J1196)=0,"",0&amp;"-"&amp;B$10)</f>
        <v/>
      </c>
      <c r="J1196" s="52" t="str">
        <f>IF(N(B$10)=0,"",IF(AND(COUNT(H1190:H1201)=2,COUNT(F1190:F1201)=2),cubic_spline(F1189:F1191,H1189:H1191,B$10),IF(AND(COUNT(H1190:H1201)=3,COUNT(F1190:F1201)=3),cubic_spline(F1189:F1192,H1189:H1192,B$10),IF(AND(COUNT(H1190:H1201)=4,COUNT(F1190:F1201)=4),cubic_spline(F1189:F1193,H1189:H1193,B$10),IF(AND(COUNT(H1190:H1201)=5,COUNT(F1190:F1201)=5),cubic_spline(F1189:F1194,H1189:H1194,B$10),IF(AND(COUNT(H1190:H1201)=6,COUNT(F1190:F1201)=6),cubic_spline(F1189:F1195,H1189:H1195,B$10),IF(AND(COUNT(H1190:H1201)=7,COUNT(F1190:F1201)=7),cubic_spline(F1189:F1196,H1189:H1196,B$10),IF(AND(COUNT(H1190:H1201)=8,COUNT(F1190:F1201)=8),cubic_spline(F1189:F1197,H1189:H1197,B$10),IF(AND(COUNT(H1190:H1201)=9,COUNT(F1190:F1201)=9),cubic_spline(F1189:F1198,H1189:H1198,B$10),IF(AND(COUNT(H1190:H1201)=10,COUNT(F1190:F1201)=10),cubic_spline(F1189:F1199,H1189:H1199,B$10),IF(AND(COUNT(H1190:H1201)=11,COUNT(F1190:F1201)=11),cubic_spline(F1189:F1200,H1189:H1200,B$10),IF(AND(COUNT(H1190:H1201)=12,COUNT(F1190:F1201)=12),cubic_spline(F1189:F1201,H1189:H1201,B$10),""))))))))))))</f>
        <v/>
      </c>
      <c r="K1196" s="52" t="str">
        <f>IF(N(B$10)=0,"",IF(AND(COUNT(A1190:A1201)=2,COUNT(F1190:F1201)=2),cubic_spline(F1189:F1191,A1189:A1191,B$10),IF(AND(COUNT(A1190:A1201)=3,COUNT(F1190:F1201)=3),cubic_spline(F1189:F1192,A1189:A1192,B$10),IF(AND(COUNT(A1190:A1201)=4,COUNT(F1190:F1201)=4),cubic_spline(F1189:F1193,A1189:A1193,B$10),IF(AND(COUNT(A1190:A1201)=5,COUNT(F1190:F1201)=5),cubic_spline(F1189:F1194,A1189:A1194,B$10),IF(AND(COUNT(A1190:A1201)=6,COUNT(F1190:F1201)=6),cubic_spline(F1189:F1195,A1189:A1195,B$10),IF(AND(COUNT(A1190:A1201)=7,COUNT(F1190:F1201)=7),cubic_spline(F1189:F1196,A1189:A1196,B$10),IF(AND(COUNT(A1190:A1201)=8,COUNT(F1190:F1201)=8),cubic_spline(F1189:F1197,A1189:A1197,B$10),IF(AND(COUNT(A1190:A1201)=9,COUNT(F1190:F1201)=9),cubic_spline(F1189:F1198,A1189:A1198,B$10),IF(AND(COUNT(A1190:A1201)=10,COUNT(F1190:F1201)=10),cubic_spline(F1189:F1199,A1189:A1199,B$10),IF(AND(COUNT(A1190:A1201)=11,COUNT(F1190:F1201)=11),cubic_spline(F1189:F1200,A1189:A1200,B$10),IF(AND(COUNT(A1190:A1201)=12,COUNT(F1190:F1201)=12),cubic_spline(F1189:F1201,A1189:A1201,B$10),""))))))))))))</f>
        <v/>
      </c>
      <c r="L1196" s="27" t="str">
        <f>IF(I1196="","",B$9&amp;"-"&amp;B$10)</f>
        <v/>
      </c>
      <c r="M1196" s="52" t="str">
        <f t="shared" si="455"/>
        <v/>
      </c>
    </row>
    <row r="1197" spans="1:13" x14ac:dyDescent="0.35">
      <c r="A1197" s="48"/>
      <c r="B1197" s="48"/>
      <c r="C1197" s="49"/>
      <c r="D1197" s="50"/>
      <c r="E1197" s="51" t="str">
        <f t="shared" si="454"/>
        <v/>
      </c>
      <c r="F1197" s="71" t="str">
        <f t="shared" si="451"/>
        <v/>
      </c>
      <c r="G1197" s="69" t="str">
        <f t="shared" si="453"/>
        <v/>
      </c>
      <c r="H1197" s="70" t="str">
        <f t="shared" si="452"/>
        <v/>
      </c>
      <c r="I1197" s="27" t="str">
        <f>IF(N(J1197)=0,"",0&amp;"-"&amp;B$11)</f>
        <v/>
      </c>
      <c r="J1197" s="52" t="str">
        <f>IF(N(B$11)=0,"",IF(AND(COUNT(H1190:H1201)=2,COUNT(F1190:F1201)=2),cubic_spline(F1189:F1191,H1189:H1191,B$11),IF(AND(COUNT(H1190:H1201)=3,COUNT(F1190:F1201)=3),cubic_spline(F1189:F1192,H1189:H1192,B$11),IF(AND(COUNT(H1190:H1201)=4,COUNT(F1190:F1201)=4),cubic_spline(F1189:F1193,H1189:H1193,B$11),IF(AND(COUNT(H1190:H1201)=5,COUNT(F1190:F1201)=5),cubic_spline(F1189:F1194,H1189:H1194,B$11),IF(AND(COUNT(H1190:H1201)=6,COUNT(F1190:F1201)=6),cubic_spline(F1189:F1195,H1189:H1195,B$11),IF(AND(COUNT(H1190:H1201)=7,COUNT(F1190:F1201)=7),cubic_spline(F1189:F1196,H1189:H1196,B$11),IF(AND(COUNT(H1190:H1201)=8,COUNT(F1190:F1201)=8),cubic_spline(F1189:F1197,H1189:H1197,B$11),IF(AND(COUNT(H1190:H1201)=9,COUNT(F1190:F1201)=9),cubic_spline(F1189:F1198,H1189:H1198,B$11),IF(AND(COUNT(H1190:H1201)=10,COUNT(F1190:F1201)=10),cubic_spline(F1189:F1199,H1189:H1199,B$11),IF(AND(COUNT(H1190:H1201)=11,COUNT(F1190:F1201)=11),cubic_spline(F1189:F1200,H1189:H1200,B$11),IF(AND(COUNT(H1190:H1201)=12,COUNT(F1190:F1201)=12),cubic_spline(F1189:F1201,H1189:H1201,B$11),""))))))))))))</f>
        <v/>
      </c>
      <c r="K1197" s="52" t="str">
        <f>IF(N(B$11)=0,"",IF(AND(COUNT(A1190:A1201)=2,COUNT(F1190:F1201)=2),cubic_spline(F1189:F1191,A1189:A1191,B$11),IF(AND(COUNT(A1190:A1201)=3,COUNT(F1190:F1201)=3),cubic_spline(F1189:F1192,A1189:A1192,B$11),IF(AND(COUNT(A1190:A1201)=4,COUNT(F1190:F1201)=4),cubic_spline(F1189:F1193,A1189:A1193,B$11),IF(AND(COUNT(A1190:A1201)=5,COUNT(F1190:F1201)=5),cubic_spline(F1189:F1194,A1189:A1194,B$11),IF(AND(COUNT(A1190:A1201)=6,COUNT(F1190:F1201)=6),cubic_spline(F1189:F1195,A1189:A1195,B$11),IF(AND(COUNT(A1190:A1201)=7,COUNT(F1190:F1201)=7),cubic_spline(F1189:F1196,A1189:A1196,B$11),IF(AND(COUNT(A1190:A1201)=8,COUNT(F1190:F1201)=8),cubic_spline(F1189:F1197,A1189:A1197,B$11),IF(AND(COUNT(A1190:A1201)=9,COUNT(F1190:F1201)=9),cubic_spline(F1189:F1198,A1189:A1198,B$11),IF(AND(COUNT(A1190:A1201)=10,COUNT(F1190:F1201)=10),cubic_spline(F1189:F1199,A1189:A1199,B$11),IF(AND(COUNT(A1190:A1201)=11,COUNT(F1190:F1201)=11),cubic_spline(F1189:F1200,A1189:A1200,B$11),IF(AND(COUNT(A1190:A1201)=12,COUNT(F1190:F1201)=12),cubic_spline(F1189:F1201,A1189:A1201,B$11),""))))))))))))</f>
        <v/>
      </c>
      <c r="L1197" s="27" t="str">
        <f>IF(I1197="","",B$10&amp;"-"&amp;B$11)</f>
        <v/>
      </c>
      <c r="M1197" s="52" t="str">
        <f t="shared" si="455"/>
        <v/>
      </c>
    </row>
    <row r="1198" spans="1:13" x14ac:dyDescent="0.35">
      <c r="A1198" s="48"/>
      <c r="B1198" s="48"/>
      <c r="C1198" s="49"/>
      <c r="D1198" s="50"/>
      <c r="E1198" s="51" t="str">
        <f t="shared" si="454"/>
        <v/>
      </c>
      <c r="F1198" s="71" t="str">
        <f t="shared" si="451"/>
        <v/>
      </c>
      <c r="G1198" s="69" t="str">
        <f t="shared" si="453"/>
        <v/>
      </c>
      <c r="H1198" s="70" t="str">
        <f t="shared" si="452"/>
        <v/>
      </c>
      <c r="I1198" s="27" t="str">
        <f>IF(N(J1198)=0,"",0&amp;"-"&amp;B$12)</f>
        <v/>
      </c>
      <c r="J1198" s="52" t="str">
        <f>IF(N(B$12)=0,"",IF(AND(COUNT(H1190:H1201)=2,COUNT(F1190:F1201)=2),cubic_spline(F1189:F1191,H1189:H1191,B$12),IF(AND(COUNT(H1190:H1201)=3,COUNT(F1190:F1201)=3),cubic_spline(F1189:F1192,H1189:H1192,B$12),IF(AND(COUNT(H1190:H1201)=4,COUNT(F1190:F1201)=4),cubic_spline(F1189:F1193,H1189:H1193,B$12),IF(AND(COUNT(H1190:H1201)=5,COUNT(F1190:F1201)=5),cubic_spline(F1189:F1194,H1189:H1194,B$12),IF(AND(COUNT(H1190:H1201)=6,COUNT(F1190:F1201)=6),cubic_spline(F1189:F1195,H1189:H1195,B$12),IF(AND(COUNT(H1190:H1201)=7,COUNT(F1190:F1201)=7),cubic_spline(F1189:F1196,H1189:H1196,B$12),IF(AND(COUNT(H1190:H1201)=8,COUNT(F1190:F1201)=8),cubic_spline(F1189:F1197,H1189:H1197,B$12),IF(AND(COUNT(H1190:H1201)=9,COUNT(F1190:F1201)=9),cubic_spline(F1189:F1198,H1189:H1198,B$12),IF(AND(COUNT(H1190:H1201)=10,COUNT(F1190:F1201)=10),cubic_spline(F1189:F1199,H1189:H1199,B$12),IF(AND(COUNT(H1190:H1201)=11,COUNT(F1190:F1201)=11),cubic_spline(F1189:F1200,H1189:H1200,B$12),IF(AND(COUNT(H1190:H1201)=12,COUNT(F1190:F1201)=12),cubic_spline(F1189:F1201,H1189:H1201,B$12),""))))))))))))</f>
        <v/>
      </c>
      <c r="K1198" s="52" t="str">
        <f>IF(N(B$12)=0,"",IF(AND(COUNT(A1190:A1201)=2,COUNT(F1190:F1201)=2),cubic_spline(F1189:F1191,A1189:A1191,B$12),IF(AND(COUNT(A1190:A1201)=3,COUNT(F1190:F1201)=3),cubic_spline(F1189:F1192,A1189:A1192,B$12),IF(AND(COUNT(A1190:A1201)=4,COUNT(F1190:F1201)=4),cubic_spline(F1189:F1193,A1189:A1193,B$12),IF(AND(COUNT(A1190:A1201)=5,COUNT(F1190:F1201)=5),cubic_spline(F1189:F1194,A1189:A1194,B$12),IF(AND(COUNT(A1190:A1201)=6,COUNT(F1190:F1201)=6),cubic_spline(F1189:F1195,A1189:A1195,B$12),IF(AND(COUNT(A1190:A1201)=7,COUNT(F1190:F1201)=7),cubic_spline(F1189:F1196,A1189:A1196,B$12),IF(AND(COUNT(A1190:A1201)=8,COUNT(F1190:F1201)=8),cubic_spline(F1189:F1197,A1189:A1197,B$12),IF(AND(COUNT(A1190:A1201)=9,COUNT(F1190:F1201)=9),cubic_spline(F1189:F1198,A1189:A1198,B$12),IF(AND(COUNT(A1190:A1201)=10,COUNT(F1190:F1201)=10),cubic_spline(F1189:F1199,A1189:A1199,B$12),IF(AND(COUNT(A1190:A1201)=11,COUNT(F1190:F1201)=11),cubic_spline(F1189:F1200,A1189:A1200,B$12),IF(AND(COUNT(A1190:A1201)=12,COUNT(F1190:F1201)=12),cubic_spline(F1189:F1201,A1189:A1201,B$12),""))))))))))))</f>
        <v/>
      </c>
      <c r="L1198" s="27" t="str">
        <f>IF(I1198="","",B$11&amp;"-"&amp;B$12)</f>
        <v/>
      </c>
      <c r="M1198" s="52" t="str">
        <f t="shared" si="455"/>
        <v/>
      </c>
    </row>
    <row r="1199" spans="1:13" x14ac:dyDescent="0.35">
      <c r="A1199" s="48"/>
      <c r="B1199" s="48"/>
      <c r="C1199" s="49"/>
      <c r="D1199" s="50"/>
      <c r="E1199" s="51" t="str">
        <f t="shared" si="454"/>
        <v/>
      </c>
      <c r="F1199" s="71" t="str">
        <f t="shared" si="451"/>
        <v/>
      </c>
      <c r="G1199" s="69" t="str">
        <f t="shared" si="453"/>
        <v/>
      </c>
      <c r="H1199" s="70" t="str">
        <f t="shared" si="452"/>
        <v/>
      </c>
      <c r="I1199" s="27" t="str">
        <f>IF(N(J1199)=0,"",0&amp;"-"&amp;B$13)</f>
        <v/>
      </c>
      <c r="J1199" s="52" t="str">
        <f>IF(N(B$13)=0,"",IF(AND(COUNT(H1190:H1201)=2,COUNT(F1190:F1201)=2),cubic_spline(F1189:F1191,H1189:H1191,B$13),IF(AND(COUNT(H1190:H1201)=3,COUNT(F1190:F1201)=3),cubic_spline(F1189:F1192,H1189:H1192,B$13),IF(AND(COUNT(H1190:H1201)=4,COUNT(F1190:F1201)=4),cubic_spline(F1189:F1193,H1189:H1193,B$13),IF(AND(COUNT(H1190:H1201)=5,COUNT(F1190:F1201)=5),cubic_spline(F1189:F1194,H1189:H1194,B$13),IF(AND(COUNT(H1190:H1201)=6,COUNT(F1190:F1201)=6),cubic_spline(F1189:F1195,H1189:H1195,B$13),IF(AND(COUNT(H1190:H1201)=7,COUNT(F1190:F1201)=7),cubic_spline(F1189:F1196,H1189:H1196,B$13),IF(AND(COUNT(H1190:H1201)=8,COUNT(F1190:F1201)=8),cubic_spline(F1189:F1197,H1189:H1197,B$13),IF(AND(COUNT(H1190:H1201)=9,COUNT(F1190:F1201)=9),cubic_spline(F1189:F1198,H1189:H1198,B$13),IF(AND(COUNT(H1190:H1201)=10,COUNT(F1190:F1201)=10),cubic_spline(F1189:F1199,H1189:H1199,B$13),IF(AND(COUNT(H1190:H1201)=11,COUNT(F1190:F1201)=11),cubic_spline(F1189:F1200,H1189:H1200,B$13),IF(AND(COUNT(H1190:H1201)=12,COUNT(F1190:F1201)=12),cubic_spline(F1189:F1201,H1189:H1201,B$13),""))))))))))))</f>
        <v/>
      </c>
      <c r="K1199" s="52" t="str">
        <f>IF(N(B$13)=0,"",IF(AND(COUNT(A1190:A1201)=2,COUNT(F1190:F1201)=2),cubic_spline(F1189:F1191,A1189:A1191,B$13),IF(AND(COUNT(A1190:A1201)=3,COUNT(F1190:F1201)=3),cubic_spline(F1189:F1192,A1189:A1192,B$13),IF(AND(COUNT(A1190:A1201)=4,COUNT(F1190:F1201)=4),cubic_spline(F1189:F1193,A1189:A1193,B$13),IF(AND(COUNT(A1190:A1201)=5,COUNT(F1190:F1201)=5),cubic_spline(F1189:F1194,A1189:A1194,B$13),IF(AND(COUNT(A1190:A1201)=6,COUNT(F1190:F1201)=6),cubic_spline(F1189:F1195,A1189:A1195,B$13),IF(AND(COUNT(A1190:A1201)=7,COUNT(F1190:F1201)=7),cubic_spline(F1189:F1196,A1189:A1196,B$13),IF(AND(COUNT(A1190:A1201)=8,COUNT(F1190:F1201)=8),cubic_spline(F1189:F1197,A1189:A1197,B$13),IF(AND(COUNT(A1190:A1201)=9,COUNT(F1190:F1201)=9),cubic_spline(F1189:F1198,A1189:A1198,B$13),IF(AND(COUNT(A1190:A1201)=10,COUNT(F1190:F1201)=10),cubic_spline(F1189:F1199,A1189:A1199,B$13),IF(AND(COUNT(A1190:A1201)=11,COUNT(F1190:F1201)=11),cubic_spline(F1189:F1200,A1189:A1200,B$13),IF(AND(COUNT(A1190:A1201)=12,COUNT(F1190:F1201)=12),cubic_spline(F1189:F1201,A1189:A1201,B$13),""))))))))))))</f>
        <v/>
      </c>
      <c r="L1199" s="27" t="str">
        <f>IF(I1199="","",B$12&amp;"-"&amp;B$13)</f>
        <v/>
      </c>
      <c r="M1199" s="52" t="str">
        <f t="shared" si="455"/>
        <v/>
      </c>
    </row>
    <row r="1200" spans="1:13" x14ac:dyDescent="0.35">
      <c r="A1200" s="48"/>
      <c r="B1200" s="48"/>
      <c r="C1200" s="49"/>
      <c r="D1200" s="50"/>
      <c r="E1200" s="51" t="str">
        <f t="shared" si="454"/>
        <v/>
      </c>
      <c r="F1200" s="71" t="str">
        <f t="shared" si="451"/>
        <v/>
      </c>
      <c r="G1200" s="69" t="str">
        <f t="shared" si="453"/>
        <v/>
      </c>
      <c r="H1200" s="70" t="str">
        <f t="shared" si="452"/>
        <v/>
      </c>
      <c r="I1200" s="27" t="str">
        <f>IF(N(J1200)=0,"",0&amp;"-"&amp;B$14)</f>
        <v/>
      </c>
      <c r="J1200" s="52" t="str">
        <f>IF(N(B$14)=0,"",IF(AND(COUNT(H1190:H1201)=2,COUNT(F1190:F1201)=2),cubic_spline(F1189:F1191,H1189:H1191,B$14),IF(AND(COUNT(H1190:H1201)=3,COUNT(F1190:F1201)=3),cubic_spline(F1189:F1192,H1189:H1192,B$14),IF(AND(COUNT(H1190:H1201)=4,COUNT(F1190:F1201)=4),cubic_spline(F1189:F1193,H1189:H1193,B$14),IF(AND(COUNT(H1190:H1201)=5,COUNT(F1190:F1201)=5),cubic_spline(F1189:F1194,H1189:H1194,B$14),IF(AND(COUNT(H1190:H1201)=6,COUNT(F1190:F1201)=6),cubic_spline(F1189:F1195,H1189:H1195,B$14),IF(AND(COUNT(H1190:H1201)=7,COUNT(F1190:F1201)=7),cubic_spline(F1189:F1196,H1189:H1196,B$14),IF(AND(COUNT(H1190:H1201)=8,COUNT(F1190:F1201)=8),cubic_spline(F1189:F1197,H1189:H1197,B$14),IF(AND(COUNT(H1190:H1201)=9,COUNT(F1190:F1201)=9),cubic_spline(F1189:F1198,H1189:H1198,B$14),IF(AND(COUNT(H1190:H1201)=10,COUNT(F1190:F1201)=10),cubic_spline(F1189:F1199,H1189:H1199,B$14),IF(AND(COUNT(H1190:H1201)=11,COUNT(F1190:F1201)=11),cubic_spline(F1189:F1200,H1189:H1200,B$14),IF(AND(COUNT(H1190:H1201)=12,COUNT(F1190:F1201)=12),cubic_spline(F1189:F1201,H1189:H1201,B$14),""))))))))))))</f>
        <v/>
      </c>
      <c r="K1200" s="52" t="str">
        <f>IF(N(B$14)=0,"",IF(AND(COUNT(A1190:A1201)=2,COUNT(F1190:F1201)=2),cubic_spline(F1189:F1191,A1189:A1191,B$14),IF(AND(COUNT(A1190:A1201)=3,COUNT(F1190:F1201)=3),cubic_spline(F1189:F1192,A1189:A1192,B$14),IF(AND(COUNT(A1190:A1201)=4,COUNT(F1190:F1201)=4),cubic_spline(F1189:F1193,A1189:A1193,B$14),IF(AND(COUNT(A1190:A1201)=5,COUNT(F1190:F1201)=5),cubic_spline(F1189:F1194,A1189:A1194,B$14),IF(AND(COUNT(A1190:A1201)=6,COUNT(F1190:F1201)=6),cubic_spline(F1189:F1195,A1189:A1195,B$14),IF(AND(COUNT(A1190:A1201)=7,COUNT(F1190:F1201)=7),cubic_spline(F1189:F1196,A1189:A1196,B$14),IF(AND(COUNT(A1190:A1201)=8,COUNT(F1190:F1201)=8),cubic_spline(F1189:F1197,A1189:A1197,B$14),IF(AND(COUNT(A1190:A1201)=9,COUNT(F1190:F1201)=9),cubic_spline(F1189:F1198,A1189:A1198,B$14),IF(AND(COUNT(A1190:A1201)=10,COUNT(F1190:F1201)=10),cubic_spline(F1189:F1199,A1189:A1199,B$14),IF(AND(COUNT(A1190:A1201)=11,COUNT(F1190:F1201)=11),cubic_spline(F1189:F1200,A1189:A1200,B$14),IF(AND(COUNT(A1190:A1201)=12,COUNT(F1190:F1201)=12),cubic_spline(F1189:F1201,A1189:A1201,B$14),""))))))))))))</f>
        <v/>
      </c>
      <c r="L1200" s="27" t="str">
        <f>IF(I1200="","",B$13&amp;"-"&amp;B$14)</f>
        <v/>
      </c>
      <c r="M1200" s="52" t="str">
        <f t="shared" si="455"/>
        <v/>
      </c>
    </row>
    <row r="1201" spans="1:13" x14ac:dyDescent="0.35">
      <c r="A1201" s="48"/>
      <c r="B1201" s="48"/>
      <c r="C1201" s="49"/>
      <c r="D1201" s="50"/>
      <c r="E1201" s="51" t="str">
        <f t="shared" si="454"/>
        <v/>
      </c>
      <c r="F1201" s="71" t="str">
        <f t="shared" si="451"/>
        <v/>
      </c>
      <c r="G1201" s="69" t="str">
        <f t="shared" si="453"/>
        <v/>
      </c>
      <c r="H1201" s="70" t="str">
        <f t="shared" si="452"/>
        <v/>
      </c>
      <c r="I1201" s="27" t="str">
        <f>IF(N(J1201)=0,"",0&amp;"-"&amp;B$15)</f>
        <v/>
      </c>
      <c r="J1201" s="52" t="str">
        <f>IF(N(B$15)=0,"",IF(AND(COUNT(H1190:H1201)=2,COUNT(F1190:F1201)=2),cubic_spline(F1189:F1191,H1189:H1191,B$15),IF(AND(COUNT(H1190:H1201)=3,COUNT(F1190:F1201)=3),cubic_spline(F1189:F1192,H1189:H1192,B$15),IF(AND(COUNT(H1190:H1201)=4,COUNT(F1190:F1201)=4),cubic_spline(F1189:F1193,H1189:H1193,B$15),IF(AND(COUNT(H1190:H1201)=5,COUNT(F1190:F1201)=5),cubic_spline(F1189:F1194,H1189:H1194,B$15),IF(AND(COUNT(H1190:H1201)=6,COUNT(F1190:F1201)=6),cubic_spline(F1189:F1195,H1189:H1195,B$15),IF(AND(COUNT(H1190:H1201)=7,COUNT(F1190:F1201)=7),cubic_spline(F1189:F1196,H1189:H1196,B$15),IF(AND(COUNT(H1190:H1201)=8,COUNT(F1190:F1201)=8),cubic_spline(F1189:F1197,H1189:H1197,B$15),IF(AND(COUNT(H1190:H1201)=9,COUNT(F1190:F1201)=9),cubic_spline(F1189:F1198,H1189:H1198,B$15),IF(AND(COUNT(H1190:H1201)=10,COUNT(F1190:F1201)=10),cubic_spline(F1189:F1199,H1189:H1199,B$15),IF(AND(COUNT(H1190:H1201)=11,COUNT(F1190:F1201)=11),cubic_spline(F1189:F1200,H1189:H1200,B$15),IF(AND(COUNT(H1190:H1201)=12,COUNT(F1190:F1201)=12),cubic_spline(F1189:F1201,H1189:H1201,B$15),""))))))))))))</f>
        <v/>
      </c>
      <c r="K1201" s="52" t="str">
        <f>IF(N(B$15)=0,"",IF(AND(COUNT(A1190:A1201)=2,COUNT(F1190:F1201)=2),cubic_spline(F1189:F1191,A1189:A1191,B$15),IF(AND(COUNT(A1190:A1201)=3,COUNT(F1190:F1201)=3),cubic_spline(F1189:F1192,A1189:A1192,B$15),IF(AND(COUNT(A1190:A1201)=4,COUNT(F1190:F1201)=4),cubic_spline(F1189:F1193,A1189:A1193,B$15),IF(AND(COUNT(A1190:A1201)=5,COUNT(F1190:F1201)=5),cubic_spline(F1189:F1194,A1189:A1194,B$15),IF(AND(COUNT(A1190:A1201)=6,COUNT(F1190:F1201)=6),cubic_spline(F1189:F1195,A1189:A1195,B$15),IF(AND(COUNT(A1190:A1201)=7,COUNT(F1190:F1201)=7),cubic_spline(F1189:F1196,A1189:A1196,B$15),IF(AND(COUNT(A1190:A1201)=8,COUNT(F1190:F1201)=8),cubic_spline(F1189:F1197,A1189:A1197,B$15),IF(AND(COUNT(A1190:A1201)=9,COUNT(F1190:F1201)=9),cubic_spline(F1189:F1198,A1189:A1198,B$15),IF(AND(COUNT(A1190:A1201)=10,COUNT(F1190:F1201)=10),cubic_spline(F1189:F1199,A1189:A1199,B$15),IF(AND(COUNT(A1190:A1201)=11,COUNT(F1190:F1201)=11),cubic_spline(F1189:F1200,A1189:A1200,B$15),IF(AND(COUNT(A1190:A1201)=12,COUNT(F1190:F1201)=12),cubic_spline(F1189:F1201,A1189:A1201,B$15),""))))))))))))</f>
        <v/>
      </c>
      <c r="L1201" s="27" t="str">
        <f>IF(I1201="","",B$14&amp;"-"&amp;B$15)</f>
        <v/>
      </c>
      <c r="M1201" s="52" t="str">
        <f t="shared" si="455"/>
        <v/>
      </c>
    </row>
    <row r="1202" spans="1:13" ht="5.15" customHeight="1" x14ac:dyDescent="0.35">
      <c r="A1202" s="47"/>
      <c r="B1202" s="47"/>
      <c r="C1202" s="47"/>
      <c r="D1202" s="53"/>
      <c r="E1202" s="54"/>
      <c r="F1202" s="55"/>
      <c r="G1202" s="72"/>
      <c r="H1202" s="73"/>
      <c r="I1202" s="47"/>
      <c r="J1202" s="57"/>
      <c r="K1202" s="57"/>
      <c r="L1202" s="55"/>
      <c r="M1202" s="57"/>
    </row>
    <row r="1203" spans="1:13" x14ac:dyDescent="0.35">
      <c r="A1203" s="48"/>
      <c r="B1203" s="48"/>
      <c r="C1203" s="49"/>
      <c r="D1203" s="50"/>
      <c r="E1203" s="51" t="str">
        <f>IF(N(C1203)=0,"",C1203/PI()/($D$1/2)^2/$D$2*10000)</f>
        <v/>
      </c>
      <c r="F1203" s="68" t="str">
        <f t="shared" ref="F1203:F1214" si="456">IF(N(E1203)=0,"",(N(E1203)+N(F1202)))</f>
        <v/>
      </c>
      <c r="G1203" s="69" t="str">
        <f>IF(OR(N(D1203)=0,N(E1203)=0),"",(E1203*D1203)/1000)</f>
        <v/>
      </c>
      <c r="H1203" s="70" t="str">
        <f t="shared" ref="H1203:H1214" si="457">IF(N(G1203)=0,"",(N(G1203)+N(H1202)))</f>
        <v/>
      </c>
      <c r="I1203" s="27" t="str">
        <f>IF(N(J1203)=0,"",0&amp;"-"&amp;B$4)</f>
        <v/>
      </c>
      <c r="J1203" s="52" t="str">
        <f>IF(N(B$4)=0,"",IF(AND(COUNT(H1203:H1214)=2,COUNT(F1203:F1214)=2),cubic_spline(F1202:F1204,H1202:H1204,B$4),IF(AND(COUNT(H1203:H1214)=3,COUNT(F1203:F1214)=3),cubic_spline(F1202:F1205,H1202:H1205,B$4),IF(AND(COUNT(H1203:H1214)=4,COUNT(F1203:F1214)=4),cubic_spline(F1202:F1206,H1202:H1206,B$4),IF(AND(COUNT(H1203:H1214)=5,COUNT(F1203:F1214)=5),cubic_spline(F1202:F1207,H1202:H1207,B$4),IF(AND(COUNT(H1203:H1214)=6,COUNT(F1203:F1214)=6),cubic_spline(F1202:F1208,H1202:H1208,B$4),IF(AND(COUNT(H1203:H1214)=7,COUNT(F1203:F1214)=7),cubic_spline(F1202:F1209,H1202:H1209,B$4),IF(AND(COUNT(H1203:H1214)=8,COUNT(F1203:F1214)=8),cubic_spline(F1202:F1210,H1202:H1210,B$4),IF(AND(COUNT(H1203:H1214)=9,COUNT(F1203:F1214)=9),cubic_spline(F1202:F1211,H1202:H1211,B$4),IF(AND(COUNT(H1203:H1214)=10,COUNT(F1203:F1214)=10),cubic_spline(F1202:F1212,H1202:H1212,B$4),IF(AND(COUNT(H1203:H1214)=11,COUNT(F1203:F1214)=11),cubic_spline(F1202:F1213,H1202:H1213,B$4),IF(AND(COUNT(H1203:H1214)=12,COUNT(F1203:F1214)=12),cubic_spline(F1202:F1214,H1202:H1214,B$4),""))))))))))))</f>
        <v/>
      </c>
      <c r="K1203" s="52" t="str">
        <f>IF(N(B$4)=0,"",IF(AND(COUNT(A1203:A1214)=2,COUNT(F1203:F1214)=2),cubic_spline(F1202:F1204,A1202:A1204,B$4),IF(AND(COUNT(A1203:A1214)=3,COUNT(F1203:F1214)=3),cubic_spline(F1202:F1205,A1202:A1205,B$4),IF(AND(COUNT(A1203:A1214)=4,COUNT(F1203:F1214)=4),cubic_spline(F1202:F1206,A1202:A1206,B$4),IF(AND(COUNT(A1203:A1214)=5,COUNT(F1203:F1214)=5),cubic_spline(F1202:F1207,A1202:A1207,B$4),IF(AND(COUNT(A1203:A1214)=6,COUNT(F1203:F1214)=6),cubic_spline(F1202:F1208,A1202:A1208,B$4),IF(AND(COUNT(A1203:A1214)=7,COUNT(F1203:F1214)=7),cubic_spline(F1202:F1209,A1202:A1209,B$4),IF(AND(COUNT(A1203:A1214)=8,COUNT(F1203:F1214)=8),cubic_spline(F1202:F1210,A1202:A1210,B$4),IF(AND(COUNT(A1203:A1214)=9,COUNT(F1203:F1214)=9),cubic_spline(F1202:F1211,A1202:A1211,B$4),IF(AND(COUNT(A1203:A1214)=10,COUNT(F1203:F1214)=10),cubic_spline(F1202:F1212,A1202:A1212,B$4),IF(AND(COUNT(A1203:A1214)=11,COUNT(F1203:F1214)=11),cubic_spline(F1202:F1213,A1202:A1213,B$4),IF(AND(COUNT(A1203:A1214)=12,COUNT(F1203:F1214)=12),cubic_spline(F1202:F1214,A1202:A1214,B$4),""))))))))))))</f>
        <v/>
      </c>
      <c r="L1203" s="27" t="str">
        <f>IF(I1203="","",0&amp;"-"&amp;B$4)</f>
        <v/>
      </c>
      <c r="M1203" s="52" t="str">
        <f>IF(N(J1203)=0,"",J1203-J1202)</f>
        <v/>
      </c>
    </row>
    <row r="1204" spans="1:13" x14ac:dyDescent="0.35">
      <c r="A1204" s="48"/>
      <c r="B1204" s="48"/>
      <c r="C1204" s="49"/>
      <c r="D1204" s="50"/>
      <c r="E1204" s="51" t="str">
        <f>IF(N(C1204)=0,"",C1204/PI()/($D$1/2)^2/$D$2*10000)</f>
        <v/>
      </c>
      <c r="F1204" s="68" t="str">
        <f t="shared" si="456"/>
        <v/>
      </c>
      <c r="G1204" s="69" t="str">
        <f t="shared" ref="G1204:G1214" si="458">IF(OR(N(D1204)=0,N(E1204)=0),"",(E1204*D1204)/1000)</f>
        <v/>
      </c>
      <c r="H1204" s="70" t="str">
        <f t="shared" si="457"/>
        <v/>
      </c>
      <c r="I1204" s="27" t="str">
        <f>IF(N(J1204)=0,"",0&amp;"-"&amp;B$5)</f>
        <v/>
      </c>
      <c r="J1204" s="52" t="str">
        <f>IF(N(B$5)=0,"",IF(AND(COUNT(H1203:H1214)=2,COUNT(F1203:F1214)=2),cubic_spline(F1202:F1204,H1202:H1204,B$5),IF(AND(COUNT(H1203:H1214)=3,COUNT(F1203:F1214)=3),cubic_spline(F1202:F1205,H1202:H1205,B$5),IF(AND(COUNT(H1203:H1214)=4,COUNT(F1203:F1214)=4),cubic_spline(F1202:F1206,H1202:H1206,B$5),IF(AND(COUNT(H1203:H1214)=5,COUNT(F1203:F1214)=5),cubic_spline(F1202:F1207,H1202:H1207,B$5),IF(AND(COUNT(H1203:H1214)=6,COUNT(F1203:F1214)=6),cubic_spline(F1202:F1208,H1202:H1208,B$5),IF(AND(COUNT(H1203:H1214)=7,COUNT(F1203:F1214)=7),cubic_spline(F1202:F1209,H1202:H1209,B$5),IF(AND(COUNT(H1203:H1214)=8,COUNT(F1203:F1214)=8),cubic_spline(F1202:F1210,H1202:H1210,B$5),IF(AND(COUNT(H1203:H1214)=9,COUNT(F1203:F1214)=9),cubic_spline(F1202:F1211,H1202:H1211,B$5),IF(AND(COUNT(H1203:H1214)=10,COUNT(F1203:F1214)=10),cubic_spline(F1202:F1212,H1202:H1212,B$5),IF(AND(COUNT(H1203:H1214)=11,COUNT(F1203:F1214)=11),cubic_spline(F1202:F1213,H1202:H1213,B$5),IF(AND(COUNT(H1203:H1214)=12,COUNT(F1203:F1214)=12),cubic_spline(F1202:F1214,H1202:H1214,B$5),""))))))))))))</f>
        <v/>
      </c>
      <c r="K1204" s="52" t="str">
        <f>IF(N(B$5)=0,"",IF(AND(COUNT(A1203:A1214)=2,COUNT(F1203:F1214)=2),cubic_spline(F1202:F1204,A1202:A1204,B$5),IF(AND(COUNT(A1203:A1214)=3,COUNT(F1203:F1214)=3),cubic_spline(F1202:F1205,A1202:A1205,B$5),IF(AND(COUNT(A1203:A1214)=4,COUNT(F1203:F1214)=4),cubic_spline(F1202:F1206,A1202:A1206,B$5),IF(AND(COUNT(A1203:A1214)=5,COUNT(F1203:F1214)=5),cubic_spline(F1202:F1207,A1202:A1207,B$5),IF(AND(COUNT(A1203:A1214)=6,COUNT(F1203:F1214)=6),cubic_spline(F1202:F1208,A1202:A1208,B$5),IF(AND(COUNT(A1203:A1214)=7,COUNT(F1203:F1214)=7),cubic_spline(F1202:F1209,A1202:A1209,B$5),IF(AND(COUNT(A1203:A1214)=8,COUNT(F1203:F1214)=8),cubic_spline(F1202:F1210,A1202:A1210,B$5),IF(AND(COUNT(A1203:A1214)=9,COUNT(F1203:F1214)=9),cubic_spline(F1202:F1211,A1202:A1211,B$5),IF(AND(COUNT(A1203:A1214)=10,COUNT(F1203:F1214)=10),cubic_spline(F1202:F1212,A1202:A1212,B$5),IF(AND(COUNT(A1203:A1214)=11,COUNT(F1203:F1214)=11),cubic_spline(F1202:F1213,A1202:A1213,B$5),IF(AND(COUNT(A1203:A1214)=12,COUNT(F1203:F1214)=12),cubic_spline(F1202:F1214,A1202:A1214,B$5),""))))))))))))</f>
        <v/>
      </c>
      <c r="L1204" s="27" t="str">
        <f>IF(I1204="","",B$4&amp;"-"&amp;B$5)</f>
        <v/>
      </c>
      <c r="M1204" s="52" t="str">
        <f>IF(N(J1204)=0,"",J1204-J1203)</f>
        <v/>
      </c>
    </row>
    <row r="1205" spans="1:13" x14ac:dyDescent="0.35">
      <c r="A1205" s="48"/>
      <c r="B1205" s="48"/>
      <c r="C1205" s="49"/>
      <c r="D1205" s="50"/>
      <c r="E1205" s="51" t="str">
        <f>IF(N(C1205)=0,"",C1205/PI()/($D$1/2)^2/$D$2*10000)</f>
        <v/>
      </c>
      <c r="F1205" s="68" t="str">
        <f t="shared" si="456"/>
        <v/>
      </c>
      <c r="G1205" s="69" t="str">
        <f t="shared" si="458"/>
        <v/>
      </c>
      <c r="H1205" s="70" t="str">
        <f t="shared" si="457"/>
        <v/>
      </c>
      <c r="I1205" s="27" t="str">
        <f>IF(N(J1205)=0,"",0&amp;"-"&amp;B$6)</f>
        <v/>
      </c>
      <c r="J1205" s="52" t="str">
        <f>IF(N(B$6)=0,"",IF(AND(COUNT(H1203:H1214)=2,COUNT(F1203:F1214)=2),cubic_spline(F1202:F1204,H1202:H1204,B$6),IF(AND(COUNT(H1203:H1214)=3,COUNT(F1203:F1214)=3),cubic_spline(F1202:F1205,H1202:H1205,B$6),IF(AND(COUNT(H1203:H1214)=4,COUNT(F1203:F1214)=4),cubic_spline(F1202:F1206,H1202:H1206,B$6),IF(AND(COUNT(H1203:H1214)=5,COUNT(F1203:F1214)=5),cubic_spline(F1202:F1207,H1202:H1207,B$6),IF(AND(COUNT(H1203:H1214)=6,COUNT(F1203:F1214)=6),cubic_spline(F1202:F1208,H1202:H1208,B$6),IF(AND(COUNT(H1203:H1214)=7,COUNT(F1203:F1214)=7),cubic_spline(F1202:F1209,H1202:H1209,B$6),IF(AND(COUNT(H1203:H1214)=8,COUNT(F1203:F1214)=8),cubic_spline(F1202:F1210,H1202:H1210,B$6),IF(AND(COUNT(H1203:H1214)=9,COUNT(F1203:F1214)=9),cubic_spline(F1202:F1211,H1202:H1211,B$6),IF(AND(COUNT(H1203:H1214)=10,COUNT(F1203:F1214)=10),cubic_spline(F1202:F1212,H1202:H1212,B$6),IF(AND(COUNT(H1203:H1214)=11,COUNT(F1203:F1214)=11),cubic_spline(F1202:F1213,H1202:H1213,B$6),IF(AND(COUNT(H1203:H1214)=12,COUNT(F1203:F1214)=12),cubic_spline(F1202:F1214,H1202:H1214,B$6),""))))))))))))</f>
        <v/>
      </c>
      <c r="K1205" s="52" t="str">
        <f>IF(N(B$6)=0,"",IF(AND(COUNT(A1203:A1214)=2,COUNT(F1203:F1214)=2),cubic_spline(F1202:F1204,A1202:A1204,B$6),IF(AND(COUNT(A1203:A1214)=3,COUNT(F1203:F1214)=3),cubic_spline(F1202:F1205,A1202:A1205,B$6),IF(AND(COUNT(A1203:A1214)=4,COUNT(F1203:F1214)=4),cubic_spline(F1202:F1206,A1202:A1206,B$6),IF(AND(COUNT(A1203:A1214)=5,COUNT(F1203:F1214)=5),cubic_spline(F1202:F1207,A1202:A1207,B$6),IF(AND(COUNT(A1203:A1214)=6,COUNT(F1203:F1214)=6),cubic_spline(F1202:F1208,A1202:A1208,B$6),IF(AND(COUNT(A1203:A1214)=7,COUNT(F1203:F1214)=7),cubic_spline(F1202:F1209,A1202:A1209,B$6),IF(AND(COUNT(A1203:A1214)=8,COUNT(F1203:F1214)=8),cubic_spline(F1202:F1210,A1202:A1210,B$6),IF(AND(COUNT(A1203:A1214)=9,COUNT(F1203:F1214)=9),cubic_spline(F1202:F1211,A1202:A1211,B$6),IF(AND(COUNT(A1203:A1214)=10,COUNT(F1203:F1214)=10),cubic_spline(F1202:F1212,A1202:A1212,B$6),IF(AND(COUNT(A1203:A1214)=11,COUNT(F1203:F1214)=11),cubic_spline(F1202:F1213,A1202:A1213,B$6),IF(AND(COUNT(A1203:A1214)=12,COUNT(F1203:F1214)=12),cubic_spline(F1202:F1214,A1202:A1214,B$6),""))))))))))))</f>
        <v/>
      </c>
      <c r="L1205" s="27" t="str">
        <f>IF(I1205="","",B$5&amp;"-"&amp;B$6)</f>
        <v/>
      </c>
      <c r="M1205" s="52" t="str">
        <f>IF(N(J1205)=0,"",J1205-J1204)</f>
        <v/>
      </c>
    </row>
    <row r="1206" spans="1:13" x14ac:dyDescent="0.35">
      <c r="A1206" s="48"/>
      <c r="B1206" s="48"/>
      <c r="C1206" s="49"/>
      <c r="D1206" s="50"/>
      <c r="E1206" s="51" t="str">
        <f>IF(N(C1206)=0,"",C1206/PI()/($D$1/2)^2/$D$2*10000)</f>
        <v/>
      </c>
      <c r="F1206" s="68" t="str">
        <f t="shared" si="456"/>
        <v/>
      </c>
      <c r="G1206" s="69" t="str">
        <f t="shared" si="458"/>
        <v/>
      </c>
      <c r="H1206" s="70" t="str">
        <f t="shared" si="457"/>
        <v/>
      </c>
      <c r="I1206" s="27" t="str">
        <f>IF(N(J1206)=0,"",0&amp;"-"&amp;B$7)</f>
        <v/>
      </c>
      <c r="J1206" s="52" t="str">
        <f>IF(N(B$7)=0,"",IF(AND(COUNT(H1203:H1214)=2,COUNT(F1203:F1214)=2),cubic_spline(F1202:F1204,H1202:H1204,B$7),IF(AND(COUNT(H1203:H1214)=3,COUNT(F1203:F1214)=3),cubic_spline(F1202:F1205,H1202:H1205,B$7),IF(AND(COUNT(H1203:H1214)=4,COUNT(F1203:F1214)=4),cubic_spline(F1202:F1206,H1202:H1206,B$7),IF(AND(COUNT(H1203:H1214)=5,COUNT(F1203:F1214)=5),cubic_spline(F1202:F1207,H1202:H1207,B$7),IF(AND(COUNT(H1203:H1214)=6,COUNT(F1203:F1214)=6),cubic_spline(F1202:F1208,H1202:H1208,B$7),IF(AND(COUNT(H1203:H1214)=7,COUNT(F1203:F1214)=7),cubic_spline(F1202:F1209,H1202:H1209,B$7),IF(AND(COUNT(H1203:H1214)=8,COUNT(F1203:F1214)=8),cubic_spline(F1202:F1210,H1202:H1210,B$7),IF(AND(COUNT(H1203:H1214)=9,COUNT(F1203:F1214)=9),cubic_spline(F1202:F1211,H1202:H1211,B$7),IF(AND(COUNT(H1203:H1214)=10,COUNT(F1203:F1214)=10),cubic_spline(F1202:F1212,H1202:H1212,B$7),IF(AND(COUNT(H1203:H1214)=11,COUNT(F1203:F1214)=11),cubic_spline(F1202:F1213,H1202:H1213,B$7),IF(AND(COUNT(H1203:H1214)=12,COUNT(F1203:F1214)=12),cubic_spline(F1202:F1214,H1202:H1214,B$7),""))))))))))))</f>
        <v/>
      </c>
      <c r="K1206" s="52" t="str">
        <f>IF(N(B$7)=0,"",IF(AND(COUNT(A1203:A1214)=2,COUNT(F1203:F1214)=2),cubic_spline(F1202:F1204,A1202:A1204,B$7),IF(AND(COUNT(A1203:A1214)=3,COUNT(F1203:F1214)=3),cubic_spline(F1202:F1205,A1202:A1205,B$7),IF(AND(COUNT(A1203:A1214)=4,COUNT(F1203:F1214)=4),cubic_spline(F1202:F1206,A1202:A1206,B$7),IF(AND(COUNT(A1203:A1214)=5,COUNT(F1203:F1214)=5),cubic_spline(F1202:F1207,A1202:A1207,B$7),IF(AND(COUNT(A1203:A1214)=6,COUNT(F1203:F1214)=6),cubic_spline(F1202:F1208,A1202:A1208,B$7),IF(AND(COUNT(A1203:A1214)=7,COUNT(F1203:F1214)=7),cubic_spline(F1202:F1209,A1202:A1209,B$7),IF(AND(COUNT(A1203:A1214)=8,COUNT(F1203:F1214)=8),cubic_spline(F1202:F1210,A1202:A1210,B$7),IF(AND(COUNT(A1203:A1214)=9,COUNT(F1203:F1214)=9),cubic_spline(F1202:F1211,A1202:A1211,B$7),IF(AND(COUNT(A1203:A1214)=10,COUNT(F1203:F1214)=10),cubic_spline(F1202:F1212,A1202:A1212,B$7),IF(AND(COUNT(A1203:A1214)=11,COUNT(F1203:F1214)=11),cubic_spline(F1202:F1213,A1202:A1213,B$7),IF(AND(COUNT(A1203:A1214)=12,COUNT(F1203:F1214)=12),cubic_spline(F1202:F1214,A1202:A1214,B$7),""))))))))))))</f>
        <v/>
      </c>
      <c r="L1206" s="27" t="str">
        <f>IF(I1206="","",B$6&amp;"-"&amp;B$7)</f>
        <v/>
      </c>
      <c r="M1206" s="52" t="str">
        <f>IF(N(J1206)=0,"",J1206-J1205)</f>
        <v/>
      </c>
    </row>
    <row r="1207" spans="1:13" x14ac:dyDescent="0.35">
      <c r="A1207" s="48"/>
      <c r="B1207" s="48"/>
      <c r="C1207" s="49"/>
      <c r="D1207" s="50"/>
      <c r="E1207" s="51" t="str">
        <f t="shared" ref="E1207:E1214" si="459">IF(N(C1207)=0,"",C1207/PI()/($D$1/2)^2/$D$2*10000)</f>
        <v/>
      </c>
      <c r="F1207" s="71" t="str">
        <f t="shared" si="456"/>
        <v/>
      </c>
      <c r="G1207" s="69" t="str">
        <f t="shared" si="458"/>
        <v/>
      </c>
      <c r="H1207" s="70" t="str">
        <f t="shared" si="457"/>
        <v/>
      </c>
      <c r="I1207" s="27" t="str">
        <f>IF(N(J1207)=0,"",0&amp;"-"&amp;B$8)</f>
        <v/>
      </c>
      <c r="J1207" s="52" t="str">
        <f>IF(N(B$8)=0,"",IF(AND(COUNT(H1203:H1214)=2,COUNT(F1203:F1214)=2),cubic_spline(F1202:F1204,H1202:H1204,B$8),IF(AND(COUNT(H1203:H1214)=3,COUNT(F1203:F1214)=3),cubic_spline(F1202:F1205,H1202:H1205,B$8),IF(AND(COUNT(H1203:H1214)=4,COUNT(F1203:F1214)=4),cubic_spline(F1202:F1206,H1202:H1206,B$8),IF(AND(COUNT(H1203:H1214)=5,COUNT(F1203:F1214)=5),cubic_spline(F1202:F1207,H1202:H1207,B$8),IF(AND(COUNT(H1203:H1214)=6,COUNT(F1203:F1214)=6),cubic_spline(F1202:F1208,H1202:H1208,B$8),IF(AND(COUNT(H1203:H1214)=7,COUNT(F1203:F1214)=7),cubic_spline(F1202:F1209,H1202:H1209,B$8),IF(AND(COUNT(H1203:H1214)=8,COUNT(F1203:F1214)=8),cubic_spline(F1202:F1210,H1202:H1210,B$8),IF(AND(COUNT(H1203:H1214)=9,COUNT(F1203:F1214)=9),cubic_spline(F1202:F1211,H1202:H1211,B$8),IF(AND(COUNT(H1203:H1214)=10,COUNT(F1203:F1214)=10),cubic_spline(F1202:F1212,H1202:H1212,B$8),IF(AND(COUNT(H1203:H1214)=11,COUNT(F1203:F1214)=11),cubic_spline(F1202:F1213,H1202:H1213,B$8),IF(AND(COUNT(H1203:H1214)=12,COUNT(F1203:F1214)=12),cubic_spline(F1202:F1214,H1202:H1214,B$8),""))))))))))))</f>
        <v/>
      </c>
      <c r="K1207" s="52" t="str">
        <f>IF(N(B$8)=0,"",IF(AND(COUNT(A1203:A1214)=2,COUNT(F1203:F1214)=2),cubic_spline(F1202:F1204,A1202:A1204,B$8),IF(AND(COUNT(A1203:A1214)=3,COUNT(F1203:F1214)=3),cubic_spline(F1202:F1205,A1202:A1205,B$8),IF(AND(COUNT(A1203:A1214)=4,COUNT(F1203:F1214)=4),cubic_spline(F1202:F1206,A1202:A1206,B$8),IF(AND(COUNT(A1203:A1214)=5,COUNT(F1203:F1214)=5),cubic_spline(F1202:F1207,A1202:A1207,B$8),IF(AND(COUNT(A1203:A1214)=6,COUNT(F1203:F1214)=6),cubic_spline(F1202:F1208,A1202:A1208,B$8),IF(AND(COUNT(A1203:A1214)=7,COUNT(F1203:F1214)=7),cubic_spline(F1202:F1209,A1202:A1209,B$8),IF(AND(COUNT(A1203:A1214)=8,COUNT(F1203:F1214)=8),cubic_spline(F1202:F1210,A1202:A1210,B$8),IF(AND(COUNT(A1203:A1214)=9,COUNT(F1203:F1214)=9),cubic_spline(F1202:F1211,A1202:A1211,B$8),IF(AND(COUNT(A1203:A1214)=10,COUNT(F1203:F1214)=10),cubic_spline(F1202:F1212,A1202:A1212,B$8),IF(AND(COUNT(A1203:A1214)=11,COUNT(F1203:F1214)=11),cubic_spline(F1202:F1213,A1202:A1213,B$8),IF(AND(COUNT(A1203:A1214)=12,COUNT(F1203:F1214)=12),cubic_spline(F1202:F1214,A1202:A1214,B$8),""))))))))))))</f>
        <v/>
      </c>
      <c r="L1207" s="27" t="str">
        <f>IF(I1207="","",B$7&amp;"-"&amp;B$8)</f>
        <v/>
      </c>
      <c r="M1207" s="52" t="str">
        <f>IF(N(J1207)=0,"",J1207-J1206)</f>
        <v/>
      </c>
    </row>
    <row r="1208" spans="1:13" x14ac:dyDescent="0.35">
      <c r="A1208" s="48"/>
      <c r="B1208" s="48"/>
      <c r="C1208" s="49"/>
      <c r="D1208" s="50"/>
      <c r="E1208" s="51" t="str">
        <f t="shared" si="459"/>
        <v/>
      </c>
      <c r="F1208" s="71" t="str">
        <f t="shared" si="456"/>
        <v/>
      </c>
      <c r="G1208" s="69" t="str">
        <f t="shared" si="458"/>
        <v/>
      </c>
      <c r="H1208" s="70" t="str">
        <f t="shared" si="457"/>
        <v/>
      </c>
      <c r="I1208" s="27" t="str">
        <f>IF(N(J1208)=0,"",0&amp;"-"&amp;B$9)</f>
        <v/>
      </c>
      <c r="J1208" s="52" t="str">
        <f>IF(N(B$9)=0,"",IF(AND(COUNT(H1203:H1214)=2,COUNT(F1203:F1214)=2),cubic_spline(F1202:F1204,H1202:H1204,B$9),IF(AND(COUNT(H1203:H1214)=3,COUNT(F1203:F1214)=3),cubic_spline(F1202:F1205,H1202:H1205,B$9),IF(AND(COUNT(H1203:H1214)=4,COUNT(F1203:F1214)=4),cubic_spline(F1202:F1206,H1202:H1206,B$9),IF(AND(COUNT(H1203:H1214)=5,COUNT(F1203:F1214)=5),cubic_spline(F1202:F1207,H1202:H1207,B$9),IF(AND(COUNT(H1203:H1214)=6,COUNT(F1203:F1214)=6),cubic_spline(F1202:F1208,H1202:H1208,B$9),IF(AND(COUNT(H1203:H1214)=7,COUNT(F1203:F1214)=7),cubic_spline(F1202:F1209,H1202:H1209,B$9),IF(AND(COUNT(H1203:H1214)=8,COUNT(F1203:F1214)=8),cubic_spline(F1202:F1210,H1202:H1210,B$9),IF(AND(COUNT(H1203:H1214)=9,COUNT(F1203:F1214)=9),cubic_spline(F1202:F1211,H1202:H1211,B$9),IF(AND(COUNT(H1203:H1214)=10,COUNT(F1203:F1214)=10),cubic_spline(F1202:F1212,H1202:H1212,B$9),IF(AND(COUNT(H1203:H1214)=11,COUNT(F1203:F1214)=11),cubic_spline(F1202:F1213,H1202:H1213,B$9),IF(AND(COUNT(H1203:H1214)=12,COUNT(F1203:F1214)=12),cubic_spline(F1202:F1214,H1202:H1214,B$9),""))))))))))))</f>
        <v/>
      </c>
      <c r="K1208" s="52" t="str">
        <f>IF(N(B$9)=0,"",IF(AND(COUNT(A1203:A1214)=2,COUNT(F1203:F1214)=2),cubic_spline(F1202:F1204,A1202:A1204,B$9),IF(AND(COUNT(A1203:A1214)=3,COUNT(F1203:F1214)=3),cubic_spline(F1202:F1205,A1202:A1205,B$9),IF(AND(COUNT(A1203:A1214)=4,COUNT(F1203:F1214)=4),cubic_spline(F1202:F1206,A1202:A1206,B$9),IF(AND(COUNT(A1203:A1214)=5,COUNT(F1203:F1214)=5),cubic_spline(F1202:F1207,A1202:A1207,B$9),IF(AND(COUNT(A1203:A1214)=6,COUNT(F1203:F1214)=6),cubic_spline(F1202:F1208,A1202:A1208,B$9),IF(AND(COUNT(A1203:A1214)=7,COUNT(F1203:F1214)=7),cubic_spline(F1202:F1209,A1202:A1209,B$9),IF(AND(COUNT(A1203:A1214)=8,COUNT(F1203:F1214)=8),cubic_spline(F1202:F1210,A1202:A1210,B$9),IF(AND(COUNT(A1203:A1214)=9,COUNT(F1203:F1214)=9),cubic_spline(F1202:F1211,A1202:A1211,B$9),IF(AND(COUNT(A1203:A1214)=10,COUNT(F1203:F1214)=10),cubic_spline(F1202:F1212,A1202:A1212,B$9),IF(AND(COUNT(A1203:A1214)=11,COUNT(F1203:F1214)=11),cubic_spline(F1202:F1213,A1202:A1213,B$9),IF(AND(COUNT(A1203:A1214)=12,COUNT(F1203:F1214)=12),cubic_spline(F1202:F1214,A1202:A1214,B$9),""))))))))))))</f>
        <v/>
      </c>
      <c r="L1208" s="27" t="str">
        <f>IF(I1208="","",B$8&amp;"-"&amp;B$9)</f>
        <v/>
      </c>
      <c r="M1208" s="52" t="str">
        <f t="shared" ref="M1208:M1214" si="460">IF(N(J1208)=0,"",J1208-J1207)</f>
        <v/>
      </c>
    </row>
    <row r="1209" spans="1:13" x14ac:dyDescent="0.35">
      <c r="A1209" s="48"/>
      <c r="B1209" s="48"/>
      <c r="C1209" s="49"/>
      <c r="D1209" s="50"/>
      <c r="E1209" s="51" t="str">
        <f t="shared" si="459"/>
        <v/>
      </c>
      <c r="F1209" s="71" t="str">
        <f t="shared" si="456"/>
        <v/>
      </c>
      <c r="G1209" s="69" t="str">
        <f t="shared" si="458"/>
        <v/>
      </c>
      <c r="H1209" s="70" t="str">
        <f t="shared" si="457"/>
        <v/>
      </c>
      <c r="I1209" s="27" t="str">
        <f>IF(N(J1209)=0,"",0&amp;"-"&amp;B$10)</f>
        <v/>
      </c>
      <c r="J1209" s="52" t="str">
        <f>IF(N(B$10)=0,"",IF(AND(COUNT(H1203:H1214)=2,COUNT(F1203:F1214)=2),cubic_spline(F1202:F1204,H1202:H1204,B$10),IF(AND(COUNT(H1203:H1214)=3,COUNT(F1203:F1214)=3),cubic_spline(F1202:F1205,H1202:H1205,B$10),IF(AND(COUNT(H1203:H1214)=4,COUNT(F1203:F1214)=4),cubic_spline(F1202:F1206,H1202:H1206,B$10),IF(AND(COUNT(H1203:H1214)=5,COUNT(F1203:F1214)=5),cubic_spline(F1202:F1207,H1202:H1207,B$10),IF(AND(COUNT(H1203:H1214)=6,COUNT(F1203:F1214)=6),cubic_spline(F1202:F1208,H1202:H1208,B$10),IF(AND(COUNT(H1203:H1214)=7,COUNT(F1203:F1214)=7),cubic_spline(F1202:F1209,H1202:H1209,B$10),IF(AND(COUNT(H1203:H1214)=8,COUNT(F1203:F1214)=8),cubic_spline(F1202:F1210,H1202:H1210,B$10),IF(AND(COUNT(H1203:H1214)=9,COUNT(F1203:F1214)=9),cubic_spline(F1202:F1211,H1202:H1211,B$10),IF(AND(COUNT(H1203:H1214)=10,COUNT(F1203:F1214)=10),cubic_spline(F1202:F1212,H1202:H1212,B$10),IF(AND(COUNT(H1203:H1214)=11,COUNT(F1203:F1214)=11),cubic_spline(F1202:F1213,H1202:H1213,B$10),IF(AND(COUNT(H1203:H1214)=12,COUNT(F1203:F1214)=12),cubic_spline(F1202:F1214,H1202:H1214,B$10),""))))))))))))</f>
        <v/>
      </c>
      <c r="K1209" s="52" t="str">
        <f>IF(N(B$10)=0,"",IF(AND(COUNT(A1203:A1214)=2,COUNT(F1203:F1214)=2),cubic_spline(F1202:F1204,A1202:A1204,B$10),IF(AND(COUNT(A1203:A1214)=3,COUNT(F1203:F1214)=3),cubic_spline(F1202:F1205,A1202:A1205,B$10),IF(AND(COUNT(A1203:A1214)=4,COUNT(F1203:F1214)=4),cubic_spline(F1202:F1206,A1202:A1206,B$10),IF(AND(COUNT(A1203:A1214)=5,COUNT(F1203:F1214)=5),cubic_spline(F1202:F1207,A1202:A1207,B$10),IF(AND(COUNT(A1203:A1214)=6,COUNT(F1203:F1214)=6),cubic_spline(F1202:F1208,A1202:A1208,B$10),IF(AND(COUNT(A1203:A1214)=7,COUNT(F1203:F1214)=7),cubic_spline(F1202:F1209,A1202:A1209,B$10),IF(AND(COUNT(A1203:A1214)=8,COUNT(F1203:F1214)=8),cubic_spline(F1202:F1210,A1202:A1210,B$10),IF(AND(COUNT(A1203:A1214)=9,COUNT(F1203:F1214)=9),cubic_spline(F1202:F1211,A1202:A1211,B$10),IF(AND(COUNT(A1203:A1214)=10,COUNT(F1203:F1214)=10),cubic_spline(F1202:F1212,A1202:A1212,B$10),IF(AND(COUNT(A1203:A1214)=11,COUNT(F1203:F1214)=11),cubic_spline(F1202:F1213,A1202:A1213,B$10),IF(AND(COUNT(A1203:A1214)=12,COUNT(F1203:F1214)=12),cubic_spline(F1202:F1214,A1202:A1214,B$10),""))))))))))))</f>
        <v/>
      </c>
      <c r="L1209" s="27" t="str">
        <f>IF(I1209="","",B$9&amp;"-"&amp;B$10)</f>
        <v/>
      </c>
      <c r="M1209" s="52" t="str">
        <f t="shared" si="460"/>
        <v/>
      </c>
    </row>
    <row r="1210" spans="1:13" x14ac:dyDescent="0.35">
      <c r="A1210" s="48"/>
      <c r="B1210" s="48"/>
      <c r="C1210" s="49"/>
      <c r="D1210" s="50"/>
      <c r="E1210" s="51" t="str">
        <f t="shared" si="459"/>
        <v/>
      </c>
      <c r="F1210" s="71" t="str">
        <f t="shared" si="456"/>
        <v/>
      </c>
      <c r="G1210" s="69" t="str">
        <f t="shared" si="458"/>
        <v/>
      </c>
      <c r="H1210" s="70" t="str">
        <f t="shared" si="457"/>
        <v/>
      </c>
      <c r="I1210" s="27" t="str">
        <f>IF(N(J1210)=0,"",0&amp;"-"&amp;B$11)</f>
        <v/>
      </c>
      <c r="J1210" s="52" t="str">
        <f>IF(N(B$11)=0,"",IF(AND(COUNT(H1203:H1214)=2,COUNT(F1203:F1214)=2),cubic_spline(F1202:F1204,H1202:H1204,B$11),IF(AND(COUNT(H1203:H1214)=3,COUNT(F1203:F1214)=3),cubic_spline(F1202:F1205,H1202:H1205,B$11),IF(AND(COUNT(H1203:H1214)=4,COUNT(F1203:F1214)=4),cubic_spline(F1202:F1206,H1202:H1206,B$11),IF(AND(COUNT(H1203:H1214)=5,COUNT(F1203:F1214)=5),cubic_spline(F1202:F1207,H1202:H1207,B$11),IF(AND(COUNT(H1203:H1214)=6,COUNT(F1203:F1214)=6),cubic_spline(F1202:F1208,H1202:H1208,B$11),IF(AND(COUNT(H1203:H1214)=7,COUNT(F1203:F1214)=7),cubic_spline(F1202:F1209,H1202:H1209,B$11),IF(AND(COUNT(H1203:H1214)=8,COUNT(F1203:F1214)=8),cubic_spline(F1202:F1210,H1202:H1210,B$11),IF(AND(COUNT(H1203:H1214)=9,COUNT(F1203:F1214)=9),cubic_spline(F1202:F1211,H1202:H1211,B$11),IF(AND(COUNT(H1203:H1214)=10,COUNT(F1203:F1214)=10),cubic_spline(F1202:F1212,H1202:H1212,B$11),IF(AND(COUNT(H1203:H1214)=11,COUNT(F1203:F1214)=11),cubic_spline(F1202:F1213,H1202:H1213,B$11),IF(AND(COUNT(H1203:H1214)=12,COUNT(F1203:F1214)=12),cubic_spline(F1202:F1214,H1202:H1214,B$11),""))))))))))))</f>
        <v/>
      </c>
      <c r="K1210" s="52" t="str">
        <f>IF(N(B$11)=0,"",IF(AND(COUNT(A1203:A1214)=2,COUNT(F1203:F1214)=2),cubic_spline(F1202:F1204,A1202:A1204,B$11),IF(AND(COUNT(A1203:A1214)=3,COUNT(F1203:F1214)=3),cubic_spline(F1202:F1205,A1202:A1205,B$11),IF(AND(COUNT(A1203:A1214)=4,COUNT(F1203:F1214)=4),cubic_spline(F1202:F1206,A1202:A1206,B$11),IF(AND(COUNT(A1203:A1214)=5,COUNT(F1203:F1214)=5),cubic_spline(F1202:F1207,A1202:A1207,B$11),IF(AND(COUNT(A1203:A1214)=6,COUNT(F1203:F1214)=6),cubic_spline(F1202:F1208,A1202:A1208,B$11),IF(AND(COUNT(A1203:A1214)=7,COUNT(F1203:F1214)=7),cubic_spline(F1202:F1209,A1202:A1209,B$11),IF(AND(COUNT(A1203:A1214)=8,COUNT(F1203:F1214)=8),cubic_spline(F1202:F1210,A1202:A1210,B$11),IF(AND(COUNT(A1203:A1214)=9,COUNT(F1203:F1214)=9),cubic_spline(F1202:F1211,A1202:A1211,B$11),IF(AND(COUNT(A1203:A1214)=10,COUNT(F1203:F1214)=10),cubic_spline(F1202:F1212,A1202:A1212,B$11),IF(AND(COUNT(A1203:A1214)=11,COUNT(F1203:F1214)=11),cubic_spline(F1202:F1213,A1202:A1213,B$11),IF(AND(COUNT(A1203:A1214)=12,COUNT(F1203:F1214)=12),cubic_spline(F1202:F1214,A1202:A1214,B$11),""))))))))))))</f>
        <v/>
      </c>
      <c r="L1210" s="27" t="str">
        <f>IF(I1210="","",B$10&amp;"-"&amp;B$11)</f>
        <v/>
      </c>
      <c r="M1210" s="52" t="str">
        <f t="shared" si="460"/>
        <v/>
      </c>
    </row>
    <row r="1211" spans="1:13" x14ac:dyDescent="0.35">
      <c r="A1211" s="48"/>
      <c r="B1211" s="48"/>
      <c r="C1211" s="49"/>
      <c r="D1211" s="50"/>
      <c r="E1211" s="51" t="str">
        <f t="shared" si="459"/>
        <v/>
      </c>
      <c r="F1211" s="71" t="str">
        <f t="shared" si="456"/>
        <v/>
      </c>
      <c r="G1211" s="69" t="str">
        <f t="shared" si="458"/>
        <v/>
      </c>
      <c r="H1211" s="70" t="str">
        <f t="shared" si="457"/>
        <v/>
      </c>
      <c r="I1211" s="27" t="str">
        <f>IF(N(J1211)=0,"",0&amp;"-"&amp;B$12)</f>
        <v/>
      </c>
      <c r="J1211" s="52" t="str">
        <f>IF(N(B$12)=0,"",IF(AND(COUNT(H1203:H1214)=2,COUNT(F1203:F1214)=2),cubic_spline(F1202:F1204,H1202:H1204,B$12),IF(AND(COUNT(H1203:H1214)=3,COUNT(F1203:F1214)=3),cubic_spline(F1202:F1205,H1202:H1205,B$12),IF(AND(COUNT(H1203:H1214)=4,COUNT(F1203:F1214)=4),cubic_spline(F1202:F1206,H1202:H1206,B$12),IF(AND(COUNT(H1203:H1214)=5,COUNT(F1203:F1214)=5),cubic_spline(F1202:F1207,H1202:H1207,B$12),IF(AND(COUNT(H1203:H1214)=6,COUNT(F1203:F1214)=6),cubic_spline(F1202:F1208,H1202:H1208,B$12),IF(AND(COUNT(H1203:H1214)=7,COUNT(F1203:F1214)=7),cubic_spline(F1202:F1209,H1202:H1209,B$12),IF(AND(COUNT(H1203:H1214)=8,COUNT(F1203:F1214)=8),cubic_spline(F1202:F1210,H1202:H1210,B$12),IF(AND(COUNT(H1203:H1214)=9,COUNT(F1203:F1214)=9),cubic_spline(F1202:F1211,H1202:H1211,B$12),IF(AND(COUNT(H1203:H1214)=10,COUNT(F1203:F1214)=10),cubic_spline(F1202:F1212,H1202:H1212,B$12),IF(AND(COUNT(H1203:H1214)=11,COUNT(F1203:F1214)=11),cubic_spline(F1202:F1213,H1202:H1213,B$12),IF(AND(COUNT(H1203:H1214)=12,COUNT(F1203:F1214)=12),cubic_spline(F1202:F1214,H1202:H1214,B$12),""))))))))))))</f>
        <v/>
      </c>
      <c r="K1211" s="52" t="str">
        <f>IF(N(B$12)=0,"",IF(AND(COUNT(A1203:A1214)=2,COUNT(F1203:F1214)=2),cubic_spline(F1202:F1204,A1202:A1204,B$12),IF(AND(COUNT(A1203:A1214)=3,COUNT(F1203:F1214)=3),cubic_spline(F1202:F1205,A1202:A1205,B$12),IF(AND(COUNT(A1203:A1214)=4,COUNT(F1203:F1214)=4),cubic_spline(F1202:F1206,A1202:A1206,B$12),IF(AND(COUNT(A1203:A1214)=5,COUNT(F1203:F1214)=5),cubic_spline(F1202:F1207,A1202:A1207,B$12),IF(AND(COUNT(A1203:A1214)=6,COUNT(F1203:F1214)=6),cubic_spline(F1202:F1208,A1202:A1208,B$12),IF(AND(COUNT(A1203:A1214)=7,COUNT(F1203:F1214)=7),cubic_spline(F1202:F1209,A1202:A1209,B$12),IF(AND(COUNT(A1203:A1214)=8,COUNT(F1203:F1214)=8),cubic_spline(F1202:F1210,A1202:A1210,B$12),IF(AND(COUNT(A1203:A1214)=9,COUNT(F1203:F1214)=9),cubic_spline(F1202:F1211,A1202:A1211,B$12),IF(AND(COUNT(A1203:A1214)=10,COUNT(F1203:F1214)=10),cubic_spline(F1202:F1212,A1202:A1212,B$12),IF(AND(COUNT(A1203:A1214)=11,COUNT(F1203:F1214)=11),cubic_spline(F1202:F1213,A1202:A1213,B$12),IF(AND(COUNT(A1203:A1214)=12,COUNT(F1203:F1214)=12),cubic_spline(F1202:F1214,A1202:A1214,B$12),""))))))))))))</f>
        <v/>
      </c>
      <c r="L1211" s="27" t="str">
        <f>IF(I1211="","",B$11&amp;"-"&amp;B$12)</f>
        <v/>
      </c>
      <c r="M1211" s="52" t="str">
        <f t="shared" si="460"/>
        <v/>
      </c>
    </row>
    <row r="1212" spans="1:13" x14ac:dyDescent="0.35">
      <c r="A1212" s="48"/>
      <c r="B1212" s="48"/>
      <c r="C1212" s="49"/>
      <c r="D1212" s="50"/>
      <c r="E1212" s="51" t="str">
        <f t="shared" si="459"/>
        <v/>
      </c>
      <c r="F1212" s="71" t="str">
        <f t="shared" si="456"/>
        <v/>
      </c>
      <c r="G1212" s="69" t="str">
        <f t="shared" si="458"/>
        <v/>
      </c>
      <c r="H1212" s="70" t="str">
        <f t="shared" si="457"/>
        <v/>
      </c>
      <c r="I1212" s="27" t="str">
        <f>IF(N(J1212)=0,"",0&amp;"-"&amp;B$13)</f>
        <v/>
      </c>
      <c r="J1212" s="52" t="str">
        <f>IF(N(B$13)=0,"",IF(AND(COUNT(H1203:H1214)=2,COUNT(F1203:F1214)=2),cubic_spline(F1202:F1204,H1202:H1204,B$13),IF(AND(COUNT(H1203:H1214)=3,COUNT(F1203:F1214)=3),cubic_spline(F1202:F1205,H1202:H1205,B$13),IF(AND(COUNT(H1203:H1214)=4,COUNT(F1203:F1214)=4),cubic_spline(F1202:F1206,H1202:H1206,B$13),IF(AND(COUNT(H1203:H1214)=5,COUNT(F1203:F1214)=5),cubic_spline(F1202:F1207,H1202:H1207,B$13),IF(AND(COUNT(H1203:H1214)=6,COUNT(F1203:F1214)=6),cubic_spline(F1202:F1208,H1202:H1208,B$13),IF(AND(COUNT(H1203:H1214)=7,COUNT(F1203:F1214)=7),cubic_spline(F1202:F1209,H1202:H1209,B$13),IF(AND(COUNT(H1203:H1214)=8,COUNT(F1203:F1214)=8),cubic_spline(F1202:F1210,H1202:H1210,B$13),IF(AND(COUNT(H1203:H1214)=9,COUNT(F1203:F1214)=9),cubic_spline(F1202:F1211,H1202:H1211,B$13),IF(AND(COUNT(H1203:H1214)=10,COUNT(F1203:F1214)=10),cubic_spline(F1202:F1212,H1202:H1212,B$13),IF(AND(COUNT(H1203:H1214)=11,COUNT(F1203:F1214)=11),cubic_spline(F1202:F1213,H1202:H1213,B$13),IF(AND(COUNT(H1203:H1214)=12,COUNT(F1203:F1214)=12),cubic_spline(F1202:F1214,H1202:H1214,B$13),""))))))))))))</f>
        <v/>
      </c>
      <c r="K1212" s="52" t="str">
        <f>IF(N(B$13)=0,"",IF(AND(COUNT(A1203:A1214)=2,COUNT(F1203:F1214)=2),cubic_spline(F1202:F1204,A1202:A1204,B$13),IF(AND(COUNT(A1203:A1214)=3,COUNT(F1203:F1214)=3),cubic_spline(F1202:F1205,A1202:A1205,B$13),IF(AND(COUNT(A1203:A1214)=4,COUNT(F1203:F1214)=4),cubic_spline(F1202:F1206,A1202:A1206,B$13),IF(AND(COUNT(A1203:A1214)=5,COUNT(F1203:F1214)=5),cubic_spline(F1202:F1207,A1202:A1207,B$13),IF(AND(COUNT(A1203:A1214)=6,COUNT(F1203:F1214)=6),cubic_spline(F1202:F1208,A1202:A1208,B$13),IF(AND(COUNT(A1203:A1214)=7,COUNT(F1203:F1214)=7),cubic_spline(F1202:F1209,A1202:A1209,B$13),IF(AND(COUNT(A1203:A1214)=8,COUNT(F1203:F1214)=8),cubic_spline(F1202:F1210,A1202:A1210,B$13),IF(AND(COUNT(A1203:A1214)=9,COUNT(F1203:F1214)=9),cubic_spline(F1202:F1211,A1202:A1211,B$13),IF(AND(COUNT(A1203:A1214)=10,COUNT(F1203:F1214)=10),cubic_spline(F1202:F1212,A1202:A1212,B$13),IF(AND(COUNT(A1203:A1214)=11,COUNT(F1203:F1214)=11),cubic_spline(F1202:F1213,A1202:A1213,B$13),IF(AND(COUNT(A1203:A1214)=12,COUNT(F1203:F1214)=12),cubic_spline(F1202:F1214,A1202:A1214,B$13),""))))))))))))</f>
        <v/>
      </c>
      <c r="L1212" s="27" t="str">
        <f>IF(I1212="","",B$12&amp;"-"&amp;B$13)</f>
        <v/>
      </c>
      <c r="M1212" s="52" t="str">
        <f t="shared" si="460"/>
        <v/>
      </c>
    </row>
    <row r="1213" spans="1:13" x14ac:dyDescent="0.35">
      <c r="A1213" s="48"/>
      <c r="B1213" s="48"/>
      <c r="C1213" s="49"/>
      <c r="D1213" s="50"/>
      <c r="E1213" s="51" t="str">
        <f t="shared" si="459"/>
        <v/>
      </c>
      <c r="F1213" s="71" t="str">
        <f t="shared" si="456"/>
        <v/>
      </c>
      <c r="G1213" s="69" t="str">
        <f t="shared" si="458"/>
        <v/>
      </c>
      <c r="H1213" s="70" t="str">
        <f t="shared" si="457"/>
        <v/>
      </c>
      <c r="I1213" s="27" t="str">
        <f>IF(N(J1213)=0,"",0&amp;"-"&amp;B$14)</f>
        <v/>
      </c>
      <c r="J1213" s="52" t="str">
        <f>IF(N(B$14)=0,"",IF(AND(COUNT(H1203:H1214)=2,COUNT(F1203:F1214)=2),cubic_spline(F1202:F1204,H1202:H1204,B$14),IF(AND(COUNT(H1203:H1214)=3,COUNT(F1203:F1214)=3),cubic_spline(F1202:F1205,H1202:H1205,B$14),IF(AND(COUNT(H1203:H1214)=4,COUNT(F1203:F1214)=4),cubic_spline(F1202:F1206,H1202:H1206,B$14),IF(AND(COUNT(H1203:H1214)=5,COUNT(F1203:F1214)=5),cubic_spline(F1202:F1207,H1202:H1207,B$14),IF(AND(COUNT(H1203:H1214)=6,COUNT(F1203:F1214)=6),cubic_spline(F1202:F1208,H1202:H1208,B$14),IF(AND(COUNT(H1203:H1214)=7,COUNT(F1203:F1214)=7),cubic_spline(F1202:F1209,H1202:H1209,B$14),IF(AND(COUNT(H1203:H1214)=8,COUNT(F1203:F1214)=8),cubic_spline(F1202:F1210,H1202:H1210,B$14),IF(AND(COUNT(H1203:H1214)=9,COUNT(F1203:F1214)=9),cubic_spline(F1202:F1211,H1202:H1211,B$14),IF(AND(COUNT(H1203:H1214)=10,COUNT(F1203:F1214)=10),cubic_spline(F1202:F1212,H1202:H1212,B$14),IF(AND(COUNT(H1203:H1214)=11,COUNT(F1203:F1214)=11),cubic_spline(F1202:F1213,H1202:H1213,B$14),IF(AND(COUNT(H1203:H1214)=12,COUNT(F1203:F1214)=12),cubic_spline(F1202:F1214,H1202:H1214,B$14),""))))))))))))</f>
        <v/>
      </c>
      <c r="K1213" s="52" t="str">
        <f>IF(N(B$14)=0,"",IF(AND(COUNT(A1203:A1214)=2,COUNT(F1203:F1214)=2),cubic_spline(F1202:F1204,A1202:A1204,B$14),IF(AND(COUNT(A1203:A1214)=3,COUNT(F1203:F1214)=3),cubic_spline(F1202:F1205,A1202:A1205,B$14),IF(AND(COUNT(A1203:A1214)=4,COUNT(F1203:F1214)=4),cubic_spline(F1202:F1206,A1202:A1206,B$14),IF(AND(COUNT(A1203:A1214)=5,COUNT(F1203:F1214)=5),cubic_spline(F1202:F1207,A1202:A1207,B$14),IF(AND(COUNT(A1203:A1214)=6,COUNT(F1203:F1214)=6),cubic_spline(F1202:F1208,A1202:A1208,B$14),IF(AND(COUNT(A1203:A1214)=7,COUNT(F1203:F1214)=7),cubic_spline(F1202:F1209,A1202:A1209,B$14),IF(AND(COUNT(A1203:A1214)=8,COUNT(F1203:F1214)=8),cubic_spline(F1202:F1210,A1202:A1210,B$14),IF(AND(COUNT(A1203:A1214)=9,COUNT(F1203:F1214)=9),cubic_spline(F1202:F1211,A1202:A1211,B$14),IF(AND(COUNT(A1203:A1214)=10,COUNT(F1203:F1214)=10),cubic_spline(F1202:F1212,A1202:A1212,B$14),IF(AND(COUNT(A1203:A1214)=11,COUNT(F1203:F1214)=11),cubic_spline(F1202:F1213,A1202:A1213,B$14),IF(AND(COUNT(A1203:A1214)=12,COUNT(F1203:F1214)=12),cubic_spline(F1202:F1214,A1202:A1214,B$14),""))))))))))))</f>
        <v/>
      </c>
      <c r="L1213" s="27" t="str">
        <f>IF(I1213="","",B$13&amp;"-"&amp;B$14)</f>
        <v/>
      </c>
      <c r="M1213" s="52" t="str">
        <f t="shared" si="460"/>
        <v/>
      </c>
    </row>
    <row r="1214" spans="1:13" x14ac:dyDescent="0.35">
      <c r="A1214" s="48"/>
      <c r="B1214" s="48"/>
      <c r="C1214" s="49"/>
      <c r="D1214" s="50"/>
      <c r="E1214" s="51" t="str">
        <f t="shared" si="459"/>
        <v/>
      </c>
      <c r="F1214" s="71" t="str">
        <f t="shared" si="456"/>
        <v/>
      </c>
      <c r="G1214" s="69" t="str">
        <f t="shared" si="458"/>
        <v/>
      </c>
      <c r="H1214" s="70" t="str">
        <f t="shared" si="457"/>
        <v/>
      </c>
      <c r="I1214" s="27" t="str">
        <f>IF(N(J1214)=0,"",0&amp;"-"&amp;B$15)</f>
        <v/>
      </c>
      <c r="J1214" s="52" t="str">
        <f>IF(N(B$15)=0,"",IF(AND(COUNT(H1203:H1214)=2,COUNT(F1203:F1214)=2),cubic_spline(F1202:F1204,H1202:H1204,B$15),IF(AND(COUNT(H1203:H1214)=3,COUNT(F1203:F1214)=3),cubic_spline(F1202:F1205,H1202:H1205,B$15),IF(AND(COUNT(H1203:H1214)=4,COUNT(F1203:F1214)=4),cubic_spline(F1202:F1206,H1202:H1206,B$15),IF(AND(COUNT(H1203:H1214)=5,COUNT(F1203:F1214)=5),cubic_spline(F1202:F1207,H1202:H1207,B$15),IF(AND(COUNT(H1203:H1214)=6,COUNT(F1203:F1214)=6),cubic_spline(F1202:F1208,H1202:H1208,B$15),IF(AND(COUNT(H1203:H1214)=7,COUNT(F1203:F1214)=7),cubic_spline(F1202:F1209,H1202:H1209,B$15),IF(AND(COUNT(H1203:H1214)=8,COUNT(F1203:F1214)=8),cubic_spline(F1202:F1210,H1202:H1210,B$15),IF(AND(COUNT(H1203:H1214)=9,COUNT(F1203:F1214)=9),cubic_spline(F1202:F1211,H1202:H1211,B$15),IF(AND(COUNT(H1203:H1214)=10,COUNT(F1203:F1214)=10),cubic_spline(F1202:F1212,H1202:H1212,B$15),IF(AND(COUNT(H1203:H1214)=11,COUNT(F1203:F1214)=11),cubic_spline(F1202:F1213,H1202:H1213,B$15),IF(AND(COUNT(H1203:H1214)=12,COUNT(F1203:F1214)=12),cubic_spline(F1202:F1214,H1202:H1214,B$15),""))))))))))))</f>
        <v/>
      </c>
      <c r="K1214" s="52" t="str">
        <f>IF(N(B$15)=0,"",IF(AND(COUNT(A1203:A1214)=2,COUNT(F1203:F1214)=2),cubic_spline(F1202:F1204,A1202:A1204,B$15),IF(AND(COUNT(A1203:A1214)=3,COUNT(F1203:F1214)=3),cubic_spline(F1202:F1205,A1202:A1205,B$15),IF(AND(COUNT(A1203:A1214)=4,COUNT(F1203:F1214)=4),cubic_spline(F1202:F1206,A1202:A1206,B$15),IF(AND(COUNT(A1203:A1214)=5,COUNT(F1203:F1214)=5),cubic_spline(F1202:F1207,A1202:A1207,B$15),IF(AND(COUNT(A1203:A1214)=6,COUNT(F1203:F1214)=6),cubic_spline(F1202:F1208,A1202:A1208,B$15),IF(AND(COUNT(A1203:A1214)=7,COUNT(F1203:F1214)=7),cubic_spline(F1202:F1209,A1202:A1209,B$15),IF(AND(COUNT(A1203:A1214)=8,COUNT(F1203:F1214)=8),cubic_spline(F1202:F1210,A1202:A1210,B$15),IF(AND(COUNT(A1203:A1214)=9,COUNT(F1203:F1214)=9),cubic_spline(F1202:F1211,A1202:A1211,B$15),IF(AND(COUNT(A1203:A1214)=10,COUNT(F1203:F1214)=10),cubic_spline(F1202:F1212,A1202:A1212,B$15),IF(AND(COUNT(A1203:A1214)=11,COUNT(F1203:F1214)=11),cubic_spline(F1202:F1213,A1202:A1213,B$15),IF(AND(COUNT(A1203:A1214)=12,COUNT(F1203:F1214)=12),cubic_spline(F1202:F1214,A1202:A1214,B$15),""))))))))))))</f>
        <v/>
      </c>
      <c r="L1214" s="27" t="str">
        <f>IF(I1214="","",B$14&amp;"-"&amp;B$15)</f>
        <v/>
      </c>
      <c r="M1214" s="52" t="str">
        <f t="shared" si="460"/>
        <v/>
      </c>
    </row>
    <row r="1215" spans="1:13" ht="5.15" customHeight="1" x14ac:dyDescent="0.35">
      <c r="A1215" s="47"/>
      <c r="B1215" s="47"/>
      <c r="C1215" s="47"/>
      <c r="D1215" s="53"/>
      <c r="E1215" s="54"/>
      <c r="F1215" s="55"/>
      <c r="G1215" s="72"/>
      <c r="H1215" s="73"/>
      <c r="I1215" s="47"/>
      <c r="J1215" s="57"/>
      <c r="K1215" s="57"/>
      <c r="L1215" s="55"/>
      <c r="M1215" s="57"/>
    </row>
    <row r="1216" spans="1:13" x14ac:dyDescent="0.35">
      <c r="A1216" s="48"/>
      <c r="B1216" s="48"/>
      <c r="C1216" s="49"/>
      <c r="D1216" s="50"/>
      <c r="E1216" s="51" t="str">
        <f>IF(N(C1216)=0,"",C1216/PI()/($D$1/2)^2/$D$2*10000)</f>
        <v/>
      </c>
      <c r="F1216" s="68" t="str">
        <f t="shared" ref="F1216:F1227" si="461">IF(N(E1216)=0,"",(N(E1216)+N(F1215)))</f>
        <v/>
      </c>
      <c r="G1216" s="69" t="str">
        <f>IF(OR(N(D1216)=0,N(E1216)=0),"",(E1216*D1216)/1000)</f>
        <v/>
      </c>
      <c r="H1216" s="70" t="str">
        <f t="shared" ref="H1216:H1227" si="462">IF(N(G1216)=0,"",(N(G1216)+N(H1215)))</f>
        <v/>
      </c>
      <c r="I1216" s="27" t="str">
        <f>IF(N(J1216)=0,"",0&amp;"-"&amp;B$4)</f>
        <v/>
      </c>
      <c r="J1216" s="52" t="str">
        <f>IF(N(B$4)=0,"",IF(AND(COUNT(H1216:H1227)=2,COUNT(F1216:F1227)=2),cubic_spline(F1215:F1217,H1215:H1217,B$4),IF(AND(COUNT(H1216:H1227)=3,COUNT(F1216:F1227)=3),cubic_spline(F1215:F1218,H1215:H1218,B$4),IF(AND(COUNT(H1216:H1227)=4,COUNT(F1216:F1227)=4),cubic_spline(F1215:F1219,H1215:H1219,B$4),IF(AND(COUNT(H1216:H1227)=5,COUNT(F1216:F1227)=5),cubic_spline(F1215:F1220,H1215:H1220,B$4),IF(AND(COUNT(H1216:H1227)=6,COUNT(F1216:F1227)=6),cubic_spline(F1215:F1221,H1215:H1221,B$4),IF(AND(COUNT(H1216:H1227)=7,COUNT(F1216:F1227)=7),cubic_spline(F1215:F1222,H1215:H1222,B$4),IF(AND(COUNT(H1216:H1227)=8,COUNT(F1216:F1227)=8),cubic_spline(F1215:F1223,H1215:H1223,B$4),IF(AND(COUNT(H1216:H1227)=9,COUNT(F1216:F1227)=9),cubic_spline(F1215:F1224,H1215:H1224,B$4),IF(AND(COUNT(H1216:H1227)=10,COUNT(F1216:F1227)=10),cubic_spline(F1215:F1225,H1215:H1225,B$4),IF(AND(COUNT(H1216:H1227)=11,COUNT(F1216:F1227)=11),cubic_spline(F1215:F1226,H1215:H1226,B$4),IF(AND(COUNT(H1216:H1227)=12,COUNT(F1216:F1227)=12),cubic_spline(F1215:F1227,H1215:H1227,B$4),""))))))))))))</f>
        <v/>
      </c>
      <c r="K1216" s="52" t="str">
        <f>IF(N(B$4)=0,"",IF(AND(COUNT(A1216:A1227)=2,COUNT(F1216:F1227)=2),cubic_spline(F1215:F1217,A1215:A1217,B$4),IF(AND(COUNT(A1216:A1227)=3,COUNT(F1216:F1227)=3),cubic_spline(F1215:F1218,A1215:A1218,B$4),IF(AND(COUNT(A1216:A1227)=4,COUNT(F1216:F1227)=4),cubic_spline(F1215:F1219,A1215:A1219,B$4),IF(AND(COUNT(A1216:A1227)=5,COUNT(F1216:F1227)=5),cubic_spline(F1215:F1220,A1215:A1220,B$4),IF(AND(COUNT(A1216:A1227)=6,COUNT(F1216:F1227)=6),cubic_spline(F1215:F1221,A1215:A1221,B$4),IF(AND(COUNT(A1216:A1227)=7,COUNT(F1216:F1227)=7),cubic_spline(F1215:F1222,A1215:A1222,B$4),IF(AND(COUNT(A1216:A1227)=8,COUNT(F1216:F1227)=8),cubic_spline(F1215:F1223,A1215:A1223,B$4),IF(AND(COUNT(A1216:A1227)=9,COUNT(F1216:F1227)=9),cubic_spline(F1215:F1224,A1215:A1224,B$4),IF(AND(COUNT(A1216:A1227)=10,COUNT(F1216:F1227)=10),cubic_spline(F1215:F1225,A1215:A1225,B$4),IF(AND(COUNT(A1216:A1227)=11,COUNT(F1216:F1227)=11),cubic_spline(F1215:F1226,A1215:A1226,B$4),IF(AND(COUNT(A1216:A1227)=12,COUNT(F1216:F1227)=12),cubic_spline(F1215:F1227,A1215:A1227,B$4),""))))))))))))</f>
        <v/>
      </c>
      <c r="L1216" s="27" t="str">
        <f>IF(I1216="","",0&amp;"-"&amp;B$4)</f>
        <v/>
      </c>
      <c r="M1216" s="52" t="str">
        <f>IF(N(J1216)=0,"",J1216-J1215)</f>
        <v/>
      </c>
    </row>
    <row r="1217" spans="1:13" x14ac:dyDescent="0.35">
      <c r="A1217" s="48"/>
      <c r="B1217" s="48"/>
      <c r="C1217" s="49"/>
      <c r="D1217" s="50"/>
      <c r="E1217" s="51" t="str">
        <f>IF(N(C1217)=0,"",C1217/PI()/($D$1/2)^2/$D$2*10000)</f>
        <v/>
      </c>
      <c r="F1217" s="68" t="str">
        <f t="shared" si="461"/>
        <v/>
      </c>
      <c r="G1217" s="69" t="str">
        <f t="shared" ref="G1217:G1227" si="463">IF(OR(N(D1217)=0,N(E1217)=0),"",(E1217*D1217)/1000)</f>
        <v/>
      </c>
      <c r="H1217" s="70" t="str">
        <f t="shared" si="462"/>
        <v/>
      </c>
      <c r="I1217" s="27" t="str">
        <f>IF(N(J1217)=0,"",0&amp;"-"&amp;B$5)</f>
        <v/>
      </c>
      <c r="J1217" s="52" t="str">
        <f>IF(N(B$5)=0,"",IF(AND(COUNT(H1216:H1227)=2,COUNT(F1216:F1227)=2),cubic_spline(F1215:F1217,H1215:H1217,B$5),IF(AND(COUNT(H1216:H1227)=3,COUNT(F1216:F1227)=3),cubic_spline(F1215:F1218,H1215:H1218,B$5),IF(AND(COUNT(H1216:H1227)=4,COUNT(F1216:F1227)=4),cubic_spline(F1215:F1219,H1215:H1219,B$5),IF(AND(COUNT(H1216:H1227)=5,COUNT(F1216:F1227)=5),cubic_spline(F1215:F1220,H1215:H1220,B$5),IF(AND(COUNT(H1216:H1227)=6,COUNT(F1216:F1227)=6),cubic_spline(F1215:F1221,H1215:H1221,B$5),IF(AND(COUNT(H1216:H1227)=7,COUNT(F1216:F1227)=7),cubic_spline(F1215:F1222,H1215:H1222,B$5),IF(AND(COUNT(H1216:H1227)=8,COUNT(F1216:F1227)=8),cubic_spline(F1215:F1223,H1215:H1223,B$5),IF(AND(COUNT(H1216:H1227)=9,COUNT(F1216:F1227)=9),cubic_spline(F1215:F1224,H1215:H1224,B$5),IF(AND(COUNT(H1216:H1227)=10,COUNT(F1216:F1227)=10),cubic_spline(F1215:F1225,H1215:H1225,B$5),IF(AND(COUNT(H1216:H1227)=11,COUNT(F1216:F1227)=11),cubic_spline(F1215:F1226,H1215:H1226,B$5),IF(AND(COUNT(H1216:H1227)=12,COUNT(F1216:F1227)=12),cubic_spline(F1215:F1227,H1215:H1227,B$5),""))))))))))))</f>
        <v/>
      </c>
      <c r="K1217" s="52" t="str">
        <f>IF(N(B$5)=0,"",IF(AND(COUNT(A1216:A1227)=2,COUNT(F1216:F1227)=2),cubic_spline(F1215:F1217,A1215:A1217,B$5),IF(AND(COUNT(A1216:A1227)=3,COUNT(F1216:F1227)=3),cubic_spline(F1215:F1218,A1215:A1218,B$5),IF(AND(COUNT(A1216:A1227)=4,COUNT(F1216:F1227)=4),cubic_spline(F1215:F1219,A1215:A1219,B$5),IF(AND(COUNT(A1216:A1227)=5,COUNT(F1216:F1227)=5),cubic_spline(F1215:F1220,A1215:A1220,B$5),IF(AND(COUNT(A1216:A1227)=6,COUNT(F1216:F1227)=6),cubic_spline(F1215:F1221,A1215:A1221,B$5),IF(AND(COUNT(A1216:A1227)=7,COUNT(F1216:F1227)=7),cubic_spline(F1215:F1222,A1215:A1222,B$5),IF(AND(COUNT(A1216:A1227)=8,COUNT(F1216:F1227)=8),cubic_spline(F1215:F1223,A1215:A1223,B$5),IF(AND(COUNT(A1216:A1227)=9,COUNT(F1216:F1227)=9),cubic_spline(F1215:F1224,A1215:A1224,B$5),IF(AND(COUNT(A1216:A1227)=10,COUNT(F1216:F1227)=10),cubic_spline(F1215:F1225,A1215:A1225,B$5),IF(AND(COUNT(A1216:A1227)=11,COUNT(F1216:F1227)=11),cubic_spline(F1215:F1226,A1215:A1226,B$5),IF(AND(COUNT(A1216:A1227)=12,COUNT(F1216:F1227)=12),cubic_spline(F1215:F1227,A1215:A1227,B$5),""))))))))))))</f>
        <v/>
      </c>
      <c r="L1217" s="27" t="str">
        <f>IF(I1217="","",B$4&amp;"-"&amp;B$5)</f>
        <v/>
      </c>
      <c r="M1217" s="52" t="str">
        <f>IF(N(J1217)=0,"",J1217-J1216)</f>
        <v/>
      </c>
    </row>
    <row r="1218" spans="1:13" x14ac:dyDescent="0.35">
      <c r="A1218" s="48"/>
      <c r="B1218" s="48"/>
      <c r="C1218" s="49"/>
      <c r="D1218" s="50"/>
      <c r="E1218" s="51" t="str">
        <f>IF(N(C1218)=0,"",C1218/PI()/($D$1/2)^2/$D$2*10000)</f>
        <v/>
      </c>
      <c r="F1218" s="68" t="str">
        <f t="shared" si="461"/>
        <v/>
      </c>
      <c r="G1218" s="69" t="str">
        <f t="shared" si="463"/>
        <v/>
      </c>
      <c r="H1218" s="70" t="str">
        <f t="shared" si="462"/>
        <v/>
      </c>
      <c r="I1218" s="27" t="str">
        <f>IF(N(J1218)=0,"",0&amp;"-"&amp;B$6)</f>
        <v/>
      </c>
      <c r="J1218" s="52" t="str">
        <f>IF(N(B$6)=0,"",IF(AND(COUNT(H1216:H1227)=2,COUNT(F1216:F1227)=2),cubic_spline(F1215:F1217,H1215:H1217,B$6),IF(AND(COUNT(H1216:H1227)=3,COUNT(F1216:F1227)=3),cubic_spline(F1215:F1218,H1215:H1218,B$6),IF(AND(COUNT(H1216:H1227)=4,COUNT(F1216:F1227)=4),cubic_spline(F1215:F1219,H1215:H1219,B$6),IF(AND(COUNT(H1216:H1227)=5,COUNT(F1216:F1227)=5),cubic_spline(F1215:F1220,H1215:H1220,B$6),IF(AND(COUNT(H1216:H1227)=6,COUNT(F1216:F1227)=6),cubic_spline(F1215:F1221,H1215:H1221,B$6),IF(AND(COUNT(H1216:H1227)=7,COUNT(F1216:F1227)=7),cubic_spline(F1215:F1222,H1215:H1222,B$6),IF(AND(COUNT(H1216:H1227)=8,COUNT(F1216:F1227)=8),cubic_spline(F1215:F1223,H1215:H1223,B$6),IF(AND(COUNT(H1216:H1227)=9,COUNT(F1216:F1227)=9),cubic_spline(F1215:F1224,H1215:H1224,B$6),IF(AND(COUNT(H1216:H1227)=10,COUNT(F1216:F1227)=10),cubic_spline(F1215:F1225,H1215:H1225,B$6),IF(AND(COUNT(H1216:H1227)=11,COUNT(F1216:F1227)=11),cubic_spline(F1215:F1226,H1215:H1226,B$6),IF(AND(COUNT(H1216:H1227)=12,COUNT(F1216:F1227)=12),cubic_spline(F1215:F1227,H1215:H1227,B$6),""))))))))))))</f>
        <v/>
      </c>
      <c r="K1218" s="52" t="str">
        <f>IF(N(B$6)=0,"",IF(AND(COUNT(A1216:A1227)=2,COUNT(F1216:F1227)=2),cubic_spline(F1215:F1217,A1215:A1217,B$6),IF(AND(COUNT(A1216:A1227)=3,COUNT(F1216:F1227)=3),cubic_spline(F1215:F1218,A1215:A1218,B$6),IF(AND(COUNT(A1216:A1227)=4,COUNT(F1216:F1227)=4),cubic_spline(F1215:F1219,A1215:A1219,B$6),IF(AND(COUNT(A1216:A1227)=5,COUNT(F1216:F1227)=5),cubic_spline(F1215:F1220,A1215:A1220,B$6),IF(AND(COUNT(A1216:A1227)=6,COUNT(F1216:F1227)=6),cubic_spline(F1215:F1221,A1215:A1221,B$6),IF(AND(COUNT(A1216:A1227)=7,COUNT(F1216:F1227)=7),cubic_spline(F1215:F1222,A1215:A1222,B$6),IF(AND(COUNT(A1216:A1227)=8,COUNT(F1216:F1227)=8),cubic_spline(F1215:F1223,A1215:A1223,B$6),IF(AND(COUNT(A1216:A1227)=9,COUNT(F1216:F1227)=9),cubic_spline(F1215:F1224,A1215:A1224,B$6),IF(AND(COUNT(A1216:A1227)=10,COUNT(F1216:F1227)=10),cubic_spline(F1215:F1225,A1215:A1225,B$6),IF(AND(COUNT(A1216:A1227)=11,COUNT(F1216:F1227)=11),cubic_spline(F1215:F1226,A1215:A1226,B$6),IF(AND(COUNT(A1216:A1227)=12,COUNT(F1216:F1227)=12),cubic_spline(F1215:F1227,A1215:A1227,B$6),""))))))))))))</f>
        <v/>
      </c>
      <c r="L1218" s="27" t="str">
        <f>IF(I1218="","",B$5&amp;"-"&amp;B$6)</f>
        <v/>
      </c>
      <c r="M1218" s="52" t="str">
        <f>IF(N(J1218)=0,"",J1218-J1217)</f>
        <v/>
      </c>
    </row>
    <row r="1219" spans="1:13" x14ac:dyDescent="0.35">
      <c r="A1219" s="48"/>
      <c r="B1219" s="48"/>
      <c r="C1219" s="49"/>
      <c r="D1219" s="50"/>
      <c r="E1219" s="51" t="str">
        <f>IF(N(C1219)=0,"",C1219/PI()/($D$1/2)^2/$D$2*10000)</f>
        <v/>
      </c>
      <c r="F1219" s="68" t="str">
        <f t="shared" si="461"/>
        <v/>
      </c>
      <c r="G1219" s="69" t="str">
        <f t="shared" si="463"/>
        <v/>
      </c>
      <c r="H1219" s="70" t="str">
        <f t="shared" si="462"/>
        <v/>
      </c>
      <c r="I1219" s="27" t="str">
        <f>IF(N(J1219)=0,"",0&amp;"-"&amp;B$7)</f>
        <v/>
      </c>
      <c r="J1219" s="52" t="str">
        <f>IF(N(B$7)=0,"",IF(AND(COUNT(H1216:H1227)=2,COUNT(F1216:F1227)=2),cubic_spline(F1215:F1217,H1215:H1217,B$7),IF(AND(COUNT(H1216:H1227)=3,COUNT(F1216:F1227)=3),cubic_spline(F1215:F1218,H1215:H1218,B$7),IF(AND(COUNT(H1216:H1227)=4,COUNT(F1216:F1227)=4),cubic_spline(F1215:F1219,H1215:H1219,B$7),IF(AND(COUNT(H1216:H1227)=5,COUNT(F1216:F1227)=5),cubic_spline(F1215:F1220,H1215:H1220,B$7),IF(AND(COUNT(H1216:H1227)=6,COUNT(F1216:F1227)=6),cubic_spline(F1215:F1221,H1215:H1221,B$7),IF(AND(COUNT(H1216:H1227)=7,COUNT(F1216:F1227)=7),cubic_spline(F1215:F1222,H1215:H1222,B$7),IF(AND(COUNT(H1216:H1227)=8,COUNT(F1216:F1227)=8),cubic_spline(F1215:F1223,H1215:H1223,B$7),IF(AND(COUNT(H1216:H1227)=9,COUNT(F1216:F1227)=9),cubic_spline(F1215:F1224,H1215:H1224,B$7),IF(AND(COUNT(H1216:H1227)=10,COUNT(F1216:F1227)=10),cubic_spline(F1215:F1225,H1215:H1225,B$7),IF(AND(COUNT(H1216:H1227)=11,COUNT(F1216:F1227)=11),cubic_spline(F1215:F1226,H1215:H1226,B$7),IF(AND(COUNT(H1216:H1227)=12,COUNT(F1216:F1227)=12),cubic_spline(F1215:F1227,H1215:H1227,B$7),""))))))))))))</f>
        <v/>
      </c>
      <c r="K1219" s="52" t="str">
        <f>IF(N(B$7)=0,"",IF(AND(COUNT(A1216:A1227)=2,COUNT(F1216:F1227)=2),cubic_spline(F1215:F1217,A1215:A1217,B$7),IF(AND(COUNT(A1216:A1227)=3,COUNT(F1216:F1227)=3),cubic_spline(F1215:F1218,A1215:A1218,B$7),IF(AND(COUNT(A1216:A1227)=4,COUNT(F1216:F1227)=4),cubic_spline(F1215:F1219,A1215:A1219,B$7),IF(AND(COUNT(A1216:A1227)=5,COUNT(F1216:F1227)=5),cubic_spline(F1215:F1220,A1215:A1220,B$7),IF(AND(COUNT(A1216:A1227)=6,COUNT(F1216:F1227)=6),cubic_spline(F1215:F1221,A1215:A1221,B$7),IF(AND(COUNT(A1216:A1227)=7,COUNT(F1216:F1227)=7),cubic_spline(F1215:F1222,A1215:A1222,B$7),IF(AND(COUNT(A1216:A1227)=8,COUNT(F1216:F1227)=8),cubic_spline(F1215:F1223,A1215:A1223,B$7),IF(AND(COUNT(A1216:A1227)=9,COUNT(F1216:F1227)=9),cubic_spline(F1215:F1224,A1215:A1224,B$7),IF(AND(COUNT(A1216:A1227)=10,COUNT(F1216:F1227)=10),cubic_spline(F1215:F1225,A1215:A1225,B$7),IF(AND(COUNT(A1216:A1227)=11,COUNT(F1216:F1227)=11),cubic_spline(F1215:F1226,A1215:A1226,B$7),IF(AND(COUNT(A1216:A1227)=12,COUNT(F1216:F1227)=12),cubic_spline(F1215:F1227,A1215:A1227,B$7),""))))))))))))</f>
        <v/>
      </c>
      <c r="L1219" s="27" t="str">
        <f>IF(I1219="","",B$6&amp;"-"&amp;B$7)</f>
        <v/>
      </c>
      <c r="M1219" s="52" t="str">
        <f>IF(N(J1219)=0,"",J1219-J1218)</f>
        <v/>
      </c>
    </row>
    <row r="1220" spans="1:13" x14ac:dyDescent="0.35">
      <c r="A1220" s="48"/>
      <c r="B1220" s="48"/>
      <c r="C1220" s="49"/>
      <c r="D1220" s="50"/>
      <c r="E1220" s="51" t="str">
        <f t="shared" ref="E1220:E1227" si="464">IF(N(C1220)=0,"",C1220/PI()/($D$1/2)^2/$D$2*10000)</f>
        <v/>
      </c>
      <c r="F1220" s="71" t="str">
        <f t="shared" si="461"/>
        <v/>
      </c>
      <c r="G1220" s="69" t="str">
        <f t="shared" si="463"/>
        <v/>
      </c>
      <c r="H1220" s="70" t="str">
        <f t="shared" si="462"/>
        <v/>
      </c>
      <c r="I1220" s="27" t="str">
        <f>IF(N(J1220)=0,"",0&amp;"-"&amp;B$8)</f>
        <v/>
      </c>
      <c r="J1220" s="52" t="str">
        <f>IF(N(B$8)=0,"",IF(AND(COUNT(H1216:H1227)=2,COUNT(F1216:F1227)=2),cubic_spline(F1215:F1217,H1215:H1217,B$8),IF(AND(COUNT(H1216:H1227)=3,COUNT(F1216:F1227)=3),cubic_spline(F1215:F1218,H1215:H1218,B$8),IF(AND(COUNT(H1216:H1227)=4,COUNT(F1216:F1227)=4),cubic_spline(F1215:F1219,H1215:H1219,B$8),IF(AND(COUNT(H1216:H1227)=5,COUNT(F1216:F1227)=5),cubic_spline(F1215:F1220,H1215:H1220,B$8),IF(AND(COUNT(H1216:H1227)=6,COUNT(F1216:F1227)=6),cubic_spline(F1215:F1221,H1215:H1221,B$8),IF(AND(COUNT(H1216:H1227)=7,COUNT(F1216:F1227)=7),cubic_spline(F1215:F1222,H1215:H1222,B$8),IF(AND(COUNT(H1216:H1227)=8,COUNT(F1216:F1227)=8),cubic_spline(F1215:F1223,H1215:H1223,B$8),IF(AND(COUNT(H1216:H1227)=9,COUNT(F1216:F1227)=9),cubic_spline(F1215:F1224,H1215:H1224,B$8),IF(AND(COUNT(H1216:H1227)=10,COUNT(F1216:F1227)=10),cubic_spline(F1215:F1225,H1215:H1225,B$8),IF(AND(COUNT(H1216:H1227)=11,COUNT(F1216:F1227)=11),cubic_spline(F1215:F1226,H1215:H1226,B$8),IF(AND(COUNT(H1216:H1227)=12,COUNT(F1216:F1227)=12),cubic_spline(F1215:F1227,H1215:H1227,B$8),""))))))))))))</f>
        <v/>
      </c>
      <c r="K1220" s="52" t="str">
        <f>IF(N(B$8)=0,"",IF(AND(COUNT(A1216:A1227)=2,COUNT(F1216:F1227)=2),cubic_spline(F1215:F1217,A1215:A1217,B$8),IF(AND(COUNT(A1216:A1227)=3,COUNT(F1216:F1227)=3),cubic_spline(F1215:F1218,A1215:A1218,B$8),IF(AND(COUNT(A1216:A1227)=4,COUNT(F1216:F1227)=4),cubic_spline(F1215:F1219,A1215:A1219,B$8),IF(AND(COUNT(A1216:A1227)=5,COUNT(F1216:F1227)=5),cubic_spline(F1215:F1220,A1215:A1220,B$8),IF(AND(COUNT(A1216:A1227)=6,COUNT(F1216:F1227)=6),cubic_spline(F1215:F1221,A1215:A1221,B$8),IF(AND(COUNT(A1216:A1227)=7,COUNT(F1216:F1227)=7),cubic_spline(F1215:F1222,A1215:A1222,B$8),IF(AND(COUNT(A1216:A1227)=8,COUNT(F1216:F1227)=8),cubic_spline(F1215:F1223,A1215:A1223,B$8),IF(AND(COUNT(A1216:A1227)=9,COUNT(F1216:F1227)=9),cubic_spline(F1215:F1224,A1215:A1224,B$8),IF(AND(COUNT(A1216:A1227)=10,COUNT(F1216:F1227)=10),cubic_spline(F1215:F1225,A1215:A1225,B$8),IF(AND(COUNT(A1216:A1227)=11,COUNT(F1216:F1227)=11),cubic_spline(F1215:F1226,A1215:A1226,B$8),IF(AND(COUNT(A1216:A1227)=12,COUNT(F1216:F1227)=12),cubic_spline(F1215:F1227,A1215:A1227,B$8),""))))))))))))</f>
        <v/>
      </c>
      <c r="L1220" s="27" t="str">
        <f>IF(I1220="","",B$7&amp;"-"&amp;B$8)</f>
        <v/>
      </c>
      <c r="M1220" s="52" t="str">
        <f>IF(N(J1220)=0,"",J1220-J1219)</f>
        <v/>
      </c>
    </row>
    <row r="1221" spans="1:13" x14ac:dyDescent="0.35">
      <c r="A1221" s="48"/>
      <c r="B1221" s="48"/>
      <c r="C1221" s="49"/>
      <c r="D1221" s="50"/>
      <c r="E1221" s="51" t="str">
        <f t="shared" si="464"/>
        <v/>
      </c>
      <c r="F1221" s="71" t="str">
        <f t="shared" si="461"/>
        <v/>
      </c>
      <c r="G1221" s="69" t="str">
        <f t="shared" si="463"/>
        <v/>
      </c>
      <c r="H1221" s="70" t="str">
        <f t="shared" si="462"/>
        <v/>
      </c>
      <c r="I1221" s="27" t="str">
        <f>IF(N(J1221)=0,"",0&amp;"-"&amp;B$9)</f>
        <v/>
      </c>
      <c r="J1221" s="52" t="str">
        <f>IF(N(B$9)=0,"",IF(AND(COUNT(H1216:H1227)=2,COUNT(F1216:F1227)=2),cubic_spline(F1215:F1217,H1215:H1217,B$9),IF(AND(COUNT(H1216:H1227)=3,COUNT(F1216:F1227)=3),cubic_spline(F1215:F1218,H1215:H1218,B$9),IF(AND(COUNT(H1216:H1227)=4,COUNT(F1216:F1227)=4),cubic_spline(F1215:F1219,H1215:H1219,B$9),IF(AND(COUNT(H1216:H1227)=5,COUNT(F1216:F1227)=5),cubic_spline(F1215:F1220,H1215:H1220,B$9),IF(AND(COUNT(H1216:H1227)=6,COUNT(F1216:F1227)=6),cubic_spline(F1215:F1221,H1215:H1221,B$9),IF(AND(COUNT(H1216:H1227)=7,COUNT(F1216:F1227)=7),cubic_spline(F1215:F1222,H1215:H1222,B$9),IF(AND(COUNT(H1216:H1227)=8,COUNT(F1216:F1227)=8),cubic_spline(F1215:F1223,H1215:H1223,B$9),IF(AND(COUNT(H1216:H1227)=9,COUNT(F1216:F1227)=9),cubic_spline(F1215:F1224,H1215:H1224,B$9),IF(AND(COUNT(H1216:H1227)=10,COUNT(F1216:F1227)=10),cubic_spline(F1215:F1225,H1215:H1225,B$9),IF(AND(COUNT(H1216:H1227)=11,COUNT(F1216:F1227)=11),cubic_spline(F1215:F1226,H1215:H1226,B$9),IF(AND(COUNT(H1216:H1227)=12,COUNT(F1216:F1227)=12),cubic_spline(F1215:F1227,H1215:H1227,B$9),""))))))))))))</f>
        <v/>
      </c>
      <c r="K1221" s="52" t="str">
        <f>IF(N(B$9)=0,"",IF(AND(COUNT(A1216:A1227)=2,COUNT(F1216:F1227)=2),cubic_spline(F1215:F1217,A1215:A1217,B$9),IF(AND(COUNT(A1216:A1227)=3,COUNT(F1216:F1227)=3),cubic_spline(F1215:F1218,A1215:A1218,B$9),IF(AND(COUNT(A1216:A1227)=4,COUNT(F1216:F1227)=4),cubic_spline(F1215:F1219,A1215:A1219,B$9),IF(AND(COUNT(A1216:A1227)=5,COUNT(F1216:F1227)=5),cubic_spline(F1215:F1220,A1215:A1220,B$9),IF(AND(COUNT(A1216:A1227)=6,COUNT(F1216:F1227)=6),cubic_spline(F1215:F1221,A1215:A1221,B$9),IF(AND(COUNT(A1216:A1227)=7,COUNT(F1216:F1227)=7),cubic_spline(F1215:F1222,A1215:A1222,B$9),IF(AND(COUNT(A1216:A1227)=8,COUNT(F1216:F1227)=8),cubic_spline(F1215:F1223,A1215:A1223,B$9),IF(AND(COUNT(A1216:A1227)=9,COUNT(F1216:F1227)=9),cubic_spline(F1215:F1224,A1215:A1224,B$9),IF(AND(COUNT(A1216:A1227)=10,COUNT(F1216:F1227)=10),cubic_spline(F1215:F1225,A1215:A1225,B$9),IF(AND(COUNT(A1216:A1227)=11,COUNT(F1216:F1227)=11),cubic_spline(F1215:F1226,A1215:A1226,B$9),IF(AND(COUNT(A1216:A1227)=12,COUNT(F1216:F1227)=12),cubic_spline(F1215:F1227,A1215:A1227,B$9),""))))))))))))</f>
        <v/>
      </c>
      <c r="L1221" s="27" t="str">
        <f>IF(I1221="","",B$8&amp;"-"&amp;B$9)</f>
        <v/>
      </c>
      <c r="M1221" s="52" t="str">
        <f t="shared" ref="M1221:M1227" si="465">IF(N(J1221)=0,"",J1221-J1220)</f>
        <v/>
      </c>
    </row>
    <row r="1222" spans="1:13" x14ac:dyDescent="0.35">
      <c r="A1222" s="48"/>
      <c r="B1222" s="48"/>
      <c r="C1222" s="49"/>
      <c r="D1222" s="50"/>
      <c r="E1222" s="51" t="str">
        <f t="shared" si="464"/>
        <v/>
      </c>
      <c r="F1222" s="71" t="str">
        <f t="shared" si="461"/>
        <v/>
      </c>
      <c r="G1222" s="69" t="str">
        <f t="shared" si="463"/>
        <v/>
      </c>
      <c r="H1222" s="70" t="str">
        <f t="shared" si="462"/>
        <v/>
      </c>
      <c r="I1222" s="27" t="str">
        <f>IF(N(J1222)=0,"",0&amp;"-"&amp;B$10)</f>
        <v/>
      </c>
      <c r="J1222" s="52" t="str">
        <f>IF(N(B$10)=0,"",IF(AND(COUNT(H1216:H1227)=2,COUNT(F1216:F1227)=2),cubic_spline(F1215:F1217,H1215:H1217,B$10),IF(AND(COUNT(H1216:H1227)=3,COUNT(F1216:F1227)=3),cubic_spline(F1215:F1218,H1215:H1218,B$10),IF(AND(COUNT(H1216:H1227)=4,COUNT(F1216:F1227)=4),cubic_spline(F1215:F1219,H1215:H1219,B$10),IF(AND(COUNT(H1216:H1227)=5,COUNT(F1216:F1227)=5),cubic_spline(F1215:F1220,H1215:H1220,B$10),IF(AND(COUNT(H1216:H1227)=6,COUNT(F1216:F1227)=6),cubic_spline(F1215:F1221,H1215:H1221,B$10),IF(AND(COUNT(H1216:H1227)=7,COUNT(F1216:F1227)=7),cubic_spline(F1215:F1222,H1215:H1222,B$10),IF(AND(COUNT(H1216:H1227)=8,COUNT(F1216:F1227)=8),cubic_spline(F1215:F1223,H1215:H1223,B$10),IF(AND(COUNT(H1216:H1227)=9,COUNT(F1216:F1227)=9),cubic_spline(F1215:F1224,H1215:H1224,B$10),IF(AND(COUNT(H1216:H1227)=10,COUNT(F1216:F1227)=10),cubic_spline(F1215:F1225,H1215:H1225,B$10),IF(AND(COUNT(H1216:H1227)=11,COUNT(F1216:F1227)=11),cubic_spline(F1215:F1226,H1215:H1226,B$10),IF(AND(COUNT(H1216:H1227)=12,COUNT(F1216:F1227)=12),cubic_spline(F1215:F1227,H1215:H1227,B$10),""))))))))))))</f>
        <v/>
      </c>
      <c r="K1222" s="52" t="str">
        <f>IF(N(B$10)=0,"",IF(AND(COUNT(A1216:A1227)=2,COUNT(F1216:F1227)=2),cubic_spline(F1215:F1217,A1215:A1217,B$10),IF(AND(COUNT(A1216:A1227)=3,COUNT(F1216:F1227)=3),cubic_spline(F1215:F1218,A1215:A1218,B$10),IF(AND(COUNT(A1216:A1227)=4,COUNT(F1216:F1227)=4),cubic_spline(F1215:F1219,A1215:A1219,B$10),IF(AND(COUNT(A1216:A1227)=5,COUNT(F1216:F1227)=5),cubic_spline(F1215:F1220,A1215:A1220,B$10),IF(AND(COUNT(A1216:A1227)=6,COUNT(F1216:F1227)=6),cubic_spline(F1215:F1221,A1215:A1221,B$10),IF(AND(COUNT(A1216:A1227)=7,COUNT(F1216:F1227)=7),cubic_spline(F1215:F1222,A1215:A1222,B$10),IF(AND(COUNT(A1216:A1227)=8,COUNT(F1216:F1227)=8),cubic_spline(F1215:F1223,A1215:A1223,B$10),IF(AND(COUNT(A1216:A1227)=9,COUNT(F1216:F1227)=9),cubic_spline(F1215:F1224,A1215:A1224,B$10),IF(AND(COUNT(A1216:A1227)=10,COUNT(F1216:F1227)=10),cubic_spline(F1215:F1225,A1215:A1225,B$10),IF(AND(COUNT(A1216:A1227)=11,COUNT(F1216:F1227)=11),cubic_spline(F1215:F1226,A1215:A1226,B$10),IF(AND(COUNT(A1216:A1227)=12,COUNT(F1216:F1227)=12),cubic_spline(F1215:F1227,A1215:A1227,B$10),""))))))))))))</f>
        <v/>
      </c>
      <c r="L1222" s="27" t="str">
        <f>IF(I1222="","",B$9&amp;"-"&amp;B$10)</f>
        <v/>
      </c>
      <c r="M1222" s="52" t="str">
        <f t="shared" si="465"/>
        <v/>
      </c>
    </row>
    <row r="1223" spans="1:13" x14ac:dyDescent="0.35">
      <c r="A1223" s="48"/>
      <c r="B1223" s="48"/>
      <c r="C1223" s="49"/>
      <c r="D1223" s="50"/>
      <c r="E1223" s="51" t="str">
        <f t="shared" si="464"/>
        <v/>
      </c>
      <c r="F1223" s="71" t="str">
        <f t="shared" si="461"/>
        <v/>
      </c>
      <c r="G1223" s="69" t="str">
        <f t="shared" si="463"/>
        <v/>
      </c>
      <c r="H1223" s="70" t="str">
        <f t="shared" si="462"/>
        <v/>
      </c>
      <c r="I1223" s="27" t="str">
        <f>IF(N(J1223)=0,"",0&amp;"-"&amp;B$11)</f>
        <v/>
      </c>
      <c r="J1223" s="52" t="str">
        <f>IF(N(B$11)=0,"",IF(AND(COUNT(H1216:H1227)=2,COUNT(F1216:F1227)=2),cubic_spline(F1215:F1217,H1215:H1217,B$11),IF(AND(COUNT(H1216:H1227)=3,COUNT(F1216:F1227)=3),cubic_spline(F1215:F1218,H1215:H1218,B$11),IF(AND(COUNT(H1216:H1227)=4,COUNT(F1216:F1227)=4),cubic_spline(F1215:F1219,H1215:H1219,B$11),IF(AND(COUNT(H1216:H1227)=5,COUNT(F1216:F1227)=5),cubic_spline(F1215:F1220,H1215:H1220,B$11),IF(AND(COUNT(H1216:H1227)=6,COUNT(F1216:F1227)=6),cubic_spline(F1215:F1221,H1215:H1221,B$11),IF(AND(COUNT(H1216:H1227)=7,COUNT(F1216:F1227)=7),cubic_spline(F1215:F1222,H1215:H1222,B$11),IF(AND(COUNT(H1216:H1227)=8,COUNT(F1216:F1227)=8),cubic_spline(F1215:F1223,H1215:H1223,B$11),IF(AND(COUNT(H1216:H1227)=9,COUNT(F1216:F1227)=9),cubic_spline(F1215:F1224,H1215:H1224,B$11),IF(AND(COUNT(H1216:H1227)=10,COUNT(F1216:F1227)=10),cubic_spline(F1215:F1225,H1215:H1225,B$11),IF(AND(COUNT(H1216:H1227)=11,COUNT(F1216:F1227)=11),cubic_spline(F1215:F1226,H1215:H1226,B$11),IF(AND(COUNT(H1216:H1227)=12,COUNT(F1216:F1227)=12),cubic_spline(F1215:F1227,H1215:H1227,B$11),""))))))))))))</f>
        <v/>
      </c>
      <c r="K1223" s="52" t="str">
        <f>IF(N(B$11)=0,"",IF(AND(COUNT(A1216:A1227)=2,COUNT(F1216:F1227)=2),cubic_spline(F1215:F1217,A1215:A1217,B$11),IF(AND(COUNT(A1216:A1227)=3,COUNT(F1216:F1227)=3),cubic_spline(F1215:F1218,A1215:A1218,B$11),IF(AND(COUNT(A1216:A1227)=4,COUNT(F1216:F1227)=4),cubic_spline(F1215:F1219,A1215:A1219,B$11),IF(AND(COUNT(A1216:A1227)=5,COUNT(F1216:F1227)=5),cubic_spline(F1215:F1220,A1215:A1220,B$11),IF(AND(COUNT(A1216:A1227)=6,COUNT(F1216:F1227)=6),cubic_spline(F1215:F1221,A1215:A1221,B$11),IF(AND(COUNT(A1216:A1227)=7,COUNT(F1216:F1227)=7),cubic_spline(F1215:F1222,A1215:A1222,B$11),IF(AND(COUNT(A1216:A1227)=8,COUNT(F1216:F1227)=8),cubic_spline(F1215:F1223,A1215:A1223,B$11),IF(AND(COUNT(A1216:A1227)=9,COUNT(F1216:F1227)=9),cubic_spline(F1215:F1224,A1215:A1224,B$11),IF(AND(COUNT(A1216:A1227)=10,COUNT(F1216:F1227)=10),cubic_spline(F1215:F1225,A1215:A1225,B$11),IF(AND(COUNT(A1216:A1227)=11,COUNT(F1216:F1227)=11),cubic_spline(F1215:F1226,A1215:A1226,B$11),IF(AND(COUNT(A1216:A1227)=12,COUNT(F1216:F1227)=12),cubic_spline(F1215:F1227,A1215:A1227,B$11),""))))))))))))</f>
        <v/>
      </c>
      <c r="L1223" s="27" t="str">
        <f>IF(I1223="","",B$10&amp;"-"&amp;B$11)</f>
        <v/>
      </c>
      <c r="M1223" s="52" t="str">
        <f t="shared" si="465"/>
        <v/>
      </c>
    </row>
    <row r="1224" spans="1:13" x14ac:dyDescent="0.35">
      <c r="A1224" s="48"/>
      <c r="B1224" s="48"/>
      <c r="C1224" s="49"/>
      <c r="D1224" s="50"/>
      <c r="E1224" s="51" t="str">
        <f t="shared" si="464"/>
        <v/>
      </c>
      <c r="F1224" s="71" t="str">
        <f t="shared" si="461"/>
        <v/>
      </c>
      <c r="G1224" s="69" t="str">
        <f t="shared" si="463"/>
        <v/>
      </c>
      <c r="H1224" s="70" t="str">
        <f t="shared" si="462"/>
        <v/>
      </c>
      <c r="I1224" s="27" t="str">
        <f>IF(N(J1224)=0,"",0&amp;"-"&amp;B$12)</f>
        <v/>
      </c>
      <c r="J1224" s="52" t="str">
        <f>IF(N(B$12)=0,"",IF(AND(COUNT(H1216:H1227)=2,COUNT(F1216:F1227)=2),cubic_spline(F1215:F1217,H1215:H1217,B$12),IF(AND(COUNT(H1216:H1227)=3,COUNT(F1216:F1227)=3),cubic_spline(F1215:F1218,H1215:H1218,B$12),IF(AND(COUNT(H1216:H1227)=4,COUNT(F1216:F1227)=4),cubic_spline(F1215:F1219,H1215:H1219,B$12),IF(AND(COUNT(H1216:H1227)=5,COUNT(F1216:F1227)=5),cubic_spline(F1215:F1220,H1215:H1220,B$12),IF(AND(COUNT(H1216:H1227)=6,COUNT(F1216:F1227)=6),cubic_spline(F1215:F1221,H1215:H1221,B$12),IF(AND(COUNT(H1216:H1227)=7,COUNT(F1216:F1227)=7),cubic_spline(F1215:F1222,H1215:H1222,B$12),IF(AND(COUNT(H1216:H1227)=8,COUNT(F1216:F1227)=8),cubic_spline(F1215:F1223,H1215:H1223,B$12),IF(AND(COUNT(H1216:H1227)=9,COUNT(F1216:F1227)=9),cubic_spline(F1215:F1224,H1215:H1224,B$12),IF(AND(COUNT(H1216:H1227)=10,COUNT(F1216:F1227)=10),cubic_spline(F1215:F1225,H1215:H1225,B$12),IF(AND(COUNT(H1216:H1227)=11,COUNT(F1216:F1227)=11),cubic_spline(F1215:F1226,H1215:H1226,B$12),IF(AND(COUNT(H1216:H1227)=12,COUNT(F1216:F1227)=12),cubic_spline(F1215:F1227,H1215:H1227,B$12),""))))))))))))</f>
        <v/>
      </c>
      <c r="K1224" s="52" t="str">
        <f>IF(N(B$12)=0,"",IF(AND(COUNT(A1216:A1227)=2,COUNT(F1216:F1227)=2),cubic_spline(F1215:F1217,A1215:A1217,B$12),IF(AND(COUNT(A1216:A1227)=3,COUNT(F1216:F1227)=3),cubic_spline(F1215:F1218,A1215:A1218,B$12),IF(AND(COUNT(A1216:A1227)=4,COUNT(F1216:F1227)=4),cubic_spline(F1215:F1219,A1215:A1219,B$12),IF(AND(COUNT(A1216:A1227)=5,COUNT(F1216:F1227)=5),cubic_spline(F1215:F1220,A1215:A1220,B$12),IF(AND(COUNT(A1216:A1227)=6,COUNT(F1216:F1227)=6),cubic_spline(F1215:F1221,A1215:A1221,B$12),IF(AND(COUNT(A1216:A1227)=7,COUNT(F1216:F1227)=7),cubic_spline(F1215:F1222,A1215:A1222,B$12),IF(AND(COUNT(A1216:A1227)=8,COUNT(F1216:F1227)=8),cubic_spline(F1215:F1223,A1215:A1223,B$12),IF(AND(COUNT(A1216:A1227)=9,COUNT(F1216:F1227)=9),cubic_spline(F1215:F1224,A1215:A1224,B$12),IF(AND(COUNT(A1216:A1227)=10,COUNT(F1216:F1227)=10),cubic_spline(F1215:F1225,A1215:A1225,B$12),IF(AND(COUNT(A1216:A1227)=11,COUNT(F1216:F1227)=11),cubic_spline(F1215:F1226,A1215:A1226,B$12),IF(AND(COUNT(A1216:A1227)=12,COUNT(F1216:F1227)=12),cubic_spline(F1215:F1227,A1215:A1227,B$12),""))))))))))))</f>
        <v/>
      </c>
      <c r="L1224" s="27" t="str">
        <f>IF(I1224="","",B$11&amp;"-"&amp;B$12)</f>
        <v/>
      </c>
      <c r="M1224" s="52" t="str">
        <f t="shared" si="465"/>
        <v/>
      </c>
    </row>
    <row r="1225" spans="1:13" x14ac:dyDescent="0.35">
      <c r="A1225" s="48"/>
      <c r="B1225" s="48"/>
      <c r="C1225" s="49"/>
      <c r="D1225" s="50"/>
      <c r="E1225" s="51" t="str">
        <f t="shared" si="464"/>
        <v/>
      </c>
      <c r="F1225" s="71" t="str">
        <f t="shared" si="461"/>
        <v/>
      </c>
      <c r="G1225" s="69" t="str">
        <f t="shared" si="463"/>
        <v/>
      </c>
      <c r="H1225" s="70" t="str">
        <f t="shared" si="462"/>
        <v/>
      </c>
      <c r="I1225" s="27" t="str">
        <f>IF(N(J1225)=0,"",0&amp;"-"&amp;B$13)</f>
        <v/>
      </c>
      <c r="J1225" s="52" t="str">
        <f>IF(N(B$13)=0,"",IF(AND(COUNT(H1216:H1227)=2,COUNT(F1216:F1227)=2),cubic_spline(F1215:F1217,H1215:H1217,B$13),IF(AND(COUNT(H1216:H1227)=3,COUNT(F1216:F1227)=3),cubic_spline(F1215:F1218,H1215:H1218,B$13),IF(AND(COUNT(H1216:H1227)=4,COUNT(F1216:F1227)=4),cubic_spline(F1215:F1219,H1215:H1219,B$13),IF(AND(COUNT(H1216:H1227)=5,COUNT(F1216:F1227)=5),cubic_spline(F1215:F1220,H1215:H1220,B$13),IF(AND(COUNT(H1216:H1227)=6,COUNT(F1216:F1227)=6),cubic_spline(F1215:F1221,H1215:H1221,B$13),IF(AND(COUNT(H1216:H1227)=7,COUNT(F1216:F1227)=7),cubic_spline(F1215:F1222,H1215:H1222,B$13),IF(AND(COUNT(H1216:H1227)=8,COUNT(F1216:F1227)=8),cubic_spline(F1215:F1223,H1215:H1223,B$13),IF(AND(COUNT(H1216:H1227)=9,COUNT(F1216:F1227)=9),cubic_spline(F1215:F1224,H1215:H1224,B$13),IF(AND(COUNT(H1216:H1227)=10,COUNT(F1216:F1227)=10),cubic_spline(F1215:F1225,H1215:H1225,B$13),IF(AND(COUNT(H1216:H1227)=11,COUNT(F1216:F1227)=11),cubic_spline(F1215:F1226,H1215:H1226,B$13),IF(AND(COUNT(H1216:H1227)=12,COUNT(F1216:F1227)=12),cubic_spline(F1215:F1227,H1215:H1227,B$13),""))))))))))))</f>
        <v/>
      </c>
      <c r="K1225" s="52" t="str">
        <f>IF(N(B$13)=0,"",IF(AND(COUNT(A1216:A1227)=2,COUNT(F1216:F1227)=2),cubic_spline(F1215:F1217,A1215:A1217,B$13),IF(AND(COUNT(A1216:A1227)=3,COUNT(F1216:F1227)=3),cubic_spline(F1215:F1218,A1215:A1218,B$13),IF(AND(COUNT(A1216:A1227)=4,COUNT(F1216:F1227)=4),cubic_spline(F1215:F1219,A1215:A1219,B$13),IF(AND(COUNT(A1216:A1227)=5,COUNT(F1216:F1227)=5),cubic_spline(F1215:F1220,A1215:A1220,B$13),IF(AND(COUNT(A1216:A1227)=6,COUNT(F1216:F1227)=6),cubic_spline(F1215:F1221,A1215:A1221,B$13),IF(AND(COUNT(A1216:A1227)=7,COUNT(F1216:F1227)=7),cubic_spline(F1215:F1222,A1215:A1222,B$13),IF(AND(COUNT(A1216:A1227)=8,COUNT(F1216:F1227)=8),cubic_spline(F1215:F1223,A1215:A1223,B$13),IF(AND(COUNT(A1216:A1227)=9,COUNT(F1216:F1227)=9),cubic_spline(F1215:F1224,A1215:A1224,B$13),IF(AND(COUNT(A1216:A1227)=10,COUNT(F1216:F1227)=10),cubic_spline(F1215:F1225,A1215:A1225,B$13),IF(AND(COUNT(A1216:A1227)=11,COUNT(F1216:F1227)=11),cubic_spline(F1215:F1226,A1215:A1226,B$13),IF(AND(COUNT(A1216:A1227)=12,COUNT(F1216:F1227)=12),cubic_spline(F1215:F1227,A1215:A1227,B$13),""))))))))))))</f>
        <v/>
      </c>
      <c r="L1225" s="27" t="str">
        <f>IF(I1225="","",B$12&amp;"-"&amp;B$13)</f>
        <v/>
      </c>
      <c r="M1225" s="52" t="str">
        <f t="shared" si="465"/>
        <v/>
      </c>
    </row>
    <row r="1226" spans="1:13" x14ac:dyDescent="0.35">
      <c r="A1226" s="48"/>
      <c r="B1226" s="48"/>
      <c r="C1226" s="49"/>
      <c r="D1226" s="50"/>
      <c r="E1226" s="51" t="str">
        <f t="shared" si="464"/>
        <v/>
      </c>
      <c r="F1226" s="71" t="str">
        <f t="shared" si="461"/>
        <v/>
      </c>
      <c r="G1226" s="69" t="str">
        <f t="shared" si="463"/>
        <v/>
      </c>
      <c r="H1226" s="70" t="str">
        <f t="shared" si="462"/>
        <v/>
      </c>
      <c r="I1226" s="27" t="str">
        <f>IF(N(J1226)=0,"",0&amp;"-"&amp;B$14)</f>
        <v/>
      </c>
      <c r="J1226" s="52" t="str">
        <f>IF(N(B$14)=0,"",IF(AND(COUNT(H1216:H1227)=2,COUNT(F1216:F1227)=2),cubic_spline(F1215:F1217,H1215:H1217,B$14),IF(AND(COUNT(H1216:H1227)=3,COUNT(F1216:F1227)=3),cubic_spline(F1215:F1218,H1215:H1218,B$14),IF(AND(COUNT(H1216:H1227)=4,COUNT(F1216:F1227)=4),cubic_spline(F1215:F1219,H1215:H1219,B$14),IF(AND(COUNT(H1216:H1227)=5,COUNT(F1216:F1227)=5),cubic_spline(F1215:F1220,H1215:H1220,B$14),IF(AND(COUNT(H1216:H1227)=6,COUNT(F1216:F1227)=6),cubic_spline(F1215:F1221,H1215:H1221,B$14),IF(AND(COUNT(H1216:H1227)=7,COUNT(F1216:F1227)=7),cubic_spline(F1215:F1222,H1215:H1222,B$14),IF(AND(COUNT(H1216:H1227)=8,COUNT(F1216:F1227)=8),cubic_spline(F1215:F1223,H1215:H1223,B$14),IF(AND(COUNT(H1216:H1227)=9,COUNT(F1216:F1227)=9),cubic_spline(F1215:F1224,H1215:H1224,B$14),IF(AND(COUNT(H1216:H1227)=10,COUNT(F1216:F1227)=10),cubic_spline(F1215:F1225,H1215:H1225,B$14),IF(AND(COUNT(H1216:H1227)=11,COUNT(F1216:F1227)=11),cubic_spline(F1215:F1226,H1215:H1226,B$14),IF(AND(COUNT(H1216:H1227)=12,COUNT(F1216:F1227)=12),cubic_spline(F1215:F1227,H1215:H1227,B$14),""))))))))))))</f>
        <v/>
      </c>
      <c r="K1226" s="52" t="str">
        <f>IF(N(B$14)=0,"",IF(AND(COUNT(A1216:A1227)=2,COUNT(F1216:F1227)=2),cubic_spline(F1215:F1217,A1215:A1217,B$14),IF(AND(COUNT(A1216:A1227)=3,COUNT(F1216:F1227)=3),cubic_spline(F1215:F1218,A1215:A1218,B$14),IF(AND(COUNT(A1216:A1227)=4,COUNT(F1216:F1227)=4),cubic_spline(F1215:F1219,A1215:A1219,B$14),IF(AND(COUNT(A1216:A1227)=5,COUNT(F1216:F1227)=5),cubic_spline(F1215:F1220,A1215:A1220,B$14),IF(AND(COUNT(A1216:A1227)=6,COUNT(F1216:F1227)=6),cubic_spline(F1215:F1221,A1215:A1221,B$14),IF(AND(COUNT(A1216:A1227)=7,COUNT(F1216:F1227)=7),cubic_spline(F1215:F1222,A1215:A1222,B$14),IF(AND(COUNT(A1216:A1227)=8,COUNT(F1216:F1227)=8),cubic_spline(F1215:F1223,A1215:A1223,B$14),IF(AND(COUNT(A1216:A1227)=9,COUNT(F1216:F1227)=9),cubic_spline(F1215:F1224,A1215:A1224,B$14),IF(AND(COUNT(A1216:A1227)=10,COUNT(F1216:F1227)=10),cubic_spline(F1215:F1225,A1215:A1225,B$14),IF(AND(COUNT(A1216:A1227)=11,COUNT(F1216:F1227)=11),cubic_spline(F1215:F1226,A1215:A1226,B$14),IF(AND(COUNT(A1216:A1227)=12,COUNT(F1216:F1227)=12),cubic_spline(F1215:F1227,A1215:A1227,B$14),""))))))))))))</f>
        <v/>
      </c>
      <c r="L1226" s="27" t="str">
        <f>IF(I1226="","",B$13&amp;"-"&amp;B$14)</f>
        <v/>
      </c>
      <c r="M1226" s="52" t="str">
        <f t="shared" si="465"/>
        <v/>
      </c>
    </row>
    <row r="1227" spans="1:13" x14ac:dyDescent="0.35">
      <c r="A1227" s="48"/>
      <c r="B1227" s="48"/>
      <c r="C1227" s="49"/>
      <c r="D1227" s="50"/>
      <c r="E1227" s="51" t="str">
        <f t="shared" si="464"/>
        <v/>
      </c>
      <c r="F1227" s="71" t="str">
        <f t="shared" si="461"/>
        <v/>
      </c>
      <c r="G1227" s="69" t="str">
        <f t="shared" si="463"/>
        <v/>
      </c>
      <c r="H1227" s="70" t="str">
        <f t="shared" si="462"/>
        <v/>
      </c>
      <c r="I1227" s="27" t="str">
        <f>IF(N(J1227)=0,"",0&amp;"-"&amp;B$15)</f>
        <v/>
      </c>
      <c r="J1227" s="52" t="str">
        <f>IF(N(B$15)=0,"",IF(AND(COUNT(H1216:H1227)=2,COUNT(F1216:F1227)=2),cubic_spline(F1215:F1217,H1215:H1217,B$15),IF(AND(COUNT(H1216:H1227)=3,COUNT(F1216:F1227)=3),cubic_spline(F1215:F1218,H1215:H1218,B$15),IF(AND(COUNT(H1216:H1227)=4,COUNT(F1216:F1227)=4),cubic_spline(F1215:F1219,H1215:H1219,B$15),IF(AND(COUNT(H1216:H1227)=5,COUNT(F1216:F1227)=5),cubic_spline(F1215:F1220,H1215:H1220,B$15),IF(AND(COUNT(H1216:H1227)=6,COUNT(F1216:F1227)=6),cubic_spline(F1215:F1221,H1215:H1221,B$15),IF(AND(COUNT(H1216:H1227)=7,COUNT(F1216:F1227)=7),cubic_spline(F1215:F1222,H1215:H1222,B$15),IF(AND(COUNT(H1216:H1227)=8,COUNT(F1216:F1227)=8),cubic_spline(F1215:F1223,H1215:H1223,B$15),IF(AND(COUNT(H1216:H1227)=9,COUNT(F1216:F1227)=9),cubic_spline(F1215:F1224,H1215:H1224,B$15),IF(AND(COUNT(H1216:H1227)=10,COUNT(F1216:F1227)=10),cubic_spline(F1215:F1225,H1215:H1225,B$15),IF(AND(COUNT(H1216:H1227)=11,COUNT(F1216:F1227)=11),cubic_spline(F1215:F1226,H1215:H1226,B$15),IF(AND(COUNT(H1216:H1227)=12,COUNT(F1216:F1227)=12),cubic_spline(F1215:F1227,H1215:H1227,B$15),""))))))))))))</f>
        <v/>
      </c>
      <c r="K1227" s="52" t="str">
        <f>IF(N(B$15)=0,"",IF(AND(COUNT(A1216:A1227)=2,COUNT(F1216:F1227)=2),cubic_spline(F1215:F1217,A1215:A1217,B$15),IF(AND(COUNT(A1216:A1227)=3,COUNT(F1216:F1227)=3),cubic_spline(F1215:F1218,A1215:A1218,B$15),IF(AND(COUNT(A1216:A1227)=4,COUNT(F1216:F1227)=4),cubic_spline(F1215:F1219,A1215:A1219,B$15),IF(AND(COUNT(A1216:A1227)=5,COUNT(F1216:F1227)=5),cubic_spline(F1215:F1220,A1215:A1220,B$15),IF(AND(COUNT(A1216:A1227)=6,COUNT(F1216:F1227)=6),cubic_spline(F1215:F1221,A1215:A1221,B$15),IF(AND(COUNT(A1216:A1227)=7,COUNT(F1216:F1227)=7),cubic_spline(F1215:F1222,A1215:A1222,B$15),IF(AND(COUNT(A1216:A1227)=8,COUNT(F1216:F1227)=8),cubic_spline(F1215:F1223,A1215:A1223,B$15),IF(AND(COUNT(A1216:A1227)=9,COUNT(F1216:F1227)=9),cubic_spline(F1215:F1224,A1215:A1224,B$15),IF(AND(COUNT(A1216:A1227)=10,COUNT(F1216:F1227)=10),cubic_spline(F1215:F1225,A1215:A1225,B$15),IF(AND(COUNT(A1216:A1227)=11,COUNT(F1216:F1227)=11),cubic_spline(F1215:F1226,A1215:A1226,B$15),IF(AND(COUNT(A1216:A1227)=12,COUNT(F1216:F1227)=12),cubic_spline(F1215:F1227,A1215:A1227,B$15),""))))))))))))</f>
        <v/>
      </c>
      <c r="L1227" s="27" t="str">
        <f>IF(I1227="","",B$14&amp;"-"&amp;B$15)</f>
        <v/>
      </c>
      <c r="M1227" s="52" t="str">
        <f t="shared" si="465"/>
        <v/>
      </c>
    </row>
    <row r="1228" spans="1:13" ht="5.15" customHeight="1" x14ac:dyDescent="0.35">
      <c r="A1228" s="47"/>
      <c r="B1228" s="47"/>
      <c r="C1228" s="47"/>
      <c r="D1228" s="53"/>
      <c r="E1228" s="54"/>
      <c r="F1228" s="55"/>
      <c r="G1228" s="72"/>
      <c r="H1228" s="73"/>
      <c r="I1228" s="47"/>
      <c r="J1228" s="57"/>
      <c r="K1228" s="57"/>
      <c r="L1228" s="55"/>
      <c r="M1228" s="57"/>
    </row>
    <row r="1229" spans="1:13" x14ac:dyDescent="0.35">
      <c r="A1229" s="48"/>
      <c r="B1229" s="48"/>
      <c r="C1229" s="49"/>
      <c r="D1229" s="50"/>
      <c r="E1229" s="51" t="str">
        <f>IF(N(C1229)=0,"",C1229/PI()/($D$1/2)^2/$D$2*10000)</f>
        <v/>
      </c>
      <c r="F1229" s="68" t="str">
        <f t="shared" ref="F1229:F1240" si="466">IF(N(E1229)=0,"",(N(E1229)+N(F1228)))</f>
        <v/>
      </c>
      <c r="G1229" s="69" t="str">
        <f>IF(OR(N(D1229)=0,N(E1229)=0),"",(E1229*D1229)/1000)</f>
        <v/>
      </c>
      <c r="H1229" s="70" t="str">
        <f t="shared" ref="H1229:H1240" si="467">IF(N(G1229)=0,"",(N(G1229)+N(H1228)))</f>
        <v/>
      </c>
      <c r="I1229" s="27" t="str">
        <f>IF(N(J1229)=0,"",0&amp;"-"&amp;B$4)</f>
        <v/>
      </c>
      <c r="J1229" s="52" t="str">
        <f>IF(N(B$4)=0,"",IF(AND(COUNT(H1229:H1240)=2,COUNT(F1229:F1240)=2),cubic_spline(F1228:F1230,H1228:H1230,B$4),IF(AND(COUNT(H1229:H1240)=3,COUNT(F1229:F1240)=3),cubic_spline(F1228:F1231,H1228:H1231,B$4),IF(AND(COUNT(H1229:H1240)=4,COUNT(F1229:F1240)=4),cubic_spline(F1228:F1232,H1228:H1232,B$4),IF(AND(COUNT(H1229:H1240)=5,COUNT(F1229:F1240)=5),cubic_spline(F1228:F1233,H1228:H1233,B$4),IF(AND(COUNT(H1229:H1240)=6,COUNT(F1229:F1240)=6),cubic_spline(F1228:F1234,H1228:H1234,B$4),IF(AND(COUNT(H1229:H1240)=7,COUNT(F1229:F1240)=7),cubic_spline(F1228:F1235,H1228:H1235,B$4),IF(AND(COUNT(H1229:H1240)=8,COUNT(F1229:F1240)=8),cubic_spline(F1228:F1236,H1228:H1236,B$4),IF(AND(COUNT(H1229:H1240)=9,COUNT(F1229:F1240)=9),cubic_spline(F1228:F1237,H1228:H1237,B$4),IF(AND(COUNT(H1229:H1240)=10,COUNT(F1229:F1240)=10),cubic_spline(F1228:F1238,H1228:H1238,B$4),IF(AND(COUNT(H1229:H1240)=11,COUNT(F1229:F1240)=11),cubic_spline(F1228:F1239,H1228:H1239,B$4),IF(AND(COUNT(H1229:H1240)=12,COUNT(F1229:F1240)=12),cubic_spline(F1228:F1240,H1228:H1240,B$4),""))))))))))))</f>
        <v/>
      </c>
      <c r="K1229" s="52" t="str">
        <f>IF(N(B$4)=0,"",IF(AND(COUNT(A1229:A1240)=2,COUNT(F1229:F1240)=2),cubic_spline(F1228:F1230,A1228:A1230,B$4),IF(AND(COUNT(A1229:A1240)=3,COUNT(F1229:F1240)=3),cubic_spline(F1228:F1231,A1228:A1231,B$4),IF(AND(COUNT(A1229:A1240)=4,COUNT(F1229:F1240)=4),cubic_spline(F1228:F1232,A1228:A1232,B$4),IF(AND(COUNT(A1229:A1240)=5,COUNT(F1229:F1240)=5),cubic_spline(F1228:F1233,A1228:A1233,B$4),IF(AND(COUNT(A1229:A1240)=6,COUNT(F1229:F1240)=6),cubic_spline(F1228:F1234,A1228:A1234,B$4),IF(AND(COUNT(A1229:A1240)=7,COUNT(F1229:F1240)=7),cubic_spline(F1228:F1235,A1228:A1235,B$4),IF(AND(COUNT(A1229:A1240)=8,COUNT(F1229:F1240)=8),cubic_spline(F1228:F1236,A1228:A1236,B$4),IF(AND(COUNT(A1229:A1240)=9,COUNT(F1229:F1240)=9),cubic_spline(F1228:F1237,A1228:A1237,B$4),IF(AND(COUNT(A1229:A1240)=10,COUNT(F1229:F1240)=10),cubic_spline(F1228:F1238,A1228:A1238,B$4),IF(AND(COUNT(A1229:A1240)=11,COUNT(F1229:F1240)=11),cubic_spline(F1228:F1239,A1228:A1239,B$4),IF(AND(COUNT(A1229:A1240)=12,COUNT(F1229:F1240)=12),cubic_spline(F1228:F1240,A1228:A1240,B$4),""))))))))))))</f>
        <v/>
      </c>
      <c r="L1229" s="27" t="str">
        <f>IF(I1229="","",0&amp;"-"&amp;B$4)</f>
        <v/>
      </c>
      <c r="M1229" s="52" t="str">
        <f>IF(N(J1229)=0,"",J1229-J1228)</f>
        <v/>
      </c>
    </row>
    <row r="1230" spans="1:13" x14ac:dyDescent="0.35">
      <c r="A1230" s="48"/>
      <c r="B1230" s="48"/>
      <c r="C1230" s="49"/>
      <c r="D1230" s="50"/>
      <c r="E1230" s="51" t="str">
        <f>IF(N(C1230)=0,"",C1230/PI()/($D$1/2)^2/$D$2*10000)</f>
        <v/>
      </c>
      <c r="F1230" s="68" t="str">
        <f t="shared" si="466"/>
        <v/>
      </c>
      <c r="G1230" s="69" t="str">
        <f t="shared" ref="G1230:G1240" si="468">IF(OR(N(D1230)=0,N(E1230)=0),"",(E1230*D1230)/1000)</f>
        <v/>
      </c>
      <c r="H1230" s="70" t="str">
        <f t="shared" si="467"/>
        <v/>
      </c>
      <c r="I1230" s="27" t="str">
        <f>IF(N(J1230)=0,"",0&amp;"-"&amp;B$5)</f>
        <v/>
      </c>
      <c r="J1230" s="52" t="str">
        <f>IF(N(B$5)=0,"",IF(AND(COUNT(H1229:H1240)=2,COUNT(F1229:F1240)=2),cubic_spline(F1228:F1230,H1228:H1230,B$5),IF(AND(COUNT(H1229:H1240)=3,COUNT(F1229:F1240)=3),cubic_spline(F1228:F1231,H1228:H1231,B$5),IF(AND(COUNT(H1229:H1240)=4,COUNT(F1229:F1240)=4),cubic_spline(F1228:F1232,H1228:H1232,B$5),IF(AND(COUNT(H1229:H1240)=5,COUNT(F1229:F1240)=5),cubic_spline(F1228:F1233,H1228:H1233,B$5),IF(AND(COUNT(H1229:H1240)=6,COUNT(F1229:F1240)=6),cubic_spline(F1228:F1234,H1228:H1234,B$5),IF(AND(COUNT(H1229:H1240)=7,COUNT(F1229:F1240)=7),cubic_spline(F1228:F1235,H1228:H1235,B$5),IF(AND(COUNT(H1229:H1240)=8,COUNT(F1229:F1240)=8),cubic_spline(F1228:F1236,H1228:H1236,B$5),IF(AND(COUNT(H1229:H1240)=9,COUNT(F1229:F1240)=9),cubic_spline(F1228:F1237,H1228:H1237,B$5),IF(AND(COUNT(H1229:H1240)=10,COUNT(F1229:F1240)=10),cubic_spline(F1228:F1238,H1228:H1238,B$5),IF(AND(COUNT(H1229:H1240)=11,COUNT(F1229:F1240)=11),cubic_spline(F1228:F1239,H1228:H1239,B$5),IF(AND(COUNT(H1229:H1240)=12,COUNT(F1229:F1240)=12),cubic_spline(F1228:F1240,H1228:H1240,B$5),""))))))))))))</f>
        <v/>
      </c>
      <c r="K1230" s="52" t="str">
        <f>IF(N(B$5)=0,"",IF(AND(COUNT(A1229:A1240)=2,COUNT(F1229:F1240)=2),cubic_spline(F1228:F1230,A1228:A1230,B$5),IF(AND(COUNT(A1229:A1240)=3,COUNT(F1229:F1240)=3),cubic_spline(F1228:F1231,A1228:A1231,B$5),IF(AND(COUNT(A1229:A1240)=4,COUNT(F1229:F1240)=4),cubic_spline(F1228:F1232,A1228:A1232,B$5),IF(AND(COUNT(A1229:A1240)=5,COUNT(F1229:F1240)=5),cubic_spline(F1228:F1233,A1228:A1233,B$5),IF(AND(COUNT(A1229:A1240)=6,COUNT(F1229:F1240)=6),cubic_spline(F1228:F1234,A1228:A1234,B$5),IF(AND(COUNT(A1229:A1240)=7,COUNT(F1229:F1240)=7),cubic_spline(F1228:F1235,A1228:A1235,B$5),IF(AND(COUNT(A1229:A1240)=8,COUNT(F1229:F1240)=8),cubic_spline(F1228:F1236,A1228:A1236,B$5),IF(AND(COUNT(A1229:A1240)=9,COUNT(F1229:F1240)=9),cubic_spline(F1228:F1237,A1228:A1237,B$5),IF(AND(COUNT(A1229:A1240)=10,COUNT(F1229:F1240)=10),cubic_spline(F1228:F1238,A1228:A1238,B$5),IF(AND(COUNT(A1229:A1240)=11,COUNT(F1229:F1240)=11),cubic_spline(F1228:F1239,A1228:A1239,B$5),IF(AND(COUNT(A1229:A1240)=12,COUNT(F1229:F1240)=12),cubic_spline(F1228:F1240,A1228:A1240,B$5),""))))))))))))</f>
        <v/>
      </c>
      <c r="L1230" s="27" t="str">
        <f>IF(I1230="","",B$4&amp;"-"&amp;B$5)</f>
        <v/>
      </c>
      <c r="M1230" s="52" t="str">
        <f>IF(N(J1230)=0,"",J1230-J1229)</f>
        <v/>
      </c>
    </row>
    <row r="1231" spans="1:13" x14ac:dyDescent="0.35">
      <c r="A1231" s="48"/>
      <c r="B1231" s="48"/>
      <c r="C1231" s="49"/>
      <c r="D1231" s="50"/>
      <c r="E1231" s="51" t="str">
        <f>IF(N(C1231)=0,"",C1231/PI()/($D$1/2)^2/$D$2*10000)</f>
        <v/>
      </c>
      <c r="F1231" s="68" t="str">
        <f t="shared" si="466"/>
        <v/>
      </c>
      <c r="G1231" s="69" t="str">
        <f t="shared" si="468"/>
        <v/>
      </c>
      <c r="H1231" s="70" t="str">
        <f t="shared" si="467"/>
        <v/>
      </c>
      <c r="I1231" s="27" t="str">
        <f>IF(N(J1231)=0,"",0&amp;"-"&amp;B$6)</f>
        <v/>
      </c>
      <c r="J1231" s="52" t="str">
        <f>IF(N(B$6)=0,"",IF(AND(COUNT(H1229:H1240)=2,COUNT(F1229:F1240)=2),cubic_spline(F1228:F1230,H1228:H1230,B$6),IF(AND(COUNT(H1229:H1240)=3,COUNT(F1229:F1240)=3),cubic_spline(F1228:F1231,H1228:H1231,B$6),IF(AND(COUNT(H1229:H1240)=4,COUNT(F1229:F1240)=4),cubic_spline(F1228:F1232,H1228:H1232,B$6),IF(AND(COUNT(H1229:H1240)=5,COUNT(F1229:F1240)=5),cubic_spline(F1228:F1233,H1228:H1233,B$6),IF(AND(COUNT(H1229:H1240)=6,COUNT(F1229:F1240)=6),cubic_spline(F1228:F1234,H1228:H1234,B$6),IF(AND(COUNT(H1229:H1240)=7,COUNT(F1229:F1240)=7),cubic_spline(F1228:F1235,H1228:H1235,B$6),IF(AND(COUNT(H1229:H1240)=8,COUNT(F1229:F1240)=8),cubic_spline(F1228:F1236,H1228:H1236,B$6),IF(AND(COUNT(H1229:H1240)=9,COUNT(F1229:F1240)=9),cubic_spline(F1228:F1237,H1228:H1237,B$6),IF(AND(COUNT(H1229:H1240)=10,COUNT(F1229:F1240)=10),cubic_spline(F1228:F1238,H1228:H1238,B$6),IF(AND(COUNT(H1229:H1240)=11,COUNT(F1229:F1240)=11),cubic_spline(F1228:F1239,H1228:H1239,B$6),IF(AND(COUNT(H1229:H1240)=12,COUNT(F1229:F1240)=12),cubic_spline(F1228:F1240,H1228:H1240,B$6),""))))))))))))</f>
        <v/>
      </c>
      <c r="K1231" s="52" t="str">
        <f>IF(N(B$6)=0,"",IF(AND(COUNT(A1229:A1240)=2,COUNT(F1229:F1240)=2),cubic_spline(F1228:F1230,A1228:A1230,B$6),IF(AND(COUNT(A1229:A1240)=3,COUNT(F1229:F1240)=3),cubic_spline(F1228:F1231,A1228:A1231,B$6),IF(AND(COUNT(A1229:A1240)=4,COUNT(F1229:F1240)=4),cubic_spline(F1228:F1232,A1228:A1232,B$6),IF(AND(COUNT(A1229:A1240)=5,COUNT(F1229:F1240)=5),cubic_spline(F1228:F1233,A1228:A1233,B$6),IF(AND(COUNT(A1229:A1240)=6,COUNT(F1229:F1240)=6),cubic_spline(F1228:F1234,A1228:A1234,B$6),IF(AND(COUNT(A1229:A1240)=7,COUNT(F1229:F1240)=7),cubic_spline(F1228:F1235,A1228:A1235,B$6),IF(AND(COUNT(A1229:A1240)=8,COUNT(F1229:F1240)=8),cubic_spline(F1228:F1236,A1228:A1236,B$6),IF(AND(COUNT(A1229:A1240)=9,COUNT(F1229:F1240)=9),cubic_spline(F1228:F1237,A1228:A1237,B$6),IF(AND(COUNT(A1229:A1240)=10,COUNT(F1229:F1240)=10),cubic_spline(F1228:F1238,A1228:A1238,B$6),IF(AND(COUNT(A1229:A1240)=11,COUNT(F1229:F1240)=11),cubic_spline(F1228:F1239,A1228:A1239,B$6),IF(AND(COUNT(A1229:A1240)=12,COUNT(F1229:F1240)=12),cubic_spline(F1228:F1240,A1228:A1240,B$6),""))))))))))))</f>
        <v/>
      </c>
      <c r="L1231" s="27" t="str">
        <f>IF(I1231="","",B$5&amp;"-"&amp;B$6)</f>
        <v/>
      </c>
      <c r="M1231" s="52" t="str">
        <f>IF(N(J1231)=0,"",J1231-J1230)</f>
        <v/>
      </c>
    </row>
    <row r="1232" spans="1:13" x14ac:dyDescent="0.35">
      <c r="A1232" s="48"/>
      <c r="B1232" s="48"/>
      <c r="C1232" s="49"/>
      <c r="D1232" s="50"/>
      <c r="E1232" s="51" t="str">
        <f>IF(N(C1232)=0,"",C1232/PI()/($D$1/2)^2/$D$2*10000)</f>
        <v/>
      </c>
      <c r="F1232" s="68" t="str">
        <f t="shared" si="466"/>
        <v/>
      </c>
      <c r="G1232" s="69" t="str">
        <f t="shared" si="468"/>
        <v/>
      </c>
      <c r="H1232" s="70" t="str">
        <f t="shared" si="467"/>
        <v/>
      </c>
      <c r="I1232" s="27" t="str">
        <f>IF(N(J1232)=0,"",0&amp;"-"&amp;B$7)</f>
        <v/>
      </c>
      <c r="J1232" s="52" t="str">
        <f>IF(N(B$7)=0,"",IF(AND(COUNT(H1229:H1240)=2,COUNT(F1229:F1240)=2),cubic_spline(F1228:F1230,H1228:H1230,B$7),IF(AND(COUNT(H1229:H1240)=3,COUNT(F1229:F1240)=3),cubic_spline(F1228:F1231,H1228:H1231,B$7),IF(AND(COUNT(H1229:H1240)=4,COUNT(F1229:F1240)=4),cubic_spline(F1228:F1232,H1228:H1232,B$7),IF(AND(COUNT(H1229:H1240)=5,COUNT(F1229:F1240)=5),cubic_spline(F1228:F1233,H1228:H1233,B$7),IF(AND(COUNT(H1229:H1240)=6,COUNT(F1229:F1240)=6),cubic_spline(F1228:F1234,H1228:H1234,B$7),IF(AND(COUNT(H1229:H1240)=7,COUNT(F1229:F1240)=7),cubic_spline(F1228:F1235,H1228:H1235,B$7),IF(AND(COUNT(H1229:H1240)=8,COUNT(F1229:F1240)=8),cubic_spline(F1228:F1236,H1228:H1236,B$7),IF(AND(COUNT(H1229:H1240)=9,COUNT(F1229:F1240)=9),cubic_spline(F1228:F1237,H1228:H1237,B$7),IF(AND(COUNT(H1229:H1240)=10,COUNT(F1229:F1240)=10),cubic_spline(F1228:F1238,H1228:H1238,B$7),IF(AND(COUNT(H1229:H1240)=11,COUNT(F1229:F1240)=11),cubic_spline(F1228:F1239,H1228:H1239,B$7),IF(AND(COUNT(H1229:H1240)=12,COUNT(F1229:F1240)=12),cubic_spline(F1228:F1240,H1228:H1240,B$7),""))))))))))))</f>
        <v/>
      </c>
      <c r="K1232" s="52" t="str">
        <f>IF(N(B$7)=0,"",IF(AND(COUNT(A1229:A1240)=2,COUNT(F1229:F1240)=2),cubic_spline(F1228:F1230,A1228:A1230,B$7),IF(AND(COUNT(A1229:A1240)=3,COUNT(F1229:F1240)=3),cubic_spline(F1228:F1231,A1228:A1231,B$7),IF(AND(COUNT(A1229:A1240)=4,COUNT(F1229:F1240)=4),cubic_spline(F1228:F1232,A1228:A1232,B$7),IF(AND(COUNT(A1229:A1240)=5,COUNT(F1229:F1240)=5),cubic_spline(F1228:F1233,A1228:A1233,B$7),IF(AND(COUNT(A1229:A1240)=6,COUNT(F1229:F1240)=6),cubic_spline(F1228:F1234,A1228:A1234,B$7),IF(AND(COUNT(A1229:A1240)=7,COUNT(F1229:F1240)=7),cubic_spline(F1228:F1235,A1228:A1235,B$7),IF(AND(COUNT(A1229:A1240)=8,COUNT(F1229:F1240)=8),cubic_spline(F1228:F1236,A1228:A1236,B$7),IF(AND(COUNT(A1229:A1240)=9,COUNT(F1229:F1240)=9),cubic_spline(F1228:F1237,A1228:A1237,B$7),IF(AND(COUNT(A1229:A1240)=10,COUNT(F1229:F1240)=10),cubic_spline(F1228:F1238,A1228:A1238,B$7),IF(AND(COUNT(A1229:A1240)=11,COUNT(F1229:F1240)=11),cubic_spline(F1228:F1239,A1228:A1239,B$7),IF(AND(COUNT(A1229:A1240)=12,COUNT(F1229:F1240)=12),cubic_spline(F1228:F1240,A1228:A1240,B$7),""))))))))))))</f>
        <v/>
      </c>
      <c r="L1232" s="27" t="str">
        <f>IF(I1232="","",B$6&amp;"-"&amp;B$7)</f>
        <v/>
      </c>
      <c r="M1232" s="52" t="str">
        <f>IF(N(J1232)=0,"",J1232-J1231)</f>
        <v/>
      </c>
    </row>
    <row r="1233" spans="1:13" x14ac:dyDescent="0.35">
      <c r="A1233" s="48"/>
      <c r="B1233" s="48"/>
      <c r="C1233" s="49"/>
      <c r="D1233" s="50"/>
      <c r="E1233" s="51" t="str">
        <f t="shared" ref="E1233:E1240" si="469">IF(N(C1233)=0,"",C1233/PI()/($D$1/2)^2/$D$2*10000)</f>
        <v/>
      </c>
      <c r="F1233" s="71" t="str">
        <f t="shared" si="466"/>
        <v/>
      </c>
      <c r="G1233" s="69" t="str">
        <f t="shared" si="468"/>
        <v/>
      </c>
      <c r="H1233" s="70" t="str">
        <f t="shared" si="467"/>
        <v/>
      </c>
      <c r="I1233" s="27" t="str">
        <f>IF(N(J1233)=0,"",0&amp;"-"&amp;B$8)</f>
        <v/>
      </c>
      <c r="J1233" s="52" t="str">
        <f>IF(N(B$8)=0,"",IF(AND(COUNT(H1229:H1240)=2,COUNT(F1229:F1240)=2),cubic_spline(F1228:F1230,H1228:H1230,B$8),IF(AND(COUNT(H1229:H1240)=3,COUNT(F1229:F1240)=3),cubic_spline(F1228:F1231,H1228:H1231,B$8),IF(AND(COUNT(H1229:H1240)=4,COUNT(F1229:F1240)=4),cubic_spline(F1228:F1232,H1228:H1232,B$8),IF(AND(COUNT(H1229:H1240)=5,COUNT(F1229:F1240)=5),cubic_spline(F1228:F1233,H1228:H1233,B$8),IF(AND(COUNT(H1229:H1240)=6,COUNT(F1229:F1240)=6),cubic_spline(F1228:F1234,H1228:H1234,B$8),IF(AND(COUNT(H1229:H1240)=7,COUNT(F1229:F1240)=7),cubic_spline(F1228:F1235,H1228:H1235,B$8),IF(AND(COUNT(H1229:H1240)=8,COUNT(F1229:F1240)=8),cubic_spline(F1228:F1236,H1228:H1236,B$8),IF(AND(COUNT(H1229:H1240)=9,COUNT(F1229:F1240)=9),cubic_spline(F1228:F1237,H1228:H1237,B$8),IF(AND(COUNT(H1229:H1240)=10,COUNT(F1229:F1240)=10),cubic_spline(F1228:F1238,H1228:H1238,B$8),IF(AND(COUNT(H1229:H1240)=11,COUNT(F1229:F1240)=11),cubic_spline(F1228:F1239,H1228:H1239,B$8),IF(AND(COUNT(H1229:H1240)=12,COUNT(F1229:F1240)=12),cubic_spline(F1228:F1240,H1228:H1240,B$8),""))))))))))))</f>
        <v/>
      </c>
      <c r="K1233" s="52" t="str">
        <f>IF(N(B$8)=0,"",IF(AND(COUNT(A1229:A1240)=2,COUNT(F1229:F1240)=2),cubic_spline(F1228:F1230,A1228:A1230,B$8),IF(AND(COUNT(A1229:A1240)=3,COUNT(F1229:F1240)=3),cubic_spline(F1228:F1231,A1228:A1231,B$8),IF(AND(COUNT(A1229:A1240)=4,COUNT(F1229:F1240)=4),cubic_spline(F1228:F1232,A1228:A1232,B$8),IF(AND(COUNT(A1229:A1240)=5,COUNT(F1229:F1240)=5),cubic_spline(F1228:F1233,A1228:A1233,B$8),IF(AND(COUNT(A1229:A1240)=6,COUNT(F1229:F1240)=6),cubic_spline(F1228:F1234,A1228:A1234,B$8),IF(AND(COUNT(A1229:A1240)=7,COUNT(F1229:F1240)=7),cubic_spline(F1228:F1235,A1228:A1235,B$8),IF(AND(COUNT(A1229:A1240)=8,COUNT(F1229:F1240)=8),cubic_spline(F1228:F1236,A1228:A1236,B$8),IF(AND(COUNT(A1229:A1240)=9,COUNT(F1229:F1240)=9),cubic_spline(F1228:F1237,A1228:A1237,B$8),IF(AND(COUNT(A1229:A1240)=10,COUNT(F1229:F1240)=10),cubic_spline(F1228:F1238,A1228:A1238,B$8),IF(AND(COUNT(A1229:A1240)=11,COUNT(F1229:F1240)=11),cubic_spline(F1228:F1239,A1228:A1239,B$8),IF(AND(COUNT(A1229:A1240)=12,COUNT(F1229:F1240)=12),cubic_spline(F1228:F1240,A1228:A1240,B$8),""))))))))))))</f>
        <v/>
      </c>
      <c r="L1233" s="27" t="str">
        <f>IF(I1233="","",B$7&amp;"-"&amp;B$8)</f>
        <v/>
      </c>
      <c r="M1233" s="52" t="str">
        <f>IF(N(J1233)=0,"",J1233-J1232)</f>
        <v/>
      </c>
    </row>
    <row r="1234" spans="1:13" x14ac:dyDescent="0.35">
      <c r="A1234" s="48"/>
      <c r="B1234" s="48"/>
      <c r="C1234" s="49"/>
      <c r="D1234" s="50"/>
      <c r="E1234" s="51" t="str">
        <f t="shared" si="469"/>
        <v/>
      </c>
      <c r="F1234" s="71" t="str">
        <f t="shared" si="466"/>
        <v/>
      </c>
      <c r="G1234" s="69" t="str">
        <f t="shared" si="468"/>
        <v/>
      </c>
      <c r="H1234" s="70" t="str">
        <f t="shared" si="467"/>
        <v/>
      </c>
      <c r="I1234" s="27" t="str">
        <f>IF(N(J1234)=0,"",0&amp;"-"&amp;B$9)</f>
        <v/>
      </c>
      <c r="J1234" s="52" t="str">
        <f>IF(N(B$9)=0,"",IF(AND(COUNT(H1229:H1240)=2,COUNT(F1229:F1240)=2),cubic_spline(F1228:F1230,H1228:H1230,B$9),IF(AND(COUNT(H1229:H1240)=3,COUNT(F1229:F1240)=3),cubic_spline(F1228:F1231,H1228:H1231,B$9),IF(AND(COUNT(H1229:H1240)=4,COUNT(F1229:F1240)=4),cubic_spline(F1228:F1232,H1228:H1232,B$9),IF(AND(COUNT(H1229:H1240)=5,COUNT(F1229:F1240)=5),cubic_spline(F1228:F1233,H1228:H1233,B$9),IF(AND(COUNT(H1229:H1240)=6,COUNT(F1229:F1240)=6),cubic_spline(F1228:F1234,H1228:H1234,B$9),IF(AND(COUNT(H1229:H1240)=7,COUNT(F1229:F1240)=7),cubic_spline(F1228:F1235,H1228:H1235,B$9),IF(AND(COUNT(H1229:H1240)=8,COUNT(F1229:F1240)=8),cubic_spline(F1228:F1236,H1228:H1236,B$9),IF(AND(COUNT(H1229:H1240)=9,COUNT(F1229:F1240)=9),cubic_spline(F1228:F1237,H1228:H1237,B$9),IF(AND(COUNT(H1229:H1240)=10,COUNT(F1229:F1240)=10),cubic_spline(F1228:F1238,H1228:H1238,B$9),IF(AND(COUNT(H1229:H1240)=11,COUNT(F1229:F1240)=11),cubic_spline(F1228:F1239,H1228:H1239,B$9),IF(AND(COUNT(H1229:H1240)=12,COUNT(F1229:F1240)=12),cubic_spline(F1228:F1240,H1228:H1240,B$9),""))))))))))))</f>
        <v/>
      </c>
      <c r="K1234" s="52" t="str">
        <f>IF(N(B$9)=0,"",IF(AND(COUNT(A1229:A1240)=2,COUNT(F1229:F1240)=2),cubic_spline(F1228:F1230,A1228:A1230,B$9),IF(AND(COUNT(A1229:A1240)=3,COUNT(F1229:F1240)=3),cubic_spline(F1228:F1231,A1228:A1231,B$9),IF(AND(COUNT(A1229:A1240)=4,COUNT(F1229:F1240)=4),cubic_spline(F1228:F1232,A1228:A1232,B$9),IF(AND(COUNT(A1229:A1240)=5,COUNT(F1229:F1240)=5),cubic_spline(F1228:F1233,A1228:A1233,B$9),IF(AND(COUNT(A1229:A1240)=6,COUNT(F1229:F1240)=6),cubic_spline(F1228:F1234,A1228:A1234,B$9),IF(AND(COUNT(A1229:A1240)=7,COUNT(F1229:F1240)=7),cubic_spline(F1228:F1235,A1228:A1235,B$9),IF(AND(COUNT(A1229:A1240)=8,COUNT(F1229:F1240)=8),cubic_spline(F1228:F1236,A1228:A1236,B$9),IF(AND(COUNT(A1229:A1240)=9,COUNT(F1229:F1240)=9),cubic_spline(F1228:F1237,A1228:A1237,B$9),IF(AND(COUNT(A1229:A1240)=10,COUNT(F1229:F1240)=10),cubic_spline(F1228:F1238,A1228:A1238,B$9),IF(AND(COUNT(A1229:A1240)=11,COUNT(F1229:F1240)=11),cubic_spline(F1228:F1239,A1228:A1239,B$9),IF(AND(COUNT(A1229:A1240)=12,COUNT(F1229:F1240)=12),cubic_spline(F1228:F1240,A1228:A1240,B$9),""))))))))))))</f>
        <v/>
      </c>
      <c r="L1234" s="27" t="str">
        <f>IF(I1234="","",B$8&amp;"-"&amp;B$9)</f>
        <v/>
      </c>
      <c r="M1234" s="52" t="str">
        <f t="shared" ref="M1234:M1240" si="470">IF(N(J1234)=0,"",J1234-J1233)</f>
        <v/>
      </c>
    </row>
    <row r="1235" spans="1:13" x14ac:dyDescent="0.35">
      <c r="A1235" s="48"/>
      <c r="B1235" s="48"/>
      <c r="C1235" s="49"/>
      <c r="D1235" s="50"/>
      <c r="E1235" s="51" t="str">
        <f t="shared" si="469"/>
        <v/>
      </c>
      <c r="F1235" s="71" t="str">
        <f t="shared" si="466"/>
        <v/>
      </c>
      <c r="G1235" s="69" t="str">
        <f t="shared" si="468"/>
        <v/>
      </c>
      <c r="H1235" s="70" t="str">
        <f t="shared" si="467"/>
        <v/>
      </c>
      <c r="I1235" s="27" t="str">
        <f>IF(N(J1235)=0,"",0&amp;"-"&amp;B$10)</f>
        <v/>
      </c>
      <c r="J1235" s="52" t="str">
        <f>IF(N(B$10)=0,"",IF(AND(COUNT(H1229:H1240)=2,COUNT(F1229:F1240)=2),cubic_spline(F1228:F1230,H1228:H1230,B$10),IF(AND(COUNT(H1229:H1240)=3,COUNT(F1229:F1240)=3),cubic_spline(F1228:F1231,H1228:H1231,B$10),IF(AND(COUNT(H1229:H1240)=4,COUNT(F1229:F1240)=4),cubic_spline(F1228:F1232,H1228:H1232,B$10),IF(AND(COUNT(H1229:H1240)=5,COUNT(F1229:F1240)=5),cubic_spline(F1228:F1233,H1228:H1233,B$10),IF(AND(COUNT(H1229:H1240)=6,COUNT(F1229:F1240)=6),cubic_spline(F1228:F1234,H1228:H1234,B$10),IF(AND(COUNT(H1229:H1240)=7,COUNT(F1229:F1240)=7),cubic_spline(F1228:F1235,H1228:H1235,B$10),IF(AND(COUNT(H1229:H1240)=8,COUNT(F1229:F1240)=8),cubic_spline(F1228:F1236,H1228:H1236,B$10),IF(AND(COUNT(H1229:H1240)=9,COUNT(F1229:F1240)=9),cubic_spline(F1228:F1237,H1228:H1237,B$10),IF(AND(COUNT(H1229:H1240)=10,COUNT(F1229:F1240)=10),cubic_spline(F1228:F1238,H1228:H1238,B$10),IF(AND(COUNT(H1229:H1240)=11,COUNT(F1229:F1240)=11),cubic_spline(F1228:F1239,H1228:H1239,B$10),IF(AND(COUNT(H1229:H1240)=12,COUNT(F1229:F1240)=12),cubic_spline(F1228:F1240,H1228:H1240,B$10),""))))))))))))</f>
        <v/>
      </c>
      <c r="K1235" s="52" t="str">
        <f>IF(N(B$10)=0,"",IF(AND(COUNT(A1229:A1240)=2,COUNT(F1229:F1240)=2),cubic_spline(F1228:F1230,A1228:A1230,B$10),IF(AND(COUNT(A1229:A1240)=3,COUNT(F1229:F1240)=3),cubic_spline(F1228:F1231,A1228:A1231,B$10),IF(AND(COUNT(A1229:A1240)=4,COUNT(F1229:F1240)=4),cubic_spline(F1228:F1232,A1228:A1232,B$10),IF(AND(COUNT(A1229:A1240)=5,COUNT(F1229:F1240)=5),cubic_spline(F1228:F1233,A1228:A1233,B$10),IF(AND(COUNT(A1229:A1240)=6,COUNT(F1229:F1240)=6),cubic_spline(F1228:F1234,A1228:A1234,B$10),IF(AND(COUNT(A1229:A1240)=7,COUNT(F1229:F1240)=7),cubic_spline(F1228:F1235,A1228:A1235,B$10),IF(AND(COUNT(A1229:A1240)=8,COUNT(F1229:F1240)=8),cubic_spline(F1228:F1236,A1228:A1236,B$10),IF(AND(COUNT(A1229:A1240)=9,COUNT(F1229:F1240)=9),cubic_spline(F1228:F1237,A1228:A1237,B$10),IF(AND(COUNT(A1229:A1240)=10,COUNT(F1229:F1240)=10),cubic_spline(F1228:F1238,A1228:A1238,B$10),IF(AND(COUNT(A1229:A1240)=11,COUNT(F1229:F1240)=11),cubic_spline(F1228:F1239,A1228:A1239,B$10),IF(AND(COUNT(A1229:A1240)=12,COUNT(F1229:F1240)=12),cubic_spline(F1228:F1240,A1228:A1240,B$10),""))))))))))))</f>
        <v/>
      </c>
      <c r="L1235" s="27" t="str">
        <f>IF(I1235="","",B$9&amp;"-"&amp;B$10)</f>
        <v/>
      </c>
      <c r="M1235" s="52" t="str">
        <f t="shared" si="470"/>
        <v/>
      </c>
    </row>
    <row r="1236" spans="1:13" x14ac:dyDescent="0.35">
      <c r="A1236" s="48"/>
      <c r="B1236" s="48"/>
      <c r="C1236" s="49"/>
      <c r="D1236" s="50"/>
      <c r="E1236" s="51" t="str">
        <f t="shared" si="469"/>
        <v/>
      </c>
      <c r="F1236" s="71" t="str">
        <f t="shared" si="466"/>
        <v/>
      </c>
      <c r="G1236" s="69" t="str">
        <f t="shared" si="468"/>
        <v/>
      </c>
      <c r="H1236" s="70" t="str">
        <f t="shared" si="467"/>
        <v/>
      </c>
      <c r="I1236" s="27" t="str">
        <f>IF(N(J1236)=0,"",0&amp;"-"&amp;B$11)</f>
        <v/>
      </c>
      <c r="J1236" s="52" t="str">
        <f>IF(N(B$11)=0,"",IF(AND(COUNT(H1229:H1240)=2,COUNT(F1229:F1240)=2),cubic_spline(F1228:F1230,H1228:H1230,B$11),IF(AND(COUNT(H1229:H1240)=3,COUNT(F1229:F1240)=3),cubic_spline(F1228:F1231,H1228:H1231,B$11),IF(AND(COUNT(H1229:H1240)=4,COUNT(F1229:F1240)=4),cubic_spline(F1228:F1232,H1228:H1232,B$11),IF(AND(COUNT(H1229:H1240)=5,COUNT(F1229:F1240)=5),cubic_spline(F1228:F1233,H1228:H1233,B$11),IF(AND(COUNT(H1229:H1240)=6,COUNT(F1229:F1240)=6),cubic_spline(F1228:F1234,H1228:H1234,B$11),IF(AND(COUNT(H1229:H1240)=7,COUNT(F1229:F1240)=7),cubic_spline(F1228:F1235,H1228:H1235,B$11),IF(AND(COUNT(H1229:H1240)=8,COUNT(F1229:F1240)=8),cubic_spline(F1228:F1236,H1228:H1236,B$11),IF(AND(COUNT(H1229:H1240)=9,COUNT(F1229:F1240)=9),cubic_spline(F1228:F1237,H1228:H1237,B$11),IF(AND(COUNT(H1229:H1240)=10,COUNT(F1229:F1240)=10),cubic_spline(F1228:F1238,H1228:H1238,B$11),IF(AND(COUNT(H1229:H1240)=11,COUNT(F1229:F1240)=11),cubic_spline(F1228:F1239,H1228:H1239,B$11),IF(AND(COUNT(H1229:H1240)=12,COUNT(F1229:F1240)=12),cubic_spline(F1228:F1240,H1228:H1240,B$11),""))))))))))))</f>
        <v/>
      </c>
      <c r="K1236" s="52" t="str">
        <f>IF(N(B$11)=0,"",IF(AND(COUNT(A1229:A1240)=2,COUNT(F1229:F1240)=2),cubic_spline(F1228:F1230,A1228:A1230,B$11),IF(AND(COUNT(A1229:A1240)=3,COUNT(F1229:F1240)=3),cubic_spline(F1228:F1231,A1228:A1231,B$11),IF(AND(COUNT(A1229:A1240)=4,COUNT(F1229:F1240)=4),cubic_spline(F1228:F1232,A1228:A1232,B$11),IF(AND(COUNT(A1229:A1240)=5,COUNT(F1229:F1240)=5),cubic_spline(F1228:F1233,A1228:A1233,B$11),IF(AND(COUNT(A1229:A1240)=6,COUNT(F1229:F1240)=6),cubic_spline(F1228:F1234,A1228:A1234,B$11),IF(AND(COUNT(A1229:A1240)=7,COUNT(F1229:F1240)=7),cubic_spline(F1228:F1235,A1228:A1235,B$11),IF(AND(COUNT(A1229:A1240)=8,COUNT(F1229:F1240)=8),cubic_spline(F1228:F1236,A1228:A1236,B$11),IF(AND(COUNT(A1229:A1240)=9,COUNT(F1229:F1240)=9),cubic_spline(F1228:F1237,A1228:A1237,B$11),IF(AND(COUNT(A1229:A1240)=10,COUNT(F1229:F1240)=10),cubic_spline(F1228:F1238,A1228:A1238,B$11),IF(AND(COUNT(A1229:A1240)=11,COUNT(F1229:F1240)=11),cubic_spline(F1228:F1239,A1228:A1239,B$11),IF(AND(COUNT(A1229:A1240)=12,COUNT(F1229:F1240)=12),cubic_spline(F1228:F1240,A1228:A1240,B$11),""))))))))))))</f>
        <v/>
      </c>
      <c r="L1236" s="27" t="str">
        <f>IF(I1236="","",B$10&amp;"-"&amp;B$11)</f>
        <v/>
      </c>
      <c r="M1236" s="52" t="str">
        <f t="shared" si="470"/>
        <v/>
      </c>
    </row>
    <row r="1237" spans="1:13" x14ac:dyDescent="0.35">
      <c r="A1237" s="48"/>
      <c r="B1237" s="48"/>
      <c r="C1237" s="49"/>
      <c r="D1237" s="50"/>
      <c r="E1237" s="51" t="str">
        <f t="shared" si="469"/>
        <v/>
      </c>
      <c r="F1237" s="71" t="str">
        <f t="shared" si="466"/>
        <v/>
      </c>
      <c r="G1237" s="69" t="str">
        <f t="shared" si="468"/>
        <v/>
      </c>
      <c r="H1237" s="70" t="str">
        <f t="shared" si="467"/>
        <v/>
      </c>
      <c r="I1237" s="27" t="str">
        <f>IF(N(J1237)=0,"",0&amp;"-"&amp;B$12)</f>
        <v/>
      </c>
      <c r="J1237" s="52" t="str">
        <f>IF(N(B$12)=0,"",IF(AND(COUNT(H1229:H1240)=2,COUNT(F1229:F1240)=2),cubic_spline(F1228:F1230,H1228:H1230,B$12),IF(AND(COUNT(H1229:H1240)=3,COUNT(F1229:F1240)=3),cubic_spline(F1228:F1231,H1228:H1231,B$12),IF(AND(COUNT(H1229:H1240)=4,COUNT(F1229:F1240)=4),cubic_spline(F1228:F1232,H1228:H1232,B$12),IF(AND(COUNT(H1229:H1240)=5,COUNT(F1229:F1240)=5),cubic_spline(F1228:F1233,H1228:H1233,B$12),IF(AND(COUNT(H1229:H1240)=6,COUNT(F1229:F1240)=6),cubic_spline(F1228:F1234,H1228:H1234,B$12),IF(AND(COUNT(H1229:H1240)=7,COUNT(F1229:F1240)=7),cubic_spline(F1228:F1235,H1228:H1235,B$12),IF(AND(COUNT(H1229:H1240)=8,COUNT(F1229:F1240)=8),cubic_spline(F1228:F1236,H1228:H1236,B$12),IF(AND(COUNT(H1229:H1240)=9,COUNT(F1229:F1240)=9),cubic_spline(F1228:F1237,H1228:H1237,B$12),IF(AND(COUNT(H1229:H1240)=10,COUNT(F1229:F1240)=10),cubic_spline(F1228:F1238,H1228:H1238,B$12),IF(AND(COUNT(H1229:H1240)=11,COUNT(F1229:F1240)=11),cubic_spline(F1228:F1239,H1228:H1239,B$12),IF(AND(COUNT(H1229:H1240)=12,COUNT(F1229:F1240)=12),cubic_spline(F1228:F1240,H1228:H1240,B$12),""))))))))))))</f>
        <v/>
      </c>
      <c r="K1237" s="52" t="str">
        <f>IF(N(B$12)=0,"",IF(AND(COUNT(A1229:A1240)=2,COUNT(F1229:F1240)=2),cubic_spline(F1228:F1230,A1228:A1230,B$12),IF(AND(COUNT(A1229:A1240)=3,COUNT(F1229:F1240)=3),cubic_spline(F1228:F1231,A1228:A1231,B$12),IF(AND(COUNT(A1229:A1240)=4,COUNT(F1229:F1240)=4),cubic_spline(F1228:F1232,A1228:A1232,B$12),IF(AND(COUNT(A1229:A1240)=5,COUNT(F1229:F1240)=5),cubic_spline(F1228:F1233,A1228:A1233,B$12),IF(AND(COUNT(A1229:A1240)=6,COUNT(F1229:F1240)=6),cubic_spline(F1228:F1234,A1228:A1234,B$12),IF(AND(COUNT(A1229:A1240)=7,COUNT(F1229:F1240)=7),cubic_spline(F1228:F1235,A1228:A1235,B$12),IF(AND(COUNT(A1229:A1240)=8,COUNT(F1229:F1240)=8),cubic_spline(F1228:F1236,A1228:A1236,B$12),IF(AND(COUNT(A1229:A1240)=9,COUNT(F1229:F1240)=9),cubic_spline(F1228:F1237,A1228:A1237,B$12),IF(AND(COUNT(A1229:A1240)=10,COUNT(F1229:F1240)=10),cubic_spline(F1228:F1238,A1228:A1238,B$12),IF(AND(COUNT(A1229:A1240)=11,COUNT(F1229:F1240)=11),cubic_spline(F1228:F1239,A1228:A1239,B$12),IF(AND(COUNT(A1229:A1240)=12,COUNT(F1229:F1240)=12),cubic_spline(F1228:F1240,A1228:A1240,B$12),""))))))))))))</f>
        <v/>
      </c>
      <c r="L1237" s="27" t="str">
        <f>IF(I1237="","",B$11&amp;"-"&amp;B$12)</f>
        <v/>
      </c>
      <c r="M1237" s="52" t="str">
        <f t="shared" si="470"/>
        <v/>
      </c>
    </row>
    <row r="1238" spans="1:13" x14ac:dyDescent="0.35">
      <c r="A1238" s="48"/>
      <c r="B1238" s="48"/>
      <c r="C1238" s="49"/>
      <c r="D1238" s="50"/>
      <c r="E1238" s="51" t="str">
        <f t="shared" si="469"/>
        <v/>
      </c>
      <c r="F1238" s="71" t="str">
        <f t="shared" si="466"/>
        <v/>
      </c>
      <c r="G1238" s="69" t="str">
        <f t="shared" si="468"/>
        <v/>
      </c>
      <c r="H1238" s="70" t="str">
        <f t="shared" si="467"/>
        <v/>
      </c>
      <c r="I1238" s="27" t="str">
        <f>IF(N(J1238)=0,"",0&amp;"-"&amp;B$13)</f>
        <v/>
      </c>
      <c r="J1238" s="52" t="str">
        <f>IF(N(B$13)=0,"",IF(AND(COUNT(H1229:H1240)=2,COUNT(F1229:F1240)=2),cubic_spline(F1228:F1230,H1228:H1230,B$13),IF(AND(COUNT(H1229:H1240)=3,COUNT(F1229:F1240)=3),cubic_spline(F1228:F1231,H1228:H1231,B$13),IF(AND(COUNT(H1229:H1240)=4,COUNT(F1229:F1240)=4),cubic_spline(F1228:F1232,H1228:H1232,B$13),IF(AND(COUNT(H1229:H1240)=5,COUNT(F1229:F1240)=5),cubic_spline(F1228:F1233,H1228:H1233,B$13),IF(AND(COUNT(H1229:H1240)=6,COUNT(F1229:F1240)=6),cubic_spline(F1228:F1234,H1228:H1234,B$13),IF(AND(COUNT(H1229:H1240)=7,COUNT(F1229:F1240)=7),cubic_spline(F1228:F1235,H1228:H1235,B$13),IF(AND(COUNT(H1229:H1240)=8,COUNT(F1229:F1240)=8),cubic_spline(F1228:F1236,H1228:H1236,B$13),IF(AND(COUNT(H1229:H1240)=9,COUNT(F1229:F1240)=9),cubic_spline(F1228:F1237,H1228:H1237,B$13),IF(AND(COUNT(H1229:H1240)=10,COUNT(F1229:F1240)=10),cubic_spline(F1228:F1238,H1228:H1238,B$13),IF(AND(COUNT(H1229:H1240)=11,COUNT(F1229:F1240)=11),cubic_spline(F1228:F1239,H1228:H1239,B$13),IF(AND(COUNT(H1229:H1240)=12,COUNT(F1229:F1240)=12),cubic_spline(F1228:F1240,H1228:H1240,B$13),""))))))))))))</f>
        <v/>
      </c>
      <c r="K1238" s="52" t="str">
        <f>IF(N(B$13)=0,"",IF(AND(COUNT(A1229:A1240)=2,COUNT(F1229:F1240)=2),cubic_spline(F1228:F1230,A1228:A1230,B$13),IF(AND(COUNT(A1229:A1240)=3,COUNT(F1229:F1240)=3),cubic_spline(F1228:F1231,A1228:A1231,B$13),IF(AND(COUNT(A1229:A1240)=4,COUNT(F1229:F1240)=4),cubic_spline(F1228:F1232,A1228:A1232,B$13),IF(AND(COUNT(A1229:A1240)=5,COUNT(F1229:F1240)=5),cubic_spline(F1228:F1233,A1228:A1233,B$13),IF(AND(COUNT(A1229:A1240)=6,COUNT(F1229:F1240)=6),cubic_spline(F1228:F1234,A1228:A1234,B$13),IF(AND(COUNT(A1229:A1240)=7,COUNT(F1229:F1240)=7),cubic_spline(F1228:F1235,A1228:A1235,B$13),IF(AND(COUNT(A1229:A1240)=8,COUNT(F1229:F1240)=8),cubic_spline(F1228:F1236,A1228:A1236,B$13),IF(AND(COUNT(A1229:A1240)=9,COUNT(F1229:F1240)=9),cubic_spline(F1228:F1237,A1228:A1237,B$13),IF(AND(COUNT(A1229:A1240)=10,COUNT(F1229:F1240)=10),cubic_spline(F1228:F1238,A1228:A1238,B$13),IF(AND(COUNT(A1229:A1240)=11,COUNT(F1229:F1240)=11),cubic_spline(F1228:F1239,A1228:A1239,B$13),IF(AND(COUNT(A1229:A1240)=12,COUNT(F1229:F1240)=12),cubic_spline(F1228:F1240,A1228:A1240,B$13),""))))))))))))</f>
        <v/>
      </c>
      <c r="L1238" s="27" t="str">
        <f>IF(I1238="","",B$12&amp;"-"&amp;B$13)</f>
        <v/>
      </c>
      <c r="M1238" s="52" t="str">
        <f t="shared" si="470"/>
        <v/>
      </c>
    </row>
    <row r="1239" spans="1:13" x14ac:dyDescent="0.35">
      <c r="A1239" s="48"/>
      <c r="B1239" s="48"/>
      <c r="C1239" s="49"/>
      <c r="D1239" s="50"/>
      <c r="E1239" s="51" t="str">
        <f t="shared" si="469"/>
        <v/>
      </c>
      <c r="F1239" s="71" t="str">
        <f t="shared" si="466"/>
        <v/>
      </c>
      <c r="G1239" s="69" t="str">
        <f t="shared" si="468"/>
        <v/>
      </c>
      <c r="H1239" s="70" t="str">
        <f t="shared" si="467"/>
        <v/>
      </c>
      <c r="I1239" s="27" t="str">
        <f>IF(N(J1239)=0,"",0&amp;"-"&amp;B$14)</f>
        <v/>
      </c>
      <c r="J1239" s="52" t="str">
        <f>IF(N(B$14)=0,"",IF(AND(COUNT(H1229:H1240)=2,COUNT(F1229:F1240)=2),cubic_spline(F1228:F1230,H1228:H1230,B$14),IF(AND(COUNT(H1229:H1240)=3,COUNT(F1229:F1240)=3),cubic_spline(F1228:F1231,H1228:H1231,B$14),IF(AND(COUNT(H1229:H1240)=4,COUNT(F1229:F1240)=4),cubic_spline(F1228:F1232,H1228:H1232,B$14),IF(AND(COUNT(H1229:H1240)=5,COUNT(F1229:F1240)=5),cubic_spline(F1228:F1233,H1228:H1233,B$14),IF(AND(COUNT(H1229:H1240)=6,COUNT(F1229:F1240)=6),cubic_spline(F1228:F1234,H1228:H1234,B$14),IF(AND(COUNT(H1229:H1240)=7,COUNT(F1229:F1240)=7),cubic_spline(F1228:F1235,H1228:H1235,B$14),IF(AND(COUNT(H1229:H1240)=8,COUNT(F1229:F1240)=8),cubic_spline(F1228:F1236,H1228:H1236,B$14),IF(AND(COUNT(H1229:H1240)=9,COUNT(F1229:F1240)=9),cubic_spline(F1228:F1237,H1228:H1237,B$14),IF(AND(COUNT(H1229:H1240)=10,COUNT(F1229:F1240)=10),cubic_spline(F1228:F1238,H1228:H1238,B$14),IF(AND(COUNT(H1229:H1240)=11,COUNT(F1229:F1240)=11),cubic_spline(F1228:F1239,H1228:H1239,B$14),IF(AND(COUNT(H1229:H1240)=12,COUNT(F1229:F1240)=12),cubic_spline(F1228:F1240,H1228:H1240,B$14),""))))))))))))</f>
        <v/>
      </c>
      <c r="K1239" s="52" t="str">
        <f>IF(N(B$14)=0,"",IF(AND(COUNT(A1229:A1240)=2,COUNT(F1229:F1240)=2),cubic_spline(F1228:F1230,A1228:A1230,B$14),IF(AND(COUNT(A1229:A1240)=3,COUNT(F1229:F1240)=3),cubic_spline(F1228:F1231,A1228:A1231,B$14),IF(AND(COUNT(A1229:A1240)=4,COUNT(F1229:F1240)=4),cubic_spline(F1228:F1232,A1228:A1232,B$14),IF(AND(COUNT(A1229:A1240)=5,COUNT(F1229:F1240)=5),cubic_spline(F1228:F1233,A1228:A1233,B$14),IF(AND(COUNT(A1229:A1240)=6,COUNT(F1229:F1240)=6),cubic_spline(F1228:F1234,A1228:A1234,B$14),IF(AND(COUNT(A1229:A1240)=7,COUNT(F1229:F1240)=7),cubic_spline(F1228:F1235,A1228:A1235,B$14),IF(AND(COUNT(A1229:A1240)=8,COUNT(F1229:F1240)=8),cubic_spline(F1228:F1236,A1228:A1236,B$14),IF(AND(COUNT(A1229:A1240)=9,COUNT(F1229:F1240)=9),cubic_spline(F1228:F1237,A1228:A1237,B$14),IF(AND(COUNT(A1229:A1240)=10,COUNT(F1229:F1240)=10),cubic_spline(F1228:F1238,A1228:A1238,B$14),IF(AND(COUNT(A1229:A1240)=11,COUNT(F1229:F1240)=11),cubic_spline(F1228:F1239,A1228:A1239,B$14),IF(AND(COUNT(A1229:A1240)=12,COUNT(F1229:F1240)=12),cubic_spline(F1228:F1240,A1228:A1240,B$14),""))))))))))))</f>
        <v/>
      </c>
      <c r="L1239" s="27" t="str">
        <f>IF(I1239="","",B$13&amp;"-"&amp;B$14)</f>
        <v/>
      </c>
      <c r="M1239" s="52" t="str">
        <f t="shared" si="470"/>
        <v/>
      </c>
    </row>
    <row r="1240" spans="1:13" x14ac:dyDescent="0.35">
      <c r="A1240" s="48"/>
      <c r="B1240" s="48"/>
      <c r="C1240" s="49"/>
      <c r="D1240" s="50"/>
      <c r="E1240" s="51" t="str">
        <f t="shared" si="469"/>
        <v/>
      </c>
      <c r="F1240" s="71" t="str">
        <f t="shared" si="466"/>
        <v/>
      </c>
      <c r="G1240" s="69" t="str">
        <f t="shared" si="468"/>
        <v/>
      </c>
      <c r="H1240" s="70" t="str">
        <f t="shared" si="467"/>
        <v/>
      </c>
      <c r="I1240" s="27" t="str">
        <f>IF(N(J1240)=0,"",0&amp;"-"&amp;B$15)</f>
        <v/>
      </c>
      <c r="J1240" s="52" t="str">
        <f>IF(N(B$15)=0,"",IF(AND(COUNT(H1229:H1240)=2,COUNT(F1229:F1240)=2),cubic_spline(F1228:F1230,H1228:H1230,B$15),IF(AND(COUNT(H1229:H1240)=3,COUNT(F1229:F1240)=3),cubic_spline(F1228:F1231,H1228:H1231,B$15),IF(AND(COUNT(H1229:H1240)=4,COUNT(F1229:F1240)=4),cubic_spline(F1228:F1232,H1228:H1232,B$15),IF(AND(COUNT(H1229:H1240)=5,COUNT(F1229:F1240)=5),cubic_spline(F1228:F1233,H1228:H1233,B$15),IF(AND(COUNT(H1229:H1240)=6,COUNT(F1229:F1240)=6),cubic_spline(F1228:F1234,H1228:H1234,B$15),IF(AND(COUNT(H1229:H1240)=7,COUNT(F1229:F1240)=7),cubic_spline(F1228:F1235,H1228:H1235,B$15),IF(AND(COUNT(H1229:H1240)=8,COUNT(F1229:F1240)=8),cubic_spline(F1228:F1236,H1228:H1236,B$15),IF(AND(COUNT(H1229:H1240)=9,COUNT(F1229:F1240)=9),cubic_spline(F1228:F1237,H1228:H1237,B$15),IF(AND(COUNT(H1229:H1240)=10,COUNT(F1229:F1240)=10),cubic_spline(F1228:F1238,H1228:H1238,B$15),IF(AND(COUNT(H1229:H1240)=11,COUNT(F1229:F1240)=11),cubic_spline(F1228:F1239,H1228:H1239,B$15),IF(AND(COUNT(H1229:H1240)=12,COUNT(F1229:F1240)=12),cubic_spline(F1228:F1240,H1228:H1240,B$15),""))))))))))))</f>
        <v/>
      </c>
      <c r="K1240" s="52" t="str">
        <f>IF(N(B$15)=0,"",IF(AND(COUNT(A1229:A1240)=2,COUNT(F1229:F1240)=2),cubic_spline(F1228:F1230,A1228:A1230,B$15),IF(AND(COUNT(A1229:A1240)=3,COUNT(F1229:F1240)=3),cubic_spline(F1228:F1231,A1228:A1231,B$15),IF(AND(COUNT(A1229:A1240)=4,COUNT(F1229:F1240)=4),cubic_spline(F1228:F1232,A1228:A1232,B$15),IF(AND(COUNT(A1229:A1240)=5,COUNT(F1229:F1240)=5),cubic_spline(F1228:F1233,A1228:A1233,B$15),IF(AND(COUNT(A1229:A1240)=6,COUNT(F1229:F1240)=6),cubic_spline(F1228:F1234,A1228:A1234,B$15),IF(AND(COUNT(A1229:A1240)=7,COUNT(F1229:F1240)=7),cubic_spline(F1228:F1235,A1228:A1235,B$15),IF(AND(COUNT(A1229:A1240)=8,COUNT(F1229:F1240)=8),cubic_spline(F1228:F1236,A1228:A1236,B$15),IF(AND(COUNT(A1229:A1240)=9,COUNT(F1229:F1240)=9),cubic_spline(F1228:F1237,A1228:A1237,B$15),IF(AND(COUNT(A1229:A1240)=10,COUNT(F1229:F1240)=10),cubic_spline(F1228:F1238,A1228:A1238,B$15),IF(AND(COUNT(A1229:A1240)=11,COUNT(F1229:F1240)=11),cubic_spline(F1228:F1239,A1228:A1239,B$15),IF(AND(COUNT(A1229:A1240)=12,COUNT(F1229:F1240)=12),cubic_spline(F1228:F1240,A1228:A1240,B$15),""))))))))))))</f>
        <v/>
      </c>
      <c r="L1240" s="27" t="str">
        <f>IF(I1240="","",B$14&amp;"-"&amp;B$15)</f>
        <v/>
      </c>
      <c r="M1240" s="52" t="str">
        <f t="shared" si="470"/>
        <v/>
      </c>
    </row>
    <row r="1241" spans="1:13" ht="5.15" customHeight="1" x14ac:dyDescent="0.35">
      <c r="A1241" s="47"/>
      <c r="B1241" s="47"/>
      <c r="C1241" s="47"/>
      <c r="D1241" s="53"/>
      <c r="E1241" s="54"/>
      <c r="F1241" s="55"/>
      <c r="G1241" s="72"/>
      <c r="H1241" s="73"/>
      <c r="I1241" s="47"/>
      <c r="J1241" s="57"/>
      <c r="K1241" s="57"/>
      <c r="L1241" s="55"/>
      <c r="M1241" s="57"/>
    </row>
    <row r="1242" spans="1:13" x14ac:dyDescent="0.35">
      <c r="A1242" s="48"/>
      <c r="B1242" s="48"/>
      <c r="C1242" s="49"/>
      <c r="D1242" s="50"/>
      <c r="E1242" s="51" t="str">
        <f>IF(N(C1242)=0,"",C1242/PI()/($D$1/2)^2/$D$2*10000)</f>
        <v/>
      </c>
      <c r="F1242" s="68" t="str">
        <f t="shared" ref="F1242:F1253" si="471">IF(N(E1242)=0,"",(N(E1242)+N(F1241)))</f>
        <v/>
      </c>
      <c r="G1242" s="69" t="str">
        <f>IF(OR(N(D1242)=0,N(E1242)=0),"",(E1242*D1242)/1000)</f>
        <v/>
      </c>
      <c r="H1242" s="70" t="str">
        <f t="shared" ref="H1242:H1253" si="472">IF(N(G1242)=0,"",(N(G1242)+N(H1241)))</f>
        <v/>
      </c>
      <c r="I1242" s="27" t="str">
        <f>IF(N(J1242)=0,"",0&amp;"-"&amp;B$4)</f>
        <v/>
      </c>
      <c r="J1242" s="52" t="str">
        <f>IF(N(B$4)=0,"",IF(AND(COUNT(H1242:H1253)=2,COUNT(F1242:F1253)=2),cubic_spline(F1241:F1243,H1241:H1243,B$4),IF(AND(COUNT(H1242:H1253)=3,COUNT(F1242:F1253)=3),cubic_spline(F1241:F1244,H1241:H1244,B$4),IF(AND(COUNT(H1242:H1253)=4,COUNT(F1242:F1253)=4),cubic_spline(F1241:F1245,H1241:H1245,B$4),IF(AND(COUNT(H1242:H1253)=5,COUNT(F1242:F1253)=5),cubic_spline(F1241:F1246,H1241:H1246,B$4),IF(AND(COUNT(H1242:H1253)=6,COUNT(F1242:F1253)=6),cubic_spline(F1241:F1247,H1241:H1247,B$4),IF(AND(COUNT(H1242:H1253)=7,COUNT(F1242:F1253)=7),cubic_spline(F1241:F1248,H1241:H1248,B$4),IF(AND(COUNT(H1242:H1253)=8,COUNT(F1242:F1253)=8),cubic_spline(F1241:F1249,H1241:H1249,B$4),IF(AND(COUNT(H1242:H1253)=9,COUNT(F1242:F1253)=9),cubic_spline(F1241:F1250,H1241:H1250,B$4),IF(AND(COUNT(H1242:H1253)=10,COUNT(F1242:F1253)=10),cubic_spline(F1241:F1251,H1241:H1251,B$4),IF(AND(COUNT(H1242:H1253)=11,COUNT(F1242:F1253)=11),cubic_spline(F1241:F1252,H1241:H1252,B$4),IF(AND(COUNT(H1242:H1253)=12,COUNT(F1242:F1253)=12),cubic_spline(F1241:F1253,H1241:H1253,B$4),""))))))))))))</f>
        <v/>
      </c>
      <c r="K1242" s="52" t="str">
        <f>IF(N(B$4)=0,"",IF(AND(COUNT(A1242:A1253)=2,COUNT(F1242:F1253)=2),cubic_spline(F1241:F1243,A1241:A1243,B$4),IF(AND(COUNT(A1242:A1253)=3,COUNT(F1242:F1253)=3),cubic_spline(F1241:F1244,A1241:A1244,B$4),IF(AND(COUNT(A1242:A1253)=4,COUNT(F1242:F1253)=4),cubic_spline(F1241:F1245,A1241:A1245,B$4),IF(AND(COUNT(A1242:A1253)=5,COUNT(F1242:F1253)=5),cubic_spline(F1241:F1246,A1241:A1246,B$4),IF(AND(COUNT(A1242:A1253)=6,COUNT(F1242:F1253)=6),cubic_spline(F1241:F1247,A1241:A1247,B$4),IF(AND(COUNT(A1242:A1253)=7,COUNT(F1242:F1253)=7),cubic_spline(F1241:F1248,A1241:A1248,B$4),IF(AND(COUNT(A1242:A1253)=8,COUNT(F1242:F1253)=8),cubic_spline(F1241:F1249,A1241:A1249,B$4),IF(AND(COUNT(A1242:A1253)=9,COUNT(F1242:F1253)=9),cubic_spline(F1241:F1250,A1241:A1250,B$4),IF(AND(COUNT(A1242:A1253)=10,COUNT(F1242:F1253)=10),cubic_spline(F1241:F1251,A1241:A1251,B$4),IF(AND(COUNT(A1242:A1253)=11,COUNT(F1242:F1253)=11),cubic_spline(F1241:F1252,A1241:A1252,B$4),IF(AND(COUNT(A1242:A1253)=12,COUNT(F1242:F1253)=12),cubic_spline(F1241:F1253,A1241:A1253,B$4),""))))))))))))</f>
        <v/>
      </c>
      <c r="L1242" s="27" t="str">
        <f>IF(I1242="","",0&amp;"-"&amp;B$4)</f>
        <v/>
      </c>
      <c r="M1242" s="52" t="str">
        <f>IF(N(J1242)=0,"",J1242-J1241)</f>
        <v/>
      </c>
    </row>
    <row r="1243" spans="1:13" x14ac:dyDescent="0.35">
      <c r="A1243" s="48"/>
      <c r="B1243" s="48"/>
      <c r="C1243" s="49"/>
      <c r="D1243" s="50"/>
      <c r="E1243" s="51" t="str">
        <f>IF(N(C1243)=0,"",C1243/PI()/($D$1/2)^2/$D$2*10000)</f>
        <v/>
      </c>
      <c r="F1243" s="68" t="str">
        <f t="shared" si="471"/>
        <v/>
      </c>
      <c r="G1243" s="69" t="str">
        <f t="shared" ref="G1243:G1253" si="473">IF(OR(N(D1243)=0,N(E1243)=0),"",(E1243*D1243)/1000)</f>
        <v/>
      </c>
      <c r="H1243" s="70" t="str">
        <f t="shared" si="472"/>
        <v/>
      </c>
      <c r="I1243" s="27" t="str">
        <f>IF(N(J1243)=0,"",0&amp;"-"&amp;B$5)</f>
        <v/>
      </c>
      <c r="J1243" s="52" t="str">
        <f>IF(N(B$5)=0,"",IF(AND(COUNT(H1242:H1253)=2,COUNT(F1242:F1253)=2),cubic_spline(F1241:F1243,H1241:H1243,B$5),IF(AND(COUNT(H1242:H1253)=3,COUNT(F1242:F1253)=3),cubic_spline(F1241:F1244,H1241:H1244,B$5),IF(AND(COUNT(H1242:H1253)=4,COUNT(F1242:F1253)=4),cubic_spline(F1241:F1245,H1241:H1245,B$5),IF(AND(COUNT(H1242:H1253)=5,COUNT(F1242:F1253)=5),cubic_spline(F1241:F1246,H1241:H1246,B$5),IF(AND(COUNT(H1242:H1253)=6,COUNT(F1242:F1253)=6),cubic_spline(F1241:F1247,H1241:H1247,B$5),IF(AND(COUNT(H1242:H1253)=7,COUNT(F1242:F1253)=7),cubic_spline(F1241:F1248,H1241:H1248,B$5),IF(AND(COUNT(H1242:H1253)=8,COUNT(F1242:F1253)=8),cubic_spline(F1241:F1249,H1241:H1249,B$5),IF(AND(COUNT(H1242:H1253)=9,COUNT(F1242:F1253)=9),cubic_spline(F1241:F1250,H1241:H1250,B$5),IF(AND(COUNT(H1242:H1253)=10,COUNT(F1242:F1253)=10),cubic_spline(F1241:F1251,H1241:H1251,B$5),IF(AND(COUNT(H1242:H1253)=11,COUNT(F1242:F1253)=11),cubic_spline(F1241:F1252,H1241:H1252,B$5),IF(AND(COUNT(H1242:H1253)=12,COUNT(F1242:F1253)=12),cubic_spline(F1241:F1253,H1241:H1253,B$5),""))))))))))))</f>
        <v/>
      </c>
      <c r="K1243" s="52" t="str">
        <f>IF(N(B$5)=0,"",IF(AND(COUNT(A1242:A1253)=2,COUNT(F1242:F1253)=2),cubic_spline(F1241:F1243,A1241:A1243,B$5),IF(AND(COUNT(A1242:A1253)=3,COUNT(F1242:F1253)=3),cubic_spline(F1241:F1244,A1241:A1244,B$5),IF(AND(COUNT(A1242:A1253)=4,COUNT(F1242:F1253)=4),cubic_spline(F1241:F1245,A1241:A1245,B$5),IF(AND(COUNT(A1242:A1253)=5,COUNT(F1242:F1253)=5),cubic_spline(F1241:F1246,A1241:A1246,B$5),IF(AND(COUNT(A1242:A1253)=6,COUNT(F1242:F1253)=6),cubic_spline(F1241:F1247,A1241:A1247,B$5),IF(AND(COUNT(A1242:A1253)=7,COUNT(F1242:F1253)=7),cubic_spline(F1241:F1248,A1241:A1248,B$5),IF(AND(COUNT(A1242:A1253)=8,COUNT(F1242:F1253)=8),cubic_spline(F1241:F1249,A1241:A1249,B$5),IF(AND(COUNT(A1242:A1253)=9,COUNT(F1242:F1253)=9),cubic_spline(F1241:F1250,A1241:A1250,B$5),IF(AND(COUNT(A1242:A1253)=10,COUNT(F1242:F1253)=10),cubic_spline(F1241:F1251,A1241:A1251,B$5),IF(AND(COUNT(A1242:A1253)=11,COUNT(F1242:F1253)=11),cubic_spline(F1241:F1252,A1241:A1252,B$5),IF(AND(COUNT(A1242:A1253)=12,COUNT(F1242:F1253)=12),cubic_spline(F1241:F1253,A1241:A1253,B$5),""))))))))))))</f>
        <v/>
      </c>
      <c r="L1243" s="27" t="str">
        <f>IF(I1243="","",B$4&amp;"-"&amp;B$5)</f>
        <v/>
      </c>
      <c r="M1243" s="52" t="str">
        <f>IF(N(J1243)=0,"",J1243-J1242)</f>
        <v/>
      </c>
    </row>
    <row r="1244" spans="1:13" x14ac:dyDescent="0.35">
      <c r="A1244" s="48"/>
      <c r="B1244" s="48"/>
      <c r="C1244" s="49"/>
      <c r="D1244" s="50"/>
      <c r="E1244" s="51" t="str">
        <f>IF(N(C1244)=0,"",C1244/PI()/($D$1/2)^2/$D$2*10000)</f>
        <v/>
      </c>
      <c r="F1244" s="68" t="str">
        <f t="shared" si="471"/>
        <v/>
      </c>
      <c r="G1244" s="69" t="str">
        <f t="shared" si="473"/>
        <v/>
      </c>
      <c r="H1244" s="70" t="str">
        <f t="shared" si="472"/>
        <v/>
      </c>
      <c r="I1244" s="27" t="str">
        <f>IF(N(J1244)=0,"",0&amp;"-"&amp;B$6)</f>
        <v/>
      </c>
      <c r="J1244" s="52" t="str">
        <f>IF(N(B$6)=0,"",IF(AND(COUNT(H1242:H1253)=2,COUNT(F1242:F1253)=2),cubic_spline(F1241:F1243,H1241:H1243,B$6),IF(AND(COUNT(H1242:H1253)=3,COUNT(F1242:F1253)=3),cubic_spline(F1241:F1244,H1241:H1244,B$6),IF(AND(COUNT(H1242:H1253)=4,COUNT(F1242:F1253)=4),cubic_spline(F1241:F1245,H1241:H1245,B$6),IF(AND(COUNT(H1242:H1253)=5,COUNT(F1242:F1253)=5),cubic_spline(F1241:F1246,H1241:H1246,B$6),IF(AND(COUNT(H1242:H1253)=6,COUNT(F1242:F1253)=6),cubic_spline(F1241:F1247,H1241:H1247,B$6),IF(AND(COUNT(H1242:H1253)=7,COUNT(F1242:F1253)=7),cubic_spline(F1241:F1248,H1241:H1248,B$6),IF(AND(COUNT(H1242:H1253)=8,COUNT(F1242:F1253)=8),cubic_spline(F1241:F1249,H1241:H1249,B$6),IF(AND(COUNT(H1242:H1253)=9,COUNT(F1242:F1253)=9),cubic_spline(F1241:F1250,H1241:H1250,B$6),IF(AND(COUNT(H1242:H1253)=10,COUNT(F1242:F1253)=10),cubic_spline(F1241:F1251,H1241:H1251,B$6),IF(AND(COUNT(H1242:H1253)=11,COUNT(F1242:F1253)=11),cubic_spline(F1241:F1252,H1241:H1252,B$6),IF(AND(COUNT(H1242:H1253)=12,COUNT(F1242:F1253)=12),cubic_spline(F1241:F1253,H1241:H1253,B$6),""))))))))))))</f>
        <v/>
      </c>
      <c r="K1244" s="52" t="str">
        <f>IF(N(B$6)=0,"",IF(AND(COUNT(A1242:A1253)=2,COUNT(F1242:F1253)=2),cubic_spline(F1241:F1243,A1241:A1243,B$6),IF(AND(COUNT(A1242:A1253)=3,COUNT(F1242:F1253)=3),cubic_spline(F1241:F1244,A1241:A1244,B$6),IF(AND(COUNT(A1242:A1253)=4,COUNT(F1242:F1253)=4),cubic_spline(F1241:F1245,A1241:A1245,B$6),IF(AND(COUNT(A1242:A1253)=5,COUNT(F1242:F1253)=5),cubic_spline(F1241:F1246,A1241:A1246,B$6),IF(AND(COUNT(A1242:A1253)=6,COUNT(F1242:F1253)=6),cubic_spline(F1241:F1247,A1241:A1247,B$6),IF(AND(COUNT(A1242:A1253)=7,COUNT(F1242:F1253)=7),cubic_spline(F1241:F1248,A1241:A1248,B$6),IF(AND(COUNT(A1242:A1253)=8,COUNT(F1242:F1253)=8),cubic_spline(F1241:F1249,A1241:A1249,B$6),IF(AND(COUNT(A1242:A1253)=9,COUNT(F1242:F1253)=9),cubic_spline(F1241:F1250,A1241:A1250,B$6),IF(AND(COUNT(A1242:A1253)=10,COUNT(F1242:F1253)=10),cubic_spline(F1241:F1251,A1241:A1251,B$6),IF(AND(COUNT(A1242:A1253)=11,COUNT(F1242:F1253)=11),cubic_spline(F1241:F1252,A1241:A1252,B$6),IF(AND(COUNT(A1242:A1253)=12,COUNT(F1242:F1253)=12),cubic_spline(F1241:F1253,A1241:A1253,B$6),""))))))))))))</f>
        <v/>
      </c>
      <c r="L1244" s="27" t="str">
        <f>IF(I1244="","",B$5&amp;"-"&amp;B$6)</f>
        <v/>
      </c>
      <c r="M1244" s="52" t="str">
        <f>IF(N(J1244)=0,"",J1244-J1243)</f>
        <v/>
      </c>
    </row>
    <row r="1245" spans="1:13" x14ac:dyDescent="0.35">
      <c r="A1245" s="48"/>
      <c r="B1245" s="48"/>
      <c r="C1245" s="49"/>
      <c r="D1245" s="50"/>
      <c r="E1245" s="51" t="str">
        <f>IF(N(C1245)=0,"",C1245/PI()/($D$1/2)^2/$D$2*10000)</f>
        <v/>
      </c>
      <c r="F1245" s="68" t="str">
        <f t="shared" si="471"/>
        <v/>
      </c>
      <c r="G1245" s="69" t="str">
        <f t="shared" si="473"/>
        <v/>
      </c>
      <c r="H1245" s="70" t="str">
        <f t="shared" si="472"/>
        <v/>
      </c>
      <c r="I1245" s="27" t="str">
        <f>IF(N(J1245)=0,"",0&amp;"-"&amp;B$7)</f>
        <v/>
      </c>
      <c r="J1245" s="52" t="str">
        <f>IF(N(B$7)=0,"",IF(AND(COUNT(H1242:H1253)=2,COUNT(F1242:F1253)=2),cubic_spline(F1241:F1243,H1241:H1243,B$7),IF(AND(COUNT(H1242:H1253)=3,COUNT(F1242:F1253)=3),cubic_spline(F1241:F1244,H1241:H1244,B$7),IF(AND(COUNT(H1242:H1253)=4,COUNT(F1242:F1253)=4),cubic_spline(F1241:F1245,H1241:H1245,B$7),IF(AND(COUNT(H1242:H1253)=5,COUNT(F1242:F1253)=5),cubic_spline(F1241:F1246,H1241:H1246,B$7),IF(AND(COUNT(H1242:H1253)=6,COUNT(F1242:F1253)=6),cubic_spline(F1241:F1247,H1241:H1247,B$7),IF(AND(COUNT(H1242:H1253)=7,COUNT(F1242:F1253)=7),cubic_spline(F1241:F1248,H1241:H1248,B$7),IF(AND(COUNT(H1242:H1253)=8,COUNT(F1242:F1253)=8),cubic_spline(F1241:F1249,H1241:H1249,B$7),IF(AND(COUNT(H1242:H1253)=9,COUNT(F1242:F1253)=9),cubic_spline(F1241:F1250,H1241:H1250,B$7),IF(AND(COUNT(H1242:H1253)=10,COUNT(F1242:F1253)=10),cubic_spline(F1241:F1251,H1241:H1251,B$7),IF(AND(COUNT(H1242:H1253)=11,COUNT(F1242:F1253)=11),cubic_spline(F1241:F1252,H1241:H1252,B$7),IF(AND(COUNT(H1242:H1253)=12,COUNT(F1242:F1253)=12),cubic_spline(F1241:F1253,H1241:H1253,B$7),""))))))))))))</f>
        <v/>
      </c>
      <c r="K1245" s="52" t="str">
        <f>IF(N(B$7)=0,"",IF(AND(COUNT(A1242:A1253)=2,COUNT(F1242:F1253)=2),cubic_spline(F1241:F1243,A1241:A1243,B$7),IF(AND(COUNT(A1242:A1253)=3,COUNT(F1242:F1253)=3),cubic_spline(F1241:F1244,A1241:A1244,B$7),IF(AND(COUNT(A1242:A1253)=4,COUNT(F1242:F1253)=4),cubic_spline(F1241:F1245,A1241:A1245,B$7),IF(AND(COUNT(A1242:A1253)=5,COUNT(F1242:F1253)=5),cubic_spline(F1241:F1246,A1241:A1246,B$7),IF(AND(COUNT(A1242:A1253)=6,COUNT(F1242:F1253)=6),cubic_spline(F1241:F1247,A1241:A1247,B$7),IF(AND(COUNT(A1242:A1253)=7,COUNT(F1242:F1253)=7),cubic_spline(F1241:F1248,A1241:A1248,B$7),IF(AND(COUNT(A1242:A1253)=8,COUNT(F1242:F1253)=8),cubic_spline(F1241:F1249,A1241:A1249,B$7),IF(AND(COUNT(A1242:A1253)=9,COUNT(F1242:F1253)=9),cubic_spline(F1241:F1250,A1241:A1250,B$7),IF(AND(COUNT(A1242:A1253)=10,COUNT(F1242:F1253)=10),cubic_spline(F1241:F1251,A1241:A1251,B$7),IF(AND(COUNT(A1242:A1253)=11,COUNT(F1242:F1253)=11),cubic_spline(F1241:F1252,A1241:A1252,B$7),IF(AND(COUNT(A1242:A1253)=12,COUNT(F1242:F1253)=12),cubic_spline(F1241:F1253,A1241:A1253,B$7),""))))))))))))</f>
        <v/>
      </c>
      <c r="L1245" s="27" t="str">
        <f>IF(I1245="","",B$6&amp;"-"&amp;B$7)</f>
        <v/>
      </c>
      <c r="M1245" s="52" t="str">
        <f>IF(N(J1245)=0,"",J1245-J1244)</f>
        <v/>
      </c>
    </row>
    <row r="1246" spans="1:13" x14ac:dyDescent="0.35">
      <c r="A1246" s="48"/>
      <c r="B1246" s="48"/>
      <c r="C1246" s="49"/>
      <c r="D1246" s="50"/>
      <c r="E1246" s="51" t="str">
        <f t="shared" ref="E1246:E1253" si="474">IF(N(C1246)=0,"",C1246/PI()/($D$1/2)^2/$D$2*10000)</f>
        <v/>
      </c>
      <c r="F1246" s="71" t="str">
        <f t="shared" si="471"/>
        <v/>
      </c>
      <c r="G1246" s="69" t="str">
        <f t="shared" si="473"/>
        <v/>
      </c>
      <c r="H1246" s="70" t="str">
        <f t="shared" si="472"/>
        <v/>
      </c>
      <c r="I1246" s="27" t="str">
        <f>IF(N(J1246)=0,"",0&amp;"-"&amp;B$8)</f>
        <v/>
      </c>
      <c r="J1246" s="52" t="str">
        <f>IF(N(B$8)=0,"",IF(AND(COUNT(H1242:H1253)=2,COUNT(F1242:F1253)=2),cubic_spline(F1241:F1243,H1241:H1243,B$8),IF(AND(COUNT(H1242:H1253)=3,COUNT(F1242:F1253)=3),cubic_spline(F1241:F1244,H1241:H1244,B$8),IF(AND(COUNT(H1242:H1253)=4,COUNT(F1242:F1253)=4),cubic_spline(F1241:F1245,H1241:H1245,B$8),IF(AND(COUNT(H1242:H1253)=5,COUNT(F1242:F1253)=5),cubic_spline(F1241:F1246,H1241:H1246,B$8),IF(AND(COUNT(H1242:H1253)=6,COUNT(F1242:F1253)=6),cubic_spline(F1241:F1247,H1241:H1247,B$8),IF(AND(COUNT(H1242:H1253)=7,COUNT(F1242:F1253)=7),cubic_spline(F1241:F1248,H1241:H1248,B$8),IF(AND(COUNT(H1242:H1253)=8,COUNT(F1242:F1253)=8),cubic_spline(F1241:F1249,H1241:H1249,B$8),IF(AND(COUNT(H1242:H1253)=9,COUNT(F1242:F1253)=9),cubic_spline(F1241:F1250,H1241:H1250,B$8),IF(AND(COUNT(H1242:H1253)=10,COUNT(F1242:F1253)=10),cubic_spline(F1241:F1251,H1241:H1251,B$8),IF(AND(COUNT(H1242:H1253)=11,COUNT(F1242:F1253)=11),cubic_spline(F1241:F1252,H1241:H1252,B$8),IF(AND(COUNT(H1242:H1253)=12,COUNT(F1242:F1253)=12),cubic_spline(F1241:F1253,H1241:H1253,B$8),""))))))))))))</f>
        <v/>
      </c>
      <c r="K1246" s="52" t="str">
        <f>IF(N(B$8)=0,"",IF(AND(COUNT(A1242:A1253)=2,COUNT(F1242:F1253)=2),cubic_spline(F1241:F1243,A1241:A1243,B$8),IF(AND(COUNT(A1242:A1253)=3,COUNT(F1242:F1253)=3),cubic_spline(F1241:F1244,A1241:A1244,B$8),IF(AND(COUNT(A1242:A1253)=4,COUNT(F1242:F1253)=4),cubic_spline(F1241:F1245,A1241:A1245,B$8),IF(AND(COUNT(A1242:A1253)=5,COUNT(F1242:F1253)=5),cubic_spline(F1241:F1246,A1241:A1246,B$8),IF(AND(COUNT(A1242:A1253)=6,COUNT(F1242:F1253)=6),cubic_spline(F1241:F1247,A1241:A1247,B$8),IF(AND(COUNT(A1242:A1253)=7,COUNT(F1242:F1253)=7),cubic_spline(F1241:F1248,A1241:A1248,B$8),IF(AND(COUNT(A1242:A1253)=8,COUNT(F1242:F1253)=8),cubic_spline(F1241:F1249,A1241:A1249,B$8),IF(AND(COUNT(A1242:A1253)=9,COUNT(F1242:F1253)=9),cubic_spline(F1241:F1250,A1241:A1250,B$8),IF(AND(COUNT(A1242:A1253)=10,COUNT(F1242:F1253)=10),cubic_spline(F1241:F1251,A1241:A1251,B$8),IF(AND(COUNT(A1242:A1253)=11,COUNT(F1242:F1253)=11),cubic_spline(F1241:F1252,A1241:A1252,B$8),IF(AND(COUNT(A1242:A1253)=12,COUNT(F1242:F1253)=12),cubic_spline(F1241:F1253,A1241:A1253,B$8),""))))))))))))</f>
        <v/>
      </c>
      <c r="L1246" s="27" t="str">
        <f>IF(I1246="","",B$7&amp;"-"&amp;B$8)</f>
        <v/>
      </c>
      <c r="M1246" s="52" t="str">
        <f>IF(N(J1246)=0,"",J1246-J1245)</f>
        <v/>
      </c>
    </row>
    <row r="1247" spans="1:13" x14ac:dyDescent="0.35">
      <c r="A1247" s="48"/>
      <c r="B1247" s="48"/>
      <c r="C1247" s="49"/>
      <c r="D1247" s="50"/>
      <c r="E1247" s="51" t="str">
        <f t="shared" si="474"/>
        <v/>
      </c>
      <c r="F1247" s="71" t="str">
        <f t="shared" si="471"/>
        <v/>
      </c>
      <c r="G1247" s="69" t="str">
        <f t="shared" si="473"/>
        <v/>
      </c>
      <c r="H1247" s="70" t="str">
        <f t="shared" si="472"/>
        <v/>
      </c>
      <c r="I1247" s="27" t="str">
        <f>IF(N(J1247)=0,"",0&amp;"-"&amp;B$9)</f>
        <v/>
      </c>
      <c r="J1247" s="52" t="str">
        <f>IF(N(B$9)=0,"",IF(AND(COUNT(H1242:H1253)=2,COUNT(F1242:F1253)=2),cubic_spline(F1241:F1243,H1241:H1243,B$9),IF(AND(COUNT(H1242:H1253)=3,COUNT(F1242:F1253)=3),cubic_spline(F1241:F1244,H1241:H1244,B$9),IF(AND(COUNT(H1242:H1253)=4,COUNT(F1242:F1253)=4),cubic_spline(F1241:F1245,H1241:H1245,B$9),IF(AND(COUNT(H1242:H1253)=5,COUNT(F1242:F1253)=5),cubic_spline(F1241:F1246,H1241:H1246,B$9),IF(AND(COUNT(H1242:H1253)=6,COUNT(F1242:F1253)=6),cubic_spline(F1241:F1247,H1241:H1247,B$9),IF(AND(COUNT(H1242:H1253)=7,COUNT(F1242:F1253)=7),cubic_spline(F1241:F1248,H1241:H1248,B$9),IF(AND(COUNT(H1242:H1253)=8,COUNT(F1242:F1253)=8),cubic_spline(F1241:F1249,H1241:H1249,B$9),IF(AND(COUNT(H1242:H1253)=9,COUNT(F1242:F1253)=9),cubic_spline(F1241:F1250,H1241:H1250,B$9),IF(AND(COUNT(H1242:H1253)=10,COUNT(F1242:F1253)=10),cubic_spline(F1241:F1251,H1241:H1251,B$9),IF(AND(COUNT(H1242:H1253)=11,COUNT(F1242:F1253)=11),cubic_spline(F1241:F1252,H1241:H1252,B$9),IF(AND(COUNT(H1242:H1253)=12,COUNT(F1242:F1253)=12),cubic_spline(F1241:F1253,H1241:H1253,B$9),""))))))))))))</f>
        <v/>
      </c>
      <c r="K1247" s="52" t="str">
        <f>IF(N(B$9)=0,"",IF(AND(COUNT(A1242:A1253)=2,COUNT(F1242:F1253)=2),cubic_spline(F1241:F1243,A1241:A1243,B$9),IF(AND(COUNT(A1242:A1253)=3,COUNT(F1242:F1253)=3),cubic_spline(F1241:F1244,A1241:A1244,B$9),IF(AND(COUNT(A1242:A1253)=4,COUNT(F1242:F1253)=4),cubic_spline(F1241:F1245,A1241:A1245,B$9),IF(AND(COUNT(A1242:A1253)=5,COUNT(F1242:F1253)=5),cubic_spline(F1241:F1246,A1241:A1246,B$9),IF(AND(COUNT(A1242:A1253)=6,COUNT(F1242:F1253)=6),cubic_spline(F1241:F1247,A1241:A1247,B$9),IF(AND(COUNT(A1242:A1253)=7,COUNT(F1242:F1253)=7),cubic_spline(F1241:F1248,A1241:A1248,B$9),IF(AND(COUNT(A1242:A1253)=8,COUNT(F1242:F1253)=8),cubic_spline(F1241:F1249,A1241:A1249,B$9),IF(AND(COUNT(A1242:A1253)=9,COUNT(F1242:F1253)=9),cubic_spline(F1241:F1250,A1241:A1250,B$9),IF(AND(COUNT(A1242:A1253)=10,COUNT(F1242:F1253)=10),cubic_spline(F1241:F1251,A1241:A1251,B$9),IF(AND(COUNT(A1242:A1253)=11,COUNT(F1242:F1253)=11),cubic_spline(F1241:F1252,A1241:A1252,B$9),IF(AND(COUNT(A1242:A1253)=12,COUNT(F1242:F1253)=12),cubic_spline(F1241:F1253,A1241:A1253,B$9),""))))))))))))</f>
        <v/>
      </c>
      <c r="L1247" s="27" t="str">
        <f>IF(I1247="","",B$8&amp;"-"&amp;B$9)</f>
        <v/>
      </c>
      <c r="M1247" s="52" t="str">
        <f t="shared" ref="M1247:M1253" si="475">IF(N(J1247)=0,"",J1247-J1246)</f>
        <v/>
      </c>
    </row>
    <row r="1248" spans="1:13" x14ac:dyDescent="0.35">
      <c r="A1248" s="48"/>
      <c r="B1248" s="48"/>
      <c r="C1248" s="49"/>
      <c r="D1248" s="50"/>
      <c r="E1248" s="51" t="str">
        <f t="shared" si="474"/>
        <v/>
      </c>
      <c r="F1248" s="71" t="str">
        <f t="shared" si="471"/>
        <v/>
      </c>
      <c r="G1248" s="69" t="str">
        <f t="shared" si="473"/>
        <v/>
      </c>
      <c r="H1248" s="70" t="str">
        <f t="shared" si="472"/>
        <v/>
      </c>
      <c r="I1248" s="27" t="str">
        <f>IF(N(J1248)=0,"",0&amp;"-"&amp;B$10)</f>
        <v/>
      </c>
      <c r="J1248" s="52" t="str">
        <f>IF(N(B$10)=0,"",IF(AND(COUNT(H1242:H1253)=2,COUNT(F1242:F1253)=2),cubic_spline(F1241:F1243,H1241:H1243,B$10),IF(AND(COUNT(H1242:H1253)=3,COUNT(F1242:F1253)=3),cubic_spline(F1241:F1244,H1241:H1244,B$10),IF(AND(COUNT(H1242:H1253)=4,COUNT(F1242:F1253)=4),cubic_spline(F1241:F1245,H1241:H1245,B$10),IF(AND(COUNT(H1242:H1253)=5,COUNT(F1242:F1253)=5),cubic_spline(F1241:F1246,H1241:H1246,B$10),IF(AND(COUNT(H1242:H1253)=6,COUNT(F1242:F1253)=6),cubic_spline(F1241:F1247,H1241:H1247,B$10),IF(AND(COUNT(H1242:H1253)=7,COUNT(F1242:F1253)=7),cubic_spline(F1241:F1248,H1241:H1248,B$10),IF(AND(COUNT(H1242:H1253)=8,COUNT(F1242:F1253)=8),cubic_spline(F1241:F1249,H1241:H1249,B$10),IF(AND(COUNT(H1242:H1253)=9,COUNT(F1242:F1253)=9),cubic_spline(F1241:F1250,H1241:H1250,B$10),IF(AND(COUNT(H1242:H1253)=10,COUNT(F1242:F1253)=10),cubic_spline(F1241:F1251,H1241:H1251,B$10),IF(AND(COUNT(H1242:H1253)=11,COUNT(F1242:F1253)=11),cubic_spline(F1241:F1252,H1241:H1252,B$10),IF(AND(COUNT(H1242:H1253)=12,COUNT(F1242:F1253)=12),cubic_spline(F1241:F1253,H1241:H1253,B$10),""))))))))))))</f>
        <v/>
      </c>
      <c r="K1248" s="52" t="str">
        <f>IF(N(B$10)=0,"",IF(AND(COUNT(A1242:A1253)=2,COUNT(F1242:F1253)=2),cubic_spline(F1241:F1243,A1241:A1243,B$10),IF(AND(COUNT(A1242:A1253)=3,COUNT(F1242:F1253)=3),cubic_spline(F1241:F1244,A1241:A1244,B$10),IF(AND(COUNT(A1242:A1253)=4,COUNT(F1242:F1253)=4),cubic_spline(F1241:F1245,A1241:A1245,B$10),IF(AND(COUNT(A1242:A1253)=5,COUNT(F1242:F1253)=5),cubic_spline(F1241:F1246,A1241:A1246,B$10),IF(AND(COUNT(A1242:A1253)=6,COUNT(F1242:F1253)=6),cubic_spline(F1241:F1247,A1241:A1247,B$10),IF(AND(COUNT(A1242:A1253)=7,COUNT(F1242:F1253)=7),cubic_spline(F1241:F1248,A1241:A1248,B$10),IF(AND(COUNT(A1242:A1253)=8,COUNT(F1242:F1253)=8),cubic_spline(F1241:F1249,A1241:A1249,B$10),IF(AND(COUNT(A1242:A1253)=9,COUNT(F1242:F1253)=9),cubic_spline(F1241:F1250,A1241:A1250,B$10),IF(AND(COUNT(A1242:A1253)=10,COUNT(F1242:F1253)=10),cubic_spline(F1241:F1251,A1241:A1251,B$10),IF(AND(COUNT(A1242:A1253)=11,COUNT(F1242:F1253)=11),cubic_spline(F1241:F1252,A1241:A1252,B$10),IF(AND(COUNT(A1242:A1253)=12,COUNT(F1242:F1253)=12),cubic_spline(F1241:F1253,A1241:A1253,B$10),""))))))))))))</f>
        <v/>
      </c>
      <c r="L1248" s="27" t="str">
        <f>IF(I1248="","",B$9&amp;"-"&amp;B$10)</f>
        <v/>
      </c>
      <c r="M1248" s="52" t="str">
        <f t="shared" si="475"/>
        <v/>
      </c>
    </row>
    <row r="1249" spans="1:13" x14ac:dyDescent="0.35">
      <c r="A1249" s="48"/>
      <c r="B1249" s="48"/>
      <c r="C1249" s="49"/>
      <c r="D1249" s="50"/>
      <c r="E1249" s="51" t="str">
        <f t="shared" si="474"/>
        <v/>
      </c>
      <c r="F1249" s="71" t="str">
        <f t="shared" si="471"/>
        <v/>
      </c>
      <c r="G1249" s="69" t="str">
        <f t="shared" si="473"/>
        <v/>
      </c>
      <c r="H1249" s="70" t="str">
        <f t="shared" si="472"/>
        <v/>
      </c>
      <c r="I1249" s="27" t="str">
        <f>IF(N(J1249)=0,"",0&amp;"-"&amp;B$11)</f>
        <v/>
      </c>
      <c r="J1249" s="52" t="str">
        <f>IF(N(B$11)=0,"",IF(AND(COUNT(H1242:H1253)=2,COUNT(F1242:F1253)=2),cubic_spline(F1241:F1243,H1241:H1243,B$11),IF(AND(COUNT(H1242:H1253)=3,COUNT(F1242:F1253)=3),cubic_spline(F1241:F1244,H1241:H1244,B$11),IF(AND(COUNT(H1242:H1253)=4,COUNT(F1242:F1253)=4),cubic_spline(F1241:F1245,H1241:H1245,B$11),IF(AND(COUNT(H1242:H1253)=5,COUNT(F1242:F1253)=5),cubic_spline(F1241:F1246,H1241:H1246,B$11),IF(AND(COUNT(H1242:H1253)=6,COUNT(F1242:F1253)=6),cubic_spline(F1241:F1247,H1241:H1247,B$11),IF(AND(COUNT(H1242:H1253)=7,COUNT(F1242:F1253)=7),cubic_spline(F1241:F1248,H1241:H1248,B$11),IF(AND(COUNT(H1242:H1253)=8,COUNT(F1242:F1253)=8),cubic_spline(F1241:F1249,H1241:H1249,B$11),IF(AND(COUNT(H1242:H1253)=9,COUNT(F1242:F1253)=9),cubic_spline(F1241:F1250,H1241:H1250,B$11),IF(AND(COUNT(H1242:H1253)=10,COUNT(F1242:F1253)=10),cubic_spline(F1241:F1251,H1241:H1251,B$11),IF(AND(COUNT(H1242:H1253)=11,COUNT(F1242:F1253)=11),cubic_spline(F1241:F1252,H1241:H1252,B$11),IF(AND(COUNT(H1242:H1253)=12,COUNT(F1242:F1253)=12),cubic_spline(F1241:F1253,H1241:H1253,B$11),""))))))))))))</f>
        <v/>
      </c>
      <c r="K1249" s="52" t="str">
        <f>IF(N(B$11)=0,"",IF(AND(COUNT(A1242:A1253)=2,COUNT(F1242:F1253)=2),cubic_spline(F1241:F1243,A1241:A1243,B$11),IF(AND(COUNT(A1242:A1253)=3,COUNT(F1242:F1253)=3),cubic_spline(F1241:F1244,A1241:A1244,B$11),IF(AND(COUNT(A1242:A1253)=4,COUNT(F1242:F1253)=4),cubic_spline(F1241:F1245,A1241:A1245,B$11),IF(AND(COUNT(A1242:A1253)=5,COUNT(F1242:F1253)=5),cubic_spline(F1241:F1246,A1241:A1246,B$11),IF(AND(COUNT(A1242:A1253)=6,COUNT(F1242:F1253)=6),cubic_spline(F1241:F1247,A1241:A1247,B$11),IF(AND(COUNT(A1242:A1253)=7,COUNT(F1242:F1253)=7),cubic_spline(F1241:F1248,A1241:A1248,B$11),IF(AND(COUNT(A1242:A1253)=8,COUNT(F1242:F1253)=8),cubic_spline(F1241:F1249,A1241:A1249,B$11),IF(AND(COUNT(A1242:A1253)=9,COUNT(F1242:F1253)=9),cubic_spline(F1241:F1250,A1241:A1250,B$11),IF(AND(COUNT(A1242:A1253)=10,COUNT(F1242:F1253)=10),cubic_spline(F1241:F1251,A1241:A1251,B$11),IF(AND(COUNT(A1242:A1253)=11,COUNT(F1242:F1253)=11),cubic_spline(F1241:F1252,A1241:A1252,B$11),IF(AND(COUNT(A1242:A1253)=12,COUNT(F1242:F1253)=12),cubic_spline(F1241:F1253,A1241:A1253,B$11),""))))))))))))</f>
        <v/>
      </c>
      <c r="L1249" s="27" t="str">
        <f>IF(I1249="","",B$10&amp;"-"&amp;B$11)</f>
        <v/>
      </c>
      <c r="M1249" s="52" t="str">
        <f t="shared" si="475"/>
        <v/>
      </c>
    </row>
    <row r="1250" spans="1:13" x14ac:dyDescent="0.35">
      <c r="A1250" s="48"/>
      <c r="B1250" s="48"/>
      <c r="C1250" s="49"/>
      <c r="D1250" s="50"/>
      <c r="E1250" s="51" t="str">
        <f t="shared" si="474"/>
        <v/>
      </c>
      <c r="F1250" s="71" t="str">
        <f t="shared" si="471"/>
        <v/>
      </c>
      <c r="G1250" s="69" t="str">
        <f t="shared" si="473"/>
        <v/>
      </c>
      <c r="H1250" s="70" t="str">
        <f t="shared" si="472"/>
        <v/>
      </c>
      <c r="I1250" s="27" t="str">
        <f>IF(N(J1250)=0,"",0&amp;"-"&amp;B$12)</f>
        <v/>
      </c>
      <c r="J1250" s="52" t="str">
        <f>IF(N(B$12)=0,"",IF(AND(COUNT(H1242:H1253)=2,COUNT(F1242:F1253)=2),cubic_spline(F1241:F1243,H1241:H1243,B$12),IF(AND(COUNT(H1242:H1253)=3,COUNT(F1242:F1253)=3),cubic_spline(F1241:F1244,H1241:H1244,B$12),IF(AND(COUNT(H1242:H1253)=4,COUNT(F1242:F1253)=4),cubic_spline(F1241:F1245,H1241:H1245,B$12),IF(AND(COUNT(H1242:H1253)=5,COUNT(F1242:F1253)=5),cubic_spline(F1241:F1246,H1241:H1246,B$12),IF(AND(COUNT(H1242:H1253)=6,COUNT(F1242:F1253)=6),cubic_spline(F1241:F1247,H1241:H1247,B$12),IF(AND(COUNT(H1242:H1253)=7,COUNT(F1242:F1253)=7),cubic_spline(F1241:F1248,H1241:H1248,B$12),IF(AND(COUNT(H1242:H1253)=8,COUNT(F1242:F1253)=8),cubic_spline(F1241:F1249,H1241:H1249,B$12),IF(AND(COUNT(H1242:H1253)=9,COUNT(F1242:F1253)=9),cubic_spline(F1241:F1250,H1241:H1250,B$12),IF(AND(COUNT(H1242:H1253)=10,COUNT(F1242:F1253)=10),cubic_spline(F1241:F1251,H1241:H1251,B$12),IF(AND(COUNT(H1242:H1253)=11,COUNT(F1242:F1253)=11),cubic_spline(F1241:F1252,H1241:H1252,B$12),IF(AND(COUNT(H1242:H1253)=12,COUNT(F1242:F1253)=12),cubic_spline(F1241:F1253,H1241:H1253,B$12),""))))))))))))</f>
        <v/>
      </c>
      <c r="K1250" s="52" t="str">
        <f>IF(N(B$12)=0,"",IF(AND(COUNT(A1242:A1253)=2,COUNT(F1242:F1253)=2),cubic_spline(F1241:F1243,A1241:A1243,B$12),IF(AND(COUNT(A1242:A1253)=3,COUNT(F1242:F1253)=3),cubic_spline(F1241:F1244,A1241:A1244,B$12),IF(AND(COUNT(A1242:A1253)=4,COUNT(F1242:F1253)=4),cubic_spline(F1241:F1245,A1241:A1245,B$12),IF(AND(COUNT(A1242:A1253)=5,COUNT(F1242:F1253)=5),cubic_spline(F1241:F1246,A1241:A1246,B$12),IF(AND(COUNT(A1242:A1253)=6,COUNT(F1242:F1253)=6),cubic_spline(F1241:F1247,A1241:A1247,B$12),IF(AND(COUNT(A1242:A1253)=7,COUNT(F1242:F1253)=7),cubic_spline(F1241:F1248,A1241:A1248,B$12),IF(AND(COUNT(A1242:A1253)=8,COUNT(F1242:F1253)=8),cubic_spline(F1241:F1249,A1241:A1249,B$12),IF(AND(COUNT(A1242:A1253)=9,COUNT(F1242:F1253)=9),cubic_spline(F1241:F1250,A1241:A1250,B$12),IF(AND(COUNT(A1242:A1253)=10,COUNT(F1242:F1253)=10),cubic_spline(F1241:F1251,A1241:A1251,B$12),IF(AND(COUNT(A1242:A1253)=11,COUNT(F1242:F1253)=11),cubic_spline(F1241:F1252,A1241:A1252,B$12),IF(AND(COUNT(A1242:A1253)=12,COUNT(F1242:F1253)=12),cubic_spline(F1241:F1253,A1241:A1253,B$12),""))))))))))))</f>
        <v/>
      </c>
      <c r="L1250" s="27" t="str">
        <f>IF(I1250="","",B$11&amp;"-"&amp;B$12)</f>
        <v/>
      </c>
      <c r="M1250" s="52" t="str">
        <f t="shared" si="475"/>
        <v/>
      </c>
    </row>
    <row r="1251" spans="1:13" x14ac:dyDescent="0.35">
      <c r="A1251" s="48"/>
      <c r="B1251" s="48"/>
      <c r="C1251" s="49"/>
      <c r="D1251" s="50"/>
      <c r="E1251" s="51" t="str">
        <f t="shared" si="474"/>
        <v/>
      </c>
      <c r="F1251" s="71" t="str">
        <f t="shared" si="471"/>
        <v/>
      </c>
      <c r="G1251" s="69" t="str">
        <f t="shared" si="473"/>
        <v/>
      </c>
      <c r="H1251" s="70" t="str">
        <f t="shared" si="472"/>
        <v/>
      </c>
      <c r="I1251" s="27" t="str">
        <f>IF(N(J1251)=0,"",0&amp;"-"&amp;B$13)</f>
        <v/>
      </c>
      <c r="J1251" s="52" t="str">
        <f>IF(N(B$13)=0,"",IF(AND(COUNT(H1242:H1253)=2,COUNT(F1242:F1253)=2),cubic_spline(F1241:F1243,H1241:H1243,B$13),IF(AND(COUNT(H1242:H1253)=3,COUNT(F1242:F1253)=3),cubic_spline(F1241:F1244,H1241:H1244,B$13),IF(AND(COUNT(H1242:H1253)=4,COUNT(F1242:F1253)=4),cubic_spline(F1241:F1245,H1241:H1245,B$13),IF(AND(COUNT(H1242:H1253)=5,COUNT(F1242:F1253)=5),cubic_spline(F1241:F1246,H1241:H1246,B$13),IF(AND(COUNT(H1242:H1253)=6,COUNT(F1242:F1253)=6),cubic_spline(F1241:F1247,H1241:H1247,B$13),IF(AND(COUNT(H1242:H1253)=7,COUNT(F1242:F1253)=7),cubic_spline(F1241:F1248,H1241:H1248,B$13),IF(AND(COUNT(H1242:H1253)=8,COUNT(F1242:F1253)=8),cubic_spline(F1241:F1249,H1241:H1249,B$13),IF(AND(COUNT(H1242:H1253)=9,COUNT(F1242:F1253)=9),cubic_spline(F1241:F1250,H1241:H1250,B$13),IF(AND(COUNT(H1242:H1253)=10,COUNT(F1242:F1253)=10),cubic_spline(F1241:F1251,H1241:H1251,B$13),IF(AND(COUNT(H1242:H1253)=11,COUNT(F1242:F1253)=11),cubic_spline(F1241:F1252,H1241:H1252,B$13),IF(AND(COUNT(H1242:H1253)=12,COUNT(F1242:F1253)=12),cubic_spline(F1241:F1253,H1241:H1253,B$13),""))))))))))))</f>
        <v/>
      </c>
      <c r="K1251" s="52" t="str">
        <f>IF(N(B$13)=0,"",IF(AND(COUNT(A1242:A1253)=2,COUNT(F1242:F1253)=2),cubic_spline(F1241:F1243,A1241:A1243,B$13),IF(AND(COUNT(A1242:A1253)=3,COUNT(F1242:F1253)=3),cubic_spline(F1241:F1244,A1241:A1244,B$13),IF(AND(COUNT(A1242:A1253)=4,COUNT(F1242:F1253)=4),cubic_spline(F1241:F1245,A1241:A1245,B$13),IF(AND(COUNT(A1242:A1253)=5,COUNT(F1242:F1253)=5),cubic_spline(F1241:F1246,A1241:A1246,B$13),IF(AND(COUNT(A1242:A1253)=6,COUNT(F1242:F1253)=6),cubic_spline(F1241:F1247,A1241:A1247,B$13),IF(AND(COUNT(A1242:A1253)=7,COUNT(F1242:F1253)=7),cubic_spline(F1241:F1248,A1241:A1248,B$13),IF(AND(COUNT(A1242:A1253)=8,COUNT(F1242:F1253)=8),cubic_spline(F1241:F1249,A1241:A1249,B$13),IF(AND(COUNT(A1242:A1253)=9,COUNT(F1242:F1253)=9),cubic_spline(F1241:F1250,A1241:A1250,B$13),IF(AND(COUNT(A1242:A1253)=10,COUNT(F1242:F1253)=10),cubic_spline(F1241:F1251,A1241:A1251,B$13),IF(AND(COUNT(A1242:A1253)=11,COUNT(F1242:F1253)=11),cubic_spline(F1241:F1252,A1241:A1252,B$13),IF(AND(COUNT(A1242:A1253)=12,COUNT(F1242:F1253)=12),cubic_spline(F1241:F1253,A1241:A1253,B$13),""))))))))))))</f>
        <v/>
      </c>
      <c r="L1251" s="27" t="str">
        <f>IF(I1251="","",B$12&amp;"-"&amp;B$13)</f>
        <v/>
      </c>
      <c r="M1251" s="52" t="str">
        <f t="shared" si="475"/>
        <v/>
      </c>
    </row>
    <row r="1252" spans="1:13" x14ac:dyDescent="0.35">
      <c r="A1252" s="48"/>
      <c r="B1252" s="48"/>
      <c r="C1252" s="49"/>
      <c r="D1252" s="50"/>
      <c r="E1252" s="51" t="str">
        <f t="shared" si="474"/>
        <v/>
      </c>
      <c r="F1252" s="71" t="str">
        <f t="shared" si="471"/>
        <v/>
      </c>
      <c r="G1252" s="69" t="str">
        <f t="shared" si="473"/>
        <v/>
      </c>
      <c r="H1252" s="70" t="str">
        <f t="shared" si="472"/>
        <v/>
      </c>
      <c r="I1252" s="27" t="str">
        <f>IF(N(J1252)=0,"",0&amp;"-"&amp;B$14)</f>
        <v/>
      </c>
      <c r="J1252" s="52" t="str">
        <f>IF(N(B$14)=0,"",IF(AND(COUNT(H1242:H1253)=2,COUNT(F1242:F1253)=2),cubic_spline(F1241:F1243,H1241:H1243,B$14),IF(AND(COUNT(H1242:H1253)=3,COUNT(F1242:F1253)=3),cubic_spline(F1241:F1244,H1241:H1244,B$14),IF(AND(COUNT(H1242:H1253)=4,COUNT(F1242:F1253)=4),cubic_spline(F1241:F1245,H1241:H1245,B$14),IF(AND(COUNT(H1242:H1253)=5,COUNT(F1242:F1253)=5),cubic_spline(F1241:F1246,H1241:H1246,B$14),IF(AND(COUNT(H1242:H1253)=6,COUNT(F1242:F1253)=6),cubic_spline(F1241:F1247,H1241:H1247,B$14),IF(AND(COUNT(H1242:H1253)=7,COUNT(F1242:F1253)=7),cubic_spline(F1241:F1248,H1241:H1248,B$14),IF(AND(COUNT(H1242:H1253)=8,COUNT(F1242:F1253)=8),cubic_spline(F1241:F1249,H1241:H1249,B$14),IF(AND(COUNT(H1242:H1253)=9,COUNT(F1242:F1253)=9),cubic_spline(F1241:F1250,H1241:H1250,B$14),IF(AND(COUNT(H1242:H1253)=10,COUNT(F1242:F1253)=10),cubic_spline(F1241:F1251,H1241:H1251,B$14),IF(AND(COUNT(H1242:H1253)=11,COUNT(F1242:F1253)=11),cubic_spline(F1241:F1252,H1241:H1252,B$14),IF(AND(COUNT(H1242:H1253)=12,COUNT(F1242:F1253)=12),cubic_spline(F1241:F1253,H1241:H1253,B$14),""))))))))))))</f>
        <v/>
      </c>
      <c r="K1252" s="52" t="str">
        <f>IF(N(B$14)=0,"",IF(AND(COUNT(A1242:A1253)=2,COUNT(F1242:F1253)=2),cubic_spline(F1241:F1243,A1241:A1243,B$14),IF(AND(COUNT(A1242:A1253)=3,COUNT(F1242:F1253)=3),cubic_spline(F1241:F1244,A1241:A1244,B$14),IF(AND(COUNT(A1242:A1253)=4,COUNT(F1242:F1253)=4),cubic_spline(F1241:F1245,A1241:A1245,B$14),IF(AND(COUNT(A1242:A1253)=5,COUNT(F1242:F1253)=5),cubic_spline(F1241:F1246,A1241:A1246,B$14),IF(AND(COUNT(A1242:A1253)=6,COUNT(F1242:F1253)=6),cubic_spline(F1241:F1247,A1241:A1247,B$14),IF(AND(COUNT(A1242:A1253)=7,COUNT(F1242:F1253)=7),cubic_spline(F1241:F1248,A1241:A1248,B$14),IF(AND(COUNT(A1242:A1253)=8,COUNT(F1242:F1253)=8),cubic_spline(F1241:F1249,A1241:A1249,B$14),IF(AND(COUNT(A1242:A1253)=9,COUNT(F1242:F1253)=9),cubic_spline(F1241:F1250,A1241:A1250,B$14),IF(AND(COUNT(A1242:A1253)=10,COUNT(F1242:F1253)=10),cubic_spline(F1241:F1251,A1241:A1251,B$14),IF(AND(COUNT(A1242:A1253)=11,COUNT(F1242:F1253)=11),cubic_spline(F1241:F1252,A1241:A1252,B$14),IF(AND(COUNT(A1242:A1253)=12,COUNT(F1242:F1253)=12),cubic_spline(F1241:F1253,A1241:A1253,B$14),""))))))))))))</f>
        <v/>
      </c>
      <c r="L1252" s="27" t="str">
        <f>IF(I1252="","",B$13&amp;"-"&amp;B$14)</f>
        <v/>
      </c>
      <c r="M1252" s="52" t="str">
        <f t="shared" si="475"/>
        <v/>
      </c>
    </row>
    <row r="1253" spans="1:13" x14ac:dyDescent="0.35">
      <c r="A1253" s="48"/>
      <c r="B1253" s="48"/>
      <c r="C1253" s="49"/>
      <c r="D1253" s="50"/>
      <c r="E1253" s="51" t="str">
        <f t="shared" si="474"/>
        <v/>
      </c>
      <c r="F1253" s="71" t="str">
        <f t="shared" si="471"/>
        <v/>
      </c>
      <c r="G1253" s="69" t="str">
        <f t="shared" si="473"/>
        <v/>
      </c>
      <c r="H1253" s="70" t="str">
        <f t="shared" si="472"/>
        <v/>
      </c>
      <c r="I1253" s="27" t="str">
        <f>IF(N(J1253)=0,"",0&amp;"-"&amp;B$15)</f>
        <v/>
      </c>
      <c r="J1253" s="52" t="str">
        <f>IF(N(B$15)=0,"",IF(AND(COUNT(H1242:H1253)=2,COUNT(F1242:F1253)=2),cubic_spline(F1241:F1243,H1241:H1243,B$15),IF(AND(COUNT(H1242:H1253)=3,COUNT(F1242:F1253)=3),cubic_spline(F1241:F1244,H1241:H1244,B$15),IF(AND(COUNT(H1242:H1253)=4,COUNT(F1242:F1253)=4),cubic_spline(F1241:F1245,H1241:H1245,B$15),IF(AND(COUNT(H1242:H1253)=5,COUNT(F1242:F1253)=5),cubic_spline(F1241:F1246,H1241:H1246,B$15),IF(AND(COUNT(H1242:H1253)=6,COUNT(F1242:F1253)=6),cubic_spline(F1241:F1247,H1241:H1247,B$15),IF(AND(COUNT(H1242:H1253)=7,COUNT(F1242:F1253)=7),cubic_spline(F1241:F1248,H1241:H1248,B$15),IF(AND(COUNT(H1242:H1253)=8,COUNT(F1242:F1253)=8),cubic_spline(F1241:F1249,H1241:H1249,B$15),IF(AND(COUNT(H1242:H1253)=9,COUNT(F1242:F1253)=9),cubic_spline(F1241:F1250,H1241:H1250,B$15),IF(AND(COUNT(H1242:H1253)=10,COUNT(F1242:F1253)=10),cubic_spline(F1241:F1251,H1241:H1251,B$15),IF(AND(COUNT(H1242:H1253)=11,COUNT(F1242:F1253)=11),cubic_spline(F1241:F1252,H1241:H1252,B$15),IF(AND(COUNT(H1242:H1253)=12,COUNT(F1242:F1253)=12),cubic_spline(F1241:F1253,H1241:H1253,B$15),""))))))))))))</f>
        <v/>
      </c>
      <c r="K1253" s="52" t="str">
        <f>IF(N(B$15)=0,"",IF(AND(COUNT(A1242:A1253)=2,COUNT(F1242:F1253)=2),cubic_spline(F1241:F1243,A1241:A1243,B$15),IF(AND(COUNT(A1242:A1253)=3,COUNT(F1242:F1253)=3),cubic_spline(F1241:F1244,A1241:A1244,B$15),IF(AND(COUNT(A1242:A1253)=4,COUNT(F1242:F1253)=4),cubic_spline(F1241:F1245,A1241:A1245,B$15),IF(AND(COUNT(A1242:A1253)=5,COUNT(F1242:F1253)=5),cubic_spline(F1241:F1246,A1241:A1246,B$15),IF(AND(COUNT(A1242:A1253)=6,COUNT(F1242:F1253)=6),cubic_spline(F1241:F1247,A1241:A1247,B$15),IF(AND(COUNT(A1242:A1253)=7,COUNT(F1242:F1253)=7),cubic_spline(F1241:F1248,A1241:A1248,B$15),IF(AND(COUNT(A1242:A1253)=8,COUNT(F1242:F1253)=8),cubic_spline(F1241:F1249,A1241:A1249,B$15),IF(AND(COUNT(A1242:A1253)=9,COUNT(F1242:F1253)=9),cubic_spline(F1241:F1250,A1241:A1250,B$15),IF(AND(COUNT(A1242:A1253)=10,COUNT(F1242:F1253)=10),cubic_spline(F1241:F1251,A1241:A1251,B$15),IF(AND(COUNT(A1242:A1253)=11,COUNT(F1242:F1253)=11),cubic_spline(F1241:F1252,A1241:A1252,B$15),IF(AND(COUNT(A1242:A1253)=12,COUNT(F1242:F1253)=12),cubic_spline(F1241:F1253,A1241:A1253,B$15),""))))))))))))</f>
        <v/>
      </c>
      <c r="L1253" s="27" t="str">
        <f>IF(I1253="","",B$14&amp;"-"&amp;B$15)</f>
        <v/>
      </c>
      <c r="M1253" s="52" t="str">
        <f t="shared" si="475"/>
        <v/>
      </c>
    </row>
    <row r="1254" spans="1:13" ht="5.15" customHeight="1" x14ac:dyDescent="0.35">
      <c r="A1254" s="47"/>
      <c r="B1254" s="47"/>
      <c r="C1254" s="47"/>
      <c r="D1254" s="53"/>
      <c r="E1254" s="54"/>
      <c r="F1254" s="55"/>
      <c r="G1254" s="72"/>
      <c r="H1254" s="73"/>
      <c r="I1254" s="47"/>
      <c r="J1254" s="57"/>
      <c r="K1254" s="57"/>
      <c r="L1254" s="55"/>
      <c r="M1254" s="57"/>
    </row>
    <row r="1255" spans="1:13" x14ac:dyDescent="0.35">
      <c r="A1255" s="48"/>
      <c r="B1255" s="48"/>
      <c r="C1255" s="49"/>
      <c r="D1255" s="50"/>
      <c r="E1255" s="51" t="str">
        <f>IF(N(C1255)=0,"",C1255/PI()/($D$1/2)^2/$D$2*10000)</f>
        <v/>
      </c>
      <c r="F1255" s="68" t="str">
        <f t="shared" ref="F1255:F1266" si="476">IF(N(E1255)=0,"",(N(E1255)+N(F1254)))</f>
        <v/>
      </c>
      <c r="G1255" s="69" t="str">
        <f>IF(OR(N(D1255)=0,N(E1255)=0),"",(E1255*D1255)/1000)</f>
        <v/>
      </c>
      <c r="H1255" s="70" t="str">
        <f t="shared" ref="H1255:H1266" si="477">IF(N(G1255)=0,"",(N(G1255)+N(H1254)))</f>
        <v/>
      </c>
      <c r="I1255" s="27" t="str">
        <f>IF(N(J1255)=0,"",0&amp;"-"&amp;B$4)</f>
        <v/>
      </c>
      <c r="J1255" s="52" t="str">
        <f>IF(N(B$4)=0,"",IF(AND(COUNT(H1255:H1266)=2,COUNT(F1255:F1266)=2),cubic_spline(F1254:F1256,H1254:H1256,B$4),IF(AND(COUNT(H1255:H1266)=3,COUNT(F1255:F1266)=3),cubic_spline(F1254:F1257,H1254:H1257,B$4),IF(AND(COUNT(H1255:H1266)=4,COUNT(F1255:F1266)=4),cubic_spline(F1254:F1258,H1254:H1258,B$4),IF(AND(COUNT(H1255:H1266)=5,COUNT(F1255:F1266)=5),cubic_spline(F1254:F1259,H1254:H1259,B$4),IF(AND(COUNT(H1255:H1266)=6,COUNT(F1255:F1266)=6),cubic_spline(F1254:F1260,H1254:H1260,B$4),IF(AND(COUNT(H1255:H1266)=7,COUNT(F1255:F1266)=7),cubic_spline(F1254:F1261,H1254:H1261,B$4),IF(AND(COUNT(H1255:H1266)=8,COUNT(F1255:F1266)=8),cubic_spline(F1254:F1262,H1254:H1262,B$4),IF(AND(COUNT(H1255:H1266)=9,COUNT(F1255:F1266)=9),cubic_spline(F1254:F1263,H1254:H1263,B$4),IF(AND(COUNT(H1255:H1266)=10,COUNT(F1255:F1266)=10),cubic_spline(F1254:F1264,H1254:H1264,B$4),IF(AND(COUNT(H1255:H1266)=11,COUNT(F1255:F1266)=11),cubic_spline(F1254:F1265,H1254:H1265,B$4),IF(AND(COUNT(H1255:H1266)=12,COUNT(F1255:F1266)=12),cubic_spline(F1254:F1266,H1254:H1266,B$4),""))))))))))))</f>
        <v/>
      </c>
      <c r="K1255" s="52" t="str">
        <f>IF(N(B$4)=0,"",IF(AND(COUNT(A1255:A1266)=2,COUNT(F1255:F1266)=2),cubic_spline(F1254:F1256,A1254:A1256,B$4),IF(AND(COUNT(A1255:A1266)=3,COUNT(F1255:F1266)=3),cubic_spline(F1254:F1257,A1254:A1257,B$4),IF(AND(COUNT(A1255:A1266)=4,COUNT(F1255:F1266)=4),cubic_spline(F1254:F1258,A1254:A1258,B$4),IF(AND(COUNT(A1255:A1266)=5,COUNT(F1255:F1266)=5),cubic_spline(F1254:F1259,A1254:A1259,B$4),IF(AND(COUNT(A1255:A1266)=6,COUNT(F1255:F1266)=6),cubic_spline(F1254:F1260,A1254:A1260,B$4),IF(AND(COUNT(A1255:A1266)=7,COUNT(F1255:F1266)=7),cubic_spline(F1254:F1261,A1254:A1261,B$4),IF(AND(COUNT(A1255:A1266)=8,COUNT(F1255:F1266)=8),cubic_spline(F1254:F1262,A1254:A1262,B$4),IF(AND(COUNT(A1255:A1266)=9,COUNT(F1255:F1266)=9),cubic_spline(F1254:F1263,A1254:A1263,B$4),IF(AND(COUNT(A1255:A1266)=10,COUNT(F1255:F1266)=10),cubic_spline(F1254:F1264,A1254:A1264,B$4),IF(AND(COUNT(A1255:A1266)=11,COUNT(F1255:F1266)=11),cubic_spline(F1254:F1265,A1254:A1265,B$4),IF(AND(COUNT(A1255:A1266)=12,COUNT(F1255:F1266)=12),cubic_spline(F1254:F1266,A1254:A1266,B$4),""))))))))))))</f>
        <v/>
      </c>
      <c r="L1255" s="27" t="str">
        <f>IF(I1255="","",0&amp;"-"&amp;B$4)</f>
        <v/>
      </c>
      <c r="M1255" s="52" t="str">
        <f>IF(N(J1255)=0,"",J1255-J1254)</f>
        <v/>
      </c>
    </row>
    <row r="1256" spans="1:13" x14ac:dyDescent="0.35">
      <c r="A1256" s="48"/>
      <c r="B1256" s="48"/>
      <c r="C1256" s="49"/>
      <c r="D1256" s="50"/>
      <c r="E1256" s="51" t="str">
        <f>IF(N(C1256)=0,"",C1256/PI()/($D$1/2)^2/$D$2*10000)</f>
        <v/>
      </c>
      <c r="F1256" s="68" t="str">
        <f t="shared" si="476"/>
        <v/>
      </c>
      <c r="G1256" s="69" t="str">
        <f t="shared" ref="G1256:G1266" si="478">IF(OR(N(D1256)=0,N(E1256)=0),"",(E1256*D1256)/1000)</f>
        <v/>
      </c>
      <c r="H1256" s="70" t="str">
        <f t="shared" si="477"/>
        <v/>
      </c>
      <c r="I1256" s="27" t="str">
        <f>IF(N(J1256)=0,"",0&amp;"-"&amp;B$5)</f>
        <v/>
      </c>
      <c r="J1256" s="52" t="str">
        <f>IF(N(B$5)=0,"",IF(AND(COUNT(H1255:H1266)=2,COUNT(F1255:F1266)=2),cubic_spline(F1254:F1256,H1254:H1256,B$5),IF(AND(COUNT(H1255:H1266)=3,COUNT(F1255:F1266)=3),cubic_spline(F1254:F1257,H1254:H1257,B$5),IF(AND(COUNT(H1255:H1266)=4,COUNT(F1255:F1266)=4),cubic_spline(F1254:F1258,H1254:H1258,B$5),IF(AND(COUNT(H1255:H1266)=5,COUNT(F1255:F1266)=5),cubic_spline(F1254:F1259,H1254:H1259,B$5),IF(AND(COUNT(H1255:H1266)=6,COUNT(F1255:F1266)=6),cubic_spline(F1254:F1260,H1254:H1260,B$5),IF(AND(COUNT(H1255:H1266)=7,COUNT(F1255:F1266)=7),cubic_spline(F1254:F1261,H1254:H1261,B$5),IF(AND(COUNT(H1255:H1266)=8,COUNT(F1255:F1266)=8),cubic_spline(F1254:F1262,H1254:H1262,B$5),IF(AND(COUNT(H1255:H1266)=9,COUNT(F1255:F1266)=9),cubic_spline(F1254:F1263,H1254:H1263,B$5),IF(AND(COUNT(H1255:H1266)=10,COUNT(F1255:F1266)=10),cubic_spline(F1254:F1264,H1254:H1264,B$5),IF(AND(COUNT(H1255:H1266)=11,COUNT(F1255:F1266)=11),cubic_spline(F1254:F1265,H1254:H1265,B$5),IF(AND(COUNT(H1255:H1266)=12,COUNT(F1255:F1266)=12),cubic_spline(F1254:F1266,H1254:H1266,B$5),""))))))))))))</f>
        <v/>
      </c>
      <c r="K1256" s="52" t="str">
        <f>IF(N(B$5)=0,"",IF(AND(COUNT(A1255:A1266)=2,COUNT(F1255:F1266)=2),cubic_spline(F1254:F1256,A1254:A1256,B$5),IF(AND(COUNT(A1255:A1266)=3,COUNT(F1255:F1266)=3),cubic_spline(F1254:F1257,A1254:A1257,B$5),IF(AND(COUNT(A1255:A1266)=4,COUNT(F1255:F1266)=4),cubic_spline(F1254:F1258,A1254:A1258,B$5),IF(AND(COUNT(A1255:A1266)=5,COUNT(F1255:F1266)=5),cubic_spline(F1254:F1259,A1254:A1259,B$5),IF(AND(COUNT(A1255:A1266)=6,COUNT(F1255:F1266)=6),cubic_spline(F1254:F1260,A1254:A1260,B$5),IF(AND(COUNT(A1255:A1266)=7,COUNT(F1255:F1266)=7),cubic_spline(F1254:F1261,A1254:A1261,B$5),IF(AND(COUNT(A1255:A1266)=8,COUNT(F1255:F1266)=8),cubic_spline(F1254:F1262,A1254:A1262,B$5),IF(AND(COUNT(A1255:A1266)=9,COUNT(F1255:F1266)=9),cubic_spline(F1254:F1263,A1254:A1263,B$5),IF(AND(COUNT(A1255:A1266)=10,COUNT(F1255:F1266)=10),cubic_spline(F1254:F1264,A1254:A1264,B$5),IF(AND(COUNT(A1255:A1266)=11,COUNT(F1255:F1266)=11),cubic_spline(F1254:F1265,A1254:A1265,B$5),IF(AND(COUNT(A1255:A1266)=12,COUNT(F1255:F1266)=12),cubic_spline(F1254:F1266,A1254:A1266,B$5),""))))))))))))</f>
        <v/>
      </c>
      <c r="L1256" s="27" t="str">
        <f>IF(I1256="","",B$4&amp;"-"&amp;B$5)</f>
        <v/>
      </c>
      <c r="M1256" s="52" t="str">
        <f>IF(N(J1256)=0,"",J1256-J1255)</f>
        <v/>
      </c>
    </row>
    <row r="1257" spans="1:13" x14ac:dyDescent="0.35">
      <c r="A1257" s="48"/>
      <c r="B1257" s="48"/>
      <c r="C1257" s="49"/>
      <c r="D1257" s="50"/>
      <c r="E1257" s="51" t="str">
        <f>IF(N(C1257)=0,"",C1257/PI()/($D$1/2)^2/$D$2*10000)</f>
        <v/>
      </c>
      <c r="F1257" s="68" t="str">
        <f t="shared" si="476"/>
        <v/>
      </c>
      <c r="G1257" s="69" t="str">
        <f t="shared" si="478"/>
        <v/>
      </c>
      <c r="H1257" s="70" t="str">
        <f t="shared" si="477"/>
        <v/>
      </c>
      <c r="I1257" s="27" t="str">
        <f>IF(N(J1257)=0,"",0&amp;"-"&amp;B$6)</f>
        <v/>
      </c>
      <c r="J1257" s="52" t="str">
        <f>IF(N(B$6)=0,"",IF(AND(COUNT(H1255:H1266)=2,COUNT(F1255:F1266)=2),cubic_spline(F1254:F1256,H1254:H1256,B$6),IF(AND(COUNT(H1255:H1266)=3,COUNT(F1255:F1266)=3),cubic_spline(F1254:F1257,H1254:H1257,B$6),IF(AND(COUNT(H1255:H1266)=4,COUNT(F1255:F1266)=4),cubic_spline(F1254:F1258,H1254:H1258,B$6),IF(AND(COUNT(H1255:H1266)=5,COUNT(F1255:F1266)=5),cubic_spline(F1254:F1259,H1254:H1259,B$6),IF(AND(COUNT(H1255:H1266)=6,COUNT(F1255:F1266)=6),cubic_spline(F1254:F1260,H1254:H1260,B$6),IF(AND(COUNT(H1255:H1266)=7,COUNT(F1255:F1266)=7),cubic_spline(F1254:F1261,H1254:H1261,B$6),IF(AND(COUNT(H1255:H1266)=8,COUNT(F1255:F1266)=8),cubic_spline(F1254:F1262,H1254:H1262,B$6),IF(AND(COUNT(H1255:H1266)=9,COUNT(F1255:F1266)=9),cubic_spline(F1254:F1263,H1254:H1263,B$6),IF(AND(COUNT(H1255:H1266)=10,COUNT(F1255:F1266)=10),cubic_spline(F1254:F1264,H1254:H1264,B$6),IF(AND(COUNT(H1255:H1266)=11,COUNT(F1255:F1266)=11),cubic_spline(F1254:F1265,H1254:H1265,B$6),IF(AND(COUNT(H1255:H1266)=12,COUNT(F1255:F1266)=12),cubic_spline(F1254:F1266,H1254:H1266,B$6),""))))))))))))</f>
        <v/>
      </c>
      <c r="K1257" s="52" t="str">
        <f>IF(N(B$6)=0,"",IF(AND(COUNT(A1255:A1266)=2,COUNT(F1255:F1266)=2),cubic_spline(F1254:F1256,A1254:A1256,B$6),IF(AND(COUNT(A1255:A1266)=3,COUNT(F1255:F1266)=3),cubic_spline(F1254:F1257,A1254:A1257,B$6),IF(AND(COUNT(A1255:A1266)=4,COUNT(F1255:F1266)=4),cubic_spline(F1254:F1258,A1254:A1258,B$6),IF(AND(COUNT(A1255:A1266)=5,COUNT(F1255:F1266)=5),cubic_spline(F1254:F1259,A1254:A1259,B$6),IF(AND(COUNT(A1255:A1266)=6,COUNT(F1255:F1266)=6),cubic_spline(F1254:F1260,A1254:A1260,B$6),IF(AND(COUNT(A1255:A1266)=7,COUNT(F1255:F1266)=7),cubic_spline(F1254:F1261,A1254:A1261,B$6),IF(AND(COUNT(A1255:A1266)=8,COUNT(F1255:F1266)=8),cubic_spline(F1254:F1262,A1254:A1262,B$6),IF(AND(COUNT(A1255:A1266)=9,COUNT(F1255:F1266)=9),cubic_spline(F1254:F1263,A1254:A1263,B$6),IF(AND(COUNT(A1255:A1266)=10,COUNT(F1255:F1266)=10),cubic_spline(F1254:F1264,A1254:A1264,B$6),IF(AND(COUNT(A1255:A1266)=11,COUNT(F1255:F1266)=11),cubic_spline(F1254:F1265,A1254:A1265,B$6),IF(AND(COUNT(A1255:A1266)=12,COUNT(F1255:F1266)=12),cubic_spline(F1254:F1266,A1254:A1266,B$6),""))))))))))))</f>
        <v/>
      </c>
      <c r="L1257" s="27" t="str">
        <f>IF(I1257="","",B$5&amp;"-"&amp;B$6)</f>
        <v/>
      </c>
      <c r="M1257" s="52" t="str">
        <f>IF(N(J1257)=0,"",J1257-J1256)</f>
        <v/>
      </c>
    </row>
    <row r="1258" spans="1:13" x14ac:dyDescent="0.35">
      <c r="A1258" s="48"/>
      <c r="B1258" s="48"/>
      <c r="C1258" s="49"/>
      <c r="D1258" s="50"/>
      <c r="E1258" s="51" t="str">
        <f>IF(N(C1258)=0,"",C1258/PI()/($D$1/2)^2/$D$2*10000)</f>
        <v/>
      </c>
      <c r="F1258" s="68" t="str">
        <f t="shared" si="476"/>
        <v/>
      </c>
      <c r="G1258" s="69" t="str">
        <f t="shared" si="478"/>
        <v/>
      </c>
      <c r="H1258" s="70" t="str">
        <f t="shared" si="477"/>
        <v/>
      </c>
      <c r="I1258" s="27" t="str">
        <f>IF(N(J1258)=0,"",0&amp;"-"&amp;B$7)</f>
        <v/>
      </c>
      <c r="J1258" s="52" t="str">
        <f>IF(N(B$7)=0,"",IF(AND(COUNT(H1255:H1266)=2,COUNT(F1255:F1266)=2),cubic_spline(F1254:F1256,H1254:H1256,B$7),IF(AND(COUNT(H1255:H1266)=3,COUNT(F1255:F1266)=3),cubic_spline(F1254:F1257,H1254:H1257,B$7),IF(AND(COUNT(H1255:H1266)=4,COUNT(F1255:F1266)=4),cubic_spline(F1254:F1258,H1254:H1258,B$7),IF(AND(COUNT(H1255:H1266)=5,COUNT(F1255:F1266)=5),cubic_spline(F1254:F1259,H1254:H1259,B$7),IF(AND(COUNT(H1255:H1266)=6,COUNT(F1255:F1266)=6),cubic_spline(F1254:F1260,H1254:H1260,B$7),IF(AND(COUNT(H1255:H1266)=7,COUNT(F1255:F1266)=7),cubic_spline(F1254:F1261,H1254:H1261,B$7),IF(AND(COUNT(H1255:H1266)=8,COUNT(F1255:F1266)=8),cubic_spline(F1254:F1262,H1254:H1262,B$7),IF(AND(COUNT(H1255:H1266)=9,COUNT(F1255:F1266)=9),cubic_spline(F1254:F1263,H1254:H1263,B$7),IF(AND(COUNT(H1255:H1266)=10,COUNT(F1255:F1266)=10),cubic_spline(F1254:F1264,H1254:H1264,B$7),IF(AND(COUNT(H1255:H1266)=11,COUNT(F1255:F1266)=11),cubic_spline(F1254:F1265,H1254:H1265,B$7),IF(AND(COUNT(H1255:H1266)=12,COUNT(F1255:F1266)=12),cubic_spline(F1254:F1266,H1254:H1266,B$7),""))))))))))))</f>
        <v/>
      </c>
      <c r="K1258" s="52" t="str">
        <f>IF(N(B$7)=0,"",IF(AND(COUNT(A1255:A1266)=2,COUNT(F1255:F1266)=2),cubic_spline(F1254:F1256,A1254:A1256,B$7),IF(AND(COUNT(A1255:A1266)=3,COUNT(F1255:F1266)=3),cubic_spline(F1254:F1257,A1254:A1257,B$7),IF(AND(COUNT(A1255:A1266)=4,COUNT(F1255:F1266)=4),cubic_spline(F1254:F1258,A1254:A1258,B$7),IF(AND(COUNT(A1255:A1266)=5,COUNT(F1255:F1266)=5),cubic_spline(F1254:F1259,A1254:A1259,B$7),IF(AND(COUNT(A1255:A1266)=6,COUNT(F1255:F1266)=6),cubic_spline(F1254:F1260,A1254:A1260,B$7),IF(AND(COUNT(A1255:A1266)=7,COUNT(F1255:F1266)=7),cubic_spline(F1254:F1261,A1254:A1261,B$7),IF(AND(COUNT(A1255:A1266)=8,COUNT(F1255:F1266)=8),cubic_spline(F1254:F1262,A1254:A1262,B$7),IF(AND(COUNT(A1255:A1266)=9,COUNT(F1255:F1266)=9),cubic_spline(F1254:F1263,A1254:A1263,B$7),IF(AND(COUNT(A1255:A1266)=10,COUNT(F1255:F1266)=10),cubic_spline(F1254:F1264,A1254:A1264,B$7),IF(AND(COUNT(A1255:A1266)=11,COUNT(F1255:F1266)=11),cubic_spline(F1254:F1265,A1254:A1265,B$7),IF(AND(COUNT(A1255:A1266)=12,COUNT(F1255:F1266)=12),cubic_spline(F1254:F1266,A1254:A1266,B$7),""))))))))))))</f>
        <v/>
      </c>
      <c r="L1258" s="27" t="str">
        <f>IF(I1258="","",B$6&amp;"-"&amp;B$7)</f>
        <v/>
      </c>
      <c r="M1258" s="52" t="str">
        <f>IF(N(J1258)=0,"",J1258-J1257)</f>
        <v/>
      </c>
    </row>
    <row r="1259" spans="1:13" x14ac:dyDescent="0.35">
      <c r="A1259" s="48"/>
      <c r="B1259" s="48"/>
      <c r="C1259" s="49"/>
      <c r="D1259" s="50"/>
      <c r="E1259" s="51" t="str">
        <f t="shared" ref="E1259:E1266" si="479">IF(N(C1259)=0,"",C1259/PI()/($D$1/2)^2/$D$2*10000)</f>
        <v/>
      </c>
      <c r="F1259" s="71" t="str">
        <f t="shared" si="476"/>
        <v/>
      </c>
      <c r="G1259" s="69" t="str">
        <f t="shared" si="478"/>
        <v/>
      </c>
      <c r="H1259" s="70" t="str">
        <f t="shared" si="477"/>
        <v/>
      </c>
      <c r="I1259" s="27" t="str">
        <f>IF(N(J1259)=0,"",0&amp;"-"&amp;B$8)</f>
        <v/>
      </c>
      <c r="J1259" s="52" t="str">
        <f>IF(N(B$8)=0,"",IF(AND(COUNT(H1255:H1266)=2,COUNT(F1255:F1266)=2),cubic_spline(F1254:F1256,H1254:H1256,B$8),IF(AND(COUNT(H1255:H1266)=3,COUNT(F1255:F1266)=3),cubic_spline(F1254:F1257,H1254:H1257,B$8),IF(AND(COUNT(H1255:H1266)=4,COUNT(F1255:F1266)=4),cubic_spline(F1254:F1258,H1254:H1258,B$8),IF(AND(COUNT(H1255:H1266)=5,COUNT(F1255:F1266)=5),cubic_spline(F1254:F1259,H1254:H1259,B$8),IF(AND(COUNT(H1255:H1266)=6,COUNT(F1255:F1266)=6),cubic_spline(F1254:F1260,H1254:H1260,B$8),IF(AND(COUNT(H1255:H1266)=7,COUNT(F1255:F1266)=7),cubic_spline(F1254:F1261,H1254:H1261,B$8),IF(AND(COUNT(H1255:H1266)=8,COUNT(F1255:F1266)=8),cubic_spline(F1254:F1262,H1254:H1262,B$8),IF(AND(COUNT(H1255:H1266)=9,COUNT(F1255:F1266)=9),cubic_spline(F1254:F1263,H1254:H1263,B$8),IF(AND(COUNT(H1255:H1266)=10,COUNT(F1255:F1266)=10),cubic_spline(F1254:F1264,H1254:H1264,B$8),IF(AND(COUNT(H1255:H1266)=11,COUNT(F1255:F1266)=11),cubic_spline(F1254:F1265,H1254:H1265,B$8),IF(AND(COUNT(H1255:H1266)=12,COUNT(F1255:F1266)=12),cubic_spline(F1254:F1266,H1254:H1266,B$8),""))))))))))))</f>
        <v/>
      </c>
      <c r="K1259" s="52" t="str">
        <f>IF(N(B$8)=0,"",IF(AND(COUNT(A1255:A1266)=2,COUNT(F1255:F1266)=2),cubic_spline(F1254:F1256,A1254:A1256,B$8),IF(AND(COUNT(A1255:A1266)=3,COUNT(F1255:F1266)=3),cubic_spline(F1254:F1257,A1254:A1257,B$8),IF(AND(COUNT(A1255:A1266)=4,COUNT(F1255:F1266)=4),cubic_spline(F1254:F1258,A1254:A1258,B$8),IF(AND(COUNT(A1255:A1266)=5,COUNT(F1255:F1266)=5),cubic_spline(F1254:F1259,A1254:A1259,B$8),IF(AND(COUNT(A1255:A1266)=6,COUNT(F1255:F1266)=6),cubic_spline(F1254:F1260,A1254:A1260,B$8),IF(AND(COUNT(A1255:A1266)=7,COUNT(F1255:F1266)=7),cubic_spline(F1254:F1261,A1254:A1261,B$8),IF(AND(COUNT(A1255:A1266)=8,COUNT(F1255:F1266)=8),cubic_spline(F1254:F1262,A1254:A1262,B$8),IF(AND(COUNT(A1255:A1266)=9,COUNT(F1255:F1266)=9),cubic_spline(F1254:F1263,A1254:A1263,B$8),IF(AND(COUNT(A1255:A1266)=10,COUNT(F1255:F1266)=10),cubic_spline(F1254:F1264,A1254:A1264,B$8),IF(AND(COUNT(A1255:A1266)=11,COUNT(F1255:F1266)=11),cubic_spline(F1254:F1265,A1254:A1265,B$8),IF(AND(COUNT(A1255:A1266)=12,COUNT(F1255:F1266)=12),cubic_spline(F1254:F1266,A1254:A1266,B$8),""))))))))))))</f>
        <v/>
      </c>
      <c r="L1259" s="27" t="str">
        <f>IF(I1259="","",B$7&amp;"-"&amp;B$8)</f>
        <v/>
      </c>
      <c r="M1259" s="52" t="str">
        <f>IF(N(J1259)=0,"",J1259-J1258)</f>
        <v/>
      </c>
    </row>
    <row r="1260" spans="1:13" x14ac:dyDescent="0.35">
      <c r="A1260" s="48"/>
      <c r="B1260" s="48"/>
      <c r="C1260" s="49"/>
      <c r="D1260" s="50"/>
      <c r="E1260" s="51" t="str">
        <f t="shared" si="479"/>
        <v/>
      </c>
      <c r="F1260" s="71" t="str">
        <f t="shared" si="476"/>
        <v/>
      </c>
      <c r="G1260" s="69" t="str">
        <f t="shared" si="478"/>
        <v/>
      </c>
      <c r="H1260" s="70" t="str">
        <f t="shared" si="477"/>
        <v/>
      </c>
      <c r="I1260" s="27" t="str">
        <f>IF(N(J1260)=0,"",0&amp;"-"&amp;B$9)</f>
        <v/>
      </c>
      <c r="J1260" s="52" t="str">
        <f>IF(N(B$9)=0,"",IF(AND(COUNT(H1255:H1266)=2,COUNT(F1255:F1266)=2),cubic_spline(F1254:F1256,H1254:H1256,B$9),IF(AND(COUNT(H1255:H1266)=3,COUNT(F1255:F1266)=3),cubic_spline(F1254:F1257,H1254:H1257,B$9),IF(AND(COUNT(H1255:H1266)=4,COUNT(F1255:F1266)=4),cubic_spline(F1254:F1258,H1254:H1258,B$9),IF(AND(COUNT(H1255:H1266)=5,COUNT(F1255:F1266)=5),cubic_spline(F1254:F1259,H1254:H1259,B$9),IF(AND(COUNT(H1255:H1266)=6,COUNT(F1255:F1266)=6),cubic_spline(F1254:F1260,H1254:H1260,B$9),IF(AND(COUNT(H1255:H1266)=7,COUNT(F1255:F1266)=7),cubic_spline(F1254:F1261,H1254:H1261,B$9),IF(AND(COUNT(H1255:H1266)=8,COUNT(F1255:F1266)=8),cubic_spline(F1254:F1262,H1254:H1262,B$9),IF(AND(COUNT(H1255:H1266)=9,COUNT(F1255:F1266)=9),cubic_spline(F1254:F1263,H1254:H1263,B$9),IF(AND(COUNT(H1255:H1266)=10,COUNT(F1255:F1266)=10),cubic_spline(F1254:F1264,H1254:H1264,B$9),IF(AND(COUNT(H1255:H1266)=11,COUNT(F1255:F1266)=11),cubic_spline(F1254:F1265,H1254:H1265,B$9),IF(AND(COUNT(H1255:H1266)=12,COUNT(F1255:F1266)=12),cubic_spline(F1254:F1266,H1254:H1266,B$9),""))))))))))))</f>
        <v/>
      </c>
      <c r="K1260" s="52" t="str">
        <f>IF(N(B$9)=0,"",IF(AND(COUNT(A1255:A1266)=2,COUNT(F1255:F1266)=2),cubic_spline(F1254:F1256,A1254:A1256,B$9),IF(AND(COUNT(A1255:A1266)=3,COUNT(F1255:F1266)=3),cubic_spline(F1254:F1257,A1254:A1257,B$9),IF(AND(COUNT(A1255:A1266)=4,COUNT(F1255:F1266)=4),cubic_spline(F1254:F1258,A1254:A1258,B$9),IF(AND(COUNT(A1255:A1266)=5,COUNT(F1255:F1266)=5),cubic_spline(F1254:F1259,A1254:A1259,B$9),IF(AND(COUNT(A1255:A1266)=6,COUNT(F1255:F1266)=6),cubic_spline(F1254:F1260,A1254:A1260,B$9),IF(AND(COUNT(A1255:A1266)=7,COUNT(F1255:F1266)=7),cubic_spline(F1254:F1261,A1254:A1261,B$9),IF(AND(COUNT(A1255:A1266)=8,COUNT(F1255:F1266)=8),cubic_spline(F1254:F1262,A1254:A1262,B$9),IF(AND(COUNT(A1255:A1266)=9,COUNT(F1255:F1266)=9),cubic_spline(F1254:F1263,A1254:A1263,B$9),IF(AND(COUNT(A1255:A1266)=10,COUNT(F1255:F1266)=10),cubic_spline(F1254:F1264,A1254:A1264,B$9),IF(AND(COUNT(A1255:A1266)=11,COUNT(F1255:F1266)=11),cubic_spline(F1254:F1265,A1254:A1265,B$9),IF(AND(COUNT(A1255:A1266)=12,COUNT(F1255:F1266)=12),cubic_spline(F1254:F1266,A1254:A1266,B$9),""))))))))))))</f>
        <v/>
      </c>
      <c r="L1260" s="27" t="str">
        <f>IF(I1260="","",B$8&amp;"-"&amp;B$9)</f>
        <v/>
      </c>
      <c r="M1260" s="52" t="str">
        <f t="shared" ref="M1260:M1266" si="480">IF(N(J1260)=0,"",J1260-J1259)</f>
        <v/>
      </c>
    </row>
    <row r="1261" spans="1:13" x14ac:dyDescent="0.35">
      <c r="A1261" s="48"/>
      <c r="B1261" s="48"/>
      <c r="C1261" s="49"/>
      <c r="D1261" s="50"/>
      <c r="E1261" s="51" t="str">
        <f t="shared" si="479"/>
        <v/>
      </c>
      <c r="F1261" s="71" t="str">
        <f t="shared" si="476"/>
        <v/>
      </c>
      <c r="G1261" s="69" t="str">
        <f t="shared" si="478"/>
        <v/>
      </c>
      <c r="H1261" s="70" t="str">
        <f t="shared" si="477"/>
        <v/>
      </c>
      <c r="I1261" s="27" t="str">
        <f>IF(N(J1261)=0,"",0&amp;"-"&amp;B$10)</f>
        <v/>
      </c>
      <c r="J1261" s="52" t="str">
        <f>IF(N(B$10)=0,"",IF(AND(COUNT(H1255:H1266)=2,COUNT(F1255:F1266)=2),cubic_spline(F1254:F1256,H1254:H1256,B$10),IF(AND(COUNT(H1255:H1266)=3,COUNT(F1255:F1266)=3),cubic_spline(F1254:F1257,H1254:H1257,B$10),IF(AND(COUNT(H1255:H1266)=4,COUNT(F1255:F1266)=4),cubic_spline(F1254:F1258,H1254:H1258,B$10),IF(AND(COUNT(H1255:H1266)=5,COUNT(F1255:F1266)=5),cubic_spline(F1254:F1259,H1254:H1259,B$10),IF(AND(COUNT(H1255:H1266)=6,COUNT(F1255:F1266)=6),cubic_spline(F1254:F1260,H1254:H1260,B$10),IF(AND(COUNT(H1255:H1266)=7,COUNT(F1255:F1266)=7),cubic_spline(F1254:F1261,H1254:H1261,B$10),IF(AND(COUNT(H1255:H1266)=8,COUNT(F1255:F1266)=8),cubic_spline(F1254:F1262,H1254:H1262,B$10),IF(AND(COUNT(H1255:H1266)=9,COUNT(F1255:F1266)=9),cubic_spline(F1254:F1263,H1254:H1263,B$10),IF(AND(COUNT(H1255:H1266)=10,COUNT(F1255:F1266)=10),cubic_spline(F1254:F1264,H1254:H1264,B$10),IF(AND(COUNT(H1255:H1266)=11,COUNT(F1255:F1266)=11),cubic_spline(F1254:F1265,H1254:H1265,B$10),IF(AND(COUNT(H1255:H1266)=12,COUNT(F1255:F1266)=12),cubic_spline(F1254:F1266,H1254:H1266,B$10),""))))))))))))</f>
        <v/>
      </c>
      <c r="K1261" s="52" t="str">
        <f>IF(N(B$10)=0,"",IF(AND(COUNT(A1255:A1266)=2,COUNT(F1255:F1266)=2),cubic_spline(F1254:F1256,A1254:A1256,B$10),IF(AND(COUNT(A1255:A1266)=3,COUNT(F1255:F1266)=3),cubic_spline(F1254:F1257,A1254:A1257,B$10),IF(AND(COUNT(A1255:A1266)=4,COUNT(F1255:F1266)=4),cubic_spline(F1254:F1258,A1254:A1258,B$10),IF(AND(COUNT(A1255:A1266)=5,COUNT(F1255:F1266)=5),cubic_spline(F1254:F1259,A1254:A1259,B$10),IF(AND(COUNT(A1255:A1266)=6,COUNT(F1255:F1266)=6),cubic_spline(F1254:F1260,A1254:A1260,B$10),IF(AND(COUNT(A1255:A1266)=7,COUNT(F1255:F1266)=7),cubic_spline(F1254:F1261,A1254:A1261,B$10),IF(AND(COUNT(A1255:A1266)=8,COUNT(F1255:F1266)=8),cubic_spline(F1254:F1262,A1254:A1262,B$10),IF(AND(COUNT(A1255:A1266)=9,COUNT(F1255:F1266)=9),cubic_spline(F1254:F1263,A1254:A1263,B$10),IF(AND(COUNT(A1255:A1266)=10,COUNT(F1255:F1266)=10),cubic_spline(F1254:F1264,A1254:A1264,B$10),IF(AND(COUNT(A1255:A1266)=11,COUNT(F1255:F1266)=11),cubic_spline(F1254:F1265,A1254:A1265,B$10),IF(AND(COUNT(A1255:A1266)=12,COUNT(F1255:F1266)=12),cubic_spline(F1254:F1266,A1254:A1266,B$10),""))))))))))))</f>
        <v/>
      </c>
      <c r="L1261" s="27" t="str">
        <f>IF(I1261="","",B$9&amp;"-"&amp;B$10)</f>
        <v/>
      </c>
      <c r="M1261" s="52" t="str">
        <f t="shared" si="480"/>
        <v/>
      </c>
    </row>
    <row r="1262" spans="1:13" x14ac:dyDescent="0.35">
      <c r="A1262" s="48"/>
      <c r="B1262" s="48"/>
      <c r="C1262" s="49"/>
      <c r="D1262" s="50"/>
      <c r="E1262" s="51" t="str">
        <f t="shared" si="479"/>
        <v/>
      </c>
      <c r="F1262" s="71" t="str">
        <f t="shared" si="476"/>
        <v/>
      </c>
      <c r="G1262" s="69" t="str">
        <f t="shared" si="478"/>
        <v/>
      </c>
      <c r="H1262" s="70" t="str">
        <f t="shared" si="477"/>
        <v/>
      </c>
      <c r="I1262" s="27" t="str">
        <f>IF(N(J1262)=0,"",0&amp;"-"&amp;B$11)</f>
        <v/>
      </c>
      <c r="J1262" s="52" t="str">
        <f>IF(N(B$11)=0,"",IF(AND(COUNT(H1255:H1266)=2,COUNT(F1255:F1266)=2),cubic_spline(F1254:F1256,H1254:H1256,B$11),IF(AND(COUNT(H1255:H1266)=3,COUNT(F1255:F1266)=3),cubic_spline(F1254:F1257,H1254:H1257,B$11),IF(AND(COUNT(H1255:H1266)=4,COUNT(F1255:F1266)=4),cubic_spline(F1254:F1258,H1254:H1258,B$11),IF(AND(COUNT(H1255:H1266)=5,COUNT(F1255:F1266)=5),cubic_spline(F1254:F1259,H1254:H1259,B$11),IF(AND(COUNT(H1255:H1266)=6,COUNT(F1255:F1266)=6),cubic_spline(F1254:F1260,H1254:H1260,B$11),IF(AND(COUNT(H1255:H1266)=7,COUNT(F1255:F1266)=7),cubic_spline(F1254:F1261,H1254:H1261,B$11),IF(AND(COUNT(H1255:H1266)=8,COUNT(F1255:F1266)=8),cubic_spline(F1254:F1262,H1254:H1262,B$11),IF(AND(COUNT(H1255:H1266)=9,COUNT(F1255:F1266)=9),cubic_spline(F1254:F1263,H1254:H1263,B$11),IF(AND(COUNT(H1255:H1266)=10,COUNT(F1255:F1266)=10),cubic_spline(F1254:F1264,H1254:H1264,B$11),IF(AND(COUNT(H1255:H1266)=11,COUNT(F1255:F1266)=11),cubic_spline(F1254:F1265,H1254:H1265,B$11),IF(AND(COUNT(H1255:H1266)=12,COUNT(F1255:F1266)=12),cubic_spline(F1254:F1266,H1254:H1266,B$11),""))))))))))))</f>
        <v/>
      </c>
      <c r="K1262" s="52" t="str">
        <f>IF(N(B$11)=0,"",IF(AND(COUNT(A1255:A1266)=2,COUNT(F1255:F1266)=2),cubic_spline(F1254:F1256,A1254:A1256,B$11),IF(AND(COUNT(A1255:A1266)=3,COUNT(F1255:F1266)=3),cubic_spline(F1254:F1257,A1254:A1257,B$11),IF(AND(COUNT(A1255:A1266)=4,COUNT(F1255:F1266)=4),cubic_spline(F1254:F1258,A1254:A1258,B$11),IF(AND(COUNT(A1255:A1266)=5,COUNT(F1255:F1266)=5),cubic_spline(F1254:F1259,A1254:A1259,B$11),IF(AND(COUNT(A1255:A1266)=6,COUNT(F1255:F1266)=6),cubic_spline(F1254:F1260,A1254:A1260,B$11),IF(AND(COUNT(A1255:A1266)=7,COUNT(F1255:F1266)=7),cubic_spline(F1254:F1261,A1254:A1261,B$11),IF(AND(COUNT(A1255:A1266)=8,COUNT(F1255:F1266)=8),cubic_spline(F1254:F1262,A1254:A1262,B$11),IF(AND(COUNT(A1255:A1266)=9,COUNT(F1255:F1266)=9),cubic_spline(F1254:F1263,A1254:A1263,B$11),IF(AND(COUNT(A1255:A1266)=10,COUNT(F1255:F1266)=10),cubic_spline(F1254:F1264,A1254:A1264,B$11),IF(AND(COUNT(A1255:A1266)=11,COUNT(F1255:F1266)=11),cubic_spline(F1254:F1265,A1254:A1265,B$11),IF(AND(COUNT(A1255:A1266)=12,COUNT(F1255:F1266)=12),cubic_spline(F1254:F1266,A1254:A1266,B$11),""))))))))))))</f>
        <v/>
      </c>
      <c r="L1262" s="27" t="str">
        <f>IF(I1262="","",B$10&amp;"-"&amp;B$11)</f>
        <v/>
      </c>
      <c r="M1262" s="52" t="str">
        <f t="shared" si="480"/>
        <v/>
      </c>
    </row>
    <row r="1263" spans="1:13" x14ac:dyDescent="0.35">
      <c r="A1263" s="48"/>
      <c r="B1263" s="48"/>
      <c r="C1263" s="49"/>
      <c r="D1263" s="50"/>
      <c r="E1263" s="51" t="str">
        <f t="shared" si="479"/>
        <v/>
      </c>
      <c r="F1263" s="71" t="str">
        <f t="shared" si="476"/>
        <v/>
      </c>
      <c r="G1263" s="69" t="str">
        <f t="shared" si="478"/>
        <v/>
      </c>
      <c r="H1263" s="70" t="str">
        <f t="shared" si="477"/>
        <v/>
      </c>
      <c r="I1263" s="27" t="str">
        <f>IF(N(J1263)=0,"",0&amp;"-"&amp;B$12)</f>
        <v/>
      </c>
      <c r="J1263" s="52" t="str">
        <f>IF(N(B$12)=0,"",IF(AND(COUNT(H1255:H1266)=2,COUNT(F1255:F1266)=2),cubic_spline(F1254:F1256,H1254:H1256,B$12),IF(AND(COUNT(H1255:H1266)=3,COUNT(F1255:F1266)=3),cubic_spline(F1254:F1257,H1254:H1257,B$12),IF(AND(COUNT(H1255:H1266)=4,COUNT(F1255:F1266)=4),cubic_spline(F1254:F1258,H1254:H1258,B$12),IF(AND(COUNT(H1255:H1266)=5,COUNT(F1255:F1266)=5),cubic_spline(F1254:F1259,H1254:H1259,B$12),IF(AND(COUNT(H1255:H1266)=6,COUNT(F1255:F1266)=6),cubic_spline(F1254:F1260,H1254:H1260,B$12),IF(AND(COUNT(H1255:H1266)=7,COUNT(F1255:F1266)=7),cubic_spline(F1254:F1261,H1254:H1261,B$12),IF(AND(COUNT(H1255:H1266)=8,COUNT(F1255:F1266)=8),cubic_spline(F1254:F1262,H1254:H1262,B$12),IF(AND(COUNT(H1255:H1266)=9,COUNT(F1255:F1266)=9),cubic_spline(F1254:F1263,H1254:H1263,B$12),IF(AND(COUNT(H1255:H1266)=10,COUNT(F1255:F1266)=10),cubic_spline(F1254:F1264,H1254:H1264,B$12),IF(AND(COUNT(H1255:H1266)=11,COUNT(F1255:F1266)=11),cubic_spline(F1254:F1265,H1254:H1265,B$12),IF(AND(COUNT(H1255:H1266)=12,COUNT(F1255:F1266)=12),cubic_spline(F1254:F1266,H1254:H1266,B$12),""))))))))))))</f>
        <v/>
      </c>
      <c r="K1263" s="52" t="str">
        <f>IF(N(B$12)=0,"",IF(AND(COUNT(A1255:A1266)=2,COUNT(F1255:F1266)=2),cubic_spline(F1254:F1256,A1254:A1256,B$12),IF(AND(COUNT(A1255:A1266)=3,COUNT(F1255:F1266)=3),cubic_spline(F1254:F1257,A1254:A1257,B$12),IF(AND(COUNT(A1255:A1266)=4,COUNT(F1255:F1266)=4),cubic_spline(F1254:F1258,A1254:A1258,B$12),IF(AND(COUNT(A1255:A1266)=5,COUNT(F1255:F1266)=5),cubic_spline(F1254:F1259,A1254:A1259,B$12),IF(AND(COUNT(A1255:A1266)=6,COUNT(F1255:F1266)=6),cubic_spline(F1254:F1260,A1254:A1260,B$12),IF(AND(COUNT(A1255:A1266)=7,COUNT(F1255:F1266)=7),cubic_spline(F1254:F1261,A1254:A1261,B$12),IF(AND(COUNT(A1255:A1266)=8,COUNT(F1255:F1266)=8),cubic_spline(F1254:F1262,A1254:A1262,B$12),IF(AND(COUNT(A1255:A1266)=9,COUNT(F1255:F1266)=9),cubic_spline(F1254:F1263,A1254:A1263,B$12),IF(AND(COUNT(A1255:A1266)=10,COUNT(F1255:F1266)=10),cubic_spline(F1254:F1264,A1254:A1264,B$12),IF(AND(COUNT(A1255:A1266)=11,COUNT(F1255:F1266)=11),cubic_spline(F1254:F1265,A1254:A1265,B$12),IF(AND(COUNT(A1255:A1266)=12,COUNT(F1255:F1266)=12),cubic_spline(F1254:F1266,A1254:A1266,B$12),""))))))))))))</f>
        <v/>
      </c>
      <c r="L1263" s="27" t="str">
        <f>IF(I1263="","",B$11&amp;"-"&amp;B$12)</f>
        <v/>
      </c>
      <c r="M1263" s="52" t="str">
        <f t="shared" si="480"/>
        <v/>
      </c>
    </row>
    <row r="1264" spans="1:13" x14ac:dyDescent="0.35">
      <c r="A1264" s="48"/>
      <c r="B1264" s="48"/>
      <c r="C1264" s="49"/>
      <c r="D1264" s="50"/>
      <c r="E1264" s="51" t="str">
        <f t="shared" si="479"/>
        <v/>
      </c>
      <c r="F1264" s="71" t="str">
        <f t="shared" si="476"/>
        <v/>
      </c>
      <c r="G1264" s="69" t="str">
        <f t="shared" si="478"/>
        <v/>
      </c>
      <c r="H1264" s="70" t="str">
        <f t="shared" si="477"/>
        <v/>
      </c>
      <c r="I1264" s="27" t="str">
        <f>IF(N(J1264)=0,"",0&amp;"-"&amp;B$13)</f>
        <v/>
      </c>
      <c r="J1264" s="52" t="str">
        <f>IF(N(B$13)=0,"",IF(AND(COUNT(H1255:H1266)=2,COUNT(F1255:F1266)=2),cubic_spline(F1254:F1256,H1254:H1256,B$13),IF(AND(COUNT(H1255:H1266)=3,COUNT(F1255:F1266)=3),cubic_spline(F1254:F1257,H1254:H1257,B$13),IF(AND(COUNT(H1255:H1266)=4,COUNT(F1255:F1266)=4),cubic_spline(F1254:F1258,H1254:H1258,B$13),IF(AND(COUNT(H1255:H1266)=5,COUNT(F1255:F1266)=5),cubic_spline(F1254:F1259,H1254:H1259,B$13),IF(AND(COUNT(H1255:H1266)=6,COUNT(F1255:F1266)=6),cubic_spline(F1254:F1260,H1254:H1260,B$13),IF(AND(COUNT(H1255:H1266)=7,COUNT(F1255:F1266)=7),cubic_spline(F1254:F1261,H1254:H1261,B$13),IF(AND(COUNT(H1255:H1266)=8,COUNT(F1255:F1266)=8),cubic_spline(F1254:F1262,H1254:H1262,B$13),IF(AND(COUNT(H1255:H1266)=9,COUNT(F1255:F1266)=9),cubic_spline(F1254:F1263,H1254:H1263,B$13),IF(AND(COUNT(H1255:H1266)=10,COUNT(F1255:F1266)=10),cubic_spline(F1254:F1264,H1254:H1264,B$13),IF(AND(COUNT(H1255:H1266)=11,COUNT(F1255:F1266)=11),cubic_spline(F1254:F1265,H1254:H1265,B$13),IF(AND(COUNT(H1255:H1266)=12,COUNT(F1255:F1266)=12),cubic_spline(F1254:F1266,H1254:H1266,B$13),""))))))))))))</f>
        <v/>
      </c>
      <c r="K1264" s="52" t="str">
        <f>IF(N(B$13)=0,"",IF(AND(COUNT(A1255:A1266)=2,COUNT(F1255:F1266)=2),cubic_spline(F1254:F1256,A1254:A1256,B$13),IF(AND(COUNT(A1255:A1266)=3,COUNT(F1255:F1266)=3),cubic_spline(F1254:F1257,A1254:A1257,B$13),IF(AND(COUNT(A1255:A1266)=4,COUNT(F1255:F1266)=4),cubic_spline(F1254:F1258,A1254:A1258,B$13),IF(AND(COUNT(A1255:A1266)=5,COUNT(F1255:F1266)=5),cubic_spline(F1254:F1259,A1254:A1259,B$13),IF(AND(COUNT(A1255:A1266)=6,COUNT(F1255:F1266)=6),cubic_spline(F1254:F1260,A1254:A1260,B$13),IF(AND(COUNT(A1255:A1266)=7,COUNT(F1255:F1266)=7),cubic_spline(F1254:F1261,A1254:A1261,B$13),IF(AND(COUNT(A1255:A1266)=8,COUNT(F1255:F1266)=8),cubic_spline(F1254:F1262,A1254:A1262,B$13),IF(AND(COUNT(A1255:A1266)=9,COUNT(F1255:F1266)=9),cubic_spline(F1254:F1263,A1254:A1263,B$13),IF(AND(COUNT(A1255:A1266)=10,COUNT(F1255:F1266)=10),cubic_spline(F1254:F1264,A1254:A1264,B$13),IF(AND(COUNT(A1255:A1266)=11,COUNT(F1255:F1266)=11),cubic_spline(F1254:F1265,A1254:A1265,B$13),IF(AND(COUNT(A1255:A1266)=12,COUNT(F1255:F1266)=12),cubic_spline(F1254:F1266,A1254:A1266,B$13),""))))))))))))</f>
        <v/>
      </c>
      <c r="L1264" s="27" t="str">
        <f>IF(I1264="","",B$12&amp;"-"&amp;B$13)</f>
        <v/>
      </c>
      <c r="M1264" s="52" t="str">
        <f t="shared" si="480"/>
        <v/>
      </c>
    </row>
    <row r="1265" spans="1:13" x14ac:dyDescent="0.35">
      <c r="A1265" s="48"/>
      <c r="B1265" s="48"/>
      <c r="C1265" s="49"/>
      <c r="D1265" s="50"/>
      <c r="E1265" s="51" t="str">
        <f t="shared" si="479"/>
        <v/>
      </c>
      <c r="F1265" s="71" t="str">
        <f t="shared" si="476"/>
        <v/>
      </c>
      <c r="G1265" s="69" t="str">
        <f t="shared" si="478"/>
        <v/>
      </c>
      <c r="H1265" s="70" t="str">
        <f t="shared" si="477"/>
        <v/>
      </c>
      <c r="I1265" s="27" t="str">
        <f>IF(N(J1265)=0,"",0&amp;"-"&amp;B$14)</f>
        <v/>
      </c>
      <c r="J1265" s="52" t="str">
        <f>IF(N(B$14)=0,"",IF(AND(COUNT(H1255:H1266)=2,COUNT(F1255:F1266)=2),cubic_spline(F1254:F1256,H1254:H1256,B$14),IF(AND(COUNT(H1255:H1266)=3,COUNT(F1255:F1266)=3),cubic_spline(F1254:F1257,H1254:H1257,B$14),IF(AND(COUNT(H1255:H1266)=4,COUNT(F1255:F1266)=4),cubic_spline(F1254:F1258,H1254:H1258,B$14),IF(AND(COUNT(H1255:H1266)=5,COUNT(F1255:F1266)=5),cubic_spline(F1254:F1259,H1254:H1259,B$14),IF(AND(COUNT(H1255:H1266)=6,COUNT(F1255:F1266)=6),cubic_spline(F1254:F1260,H1254:H1260,B$14),IF(AND(COUNT(H1255:H1266)=7,COUNT(F1255:F1266)=7),cubic_spline(F1254:F1261,H1254:H1261,B$14),IF(AND(COUNT(H1255:H1266)=8,COUNT(F1255:F1266)=8),cubic_spline(F1254:F1262,H1254:H1262,B$14),IF(AND(COUNT(H1255:H1266)=9,COUNT(F1255:F1266)=9),cubic_spline(F1254:F1263,H1254:H1263,B$14),IF(AND(COUNT(H1255:H1266)=10,COUNT(F1255:F1266)=10),cubic_spline(F1254:F1264,H1254:H1264,B$14),IF(AND(COUNT(H1255:H1266)=11,COUNT(F1255:F1266)=11),cubic_spline(F1254:F1265,H1254:H1265,B$14),IF(AND(COUNT(H1255:H1266)=12,COUNT(F1255:F1266)=12),cubic_spline(F1254:F1266,H1254:H1266,B$14),""))))))))))))</f>
        <v/>
      </c>
      <c r="K1265" s="52" t="str">
        <f>IF(N(B$14)=0,"",IF(AND(COUNT(A1255:A1266)=2,COUNT(F1255:F1266)=2),cubic_spline(F1254:F1256,A1254:A1256,B$14),IF(AND(COUNT(A1255:A1266)=3,COUNT(F1255:F1266)=3),cubic_spline(F1254:F1257,A1254:A1257,B$14),IF(AND(COUNT(A1255:A1266)=4,COUNT(F1255:F1266)=4),cubic_spline(F1254:F1258,A1254:A1258,B$14),IF(AND(COUNT(A1255:A1266)=5,COUNT(F1255:F1266)=5),cubic_spline(F1254:F1259,A1254:A1259,B$14),IF(AND(COUNT(A1255:A1266)=6,COUNT(F1255:F1266)=6),cubic_spline(F1254:F1260,A1254:A1260,B$14),IF(AND(COUNT(A1255:A1266)=7,COUNT(F1255:F1266)=7),cubic_spline(F1254:F1261,A1254:A1261,B$14),IF(AND(COUNT(A1255:A1266)=8,COUNT(F1255:F1266)=8),cubic_spline(F1254:F1262,A1254:A1262,B$14),IF(AND(COUNT(A1255:A1266)=9,COUNT(F1255:F1266)=9),cubic_spline(F1254:F1263,A1254:A1263,B$14),IF(AND(COUNT(A1255:A1266)=10,COUNT(F1255:F1266)=10),cubic_spline(F1254:F1264,A1254:A1264,B$14),IF(AND(COUNT(A1255:A1266)=11,COUNT(F1255:F1266)=11),cubic_spline(F1254:F1265,A1254:A1265,B$14),IF(AND(COUNT(A1255:A1266)=12,COUNT(F1255:F1266)=12),cubic_spline(F1254:F1266,A1254:A1266,B$14),""))))))))))))</f>
        <v/>
      </c>
      <c r="L1265" s="27" t="str">
        <f>IF(I1265="","",B$13&amp;"-"&amp;B$14)</f>
        <v/>
      </c>
      <c r="M1265" s="52" t="str">
        <f t="shared" si="480"/>
        <v/>
      </c>
    </row>
    <row r="1266" spans="1:13" x14ac:dyDescent="0.35">
      <c r="A1266" s="48"/>
      <c r="B1266" s="48"/>
      <c r="C1266" s="49"/>
      <c r="D1266" s="50"/>
      <c r="E1266" s="51" t="str">
        <f t="shared" si="479"/>
        <v/>
      </c>
      <c r="F1266" s="71" t="str">
        <f t="shared" si="476"/>
        <v/>
      </c>
      <c r="G1266" s="69" t="str">
        <f t="shared" si="478"/>
        <v/>
      </c>
      <c r="H1266" s="70" t="str">
        <f t="shared" si="477"/>
        <v/>
      </c>
      <c r="I1266" s="27" t="str">
        <f>IF(N(J1266)=0,"",0&amp;"-"&amp;B$15)</f>
        <v/>
      </c>
      <c r="J1266" s="52" t="str">
        <f>IF(N(B$15)=0,"",IF(AND(COUNT(H1255:H1266)=2,COUNT(F1255:F1266)=2),cubic_spline(F1254:F1256,H1254:H1256,B$15),IF(AND(COUNT(H1255:H1266)=3,COUNT(F1255:F1266)=3),cubic_spline(F1254:F1257,H1254:H1257,B$15),IF(AND(COUNT(H1255:H1266)=4,COUNT(F1255:F1266)=4),cubic_spline(F1254:F1258,H1254:H1258,B$15),IF(AND(COUNT(H1255:H1266)=5,COUNT(F1255:F1266)=5),cubic_spline(F1254:F1259,H1254:H1259,B$15),IF(AND(COUNT(H1255:H1266)=6,COUNT(F1255:F1266)=6),cubic_spline(F1254:F1260,H1254:H1260,B$15),IF(AND(COUNT(H1255:H1266)=7,COUNT(F1255:F1266)=7),cubic_spline(F1254:F1261,H1254:H1261,B$15),IF(AND(COUNT(H1255:H1266)=8,COUNT(F1255:F1266)=8),cubic_spline(F1254:F1262,H1254:H1262,B$15),IF(AND(COUNT(H1255:H1266)=9,COUNT(F1255:F1266)=9),cubic_spline(F1254:F1263,H1254:H1263,B$15),IF(AND(COUNT(H1255:H1266)=10,COUNT(F1255:F1266)=10),cubic_spline(F1254:F1264,H1254:H1264,B$15),IF(AND(COUNT(H1255:H1266)=11,COUNT(F1255:F1266)=11),cubic_spline(F1254:F1265,H1254:H1265,B$15),IF(AND(COUNT(H1255:H1266)=12,COUNT(F1255:F1266)=12),cubic_spline(F1254:F1266,H1254:H1266,B$15),""))))))))))))</f>
        <v/>
      </c>
      <c r="K1266" s="52" t="str">
        <f>IF(N(B$15)=0,"",IF(AND(COUNT(A1255:A1266)=2,COUNT(F1255:F1266)=2),cubic_spline(F1254:F1256,A1254:A1256,B$15),IF(AND(COUNT(A1255:A1266)=3,COUNT(F1255:F1266)=3),cubic_spline(F1254:F1257,A1254:A1257,B$15),IF(AND(COUNT(A1255:A1266)=4,COUNT(F1255:F1266)=4),cubic_spline(F1254:F1258,A1254:A1258,B$15),IF(AND(COUNT(A1255:A1266)=5,COUNT(F1255:F1266)=5),cubic_spline(F1254:F1259,A1254:A1259,B$15),IF(AND(COUNT(A1255:A1266)=6,COUNT(F1255:F1266)=6),cubic_spline(F1254:F1260,A1254:A1260,B$15),IF(AND(COUNT(A1255:A1266)=7,COUNT(F1255:F1266)=7),cubic_spline(F1254:F1261,A1254:A1261,B$15),IF(AND(COUNT(A1255:A1266)=8,COUNT(F1255:F1266)=8),cubic_spline(F1254:F1262,A1254:A1262,B$15),IF(AND(COUNT(A1255:A1266)=9,COUNT(F1255:F1266)=9),cubic_spline(F1254:F1263,A1254:A1263,B$15),IF(AND(COUNT(A1255:A1266)=10,COUNT(F1255:F1266)=10),cubic_spline(F1254:F1264,A1254:A1264,B$15),IF(AND(COUNT(A1255:A1266)=11,COUNT(F1255:F1266)=11),cubic_spline(F1254:F1265,A1254:A1265,B$15),IF(AND(COUNT(A1255:A1266)=12,COUNT(F1255:F1266)=12),cubic_spline(F1254:F1266,A1254:A1266,B$15),""))))))))))))</f>
        <v/>
      </c>
      <c r="L1266" s="27" t="str">
        <f>IF(I1266="","",B$14&amp;"-"&amp;B$15)</f>
        <v/>
      </c>
      <c r="M1266" s="52" t="str">
        <f t="shared" si="480"/>
        <v/>
      </c>
    </row>
    <row r="1267" spans="1:13" ht="5.15" customHeight="1" x14ac:dyDescent="0.35">
      <c r="A1267" s="47"/>
      <c r="B1267" s="47"/>
      <c r="C1267" s="47"/>
      <c r="D1267" s="53"/>
      <c r="E1267" s="54"/>
      <c r="F1267" s="55"/>
      <c r="G1267" s="72"/>
      <c r="H1267" s="73"/>
      <c r="I1267" s="47"/>
      <c r="J1267" s="57"/>
      <c r="K1267" s="57"/>
      <c r="L1267" s="55"/>
      <c r="M1267" s="57"/>
    </row>
    <row r="1268" spans="1:13" x14ac:dyDescent="0.35">
      <c r="A1268" s="48"/>
      <c r="B1268" s="48"/>
      <c r="C1268" s="49"/>
      <c r="D1268" s="50"/>
      <c r="E1268" s="51" t="str">
        <f>IF(N(C1268)=0,"",C1268/PI()/($D$1/2)^2/$D$2*10000)</f>
        <v/>
      </c>
      <c r="F1268" s="68" t="str">
        <f t="shared" ref="F1268:F1279" si="481">IF(N(E1268)=0,"",(N(E1268)+N(F1267)))</f>
        <v/>
      </c>
      <c r="G1268" s="69" t="str">
        <f>IF(OR(N(D1268)=0,N(E1268)=0),"",(E1268*D1268)/1000)</f>
        <v/>
      </c>
      <c r="H1268" s="70" t="str">
        <f t="shared" ref="H1268:H1279" si="482">IF(N(G1268)=0,"",(N(G1268)+N(H1267)))</f>
        <v/>
      </c>
      <c r="I1268" s="27" t="str">
        <f>IF(N(J1268)=0,"",0&amp;"-"&amp;B$4)</f>
        <v/>
      </c>
      <c r="J1268" s="52" t="str">
        <f>IF(N(B$4)=0,"",IF(AND(COUNT(H1268:H1279)=2,COUNT(F1268:F1279)=2),cubic_spline(F1267:F1269,H1267:H1269,B$4),IF(AND(COUNT(H1268:H1279)=3,COUNT(F1268:F1279)=3),cubic_spline(F1267:F1270,H1267:H1270,B$4),IF(AND(COUNT(H1268:H1279)=4,COUNT(F1268:F1279)=4),cubic_spline(F1267:F1271,H1267:H1271,B$4),IF(AND(COUNT(H1268:H1279)=5,COUNT(F1268:F1279)=5),cubic_spline(F1267:F1272,H1267:H1272,B$4),IF(AND(COUNT(H1268:H1279)=6,COUNT(F1268:F1279)=6),cubic_spline(F1267:F1273,H1267:H1273,B$4),IF(AND(COUNT(H1268:H1279)=7,COUNT(F1268:F1279)=7),cubic_spline(F1267:F1274,H1267:H1274,B$4),IF(AND(COUNT(H1268:H1279)=8,COUNT(F1268:F1279)=8),cubic_spline(F1267:F1275,H1267:H1275,B$4),IF(AND(COUNT(H1268:H1279)=9,COUNT(F1268:F1279)=9),cubic_spline(F1267:F1276,H1267:H1276,B$4),IF(AND(COUNT(H1268:H1279)=10,COUNT(F1268:F1279)=10),cubic_spline(F1267:F1277,H1267:H1277,B$4),IF(AND(COUNT(H1268:H1279)=11,COUNT(F1268:F1279)=11),cubic_spline(F1267:F1278,H1267:H1278,B$4),IF(AND(COUNT(H1268:H1279)=12,COUNT(F1268:F1279)=12),cubic_spline(F1267:F1279,H1267:H1279,B$4),""))))))))))))</f>
        <v/>
      </c>
      <c r="K1268" s="52" t="str">
        <f>IF(N(B$4)=0,"",IF(AND(COUNT(A1268:A1279)=2,COUNT(F1268:F1279)=2),cubic_spline(F1267:F1269,A1267:A1269,B$4),IF(AND(COUNT(A1268:A1279)=3,COUNT(F1268:F1279)=3),cubic_spline(F1267:F1270,A1267:A1270,B$4),IF(AND(COUNT(A1268:A1279)=4,COUNT(F1268:F1279)=4),cubic_spline(F1267:F1271,A1267:A1271,B$4),IF(AND(COUNT(A1268:A1279)=5,COUNT(F1268:F1279)=5),cubic_spline(F1267:F1272,A1267:A1272,B$4),IF(AND(COUNT(A1268:A1279)=6,COUNT(F1268:F1279)=6),cubic_spline(F1267:F1273,A1267:A1273,B$4),IF(AND(COUNT(A1268:A1279)=7,COUNT(F1268:F1279)=7),cubic_spline(F1267:F1274,A1267:A1274,B$4),IF(AND(COUNT(A1268:A1279)=8,COUNT(F1268:F1279)=8),cubic_spline(F1267:F1275,A1267:A1275,B$4),IF(AND(COUNT(A1268:A1279)=9,COUNT(F1268:F1279)=9),cubic_spline(F1267:F1276,A1267:A1276,B$4),IF(AND(COUNT(A1268:A1279)=10,COUNT(F1268:F1279)=10),cubic_spline(F1267:F1277,A1267:A1277,B$4),IF(AND(COUNT(A1268:A1279)=11,COUNT(F1268:F1279)=11),cubic_spline(F1267:F1278,A1267:A1278,B$4),IF(AND(COUNT(A1268:A1279)=12,COUNT(F1268:F1279)=12),cubic_spline(F1267:F1279,A1267:A1279,B$4),""))))))))))))</f>
        <v/>
      </c>
      <c r="L1268" s="27" t="str">
        <f>IF(I1268="","",0&amp;"-"&amp;B$4)</f>
        <v/>
      </c>
      <c r="M1268" s="52" t="str">
        <f>IF(N(J1268)=0,"",J1268-J1267)</f>
        <v/>
      </c>
    </row>
    <row r="1269" spans="1:13" x14ac:dyDescent="0.35">
      <c r="A1269" s="48"/>
      <c r="B1269" s="48"/>
      <c r="C1269" s="49"/>
      <c r="D1269" s="50"/>
      <c r="E1269" s="51" t="str">
        <f>IF(N(C1269)=0,"",C1269/PI()/($D$1/2)^2/$D$2*10000)</f>
        <v/>
      </c>
      <c r="F1269" s="68" t="str">
        <f t="shared" si="481"/>
        <v/>
      </c>
      <c r="G1269" s="69" t="str">
        <f t="shared" ref="G1269:G1279" si="483">IF(OR(N(D1269)=0,N(E1269)=0),"",(E1269*D1269)/1000)</f>
        <v/>
      </c>
      <c r="H1269" s="70" t="str">
        <f t="shared" si="482"/>
        <v/>
      </c>
      <c r="I1269" s="27" t="str">
        <f>IF(N(J1269)=0,"",0&amp;"-"&amp;B$5)</f>
        <v/>
      </c>
      <c r="J1269" s="52" t="str">
        <f>IF(N(B$5)=0,"",IF(AND(COUNT(H1268:H1279)=2,COUNT(F1268:F1279)=2),cubic_spline(F1267:F1269,H1267:H1269,B$5),IF(AND(COUNT(H1268:H1279)=3,COUNT(F1268:F1279)=3),cubic_spline(F1267:F1270,H1267:H1270,B$5),IF(AND(COUNT(H1268:H1279)=4,COUNT(F1268:F1279)=4),cubic_spline(F1267:F1271,H1267:H1271,B$5),IF(AND(COUNT(H1268:H1279)=5,COUNT(F1268:F1279)=5),cubic_spline(F1267:F1272,H1267:H1272,B$5),IF(AND(COUNT(H1268:H1279)=6,COUNT(F1268:F1279)=6),cubic_spline(F1267:F1273,H1267:H1273,B$5),IF(AND(COUNT(H1268:H1279)=7,COUNT(F1268:F1279)=7),cubic_spline(F1267:F1274,H1267:H1274,B$5),IF(AND(COUNT(H1268:H1279)=8,COUNT(F1268:F1279)=8),cubic_spline(F1267:F1275,H1267:H1275,B$5),IF(AND(COUNT(H1268:H1279)=9,COUNT(F1268:F1279)=9),cubic_spline(F1267:F1276,H1267:H1276,B$5),IF(AND(COUNT(H1268:H1279)=10,COUNT(F1268:F1279)=10),cubic_spline(F1267:F1277,H1267:H1277,B$5),IF(AND(COUNT(H1268:H1279)=11,COUNT(F1268:F1279)=11),cubic_spline(F1267:F1278,H1267:H1278,B$5),IF(AND(COUNT(H1268:H1279)=12,COUNT(F1268:F1279)=12),cubic_spline(F1267:F1279,H1267:H1279,B$5),""))))))))))))</f>
        <v/>
      </c>
      <c r="K1269" s="52" t="str">
        <f>IF(N(B$5)=0,"",IF(AND(COUNT(A1268:A1279)=2,COUNT(F1268:F1279)=2),cubic_spline(F1267:F1269,A1267:A1269,B$5),IF(AND(COUNT(A1268:A1279)=3,COUNT(F1268:F1279)=3),cubic_spline(F1267:F1270,A1267:A1270,B$5),IF(AND(COUNT(A1268:A1279)=4,COUNT(F1268:F1279)=4),cubic_spline(F1267:F1271,A1267:A1271,B$5),IF(AND(COUNT(A1268:A1279)=5,COUNT(F1268:F1279)=5),cubic_spline(F1267:F1272,A1267:A1272,B$5),IF(AND(COUNT(A1268:A1279)=6,COUNT(F1268:F1279)=6),cubic_spline(F1267:F1273,A1267:A1273,B$5),IF(AND(COUNT(A1268:A1279)=7,COUNT(F1268:F1279)=7),cubic_spline(F1267:F1274,A1267:A1274,B$5),IF(AND(COUNT(A1268:A1279)=8,COUNT(F1268:F1279)=8),cubic_spline(F1267:F1275,A1267:A1275,B$5),IF(AND(COUNT(A1268:A1279)=9,COUNT(F1268:F1279)=9),cubic_spline(F1267:F1276,A1267:A1276,B$5),IF(AND(COUNT(A1268:A1279)=10,COUNT(F1268:F1279)=10),cubic_spline(F1267:F1277,A1267:A1277,B$5),IF(AND(COUNT(A1268:A1279)=11,COUNT(F1268:F1279)=11),cubic_spline(F1267:F1278,A1267:A1278,B$5),IF(AND(COUNT(A1268:A1279)=12,COUNT(F1268:F1279)=12),cubic_spline(F1267:F1279,A1267:A1279,B$5),""))))))))))))</f>
        <v/>
      </c>
      <c r="L1269" s="27" t="str">
        <f>IF(I1269="","",B$4&amp;"-"&amp;B$5)</f>
        <v/>
      </c>
      <c r="M1269" s="52" t="str">
        <f>IF(N(J1269)=0,"",J1269-J1268)</f>
        <v/>
      </c>
    </row>
    <row r="1270" spans="1:13" x14ac:dyDescent="0.35">
      <c r="A1270" s="48"/>
      <c r="B1270" s="48"/>
      <c r="C1270" s="49"/>
      <c r="D1270" s="50"/>
      <c r="E1270" s="51" t="str">
        <f>IF(N(C1270)=0,"",C1270/PI()/($D$1/2)^2/$D$2*10000)</f>
        <v/>
      </c>
      <c r="F1270" s="68" t="str">
        <f t="shared" si="481"/>
        <v/>
      </c>
      <c r="G1270" s="69" t="str">
        <f t="shared" si="483"/>
        <v/>
      </c>
      <c r="H1270" s="70" t="str">
        <f t="shared" si="482"/>
        <v/>
      </c>
      <c r="I1270" s="27" t="str">
        <f>IF(N(J1270)=0,"",0&amp;"-"&amp;B$6)</f>
        <v/>
      </c>
      <c r="J1270" s="52" t="str">
        <f>IF(N(B$6)=0,"",IF(AND(COUNT(H1268:H1279)=2,COUNT(F1268:F1279)=2),cubic_spline(F1267:F1269,H1267:H1269,B$6),IF(AND(COUNT(H1268:H1279)=3,COUNT(F1268:F1279)=3),cubic_spline(F1267:F1270,H1267:H1270,B$6),IF(AND(COUNT(H1268:H1279)=4,COUNT(F1268:F1279)=4),cubic_spline(F1267:F1271,H1267:H1271,B$6),IF(AND(COUNT(H1268:H1279)=5,COUNT(F1268:F1279)=5),cubic_spline(F1267:F1272,H1267:H1272,B$6),IF(AND(COUNT(H1268:H1279)=6,COUNT(F1268:F1279)=6),cubic_spline(F1267:F1273,H1267:H1273,B$6),IF(AND(COUNT(H1268:H1279)=7,COUNT(F1268:F1279)=7),cubic_spline(F1267:F1274,H1267:H1274,B$6),IF(AND(COUNT(H1268:H1279)=8,COUNT(F1268:F1279)=8),cubic_spline(F1267:F1275,H1267:H1275,B$6),IF(AND(COUNT(H1268:H1279)=9,COUNT(F1268:F1279)=9),cubic_spline(F1267:F1276,H1267:H1276,B$6),IF(AND(COUNT(H1268:H1279)=10,COUNT(F1268:F1279)=10),cubic_spline(F1267:F1277,H1267:H1277,B$6),IF(AND(COUNT(H1268:H1279)=11,COUNT(F1268:F1279)=11),cubic_spline(F1267:F1278,H1267:H1278,B$6),IF(AND(COUNT(H1268:H1279)=12,COUNT(F1268:F1279)=12),cubic_spline(F1267:F1279,H1267:H1279,B$6),""))))))))))))</f>
        <v/>
      </c>
      <c r="K1270" s="52" t="str">
        <f>IF(N(B$6)=0,"",IF(AND(COUNT(A1268:A1279)=2,COUNT(F1268:F1279)=2),cubic_spline(F1267:F1269,A1267:A1269,B$6),IF(AND(COUNT(A1268:A1279)=3,COUNT(F1268:F1279)=3),cubic_spline(F1267:F1270,A1267:A1270,B$6),IF(AND(COUNT(A1268:A1279)=4,COUNT(F1268:F1279)=4),cubic_spline(F1267:F1271,A1267:A1271,B$6),IF(AND(COUNT(A1268:A1279)=5,COUNT(F1268:F1279)=5),cubic_spline(F1267:F1272,A1267:A1272,B$6),IF(AND(COUNT(A1268:A1279)=6,COUNT(F1268:F1279)=6),cubic_spline(F1267:F1273,A1267:A1273,B$6),IF(AND(COUNT(A1268:A1279)=7,COUNT(F1268:F1279)=7),cubic_spline(F1267:F1274,A1267:A1274,B$6),IF(AND(COUNT(A1268:A1279)=8,COUNT(F1268:F1279)=8),cubic_spline(F1267:F1275,A1267:A1275,B$6),IF(AND(COUNT(A1268:A1279)=9,COUNT(F1268:F1279)=9),cubic_spline(F1267:F1276,A1267:A1276,B$6),IF(AND(COUNT(A1268:A1279)=10,COUNT(F1268:F1279)=10),cubic_spline(F1267:F1277,A1267:A1277,B$6),IF(AND(COUNT(A1268:A1279)=11,COUNT(F1268:F1279)=11),cubic_spline(F1267:F1278,A1267:A1278,B$6),IF(AND(COUNT(A1268:A1279)=12,COUNT(F1268:F1279)=12),cubic_spline(F1267:F1279,A1267:A1279,B$6),""))))))))))))</f>
        <v/>
      </c>
      <c r="L1270" s="27" t="str">
        <f>IF(I1270="","",B$5&amp;"-"&amp;B$6)</f>
        <v/>
      </c>
      <c r="M1270" s="52" t="str">
        <f>IF(N(J1270)=0,"",J1270-J1269)</f>
        <v/>
      </c>
    </row>
    <row r="1271" spans="1:13" x14ac:dyDescent="0.35">
      <c r="A1271" s="48"/>
      <c r="B1271" s="48"/>
      <c r="C1271" s="49"/>
      <c r="D1271" s="50"/>
      <c r="E1271" s="51" t="str">
        <f>IF(N(C1271)=0,"",C1271/PI()/($D$1/2)^2/$D$2*10000)</f>
        <v/>
      </c>
      <c r="F1271" s="68" t="str">
        <f t="shared" si="481"/>
        <v/>
      </c>
      <c r="G1271" s="69" t="str">
        <f t="shared" si="483"/>
        <v/>
      </c>
      <c r="H1271" s="70" t="str">
        <f t="shared" si="482"/>
        <v/>
      </c>
      <c r="I1271" s="27" t="str">
        <f>IF(N(J1271)=0,"",0&amp;"-"&amp;B$7)</f>
        <v/>
      </c>
      <c r="J1271" s="52" t="str">
        <f>IF(N(B$7)=0,"",IF(AND(COUNT(H1268:H1279)=2,COUNT(F1268:F1279)=2),cubic_spline(F1267:F1269,H1267:H1269,B$7),IF(AND(COUNT(H1268:H1279)=3,COUNT(F1268:F1279)=3),cubic_spline(F1267:F1270,H1267:H1270,B$7),IF(AND(COUNT(H1268:H1279)=4,COUNT(F1268:F1279)=4),cubic_spline(F1267:F1271,H1267:H1271,B$7),IF(AND(COUNT(H1268:H1279)=5,COUNT(F1268:F1279)=5),cubic_spline(F1267:F1272,H1267:H1272,B$7),IF(AND(COUNT(H1268:H1279)=6,COUNT(F1268:F1279)=6),cubic_spline(F1267:F1273,H1267:H1273,B$7),IF(AND(COUNT(H1268:H1279)=7,COUNT(F1268:F1279)=7),cubic_spline(F1267:F1274,H1267:H1274,B$7),IF(AND(COUNT(H1268:H1279)=8,COUNT(F1268:F1279)=8),cubic_spline(F1267:F1275,H1267:H1275,B$7),IF(AND(COUNT(H1268:H1279)=9,COUNT(F1268:F1279)=9),cubic_spline(F1267:F1276,H1267:H1276,B$7),IF(AND(COUNT(H1268:H1279)=10,COUNT(F1268:F1279)=10),cubic_spline(F1267:F1277,H1267:H1277,B$7),IF(AND(COUNT(H1268:H1279)=11,COUNT(F1268:F1279)=11),cubic_spline(F1267:F1278,H1267:H1278,B$7),IF(AND(COUNT(H1268:H1279)=12,COUNT(F1268:F1279)=12),cubic_spline(F1267:F1279,H1267:H1279,B$7),""))))))))))))</f>
        <v/>
      </c>
      <c r="K1271" s="52" t="str">
        <f>IF(N(B$7)=0,"",IF(AND(COUNT(A1268:A1279)=2,COUNT(F1268:F1279)=2),cubic_spline(F1267:F1269,A1267:A1269,B$7),IF(AND(COUNT(A1268:A1279)=3,COUNT(F1268:F1279)=3),cubic_spline(F1267:F1270,A1267:A1270,B$7),IF(AND(COUNT(A1268:A1279)=4,COUNT(F1268:F1279)=4),cubic_spline(F1267:F1271,A1267:A1271,B$7),IF(AND(COUNT(A1268:A1279)=5,COUNT(F1268:F1279)=5),cubic_spline(F1267:F1272,A1267:A1272,B$7),IF(AND(COUNT(A1268:A1279)=6,COUNT(F1268:F1279)=6),cubic_spline(F1267:F1273,A1267:A1273,B$7),IF(AND(COUNT(A1268:A1279)=7,COUNT(F1268:F1279)=7),cubic_spline(F1267:F1274,A1267:A1274,B$7),IF(AND(COUNT(A1268:A1279)=8,COUNT(F1268:F1279)=8),cubic_spline(F1267:F1275,A1267:A1275,B$7),IF(AND(COUNT(A1268:A1279)=9,COUNT(F1268:F1279)=9),cubic_spline(F1267:F1276,A1267:A1276,B$7),IF(AND(COUNT(A1268:A1279)=10,COUNT(F1268:F1279)=10),cubic_spline(F1267:F1277,A1267:A1277,B$7),IF(AND(COUNT(A1268:A1279)=11,COUNT(F1268:F1279)=11),cubic_spline(F1267:F1278,A1267:A1278,B$7),IF(AND(COUNT(A1268:A1279)=12,COUNT(F1268:F1279)=12),cubic_spline(F1267:F1279,A1267:A1279,B$7),""))))))))))))</f>
        <v/>
      </c>
      <c r="L1271" s="27" t="str">
        <f>IF(I1271="","",B$6&amp;"-"&amp;B$7)</f>
        <v/>
      </c>
      <c r="M1271" s="52" t="str">
        <f>IF(N(J1271)=0,"",J1271-J1270)</f>
        <v/>
      </c>
    </row>
    <row r="1272" spans="1:13" x14ac:dyDescent="0.35">
      <c r="A1272" s="48"/>
      <c r="B1272" s="48"/>
      <c r="C1272" s="49"/>
      <c r="D1272" s="50"/>
      <c r="E1272" s="51" t="str">
        <f t="shared" ref="E1272:E1279" si="484">IF(N(C1272)=0,"",C1272/PI()/($D$1/2)^2/$D$2*10000)</f>
        <v/>
      </c>
      <c r="F1272" s="71" t="str">
        <f t="shared" si="481"/>
        <v/>
      </c>
      <c r="G1272" s="69" t="str">
        <f t="shared" si="483"/>
        <v/>
      </c>
      <c r="H1272" s="70" t="str">
        <f t="shared" si="482"/>
        <v/>
      </c>
      <c r="I1272" s="27" t="str">
        <f>IF(N(J1272)=0,"",0&amp;"-"&amp;B$8)</f>
        <v/>
      </c>
      <c r="J1272" s="52" t="str">
        <f>IF(N(B$8)=0,"",IF(AND(COUNT(H1268:H1279)=2,COUNT(F1268:F1279)=2),cubic_spline(F1267:F1269,H1267:H1269,B$8),IF(AND(COUNT(H1268:H1279)=3,COUNT(F1268:F1279)=3),cubic_spline(F1267:F1270,H1267:H1270,B$8),IF(AND(COUNT(H1268:H1279)=4,COUNT(F1268:F1279)=4),cubic_spline(F1267:F1271,H1267:H1271,B$8),IF(AND(COUNT(H1268:H1279)=5,COUNT(F1268:F1279)=5),cubic_spline(F1267:F1272,H1267:H1272,B$8),IF(AND(COUNT(H1268:H1279)=6,COUNT(F1268:F1279)=6),cubic_spline(F1267:F1273,H1267:H1273,B$8),IF(AND(COUNT(H1268:H1279)=7,COUNT(F1268:F1279)=7),cubic_spline(F1267:F1274,H1267:H1274,B$8),IF(AND(COUNT(H1268:H1279)=8,COUNT(F1268:F1279)=8),cubic_spline(F1267:F1275,H1267:H1275,B$8),IF(AND(COUNT(H1268:H1279)=9,COUNT(F1268:F1279)=9),cubic_spline(F1267:F1276,H1267:H1276,B$8),IF(AND(COUNT(H1268:H1279)=10,COUNT(F1268:F1279)=10),cubic_spline(F1267:F1277,H1267:H1277,B$8),IF(AND(COUNT(H1268:H1279)=11,COUNT(F1268:F1279)=11),cubic_spline(F1267:F1278,H1267:H1278,B$8),IF(AND(COUNT(H1268:H1279)=12,COUNT(F1268:F1279)=12),cubic_spline(F1267:F1279,H1267:H1279,B$8),""))))))))))))</f>
        <v/>
      </c>
      <c r="K1272" s="52" t="str">
        <f>IF(N(B$8)=0,"",IF(AND(COUNT(A1268:A1279)=2,COUNT(F1268:F1279)=2),cubic_spline(F1267:F1269,A1267:A1269,B$8),IF(AND(COUNT(A1268:A1279)=3,COUNT(F1268:F1279)=3),cubic_spline(F1267:F1270,A1267:A1270,B$8),IF(AND(COUNT(A1268:A1279)=4,COUNT(F1268:F1279)=4),cubic_spline(F1267:F1271,A1267:A1271,B$8),IF(AND(COUNT(A1268:A1279)=5,COUNT(F1268:F1279)=5),cubic_spline(F1267:F1272,A1267:A1272,B$8),IF(AND(COUNT(A1268:A1279)=6,COUNT(F1268:F1279)=6),cubic_spline(F1267:F1273,A1267:A1273,B$8),IF(AND(COUNT(A1268:A1279)=7,COUNT(F1268:F1279)=7),cubic_spline(F1267:F1274,A1267:A1274,B$8),IF(AND(COUNT(A1268:A1279)=8,COUNT(F1268:F1279)=8),cubic_spline(F1267:F1275,A1267:A1275,B$8),IF(AND(COUNT(A1268:A1279)=9,COUNT(F1268:F1279)=9),cubic_spline(F1267:F1276,A1267:A1276,B$8),IF(AND(COUNT(A1268:A1279)=10,COUNT(F1268:F1279)=10),cubic_spline(F1267:F1277,A1267:A1277,B$8),IF(AND(COUNT(A1268:A1279)=11,COUNT(F1268:F1279)=11),cubic_spline(F1267:F1278,A1267:A1278,B$8),IF(AND(COUNT(A1268:A1279)=12,COUNT(F1268:F1279)=12),cubic_spline(F1267:F1279,A1267:A1279,B$8),""))))))))))))</f>
        <v/>
      </c>
      <c r="L1272" s="27" t="str">
        <f>IF(I1272="","",B$7&amp;"-"&amp;B$8)</f>
        <v/>
      </c>
      <c r="M1272" s="52" t="str">
        <f>IF(N(J1272)=0,"",J1272-J1271)</f>
        <v/>
      </c>
    </row>
    <row r="1273" spans="1:13" x14ac:dyDescent="0.35">
      <c r="A1273" s="48"/>
      <c r="B1273" s="48"/>
      <c r="C1273" s="49"/>
      <c r="D1273" s="50"/>
      <c r="E1273" s="51" t="str">
        <f t="shared" si="484"/>
        <v/>
      </c>
      <c r="F1273" s="71" t="str">
        <f t="shared" si="481"/>
        <v/>
      </c>
      <c r="G1273" s="69" t="str">
        <f t="shared" si="483"/>
        <v/>
      </c>
      <c r="H1273" s="70" t="str">
        <f t="shared" si="482"/>
        <v/>
      </c>
      <c r="I1273" s="27" t="str">
        <f>IF(N(J1273)=0,"",0&amp;"-"&amp;B$9)</f>
        <v/>
      </c>
      <c r="J1273" s="52" t="str">
        <f>IF(N(B$9)=0,"",IF(AND(COUNT(H1268:H1279)=2,COUNT(F1268:F1279)=2),cubic_spline(F1267:F1269,H1267:H1269,B$9),IF(AND(COUNT(H1268:H1279)=3,COUNT(F1268:F1279)=3),cubic_spline(F1267:F1270,H1267:H1270,B$9),IF(AND(COUNT(H1268:H1279)=4,COUNT(F1268:F1279)=4),cubic_spline(F1267:F1271,H1267:H1271,B$9),IF(AND(COUNT(H1268:H1279)=5,COUNT(F1268:F1279)=5),cubic_spline(F1267:F1272,H1267:H1272,B$9),IF(AND(COUNT(H1268:H1279)=6,COUNT(F1268:F1279)=6),cubic_spline(F1267:F1273,H1267:H1273,B$9),IF(AND(COUNT(H1268:H1279)=7,COUNT(F1268:F1279)=7),cubic_spline(F1267:F1274,H1267:H1274,B$9),IF(AND(COUNT(H1268:H1279)=8,COUNT(F1268:F1279)=8),cubic_spline(F1267:F1275,H1267:H1275,B$9),IF(AND(COUNT(H1268:H1279)=9,COUNT(F1268:F1279)=9),cubic_spline(F1267:F1276,H1267:H1276,B$9),IF(AND(COUNT(H1268:H1279)=10,COUNT(F1268:F1279)=10),cubic_spline(F1267:F1277,H1267:H1277,B$9),IF(AND(COUNT(H1268:H1279)=11,COUNT(F1268:F1279)=11),cubic_spline(F1267:F1278,H1267:H1278,B$9),IF(AND(COUNT(H1268:H1279)=12,COUNT(F1268:F1279)=12),cubic_spline(F1267:F1279,H1267:H1279,B$9),""))))))))))))</f>
        <v/>
      </c>
      <c r="K1273" s="52" t="str">
        <f>IF(N(B$9)=0,"",IF(AND(COUNT(A1268:A1279)=2,COUNT(F1268:F1279)=2),cubic_spline(F1267:F1269,A1267:A1269,B$9),IF(AND(COUNT(A1268:A1279)=3,COUNT(F1268:F1279)=3),cubic_spline(F1267:F1270,A1267:A1270,B$9),IF(AND(COUNT(A1268:A1279)=4,COUNT(F1268:F1279)=4),cubic_spline(F1267:F1271,A1267:A1271,B$9),IF(AND(COUNT(A1268:A1279)=5,COUNT(F1268:F1279)=5),cubic_spline(F1267:F1272,A1267:A1272,B$9),IF(AND(COUNT(A1268:A1279)=6,COUNT(F1268:F1279)=6),cubic_spline(F1267:F1273,A1267:A1273,B$9),IF(AND(COUNT(A1268:A1279)=7,COUNT(F1268:F1279)=7),cubic_spline(F1267:F1274,A1267:A1274,B$9),IF(AND(COUNT(A1268:A1279)=8,COUNT(F1268:F1279)=8),cubic_spline(F1267:F1275,A1267:A1275,B$9),IF(AND(COUNT(A1268:A1279)=9,COUNT(F1268:F1279)=9),cubic_spline(F1267:F1276,A1267:A1276,B$9),IF(AND(COUNT(A1268:A1279)=10,COUNT(F1268:F1279)=10),cubic_spline(F1267:F1277,A1267:A1277,B$9),IF(AND(COUNT(A1268:A1279)=11,COUNT(F1268:F1279)=11),cubic_spline(F1267:F1278,A1267:A1278,B$9),IF(AND(COUNT(A1268:A1279)=12,COUNT(F1268:F1279)=12),cubic_spline(F1267:F1279,A1267:A1279,B$9),""))))))))))))</f>
        <v/>
      </c>
      <c r="L1273" s="27" t="str">
        <f>IF(I1273="","",B$8&amp;"-"&amp;B$9)</f>
        <v/>
      </c>
      <c r="M1273" s="52" t="str">
        <f t="shared" ref="M1273:M1279" si="485">IF(N(J1273)=0,"",J1273-J1272)</f>
        <v/>
      </c>
    </row>
    <row r="1274" spans="1:13" x14ac:dyDescent="0.35">
      <c r="A1274" s="48"/>
      <c r="B1274" s="48"/>
      <c r="C1274" s="49"/>
      <c r="D1274" s="50"/>
      <c r="E1274" s="51" t="str">
        <f t="shared" si="484"/>
        <v/>
      </c>
      <c r="F1274" s="71" t="str">
        <f t="shared" si="481"/>
        <v/>
      </c>
      <c r="G1274" s="69" t="str">
        <f t="shared" si="483"/>
        <v/>
      </c>
      <c r="H1274" s="70" t="str">
        <f t="shared" si="482"/>
        <v/>
      </c>
      <c r="I1274" s="27" t="str">
        <f>IF(N(J1274)=0,"",0&amp;"-"&amp;B$10)</f>
        <v/>
      </c>
      <c r="J1274" s="52" t="str">
        <f>IF(N(B$10)=0,"",IF(AND(COUNT(H1268:H1279)=2,COUNT(F1268:F1279)=2),cubic_spline(F1267:F1269,H1267:H1269,B$10),IF(AND(COUNT(H1268:H1279)=3,COUNT(F1268:F1279)=3),cubic_spline(F1267:F1270,H1267:H1270,B$10),IF(AND(COUNT(H1268:H1279)=4,COUNT(F1268:F1279)=4),cubic_spline(F1267:F1271,H1267:H1271,B$10),IF(AND(COUNT(H1268:H1279)=5,COUNT(F1268:F1279)=5),cubic_spline(F1267:F1272,H1267:H1272,B$10),IF(AND(COUNT(H1268:H1279)=6,COUNT(F1268:F1279)=6),cubic_spline(F1267:F1273,H1267:H1273,B$10),IF(AND(COUNT(H1268:H1279)=7,COUNT(F1268:F1279)=7),cubic_spline(F1267:F1274,H1267:H1274,B$10),IF(AND(COUNT(H1268:H1279)=8,COUNT(F1268:F1279)=8),cubic_spline(F1267:F1275,H1267:H1275,B$10),IF(AND(COUNT(H1268:H1279)=9,COUNT(F1268:F1279)=9),cubic_spline(F1267:F1276,H1267:H1276,B$10),IF(AND(COUNT(H1268:H1279)=10,COUNT(F1268:F1279)=10),cubic_spline(F1267:F1277,H1267:H1277,B$10),IF(AND(COUNT(H1268:H1279)=11,COUNT(F1268:F1279)=11),cubic_spline(F1267:F1278,H1267:H1278,B$10),IF(AND(COUNT(H1268:H1279)=12,COUNT(F1268:F1279)=12),cubic_spline(F1267:F1279,H1267:H1279,B$10),""))))))))))))</f>
        <v/>
      </c>
      <c r="K1274" s="52" t="str">
        <f>IF(N(B$10)=0,"",IF(AND(COUNT(A1268:A1279)=2,COUNT(F1268:F1279)=2),cubic_spline(F1267:F1269,A1267:A1269,B$10),IF(AND(COUNT(A1268:A1279)=3,COUNT(F1268:F1279)=3),cubic_spline(F1267:F1270,A1267:A1270,B$10),IF(AND(COUNT(A1268:A1279)=4,COUNT(F1268:F1279)=4),cubic_spline(F1267:F1271,A1267:A1271,B$10),IF(AND(COUNT(A1268:A1279)=5,COUNT(F1268:F1279)=5),cubic_spline(F1267:F1272,A1267:A1272,B$10),IF(AND(COUNT(A1268:A1279)=6,COUNT(F1268:F1279)=6),cubic_spline(F1267:F1273,A1267:A1273,B$10),IF(AND(COUNT(A1268:A1279)=7,COUNT(F1268:F1279)=7),cubic_spline(F1267:F1274,A1267:A1274,B$10),IF(AND(COUNT(A1268:A1279)=8,COUNT(F1268:F1279)=8),cubic_spline(F1267:F1275,A1267:A1275,B$10),IF(AND(COUNT(A1268:A1279)=9,COUNT(F1268:F1279)=9),cubic_spline(F1267:F1276,A1267:A1276,B$10),IF(AND(COUNT(A1268:A1279)=10,COUNT(F1268:F1279)=10),cubic_spline(F1267:F1277,A1267:A1277,B$10),IF(AND(COUNT(A1268:A1279)=11,COUNT(F1268:F1279)=11),cubic_spline(F1267:F1278,A1267:A1278,B$10),IF(AND(COUNT(A1268:A1279)=12,COUNT(F1268:F1279)=12),cubic_spline(F1267:F1279,A1267:A1279,B$10),""))))))))))))</f>
        <v/>
      </c>
      <c r="L1274" s="27" t="str">
        <f>IF(I1274="","",B$9&amp;"-"&amp;B$10)</f>
        <v/>
      </c>
      <c r="M1274" s="52" t="str">
        <f t="shared" si="485"/>
        <v/>
      </c>
    </row>
    <row r="1275" spans="1:13" x14ac:dyDescent="0.35">
      <c r="A1275" s="48"/>
      <c r="B1275" s="48"/>
      <c r="C1275" s="49"/>
      <c r="D1275" s="50"/>
      <c r="E1275" s="51" t="str">
        <f t="shared" si="484"/>
        <v/>
      </c>
      <c r="F1275" s="71" t="str">
        <f t="shared" si="481"/>
        <v/>
      </c>
      <c r="G1275" s="69" t="str">
        <f t="shared" si="483"/>
        <v/>
      </c>
      <c r="H1275" s="70" t="str">
        <f t="shared" si="482"/>
        <v/>
      </c>
      <c r="I1275" s="27" t="str">
        <f>IF(N(J1275)=0,"",0&amp;"-"&amp;B$11)</f>
        <v/>
      </c>
      <c r="J1275" s="52" t="str">
        <f>IF(N(B$11)=0,"",IF(AND(COUNT(H1268:H1279)=2,COUNT(F1268:F1279)=2),cubic_spline(F1267:F1269,H1267:H1269,B$11),IF(AND(COUNT(H1268:H1279)=3,COUNT(F1268:F1279)=3),cubic_spline(F1267:F1270,H1267:H1270,B$11),IF(AND(COUNT(H1268:H1279)=4,COUNT(F1268:F1279)=4),cubic_spline(F1267:F1271,H1267:H1271,B$11),IF(AND(COUNT(H1268:H1279)=5,COUNT(F1268:F1279)=5),cubic_spline(F1267:F1272,H1267:H1272,B$11),IF(AND(COUNT(H1268:H1279)=6,COUNT(F1268:F1279)=6),cubic_spline(F1267:F1273,H1267:H1273,B$11),IF(AND(COUNT(H1268:H1279)=7,COUNT(F1268:F1279)=7),cubic_spline(F1267:F1274,H1267:H1274,B$11),IF(AND(COUNT(H1268:H1279)=8,COUNT(F1268:F1279)=8),cubic_spline(F1267:F1275,H1267:H1275,B$11),IF(AND(COUNT(H1268:H1279)=9,COUNT(F1268:F1279)=9),cubic_spline(F1267:F1276,H1267:H1276,B$11),IF(AND(COUNT(H1268:H1279)=10,COUNT(F1268:F1279)=10),cubic_spline(F1267:F1277,H1267:H1277,B$11),IF(AND(COUNT(H1268:H1279)=11,COUNT(F1268:F1279)=11),cubic_spline(F1267:F1278,H1267:H1278,B$11),IF(AND(COUNT(H1268:H1279)=12,COUNT(F1268:F1279)=12),cubic_spline(F1267:F1279,H1267:H1279,B$11),""))))))))))))</f>
        <v/>
      </c>
      <c r="K1275" s="52" t="str">
        <f>IF(N(B$11)=0,"",IF(AND(COUNT(A1268:A1279)=2,COUNT(F1268:F1279)=2),cubic_spline(F1267:F1269,A1267:A1269,B$11),IF(AND(COUNT(A1268:A1279)=3,COUNT(F1268:F1279)=3),cubic_spline(F1267:F1270,A1267:A1270,B$11),IF(AND(COUNT(A1268:A1279)=4,COUNT(F1268:F1279)=4),cubic_spline(F1267:F1271,A1267:A1271,B$11),IF(AND(COUNT(A1268:A1279)=5,COUNT(F1268:F1279)=5),cubic_spline(F1267:F1272,A1267:A1272,B$11),IF(AND(COUNT(A1268:A1279)=6,COUNT(F1268:F1279)=6),cubic_spline(F1267:F1273,A1267:A1273,B$11),IF(AND(COUNT(A1268:A1279)=7,COUNT(F1268:F1279)=7),cubic_spline(F1267:F1274,A1267:A1274,B$11),IF(AND(COUNT(A1268:A1279)=8,COUNT(F1268:F1279)=8),cubic_spline(F1267:F1275,A1267:A1275,B$11),IF(AND(COUNT(A1268:A1279)=9,COUNT(F1268:F1279)=9),cubic_spline(F1267:F1276,A1267:A1276,B$11),IF(AND(COUNT(A1268:A1279)=10,COUNT(F1268:F1279)=10),cubic_spline(F1267:F1277,A1267:A1277,B$11),IF(AND(COUNT(A1268:A1279)=11,COUNT(F1268:F1279)=11),cubic_spline(F1267:F1278,A1267:A1278,B$11),IF(AND(COUNT(A1268:A1279)=12,COUNT(F1268:F1279)=12),cubic_spline(F1267:F1279,A1267:A1279,B$11),""))))))))))))</f>
        <v/>
      </c>
      <c r="L1275" s="27" t="str">
        <f>IF(I1275="","",B$10&amp;"-"&amp;B$11)</f>
        <v/>
      </c>
      <c r="M1275" s="52" t="str">
        <f t="shared" si="485"/>
        <v/>
      </c>
    </row>
    <row r="1276" spans="1:13" x14ac:dyDescent="0.35">
      <c r="A1276" s="48"/>
      <c r="B1276" s="48"/>
      <c r="C1276" s="49"/>
      <c r="D1276" s="50"/>
      <c r="E1276" s="51" t="str">
        <f t="shared" si="484"/>
        <v/>
      </c>
      <c r="F1276" s="71" t="str">
        <f t="shared" si="481"/>
        <v/>
      </c>
      <c r="G1276" s="69" t="str">
        <f t="shared" si="483"/>
        <v/>
      </c>
      <c r="H1276" s="70" t="str">
        <f t="shared" si="482"/>
        <v/>
      </c>
      <c r="I1276" s="27" t="str">
        <f>IF(N(J1276)=0,"",0&amp;"-"&amp;B$12)</f>
        <v/>
      </c>
      <c r="J1276" s="52" t="str">
        <f>IF(N(B$12)=0,"",IF(AND(COUNT(H1268:H1279)=2,COUNT(F1268:F1279)=2),cubic_spline(F1267:F1269,H1267:H1269,B$12),IF(AND(COUNT(H1268:H1279)=3,COUNT(F1268:F1279)=3),cubic_spline(F1267:F1270,H1267:H1270,B$12),IF(AND(COUNT(H1268:H1279)=4,COUNT(F1268:F1279)=4),cubic_spline(F1267:F1271,H1267:H1271,B$12),IF(AND(COUNT(H1268:H1279)=5,COUNT(F1268:F1279)=5),cubic_spline(F1267:F1272,H1267:H1272,B$12),IF(AND(COUNT(H1268:H1279)=6,COUNT(F1268:F1279)=6),cubic_spline(F1267:F1273,H1267:H1273,B$12),IF(AND(COUNT(H1268:H1279)=7,COUNT(F1268:F1279)=7),cubic_spline(F1267:F1274,H1267:H1274,B$12),IF(AND(COUNT(H1268:H1279)=8,COUNT(F1268:F1279)=8),cubic_spline(F1267:F1275,H1267:H1275,B$12),IF(AND(COUNT(H1268:H1279)=9,COUNT(F1268:F1279)=9),cubic_spline(F1267:F1276,H1267:H1276,B$12),IF(AND(COUNT(H1268:H1279)=10,COUNT(F1268:F1279)=10),cubic_spline(F1267:F1277,H1267:H1277,B$12),IF(AND(COUNT(H1268:H1279)=11,COUNT(F1268:F1279)=11),cubic_spline(F1267:F1278,H1267:H1278,B$12),IF(AND(COUNT(H1268:H1279)=12,COUNT(F1268:F1279)=12),cubic_spline(F1267:F1279,H1267:H1279,B$12),""))))))))))))</f>
        <v/>
      </c>
      <c r="K1276" s="52" t="str">
        <f>IF(N(B$12)=0,"",IF(AND(COUNT(A1268:A1279)=2,COUNT(F1268:F1279)=2),cubic_spline(F1267:F1269,A1267:A1269,B$12),IF(AND(COUNT(A1268:A1279)=3,COUNT(F1268:F1279)=3),cubic_spline(F1267:F1270,A1267:A1270,B$12),IF(AND(COUNT(A1268:A1279)=4,COUNT(F1268:F1279)=4),cubic_spline(F1267:F1271,A1267:A1271,B$12),IF(AND(COUNT(A1268:A1279)=5,COUNT(F1268:F1279)=5),cubic_spline(F1267:F1272,A1267:A1272,B$12),IF(AND(COUNT(A1268:A1279)=6,COUNT(F1268:F1279)=6),cubic_spline(F1267:F1273,A1267:A1273,B$12),IF(AND(COUNT(A1268:A1279)=7,COUNT(F1268:F1279)=7),cubic_spline(F1267:F1274,A1267:A1274,B$12),IF(AND(COUNT(A1268:A1279)=8,COUNT(F1268:F1279)=8),cubic_spline(F1267:F1275,A1267:A1275,B$12),IF(AND(COUNT(A1268:A1279)=9,COUNT(F1268:F1279)=9),cubic_spline(F1267:F1276,A1267:A1276,B$12),IF(AND(COUNT(A1268:A1279)=10,COUNT(F1268:F1279)=10),cubic_spline(F1267:F1277,A1267:A1277,B$12),IF(AND(COUNT(A1268:A1279)=11,COUNT(F1268:F1279)=11),cubic_spline(F1267:F1278,A1267:A1278,B$12),IF(AND(COUNT(A1268:A1279)=12,COUNT(F1268:F1279)=12),cubic_spline(F1267:F1279,A1267:A1279,B$12),""))))))))))))</f>
        <v/>
      </c>
      <c r="L1276" s="27" t="str">
        <f>IF(I1276="","",B$11&amp;"-"&amp;B$12)</f>
        <v/>
      </c>
      <c r="M1276" s="52" t="str">
        <f t="shared" si="485"/>
        <v/>
      </c>
    </row>
    <row r="1277" spans="1:13" x14ac:dyDescent="0.35">
      <c r="A1277" s="48"/>
      <c r="B1277" s="48"/>
      <c r="C1277" s="49"/>
      <c r="D1277" s="50"/>
      <c r="E1277" s="51" t="str">
        <f t="shared" si="484"/>
        <v/>
      </c>
      <c r="F1277" s="71" t="str">
        <f t="shared" si="481"/>
        <v/>
      </c>
      <c r="G1277" s="69" t="str">
        <f t="shared" si="483"/>
        <v/>
      </c>
      <c r="H1277" s="70" t="str">
        <f t="shared" si="482"/>
        <v/>
      </c>
      <c r="I1277" s="27" t="str">
        <f>IF(N(J1277)=0,"",0&amp;"-"&amp;B$13)</f>
        <v/>
      </c>
      <c r="J1277" s="52" t="str">
        <f>IF(N(B$13)=0,"",IF(AND(COUNT(H1268:H1279)=2,COUNT(F1268:F1279)=2),cubic_spline(F1267:F1269,H1267:H1269,B$13),IF(AND(COUNT(H1268:H1279)=3,COUNT(F1268:F1279)=3),cubic_spline(F1267:F1270,H1267:H1270,B$13),IF(AND(COUNT(H1268:H1279)=4,COUNT(F1268:F1279)=4),cubic_spline(F1267:F1271,H1267:H1271,B$13),IF(AND(COUNT(H1268:H1279)=5,COUNT(F1268:F1279)=5),cubic_spline(F1267:F1272,H1267:H1272,B$13),IF(AND(COUNT(H1268:H1279)=6,COUNT(F1268:F1279)=6),cubic_spline(F1267:F1273,H1267:H1273,B$13),IF(AND(COUNT(H1268:H1279)=7,COUNT(F1268:F1279)=7),cubic_spline(F1267:F1274,H1267:H1274,B$13),IF(AND(COUNT(H1268:H1279)=8,COUNT(F1268:F1279)=8),cubic_spline(F1267:F1275,H1267:H1275,B$13),IF(AND(COUNT(H1268:H1279)=9,COUNT(F1268:F1279)=9),cubic_spline(F1267:F1276,H1267:H1276,B$13),IF(AND(COUNT(H1268:H1279)=10,COUNT(F1268:F1279)=10),cubic_spline(F1267:F1277,H1267:H1277,B$13),IF(AND(COUNT(H1268:H1279)=11,COUNT(F1268:F1279)=11),cubic_spline(F1267:F1278,H1267:H1278,B$13),IF(AND(COUNT(H1268:H1279)=12,COUNT(F1268:F1279)=12),cubic_spline(F1267:F1279,H1267:H1279,B$13),""))))))))))))</f>
        <v/>
      </c>
      <c r="K1277" s="52" t="str">
        <f>IF(N(B$13)=0,"",IF(AND(COUNT(A1268:A1279)=2,COUNT(F1268:F1279)=2),cubic_spline(F1267:F1269,A1267:A1269,B$13),IF(AND(COUNT(A1268:A1279)=3,COUNT(F1268:F1279)=3),cubic_spline(F1267:F1270,A1267:A1270,B$13),IF(AND(COUNT(A1268:A1279)=4,COUNT(F1268:F1279)=4),cubic_spline(F1267:F1271,A1267:A1271,B$13),IF(AND(COUNT(A1268:A1279)=5,COUNT(F1268:F1279)=5),cubic_spline(F1267:F1272,A1267:A1272,B$13),IF(AND(COUNT(A1268:A1279)=6,COUNT(F1268:F1279)=6),cubic_spline(F1267:F1273,A1267:A1273,B$13),IF(AND(COUNT(A1268:A1279)=7,COUNT(F1268:F1279)=7),cubic_spline(F1267:F1274,A1267:A1274,B$13),IF(AND(COUNT(A1268:A1279)=8,COUNT(F1268:F1279)=8),cubic_spline(F1267:F1275,A1267:A1275,B$13),IF(AND(COUNT(A1268:A1279)=9,COUNT(F1268:F1279)=9),cubic_spline(F1267:F1276,A1267:A1276,B$13),IF(AND(COUNT(A1268:A1279)=10,COUNT(F1268:F1279)=10),cubic_spline(F1267:F1277,A1267:A1277,B$13),IF(AND(COUNT(A1268:A1279)=11,COUNT(F1268:F1279)=11),cubic_spline(F1267:F1278,A1267:A1278,B$13),IF(AND(COUNT(A1268:A1279)=12,COUNT(F1268:F1279)=12),cubic_spline(F1267:F1279,A1267:A1279,B$13),""))))))))))))</f>
        <v/>
      </c>
      <c r="L1277" s="27" t="str">
        <f>IF(I1277="","",B$12&amp;"-"&amp;B$13)</f>
        <v/>
      </c>
      <c r="M1277" s="52" t="str">
        <f t="shared" si="485"/>
        <v/>
      </c>
    </row>
    <row r="1278" spans="1:13" x14ac:dyDescent="0.35">
      <c r="A1278" s="48"/>
      <c r="B1278" s="48"/>
      <c r="C1278" s="49"/>
      <c r="D1278" s="50"/>
      <c r="E1278" s="51" t="str">
        <f t="shared" si="484"/>
        <v/>
      </c>
      <c r="F1278" s="71" t="str">
        <f t="shared" si="481"/>
        <v/>
      </c>
      <c r="G1278" s="69" t="str">
        <f t="shared" si="483"/>
        <v/>
      </c>
      <c r="H1278" s="70" t="str">
        <f t="shared" si="482"/>
        <v/>
      </c>
      <c r="I1278" s="27" t="str">
        <f>IF(N(J1278)=0,"",0&amp;"-"&amp;B$14)</f>
        <v/>
      </c>
      <c r="J1278" s="52" t="str">
        <f>IF(N(B$14)=0,"",IF(AND(COUNT(H1268:H1279)=2,COUNT(F1268:F1279)=2),cubic_spline(F1267:F1269,H1267:H1269,B$14),IF(AND(COUNT(H1268:H1279)=3,COUNT(F1268:F1279)=3),cubic_spline(F1267:F1270,H1267:H1270,B$14),IF(AND(COUNT(H1268:H1279)=4,COUNT(F1268:F1279)=4),cubic_spline(F1267:F1271,H1267:H1271,B$14),IF(AND(COUNT(H1268:H1279)=5,COUNT(F1268:F1279)=5),cubic_spline(F1267:F1272,H1267:H1272,B$14),IF(AND(COUNT(H1268:H1279)=6,COUNT(F1268:F1279)=6),cubic_spline(F1267:F1273,H1267:H1273,B$14),IF(AND(COUNT(H1268:H1279)=7,COUNT(F1268:F1279)=7),cubic_spline(F1267:F1274,H1267:H1274,B$14),IF(AND(COUNT(H1268:H1279)=8,COUNT(F1268:F1279)=8),cubic_spline(F1267:F1275,H1267:H1275,B$14),IF(AND(COUNT(H1268:H1279)=9,COUNT(F1268:F1279)=9),cubic_spline(F1267:F1276,H1267:H1276,B$14),IF(AND(COUNT(H1268:H1279)=10,COUNT(F1268:F1279)=10),cubic_spline(F1267:F1277,H1267:H1277,B$14),IF(AND(COUNT(H1268:H1279)=11,COUNT(F1268:F1279)=11),cubic_spline(F1267:F1278,H1267:H1278,B$14),IF(AND(COUNT(H1268:H1279)=12,COUNT(F1268:F1279)=12),cubic_spline(F1267:F1279,H1267:H1279,B$14),""))))))))))))</f>
        <v/>
      </c>
      <c r="K1278" s="52" t="str">
        <f>IF(N(B$14)=0,"",IF(AND(COUNT(A1268:A1279)=2,COUNT(F1268:F1279)=2),cubic_spline(F1267:F1269,A1267:A1269,B$14),IF(AND(COUNT(A1268:A1279)=3,COUNT(F1268:F1279)=3),cubic_spline(F1267:F1270,A1267:A1270,B$14),IF(AND(COUNT(A1268:A1279)=4,COUNT(F1268:F1279)=4),cubic_spline(F1267:F1271,A1267:A1271,B$14),IF(AND(COUNT(A1268:A1279)=5,COUNT(F1268:F1279)=5),cubic_spline(F1267:F1272,A1267:A1272,B$14),IF(AND(COUNT(A1268:A1279)=6,COUNT(F1268:F1279)=6),cubic_spline(F1267:F1273,A1267:A1273,B$14),IF(AND(COUNT(A1268:A1279)=7,COUNT(F1268:F1279)=7),cubic_spline(F1267:F1274,A1267:A1274,B$14),IF(AND(COUNT(A1268:A1279)=8,COUNT(F1268:F1279)=8),cubic_spline(F1267:F1275,A1267:A1275,B$14),IF(AND(COUNT(A1268:A1279)=9,COUNT(F1268:F1279)=9),cubic_spline(F1267:F1276,A1267:A1276,B$14),IF(AND(COUNT(A1268:A1279)=10,COUNT(F1268:F1279)=10),cubic_spline(F1267:F1277,A1267:A1277,B$14),IF(AND(COUNT(A1268:A1279)=11,COUNT(F1268:F1279)=11),cubic_spline(F1267:F1278,A1267:A1278,B$14),IF(AND(COUNT(A1268:A1279)=12,COUNT(F1268:F1279)=12),cubic_spline(F1267:F1279,A1267:A1279,B$14),""))))))))))))</f>
        <v/>
      </c>
      <c r="L1278" s="27" t="str">
        <f>IF(I1278="","",B$13&amp;"-"&amp;B$14)</f>
        <v/>
      </c>
      <c r="M1278" s="52" t="str">
        <f t="shared" si="485"/>
        <v/>
      </c>
    </row>
    <row r="1279" spans="1:13" x14ac:dyDescent="0.35">
      <c r="A1279" s="48"/>
      <c r="B1279" s="48"/>
      <c r="C1279" s="49"/>
      <c r="D1279" s="50"/>
      <c r="E1279" s="51" t="str">
        <f t="shared" si="484"/>
        <v/>
      </c>
      <c r="F1279" s="71" t="str">
        <f t="shared" si="481"/>
        <v/>
      </c>
      <c r="G1279" s="69" t="str">
        <f t="shared" si="483"/>
        <v/>
      </c>
      <c r="H1279" s="70" t="str">
        <f t="shared" si="482"/>
        <v/>
      </c>
      <c r="I1279" s="27" t="str">
        <f>IF(N(J1279)=0,"",0&amp;"-"&amp;B$15)</f>
        <v/>
      </c>
      <c r="J1279" s="52" t="str">
        <f>IF(N(B$15)=0,"",IF(AND(COUNT(H1268:H1279)=2,COUNT(F1268:F1279)=2),cubic_spline(F1267:F1269,H1267:H1269,B$15),IF(AND(COUNT(H1268:H1279)=3,COUNT(F1268:F1279)=3),cubic_spline(F1267:F1270,H1267:H1270,B$15),IF(AND(COUNT(H1268:H1279)=4,COUNT(F1268:F1279)=4),cubic_spline(F1267:F1271,H1267:H1271,B$15),IF(AND(COUNT(H1268:H1279)=5,COUNT(F1268:F1279)=5),cubic_spline(F1267:F1272,H1267:H1272,B$15),IF(AND(COUNT(H1268:H1279)=6,COUNT(F1268:F1279)=6),cubic_spline(F1267:F1273,H1267:H1273,B$15),IF(AND(COUNT(H1268:H1279)=7,COUNT(F1268:F1279)=7),cubic_spline(F1267:F1274,H1267:H1274,B$15),IF(AND(COUNT(H1268:H1279)=8,COUNT(F1268:F1279)=8),cubic_spline(F1267:F1275,H1267:H1275,B$15),IF(AND(COUNT(H1268:H1279)=9,COUNT(F1268:F1279)=9),cubic_spline(F1267:F1276,H1267:H1276,B$15),IF(AND(COUNT(H1268:H1279)=10,COUNT(F1268:F1279)=10),cubic_spline(F1267:F1277,H1267:H1277,B$15),IF(AND(COUNT(H1268:H1279)=11,COUNT(F1268:F1279)=11),cubic_spline(F1267:F1278,H1267:H1278,B$15),IF(AND(COUNT(H1268:H1279)=12,COUNT(F1268:F1279)=12),cubic_spline(F1267:F1279,H1267:H1279,B$15),""))))))))))))</f>
        <v/>
      </c>
      <c r="K1279" s="52" t="str">
        <f>IF(N(B$15)=0,"",IF(AND(COUNT(A1268:A1279)=2,COUNT(F1268:F1279)=2),cubic_spline(F1267:F1269,A1267:A1269,B$15),IF(AND(COUNT(A1268:A1279)=3,COUNT(F1268:F1279)=3),cubic_spline(F1267:F1270,A1267:A1270,B$15),IF(AND(COUNT(A1268:A1279)=4,COUNT(F1268:F1279)=4),cubic_spline(F1267:F1271,A1267:A1271,B$15),IF(AND(COUNT(A1268:A1279)=5,COUNT(F1268:F1279)=5),cubic_spline(F1267:F1272,A1267:A1272,B$15),IF(AND(COUNT(A1268:A1279)=6,COUNT(F1268:F1279)=6),cubic_spline(F1267:F1273,A1267:A1273,B$15),IF(AND(COUNT(A1268:A1279)=7,COUNT(F1268:F1279)=7),cubic_spline(F1267:F1274,A1267:A1274,B$15),IF(AND(COUNT(A1268:A1279)=8,COUNT(F1268:F1279)=8),cubic_spline(F1267:F1275,A1267:A1275,B$15),IF(AND(COUNT(A1268:A1279)=9,COUNT(F1268:F1279)=9),cubic_spline(F1267:F1276,A1267:A1276,B$15),IF(AND(COUNT(A1268:A1279)=10,COUNT(F1268:F1279)=10),cubic_spline(F1267:F1277,A1267:A1277,B$15),IF(AND(COUNT(A1268:A1279)=11,COUNT(F1268:F1279)=11),cubic_spline(F1267:F1278,A1267:A1278,B$15),IF(AND(COUNT(A1268:A1279)=12,COUNT(F1268:F1279)=12),cubic_spline(F1267:F1279,A1267:A1279,B$15),""))))))))))))</f>
        <v/>
      </c>
      <c r="L1279" s="27" t="str">
        <f>IF(I1279="","",B$14&amp;"-"&amp;B$15)</f>
        <v/>
      </c>
      <c r="M1279" s="52" t="str">
        <f t="shared" si="485"/>
        <v/>
      </c>
    </row>
    <row r="1280" spans="1:13" ht="5.15" customHeight="1" x14ac:dyDescent="0.35">
      <c r="A1280" s="47"/>
      <c r="B1280" s="47"/>
      <c r="C1280" s="47"/>
      <c r="D1280" s="53"/>
      <c r="E1280" s="54"/>
      <c r="F1280" s="55"/>
      <c r="G1280" s="72"/>
      <c r="H1280" s="73"/>
      <c r="I1280" s="47"/>
      <c r="J1280" s="57"/>
      <c r="K1280" s="57"/>
      <c r="L1280" s="55"/>
      <c r="M1280" s="57"/>
    </row>
    <row r="1281" spans="1:13" x14ac:dyDescent="0.35">
      <c r="A1281" s="48"/>
      <c r="B1281" s="48"/>
      <c r="C1281" s="49"/>
      <c r="D1281" s="50"/>
      <c r="E1281" s="51" t="str">
        <f>IF(N(C1281)=0,"",C1281/PI()/($D$1/2)^2/$D$2*10000)</f>
        <v/>
      </c>
      <c r="F1281" s="68" t="str">
        <f t="shared" ref="F1281:F1292" si="486">IF(N(E1281)=0,"",(N(E1281)+N(F1280)))</f>
        <v/>
      </c>
      <c r="G1281" s="69" t="str">
        <f>IF(OR(N(D1281)=0,N(E1281)=0),"",(E1281*D1281)/1000)</f>
        <v/>
      </c>
      <c r="H1281" s="70" t="str">
        <f t="shared" ref="H1281:H1292" si="487">IF(N(G1281)=0,"",(N(G1281)+N(H1280)))</f>
        <v/>
      </c>
      <c r="I1281" s="27" t="str">
        <f>IF(N(J1281)=0,"",0&amp;"-"&amp;B$4)</f>
        <v/>
      </c>
      <c r="J1281" s="52" t="str">
        <f>IF(N(B$4)=0,"",IF(AND(COUNT(H1281:H1292)=2,COUNT(F1281:F1292)=2),cubic_spline(F1280:F1282,H1280:H1282,B$4),IF(AND(COUNT(H1281:H1292)=3,COUNT(F1281:F1292)=3),cubic_spline(F1280:F1283,H1280:H1283,B$4),IF(AND(COUNT(H1281:H1292)=4,COUNT(F1281:F1292)=4),cubic_spline(F1280:F1284,H1280:H1284,B$4),IF(AND(COUNT(H1281:H1292)=5,COUNT(F1281:F1292)=5),cubic_spline(F1280:F1285,H1280:H1285,B$4),IF(AND(COUNT(H1281:H1292)=6,COUNT(F1281:F1292)=6),cubic_spline(F1280:F1286,H1280:H1286,B$4),IF(AND(COUNT(H1281:H1292)=7,COUNT(F1281:F1292)=7),cubic_spline(F1280:F1287,H1280:H1287,B$4),IF(AND(COUNT(H1281:H1292)=8,COUNT(F1281:F1292)=8),cubic_spline(F1280:F1288,H1280:H1288,B$4),IF(AND(COUNT(H1281:H1292)=9,COUNT(F1281:F1292)=9),cubic_spline(F1280:F1289,H1280:H1289,B$4),IF(AND(COUNT(H1281:H1292)=10,COUNT(F1281:F1292)=10),cubic_spline(F1280:F1290,H1280:H1290,B$4),IF(AND(COUNT(H1281:H1292)=11,COUNT(F1281:F1292)=11),cubic_spline(F1280:F1291,H1280:H1291,B$4),IF(AND(COUNT(H1281:H1292)=12,COUNT(F1281:F1292)=12),cubic_spline(F1280:F1292,H1280:H1292,B$4),""))))))))))))</f>
        <v/>
      </c>
      <c r="K1281" s="52" t="str">
        <f>IF(N(B$4)=0,"",IF(AND(COUNT(A1281:A1292)=2,COUNT(F1281:F1292)=2),cubic_spline(F1280:F1282,A1280:A1282,B$4),IF(AND(COUNT(A1281:A1292)=3,COUNT(F1281:F1292)=3),cubic_spline(F1280:F1283,A1280:A1283,B$4),IF(AND(COUNT(A1281:A1292)=4,COUNT(F1281:F1292)=4),cubic_spline(F1280:F1284,A1280:A1284,B$4),IF(AND(COUNT(A1281:A1292)=5,COUNT(F1281:F1292)=5),cubic_spline(F1280:F1285,A1280:A1285,B$4),IF(AND(COUNT(A1281:A1292)=6,COUNT(F1281:F1292)=6),cubic_spline(F1280:F1286,A1280:A1286,B$4),IF(AND(COUNT(A1281:A1292)=7,COUNT(F1281:F1292)=7),cubic_spline(F1280:F1287,A1280:A1287,B$4),IF(AND(COUNT(A1281:A1292)=8,COUNT(F1281:F1292)=8),cubic_spline(F1280:F1288,A1280:A1288,B$4),IF(AND(COUNT(A1281:A1292)=9,COUNT(F1281:F1292)=9),cubic_spline(F1280:F1289,A1280:A1289,B$4),IF(AND(COUNT(A1281:A1292)=10,COUNT(F1281:F1292)=10),cubic_spline(F1280:F1290,A1280:A1290,B$4),IF(AND(COUNT(A1281:A1292)=11,COUNT(F1281:F1292)=11),cubic_spline(F1280:F1291,A1280:A1291,B$4),IF(AND(COUNT(A1281:A1292)=12,COUNT(F1281:F1292)=12),cubic_spline(F1280:F1292,A1280:A1292,B$4),""))))))))))))</f>
        <v/>
      </c>
      <c r="L1281" s="27" t="str">
        <f>IF(I1281="","",0&amp;"-"&amp;B$4)</f>
        <v/>
      </c>
      <c r="M1281" s="52" t="str">
        <f>IF(N(J1281)=0,"",J1281-J1280)</f>
        <v/>
      </c>
    </row>
    <row r="1282" spans="1:13" x14ac:dyDescent="0.35">
      <c r="A1282" s="48"/>
      <c r="B1282" s="48"/>
      <c r="C1282" s="49"/>
      <c r="D1282" s="50"/>
      <c r="E1282" s="51" t="str">
        <f>IF(N(C1282)=0,"",C1282/PI()/($D$1/2)^2/$D$2*10000)</f>
        <v/>
      </c>
      <c r="F1282" s="68" t="str">
        <f t="shared" si="486"/>
        <v/>
      </c>
      <c r="G1282" s="69" t="str">
        <f t="shared" ref="G1282:G1292" si="488">IF(OR(N(D1282)=0,N(E1282)=0),"",(E1282*D1282)/1000)</f>
        <v/>
      </c>
      <c r="H1282" s="70" t="str">
        <f t="shared" si="487"/>
        <v/>
      </c>
      <c r="I1282" s="27" t="str">
        <f>IF(N(J1282)=0,"",0&amp;"-"&amp;B$5)</f>
        <v/>
      </c>
      <c r="J1282" s="52" t="str">
        <f>IF(N(B$5)=0,"",IF(AND(COUNT(H1281:H1292)=2,COUNT(F1281:F1292)=2),cubic_spline(F1280:F1282,H1280:H1282,B$5),IF(AND(COUNT(H1281:H1292)=3,COUNT(F1281:F1292)=3),cubic_spline(F1280:F1283,H1280:H1283,B$5),IF(AND(COUNT(H1281:H1292)=4,COUNT(F1281:F1292)=4),cubic_spline(F1280:F1284,H1280:H1284,B$5),IF(AND(COUNT(H1281:H1292)=5,COUNT(F1281:F1292)=5),cubic_spline(F1280:F1285,H1280:H1285,B$5),IF(AND(COUNT(H1281:H1292)=6,COUNT(F1281:F1292)=6),cubic_spline(F1280:F1286,H1280:H1286,B$5),IF(AND(COUNT(H1281:H1292)=7,COUNT(F1281:F1292)=7),cubic_spline(F1280:F1287,H1280:H1287,B$5),IF(AND(COUNT(H1281:H1292)=8,COUNT(F1281:F1292)=8),cubic_spline(F1280:F1288,H1280:H1288,B$5),IF(AND(COUNT(H1281:H1292)=9,COUNT(F1281:F1292)=9),cubic_spline(F1280:F1289,H1280:H1289,B$5),IF(AND(COUNT(H1281:H1292)=10,COUNT(F1281:F1292)=10),cubic_spline(F1280:F1290,H1280:H1290,B$5),IF(AND(COUNT(H1281:H1292)=11,COUNT(F1281:F1292)=11),cubic_spline(F1280:F1291,H1280:H1291,B$5),IF(AND(COUNT(H1281:H1292)=12,COUNT(F1281:F1292)=12),cubic_spline(F1280:F1292,H1280:H1292,B$5),""))))))))))))</f>
        <v/>
      </c>
      <c r="K1282" s="52" t="str">
        <f>IF(N(B$5)=0,"",IF(AND(COUNT(A1281:A1292)=2,COUNT(F1281:F1292)=2),cubic_spline(F1280:F1282,A1280:A1282,B$5),IF(AND(COUNT(A1281:A1292)=3,COUNT(F1281:F1292)=3),cubic_spline(F1280:F1283,A1280:A1283,B$5),IF(AND(COUNT(A1281:A1292)=4,COUNT(F1281:F1292)=4),cubic_spline(F1280:F1284,A1280:A1284,B$5),IF(AND(COUNT(A1281:A1292)=5,COUNT(F1281:F1292)=5),cubic_spline(F1280:F1285,A1280:A1285,B$5),IF(AND(COUNT(A1281:A1292)=6,COUNT(F1281:F1292)=6),cubic_spline(F1280:F1286,A1280:A1286,B$5),IF(AND(COUNT(A1281:A1292)=7,COUNT(F1281:F1292)=7),cubic_spline(F1280:F1287,A1280:A1287,B$5),IF(AND(COUNT(A1281:A1292)=8,COUNT(F1281:F1292)=8),cubic_spline(F1280:F1288,A1280:A1288,B$5),IF(AND(COUNT(A1281:A1292)=9,COUNT(F1281:F1292)=9),cubic_spline(F1280:F1289,A1280:A1289,B$5),IF(AND(COUNT(A1281:A1292)=10,COUNT(F1281:F1292)=10),cubic_spline(F1280:F1290,A1280:A1290,B$5),IF(AND(COUNT(A1281:A1292)=11,COUNT(F1281:F1292)=11),cubic_spline(F1280:F1291,A1280:A1291,B$5),IF(AND(COUNT(A1281:A1292)=12,COUNT(F1281:F1292)=12),cubic_spline(F1280:F1292,A1280:A1292,B$5),""))))))))))))</f>
        <v/>
      </c>
      <c r="L1282" s="27" t="str">
        <f>IF(I1282="","",B$4&amp;"-"&amp;B$5)</f>
        <v/>
      </c>
      <c r="M1282" s="52" t="str">
        <f>IF(N(J1282)=0,"",J1282-J1281)</f>
        <v/>
      </c>
    </row>
    <row r="1283" spans="1:13" x14ac:dyDescent="0.35">
      <c r="A1283" s="48"/>
      <c r="B1283" s="48"/>
      <c r="C1283" s="49"/>
      <c r="D1283" s="50"/>
      <c r="E1283" s="51" t="str">
        <f>IF(N(C1283)=0,"",C1283/PI()/($D$1/2)^2/$D$2*10000)</f>
        <v/>
      </c>
      <c r="F1283" s="68" t="str">
        <f t="shared" si="486"/>
        <v/>
      </c>
      <c r="G1283" s="69" t="str">
        <f t="shared" si="488"/>
        <v/>
      </c>
      <c r="H1283" s="70" t="str">
        <f t="shared" si="487"/>
        <v/>
      </c>
      <c r="I1283" s="27" t="str">
        <f>IF(N(J1283)=0,"",0&amp;"-"&amp;B$6)</f>
        <v/>
      </c>
      <c r="J1283" s="52" t="str">
        <f>IF(N(B$6)=0,"",IF(AND(COUNT(H1281:H1292)=2,COUNT(F1281:F1292)=2),cubic_spline(F1280:F1282,H1280:H1282,B$6),IF(AND(COUNT(H1281:H1292)=3,COUNT(F1281:F1292)=3),cubic_spline(F1280:F1283,H1280:H1283,B$6),IF(AND(COUNT(H1281:H1292)=4,COUNT(F1281:F1292)=4),cubic_spline(F1280:F1284,H1280:H1284,B$6),IF(AND(COUNT(H1281:H1292)=5,COUNT(F1281:F1292)=5),cubic_spline(F1280:F1285,H1280:H1285,B$6),IF(AND(COUNT(H1281:H1292)=6,COUNT(F1281:F1292)=6),cubic_spline(F1280:F1286,H1280:H1286,B$6),IF(AND(COUNT(H1281:H1292)=7,COUNT(F1281:F1292)=7),cubic_spline(F1280:F1287,H1280:H1287,B$6),IF(AND(COUNT(H1281:H1292)=8,COUNT(F1281:F1292)=8),cubic_spline(F1280:F1288,H1280:H1288,B$6),IF(AND(COUNT(H1281:H1292)=9,COUNT(F1281:F1292)=9),cubic_spline(F1280:F1289,H1280:H1289,B$6),IF(AND(COUNT(H1281:H1292)=10,COUNT(F1281:F1292)=10),cubic_spline(F1280:F1290,H1280:H1290,B$6),IF(AND(COUNT(H1281:H1292)=11,COUNT(F1281:F1292)=11),cubic_spline(F1280:F1291,H1280:H1291,B$6),IF(AND(COUNT(H1281:H1292)=12,COUNT(F1281:F1292)=12),cubic_spline(F1280:F1292,H1280:H1292,B$6),""))))))))))))</f>
        <v/>
      </c>
      <c r="K1283" s="52" t="str">
        <f>IF(N(B$6)=0,"",IF(AND(COUNT(A1281:A1292)=2,COUNT(F1281:F1292)=2),cubic_spline(F1280:F1282,A1280:A1282,B$6),IF(AND(COUNT(A1281:A1292)=3,COUNT(F1281:F1292)=3),cubic_spline(F1280:F1283,A1280:A1283,B$6),IF(AND(COUNT(A1281:A1292)=4,COUNT(F1281:F1292)=4),cubic_spline(F1280:F1284,A1280:A1284,B$6),IF(AND(COUNT(A1281:A1292)=5,COUNT(F1281:F1292)=5),cubic_spline(F1280:F1285,A1280:A1285,B$6),IF(AND(COUNT(A1281:A1292)=6,COUNT(F1281:F1292)=6),cubic_spline(F1280:F1286,A1280:A1286,B$6),IF(AND(COUNT(A1281:A1292)=7,COUNT(F1281:F1292)=7),cubic_spline(F1280:F1287,A1280:A1287,B$6),IF(AND(COUNT(A1281:A1292)=8,COUNT(F1281:F1292)=8),cubic_spline(F1280:F1288,A1280:A1288,B$6),IF(AND(COUNT(A1281:A1292)=9,COUNT(F1281:F1292)=9),cubic_spline(F1280:F1289,A1280:A1289,B$6),IF(AND(COUNT(A1281:A1292)=10,COUNT(F1281:F1292)=10),cubic_spline(F1280:F1290,A1280:A1290,B$6),IF(AND(COUNT(A1281:A1292)=11,COUNT(F1281:F1292)=11),cubic_spline(F1280:F1291,A1280:A1291,B$6),IF(AND(COUNT(A1281:A1292)=12,COUNT(F1281:F1292)=12),cubic_spline(F1280:F1292,A1280:A1292,B$6),""))))))))))))</f>
        <v/>
      </c>
      <c r="L1283" s="27" t="str">
        <f>IF(I1283="","",B$5&amp;"-"&amp;B$6)</f>
        <v/>
      </c>
      <c r="M1283" s="52" t="str">
        <f>IF(N(J1283)=0,"",J1283-J1282)</f>
        <v/>
      </c>
    </row>
    <row r="1284" spans="1:13" x14ac:dyDescent="0.35">
      <c r="A1284" s="48"/>
      <c r="B1284" s="48"/>
      <c r="C1284" s="49"/>
      <c r="D1284" s="50"/>
      <c r="E1284" s="51" t="str">
        <f>IF(N(C1284)=0,"",C1284/PI()/($D$1/2)^2/$D$2*10000)</f>
        <v/>
      </c>
      <c r="F1284" s="68" t="str">
        <f t="shared" si="486"/>
        <v/>
      </c>
      <c r="G1284" s="69" t="str">
        <f t="shared" si="488"/>
        <v/>
      </c>
      <c r="H1284" s="70" t="str">
        <f t="shared" si="487"/>
        <v/>
      </c>
      <c r="I1284" s="27" t="str">
        <f>IF(N(J1284)=0,"",0&amp;"-"&amp;B$7)</f>
        <v/>
      </c>
      <c r="J1284" s="52" t="str">
        <f>IF(N(B$7)=0,"",IF(AND(COUNT(H1281:H1292)=2,COUNT(F1281:F1292)=2),cubic_spline(F1280:F1282,H1280:H1282,B$7),IF(AND(COUNT(H1281:H1292)=3,COUNT(F1281:F1292)=3),cubic_spline(F1280:F1283,H1280:H1283,B$7),IF(AND(COUNT(H1281:H1292)=4,COUNT(F1281:F1292)=4),cubic_spline(F1280:F1284,H1280:H1284,B$7),IF(AND(COUNT(H1281:H1292)=5,COUNT(F1281:F1292)=5),cubic_spline(F1280:F1285,H1280:H1285,B$7),IF(AND(COUNT(H1281:H1292)=6,COUNT(F1281:F1292)=6),cubic_spline(F1280:F1286,H1280:H1286,B$7),IF(AND(COUNT(H1281:H1292)=7,COUNT(F1281:F1292)=7),cubic_spline(F1280:F1287,H1280:H1287,B$7),IF(AND(COUNT(H1281:H1292)=8,COUNT(F1281:F1292)=8),cubic_spline(F1280:F1288,H1280:H1288,B$7),IF(AND(COUNT(H1281:H1292)=9,COUNT(F1281:F1292)=9),cubic_spline(F1280:F1289,H1280:H1289,B$7),IF(AND(COUNT(H1281:H1292)=10,COUNT(F1281:F1292)=10),cubic_spline(F1280:F1290,H1280:H1290,B$7),IF(AND(COUNT(H1281:H1292)=11,COUNT(F1281:F1292)=11),cubic_spline(F1280:F1291,H1280:H1291,B$7),IF(AND(COUNT(H1281:H1292)=12,COUNT(F1281:F1292)=12),cubic_spline(F1280:F1292,H1280:H1292,B$7),""))))))))))))</f>
        <v/>
      </c>
      <c r="K1284" s="52" t="str">
        <f>IF(N(B$7)=0,"",IF(AND(COUNT(A1281:A1292)=2,COUNT(F1281:F1292)=2),cubic_spline(F1280:F1282,A1280:A1282,B$7),IF(AND(COUNT(A1281:A1292)=3,COUNT(F1281:F1292)=3),cubic_spline(F1280:F1283,A1280:A1283,B$7),IF(AND(COUNT(A1281:A1292)=4,COUNT(F1281:F1292)=4),cubic_spline(F1280:F1284,A1280:A1284,B$7),IF(AND(COUNT(A1281:A1292)=5,COUNT(F1281:F1292)=5),cubic_spline(F1280:F1285,A1280:A1285,B$7),IF(AND(COUNT(A1281:A1292)=6,COUNT(F1281:F1292)=6),cubic_spline(F1280:F1286,A1280:A1286,B$7),IF(AND(COUNT(A1281:A1292)=7,COUNT(F1281:F1292)=7),cubic_spline(F1280:F1287,A1280:A1287,B$7),IF(AND(COUNT(A1281:A1292)=8,COUNT(F1281:F1292)=8),cubic_spline(F1280:F1288,A1280:A1288,B$7),IF(AND(COUNT(A1281:A1292)=9,COUNT(F1281:F1292)=9),cubic_spline(F1280:F1289,A1280:A1289,B$7),IF(AND(COUNT(A1281:A1292)=10,COUNT(F1281:F1292)=10),cubic_spline(F1280:F1290,A1280:A1290,B$7),IF(AND(COUNT(A1281:A1292)=11,COUNT(F1281:F1292)=11),cubic_spline(F1280:F1291,A1280:A1291,B$7),IF(AND(COUNT(A1281:A1292)=12,COUNT(F1281:F1292)=12),cubic_spline(F1280:F1292,A1280:A1292,B$7),""))))))))))))</f>
        <v/>
      </c>
      <c r="L1284" s="27" t="str">
        <f>IF(I1284="","",B$6&amp;"-"&amp;B$7)</f>
        <v/>
      </c>
      <c r="M1284" s="52" t="str">
        <f>IF(N(J1284)=0,"",J1284-J1283)</f>
        <v/>
      </c>
    </row>
    <row r="1285" spans="1:13" x14ac:dyDescent="0.35">
      <c r="A1285" s="48"/>
      <c r="B1285" s="48"/>
      <c r="C1285" s="49"/>
      <c r="D1285" s="50"/>
      <c r="E1285" s="51" t="str">
        <f t="shared" ref="E1285:E1292" si="489">IF(N(C1285)=0,"",C1285/PI()/($D$1/2)^2/$D$2*10000)</f>
        <v/>
      </c>
      <c r="F1285" s="71" t="str">
        <f t="shared" si="486"/>
        <v/>
      </c>
      <c r="G1285" s="69" t="str">
        <f t="shared" si="488"/>
        <v/>
      </c>
      <c r="H1285" s="70" t="str">
        <f t="shared" si="487"/>
        <v/>
      </c>
      <c r="I1285" s="27" t="str">
        <f>IF(N(J1285)=0,"",0&amp;"-"&amp;B$8)</f>
        <v/>
      </c>
      <c r="J1285" s="52" t="str">
        <f>IF(N(B$8)=0,"",IF(AND(COUNT(H1281:H1292)=2,COUNT(F1281:F1292)=2),cubic_spline(F1280:F1282,H1280:H1282,B$8),IF(AND(COUNT(H1281:H1292)=3,COUNT(F1281:F1292)=3),cubic_spline(F1280:F1283,H1280:H1283,B$8),IF(AND(COUNT(H1281:H1292)=4,COUNT(F1281:F1292)=4),cubic_spline(F1280:F1284,H1280:H1284,B$8),IF(AND(COUNT(H1281:H1292)=5,COUNT(F1281:F1292)=5),cubic_spline(F1280:F1285,H1280:H1285,B$8),IF(AND(COUNT(H1281:H1292)=6,COUNT(F1281:F1292)=6),cubic_spline(F1280:F1286,H1280:H1286,B$8),IF(AND(COUNT(H1281:H1292)=7,COUNT(F1281:F1292)=7),cubic_spline(F1280:F1287,H1280:H1287,B$8),IF(AND(COUNT(H1281:H1292)=8,COUNT(F1281:F1292)=8),cubic_spline(F1280:F1288,H1280:H1288,B$8),IF(AND(COUNT(H1281:H1292)=9,COUNT(F1281:F1292)=9),cubic_spline(F1280:F1289,H1280:H1289,B$8),IF(AND(COUNT(H1281:H1292)=10,COUNT(F1281:F1292)=10),cubic_spline(F1280:F1290,H1280:H1290,B$8),IF(AND(COUNT(H1281:H1292)=11,COUNT(F1281:F1292)=11),cubic_spline(F1280:F1291,H1280:H1291,B$8),IF(AND(COUNT(H1281:H1292)=12,COUNT(F1281:F1292)=12),cubic_spline(F1280:F1292,H1280:H1292,B$8),""))))))))))))</f>
        <v/>
      </c>
      <c r="K1285" s="52" t="str">
        <f>IF(N(B$8)=0,"",IF(AND(COUNT(A1281:A1292)=2,COUNT(F1281:F1292)=2),cubic_spline(F1280:F1282,A1280:A1282,B$8),IF(AND(COUNT(A1281:A1292)=3,COUNT(F1281:F1292)=3),cubic_spline(F1280:F1283,A1280:A1283,B$8),IF(AND(COUNT(A1281:A1292)=4,COUNT(F1281:F1292)=4),cubic_spline(F1280:F1284,A1280:A1284,B$8),IF(AND(COUNT(A1281:A1292)=5,COUNT(F1281:F1292)=5),cubic_spline(F1280:F1285,A1280:A1285,B$8),IF(AND(COUNT(A1281:A1292)=6,COUNT(F1281:F1292)=6),cubic_spline(F1280:F1286,A1280:A1286,B$8),IF(AND(COUNT(A1281:A1292)=7,COUNT(F1281:F1292)=7),cubic_spline(F1280:F1287,A1280:A1287,B$8),IF(AND(COUNT(A1281:A1292)=8,COUNT(F1281:F1292)=8),cubic_spline(F1280:F1288,A1280:A1288,B$8),IF(AND(COUNT(A1281:A1292)=9,COUNT(F1281:F1292)=9),cubic_spline(F1280:F1289,A1280:A1289,B$8),IF(AND(COUNT(A1281:A1292)=10,COUNT(F1281:F1292)=10),cubic_spline(F1280:F1290,A1280:A1290,B$8),IF(AND(COUNT(A1281:A1292)=11,COUNT(F1281:F1292)=11),cubic_spline(F1280:F1291,A1280:A1291,B$8),IF(AND(COUNT(A1281:A1292)=12,COUNT(F1281:F1292)=12),cubic_spline(F1280:F1292,A1280:A1292,B$8),""))))))))))))</f>
        <v/>
      </c>
      <c r="L1285" s="27" t="str">
        <f>IF(I1285="","",B$7&amp;"-"&amp;B$8)</f>
        <v/>
      </c>
      <c r="M1285" s="52" t="str">
        <f>IF(N(J1285)=0,"",J1285-J1284)</f>
        <v/>
      </c>
    </row>
    <row r="1286" spans="1:13" x14ac:dyDescent="0.35">
      <c r="A1286" s="48"/>
      <c r="B1286" s="48"/>
      <c r="C1286" s="49"/>
      <c r="D1286" s="50"/>
      <c r="E1286" s="51" t="str">
        <f t="shared" si="489"/>
        <v/>
      </c>
      <c r="F1286" s="71" t="str">
        <f t="shared" si="486"/>
        <v/>
      </c>
      <c r="G1286" s="69" t="str">
        <f t="shared" si="488"/>
        <v/>
      </c>
      <c r="H1286" s="70" t="str">
        <f t="shared" si="487"/>
        <v/>
      </c>
      <c r="I1286" s="27" t="str">
        <f>IF(N(J1286)=0,"",0&amp;"-"&amp;B$9)</f>
        <v/>
      </c>
      <c r="J1286" s="52" t="str">
        <f>IF(N(B$9)=0,"",IF(AND(COUNT(H1281:H1292)=2,COUNT(F1281:F1292)=2),cubic_spline(F1280:F1282,H1280:H1282,B$9),IF(AND(COUNT(H1281:H1292)=3,COUNT(F1281:F1292)=3),cubic_spline(F1280:F1283,H1280:H1283,B$9),IF(AND(COUNT(H1281:H1292)=4,COUNT(F1281:F1292)=4),cubic_spline(F1280:F1284,H1280:H1284,B$9),IF(AND(COUNT(H1281:H1292)=5,COUNT(F1281:F1292)=5),cubic_spline(F1280:F1285,H1280:H1285,B$9),IF(AND(COUNT(H1281:H1292)=6,COUNT(F1281:F1292)=6),cubic_spline(F1280:F1286,H1280:H1286,B$9),IF(AND(COUNT(H1281:H1292)=7,COUNT(F1281:F1292)=7),cubic_spline(F1280:F1287,H1280:H1287,B$9),IF(AND(COUNT(H1281:H1292)=8,COUNT(F1281:F1292)=8),cubic_spline(F1280:F1288,H1280:H1288,B$9),IF(AND(COUNT(H1281:H1292)=9,COUNT(F1281:F1292)=9),cubic_spline(F1280:F1289,H1280:H1289,B$9),IF(AND(COUNT(H1281:H1292)=10,COUNT(F1281:F1292)=10),cubic_spline(F1280:F1290,H1280:H1290,B$9),IF(AND(COUNT(H1281:H1292)=11,COUNT(F1281:F1292)=11),cubic_spline(F1280:F1291,H1280:H1291,B$9),IF(AND(COUNT(H1281:H1292)=12,COUNT(F1281:F1292)=12),cubic_spline(F1280:F1292,H1280:H1292,B$9),""))))))))))))</f>
        <v/>
      </c>
      <c r="K1286" s="52" t="str">
        <f>IF(N(B$9)=0,"",IF(AND(COUNT(A1281:A1292)=2,COUNT(F1281:F1292)=2),cubic_spline(F1280:F1282,A1280:A1282,B$9),IF(AND(COUNT(A1281:A1292)=3,COUNT(F1281:F1292)=3),cubic_spline(F1280:F1283,A1280:A1283,B$9),IF(AND(COUNT(A1281:A1292)=4,COUNT(F1281:F1292)=4),cubic_spline(F1280:F1284,A1280:A1284,B$9),IF(AND(COUNT(A1281:A1292)=5,COUNT(F1281:F1292)=5),cubic_spline(F1280:F1285,A1280:A1285,B$9),IF(AND(COUNT(A1281:A1292)=6,COUNT(F1281:F1292)=6),cubic_spline(F1280:F1286,A1280:A1286,B$9),IF(AND(COUNT(A1281:A1292)=7,COUNT(F1281:F1292)=7),cubic_spline(F1280:F1287,A1280:A1287,B$9),IF(AND(COUNT(A1281:A1292)=8,COUNT(F1281:F1292)=8),cubic_spline(F1280:F1288,A1280:A1288,B$9),IF(AND(COUNT(A1281:A1292)=9,COUNT(F1281:F1292)=9),cubic_spline(F1280:F1289,A1280:A1289,B$9),IF(AND(COUNT(A1281:A1292)=10,COUNT(F1281:F1292)=10),cubic_spline(F1280:F1290,A1280:A1290,B$9),IF(AND(COUNT(A1281:A1292)=11,COUNT(F1281:F1292)=11),cubic_spline(F1280:F1291,A1280:A1291,B$9),IF(AND(COUNT(A1281:A1292)=12,COUNT(F1281:F1292)=12),cubic_spline(F1280:F1292,A1280:A1292,B$9),""))))))))))))</f>
        <v/>
      </c>
      <c r="L1286" s="27" t="str">
        <f>IF(I1286="","",B$8&amp;"-"&amp;B$9)</f>
        <v/>
      </c>
      <c r="M1286" s="52" t="str">
        <f t="shared" ref="M1286:M1292" si="490">IF(N(J1286)=0,"",J1286-J1285)</f>
        <v/>
      </c>
    </row>
    <row r="1287" spans="1:13" x14ac:dyDescent="0.35">
      <c r="A1287" s="48"/>
      <c r="B1287" s="48"/>
      <c r="C1287" s="49"/>
      <c r="D1287" s="50"/>
      <c r="E1287" s="51" t="str">
        <f t="shared" si="489"/>
        <v/>
      </c>
      <c r="F1287" s="71" t="str">
        <f t="shared" si="486"/>
        <v/>
      </c>
      <c r="G1287" s="69" t="str">
        <f t="shared" si="488"/>
        <v/>
      </c>
      <c r="H1287" s="70" t="str">
        <f t="shared" si="487"/>
        <v/>
      </c>
      <c r="I1287" s="27" t="str">
        <f>IF(N(J1287)=0,"",0&amp;"-"&amp;B$10)</f>
        <v/>
      </c>
      <c r="J1287" s="52" t="str">
        <f>IF(N(B$10)=0,"",IF(AND(COUNT(H1281:H1292)=2,COUNT(F1281:F1292)=2),cubic_spline(F1280:F1282,H1280:H1282,B$10),IF(AND(COUNT(H1281:H1292)=3,COUNT(F1281:F1292)=3),cubic_spline(F1280:F1283,H1280:H1283,B$10),IF(AND(COUNT(H1281:H1292)=4,COUNT(F1281:F1292)=4),cubic_spline(F1280:F1284,H1280:H1284,B$10),IF(AND(COUNT(H1281:H1292)=5,COUNT(F1281:F1292)=5),cubic_spline(F1280:F1285,H1280:H1285,B$10),IF(AND(COUNT(H1281:H1292)=6,COUNT(F1281:F1292)=6),cubic_spline(F1280:F1286,H1280:H1286,B$10),IF(AND(COUNT(H1281:H1292)=7,COUNT(F1281:F1292)=7),cubic_spline(F1280:F1287,H1280:H1287,B$10),IF(AND(COUNT(H1281:H1292)=8,COUNT(F1281:F1292)=8),cubic_spline(F1280:F1288,H1280:H1288,B$10),IF(AND(COUNT(H1281:H1292)=9,COUNT(F1281:F1292)=9),cubic_spline(F1280:F1289,H1280:H1289,B$10),IF(AND(COUNT(H1281:H1292)=10,COUNT(F1281:F1292)=10),cubic_spline(F1280:F1290,H1280:H1290,B$10),IF(AND(COUNT(H1281:H1292)=11,COUNT(F1281:F1292)=11),cubic_spline(F1280:F1291,H1280:H1291,B$10),IF(AND(COUNT(H1281:H1292)=12,COUNT(F1281:F1292)=12),cubic_spline(F1280:F1292,H1280:H1292,B$10),""))))))))))))</f>
        <v/>
      </c>
      <c r="K1287" s="52" t="str">
        <f>IF(N(B$10)=0,"",IF(AND(COUNT(A1281:A1292)=2,COUNT(F1281:F1292)=2),cubic_spline(F1280:F1282,A1280:A1282,B$10),IF(AND(COUNT(A1281:A1292)=3,COUNT(F1281:F1292)=3),cubic_spline(F1280:F1283,A1280:A1283,B$10),IF(AND(COUNT(A1281:A1292)=4,COUNT(F1281:F1292)=4),cubic_spline(F1280:F1284,A1280:A1284,B$10),IF(AND(COUNT(A1281:A1292)=5,COUNT(F1281:F1292)=5),cubic_spline(F1280:F1285,A1280:A1285,B$10),IF(AND(COUNT(A1281:A1292)=6,COUNT(F1281:F1292)=6),cubic_spline(F1280:F1286,A1280:A1286,B$10),IF(AND(COUNT(A1281:A1292)=7,COUNT(F1281:F1292)=7),cubic_spline(F1280:F1287,A1280:A1287,B$10),IF(AND(COUNT(A1281:A1292)=8,COUNT(F1281:F1292)=8),cubic_spline(F1280:F1288,A1280:A1288,B$10),IF(AND(COUNT(A1281:A1292)=9,COUNT(F1281:F1292)=9),cubic_spline(F1280:F1289,A1280:A1289,B$10),IF(AND(COUNT(A1281:A1292)=10,COUNT(F1281:F1292)=10),cubic_spline(F1280:F1290,A1280:A1290,B$10),IF(AND(COUNT(A1281:A1292)=11,COUNT(F1281:F1292)=11),cubic_spline(F1280:F1291,A1280:A1291,B$10),IF(AND(COUNT(A1281:A1292)=12,COUNT(F1281:F1292)=12),cubic_spline(F1280:F1292,A1280:A1292,B$10),""))))))))))))</f>
        <v/>
      </c>
      <c r="L1287" s="27" t="str">
        <f>IF(I1287="","",B$9&amp;"-"&amp;B$10)</f>
        <v/>
      </c>
      <c r="M1287" s="52" t="str">
        <f t="shared" si="490"/>
        <v/>
      </c>
    </row>
    <row r="1288" spans="1:13" x14ac:dyDescent="0.35">
      <c r="A1288" s="48"/>
      <c r="B1288" s="48"/>
      <c r="C1288" s="49"/>
      <c r="D1288" s="50"/>
      <c r="E1288" s="51" t="str">
        <f t="shared" si="489"/>
        <v/>
      </c>
      <c r="F1288" s="71" t="str">
        <f t="shared" si="486"/>
        <v/>
      </c>
      <c r="G1288" s="69" t="str">
        <f t="shared" si="488"/>
        <v/>
      </c>
      <c r="H1288" s="70" t="str">
        <f t="shared" si="487"/>
        <v/>
      </c>
      <c r="I1288" s="27" t="str">
        <f>IF(N(J1288)=0,"",0&amp;"-"&amp;B$11)</f>
        <v/>
      </c>
      <c r="J1288" s="52" t="str">
        <f>IF(N(B$11)=0,"",IF(AND(COUNT(H1281:H1292)=2,COUNT(F1281:F1292)=2),cubic_spline(F1280:F1282,H1280:H1282,B$11),IF(AND(COUNT(H1281:H1292)=3,COUNT(F1281:F1292)=3),cubic_spline(F1280:F1283,H1280:H1283,B$11),IF(AND(COUNT(H1281:H1292)=4,COUNT(F1281:F1292)=4),cubic_spline(F1280:F1284,H1280:H1284,B$11),IF(AND(COUNT(H1281:H1292)=5,COUNT(F1281:F1292)=5),cubic_spline(F1280:F1285,H1280:H1285,B$11),IF(AND(COUNT(H1281:H1292)=6,COUNT(F1281:F1292)=6),cubic_spline(F1280:F1286,H1280:H1286,B$11),IF(AND(COUNT(H1281:H1292)=7,COUNT(F1281:F1292)=7),cubic_spline(F1280:F1287,H1280:H1287,B$11),IF(AND(COUNT(H1281:H1292)=8,COUNT(F1281:F1292)=8),cubic_spline(F1280:F1288,H1280:H1288,B$11),IF(AND(COUNT(H1281:H1292)=9,COUNT(F1281:F1292)=9),cubic_spline(F1280:F1289,H1280:H1289,B$11),IF(AND(COUNT(H1281:H1292)=10,COUNT(F1281:F1292)=10),cubic_spline(F1280:F1290,H1280:H1290,B$11),IF(AND(COUNT(H1281:H1292)=11,COUNT(F1281:F1292)=11),cubic_spline(F1280:F1291,H1280:H1291,B$11),IF(AND(COUNT(H1281:H1292)=12,COUNT(F1281:F1292)=12),cubic_spline(F1280:F1292,H1280:H1292,B$11),""))))))))))))</f>
        <v/>
      </c>
      <c r="K1288" s="52" t="str">
        <f>IF(N(B$11)=0,"",IF(AND(COUNT(A1281:A1292)=2,COUNT(F1281:F1292)=2),cubic_spline(F1280:F1282,A1280:A1282,B$11),IF(AND(COUNT(A1281:A1292)=3,COUNT(F1281:F1292)=3),cubic_spline(F1280:F1283,A1280:A1283,B$11),IF(AND(COUNT(A1281:A1292)=4,COUNT(F1281:F1292)=4),cubic_spline(F1280:F1284,A1280:A1284,B$11),IF(AND(COUNT(A1281:A1292)=5,COUNT(F1281:F1292)=5),cubic_spline(F1280:F1285,A1280:A1285,B$11),IF(AND(COUNT(A1281:A1292)=6,COUNT(F1281:F1292)=6),cubic_spline(F1280:F1286,A1280:A1286,B$11),IF(AND(COUNT(A1281:A1292)=7,COUNT(F1281:F1292)=7),cubic_spline(F1280:F1287,A1280:A1287,B$11),IF(AND(COUNT(A1281:A1292)=8,COUNT(F1281:F1292)=8),cubic_spline(F1280:F1288,A1280:A1288,B$11),IF(AND(COUNT(A1281:A1292)=9,COUNT(F1281:F1292)=9),cubic_spline(F1280:F1289,A1280:A1289,B$11),IF(AND(COUNT(A1281:A1292)=10,COUNT(F1281:F1292)=10),cubic_spline(F1280:F1290,A1280:A1290,B$11),IF(AND(COUNT(A1281:A1292)=11,COUNT(F1281:F1292)=11),cubic_spline(F1280:F1291,A1280:A1291,B$11),IF(AND(COUNT(A1281:A1292)=12,COUNT(F1281:F1292)=12),cubic_spline(F1280:F1292,A1280:A1292,B$11),""))))))))))))</f>
        <v/>
      </c>
      <c r="L1288" s="27" t="str">
        <f>IF(I1288="","",B$10&amp;"-"&amp;B$11)</f>
        <v/>
      </c>
      <c r="M1288" s="52" t="str">
        <f t="shared" si="490"/>
        <v/>
      </c>
    </row>
    <row r="1289" spans="1:13" x14ac:dyDescent="0.35">
      <c r="A1289" s="48"/>
      <c r="B1289" s="48"/>
      <c r="C1289" s="49"/>
      <c r="D1289" s="50"/>
      <c r="E1289" s="51" t="str">
        <f t="shared" si="489"/>
        <v/>
      </c>
      <c r="F1289" s="71" t="str">
        <f t="shared" si="486"/>
        <v/>
      </c>
      <c r="G1289" s="69" t="str">
        <f t="shared" si="488"/>
        <v/>
      </c>
      <c r="H1289" s="70" t="str">
        <f t="shared" si="487"/>
        <v/>
      </c>
      <c r="I1289" s="27" t="str">
        <f>IF(N(J1289)=0,"",0&amp;"-"&amp;B$12)</f>
        <v/>
      </c>
      <c r="J1289" s="52" t="str">
        <f>IF(N(B$12)=0,"",IF(AND(COUNT(H1281:H1292)=2,COUNT(F1281:F1292)=2),cubic_spline(F1280:F1282,H1280:H1282,B$12),IF(AND(COUNT(H1281:H1292)=3,COUNT(F1281:F1292)=3),cubic_spline(F1280:F1283,H1280:H1283,B$12),IF(AND(COUNT(H1281:H1292)=4,COUNT(F1281:F1292)=4),cubic_spline(F1280:F1284,H1280:H1284,B$12),IF(AND(COUNT(H1281:H1292)=5,COUNT(F1281:F1292)=5),cubic_spline(F1280:F1285,H1280:H1285,B$12),IF(AND(COUNT(H1281:H1292)=6,COUNT(F1281:F1292)=6),cubic_spline(F1280:F1286,H1280:H1286,B$12),IF(AND(COUNT(H1281:H1292)=7,COUNT(F1281:F1292)=7),cubic_spline(F1280:F1287,H1280:H1287,B$12),IF(AND(COUNT(H1281:H1292)=8,COUNT(F1281:F1292)=8),cubic_spline(F1280:F1288,H1280:H1288,B$12),IF(AND(COUNT(H1281:H1292)=9,COUNT(F1281:F1292)=9),cubic_spline(F1280:F1289,H1280:H1289,B$12),IF(AND(COUNT(H1281:H1292)=10,COUNT(F1281:F1292)=10),cubic_spline(F1280:F1290,H1280:H1290,B$12),IF(AND(COUNT(H1281:H1292)=11,COUNT(F1281:F1292)=11),cubic_spline(F1280:F1291,H1280:H1291,B$12),IF(AND(COUNT(H1281:H1292)=12,COUNT(F1281:F1292)=12),cubic_spline(F1280:F1292,H1280:H1292,B$12),""))))))))))))</f>
        <v/>
      </c>
      <c r="K1289" s="52" t="str">
        <f>IF(N(B$12)=0,"",IF(AND(COUNT(A1281:A1292)=2,COUNT(F1281:F1292)=2),cubic_spline(F1280:F1282,A1280:A1282,B$12),IF(AND(COUNT(A1281:A1292)=3,COUNT(F1281:F1292)=3),cubic_spline(F1280:F1283,A1280:A1283,B$12),IF(AND(COUNT(A1281:A1292)=4,COUNT(F1281:F1292)=4),cubic_spline(F1280:F1284,A1280:A1284,B$12),IF(AND(COUNT(A1281:A1292)=5,COUNT(F1281:F1292)=5),cubic_spline(F1280:F1285,A1280:A1285,B$12),IF(AND(COUNT(A1281:A1292)=6,COUNT(F1281:F1292)=6),cubic_spline(F1280:F1286,A1280:A1286,B$12),IF(AND(COUNT(A1281:A1292)=7,COUNT(F1281:F1292)=7),cubic_spline(F1280:F1287,A1280:A1287,B$12),IF(AND(COUNT(A1281:A1292)=8,COUNT(F1281:F1292)=8),cubic_spline(F1280:F1288,A1280:A1288,B$12),IF(AND(COUNT(A1281:A1292)=9,COUNT(F1281:F1292)=9),cubic_spline(F1280:F1289,A1280:A1289,B$12),IF(AND(COUNT(A1281:A1292)=10,COUNT(F1281:F1292)=10),cubic_spline(F1280:F1290,A1280:A1290,B$12),IF(AND(COUNT(A1281:A1292)=11,COUNT(F1281:F1292)=11),cubic_spline(F1280:F1291,A1280:A1291,B$12),IF(AND(COUNT(A1281:A1292)=12,COUNT(F1281:F1292)=12),cubic_spline(F1280:F1292,A1280:A1292,B$12),""))))))))))))</f>
        <v/>
      </c>
      <c r="L1289" s="27" t="str">
        <f>IF(I1289="","",B$11&amp;"-"&amp;B$12)</f>
        <v/>
      </c>
      <c r="M1289" s="52" t="str">
        <f t="shared" si="490"/>
        <v/>
      </c>
    </row>
    <row r="1290" spans="1:13" x14ac:dyDescent="0.35">
      <c r="A1290" s="48"/>
      <c r="B1290" s="48"/>
      <c r="C1290" s="49"/>
      <c r="D1290" s="50"/>
      <c r="E1290" s="51" t="str">
        <f t="shared" si="489"/>
        <v/>
      </c>
      <c r="F1290" s="71" t="str">
        <f t="shared" si="486"/>
        <v/>
      </c>
      <c r="G1290" s="69" t="str">
        <f t="shared" si="488"/>
        <v/>
      </c>
      <c r="H1290" s="70" t="str">
        <f t="shared" si="487"/>
        <v/>
      </c>
      <c r="I1290" s="27" t="str">
        <f>IF(N(J1290)=0,"",0&amp;"-"&amp;B$13)</f>
        <v/>
      </c>
      <c r="J1290" s="52" t="str">
        <f>IF(N(B$13)=0,"",IF(AND(COUNT(H1281:H1292)=2,COUNT(F1281:F1292)=2),cubic_spline(F1280:F1282,H1280:H1282,B$13),IF(AND(COUNT(H1281:H1292)=3,COUNT(F1281:F1292)=3),cubic_spline(F1280:F1283,H1280:H1283,B$13),IF(AND(COUNT(H1281:H1292)=4,COUNT(F1281:F1292)=4),cubic_spline(F1280:F1284,H1280:H1284,B$13),IF(AND(COUNT(H1281:H1292)=5,COUNT(F1281:F1292)=5),cubic_spline(F1280:F1285,H1280:H1285,B$13),IF(AND(COUNT(H1281:H1292)=6,COUNT(F1281:F1292)=6),cubic_spline(F1280:F1286,H1280:H1286,B$13),IF(AND(COUNT(H1281:H1292)=7,COUNT(F1281:F1292)=7),cubic_spline(F1280:F1287,H1280:H1287,B$13),IF(AND(COUNT(H1281:H1292)=8,COUNT(F1281:F1292)=8),cubic_spline(F1280:F1288,H1280:H1288,B$13),IF(AND(COUNT(H1281:H1292)=9,COUNT(F1281:F1292)=9),cubic_spline(F1280:F1289,H1280:H1289,B$13),IF(AND(COUNT(H1281:H1292)=10,COUNT(F1281:F1292)=10),cubic_spline(F1280:F1290,H1280:H1290,B$13),IF(AND(COUNT(H1281:H1292)=11,COUNT(F1281:F1292)=11),cubic_spline(F1280:F1291,H1280:H1291,B$13),IF(AND(COUNT(H1281:H1292)=12,COUNT(F1281:F1292)=12),cubic_spline(F1280:F1292,H1280:H1292,B$13),""))))))))))))</f>
        <v/>
      </c>
      <c r="K1290" s="52" t="str">
        <f>IF(N(B$13)=0,"",IF(AND(COUNT(A1281:A1292)=2,COUNT(F1281:F1292)=2),cubic_spline(F1280:F1282,A1280:A1282,B$13),IF(AND(COUNT(A1281:A1292)=3,COUNT(F1281:F1292)=3),cubic_spline(F1280:F1283,A1280:A1283,B$13),IF(AND(COUNT(A1281:A1292)=4,COUNT(F1281:F1292)=4),cubic_spline(F1280:F1284,A1280:A1284,B$13),IF(AND(COUNT(A1281:A1292)=5,COUNT(F1281:F1292)=5),cubic_spline(F1280:F1285,A1280:A1285,B$13),IF(AND(COUNT(A1281:A1292)=6,COUNT(F1281:F1292)=6),cubic_spline(F1280:F1286,A1280:A1286,B$13),IF(AND(COUNT(A1281:A1292)=7,COUNT(F1281:F1292)=7),cubic_spline(F1280:F1287,A1280:A1287,B$13),IF(AND(COUNT(A1281:A1292)=8,COUNT(F1281:F1292)=8),cubic_spline(F1280:F1288,A1280:A1288,B$13),IF(AND(COUNT(A1281:A1292)=9,COUNT(F1281:F1292)=9),cubic_spline(F1280:F1289,A1280:A1289,B$13),IF(AND(COUNT(A1281:A1292)=10,COUNT(F1281:F1292)=10),cubic_spline(F1280:F1290,A1280:A1290,B$13),IF(AND(COUNT(A1281:A1292)=11,COUNT(F1281:F1292)=11),cubic_spline(F1280:F1291,A1280:A1291,B$13),IF(AND(COUNT(A1281:A1292)=12,COUNT(F1281:F1292)=12),cubic_spline(F1280:F1292,A1280:A1292,B$13),""))))))))))))</f>
        <v/>
      </c>
      <c r="L1290" s="27" t="str">
        <f>IF(I1290="","",B$12&amp;"-"&amp;B$13)</f>
        <v/>
      </c>
      <c r="M1290" s="52" t="str">
        <f t="shared" si="490"/>
        <v/>
      </c>
    </row>
    <row r="1291" spans="1:13" x14ac:dyDescent="0.35">
      <c r="A1291" s="48"/>
      <c r="B1291" s="48"/>
      <c r="C1291" s="49"/>
      <c r="D1291" s="50"/>
      <c r="E1291" s="51" t="str">
        <f t="shared" si="489"/>
        <v/>
      </c>
      <c r="F1291" s="71" t="str">
        <f t="shared" si="486"/>
        <v/>
      </c>
      <c r="G1291" s="69" t="str">
        <f t="shared" si="488"/>
        <v/>
      </c>
      <c r="H1291" s="70" t="str">
        <f t="shared" si="487"/>
        <v/>
      </c>
      <c r="I1291" s="27" t="str">
        <f>IF(N(J1291)=0,"",0&amp;"-"&amp;B$14)</f>
        <v/>
      </c>
      <c r="J1291" s="52" t="str">
        <f>IF(N(B$14)=0,"",IF(AND(COUNT(H1281:H1292)=2,COUNT(F1281:F1292)=2),cubic_spline(F1280:F1282,H1280:H1282,B$14),IF(AND(COUNT(H1281:H1292)=3,COUNT(F1281:F1292)=3),cubic_spline(F1280:F1283,H1280:H1283,B$14),IF(AND(COUNT(H1281:H1292)=4,COUNT(F1281:F1292)=4),cubic_spline(F1280:F1284,H1280:H1284,B$14),IF(AND(COUNT(H1281:H1292)=5,COUNT(F1281:F1292)=5),cubic_spline(F1280:F1285,H1280:H1285,B$14),IF(AND(COUNT(H1281:H1292)=6,COUNT(F1281:F1292)=6),cubic_spline(F1280:F1286,H1280:H1286,B$14),IF(AND(COUNT(H1281:H1292)=7,COUNT(F1281:F1292)=7),cubic_spline(F1280:F1287,H1280:H1287,B$14),IF(AND(COUNT(H1281:H1292)=8,COUNT(F1281:F1292)=8),cubic_spline(F1280:F1288,H1280:H1288,B$14),IF(AND(COUNT(H1281:H1292)=9,COUNT(F1281:F1292)=9),cubic_spline(F1280:F1289,H1280:H1289,B$14),IF(AND(COUNT(H1281:H1292)=10,COUNT(F1281:F1292)=10),cubic_spline(F1280:F1290,H1280:H1290,B$14),IF(AND(COUNT(H1281:H1292)=11,COUNT(F1281:F1292)=11),cubic_spline(F1280:F1291,H1280:H1291,B$14),IF(AND(COUNT(H1281:H1292)=12,COUNT(F1281:F1292)=12),cubic_spline(F1280:F1292,H1280:H1292,B$14),""))))))))))))</f>
        <v/>
      </c>
      <c r="K1291" s="52" t="str">
        <f>IF(N(B$14)=0,"",IF(AND(COUNT(A1281:A1292)=2,COUNT(F1281:F1292)=2),cubic_spline(F1280:F1282,A1280:A1282,B$14),IF(AND(COUNT(A1281:A1292)=3,COUNT(F1281:F1292)=3),cubic_spline(F1280:F1283,A1280:A1283,B$14),IF(AND(COUNT(A1281:A1292)=4,COUNT(F1281:F1292)=4),cubic_spline(F1280:F1284,A1280:A1284,B$14),IF(AND(COUNT(A1281:A1292)=5,COUNT(F1281:F1292)=5),cubic_spline(F1280:F1285,A1280:A1285,B$14),IF(AND(COUNT(A1281:A1292)=6,COUNT(F1281:F1292)=6),cubic_spline(F1280:F1286,A1280:A1286,B$14),IF(AND(COUNT(A1281:A1292)=7,COUNT(F1281:F1292)=7),cubic_spline(F1280:F1287,A1280:A1287,B$14),IF(AND(COUNT(A1281:A1292)=8,COUNT(F1281:F1292)=8),cubic_spline(F1280:F1288,A1280:A1288,B$14),IF(AND(COUNT(A1281:A1292)=9,COUNT(F1281:F1292)=9),cubic_spline(F1280:F1289,A1280:A1289,B$14),IF(AND(COUNT(A1281:A1292)=10,COUNT(F1281:F1292)=10),cubic_spline(F1280:F1290,A1280:A1290,B$14),IF(AND(COUNT(A1281:A1292)=11,COUNT(F1281:F1292)=11),cubic_spline(F1280:F1291,A1280:A1291,B$14),IF(AND(COUNT(A1281:A1292)=12,COUNT(F1281:F1292)=12),cubic_spline(F1280:F1292,A1280:A1292,B$14),""))))))))))))</f>
        <v/>
      </c>
      <c r="L1291" s="27" t="str">
        <f>IF(I1291="","",B$13&amp;"-"&amp;B$14)</f>
        <v/>
      </c>
      <c r="M1291" s="52" t="str">
        <f t="shared" si="490"/>
        <v/>
      </c>
    </row>
    <row r="1292" spans="1:13" x14ac:dyDescent="0.35">
      <c r="A1292" s="48"/>
      <c r="B1292" s="48"/>
      <c r="C1292" s="49"/>
      <c r="D1292" s="50"/>
      <c r="E1292" s="51" t="str">
        <f t="shared" si="489"/>
        <v/>
      </c>
      <c r="F1292" s="71" t="str">
        <f t="shared" si="486"/>
        <v/>
      </c>
      <c r="G1292" s="69" t="str">
        <f t="shared" si="488"/>
        <v/>
      </c>
      <c r="H1292" s="70" t="str">
        <f t="shared" si="487"/>
        <v/>
      </c>
      <c r="I1292" s="27" t="str">
        <f>IF(N(J1292)=0,"",0&amp;"-"&amp;B$15)</f>
        <v/>
      </c>
      <c r="J1292" s="52" t="str">
        <f>IF(N(B$15)=0,"",IF(AND(COUNT(H1281:H1292)=2,COUNT(F1281:F1292)=2),cubic_spline(F1280:F1282,H1280:H1282,B$15),IF(AND(COUNT(H1281:H1292)=3,COUNT(F1281:F1292)=3),cubic_spline(F1280:F1283,H1280:H1283,B$15),IF(AND(COUNT(H1281:H1292)=4,COUNT(F1281:F1292)=4),cubic_spline(F1280:F1284,H1280:H1284,B$15),IF(AND(COUNT(H1281:H1292)=5,COUNT(F1281:F1292)=5),cubic_spline(F1280:F1285,H1280:H1285,B$15),IF(AND(COUNT(H1281:H1292)=6,COUNT(F1281:F1292)=6),cubic_spline(F1280:F1286,H1280:H1286,B$15),IF(AND(COUNT(H1281:H1292)=7,COUNT(F1281:F1292)=7),cubic_spline(F1280:F1287,H1280:H1287,B$15),IF(AND(COUNT(H1281:H1292)=8,COUNT(F1281:F1292)=8),cubic_spline(F1280:F1288,H1280:H1288,B$15),IF(AND(COUNT(H1281:H1292)=9,COUNT(F1281:F1292)=9),cubic_spline(F1280:F1289,H1280:H1289,B$15),IF(AND(COUNT(H1281:H1292)=10,COUNT(F1281:F1292)=10),cubic_spline(F1280:F1290,H1280:H1290,B$15),IF(AND(COUNT(H1281:H1292)=11,COUNT(F1281:F1292)=11),cubic_spline(F1280:F1291,H1280:H1291,B$15),IF(AND(COUNT(H1281:H1292)=12,COUNT(F1281:F1292)=12),cubic_spline(F1280:F1292,H1280:H1292,B$15),""))))))))))))</f>
        <v/>
      </c>
      <c r="K1292" s="52" t="str">
        <f>IF(N(B$15)=0,"",IF(AND(COUNT(A1281:A1292)=2,COUNT(F1281:F1292)=2),cubic_spline(F1280:F1282,A1280:A1282,B$15),IF(AND(COUNT(A1281:A1292)=3,COUNT(F1281:F1292)=3),cubic_spline(F1280:F1283,A1280:A1283,B$15),IF(AND(COUNT(A1281:A1292)=4,COUNT(F1281:F1292)=4),cubic_spline(F1280:F1284,A1280:A1284,B$15),IF(AND(COUNT(A1281:A1292)=5,COUNT(F1281:F1292)=5),cubic_spline(F1280:F1285,A1280:A1285,B$15),IF(AND(COUNT(A1281:A1292)=6,COUNT(F1281:F1292)=6),cubic_spline(F1280:F1286,A1280:A1286,B$15),IF(AND(COUNT(A1281:A1292)=7,COUNT(F1281:F1292)=7),cubic_spline(F1280:F1287,A1280:A1287,B$15),IF(AND(COUNT(A1281:A1292)=8,COUNT(F1281:F1292)=8),cubic_spline(F1280:F1288,A1280:A1288,B$15),IF(AND(COUNT(A1281:A1292)=9,COUNT(F1281:F1292)=9),cubic_spline(F1280:F1289,A1280:A1289,B$15),IF(AND(COUNT(A1281:A1292)=10,COUNT(F1281:F1292)=10),cubic_spline(F1280:F1290,A1280:A1290,B$15),IF(AND(COUNT(A1281:A1292)=11,COUNT(F1281:F1292)=11),cubic_spline(F1280:F1291,A1280:A1291,B$15),IF(AND(COUNT(A1281:A1292)=12,COUNT(F1281:F1292)=12),cubic_spline(F1280:F1292,A1280:A1292,B$15),""))))))))))))</f>
        <v/>
      </c>
      <c r="L1292" s="27" t="str">
        <f>IF(I1292="","",B$14&amp;"-"&amp;B$15)</f>
        <v/>
      </c>
      <c r="M1292" s="52" t="str">
        <f t="shared" si="490"/>
        <v/>
      </c>
    </row>
    <row r="1293" spans="1:13" ht="5.15" customHeight="1" x14ac:dyDescent="0.35">
      <c r="A1293" s="47"/>
      <c r="B1293" s="47"/>
      <c r="C1293" s="47"/>
      <c r="D1293" s="53"/>
      <c r="E1293" s="54"/>
      <c r="F1293" s="55"/>
      <c r="G1293" s="72"/>
      <c r="H1293" s="73"/>
      <c r="I1293" s="47"/>
      <c r="J1293" s="57"/>
      <c r="K1293" s="57"/>
      <c r="L1293" s="55"/>
      <c r="M1293" s="57"/>
    </row>
    <row r="1294" spans="1:13" x14ac:dyDescent="0.35">
      <c r="A1294" s="48"/>
      <c r="B1294" s="48"/>
      <c r="C1294" s="49"/>
      <c r="D1294" s="50"/>
      <c r="E1294" s="51" t="str">
        <f>IF(N(C1294)=0,"",C1294/PI()/($D$1/2)^2/$D$2*10000)</f>
        <v/>
      </c>
      <c r="F1294" s="68" t="str">
        <f t="shared" ref="F1294:F1305" si="491">IF(N(E1294)=0,"",(N(E1294)+N(F1293)))</f>
        <v/>
      </c>
      <c r="G1294" s="69" t="str">
        <f>IF(OR(N(D1294)=0,N(E1294)=0),"",(E1294*D1294)/1000)</f>
        <v/>
      </c>
      <c r="H1294" s="70" t="str">
        <f t="shared" ref="H1294:H1305" si="492">IF(N(G1294)=0,"",(N(G1294)+N(H1293)))</f>
        <v/>
      </c>
      <c r="I1294" s="27" t="str">
        <f>IF(N(J1294)=0,"",0&amp;"-"&amp;B$4)</f>
        <v/>
      </c>
      <c r="J1294" s="52" t="str">
        <f>IF(N(B$4)=0,"",IF(AND(COUNT(H1294:H1305)=2,COUNT(F1294:F1305)=2),cubic_spline(F1293:F1295,H1293:H1295,B$4),IF(AND(COUNT(H1294:H1305)=3,COUNT(F1294:F1305)=3),cubic_spline(F1293:F1296,H1293:H1296,B$4),IF(AND(COUNT(H1294:H1305)=4,COUNT(F1294:F1305)=4),cubic_spline(F1293:F1297,H1293:H1297,B$4),IF(AND(COUNT(H1294:H1305)=5,COUNT(F1294:F1305)=5),cubic_spline(F1293:F1298,H1293:H1298,B$4),IF(AND(COUNT(H1294:H1305)=6,COUNT(F1294:F1305)=6),cubic_spline(F1293:F1299,H1293:H1299,B$4),IF(AND(COUNT(H1294:H1305)=7,COUNT(F1294:F1305)=7),cubic_spline(F1293:F1300,H1293:H1300,B$4),IF(AND(COUNT(H1294:H1305)=8,COUNT(F1294:F1305)=8),cubic_spline(F1293:F1301,H1293:H1301,B$4),IF(AND(COUNT(H1294:H1305)=9,COUNT(F1294:F1305)=9),cubic_spline(F1293:F1302,H1293:H1302,B$4),IF(AND(COUNT(H1294:H1305)=10,COUNT(F1294:F1305)=10),cubic_spline(F1293:F1303,H1293:H1303,B$4),IF(AND(COUNT(H1294:H1305)=11,COUNT(F1294:F1305)=11),cubic_spline(F1293:F1304,H1293:H1304,B$4),IF(AND(COUNT(H1294:H1305)=12,COUNT(F1294:F1305)=12),cubic_spline(F1293:F1305,H1293:H1305,B$4),""))))))))))))</f>
        <v/>
      </c>
      <c r="K1294" s="52" t="str">
        <f>IF(N(B$4)=0,"",IF(AND(COUNT(A1294:A1305)=2,COUNT(F1294:F1305)=2),cubic_spline(F1293:F1295,A1293:A1295,B$4),IF(AND(COUNT(A1294:A1305)=3,COUNT(F1294:F1305)=3),cubic_spline(F1293:F1296,A1293:A1296,B$4),IF(AND(COUNT(A1294:A1305)=4,COUNT(F1294:F1305)=4),cubic_spline(F1293:F1297,A1293:A1297,B$4),IF(AND(COUNT(A1294:A1305)=5,COUNT(F1294:F1305)=5),cubic_spline(F1293:F1298,A1293:A1298,B$4),IF(AND(COUNT(A1294:A1305)=6,COUNT(F1294:F1305)=6),cubic_spline(F1293:F1299,A1293:A1299,B$4),IF(AND(COUNT(A1294:A1305)=7,COUNT(F1294:F1305)=7),cubic_spline(F1293:F1300,A1293:A1300,B$4),IF(AND(COUNT(A1294:A1305)=8,COUNT(F1294:F1305)=8),cubic_spline(F1293:F1301,A1293:A1301,B$4),IF(AND(COUNT(A1294:A1305)=9,COUNT(F1294:F1305)=9),cubic_spline(F1293:F1302,A1293:A1302,B$4),IF(AND(COUNT(A1294:A1305)=10,COUNT(F1294:F1305)=10),cubic_spline(F1293:F1303,A1293:A1303,B$4),IF(AND(COUNT(A1294:A1305)=11,COUNT(F1294:F1305)=11),cubic_spline(F1293:F1304,A1293:A1304,B$4),IF(AND(COUNT(A1294:A1305)=12,COUNT(F1294:F1305)=12),cubic_spline(F1293:F1305,A1293:A1305,B$4),""))))))))))))</f>
        <v/>
      </c>
      <c r="L1294" s="27" t="str">
        <f>IF(I1294="","",0&amp;"-"&amp;B$4)</f>
        <v/>
      </c>
      <c r="M1294" s="52" t="str">
        <f>IF(N(J1294)=0,"",J1294-J1293)</f>
        <v/>
      </c>
    </row>
    <row r="1295" spans="1:13" x14ac:dyDescent="0.35">
      <c r="A1295" s="48"/>
      <c r="B1295" s="48"/>
      <c r="C1295" s="49"/>
      <c r="D1295" s="50"/>
      <c r="E1295" s="51" t="str">
        <f>IF(N(C1295)=0,"",C1295/PI()/($D$1/2)^2/$D$2*10000)</f>
        <v/>
      </c>
      <c r="F1295" s="68" t="str">
        <f t="shared" si="491"/>
        <v/>
      </c>
      <c r="G1295" s="69" t="str">
        <f t="shared" ref="G1295:G1305" si="493">IF(OR(N(D1295)=0,N(E1295)=0),"",(E1295*D1295)/1000)</f>
        <v/>
      </c>
      <c r="H1295" s="70" t="str">
        <f t="shared" si="492"/>
        <v/>
      </c>
      <c r="I1295" s="27" t="str">
        <f>IF(N(J1295)=0,"",0&amp;"-"&amp;B$5)</f>
        <v/>
      </c>
      <c r="J1295" s="52" t="str">
        <f>IF(N(B$5)=0,"",IF(AND(COUNT(H1294:H1305)=2,COUNT(F1294:F1305)=2),cubic_spline(F1293:F1295,H1293:H1295,B$5),IF(AND(COUNT(H1294:H1305)=3,COUNT(F1294:F1305)=3),cubic_spline(F1293:F1296,H1293:H1296,B$5),IF(AND(COUNT(H1294:H1305)=4,COUNT(F1294:F1305)=4),cubic_spline(F1293:F1297,H1293:H1297,B$5),IF(AND(COUNT(H1294:H1305)=5,COUNT(F1294:F1305)=5),cubic_spline(F1293:F1298,H1293:H1298,B$5),IF(AND(COUNT(H1294:H1305)=6,COUNT(F1294:F1305)=6),cubic_spline(F1293:F1299,H1293:H1299,B$5),IF(AND(COUNT(H1294:H1305)=7,COUNT(F1294:F1305)=7),cubic_spline(F1293:F1300,H1293:H1300,B$5),IF(AND(COUNT(H1294:H1305)=8,COUNT(F1294:F1305)=8),cubic_spline(F1293:F1301,H1293:H1301,B$5),IF(AND(COUNT(H1294:H1305)=9,COUNT(F1294:F1305)=9),cubic_spline(F1293:F1302,H1293:H1302,B$5),IF(AND(COUNT(H1294:H1305)=10,COUNT(F1294:F1305)=10),cubic_spline(F1293:F1303,H1293:H1303,B$5),IF(AND(COUNT(H1294:H1305)=11,COUNT(F1294:F1305)=11),cubic_spline(F1293:F1304,H1293:H1304,B$5),IF(AND(COUNT(H1294:H1305)=12,COUNT(F1294:F1305)=12),cubic_spline(F1293:F1305,H1293:H1305,B$5),""))))))))))))</f>
        <v/>
      </c>
      <c r="K1295" s="52" t="str">
        <f>IF(N(B$5)=0,"",IF(AND(COUNT(A1294:A1305)=2,COUNT(F1294:F1305)=2),cubic_spline(F1293:F1295,A1293:A1295,B$5),IF(AND(COUNT(A1294:A1305)=3,COUNT(F1294:F1305)=3),cubic_spline(F1293:F1296,A1293:A1296,B$5),IF(AND(COUNT(A1294:A1305)=4,COUNT(F1294:F1305)=4),cubic_spline(F1293:F1297,A1293:A1297,B$5),IF(AND(COUNT(A1294:A1305)=5,COUNT(F1294:F1305)=5),cubic_spline(F1293:F1298,A1293:A1298,B$5),IF(AND(COUNT(A1294:A1305)=6,COUNT(F1294:F1305)=6),cubic_spline(F1293:F1299,A1293:A1299,B$5),IF(AND(COUNT(A1294:A1305)=7,COUNT(F1294:F1305)=7),cubic_spline(F1293:F1300,A1293:A1300,B$5),IF(AND(COUNT(A1294:A1305)=8,COUNT(F1294:F1305)=8),cubic_spline(F1293:F1301,A1293:A1301,B$5),IF(AND(COUNT(A1294:A1305)=9,COUNT(F1294:F1305)=9),cubic_spline(F1293:F1302,A1293:A1302,B$5),IF(AND(COUNT(A1294:A1305)=10,COUNT(F1294:F1305)=10),cubic_spline(F1293:F1303,A1293:A1303,B$5),IF(AND(COUNT(A1294:A1305)=11,COUNT(F1294:F1305)=11),cubic_spline(F1293:F1304,A1293:A1304,B$5),IF(AND(COUNT(A1294:A1305)=12,COUNT(F1294:F1305)=12),cubic_spline(F1293:F1305,A1293:A1305,B$5),""))))))))))))</f>
        <v/>
      </c>
      <c r="L1295" s="27" t="str">
        <f>IF(I1295="","",B$4&amp;"-"&amp;B$5)</f>
        <v/>
      </c>
      <c r="M1295" s="52" t="str">
        <f>IF(N(J1295)=0,"",J1295-J1294)</f>
        <v/>
      </c>
    </row>
    <row r="1296" spans="1:13" x14ac:dyDescent="0.35">
      <c r="A1296" s="48"/>
      <c r="B1296" s="48"/>
      <c r="C1296" s="49"/>
      <c r="D1296" s="50"/>
      <c r="E1296" s="51" t="str">
        <f>IF(N(C1296)=0,"",C1296/PI()/($D$1/2)^2/$D$2*10000)</f>
        <v/>
      </c>
      <c r="F1296" s="68" t="str">
        <f t="shared" si="491"/>
        <v/>
      </c>
      <c r="G1296" s="69" t="str">
        <f t="shared" si="493"/>
        <v/>
      </c>
      <c r="H1296" s="70" t="str">
        <f t="shared" si="492"/>
        <v/>
      </c>
      <c r="I1296" s="27" t="str">
        <f>IF(N(J1296)=0,"",0&amp;"-"&amp;B$6)</f>
        <v/>
      </c>
      <c r="J1296" s="52" t="str">
        <f>IF(N(B$6)=0,"",IF(AND(COUNT(H1294:H1305)=2,COUNT(F1294:F1305)=2),cubic_spline(F1293:F1295,H1293:H1295,B$6),IF(AND(COUNT(H1294:H1305)=3,COUNT(F1294:F1305)=3),cubic_spline(F1293:F1296,H1293:H1296,B$6),IF(AND(COUNT(H1294:H1305)=4,COUNT(F1294:F1305)=4),cubic_spline(F1293:F1297,H1293:H1297,B$6),IF(AND(COUNT(H1294:H1305)=5,COUNT(F1294:F1305)=5),cubic_spline(F1293:F1298,H1293:H1298,B$6),IF(AND(COUNT(H1294:H1305)=6,COUNT(F1294:F1305)=6),cubic_spline(F1293:F1299,H1293:H1299,B$6),IF(AND(COUNT(H1294:H1305)=7,COUNT(F1294:F1305)=7),cubic_spline(F1293:F1300,H1293:H1300,B$6),IF(AND(COUNT(H1294:H1305)=8,COUNT(F1294:F1305)=8),cubic_spline(F1293:F1301,H1293:H1301,B$6),IF(AND(COUNT(H1294:H1305)=9,COUNT(F1294:F1305)=9),cubic_spline(F1293:F1302,H1293:H1302,B$6),IF(AND(COUNT(H1294:H1305)=10,COUNT(F1294:F1305)=10),cubic_spline(F1293:F1303,H1293:H1303,B$6),IF(AND(COUNT(H1294:H1305)=11,COUNT(F1294:F1305)=11),cubic_spline(F1293:F1304,H1293:H1304,B$6),IF(AND(COUNT(H1294:H1305)=12,COUNT(F1294:F1305)=12),cubic_spline(F1293:F1305,H1293:H1305,B$6),""))))))))))))</f>
        <v/>
      </c>
      <c r="K1296" s="52" t="str">
        <f>IF(N(B$6)=0,"",IF(AND(COUNT(A1294:A1305)=2,COUNT(F1294:F1305)=2),cubic_spline(F1293:F1295,A1293:A1295,B$6),IF(AND(COUNT(A1294:A1305)=3,COUNT(F1294:F1305)=3),cubic_spline(F1293:F1296,A1293:A1296,B$6),IF(AND(COUNT(A1294:A1305)=4,COUNT(F1294:F1305)=4),cubic_spline(F1293:F1297,A1293:A1297,B$6),IF(AND(COUNT(A1294:A1305)=5,COUNT(F1294:F1305)=5),cubic_spline(F1293:F1298,A1293:A1298,B$6),IF(AND(COUNT(A1294:A1305)=6,COUNT(F1294:F1305)=6),cubic_spline(F1293:F1299,A1293:A1299,B$6),IF(AND(COUNT(A1294:A1305)=7,COUNT(F1294:F1305)=7),cubic_spline(F1293:F1300,A1293:A1300,B$6),IF(AND(COUNT(A1294:A1305)=8,COUNT(F1294:F1305)=8),cubic_spline(F1293:F1301,A1293:A1301,B$6),IF(AND(COUNT(A1294:A1305)=9,COUNT(F1294:F1305)=9),cubic_spline(F1293:F1302,A1293:A1302,B$6),IF(AND(COUNT(A1294:A1305)=10,COUNT(F1294:F1305)=10),cubic_spline(F1293:F1303,A1293:A1303,B$6),IF(AND(COUNT(A1294:A1305)=11,COUNT(F1294:F1305)=11),cubic_spline(F1293:F1304,A1293:A1304,B$6),IF(AND(COUNT(A1294:A1305)=12,COUNT(F1294:F1305)=12),cubic_spline(F1293:F1305,A1293:A1305,B$6),""))))))))))))</f>
        <v/>
      </c>
      <c r="L1296" s="27" t="str">
        <f>IF(I1296="","",B$5&amp;"-"&amp;B$6)</f>
        <v/>
      </c>
      <c r="M1296" s="52" t="str">
        <f>IF(N(J1296)=0,"",J1296-J1295)</f>
        <v/>
      </c>
    </row>
    <row r="1297" spans="1:13" x14ac:dyDescent="0.35">
      <c r="A1297" s="48"/>
      <c r="B1297" s="48"/>
      <c r="C1297" s="49"/>
      <c r="D1297" s="50"/>
      <c r="E1297" s="51" t="str">
        <f>IF(N(C1297)=0,"",C1297/PI()/($D$1/2)^2/$D$2*10000)</f>
        <v/>
      </c>
      <c r="F1297" s="68" t="str">
        <f t="shared" si="491"/>
        <v/>
      </c>
      <c r="G1297" s="69" t="str">
        <f t="shared" si="493"/>
        <v/>
      </c>
      <c r="H1297" s="70" t="str">
        <f t="shared" si="492"/>
        <v/>
      </c>
      <c r="I1297" s="27" t="str">
        <f>IF(N(J1297)=0,"",0&amp;"-"&amp;B$7)</f>
        <v/>
      </c>
      <c r="J1297" s="52" t="str">
        <f>IF(N(B$7)=0,"",IF(AND(COUNT(H1294:H1305)=2,COUNT(F1294:F1305)=2),cubic_spline(F1293:F1295,H1293:H1295,B$7),IF(AND(COUNT(H1294:H1305)=3,COUNT(F1294:F1305)=3),cubic_spline(F1293:F1296,H1293:H1296,B$7),IF(AND(COUNT(H1294:H1305)=4,COUNT(F1294:F1305)=4),cubic_spline(F1293:F1297,H1293:H1297,B$7),IF(AND(COUNT(H1294:H1305)=5,COUNT(F1294:F1305)=5),cubic_spline(F1293:F1298,H1293:H1298,B$7),IF(AND(COUNT(H1294:H1305)=6,COUNT(F1294:F1305)=6),cubic_spline(F1293:F1299,H1293:H1299,B$7),IF(AND(COUNT(H1294:H1305)=7,COUNT(F1294:F1305)=7),cubic_spline(F1293:F1300,H1293:H1300,B$7),IF(AND(COUNT(H1294:H1305)=8,COUNT(F1294:F1305)=8),cubic_spline(F1293:F1301,H1293:H1301,B$7),IF(AND(COUNT(H1294:H1305)=9,COUNT(F1294:F1305)=9),cubic_spline(F1293:F1302,H1293:H1302,B$7),IF(AND(COUNT(H1294:H1305)=10,COUNT(F1294:F1305)=10),cubic_spline(F1293:F1303,H1293:H1303,B$7),IF(AND(COUNT(H1294:H1305)=11,COUNT(F1294:F1305)=11),cubic_spline(F1293:F1304,H1293:H1304,B$7),IF(AND(COUNT(H1294:H1305)=12,COUNT(F1294:F1305)=12),cubic_spline(F1293:F1305,H1293:H1305,B$7),""))))))))))))</f>
        <v/>
      </c>
      <c r="K1297" s="52" t="str">
        <f>IF(N(B$7)=0,"",IF(AND(COUNT(A1294:A1305)=2,COUNT(F1294:F1305)=2),cubic_spline(F1293:F1295,A1293:A1295,B$7),IF(AND(COUNT(A1294:A1305)=3,COUNT(F1294:F1305)=3),cubic_spline(F1293:F1296,A1293:A1296,B$7),IF(AND(COUNT(A1294:A1305)=4,COUNT(F1294:F1305)=4),cubic_spline(F1293:F1297,A1293:A1297,B$7),IF(AND(COUNT(A1294:A1305)=5,COUNT(F1294:F1305)=5),cubic_spline(F1293:F1298,A1293:A1298,B$7),IF(AND(COUNT(A1294:A1305)=6,COUNT(F1294:F1305)=6),cubic_spline(F1293:F1299,A1293:A1299,B$7),IF(AND(COUNT(A1294:A1305)=7,COUNT(F1294:F1305)=7),cubic_spline(F1293:F1300,A1293:A1300,B$7),IF(AND(COUNT(A1294:A1305)=8,COUNT(F1294:F1305)=8),cubic_spline(F1293:F1301,A1293:A1301,B$7),IF(AND(COUNT(A1294:A1305)=9,COUNT(F1294:F1305)=9),cubic_spline(F1293:F1302,A1293:A1302,B$7),IF(AND(COUNT(A1294:A1305)=10,COUNT(F1294:F1305)=10),cubic_spline(F1293:F1303,A1293:A1303,B$7),IF(AND(COUNT(A1294:A1305)=11,COUNT(F1294:F1305)=11),cubic_spline(F1293:F1304,A1293:A1304,B$7),IF(AND(COUNT(A1294:A1305)=12,COUNT(F1294:F1305)=12),cubic_spline(F1293:F1305,A1293:A1305,B$7),""))))))))))))</f>
        <v/>
      </c>
      <c r="L1297" s="27" t="str">
        <f>IF(I1297="","",B$6&amp;"-"&amp;B$7)</f>
        <v/>
      </c>
      <c r="M1297" s="52" t="str">
        <f>IF(N(J1297)=0,"",J1297-J1296)</f>
        <v/>
      </c>
    </row>
    <row r="1298" spans="1:13" x14ac:dyDescent="0.35">
      <c r="A1298" s="48"/>
      <c r="B1298" s="48"/>
      <c r="C1298" s="49"/>
      <c r="D1298" s="50"/>
      <c r="E1298" s="51" t="str">
        <f t="shared" ref="E1298:E1305" si="494">IF(N(C1298)=0,"",C1298/PI()/($D$1/2)^2/$D$2*10000)</f>
        <v/>
      </c>
      <c r="F1298" s="71" t="str">
        <f t="shared" si="491"/>
        <v/>
      </c>
      <c r="G1298" s="69" t="str">
        <f t="shared" si="493"/>
        <v/>
      </c>
      <c r="H1298" s="70" t="str">
        <f t="shared" si="492"/>
        <v/>
      </c>
      <c r="I1298" s="27" t="str">
        <f>IF(N(J1298)=0,"",0&amp;"-"&amp;B$8)</f>
        <v/>
      </c>
      <c r="J1298" s="52" t="str">
        <f>IF(N(B$8)=0,"",IF(AND(COUNT(H1294:H1305)=2,COUNT(F1294:F1305)=2),cubic_spline(F1293:F1295,H1293:H1295,B$8),IF(AND(COUNT(H1294:H1305)=3,COUNT(F1294:F1305)=3),cubic_spline(F1293:F1296,H1293:H1296,B$8),IF(AND(COUNT(H1294:H1305)=4,COUNT(F1294:F1305)=4),cubic_spline(F1293:F1297,H1293:H1297,B$8),IF(AND(COUNT(H1294:H1305)=5,COUNT(F1294:F1305)=5),cubic_spline(F1293:F1298,H1293:H1298,B$8),IF(AND(COUNT(H1294:H1305)=6,COUNT(F1294:F1305)=6),cubic_spline(F1293:F1299,H1293:H1299,B$8),IF(AND(COUNT(H1294:H1305)=7,COUNT(F1294:F1305)=7),cubic_spline(F1293:F1300,H1293:H1300,B$8),IF(AND(COUNT(H1294:H1305)=8,COUNT(F1294:F1305)=8),cubic_spline(F1293:F1301,H1293:H1301,B$8),IF(AND(COUNT(H1294:H1305)=9,COUNT(F1294:F1305)=9),cubic_spline(F1293:F1302,H1293:H1302,B$8),IF(AND(COUNT(H1294:H1305)=10,COUNT(F1294:F1305)=10),cubic_spline(F1293:F1303,H1293:H1303,B$8),IF(AND(COUNT(H1294:H1305)=11,COUNT(F1294:F1305)=11),cubic_spline(F1293:F1304,H1293:H1304,B$8),IF(AND(COUNT(H1294:H1305)=12,COUNT(F1294:F1305)=12),cubic_spline(F1293:F1305,H1293:H1305,B$8),""))))))))))))</f>
        <v/>
      </c>
      <c r="K1298" s="52" t="str">
        <f>IF(N(B$8)=0,"",IF(AND(COUNT(A1294:A1305)=2,COUNT(F1294:F1305)=2),cubic_spline(F1293:F1295,A1293:A1295,B$8),IF(AND(COUNT(A1294:A1305)=3,COUNT(F1294:F1305)=3),cubic_spline(F1293:F1296,A1293:A1296,B$8),IF(AND(COUNT(A1294:A1305)=4,COUNT(F1294:F1305)=4),cubic_spline(F1293:F1297,A1293:A1297,B$8),IF(AND(COUNT(A1294:A1305)=5,COUNT(F1294:F1305)=5),cubic_spline(F1293:F1298,A1293:A1298,B$8),IF(AND(COUNT(A1294:A1305)=6,COUNT(F1294:F1305)=6),cubic_spline(F1293:F1299,A1293:A1299,B$8),IF(AND(COUNT(A1294:A1305)=7,COUNT(F1294:F1305)=7),cubic_spline(F1293:F1300,A1293:A1300,B$8),IF(AND(COUNT(A1294:A1305)=8,COUNT(F1294:F1305)=8),cubic_spline(F1293:F1301,A1293:A1301,B$8),IF(AND(COUNT(A1294:A1305)=9,COUNT(F1294:F1305)=9),cubic_spline(F1293:F1302,A1293:A1302,B$8),IF(AND(COUNT(A1294:A1305)=10,COUNT(F1294:F1305)=10),cubic_spline(F1293:F1303,A1293:A1303,B$8),IF(AND(COUNT(A1294:A1305)=11,COUNT(F1294:F1305)=11),cubic_spline(F1293:F1304,A1293:A1304,B$8),IF(AND(COUNT(A1294:A1305)=12,COUNT(F1294:F1305)=12),cubic_spline(F1293:F1305,A1293:A1305,B$8),""))))))))))))</f>
        <v/>
      </c>
      <c r="L1298" s="27" t="str">
        <f>IF(I1298="","",B$7&amp;"-"&amp;B$8)</f>
        <v/>
      </c>
      <c r="M1298" s="52" t="str">
        <f>IF(N(J1298)=0,"",J1298-J1297)</f>
        <v/>
      </c>
    </row>
    <row r="1299" spans="1:13" x14ac:dyDescent="0.35">
      <c r="A1299" s="48"/>
      <c r="B1299" s="48"/>
      <c r="C1299" s="49"/>
      <c r="D1299" s="50"/>
      <c r="E1299" s="51" t="str">
        <f t="shared" si="494"/>
        <v/>
      </c>
      <c r="F1299" s="71" t="str">
        <f t="shared" si="491"/>
        <v/>
      </c>
      <c r="G1299" s="69" t="str">
        <f t="shared" si="493"/>
        <v/>
      </c>
      <c r="H1299" s="70" t="str">
        <f t="shared" si="492"/>
        <v/>
      </c>
      <c r="I1299" s="27" t="str">
        <f>IF(N(J1299)=0,"",0&amp;"-"&amp;B$9)</f>
        <v/>
      </c>
      <c r="J1299" s="52" t="str">
        <f>IF(N(B$9)=0,"",IF(AND(COUNT(H1294:H1305)=2,COUNT(F1294:F1305)=2),cubic_spline(F1293:F1295,H1293:H1295,B$9),IF(AND(COUNT(H1294:H1305)=3,COUNT(F1294:F1305)=3),cubic_spline(F1293:F1296,H1293:H1296,B$9),IF(AND(COUNT(H1294:H1305)=4,COUNT(F1294:F1305)=4),cubic_spline(F1293:F1297,H1293:H1297,B$9),IF(AND(COUNT(H1294:H1305)=5,COUNT(F1294:F1305)=5),cubic_spline(F1293:F1298,H1293:H1298,B$9),IF(AND(COUNT(H1294:H1305)=6,COUNT(F1294:F1305)=6),cubic_spline(F1293:F1299,H1293:H1299,B$9),IF(AND(COUNT(H1294:H1305)=7,COUNT(F1294:F1305)=7),cubic_spline(F1293:F1300,H1293:H1300,B$9),IF(AND(COUNT(H1294:H1305)=8,COUNT(F1294:F1305)=8),cubic_spline(F1293:F1301,H1293:H1301,B$9),IF(AND(COUNT(H1294:H1305)=9,COUNT(F1294:F1305)=9),cubic_spline(F1293:F1302,H1293:H1302,B$9),IF(AND(COUNT(H1294:H1305)=10,COUNT(F1294:F1305)=10),cubic_spline(F1293:F1303,H1293:H1303,B$9),IF(AND(COUNT(H1294:H1305)=11,COUNT(F1294:F1305)=11),cubic_spline(F1293:F1304,H1293:H1304,B$9),IF(AND(COUNT(H1294:H1305)=12,COUNT(F1294:F1305)=12),cubic_spline(F1293:F1305,H1293:H1305,B$9),""))))))))))))</f>
        <v/>
      </c>
      <c r="K1299" s="52" t="str">
        <f>IF(N(B$9)=0,"",IF(AND(COUNT(A1294:A1305)=2,COUNT(F1294:F1305)=2),cubic_spline(F1293:F1295,A1293:A1295,B$9),IF(AND(COUNT(A1294:A1305)=3,COUNT(F1294:F1305)=3),cubic_spline(F1293:F1296,A1293:A1296,B$9),IF(AND(COUNT(A1294:A1305)=4,COUNT(F1294:F1305)=4),cubic_spline(F1293:F1297,A1293:A1297,B$9),IF(AND(COUNT(A1294:A1305)=5,COUNT(F1294:F1305)=5),cubic_spline(F1293:F1298,A1293:A1298,B$9),IF(AND(COUNT(A1294:A1305)=6,COUNT(F1294:F1305)=6),cubic_spline(F1293:F1299,A1293:A1299,B$9),IF(AND(COUNT(A1294:A1305)=7,COUNT(F1294:F1305)=7),cubic_spline(F1293:F1300,A1293:A1300,B$9),IF(AND(COUNT(A1294:A1305)=8,COUNT(F1294:F1305)=8),cubic_spline(F1293:F1301,A1293:A1301,B$9),IF(AND(COUNT(A1294:A1305)=9,COUNT(F1294:F1305)=9),cubic_spline(F1293:F1302,A1293:A1302,B$9),IF(AND(COUNT(A1294:A1305)=10,COUNT(F1294:F1305)=10),cubic_spline(F1293:F1303,A1293:A1303,B$9),IF(AND(COUNT(A1294:A1305)=11,COUNT(F1294:F1305)=11),cubic_spline(F1293:F1304,A1293:A1304,B$9),IF(AND(COUNT(A1294:A1305)=12,COUNT(F1294:F1305)=12),cubic_spline(F1293:F1305,A1293:A1305,B$9),""))))))))))))</f>
        <v/>
      </c>
      <c r="L1299" s="27" t="str">
        <f>IF(I1299="","",B$8&amp;"-"&amp;B$9)</f>
        <v/>
      </c>
      <c r="M1299" s="52" t="str">
        <f t="shared" ref="M1299:M1305" si="495">IF(N(J1299)=0,"",J1299-J1298)</f>
        <v/>
      </c>
    </row>
    <row r="1300" spans="1:13" x14ac:dyDescent="0.35">
      <c r="A1300" s="48"/>
      <c r="B1300" s="48"/>
      <c r="C1300" s="49"/>
      <c r="D1300" s="50"/>
      <c r="E1300" s="51" t="str">
        <f t="shared" si="494"/>
        <v/>
      </c>
      <c r="F1300" s="71" t="str">
        <f t="shared" si="491"/>
        <v/>
      </c>
      <c r="G1300" s="69" t="str">
        <f t="shared" si="493"/>
        <v/>
      </c>
      <c r="H1300" s="70" t="str">
        <f t="shared" si="492"/>
        <v/>
      </c>
      <c r="I1300" s="27" t="str">
        <f>IF(N(J1300)=0,"",0&amp;"-"&amp;B$10)</f>
        <v/>
      </c>
      <c r="J1300" s="52" t="str">
        <f>IF(N(B$10)=0,"",IF(AND(COUNT(H1294:H1305)=2,COUNT(F1294:F1305)=2),cubic_spline(F1293:F1295,H1293:H1295,B$10),IF(AND(COUNT(H1294:H1305)=3,COUNT(F1294:F1305)=3),cubic_spline(F1293:F1296,H1293:H1296,B$10),IF(AND(COUNT(H1294:H1305)=4,COUNT(F1294:F1305)=4),cubic_spline(F1293:F1297,H1293:H1297,B$10),IF(AND(COUNT(H1294:H1305)=5,COUNT(F1294:F1305)=5),cubic_spline(F1293:F1298,H1293:H1298,B$10),IF(AND(COUNT(H1294:H1305)=6,COUNT(F1294:F1305)=6),cubic_spline(F1293:F1299,H1293:H1299,B$10),IF(AND(COUNT(H1294:H1305)=7,COUNT(F1294:F1305)=7),cubic_spline(F1293:F1300,H1293:H1300,B$10),IF(AND(COUNT(H1294:H1305)=8,COUNT(F1294:F1305)=8),cubic_spline(F1293:F1301,H1293:H1301,B$10),IF(AND(COUNT(H1294:H1305)=9,COUNT(F1294:F1305)=9),cubic_spline(F1293:F1302,H1293:H1302,B$10),IF(AND(COUNT(H1294:H1305)=10,COUNT(F1294:F1305)=10),cubic_spline(F1293:F1303,H1293:H1303,B$10),IF(AND(COUNT(H1294:H1305)=11,COUNT(F1294:F1305)=11),cubic_spline(F1293:F1304,H1293:H1304,B$10),IF(AND(COUNT(H1294:H1305)=12,COUNT(F1294:F1305)=12),cubic_spline(F1293:F1305,H1293:H1305,B$10),""))))))))))))</f>
        <v/>
      </c>
      <c r="K1300" s="52" t="str">
        <f>IF(N(B$10)=0,"",IF(AND(COUNT(A1294:A1305)=2,COUNT(F1294:F1305)=2),cubic_spline(F1293:F1295,A1293:A1295,B$10),IF(AND(COUNT(A1294:A1305)=3,COUNT(F1294:F1305)=3),cubic_spline(F1293:F1296,A1293:A1296,B$10),IF(AND(COUNT(A1294:A1305)=4,COUNT(F1294:F1305)=4),cubic_spline(F1293:F1297,A1293:A1297,B$10),IF(AND(COUNT(A1294:A1305)=5,COUNT(F1294:F1305)=5),cubic_spline(F1293:F1298,A1293:A1298,B$10),IF(AND(COUNT(A1294:A1305)=6,COUNT(F1294:F1305)=6),cubic_spline(F1293:F1299,A1293:A1299,B$10),IF(AND(COUNT(A1294:A1305)=7,COUNT(F1294:F1305)=7),cubic_spline(F1293:F1300,A1293:A1300,B$10),IF(AND(COUNT(A1294:A1305)=8,COUNT(F1294:F1305)=8),cubic_spline(F1293:F1301,A1293:A1301,B$10),IF(AND(COUNT(A1294:A1305)=9,COUNT(F1294:F1305)=9),cubic_spline(F1293:F1302,A1293:A1302,B$10),IF(AND(COUNT(A1294:A1305)=10,COUNT(F1294:F1305)=10),cubic_spline(F1293:F1303,A1293:A1303,B$10),IF(AND(COUNT(A1294:A1305)=11,COUNT(F1294:F1305)=11),cubic_spline(F1293:F1304,A1293:A1304,B$10),IF(AND(COUNT(A1294:A1305)=12,COUNT(F1294:F1305)=12),cubic_spline(F1293:F1305,A1293:A1305,B$10),""))))))))))))</f>
        <v/>
      </c>
      <c r="L1300" s="27" t="str">
        <f>IF(I1300="","",B$9&amp;"-"&amp;B$10)</f>
        <v/>
      </c>
      <c r="M1300" s="52" t="str">
        <f t="shared" si="495"/>
        <v/>
      </c>
    </row>
    <row r="1301" spans="1:13" x14ac:dyDescent="0.35">
      <c r="A1301" s="48"/>
      <c r="B1301" s="48"/>
      <c r="C1301" s="49"/>
      <c r="D1301" s="50"/>
      <c r="E1301" s="51" t="str">
        <f t="shared" si="494"/>
        <v/>
      </c>
      <c r="F1301" s="71" t="str">
        <f t="shared" si="491"/>
        <v/>
      </c>
      <c r="G1301" s="69" t="str">
        <f t="shared" si="493"/>
        <v/>
      </c>
      <c r="H1301" s="70" t="str">
        <f t="shared" si="492"/>
        <v/>
      </c>
      <c r="I1301" s="27" t="str">
        <f>IF(N(J1301)=0,"",0&amp;"-"&amp;B$11)</f>
        <v/>
      </c>
      <c r="J1301" s="52" t="str">
        <f>IF(N(B$11)=0,"",IF(AND(COUNT(H1294:H1305)=2,COUNT(F1294:F1305)=2),cubic_spline(F1293:F1295,H1293:H1295,B$11),IF(AND(COUNT(H1294:H1305)=3,COUNT(F1294:F1305)=3),cubic_spline(F1293:F1296,H1293:H1296,B$11),IF(AND(COUNT(H1294:H1305)=4,COUNT(F1294:F1305)=4),cubic_spline(F1293:F1297,H1293:H1297,B$11),IF(AND(COUNT(H1294:H1305)=5,COUNT(F1294:F1305)=5),cubic_spline(F1293:F1298,H1293:H1298,B$11),IF(AND(COUNT(H1294:H1305)=6,COUNT(F1294:F1305)=6),cubic_spline(F1293:F1299,H1293:H1299,B$11),IF(AND(COUNT(H1294:H1305)=7,COUNT(F1294:F1305)=7),cubic_spline(F1293:F1300,H1293:H1300,B$11),IF(AND(COUNT(H1294:H1305)=8,COUNT(F1294:F1305)=8),cubic_spline(F1293:F1301,H1293:H1301,B$11),IF(AND(COUNT(H1294:H1305)=9,COUNT(F1294:F1305)=9),cubic_spline(F1293:F1302,H1293:H1302,B$11),IF(AND(COUNT(H1294:H1305)=10,COUNT(F1294:F1305)=10),cubic_spline(F1293:F1303,H1293:H1303,B$11),IF(AND(COUNT(H1294:H1305)=11,COUNT(F1294:F1305)=11),cubic_spline(F1293:F1304,H1293:H1304,B$11),IF(AND(COUNT(H1294:H1305)=12,COUNT(F1294:F1305)=12),cubic_spline(F1293:F1305,H1293:H1305,B$11),""))))))))))))</f>
        <v/>
      </c>
      <c r="K1301" s="52" t="str">
        <f>IF(N(B$11)=0,"",IF(AND(COUNT(A1294:A1305)=2,COUNT(F1294:F1305)=2),cubic_spline(F1293:F1295,A1293:A1295,B$11),IF(AND(COUNT(A1294:A1305)=3,COUNT(F1294:F1305)=3),cubic_spline(F1293:F1296,A1293:A1296,B$11),IF(AND(COUNT(A1294:A1305)=4,COUNT(F1294:F1305)=4),cubic_spline(F1293:F1297,A1293:A1297,B$11),IF(AND(COUNT(A1294:A1305)=5,COUNT(F1294:F1305)=5),cubic_spline(F1293:F1298,A1293:A1298,B$11),IF(AND(COUNT(A1294:A1305)=6,COUNT(F1294:F1305)=6),cubic_spline(F1293:F1299,A1293:A1299,B$11),IF(AND(COUNT(A1294:A1305)=7,COUNT(F1294:F1305)=7),cubic_spline(F1293:F1300,A1293:A1300,B$11),IF(AND(COUNT(A1294:A1305)=8,COUNT(F1294:F1305)=8),cubic_spline(F1293:F1301,A1293:A1301,B$11),IF(AND(COUNT(A1294:A1305)=9,COUNT(F1294:F1305)=9),cubic_spline(F1293:F1302,A1293:A1302,B$11),IF(AND(COUNT(A1294:A1305)=10,COUNT(F1294:F1305)=10),cubic_spline(F1293:F1303,A1293:A1303,B$11),IF(AND(COUNT(A1294:A1305)=11,COUNT(F1294:F1305)=11),cubic_spline(F1293:F1304,A1293:A1304,B$11),IF(AND(COUNT(A1294:A1305)=12,COUNT(F1294:F1305)=12),cubic_spline(F1293:F1305,A1293:A1305,B$11),""))))))))))))</f>
        <v/>
      </c>
      <c r="L1301" s="27" t="str">
        <f>IF(I1301="","",B$10&amp;"-"&amp;B$11)</f>
        <v/>
      </c>
      <c r="M1301" s="52" t="str">
        <f t="shared" si="495"/>
        <v/>
      </c>
    </row>
    <row r="1302" spans="1:13" x14ac:dyDescent="0.35">
      <c r="A1302" s="48"/>
      <c r="B1302" s="48"/>
      <c r="C1302" s="49"/>
      <c r="D1302" s="50"/>
      <c r="E1302" s="51" t="str">
        <f t="shared" si="494"/>
        <v/>
      </c>
      <c r="F1302" s="71" t="str">
        <f t="shared" si="491"/>
        <v/>
      </c>
      <c r="G1302" s="69" t="str">
        <f t="shared" si="493"/>
        <v/>
      </c>
      <c r="H1302" s="70" t="str">
        <f t="shared" si="492"/>
        <v/>
      </c>
      <c r="I1302" s="27" t="str">
        <f>IF(N(J1302)=0,"",0&amp;"-"&amp;B$12)</f>
        <v/>
      </c>
      <c r="J1302" s="52" t="str">
        <f>IF(N(B$12)=0,"",IF(AND(COUNT(H1294:H1305)=2,COUNT(F1294:F1305)=2),cubic_spline(F1293:F1295,H1293:H1295,B$12),IF(AND(COUNT(H1294:H1305)=3,COUNT(F1294:F1305)=3),cubic_spline(F1293:F1296,H1293:H1296,B$12),IF(AND(COUNT(H1294:H1305)=4,COUNT(F1294:F1305)=4),cubic_spline(F1293:F1297,H1293:H1297,B$12),IF(AND(COUNT(H1294:H1305)=5,COUNT(F1294:F1305)=5),cubic_spline(F1293:F1298,H1293:H1298,B$12),IF(AND(COUNT(H1294:H1305)=6,COUNT(F1294:F1305)=6),cubic_spline(F1293:F1299,H1293:H1299,B$12),IF(AND(COUNT(H1294:H1305)=7,COUNT(F1294:F1305)=7),cubic_spline(F1293:F1300,H1293:H1300,B$12),IF(AND(COUNT(H1294:H1305)=8,COUNT(F1294:F1305)=8),cubic_spline(F1293:F1301,H1293:H1301,B$12),IF(AND(COUNT(H1294:H1305)=9,COUNT(F1294:F1305)=9),cubic_spline(F1293:F1302,H1293:H1302,B$12),IF(AND(COUNT(H1294:H1305)=10,COUNT(F1294:F1305)=10),cubic_spline(F1293:F1303,H1293:H1303,B$12),IF(AND(COUNT(H1294:H1305)=11,COUNT(F1294:F1305)=11),cubic_spline(F1293:F1304,H1293:H1304,B$12),IF(AND(COUNT(H1294:H1305)=12,COUNT(F1294:F1305)=12),cubic_spline(F1293:F1305,H1293:H1305,B$12),""))))))))))))</f>
        <v/>
      </c>
      <c r="K1302" s="52" t="str">
        <f>IF(N(B$12)=0,"",IF(AND(COUNT(A1294:A1305)=2,COUNT(F1294:F1305)=2),cubic_spline(F1293:F1295,A1293:A1295,B$12),IF(AND(COUNT(A1294:A1305)=3,COUNT(F1294:F1305)=3),cubic_spline(F1293:F1296,A1293:A1296,B$12),IF(AND(COUNT(A1294:A1305)=4,COUNT(F1294:F1305)=4),cubic_spline(F1293:F1297,A1293:A1297,B$12),IF(AND(COUNT(A1294:A1305)=5,COUNT(F1294:F1305)=5),cubic_spline(F1293:F1298,A1293:A1298,B$12),IF(AND(COUNT(A1294:A1305)=6,COUNT(F1294:F1305)=6),cubic_spline(F1293:F1299,A1293:A1299,B$12),IF(AND(COUNT(A1294:A1305)=7,COUNT(F1294:F1305)=7),cubic_spline(F1293:F1300,A1293:A1300,B$12),IF(AND(COUNT(A1294:A1305)=8,COUNT(F1294:F1305)=8),cubic_spline(F1293:F1301,A1293:A1301,B$12),IF(AND(COUNT(A1294:A1305)=9,COUNT(F1294:F1305)=9),cubic_spline(F1293:F1302,A1293:A1302,B$12),IF(AND(COUNT(A1294:A1305)=10,COUNT(F1294:F1305)=10),cubic_spline(F1293:F1303,A1293:A1303,B$12),IF(AND(COUNT(A1294:A1305)=11,COUNT(F1294:F1305)=11),cubic_spline(F1293:F1304,A1293:A1304,B$12),IF(AND(COUNT(A1294:A1305)=12,COUNT(F1294:F1305)=12),cubic_spline(F1293:F1305,A1293:A1305,B$12),""))))))))))))</f>
        <v/>
      </c>
      <c r="L1302" s="27" t="str">
        <f>IF(I1302="","",B$11&amp;"-"&amp;B$12)</f>
        <v/>
      </c>
      <c r="M1302" s="52" t="str">
        <f t="shared" si="495"/>
        <v/>
      </c>
    </row>
    <row r="1303" spans="1:13" x14ac:dyDescent="0.35">
      <c r="A1303" s="48"/>
      <c r="B1303" s="48"/>
      <c r="C1303" s="49"/>
      <c r="D1303" s="50"/>
      <c r="E1303" s="51" t="str">
        <f t="shared" si="494"/>
        <v/>
      </c>
      <c r="F1303" s="71" t="str">
        <f t="shared" si="491"/>
        <v/>
      </c>
      <c r="G1303" s="69" t="str">
        <f t="shared" si="493"/>
        <v/>
      </c>
      <c r="H1303" s="70" t="str">
        <f t="shared" si="492"/>
        <v/>
      </c>
      <c r="I1303" s="27" t="str">
        <f>IF(N(J1303)=0,"",0&amp;"-"&amp;B$13)</f>
        <v/>
      </c>
      <c r="J1303" s="52" t="str">
        <f>IF(N(B$13)=0,"",IF(AND(COUNT(H1294:H1305)=2,COUNT(F1294:F1305)=2),cubic_spline(F1293:F1295,H1293:H1295,B$13),IF(AND(COUNT(H1294:H1305)=3,COUNT(F1294:F1305)=3),cubic_spline(F1293:F1296,H1293:H1296,B$13),IF(AND(COUNT(H1294:H1305)=4,COUNT(F1294:F1305)=4),cubic_spline(F1293:F1297,H1293:H1297,B$13),IF(AND(COUNT(H1294:H1305)=5,COUNT(F1294:F1305)=5),cubic_spline(F1293:F1298,H1293:H1298,B$13),IF(AND(COUNT(H1294:H1305)=6,COUNT(F1294:F1305)=6),cubic_spline(F1293:F1299,H1293:H1299,B$13),IF(AND(COUNT(H1294:H1305)=7,COUNT(F1294:F1305)=7),cubic_spline(F1293:F1300,H1293:H1300,B$13),IF(AND(COUNT(H1294:H1305)=8,COUNT(F1294:F1305)=8),cubic_spline(F1293:F1301,H1293:H1301,B$13),IF(AND(COUNT(H1294:H1305)=9,COUNT(F1294:F1305)=9),cubic_spline(F1293:F1302,H1293:H1302,B$13),IF(AND(COUNT(H1294:H1305)=10,COUNT(F1294:F1305)=10),cubic_spline(F1293:F1303,H1293:H1303,B$13),IF(AND(COUNT(H1294:H1305)=11,COUNT(F1294:F1305)=11),cubic_spline(F1293:F1304,H1293:H1304,B$13),IF(AND(COUNT(H1294:H1305)=12,COUNT(F1294:F1305)=12),cubic_spline(F1293:F1305,H1293:H1305,B$13),""))))))))))))</f>
        <v/>
      </c>
      <c r="K1303" s="52" t="str">
        <f>IF(N(B$13)=0,"",IF(AND(COUNT(A1294:A1305)=2,COUNT(F1294:F1305)=2),cubic_spline(F1293:F1295,A1293:A1295,B$13),IF(AND(COUNT(A1294:A1305)=3,COUNT(F1294:F1305)=3),cubic_spline(F1293:F1296,A1293:A1296,B$13),IF(AND(COUNT(A1294:A1305)=4,COUNT(F1294:F1305)=4),cubic_spline(F1293:F1297,A1293:A1297,B$13),IF(AND(COUNT(A1294:A1305)=5,COUNT(F1294:F1305)=5),cubic_spline(F1293:F1298,A1293:A1298,B$13),IF(AND(COUNT(A1294:A1305)=6,COUNT(F1294:F1305)=6),cubic_spline(F1293:F1299,A1293:A1299,B$13),IF(AND(COUNT(A1294:A1305)=7,COUNT(F1294:F1305)=7),cubic_spline(F1293:F1300,A1293:A1300,B$13),IF(AND(COUNT(A1294:A1305)=8,COUNT(F1294:F1305)=8),cubic_spline(F1293:F1301,A1293:A1301,B$13),IF(AND(COUNT(A1294:A1305)=9,COUNT(F1294:F1305)=9),cubic_spline(F1293:F1302,A1293:A1302,B$13),IF(AND(COUNT(A1294:A1305)=10,COUNT(F1294:F1305)=10),cubic_spline(F1293:F1303,A1293:A1303,B$13),IF(AND(COUNT(A1294:A1305)=11,COUNT(F1294:F1305)=11),cubic_spline(F1293:F1304,A1293:A1304,B$13),IF(AND(COUNT(A1294:A1305)=12,COUNT(F1294:F1305)=12),cubic_spline(F1293:F1305,A1293:A1305,B$13),""))))))))))))</f>
        <v/>
      </c>
      <c r="L1303" s="27" t="str">
        <f>IF(I1303="","",B$12&amp;"-"&amp;B$13)</f>
        <v/>
      </c>
      <c r="M1303" s="52" t="str">
        <f t="shared" si="495"/>
        <v/>
      </c>
    </row>
    <row r="1304" spans="1:13" x14ac:dyDescent="0.35">
      <c r="A1304" s="48"/>
      <c r="B1304" s="48"/>
      <c r="C1304" s="49"/>
      <c r="D1304" s="50"/>
      <c r="E1304" s="51" t="str">
        <f t="shared" si="494"/>
        <v/>
      </c>
      <c r="F1304" s="71" t="str">
        <f t="shared" si="491"/>
        <v/>
      </c>
      <c r="G1304" s="69" t="str">
        <f t="shared" si="493"/>
        <v/>
      </c>
      <c r="H1304" s="70" t="str">
        <f t="shared" si="492"/>
        <v/>
      </c>
      <c r="I1304" s="27" t="str">
        <f>IF(N(J1304)=0,"",0&amp;"-"&amp;B$14)</f>
        <v/>
      </c>
      <c r="J1304" s="52" t="str">
        <f>IF(N(B$14)=0,"",IF(AND(COUNT(H1294:H1305)=2,COUNT(F1294:F1305)=2),cubic_spline(F1293:F1295,H1293:H1295,B$14),IF(AND(COUNT(H1294:H1305)=3,COUNT(F1294:F1305)=3),cubic_spline(F1293:F1296,H1293:H1296,B$14),IF(AND(COUNT(H1294:H1305)=4,COUNT(F1294:F1305)=4),cubic_spline(F1293:F1297,H1293:H1297,B$14),IF(AND(COUNT(H1294:H1305)=5,COUNT(F1294:F1305)=5),cubic_spline(F1293:F1298,H1293:H1298,B$14),IF(AND(COUNT(H1294:H1305)=6,COUNT(F1294:F1305)=6),cubic_spline(F1293:F1299,H1293:H1299,B$14),IF(AND(COUNT(H1294:H1305)=7,COUNT(F1294:F1305)=7),cubic_spline(F1293:F1300,H1293:H1300,B$14),IF(AND(COUNT(H1294:H1305)=8,COUNT(F1294:F1305)=8),cubic_spline(F1293:F1301,H1293:H1301,B$14),IF(AND(COUNT(H1294:H1305)=9,COUNT(F1294:F1305)=9),cubic_spline(F1293:F1302,H1293:H1302,B$14),IF(AND(COUNT(H1294:H1305)=10,COUNT(F1294:F1305)=10),cubic_spline(F1293:F1303,H1293:H1303,B$14),IF(AND(COUNT(H1294:H1305)=11,COUNT(F1294:F1305)=11),cubic_spline(F1293:F1304,H1293:H1304,B$14),IF(AND(COUNT(H1294:H1305)=12,COUNT(F1294:F1305)=12),cubic_spline(F1293:F1305,H1293:H1305,B$14),""))))))))))))</f>
        <v/>
      </c>
      <c r="K1304" s="52" t="str">
        <f>IF(N(B$14)=0,"",IF(AND(COUNT(A1294:A1305)=2,COUNT(F1294:F1305)=2),cubic_spline(F1293:F1295,A1293:A1295,B$14),IF(AND(COUNT(A1294:A1305)=3,COUNT(F1294:F1305)=3),cubic_spline(F1293:F1296,A1293:A1296,B$14),IF(AND(COUNT(A1294:A1305)=4,COUNT(F1294:F1305)=4),cubic_spline(F1293:F1297,A1293:A1297,B$14),IF(AND(COUNT(A1294:A1305)=5,COUNT(F1294:F1305)=5),cubic_spline(F1293:F1298,A1293:A1298,B$14),IF(AND(COUNT(A1294:A1305)=6,COUNT(F1294:F1305)=6),cubic_spline(F1293:F1299,A1293:A1299,B$14),IF(AND(COUNT(A1294:A1305)=7,COUNT(F1294:F1305)=7),cubic_spline(F1293:F1300,A1293:A1300,B$14),IF(AND(COUNT(A1294:A1305)=8,COUNT(F1294:F1305)=8),cubic_spline(F1293:F1301,A1293:A1301,B$14),IF(AND(COUNT(A1294:A1305)=9,COUNT(F1294:F1305)=9),cubic_spline(F1293:F1302,A1293:A1302,B$14),IF(AND(COUNT(A1294:A1305)=10,COUNT(F1294:F1305)=10),cubic_spline(F1293:F1303,A1293:A1303,B$14),IF(AND(COUNT(A1294:A1305)=11,COUNT(F1294:F1305)=11),cubic_spline(F1293:F1304,A1293:A1304,B$14),IF(AND(COUNT(A1294:A1305)=12,COUNT(F1294:F1305)=12),cubic_spline(F1293:F1305,A1293:A1305,B$14),""))))))))))))</f>
        <v/>
      </c>
      <c r="L1304" s="27" t="str">
        <f>IF(I1304="","",B$13&amp;"-"&amp;B$14)</f>
        <v/>
      </c>
      <c r="M1304" s="52" t="str">
        <f t="shared" si="495"/>
        <v/>
      </c>
    </row>
    <row r="1305" spans="1:13" x14ac:dyDescent="0.35">
      <c r="A1305" s="48"/>
      <c r="B1305" s="48"/>
      <c r="C1305" s="49"/>
      <c r="D1305" s="50"/>
      <c r="E1305" s="51" t="str">
        <f t="shared" si="494"/>
        <v/>
      </c>
      <c r="F1305" s="71" t="str">
        <f t="shared" si="491"/>
        <v/>
      </c>
      <c r="G1305" s="69" t="str">
        <f t="shared" si="493"/>
        <v/>
      </c>
      <c r="H1305" s="70" t="str">
        <f t="shared" si="492"/>
        <v/>
      </c>
      <c r="I1305" s="27" t="str">
        <f>IF(N(J1305)=0,"",0&amp;"-"&amp;B$15)</f>
        <v/>
      </c>
      <c r="J1305" s="52" t="str">
        <f>IF(N(B$15)=0,"",IF(AND(COUNT(H1294:H1305)=2,COUNT(F1294:F1305)=2),cubic_spline(F1293:F1295,H1293:H1295,B$15),IF(AND(COUNT(H1294:H1305)=3,COUNT(F1294:F1305)=3),cubic_spline(F1293:F1296,H1293:H1296,B$15),IF(AND(COUNT(H1294:H1305)=4,COUNT(F1294:F1305)=4),cubic_spline(F1293:F1297,H1293:H1297,B$15),IF(AND(COUNT(H1294:H1305)=5,COUNT(F1294:F1305)=5),cubic_spline(F1293:F1298,H1293:H1298,B$15),IF(AND(COUNT(H1294:H1305)=6,COUNT(F1294:F1305)=6),cubic_spline(F1293:F1299,H1293:H1299,B$15),IF(AND(COUNT(H1294:H1305)=7,COUNT(F1294:F1305)=7),cubic_spline(F1293:F1300,H1293:H1300,B$15),IF(AND(COUNT(H1294:H1305)=8,COUNT(F1294:F1305)=8),cubic_spline(F1293:F1301,H1293:H1301,B$15),IF(AND(COUNT(H1294:H1305)=9,COUNT(F1294:F1305)=9),cubic_spline(F1293:F1302,H1293:H1302,B$15),IF(AND(COUNT(H1294:H1305)=10,COUNT(F1294:F1305)=10),cubic_spline(F1293:F1303,H1293:H1303,B$15),IF(AND(COUNT(H1294:H1305)=11,COUNT(F1294:F1305)=11),cubic_spline(F1293:F1304,H1293:H1304,B$15),IF(AND(COUNT(H1294:H1305)=12,COUNT(F1294:F1305)=12),cubic_spline(F1293:F1305,H1293:H1305,B$15),""))))))))))))</f>
        <v/>
      </c>
      <c r="K1305" s="52" t="str">
        <f>IF(N(B$15)=0,"",IF(AND(COUNT(A1294:A1305)=2,COUNT(F1294:F1305)=2),cubic_spline(F1293:F1295,A1293:A1295,B$15),IF(AND(COUNT(A1294:A1305)=3,COUNT(F1294:F1305)=3),cubic_spline(F1293:F1296,A1293:A1296,B$15),IF(AND(COUNT(A1294:A1305)=4,COUNT(F1294:F1305)=4),cubic_spline(F1293:F1297,A1293:A1297,B$15),IF(AND(COUNT(A1294:A1305)=5,COUNT(F1294:F1305)=5),cubic_spline(F1293:F1298,A1293:A1298,B$15),IF(AND(COUNT(A1294:A1305)=6,COUNT(F1294:F1305)=6),cubic_spline(F1293:F1299,A1293:A1299,B$15),IF(AND(COUNT(A1294:A1305)=7,COUNT(F1294:F1305)=7),cubic_spline(F1293:F1300,A1293:A1300,B$15),IF(AND(COUNT(A1294:A1305)=8,COUNT(F1294:F1305)=8),cubic_spline(F1293:F1301,A1293:A1301,B$15),IF(AND(COUNT(A1294:A1305)=9,COUNT(F1294:F1305)=9),cubic_spline(F1293:F1302,A1293:A1302,B$15),IF(AND(COUNT(A1294:A1305)=10,COUNT(F1294:F1305)=10),cubic_spline(F1293:F1303,A1293:A1303,B$15),IF(AND(COUNT(A1294:A1305)=11,COUNT(F1294:F1305)=11),cubic_spline(F1293:F1304,A1293:A1304,B$15),IF(AND(COUNT(A1294:A1305)=12,COUNT(F1294:F1305)=12),cubic_spline(F1293:F1305,A1293:A1305,B$15),""))))))))))))</f>
        <v/>
      </c>
      <c r="L1305" s="27" t="str">
        <f>IF(I1305="","",B$14&amp;"-"&amp;B$15)</f>
        <v/>
      </c>
      <c r="M1305" s="52" t="str">
        <f t="shared" si="495"/>
        <v/>
      </c>
    </row>
    <row r="1306" spans="1:13" ht="5.15" customHeight="1" x14ac:dyDescent="0.35">
      <c r="A1306" s="47"/>
      <c r="B1306" s="47"/>
      <c r="C1306" s="47"/>
      <c r="D1306" s="53"/>
      <c r="E1306" s="54"/>
      <c r="F1306" s="55"/>
      <c r="G1306" s="72"/>
      <c r="H1306" s="73"/>
      <c r="I1306" s="47"/>
      <c r="J1306" s="55"/>
      <c r="K1306" s="57"/>
      <c r="L1306" s="55"/>
      <c r="M1306" s="55"/>
    </row>
    <row r="1307" spans="1:13" x14ac:dyDescent="0.35">
      <c r="A1307" s="48"/>
      <c r="B1307" s="48"/>
      <c r="C1307" s="49"/>
      <c r="D1307" s="50"/>
      <c r="E1307" s="51" t="str">
        <f>IF(N(C1307)=0,"",C1307/PI()/($D$1/2)^2/$D$2*10000)</f>
        <v/>
      </c>
      <c r="F1307" s="68" t="str">
        <f t="shared" ref="F1307:F1318" si="496">IF(N(E1307)=0,"",(N(E1307)+N(F1306)))</f>
        <v/>
      </c>
      <c r="G1307" s="69" t="str">
        <f>IF(OR(N(D1307)=0,N(E1307)=0),"",(E1307*D1307)/1000)</f>
        <v/>
      </c>
      <c r="H1307" s="70" t="str">
        <f t="shared" ref="H1307:H1318" si="497">IF(N(G1307)=0,"",(N(G1307)+N(H1306)))</f>
        <v/>
      </c>
      <c r="I1307" s="27" t="str">
        <f>IF(N(J1307)=0,"",0&amp;"-"&amp;B$4)</f>
        <v/>
      </c>
      <c r="J1307" s="27" t="str">
        <f>IF(N(B$4)=0,"",IF(AND(COUNT(H1307:H1318)=2,COUNT(F1307:F1318)=2),cubic_spline(F1306:F1308,H1306:H1308,B$4),IF(AND(COUNT(H1307:H1318)=3,COUNT(F1307:F1318)=3),cubic_spline(F1306:F1309,H1306:H1309,B$4),IF(AND(COUNT(H1307:H1318)=4,COUNT(F1307:F1318)=4),cubic_spline(F1306:F1310,H1306:H1310,B$4),IF(AND(COUNT(H1307:H1318)=5,COUNT(F1307:F1318)=5),cubic_spline(F1306:F1311,H1306:H1311,B$4),IF(AND(COUNT(H1307:H1318)=6,COUNT(F1307:F1318)=6),cubic_spline(F1306:F1312,H1306:H1312,B$4),IF(AND(COUNT(H1307:H1318)=7,COUNT(F1307:F1318)=7),cubic_spline(F1306:F1313,H1306:H1313,B$4),IF(AND(COUNT(H1307:H1318)=8,COUNT(F1307:F1318)=8),cubic_spline(F1306:F1314,H1306:H1314,B$4),IF(AND(COUNT(H1307:H1318)=9,COUNT(F1307:F1318)=9),cubic_spline(F1306:F1315,H1306:H1315,B$4),IF(AND(COUNT(H1307:H1318)=10,COUNT(F1307:F1318)=10),cubic_spline(F1306:F1316,H1306:H1316,B$4),IF(AND(COUNT(H1307:H1318)=11,COUNT(F1307:F1318)=11),cubic_spline(F1306:F1317,H1306:H1317,B$4),IF(AND(COUNT(H1307:H1318)=12,COUNT(F1307:F1318)=12),cubic_spline(F1306:F1318,H1306:H1318,B$4),""))))))))))))</f>
        <v/>
      </c>
      <c r="K1307" s="52" t="str">
        <f>IF(N(B$4)=0,"",IF(AND(COUNT(A1307:A1318)=2,COUNT(F1307:F1318)=2),cubic_spline(F1306:F1308,A1306:A1308,B$4),IF(AND(COUNT(A1307:A1318)=3,COUNT(F1307:F1318)=3),cubic_spline(F1306:F1309,A1306:A1309,B$4),IF(AND(COUNT(A1307:A1318)=4,COUNT(F1307:F1318)=4),cubic_spline(F1306:F1310,A1306:A1310,B$4),IF(AND(COUNT(A1307:A1318)=5,COUNT(F1307:F1318)=5),cubic_spline(F1306:F1311,A1306:A1311,B$4),IF(AND(COUNT(A1307:A1318)=6,COUNT(F1307:F1318)=6),cubic_spline(F1306:F1312,A1306:A1312,B$4),IF(AND(COUNT(A1307:A1318)=7,COUNT(F1307:F1318)=7),cubic_spline(F1306:F1313,A1306:A1313,B$4),IF(AND(COUNT(A1307:A1318)=8,COUNT(F1307:F1318)=8),cubic_spline(F1306:F1314,A1306:A1314,B$4),IF(AND(COUNT(A1307:A1318)=9,COUNT(F1307:F1318)=9),cubic_spline(F1306:F1315,A1306:A1315,B$4),IF(AND(COUNT(A1307:A1318)=10,COUNT(F1307:F1318)=10),cubic_spline(F1306:F1316,A1306:A1316,B$4),IF(AND(COUNT(A1307:A1318)=11,COUNT(F1307:F1318)=11),cubic_spline(F1306:F1317,A1306:A1317,B$4),IF(AND(COUNT(A1307:A1318)=12,COUNT(F1307:F1318)=12),cubic_spline(F1306:F1318,A1306:A1318,B$4),""))))))))))))</f>
        <v/>
      </c>
      <c r="L1307" s="27" t="str">
        <f>IF(I1307="","",0&amp;"-"&amp;B$4)</f>
        <v/>
      </c>
      <c r="M1307" s="27" t="str">
        <f>IF(N(J1307)=0,"",J1307-J1306)</f>
        <v/>
      </c>
    </row>
    <row r="1308" spans="1:13" x14ac:dyDescent="0.35">
      <c r="A1308" s="48"/>
      <c r="B1308" s="48"/>
      <c r="C1308" s="49"/>
      <c r="D1308" s="50"/>
      <c r="E1308" s="51" t="str">
        <f>IF(N(C1308)=0,"",C1308/PI()/($D$1/2)^2/$D$2*10000)</f>
        <v/>
      </c>
      <c r="F1308" s="68" t="str">
        <f t="shared" si="496"/>
        <v/>
      </c>
      <c r="G1308" s="69" t="str">
        <f t="shared" ref="G1308:G1318" si="498">IF(OR(N(D1308)=0,N(E1308)=0),"",(E1308*D1308)/1000)</f>
        <v/>
      </c>
      <c r="H1308" s="70" t="str">
        <f t="shared" si="497"/>
        <v/>
      </c>
      <c r="I1308" s="27" t="str">
        <f>IF(N(J1308)=0,"",0&amp;"-"&amp;B$5)</f>
        <v/>
      </c>
      <c r="J1308" s="27" t="str">
        <f>IF(N(B$5)=0,"",IF(AND(COUNT(H1307:H1318)=2,COUNT(F1307:F1318)=2),cubic_spline(F1306:F1308,H1306:H1308,B$5),IF(AND(COUNT(H1307:H1318)=3,COUNT(F1307:F1318)=3),cubic_spline(F1306:F1309,H1306:H1309,B$5),IF(AND(COUNT(H1307:H1318)=4,COUNT(F1307:F1318)=4),cubic_spline(F1306:F1310,H1306:H1310,B$5),IF(AND(COUNT(H1307:H1318)=5,COUNT(F1307:F1318)=5),cubic_spline(F1306:F1311,H1306:H1311,B$5),IF(AND(COUNT(H1307:H1318)=6,COUNT(F1307:F1318)=6),cubic_spline(F1306:F1312,H1306:H1312,B$5),IF(AND(COUNT(H1307:H1318)=7,COUNT(F1307:F1318)=7),cubic_spline(F1306:F1313,H1306:H1313,B$5),IF(AND(COUNT(H1307:H1318)=8,COUNT(F1307:F1318)=8),cubic_spline(F1306:F1314,H1306:H1314,B$5),IF(AND(COUNT(H1307:H1318)=9,COUNT(F1307:F1318)=9),cubic_spline(F1306:F1315,H1306:H1315,B$5),IF(AND(COUNT(H1307:H1318)=10,COUNT(F1307:F1318)=10),cubic_spline(F1306:F1316,H1306:H1316,B$5),IF(AND(COUNT(H1307:H1318)=11,COUNT(F1307:F1318)=11),cubic_spline(F1306:F1317,H1306:H1317,B$5),IF(AND(COUNT(H1307:H1318)=12,COUNT(F1307:F1318)=12),cubic_spline(F1306:F1318,H1306:H1318,B$5),""))))))))))))</f>
        <v/>
      </c>
      <c r="K1308" s="52" t="str">
        <f>IF(N(B$5)=0,"",IF(AND(COUNT(A1307:A1318)=2,COUNT(F1307:F1318)=2),cubic_spline(F1306:F1308,A1306:A1308,B$5),IF(AND(COUNT(A1307:A1318)=3,COUNT(F1307:F1318)=3),cubic_spline(F1306:F1309,A1306:A1309,B$5),IF(AND(COUNT(A1307:A1318)=4,COUNT(F1307:F1318)=4),cubic_spline(F1306:F1310,A1306:A1310,B$5),IF(AND(COUNT(A1307:A1318)=5,COUNT(F1307:F1318)=5),cubic_spline(F1306:F1311,A1306:A1311,B$5),IF(AND(COUNT(A1307:A1318)=6,COUNT(F1307:F1318)=6),cubic_spline(F1306:F1312,A1306:A1312,B$5),IF(AND(COUNT(A1307:A1318)=7,COUNT(F1307:F1318)=7),cubic_spline(F1306:F1313,A1306:A1313,B$5),IF(AND(COUNT(A1307:A1318)=8,COUNT(F1307:F1318)=8),cubic_spline(F1306:F1314,A1306:A1314,B$5),IF(AND(COUNT(A1307:A1318)=9,COUNT(F1307:F1318)=9),cubic_spline(F1306:F1315,A1306:A1315,B$5),IF(AND(COUNT(A1307:A1318)=10,COUNT(F1307:F1318)=10),cubic_spline(F1306:F1316,A1306:A1316,B$5),IF(AND(COUNT(A1307:A1318)=11,COUNT(F1307:F1318)=11),cubic_spline(F1306:F1317,A1306:A1317,B$5),IF(AND(COUNT(A1307:A1318)=12,COUNT(F1307:F1318)=12),cubic_spline(F1306:F1318,A1306:A1318,B$5),""))))))))))))</f>
        <v/>
      </c>
      <c r="L1308" s="27" t="str">
        <f>IF(I1308="","",B$4&amp;"-"&amp;B$5)</f>
        <v/>
      </c>
      <c r="M1308" s="27" t="str">
        <f>IF(N(J1308)=0,"",J1308-J1307)</f>
        <v/>
      </c>
    </row>
    <row r="1309" spans="1:13" x14ac:dyDescent="0.35">
      <c r="A1309" s="48"/>
      <c r="B1309" s="48"/>
      <c r="C1309" s="49"/>
      <c r="D1309" s="50"/>
      <c r="E1309" s="51" t="str">
        <f>IF(N(C1309)=0,"",C1309/PI()/($D$1/2)^2/$D$2*10000)</f>
        <v/>
      </c>
      <c r="F1309" s="68" t="str">
        <f t="shared" si="496"/>
        <v/>
      </c>
      <c r="G1309" s="69" t="str">
        <f t="shared" si="498"/>
        <v/>
      </c>
      <c r="H1309" s="70" t="str">
        <f t="shared" si="497"/>
        <v/>
      </c>
      <c r="I1309" s="27" t="str">
        <f>IF(N(J1309)=0,"",0&amp;"-"&amp;B$6)</f>
        <v/>
      </c>
      <c r="J1309" s="27" t="str">
        <f>IF(N(B$6)=0,"",IF(AND(COUNT(H1307:H1318)=2,COUNT(F1307:F1318)=2),cubic_spline(F1306:F1308,H1306:H1308,B$6),IF(AND(COUNT(H1307:H1318)=3,COUNT(F1307:F1318)=3),cubic_spline(F1306:F1309,H1306:H1309,B$6),IF(AND(COUNT(H1307:H1318)=4,COUNT(F1307:F1318)=4),cubic_spline(F1306:F1310,H1306:H1310,B$6),IF(AND(COUNT(H1307:H1318)=5,COUNT(F1307:F1318)=5),cubic_spline(F1306:F1311,H1306:H1311,B$6),IF(AND(COUNT(H1307:H1318)=6,COUNT(F1307:F1318)=6),cubic_spline(F1306:F1312,H1306:H1312,B$6),IF(AND(COUNT(H1307:H1318)=7,COUNT(F1307:F1318)=7),cubic_spline(F1306:F1313,H1306:H1313,B$6),IF(AND(COUNT(H1307:H1318)=8,COUNT(F1307:F1318)=8),cubic_spline(F1306:F1314,H1306:H1314,B$6),IF(AND(COUNT(H1307:H1318)=9,COUNT(F1307:F1318)=9),cubic_spline(F1306:F1315,H1306:H1315,B$6),IF(AND(COUNT(H1307:H1318)=10,COUNT(F1307:F1318)=10),cubic_spline(F1306:F1316,H1306:H1316,B$6),IF(AND(COUNT(H1307:H1318)=11,COUNT(F1307:F1318)=11),cubic_spline(F1306:F1317,H1306:H1317,B$6),IF(AND(COUNT(H1307:H1318)=12,COUNT(F1307:F1318)=12),cubic_spline(F1306:F1318,H1306:H1318,B$6),""))))))))))))</f>
        <v/>
      </c>
      <c r="K1309" s="52" t="str">
        <f>IF(N(B$6)=0,"",IF(AND(COUNT(A1307:A1318)=2,COUNT(F1307:F1318)=2),cubic_spline(F1306:F1308,A1306:A1308,B$6),IF(AND(COUNT(A1307:A1318)=3,COUNT(F1307:F1318)=3),cubic_spline(F1306:F1309,A1306:A1309,B$6),IF(AND(COUNT(A1307:A1318)=4,COUNT(F1307:F1318)=4),cubic_spline(F1306:F1310,A1306:A1310,B$6),IF(AND(COUNT(A1307:A1318)=5,COUNT(F1307:F1318)=5),cubic_spline(F1306:F1311,A1306:A1311,B$6),IF(AND(COUNT(A1307:A1318)=6,COUNT(F1307:F1318)=6),cubic_spline(F1306:F1312,A1306:A1312,B$6),IF(AND(COUNT(A1307:A1318)=7,COUNT(F1307:F1318)=7),cubic_spline(F1306:F1313,A1306:A1313,B$6),IF(AND(COUNT(A1307:A1318)=8,COUNT(F1307:F1318)=8),cubic_spline(F1306:F1314,A1306:A1314,B$6),IF(AND(COUNT(A1307:A1318)=9,COUNT(F1307:F1318)=9),cubic_spline(F1306:F1315,A1306:A1315,B$6),IF(AND(COUNT(A1307:A1318)=10,COUNT(F1307:F1318)=10),cubic_spline(F1306:F1316,A1306:A1316,B$6),IF(AND(COUNT(A1307:A1318)=11,COUNT(F1307:F1318)=11),cubic_spline(F1306:F1317,A1306:A1317,B$6),IF(AND(COUNT(A1307:A1318)=12,COUNT(F1307:F1318)=12),cubic_spline(F1306:F1318,A1306:A1318,B$6),""))))))))))))</f>
        <v/>
      </c>
      <c r="L1309" s="27" t="str">
        <f>IF(I1309="","",B$5&amp;"-"&amp;B$6)</f>
        <v/>
      </c>
      <c r="M1309" s="27" t="str">
        <f>IF(N(J1309)=0,"",J1309-J1308)</f>
        <v/>
      </c>
    </row>
    <row r="1310" spans="1:13" x14ac:dyDescent="0.35">
      <c r="A1310" s="48"/>
      <c r="B1310" s="48"/>
      <c r="C1310" s="49"/>
      <c r="D1310" s="50"/>
      <c r="E1310" s="51" t="str">
        <f>IF(N(C1310)=0,"",C1310/PI()/($D$1/2)^2/$D$2*10000)</f>
        <v/>
      </c>
      <c r="F1310" s="68" t="str">
        <f t="shared" si="496"/>
        <v/>
      </c>
      <c r="G1310" s="69" t="str">
        <f t="shared" si="498"/>
        <v/>
      </c>
      <c r="H1310" s="70" t="str">
        <f t="shared" si="497"/>
        <v/>
      </c>
      <c r="I1310" s="27" t="str">
        <f>IF(N(J1310)=0,"",0&amp;"-"&amp;B$7)</f>
        <v/>
      </c>
      <c r="J1310" s="27" t="str">
        <f>IF(N(B$7)=0,"",IF(AND(COUNT(H1307:H1318)=2,COUNT(F1307:F1318)=2),cubic_spline(F1306:F1308,H1306:H1308,B$7),IF(AND(COUNT(H1307:H1318)=3,COUNT(F1307:F1318)=3),cubic_spline(F1306:F1309,H1306:H1309,B$7),IF(AND(COUNT(H1307:H1318)=4,COUNT(F1307:F1318)=4),cubic_spline(F1306:F1310,H1306:H1310,B$7),IF(AND(COUNT(H1307:H1318)=5,COUNT(F1307:F1318)=5),cubic_spline(F1306:F1311,H1306:H1311,B$7),IF(AND(COUNT(H1307:H1318)=6,COUNT(F1307:F1318)=6),cubic_spline(F1306:F1312,H1306:H1312,B$7),IF(AND(COUNT(H1307:H1318)=7,COUNT(F1307:F1318)=7),cubic_spline(F1306:F1313,H1306:H1313,B$7),IF(AND(COUNT(H1307:H1318)=8,COUNT(F1307:F1318)=8),cubic_spline(F1306:F1314,H1306:H1314,B$7),IF(AND(COUNT(H1307:H1318)=9,COUNT(F1307:F1318)=9),cubic_spline(F1306:F1315,H1306:H1315,B$7),IF(AND(COUNT(H1307:H1318)=10,COUNT(F1307:F1318)=10),cubic_spline(F1306:F1316,H1306:H1316,B$7),IF(AND(COUNT(H1307:H1318)=11,COUNT(F1307:F1318)=11),cubic_spline(F1306:F1317,H1306:H1317,B$7),IF(AND(COUNT(H1307:H1318)=12,COUNT(F1307:F1318)=12),cubic_spline(F1306:F1318,H1306:H1318,B$7),""))))))))))))</f>
        <v/>
      </c>
      <c r="K1310" s="52" t="str">
        <f>IF(N(B$7)=0,"",IF(AND(COUNT(A1307:A1318)=2,COUNT(F1307:F1318)=2),cubic_spline(F1306:F1308,A1306:A1308,B$7),IF(AND(COUNT(A1307:A1318)=3,COUNT(F1307:F1318)=3),cubic_spline(F1306:F1309,A1306:A1309,B$7),IF(AND(COUNT(A1307:A1318)=4,COUNT(F1307:F1318)=4),cubic_spline(F1306:F1310,A1306:A1310,B$7),IF(AND(COUNT(A1307:A1318)=5,COUNT(F1307:F1318)=5),cubic_spline(F1306:F1311,A1306:A1311,B$7),IF(AND(COUNT(A1307:A1318)=6,COUNT(F1307:F1318)=6),cubic_spline(F1306:F1312,A1306:A1312,B$7),IF(AND(COUNT(A1307:A1318)=7,COUNT(F1307:F1318)=7),cubic_spline(F1306:F1313,A1306:A1313,B$7),IF(AND(COUNT(A1307:A1318)=8,COUNT(F1307:F1318)=8),cubic_spline(F1306:F1314,A1306:A1314,B$7),IF(AND(COUNT(A1307:A1318)=9,COUNT(F1307:F1318)=9),cubic_spline(F1306:F1315,A1306:A1315,B$7),IF(AND(COUNT(A1307:A1318)=10,COUNT(F1307:F1318)=10),cubic_spline(F1306:F1316,A1306:A1316,B$7),IF(AND(COUNT(A1307:A1318)=11,COUNT(F1307:F1318)=11),cubic_spline(F1306:F1317,A1306:A1317,B$7),IF(AND(COUNT(A1307:A1318)=12,COUNT(F1307:F1318)=12),cubic_spline(F1306:F1318,A1306:A1318,B$7),""))))))))))))</f>
        <v/>
      </c>
      <c r="L1310" s="27" t="str">
        <f>IF(I1310="","",B$6&amp;"-"&amp;B$7)</f>
        <v/>
      </c>
      <c r="M1310" s="27" t="str">
        <f>IF(N(J1310)=0,"",J1310-J1309)</f>
        <v/>
      </c>
    </row>
    <row r="1311" spans="1:13" x14ac:dyDescent="0.35">
      <c r="A1311" s="48"/>
      <c r="B1311" s="48"/>
      <c r="C1311" s="49"/>
      <c r="D1311" s="50"/>
      <c r="E1311" s="51" t="str">
        <f t="shared" ref="E1311:E1318" si="499">IF(N(C1311)=0,"",C1311/PI()/($D$1/2)^2/$D$2*10000)</f>
        <v/>
      </c>
      <c r="F1311" s="71" t="str">
        <f t="shared" si="496"/>
        <v/>
      </c>
      <c r="G1311" s="69" t="str">
        <f t="shared" si="498"/>
        <v/>
      </c>
      <c r="H1311" s="70" t="str">
        <f t="shared" si="497"/>
        <v/>
      </c>
      <c r="I1311" s="27" t="str">
        <f>IF(N(J1311)=0,"",0&amp;"-"&amp;B$8)</f>
        <v/>
      </c>
      <c r="J1311" s="27" t="str">
        <f>IF(N(B$8)=0,"",IF(AND(COUNT(H1307:H1318)=2,COUNT(F1307:F1318)=2),cubic_spline(F1306:F1308,H1306:H1308,B$8),IF(AND(COUNT(H1307:H1318)=3,COUNT(F1307:F1318)=3),cubic_spline(F1306:F1309,H1306:H1309,B$8),IF(AND(COUNT(H1307:H1318)=4,COUNT(F1307:F1318)=4),cubic_spline(F1306:F1310,H1306:H1310,B$8),IF(AND(COUNT(H1307:H1318)=5,COUNT(F1307:F1318)=5),cubic_spline(F1306:F1311,H1306:H1311,B$8),IF(AND(COUNT(H1307:H1318)=6,COUNT(F1307:F1318)=6),cubic_spline(F1306:F1312,H1306:H1312,B$8),IF(AND(COUNT(H1307:H1318)=7,COUNT(F1307:F1318)=7),cubic_spline(F1306:F1313,H1306:H1313,B$8),IF(AND(COUNT(H1307:H1318)=8,COUNT(F1307:F1318)=8),cubic_spline(F1306:F1314,H1306:H1314,B$8),IF(AND(COUNT(H1307:H1318)=9,COUNT(F1307:F1318)=9),cubic_spline(F1306:F1315,H1306:H1315,B$8),IF(AND(COUNT(H1307:H1318)=10,COUNT(F1307:F1318)=10),cubic_spline(F1306:F1316,H1306:H1316,B$8),IF(AND(COUNT(H1307:H1318)=11,COUNT(F1307:F1318)=11),cubic_spline(F1306:F1317,H1306:H1317,B$8),IF(AND(COUNT(H1307:H1318)=12,COUNT(F1307:F1318)=12),cubic_spline(F1306:F1318,H1306:H1318,B$8),""))))))))))))</f>
        <v/>
      </c>
      <c r="K1311" s="52" t="str">
        <f>IF(N(B$8)=0,"",IF(AND(COUNT(A1307:A1318)=2,COUNT(F1307:F1318)=2),cubic_spline(F1306:F1308,A1306:A1308,B$8),IF(AND(COUNT(A1307:A1318)=3,COUNT(F1307:F1318)=3),cubic_spline(F1306:F1309,A1306:A1309,B$8),IF(AND(COUNT(A1307:A1318)=4,COUNT(F1307:F1318)=4),cubic_spline(F1306:F1310,A1306:A1310,B$8),IF(AND(COUNT(A1307:A1318)=5,COUNT(F1307:F1318)=5),cubic_spline(F1306:F1311,A1306:A1311,B$8),IF(AND(COUNT(A1307:A1318)=6,COUNT(F1307:F1318)=6),cubic_spline(F1306:F1312,A1306:A1312,B$8),IF(AND(COUNT(A1307:A1318)=7,COUNT(F1307:F1318)=7),cubic_spline(F1306:F1313,A1306:A1313,B$8),IF(AND(COUNT(A1307:A1318)=8,COUNT(F1307:F1318)=8),cubic_spline(F1306:F1314,A1306:A1314,B$8),IF(AND(COUNT(A1307:A1318)=9,COUNT(F1307:F1318)=9),cubic_spline(F1306:F1315,A1306:A1315,B$8),IF(AND(COUNT(A1307:A1318)=10,COUNT(F1307:F1318)=10),cubic_spline(F1306:F1316,A1306:A1316,B$8),IF(AND(COUNT(A1307:A1318)=11,COUNT(F1307:F1318)=11),cubic_spline(F1306:F1317,A1306:A1317,B$8),IF(AND(COUNT(A1307:A1318)=12,COUNT(F1307:F1318)=12),cubic_spline(F1306:F1318,A1306:A1318,B$8),""))))))))))))</f>
        <v/>
      </c>
      <c r="L1311" s="27" t="str">
        <f>IF(I1311="","",B$7&amp;"-"&amp;B$8)</f>
        <v/>
      </c>
      <c r="M1311" s="27" t="str">
        <f>IF(N(J1311)=0,"",J1311-J1310)</f>
        <v/>
      </c>
    </row>
    <row r="1312" spans="1:13" x14ac:dyDescent="0.35">
      <c r="A1312" s="48"/>
      <c r="B1312" s="48"/>
      <c r="C1312" s="49"/>
      <c r="D1312" s="50"/>
      <c r="E1312" s="51" t="str">
        <f t="shared" si="499"/>
        <v/>
      </c>
      <c r="F1312" s="71" t="str">
        <f t="shared" si="496"/>
        <v/>
      </c>
      <c r="G1312" s="69" t="str">
        <f t="shared" si="498"/>
        <v/>
      </c>
      <c r="H1312" s="70" t="str">
        <f t="shared" si="497"/>
        <v/>
      </c>
      <c r="I1312" s="27" t="str">
        <f>IF(N(J1312)=0,"",0&amp;"-"&amp;B$9)</f>
        <v/>
      </c>
      <c r="J1312" s="27" t="str">
        <f>IF(N(B$9)=0,"",IF(AND(COUNT(H1307:H1318)=2,COUNT(F1307:F1318)=2),cubic_spline(F1306:F1308,H1306:H1308,B$9),IF(AND(COUNT(H1307:H1318)=3,COUNT(F1307:F1318)=3),cubic_spline(F1306:F1309,H1306:H1309,B$9),IF(AND(COUNT(H1307:H1318)=4,COUNT(F1307:F1318)=4),cubic_spline(F1306:F1310,H1306:H1310,B$9),IF(AND(COUNT(H1307:H1318)=5,COUNT(F1307:F1318)=5),cubic_spline(F1306:F1311,H1306:H1311,B$9),IF(AND(COUNT(H1307:H1318)=6,COUNT(F1307:F1318)=6),cubic_spline(F1306:F1312,H1306:H1312,B$9),IF(AND(COUNT(H1307:H1318)=7,COUNT(F1307:F1318)=7),cubic_spline(F1306:F1313,H1306:H1313,B$9),IF(AND(COUNT(H1307:H1318)=8,COUNT(F1307:F1318)=8),cubic_spline(F1306:F1314,H1306:H1314,B$9),IF(AND(COUNT(H1307:H1318)=9,COUNT(F1307:F1318)=9),cubic_spline(F1306:F1315,H1306:H1315,B$9),IF(AND(COUNT(H1307:H1318)=10,COUNT(F1307:F1318)=10),cubic_spline(F1306:F1316,H1306:H1316,B$9),IF(AND(COUNT(H1307:H1318)=11,COUNT(F1307:F1318)=11),cubic_spline(F1306:F1317,H1306:H1317,B$9),IF(AND(COUNT(H1307:H1318)=12,COUNT(F1307:F1318)=12),cubic_spline(F1306:F1318,H1306:H1318,B$9),""))))))))))))</f>
        <v/>
      </c>
      <c r="K1312" s="52" t="str">
        <f>IF(N(B$9)=0,"",IF(AND(COUNT(A1307:A1318)=2,COUNT(F1307:F1318)=2),cubic_spline(F1306:F1308,A1306:A1308,B$9),IF(AND(COUNT(A1307:A1318)=3,COUNT(F1307:F1318)=3),cubic_spline(F1306:F1309,A1306:A1309,B$9),IF(AND(COUNT(A1307:A1318)=4,COUNT(F1307:F1318)=4),cubic_spline(F1306:F1310,A1306:A1310,B$9),IF(AND(COUNT(A1307:A1318)=5,COUNT(F1307:F1318)=5),cubic_spline(F1306:F1311,A1306:A1311,B$9),IF(AND(COUNT(A1307:A1318)=6,COUNT(F1307:F1318)=6),cubic_spline(F1306:F1312,A1306:A1312,B$9),IF(AND(COUNT(A1307:A1318)=7,COUNT(F1307:F1318)=7),cubic_spline(F1306:F1313,A1306:A1313,B$9),IF(AND(COUNT(A1307:A1318)=8,COUNT(F1307:F1318)=8),cubic_spline(F1306:F1314,A1306:A1314,B$9),IF(AND(COUNT(A1307:A1318)=9,COUNT(F1307:F1318)=9),cubic_spline(F1306:F1315,A1306:A1315,B$9),IF(AND(COUNT(A1307:A1318)=10,COUNT(F1307:F1318)=10),cubic_spline(F1306:F1316,A1306:A1316,B$9),IF(AND(COUNT(A1307:A1318)=11,COUNT(F1307:F1318)=11),cubic_spline(F1306:F1317,A1306:A1317,B$9),IF(AND(COUNT(A1307:A1318)=12,COUNT(F1307:F1318)=12),cubic_spline(F1306:F1318,A1306:A1318,B$9),""))))))))))))</f>
        <v/>
      </c>
      <c r="L1312" s="27" t="str">
        <f>IF(I1312="","",B$8&amp;"-"&amp;B$9)</f>
        <v/>
      </c>
      <c r="M1312" s="27" t="str">
        <f t="shared" ref="M1312:M1318" si="500">IF(N(J1312)=0,"",J1312-J1311)</f>
        <v/>
      </c>
    </row>
    <row r="1313" spans="1:13" x14ac:dyDescent="0.35">
      <c r="A1313" s="48"/>
      <c r="B1313" s="48"/>
      <c r="C1313" s="49"/>
      <c r="D1313" s="50"/>
      <c r="E1313" s="51" t="str">
        <f t="shared" si="499"/>
        <v/>
      </c>
      <c r="F1313" s="71" t="str">
        <f t="shared" si="496"/>
        <v/>
      </c>
      <c r="G1313" s="69" t="str">
        <f t="shared" si="498"/>
        <v/>
      </c>
      <c r="H1313" s="70" t="str">
        <f t="shared" si="497"/>
        <v/>
      </c>
      <c r="I1313" s="27" t="str">
        <f>IF(N(J1313)=0,"",0&amp;"-"&amp;B$10)</f>
        <v/>
      </c>
      <c r="J1313" s="27" t="str">
        <f>IF(N(B$10)=0,"",IF(AND(COUNT(H1307:H1318)=2,COUNT(F1307:F1318)=2),cubic_spline(F1306:F1308,H1306:H1308,B$10),IF(AND(COUNT(H1307:H1318)=3,COUNT(F1307:F1318)=3),cubic_spline(F1306:F1309,H1306:H1309,B$10),IF(AND(COUNT(H1307:H1318)=4,COUNT(F1307:F1318)=4),cubic_spline(F1306:F1310,H1306:H1310,B$10),IF(AND(COUNT(H1307:H1318)=5,COUNT(F1307:F1318)=5),cubic_spline(F1306:F1311,H1306:H1311,B$10),IF(AND(COUNT(H1307:H1318)=6,COUNT(F1307:F1318)=6),cubic_spline(F1306:F1312,H1306:H1312,B$10),IF(AND(COUNT(H1307:H1318)=7,COUNT(F1307:F1318)=7),cubic_spline(F1306:F1313,H1306:H1313,B$10),IF(AND(COUNT(H1307:H1318)=8,COUNT(F1307:F1318)=8),cubic_spline(F1306:F1314,H1306:H1314,B$10),IF(AND(COUNT(H1307:H1318)=9,COUNT(F1307:F1318)=9),cubic_spline(F1306:F1315,H1306:H1315,B$10),IF(AND(COUNT(H1307:H1318)=10,COUNT(F1307:F1318)=10),cubic_spline(F1306:F1316,H1306:H1316,B$10),IF(AND(COUNT(H1307:H1318)=11,COUNT(F1307:F1318)=11),cubic_spline(F1306:F1317,H1306:H1317,B$10),IF(AND(COUNT(H1307:H1318)=12,COUNT(F1307:F1318)=12),cubic_spline(F1306:F1318,H1306:H1318,B$10),""))))))))))))</f>
        <v/>
      </c>
      <c r="K1313" s="52" t="str">
        <f>IF(N(B$10)=0,"",IF(AND(COUNT(A1307:A1318)=2,COUNT(F1307:F1318)=2),cubic_spline(F1306:F1308,A1306:A1308,B$10),IF(AND(COUNT(A1307:A1318)=3,COUNT(F1307:F1318)=3),cubic_spline(F1306:F1309,A1306:A1309,B$10),IF(AND(COUNT(A1307:A1318)=4,COUNT(F1307:F1318)=4),cubic_spline(F1306:F1310,A1306:A1310,B$10),IF(AND(COUNT(A1307:A1318)=5,COUNT(F1307:F1318)=5),cubic_spline(F1306:F1311,A1306:A1311,B$10),IF(AND(COUNT(A1307:A1318)=6,COUNT(F1307:F1318)=6),cubic_spline(F1306:F1312,A1306:A1312,B$10),IF(AND(COUNT(A1307:A1318)=7,COUNT(F1307:F1318)=7),cubic_spline(F1306:F1313,A1306:A1313,B$10),IF(AND(COUNT(A1307:A1318)=8,COUNT(F1307:F1318)=8),cubic_spline(F1306:F1314,A1306:A1314,B$10),IF(AND(COUNT(A1307:A1318)=9,COUNT(F1307:F1318)=9),cubic_spline(F1306:F1315,A1306:A1315,B$10),IF(AND(COUNT(A1307:A1318)=10,COUNT(F1307:F1318)=10),cubic_spline(F1306:F1316,A1306:A1316,B$10),IF(AND(COUNT(A1307:A1318)=11,COUNT(F1307:F1318)=11),cubic_spline(F1306:F1317,A1306:A1317,B$10),IF(AND(COUNT(A1307:A1318)=12,COUNT(F1307:F1318)=12),cubic_spline(F1306:F1318,A1306:A1318,B$10),""))))))))))))</f>
        <v/>
      </c>
      <c r="L1313" s="27" t="str">
        <f>IF(I1313="","",B$9&amp;"-"&amp;B$10)</f>
        <v/>
      </c>
      <c r="M1313" s="27" t="str">
        <f t="shared" si="500"/>
        <v/>
      </c>
    </row>
    <row r="1314" spans="1:13" x14ac:dyDescent="0.35">
      <c r="A1314" s="48"/>
      <c r="B1314" s="48"/>
      <c r="C1314" s="49"/>
      <c r="D1314" s="50"/>
      <c r="E1314" s="51" t="str">
        <f t="shared" si="499"/>
        <v/>
      </c>
      <c r="F1314" s="71" t="str">
        <f t="shared" si="496"/>
        <v/>
      </c>
      <c r="G1314" s="69" t="str">
        <f t="shared" si="498"/>
        <v/>
      </c>
      <c r="H1314" s="70" t="str">
        <f t="shared" si="497"/>
        <v/>
      </c>
      <c r="I1314" s="27" t="str">
        <f>IF(N(J1314)=0,"",0&amp;"-"&amp;B$11)</f>
        <v/>
      </c>
      <c r="J1314" s="27" t="str">
        <f>IF(N(B$11)=0,"",IF(AND(COUNT(H1307:H1318)=2,COUNT(F1307:F1318)=2),cubic_spline(F1306:F1308,H1306:H1308,B$11),IF(AND(COUNT(H1307:H1318)=3,COUNT(F1307:F1318)=3),cubic_spline(F1306:F1309,H1306:H1309,B$11),IF(AND(COUNT(H1307:H1318)=4,COUNT(F1307:F1318)=4),cubic_spline(F1306:F1310,H1306:H1310,B$11),IF(AND(COUNT(H1307:H1318)=5,COUNT(F1307:F1318)=5),cubic_spline(F1306:F1311,H1306:H1311,B$11),IF(AND(COUNT(H1307:H1318)=6,COUNT(F1307:F1318)=6),cubic_spline(F1306:F1312,H1306:H1312,B$11),IF(AND(COUNT(H1307:H1318)=7,COUNT(F1307:F1318)=7),cubic_spline(F1306:F1313,H1306:H1313,B$11),IF(AND(COUNT(H1307:H1318)=8,COUNT(F1307:F1318)=8),cubic_spline(F1306:F1314,H1306:H1314,B$11),IF(AND(COUNT(H1307:H1318)=9,COUNT(F1307:F1318)=9),cubic_spline(F1306:F1315,H1306:H1315,B$11),IF(AND(COUNT(H1307:H1318)=10,COUNT(F1307:F1318)=10),cubic_spline(F1306:F1316,H1306:H1316,B$11),IF(AND(COUNT(H1307:H1318)=11,COUNT(F1307:F1318)=11),cubic_spline(F1306:F1317,H1306:H1317,B$11),IF(AND(COUNT(H1307:H1318)=12,COUNT(F1307:F1318)=12),cubic_spline(F1306:F1318,H1306:H1318,B$11),""))))))))))))</f>
        <v/>
      </c>
      <c r="K1314" s="52" t="str">
        <f>IF(N(B$11)=0,"",IF(AND(COUNT(A1307:A1318)=2,COUNT(F1307:F1318)=2),cubic_spline(F1306:F1308,A1306:A1308,B$11),IF(AND(COUNT(A1307:A1318)=3,COUNT(F1307:F1318)=3),cubic_spline(F1306:F1309,A1306:A1309,B$11),IF(AND(COUNT(A1307:A1318)=4,COUNT(F1307:F1318)=4),cubic_spline(F1306:F1310,A1306:A1310,B$11),IF(AND(COUNT(A1307:A1318)=5,COUNT(F1307:F1318)=5),cubic_spline(F1306:F1311,A1306:A1311,B$11),IF(AND(COUNT(A1307:A1318)=6,COUNT(F1307:F1318)=6),cubic_spline(F1306:F1312,A1306:A1312,B$11),IF(AND(COUNT(A1307:A1318)=7,COUNT(F1307:F1318)=7),cubic_spline(F1306:F1313,A1306:A1313,B$11),IF(AND(COUNT(A1307:A1318)=8,COUNT(F1307:F1318)=8),cubic_spline(F1306:F1314,A1306:A1314,B$11),IF(AND(COUNT(A1307:A1318)=9,COUNT(F1307:F1318)=9),cubic_spline(F1306:F1315,A1306:A1315,B$11),IF(AND(COUNT(A1307:A1318)=10,COUNT(F1307:F1318)=10),cubic_spline(F1306:F1316,A1306:A1316,B$11),IF(AND(COUNT(A1307:A1318)=11,COUNT(F1307:F1318)=11),cubic_spline(F1306:F1317,A1306:A1317,B$11),IF(AND(COUNT(A1307:A1318)=12,COUNT(F1307:F1318)=12),cubic_spline(F1306:F1318,A1306:A1318,B$11),""))))))))))))</f>
        <v/>
      </c>
      <c r="L1314" s="27" t="str">
        <f>IF(I1314="","",B$10&amp;"-"&amp;B$11)</f>
        <v/>
      </c>
      <c r="M1314" s="27" t="str">
        <f t="shared" si="500"/>
        <v/>
      </c>
    </row>
    <row r="1315" spans="1:13" x14ac:dyDescent="0.35">
      <c r="A1315" s="48"/>
      <c r="B1315" s="48"/>
      <c r="C1315" s="49"/>
      <c r="D1315" s="50"/>
      <c r="E1315" s="51" t="str">
        <f t="shared" si="499"/>
        <v/>
      </c>
      <c r="F1315" s="71" t="str">
        <f t="shared" si="496"/>
        <v/>
      </c>
      <c r="G1315" s="69" t="str">
        <f t="shared" si="498"/>
        <v/>
      </c>
      <c r="H1315" s="70" t="str">
        <f t="shared" si="497"/>
        <v/>
      </c>
      <c r="I1315" s="27" t="str">
        <f>IF(N(J1315)=0,"",0&amp;"-"&amp;B$12)</f>
        <v/>
      </c>
      <c r="J1315" s="27" t="str">
        <f>IF(N(B$12)=0,"",IF(AND(COUNT(H1307:H1318)=2,COUNT(F1307:F1318)=2),cubic_spline(F1306:F1308,H1306:H1308,B$12),IF(AND(COUNT(H1307:H1318)=3,COUNT(F1307:F1318)=3),cubic_spline(F1306:F1309,H1306:H1309,B$12),IF(AND(COUNT(H1307:H1318)=4,COUNT(F1307:F1318)=4),cubic_spline(F1306:F1310,H1306:H1310,B$12),IF(AND(COUNT(H1307:H1318)=5,COUNT(F1307:F1318)=5),cubic_spline(F1306:F1311,H1306:H1311,B$12),IF(AND(COUNT(H1307:H1318)=6,COUNT(F1307:F1318)=6),cubic_spline(F1306:F1312,H1306:H1312,B$12),IF(AND(COUNT(H1307:H1318)=7,COUNT(F1307:F1318)=7),cubic_spline(F1306:F1313,H1306:H1313,B$12),IF(AND(COUNT(H1307:H1318)=8,COUNT(F1307:F1318)=8),cubic_spline(F1306:F1314,H1306:H1314,B$12),IF(AND(COUNT(H1307:H1318)=9,COUNT(F1307:F1318)=9),cubic_spline(F1306:F1315,H1306:H1315,B$12),IF(AND(COUNT(H1307:H1318)=10,COUNT(F1307:F1318)=10),cubic_spline(F1306:F1316,H1306:H1316,B$12),IF(AND(COUNT(H1307:H1318)=11,COUNT(F1307:F1318)=11),cubic_spline(F1306:F1317,H1306:H1317,B$12),IF(AND(COUNT(H1307:H1318)=12,COUNT(F1307:F1318)=12),cubic_spline(F1306:F1318,H1306:H1318,B$12),""))))))))))))</f>
        <v/>
      </c>
      <c r="K1315" s="52" t="str">
        <f>IF(N(B$12)=0,"",IF(AND(COUNT(A1307:A1318)=2,COUNT(F1307:F1318)=2),cubic_spline(F1306:F1308,A1306:A1308,B$12),IF(AND(COUNT(A1307:A1318)=3,COUNT(F1307:F1318)=3),cubic_spline(F1306:F1309,A1306:A1309,B$12),IF(AND(COUNT(A1307:A1318)=4,COUNT(F1307:F1318)=4),cubic_spline(F1306:F1310,A1306:A1310,B$12),IF(AND(COUNT(A1307:A1318)=5,COUNT(F1307:F1318)=5),cubic_spline(F1306:F1311,A1306:A1311,B$12),IF(AND(COUNT(A1307:A1318)=6,COUNT(F1307:F1318)=6),cubic_spline(F1306:F1312,A1306:A1312,B$12),IF(AND(COUNT(A1307:A1318)=7,COUNT(F1307:F1318)=7),cubic_spline(F1306:F1313,A1306:A1313,B$12),IF(AND(COUNT(A1307:A1318)=8,COUNT(F1307:F1318)=8),cubic_spline(F1306:F1314,A1306:A1314,B$12),IF(AND(COUNT(A1307:A1318)=9,COUNT(F1307:F1318)=9),cubic_spline(F1306:F1315,A1306:A1315,B$12),IF(AND(COUNT(A1307:A1318)=10,COUNT(F1307:F1318)=10),cubic_spline(F1306:F1316,A1306:A1316,B$12),IF(AND(COUNT(A1307:A1318)=11,COUNT(F1307:F1318)=11),cubic_spline(F1306:F1317,A1306:A1317,B$12),IF(AND(COUNT(A1307:A1318)=12,COUNT(F1307:F1318)=12),cubic_spline(F1306:F1318,A1306:A1318,B$12),""))))))))))))</f>
        <v/>
      </c>
      <c r="L1315" s="27" t="str">
        <f>IF(I1315="","",B$11&amp;"-"&amp;B$12)</f>
        <v/>
      </c>
      <c r="M1315" s="27" t="str">
        <f t="shared" si="500"/>
        <v/>
      </c>
    </row>
    <row r="1316" spans="1:13" x14ac:dyDescent="0.35">
      <c r="A1316" s="48"/>
      <c r="B1316" s="48"/>
      <c r="C1316" s="49"/>
      <c r="D1316" s="50"/>
      <c r="E1316" s="51" t="str">
        <f t="shared" si="499"/>
        <v/>
      </c>
      <c r="F1316" s="71" t="str">
        <f t="shared" si="496"/>
        <v/>
      </c>
      <c r="G1316" s="69" t="str">
        <f t="shared" si="498"/>
        <v/>
      </c>
      <c r="H1316" s="70" t="str">
        <f t="shared" si="497"/>
        <v/>
      </c>
      <c r="I1316" s="27" t="str">
        <f>IF(N(J1316)=0,"",0&amp;"-"&amp;B$13)</f>
        <v/>
      </c>
      <c r="J1316" s="27" t="str">
        <f>IF(N(B$13)=0,"",IF(AND(COUNT(H1307:H1318)=2,COUNT(F1307:F1318)=2),cubic_spline(F1306:F1308,H1306:H1308,B$13),IF(AND(COUNT(H1307:H1318)=3,COUNT(F1307:F1318)=3),cubic_spline(F1306:F1309,H1306:H1309,B$13),IF(AND(COUNT(H1307:H1318)=4,COUNT(F1307:F1318)=4),cubic_spline(F1306:F1310,H1306:H1310,B$13),IF(AND(COUNT(H1307:H1318)=5,COUNT(F1307:F1318)=5),cubic_spline(F1306:F1311,H1306:H1311,B$13),IF(AND(COUNT(H1307:H1318)=6,COUNT(F1307:F1318)=6),cubic_spline(F1306:F1312,H1306:H1312,B$13),IF(AND(COUNT(H1307:H1318)=7,COUNT(F1307:F1318)=7),cubic_spline(F1306:F1313,H1306:H1313,B$13),IF(AND(COUNT(H1307:H1318)=8,COUNT(F1307:F1318)=8),cubic_spline(F1306:F1314,H1306:H1314,B$13),IF(AND(COUNT(H1307:H1318)=9,COUNT(F1307:F1318)=9),cubic_spline(F1306:F1315,H1306:H1315,B$13),IF(AND(COUNT(H1307:H1318)=10,COUNT(F1307:F1318)=10),cubic_spline(F1306:F1316,H1306:H1316,B$13),IF(AND(COUNT(H1307:H1318)=11,COUNT(F1307:F1318)=11),cubic_spline(F1306:F1317,H1306:H1317,B$13),IF(AND(COUNT(H1307:H1318)=12,COUNT(F1307:F1318)=12),cubic_spline(F1306:F1318,H1306:H1318,B$13),""))))))))))))</f>
        <v/>
      </c>
      <c r="K1316" s="52" t="str">
        <f>IF(N(B$13)=0,"",IF(AND(COUNT(A1307:A1318)=2,COUNT(F1307:F1318)=2),cubic_spline(F1306:F1308,A1306:A1308,B$13),IF(AND(COUNT(A1307:A1318)=3,COUNT(F1307:F1318)=3),cubic_spline(F1306:F1309,A1306:A1309,B$13),IF(AND(COUNT(A1307:A1318)=4,COUNT(F1307:F1318)=4),cubic_spline(F1306:F1310,A1306:A1310,B$13),IF(AND(COUNT(A1307:A1318)=5,COUNT(F1307:F1318)=5),cubic_spline(F1306:F1311,A1306:A1311,B$13),IF(AND(COUNT(A1307:A1318)=6,COUNT(F1307:F1318)=6),cubic_spline(F1306:F1312,A1306:A1312,B$13),IF(AND(COUNT(A1307:A1318)=7,COUNT(F1307:F1318)=7),cubic_spline(F1306:F1313,A1306:A1313,B$13),IF(AND(COUNT(A1307:A1318)=8,COUNT(F1307:F1318)=8),cubic_spline(F1306:F1314,A1306:A1314,B$13),IF(AND(COUNT(A1307:A1318)=9,COUNT(F1307:F1318)=9),cubic_spline(F1306:F1315,A1306:A1315,B$13),IF(AND(COUNT(A1307:A1318)=10,COUNT(F1307:F1318)=10),cubic_spline(F1306:F1316,A1306:A1316,B$13),IF(AND(COUNT(A1307:A1318)=11,COUNT(F1307:F1318)=11),cubic_spline(F1306:F1317,A1306:A1317,B$13),IF(AND(COUNT(A1307:A1318)=12,COUNT(F1307:F1318)=12),cubic_spline(F1306:F1318,A1306:A1318,B$13),""))))))))))))</f>
        <v/>
      </c>
      <c r="L1316" s="27" t="str">
        <f>IF(I1316="","",B$12&amp;"-"&amp;B$13)</f>
        <v/>
      </c>
      <c r="M1316" s="27" t="str">
        <f t="shared" si="500"/>
        <v/>
      </c>
    </row>
    <row r="1317" spans="1:13" x14ac:dyDescent="0.35">
      <c r="A1317" s="48"/>
      <c r="B1317" s="48"/>
      <c r="C1317" s="49"/>
      <c r="D1317" s="50"/>
      <c r="E1317" s="51" t="str">
        <f t="shared" si="499"/>
        <v/>
      </c>
      <c r="F1317" s="71" t="str">
        <f t="shared" si="496"/>
        <v/>
      </c>
      <c r="G1317" s="69" t="str">
        <f t="shared" si="498"/>
        <v/>
      </c>
      <c r="H1317" s="70" t="str">
        <f t="shared" si="497"/>
        <v/>
      </c>
      <c r="I1317" s="27" t="str">
        <f>IF(N(J1317)=0,"",0&amp;"-"&amp;B$14)</f>
        <v/>
      </c>
      <c r="J1317" s="27" t="str">
        <f>IF(N(B$14)=0,"",IF(AND(COUNT(H1307:H1318)=2,COUNT(F1307:F1318)=2),cubic_spline(F1306:F1308,H1306:H1308,B$14),IF(AND(COUNT(H1307:H1318)=3,COUNT(F1307:F1318)=3),cubic_spline(F1306:F1309,H1306:H1309,B$14),IF(AND(COUNT(H1307:H1318)=4,COUNT(F1307:F1318)=4),cubic_spline(F1306:F1310,H1306:H1310,B$14),IF(AND(COUNT(H1307:H1318)=5,COUNT(F1307:F1318)=5),cubic_spline(F1306:F1311,H1306:H1311,B$14),IF(AND(COUNT(H1307:H1318)=6,COUNT(F1307:F1318)=6),cubic_spline(F1306:F1312,H1306:H1312,B$14),IF(AND(COUNT(H1307:H1318)=7,COUNT(F1307:F1318)=7),cubic_spline(F1306:F1313,H1306:H1313,B$14),IF(AND(COUNT(H1307:H1318)=8,COUNT(F1307:F1318)=8),cubic_spline(F1306:F1314,H1306:H1314,B$14),IF(AND(COUNT(H1307:H1318)=9,COUNT(F1307:F1318)=9),cubic_spline(F1306:F1315,H1306:H1315,B$14),IF(AND(COUNT(H1307:H1318)=10,COUNT(F1307:F1318)=10),cubic_spline(F1306:F1316,H1306:H1316,B$14),IF(AND(COUNT(H1307:H1318)=11,COUNT(F1307:F1318)=11),cubic_spline(F1306:F1317,H1306:H1317,B$14),IF(AND(COUNT(H1307:H1318)=12,COUNT(F1307:F1318)=12),cubic_spline(F1306:F1318,H1306:H1318,B$14),""))))))))))))</f>
        <v/>
      </c>
      <c r="K1317" s="52" t="str">
        <f>IF(N(B$14)=0,"",IF(AND(COUNT(A1307:A1318)=2,COUNT(F1307:F1318)=2),cubic_spline(F1306:F1308,A1306:A1308,B$14),IF(AND(COUNT(A1307:A1318)=3,COUNT(F1307:F1318)=3),cubic_spline(F1306:F1309,A1306:A1309,B$14),IF(AND(COUNT(A1307:A1318)=4,COUNT(F1307:F1318)=4),cubic_spline(F1306:F1310,A1306:A1310,B$14),IF(AND(COUNT(A1307:A1318)=5,COUNT(F1307:F1318)=5),cubic_spline(F1306:F1311,A1306:A1311,B$14),IF(AND(COUNT(A1307:A1318)=6,COUNT(F1307:F1318)=6),cubic_spline(F1306:F1312,A1306:A1312,B$14),IF(AND(COUNT(A1307:A1318)=7,COUNT(F1307:F1318)=7),cubic_spline(F1306:F1313,A1306:A1313,B$14),IF(AND(COUNT(A1307:A1318)=8,COUNT(F1307:F1318)=8),cubic_spline(F1306:F1314,A1306:A1314,B$14),IF(AND(COUNT(A1307:A1318)=9,COUNT(F1307:F1318)=9),cubic_spline(F1306:F1315,A1306:A1315,B$14),IF(AND(COUNT(A1307:A1318)=10,COUNT(F1307:F1318)=10),cubic_spline(F1306:F1316,A1306:A1316,B$14),IF(AND(COUNT(A1307:A1318)=11,COUNT(F1307:F1318)=11),cubic_spline(F1306:F1317,A1306:A1317,B$14),IF(AND(COUNT(A1307:A1318)=12,COUNT(F1307:F1318)=12),cubic_spline(F1306:F1318,A1306:A1318,B$14),""))))))))))))</f>
        <v/>
      </c>
      <c r="L1317" s="27" t="str">
        <f>IF(I1317="","",B$13&amp;"-"&amp;B$14)</f>
        <v/>
      </c>
      <c r="M1317" s="27" t="str">
        <f t="shared" si="500"/>
        <v/>
      </c>
    </row>
    <row r="1318" spans="1:13" x14ac:dyDescent="0.35">
      <c r="A1318" s="48"/>
      <c r="B1318" s="48"/>
      <c r="C1318" s="49"/>
      <c r="D1318" s="50"/>
      <c r="E1318" s="51" t="str">
        <f t="shared" si="499"/>
        <v/>
      </c>
      <c r="F1318" s="71" t="str">
        <f t="shared" si="496"/>
        <v/>
      </c>
      <c r="G1318" s="69" t="str">
        <f t="shared" si="498"/>
        <v/>
      </c>
      <c r="H1318" s="70" t="str">
        <f t="shared" si="497"/>
        <v/>
      </c>
      <c r="I1318" s="27" t="str">
        <f>IF(N(J1318)=0,"",0&amp;"-"&amp;B$15)</f>
        <v/>
      </c>
      <c r="J1318" s="27" t="str">
        <f>IF(N(B$15)=0,"",IF(AND(COUNT(H1307:H1318)=2,COUNT(F1307:F1318)=2),cubic_spline(F1306:F1308,H1306:H1308,B$15),IF(AND(COUNT(H1307:H1318)=3,COUNT(F1307:F1318)=3),cubic_spline(F1306:F1309,H1306:H1309,B$15),IF(AND(COUNT(H1307:H1318)=4,COUNT(F1307:F1318)=4),cubic_spline(F1306:F1310,H1306:H1310,B$15),IF(AND(COUNT(H1307:H1318)=5,COUNT(F1307:F1318)=5),cubic_spline(F1306:F1311,H1306:H1311,B$15),IF(AND(COUNT(H1307:H1318)=6,COUNT(F1307:F1318)=6),cubic_spline(F1306:F1312,H1306:H1312,B$15),IF(AND(COUNT(H1307:H1318)=7,COUNT(F1307:F1318)=7),cubic_spline(F1306:F1313,H1306:H1313,B$15),IF(AND(COUNT(H1307:H1318)=8,COUNT(F1307:F1318)=8),cubic_spline(F1306:F1314,H1306:H1314,B$15),IF(AND(COUNT(H1307:H1318)=9,COUNT(F1307:F1318)=9),cubic_spline(F1306:F1315,H1306:H1315,B$15),IF(AND(COUNT(H1307:H1318)=10,COUNT(F1307:F1318)=10),cubic_spline(F1306:F1316,H1306:H1316,B$15),IF(AND(COUNT(H1307:H1318)=11,COUNT(F1307:F1318)=11),cubic_spline(F1306:F1317,H1306:H1317,B$15),IF(AND(COUNT(H1307:H1318)=12,COUNT(F1307:F1318)=12),cubic_spline(F1306:F1318,H1306:H1318,B$15),""))))))))))))</f>
        <v/>
      </c>
      <c r="K1318" s="52" t="str">
        <f>IF(N(B$15)=0,"",IF(AND(COUNT(A1307:A1318)=2,COUNT(F1307:F1318)=2),cubic_spline(F1306:F1308,A1306:A1308,B$15),IF(AND(COUNT(A1307:A1318)=3,COUNT(F1307:F1318)=3),cubic_spline(F1306:F1309,A1306:A1309,B$15),IF(AND(COUNT(A1307:A1318)=4,COUNT(F1307:F1318)=4),cubic_spline(F1306:F1310,A1306:A1310,B$15),IF(AND(COUNT(A1307:A1318)=5,COUNT(F1307:F1318)=5),cubic_spline(F1306:F1311,A1306:A1311,B$15),IF(AND(COUNT(A1307:A1318)=6,COUNT(F1307:F1318)=6),cubic_spline(F1306:F1312,A1306:A1312,B$15),IF(AND(COUNT(A1307:A1318)=7,COUNT(F1307:F1318)=7),cubic_spline(F1306:F1313,A1306:A1313,B$15),IF(AND(COUNT(A1307:A1318)=8,COUNT(F1307:F1318)=8),cubic_spline(F1306:F1314,A1306:A1314,B$15),IF(AND(COUNT(A1307:A1318)=9,COUNT(F1307:F1318)=9),cubic_spline(F1306:F1315,A1306:A1315,B$15),IF(AND(COUNT(A1307:A1318)=10,COUNT(F1307:F1318)=10),cubic_spline(F1306:F1316,A1306:A1316,B$15),IF(AND(COUNT(A1307:A1318)=11,COUNT(F1307:F1318)=11),cubic_spline(F1306:F1317,A1306:A1317,B$15),IF(AND(COUNT(A1307:A1318)=12,COUNT(F1307:F1318)=12),cubic_spline(F1306:F1318,A1306:A1318,B$15),""))))))))))))</f>
        <v/>
      </c>
      <c r="L1318" s="27" t="str">
        <f>IF(I1318="","",B$14&amp;"-"&amp;B$15)</f>
        <v/>
      </c>
      <c r="M1318" s="27" t="str">
        <f t="shared" si="500"/>
        <v/>
      </c>
    </row>
    <row r="1319" spans="1:13" ht="5.15" customHeight="1" x14ac:dyDescent="0.35">
      <c r="A1319" s="47"/>
      <c r="B1319" s="47"/>
      <c r="C1319" s="47"/>
      <c r="D1319" s="53"/>
      <c r="E1319" s="54"/>
      <c r="F1319" s="55"/>
      <c r="G1319" s="54"/>
      <c r="H1319" s="55"/>
      <c r="I1319" s="47"/>
      <c r="J1319" s="55"/>
      <c r="K1319" s="57"/>
      <c r="L1319" s="55"/>
      <c r="M1319" s="55"/>
    </row>
  </sheetData>
  <sheetProtection insertColumns="0"/>
  <protectedRanges>
    <protectedRange sqref="D1:D2" name="Range5"/>
    <protectedRange sqref="B4:B15" name="Range4"/>
    <protectedRange sqref="A20:D1420" name="Range2"/>
    <protectedRange sqref="E1:M15" name="Range1"/>
    <protectedRange sqref="N1:AZ1048576" name="Range3"/>
  </protectedRanges>
  <mergeCells count="2">
    <mergeCell ref="A4:A8"/>
    <mergeCell ref="C4:C8"/>
  </mergeCells>
  <printOptions headings="1"/>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pageSetUpPr fitToPage="1"/>
  </sheetPr>
  <dimension ref="A1:O1317"/>
  <sheetViews>
    <sheetView workbookViewId="0">
      <selection activeCell="C31" sqref="C31:C34"/>
    </sheetView>
  </sheetViews>
  <sheetFormatPr defaultColWidth="8.81640625" defaultRowHeight="14.5" x14ac:dyDescent="0.35"/>
  <cols>
    <col min="1" max="1" width="9.81640625" customWidth="1"/>
    <col min="2" max="2" width="10.1796875" customWidth="1"/>
    <col min="3" max="3" width="10.453125" style="75" customWidth="1"/>
    <col min="4" max="4" width="7.81640625" customWidth="1"/>
    <col min="5" max="5" width="9.1796875" customWidth="1"/>
    <col min="6" max="6" width="8.81640625" customWidth="1"/>
    <col min="7" max="7" width="8.1796875" customWidth="1"/>
    <col min="8" max="8" width="8.26953125" customWidth="1"/>
    <col min="9" max="9" width="7.81640625" customWidth="1"/>
    <col min="10" max="10" width="8.81640625" style="26" customWidth="1"/>
    <col min="11" max="11" width="8.453125" customWidth="1"/>
    <col min="12" max="12" width="9.7265625" customWidth="1"/>
    <col min="13" max="13" width="9" customWidth="1"/>
    <col min="14" max="14" width="7.1796875" customWidth="1"/>
    <col min="15" max="15" width="3.453125" style="26" customWidth="1"/>
    <col min="16" max="16" width="13.1796875" customWidth="1"/>
    <col min="17" max="17" width="9.1796875" customWidth="1"/>
    <col min="18" max="18" width="10.81640625" customWidth="1"/>
  </cols>
  <sheetData>
    <row r="1" spans="1:15" ht="15" thickBot="1" x14ac:dyDescent="0.4">
      <c r="F1" s="26"/>
      <c r="G1" s="26"/>
      <c r="H1" s="26"/>
      <c r="I1" s="27"/>
      <c r="J1" s="27"/>
      <c r="K1" s="27"/>
      <c r="L1" s="27"/>
      <c r="M1" s="27"/>
      <c r="N1" s="26"/>
    </row>
    <row r="2" spans="1:15" ht="15.75" customHeight="1" x14ac:dyDescent="0.35">
      <c r="A2" s="80" t="s">
        <v>42</v>
      </c>
      <c r="B2" s="24">
        <v>1000</v>
      </c>
      <c r="C2" s="83" t="s">
        <v>19</v>
      </c>
      <c r="D2" s="31">
        <f>IF(N(B2)=0,"", AVERAGE(K18,K31,K44,K57,K70,K83,K96,K109,K122,K135,K148,K161,K174,K187,K200,K213,K226,K239,K252,K265,K278,K291,K304,K317,K330,K343,K356,K369,K382,K395,K408,K421,K434,K447,K460,K473,K486,K499,K512,K525,K538,K551,K564,K577,K590,K603,K616,K629,K642,K655,K668,K681,K694,K707,K720,K733,K746,K759,K772,K785,K798,K811,K824,K837,K850,K863,K876,K889,K902,K915,K928,K941,K954,K967,K980,K993,K1006,K1019,K1032,K1045,K1058,K1071,K1084,K1097,K1110,K1123,K1136,K1149,K1162,K1175,K1188,K1201,K1214,K1227,K1240,K1253,K1266,K1279,K1292,K1305))</f>
        <v>9.3035392299872868</v>
      </c>
      <c r="G2" s="26"/>
      <c r="I2" s="27"/>
      <c r="J2" s="27"/>
      <c r="K2" s="27"/>
      <c r="L2" s="27"/>
      <c r="M2" s="27"/>
      <c r="N2" s="26"/>
    </row>
    <row r="3" spans="1:15" ht="15.75" customHeight="1" x14ac:dyDescent="0.35">
      <c r="A3" s="81"/>
      <c r="B3">
        <v>2000</v>
      </c>
      <c r="C3" s="84"/>
      <c r="D3" s="33">
        <f t="shared" ref="D3:D13" si="0">IF(N(B3)=0,"", AVERAGE(K19,K32,K45,K58,K71,K84,K97,K110,K123,K136,K149,K162,K175,K188,K201,K214,K227,K240,K253,K266,K279,K292,K305,K318,K331,K344,K357,K370,K383,K396,K409,K422,K435,K448,K461,K474,K487,K500,K513,K526,K539,K552,K565,K578,K591,K604,K617,K630,K643,K656,K669,K682,K695,K708,K721,K734,K747,K760,K773,K786,K799,K812,K825,K838,K851,K864,K877,K890,K903,K916,K929,K942,K955,K968,K981,K994,K1007,K1020,K1033,K1046,K1059,K1072,K1085,K1098,K1111,K1124,K1137,K1150,K1163,K1176,K1189,K1202,K1215,K1228,K1241,K1254,K1267,K1280,K1293,K1306))</f>
        <v>17.082606509126226</v>
      </c>
      <c r="G3" s="26"/>
      <c r="I3" s="27"/>
      <c r="J3" s="27"/>
      <c r="K3" s="27"/>
      <c r="L3" s="27"/>
      <c r="M3" s="27"/>
      <c r="N3" s="26"/>
    </row>
    <row r="4" spans="1:15" ht="15.75" customHeight="1" x14ac:dyDescent="0.35">
      <c r="A4" s="81"/>
      <c r="B4">
        <v>3000</v>
      </c>
      <c r="C4" s="84"/>
      <c r="D4" s="33">
        <f t="shared" si="0"/>
        <v>24.547773996127084</v>
      </c>
      <c r="G4" s="26"/>
      <c r="O4"/>
    </row>
    <row r="5" spans="1:15" ht="15.75" customHeight="1" x14ac:dyDescent="0.35">
      <c r="A5" s="81"/>
      <c r="B5">
        <v>4000</v>
      </c>
      <c r="C5" s="84"/>
      <c r="D5" s="33">
        <f t="shared" si="0"/>
        <v>32.017684465904452</v>
      </c>
      <c r="G5" s="26"/>
      <c r="O5"/>
    </row>
    <row r="6" spans="1:15" ht="15.75" customHeight="1" x14ac:dyDescent="0.35">
      <c r="A6" s="81"/>
      <c r="B6">
        <v>5000</v>
      </c>
      <c r="C6" s="84"/>
      <c r="D6" s="33">
        <f t="shared" si="0"/>
        <v>39.539670948854635</v>
      </c>
      <c r="G6" s="26"/>
      <c r="O6"/>
    </row>
    <row r="7" spans="1:15" ht="15.75" customHeight="1" x14ac:dyDescent="0.35">
      <c r="A7" s="64"/>
      <c r="B7">
        <v>6000</v>
      </c>
      <c r="C7" s="76"/>
      <c r="D7" s="33">
        <f t="shared" si="0"/>
        <v>47.085929813740293</v>
      </c>
      <c r="G7" s="26"/>
      <c r="O7"/>
    </row>
    <row r="8" spans="1:15" ht="15.75" customHeight="1" x14ac:dyDescent="0.35">
      <c r="A8" s="64"/>
      <c r="B8" t="s">
        <v>20</v>
      </c>
      <c r="C8" s="76"/>
      <c r="D8" s="33" t="str">
        <f t="shared" si="0"/>
        <v/>
      </c>
      <c r="G8" s="26"/>
      <c r="O8"/>
    </row>
    <row r="9" spans="1:15" ht="15.75" customHeight="1" x14ac:dyDescent="0.35">
      <c r="A9" s="64"/>
      <c r="B9" t="s">
        <v>20</v>
      </c>
      <c r="C9" s="76"/>
      <c r="D9" s="33" t="str">
        <f t="shared" si="0"/>
        <v/>
      </c>
      <c r="G9" s="26"/>
      <c r="O9"/>
    </row>
    <row r="10" spans="1:15" ht="15.75" customHeight="1" x14ac:dyDescent="0.35">
      <c r="A10" s="64"/>
      <c r="B10" t="s">
        <v>20</v>
      </c>
      <c r="C10" s="76"/>
      <c r="D10" s="33" t="str">
        <f t="shared" si="0"/>
        <v/>
      </c>
      <c r="G10" s="26"/>
      <c r="H10" t="s">
        <v>20</v>
      </c>
      <c r="I10" s="27"/>
      <c r="J10" s="27"/>
      <c r="K10" s="27"/>
      <c r="L10" s="27"/>
      <c r="M10" s="35"/>
      <c r="N10" s="36"/>
    </row>
    <row r="11" spans="1:15" ht="15.75" customHeight="1" x14ac:dyDescent="0.35">
      <c r="A11" s="64"/>
      <c r="B11" t="s">
        <v>20</v>
      </c>
      <c r="C11" s="76"/>
      <c r="D11" s="33" t="str">
        <f t="shared" si="0"/>
        <v/>
      </c>
      <c r="G11" s="26"/>
      <c r="I11" s="27"/>
      <c r="J11" s="27"/>
      <c r="K11" s="27"/>
      <c r="L11" s="27"/>
      <c r="M11" s="35"/>
      <c r="N11" s="36"/>
    </row>
    <row r="12" spans="1:15" ht="15.75" customHeight="1" x14ac:dyDescent="0.35">
      <c r="A12" s="64"/>
      <c r="B12" t="s">
        <v>20</v>
      </c>
      <c r="C12" s="76"/>
      <c r="D12" s="33" t="str">
        <f t="shared" si="0"/>
        <v/>
      </c>
      <c r="G12" s="26"/>
      <c r="I12" s="27"/>
      <c r="J12" s="27"/>
      <c r="K12" s="27"/>
      <c r="L12" s="27"/>
      <c r="M12" s="35"/>
      <c r="N12" s="36"/>
    </row>
    <row r="13" spans="1:15" ht="15.75" customHeight="1" thickBot="1" x14ac:dyDescent="0.4">
      <c r="A13" s="66"/>
      <c r="B13" s="29" t="s">
        <v>20</v>
      </c>
      <c r="C13" s="77"/>
      <c r="D13" s="34" t="str">
        <f t="shared" si="0"/>
        <v/>
      </c>
      <c r="G13" s="26"/>
      <c r="I13" s="27"/>
      <c r="J13" s="27"/>
      <c r="K13" s="27"/>
      <c r="L13" s="27"/>
      <c r="M13" s="35"/>
      <c r="N13" s="36"/>
    </row>
    <row r="14" spans="1:15" ht="8.25" customHeight="1" thickBot="1" x14ac:dyDescent="0.4">
      <c r="D14" t="s">
        <v>20</v>
      </c>
      <c r="F14" s="26"/>
      <c r="G14" s="26"/>
      <c r="H14" s="26"/>
      <c r="I14" s="27"/>
      <c r="J14" s="27"/>
      <c r="K14" s="27"/>
      <c r="L14" s="27"/>
      <c r="M14" s="27"/>
      <c r="N14" s="26"/>
    </row>
    <row r="15" spans="1:15" ht="38" thickBot="1" x14ac:dyDescent="0.4">
      <c r="A15" s="37" t="s">
        <v>21</v>
      </c>
      <c r="B15" s="37" t="s">
        <v>22</v>
      </c>
      <c r="C15" s="38" t="s">
        <v>45</v>
      </c>
      <c r="D15" s="38" t="s">
        <v>24</v>
      </c>
      <c r="E15" s="39" t="s">
        <v>25</v>
      </c>
      <c r="F15" s="39" t="s">
        <v>26</v>
      </c>
      <c r="G15" s="39" t="s">
        <v>27</v>
      </c>
      <c r="H15" s="39" t="s">
        <v>28</v>
      </c>
      <c r="I15" s="39" t="s">
        <v>29</v>
      </c>
      <c r="J15" s="39" t="s">
        <v>28</v>
      </c>
      <c r="K15" s="39" t="s">
        <v>30</v>
      </c>
      <c r="L15" s="39" t="s">
        <v>31</v>
      </c>
      <c r="M15" s="39" t="s">
        <v>32</v>
      </c>
      <c r="N15" s="40"/>
      <c r="O15"/>
    </row>
    <row r="16" spans="1:15" ht="18.75" customHeight="1" thickBot="1" x14ac:dyDescent="0.4">
      <c r="A16" s="41" t="s">
        <v>33</v>
      </c>
      <c r="B16" s="41" t="s">
        <v>20</v>
      </c>
      <c r="C16" s="42" t="s">
        <v>46</v>
      </c>
      <c r="D16" s="42" t="s">
        <v>35</v>
      </c>
      <c r="E16" s="43" t="s">
        <v>36</v>
      </c>
      <c r="F16" s="43" t="s">
        <v>36</v>
      </c>
      <c r="G16" s="43" t="s">
        <v>36</v>
      </c>
      <c r="H16" s="43" t="s">
        <v>36</v>
      </c>
      <c r="I16" s="43" t="s">
        <v>36</v>
      </c>
      <c r="J16" s="43" t="s">
        <v>36</v>
      </c>
      <c r="K16" s="41" t="s">
        <v>33</v>
      </c>
      <c r="L16" s="43" t="s">
        <v>36</v>
      </c>
      <c r="M16" s="43" t="s">
        <v>36</v>
      </c>
      <c r="O16"/>
    </row>
    <row r="17" spans="1:15" ht="5.15" customHeight="1" x14ac:dyDescent="0.35">
      <c r="A17" s="44"/>
      <c r="B17" s="44"/>
      <c r="C17" s="45"/>
      <c r="D17" s="45"/>
      <c r="E17" s="46"/>
      <c r="F17" s="46"/>
      <c r="G17" s="47"/>
      <c r="H17" s="47"/>
      <c r="I17" s="46"/>
      <c r="J17" s="55"/>
      <c r="K17" s="44"/>
      <c r="L17" s="46"/>
      <c r="M17" s="47"/>
      <c r="O17"/>
    </row>
    <row r="18" spans="1:15" ht="15.75" customHeight="1" x14ac:dyDescent="0.35">
      <c r="A18" s="48">
        <v>8</v>
      </c>
      <c r="B18" s="48" t="s">
        <v>37</v>
      </c>
      <c r="C18" s="50">
        <v>1.060459112434911</v>
      </c>
      <c r="D18" s="50">
        <v>24.287188420042472</v>
      </c>
      <c r="E18" s="51">
        <f>IF(N(C18)=0,"",(A18-A17)*C18*100)</f>
        <v>848.36728994792884</v>
      </c>
      <c r="F18" s="68">
        <f>IF(N(E18)=0,"",N(E18)+N(F17))</f>
        <v>848.36728994792884</v>
      </c>
      <c r="G18" s="69">
        <f>IF(OR(N(D18)=0,N(E18)=0),"",(E18*D18)/1000)</f>
        <v>20.604456220366153</v>
      </c>
      <c r="H18" s="70">
        <f t="shared" ref="H18:H29" si="1">IF(N(G18)=0,"",(N(G18)+N(H17)))</f>
        <v>20.604456220366153</v>
      </c>
      <c r="I18" s="27" t="str">
        <f>IF(N(J18)=0,"",0&amp;"-"&amp;B$2)</f>
        <v>0-1000</v>
      </c>
      <c r="J18" s="52">
        <f>IF(N(B$2)=0,"",IF(AND(COUNT(H18:H29)=2,COUNT(F18:F29)=2),cubic_spline(F17:F19,H17:H19,B$2),IF(AND(COUNT(H18:H29)=3,COUNT(F18:F29)=3),cubic_spline(F17:F20,H17:H20,B$2),IF(AND(COUNT(H18:H29)=4,COUNT(F18:F29)=4),cubic_spline(F17:F21,H17:H21,B$2),IF(AND(COUNT(H18:H29)=5,COUNT(F18:F29)=5),cubic_spline(F17:F22,H17:H22,B$2),IF(AND(COUNT(H18:H29)=6,COUNT(F18:F29)=6),cubic_spline(F17:F23,H17:H23,B$2),IF(AND(COUNT(H18:H29)=7,COUNT(F18:F29)=7),cubic_spline(F17:F24,H17:H24,B$2),IF(AND(COUNT(H18:H29)=8,COUNT(F18:F29)=8),cubic_spline(F17:F25,H17:H25,B$2),IF(AND(COUNT(H18:H29)=9,COUNT(F18:F29)=9),cubic_spline(F17:F26,H17:H26,B$2),IF(AND(COUNT(H18:H29)=10,COUNT(F18:F29)=10),cubic_spline(F17:F27,H17:H27,B$2),IF(AND(COUNT(H18:H29)=11,COUNT(F18:F29)=11),cubic_spline(F17:F28,H17:H28,B$2),IF(AND(COUNT(H18:H29)=12,COUNT(F18:F29)=12),cubic_spline(F17:F29,H17:H29,B$2),""))))))))))))</f>
        <v>23.258033254317656</v>
      </c>
      <c r="K18" s="52">
        <f>IF(N(B$2)=0,"",IF(AND(COUNT(A18:A29)=2,COUNT(F18:F29)=2),cubic_spline(F17:F19,A17:A19,B$2),IF(AND(COUNT(A18:A29)=3,COUNT(F18:F29)=3),cubic_spline(F17:F20,A17:A20,B$2),IF(AND(COUNT(A18:A29)=4,COUNT(F18:F29)=4),cubic_spline(F17:F21,A17:A21,B$2),IF(AND(COUNT(A18:A29)=5,COUNT(F18:F29)=5),cubic_spline(F17:F22,A17:A22,B$2),IF(AND(COUNT(A18:A29)=6,COUNT(F18:F29)=6),cubic_spline(F17:F23,A17:A23,B$2),IF(AND(COUNT(A18:A29)=7,COUNT(F18:F29)=7),cubic_spline(F17:F24,A17:A24,B$2),IF(AND(COUNT(A18:A29)=8,COUNT(F18:F29)=8),cubic_spline(F17:F25,A17:A25,B$2),IF(AND(COUNT(A18:A29)=9,COUNT(F18:F29)=9),cubic_spline(F17:F26,A17:A26,B$2),IF(AND(COUNT(A18:A29)=10,COUNT(F18:F29)=10),cubic_spline(F17:F27,A17:A27,B$2),IF(AND(COUNT(A18:A29)=11,COUNT(F18:F29)=11),cubic_spline(F17:F28,A17:A28,B$2),IF(AND(COUNT(A18:A29)=12,COUNT(F18:F29)=12),cubic_spline(F17:F29,A17:A29,B$2),""))))))))))))</f>
        <v>9.3417100205488666</v>
      </c>
      <c r="L18" s="27" t="str">
        <f>IF(I18="","",0&amp;"-"&amp;B$2)</f>
        <v>0-1000</v>
      </c>
      <c r="M18" s="52">
        <f>IF(N(J18)=0,"",J18-J17)</f>
        <v>23.258033254317656</v>
      </c>
      <c r="O18"/>
    </row>
    <row r="19" spans="1:15" ht="15.75" customHeight="1" x14ac:dyDescent="0.35">
      <c r="A19" s="48">
        <v>16</v>
      </c>
      <c r="B19" s="48" t="s">
        <v>37</v>
      </c>
      <c r="C19" s="50">
        <v>1.1981810750887956</v>
      </c>
      <c r="D19" s="50">
        <v>12.681478533824528</v>
      </c>
      <c r="E19" s="51">
        <f t="shared" ref="E19:E29" si="2">IF(N(C19)=0,"",(A19-A18)*C19*100)</f>
        <v>958.54486007103651</v>
      </c>
      <c r="F19" s="68">
        <f t="shared" ref="F19:F29" si="3">IF(N(E19)=0,"",(N(E19)+N(F18)))</f>
        <v>1806.9121500189653</v>
      </c>
      <c r="G19" s="69">
        <f t="shared" ref="G19:G29" si="4">IF(OR(N(D19)=0,N(E19)=0),"",(E19*D19)/1000)</f>
        <v>12.155766066698686</v>
      </c>
      <c r="H19" s="70">
        <f t="shared" si="1"/>
        <v>32.760222287064835</v>
      </c>
      <c r="I19" s="27" t="str">
        <f>IF(N(J19)=0,"",0&amp;"-"&amp;B$3)</f>
        <v>0-2000</v>
      </c>
      <c r="J19" s="52">
        <f>IF(N(B$3)=0,"",IF(AND(COUNT(H18:H29)=2,COUNT(F18:F29)=2),cubic_spline(F17:F19,H17:H19,B$3),IF(AND(COUNT(H18:H29)=3,COUNT(F18:F29)=3),cubic_spline(F17:F20,H17:H20,B$3),IF(AND(COUNT(H18:H29)=4,COUNT(F18:F29)=4),cubic_spline(F17:F21,H17:H21,B$3),IF(AND(COUNT(H18:H29)=5,COUNT(F18:F29)=5),cubic_spline(F17:F22,H17:H22,B$3),IF(AND(COUNT(H18:H29)=6,COUNT(F18:F29)=6),cubic_spline(F17:F23,H17:H23,B$3),IF(AND(COUNT(H18:H29)=7,COUNT(F18:F29)=7),cubic_spline(F17:F24,H17:H24,B$3),IF(AND(COUNT(H18:H29)=8,COUNT(F18:F29)=8),cubic_spline(F17:F25,H17:H25,B$3),IF(AND(COUNT(H18:H29)=9,COUNT(F18:F29)=9),cubic_spline(F17:F26,H17:H26,B$3),IF(AND(COUNT(H18:H29)=10,COUNT(F18:F29)=10),cubic_spline(F17:F27,H17:H27,B$3),IF(AND(COUNT(H18:H29)=11,COUNT(F18:F29)=11),cubic_spline(F17:F28,H17:H28,B$3),IF(AND(COUNT(H18:H29)=12,COUNT(F18:F29)=12),cubic_spline(F17:F29,H17:H29,B$3),""))))))))))))</f>
        <v>34.577487032743257</v>
      </c>
      <c r="K19" s="52">
        <f>IF(N(B$3)=0,"",IF(AND(COUNT(A18:A29)=2,COUNT(F18:F29)=2),cubic_spline(F17:F19,A17:A19,B$3),IF(AND(COUNT(A18:A29)=3,COUNT(F18:F29)=3),cubic_spline(F17:F20,A17:A20,B$3),IF(AND(COUNT(A18:A29)=4,COUNT(F18:F29)=4),cubic_spline(F17:F21,A17:A21,B$3),IF(AND(COUNT(A18:A29)=5,COUNT(F18:F29)=5),cubic_spline(F17:F22,A17:A22,B$3),IF(AND(COUNT(A18:A29)=6,COUNT(F18:F29)=6),cubic_spline(F17:F23,A17:A23,B$3),IF(AND(COUNT(A18:A29)=7,COUNT(F18:F29)=7),cubic_spline(F17:F24,A17:A24,B$3),IF(AND(COUNT(A18:A29)=8,COUNT(F18:F29)=8),cubic_spline(F17:F25,A17:A25,B$3),IF(AND(COUNT(A18:A29)=9,COUNT(F18:F29)=9),cubic_spline(F17:F26,A17:A26,B$3),IF(AND(COUNT(A18:A29)=10,COUNT(F18:F29)=10),cubic_spline(F17:F27,A17:A27,B$3),IF(AND(COUNT(A18:A29)=11,COUNT(F18:F29)=11),cubic_spline(F17:F28,A17:A28,B$3),IF(AND(COUNT(A18:A29)=12,COUNT(F18:F29)=12),cubic_spline(F17:F29,A17:A29,B$3),""))))))))))))</f>
        <v>17.51117984875361</v>
      </c>
      <c r="L19" s="27" t="str">
        <f>IF(I19="","",B$2&amp;"-"&amp;B$3)</f>
        <v>1000-2000</v>
      </c>
      <c r="M19" s="52">
        <f>IF(N(J19)=0,"",J19-J18)</f>
        <v>11.319453778425601</v>
      </c>
      <c r="O19"/>
    </row>
    <row r="20" spans="1:15" ht="15" customHeight="1" x14ac:dyDescent="0.35">
      <c r="A20" s="48">
        <v>32</v>
      </c>
      <c r="B20" s="48" t="s">
        <v>37</v>
      </c>
      <c r="C20" s="50">
        <v>1.3173966490110647</v>
      </c>
      <c r="D20" s="50">
        <v>8.7067416803563731</v>
      </c>
      <c r="E20" s="51">
        <f t="shared" si="2"/>
        <v>2107.8346384177034</v>
      </c>
      <c r="F20" s="68">
        <f t="shared" si="3"/>
        <v>3914.7467884366688</v>
      </c>
      <c r="G20" s="69">
        <f t="shared" si="4"/>
        <v>18.352371701610323</v>
      </c>
      <c r="H20" s="70">
        <f t="shared" si="1"/>
        <v>51.112593988675158</v>
      </c>
      <c r="I20" s="27" t="str">
        <f>IF(N(J20)=0,"",0&amp;"-"&amp;B$4)</f>
        <v>0-3000</v>
      </c>
      <c r="J20" s="52">
        <f>IF(N(B$4)=0,"",IF(AND(COUNT(H18:H29)=2,COUNT(F18:F29)=2),cubic_spline(F17:F19,H17:H19,B$4),IF(AND(COUNT(H18:H29)=3,COUNT(F18:F29)=3),cubic_spline(F17:F20,H17:H20,B$4),IF(AND(COUNT(H18:H29)=4,COUNT(F18:F29)=4),cubic_spline(F17:F21,H17:H21,B$4),IF(AND(COUNT(H18:H29)=5,COUNT(F18:F29)=5),cubic_spline(F17:F22,H17:H22,B$4),IF(AND(COUNT(H18:H29)=6,COUNT(F18:F29)=6),cubic_spline(F17:F23,H17:H23,B$4),IF(AND(COUNT(H18:H29)=7,COUNT(F18:F29)=7),cubic_spline(F17:F24,H17:H24,B$4),IF(AND(COUNT(H18:H29)=8,COUNT(F18:F29)=8),cubic_spline(F17:F25,H17:H25,B$4),IF(AND(COUNT(H18:H29)=9,COUNT(F18:F29)=9),cubic_spline(F17:F26,H17:H26,B$4),IF(AND(COUNT(H18:H29)=10,COUNT(F18:F29)=10),cubic_spline(F17:F27,H17:H27,B$4),IF(AND(COUNT(H18:H29)=11,COUNT(F18:F29)=11),cubic_spline(F17:F28,H17:H28,B$4),IF(AND(COUNT(H18:H29)=12,COUNT(F18:F29)=12),cubic_spline(F17:F29,H17:H29,B$4),""))))))))))))</f>
        <v>43.604080695290648</v>
      </c>
      <c r="K20" s="52">
        <f>IF(N(B$4)=0,"",IF(AND(COUNT(A18:A29)=2,COUNT(F18:F29)=2),cubic_spline(F17:F19,A17:A19,B$4),IF(AND(COUNT(A18:A29)=3,COUNT(F18:F29)=3),cubic_spline(F17:F20,A17:A20,B$4),IF(AND(COUNT(A18:A29)=4,COUNT(F18:F29)=4),cubic_spline(F17:F21,A17:A21,B$4),IF(AND(COUNT(A18:A29)=5,COUNT(F18:F29)=5),cubic_spline(F17:F22,A17:A22,B$4),IF(AND(COUNT(A18:A29)=6,COUNT(F18:F29)=6),cubic_spline(F17:F23,A17:A23,B$4),IF(AND(COUNT(A18:A29)=7,COUNT(F18:F29)=7),cubic_spline(F17:F24,A17:A24,B$4),IF(AND(COUNT(A18:A29)=8,COUNT(F18:F29)=8),cubic_spline(F17:F25,A17:A25,B$4),IF(AND(COUNT(A18:A29)=9,COUNT(F18:F29)=9),cubic_spline(F17:F26,A17:A26,B$4),IF(AND(COUNT(A18:A29)=10,COUNT(F18:F29)=10),cubic_spline(F17:F27,A17:A27,B$4),IF(AND(COUNT(A18:A29)=11,COUNT(F18:F29)=11),cubic_spline(F17:F28,A17:A28,B$4),IF(AND(COUNT(A18:A29)=12,COUNT(F18:F29)=12),cubic_spline(F17:F29,A17:A29,B$4),""))))))))))))</f>
        <v>25.099821736845762</v>
      </c>
      <c r="L20" s="27" t="str">
        <f>IF(I20="","",B$3&amp;"-"&amp;B$4)</f>
        <v>2000-3000</v>
      </c>
      <c r="M20" s="52">
        <f>IF(N(J20)=0,"",J20-J19)</f>
        <v>9.0265936625473913</v>
      </c>
      <c r="O20"/>
    </row>
    <row r="21" spans="1:15" ht="15" customHeight="1" x14ac:dyDescent="0.35">
      <c r="A21" s="48">
        <v>48</v>
      </c>
      <c r="B21" s="48" t="s">
        <v>37</v>
      </c>
      <c r="C21" s="50">
        <v>1.2575736714832835</v>
      </c>
      <c r="D21" s="50">
        <v>6.9685959018314385</v>
      </c>
      <c r="E21" s="51">
        <f t="shared" si="2"/>
        <v>2012.1178743732535</v>
      </c>
      <c r="F21" s="68">
        <f t="shared" si="3"/>
        <v>5926.8646628099223</v>
      </c>
      <c r="G21" s="69">
        <f t="shared" si="4"/>
        <v>14.02163637335924</v>
      </c>
      <c r="H21" s="70">
        <f t="shared" si="1"/>
        <v>65.134230362034401</v>
      </c>
      <c r="I21" s="27" t="str">
        <f>IF(N(J21)=0,"",0&amp;"-"&amp;B$5)</f>
        <v>0-4000</v>
      </c>
      <c r="J21" s="52">
        <f>IF(N(B$5)=0,"",IF(AND(COUNT(H18:H29)=2,COUNT(F18:F29)=2),cubic_spline(F17:F19,H17:H19,B$5),IF(AND(COUNT(H18:H29)=3,COUNT(F18:F29)=3),cubic_spline(F17:F20,H17:H20,B$5),IF(AND(COUNT(H18:H29)=4,COUNT(F18:F29)=4),cubic_spline(F17:F21,H17:H21,B$5),IF(AND(COUNT(H18:H29)=5,COUNT(F18:F29)=5),cubic_spline(F17:F22,H17:H22,B$5),IF(AND(COUNT(H18:H29)=6,COUNT(F18:F29)=6),cubic_spline(F17:F23,H17:H23,B$5),IF(AND(COUNT(H18:H29)=7,COUNT(F18:F29)=7),cubic_spline(F17:F24,H17:H24,B$5),IF(AND(COUNT(H18:H29)=8,COUNT(F18:F29)=8),cubic_spline(F17:F25,H17:H25,B$5),IF(AND(COUNT(H18:H29)=9,COUNT(F18:F29)=9),cubic_spline(F17:F26,H17:H26,B$5),IF(AND(COUNT(H18:H29)=10,COUNT(F18:F29)=10),cubic_spline(F17:F27,H17:H27,B$5),IF(AND(COUNT(H18:H29)=11,COUNT(F18:F29)=11),cubic_spline(F17:F28,H17:H28,B$5),IF(AND(COUNT(H18:H29)=12,COUNT(F18:F29)=12),cubic_spline(F17:F29,H17:H29,B$5),""))))))))))))</f>
        <v>51.767564285346189</v>
      </c>
      <c r="K21" s="52">
        <f>IF(N(B$5)=0,"",IF(AND(COUNT(A18:A29)=2,COUNT(F18:F29)=2),cubic_spline(F17:F19,A17:A19,B$5),IF(AND(COUNT(A18:A29)=3,COUNT(F18:F29)=3),cubic_spline(F17:F20,A17:A20,B$5),IF(AND(COUNT(A18:A29)=4,COUNT(F18:F29)=4),cubic_spline(F17:F21,A17:A21,B$5),IF(AND(COUNT(A18:A29)=5,COUNT(F18:F29)=5),cubic_spline(F17:F22,A17:A22,B$5),IF(AND(COUNT(A18:A29)=6,COUNT(F18:F29)=6),cubic_spline(F17:F23,A17:A23,B$5),IF(AND(COUNT(A18:A29)=7,COUNT(F18:F29)=7),cubic_spline(F17:F24,A17:A24,B$5),IF(AND(COUNT(A18:A29)=8,COUNT(F18:F29)=8),cubic_spline(F17:F25,A17:A25,B$5),IF(AND(COUNT(A18:A29)=9,COUNT(F18:F29)=9),cubic_spline(F17:F26,A17:A26,B$5),IF(AND(COUNT(A18:A29)=10,COUNT(F18:F29)=10),cubic_spline(F17:F27,A17:A27,B$5),IF(AND(COUNT(A18:A29)=11,COUNT(F18:F29)=11),cubic_spline(F17:F28,A17:A28,B$5),IF(AND(COUNT(A18:A29)=12,COUNT(F18:F29)=12),cubic_spline(F17:F29,A17:A29,B$5),""))))))))))))</f>
        <v>32.655196277817581</v>
      </c>
      <c r="L21" s="27" t="str">
        <f>IF(I21="","",B$4&amp;"-"&amp;B$5)</f>
        <v>3000-4000</v>
      </c>
      <c r="M21" s="52">
        <f>IF(N(J21)=0,"",J21-J20)</f>
        <v>8.1634835900555416</v>
      </c>
      <c r="O21"/>
    </row>
    <row r="22" spans="1:15" ht="15" customHeight="1" x14ac:dyDescent="0.35">
      <c r="A22" s="48"/>
      <c r="B22" s="48"/>
      <c r="C22" s="50"/>
      <c r="D22" s="50"/>
      <c r="E22" s="51" t="str">
        <f t="shared" si="2"/>
        <v/>
      </c>
      <c r="F22" s="71" t="str">
        <f t="shared" si="3"/>
        <v/>
      </c>
      <c r="G22" s="69" t="str">
        <f t="shared" si="4"/>
        <v/>
      </c>
      <c r="H22" s="70" t="str">
        <f t="shared" si="1"/>
        <v/>
      </c>
      <c r="I22" s="27" t="str">
        <f>IF(N(J22)=0,"",0&amp;"-"&amp;B$6)</f>
        <v>0-5000</v>
      </c>
      <c r="J22" s="52">
        <f>IF(N(B$6)=0,"",IF(AND(COUNT(H18:H29)=2,COUNT(F18:F29)=2),cubic_spline(F17:F19,H17:H19,B$6),IF(AND(COUNT(H18:H29)=3,COUNT(F18:F29)=3),cubic_spline(F17:F20,H17:H20,B$6),IF(AND(COUNT(H18:H29)=4,COUNT(F18:F29)=4),cubic_spline(F17:F21,H17:H21,B$6),IF(AND(COUNT(H18:H29)=5,COUNT(F18:F29)=5),cubic_spline(F17:F22,H17:H22,B$6),IF(AND(COUNT(H18:H29)=6,COUNT(F18:F29)=6),cubic_spline(F17:F23,H17:H23,B$6),IF(AND(COUNT(H18:H29)=7,COUNT(F18:F29)=7),cubic_spline(F17:F24,H17:H24,B$6),IF(AND(COUNT(H18:H29)=8,COUNT(F18:F29)=8),cubic_spline(F17:F25,H17:H25,B$6),IF(AND(COUNT(H18:H29)=9,COUNT(F18:F29)=9),cubic_spline(F17:F26,H17:H26,B$6),IF(AND(COUNT(H18:H29)=10,COUNT(F18:F29)=10),cubic_spline(F17:F27,H17:H27,B$6),IF(AND(COUNT(H18:H29)=11,COUNT(F18:F29)=11),cubic_spline(F17:F28,H17:H28,B$6),IF(AND(COUNT(H18:H29)=12,COUNT(F18:F29)=12),cubic_spline(F17:F29,H17:H29,B$6),""))))))))))))</f>
        <v>58.953408252519246</v>
      </c>
      <c r="K22" s="52">
        <f>IF(N(B$6)=0,"",IF(AND(COUNT(A18:A29)=2,COUNT(F18:F29)=2),cubic_spline(F17:F19,A17:A19,B$6),IF(AND(COUNT(A18:A29)=3,COUNT(F18:F29)=3),cubic_spline(F17:F20,A17:A20,B$6),IF(AND(COUNT(A18:A29)=4,COUNT(F18:F29)=4),cubic_spline(F17:F21,A17:A21,B$6),IF(AND(COUNT(A18:A29)=5,COUNT(F18:F29)=5),cubic_spline(F17:F22,A17:A22,B$6),IF(AND(COUNT(A18:A29)=6,COUNT(F18:F29)=6),cubic_spline(F17:F23,A17:A23,B$6),IF(AND(COUNT(A18:A29)=7,COUNT(F18:F29)=7),cubic_spline(F17:F24,A17:A24,B$6),IF(AND(COUNT(A18:A29)=8,COUNT(F18:F29)=8),cubic_spline(F17:F25,A17:A25,B$6),IF(AND(COUNT(A18:A29)=9,COUNT(F18:F29)=9),cubic_spline(F17:F26,A17:A26,B$6),IF(AND(COUNT(A18:A29)=10,COUNT(F18:F29)=10),cubic_spline(F17:F27,A17:A27,B$6),IF(AND(COUNT(A18:A29)=11,COUNT(F18:F29)=11),cubic_spline(F17:F28,A17:A28,B$6),IF(AND(COUNT(A18:A29)=12,COUNT(F18:F29)=12),cubic_spline(F17:F29,A17:A29,B$6),""))))))))))))</f>
        <v>40.525924023469585</v>
      </c>
      <c r="L22" s="27" t="str">
        <f>IF(I22="","",B$5&amp;"-"&amp;B$6)</f>
        <v>4000-5000</v>
      </c>
      <c r="M22" s="52">
        <f>IF(N(J22)=0,"",J22-J21)</f>
        <v>7.1858439671730565</v>
      </c>
      <c r="O22"/>
    </row>
    <row r="23" spans="1:15" ht="15" customHeight="1" x14ac:dyDescent="0.35">
      <c r="A23" s="48"/>
      <c r="B23" s="48"/>
      <c r="C23" s="50"/>
      <c r="D23" s="50"/>
      <c r="E23" s="51" t="str">
        <f t="shared" si="2"/>
        <v/>
      </c>
      <c r="F23" s="71" t="str">
        <f t="shared" si="3"/>
        <v/>
      </c>
      <c r="G23" s="69" t="str">
        <f t="shared" si="4"/>
        <v/>
      </c>
      <c r="H23" s="70" t="str">
        <f t="shared" si="1"/>
        <v/>
      </c>
      <c r="I23" s="27" t="str">
        <f>IF(N(J23)=0,"",0&amp;"-"&amp;B$7)</f>
        <v>0-6000</v>
      </c>
      <c r="J23" s="52">
        <f>IF(N(B$7)=0,"",IF(AND(COUNT(H18:H29)=2,COUNT(F18:F29)=2),cubic_spline(F17:F19,H17:H19,B$7),IF(AND(COUNT(H18:H29)=3,COUNT(F18:F29)=3),cubic_spline(F17:F20,H17:H20,B$7),IF(AND(COUNT(H18:H29)=4,COUNT(F18:F29)=4),cubic_spline(F17:F21,H17:H21,B$7),IF(AND(COUNT(H18:H29)=5,COUNT(F18:F29)=5),cubic_spline(F17:F22,H17:H22,B$7),IF(AND(COUNT(H18:H29)=6,COUNT(F18:F29)=6),cubic_spline(F17:F23,H17:H23,B$7),IF(AND(COUNT(H18:H29)=7,COUNT(F18:F29)=7),cubic_spline(F17:F24,H17:H24,B$7),IF(AND(COUNT(H18:H29)=8,COUNT(F18:F29)=8),cubic_spline(F17:F25,H17:H25,B$7),IF(AND(COUNT(H18:H29)=9,COUNT(F18:F29)=9),cubic_spline(F17:F26,H17:H26,B$7),IF(AND(COUNT(H18:H29)=10,COUNT(F18:F29)=10),cubic_spline(F17:F27,H17:H27,B$7),IF(AND(COUNT(H18:H29)=11,COUNT(F18:F29)=11),cubic_spline(F17:F28,H17:H28,B$7),IF(AND(COUNT(H18:H29)=12,COUNT(F18:F29)=12),cubic_spline(F17:F29,H17:H29,B$7),""))))))))))))</f>
        <v>65.616061902514389</v>
      </c>
      <c r="K23" s="52">
        <f>IF(N(B$7)=0,"",IF(AND(COUNT(A18:A29)=2,COUNT(F18:F29)=2),cubic_spline(F17:F19,A17:A19,B$7),IF(AND(COUNT(A18:A29)=3,COUNT(F18:F29)=3),cubic_spline(F17:F20,A17:A20,B$7),IF(AND(COUNT(A18:A29)=4,COUNT(F18:F29)=4),cubic_spline(F17:F21,A17:A21,B$7),IF(AND(COUNT(A18:A29)=5,COUNT(F18:F29)=5),cubic_spline(F17:F22,A17:A22,B$7),IF(AND(COUNT(A18:A29)=6,COUNT(F18:F29)=6),cubic_spline(F17:F23,A17:A23,B$7),IF(AND(COUNT(A18:A29)=7,COUNT(F18:F29)=7),cubic_spline(F17:F24,A17:A24,B$7),IF(AND(COUNT(A18:A29)=8,COUNT(F18:F29)=8),cubic_spline(F17:F25,A17:A25,B$7),IF(AND(COUNT(A18:A29)=9,COUNT(F18:F29)=9),cubic_spline(F17:F26,A17:A26,B$7),IF(AND(COUNT(A18:A29)=10,COUNT(F18:F29)=10),cubic_spline(F17:F27,A17:A27,B$7),IF(AND(COUNT(A18:A29)=11,COUNT(F18:F29)=11),cubic_spline(F17:F28,A17:A28,B$7),IF(AND(COUNT(A18:A29)=12,COUNT(F18:F29)=12),cubic_spline(F17:F29,A17:A29,B$7),""))))))))))))</f>
        <v>48.591942491892688</v>
      </c>
      <c r="L23" s="27" t="str">
        <f>IF(I23="","",B$6&amp;"-"&amp;B$7)</f>
        <v>5000-6000</v>
      </c>
      <c r="M23" s="52">
        <f t="shared" ref="M23:M29" si="5">IF(N(J23)=0,"",J23-J22)</f>
        <v>6.6626536499951428</v>
      </c>
      <c r="O23"/>
    </row>
    <row r="24" spans="1:15" ht="15" customHeight="1" x14ac:dyDescent="0.35">
      <c r="A24" s="48"/>
      <c r="B24" s="48"/>
      <c r="C24" s="50"/>
      <c r="D24" s="50"/>
      <c r="E24" s="51" t="str">
        <f t="shared" si="2"/>
        <v/>
      </c>
      <c r="F24" s="71" t="str">
        <f t="shared" si="3"/>
        <v/>
      </c>
      <c r="G24" s="69" t="str">
        <f t="shared" si="4"/>
        <v/>
      </c>
      <c r="H24" s="70" t="str">
        <f t="shared" si="1"/>
        <v/>
      </c>
      <c r="I24" s="27" t="str">
        <f>IF(N(J24)=0,"",0&amp;"-"&amp;B$8)</f>
        <v/>
      </c>
      <c r="J24" s="52" t="str">
        <f>IF(N(B$8)=0,"",IF(AND(COUNT(H18:H29)=2,COUNT(F18:F29)=2),cubic_spline(F17:F19,H17:H19,B$8),IF(AND(COUNT(H18:H29)=3,COUNT(F18:F29)=3),cubic_spline(F17:F20,H17:H20,B$8),IF(AND(COUNT(H18:H29)=4,COUNT(F18:F29)=4),cubic_spline(F17:F21,H17:H21,B$8),IF(AND(COUNT(H18:H29)=5,COUNT(F18:F29)=5),cubic_spline(F17:F22,H17:H22,B$8),IF(AND(COUNT(H18:H29)=6,COUNT(F18:F29)=6),cubic_spline(F17:F23,H17:H23,B$8),IF(AND(COUNT(H18:H29)=7,COUNT(F18:F29)=7),cubic_spline(F17:F24,H17:H24,B$8),IF(AND(COUNT(H18:H29)=8,COUNT(F18:F29)=8),cubic_spline(F17:F25,H17:H25,B$8),IF(AND(COUNT(H18:H29)=9,COUNT(F18:F29)=9),cubic_spline(F17:F26,H17:H26,B$8),IF(AND(COUNT(H18:H29)=10,COUNT(F18:F29)=10),cubic_spline(F17:F27,H17:H27,B$8),IF(AND(COUNT(H18:H29)=11,COUNT(F18:F29)=11),cubic_spline(F17:F28,H17:H28,B$8),IF(AND(COUNT(H18:H29)=12,COUNT(F18:F29)=12),cubic_spline(F17:F29,H17:H29,B$8),""))))))))))))</f>
        <v/>
      </c>
      <c r="K24" s="52" t="str">
        <f>IF(N(B$8)=0,"",IF(AND(COUNT(A18:A29)=2,COUNT(F18:F29)=2),cubic_spline(F17:F19,A17:A19,B$8),IF(AND(COUNT(A18:A29)=3,COUNT(F18:F29)=3),cubic_spline(F17:F20,A17:A20,B$8),IF(AND(COUNT(A18:A29)=4,COUNT(F18:F29)=4),cubic_spline(F17:F21,A17:A21,B$8),IF(AND(COUNT(A18:A29)=5,COUNT(F18:F29)=5),cubic_spline(F17:F22,A17:A22,B$8),IF(AND(COUNT(A18:A29)=6,COUNT(F18:F29)=6),cubic_spline(F17:F23,A17:A23,B$8),IF(AND(COUNT(A18:A29)=7,COUNT(F18:F29)=7),cubic_spline(F17:F24,A17:A24,B$8),IF(AND(COUNT(A18:A29)=8,COUNT(F18:F29)=8),cubic_spline(F17:F25,A17:A25,B$8),IF(AND(COUNT(A18:A29)=9,COUNT(F18:F29)=9),cubic_spline(F17:F26,A17:A26,B$8),IF(AND(COUNT(A18:A29)=10,COUNT(F18:F29)=10),cubic_spline(F17:F27,A17:A27,B$8),IF(AND(COUNT(A18:A29)=11,COUNT(F18:F29)=11),cubic_spline(F17:F28,A17:A28,B$8),IF(AND(COUNT(A18:A29)=12,COUNT(F18:F29)=12),cubic_spline(F17:F29,A17:A29,B$8),""))))))))))))</f>
        <v/>
      </c>
      <c r="L24" s="27" t="str">
        <f>IF(I24="","",B$7&amp;"-"&amp;B$8)</f>
        <v/>
      </c>
      <c r="M24" s="52" t="str">
        <f t="shared" si="5"/>
        <v/>
      </c>
      <c r="O24"/>
    </row>
    <row r="25" spans="1:15" ht="15" customHeight="1" x14ac:dyDescent="0.35">
      <c r="A25" s="48"/>
      <c r="B25" s="48"/>
      <c r="C25" s="50"/>
      <c r="D25" s="50"/>
      <c r="E25" s="51" t="str">
        <f t="shared" si="2"/>
        <v/>
      </c>
      <c r="F25" s="71" t="str">
        <f t="shared" si="3"/>
        <v/>
      </c>
      <c r="G25" s="69" t="str">
        <f t="shared" si="4"/>
        <v/>
      </c>
      <c r="H25" s="70" t="str">
        <f t="shared" si="1"/>
        <v/>
      </c>
      <c r="I25" s="27" t="str">
        <f>IF(N(J25)=0,"",0&amp;"-"&amp;B$9)</f>
        <v/>
      </c>
      <c r="J25" s="52" t="str">
        <f>IF(N(B$9)=0,"",IF(AND(COUNT(H18:H29)=2,COUNT(F18:F29)=2),cubic_spline(F17:F19,H17:H19,B$9),IF(AND(COUNT(H18:H29)=3,COUNT(F18:F29)=3),cubic_spline(F17:F20,H17:H20,B$9),IF(AND(COUNT(H18:H29)=4,COUNT(F18:F29)=4),cubic_spline(F17:F21,H17:H21,B$9),IF(AND(COUNT(H18:H29)=5,COUNT(F18:F29)=5),cubic_spline(F17:F22,H17:H22,B$9),IF(AND(COUNT(H18:H29)=6,COUNT(F18:F29)=6),cubic_spline(F17:F23,H17:H23,B$9),IF(AND(COUNT(H18:H29)=7,COUNT(F18:F29)=7),cubic_spline(F17:F24,H17:H24,B$9),IF(AND(COUNT(H18:H29)=8,COUNT(F18:F29)=8),cubic_spline(F17:F25,H17:H25,B$9),IF(AND(COUNT(H18:H29)=9,COUNT(F18:F29)=9),cubic_spline(F17:F26,H17:H26,B$9),IF(AND(COUNT(H18:H29)=10,COUNT(F18:F29)=10),cubic_spline(F17:F27,H17:H27,B$9),IF(AND(COUNT(H18:H29)=11,COUNT(F18:F29)=11),cubic_spline(F17:F28,H17:H28,B$9),IF(AND(COUNT(H18:H29)=12,COUNT(F18:F29)=12),cubic_spline(F17:F29,H17:H29,B$9),""))))))))))))</f>
        <v/>
      </c>
      <c r="K25" s="52" t="str">
        <f>IF(N(B$9)=0,"",IF(AND(COUNT(A18:A29)=2,COUNT(F18:F29)=2),cubic_spline(F17:F19,A17:A19,B$9),IF(AND(COUNT(A18:A29)=3,COUNT(F18:F29)=3),cubic_spline(F17:F20,A17:A20,B$9),IF(AND(COUNT(A18:A29)=4,COUNT(F18:F29)=4),cubic_spline(F17:F21,A17:A21,B$9),IF(AND(COUNT(A18:A29)=5,COUNT(F18:F29)=5),cubic_spline(F17:F22,A17:A22,B$9),IF(AND(COUNT(A18:A29)=6,COUNT(F18:F29)=6),cubic_spline(F17:F23,A17:A23,B$9),IF(AND(COUNT(A18:A29)=7,COUNT(F18:F29)=7),cubic_spline(F17:F24,A17:A24,B$9),IF(AND(COUNT(A18:A29)=8,COUNT(F18:F29)=8),cubic_spline(F17:F25,A17:A25,B$9),IF(AND(COUNT(A18:A29)=9,COUNT(F18:F29)=9),cubic_spline(F17:F26,A17:A26,B$9),IF(AND(COUNT(A18:A29)=10,COUNT(F18:F29)=10),cubic_spline(F17:F27,A17:A27,B$9),IF(AND(COUNT(A18:A29)=11,COUNT(F18:F29)=11),cubic_spline(F17:F28,A17:A28,B$9),IF(AND(COUNT(A18:A29)=12,COUNT(F18:F29)=12),cubic_spline(F17:F29,A17:A29,B$9),""))))))))))))</f>
        <v/>
      </c>
      <c r="L25" s="27" t="str">
        <f>IF(I25="","",B$8&amp;"-"&amp;B$9)</f>
        <v/>
      </c>
      <c r="M25" s="52" t="str">
        <f t="shared" si="5"/>
        <v/>
      </c>
      <c r="O25"/>
    </row>
    <row r="26" spans="1:15" ht="15" customHeight="1" x14ac:dyDescent="0.35">
      <c r="A26" s="48"/>
      <c r="B26" s="48"/>
      <c r="C26" s="50"/>
      <c r="D26" s="50"/>
      <c r="E26" s="51" t="str">
        <f t="shared" si="2"/>
        <v/>
      </c>
      <c r="F26" s="71" t="str">
        <f t="shared" si="3"/>
        <v/>
      </c>
      <c r="G26" s="69" t="str">
        <f t="shared" si="4"/>
        <v/>
      </c>
      <c r="H26" s="70" t="str">
        <f t="shared" si="1"/>
        <v/>
      </c>
      <c r="I26" s="27" t="str">
        <f>IF(N(J26)=0,"",0&amp;"-"&amp;B$10)</f>
        <v/>
      </c>
      <c r="J26" s="52" t="str">
        <f>IF(N(B$10)=0,"",IF(AND(COUNT(H18:H29)=2,COUNT(F18:F29)=2),cubic_spline(F17:F19,H17:H19,B$10),IF(AND(COUNT(H18:H29)=3,COUNT(F18:F29)=3),cubic_spline(F17:F20,H17:H20,B$10),IF(AND(COUNT(H18:H29)=4,COUNT(F18:F29)=4),cubic_spline(F17:F21,H17:H21,B$10),IF(AND(COUNT(H18:H29)=5,COUNT(F18:F29)=5),cubic_spline(F17:F22,H17:H22,B$10),IF(AND(COUNT(H18:H29)=6,COUNT(F18:F29)=6),cubic_spline(F17:F23,H17:H23,B$10),IF(AND(COUNT(H18:H29)=7,COUNT(F18:F29)=7),cubic_spline(F17:F24,H17:H24,B$10),IF(AND(COUNT(H18:H29)=8,COUNT(F18:F29)=8),cubic_spline(F17:F25,H17:H25,B$10),IF(AND(COUNT(H18:H29)=9,COUNT(F18:F29)=9),cubic_spline(F17:F26,H17:H26,B$10),IF(AND(COUNT(H18:H29)=10,COUNT(F18:F29)=10),cubic_spline(F17:F27,H17:H27,B$10),IF(AND(COUNT(H18:H29)=11,COUNT(F18:F29)=11),cubic_spline(F17:F28,H17:H28,B$10),IF(AND(COUNT(H18:H29)=12,COUNT(F18:F29)=12),cubic_spline(F17:F29,H17:H29,B$10),""))))))))))))</f>
        <v/>
      </c>
      <c r="K26" s="52" t="str">
        <f>IF(N(B$10)=0,"",IF(AND(COUNT(A18:A29)=2,COUNT(F18:F29)=2),cubic_spline(F17:F19,A17:A19,B$10),IF(AND(COUNT(A18:A29)=3,COUNT(F18:F29)=3),cubic_spline(F17:F20,A17:A20,B$10),IF(AND(COUNT(A18:A29)=4,COUNT(F18:F29)=4),cubic_spline(F17:F21,A17:A21,B$10),IF(AND(COUNT(A18:A29)=5,COUNT(F18:F29)=5),cubic_spline(F17:F22,A17:A22,B$10),IF(AND(COUNT(A18:A29)=6,COUNT(F18:F29)=6),cubic_spline(F17:F23,A17:A23,B$10),IF(AND(COUNT(A18:A29)=7,COUNT(F18:F29)=7),cubic_spline(F17:F24,A17:A24,B$10),IF(AND(COUNT(A18:A29)=8,COUNT(F18:F29)=8),cubic_spline(F17:F25,A17:A25,B$10),IF(AND(COUNT(A18:A29)=9,COUNT(F18:F29)=9),cubic_spline(F17:F26,A17:A26,B$10),IF(AND(COUNT(A18:A29)=10,COUNT(F18:F29)=10),cubic_spline(F17:F27,A17:A27,B$10),IF(AND(COUNT(A18:A29)=11,COUNT(F18:F29)=11),cubic_spline(F17:F28,A17:A28,B$10),IF(AND(COUNT(A18:A29)=12,COUNT(F18:F29)=12),cubic_spline(F17:F29,A17:A29,B$10),""))))))))))))</f>
        <v/>
      </c>
      <c r="L26" s="27" t="str">
        <f>IF(I26="","",B$9&amp;"-"&amp;B$10)</f>
        <v/>
      </c>
      <c r="M26" s="52" t="str">
        <f t="shared" si="5"/>
        <v/>
      </c>
      <c r="O26"/>
    </row>
    <row r="27" spans="1:15" ht="15" customHeight="1" x14ac:dyDescent="0.35">
      <c r="A27" s="48"/>
      <c r="B27" s="48"/>
      <c r="C27" s="50"/>
      <c r="D27" s="50"/>
      <c r="E27" s="51" t="str">
        <f t="shared" si="2"/>
        <v/>
      </c>
      <c r="F27" s="71" t="str">
        <f t="shared" si="3"/>
        <v/>
      </c>
      <c r="G27" s="69" t="str">
        <f t="shared" si="4"/>
        <v/>
      </c>
      <c r="H27" s="70" t="str">
        <f t="shared" si="1"/>
        <v/>
      </c>
      <c r="I27" s="27" t="str">
        <f>IF(N(J27)=0,"",0&amp;"-"&amp;B$11)</f>
        <v/>
      </c>
      <c r="J27" s="52" t="str">
        <f>IF(N(B$11)=0,"",IF(AND(COUNT(H18:H29)=2,COUNT(F18:F29)=2),cubic_spline(F17:F19,H17:H19,B$11),IF(AND(COUNT(H18:H29)=3,COUNT(F18:F29)=3),cubic_spline(F17:F20,H17:H20,B$11),IF(AND(COUNT(H18:H29)=4,COUNT(F18:F29)=4),cubic_spline(F17:F21,H17:H21,B$11),IF(AND(COUNT(H18:H29)=5,COUNT(F18:F29)=5),cubic_spline(F17:F22,H17:H22,B$11),IF(AND(COUNT(H18:H29)=6,COUNT(F18:F29)=6),cubic_spline(F17:F23,H17:H23,B$11),IF(AND(COUNT(H18:H29)=7,COUNT(F18:F29)=7),cubic_spline(F17:F24,H17:H24,B$11),IF(AND(COUNT(H18:H29)=8,COUNT(F18:F29)=8),cubic_spline(F17:F25,H17:H25,B$11),IF(AND(COUNT(H18:H29)=9,COUNT(F18:F29)=9),cubic_spline(F17:F26,H17:H26,B$11),IF(AND(COUNT(H18:H29)=10,COUNT(F18:F29)=10),cubic_spline(F17:F27,H17:H27,B$11),IF(AND(COUNT(H18:H29)=11,COUNT(F18:F29)=11),cubic_spline(F17:F28,H17:H28,B$11),IF(AND(COUNT(H18:H29)=12,COUNT(F18:F29)=12),cubic_spline(F17:F29,H17:H29,B$11),""))))))))))))</f>
        <v/>
      </c>
      <c r="K27" s="52" t="str">
        <f>IF(N(B$11)=0,"",IF(AND(COUNT(A18:A29)=2,COUNT(F18:F29)=2),cubic_spline(F17:F19,A17:A19,B$11),IF(AND(COUNT(A18:A29)=3,COUNT(F18:F29)=3),cubic_spline(F17:F20,A17:A20,B$11),IF(AND(COUNT(A18:A29)=4,COUNT(F18:F29)=4),cubic_spline(F17:F21,A17:A21,B$11),IF(AND(COUNT(A18:A29)=5,COUNT(F18:F29)=5),cubic_spline(F17:F22,A17:A22,B$11),IF(AND(COUNT(A18:A29)=6,COUNT(F18:F29)=6),cubic_spline(F17:F23,A17:A23,B$11),IF(AND(COUNT(A18:A29)=7,COUNT(F18:F29)=7),cubic_spline(F17:F24,A17:A24,B$11),IF(AND(COUNT(A18:A29)=8,COUNT(F18:F29)=8),cubic_spline(F17:F25,A17:A25,B$11),IF(AND(COUNT(A18:A29)=9,COUNT(F18:F29)=9),cubic_spline(F17:F26,A17:A26,B$11),IF(AND(COUNT(A18:A29)=10,COUNT(F18:F29)=10),cubic_spline(F17:F27,A17:A27,B$11),IF(AND(COUNT(A18:A29)=11,COUNT(F18:F29)=11),cubic_spline(F17:F28,A17:A28,B$11),IF(AND(COUNT(A18:A29)=12,COUNT(F18:F29)=12),cubic_spline(F17:F29,A17:A29,B$11),""))))))))))))</f>
        <v/>
      </c>
      <c r="L27" s="27" t="str">
        <f>IF(I27="","",B$10&amp;"-"&amp;B$11)</f>
        <v/>
      </c>
      <c r="M27" s="52" t="str">
        <f t="shared" si="5"/>
        <v/>
      </c>
      <c r="O27"/>
    </row>
    <row r="28" spans="1:15" ht="15" customHeight="1" x14ac:dyDescent="0.35">
      <c r="A28" s="48"/>
      <c r="B28" s="48"/>
      <c r="C28" s="50"/>
      <c r="D28" s="50"/>
      <c r="E28" s="51" t="str">
        <f t="shared" si="2"/>
        <v/>
      </c>
      <c r="F28" s="71" t="str">
        <f t="shared" si="3"/>
        <v/>
      </c>
      <c r="G28" s="69" t="str">
        <f t="shared" si="4"/>
        <v/>
      </c>
      <c r="H28" s="70" t="str">
        <f t="shared" si="1"/>
        <v/>
      </c>
      <c r="I28" s="27" t="str">
        <f>IF(N(J28)=0,"",0&amp;"-"&amp;B$12)</f>
        <v/>
      </c>
      <c r="J28" s="52" t="str">
        <f>IF(N(B$12)=0,"",IF(AND(COUNT(H18:H29)=2,COUNT(F18:F29)=2),cubic_spline(F17:F19,H17:H19,B$12),IF(AND(COUNT(H18:H29)=3,COUNT(F18:F29)=3),cubic_spline(F17:F20,H17:H20,B$12),IF(AND(COUNT(H18:H29)=4,COUNT(F18:F29)=4),cubic_spline(F17:F21,H17:H21,B$12),IF(AND(COUNT(H18:H29)=5,COUNT(F18:F29)=5),cubic_spline(F17:F22,H17:H22,B$12),IF(AND(COUNT(H18:H29)=6,COUNT(F18:F29)=6),cubic_spline(F17:F23,H17:H23,B$12),IF(AND(COUNT(H18:H29)=7,COUNT(F18:F29)=7),cubic_spline(F17:F24,H17:H24,B$12),IF(AND(COUNT(H18:H29)=8,COUNT(F18:F29)=8),cubic_spline(F17:F25,H17:H25,B$12),IF(AND(COUNT(H18:H29)=9,COUNT(F18:F29)=9),cubic_spline(F17:F26,H17:H26,B$12),IF(AND(COUNT(H18:H29)=10,COUNT(F18:F29)=10),cubic_spline(F17:F27,H17:H27,B$12),IF(AND(COUNT(H18:H29)=11,COUNT(F18:F29)=11),cubic_spline(F17:F28,H17:H28,B$12),IF(AND(COUNT(H18:H29)=12,COUNT(F18:F29)=12),cubic_spline(F17:F29,H17:H29,B$12),""))))))))))))</f>
        <v/>
      </c>
      <c r="K28" s="52" t="str">
        <f>IF(N(B$12)=0,"",IF(AND(COUNT(A18:A29)=2,COUNT(F18:F29)=2),cubic_spline(F17:F19,A17:A19,B$12),IF(AND(COUNT(A18:A29)=3,COUNT(F18:F29)=3),cubic_spline(F17:F20,A17:A20,B$12),IF(AND(COUNT(A18:A29)=4,COUNT(F18:F29)=4),cubic_spline(F17:F21,A17:A21,B$12),IF(AND(COUNT(A18:A29)=5,COUNT(F18:F29)=5),cubic_spline(F17:F22,A17:A22,B$12),IF(AND(COUNT(A18:A29)=6,COUNT(F18:F29)=6),cubic_spline(F17:F23,A17:A23,B$12),IF(AND(COUNT(A18:A29)=7,COUNT(F18:F29)=7),cubic_spline(F17:F24,A17:A24,B$12),IF(AND(COUNT(A18:A29)=8,COUNT(F18:F29)=8),cubic_spline(F17:F25,A17:A25,B$12),IF(AND(COUNT(A18:A29)=9,COUNT(F18:F29)=9),cubic_spline(F17:F26,A17:A26,B$12),IF(AND(COUNT(A18:A29)=10,COUNT(F18:F29)=10),cubic_spline(F17:F27,A17:A27,B$12),IF(AND(COUNT(A18:A29)=11,COUNT(F18:F29)=11),cubic_spline(F17:F28,A17:A28,B$12),IF(AND(COUNT(A18:A29)=12,COUNT(F18:F29)=12),cubic_spline(F17:F29,A17:A29,B$12),""))))))))))))</f>
        <v/>
      </c>
      <c r="L28" s="27" t="str">
        <f>IF(I28="","",B$11&amp;"-"&amp;B$12)</f>
        <v/>
      </c>
      <c r="M28" s="52" t="str">
        <f t="shared" si="5"/>
        <v/>
      </c>
      <c r="O28"/>
    </row>
    <row r="29" spans="1:15" ht="15" customHeight="1" x14ac:dyDescent="0.35">
      <c r="A29" s="48"/>
      <c r="B29" s="48"/>
      <c r="C29" s="50"/>
      <c r="D29" s="50"/>
      <c r="E29" s="51" t="str">
        <f t="shared" si="2"/>
        <v/>
      </c>
      <c r="F29" s="71" t="str">
        <f t="shared" si="3"/>
        <v/>
      </c>
      <c r="G29" s="69" t="str">
        <f t="shared" si="4"/>
        <v/>
      </c>
      <c r="H29" s="70" t="str">
        <f t="shared" si="1"/>
        <v/>
      </c>
      <c r="I29" s="27" t="str">
        <f>IF(N(J29)=0,"",0&amp;"-"&amp;B$13)</f>
        <v/>
      </c>
      <c r="J29" s="52" t="str">
        <f>IF(N(B$13)=0,"",IF(AND(COUNT(H18:H29)=2,COUNT(F18:F29)=2),cubic_spline(F17:F19,H17:H19,B$13),IF(AND(COUNT(H18:H29)=3,COUNT(F18:F29)=3),cubic_spline(F17:F20,H17:H20,B$13),IF(AND(COUNT(H18:H29)=4,COUNT(F18:F29)=4),cubic_spline(F17:F21,H17:H21,B$13),IF(AND(COUNT(H18:H29)=5,COUNT(F18:F29)=5),cubic_spline(F17:F22,H17:H22,B$13),IF(AND(COUNT(H18:H29)=6,COUNT(F18:F29)=6),cubic_spline(F17:F23,H17:H23,B$13),IF(AND(COUNT(H18:H29)=7,COUNT(F18:F29)=7),cubic_spline(F17:F24,H17:H24,B$13),IF(AND(COUNT(H18:H29)=8,COUNT(F18:F29)=8),cubic_spline(F17:F25,H17:H25,B$13),IF(AND(COUNT(H18:H29)=9,COUNT(F18:F29)=9),cubic_spline(F17:F26,H17:H26,B$13),IF(AND(COUNT(H18:H29)=10,COUNT(F18:F29)=10),cubic_spline(F17:F27,H17:H27,B$13),IF(AND(COUNT(H18:H29)=11,COUNT(F18:F29)=11),cubic_spline(F17:F28,H17:H28,B$13),IF(AND(COUNT(H18:H29)=12,COUNT(F18:F29)=12),cubic_spline(F17:F29,H17:H29,B$13),""))))))))))))</f>
        <v/>
      </c>
      <c r="K29" s="52" t="str">
        <f>IF(N(B$13)=0,"",IF(AND(COUNT(A18:A29)=2,COUNT(F18:F29)=2),cubic_spline(F17:F19,A17:A19,B$13),IF(AND(COUNT(A18:A29)=3,COUNT(F18:F29)=3),cubic_spline(F17:F20,A17:A20,B$13),IF(AND(COUNT(A18:A29)=4,COUNT(F18:F29)=4),cubic_spline(F17:F21,A17:A21,B$13),IF(AND(COUNT(A18:A29)=5,COUNT(F18:F29)=5),cubic_spline(F17:F22,A17:A22,B$13),IF(AND(COUNT(A18:A29)=6,COUNT(F18:F29)=6),cubic_spline(F17:F23,A17:A23,B$13),IF(AND(COUNT(A18:A29)=7,COUNT(F18:F29)=7),cubic_spline(F17:F24,A17:A24,B$13),IF(AND(COUNT(A18:A29)=8,COUNT(F18:F29)=8),cubic_spline(F17:F25,A17:A25,B$13),IF(AND(COUNT(A18:A29)=9,COUNT(F18:F29)=9),cubic_spline(F17:F26,A17:A26,B$13),IF(AND(COUNT(A18:A29)=10,COUNT(F18:F29)=10),cubic_spline(F17:F27,A17:A27,B$13),IF(AND(COUNT(A18:A29)=11,COUNT(F18:F29)=11),cubic_spline(F17:F28,A17:A28,B$13),IF(AND(COUNT(A18:A29)=12,COUNT(F18:F29)=12),cubic_spline(F17:F29,A17:A29,B$13),""))))))))))))</f>
        <v/>
      </c>
      <c r="L29" s="27" t="str">
        <f>IF(I29="","",B$12&amp;"-"&amp;B$13)</f>
        <v/>
      </c>
      <c r="M29" s="52" t="str">
        <f t="shared" si="5"/>
        <v/>
      </c>
      <c r="O29"/>
    </row>
    <row r="30" spans="1:15" ht="5.15" customHeight="1" x14ac:dyDescent="0.35">
      <c r="A30" s="47"/>
      <c r="B30" s="47"/>
      <c r="C30" s="53"/>
      <c r="D30" s="53"/>
      <c r="E30" s="54"/>
      <c r="F30" s="55"/>
      <c r="G30" s="72"/>
      <c r="H30" s="73"/>
      <c r="I30" s="47"/>
      <c r="J30" s="57"/>
      <c r="K30" s="57"/>
      <c r="L30" s="55"/>
      <c r="M30" s="57"/>
      <c r="O30"/>
    </row>
    <row r="31" spans="1:15" x14ac:dyDescent="0.35">
      <c r="A31" s="48">
        <v>8</v>
      </c>
      <c r="B31" s="48" t="s">
        <v>38</v>
      </c>
      <c r="C31" s="50">
        <v>1.0561553011019773</v>
      </c>
      <c r="D31" s="50">
        <v>28.767305307170229</v>
      </c>
      <c r="E31" s="51">
        <f>IF(N(C31)=0,"",(A31-A30)*C31*100)</f>
        <v>844.9242408815818</v>
      </c>
      <c r="F31" s="68">
        <f t="shared" ref="F31:F42" si="6">IF(N(E31)=0,"",(N(E31)+N(F30)))</f>
        <v>844.9242408815818</v>
      </c>
      <c r="G31" s="69">
        <f>IF(OR(N(D31)=0,N(E31)=0),"",(E31*D31)/1000)</f>
        <v>24.306193598869505</v>
      </c>
      <c r="H31" s="70">
        <f t="shared" ref="H31:H42" si="7">IF(N(G31)=0,"",(N(G31)+N(H30)))</f>
        <v>24.306193598869505</v>
      </c>
      <c r="I31" s="27" t="str">
        <f>IF(N(J31)=0,"",0&amp;"-"&amp;B$2)</f>
        <v>0-1000</v>
      </c>
      <c r="J31" s="52">
        <f>IF(N(B$2)=0,"",IF(AND(COUNT(H31:H42)=2,COUNT(F31:F42)=2),cubic_spline(F30:F32,H30:H32,B$2),IF(AND(COUNT(H31:H42)=3,COUNT(F31:F42)=3),cubic_spline(F30:F33,H30:H33,B$2),IF(AND(COUNT(H31:H42)=4,COUNT(F31:F42)=4),cubic_spline(F30:F34,H30:H34,B$2),IF(AND(COUNT(H31:H42)=5,COUNT(F31:F42)=5),cubic_spline(F30:F35,H30:H35,B$2),IF(AND(COUNT(H31:H42)=6,COUNT(F31:F42)=6),cubic_spline(F30:F36,H30:H36,B$2),IF(AND(COUNT(H31:H42)=7,COUNT(F31:F42)=7),cubic_spline(F30:F37,H30:H37,B$2),IF(AND(COUNT(H31:H42)=8,COUNT(F31:F42)=8),cubic_spline(F30:F38,H30:H38,B$2),IF(AND(COUNT(H31:H42)=9,COUNT(F31:F42)=9),cubic_spline(F30:F39,H30:H39,B$2),IF(AND(COUNT(H31:H42)=10,COUNT(F31:F42)=10),cubic_spline(F30:F40,H30:H40,B$2),IF(AND(COUNT(H31:H42)=11,COUNT(F31:F42)=11),cubic_spline(F30:F41,H30:H41,B$2),IF(AND(COUNT(H31:H42)=12,COUNT(F31:F42)=12),cubic_spline(F30:F42,H30:H42,B$2),""))))))))))))</f>
        <v>27.103512447513719</v>
      </c>
      <c r="K31" s="52">
        <f>IF(N(B$2)=0,"",IF(AND(COUNT(A31:A42)=2,COUNT(F31:F42)=2),cubic_spline(F30:F32,A30:A32,B$2),IF(AND(COUNT(A31:A42)=3,COUNT(F31:F42)=3),cubic_spline(F30:F33,A30:A33,B$2),IF(AND(COUNT(A31:A42)=4,COUNT(F31:F42)=4),cubic_spline(F30:F34,A30:A34,B$2),IF(AND(COUNT(A31:A42)=5,COUNT(F31:F42)=5),cubic_spline(F30:F35,A30:A35,B$2),IF(AND(COUNT(A31:A42)=6,COUNT(F31:F42)=6),cubic_spline(F30:F36,A30:A36,B$2),IF(AND(COUNT(A31:A42)=7,COUNT(F31:F42)=7),cubic_spline(F30:F37,A30:A37,B$2),IF(AND(COUNT(A31:A42)=8,COUNT(F31:F42)=8),cubic_spline(F30:F38,A30:A38,B$2),IF(AND(COUNT(A31:A42)=9,COUNT(F31:F42)=9),cubic_spline(F30:F39,A30:A39,B$2),IF(AND(COUNT(A31:A42)=10,COUNT(F31:F42)=10),cubic_spline(F30:F40,A30:A40,B$2),IF(AND(COUNT(A31:A42)=11,COUNT(F31:F42)=11),cubic_spline(F30:F41,A30:A41,B$2),IF(AND(COUNT(A31:A42)=12,COUNT(F31:F42)=12),cubic_spline(F30:F42,A30:A42,B$2),""))))))))))))</f>
        <v>9.3386713727902517</v>
      </c>
      <c r="L31" s="27" t="str">
        <f>IF(I31="","",0&amp;"-"&amp;B$2)</f>
        <v>0-1000</v>
      </c>
      <c r="M31" s="52">
        <f>IF(N(J31)=0,"",J31-J30)</f>
        <v>27.103512447513719</v>
      </c>
    </row>
    <row r="32" spans="1:15" x14ac:dyDescent="0.35">
      <c r="A32" s="48">
        <v>16</v>
      </c>
      <c r="B32" s="48" t="s">
        <v>38</v>
      </c>
      <c r="C32" s="50">
        <v>1.2420799506847215</v>
      </c>
      <c r="D32" s="50">
        <v>10.647029879769182</v>
      </c>
      <c r="E32" s="51">
        <f t="shared" ref="E32:E42" si="8">IF(N(C32)=0,"",(A32-A31)*C32*100)</f>
        <v>993.66396054777726</v>
      </c>
      <c r="F32" s="68">
        <f t="shared" si="6"/>
        <v>1838.5882014293591</v>
      </c>
      <c r="G32" s="69">
        <f t="shared" ref="G32:G42" si="9">IF(OR(N(D32)=0,N(E32)=0),"",(E32*D32)/1000)</f>
        <v>10.579569878401969</v>
      </c>
      <c r="H32" s="70">
        <f t="shared" si="7"/>
        <v>34.885763477271475</v>
      </c>
      <c r="I32" s="27" t="str">
        <f>IF(N(J32)=0,"",0&amp;"-"&amp;B$3)</f>
        <v>0-2000</v>
      </c>
      <c r="J32" s="52">
        <f>IF(N(B$3)=0,"",IF(AND(COUNT(H31:H42)=2,COUNT(F31:F42)=2),cubic_spline(F30:F32,H30:H32,B$3),IF(AND(COUNT(H31:H42)=3,COUNT(F31:F42)=3),cubic_spline(F30:F33,H30:H33,B$3),IF(AND(COUNT(H31:H42)=4,COUNT(F31:F42)=4),cubic_spline(F30:F34,H30:H34,B$3),IF(AND(COUNT(H31:H42)=5,COUNT(F31:F42)=5),cubic_spline(F30:F35,H30:H35,B$3),IF(AND(COUNT(H31:H42)=6,COUNT(F31:F42)=6),cubic_spline(F30:F36,H30:H36,B$3),IF(AND(COUNT(H31:H42)=7,COUNT(F31:F42)=7),cubic_spline(F30:F37,H30:H37,B$3),IF(AND(COUNT(H31:H42)=8,COUNT(F31:F42)=8),cubic_spline(F30:F38,H30:H38,B$3),IF(AND(COUNT(H31:H42)=9,COUNT(F31:F42)=9),cubic_spline(F30:F39,H30:H39,B$3),IF(AND(COUNT(H31:H42)=10,COUNT(F31:F42)=10),cubic_spline(F30:F40,H30:H40,B$3),IF(AND(COUNT(H31:H42)=11,COUNT(F31:F42)=11),cubic_spline(F30:F41,H30:H41,B$3),IF(AND(COUNT(H31:H42)=12,COUNT(F31:F42)=12),cubic_spline(F30:F42,H30:H42,B$3),""))))))))))))</f>
        <v>35.959926588516545</v>
      </c>
      <c r="K32" s="52">
        <f>IF(N(B$3)=0,"",IF(AND(COUNT(A31:A42)=2,COUNT(F31:F42)=2),cubic_spline(F30:F32,A30:A32,B$3),IF(AND(COUNT(A31:A42)=3,COUNT(F31:F42)=3),cubic_spline(F30:F33,A30:A33,B$3),IF(AND(COUNT(A31:A42)=4,COUNT(F31:F42)=4),cubic_spline(F30:F34,A30:A34,B$3),IF(AND(COUNT(A31:A42)=5,COUNT(F31:F42)=5),cubic_spline(F30:F35,A30:A35,B$3),IF(AND(COUNT(A31:A42)=6,COUNT(F31:F42)=6),cubic_spline(F30:F36,A30:A36,B$3),IF(AND(COUNT(A31:A42)=7,COUNT(F31:F42)=7),cubic_spline(F30:F37,A30:A37,B$3),IF(AND(COUNT(A31:A42)=8,COUNT(F31:F42)=8),cubic_spline(F30:F38,A30:A38,B$3),IF(AND(COUNT(A31:A42)=9,COUNT(F31:F42)=9),cubic_spline(F30:F39,A30:A39,B$3),IF(AND(COUNT(A31:A42)=10,COUNT(F31:F42)=10),cubic_spline(F30:F40,A30:A40,B$3),IF(AND(COUNT(A31:A42)=11,COUNT(F31:F42)=11),cubic_spline(F30:F41,A30:A41,B$3),IF(AND(COUNT(A31:A42)=12,COUNT(F31:F42)=12),cubic_spline(F30:F42,A30:A42,B$3),""))))))))))))</f>
        <v>17.246989471464413</v>
      </c>
      <c r="L32" s="27" t="str">
        <f>IF(I32="","",B$2&amp;"-"&amp;B$3)</f>
        <v>1000-2000</v>
      </c>
      <c r="M32" s="52">
        <f>IF(N(J32)=0,"",J32-J31)</f>
        <v>8.8564141410028263</v>
      </c>
    </row>
    <row r="33" spans="1:13" x14ac:dyDescent="0.35">
      <c r="A33" s="48">
        <v>32</v>
      </c>
      <c r="B33" s="48" t="s">
        <v>38</v>
      </c>
      <c r="C33" s="50">
        <v>1.2945864489465149</v>
      </c>
      <c r="D33" s="50">
        <v>7.7020356474910514</v>
      </c>
      <c r="E33" s="51">
        <f t="shared" si="8"/>
        <v>2071.3383183144238</v>
      </c>
      <c r="F33" s="68">
        <f t="shared" si="6"/>
        <v>3909.9265197437826</v>
      </c>
      <c r="G33" s="69">
        <f t="shared" si="9"/>
        <v>15.95352156567186</v>
      </c>
      <c r="H33" s="70">
        <f t="shared" si="7"/>
        <v>50.839285042943331</v>
      </c>
      <c r="I33" s="27" t="str">
        <f>IF(N(J33)=0,"",0&amp;"-"&amp;B$4)</f>
        <v>0-3000</v>
      </c>
      <c r="J33" s="52">
        <f>IF(N(B$4)=0,"",IF(AND(COUNT(H31:H42)=2,COUNT(F31:F42)=2),cubic_spline(F30:F32,H30:H32,B$4),IF(AND(COUNT(H31:H42)=3,COUNT(F31:F42)=3),cubic_spline(F30:F33,H30:H33,B$4),IF(AND(COUNT(H31:H42)=4,COUNT(F31:F42)=4),cubic_spline(F30:F34,H30:H34,B$4),IF(AND(COUNT(H31:H42)=5,COUNT(F31:F42)=5),cubic_spline(F30:F35,H30:H35,B$4),IF(AND(COUNT(H31:H42)=6,COUNT(F31:F42)=6),cubic_spline(F30:F36,H30:H36,B$4),IF(AND(COUNT(H31:H42)=7,COUNT(F31:F42)=7),cubic_spline(F30:F37,H30:H37,B$4),IF(AND(COUNT(H31:H42)=8,COUNT(F31:F42)=8),cubic_spline(F30:F38,H30:H38,B$4),IF(AND(COUNT(H31:H42)=9,COUNT(F31:F42)=9),cubic_spline(F30:F39,H30:H39,B$4),IF(AND(COUNT(H31:H42)=10,COUNT(F31:F42)=10),cubic_spline(F30:F40,H30:H40,B$4),IF(AND(COUNT(H31:H42)=11,COUNT(F31:F42)=11),cubic_spline(F30:F41,H30:H41,B$4),IF(AND(COUNT(H31:H42)=12,COUNT(F31:F42)=12),cubic_spline(F30:F42,H30:H42,B$4),""))))))))))))</f>
        <v>43.580115017506934</v>
      </c>
      <c r="K33" s="52">
        <f>IF(N(B$4)=0,"",IF(AND(COUNT(A31:A42)=2,COUNT(F31:F42)=2),cubic_spline(F30:F32,A30:A32,B$4),IF(AND(COUNT(A31:A42)=3,COUNT(F31:F42)=3),cubic_spline(F30:F33,A30:A33,B$4),IF(AND(COUNT(A31:A42)=4,COUNT(F31:F42)=4),cubic_spline(F30:F34,A30:A34,B$4),IF(AND(COUNT(A31:A42)=5,COUNT(F31:F42)=5),cubic_spline(F30:F35,A30:A35,B$4),IF(AND(COUNT(A31:A42)=6,COUNT(F31:F42)=6),cubic_spline(F30:F36,A30:A36,B$4),IF(AND(COUNT(A31:A42)=7,COUNT(F31:F42)=7),cubic_spline(F30:F37,A30:A37,B$4),IF(AND(COUNT(A31:A42)=8,COUNT(F31:F42)=8),cubic_spline(F30:F38,A30:A38,B$4),IF(AND(COUNT(A31:A42)=9,COUNT(F31:F42)=9),cubic_spline(F30:F39,A30:A39,B$4),IF(AND(COUNT(A31:A42)=10,COUNT(F31:F42)=10),cubic_spline(F30:F40,A30:A40,B$4),IF(AND(COUNT(A31:A42)=11,COUNT(F31:F42)=11),cubic_spline(F30:F41,A30:A41,B$4),IF(AND(COUNT(A31:A42)=12,COUNT(F31:F42)=12),cubic_spline(F30:F42,A30:A42,B$4),""))))))))))))</f>
        <v>25.009797129360884</v>
      </c>
      <c r="L33" s="27" t="str">
        <f>IF(I33="","",B$3&amp;"-"&amp;B$4)</f>
        <v>2000-3000</v>
      </c>
      <c r="M33" s="52">
        <f>IF(N(J33)=0,"",J33-J32)</f>
        <v>7.6201884289903887</v>
      </c>
    </row>
    <row r="34" spans="1:13" x14ac:dyDescent="0.35">
      <c r="A34" s="48">
        <v>48</v>
      </c>
      <c r="B34" s="48" t="s">
        <v>38</v>
      </c>
      <c r="C34" s="50">
        <v>1.3561309510074695</v>
      </c>
      <c r="D34" s="50">
        <v>6.6103840588666625</v>
      </c>
      <c r="E34" s="51">
        <f t="shared" si="8"/>
        <v>2169.8095216119514</v>
      </c>
      <c r="F34" s="68">
        <f t="shared" si="6"/>
        <v>6079.7360413557344</v>
      </c>
      <c r="G34" s="69">
        <f t="shared" si="9"/>
        <v>14.343274272440741</v>
      </c>
      <c r="H34" s="70">
        <f t="shared" si="7"/>
        <v>65.182559315384069</v>
      </c>
      <c r="I34" s="27" t="str">
        <f>IF(N(J34)=0,"",0&amp;"-"&amp;B$5)</f>
        <v>0-4000</v>
      </c>
      <c r="J34" s="52">
        <f>IF(N(B$5)=0,"",IF(AND(COUNT(H31:H42)=2,COUNT(F31:F42)=2),cubic_spline(F30:F32,H30:H32,B$5),IF(AND(COUNT(H31:H42)=3,COUNT(F31:F42)=3),cubic_spline(F30:F33,H30:H33,B$5),IF(AND(COUNT(H31:H42)=4,COUNT(F31:F42)=4),cubic_spline(F30:F34,H30:H34,B$5),IF(AND(COUNT(H31:H42)=5,COUNT(F31:F42)=5),cubic_spline(F30:F35,H30:H35,B$5),IF(AND(COUNT(H31:H42)=6,COUNT(F31:F42)=6),cubic_spline(F30:F36,H30:H36,B$5),IF(AND(COUNT(H31:H42)=7,COUNT(F31:F42)=7),cubic_spline(F30:F37,H30:H37,B$5),IF(AND(COUNT(H31:H42)=8,COUNT(F31:F42)=8),cubic_spline(F30:F38,H30:H38,B$5),IF(AND(COUNT(H31:H42)=9,COUNT(F31:F42)=9),cubic_spline(F30:F39,H30:H39,B$5),IF(AND(COUNT(H31:H42)=10,COUNT(F31:F42)=10),cubic_spline(F30:F40,H30:H40,B$5),IF(AND(COUNT(H31:H42)=11,COUNT(F31:F42)=11),cubic_spline(F30:F41,H30:H41,B$5),IF(AND(COUNT(H31:H42)=12,COUNT(F31:F42)=12),cubic_spline(F30:F42,H30:H42,B$5),""))))))))))))</f>
        <v>51.519027426322566</v>
      </c>
      <c r="K34" s="52">
        <f>IF(N(B$5)=0,"",IF(AND(COUNT(A31:A42)=2,COUNT(F31:F42)=2),cubic_spline(F30:F32,A30:A32,B$5),IF(AND(COUNT(A31:A42)=3,COUNT(F31:F42)=3),cubic_spline(F30:F33,A30:A33,B$5),IF(AND(COUNT(A31:A42)=4,COUNT(F31:F42)=4),cubic_spline(F30:F34,A30:A34,B$5),IF(AND(COUNT(A31:A42)=5,COUNT(F31:F42)=5),cubic_spline(F30:F35,A30:A35,B$5),IF(AND(COUNT(A31:A42)=6,COUNT(F31:F42)=6),cubic_spline(F30:F36,A30:A36,B$5),IF(AND(COUNT(A31:A42)=7,COUNT(F31:F42)=7),cubic_spline(F30:F37,A30:A37,B$5),IF(AND(COUNT(A31:A42)=8,COUNT(F31:F42)=8),cubic_spline(F30:F38,A30:A38,B$5),IF(AND(COUNT(A31:A42)=9,COUNT(F31:F42)=9),cubic_spline(F30:F39,A30:A39,B$5),IF(AND(COUNT(A31:A42)=10,COUNT(F31:F42)=10),cubic_spline(F30:F40,A30:A40,B$5),IF(AND(COUNT(A31:A42)=11,COUNT(F31:F42)=11),cubic_spline(F30:F41,A30:A41,B$5),IF(AND(COUNT(A31:A42)=12,COUNT(F31:F42)=12),cubic_spline(F30:F42,A30:A42,B$5),""))))))))))))</f>
        <v>32.681732638959978</v>
      </c>
      <c r="L34" s="27" t="str">
        <f>IF(I34="","",B$4&amp;"-"&amp;B$5)</f>
        <v>3000-4000</v>
      </c>
      <c r="M34" s="52">
        <f>IF(N(J34)=0,"",J34-J33)</f>
        <v>7.9389124088156322</v>
      </c>
    </row>
    <row r="35" spans="1:13" x14ac:dyDescent="0.35">
      <c r="A35" s="48"/>
      <c r="B35" s="48"/>
      <c r="C35" s="50"/>
      <c r="D35" s="50"/>
      <c r="E35" s="51" t="str">
        <f t="shared" si="8"/>
        <v/>
      </c>
      <c r="F35" s="71" t="str">
        <f t="shared" si="6"/>
        <v/>
      </c>
      <c r="G35" s="69" t="str">
        <f t="shared" si="9"/>
        <v/>
      </c>
      <c r="H35" s="70" t="str">
        <f t="shared" si="7"/>
        <v/>
      </c>
      <c r="I35" s="27" t="str">
        <f>IF(N(J35)=0,"",0&amp;"-"&amp;B$6)</f>
        <v>0-5000</v>
      </c>
      <c r="J35" s="52">
        <f>IF(N(B$6)=0,"",IF(AND(COUNT(H31:H42)=2,COUNT(F31:F42)=2),cubic_spline(F30:F32,H30:H32,B$6),IF(AND(COUNT(H31:H42)=3,COUNT(F31:F42)=3),cubic_spline(F30:F33,H30:H33,B$6),IF(AND(COUNT(H31:H42)=4,COUNT(F31:F42)=4),cubic_spline(F30:F34,H30:H34,B$6),IF(AND(COUNT(H31:H42)=5,COUNT(F31:F42)=5),cubic_spline(F30:F35,H30:H35,B$6),IF(AND(COUNT(H31:H42)=6,COUNT(F31:F42)=6),cubic_spline(F30:F36,H30:H36,B$6),IF(AND(COUNT(H31:H42)=7,COUNT(F31:F42)=7),cubic_spline(F30:F37,H30:H37,B$6),IF(AND(COUNT(H31:H42)=8,COUNT(F31:F42)=8),cubic_spline(F30:F38,H30:H38,B$6),IF(AND(COUNT(H31:H42)=9,COUNT(F31:F42)=9),cubic_spline(F30:F39,H30:H39,B$6),IF(AND(COUNT(H31:H42)=10,COUNT(F31:F42)=10),cubic_spline(F30:F40,H30:H40,B$6),IF(AND(COUNT(H31:H42)=11,COUNT(F31:F42)=11),cubic_spline(F30:F41,H30:H41,B$6),IF(AND(COUNT(H31:H42)=12,COUNT(F31:F42)=12),cubic_spline(F30:F42,H30:H42,B$6),""))))))))))))</f>
        <v>58.45021537805534</v>
      </c>
      <c r="K35" s="52">
        <f>IF(N(B$6)=0,"",IF(AND(COUNT(A31:A42)=2,COUNT(F31:F42)=2),cubic_spline(F30:F32,A30:A32,B$6),IF(AND(COUNT(A31:A42)=3,COUNT(F31:F42)=3),cubic_spline(F30:F33,A30:A33,B$6),IF(AND(COUNT(A31:A42)=4,COUNT(F31:F42)=4),cubic_spline(F30:F34,A30:A34,B$6),IF(AND(COUNT(A31:A42)=5,COUNT(F31:F42)=5),cubic_spline(F30:F35,A30:A35,B$6),IF(AND(COUNT(A31:A42)=6,COUNT(F31:F42)=6),cubic_spline(F30:F36,A30:A36,B$6),IF(AND(COUNT(A31:A42)=7,COUNT(F31:F42)=7),cubic_spline(F30:F37,A30:A37,B$6),IF(AND(COUNT(A31:A42)=8,COUNT(F31:F42)=8),cubic_spline(F30:F38,A30:A38,B$6),IF(AND(COUNT(A31:A42)=9,COUNT(F31:F42)=9),cubic_spline(F30:F39,A30:A39,B$6),IF(AND(COUNT(A31:A42)=10,COUNT(F31:F42)=10),cubic_spline(F30:F40,A30:A40,B$6),IF(AND(COUNT(A31:A42)=11,COUNT(F31:F42)=11),cubic_spline(F30:F41,A30:A41,B$6),IF(AND(COUNT(A31:A42)=12,COUNT(F31:F42)=12),cubic_spline(F30:F42,A30:A42,B$6),""))))))))))))</f>
        <v>40.122379316920913</v>
      </c>
      <c r="L35" s="27" t="str">
        <f>IF(I35="","",B$5&amp;"-"&amp;B$6)</f>
        <v>4000-5000</v>
      </c>
      <c r="M35" s="52">
        <f>IF(N(J35)=0,"",J35-J34)</f>
        <v>6.9311879517327739</v>
      </c>
    </row>
    <row r="36" spans="1:13" x14ac:dyDescent="0.35">
      <c r="A36" s="48"/>
      <c r="B36" s="48"/>
      <c r="C36" s="50"/>
      <c r="D36" s="50"/>
      <c r="E36" s="51" t="str">
        <f t="shared" si="8"/>
        <v/>
      </c>
      <c r="F36" s="71" t="str">
        <f t="shared" si="6"/>
        <v/>
      </c>
      <c r="G36" s="69" t="str">
        <f t="shared" si="9"/>
        <v/>
      </c>
      <c r="H36" s="70" t="str">
        <f t="shared" si="7"/>
        <v/>
      </c>
      <c r="I36" s="27" t="str">
        <f>IF(N(J36)=0,"",0&amp;"-"&amp;B$7)</f>
        <v>0-6000</v>
      </c>
      <c r="J36" s="52">
        <f>IF(N(B$7)=0,"",IF(AND(COUNT(H31:H42)=2,COUNT(F31:F42)=2),cubic_spline(F30:F32,H30:H32,B$7),IF(AND(COUNT(H31:H42)=3,COUNT(F31:F42)=3),cubic_spline(F30:F33,H30:H33,B$7),IF(AND(COUNT(H31:H42)=4,COUNT(F31:F42)=4),cubic_spline(F30:F34,H30:H34,B$7),IF(AND(COUNT(H31:H42)=5,COUNT(F31:F42)=5),cubic_spline(F30:F35,H30:H35,B$7),IF(AND(COUNT(H31:H42)=6,COUNT(F31:F42)=6),cubic_spline(F30:F36,H30:H36,B$7),IF(AND(COUNT(H31:H42)=7,COUNT(F31:F42)=7),cubic_spline(F30:F37,H30:H37,B$7),IF(AND(COUNT(H31:H42)=8,COUNT(F31:F42)=8),cubic_spline(F30:F38,H30:H38,B$7),IF(AND(COUNT(H31:H42)=9,COUNT(F31:F42)=9),cubic_spline(F30:F39,H30:H39,B$7),IF(AND(COUNT(H31:H42)=10,COUNT(F31:F42)=10),cubic_spline(F30:F40,H30:H40,B$7),IF(AND(COUNT(H31:H42)=11,COUNT(F31:F42)=11),cubic_spline(F30:F41,H30:H41,B$7),IF(AND(COUNT(H31:H42)=12,COUNT(F31:F42)=12),cubic_spline(F30:F42,H30:H42,B$7),""))))))))))))</f>
        <v>64.695182127959939</v>
      </c>
      <c r="K36" s="52">
        <f>IF(N(B$7)=0,"",IF(AND(COUNT(A31:A42)=2,COUNT(F31:F42)=2),cubic_spline(F30:F32,A30:A32,B$7),IF(AND(COUNT(A31:A42)=3,COUNT(F31:F42)=3),cubic_spline(F30:F33,A30:A33,B$7),IF(AND(COUNT(A31:A42)=4,COUNT(F31:F42)=4),cubic_spline(F30:F34,A30:A34,B$7),IF(AND(COUNT(A31:A42)=5,COUNT(F31:F42)=5),cubic_spline(F30:F35,A30:A35,B$7),IF(AND(COUNT(A31:A42)=6,COUNT(F31:F42)=6),cubic_spline(F30:F36,A30:A36,B$7),IF(AND(COUNT(A31:A42)=7,COUNT(F31:F42)=7),cubic_spline(F30:F37,A30:A37,B$7),IF(AND(COUNT(A31:A42)=8,COUNT(F31:F42)=8),cubic_spline(F30:F38,A30:A38,B$7),IF(AND(COUNT(A31:A42)=9,COUNT(F31:F42)=9),cubic_spline(F30:F39,A30:A39,B$7),IF(AND(COUNT(A31:A42)=10,COUNT(F31:F42)=10),cubic_spline(F30:F40,A30:A40,B$7),IF(AND(COUNT(A31:A42)=11,COUNT(F31:F42)=11),cubic_spline(F30:F41,A30:A41,B$7),IF(AND(COUNT(A31:A42)=12,COUNT(F31:F42)=12),cubic_spline(F30:F42,A30:A42,B$7),""))))))))))))</f>
        <v>47.42029390081624</v>
      </c>
      <c r="L36" s="27" t="str">
        <f>IF(I36="","",B$6&amp;"-"&amp;B$7)</f>
        <v>5000-6000</v>
      </c>
      <c r="M36" s="52">
        <f t="shared" ref="M36:M42" si="10">IF(N(J36)=0,"",J36-J35)</f>
        <v>6.2449667499045987</v>
      </c>
    </row>
    <row r="37" spans="1:13" x14ac:dyDescent="0.35">
      <c r="A37" s="48"/>
      <c r="B37" s="48"/>
      <c r="C37" s="50"/>
      <c r="D37" s="50"/>
      <c r="E37" s="51" t="str">
        <f t="shared" si="8"/>
        <v/>
      </c>
      <c r="F37" s="71" t="str">
        <f t="shared" si="6"/>
        <v/>
      </c>
      <c r="G37" s="69" t="str">
        <f t="shared" si="9"/>
        <v/>
      </c>
      <c r="H37" s="70" t="str">
        <f t="shared" si="7"/>
        <v/>
      </c>
      <c r="I37" s="27" t="str">
        <f>IF(N(J37)=0,"",0&amp;"-"&amp;B$8)</f>
        <v/>
      </c>
      <c r="J37" s="52" t="str">
        <f>IF(N(B$8)=0,"",IF(AND(COUNT(H31:H42)=2,COUNT(F31:F42)=2),cubic_spline(F30:F32,H30:H32,B$8),IF(AND(COUNT(H31:H42)=3,COUNT(F31:F42)=3),cubic_spline(F30:F33,H30:H33,B$8),IF(AND(COUNT(H31:H42)=4,COUNT(F31:F42)=4),cubic_spline(F30:F34,H30:H34,B$8),IF(AND(COUNT(H31:H42)=5,COUNT(F31:F42)=5),cubic_spline(F30:F35,H30:H35,B$8),IF(AND(COUNT(H31:H42)=6,COUNT(F31:F42)=6),cubic_spline(F30:F36,H30:H36,B$8),IF(AND(COUNT(H31:H42)=7,COUNT(F31:F42)=7),cubic_spline(F30:F37,H30:H37,B$8),IF(AND(COUNT(H31:H42)=8,COUNT(F31:F42)=8),cubic_spline(F30:F38,H30:H38,B$8),IF(AND(COUNT(H31:H42)=9,COUNT(F31:F42)=9),cubic_spline(F30:F39,H30:H39,B$8),IF(AND(COUNT(H31:H42)=10,COUNT(F31:F42)=10),cubic_spline(F30:F40,H30:H40,B$8),IF(AND(COUNT(H31:H42)=11,COUNT(F31:F42)=11),cubic_spline(F30:F41,H30:H41,B$8),IF(AND(COUNT(H31:H42)=12,COUNT(F31:F42)=12),cubic_spline(F30:F42,H30:H42,B$8),""))))))))))))</f>
        <v/>
      </c>
      <c r="K37" s="52" t="str">
        <f>IF(N(B$8)=0,"",IF(AND(COUNT(A31:A42)=2,COUNT(F31:F42)=2),cubic_spline(F30:F32,A30:A32,B$8),IF(AND(COUNT(A31:A42)=3,COUNT(F31:F42)=3),cubic_spline(F30:F33,A30:A33,B$8),IF(AND(COUNT(A31:A42)=4,COUNT(F31:F42)=4),cubic_spline(F30:F34,A30:A34,B$8),IF(AND(COUNT(A31:A42)=5,COUNT(F31:F42)=5),cubic_spline(F30:F35,A30:A35,B$8),IF(AND(COUNT(A31:A42)=6,COUNT(F31:F42)=6),cubic_spline(F30:F36,A30:A36,B$8),IF(AND(COUNT(A31:A42)=7,COUNT(F31:F42)=7),cubic_spline(F30:F37,A30:A37,B$8),IF(AND(COUNT(A31:A42)=8,COUNT(F31:F42)=8),cubic_spline(F30:F38,A30:A38,B$8),IF(AND(COUNT(A31:A42)=9,COUNT(F31:F42)=9),cubic_spline(F30:F39,A30:A39,B$8),IF(AND(COUNT(A31:A42)=10,COUNT(F31:F42)=10),cubic_spline(F30:F40,A30:A40,B$8),IF(AND(COUNT(A31:A42)=11,COUNT(F31:F42)=11),cubic_spline(F30:F41,A30:A41,B$8),IF(AND(COUNT(A31:A42)=12,COUNT(F31:F42)=12),cubic_spline(F30:F42,A30:A42,B$8),""))))))))))))</f>
        <v/>
      </c>
      <c r="L37" s="27" t="str">
        <f>IF(I37="","",B$7&amp;"-"&amp;B$8)</f>
        <v/>
      </c>
      <c r="M37" s="52" t="str">
        <f t="shared" si="10"/>
        <v/>
      </c>
    </row>
    <row r="38" spans="1:13" x14ac:dyDescent="0.35">
      <c r="A38" s="48"/>
      <c r="B38" s="48"/>
      <c r="C38" s="50"/>
      <c r="D38" s="50"/>
      <c r="E38" s="51" t="str">
        <f t="shared" si="8"/>
        <v/>
      </c>
      <c r="F38" s="71" t="str">
        <f t="shared" si="6"/>
        <v/>
      </c>
      <c r="G38" s="69" t="str">
        <f t="shared" si="9"/>
        <v/>
      </c>
      <c r="H38" s="70" t="str">
        <f t="shared" si="7"/>
        <v/>
      </c>
      <c r="I38" s="27" t="str">
        <f>IF(N(J38)=0,"",0&amp;"-"&amp;B$9)</f>
        <v/>
      </c>
      <c r="J38" s="52" t="str">
        <f>IF(N(B$9)=0,"",IF(AND(COUNT(H31:H42)=2,COUNT(F31:F42)=2),cubic_spline(F30:F32,H30:H32,B$9),IF(AND(COUNT(H31:H42)=3,COUNT(F31:F42)=3),cubic_spline(F30:F33,H30:H33,B$9),IF(AND(COUNT(H31:H42)=4,COUNT(F31:F42)=4),cubic_spline(F30:F34,H30:H34,B$9),IF(AND(COUNT(H31:H42)=5,COUNT(F31:F42)=5),cubic_spline(F30:F35,H30:H35,B$9),IF(AND(COUNT(H31:H42)=6,COUNT(F31:F42)=6),cubic_spline(F30:F36,H30:H36,B$9),IF(AND(COUNT(H31:H42)=7,COUNT(F31:F42)=7),cubic_spline(F30:F37,H30:H37,B$9),IF(AND(COUNT(H31:H42)=8,COUNT(F31:F42)=8),cubic_spline(F30:F38,H30:H38,B$9),IF(AND(COUNT(H31:H42)=9,COUNT(F31:F42)=9),cubic_spline(F30:F39,H30:H39,B$9),IF(AND(COUNT(H31:H42)=10,COUNT(F31:F42)=10),cubic_spline(F30:F40,H30:H40,B$9),IF(AND(COUNT(H31:H42)=11,COUNT(F31:F42)=11),cubic_spline(F30:F41,H30:H41,B$9),IF(AND(COUNT(H31:H42)=12,COUNT(F31:F42)=12),cubic_spline(F30:F42,H30:H42,B$9),""))))))))))))</f>
        <v/>
      </c>
      <c r="K38" s="52" t="str">
        <f>IF(N(B$9)=0,"",IF(AND(COUNT(A31:A42)=2,COUNT(F31:F42)=2),cubic_spline(F30:F32,A30:A32,B$9),IF(AND(COUNT(A31:A42)=3,COUNT(F31:F42)=3),cubic_spline(F30:F33,A30:A33,B$9),IF(AND(COUNT(A31:A42)=4,COUNT(F31:F42)=4),cubic_spline(F30:F34,A30:A34,B$9),IF(AND(COUNT(A31:A42)=5,COUNT(F31:F42)=5),cubic_spline(F30:F35,A30:A35,B$9),IF(AND(COUNT(A31:A42)=6,COUNT(F31:F42)=6),cubic_spline(F30:F36,A30:A36,B$9),IF(AND(COUNT(A31:A42)=7,COUNT(F31:F42)=7),cubic_spline(F30:F37,A30:A37,B$9),IF(AND(COUNT(A31:A42)=8,COUNT(F31:F42)=8),cubic_spline(F30:F38,A30:A38,B$9),IF(AND(COUNT(A31:A42)=9,COUNT(F31:F42)=9),cubic_spline(F30:F39,A30:A39,B$9),IF(AND(COUNT(A31:A42)=10,COUNT(F31:F42)=10),cubic_spline(F30:F40,A30:A40,B$9),IF(AND(COUNT(A31:A42)=11,COUNT(F31:F42)=11),cubic_spline(F30:F41,A30:A41,B$9),IF(AND(COUNT(A31:A42)=12,COUNT(F31:F42)=12),cubic_spline(F30:F42,A30:A42,B$9),""))))))))))))</f>
        <v/>
      </c>
      <c r="L38" s="27" t="str">
        <f>IF(I38="","",B$8&amp;"-"&amp;B$9)</f>
        <v/>
      </c>
      <c r="M38" s="52" t="str">
        <f t="shared" si="10"/>
        <v/>
      </c>
    </row>
    <row r="39" spans="1:13" x14ac:dyDescent="0.35">
      <c r="A39" s="48"/>
      <c r="B39" s="48"/>
      <c r="C39" s="50"/>
      <c r="D39" s="50"/>
      <c r="E39" s="51" t="str">
        <f t="shared" si="8"/>
        <v/>
      </c>
      <c r="F39" s="71" t="str">
        <f t="shared" si="6"/>
        <v/>
      </c>
      <c r="G39" s="69" t="str">
        <f t="shared" si="9"/>
        <v/>
      </c>
      <c r="H39" s="70" t="str">
        <f t="shared" si="7"/>
        <v/>
      </c>
      <c r="I39" s="27" t="str">
        <f>IF(N(J39)=0,"",0&amp;"-"&amp;B$10)</f>
        <v/>
      </c>
      <c r="J39" s="52" t="str">
        <f>IF(N(B$10)=0,"",IF(AND(COUNT(H31:H42)=2,COUNT(F31:F42)=2),cubic_spline(F30:F32,H30:H32,B$10),IF(AND(COUNT(H31:H42)=3,COUNT(F31:F42)=3),cubic_spline(F30:F33,H30:H33,B$10),IF(AND(COUNT(H31:H42)=4,COUNT(F31:F42)=4),cubic_spline(F30:F34,H30:H34,B$10),IF(AND(COUNT(H31:H42)=5,COUNT(F31:F42)=5),cubic_spline(F30:F35,H30:H35,B$10),IF(AND(COUNT(H31:H42)=6,COUNT(F31:F42)=6),cubic_spline(F30:F36,H30:H36,B$10),IF(AND(COUNT(H31:H42)=7,COUNT(F31:F42)=7),cubic_spline(F30:F37,H30:H37,B$10),IF(AND(COUNT(H31:H42)=8,COUNT(F31:F42)=8),cubic_spline(F30:F38,H30:H38,B$10),IF(AND(COUNT(H31:H42)=9,COUNT(F31:F42)=9),cubic_spline(F30:F39,H30:H39,B$10),IF(AND(COUNT(H31:H42)=10,COUNT(F31:F42)=10),cubic_spline(F30:F40,H30:H40,B$10),IF(AND(COUNT(H31:H42)=11,COUNT(F31:F42)=11),cubic_spline(F30:F41,H30:H41,B$10),IF(AND(COUNT(H31:H42)=12,COUNT(F31:F42)=12),cubic_spline(F30:F42,H30:H42,B$10),""))))))))))))</f>
        <v/>
      </c>
      <c r="K39" s="52" t="str">
        <f>IF(N(B$10)=0,"",IF(AND(COUNT(A31:A42)=2,COUNT(F31:F42)=2),cubic_spline(F30:F32,A30:A32,B$10),IF(AND(COUNT(A31:A42)=3,COUNT(F31:F42)=3),cubic_spline(F30:F33,A30:A33,B$10),IF(AND(COUNT(A31:A42)=4,COUNT(F31:F42)=4),cubic_spline(F30:F34,A30:A34,B$10),IF(AND(COUNT(A31:A42)=5,COUNT(F31:F42)=5),cubic_spline(F30:F35,A30:A35,B$10),IF(AND(COUNT(A31:A42)=6,COUNT(F31:F42)=6),cubic_spline(F30:F36,A30:A36,B$10),IF(AND(COUNT(A31:A42)=7,COUNT(F31:F42)=7),cubic_spline(F30:F37,A30:A37,B$10),IF(AND(COUNT(A31:A42)=8,COUNT(F31:F42)=8),cubic_spline(F30:F38,A30:A38,B$10),IF(AND(COUNT(A31:A42)=9,COUNT(F31:F42)=9),cubic_spline(F30:F39,A30:A39,B$10),IF(AND(COUNT(A31:A42)=10,COUNT(F31:F42)=10),cubic_spline(F30:F40,A30:A40,B$10),IF(AND(COUNT(A31:A42)=11,COUNT(F31:F42)=11),cubic_spline(F30:F41,A30:A41,B$10),IF(AND(COUNT(A31:A42)=12,COUNT(F31:F42)=12),cubic_spline(F30:F42,A30:A42,B$10),""))))))))))))</f>
        <v/>
      </c>
      <c r="L39" s="27" t="str">
        <f>IF(I39="","",B$9&amp;"-"&amp;B$10)</f>
        <v/>
      </c>
      <c r="M39" s="52" t="str">
        <f t="shared" si="10"/>
        <v/>
      </c>
    </row>
    <row r="40" spans="1:13" x14ac:dyDescent="0.35">
      <c r="A40" s="48"/>
      <c r="B40" s="48"/>
      <c r="C40" s="50"/>
      <c r="D40" s="50"/>
      <c r="E40" s="51" t="str">
        <f t="shared" si="8"/>
        <v/>
      </c>
      <c r="F40" s="71" t="str">
        <f t="shared" si="6"/>
        <v/>
      </c>
      <c r="G40" s="69" t="str">
        <f t="shared" si="9"/>
        <v/>
      </c>
      <c r="H40" s="70" t="str">
        <f t="shared" si="7"/>
        <v/>
      </c>
      <c r="I40" s="27" t="str">
        <f>IF(N(J40)=0,"",0&amp;"-"&amp;B$11)</f>
        <v/>
      </c>
      <c r="J40" s="52" t="str">
        <f>IF(N(B$11)=0,"",IF(AND(COUNT(H31:H42)=2,COUNT(F31:F42)=2),cubic_spline(F30:F32,H30:H32,B$11),IF(AND(COUNT(H31:H42)=3,COUNT(F31:F42)=3),cubic_spline(F30:F33,H30:H33,B$11),IF(AND(COUNT(H31:H42)=4,COUNT(F31:F42)=4),cubic_spline(F30:F34,H30:H34,B$11),IF(AND(COUNT(H31:H42)=5,COUNT(F31:F42)=5),cubic_spline(F30:F35,H30:H35,B$11),IF(AND(COUNT(H31:H42)=6,COUNT(F31:F42)=6),cubic_spline(F30:F36,H30:H36,B$11),IF(AND(COUNT(H31:H42)=7,COUNT(F31:F42)=7),cubic_spline(F30:F37,H30:H37,B$11),IF(AND(COUNT(H31:H42)=8,COUNT(F31:F42)=8),cubic_spline(F30:F38,H30:H38,B$11),IF(AND(COUNT(H31:H42)=9,COUNT(F31:F42)=9),cubic_spline(F30:F39,H30:H39,B$11),IF(AND(COUNT(H31:H42)=10,COUNT(F31:F42)=10),cubic_spline(F30:F40,H30:H40,B$11),IF(AND(COUNT(H31:H42)=11,COUNT(F31:F42)=11),cubic_spline(F30:F41,H30:H41,B$11),IF(AND(COUNT(H31:H42)=12,COUNT(F31:F42)=12),cubic_spline(F30:F42,H30:H42,B$11),""))))))))))))</f>
        <v/>
      </c>
      <c r="K40" s="52" t="str">
        <f>IF(N(B$11)=0,"",IF(AND(COUNT(A31:A42)=2,COUNT(F31:F42)=2),cubic_spline(F30:F32,A30:A32,B$11),IF(AND(COUNT(A31:A42)=3,COUNT(F31:F42)=3),cubic_spline(F30:F33,A30:A33,B$11),IF(AND(COUNT(A31:A42)=4,COUNT(F31:F42)=4),cubic_spline(F30:F34,A30:A34,B$11),IF(AND(COUNT(A31:A42)=5,COUNT(F31:F42)=5),cubic_spline(F30:F35,A30:A35,B$11),IF(AND(COUNT(A31:A42)=6,COUNT(F31:F42)=6),cubic_spline(F30:F36,A30:A36,B$11),IF(AND(COUNT(A31:A42)=7,COUNT(F31:F42)=7),cubic_spline(F30:F37,A30:A37,B$11),IF(AND(COUNT(A31:A42)=8,COUNT(F31:F42)=8),cubic_spline(F30:F38,A30:A38,B$11),IF(AND(COUNT(A31:A42)=9,COUNT(F31:F42)=9),cubic_spline(F30:F39,A30:A39,B$11),IF(AND(COUNT(A31:A42)=10,COUNT(F31:F42)=10),cubic_spline(F30:F40,A30:A40,B$11),IF(AND(COUNT(A31:A42)=11,COUNT(F31:F42)=11),cubic_spline(F30:F41,A30:A41,B$11),IF(AND(COUNT(A31:A42)=12,COUNT(F31:F42)=12),cubic_spline(F30:F42,A30:A42,B$11),""))))))))))))</f>
        <v/>
      </c>
      <c r="L40" s="27" t="str">
        <f>IF(I40="","",B$10&amp;"-"&amp;B$11)</f>
        <v/>
      </c>
      <c r="M40" s="52" t="str">
        <f t="shared" si="10"/>
        <v/>
      </c>
    </row>
    <row r="41" spans="1:13" x14ac:dyDescent="0.35">
      <c r="A41" s="48"/>
      <c r="B41" s="48"/>
      <c r="C41" s="50"/>
      <c r="D41" s="50"/>
      <c r="E41" s="51" t="str">
        <f t="shared" si="8"/>
        <v/>
      </c>
      <c r="F41" s="71" t="str">
        <f t="shared" si="6"/>
        <v/>
      </c>
      <c r="G41" s="69" t="str">
        <f t="shared" si="9"/>
        <v/>
      </c>
      <c r="H41" s="70" t="str">
        <f t="shared" si="7"/>
        <v/>
      </c>
      <c r="I41" s="27" t="str">
        <f>IF(N(J41)=0,"",0&amp;"-"&amp;B$12)</f>
        <v/>
      </c>
      <c r="J41" s="52" t="str">
        <f>IF(N(B$12)=0,"",IF(AND(COUNT(H31:H42)=2,COUNT(F31:F42)=2),cubic_spline(F30:F32,H30:H32,B$12),IF(AND(COUNT(H31:H42)=3,COUNT(F31:F42)=3),cubic_spline(F30:F33,H30:H33,B$12),IF(AND(COUNT(H31:H42)=4,COUNT(F31:F42)=4),cubic_spline(F30:F34,H30:H34,B$12),IF(AND(COUNT(H31:H42)=5,COUNT(F31:F42)=5),cubic_spline(F30:F35,H30:H35,B$12),IF(AND(COUNT(H31:H42)=6,COUNT(F31:F42)=6),cubic_spline(F30:F36,H30:H36,B$12),IF(AND(COUNT(H31:H42)=7,COUNT(F31:F42)=7),cubic_spline(F30:F37,H30:H37,B$12),IF(AND(COUNT(H31:H42)=8,COUNT(F31:F42)=8),cubic_spline(F30:F38,H30:H38,B$12),IF(AND(COUNT(H31:H42)=9,COUNT(F31:F42)=9),cubic_spline(F30:F39,H30:H39,B$12),IF(AND(COUNT(H31:H42)=10,COUNT(F31:F42)=10),cubic_spline(F30:F40,H30:H40,B$12),IF(AND(COUNT(H31:H42)=11,COUNT(F31:F42)=11),cubic_spline(F30:F41,H30:H41,B$12),IF(AND(COUNT(H31:H42)=12,COUNT(F31:F42)=12),cubic_spline(F30:F42,H30:H42,B$12),""))))))))))))</f>
        <v/>
      </c>
      <c r="K41" s="52" t="str">
        <f>IF(N(B$12)=0,"",IF(AND(COUNT(A31:A42)=2,COUNT(F31:F42)=2),cubic_spline(F30:F32,A30:A32,B$12),IF(AND(COUNT(A31:A42)=3,COUNT(F31:F42)=3),cubic_spline(F30:F33,A30:A33,B$12),IF(AND(COUNT(A31:A42)=4,COUNT(F31:F42)=4),cubic_spline(F30:F34,A30:A34,B$12),IF(AND(COUNT(A31:A42)=5,COUNT(F31:F42)=5),cubic_spline(F30:F35,A30:A35,B$12),IF(AND(COUNT(A31:A42)=6,COUNT(F31:F42)=6),cubic_spline(F30:F36,A30:A36,B$12),IF(AND(COUNT(A31:A42)=7,COUNT(F31:F42)=7),cubic_spline(F30:F37,A30:A37,B$12),IF(AND(COUNT(A31:A42)=8,COUNT(F31:F42)=8),cubic_spline(F30:F38,A30:A38,B$12),IF(AND(COUNT(A31:A42)=9,COUNT(F31:F42)=9),cubic_spline(F30:F39,A30:A39,B$12),IF(AND(COUNT(A31:A42)=10,COUNT(F31:F42)=10),cubic_spline(F30:F40,A30:A40,B$12),IF(AND(COUNT(A31:A42)=11,COUNT(F31:F42)=11),cubic_spline(F30:F41,A30:A41,B$12),IF(AND(COUNT(A31:A42)=12,COUNT(F31:F42)=12),cubic_spline(F30:F42,A30:A42,B$12),""))))))))))))</f>
        <v/>
      </c>
      <c r="L41" s="27" t="str">
        <f>IF(I41="","",B$11&amp;"-"&amp;B$12)</f>
        <v/>
      </c>
      <c r="M41" s="52" t="str">
        <f t="shared" si="10"/>
        <v/>
      </c>
    </row>
    <row r="42" spans="1:13" x14ac:dyDescent="0.35">
      <c r="A42" s="48"/>
      <c r="B42" s="48"/>
      <c r="C42" s="50"/>
      <c r="D42" s="50"/>
      <c r="E42" s="51" t="str">
        <f t="shared" si="8"/>
        <v/>
      </c>
      <c r="F42" s="71" t="str">
        <f t="shared" si="6"/>
        <v/>
      </c>
      <c r="G42" s="69" t="str">
        <f t="shared" si="9"/>
        <v/>
      </c>
      <c r="H42" s="70" t="str">
        <f t="shared" si="7"/>
        <v/>
      </c>
      <c r="I42" s="27" t="str">
        <f>IF(N(J42)=0,"",0&amp;"-"&amp;B$13)</f>
        <v/>
      </c>
      <c r="J42" s="52" t="str">
        <f>IF(N(B$13)=0,"",IF(AND(COUNT(H31:H42)=2,COUNT(F31:F42)=2),cubic_spline(F30:F32,H30:H32,B$13),IF(AND(COUNT(H31:H42)=3,COUNT(F31:F42)=3),cubic_spline(F30:F33,H30:H33,B$13),IF(AND(COUNT(H31:H42)=4,COUNT(F31:F42)=4),cubic_spline(F30:F34,H30:H34,B$13),IF(AND(COUNT(H31:H42)=5,COUNT(F31:F42)=5),cubic_spline(F30:F35,H30:H35,B$13),IF(AND(COUNT(H31:H42)=6,COUNT(F31:F42)=6),cubic_spline(F30:F36,H30:H36,B$13),IF(AND(COUNT(H31:H42)=7,COUNT(F31:F42)=7),cubic_spline(F30:F37,H30:H37,B$13),IF(AND(COUNT(H31:H42)=8,COUNT(F31:F42)=8),cubic_spline(F30:F38,H30:H38,B$13),IF(AND(COUNT(H31:H42)=9,COUNT(F31:F42)=9),cubic_spline(F30:F39,H30:H39,B$13),IF(AND(COUNT(H31:H42)=10,COUNT(F31:F42)=10),cubic_spline(F30:F40,H30:H40,B$13),IF(AND(COUNT(H31:H42)=11,COUNT(F31:F42)=11),cubic_spline(F30:F41,H30:H41,B$13),IF(AND(COUNT(H31:H42)=12,COUNT(F31:F42)=12),cubic_spline(F30:F42,H30:H42,B$13),""))))))))))))</f>
        <v/>
      </c>
      <c r="K42" s="52" t="str">
        <f>IF(N(B$13)=0,"",IF(AND(COUNT(A31:A42)=2,COUNT(F31:F42)=2),cubic_spline(F30:F32,A30:A32,B$13),IF(AND(COUNT(A31:A42)=3,COUNT(F31:F42)=3),cubic_spline(F30:F33,A30:A33,B$13),IF(AND(COUNT(A31:A42)=4,COUNT(F31:F42)=4),cubic_spline(F30:F34,A30:A34,B$13),IF(AND(COUNT(A31:A42)=5,COUNT(F31:F42)=5),cubic_spline(F30:F35,A30:A35,B$13),IF(AND(COUNT(A31:A42)=6,COUNT(F31:F42)=6),cubic_spline(F30:F36,A30:A36,B$13),IF(AND(COUNT(A31:A42)=7,COUNT(F31:F42)=7),cubic_spline(F30:F37,A30:A37,B$13),IF(AND(COUNT(A31:A42)=8,COUNT(F31:F42)=8),cubic_spline(F30:F38,A30:A38,B$13),IF(AND(COUNT(A31:A42)=9,COUNT(F31:F42)=9),cubic_spline(F30:F39,A30:A39,B$13),IF(AND(COUNT(A31:A42)=10,COUNT(F31:F42)=10),cubic_spline(F30:F40,A30:A40,B$13),IF(AND(COUNT(A31:A42)=11,COUNT(F31:F42)=11),cubic_spline(F30:F41,A30:A41,B$13),IF(AND(COUNT(A31:A42)=12,COUNT(F31:F42)=12),cubic_spline(F30:F42,A30:A42,B$13),""))))))))))))</f>
        <v/>
      </c>
      <c r="L42" s="27" t="str">
        <f>IF(I42="","",B$12&amp;"-"&amp;B$13)</f>
        <v/>
      </c>
      <c r="M42" s="52" t="str">
        <f t="shared" si="10"/>
        <v/>
      </c>
    </row>
    <row r="43" spans="1:13" ht="5.15" customHeight="1" x14ac:dyDescent="0.35">
      <c r="A43" s="47"/>
      <c r="B43" s="47"/>
      <c r="C43" s="53"/>
      <c r="D43" s="53"/>
      <c r="E43" s="54"/>
      <c r="F43" s="55"/>
      <c r="G43" s="72"/>
      <c r="H43" s="73"/>
      <c r="I43" s="47"/>
      <c r="J43" s="57"/>
      <c r="K43" s="57"/>
      <c r="L43" s="55"/>
      <c r="M43" s="57"/>
    </row>
    <row r="44" spans="1:13" x14ac:dyDescent="0.35">
      <c r="A44" s="48">
        <v>8</v>
      </c>
      <c r="B44" s="48" t="s">
        <v>39</v>
      </c>
      <c r="C44" s="50">
        <v>1.0113956632394647</v>
      </c>
      <c r="D44" s="50">
        <v>20.679025872460244</v>
      </c>
      <c r="E44" s="51">
        <f>IF(N(C44)=0,"",(A44-A43)*C44*100)</f>
        <v>809.11653059157175</v>
      </c>
      <c r="F44" s="68">
        <f t="shared" ref="F44:F55" si="11">IF(N(E44)=0,"",(N(E44)+N(F43)))</f>
        <v>809.11653059157175</v>
      </c>
      <c r="G44" s="69">
        <f>IF(OR(N(D44)=0,N(E44)=0),"",(E44*D44)/1000)</f>
        <v>16.731741669938383</v>
      </c>
      <c r="H44" s="70">
        <f t="shared" ref="H44:H55" si="12">IF(N(G44)=0,"",(N(G44)+N(H43)))</f>
        <v>16.731741669938383</v>
      </c>
      <c r="I44" s="27" t="str">
        <f>IF(N(J44)=0,"",0&amp;"-"&amp;B$2)</f>
        <v>0-1000</v>
      </c>
      <c r="J44" s="52">
        <f>IF(N(B$2)=0,"",IF(AND(COUNT(H44:H55)=2,COUNT(F44:F55)=2),cubic_spline(F43:F45,H43:H45,B$2),IF(AND(COUNT(H44:H55)=3,COUNT(F44:F55)=3),cubic_spline(F43:F46,H43:H46,B$2),IF(AND(COUNT(H44:H55)=4,COUNT(F44:F55)=4),cubic_spline(F43:F47,H43:H47,B$2),IF(AND(COUNT(H44:H55)=5,COUNT(F44:F55)=5),cubic_spline(F43:F48,H43:H48,B$2),IF(AND(COUNT(H44:H55)=6,COUNT(F44:F55)=6),cubic_spline(F43:F49,H43:H49,B$2),IF(AND(COUNT(H44:H55)=7,COUNT(F44:F55)=7),cubic_spline(F43:F50,H43:H50,B$2),IF(AND(COUNT(H44:H55)=8,COUNT(F44:F55)=8),cubic_spline(F43:F51,H43:H51,B$2),IF(AND(COUNT(H44:H55)=9,COUNT(F44:F55)=9),cubic_spline(F43:F52,H43:H52,B$2),IF(AND(COUNT(H44:H55)=10,COUNT(F44:F55)=10),cubic_spline(F43:F53,H43:H53,B$2),IF(AND(COUNT(H44:H55)=11,COUNT(F44:F55)=11),cubic_spline(F43:F54,H43:H54,B$2),IF(AND(COUNT(H44:H55)=12,COUNT(F44:F55)=12),cubic_spline(F43:F55,H43:H55,B$2),""))))))))))))</f>
        <v>19.600519095464932</v>
      </c>
      <c r="K44" s="52">
        <f>IF(N(B$2)=0,"",IF(AND(COUNT(A44:A55)=2,COUNT(F44:F55)=2),cubic_spline(F43:F45,A43:A45,B$2),IF(AND(COUNT(A44:A55)=3,COUNT(F44:F55)=3),cubic_spline(F43:F46,A43:A46,B$2),IF(AND(COUNT(A44:A55)=4,COUNT(F44:F55)=4),cubic_spline(F43:F47,A43:A47,B$2),IF(AND(COUNT(A44:A55)=5,COUNT(F44:F55)=5),cubic_spline(F43:F48,A43:A48,B$2),IF(AND(COUNT(A44:A55)=6,COUNT(F44:F55)=6),cubic_spline(F43:F49,A43:A49,B$2),IF(AND(COUNT(A44:A55)=7,COUNT(F44:F55)=7),cubic_spline(F43:F50,A43:A50,B$2),IF(AND(COUNT(A44:A55)=8,COUNT(F44:F55)=8),cubic_spline(F43:F51,A43:A51,B$2),IF(AND(COUNT(A44:A55)=9,COUNT(F44:F55)=9),cubic_spline(F43:F52,A43:A52,B$2),IF(AND(COUNT(A44:A55)=10,COUNT(F44:F55)=10),cubic_spline(F43:F53,A43:A53,B$2),IF(AND(COUNT(A44:A55)=11,COUNT(F44:F55)=11),cubic_spline(F43:F54,A43:A54,B$2),IF(AND(COUNT(A44:A55)=12,COUNT(F44:F55)=12),cubic_spline(F43:F55,A43:A55,B$2),""))))))))))))</f>
        <v>9.683214407610329</v>
      </c>
      <c r="L44" s="27" t="str">
        <f>IF(I44="","",0&amp;"-"&amp;B$2)</f>
        <v>0-1000</v>
      </c>
      <c r="M44" s="52">
        <f>IF(N(J44)=0,"",J44-J43)</f>
        <v>19.600519095464932</v>
      </c>
    </row>
    <row r="45" spans="1:13" x14ac:dyDescent="0.35">
      <c r="A45" s="48">
        <v>16</v>
      </c>
      <c r="B45" s="48" t="s">
        <v>39</v>
      </c>
      <c r="C45" s="50">
        <v>1.235193852552027</v>
      </c>
      <c r="D45" s="50">
        <v>11.283054618834822</v>
      </c>
      <c r="E45" s="51">
        <f t="shared" ref="E45:E55" si="13">IF(N(C45)=0,"",(A45-A44)*C45*100)</f>
        <v>988.15508204162154</v>
      </c>
      <c r="F45" s="68">
        <f t="shared" si="11"/>
        <v>1797.2716126331934</v>
      </c>
      <c r="G45" s="69">
        <f t="shared" ref="G45:G55" si="14">IF(OR(N(D45)=0,N(E45)=0),"",(E45*D45)/1000)</f>
        <v>11.149407762554819</v>
      </c>
      <c r="H45" s="70">
        <f t="shared" si="12"/>
        <v>27.881149432493203</v>
      </c>
      <c r="I45" s="27" t="str">
        <f>IF(N(J45)=0,"",0&amp;"-"&amp;B$3)</f>
        <v>0-2000</v>
      </c>
      <c r="J45" s="52">
        <f>IF(N(B$3)=0,"",IF(AND(COUNT(H44:H55)=2,COUNT(F44:F55)=2),cubic_spline(F43:F45,H43:H45,B$3),IF(AND(COUNT(H44:H55)=3,COUNT(F44:F55)=3),cubic_spline(F43:F46,H43:H46,B$3),IF(AND(COUNT(H44:H55)=4,COUNT(F44:F55)=4),cubic_spline(F43:F47,H43:H47,B$3),IF(AND(COUNT(H44:H55)=5,COUNT(F44:F55)=5),cubic_spline(F43:F48,H43:H48,B$3),IF(AND(COUNT(H44:H55)=6,COUNT(F44:F55)=6),cubic_spline(F43:F49,H43:H49,B$3),IF(AND(COUNT(H44:H55)=7,COUNT(F44:F55)=7),cubic_spline(F43:F50,H43:H50,B$3),IF(AND(COUNT(H44:H55)=8,COUNT(F44:F55)=8),cubic_spline(F43:F51,H43:H51,B$3),IF(AND(COUNT(H44:H55)=9,COUNT(F44:F55)=9),cubic_spline(F43:F52,H43:H52,B$3),IF(AND(COUNT(H44:H55)=10,COUNT(F44:F55)=10),cubic_spline(F43:F53,H43:H53,B$3),IF(AND(COUNT(H44:H55)=11,COUNT(F44:F55)=11),cubic_spline(F43:F54,H43:H54,B$3),IF(AND(COUNT(H44:H55)=12,COUNT(F44:F55)=12),cubic_spline(F43:F55,H43:H55,B$3),""))))))))))))</f>
        <v>29.660597404432878</v>
      </c>
      <c r="K45" s="52">
        <f>IF(N(B$3)=0,"",IF(AND(COUNT(A44:A55)=2,COUNT(F44:F55)=2),cubic_spline(F43:F45,A43:A45,B$3),IF(AND(COUNT(A44:A55)=3,COUNT(F44:F55)=3),cubic_spline(F43:F46,A43:A46,B$3),IF(AND(COUNT(A44:A55)=4,COUNT(F44:F55)=4),cubic_spline(F43:F47,A43:A47,B$3),IF(AND(COUNT(A44:A55)=5,COUNT(F44:F55)=5),cubic_spline(F43:F48,A43:A48,B$3),IF(AND(COUNT(A44:A55)=6,COUNT(F44:F55)=6),cubic_spline(F43:F49,A43:A49,B$3),IF(AND(COUNT(A44:A55)=7,COUNT(F44:F55)=7),cubic_spline(F43:F50,A43:A50,B$3),IF(AND(COUNT(A44:A55)=8,COUNT(F44:F55)=8),cubic_spline(F43:F51,A43:A51,B$3),IF(AND(COUNT(A44:A55)=9,COUNT(F44:F55)=9),cubic_spline(F43:F52,A43:A52,B$3),IF(AND(COUNT(A44:A55)=10,COUNT(F44:F55)=10),cubic_spline(F43:F53,A43:A53,B$3),IF(AND(COUNT(A44:A55)=11,COUNT(F44:F55)=11),cubic_spline(F43:F54,A43:A54,B$3),IF(AND(COUNT(A44:A55)=12,COUNT(F44:F55)=12),cubic_spline(F43:F55,A43:A55,B$3),""))))))))))))</f>
        <v>17.537957458371789</v>
      </c>
      <c r="L45" s="27" t="str">
        <f>IF(I45="","",B$2&amp;"-"&amp;B$3)</f>
        <v>1000-2000</v>
      </c>
      <c r="M45" s="52">
        <f>IF(N(J45)=0,"",J45-J44)</f>
        <v>10.060078308967945</v>
      </c>
    </row>
    <row r="46" spans="1:13" x14ac:dyDescent="0.35">
      <c r="A46" s="48">
        <v>32</v>
      </c>
      <c r="B46" s="48" t="s">
        <v>39</v>
      </c>
      <c r="C46" s="50">
        <v>1.3191181735442381</v>
      </c>
      <c r="D46" s="50">
        <v>8.5298472642691898</v>
      </c>
      <c r="E46" s="51">
        <f t="shared" si="13"/>
        <v>2110.5890776707811</v>
      </c>
      <c r="F46" s="68">
        <f t="shared" si="11"/>
        <v>3907.8606903039745</v>
      </c>
      <c r="G46" s="69">
        <f t="shared" si="14"/>
        <v>18.003002470166546</v>
      </c>
      <c r="H46" s="70">
        <f t="shared" si="12"/>
        <v>45.884151902659752</v>
      </c>
      <c r="I46" s="27" t="str">
        <f>IF(N(J46)=0,"",0&amp;"-"&amp;B$4)</f>
        <v>0-3000</v>
      </c>
      <c r="J46" s="52">
        <f>IF(N(B$4)=0,"",IF(AND(COUNT(H44:H55)=2,COUNT(F44:F55)=2),cubic_spline(F43:F45,H43:H45,B$4),IF(AND(COUNT(H44:H55)=3,COUNT(F44:F55)=3),cubic_spline(F43:F46,H43:H46,B$4),IF(AND(COUNT(H44:H55)=4,COUNT(F44:F55)=4),cubic_spline(F43:F47,H43:H47,B$4),IF(AND(COUNT(H44:H55)=5,COUNT(F44:F55)=5),cubic_spline(F43:F48,H43:H48,B$4),IF(AND(COUNT(H44:H55)=6,COUNT(F44:F55)=6),cubic_spline(F43:F49,H43:H49,B$4),IF(AND(COUNT(H44:H55)=7,COUNT(F44:F55)=7),cubic_spline(F43:F50,H43:H50,B$4),IF(AND(COUNT(H44:H55)=8,COUNT(F44:F55)=8),cubic_spline(F43:F51,H43:H51,B$4),IF(AND(COUNT(H44:H55)=9,COUNT(F44:F55)=9),cubic_spline(F43:F52,H43:H52,B$4),IF(AND(COUNT(H44:H55)=10,COUNT(F44:F55)=10),cubic_spline(F43:F53,H43:H53,B$4),IF(AND(COUNT(H44:H55)=11,COUNT(F44:F55)=11),cubic_spline(F43:F54,H43:H54,B$4),IF(AND(COUNT(H44:H55)=12,COUNT(F44:F55)=12),cubic_spline(F43:F55,H43:H55,B$4),""))))))))))))</f>
        <v>38.393206251218757</v>
      </c>
      <c r="K46" s="52">
        <f>IF(N(B$4)=0,"",IF(AND(COUNT(A44:A55)=2,COUNT(F44:F55)=2),cubic_spline(F43:F45,A43:A45,B$4),IF(AND(COUNT(A44:A55)=3,COUNT(F44:F55)=3),cubic_spline(F43:F46,A43:A46,B$4),IF(AND(COUNT(A44:A55)=4,COUNT(F44:F55)=4),cubic_spline(F43:F47,A43:A47,B$4),IF(AND(COUNT(A44:A55)=5,COUNT(F44:F55)=5),cubic_spline(F43:F48,A43:A48,B$4),IF(AND(COUNT(A44:A55)=6,COUNT(F44:F55)=6),cubic_spline(F43:F49,A43:A49,B$4),IF(AND(COUNT(A44:A55)=7,COUNT(F44:F55)=7),cubic_spline(F43:F50,A43:A50,B$4),IF(AND(COUNT(A44:A55)=8,COUNT(F44:F55)=8),cubic_spline(F43:F51,A43:A51,B$4),IF(AND(COUNT(A44:A55)=9,COUNT(F44:F55)=9),cubic_spline(F43:F52,A43:A52,B$4),IF(AND(COUNT(A44:A55)=10,COUNT(F44:F55)=10),cubic_spline(F43:F53,A43:A53,B$4),IF(AND(COUNT(A44:A55)=11,COUNT(F44:F55)=11),cubic_spline(F43:F54,A43:A54,B$4),IF(AND(COUNT(A44:A55)=12,COUNT(F44:F55)=12),cubic_spline(F43:F55,A43:A55,B$4),""))))))))))))</f>
        <v>25.111449517806594</v>
      </c>
      <c r="L46" s="27" t="str">
        <f>IF(I46="","",B$3&amp;"-"&amp;B$4)</f>
        <v>2000-3000</v>
      </c>
      <c r="M46" s="52">
        <f>IF(N(J46)=0,"",J46-J45)</f>
        <v>8.7326088467858796</v>
      </c>
    </row>
    <row r="47" spans="1:13" x14ac:dyDescent="0.35">
      <c r="A47" s="48">
        <v>48</v>
      </c>
      <c r="B47" s="48" t="s">
        <v>39</v>
      </c>
      <c r="C47" s="50">
        <v>1.3066371206787302</v>
      </c>
      <c r="D47" s="50">
        <v>7.0942272899861214</v>
      </c>
      <c r="E47" s="51">
        <f t="shared" si="13"/>
        <v>2090.6193930859681</v>
      </c>
      <c r="F47" s="68">
        <f t="shared" si="11"/>
        <v>5998.4800833899426</v>
      </c>
      <c r="G47" s="69">
        <f t="shared" si="14"/>
        <v>14.831329151404697</v>
      </c>
      <c r="H47" s="70">
        <f t="shared" si="12"/>
        <v>60.715481054064448</v>
      </c>
      <c r="I47" s="27" t="str">
        <f>IF(N(J47)=0,"",0&amp;"-"&amp;B$5)</f>
        <v>0-4000</v>
      </c>
      <c r="J47" s="52">
        <f>IF(N(B$5)=0,"",IF(AND(COUNT(H44:H55)=2,COUNT(F44:F55)=2),cubic_spline(F43:F45,H43:H45,B$5),IF(AND(COUNT(H44:H55)=3,COUNT(F44:F55)=3),cubic_spline(F43:F46,H43:H46,B$5),IF(AND(COUNT(H44:H55)=4,COUNT(F44:F55)=4),cubic_spline(F43:F47,H43:H47,B$5),IF(AND(COUNT(H44:H55)=5,COUNT(F44:F55)=5),cubic_spline(F43:F48,H43:H48,B$5),IF(AND(COUNT(H44:H55)=6,COUNT(F44:F55)=6),cubic_spline(F43:F49,H43:H49,B$5),IF(AND(COUNT(H44:H55)=7,COUNT(F44:F55)=7),cubic_spline(F43:F50,H43:H50,B$5),IF(AND(COUNT(H44:H55)=8,COUNT(F44:F55)=8),cubic_spline(F43:F51,H43:H51,B$5),IF(AND(COUNT(H44:H55)=9,COUNT(F44:F55)=9),cubic_spline(F43:F52,H43:H52,B$5),IF(AND(COUNT(H44:H55)=10,COUNT(F44:F55)=10),cubic_spline(F43:F53,H43:H53,B$5),IF(AND(COUNT(H44:H55)=11,COUNT(F44:F55)=11),cubic_spline(F43:F54,H43:H54,B$5),IF(AND(COUNT(H44:H55)=12,COUNT(F44:F55)=12),cubic_spline(F43:F55,H43:H55,B$5),""))))))))))))</f>
        <v>46.602536787374817</v>
      </c>
      <c r="K47" s="52">
        <f>IF(N(B$5)=0,"",IF(AND(COUNT(A44:A55)=2,COUNT(F44:F55)=2),cubic_spline(F43:F45,A43:A45,B$5),IF(AND(COUNT(A44:A55)=3,COUNT(F44:F55)=3),cubic_spline(F43:F46,A43:A46,B$5),IF(AND(COUNT(A44:A55)=4,COUNT(F44:F55)=4),cubic_spline(F43:F47,A43:A47,B$5),IF(AND(COUNT(A44:A55)=5,COUNT(F44:F55)=5),cubic_spline(F43:F48,A43:A48,B$5),IF(AND(COUNT(A44:A55)=6,COUNT(F44:F55)=6),cubic_spline(F43:F49,A43:A49,B$5),IF(AND(COUNT(A44:A55)=7,COUNT(F44:F55)=7),cubic_spline(F43:F50,A43:A50,B$5),IF(AND(COUNT(A44:A55)=8,COUNT(F44:F55)=8),cubic_spline(F43:F51,A43:A51,B$5),IF(AND(COUNT(A44:A55)=9,COUNT(F44:F55)=9),cubic_spline(F43:F52,A43:A52,B$5),IF(AND(COUNT(A44:A55)=10,COUNT(F44:F55)=10),cubic_spline(F43:F53,A43:A53,B$5),IF(AND(COUNT(A44:A55)=11,COUNT(F44:F55)=11),cubic_spline(F43:F54,A43:A54,B$5),IF(AND(COUNT(A44:A55)=12,COUNT(F44:F55)=12),cubic_spline(F43:F55,A43:A55,B$5),""))))))))))))</f>
        <v>32.701375739495042</v>
      </c>
      <c r="L47" s="27" t="str">
        <f>IF(I47="","",B$4&amp;"-"&amp;B$5)</f>
        <v>3000-4000</v>
      </c>
      <c r="M47" s="52">
        <f>IF(N(J47)=0,"",J47-J46)</f>
        <v>8.2093305361560596</v>
      </c>
    </row>
    <row r="48" spans="1:13" x14ac:dyDescent="0.35">
      <c r="A48" s="48"/>
      <c r="B48" s="48"/>
      <c r="C48" s="50"/>
      <c r="D48" s="50"/>
      <c r="E48" s="51" t="str">
        <f t="shared" si="13"/>
        <v/>
      </c>
      <c r="F48" s="71" t="str">
        <f t="shared" si="11"/>
        <v/>
      </c>
      <c r="G48" s="69" t="str">
        <f t="shared" si="14"/>
        <v/>
      </c>
      <c r="H48" s="70" t="str">
        <f t="shared" si="12"/>
        <v/>
      </c>
      <c r="I48" s="27" t="str">
        <f>IF(N(J48)=0,"",0&amp;"-"&amp;B$6)</f>
        <v>0-5000</v>
      </c>
      <c r="J48" s="52">
        <f>IF(N(B$6)=0,"",IF(AND(COUNT(H44:H55)=2,COUNT(F44:F55)=2),cubic_spline(F43:F45,H43:H45,B$6),IF(AND(COUNT(H44:H55)=3,COUNT(F44:F55)=3),cubic_spline(F43:F46,H43:H46,B$6),IF(AND(COUNT(H44:H55)=4,COUNT(F44:F55)=4),cubic_spline(F43:F47,H43:H47,B$6),IF(AND(COUNT(H44:H55)=5,COUNT(F44:F55)=5),cubic_spline(F43:F48,H43:H48,B$6),IF(AND(COUNT(H44:H55)=6,COUNT(F44:F55)=6),cubic_spline(F43:F49,H43:H49,B$6),IF(AND(COUNT(H44:H55)=7,COUNT(F44:F55)=7),cubic_spline(F43:F50,H43:H50,B$6),IF(AND(COUNT(H44:H55)=8,COUNT(F44:F55)=8),cubic_spline(F43:F51,H43:H51,B$6),IF(AND(COUNT(H44:H55)=9,COUNT(F44:F55)=9),cubic_spline(F43:F52,H43:H52,B$6),IF(AND(COUNT(H44:H55)=10,COUNT(F44:F55)=10),cubic_spline(F43:F53,H43:H53,B$6),IF(AND(COUNT(H44:H55)=11,COUNT(F44:F55)=11),cubic_spline(F43:F54,H43:H54,B$6),IF(AND(COUNT(H44:H55)=12,COUNT(F44:F55)=12),cubic_spline(F43:F55,H43:H55,B$6),""))))))))))))</f>
        <v>53.921620634643659</v>
      </c>
      <c r="K48" s="52">
        <f>IF(N(B$6)=0,"",IF(AND(COUNT(A44:A55)=2,COUNT(F44:F55)=2),cubic_spline(F43:F45,A43:A45,B$6),IF(AND(COUNT(A44:A55)=3,COUNT(F44:F55)=3),cubic_spline(F43:F46,A43:A46,B$6),IF(AND(COUNT(A44:A55)=4,COUNT(F44:F55)=4),cubic_spline(F43:F47,A43:A47,B$6),IF(AND(COUNT(A44:A55)=5,COUNT(F44:F55)=5),cubic_spline(F43:F48,A43:A48,B$6),IF(AND(COUNT(A44:A55)=6,COUNT(F44:F55)=6),cubic_spline(F43:F49,A43:A49,B$6),IF(AND(COUNT(A44:A55)=7,COUNT(F44:F55)=7),cubic_spline(F43:F50,A43:A50,B$6),IF(AND(COUNT(A44:A55)=8,COUNT(F44:F55)=8),cubic_spline(F43:F51,A43:A51,B$6),IF(AND(COUNT(A44:A55)=9,COUNT(F44:F55)=9),cubic_spline(F43:F52,A43:A52,B$6),IF(AND(COUNT(A44:A55)=10,COUNT(F44:F55)=10),cubic_spline(F43:F53,A43:A53,B$6),IF(AND(COUNT(A44:A55)=11,COUNT(F44:F55)=11),cubic_spline(F43:F54,A43:A54,B$6),IF(AND(COUNT(A44:A55)=12,COUNT(F44:F55)=12),cubic_spline(F43:F55,A43:A55,B$6),""))))))))))))</f>
        <v>40.341452636049297</v>
      </c>
      <c r="L48" s="27" t="str">
        <f>IF(I48="","",B$5&amp;"-"&amp;B$6)</f>
        <v>4000-5000</v>
      </c>
      <c r="M48" s="52">
        <f>IF(N(J48)=0,"",J48-J47)</f>
        <v>7.3190838472688426</v>
      </c>
    </row>
    <row r="49" spans="1:13" x14ac:dyDescent="0.35">
      <c r="A49" s="48"/>
      <c r="B49" s="48"/>
      <c r="C49" s="50"/>
      <c r="D49" s="50"/>
      <c r="E49" s="51" t="str">
        <f t="shared" si="13"/>
        <v/>
      </c>
      <c r="F49" s="71" t="str">
        <f t="shared" si="11"/>
        <v/>
      </c>
      <c r="G49" s="69" t="str">
        <f t="shared" si="14"/>
        <v/>
      </c>
      <c r="H49" s="70" t="str">
        <f t="shared" si="12"/>
        <v/>
      </c>
      <c r="I49" s="27" t="str">
        <f>IF(N(J49)=0,"",0&amp;"-"&amp;B$7)</f>
        <v>0-6000</v>
      </c>
      <c r="J49" s="52">
        <f>IF(N(B$7)=0,"",IF(AND(COUNT(H44:H55)=2,COUNT(F44:F55)=2),cubic_spline(F43:F45,H43:H45,B$7),IF(AND(COUNT(H44:H55)=3,COUNT(F44:F55)=3),cubic_spline(F43:F46,H43:H46,B$7),IF(AND(COUNT(H44:H55)=4,COUNT(F44:F55)=4),cubic_spline(F43:F47,H43:H47,B$7),IF(AND(COUNT(H44:H55)=5,COUNT(F44:F55)=5),cubic_spline(F43:F48,H43:H48,B$7),IF(AND(COUNT(H44:H55)=6,COUNT(F44:F55)=6),cubic_spline(F43:F49,H43:H49,B$7),IF(AND(COUNT(H44:H55)=7,COUNT(F44:F55)=7),cubic_spline(F43:F50,H43:H50,B$7),IF(AND(COUNT(H44:H55)=8,COUNT(F44:F55)=8),cubic_spline(F43:F51,H43:H51,B$7),IF(AND(COUNT(H44:H55)=9,COUNT(F44:F55)=9),cubic_spline(F43:F52,H43:H52,B$7),IF(AND(COUNT(H44:H55)=10,COUNT(F44:F55)=10),cubic_spline(F43:F53,H43:H53,B$7),IF(AND(COUNT(H44:H55)=11,COUNT(F44:F55)=11),cubic_spline(F43:F54,H43:H54,B$7),IF(AND(COUNT(H44:H55)=12,COUNT(F44:F55)=12),cubic_spline(F43:F55,H43:H55,B$7),""))))))))))))</f>
        <v>60.725693051905957</v>
      </c>
      <c r="K49" s="52">
        <f>IF(N(B$7)=0,"",IF(AND(COUNT(A44:A55)=2,COUNT(F44:F55)=2),cubic_spline(F43:F45,A43:A45,B$7),IF(AND(COUNT(A44:A55)=3,COUNT(F44:F55)=3),cubic_spline(F43:F46,A43:A46,B$7),IF(AND(COUNT(A44:A55)=4,COUNT(F44:F55)=4),cubic_spline(F43:F47,A43:A47,B$7),IF(AND(COUNT(A44:A55)=5,COUNT(F44:F55)=5),cubic_spline(F43:F48,A43:A48,B$7),IF(AND(COUNT(A44:A55)=6,COUNT(F44:F55)=6),cubic_spline(F43:F49,A43:A49,B$7),IF(AND(COUNT(A44:A55)=7,COUNT(F44:F55)=7),cubic_spline(F43:F50,A43:A50,B$7),IF(AND(COUNT(A44:A55)=8,COUNT(F44:F55)=8),cubic_spline(F43:F51,A43:A51,B$7),IF(AND(COUNT(A44:A55)=9,COUNT(F44:F55)=9),cubic_spline(F43:F52,A43:A52,B$7),IF(AND(COUNT(A44:A55)=10,COUNT(F44:F55)=10),cubic_spline(F43:F53,A43:A53,B$7),IF(AND(COUNT(A44:A55)=11,COUNT(F44:F55)=11),cubic_spline(F43:F54,A43:A54,B$7),IF(AND(COUNT(A44:A55)=12,COUNT(F44:F55)=12),cubic_spline(F43:F55,A43:A55,B$7),""))))))))))))</f>
        <v>48.01166648623429</v>
      </c>
      <c r="L49" s="27" t="str">
        <f>IF(I49="","",B$6&amp;"-"&amp;B$7)</f>
        <v>5000-6000</v>
      </c>
      <c r="M49" s="52">
        <f t="shared" ref="M49:M55" si="15">IF(N(J49)=0,"",J49-J48)</f>
        <v>6.8040724172622973</v>
      </c>
    </row>
    <row r="50" spans="1:13" x14ac:dyDescent="0.35">
      <c r="A50" s="48"/>
      <c r="B50" s="48"/>
      <c r="C50" s="50"/>
      <c r="D50" s="50"/>
      <c r="E50" s="51" t="str">
        <f t="shared" si="13"/>
        <v/>
      </c>
      <c r="F50" s="71" t="str">
        <f t="shared" si="11"/>
        <v/>
      </c>
      <c r="G50" s="69" t="str">
        <f t="shared" si="14"/>
        <v/>
      </c>
      <c r="H50" s="70" t="str">
        <f t="shared" si="12"/>
        <v/>
      </c>
      <c r="I50" s="27" t="str">
        <f>IF(N(J50)=0,"",0&amp;"-"&amp;B$8)</f>
        <v/>
      </c>
      <c r="J50" s="52" t="str">
        <f>IF(N(B$8)=0,"",IF(AND(COUNT(H44:H55)=2,COUNT(F44:F55)=2),cubic_spline(F43:F45,H43:H45,B$8),IF(AND(COUNT(H44:H55)=3,COUNT(F44:F55)=3),cubic_spline(F43:F46,H43:H46,B$8),IF(AND(COUNT(H44:H55)=4,COUNT(F44:F55)=4),cubic_spline(F43:F47,H43:H47,B$8),IF(AND(COUNT(H44:H55)=5,COUNT(F44:F55)=5),cubic_spline(F43:F48,H43:H48,B$8),IF(AND(COUNT(H44:H55)=6,COUNT(F44:F55)=6),cubic_spline(F43:F49,H43:H49,B$8),IF(AND(COUNT(H44:H55)=7,COUNT(F44:F55)=7),cubic_spline(F43:F50,H43:H50,B$8),IF(AND(COUNT(H44:H55)=8,COUNT(F44:F55)=8),cubic_spline(F43:F51,H43:H51,B$8),IF(AND(COUNT(H44:H55)=9,COUNT(F44:F55)=9),cubic_spline(F43:F52,H43:H52,B$8),IF(AND(COUNT(H44:H55)=10,COUNT(F44:F55)=10),cubic_spline(F43:F53,H43:H53,B$8),IF(AND(COUNT(H44:H55)=11,COUNT(F44:F55)=11),cubic_spline(F43:F54,H43:H54,B$8),IF(AND(COUNT(H44:H55)=12,COUNT(F44:F55)=12),cubic_spline(F43:F55,H43:H55,B$8),""))))))))))))</f>
        <v/>
      </c>
      <c r="K50" s="52" t="str">
        <f>IF(N(B$8)=0,"",IF(AND(COUNT(A44:A55)=2,COUNT(F44:F55)=2),cubic_spline(F43:F45,A43:A45,B$8),IF(AND(COUNT(A44:A55)=3,COUNT(F44:F55)=3),cubic_spline(F43:F46,A43:A46,B$8),IF(AND(COUNT(A44:A55)=4,COUNT(F44:F55)=4),cubic_spline(F43:F47,A43:A47,B$8),IF(AND(COUNT(A44:A55)=5,COUNT(F44:F55)=5),cubic_spline(F43:F48,A43:A48,B$8),IF(AND(COUNT(A44:A55)=6,COUNT(F44:F55)=6),cubic_spline(F43:F49,A43:A49,B$8),IF(AND(COUNT(A44:A55)=7,COUNT(F44:F55)=7),cubic_spline(F43:F50,A43:A50,B$8),IF(AND(COUNT(A44:A55)=8,COUNT(F44:F55)=8),cubic_spline(F43:F51,A43:A51,B$8),IF(AND(COUNT(A44:A55)=9,COUNT(F44:F55)=9),cubic_spline(F43:F52,A43:A52,B$8),IF(AND(COUNT(A44:A55)=10,COUNT(F44:F55)=10),cubic_spline(F43:F53,A43:A53,B$8),IF(AND(COUNT(A44:A55)=11,COUNT(F44:F55)=11),cubic_spline(F43:F54,A43:A54,B$8),IF(AND(COUNT(A44:A55)=12,COUNT(F44:F55)=12),cubic_spline(F43:F55,A43:A55,B$8),""))))))))))))</f>
        <v/>
      </c>
      <c r="L50" s="27" t="str">
        <f>IF(I50="","",B$7&amp;"-"&amp;B$8)</f>
        <v/>
      </c>
      <c r="M50" s="52" t="str">
        <f t="shared" si="15"/>
        <v/>
      </c>
    </row>
    <row r="51" spans="1:13" x14ac:dyDescent="0.35">
      <c r="A51" s="48"/>
      <c r="B51" s="48"/>
      <c r="C51" s="50"/>
      <c r="D51" s="50"/>
      <c r="E51" s="51" t="str">
        <f t="shared" si="13"/>
        <v/>
      </c>
      <c r="F51" s="71" t="str">
        <f t="shared" si="11"/>
        <v/>
      </c>
      <c r="G51" s="69" t="str">
        <f t="shared" si="14"/>
        <v/>
      </c>
      <c r="H51" s="70" t="str">
        <f t="shared" si="12"/>
        <v/>
      </c>
      <c r="I51" s="27" t="str">
        <f>IF(N(J51)=0,"",0&amp;"-"&amp;B$9)</f>
        <v/>
      </c>
      <c r="J51" s="52" t="str">
        <f>IF(N(B$9)=0,"",IF(AND(COUNT(H44:H55)=2,COUNT(F44:F55)=2),cubic_spline(F43:F45,H43:H45,B$9),IF(AND(COUNT(H44:H55)=3,COUNT(F44:F55)=3),cubic_spline(F43:F46,H43:H46,B$9),IF(AND(COUNT(H44:H55)=4,COUNT(F44:F55)=4),cubic_spline(F43:F47,H43:H47,B$9),IF(AND(COUNT(H44:H55)=5,COUNT(F44:F55)=5),cubic_spline(F43:F48,H43:H48,B$9),IF(AND(COUNT(H44:H55)=6,COUNT(F44:F55)=6),cubic_spline(F43:F49,H43:H49,B$9),IF(AND(COUNT(H44:H55)=7,COUNT(F44:F55)=7),cubic_spline(F43:F50,H43:H50,B$9),IF(AND(COUNT(H44:H55)=8,COUNT(F44:F55)=8),cubic_spline(F43:F51,H43:H51,B$9),IF(AND(COUNT(H44:H55)=9,COUNT(F44:F55)=9),cubic_spline(F43:F52,H43:H52,B$9),IF(AND(COUNT(H44:H55)=10,COUNT(F44:F55)=10),cubic_spline(F43:F53,H43:H53,B$9),IF(AND(COUNT(H44:H55)=11,COUNT(F44:F55)=11),cubic_spline(F43:F54,H43:H54,B$9),IF(AND(COUNT(H44:H55)=12,COUNT(F44:F55)=12),cubic_spline(F43:F55,H43:H55,B$9),""))))))))))))</f>
        <v/>
      </c>
      <c r="K51" s="52" t="str">
        <f>IF(N(B$9)=0,"",IF(AND(COUNT(A44:A55)=2,COUNT(F44:F55)=2),cubic_spline(F43:F45,A43:A45,B$9),IF(AND(COUNT(A44:A55)=3,COUNT(F44:F55)=3),cubic_spline(F43:F46,A43:A46,B$9),IF(AND(COUNT(A44:A55)=4,COUNT(F44:F55)=4),cubic_spline(F43:F47,A43:A47,B$9),IF(AND(COUNT(A44:A55)=5,COUNT(F44:F55)=5),cubic_spline(F43:F48,A43:A48,B$9),IF(AND(COUNT(A44:A55)=6,COUNT(F44:F55)=6),cubic_spline(F43:F49,A43:A49,B$9),IF(AND(COUNT(A44:A55)=7,COUNT(F44:F55)=7),cubic_spline(F43:F50,A43:A50,B$9),IF(AND(COUNT(A44:A55)=8,COUNT(F44:F55)=8),cubic_spline(F43:F51,A43:A51,B$9),IF(AND(COUNT(A44:A55)=9,COUNT(F44:F55)=9),cubic_spline(F43:F52,A43:A52,B$9),IF(AND(COUNT(A44:A55)=10,COUNT(F44:F55)=10),cubic_spline(F43:F53,A43:A53,B$9),IF(AND(COUNT(A44:A55)=11,COUNT(F44:F55)=11),cubic_spline(F43:F54,A43:A54,B$9),IF(AND(COUNT(A44:A55)=12,COUNT(F44:F55)=12),cubic_spline(F43:F55,A43:A55,B$9),""))))))))))))</f>
        <v/>
      </c>
      <c r="L51" s="27" t="str">
        <f>IF(I51="","",B$8&amp;"-"&amp;B$9)</f>
        <v/>
      </c>
      <c r="M51" s="52" t="str">
        <f t="shared" si="15"/>
        <v/>
      </c>
    </row>
    <row r="52" spans="1:13" x14ac:dyDescent="0.35">
      <c r="A52" s="48"/>
      <c r="B52" s="48"/>
      <c r="C52" s="50"/>
      <c r="D52" s="50"/>
      <c r="E52" s="51" t="str">
        <f t="shared" si="13"/>
        <v/>
      </c>
      <c r="F52" s="71" t="str">
        <f t="shared" si="11"/>
        <v/>
      </c>
      <c r="G52" s="69" t="str">
        <f t="shared" si="14"/>
        <v/>
      </c>
      <c r="H52" s="70" t="str">
        <f t="shared" si="12"/>
        <v/>
      </c>
      <c r="I52" s="27" t="str">
        <f>IF(N(J52)=0,"",0&amp;"-"&amp;B$10)</f>
        <v/>
      </c>
      <c r="J52" s="52" t="str">
        <f>IF(N(B$10)=0,"",IF(AND(COUNT(H44:H55)=2,COUNT(F44:F55)=2),cubic_spline(F43:F45,H43:H45,B$10),IF(AND(COUNT(H44:H55)=3,COUNT(F44:F55)=3),cubic_spline(F43:F46,H43:H46,B$10),IF(AND(COUNT(H44:H55)=4,COUNT(F44:F55)=4),cubic_spline(F43:F47,H43:H47,B$10),IF(AND(COUNT(H44:H55)=5,COUNT(F44:F55)=5),cubic_spline(F43:F48,H43:H48,B$10),IF(AND(COUNT(H44:H55)=6,COUNT(F44:F55)=6),cubic_spline(F43:F49,H43:H49,B$10),IF(AND(COUNT(H44:H55)=7,COUNT(F44:F55)=7),cubic_spline(F43:F50,H43:H50,B$10),IF(AND(COUNT(H44:H55)=8,COUNT(F44:F55)=8),cubic_spline(F43:F51,H43:H51,B$10),IF(AND(COUNT(H44:H55)=9,COUNT(F44:F55)=9),cubic_spline(F43:F52,H43:H52,B$10),IF(AND(COUNT(H44:H55)=10,COUNT(F44:F55)=10),cubic_spline(F43:F53,H43:H53,B$10),IF(AND(COUNT(H44:H55)=11,COUNT(F44:F55)=11),cubic_spline(F43:F54,H43:H54,B$10),IF(AND(COUNT(H44:H55)=12,COUNT(F44:F55)=12),cubic_spline(F43:F55,H43:H55,B$10),""))))))))))))</f>
        <v/>
      </c>
      <c r="K52" s="52" t="str">
        <f>IF(N(B$10)=0,"",IF(AND(COUNT(A44:A55)=2,COUNT(F44:F55)=2),cubic_spline(F43:F45,A43:A45,B$10),IF(AND(COUNT(A44:A55)=3,COUNT(F44:F55)=3),cubic_spline(F43:F46,A43:A46,B$10),IF(AND(COUNT(A44:A55)=4,COUNT(F44:F55)=4),cubic_spline(F43:F47,A43:A47,B$10),IF(AND(COUNT(A44:A55)=5,COUNT(F44:F55)=5),cubic_spline(F43:F48,A43:A48,B$10),IF(AND(COUNT(A44:A55)=6,COUNT(F44:F55)=6),cubic_spline(F43:F49,A43:A49,B$10),IF(AND(COUNT(A44:A55)=7,COUNT(F44:F55)=7),cubic_spline(F43:F50,A43:A50,B$10),IF(AND(COUNT(A44:A55)=8,COUNT(F44:F55)=8),cubic_spline(F43:F51,A43:A51,B$10),IF(AND(COUNT(A44:A55)=9,COUNT(F44:F55)=9),cubic_spline(F43:F52,A43:A52,B$10),IF(AND(COUNT(A44:A55)=10,COUNT(F44:F55)=10),cubic_spline(F43:F53,A43:A53,B$10),IF(AND(COUNT(A44:A55)=11,COUNT(F44:F55)=11),cubic_spline(F43:F54,A43:A54,B$10),IF(AND(COUNT(A44:A55)=12,COUNT(F44:F55)=12),cubic_spline(F43:F55,A43:A55,B$10),""))))))))))))</f>
        <v/>
      </c>
      <c r="L52" s="27" t="str">
        <f>IF(I52="","",B$9&amp;"-"&amp;B$10)</f>
        <v/>
      </c>
      <c r="M52" s="52" t="str">
        <f t="shared" si="15"/>
        <v/>
      </c>
    </row>
    <row r="53" spans="1:13" x14ac:dyDescent="0.35">
      <c r="A53" s="48"/>
      <c r="B53" s="48"/>
      <c r="C53" s="50"/>
      <c r="D53" s="50"/>
      <c r="E53" s="51" t="str">
        <f t="shared" si="13"/>
        <v/>
      </c>
      <c r="F53" s="71" t="str">
        <f t="shared" si="11"/>
        <v/>
      </c>
      <c r="G53" s="69" t="str">
        <f t="shared" si="14"/>
        <v/>
      </c>
      <c r="H53" s="70" t="str">
        <f t="shared" si="12"/>
        <v/>
      </c>
      <c r="I53" s="27" t="str">
        <f>IF(N(J53)=0,"",0&amp;"-"&amp;B$11)</f>
        <v/>
      </c>
      <c r="J53" s="52" t="str">
        <f>IF(N(B$11)=0,"",IF(AND(COUNT(H44:H55)=2,COUNT(F44:F55)=2),cubic_spline(F43:F45,H43:H45,B$11),IF(AND(COUNT(H44:H55)=3,COUNT(F44:F55)=3),cubic_spline(F43:F46,H43:H46,B$11),IF(AND(COUNT(H44:H55)=4,COUNT(F44:F55)=4),cubic_spline(F43:F47,H43:H47,B$11),IF(AND(COUNT(H44:H55)=5,COUNT(F44:F55)=5),cubic_spline(F43:F48,H43:H48,B$11),IF(AND(COUNT(H44:H55)=6,COUNT(F44:F55)=6),cubic_spline(F43:F49,H43:H49,B$11),IF(AND(COUNT(H44:H55)=7,COUNT(F44:F55)=7),cubic_spline(F43:F50,H43:H50,B$11),IF(AND(COUNT(H44:H55)=8,COUNT(F44:F55)=8),cubic_spline(F43:F51,H43:H51,B$11),IF(AND(COUNT(H44:H55)=9,COUNT(F44:F55)=9),cubic_spline(F43:F52,H43:H52,B$11),IF(AND(COUNT(H44:H55)=10,COUNT(F44:F55)=10),cubic_spline(F43:F53,H43:H53,B$11),IF(AND(COUNT(H44:H55)=11,COUNT(F44:F55)=11),cubic_spline(F43:F54,H43:H54,B$11),IF(AND(COUNT(H44:H55)=12,COUNT(F44:F55)=12),cubic_spline(F43:F55,H43:H55,B$11),""))))))))))))</f>
        <v/>
      </c>
      <c r="K53" s="52" t="str">
        <f>IF(N(B$11)=0,"",IF(AND(COUNT(A44:A55)=2,COUNT(F44:F55)=2),cubic_spline(F43:F45,A43:A45,B$11),IF(AND(COUNT(A44:A55)=3,COUNT(F44:F55)=3),cubic_spline(F43:F46,A43:A46,B$11),IF(AND(COUNT(A44:A55)=4,COUNT(F44:F55)=4),cubic_spline(F43:F47,A43:A47,B$11),IF(AND(COUNT(A44:A55)=5,COUNT(F44:F55)=5),cubic_spline(F43:F48,A43:A48,B$11),IF(AND(COUNT(A44:A55)=6,COUNT(F44:F55)=6),cubic_spline(F43:F49,A43:A49,B$11),IF(AND(COUNT(A44:A55)=7,COUNT(F44:F55)=7),cubic_spline(F43:F50,A43:A50,B$11),IF(AND(COUNT(A44:A55)=8,COUNT(F44:F55)=8),cubic_spline(F43:F51,A43:A51,B$11),IF(AND(COUNT(A44:A55)=9,COUNT(F44:F55)=9),cubic_spline(F43:F52,A43:A52,B$11),IF(AND(COUNT(A44:A55)=10,COUNT(F44:F55)=10),cubic_spline(F43:F53,A43:A53,B$11),IF(AND(COUNT(A44:A55)=11,COUNT(F44:F55)=11),cubic_spline(F43:F54,A43:A54,B$11),IF(AND(COUNT(A44:A55)=12,COUNT(F44:F55)=12),cubic_spline(F43:F55,A43:A55,B$11),""))))))))))))</f>
        <v/>
      </c>
      <c r="L53" s="27" t="str">
        <f>IF(I53="","",B$10&amp;"-"&amp;B$11)</f>
        <v/>
      </c>
      <c r="M53" s="52" t="str">
        <f t="shared" si="15"/>
        <v/>
      </c>
    </row>
    <row r="54" spans="1:13" x14ac:dyDescent="0.35">
      <c r="A54" s="48"/>
      <c r="B54" s="48"/>
      <c r="C54" s="50"/>
      <c r="D54" s="50"/>
      <c r="E54" s="51" t="str">
        <f t="shared" si="13"/>
        <v/>
      </c>
      <c r="F54" s="71" t="str">
        <f t="shared" si="11"/>
        <v/>
      </c>
      <c r="G54" s="69" t="str">
        <f t="shared" si="14"/>
        <v/>
      </c>
      <c r="H54" s="70" t="str">
        <f t="shared" si="12"/>
        <v/>
      </c>
      <c r="I54" s="27" t="str">
        <f>IF(N(J54)=0,"",0&amp;"-"&amp;B$12)</f>
        <v/>
      </c>
      <c r="J54" s="52" t="str">
        <f>IF(N(B$12)=0,"",IF(AND(COUNT(H44:H55)=2,COUNT(F44:F55)=2),cubic_spline(F43:F45,H43:H45,B$12),IF(AND(COUNT(H44:H55)=3,COUNT(F44:F55)=3),cubic_spline(F43:F46,H43:H46,B$12),IF(AND(COUNT(H44:H55)=4,COUNT(F44:F55)=4),cubic_spline(F43:F47,H43:H47,B$12),IF(AND(COUNT(H44:H55)=5,COUNT(F44:F55)=5),cubic_spline(F43:F48,H43:H48,B$12),IF(AND(COUNT(H44:H55)=6,COUNT(F44:F55)=6),cubic_spline(F43:F49,H43:H49,B$12),IF(AND(COUNT(H44:H55)=7,COUNT(F44:F55)=7),cubic_spline(F43:F50,H43:H50,B$12),IF(AND(COUNT(H44:H55)=8,COUNT(F44:F55)=8),cubic_spline(F43:F51,H43:H51,B$12),IF(AND(COUNT(H44:H55)=9,COUNT(F44:F55)=9),cubic_spline(F43:F52,H43:H52,B$12),IF(AND(COUNT(H44:H55)=10,COUNT(F44:F55)=10),cubic_spline(F43:F53,H43:H53,B$12),IF(AND(COUNT(H44:H55)=11,COUNT(F44:F55)=11),cubic_spline(F43:F54,H43:H54,B$12),IF(AND(COUNT(H44:H55)=12,COUNT(F44:F55)=12),cubic_spline(F43:F55,H43:H55,B$12),""))))))))))))</f>
        <v/>
      </c>
      <c r="K54" s="52" t="str">
        <f>IF(N(B$12)=0,"",IF(AND(COUNT(A44:A55)=2,COUNT(F44:F55)=2),cubic_spline(F43:F45,A43:A45,B$12),IF(AND(COUNT(A44:A55)=3,COUNT(F44:F55)=3),cubic_spline(F43:F46,A43:A46,B$12),IF(AND(COUNT(A44:A55)=4,COUNT(F44:F55)=4),cubic_spline(F43:F47,A43:A47,B$12),IF(AND(COUNT(A44:A55)=5,COUNT(F44:F55)=5),cubic_spline(F43:F48,A43:A48,B$12),IF(AND(COUNT(A44:A55)=6,COUNT(F44:F55)=6),cubic_spline(F43:F49,A43:A49,B$12),IF(AND(COUNT(A44:A55)=7,COUNT(F44:F55)=7),cubic_spline(F43:F50,A43:A50,B$12),IF(AND(COUNT(A44:A55)=8,COUNT(F44:F55)=8),cubic_spline(F43:F51,A43:A51,B$12),IF(AND(COUNT(A44:A55)=9,COUNT(F44:F55)=9),cubic_spline(F43:F52,A43:A52,B$12),IF(AND(COUNT(A44:A55)=10,COUNT(F44:F55)=10),cubic_spline(F43:F53,A43:A53,B$12),IF(AND(COUNT(A44:A55)=11,COUNT(F44:F55)=11),cubic_spline(F43:F54,A43:A54,B$12),IF(AND(COUNT(A44:A55)=12,COUNT(F44:F55)=12),cubic_spline(F43:F55,A43:A55,B$12),""))))))))))))</f>
        <v/>
      </c>
      <c r="L54" s="27" t="str">
        <f>IF(I54="","",B$11&amp;"-"&amp;B$12)</f>
        <v/>
      </c>
      <c r="M54" s="52" t="str">
        <f t="shared" si="15"/>
        <v/>
      </c>
    </row>
    <row r="55" spans="1:13" x14ac:dyDescent="0.35">
      <c r="A55" s="48"/>
      <c r="B55" s="48"/>
      <c r="C55" s="50"/>
      <c r="D55" s="50"/>
      <c r="E55" s="51" t="str">
        <f t="shared" si="13"/>
        <v/>
      </c>
      <c r="F55" s="71" t="str">
        <f t="shared" si="11"/>
        <v/>
      </c>
      <c r="G55" s="69" t="str">
        <f t="shared" si="14"/>
        <v/>
      </c>
      <c r="H55" s="70" t="str">
        <f t="shared" si="12"/>
        <v/>
      </c>
      <c r="I55" s="27" t="str">
        <f>IF(N(J55)=0,"",0&amp;"-"&amp;B$13)</f>
        <v/>
      </c>
      <c r="J55" s="52" t="str">
        <f>IF(N(B$13)=0,"",IF(AND(COUNT(H44:H55)=2,COUNT(F44:F55)=2),cubic_spline(F43:F45,H43:H45,B$13),IF(AND(COUNT(H44:H55)=3,COUNT(F44:F55)=3),cubic_spline(F43:F46,H43:H46,B$13),IF(AND(COUNT(H44:H55)=4,COUNT(F44:F55)=4),cubic_spline(F43:F47,H43:H47,B$13),IF(AND(COUNT(H44:H55)=5,COUNT(F44:F55)=5),cubic_spline(F43:F48,H43:H48,B$13),IF(AND(COUNT(H44:H55)=6,COUNT(F44:F55)=6),cubic_spline(F43:F49,H43:H49,B$13),IF(AND(COUNT(H44:H55)=7,COUNT(F44:F55)=7),cubic_spline(F43:F50,H43:H50,B$13),IF(AND(COUNT(H44:H55)=8,COUNT(F44:F55)=8),cubic_spline(F43:F51,H43:H51,B$13),IF(AND(COUNT(H44:H55)=9,COUNT(F44:F55)=9),cubic_spline(F43:F52,H43:H52,B$13),IF(AND(COUNT(H44:H55)=10,COUNT(F44:F55)=10),cubic_spline(F43:F53,H43:H53,B$13),IF(AND(COUNT(H44:H55)=11,COUNT(F44:F55)=11),cubic_spline(F43:F54,H43:H54,B$13),IF(AND(COUNT(H44:H55)=12,COUNT(F44:F55)=12),cubic_spline(F43:F55,H43:H55,B$13),""))))))))))))</f>
        <v/>
      </c>
      <c r="K55" s="52" t="str">
        <f>IF(N(B$13)=0,"",IF(AND(COUNT(A44:A55)=2,COUNT(F44:F55)=2),cubic_spline(F43:F45,A43:A45,B$13),IF(AND(COUNT(A44:A55)=3,COUNT(F44:F55)=3),cubic_spline(F43:F46,A43:A46,B$13),IF(AND(COUNT(A44:A55)=4,COUNT(F44:F55)=4),cubic_spline(F43:F47,A43:A47,B$13),IF(AND(COUNT(A44:A55)=5,COUNT(F44:F55)=5),cubic_spline(F43:F48,A43:A48,B$13),IF(AND(COUNT(A44:A55)=6,COUNT(F44:F55)=6),cubic_spline(F43:F49,A43:A49,B$13),IF(AND(COUNT(A44:A55)=7,COUNT(F44:F55)=7),cubic_spline(F43:F50,A43:A50,B$13),IF(AND(COUNT(A44:A55)=8,COUNT(F44:F55)=8),cubic_spline(F43:F51,A43:A51,B$13),IF(AND(COUNT(A44:A55)=9,COUNT(F44:F55)=9),cubic_spline(F43:F52,A43:A52,B$13),IF(AND(COUNT(A44:A55)=10,COUNT(F44:F55)=10),cubic_spline(F43:F53,A43:A53,B$13),IF(AND(COUNT(A44:A55)=11,COUNT(F44:F55)=11),cubic_spline(F43:F54,A43:A54,B$13),IF(AND(COUNT(A44:A55)=12,COUNT(F44:F55)=12),cubic_spline(F43:F55,A43:A55,B$13),""))))))))))))</f>
        <v/>
      </c>
      <c r="L55" s="27" t="str">
        <f>IF(I55="","",B$12&amp;"-"&amp;B$13)</f>
        <v/>
      </c>
      <c r="M55" s="52" t="str">
        <f t="shared" si="15"/>
        <v/>
      </c>
    </row>
    <row r="56" spans="1:13" ht="5.15" customHeight="1" x14ac:dyDescent="0.35">
      <c r="A56" s="47"/>
      <c r="B56" s="47"/>
      <c r="C56" s="53"/>
      <c r="D56" s="53"/>
      <c r="E56" s="54"/>
      <c r="F56" s="55"/>
      <c r="G56" s="72"/>
      <c r="H56" s="73"/>
      <c r="I56" s="47"/>
      <c r="J56" s="57"/>
      <c r="K56" s="57"/>
      <c r="L56" s="55"/>
      <c r="M56" s="57"/>
    </row>
    <row r="57" spans="1:13" x14ac:dyDescent="0.35">
      <c r="A57" s="48">
        <v>8</v>
      </c>
      <c r="B57" s="48" t="s">
        <v>40</v>
      </c>
      <c r="C57" s="50">
        <v>1.0966111276315558</v>
      </c>
      <c r="D57" s="50">
        <v>20.043011842080425</v>
      </c>
      <c r="E57" s="51">
        <f>IF(N(C57)=0,"",(A57-A56)*C57*100)</f>
        <v>877.28890210524457</v>
      </c>
      <c r="F57" s="68">
        <f t="shared" ref="F57:F68" si="16">IF(N(E57)=0,"",(N(E57)+N(F56)))</f>
        <v>877.28890210524457</v>
      </c>
      <c r="G57" s="69">
        <f>IF(OR(N(D57)=0,N(E57)=0),"",(E57*D57)/1000)</f>
        <v>17.58351185382115</v>
      </c>
      <c r="H57" s="70">
        <f t="shared" ref="H57:H68" si="17">IF(N(G57)=0,"",(N(G57)+N(H56)))</f>
        <v>17.58351185382115</v>
      </c>
      <c r="I57" s="27" t="str">
        <f>IF(N(J57)=0,"",0&amp;"-"&amp;B$2)</f>
        <v>0-1000</v>
      </c>
      <c r="J57" s="52">
        <f>IF(N(B$2)=0,"",IF(AND(COUNT(H57:H68)=2,COUNT(F57:F68)=2),cubic_spline(F56:F58,H56:H58,B$2),IF(AND(COUNT(H57:H68)=3,COUNT(F57:F68)=3),cubic_spline(F56:F59,H56:H59,B$2),IF(AND(COUNT(H57:H68)=4,COUNT(F57:F68)=4),cubic_spline(F56:F60,H56:H60,B$2),IF(AND(COUNT(H57:H68)=5,COUNT(F57:F68)=5),cubic_spline(F56:F61,H56:H61,B$2),IF(AND(COUNT(H57:H68)=6,COUNT(F57:F68)=6),cubic_spline(F56:F62,H56:H62,B$2),IF(AND(COUNT(H57:H68)=7,COUNT(F57:F68)=7),cubic_spline(F56:F63,H56:H63,B$2),IF(AND(COUNT(H57:H68)=8,COUNT(F57:F68)=8),cubic_spline(F56:F64,H56:H64,B$2),IF(AND(COUNT(H57:H68)=9,COUNT(F57:F68)=9),cubic_spline(F56:F65,H56:H65,B$2),IF(AND(COUNT(H57:H68)=10,COUNT(F57:F68)=10),cubic_spline(F56:F66,H56:H66,B$2),IF(AND(COUNT(H57:H68)=11,COUNT(F57:F68)=11),cubic_spline(F56:F67,H56:H67,B$2),IF(AND(COUNT(H57:H68)=12,COUNT(F57:F68)=12),cubic_spline(F56:F68,H56:H68,B$2),""))))))))))))</f>
        <v>19.457972692717057</v>
      </c>
      <c r="K57" s="52">
        <f>IF(N(B$2)=0,"",IF(AND(COUNT(A57:A68)=2,COUNT(F57:F68)=2),cubic_spline(F56:F58,A56:A58,B$2),IF(AND(COUNT(A57:A68)=3,COUNT(F57:F68)=3),cubic_spline(F56:F59,A56:A59,B$2),IF(AND(COUNT(A57:A68)=4,COUNT(F57:F68)=4),cubic_spline(F56:F60,A56:A60,B$2),IF(AND(COUNT(A57:A68)=5,COUNT(F57:F68)=5),cubic_spline(F56:F61,A56:A61,B$2),IF(AND(COUNT(A57:A68)=6,COUNT(F57:F68)=6),cubic_spline(F56:F62,A56:A62,B$2),IF(AND(COUNT(A57:A68)=7,COUNT(F57:F68)=7),cubic_spline(F56:F63,A56:A63,B$2),IF(AND(COUNT(A57:A68)=8,COUNT(F57:F68)=8),cubic_spline(F56:F64,A56:A64,B$2),IF(AND(COUNT(A57:A68)=9,COUNT(F57:F68)=9),cubic_spline(F56:F65,A56:A65,B$2),IF(AND(COUNT(A57:A68)=10,COUNT(F57:F68)=10),cubic_spline(F56:F66,A56:A66,B$2),IF(AND(COUNT(A57:A68)=11,COUNT(F57:F68)=11),cubic_spline(F56:F67,A56:A67,B$2),IF(AND(COUNT(A57:A68)=12,COUNT(F57:F68)=12),cubic_spline(F56:F68,A56:A68,B$2),""))))))))))))</f>
        <v>8.9930826282289367</v>
      </c>
      <c r="L57" s="27" t="str">
        <f>IF(I57="","",0&amp;"-"&amp;B$2)</f>
        <v>0-1000</v>
      </c>
      <c r="M57" s="52">
        <f>IF(N(J57)=0,"",J57-J56)</f>
        <v>19.457972692717057</v>
      </c>
    </row>
    <row r="58" spans="1:13" x14ac:dyDescent="0.35">
      <c r="A58" s="48">
        <v>16</v>
      </c>
      <c r="B58" s="48" t="s">
        <v>40</v>
      </c>
      <c r="C58" s="50">
        <v>1.3668904793398045</v>
      </c>
      <c r="D58" s="50">
        <v>11.251199236039827</v>
      </c>
      <c r="E58" s="51">
        <f t="shared" ref="E58:E68" si="18">IF(N(C58)=0,"",(A58-A57)*C58*100)</f>
        <v>1093.5123834718436</v>
      </c>
      <c r="F58" s="68">
        <f t="shared" si="16"/>
        <v>1970.801285577088</v>
      </c>
      <c r="G58" s="69">
        <f t="shared" ref="G58:G68" si="19">IF(OR(N(D58)=0,N(E58)=0),"",(E58*D58)/1000)</f>
        <v>12.303325693518499</v>
      </c>
      <c r="H58" s="70">
        <f t="shared" si="17"/>
        <v>29.886837547339649</v>
      </c>
      <c r="I58" s="27" t="str">
        <f>IF(N(J58)=0,"",0&amp;"-"&amp;B$3)</f>
        <v>0-2000</v>
      </c>
      <c r="J58" s="52">
        <f>IF(N(B$3)=0,"",IF(AND(COUNT(H57:H68)=2,COUNT(F57:F68)=2),cubic_spline(F56:F58,H56:H58,B$3),IF(AND(COUNT(H57:H68)=3,COUNT(F57:F68)=3),cubic_spline(F56:F59,H56:H59,B$3),IF(AND(COUNT(H57:H68)=4,COUNT(F57:F68)=4),cubic_spline(F56:F60,H56:H60,B$3),IF(AND(COUNT(H57:H68)=5,COUNT(F57:F68)=5),cubic_spline(F56:F61,H56:H61,B$3),IF(AND(COUNT(H57:H68)=6,COUNT(F57:F68)=6),cubic_spline(F56:F62,H56:H62,B$3),IF(AND(COUNT(H57:H68)=7,COUNT(F57:F68)=7),cubic_spline(F56:F63,H56:H63,B$3),IF(AND(COUNT(H57:H68)=8,COUNT(F57:F68)=8),cubic_spline(F56:F64,H56:H64,B$3),IF(AND(COUNT(H57:H68)=9,COUNT(F57:F68)=9),cubic_spline(F56:F65,H56:H65,B$3),IF(AND(COUNT(H57:H68)=10,COUNT(F57:F68)=10),cubic_spline(F56:F66,H56:H66,B$3),IF(AND(COUNT(H57:H68)=11,COUNT(F57:F68)=11),cubic_spline(F56:F67,H56:H67,B$3),IF(AND(COUNT(H57:H68)=12,COUNT(F57:F68)=12),cubic_spline(F56:F68,H56:H68,B$3),""))))))))))))</f>
        <v>30.150542054944896</v>
      </c>
      <c r="K58" s="52">
        <f>IF(N(B$3)=0,"",IF(AND(COUNT(A57:A68)=2,COUNT(F57:F68)=2),cubic_spline(F56:F58,A56:A58,B$3),IF(AND(COUNT(A57:A68)=3,COUNT(F57:F68)=3),cubic_spline(F56:F59,A56:A59,B$3),IF(AND(COUNT(A57:A68)=4,COUNT(F57:F68)=4),cubic_spline(F56:F60,A56:A60,B$3),IF(AND(COUNT(A57:A68)=5,COUNT(F57:F68)=5),cubic_spline(F56:F61,A56:A61,B$3),IF(AND(COUNT(A57:A68)=6,COUNT(F57:F68)=6),cubic_spline(F56:F62,A56:A62,B$3),IF(AND(COUNT(A57:A68)=7,COUNT(F57:F68)=7),cubic_spline(F56:F63,A56:A63,B$3),IF(AND(COUNT(A57:A68)=8,COUNT(F57:F68)=8),cubic_spline(F56:F64,A56:A64,B$3),IF(AND(COUNT(A57:A68)=9,COUNT(F57:F68)=9),cubic_spline(F56:F65,A56:A65,B$3),IF(AND(COUNT(A57:A68)=10,COUNT(F57:F68)=10),cubic_spline(F56:F66,A56:A66,B$3),IF(AND(COUNT(A57:A68)=11,COUNT(F57:F68)=11),cubic_spline(F56:F67,A56:A67,B$3),IF(AND(COUNT(A57:A68)=12,COUNT(F57:F68)=12),cubic_spline(F56:F68,A56:A68,B$3),""))))))))))))</f>
        <v>16.205190878674689</v>
      </c>
      <c r="L58" s="27" t="str">
        <f>IF(I58="","",B$2&amp;"-"&amp;B$3)</f>
        <v>1000-2000</v>
      </c>
      <c r="M58" s="52">
        <f>IF(N(J58)=0,"",J58-J57)</f>
        <v>10.692569362227839</v>
      </c>
    </row>
    <row r="59" spans="1:13" x14ac:dyDescent="0.35">
      <c r="A59" s="48">
        <v>32</v>
      </c>
      <c r="B59" s="48" t="s">
        <v>40</v>
      </c>
      <c r="C59" s="50">
        <v>1.3668904793398045</v>
      </c>
      <c r="D59" s="50">
        <v>9.0997301001295696</v>
      </c>
      <c r="E59" s="51">
        <f t="shared" si="18"/>
        <v>2187.0247669436872</v>
      </c>
      <c r="F59" s="68">
        <f t="shared" si="16"/>
        <v>4157.8260525207752</v>
      </c>
      <c r="G59" s="69">
        <f t="shared" si="19"/>
        <v>19.901335101486325</v>
      </c>
      <c r="H59" s="70">
        <f t="shared" si="17"/>
        <v>49.788172648825977</v>
      </c>
      <c r="I59" s="27" t="str">
        <f>IF(N(J59)=0,"",0&amp;"-"&amp;B$4)</f>
        <v>0-3000</v>
      </c>
      <c r="J59" s="52">
        <f>IF(N(B$4)=0,"",IF(AND(COUNT(H57:H68)=2,COUNT(F57:F68)=2),cubic_spline(F56:F58,H56:H58,B$4),IF(AND(COUNT(H57:H68)=3,COUNT(F57:F68)=3),cubic_spline(F56:F59,H56:H59,B$4),IF(AND(COUNT(H57:H68)=4,COUNT(F57:F68)=4),cubic_spline(F56:F60,H56:H60,B$4),IF(AND(COUNT(H57:H68)=5,COUNT(F57:F68)=5),cubic_spline(F56:F61,H56:H61,B$4),IF(AND(COUNT(H57:H68)=6,COUNT(F57:F68)=6),cubic_spline(F56:F62,H56:H62,B$4),IF(AND(COUNT(H57:H68)=7,COUNT(F57:F68)=7),cubic_spline(F56:F63,H56:H63,B$4),IF(AND(COUNT(H57:H68)=8,COUNT(F57:F68)=8),cubic_spline(F56:F64,H56:H64,B$4),IF(AND(COUNT(H57:H68)=9,COUNT(F57:F68)=9),cubic_spline(F56:F65,H56:H65,B$4),IF(AND(COUNT(H57:H68)=10,COUNT(F57:F68)=10),cubic_spline(F56:F66,H56:H66,B$4),IF(AND(COUNT(H57:H68)=11,COUNT(F57:F68)=11),cubic_spline(F56:F67,H56:H67,B$4),IF(AND(COUNT(H57:H68)=12,COUNT(F57:F68)=12),cubic_spline(F56:F68,H56:H68,B$4),""))))))))))))</f>
        <v>39.377008294405513</v>
      </c>
      <c r="K59" s="52">
        <f>IF(N(B$4)=0,"",IF(AND(COUNT(A57:A68)=2,COUNT(F57:F68)=2),cubic_spline(F56:F58,A56:A58,B$4),IF(AND(COUNT(A57:A68)=3,COUNT(F57:F68)=3),cubic_spline(F56:F59,A56:A59,B$4),IF(AND(COUNT(A57:A68)=4,COUNT(F57:F68)=4),cubic_spline(F56:F60,A56:A60,B$4),IF(AND(COUNT(A57:A68)=5,COUNT(F57:F68)=5),cubic_spline(F56:F61,A56:A61,B$4),IF(AND(COUNT(A57:A68)=6,COUNT(F57:F68)=6),cubic_spline(F56:F62,A56:A62,B$4),IF(AND(COUNT(A57:A68)=7,COUNT(F57:F68)=7),cubic_spline(F56:F63,A56:A63,B$4),IF(AND(COUNT(A57:A68)=8,COUNT(F57:F68)=8),cubic_spline(F56:F64,A56:A64,B$4),IF(AND(COUNT(A57:A68)=9,COUNT(F57:F68)=9),cubic_spline(F56:F65,A56:A65,B$4),IF(AND(COUNT(A57:A68)=10,COUNT(F57:F68)=10),cubic_spline(F56:F66,A56:A66,B$4),IF(AND(COUNT(A57:A68)=11,COUNT(F57:F68)=11),cubic_spline(F56:F67,A56:A67,B$4),IF(AND(COUNT(A57:A68)=12,COUNT(F57:F68)=12),cubic_spline(F56:F68,A56:A68,B$4),""))))))))))))</f>
        <v>23.47164176091071</v>
      </c>
      <c r="L59" s="27" t="str">
        <f>IF(I59="","",B$3&amp;"-"&amp;B$4)</f>
        <v>2000-3000</v>
      </c>
      <c r="M59" s="52">
        <f>IF(N(J59)=0,"",J59-J58)</f>
        <v>9.2264662394606169</v>
      </c>
    </row>
    <row r="60" spans="1:13" x14ac:dyDescent="0.35">
      <c r="A60" s="48">
        <v>48</v>
      </c>
      <c r="B60" s="48" t="s">
        <v>40</v>
      </c>
      <c r="C60" s="50">
        <v>1.4624350909309367</v>
      </c>
      <c r="D60" s="50">
        <v>7.6507316293495897</v>
      </c>
      <c r="E60" s="51">
        <f t="shared" si="18"/>
        <v>2339.8961454894988</v>
      </c>
      <c r="F60" s="68">
        <f t="shared" si="16"/>
        <v>6497.722198010274</v>
      </c>
      <c r="G60" s="69">
        <f t="shared" si="19"/>
        <v>17.901917449689698</v>
      </c>
      <c r="H60" s="70">
        <f t="shared" si="17"/>
        <v>67.690090098515668</v>
      </c>
      <c r="I60" s="27" t="str">
        <f>IF(N(J60)=0,"",0&amp;"-"&amp;B$5)</f>
        <v>0-4000</v>
      </c>
      <c r="J60" s="52">
        <f>IF(N(B$5)=0,"",IF(AND(COUNT(H57:H68)=2,COUNT(F57:F68)=2),cubic_spline(F56:F58,H56:H58,B$5),IF(AND(COUNT(H57:H68)=3,COUNT(F57:F68)=3),cubic_spline(F56:F59,H56:H59,B$5),IF(AND(COUNT(H57:H68)=4,COUNT(F57:F68)=4),cubic_spline(F56:F60,H56:H60,B$5),IF(AND(COUNT(H57:H68)=5,COUNT(F57:F68)=5),cubic_spline(F56:F61,H56:H61,B$5),IF(AND(COUNT(H57:H68)=6,COUNT(F57:F68)=6),cubic_spline(F56:F62,H56:H62,B$5),IF(AND(COUNT(H57:H68)=7,COUNT(F57:F68)=7),cubic_spline(F56:F63,H56:H63,B$5),IF(AND(COUNT(H57:H68)=8,COUNT(F57:F68)=8),cubic_spline(F56:F64,H56:H64,B$5),IF(AND(COUNT(H57:H68)=9,COUNT(F57:F68)=9),cubic_spline(F56:F65,H56:H65,B$5),IF(AND(COUNT(H57:H68)=10,COUNT(F57:F68)=10),cubic_spline(F56:F66,H56:H66,B$5),IF(AND(COUNT(H57:H68)=11,COUNT(F57:F68)=11),cubic_spline(F56:F67,H56:H67,B$5),IF(AND(COUNT(H57:H68)=12,COUNT(F57:F68)=12),cubic_spline(F56:F68,H56:H68,B$5),""))))))))))))</f>
        <v>48.429193273882987</v>
      </c>
      <c r="K60" s="52">
        <f>IF(N(B$5)=0,"",IF(AND(COUNT(A57:A68)=2,COUNT(F57:F68)=2),cubic_spline(F56:F58,A56:A58,B$5),IF(AND(COUNT(A57:A68)=3,COUNT(F57:F68)=3),cubic_spline(F56:F59,A56:A59,B$5),IF(AND(COUNT(A57:A68)=4,COUNT(F57:F68)=4),cubic_spline(F56:F60,A56:A60,B$5),IF(AND(COUNT(A57:A68)=5,COUNT(F57:F68)=5),cubic_spline(F56:F61,A56:A61,B$5),IF(AND(COUNT(A57:A68)=6,COUNT(F57:F68)=6),cubic_spline(F56:F62,A56:A62,B$5),IF(AND(COUNT(A57:A68)=7,COUNT(F57:F68)=7),cubic_spline(F56:F63,A56:A63,B$5),IF(AND(COUNT(A57:A68)=8,COUNT(F57:F68)=8),cubic_spline(F56:F64,A56:A64,B$5),IF(AND(COUNT(A57:A68)=9,COUNT(F57:F68)=9),cubic_spline(F56:F65,A56:A65,B$5),IF(AND(COUNT(A57:A68)=10,COUNT(F57:F68)=10),cubic_spline(F56:F66,A56:A66,B$5),IF(AND(COUNT(A57:A68)=11,COUNT(F57:F68)=11),cubic_spline(F56:F67,A56:A67,B$5),IF(AND(COUNT(A57:A68)=12,COUNT(F57:F68)=12),cubic_spline(F56:F68,A56:A68,B$5),""))))))))))))</f>
        <v>30.857084793689534</v>
      </c>
      <c r="L60" s="27" t="str">
        <f>IF(I60="","",B$4&amp;"-"&amp;B$5)</f>
        <v>3000-4000</v>
      </c>
      <c r="M60" s="52">
        <f>IF(N(J60)=0,"",J60-J59)</f>
        <v>9.0521849794774738</v>
      </c>
    </row>
    <row r="61" spans="1:13" x14ac:dyDescent="0.35">
      <c r="A61" s="48"/>
      <c r="B61" s="48"/>
      <c r="C61" s="50"/>
      <c r="D61" s="50"/>
      <c r="E61" s="51" t="str">
        <f t="shared" si="18"/>
        <v/>
      </c>
      <c r="F61" s="71" t="str">
        <f t="shared" si="16"/>
        <v/>
      </c>
      <c r="G61" s="69" t="str">
        <f t="shared" si="19"/>
        <v/>
      </c>
      <c r="H61" s="70" t="str">
        <f t="shared" si="17"/>
        <v/>
      </c>
      <c r="I61" s="27" t="str">
        <f>IF(N(J61)=0,"",0&amp;"-"&amp;B$6)</f>
        <v>0-5000</v>
      </c>
      <c r="J61" s="52">
        <f>IF(N(B$6)=0,"",IF(AND(COUNT(H57:H68)=2,COUNT(F57:F68)=2),cubic_spline(F56:F58,H56:H58,B$6),IF(AND(COUNT(H57:H68)=3,COUNT(F57:F68)=3),cubic_spline(F56:F59,H56:H59,B$6),IF(AND(COUNT(H57:H68)=4,COUNT(F57:F68)=4),cubic_spline(F56:F60,H56:H60,B$6),IF(AND(COUNT(H57:H68)=5,COUNT(F57:F68)=5),cubic_spline(F56:F61,H56:H61,B$6),IF(AND(COUNT(H57:H68)=6,COUNT(F57:F68)=6),cubic_spline(F56:F62,H56:H62,B$6),IF(AND(COUNT(H57:H68)=7,COUNT(F57:F68)=7),cubic_spline(F56:F63,H56:H63,B$6),IF(AND(COUNT(H57:H68)=8,COUNT(F57:F68)=8),cubic_spline(F56:F64,H56:H64,B$6),IF(AND(COUNT(H57:H68)=9,COUNT(F57:F68)=9),cubic_spline(F56:F65,H56:H65,B$6),IF(AND(COUNT(H57:H68)=10,COUNT(F57:F68)=10),cubic_spline(F56:F66,H56:H66,B$6),IF(AND(COUNT(H57:H68)=11,COUNT(F57:F68)=11),cubic_spline(F56:F67,H56:H67,B$6),IF(AND(COUNT(H57:H68)=12,COUNT(F57:F68)=12),cubic_spline(F56:F68,H56:H68,B$6),""))))))))))))</f>
        <v>56.618113023274567</v>
      </c>
      <c r="K61" s="52">
        <f>IF(N(B$6)=0,"",IF(AND(COUNT(A57:A68)=2,COUNT(F57:F68)=2),cubic_spline(F56:F58,A56:A58,B$6),IF(AND(COUNT(A57:A68)=3,COUNT(F57:F68)=3),cubic_spline(F56:F59,A56:A59,B$6),IF(AND(COUNT(A57:A68)=4,COUNT(F57:F68)=4),cubic_spline(F56:F60,A56:A60,B$6),IF(AND(COUNT(A57:A68)=5,COUNT(F57:F68)=5),cubic_spline(F56:F61,A56:A61,B$6),IF(AND(COUNT(A57:A68)=6,COUNT(F57:F68)=6),cubic_spline(F56:F62,A56:A62,B$6),IF(AND(COUNT(A57:A68)=7,COUNT(F57:F68)=7),cubic_spline(F56:F63,A56:A63,B$6),IF(AND(COUNT(A57:A68)=8,COUNT(F57:F68)=8),cubic_spline(F56:F64,A56:A64,B$6),IF(AND(COUNT(A57:A68)=9,COUNT(F57:F68)=9),cubic_spline(F56:F65,A56:A65,B$6),IF(AND(COUNT(A57:A68)=10,COUNT(F57:F68)=10),cubic_spline(F56:F66,A56:A66,B$6),IF(AND(COUNT(A57:A68)=11,COUNT(F57:F68)=11),cubic_spline(F56:F67,A56:A67,B$6),IF(AND(COUNT(A57:A68)=12,COUNT(F57:F68)=12),cubic_spline(F56:F68,A56:A68,B$6),""))))))))))))</f>
        <v>37.921618105831662</v>
      </c>
      <c r="L61" s="27" t="str">
        <f>IF(I61="","",B$5&amp;"-"&amp;B$6)</f>
        <v>4000-5000</v>
      </c>
      <c r="M61" s="52">
        <f>IF(N(J61)=0,"",J61-J60)</f>
        <v>8.1889197493915802</v>
      </c>
    </row>
    <row r="62" spans="1:13" x14ac:dyDescent="0.35">
      <c r="A62" s="48"/>
      <c r="B62" s="48"/>
      <c r="C62" s="50"/>
      <c r="D62" s="50"/>
      <c r="E62" s="51" t="str">
        <f t="shared" si="18"/>
        <v/>
      </c>
      <c r="F62" s="71" t="str">
        <f t="shared" si="16"/>
        <v/>
      </c>
      <c r="G62" s="69" t="str">
        <f t="shared" si="19"/>
        <v/>
      </c>
      <c r="H62" s="70" t="str">
        <f t="shared" si="17"/>
        <v/>
      </c>
      <c r="I62" s="27" t="str">
        <f>IF(N(J62)=0,"",0&amp;"-"&amp;B$7)</f>
        <v>0-6000</v>
      </c>
      <c r="J62" s="52">
        <f>IF(N(B$7)=0,"",IF(AND(COUNT(H57:H68)=2,COUNT(F57:F68)=2),cubic_spline(F56:F58,H56:H58,B$7),IF(AND(COUNT(H57:H68)=3,COUNT(F57:F68)=3),cubic_spline(F56:F59,H56:H59,B$7),IF(AND(COUNT(H57:H68)=4,COUNT(F57:F68)=4),cubic_spline(F56:F60,H56:H60,B$7),IF(AND(COUNT(H57:H68)=5,COUNT(F57:F68)=5),cubic_spline(F56:F61,H56:H61,B$7),IF(AND(COUNT(H57:H68)=6,COUNT(F57:F68)=6),cubic_spline(F56:F62,H56:H62,B$7),IF(AND(COUNT(H57:H68)=7,COUNT(F57:F68)=7),cubic_spline(F56:F63,H56:H63,B$7),IF(AND(COUNT(H57:H68)=8,COUNT(F57:F68)=8),cubic_spline(F56:F64,H56:H64,B$7),IF(AND(COUNT(H57:H68)=9,COUNT(F57:F68)=9),cubic_spline(F56:F65,H56:H65,B$7),IF(AND(COUNT(H57:H68)=10,COUNT(F57:F68)=10),cubic_spline(F56:F66,H56:H66,B$7),IF(AND(COUNT(H57:H68)=11,COUNT(F57:F68)=11),cubic_spline(F56:F67,H56:H67,B$7),IF(AND(COUNT(H57:H68)=12,COUNT(F57:F68)=12),cubic_spline(F56:F68,H56:H68,B$7),""))))))))))))</f>
        <v>64.089996077563342</v>
      </c>
      <c r="K62" s="52">
        <f>IF(N(B$7)=0,"",IF(AND(COUNT(A57:A68)=2,COUNT(F57:F68)=2),cubic_spline(F56:F58,A56:A58,B$7),IF(AND(COUNT(A57:A68)=3,COUNT(F57:F68)=3),cubic_spline(F56:F59,A56:A59,B$7),IF(AND(COUNT(A57:A68)=4,COUNT(F57:F68)=4),cubic_spline(F56:F60,A56:A60,B$7),IF(AND(COUNT(A57:A68)=5,COUNT(F57:F68)=5),cubic_spline(F56:F61,A56:A61,B$7),IF(AND(COUNT(A57:A68)=6,COUNT(F57:F68)=6),cubic_spline(F56:F62,A56:A62,B$7),IF(AND(COUNT(A57:A68)=7,COUNT(F57:F68)=7),cubic_spline(F56:F63,A56:A63,B$7),IF(AND(COUNT(A57:A68)=8,COUNT(F57:F68)=8),cubic_spline(F56:F64,A56:A64,B$7),IF(AND(COUNT(A57:A68)=9,COUNT(F57:F68)=9),cubic_spline(F56:F65,A56:A65,B$7),IF(AND(COUNT(A57:A68)=10,COUNT(F57:F68)=10),cubic_spline(F56:F66,A56:A66,B$7),IF(AND(COUNT(A57:A68)=11,COUNT(F57:F68)=11),cubic_spline(F56:F67,A56:A67,B$7),IF(AND(COUNT(A57:A68)=12,COUNT(F57:F68)=12),cubic_spline(F56:F68,A56:A68,B$7),""))))))))))))</f>
        <v>44.684183566660096</v>
      </c>
      <c r="L62" s="27" t="str">
        <f>IF(I62="","",B$6&amp;"-"&amp;B$7)</f>
        <v>5000-6000</v>
      </c>
      <c r="M62" s="52">
        <f t="shared" ref="M62:M68" si="20">IF(N(J62)=0,"",J62-J61)</f>
        <v>7.4718830542887744</v>
      </c>
    </row>
    <row r="63" spans="1:13" x14ac:dyDescent="0.35">
      <c r="A63" s="48"/>
      <c r="B63" s="48"/>
      <c r="C63" s="50"/>
      <c r="D63" s="50"/>
      <c r="E63" s="51" t="str">
        <f t="shared" si="18"/>
        <v/>
      </c>
      <c r="F63" s="71" t="str">
        <f t="shared" si="16"/>
        <v/>
      </c>
      <c r="G63" s="69" t="str">
        <f t="shared" si="19"/>
        <v/>
      </c>
      <c r="H63" s="70" t="str">
        <f t="shared" si="17"/>
        <v/>
      </c>
      <c r="I63" s="27" t="str">
        <f>IF(N(J63)=0,"",0&amp;"-"&amp;B$8)</f>
        <v/>
      </c>
      <c r="J63" s="52" t="str">
        <f>IF(N(B$8)=0,"",IF(AND(COUNT(H57:H68)=2,COUNT(F57:F68)=2),cubic_spline(F56:F58,H56:H58,B$8),IF(AND(COUNT(H57:H68)=3,COUNT(F57:F68)=3),cubic_spline(F56:F59,H56:H59,B$8),IF(AND(COUNT(H57:H68)=4,COUNT(F57:F68)=4),cubic_spline(F56:F60,H56:H60,B$8),IF(AND(COUNT(H57:H68)=5,COUNT(F57:F68)=5),cubic_spline(F56:F61,H56:H61,B$8),IF(AND(COUNT(H57:H68)=6,COUNT(F57:F68)=6),cubic_spline(F56:F62,H56:H62,B$8),IF(AND(COUNT(H57:H68)=7,COUNT(F57:F68)=7),cubic_spline(F56:F63,H56:H63,B$8),IF(AND(COUNT(H57:H68)=8,COUNT(F57:F68)=8),cubic_spline(F56:F64,H56:H64,B$8),IF(AND(COUNT(H57:H68)=9,COUNT(F57:F68)=9),cubic_spline(F56:F65,H56:H65,B$8),IF(AND(COUNT(H57:H68)=10,COUNT(F57:F68)=10),cubic_spline(F56:F66,H56:H66,B$8),IF(AND(COUNT(H57:H68)=11,COUNT(F57:F68)=11),cubic_spline(F56:F67,H56:H67,B$8),IF(AND(COUNT(H57:H68)=12,COUNT(F57:F68)=12),cubic_spline(F56:F68,H56:H68,B$8),""))))))))))))</f>
        <v/>
      </c>
      <c r="K63" s="52" t="str">
        <f>IF(N(B$8)=0,"",IF(AND(COUNT(A57:A68)=2,COUNT(F57:F68)=2),cubic_spline(F56:F58,A56:A58,B$8),IF(AND(COUNT(A57:A68)=3,COUNT(F57:F68)=3),cubic_spline(F56:F59,A56:A59,B$8),IF(AND(COUNT(A57:A68)=4,COUNT(F57:F68)=4),cubic_spline(F56:F60,A56:A60,B$8),IF(AND(COUNT(A57:A68)=5,COUNT(F57:F68)=5),cubic_spline(F56:F61,A56:A61,B$8),IF(AND(COUNT(A57:A68)=6,COUNT(F57:F68)=6),cubic_spline(F56:F62,A56:A62,B$8),IF(AND(COUNT(A57:A68)=7,COUNT(F57:F68)=7),cubic_spline(F56:F63,A56:A63,B$8),IF(AND(COUNT(A57:A68)=8,COUNT(F57:F68)=8),cubic_spline(F56:F64,A56:A64,B$8),IF(AND(COUNT(A57:A68)=9,COUNT(F57:F68)=9),cubic_spline(F56:F65,A56:A65,B$8),IF(AND(COUNT(A57:A68)=10,COUNT(F57:F68)=10),cubic_spline(F56:F66,A56:A66,B$8),IF(AND(COUNT(A57:A68)=11,COUNT(F57:F68)=11),cubic_spline(F56:F67,A56:A67,B$8),IF(AND(COUNT(A57:A68)=12,COUNT(F57:F68)=12),cubic_spline(F56:F68,A56:A68,B$8),""))))))))))))</f>
        <v/>
      </c>
      <c r="L63" s="27" t="str">
        <f>IF(I63="","",B$7&amp;"-"&amp;B$8)</f>
        <v/>
      </c>
      <c r="M63" s="52" t="str">
        <f t="shared" si="20"/>
        <v/>
      </c>
    </row>
    <row r="64" spans="1:13" x14ac:dyDescent="0.35">
      <c r="A64" s="48"/>
      <c r="B64" s="48"/>
      <c r="C64" s="50"/>
      <c r="D64" s="50"/>
      <c r="E64" s="51" t="str">
        <f t="shared" si="18"/>
        <v/>
      </c>
      <c r="F64" s="71" t="str">
        <f t="shared" si="16"/>
        <v/>
      </c>
      <c r="G64" s="69" t="str">
        <f t="shared" si="19"/>
        <v/>
      </c>
      <c r="H64" s="70" t="str">
        <f t="shared" si="17"/>
        <v/>
      </c>
      <c r="I64" s="27" t="str">
        <f>IF(N(J64)=0,"",0&amp;"-"&amp;B$9)</f>
        <v/>
      </c>
      <c r="J64" s="52" t="str">
        <f>IF(N(B$9)=0,"",IF(AND(COUNT(H57:H68)=2,COUNT(F57:F68)=2),cubic_spline(F56:F58,H56:H58,B$9),IF(AND(COUNT(H57:H68)=3,COUNT(F57:F68)=3),cubic_spline(F56:F59,H56:H59,B$9),IF(AND(COUNT(H57:H68)=4,COUNT(F57:F68)=4),cubic_spline(F56:F60,H56:H60,B$9),IF(AND(COUNT(H57:H68)=5,COUNT(F57:F68)=5),cubic_spline(F56:F61,H56:H61,B$9),IF(AND(COUNT(H57:H68)=6,COUNT(F57:F68)=6),cubic_spline(F56:F62,H56:H62,B$9),IF(AND(COUNT(H57:H68)=7,COUNT(F57:F68)=7),cubic_spline(F56:F63,H56:H63,B$9),IF(AND(COUNT(H57:H68)=8,COUNT(F57:F68)=8),cubic_spline(F56:F64,H56:H64,B$9),IF(AND(COUNT(H57:H68)=9,COUNT(F57:F68)=9),cubic_spline(F56:F65,H56:H65,B$9),IF(AND(COUNT(H57:H68)=10,COUNT(F57:F68)=10),cubic_spline(F56:F66,H56:H66,B$9),IF(AND(COUNT(H57:H68)=11,COUNT(F57:F68)=11),cubic_spline(F56:F67,H56:H67,B$9),IF(AND(COUNT(H57:H68)=12,COUNT(F57:F68)=12),cubic_spline(F56:F68,H56:H68,B$9),""))))))))))))</f>
        <v/>
      </c>
      <c r="K64" s="52" t="str">
        <f>IF(N(B$9)=0,"",IF(AND(COUNT(A57:A68)=2,COUNT(F57:F68)=2),cubic_spline(F56:F58,A56:A58,B$9),IF(AND(COUNT(A57:A68)=3,COUNT(F57:F68)=3),cubic_spline(F56:F59,A56:A59,B$9),IF(AND(COUNT(A57:A68)=4,COUNT(F57:F68)=4),cubic_spline(F56:F60,A56:A60,B$9),IF(AND(COUNT(A57:A68)=5,COUNT(F57:F68)=5),cubic_spline(F56:F61,A56:A61,B$9),IF(AND(COUNT(A57:A68)=6,COUNT(F57:F68)=6),cubic_spline(F56:F62,A56:A62,B$9),IF(AND(COUNT(A57:A68)=7,COUNT(F57:F68)=7),cubic_spline(F56:F63,A56:A63,B$9),IF(AND(COUNT(A57:A68)=8,COUNT(F57:F68)=8),cubic_spline(F56:F64,A56:A64,B$9),IF(AND(COUNT(A57:A68)=9,COUNT(F57:F68)=9),cubic_spline(F56:F65,A56:A65,B$9),IF(AND(COUNT(A57:A68)=10,COUNT(F57:F68)=10),cubic_spline(F56:F66,A56:A66,B$9),IF(AND(COUNT(A57:A68)=11,COUNT(F57:F68)=11),cubic_spline(F56:F67,A56:A67,B$9),IF(AND(COUNT(A57:A68)=12,COUNT(F57:F68)=12),cubic_spline(F56:F68,A56:A68,B$9),""))))))))))))</f>
        <v/>
      </c>
      <c r="L64" s="27" t="str">
        <f>IF(I64="","",B$8&amp;"-"&amp;B$9)</f>
        <v/>
      </c>
      <c r="M64" s="52" t="str">
        <f t="shared" si="20"/>
        <v/>
      </c>
    </row>
    <row r="65" spans="1:13" x14ac:dyDescent="0.35">
      <c r="A65" s="48"/>
      <c r="B65" s="48"/>
      <c r="C65" s="50"/>
      <c r="D65" s="50"/>
      <c r="E65" s="51" t="str">
        <f t="shared" si="18"/>
        <v/>
      </c>
      <c r="F65" s="71" t="str">
        <f t="shared" si="16"/>
        <v/>
      </c>
      <c r="G65" s="69" t="str">
        <f t="shared" si="19"/>
        <v/>
      </c>
      <c r="H65" s="70" t="str">
        <f t="shared" si="17"/>
        <v/>
      </c>
      <c r="I65" s="27" t="str">
        <f>IF(N(J65)=0,"",0&amp;"-"&amp;B$10)</f>
        <v/>
      </c>
      <c r="J65" s="52" t="str">
        <f>IF(N(B$10)=0,"",IF(AND(COUNT(H57:H68)=2,COUNT(F57:F68)=2),cubic_spline(F56:F58,H56:H58,B$10),IF(AND(COUNT(H57:H68)=3,COUNT(F57:F68)=3),cubic_spline(F56:F59,H56:H59,B$10),IF(AND(COUNT(H57:H68)=4,COUNT(F57:F68)=4),cubic_spline(F56:F60,H56:H60,B$10),IF(AND(COUNT(H57:H68)=5,COUNT(F57:F68)=5),cubic_spline(F56:F61,H56:H61,B$10),IF(AND(COUNT(H57:H68)=6,COUNT(F57:F68)=6),cubic_spline(F56:F62,H56:H62,B$10),IF(AND(COUNT(H57:H68)=7,COUNT(F57:F68)=7),cubic_spline(F56:F63,H56:H63,B$10),IF(AND(COUNT(H57:H68)=8,COUNT(F57:F68)=8),cubic_spline(F56:F64,H56:H64,B$10),IF(AND(COUNT(H57:H68)=9,COUNT(F57:F68)=9),cubic_spline(F56:F65,H56:H65,B$10),IF(AND(COUNT(H57:H68)=10,COUNT(F57:F68)=10),cubic_spline(F56:F66,H56:H66,B$10),IF(AND(COUNT(H57:H68)=11,COUNT(F57:F68)=11),cubic_spline(F56:F67,H56:H67,B$10),IF(AND(COUNT(H57:H68)=12,COUNT(F57:F68)=12),cubic_spline(F56:F68,H56:H68,B$10),""))))))))))))</f>
        <v/>
      </c>
      <c r="K65" s="52" t="str">
        <f>IF(N(B$10)=0,"",IF(AND(COUNT(A57:A68)=2,COUNT(F57:F68)=2),cubic_spline(F56:F58,A56:A58,B$10),IF(AND(COUNT(A57:A68)=3,COUNT(F57:F68)=3),cubic_spline(F56:F59,A56:A59,B$10),IF(AND(COUNT(A57:A68)=4,COUNT(F57:F68)=4),cubic_spline(F56:F60,A56:A60,B$10),IF(AND(COUNT(A57:A68)=5,COUNT(F57:F68)=5),cubic_spline(F56:F61,A56:A61,B$10),IF(AND(COUNT(A57:A68)=6,COUNT(F57:F68)=6),cubic_spline(F56:F62,A56:A62,B$10),IF(AND(COUNT(A57:A68)=7,COUNT(F57:F68)=7),cubic_spline(F56:F63,A56:A63,B$10),IF(AND(COUNT(A57:A68)=8,COUNT(F57:F68)=8),cubic_spline(F56:F64,A56:A64,B$10),IF(AND(COUNT(A57:A68)=9,COUNT(F57:F68)=9),cubic_spline(F56:F65,A56:A65,B$10),IF(AND(COUNT(A57:A68)=10,COUNT(F57:F68)=10),cubic_spline(F56:F66,A56:A66,B$10),IF(AND(COUNT(A57:A68)=11,COUNT(F57:F68)=11),cubic_spline(F56:F67,A56:A67,B$10),IF(AND(COUNT(A57:A68)=12,COUNT(F57:F68)=12),cubic_spline(F56:F68,A56:A68,B$10),""))))))))))))</f>
        <v/>
      </c>
      <c r="L65" s="27" t="str">
        <f>IF(I65="","",B$9&amp;"-"&amp;B$10)</f>
        <v/>
      </c>
      <c r="M65" s="52" t="str">
        <f t="shared" si="20"/>
        <v/>
      </c>
    </row>
    <row r="66" spans="1:13" x14ac:dyDescent="0.35">
      <c r="A66" s="48"/>
      <c r="B66" s="48"/>
      <c r="C66" s="50"/>
      <c r="D66" s="50"/>
      <c r="E66" s="51" t="str">
        <f t="shared" si="18"/>
        <v/>
      </c>
      <c r="F66" s="71" t="str">
        <f t="shared" si="16"/>
        <v/>
      </c>
      <c r="G66" s="69" t="str">
        <f t="shared" si="19"/>
        <v/>
      </c>
      <c r="H66" s="70" t="str">
        <f t="shared" si="17"/>
        <v/>
      </c>
      <c r="I66" s="27" t="str">
        <f>IF(N(J66)=0,"",0&amp;"-"&amp;B$11)</f>
        <v/>
      </c>
      <c r="J66" s="52" t="str">
        <f>IF(N(B$11)=0,"",IF(AND(COUNT(H57:H68)=2,COUNT(F57:F68)=2),cubic_spline(F56:F58,H56:H58,B$11),IF(AND(COUNT(H57:H68)=3,COUNT(F57:F68)=3),cubic_spline(F56:F59,H56:H59,B$11),IF(AND(COUNT(H57:H68)=4,COUNT(F57:F68)=4),cubic_spline(F56:F60,H56:H60,B$11),IF(AND(COUNT(H57:H68)=5,COUNT(F57:F68)=5),cubic_spline(F56:F61,H56:H61,B$11),IF(AND(COUNT(H57:H68)=6,COUNT(F57:F68)=6),cubic_spline(F56:F62,H56:H62,B$11),IF(AND(COUNT(H57:H68)=7,COUNT(F57:F68)=7),cubic_spline(F56:F63,H56:H63,B$11),IF(AND(COUNT(H57:H68)=8,COUNT(F57:F68)=8),cubic_spline(F56:F64,H56:H64,B$11),IF(AND(COUNT(H57:H68)=9,COUNT(F57:F68)=9),cubic_spline(F56:F65,H56:H65,B$11),IF(AND(COUNT(H57:H68)=10,COUNT(F57:F68)=10),cubic_spline(F56:F66,H56:H66,B$11),IF(AND(COUNT(H57:H68)=11,COUNT(F57:F68)=11),cubic_spline(F56:F67,H56:H67,B$11),IF(AND(COUNT(H57:H68)=12,COUNT(F57:F68)=12),cubic_spline(F56:F68,H56:H68,B$11),""))))))))))))</f>
        <v/>
      </c>
      <c r="K66" s="52" t="str">
        <f>IF(N(B$11)=0,"",IF(AND(COUNT(A57:A68)=2,COUNT(F57:F68)=2),cubic_spline(F56:F58,A56:A58,B$11),IF(AND(COUNT(A57:A68)=3,COUNT(F57:F68)=3),cubic_spline(F56:F59,A56:A59,B$11),IF(AND(COUNT(A57:A68)=4,COUNT(F57:F68)=4),cubic_spline(F56:F60,A56:A60,B$11),IF(AND(COUNT(A57:A68)=5,COUNT(F57:F68)=5),cubic_spline(F56:F61,A56:A61,B$11),IF(AND(COUNT(A57:A68)=6,COUNT(F57:F68)=6),cubic_spline(F56:F62,A56:A62,B$11),IF(AND(COUNT(A57:A68)=7,COUNT(F57:F68)=7),cubic_spline(F56:F63,A56:A63,B$11),IF(AND(COUNT(A57:A68)=8,COUNT(F57:F68)=8),cubic_spline(F56:F64,A56:A64,B$11),IF(AND(COUNT(A57:A68)=9,COUNT(F57:F68)=9),cubic_spline(F56:F65,A56:A65,B$11),IF(AND(COUNT(A57:A68)=10,COUNT(F57:F68)=10),cubic_spline(F56:F66,A56:A66,B$11),IF(AND(COUNT(A57:A68)=11,COUNT(F57:F68)=11),cubic_spline(F56:F67,A56:A67,B$11),IF(AND(COUNT(A57:A68)=12,COUNT(F57:F68)=12),cubic_spline(F56:F68,A56:A68,B$11),""))))))))))))</f>
        <v/>
      </c>
      <c r="L66" s="27" t="str">
        <f>IF(I66="","",B$10&amp;"-"&amp;B$11)</f>
        <v/>
      </c>
      <c r="M66" s="52" t="str">
        <f t="shared" si="20"/>
        <v/>
      </c>
    </row>
    <row r="67" spans="1:13" x14ac:dyDescent="0.35">
      <c r="A67" s="48"/>
      <c r="B67" s="48"/>
      <c r="C67" s="50"/>
      <c r="D67" s="50"/>
      <c r="E67" s="51" t="str">
        <f t="shared" si="18"/>
        <v/>
      </c>
      <c r="F67" s="71" t="str">
        <f t="shared" si="16"/>
        <v/>
      </c>
      <c r="G67" s="69" t="str">
        <f t="shared" si="19"/>
        <v/>
      </c>
      <c r="H67" s="70" t="str">
        <f t="shared" si="17"/>
        <v/>
      </c>
      <c r="I67" s="27" t="str">
        <f>IF(N(J67)=0,"",0&amp;"-"&amp;B$12)</f>
        <v/>
      </c>
      <c r="J67" s="52" t="str">
        <f>IF(N(B$12)=0,"",IF(AND(COUNT(H57:H68)=2,COUNT(F57:F68)=2),cubic_spline(F56:F58,H56:H58,B$12),IF(AND(COUNT(H57:H68)=3,COUNT(F57:F68)=3),cubic_spline(F56:F59,H56:H59,B$12),IF(AND(COUNT(H57:H68)=4,COUNT(F57:F68)=4),cubic_spline(F56:F60,H56:H60,B$12),IF(AND(COUNT(H57:H68)=5,COUNT(F57:F68)=5),cubic_spline(F56:F61,H56:H61,B$12),IF(AND(COUNT(H57:H68)=6,COUNT(F57:F68)=6),cubic_spline(F56:F62,H56:H62,B$12),IF(AND(COUNT(H57:H68)=7,COUNT(F57:F68)=7),cubic_spline(F56:F63,H56:H63,B$12),IF(AND(COUNT(H57:H68)=8,COUNT(F57:F68)=8),cubic_spline(F56:F64,H56:H64,B$12),IF(AND(COUNT(H57:H68)=9,COUNT(F57:F68)=9),cubic_spline(F56:F65,H56:H65,B$12),IF(AND(COUNT(H57:H68)=10,COUNT(F57:F68)=10),cubic_spline(F56:F66,H56:H66,B$12),IF(AND(COUNT(H57:H68)=11,COUNT(F57:F68)=11),cubic_spline(F56:F67,H56:H67,B$12),IF(AND(COUNT(H57:H68)=12,COUNT(F57:F68)=12),cubic_spline(F56:F68,H56:H68,B$12),""))))))))))))</f>
        <v/>
      </c>
      <c r="K67" s="52" t="str">
        <f>IF(N(B$12)=0,"",IF(AND(COUNT(A57:A68)=2,COUNT(F57:F68)=2),cubic_spline(F56:F58,A56:A58,B$12),IF(AND(COUNT(A57:A68)=3,COUNT(F57:F68)=3),cubic_spline(F56:F59,A56:A59,B$12),IF(AND(COUNT(A57:A68)=4,COUNT(F57:F68)=4),cubic_spline(F56:F60,A56:A60,B$12),IF(AND(COUNT(A57:A68)=5,COUNT(F57:F68)=5),cubic_spline(F56:F61,A56:A61,B$12),IF(AND(COUNT(A57:A68)=6,COUNT(F57:F68)=6),cubic_spline(F56:F62,A56:A62,B$12),IF(AND(COUNT(A57:A68)=7,COUNT(F57:F68)=7),cubic_spline(F56:F63,A56:A63,B$12),IF(AND(COUNT(A57:A68)=8,COUNT(F57:F68)=8),cubic_spline(F56:F64,A56:A64,B$12),IF(AND(COUNT(A57:A68)=9,COUNT(F57:F68)=9),cubic_spline(F56:F65,A56:A65,B$12),IF(AND(COUNT(A57:A68)=10,COUNT(F57:F68)=10),cubic_spline(F56:F66,A56:A66,B$12),IF(AND(COUNT(A57:A68)=11,COUNT(F57:F68)=11),cubic_spline(F56:F67,A56:A67,B$12),IF(AND(COUNT(A57:A68)=12,COUNT(F57:F68)=12),cubic_spline(F56:F68,A56:A68,B$12),""))))))))))))</f>
        <v/>
      </c>
      <c r="L67" s="27" t="str">
        <f>IF(I67="","",B$11&amp;"-"&amp;B$12)</f>
        <v/>
      </c>
      <c r="M67" s="52" t="str">
        <f t="shared" si="20"/>
        <v/>
      </c>
    </row>
    <row r="68" spans="1:13" x14ac:dyDescent="0.35">
      <c r="A68" s="48"/>
      <c r="B68" s="48"/>
      <c r="C68" s="50"/>
      <c r="D68" s="50"/>
      <c r="E68" s="51" t="str">
        <f t="shared" si="18"/>
        <v/>
      </c>
      <c r="F68" s="71" t="str">
        <f t="shared" si="16"/>
        <v/>
      </c>
      <c r="G68" s="69" t="str">
        <f t="shared" si="19"/>
        <v/>
      </c>
      <c r="H68" s="70" t="str">
        <f t="shared" si="17"/>
        <v/>
      </c>
      <c r="I68" s="27" t="str">
        <f>IF(N(J68)=0,"",0&amp;"-"&amp;B$13)</f>
        <v/>
      </c>
      <c r="J68" s="52" t="str">
        <f>IF(N(B$13)=0,"",IF(AND(COUNT(H57:H68)=2,COUNT(F57:F68)=2),cubic_spline(F56:F58,H56:H58,B$13),IF(AND(COUNT(H57:H68)=3,COUNT(F57:F68)=3),cubic_spline(F56:F59,H56:H59,B$13),IF(AND(COUNT(H57:H68)=4,COUNT(F57:F68)=4),cubic_spline(F56:F60,H56:H60,B$13),IF(AND(COUNT(H57:H68)=5,COUNT(F57:F68)=5),cubic_spline(F56:F61,H56:H61,B$13),IF(AND(COUNT(H57:H68)=6,COUNT(F57:F68)=6),cubic_spline(F56:F62,H56:H62,B$13),IF(AND(COUNT(H57:H68)=7,COUNT(F57:F68)=7),cubic_spline(F56:F63,H56:H63,B$13),IF(AND(COUNT(H57:H68)=8,COUNT(F57:F68)=8),cubic_spline(F56:F64,H56:H64,B$13),IF(AND(COUNT(H57:H68)=9,COUNT(F57:F68)=9),cubic_spline(F56:F65,H56:H65,B$13),IF(AND(COUNT(H57:H68)=10,COUNT(F57:F68)=10),cubic_spline(F56:F66,H56:H66,B$13),IF(AND(COUNT(H57:H68)=11,COUNT(F57:F68)=11),cubic_spline(F56:F67,H56:H67,B$13),IF(AND(COUNT(H57:H68)=12,COUNT(F57:F68)=12),cubic_spline(F56:F68,H56:H68,B$13),""))))))))))))</f>
        <v/>
      </c>
      <c r="K68" s="52" t="str">
        <f>IF(N(B$13)=0,"",IF(AND(COUNT(A57:A68)=2,COUNT(F57:F68)=2),cubic_spline(F56:F58,A56:A58,B$13),IF(AND(COUNT(A57:A68)=3,COUNT(F57:F68)=3),cubic_spline(F56:F59,A56:A59,B$13),IF(AND(COUNT(A57:A68)=4,COUNT(F57:F68)=4),cubic_spline(F56:F60,A56:A60,B$13),IF(AND(COUNT(A57:A68)=5,COUNT(F57:F68)=5),cubic_spline(F56:F61,A56:A61,B$13),IF(AND(COUNT(A57:A68)=6,COUNT(F57:F68)=6),cubic_spline(F56:F62,A56:A62,B$13),IF(AND(COUNT(A57:A68)=7,COUNT(F57:F68)=7),cubic_spline(F56:F63,A56:A63,B$13),IF(AND(COUNT(A57:A68)=8,COUNT(F57:F68)=8),cubic_spline(F56:F64,A56:A64,B$13),IF(AND(COUNT(A57:A68)=9,COUNT(F57:F68)=9),cubic_spline(F56:F65,A56:A65,B$13),IF(AND(COUNT(A57:A68)=10,COUNT(F57:F68)=10),cubic_spline(F56:F66,A56:A66,B$13),IF(AND(COUNT(A57:A68)=11,COUNT(F57:F68)=11),cubic_spline(F56:F67,A56:A67,B$13),IF(AND(COUNT(A57:A68)=12,COUNT(F57:F68)=12),cubic_spline(F56:F68,A56:A68,B$13),""))))))))))))</f>
        <v/>
      </c>
      <c r="L68" s="27" t="str">
        <f>IF(I68="","",B$12&amp;"-"&amp;B$13)</f>
        <v/>
      </c>
      <c r="M68" s="52" t="str">
        <f t="shared" si="20"/>
        <v/>
      </c>
    </row>
    <row r="69" spans="1:13" ht="5.15" customHeight="1" x14ac:dyDescent="0.35">
      <c r="A69" s="47"/>
      <c r="B69" s="47"/>
      <c r="C69" s="53"/>
      <c r="D69" s="53"/>
      <c r="E69" s="54"/>
      <c r="F69" s="55"/>
      <c r="G69" s="72"/>
      <c r="H69" s="73"/>
      <c r="I69" s="47"/>
      <c r="J69" s="57"/>
      <c r="K69" s="57"/>
      <c r="L69" s="55"/>
      <c r="M69" s="57"/>
    </row>
    <row r="70" spans="1:13" x14ac:dyDescent="0.35">
      <c r="A70" s="48">
        <v>8</v>
      </c>
      <c r="B70" s="48" t="s">
        <v>41</v>
      </c>
      <c r="C70" s="50">
        <v>1.080256644566407</v>
      </c>
      <c r="D70" s="50">
        <v>19.879660587333586</v>
      </c>
      <c r="E70" s="51">
        <f>IF(N(C70)=0,"",(A70-A69)*C70*100)</f>
        <v>864.20531565312558</v>
      </c>
      <c r="F70" s="68">
        <f t="shared" ref="F70:F81" si="21">IF(N(E70)=0,"",(N(E70)+N(F69)))</f>
        <v>864.20531565312558</v>
      </c>
      <c r="G70" s="69">
        <f>IF(OR(N(D70)=0,N(E70)=0),"",(E70*D70)/1000)</f>
        <v>17.180108352953624</v>
      </c>
      <c r="H70" s="70">
        <f t="shared" ref="H70:H81" si="22">IF(N(G70)=0,"",(N(G70)+N(H69)))</f>
        <v>17.180108352953624</v>
      </c>
      <c r="I70" s="27" t="str">
        <f>IF(N(J70)=0,"",0&amp;"-"&amp;B$2)</f>
        <v>0-1000</v>
      </c>
      <c r="J70" s="52">
        <f>IF(N(B$2)=0,"",IF(AND(COUNT(H70:H81)=2,COUNT(F70:F81)=2),cubic_spline(F69:F71,H69:H71,B$2),IF(AND(COUNT(H70:H81)=3,COUNT(F70:F81)=3),cubic_spline(F69:F72,H69:H72,B$2),IF(AND(COUNT(H70:H81)=4,COUNT(F70:F81)=4),cubic_spline(F69:F73,H69:H73,B$2),IF(AND(COUNT(H70:H81)=5,COUNT(F70:F81)=5),cubic_spline(F69:F74,H69:H74,B$2),IF(AND(COUNT(H70:H81)=6,COUNT(F70:F81)=6),cubic_spline(F69:F75,H69:H75,B$2),IF(AND(COUNT(H70:H81)=7,COUNT(F70:F81)=7),cubic_spline(F69:F76,H69:H76,B$2),IF(AND(COUNT(H70:H81)=8,COUNT(F70:F81)=8),cubic_spline(F69:F77,H69:H77,B$2),IF(AND(COUNT(H70:H81)=9,COUNT(F70:F81)=9),cubic_spline(F69:F78,H69:H78,B$2),IF(AND(COUNT(H70:H81)=10,COUNT(F70:F81)=10),cubic_spline(F69:F79,H69:H79,B$2),IF(AND(COUNT(H70:H81)=11,COUNT(F70:F81)=11),cubic_spline(F69:F80,H69:H80,B$2),IF(AND(COUNT(H70:H81)=12,COUNT(F70:F81)=12),cubic_spline(F69:F81,H69:H81,B$2),""))))))))))))</f>
        <v>19.132086218443479</v>
      </c>
      <c r="K70" s="52">
        <f>IF(N(B$2)=0,"",IF(AND(COUNT(A70:A81)=2,COUNT(F70:F81)=2),cubic_spline(F69:F71,A69:A71,B$2),IF(AND(COUNT(A70:A81)=3,COUNT(F70:F81)=3),cubic_spline(F69:F72,A69:A72,B$2),IF(AND(COUNT(A70:A81)=4,COUNT(F70:F81)=4),cubic_spline(F69:F73,A69:A73,B$2),IF(AND(COUNT(A70:A81)=5,COUNT(F70:F81)=5),cubic_spline(F69:F74,A69:A74,B$2),IF(AND(COUNT(A70:A81)=6,COUNT(F70:F81)=6),cubic_spline(F69:F75,A69:A75,B$2),IF(AND(COUNT(A70:A81)=7,COUNT(F70:F81)=7),cubic_spline(F69:F76,A69:A76,B$2),IF(AND(COUNT(A70:A81)=8,COUNT(F70:F81)=8),cubic_spline(F69:F77,A69:A77,B$2),IF(AND(COUNT(A70:A81)=9,COUNT(F70:F81)=9),cubic_spline(F69:F78,A69:A78,B$2),IF(AND(COUNT(A70:A81)=10,COUNT(F70:F81)=10),cubic_spline(F69:F79,A69:A79,B$2),IF(AND(COUNT(A70:A81)=11,COUNT(F70:F81)=11),cubic_spline(F69:F80,A69:A80,B$2),IF(AND(COUNT(A70:A81)=12,COUNT(F70:F81)=12),cubic_spline(F69:F81,A69:A81,B$2),""))))))))))))</f>
        <v>9.1610177207580445</v>
      </c>
      <c r="L70" s="27" t="str">
        <f>IF(I70="","",0&amp;"-"&amp;B$2)</f>
        <v>0-1000</v>
      </c>
      <c r="M70" s="52">
        <f>IF(N(J70)=0,"",J70-J69)</f>
        <v>19.132086218443479</v>
      </c>
    </row>
    <row r="71" spans="1:13" x14ac:dyDescent="0.35">
      <c r="A71" s="48">
        <v>16</v>
      </c>
      <c r="B71" s="48" t="s">
        <v>41</v>
      </c>
      <c r="C71" s="50">
        <v>1.2644597696159776</v>
      </c>
      <c r="D71" s="50">
        <v>10.157388911017502</v>
      </c>
      <c r="E71" s="51">
        <f t="shared" ref="E71:E81" si="23">IF(N(C71)=0,"",(A71-A70)*C71*100)</f>
        <v>1011.5678156927821</v>
      </c>
      <c r="F71" s="68">
        <f t="shared" si="21"/>
        <v>1875.7731313459076</v>
      </c>
      <c r="G71" s="69">
        <f t="shared" ref="G71:G81" si="24">IF(OR(N(D71)=0,N(E71)=0),"",(E71*D71)/1000)</f>
        <v>10.274887713860062</v>
      </c>
      <c r="H71" s="70">
        <f t="shared" si="22"/>
        <v>27.454996066813685</v>
      </c>
      <c r="I71" s="27" t="str">
        <f>IF(N(J71)=0,"",0&amp;"-"&amp;B$3)</f>
        <v>0-2000</v>
      </c>
      <c r="J71" s="52">
        <f>IF(N(B$3)=0,"",IF(AND(COUNT(H70:H81)=2,COUNT(F70:F81)=2),cubic_spline(F69:F71,H69:H71,B$3),IF(AND(COUNT(H70:H81)=3,COUNT(F70:F81)=3),cubic_spline(F69:F72,H69:H72,B$3),IF(AND(COUNT(H70:H81)=4,COUNT(F70:F81)=4),cubic_spline(F69:F73,H69:H73,B$3),IF(AND(COUNT(H70:H81)=5,COUNT(F70:F81)=5),cubic_spline(F69:F74,H69:H74,B$3),IF(AND(COUNT(H70:H81)=6,COUNT(F70:F81)=6),cubic_spline(F69:F75,H69:H75,B$3),IF(AND(COUNT(H70:H81)=7,COUNT(F70:F81)=7),cubic_spline(F69:F76,H69:H76,B$3),IF(AND(COUNT(H70:H81)=8,COUNT(F70:F81)=8),cubic_spline(F69:F77,H69:H77,B$3),IF(AND(COUNT(H70:H81)=9,COUNT(F70:F81)=9),cubic_spline(F69:F78,H69:H78,B$3),IF(AND(COUNT(H70:H81)=10,COUNT(F70:F81)=10),cubic_spline(F69:F79,H69:H79,B$3),IF(AND(COUNT(H70:H81)=11,COUNT(F70:F81)=11),cubic_spline(F69:F80,H69:H80,B$3),IF(AND(COUNT(H70:H81)=12,COUNT(F70:F81)=12),cubic_spline(F69:F81,H69:H81,B$3),""))))))))))))</f>
        <v>28.399357070221903</v>
      </c>
      <c r="K71" s="52">
        <f>IF(N(B$3)=0,"",IF(AND(COUNT(A70:A81)=2,COUNT(F70:F81)=2),cubic_spline(F69:F71,A69:A71,B$3),IF(AND(COUNT(A70:A81)=3,COUNT(F70:F81)=3),cubic_spline(F69:F72,A69:A72,B$3),IF(AND(COUNT(A70:A81)=4,COUNT(F70:F81)=4),cubic_spline(F69:F73,A69:A73,B$3),IF(AND(COUNT(A70:A81)=5,COUNT(F70:F81)=5),cubic_spline(F69:F74,A69:A74,B$3),IF(AND(COUNT(A70:A81)=6,COUNT(F70:F81)=6),cubic_spline(F69:F75,A69:A75,B$3),IF(AND(COUNT(A70:A81)=7,COUNT(F70:F81)=7),cubic_spline(F69:F76,A69:A76,B$3),IF(AND(COUNT(A70:A81)=8,COUNT(F70:F81)=8),cubic_spline(F69:F77,A69:A77,B$3),IF(AND(COUNT(A70:A81)=9,COUNT(F70:F81)=9),cubic_spline(F69:F78,A69:A78,B$3),IF(AND(COUNT(A70:A81)=10,COUNT(F70:F81)=10),cubic_spline(F69:F79,A69:A79,B$3),IF(AND(COUNT(A70:A81)=11,COUNT(F70:F81)=11),cubic_spline(F69:F80,A69:A80,B$3),IF(AND(COUNT(A70:A81)=12,COUNT(F70:F81)=12),cubic_spline(F69:F81,A69:A81,B$3),""))))))))))))</f>
        <v>16.911714888366625</v>
      </c>
      <c r="L71" s="27" t="str">
        <f>IF(I71="","",B$2&amp;"-"&amp;B$3)</f>
        <v>1000-2000</v>
      </c>
      <c r="M71" s="52">
        <f>IF(N(J71)=0,"",J71-J70)</f>
        <v>9.2672708517784237</v>
      </c>
    </row>
    <row r="72" spans="1:13" x14ac:dyDescent="0.35">
      <c r="A72" s="48">
        <v>32</v>
      </c>
      <c r="B72" s="48" t="s">
        <v>41</v>
      </c>
      <c r="C72" s="50">
        <v>1.3961563964037547</v>
      </c>
      <c r="D72" s="50">
        <v>7.5046249446946964</v>
      </c>
      <c r="E72" s="51">
        <f t="shared" si="23"/>
        <v>2233.8502342460074</v>
      </c>
      <c r="F72" s="68">
        <f t="shared" si="21"/>
        <v>4109.623365591915</v>
      </c>
      <c r="G72" s="69">
        <f t="shared" si="24"/>
        <v>16.76420819063468</v>
      </c>
      <c r="H72" s="70">
        <f t="shared" si="22"/>
        <v>44.219204257448368</v>
      </c>
      <c r="I72" s="27" t="str">
        <f>IF(N(J72)=0,"",0&amp;"-"&amp;B$4)</f>
        <v>0-3000</v>
      </c>
      <c r="J72" s="52">
        <f>IF(N(B$4)=0,"",IF(AND(COUNT(H70:H81)=2,COUNT(F70:F81)=2),cubic_spline(F69:F71,H69:H71,B$4),IF(AND(COUNT(H70:H81)=3,COUNT(F70:F81)=3),cubic_spline(F69:F72,H69:H72,B$4),IF(AND(COUNT(H70:H81)=4,COUNT(F70:F81)=4),cubic_spline(F69:F73,H69:H73,B$4),IF(AND(COUNT(H70:H81)=5,COUNT(F70:F81)=5),cubic_spline(F69:F74,H69:H74,B$4),IF(AND(COUNT(H70:H81)=6,COUNT(F70:F81)=6),cubic_spline(F69:F75,H69:H75,B$4),IF(AND(COUNT(H70:H81)=7,COUNT(F70:F81)=7),cubic_spline(F69:F76,H69:H76,B$4),IF(AND(COUNT(H70:H81)=8,COUNT(F70:F81)=8),cubic_spline(F69:F77,H69:H77,B$4),IF(AND(COUNT(H70:H81)=9,COUNT(F70:F81)=9),cubic_spline(F69:F78,H69:H78,B$4),IF(AND(COUNT(H70:H81)=10,COUNT(F70:F81)=10),cubic_spline(F69:F79,H69:H79,B$4),IF(AND(COUNT(H70:H81)=11,COUNT(F70:F81)=11),cubic_spline(F69:F80,H69:H80,B$4),IF(AND(COUNT(H70:H81)=12,COUNT(F70:F81)=12),cubic_spline(F69:F81,H69:H81,B$4),""))))))))))))</f>
        <v>36.023896011312054</v>
      </c>
      <c r="K72" s="52">
        <f>IF(N(B$4)=0,"",IF(AND(COUNT(A70:A81)=2,COUNT(F70:F81)=2),cubic_spline(F69:F71,A69:A71,B$4),IF(AND(COUNT(A70:A81)=3,COUNT(F70:F81)=3),cubic_spline(F69:F72,A69:A72,B$4),IF(AND(COUNT(A70:A81)=4,COUNT(F70:F81)=4),cubic_spline(F69:F73,A69:A73,B$4),IF(AND(COUNT(A70:A81)=5,COUNT(F70:F81)=5),cubic_spline(F69:F74,A69:A74,B$4),IF(AND(COUNT(A70:A81)=6,COUNT(F70:F81)=6),cubic_spline(F69:F75,A69:A75,B$4),IF(AND(COUNT(A70:A81)=7,COUNT(F70:F81)=7),cubic_spline(F69:F76,A69:A76,B$4),IF(AND(COUNT(A70:A81)=8,COUNT(F70:F81)=8),cubic_spline(F69:F77,A69:A77,B$4),IF(AND(COUNT(A70:A81)=9,COUNT(F70:F81)=9),cubic_spline(F69:F78,A69:A78,B$4),IF(AND(COUNT(A70:A81)=10,COUNT(F70:F81)=10),cubic_spline(F69:F79,A69:A79,B$4),IF(AND(COUNT(A70:A81)=11,COUNT(F70:F81)=11),cubic_spline(F69:F80,A69:A80,B$4),IF(AND(COUNT(A70:A81)=12,COUNT(F70:F81)=12),cubic_spline(F69:F81,A69:A81,B$4),""))))))))))))</f>
        <v>24.046159835711475</v>
      </c>
      <c r="L72" s="27" t="str">
        <f>IF(I72="","",B$3&amp;"-"&amp;B$4)</f>
        <v>2000-3000</v>
      </c>
      <c r="M72" s="52">
        <f>IF(N(J72)=0,"",J72-J71)</f>
        <v>7.624538941090151</v>
      </c>
    </row>
    <row r="73" spans="1:13" x14ac:dyDescent="0.35">
      <c r="A73" s="48">
        <v>48</v>
      </c>
      <c r="B73" s="48" t="s">
        <v>41</v>
      </c>
      <c r="C73" s="50">
        <v>1.2812446338144199</v>
      </c>
      <c r="D73" s="50">
        <v>6.7029122439948878</v>
      </c>
      <c r="E73" s="51">
        <f t="shared" si="23"/>
        <v>2049.9914141030717</v>
      </c>
      <c r="F73" s="68">
        <f t="shared" si="21"/>
        <v>6159.6147796949863</v>
      </c>
      <c r="G73" s="69">
        <f t="shared" si="24"/>
        <v>13.740912549675873</v>
      </c>
      <c r="H73" s="70">
        <f t="shared" si="22"/>
        <v>57.960116807124237</v>
      </c>
      <c r="I73" s="27" t="str">
        <f>IF(N(J73)=0,"",0&amp;"-"&amp;B$5)</f>
        <v>0-4000</v>
      </c>
      <c r="J73" s="52">
        <f>IF(N(B$5)=0,"",IF(AND(COUNT(H70:H81)=2,COUNT(F70:F81)=2),cubic_spline(F69:F71,H69:H71,B$5),IF(AND(COUNT(H70:H81)=3,COUNT(F70:F81)=3),cubic_spline(F69:F72,H69:H72,B$5),IF(AND(COUNT(H70:H81)=4,COUNT(F70:F81)=4),cubic_spline(F69:F73,H69:H73,B$5),IF(AND(COUNT(H70:H81)=5,COUNT(F70:F81)=5),cubic_spline(F69:F74,H69:H74,B$5),IF(AND(COUNT(H70:H81)=6,COUNT(F70:F81)=6),cubic_spline(F69:F75,H69:H75,B$5),IF(AND(COUNT(H70:H81)=7,COUNT(F70:F81)=7),cubic_spline(F69:F76,H69:H76,B$5),IF(AND(COUNT(H70:H81)=8,COUNT(F70:F81)=8),cubic_spline(F69:F77,H69:H77,B$5),IF(AND(COUNT(H70:H81)=9,COUNT(F70:F81)=9),cubic_spline(F69:F78,H69:H78,B$5),IF(AND(COUNT(H70:H81)=10,COUNT(F70:F81)=10),cubic_spline(F69:F79,H69:H79,B$5),IF(AND(COUNT(H70:H81)=11,COUNT(F70:F81)=11),cubic_spline(F69:F80,H69:H80,B$5),IF(AND(COUNT(H70:H81)=12,COUNT(F70:F81)=12),cubic_spline(F69:F81,H69:H81,B$5),""))))))))))))</f>
        <v>43.435059342892977</v>
      </c>
      <c r="K73" s="52">
        <f>IF(N(B$5)=0,"",IF(AND(COUNT(A70:A81)=2,COUNT(F70:F81)=2),cubic_spline(F69:F71,A69:A71,B$5),IF(AND(COUNT(A70:A81)=3,COUNT(F70:F81)=3),cubic_spline(F69:F72,A69:A72,B$5),IF(AND(COUNT(A70:A81)=4,COUNT(F70:F81)=4),cubic_spline(F69:F73,A69:A73,B$5),IF(AND(COUNT(A70:A81)=5,COUNT(F70:F81)=5),cubic_spline(F69:F74,A69:A74,B$5),IF(AND(COUNT(A70:A81)=6,COUNT(F70:F81)=6),cubic_spline(F69:F75,A69:A75,B$5),IF(AND(COUNT(A70:A81)=7,COUNT(F70:F81)=7),cubic_spline(F69:F76,A69:A76,B$5),IF(AND(COUNT(A70:A81)=8,COUNT(F70:F81)=8),cubic_spline(F69:F77,A69:A77,B$5),IF(AND(COUNT(A70:A81)=9,COUNT(F70:F81)=9),cubic_spline(F69:F78,A69:A78,B$5),IF(AND(COUNT(A70:A81)=10,COUNT(F70:F81)=10),cubic_spline(F69:F79,A69:A79,B$5),IF(AND(COUNT(A70:A81)=11,COUNT(F70:F81)=11),cubic_spline(F69:F80,A69:A80,B$5),IF(AND(COUNT(A70:A81)=12,COUNT(F70:F81)=12),cubic_spline(F69:F81,A69:A81,B$5),""))))))))))))</f>
        <v>31.193032879560128</v>
      </c>
      <c r="L73" s="27" t="str">
        <f>IF(I73="","",B$4&amp;"-"&amp;B$5)</f>
        <v>3000-4000</v>
      </c>
      <c r="M73" s="52">
        <f>IF(N(J73)=0,"",J73-J72)</f>
        <v>7.4111633315809229</v>
      </c>
    </row>
    <row r="74" spans="1:13" x14ac:dyDescent="0.35">
      <c r="A74" s="48"/>
      <c r="B74" s="48"/>
      <c r="C74" s="50"/>
      <c r="D74" s="50"/>
      <c r="E74" s="51" t="str">
        <f t="shared" si="23"/>
        <v/>
      </c>
      <c r="F74" s="71" t="str">
        <f t="shared" si="21"/>
        <v/>
      </c>
      <c r="G74" s="69" t="str">
        <f t="shared" si="24"/>
        <v/>
      </c>
      <c r="H74" s="70" t="str">
        <f t="shared" si="22"/>
        <v/>
      </c>
      <c r="I74" s="27" t="str">
        <f>IF(N(J74)=0,"",0&amp;"-"&amp;B$6)</f>
        <v>0-5000</v>
      </c>
      <c r="J74" s="52">
        <f>IF(N(B$6)=0,"",IF(AND(COUNT(H70:H81)=2,COUNT(F70:F81)=2),cubic_spline(F69:F71,H69:H71,B$6),IF(AND(COUNT(H70:H81)=3,COUNT(F70:F81)=3),cubic_spline(F69:F72,H69:H72,B$6),IF(AND(COUNT(H70:H81)=4,COUNT(F70:F81)=4),cubic_spline(F69:F73,H69:H73,B$6),IF(AND(COUNT(H70:H81)=5,COUNT(F70:F81)=5),cubic_spline(F69:F74,H69:H74,B$6),IF(AND(COUNT(H70:H81)=6,COUNT(F70:F81)=6),cubic_spline(F69:F75,H69:H75,B$6),IF(AND(COUNT(H70:H81)=7,COUNT(F70:F81)=7),cubic_spline(F69:F76,H69:H76,B$6),IF(AND(COUNT(H70:H81)=8,COUNT(F70:F81)=8),cubic_spline(F69:F77,H69:H77,B$6),IF(AND(COUNT(H70:H81)=9,COUNT(F70:F81)=9),cubic_spline(F69:F78,H69:H78,B$6),IF(AND(COUNT(H70:H81)=10,COUNT(F70:F81)=10),cubic_spline(F69:F79,H69:H79,B$6),IF(AND(COUNT(H70:H81)=11,COUNT(F70:F81)=11),cubic_spline(F69:F80,H69:H80,B$6),IF(AND(COUNT(H70:H81)=12,COUNT(F70:F81)=12),cubic_spline(F69:F81,H69:H81,B$6),""))))))))))))</f>
        <v>50.351881931244392</v>
      </c>
      <c r="K74" s="52">
        <f>IF(N(B$6)=0,"",IF(AND(COUNT(A70:A81)=2,COUNT(F70:F81)=2),cubic_spline(F69:F71,A69:A71,B$6),IF(AND(COUNT(A70:A81)=3,COUNT(F70:F81)=3),cubic_spline(F69:F72,A69:A72,B$6),IF(AND(COUNT(A70:A81)=4,COUNT(F70:F81)=4),cubic_spline(F69:F73,A69:A73,B$6),IF(AND(COUNT(A70:A81)=5,COUNT(F70:F81)=5),cubic_spline(F69:F74,A69:A74,B$6),IF(AND(COUNT(A70:A81)=6,COUNT(F70:F81)=6),cubic_spline(F69:F75,A69:A75,B$6),IF(AND(COUNT(A70:A81)=7,COUNT(F70:F81)=7),cubic_spline(F69:F76,A69:A76,B$6),IF(AND(COUNT(A70:A81)=8,COUNT(F70:F81)=8),cubic_spline(F69:F77,A69:A77,B$6),IF(AND(COUNT(A70:A81)=9,COUNT(F70:F81)=9),cubic_spline(F69:F78,A69:A78,B$6),IF(AND(COUNT(A70:A81)=10,COUNT(F70:F81)=10),cubic_spline(F69:F79,A69:A79,B$6),IF(AND(COUNT(A70:A81)=11,COUNT(F70:F81)=11),cubic_spline(F69:F80,A69:A80,B$6),IF(AND(COUNT(A70:A81)=12,COUNT(F70:F81)=12),cubic_spline(F69:F81,A69:A81,B$6),""))))))))))))</f>
        <v>38.786980662001724</v>
      </c>
      <c r="L74" s="27" t="str">
        <f>IF(I74="","",B$5&amp;"-"&amp;B$6)</f>
        <v>4000-5000</v>
      </c>
      <c r="M74" s="52">
        <f>IF(N(J74)=0,"",J74-J73)</f>
        <v>6.9168225883514154</v>
      </c>
    </row>
    <row r="75" spans="1:13" x14ac:dyDescent="0.35">
      <c r="A75" s="48"/>
      <c r="B75" s="48"/>
      <c r="C75" s="50"/>
      <c r="D75" s="50"/>
      <c r="E75" s="51" t="str">
        <f t="shared" si="23"/>
        <v/>
      </c>
      <c r="F75" s="71" t="str">
        <f t="shared" si="21"/>
        <v/>
      </c>
      <c r="G75" s="69" t="str">
        <f t="shared" si="24"/>
        <v/>
      </c>
      <c r="H75" s="70" t="str">
        <f t="shared" si="22"/>
        <v/>
      </c>
      <c r="I75" s="27" t="str">
        <f>IF(N(J75)=0,"",0&amp;"-"&amp;B$7)</f>
        <v>0-6000</v>
      </c>
      <c r="J75" s="52">
        <f>IF(N(B$7)=0,"",IF(AND(COUNT(H70:H81)=2,COUNT(F70:F81)=2),cubic_spline(F69:F71,H69:H71,B$7),IF(AND(COUNT(H70:H81)=3,COUNT(F70:F81)=3),cubic_spline(F69:F72,H69:H72,B$7),IF(AND(COUNT(H70:H81)=4,COUNT(F70:F81)=4),cubic_spline(F69:F73,H69:H73,B$7),IF(AND(COUNT(H70:H81)=5,COUNT(F70:F81)=5),cubic_spline(F69:F74,H69:H74,B$7),IF(AND(COUNT(H70:H81)=6,COUNT(F70:F81)=6),cubic_spline(F69:F75,H69:H75,B$7),IF(AND(COUNT(H70:H81)=7,COUNT(F70:F81)=7),cubic_spline(F69:F76,H69:H76,B$7),IF(AND(COUNT(H70:H81)=8,COUNT(F70:F81)=8),cubic_spline(F69:F77,H69:H77,B$7),IF(AND(COUNT(H70:H81)=9,COUNT(F70:F81)=9),cubic_spline(F69:F78,H69:H78,B$7),IF(AND(COUNT(H70:H81)=10,COUNT(F70:F81)=10),cubic_spline(F69:F79,H69:H79,B$7),IF(AND(COUNT(H70:H81)=11,COUNT(F70:F81)=11),cubic_spline(F69:F80,H69:H80,B$7),IF(AND(COUNT(H70:H81)=12,COUNT(F70:F81)=12),cubic_spline(F69:F81,H69:H81,B$7),""))))))))))))</f>
        <v>56.923340933072481</v>
      </c>
      <c r="K75" s="52">
        <f>IF(N(B$7)=0,"",IF(AND(COUNT(A70:A81)=2,COUNT(F70:F81)=2),cubic_spline(F69:F71,A69:A71,B$7),IF(AND(COUNT(A70:A81)=3,COUNT(F70:F81)=3),cubic_spline(F69:F72,A69:A72,B$7),IF(AND(COUNT(A70:A81)=4,COUNT(F70:F81)=4),cubic_spline(F69:F73,A69:A73,B$7),IF(AND(COUNT(A70:A81)=5,COUNT(F70:F81)=5),cubic_spline(F69:F74,A69:A74,B$7),IF(AND(COUNT(A70:A81)=6,COUNT(F70:F81)=6),cubic_spline(F69:F75,A69:A75,B$7),IF(AND(COUNT(A70:A81)=7,COUNT(F70:F81)=7),cubic_spline(F69:F76,A69:A76,B$7),IF(AND(COUNT(A70:A81)=8,COUNT(F70:F81)=8),cubic_spline(F69:F77,A69:A77,B$7),IF(AND(COUNT(A70:A81)=9,COUNT(F70:F81)=9),cubic_spline(F69:F78,A69:A78,B$7),IF(AND(COUNT(A70:A81)=10,COUNT(F70:F81)=10),cubic_spline(F69:F79,A69:A79,B$7),IF(AND(COUNT(A70:A81)=11,COUNT(F70:F81)=11),cubic_spline(F69:F80,A69:A80,B$7),IF(AND(COUNT(A70:A81)=12,COUNT(F70:F81)=12),cubic_spline(F69:F81,A69:A81,B$7),""))))))))))))</f>
        <v>46.721562623098144</v>
      </c>
      <c r="L75" s="27" t="str">
        <f>IF(I75="","",B$6&amp;"-"&amp;B$7)</f>
        <v>5000-6000</v>
      </c>
      <c r="M75" s="52">
        <f t="shared" ref="M75:M81" si="25">IF(N(J75)=0,"",J75-J74)</f>
        <v>6.5714590018280887</v>
      </c>
    </row>
    <row r="76" spans="1:13" x14ac:dyDescent="0.35">
      <c r="A76" s="48"/>
      <c r="B76" s="48"/>
      <c r="C76" s="50"/>
      <c r="D76" s="50"/>
      <c r="E76" s="51" t="str">
        <f t="shared" si="23"/>
        <v/>
      </c>
      <c r="F76" s="71" t="str">
        <f t="shared" si="21"/>
        <v/>
      </c>
      <c r="G76" s="69" t="str">
        <f t="shared" si="24"/>
        <v/>
      </c>
      <c r="H76" s="70" t="str">
        <f t="shared" si="22"/>
        <v/>
      </c>
      <c r="I76" s="27" t="str">
        <f>IF(N(J76)=0,"",0&amp;"-"&amp;B$8)</f>
        <v/>
      </c>
      <c r="J76" s="52" t="str">
        <f>IF(N(B$8)=0,"",IF(AND(COUNT(H70:H81)=2,COUNT(F70:F81)=2),cubic_spline(F69:F71,H69:H71,B$8),IF(AND(COUNT(H70:H81)=3,COUNT(F70:F81)=3),cubic_spline(F69:F72,H69:H72,B$8),IF(AND(COUNT(H70:H81)=4,COUNT(F70:F81)=4),cubic_spline(F69:F73,H69:H73,B$8),IF(AND(COUNT(H70:H81)=5,COUNT(F70:F81)=5),cubic_spline(F69:F74,H69:H74,B$8),IF(AND(COUNT(H70:H81)=6,COUNT(F70:F81)=6),cubic_spline(F69:F75,H69:H75,B$8),IF(AND(COUNT(H70:H81)=7,COUNT(F70:F81)=7),cubic_spline(F69:F76,H69:H76,B$8),IF(AND(COUNT(H70:H81)=8,COUNT(F70:F81)=8),cubic_spline(F69:F77,H69:H77,B$8),IF(AND(COUNT(H70:H81)=9,COUNT(F70:F81)=9),cubic_spline(F69:F78,H69:H78,B$8),IF(AND(COUNT(H70:H81)=10,COUNT(F70:F81)=10),cubic_spline(F69:F79,H69:H79,B$8),IF(AND(COUNT(H70:H81)=11,COUNT(F70:F81)=11),cubic_spline(F69:F80,H69:H80,B$8),IF(AND(COUNT(H70:H81)=12,COUNT(F70:F81)=12),cubic_spline(F69:F81,H69:H81,B$8),""))))))))))))</f>
        <v/>
      </c>
      <c r="K76" s="52" t="str">
        <f>IF(N(B$8)=0,"",IF(AND(COUNT(A70:A81)=2,COUNT(F70:F81)=2),cubic_spline(F69:F71,A69:A71,B$8),IF(AND(COUNT(A70:A81)=3,COUNT(F70:F81)=3),cubic_spline(F69:F72,A69:A72,B$8),IF(AND(COUNT(A70:A81)=4,COUNT(F70:F81)=4),cubic_spline(F69:F73,A69:A73,B$8),IF(AND(COUNT(A70:A81)=5,COUNT(F70:F81)=5),cubic_spline(F69:F74,A69:A74,B$8),IF(AND(COUNT(A70:A81)=6,COUNT(F70:F81)=6),cubic_spline(F69:F75,A69:A75,B$8),IF(AND(COUNT(A70:A81)=7,COUNT(F70:F81)=7),cubic_spline(F69:F76,A69:A76,B$8),IF(AND(COUNT(A70:A81)=8,COUNT(F70:F81)=8),cubic_spline(F69:F77,A69:A77,B$8),IF(AND(COUNT(A70:A81)=9,COUNT(F70:F81)=9),cubic_spline(F69:F78,A69:A78,B$8),IF(AND(COUNT(A70:A81)=10,COUNT(F70:F81)=10),cubic_spline(F69:F79,A69:A79,B$8),IF(AND(COUNT(A70:A81)=11,COUNT(F70:F81)=11),cubic_spline(F69:F80,A69:A80,B$8),IF(AND(COUNT(A70:A81)=12,COUNT(F70:F81)=12),cubic_spline(F69:F81,A69:A81,B$8),""))))))))))))</f>
        <v/>
      </c>
      <c r="L76" s="27" t="str">
        <f>IF(I76="","",B$7&amp;"-"&amp;B$8)</f>
        <v/>
      </c>
      <c r="M76" s="52" t="str">
        <f t="shared" si="25"/>
        <v/>
      </c>
    </row>
    <row r="77" spans="1:13" x14ac:dyDescent="0.35">
      <c r="A77" s="48"/>
      <c r="B77" s="48"/>
      <c r="C77" s="50"/>
      <c r="D77" s="50"/>
      <c r="E77" s="51" t="str">
        <f t="shared" si="23"/>
        <v/>
      </c>
      <c r="F77" s="71" t="str">
        <f t="shared" si="21"/>
        <v/>
      </c>
      <c r="G77" s="69" t="str">
        <f t="shared" si="24"/>
        <v/>
      </c>
      <c r="H77" s="70" t="str">
        <f t="shared" si="22"/>
        <v/>
      </c>
      <c r="I77" s="27" t="str">
        <f>IF(N(J77)=0,"",0&amp;"-"&amp;B$9)</f>
        <v/>
      </c>
      <c r="J77" s="52" t="str">
        <f>IF(N(B$9)=0,"",IF(AND(COUNT(H70:H81)=2,COUNT(F70:F81)=2),cubic_spline(F69:F71,H69:H71,B$9),IF(AND(COUNT(H70:H81)=3,COUNT(F70:F81)=3),cubic_spline(F69:F72,H69:H72,B$9),IF(AND(COUNT(H70:H81)=4,COUNT(F70:F81)=4),cubic_spline(F69:F73,H69:H73,B$9),IF(AND(COUNT(H70:H81)=5,COUNT(F70:F81)=5),cubic_spline(F69:F74,H69:H74,B$9),IF(AND(COUNT(H70:H81)=6,COUNT(F70:F81)=6),cubic_spline(F69:F75,H69:H75,B$9),IF(AND(COUNT(H70:H81)=7,COUNT(F70:F81)=7),cubic_spline(F69:F76,H69:H76,B$9),IF(AND(COUNT(H70:H81)=8,COUNT(F70:F81)=8),cubic_spline(F69:F77,H69:H77,B$9),IF(AND(COUNT(H70:H81)=9,COUNT(F70:F81)=9),cubic_spline(F69:F78,H69:H78,B$9),IF(AND(COUNT(H70:H81)=10,COUNT(F70:F81)=10),cubic_spline(F69:F79,H69:H79,B$9),IF(AND(COUNT(H70:H81)=11,COUNT(F70:F81)=11),cubic_spline(F69:F80,H69:H80,B$9),IF(AND(COUNT(H70:H81)=12,COUNT(F70:F81)=12),cubic_spline(F69:F81,H69:H81,B$9),""))))))))))))</f>
        <v/>
      </c>
      <c r="K77" s="52" t="str">
        <f>IF(N(B$9)=0,"",IF(AND(COUNT(A70:A81)=2,COUNT(F70:F81)=2),cubic_spline(F69:F71,A69:A71,B$9),IF(AND(COUNT(A70:A81)=3,COUNT(F70:F81)=3),cubic_spline(F69:F72,A69:A72,B$9),IF(AND(COUNT(A70:A81)=4,COUNT(F70:F81)=4),cubic_spline(F69:F73,A69:A73,B$9),IF(AND(COUNT(A70:A81)=5,COUNT(F70:F81)=5),cubic_spline(F69:F74,A69:A74,B$9),IF(AND(COUNT(A70:A81)=6,COUNT(F70:F81)=6),cubic_spline(F69:F75,A69:A75,B$9),IF(AND(COUNT(A70:A81)=7,COUNT(F70:F81)=7),cubic_spline(F69:F76,A69:A76,B$9),IF(AND(COUNT(A70:A81)=8,COUNT(F70:F81)=8),cubic_spline(F69:F77,A69:A77,B$9),IF(AND(COUNT(A70:A81)=9,COUNT(F70:F81)=9),cubic_spline(F69:F78,A69:A78,B$9),IF(AND(COUNT(A70:A81)=10,COUNT(F70:F81)=10),cubic_spline(F69:F79,A69:A79,B$9),IF(AND(COUNT(A70:A81)=11,COUNT(F70:F81)=11),cubic_spline(F69:F80,A69:A80,B$9),IF(AND(COUNT(A70:A81)=12,COUNT(F70:F81)=12),cubic_spline(F69:F81,A69:A81,B$9),""))))))))))))</f>
        <v/>
      </c>
      <c r="L77" s="27" t="str">
        <f>IF(I77="","",B$8&amp;"-"&amp;B$9)</f>
        <v/>
      </c>
      <c r="M77" s="52" t="str">
        <f t="shared" si="25"/>
        <v/>
      </c>
    </row>
    <row r="78" spans="1:13" x14ac:dyDescent="0.35">
      <c r="A78" s="48"/>
      <c r="B78" s="48"/>
      <c r="C78" s="50"/>
      <c r="D78" s="50"/>
      <c r="E78" s="51" t="str">
        <f t="shared" si="23"/>
        <v/>
      </c>
      <c r="F78" s="71" t="str">
        <f t="shared" si="21"/>
        <v/>
      </c>
      <c r="G78" s="69" t="str">
        <f t="shared" si="24"/>
        <v/>
      </c>
      <c r="H78" s="70" t="str">
        <f t="shared" si="22"/>
        <v/>
      </c>
      <c r="I78" s="27" t="str">
        <f>IF(N(J78)=0,"",0&amp;"-"&amp;B$10)</f>
        <v/>
      </c>
      <c r="J78" s="52" t="str">
        <f>IF(N(B$10)=0,"",IF(AND(COUNT(H70:H81)=2,COUNT(F70:F81)=2),cubic_spline(F69:F71,H69:H71,B$10),IF(AND(COUNT(H70:H81)=3,COUNT(F70:F81)=3),cubic_spline(F69:F72,H69:H72,B$10),IF(AND(COUNT(H70:H81)=4,COUNT(F70:F81)=4),cubic_spline(F69:F73,H69:H73,B$10),IF(AND(COUNT(H70:H81)=5,COUNT(F70:F81)=5),cubic_spline(F69:F74,H69:H74,B$10),IF(AND(COUNT(H70:H81)=6,COUNT(F70:F81)=6),cubic_spline(F69:F75,H69:H75,B$10),IF(AND(COUNT(H70:H81)=7,COUNT(F70:F81)=7),cubic_spline(F69:F76,H69:H76,B$10),IF(AND(COUNT(H70:H81)=8,COUNT(F70:F81)=8),cubic_spline(F69:F77,H69:H77,B$10),IF(AND(COUNT(H70:H81)=9,COUNT(F70:F81)=9),cubic_spline(F69:F78,H69:H78,B$10),IF(AND(COUNT(H70:H81)=10,COUNT(F70:F81)=10),cubic_spline(F69:F79,H69:H79,B$10),IF(AND(COUNT(H70:H81)=11,COUNT(F70:F81)=11),cubic_spline(F69:F80,H69:H80,B$10),IF(AND(COUNT(H70:H81)=12,COUNT(F70:F81)=12),cubic_spline(F69:F81,H69:H81,B$10),""))))))))))))</f>
        <v/>
      </c>
      <c r="K78" s="52" t="str">
        <f>IF(N(B$10)=0,"",IF(AND(COUNT(A70:A81)=2,COUNT(F70:F81)=2),cubic_spline(F69:F71,A69:A71,B$10),IF(AND(COUNT(A70:A81)=3,COUNT(F70:F81)=3),cubic_spline(F69:F72,A69:A72,B$10),IF(AND(COUNT(A70:A81)=4,COUNT(F70:F81)=4),cubic_spline(F69:F73,A69:A73,B$10),IF(AND(COUNT(A70:A81)=5,COUNT(F70:F81)=5),cubic_spline(F69:F74,A69:A74,B$10),IF(AND(COUNT(A70:A81)=6,COUNT(F70:F81)=6),cubic_spline(F69:F75,A69:A75,B$10),IF(AND(COUNT(A70:A81)=7,COUNT(F70:F81)=7),cubic_spline(F69:F76,A69:A76,B$10),IF(AND(COUNT(A70:A81)=8,COUNT(F70:F81)=8),cubic_spline(F69:F77,A69:A77,B$10),IF(AND(COUNT(A70:A81)=9,COUNT(F70:F81)=9),cubic_spline(F69:F78,A69:A78,B$10),IF(AND(COUNT(A70:A81)=10,COUNT(F70:F81)=10),cubic_spline(F69:F79,A69:A79,B$10),IF(AND(COUNT(A70:A81)=11,COUNT(F70:F81)=11),cubic_spline(F69:F80,A69:A80,B$10),IF(AND(COUNT(A70:A81)=12,COUNT(F70:F81)=12),cubic_spline(F69:F81,A69:A81,B$10),""))))))))))))</f>
        <v/>
      </c>
      <c r="L78" s="27" t="str">
        <f>IF(I78="","",B$9&amp;"-"&amp;B$10)</f>
        <v/>
      </c>
      <c r="M78" s="52" t="str">
        <f t="shared" si="25"/>
        <v/>
      </c>
    </row>
    <row r="79" spans="1:13" x14ac:dyDescent="0.35">
      <c r="A79" s="48"/>
      <c r="B79" s="48"/>
      <c r="C79" s="50"/>
      <c r="D79" s="50"/>
      <c r="E79" s="51" t="str">
        <f t="shared" si="23"/>
        <v/>
      </c>
      <c r="F79" s="71" t="str">
        <f t="shared" si="21"/>
        <v/>
      </c>
      <c r="G79" s="69" t="str">
        <f t="shared" si="24"/>
        <v/>
      </c>
      <c r="H79" s="70" t="str">
        <f t="shared" si="22"/>
        <v/>
      </c>
      <c r="I79" s="27" t="str">
        <f>IF(N(J79)=0,"",0&amp;"-"&amp;B$11)</f>
        <v/>
      </c>
      <c r="J79" s="52" t="str">
        <f>IF(N(B$11)=0,"",IF(AND(COUNT(H70:H81)=2,COUNT(F70:F81)=2),cubic_spline(F69:F71,H69:H71,B$11),IF(AND(COUNT(H70:H81)=3,COUNT(F70:F81)=3),cubic_spline(F69:F72,H69:H72,B$11),IF(AND(COUNT(H70:H81)=4,COUNT(F70:F81)=4),cubic_spline(F69:F73,H69:H73,B$11),IF(AND(COUNT(H70:H81)=5,COUNT(F70:F81)=5),cubic_spline(F69:F74,H69:H74,B$11),IF(AND(COUNT(H70:H81)=6,COUNT(F70:F81)=6),cubic_spline(F69:F75,H69:H75,B$11),IF(AND(COUNT(H70:H81)=7,COUNT(F70:F81)=7),cubic_spline(F69:F76,H69:H76,B$11),IF(AND(COUNT(H70:H81)=8,COUNT(F70:F81)=8),cubic_spline(F69:F77,H69:H77,B$11),IF(AND(COUNT(H70:H81)=9,COUNT(F70:F81)=9),cubic_spline(F69:F78,H69:H78,B$11),IF(AND(COUNT(H70:H81)=10,COUNT(F70:F81)=10),cubic_spline(F69:F79,H69:H79,B$11),IF(AND(COUNT(H70:H81)=11,COUNT(F70:F81)=11),cubic_spline(F69:F80,H69:H80,B$11),IF(AND(COUNT(H70:H81)=12,COUNT(F70:F81)=12),cubic_spline(F69:F81,H69:H81,B$11),""))))))))))))</f>
        <v/>
      </c>
      <c r="K79" s="52" t="str">
        <f>IF(N(B$11)=0,"",IF(AND(COUNT(A70:A81)=2,COUNT(F70:F81)=2),cubic_spline(F69:F71,A69:A71,B$11),IF(AND(COUNT(A70:A81)=3,COUNT(F70:F81)=3),cubic_spline(F69:F72,A69:A72,B$11),IF(AND(COUNT(A70:A81)=4,COUNT(F70:F81)=4),cubic_spline(F69:F73,A69:A73,B$11),IF(AND(COUNT(A70:A81)=5,COUNT(F70:F81)=5),cubic_spline(F69:F74,A69:A74,B$11),IF(AND(COUNT(A70:A81)=6,COUNT(F70:F81)=6),cubic_spline(F69:F75,A69:A75,B$11),IF(AND(COUNT(A70:A81)=7,COUNT(F70:F81)=7),cubic_spline(F69:F76,A69:A76,B$11),IF(AND(COUNT(A70:A81)=8,COUNT(F70:F81)=8),cubic_spline(F69:F77,A69:A77,B$11),IF(AND(COUNT(A70:A81)=9,COUNT(F70:F81)=9),cubic_spline(F69:F78,A69:A78,B$11),IF(AND(COUNT(A70:A81)=10,COUNT(F70:F81)=10),cubic_spline(F69:F79,A69:A79,B$11),IF(AND(COUNT(A70:A81)=11,COUNT(F70:F81)=11),cubic_spline(F69:F80,A69:A80,B$11),IF(AND(COUNT(A70:A81)=12,COUNT(F70:F81)=12),cubic_spline(F69:F81,A69:A81,B$11),""))))))))))))</f>
        <v/>
      </c>
      <c r="L79" s="27" t="str">
        <f>IF(I79="","",B$10&amp;"-"&amp;B$11)</f>
        <v/>
      </c>
      <c r="M79" s="52" t="str">
        <f t="shared" si="25"/>
        <v/>
      </c>
    </row>
    <row r="80" spans="1:13" x14ac:dyDescent="0.35">
      <c r="A80" s="48"/>
      <c r="B80" s="48"/>
      <c r="C80" s="50"/>
      <c r="D80" s="50"/>
      <c r="E80" s="51" t="str">
        <f t="shared" si="23"/>
        <v/>
      </c>
      <c r="F80" s="71" t="str">
        <f t="shared" si="21"/>
        <v/>
      </c>
      <c r="G80" s="69" t="str">
        <f t="shared" si="24"/>
        <v/>
      </c>
      <c r="H80" s="70" t="str">
        <f t="shared" si="22"/>
        <v/>
      </c>
      <c r="I80" s="27" t="str">
        <f>IF(N(J80)=0,"",0&amp;"-"&amp;B$12)</f>
        <v/>
      </c>
      <c r="J80" s="52" t="str">
        <f>IF(N(B$12)=0,"",IF(AND(COUNT(H70:H81)=2,COUNT(F70:F81)=2),cubic_spline(F69:F71,H69:H71,B$12),IF(AND(COUNT(H70:H81)=3,COUNT(F70:F81)=3),cubic_spline(F69:F72,H69:H72,B$12),IF(AND(COUNT(H70:H81)=4,COUNT(F70:F81)=4),cubic_spline(F69:F73,H69:H73,B$12),IF(AND(COUNT(H70:H81)=5,COUNT(F70:F81)=5),cubic_spline(F69:F74,H69:H74,B$12),IF(AND(COUNT(H70:H81)=6,COUNT(F70:F81)=6),cubic_spline(F69:F75,H69:H75,B$12),IF(AND(COUNT(H70:H81)=7,COUNT(F70:F81)=7),cubic_spline(F69:F76,H69:H76,B$12),IF(AND(COUNT(H70:H81)=8,COUNT(F70:F81)=8),cubic_spline(F69:F77,H69:H77,B$12),IF(AND(COUNT(H70:H81)=9,COUNT(F70:F81)=9),cubic_spline(F69:F78,H69:H78,B$12),IF(AND(COUNT(H70:H81)=10,COUNT(F70:F81)=10),cubic_spline(F69:F79,H69:H79,B$12),IF(AND(COUNT(H70:H81)=11,COUNT(F70:F81)=11),cubic_spline(F69:F80,H69:H80,B$12),IF(AND(COUNT(H70:H81)=12,COUNT(F70:F81)=12),cubic_spline(F69:F81,H69:H81,B$12),""))))))))))))</f>
        <v/>
      </c>
      <c r="K80" s="52" t="str">
        <f>IF(N(B$12)=0,"",IF(AND(COUNT(A70:A81)=2,COUNT(F70:F81)=2),cubic_spline(F69:F71,A69:A71,B$12),IF(AND(COUNT(A70:A81)=3,COUNT(F70:F81)=3),cubic_spline(F69:F72,A69:A72,B$12),IF(AND(COUNT(A70:A81)=4,COUNT(F70:F81)=4),cubic_spline(F69:F73,A69:A73,B$12),IF(AND(COUNT(A70:A81)=5,COUNT(F70:F81)=5),cubic_spline(F69:F74,A69:A74,B$12),IF(AND(COUNT(A70:A81)=6,COUNT(F70:F81)=6),cubic_spline(F69:F75,A69:A75,B$12),IF(AND(COUNT(A70:A81)=7,COUNT(F70:F81)=7),cubic_spline(F69:F76,A69:A76,B$12),IF(AND(COUNT(A70:A81)=8,COUNT(F70:F81)=8),cubic_spline(F69:F77,A69:A77,B$12),IF(AND(COUNT(A70:A81)=9,COUNT(F70:F81)=9),cubic_spline(F69:F78,A69:A78,B$12),IF(AND(COUNT(A70:A81)=10,COUNT(F70:F81)=10),cubic_spline(F69:F79,A69:A79,B$12),IF(AND(COUNT(A70:A81)=11,COUNT(F70:F81)=11),cubic_spline(F69:F80,A69:A80,B$12),IF(AND(COUNT(A70:A81)=12,COUNT(F70:F81)=12),cubic_spline(F69:F81,A69:A81,B$12),""))))))))))))</f>
        <v/>
      </c>
      <c r="L80" s="27" t="str">
        <f>IF(I80="","",B$11&amp;"-"&amp;B$12)</f>
        <v/>
      </c>
      <c r="M80" s="52" t="str">
        <f t="shared" si="25"/>
        <v/>
      </c>
    </row>
    <row r="81" spans="1:13" x14ac:dyDescent="0.35">
      <c r="A81" s="48"/>
      <c r="B81" s="48"/>
      <c r="C81" s="50"/>
      <c r="D81" s="50"/>
      <c r="E81" s="51" t="str">
        <f t="shared" si="23"/>
        <v/>
      </c>
      <c r="F81" s="71" t="str">
        <f t="shared" si="21"/>
        <v/>
      </c>
      <c r="G81" s="69" t="str">
        <f t="shared" si="24"/>
        <v/>
      </c>
      <c r="H81" s="70" t="str">
        <f t="shared" si="22"/>
        <v/>
      </c>
      <c r="I81" s="27" t="str">
        <f>IF(N(J81)=0,"",0&amp;"-"&amp;B$13)</f>
        <v/>
      </c>
      <c r="J81" s="52" t="str">
        <f>IF(N(B$13)=0,"",IF(AND(COUNT(H70:H81)=2,COUNT(F70:F81)=2),cubic_spline(F69:F71,H69:H71,B$13),IF(AND(COUNT(H70:H81)=3,COUNT(F70:F81)=3),cubic_spline(F69:F72,H69:H72,B$13),IF(AND(COUNT(H70:H81)=4,COUNT(F70:F81)=4),cubic_spline(F69:F73,H69:H73,B$13),IF(AND(COUNT(H70:H81)=5,COUNT(F70:F81)=5),cubic_spline(F69:F74,H69:H74,B$13),IF(AND(COUNT(H70:H81)=6,COUNT(F70:F81)=6),cubic_spline(F69:F75,H69:H75,B$13),IF(AND(COUNT(H70:H81)=7,COUNT(F70:F81)=7),cubic_spline(F69:F76,H69:H76,B$13),IF(AND(COUNT(H70:H81)=8,COUNT(F70:F81)=8),cubic_spline(F69:F77,H69:H77,B$13),IF(AND(COUNT(H70:H81)=9,COUNT(F70:F81)=9),cubic_spline(F69:F78,H69:H78,B$13),IF(AND(COUNT(H70:H81)=10,COUNT(F70:F81)=10),cubic_spline(F69:F79,H69:H79,B$13),IF(AND(COUNT(H70:H81)=11,COUNT(F70:F81)=11),cubic_spline(F69:F80,H69:H80,B$13),IF(AND(COUNT(H70:H81)=12,COUNT(F70:F81)=12),cubic_spline(F69:F81,H69:H81,B$13),""))))))))))))</f>
        <v/>
      </c>
      <c r="K81" s="52" t="str">
        <f>IF(N(B$13)=0,"",IF(AND(COUNT(A70:A81)=2,COUNT(F70:F81)=2),cubic_spline(F69:F71,A69:A71,B$13),IF(AND(COUNT(A70:A81)=3,COUNT(F70:F81)=3),cubic_spline(F69:F72,A69:A72,B$13),IF(AND(COUNT(A70:A81)=4,COUNT(F70:F81)=4),cubic_spline(F69:F73,A69:A73,B$13),IF(AND(COUNT(A70:A81)=5,COUNT(F70:F81)=5),cubic_spline(F69:F74,A69:A74,B$13),IF(AND(COUNT(A70:A81)=6,COUNT(F70:F81)=6),cubic_spline(F69:F75,A69:A75,B$13),IF(AND(COUNT(A70:A81)=7,COUNT(F70:F81)=7),cubic_spline(F69:F76,A69:A76,B$13),IF(AND(COUNT(A70:A81)=8,COUNT(F70:F81)=8),cubic_spline(F69:F77,A69:A77,B$13),IF(AND(COUNT(A70:A81)=9,COUNT(F70:F81)=9),cubic_spline(F69:F78,A69:A78,B$13),IF(AND(COUNT(A70:A81)=10,COUNT(F70:F81)=10),cubic_spline(F69:F79,A69:A79,B$13),IF(AND(COUNT(A70:A81)=11,COUNT(F70:F81)=11),cubic_spline(F69:F80,A69:A80,B$13),IF(AND(COUNT(A70:A81)=12,COUNT(F70:F81)=12),cubic_spline(F69:F81,A69:A81,B$13),""))))))))))))</f>
        <v/>
      </c>
      <c r="L81" s="27" t="str">
        <f>IF(I81="","",B$12&amp;"-"&amp;B$13)</f>
        <v/>
      </c>
      <c r="M81" s="52" t="str">
        <f t="shared" si="25"/>
        <v/>
      </c>
    </row>
    <row r="82" spans="1:13" ht="5.15" customHeight="1" x14ac:dyDescent="0.35">
      <c r="A82" s="47"/>
      <c r="B82" s="47"/>
      <c r="C82" s="53"/>
      <c r="D82" s="53"/>
      <c r="E82" s="54"/>
      <c r="F82" s="55"/>
      <c r="G82" s="72"/>
      <c r="H82" s="73"/>
      <c r="I82" s="47"/>
      <c r="J82" s="57"/>
      <c r="K82" s="57"/>
      <c r="L82" s="55"/>
      <c r="M82" s="57"/>
    </row>
    <row r="83" spans="1:13" x14ac:dyDescent="0.35">
      <c r="A83" s="48"/>
      <c r="B83" s="48"/>
      <c r="C83" s="50"/>
      <c r="D83" s="50"/>
      <c r="E83" s="51" t="str">
        <f>IF(N(C83)=0,"",(A83-A82)*C83*100)</f>
        <v/>
      </c>
      <c r="F83" s="68" t="str">
        <f t="shared" ref="F83:F94" si="26">IF(N(E83)=0,"",(N(E83)+N(F82)))</f>
        <v/>
      </c>
      <c r="G83" s="69" t="str">
        <f>IF(OR(N(D83)=0,N(E83)=0),"",(E83*D83)/1000)</f>
        <v/>
      </c>
      <c r="H83" s="70" t="str">
        <f t="shared" ref="H83:H94" si="27">IF(N(G83)=0,"",(N(G83)+N(H82)))</f>
        <v/>
      </c>
      <c r="I83" s="27" t="str">
        <f>IF(N(J83)=0,"",0&amp;"-"&amp;B$2)</f>
        <v/>
      </c>
      <c r="J83" s="52" t="str">
        <f>IF(N(B$2)=0,"",IF(AND(COUNT(H83:H94)=2,COUNT(F83:F94)=2),cubic_spline(F82:F84,H82:H84,B$2),IF(AND(COUNT(H83:H94)=3,COUNT(F83:F94)=3),cubic_spline(F82:F85,H82:H85,B$2),IF(AND(COUNT(H83:H94)=4,COUNT(F83:F94)=4),cubic_spline(F82:F86,H82:H86,B$2),IF(AND(COUNT(H83:H94)=5,COUNT(F83:F94)=5),cubic_spline(F82:F87,H82:H87,B$2),IF(AND(COUNT(H83:H94)=6,COUNT(F83:F94)=6),cubic_spline(F82:F88,H82:H88,B$2),IF(AND(COUNT(H83:H94)=7,COUNT(F83:F94)=7),cubic_spline(F82:F89,H82:H89,B$2),IF(AND(COUNT(H83:H94)=8,COUNT(F83:F94)=8),cubic_spline(F82:F90,H82:H90,B$2),IF(AND(COUNT(H83:H94)=9,COUNT(F83:F94)=9),cubic_spline(F82:F91,H82:H91,B$2),IF(AND(COUNT(H83:H94)=10,COUNT(F83:F94)=10),cubic_spline(F82:F92,H82:H92,B$2),IF(AND(COUNT(H83:H94)=11,COUNT(F83:F94)=11),cubic_spline(F82:F93,H82:H93,B$2),IF(AND(COUNT(H83:H94)=12,COUNT(F83:F94)=12),cubic_spline(F82:F94,H82:H94,B$2),""))))))))))))</f>
        <v/>
      </c>
      <c r="K83" s="52" t="str">
        <f>IF(N(B$2)=0,"",IF(AND(COUNT(A83:A94)=2,COUNT(F83:F94)=2),cubic_spline(F82:F84,A82:A84,B$2),IF(AND(COUNT(A83:A94)=3,COUNT(F83:F94)=3),cubic_spline(F82:F85,A82:A85,B$2),IF(AND(COUNT(A83:A94)=4,COUNT(F83:F94)=4),cubic_spline(F82:F86,A82:A86,B$2),IF(AND(COUNT(A83:A94)=5,COUNT(F83:F94)=5),cubic_spline(F82:F87,A82:A87,B$2),IF(AND(COUNT(A83:A94)=6,COUNT(F83:F94)=6),cubic_spline(F82:F88,A82:A88,B$2),IF(AND(COUNT(A83:A94)=7,COUNT(F83:F94)=7),cubic_spline(F82:F89,A82:A89,B$2),IF(AND(COUNT(A83:A94)=8,COUNT(F83:F94)=8),cubic_spline(F82:F90,A82:A90,B$2),IF(AND(COUNT(A83:A94)=9,COUNT(F83:F94)=9),cubic_spline(F82:F91,A82:A91,B$2),IF(AND(COUNT(A83:A94)=10,COUNT(F83:F94)=10),cubic_spline(F82:F92,A82:A92,B$2),IF(AND(COUNT(A83:A94)=11,COUNT(F83:F94)=11),cubic_spline(F82:F93,A82:A93,B$2),IF(AND(COUNT(A83:A94)=12,COUNT(F83:F94)=12),cubic_spline(F82:F94,A82:A94,B$2),""))))))))))))</f>
        <v/>
      </c>
      <c r="L83" s="27" t="str">
        <f>IF(I83="","",0&amp;"-"&amp;B$2)</f>
        <v/>
      </c>
      <c r="M83" s="52" t="str">
        <f>IF(N(J83)=0,"",J83-J82)</f>
        <v/>
      </c>
    </row>
    <row r="84" spans="1:13" x14ac:dyDescent="0.35">
      <c r="A84" s="48"/>
      <c r="B84" s="48"/>
      <c r="C84" s="50"/>
      <c r="D84" s="50"/>
      <c r="E84" s="51" t="str">
        <f t="shared" ref="E84:E94" si="28">IF(N(C84)=0,"",(A84-A83)*C84*100)</f>
        <v/>
      </c>
      <c r="F84" s="68" t="str">
        <f t="shared" si="26"/>
        <v/>
      </c>
      <c r="G84" s="69" t="str">
        <f t="shared" ref="G84:G94" si="29">IF(OR(N(D84)=0,N(E84)=0),"",(E84*D84)/1000)</f>
        <v/>
      </c>
      <c r="H84" s="70" t="str">
        <f t="shared" si="27"/>
        <v/>
      </c>
      <c r="I84" s="27" t="str">
        <f>IF(N(J84)=0,"",0&amp;"-"&amp;B$3)</f>
        <v/>
      </c>
      <c r="J84" s="52" t="str">
        <f>IF(N(B$3)=0,"",IF(AND(COUNT(H83:H94)=2,COUNT(F83:F94)=2),cubic_spline(F82:F84,H82:H84,B$3),IF(AND(COUNT(H83:H94)=3,COUNT(F83:F94)=3),cubic_spline(F82:F85,H82:H85,B$3),IF(AND(COUNT(H83:H94)=4,COUNT(F83:F94)=4),cubic_spline(F82:F86,H82:H86,B$3),IF(AND(COUNT(H83:H94)=5,COUNT(F83:F94)=5),cubic_spline(F82:F87,H82:H87,B$3),IF(AND(COUNT(H83:H94)=6,COUNT(F83:F94)=6),cubic_spline(F82:F88,H82:H88,B$3),IF(AND(COUNT(H83:H94)=7,COUNT(F83:F94)=7),cubic_spline(F82:F89,H82:H89,B$3),IF(AND(COUNT(H83:H94)=8,COUNT(F83:F94)=8),cubic_spline(F82:F90,H82:H90,B$3),IF(AND(COUNT(H83:H94)=9,COUNT(F83:F94)=9),cubic_spline(F82:F91,H82:H91,B$3),IF(AND(COUNT(H83:H94)=10,COUNT(F83:F94)=10),cubic_spline(F82:F92,H82:H92,B$3),IF(AND(COUNT(H83:H94)=11,COUNT(F83:F94)=11),cubic_spline(F82:F93,H82:H93,B$3),IF(AND(COUNT(H83:H94)=12,COUNT(F83:F94)=12),cubic_spline(F82:F94,H82:H94,B$3),""))))))))))))</f>
        <v/>
      </c>
      <c r="K84" s="52" t="str">
        <f>IF(N(B$3)=0,"",IF(AND(COUNT(A83:A94)=2,COUNT(F83:F94)=2),cubic_spline(F82:F84,A82:A84,B$3),IF(AND(COUNT(A83:A94)=3,COUNT(F83:F94)=3),cubic_spline(F82:F85,A82:A85,B$3),IF(AND(COUNT(A83:A94)=4,COUNT(F83:F94)=4),cubic_spline(F82:F86,A82:A86,B$3),IF(AND(COUNT(A83:A94)=5,COUNT(F83:F94)=5),cubic_spline(F82:F87,A82:A87,B$3),IF(AND(COUNT(A83:A94)=6,COUNT(F83:F94)=6),cubic_spline(F82:F88,A82:A88,B$3),IF(AND(COUNT(A83:A94)=7,COUNT(F83:F94)=7),cubic_spline(F82:F89,A82:A89,B$3),IF(AND(COUNT(A83:A94)=8,COUNT(F83:F94)=8),cubic_spline(F82:F90,A82:A90,B$3),IF(AND(COUNT(A83:A94)=9,COUNT(F83:F94)=9),cubic_spline(F82:F91,A82:A91,B$3),IF(AND(COUNT(A83:A94)=10,COUNT(F83:F94)=10),cubic_spline(F82:F92,A82:A92,B$3),IF(AND(COUNT(A83:A94)=11,COUNT(F83:F94)=11),cubic_spline(F82:F93,A82:A93,B$3),IF(AND(COUNT(A83:A94)=12,COUNT(F83:F94)=12),cubic_spline(F82:F94,A82:A94,B$3),""))))))))))))</f>
        <v/>
      </c>
      <c r="L84" s="27" t="str">
        <f>IF(I84="","",B$2&amp;"-"&amp;B$3)</f>
        <v/>
      </c>
      <c r="M84" s="52" t="str">
        <f>IF(N(J84)=0,"",J84-J83)</f>
        <v/>
      </c>
    </row>
    <row r="85" spans="1:13" x14ac:dyDescent="0.35">
      <c r="A85" s="48"/>
      <c r="B85" s="48"/>
      <c r="C85" s="50"/>
      <c r="D85" s="50"/>
      <c r="E85" s="51" t="str">
        <f t="shared" si="28"/>
        <v/>
      </c>
      <c r="F85" s="68" t="str">
        <f t="shared" si="26"/>
        <v/>
      </c>
      <c r="G85" s="69" t="str">
        <f t="shared" si="29"/>
        <v/>
      </c>
      <c r="H85" s="70" t="str">
        <f t="shared" si="27"/>
        <v/>
      </c>
      <c r="I85" s="27" t="str">
        <f>IF(N(J85)=0,"",0&amp;"-"&amp;B$4)</f>
        <v/>
      </c>
      <c r="J85" s="52" t="str">
        <f>IF(N(B$4)=0,"",IF(AND(COUNT(H83:H94)=2,COUNT(F83:F94)=2),cubic_spline(F82:F84,H82:H84,B$4),IF(AND(COUNT(H83:H94)=3,COUNT(F83:F94)=3),cubic_spline(F82:F85,H82:H85,B$4),IF(AND(COUNT(H83:H94)=4,COUNT(F83:F94)=4),cubic_spline(F82:F86,H82:H86,B$4),IF(AND(COUNT(H83:H94)=5,COUNT(F83:F94)=5),cubic_spline(F82:F87,H82:H87,B$4),IF(AND(COUNT(H83:H94)=6,COUNT(F83:F94)=6),cubic_spline(F82:F88,H82:H88,B$4),IF(AND(COUNT(H83:H94)=7,COUNT(F83:F94)=7),cubic_spline(F82:F89,H82:H89,B$4),IF(AND(COUNT(H83:H94)=8,COUNT(F83:F94)=8),cubic_spline(F82:F90,H82:H90,B$4),IF(AND(COUNT(H83:H94)=9,COUNT(F83:F94)=9),cubic_spline(F82:F91,H82:H91,B$4),IF(AND(COUNT(H83:H94)=10,COUNT(F83:F94)=10),cubic_spline(F82:F92,H82:H92,B$4),IF(AND(COUNT(H83:H94)=11,COUNT(F83:F94)=11),cubic_spline(F82:F93,H82:H93,B$4),IF(AND(COUNT(H83:H94)=12,COUNT(F83:F94)=12),cubic_spline(F82:F94,H82:H94,B$4),""))))))))))))</f>
        <v/>
      </c>
      <c r="K85" s="52" t="str">
        <f>IF(N(B$4)=0,"",IF(AND(COUNT(A83:A94)=2,COUNT(F83:F94)=2),cubic_spline(F82:F84,A82:A84,B$4),IF(AND(COUNT(A83:A94)=3,COUNT(F83:F94)=3),cubic_spline(F82:F85,A82:A85,B$4),IF(AND(COUNT(A83:A94)=4,COUNT(F83:F94)=4),cubic_spline(F82:F86,A82:A86,B$4),IF(AND(COUNT(A83:A94)=5,COUNT(F83:F94)=5),cubic_spline(F82:F87,A82:A87,B$4),IF(AND(COUNT(A83:A94)=6,COUNT(F83:F94)=6),cubic_spline(F82:F88,A82:A88,B$4),IF(AND(COUNT(A83:A94)=7,COUNT(F83:F94)=7),cubic_spline(F82:F89,A82:A89,B$4),IF(AND(COUNT(A83:A94)=8,COUNT(F83:F94)=8),cubic_spline(F82:F90,A82:A90,B$4),IF(AND(COUNT(A83:A94)=9,COUNT(F83:F94)=9),cubic_spline(F82:F91,A82:A91,B$4),IF(AND(COUNT(A83:A94)=10,COUNT(F83:F94)=10),cubic_spline(F82:F92,A82:A92,B$4),IF(AND(COUNT(A83:A94)=11,COUNT(F83:F94)=11),cubic_spline(F82:F93,A82:A93,B$4),IF(AND(COUNT(A83:A94)=12,COUNT(F83:F94)=12),cubic_spline(F82:F94,A82:A94,B$4),""))))))))))))</f>
        <v/>
      </c>
      <c r="L85" s="27" t="str">
        <f>IF(I85="","",B$3&amp;"-"&amp;B$4)</f>
        <v/>
      </c>
      <c r="M85" s="52" t="str">
        <f>IF(N(J85)=0,"",J85-J84)</f>
        <v/>
      </c>
    </row>
    <row r="86" spans="1:13" x14ac:dyDescent="0.35">
      <c r="A86" s="48"/>
      <c r="B86" s="48"/>
      <c r="C86" s="50"/>
      <c r="D86" s="50"/>
      <c r="E86" s="51" t="str">
        <f t="shared" si="28"/>
        <v/>
      </c>
      <c r="F86" s="68" t="str">
        <f t="shared" si="26"/>
        <v/>
      </c>
      <c r="G86" s="69" t="str">
        <f t="shared" si="29"/>
        <v/>
      </c>
      <c r="H86" s="70" t="str">
        <f t="shared" si="27"/>
        <v/>
      </c>
      <c r="I86" s="27" t="str">
        <f>IF(N(J86)=0,"",0&amp;"-"&amp;B$5)</f>
        <v/>
      </c>
      <c r="J86" s="52" t="str">
        <f>IF(N(B$5)=0,"",IF(AND(COUNT(H83:H94)=2,COUNT(F83:F94)=2),cubic_spline(F82:F84,H82:H84,B$5),IF(AND(COUNT(H83:H94)=3,COUNT(F83:F94)=3),cubic_spline(F82:F85,H82:H85,B$5),IF(AND(COUNT(H83:H94)=4,COUNT(F83:F94)=4),cubic_spline(F82:F86,H82:H86,B$5),IF(AND(COUNT(H83:H94)=5,COUNT(F83:F94)=5),cubic_spline(F82:F87,H82:H87,B$5),IF(AND(COUNT(H83:H94)=6,COUNT(F83:F94)=6),cubic_spline(F82:F88,H82:H88,B$5),IF(AND(COUNT(H83:H94)=7,COUNT(F83:F94)=7),cubic_spline(F82:F89,H82:H89,B$5),IF(AND(COUNT(H83:H94)=8,COUNT(F83:F94)=8),cubic_spline(F82:F90,H82:H90,B$5),IF(AND(COUNT(H83:H94)=9,COUNT(F83:F94)=9),cubic_spline(F82:F91,H82:H91,B$5),IF(AND(COUNT(H83:H94)=10,COUNT(F83:F94)=10),cubic_spline(F82:F92,H82:H92,B$5),IF(AND(COUNT(H83:H94)=11,COUNT(F83:F94)=11),cubic_spline(F82:F93,H82:H93,B$5),IF(AND(COUNT(H83:H94)=12,COUNT(F83:F94)=12),cubic_spline(F82:F94,H82:H94,B$5),""))))))))))))</f>
        <v/>
      </c>
      <c r="K86" s="52" t="str">
        <f>IF(N(B$5)=0,"",IF(AND(COUNT(A83:A94)=2,COUNT(F83:F94)=2),cubic_spline(F82:F84,A82:A84,B$5),IF(AND(COUNT(A83:A94)=3,COUNT(F83:F94)=3),cubic_spline(F82:F85,A82:A85,B$5),IF(AND(COUNT(A83:A94)=4,COUNT(F83:F94)=4),cubic_spline(F82:F86,A82:A86,B$5),IF(AND(COUNT(A83:A94)=5,COUNT(F83:F94)=5),cubic_spline(F82:F87,A82:A87,B$5),IF(AND(COUNT(A83:A94)=6,COUNT(F83:F94)=6),cubic_spline(F82:F88,A82:A88,B$5),IF(AND(COUNT(A83:A94)=7,COUNT(F83:F94)=7),cubic_spline(F82:F89,A82:A89,B$5),IF(AND(COUNT(A83:A94)=8,COUNT(F83:F94)=8),cubic_spline(F82:F90,A82:A90,B$5),IF(AND(COUNT(A83:A94)=9,COUNT(F83:F94)=9),cubic_spline(F82:F91,A82:A91,B$5),IF(AND(COUNT(A83:A94)=10,COUNT(F83:F94)=10),cubic_spline(F82:F92,A82:A92,B$5),IF(AND(COUNT(A83:A94)=11,COUNT(F83:F94)=11),cubic_spline(F82:F93,A82:A93,B$5),IF(AND(COUNT(A83:A94)=12,COUNT(F83:F94)=12),cubic_spline(F82:F94,A82:A94,B$5),""))))))))))))</f>
        <v/>
      </c>
      <c r="L86" s="27" t="str">
        <f>IF(I86="","",B$4&amp;"-"&amp;B$5)</f>
        <v/>
      </c>
      <c r="M86" s="52" t="str">
        <f>IF(N(J86)=0,"",J86-J85)</f>
        <v/>
      </c>
    </row>
    <row r="87" spans="1:13" x14ac:dyDescent="0.35">
      <c r="A87" s="48"/>
      <c r="B87" s="48"/>
      <c r="C87" s="50"/>
      <c r="D87" s="50"/>
      <c r="E87" s="51" t="str">
        <f t="shared" si="28"/>
        <v/>
      </c>
      <c r="F87" s="71" t="str">
        <f t="shared" si="26"/>
        <v/>
      </c>
      <c r="G87" s="69" t="str">
        <f t="shared" si="29"/>
        <v/>
      </c>
      <c r="H87" s="70" t="str">
        <f t="shared" si="27"/>
        <v/>
      </c>
      <c r="I87" s="27" t="str">
        <f>IF(N(J87)=0,"",0&amp;"-"&amp;B$6)</f>
        <v/>
      </c>
      <c r="J87" s="52" t="str">
        <f>IF(N(B$6)=0,"",IF(AND(COUNT(H83:H94)=2,COUNT(F83:F94)=2),cubic_spline(F82:F84,H82:H84,B$6),IF(AND(COUNT(H83:H94)=3,COUNT(F83:F94)=3),cubic_spline(F82:F85,H82:H85,B$6),IF(AND(COUNT(H83:H94)=4,COUNT(F83:F94)=4),cubic_spline(F82:F86,H82:H86,B$6),IF(AND(COUNT(H83:H94)=5,COUNT(F83:F94)=5),cubic_spline(F82:F87,H82:H87,B$6),IF(AND(COUNT(H83:H94)=6,COUNT(F83:F94)=6),cubic_spline(F82:F88,H82:H88,B$6),IF(AND(COUNT(H83:H94)=7,COUNT(F83:F94)=7),cubic_spline(F82:F89,H82:H89,B$6),IF(AND(COUNT(H83:H94)=8,COUNT(F83:F94)=8),cubic_spline(F82:F90,H82:H90,B$6),IF(AND(COUNT(H83:H94)=9,COUNT(F83:F94)=9),cubic_spline(F82:F91,H82:H91,B$6),IF(AND(COUNT(H83:H94)=10,COUNT(F83:F94)=10),cubic_spline(F82:F92,H82:H92,B$6),IF(AND(COUNT(H83:H94)=11,COUNT(F83:F94)=11),cubic_spline(F82:F93,H82:H93,B$6),IF(AND(COUNT(H83:H94)=12,COUNT(F83:F94)=12),cubic_spline(F82:F94,H82:H94,B$6),""))))))))))))</f>
        <v/>
      </c>
      <c r="K87" s="52" t="str">
        <f>IF(N(B$6)=0,"",IF(AND(COUNT(A83:A94)=2,COUNT(F83:F94)=2),cubic_spline(F82:F84,A82:A84,B$6),IF(AND(COUNT(A83:A94)=3,COUNT(F83:F94)=3),cubic_spline(F82:F85,A82:A85,B$6),IF(AND(COUNT(A83:A94)=4,COUNT(F83:F94)=4),cubic_spline(F82:F86,A82:A86,B$6),IF(AND(COUNT(A83:A94)=5,COUNT(F83:F94)=5),cubic_spline(F82:F87,A82:A87,B$6),IF(AND(COUNT(A83:A94)=6,COUNT(F83:F94)=6),cubic_spline(F82:F88,A82:A88,B$6),IF(AND(COUNT(A83:A94)=7,COUNT(F83:F94)=7),cubic_spline(F82:F89,A82:A89,B$6),IF(AND(COUNT(A83:A94)=8,COUNT(F83:F94)=8),cubic_spline(F82:F90,A82:A90,B$6),IF(AND(COUNT(A83:A94)=9,COUNT(F83:F94)=9),cubic_spline(F82:F91,A82:A91,B$6),IF(AND(COUNT(A83:A94)=10,COUNT(F83:F94)=10),cubic_spline(F82:F92,A82:A92,B$6),IF(AND(COUNT(A83:A94)=11,COUNT(F83:F94)=11),cubic_spline(F82:F93,A82:A93,B$6),IF(AND(COUNT(A83:A94)=12,COUNT(F83:F94)=12),cubic_spline(F82:F94,A82:A94,B$6),""))))))))))))</f>
        <v/>
      </c>
      <c r="L87" s="27" t="str">
        <f>IF(I87="","",B$5&amp;"-"&amp;B$6)</f>
        <v/>
      </c>
      <c r="M87" s="52" t="str">
        <f>IF(N(J87)=0,"",J87-J86)</f>
        <v/>
      </c>
    </row>
    <row r="88" spans="1:13" x14ac:dyDescent="0.35">
      <c r="A88" s="48"/>
      <c r="B88" s="48"/>
      <c r="C88" s="50"/>
      <c r="D88" s="50"/>
      <c r="E88" s="51" t="str">
        <f t="shared" si="28"/>
        <v/>
      </c>
      <c r="F88" s="71" t="str">
        <f t="shared" si="26"/>
        <v/>
      </c>
      <c r="G88" s="69" t="str">
        <f t="shared" si="29"/>
        <v/>
      </c>
      <c r="H88" s="70" t="str">
        <f t="shared" si="27"/>
        <v/>
      </c>
      <c r="I88" s="27" t="str">
        <f>IF(N(J88)=0,"",0&amp;"-"&amp;B$7)</f>
        <v/>
      </c>
      <c r="J88" s="52" t="str">
        <f>IF(N(B$7)=0,"",IF(AND(COUNT(H83:H94)=2,COUNT(F83:F94)=2),cubic_spline(F82:F84,H82:H84,B$7),IF(AND(COUNT(H83:H94)=3,COUNT(F83:F94)=3),cubic_spline(F82:F85,H82:H85,B$7),IF(AND(COUNT(H83:H94)=4,COUNT(F83:F94)=4),cubic_spline(F82:F86,H82:H86,B$7),IF(AND(COUNT(H83:H94)=5,COUNT(F83:F94)=5),cubic_spline(F82:F87,H82:H87,B$7),IF(AND(COUNT(H83:H94)=6,COUNT(F83:F94)=6),cubic_spline(F82:F88,H82:H88,B$7),IF(AND(COUNT(H83:H94)=7,COUNT(F83:F94)=7),cubic_spline(F82:F89,H82:H89,B$7),IF(AND(COUNT(H83:H94)=8,COUNT(F83:F94)=8),cubic_spline(F82:F90,H82:H90,B$7),IF(AND(COUNT(H83:H94)=9,COUNT(F83:F94)=9),cubic_spline(F82:F91,H82:H91,B$7),IF(AND(COUNT(H83:H94)=10,COUNT(F83:F94)=10),cubic_spline(F82:F92,H82:H92,B$7),IF(AND(COUNT(H83:H94)=11,COUNT(F83:F94)=11),cubic_spline(F82:F93,H82:H93,B$7),IF(AND(COUNT(H83:H94)=12,COUNT(F83:F94)=12),cubic_spline(F82:F94,H82:H94,B$7),""))))))))))))</f>
        <v/>
      </c>
      <c r="K88" s="52" t="str">
        <f>IF(N(B$7)=0,"",IF(AND(COUNT(A83:A94)=2,COUNT(F83:F94)=2),cubic_spline(F82:F84,A82:A84,B$7),IF(AND(COUNT(A83:A94)=3,COUNT(F83:F94)=3),cubic_spline(F82:F85,A82:A85,B$7),IF(AND(COUNT(A83:A94)=4,COUNT(F83:F94)=4),cubic_spline(F82:F86,A82:A86,B$7),IF(AND(COUNT(A83:A94)=5,COUNT(F83:F94)=5),cubic_spline(F82:F87,A82:A87,B$7),IF(AND(COUNT(A83:A94)=6,COUNT(F83:F94)=6),cubic_spline(F82:F88,A82:A88,B$7),IF(AND(COUNT(A83:A94)=7,COUNT(F83:F94)=7),cubic_spline(F82:F89,A82:A89,B$7),IF(AND(COUNT(A83:A94)=8,COUNT(F83:F94)=8),cubic_spline(F82:F90,A82:A90,B$7),IF(AND(COUNT(A83:A94)=9,COUNT(F83:F94)=9),cubic_spline(F82:F91,A82:A91,B$7),IF(AND(COUNT(A83:A94)=10,COUNT(F83:F94)=10),cubic_spline(F82:F92,A82:A92,B$7),IF(AND(COUNT(A83:A94)=11,COUNT(F83:F94)=11),cubic_spline(F82:F93,A82:A93,B$7),IF(AND(COUNT(A83:A94)=12,COUNT(F83:F94)=12),cubic_spline(F82:F94,A82:A94,B$7),""))))))))))))</f>
        <v/>
      </c>
      <c r="L88" s="27" t="str">
        <f>IF(I88="","",B$6&amp;"-"&amp;B$7)</f>
        <v/>
      </c>
      <c r="M88" s="52" t="str">
        <f t="shared" ref="M88:M94" si="30">IF(N(J88)=0,"",J88-J87)</f>
        <v/>
      </c>
    </row>
    <row r="89" spans="1:13" x14ac:dyDescent="0.35">
      <c r="A89" s="48"/>
      <c r="B89" s="48"/>
      <c r="C89" s="50"/>
      <c r="D89" s="50"/>
      <c r="E89" s="51" t="str">
        <f t="shared" si="28"/>
        <v/>
      </c>
      <c r="F89" s="71" t="str">
        <f t="shared" si="26"/>
        <v/>
      </c>
      <c r="G89" s="69" t="str">
        <f t="shared" si="29"/>
        <v/>
      </c>
      <c r="H89" s="70" t="str">
        <f t="shared" si="27"/>
        <v/>
      </c>
      <c r="I89" s="27" t="str">
        <f>IF(N(J89)=0,"",0&amp;"-"&amp;B$8)</f>
        <v/>
      </c>
      <c r="J89" s="52" t="str">
        <f>IF(N(B$8)=0,"",IF(AND(COUNT(H83:H94)=2,COUNT(F83:F94)=2),cubic_spline(F82:F84,H82:H84,B$8),IF(AND(COUNT(H83:H94)=3,COUNT(F83:F94)=3),cubic_spline(F82:F85,H82:H85,B$8),IF(AND(COUNT(H83:H94)=4,COUNT(F83:F94)=4),cubic_spline(F82:F86,H82:H86,B$8),IF(AND(COUNT(H83:H94)=5,COUNT(F83:F94)=5),cubic_spline(F82:F87,H82:H87,B$8),IF(AND(COUNT(H83:H94)=6,COUNT(F83:F94)=6),cubic_spline(F82:F88,H82:H88,B$8),IF(AND(COUNT(H83:H94)=7,COUNT(F83:F94)=7),cubic_spline(F82:F89,H82:H89,B$8),IF(AND(COUNT(H83:H94)=8,COUNT(F83:F94)=8),cubic_spline(F82:F90,H82:H90,B$8),IF(AND(COUNT(H83:H94)=9,COUNT(F83:F94)=9),cubic_spline(F82:F91,H82:H91,B$8),IF(AND(COUNT(H83:H94)=10,COUNT(F83:F94)=10),cubic_spline(F82:F92,H82:H92,B$8),IF(AND(COUNT(H83:H94)=11,COUNT(F83:F94)=11),cubic_spline(F82:F93,H82:H93,B$8),IF(AND(COUNT(H83:H94)=12,COUNT(F83:F94)=12),cubic_spline(F82:F94,H82:H94,B$8),""))))))))))))</f>
        <v/>
      </c>
      <c r="K89" s="52" t="str">
        <f>IF(N(B$8)=0,"",IF(AND(COUNT(A83:A94)=2,COUNT(F83:F94)=2),cubic_spline(F82:F84,A82:A84,B$8),IF(AND(COUNT(A83:A94)=3,COUNT(F83:F94)=3),cubic_spline(F82:F85,A82:A85,B$8),IF(AND(COUNT(A83:A94)=4,COUNT(F83:F94)=4),cubic_spline(F82:F86,A82:A86,B$8),IF(AND(COUNT(A83:A94)=5,COUNT(F83:F94)=5),cubic_spline(F82:F87,A82:A87,B$8),IF(AND(COUNT(A83:A94)=6,COUNT(F83:F94)=6),cubic_spline(F82:F88,A82:A88,B$8),IF(AND(COUNT(A83:A94)=7,COUNT(F83:F94)=7),cubic_spline(F82:F89,A82:A89,B$8),IF(AND(COUNT(A83:A94)=8,COUNT(F83:F94)=8),cubic_spline(F82:F90,A82:A90,B$8),IF(AND(COUNT(A83:A94)=9,COUNT(F83:F94)=9),cubic_spline(F82:F91,A82:A91,B$8),IF(AND(COUNT(A83:A94)=10,COUNT(F83:F94)=10),cubic_spline(F82:F92,A82:A92,B$8),IF(AND(COUNT(A83:A94)=11,COUNT(F83:F94)=11),cubic_spline(F82:F93,A82:A93,B$8),IF(AND(COUNT(A83:A94)=12,COUNT(F83:F94)=12),cubic_spline(F82:F94,A82:A94,B$8),""))))))))))))</f>
        <v/>
      </c>
      <c r="L89" s="27" t="str">
        <f>IF(I89="","",B$7&amp;"-"&amp;B$8)</f>
        <v/>
      </c>
      <c r="M89" s="52" t="str">
        <f t="shared" si="30"/>
        <v/>
      </c>
    </row>
    <row r="90" spans="1:13" x14ac:dyDescent="0.35">
      <c r="A90" s="48"/>
      <c r="B90" s="48"/>
      <c r="C90" s="50"/>
      <c r="D90" s="50"/>
      <c r="E90" s="51" t="str">
        <f t="shared" si="28"/>
        <v/>
      </c>
      <c r="F90" s="71" t="str">
        <f t="shared" si="26"/>
        <v/>
      </c>
      <c r="G90" s="69" t="str">
        <f t="shared" si="29"/>
        <v/>
      </c>
      <c r="H90" s="70" t="str">
        <f t="shared" si="27"/>
        <v/>
      </c>
      <c r="I90" s="27" t="str">
        <f>IF(N(J90)=0,"",0&amp;"-"&amp;B$9)</f>
        <v/>
      </c>
      <c r="J90" s="52" t="str">
        <f>IF(N(B$9)=0,"",IF(AND(COUNT(H83:H94)=2,COUNT(F83:F94)=2),cubic_spline(F82:F84,H82:H84,B$9),IF(AND(COUNT(H83:H94)=3,COUNT(F83:F94)=3),cubic_spline(F82:F85,H82:H85,B$9),IF(AND(COUNT(H83:H94)=4,COUNT(F83:F94)=4),cubic_spline(F82:F86,H82:H86,B$9),IF(AND(COUNT(H83:H94)=5,COUNT(F83:F94)=5),cubic_spline(F82:F87,H82:H87,B$9),IF(AND(COUNT(H83:H94)=6,COUNT(F83:F94)=6),cubic_spline(F82:F88,H82:H88,B$9),IF(AND(COUNT(H83:H94)=7,COUNT(F83:F94)=7),cubic_spline(F82:F89,H82:H89,B$9),IF(AND(COUNT(H83:H94)=8,COUNT(F83:F94)=8),cubic_spline(F82:F90,H82:H90,B$9),IF(AND(COUNT(H83:H94)=9,COUNT(F83:F94)=9),cubic_spline(F82:F91,H82:H91,B$9),IF(AND(COUNT(H83:H94)=10,COUNT(F83:F94)=10),cubic_spline(F82:F92,H82:H92,B$9),IF(AND(COUNT(H83:H94)=11,COUNT(F83:F94)=11),cubic_spline(F82:F93,H82:H93,B$9),IF(AND(COUNT(H83:H94)=12,COUNT(F83:F94)=12),cubic_spline(F82:F94,H82:H94,B$9),""))))))))))))</f>
        <v/>
      </c>
      <c r="K90" s="52" t="str">
        <f>IF(N(B$9)=0,"",IF(AND(COUNT(A83:A94)=2,COUNT(F83:F94)=2),cubic_spline(F82:F84,A82:A84,B$9),IF(AND(COUNT(A83:A94)=3,COUNT(F83:F94)=3),cubic_spline(F82:F85,A82:A85,B$9),IF(AND(COUNT(A83:A94)=4,COUNT(F83:F94)=4),cubic_spline(F82:F86,A82:A86,B$9),IF(AND(COUNT(A83:A94)=5,COUNT(F83:F94)=5),cubic_spline(F82:F87,A82:A87,B$9),IF(AND(COUNT(A83:A94)=6,COUNT(F83:F94)=6),cubic_spline(F82:F88,A82:A88,B$9),IF(AND(COUNT(A83:A94)=7,COUNT(F83:F94)=7),cubic_spline(F82:F89,A82:A89,B$9),IF(AND(COUNT(A83:A94)=8,COUNT(F83:F94)=8),cubic_spline(F82:F90,A82:A90,B$9),IF(AND(COUNT(A83:A94)=9,COUNT(F83:F94)=9),cubic_spline(F82:F91,A82:A91,B$9),IF(AND(COUNT(A83:A94)=10,COUNT(F83:F94)=10),cubic_spline(F82:F92,A82:A92,B$9),IF(AND(COUNT(A83:A94)=11,COUNT(F83:F94)=11),cubic_spline(F82:F93,A82:A93,B$9),IF(AND(COUNT(A83:A94)=12,COUNT(F83:F94)=12),cubic_spline(F82:F94,A82:A94,B$9),""))))))))))))</f>
        <v/>
      </c>
      <c r="L90" s="27" t="str">
        <f>IF(I90="","",B$8&amp;"-"&amp;B$9)</f>
        <v/>
      </c>
      <c r="M90" s="52" t="str">
        <f t="shared" si="30"/>
        <v/>
      </c>
    </row>
    <row r="91" spans="1:13" x14ac:dyDescent="0.35">
      <c r="A91" s="48"/>
      <c r="B91" s="48"/>
      <c r="C91" s="50"/>
      <c r="D91" s="50"/>
      <c r="E91" s="51" t="str">
        <f t="shared" si="28"/>
        <v/>
      </c>
      <c r="F91" s="71" t="str">
        <f t="shared" si="26"/>
        <v/>
      </c>
      <c r="G91" s="69" t="str">
        <f t="shared" si="29"/>
        <v/>
      </c>
      <c r="H91" s="70" t="str">
        <f t="shared" si="27"/>
        <v/>
      </c>
      <c r="I91" s="27" t="str">
        <f>IF(N(J91)=0,"",0&amp;"-"&amp;B$10)</f>
        <v/>
      </c>
      <c r="J91" s="52" t="str">
        <f>IF(N(B$10)=0,"",IF(AND(COUNT(H83:H94)=2,COUNT(F83:F94)=2),cubic_spline(F82:F84,H82:H84,B$10),IF(AND(COUNT(H83:H94)=3,COUNT(F83:F94)=3),cubic_spline(F82:F85,H82:H85,B$10),IF(AND(COUNT(H83:H94)=4,COUNT(F83:F94)=4),cubic_spline(F82:F86,H82:H86,B$10),IF(AND(COUNT(H83:H94)=5,COUNT(F83:F94)=5),cubic_spline(F82:F87,H82:H87,B$10),IF(AND(COUNT(H83:H94)=6,COUNT(F83:F94)=6),cubic_spline(F82:F88,H82:H88,B$10),IF(AND(COUNT(H83:H94)=7,COUNT(F83:F94)=7),cubic_spline(F82:F89,H82:H89,B$10),IF(AND(COUNT(H83:H94)=8,COUNT(F83:F94)=8),cubic_spline(F82:F90,H82:H90,B$10),IF(AND(COUNT(H83:H94)=9,COUNT(F83:F94)=9),cubic_spline(F82:F91,H82:H91,B$10),IF(AND(COUNT(H83:H94)=10,COUNT(F83:F94)=10),cubic_spline(F82:F92,H82:H92,B$10),IF(AND(COUNT(H83:H94)=11,COUNT(F83:F94)=11),cubic_spline(F82:F93,H82:H93,B$10),IF(AND(COUNT(H83:H94)=12,COUNT(F83:F94)=12),cubic_spline(F82:F94,H82:H94,B$10),""))))))))))))</f>
        <v/>
      </c>
      <c r="K91" s="52" t="str">
        <f>IF(N(B$10)=0,"",IF(AND(COUNT(A83:A94)=2,COUNT(F83:F94)=2),cubic_spline(F82:F84,A82:A84,B$10),IF(AND(COUNT(A83:A94)=3,COUNT(F83:F94)=3),cubic_spline(F82:F85,A82:A85,B$10),IF(AND(COUNT(A83:A94)=4,COUNT(F83:F94)=4),cubic_spline(F82:F86,A82:A86,B$10),IF(AND(COUNT(A83:A94)=5,COUNT(F83:F94)=5),cubic_spline(F82:F87,A82:A87,B$10),IF(AND(COUNT(A83:A94)=6,COUNT(F83:F94)=6),cubic_spline(F82:F88,A82:A88,B$10),IF(AND(COUNT(A83:A94)=7,COUNT(F83:F94)=7),cubic_spline(F82:F89,A82:A89,B$10),IF(AND(COUNT(A83:A94)=8,COUNT(F83:F94)=8),cubic_spline(F82:F90,A82:A90,B$10),IF(AND(COUNT(A83:A94)=9,COUNT(F83:F94)=9),cubic_spline(F82:F91,A82:A91,B$10),IF(AND(COUNT(A83:A94)=10,COUNT(F83:F94)=10),cubic_spline(F82:F92,A82:A92,B$10),IF(AND(COUNT(A83:A94)=11,COUNT(F83:F94)=11),cubic_spline(F82:F93,A82:A93,B$10),IF(AND(COUNT(A83:A94)=12,COUNT(F83:F94)=12),cubic_spline(F82:F94,A82:A94,B$10),""))))))))))))</f>
        <v/>
      </c>
      <c r="L91" s="27" t="str">
        <f>IF(I91="","",B$9&amp;"-"&amp;B$10)</f>
        <v/>
      </c>
      <c r="M91" s="52" t="str">
        <f t="shared" si="30"/>
        <v/>
      </c>
    </row>
    <row r="92" spans="1:13" x14ac:dyDescent="0.35">
      <c r="A92" s="48"/>
      <c r="B92" s="48"/>
      <c r="C92" s="50"/>
      <c r="D92" s="50"/>
      <c r="E92" s="51" t="str">
        <f t="shared" si="28"/>
        <v/>
      </c>
      <c r="F92" s="71" t="str">
        <f t="shared" si="26"/>
        <v/>
      </c>
      <c r="G92" s="69" t="str">
        <f t="shared" si="29"/>
        <v/>
      </c>
      <c r="H92" s="70" t="str">
        <f t="shared" si="27"/>
        <v/>
      </c>
      <c r="I92" s="27" t="str">
        <f>IF(N(J92)=0,"",0&amp;"-"&amp;B$11)</f>
        <v/>
      </c>
      <c r="J92" s="52" t="str">
        <f>IF(N(B$11)=0,"",IF(AND(COUNT(H83:H94)=2,COUNT(F83:F94)=2),cubic_spline(F82:F84,H82:H84,B$11),IF(AND(COUNT(H83:H94)=3,COUNT(F83:F94)=3),cubic_spline(F82:F85,H82:H85,B$11),IF(AND(COUNT(H83:H94)=4,COUNT(F83:F94)=4),cubic_spline(F82:F86,H82:H86,B$11),IF(AND(COUNT(H83:H94)=5,COUNT(F83:F94)=5),cubic_spline(F82:F87,H82:H87,B$11),IF(AND(COUNT(H83:H94)=6,COUNT(F83:F94)=6),cubic_spline(F82:F88,H82:H88,B$11),IF(AND(COUNT(H83:H94)=7,COUNT(F83:F94)=7),cubic_spline(F82:F89,H82:H89,B$11),IF(AND(COUNT(H83:H94)=8,COUNT(F83:F94)=8),cubic_spline(F82:F90,H82:H90,B$11),IF(AND(COUNT(H83:H94)=9,COUNT(F83:F94)=9),cubic_spline(F82:F91,H82:H91,B$11),IF(AND(COUNT(H83:H94)=10,COUNT(F83:F94)=10),cubic_spline(F82:F92,H82:H92,B$11),IF(AND(COUNT(H83:H94)=11,COUNT(F83:F94)=11),cubic_spline(F82:F93,H82:H93,B$11),IF(AND(COUNT(H83:H94)=12,COUNT(F83:F94)=12),cubic_spline(F82:F94,H82:H94,B$11),""))))))))))))</f>
        <v/>
      </c>
      <c r="K92" s="52" t="str">
        <f>IF(N(B$11)=0,"",IF(AND(COUNT(A83:A94)=2,COUNT(F83:F94)=2),cubic_spline(F82:F84,A82:A84,B$11),IF(AND(COUNT(A83:A94)=3,COUNT(F83:F94)=3),cubic_spline(F82:F85,A82:A85,B$11),IF(AND(COUNT(A83:A94)=4,COUNT(F83:F94)=4),cubic_spline(F82:F86,A82:A86,B$11),IF(AND(COUNT(A83:A94)=5,COUNT(F83:F94)=5),cubic_spline(F82:F87,A82:A87,B$11),IF(AND(COUNT(A83:A94)=6,COUNT(F83:F94)=6),cubic_spline(F82:F88,A82:A88,B$11),IF(AND(COUNT(A83:A94)=7,COUNT(F83:F94)=7),cubic_spline(F82:F89,A82:A89,B$11),IF(AND(COUNT(A83:A94)=8,COUNT(F83:F94)=8),cubic_spline(F82:F90,A82:A90,B$11),IF(AND(COUNT(A83:A94)=9,COUNT(F83:F94)=9),cubic_spline(F82:F91,A82:A91,B$11),IF(AND(COUNT(A83:A94)=10,COUNT(F83:F94)=10),cubic_spline(F82:F92,A82:A92,B$11),IF(AND(COUNT(A83:A94)=11,COUNT(F83:F94)=11),cubic_spline(F82:F93,A82:A93,B$11),IF(AND(COUNT(A83:A94)=12,COUNT(F83:F94)=12),cubic_spline(F82:F94,A82:A94,B$11),""))))))))))))</f>
        <v/>
      </c>
      <c r="L92" s="27" t="str">
        <f>IF(I92="","",B$10&amp;"-"&amp;B$11)</f>
        <v/>
      </c>
      <c r="M92" s="52" t="str">
        <f t="shared" si="30"/>
        <v/>
      </c>
    </row>
    <row r="93" spans="1:13" x14ac:dyDescent="0.35">
      <c r="A93" s="48"/>
      <c r="B93" s="48"/>
      <c r="C93" s="50"/>
      <c r="D93" s="50"/>
      <c r="E93" s="51" t="str">
        <f t="shared" si="28"/>
        <v/>
      </c>
      <c r="F93" s="71" t="str">
        <f t="shared" si="26"/>
        <v/>
      </c>
      <c r="G93" s="69" t="str">
        <f t="shared" si="29"/>
        <v/>
      </c>
      <c r="H93" s="70" t="str">
        <f t="shared" si="27"/>
        <v/>
      </c>
      <c r="I93" s="27" t="str">
        <f>IF(N(J93)=0,"",0&amp;"-"&amp;B$12)</f>
        <v/>
      </c>
      <c r="J93" s="52" t="str">
        <f>IF(N(B$12)=0,"",IF(AND(COUNT(H83:H94)=2,COUNT(F83:F94)=2),cubic_spline(F82:F84,H82:H84,B$12),IF(AND(COUNT(H83:H94)=3,COUNT(F83:F94)=3),cubic_spline(F82:F85,H82:H85,B$12),IF(AND(COUNT(H83:H94)=4,COUNT(F83:F94)=4),cubic_spline(F82:F86,H82:H86,B$12),IF(AND(COUNT(H83:H94)=5,COUNT(F83:F94)=5),cubic_spline(F82:F87,H82:H87,B$12),IF(AND(COUNT(H83:H94)=6,COUNT(F83:F94)=6),cubic_spline(F82:F88,H82:H88,B$12),IF(AND(COUNT(H83:H94)=7,COUNT(F83:F94)=7),cubic_spline(F82:F89,H82:H89,B$12),IF(AND(COUNT(H83:H94)=8,COUNT(F83:F94)=8),cubic_spline(F82:F90,H82:H90,B$12),IF(AND(COUNT(H83:H94)=9,COUNT(F83:F94)=9),cubic_spline(F82:F91,H82:H91,B$12),IF(AND(COUNT(H83:H94)=10,COUNT(F83:F94)=10),cubic_spline(F82:F92,H82:H92,B$12),IF(AND(COUNT(H83:H94)=11,COUNT(F83:F94)=11),cubic_spline(F82:F93,H82:H93,B$12),IF(AND(COUNT(H83:H94)=12,COUNT(F83:F94)=12),cubic_spline(F82:F94,H82:H94,B$12),""))))))))))))</f>
        <v/>
      </c>
      <c r="K93" s="52" t="str">
        <f>IF(N(B$12)=0,"",IF(AND(COUNT(A83:A94)=2,COUNT(F83:F94)=2),cubic_spline(F82:F84,A82:A84,B$12),IF(AND(COUNT(A83:A94)=3,COUNT(F83:F94)=3),cubic_spline(F82:F85,A82:A85,B$12),IF(AND(COUNT(A83:A94)=4,COUNT(F83:F94)=4),cubic_spline(F82:F86,A82:A86,B$12),IF(AND(COUNT(A83:A94)=5,COUNT(F83:F94)=5),cubic_spline(F82:F87,A82:A87,B$12),IF(AND(COUNT(A83:A94)=6,COUNT(F83:F94)=6),cubic_spline(F82:F88,A82:A88,B$12),IF(AND(COUNT(A83:A94)=7,COUNT(F83:F94)=7),cubic_spline(F82:F89,A82:A89,B$12),IF(AND(COUNT(A83:A94)=8,COUNT(F83:F94)=8),cubic_spline(F82:F90,A82:A90,B$12),IF(AND(COUNT(A83:A94)=9,COUNT(F83:F94)=9),cubic_spline(F82:F91,A82:A91,B$12),IF(AND(COUNT(A83:A94)=10,COUNT(F83:F94)=10),cubic_spline(F82:F92,A82:A92,B$12),IF(AND(COUNT(A83:A94)=11,COUNT(F83:F94)=11),cubic_spline(F82:F93,A82:A93,B$12),IF(AND(COUNT(A83:A94)=12,COUNT(F83:F94)=12),cubic_spline(F82:F94,A82:A94,B$12),""))))))))))))</f>
        <v/>
      </c>
      <c r="L93" s="27" t="str">
        <f>IF(I93="","",B$11&amp;"-"&amp;B$12)</f>
        <v/>
      </c>
      <c r="M93" s="52" t="str">
        <f t="shared" si="30"/>
        <v/>
      </c>
    </row>
    <row r="94" spans="1:13" x14ac:dyDescent="0.35">
      <c r="A94" s="48"/>
      <c r="B94" s="48"/>
      <c r="C94" s="50"/>
      <c r="D94" s="50"/>
      <c r="E94" s="51" t="str">
        <f t="shared" si="28"/>
        <v/>
      </c>
      <c r="F94" s="71" t="str">
        <f t="shared" si="26"/>
        <v/>
      </c>
      <c r="G94" s="69" t="str">
        <f t="shared" si="29"/>
        <v/>
      </c>
      <c r="H94" s="70" t="str">
        <f t="shared" si="27"/>
        <v/>
      </c>
      <c r="I94" s="27" t="str">
        <f>IF(N(J94)=0,"",0&amp;"-"&amp;B$13)</f>
        <v/>
      </c>
      <c r="J94" s="52" t="str">
        <f>IF(N(B$13)=0,"",IF(AND(COUNT(H83:H94)=2,COUNT(F83:F94)=2),cubic_spline(F82:F84,H82:H84,B$13),IF(AND(COUNT(H83:H94)=3,COUNT(F83:F94)=3),cubic_spline(F82:F85,H82:H85,B$13),IF(AND(COUNT(H83:H94)=4,COUNT(F83:F94)=4),cubic_spline(F82:F86,H82:H86,B$13),IF(AND(COUNT(H83:H94)=5,COUNT(F83:F94)=5),cubic_spline(F82:F87,H82:H87,B$13),IF(AND(COUNT(H83:H94)=6,COUNT(F83:F94)=6),cubic_spline(F82:F88,H82:H88,B$13),IF(AND(COUNT(H83:H94)=7,COUNT(F83:F94)=7),cubic_spline(F82:F89,H82:H89,B$13),IF(AND(COUNT(H83:H94)=8,COUNT(F83:F94)=8),cubic_spline(F82:F90,H82:H90,B$13),IF(AND(COUNT(H83:H94)=9,COUNT(F83:F94)=9),cubic_spline(F82:F91,H82:H91,B$13),IF(AND(COUNT(H83:H94)=10,COUNT(F83:F94)=10),cubic_spline(F82:F92,H82:H92,B$13),IF(AND(COUNT(H83:H94)=11,COUNT(F83:F94)=11),cubic_spline(F82:F93,H82:H93,B$13),IF(AND(COUNT(H83:H94)=12,COUNT(F83:F94)=12),cubic_spline(F82:F94,H82:H94,B$13),""))))))))))))</f>
        <v/>
      </c>
      <c r="K94" s="52" t="str">
        <f>IF(N(B$13)=0,"",IF(AND(COUNT(A83:A94)=2,COUNT(F83:F94)=2),cubic_spline(F82:F84,A82:A84,B$13),IF(AND(COUNT(A83:A94)=3,COUNT(F83:F94)=3),cubic_spline(F82:F85,A82:A85,B$13),IF(AND(COUNT(A83:A94)=4,COUNT(F83:F94)=4),cubic_spline(F82:F86,A82:A86,B$13),IF(AND(COUNT(A83:A94)=5,COUNT(F83:F94)=5),cubic_spline(F82:F87,A82:A87,B$13),IF(AND(COUNT(A83:A94)=6,COUNT(F83:F94)=6),cubic_spline(F82:F88,A82:A88,B$13),IF(AND(COUNT(A83:A94)=7,COUNT(F83:F94)=7),cubic_spline(F82:F89,A82:A89,B$13),IF(AND(COUNT(A83:A94)=8,COUNT(F83:F94)=8),cubic_spline(F82:F90,A82:A90,B$13),IF(AND(COUNT(A83:A94)=9,COUNT(F83:F94)=9),cubic_spline(F82:F91,A82:A91,B$13),IF(AND(COUNT(A83:A94)=10,COUNT(F83:F94)=10),cubic_spline(F82:F92,A82:A92,B$13),IF(AND(COUNT(A83:A94)=11,COUNT(F83:F94)=11),cubic_spline(F82:F93,A82:A93,B$13),IF(AND(COUNT(A83:A94)=12,COUNT(F83:F94)=12),cubic_spline(F82:F94,A82:A94,B$13),""))))))))))))</f>
        <v/>
      </c>
      <c r="L94" s="27" t="str">
        <f>IF(I94="","",B$12&amp;"-"&amp;B$13)</f>
        <v/>
      </c>
      <c r="M94" s="52" t="str">
        <f t="shared" si="30"/>
        <v/>
      </c>
    </row>
    <row r="95" spans="1:13" ht="5.15" customHeight="1" x14ac:dyDescent="0.35">
      <c r="A95" s="47"/>
      <c r="B95" s="47"/>
      <c r="C95" s="53"/>
      <c r="D95" s="53"/>
      <c r="E95" s="54"/>
      <c r="F95" s="55"/>
      <c r="G95" s="72"/>
      <c r="H95" s="73"/>
      <c r="I95" s="47"/>
      <c r="J95" s="57"/>
      <c r="K95" s="57"/>
      <c r="L95" s="55"/>
      <c r="M95" s="57"/>
    </row>
    <row r="96" spans="1:13" x14ac:dyDescent="0.35">
      <c r="A96" s="48"/>
      <c r="B96" s="48"/>
      <c r="C96" s="50"/>
      <c r="D96" s="50"/>
      <c r="E96" s="51" t="str">
        <f>IF(N(C96)=0,"",(A96-A95)*C96*100)</f>
        <v/>
      </c>
      <c r="F96" s="68" t="str">
        <f t="shared" ref="F96:F107" si="31">IF(N(E96)=0,"",(N(E96)+N(F95)))</f>
        <v/>
      </c>
      <c r="G96" s="69" t="str">
        <f>IF(OR(N(D96)=0,N(E96)=0),"",(E96*D96)/1000)</f>
        <v/>
      </c>
      <c r="H96" s="70" t="str">
        <f t="shared" ref="H96:H107" si="32">IF(N(G96)=0,"",(N(G96)+N(H95)))</f>
        <v/>
      </c>
      <c r="I96" s="27" t="str">
        <f>IF(N(J96)=0,"",0&amp;"-"&amp;B$2)</f>
        <v/>
      </c>
      <c r="J96" s="52" t="str">
        <f>IF(N(B$2)=0,"",IF(AND(COUNT(H96:H107)=2,COUNT(F96:F107)=2),cubic_spline(F95:F97,H95:H97,B$2),IF(AND(COUNT(H96:H107)=3,COUNT(F96:F107)=3),cubic_spline(F95:F98,H95:H98,B$2),IF(AND(COUNT(H96:H107)=4,COUNT(F96:F107)=4),cubic_spline(F95:F99,H95:H99,B$2),IF(AND(COUNT(H96:H107)=5,COUNT(F96:F107)=5),cubic_spline(F95:F100,H95:H100,B$2),IF(AND(COUNT(H96:H107)=6,COUNT(F96:F107)=6),cubic_spline(F95:F101,H95:H101,B$2),IF(AND(COUNT(H96:H107)=7,COUNT(F96:F107)=7),cubic_spline(F95:F102,H95:H102,B$2),IF(AND(COUNT(H96:H107)=8,COUNT(F96:F107)=8),cubic_spline(F95:F103,H95:H103,B$2),IF(AND(COUNT(H96:H107)=9,COUNT(F96:F107)=9),cubic_spline(F95:F104,H95:H104,B$2),IF(AND(COUNT(H96:H107)=10,COUNT(F96:F107)=10),cubic_spline(F95:F105,H95:H105,B$2),IF(AND(COUNT(H96:H107)=11,COUNT(F96:F107)=11),cubic_spline(F95:F106,H95:H106,B$2),IF(AND(COUNT(H96:H107)=12,COUNT(F96:F107)=12),cubic_spline(F95:F107,H95:H107,B$2),""))))))))))))</f>
        <v/>
      </c>
      <c r="K96" s="52" t="str">
        <f>IF(N(B$2)=0,"",IF(AND(COUNT(A96:A107)=2,COUNT(F96:F107)=2),cubic_spline(F95:F97,A95:A97,B$2),IF(AND(COUNT(A96:A107)=3,COUNT(F96:F107)=3),cubic_spline(F95:F98,A95:A98,B$2),IF(AND(COUNT(A96:A107)=4,COUNT(F96:F107)=4),cubic_spline(F95:F99,A95:A99,B$2),IF(AND(COUNT(A96:A107)=5,COUNT(F96:F107)=5),cubic_spline(F95:F100,A95:A100,B$2),IF(AND(COUNT(A96:A107)=6,COUNT(F96:F107)=6),cubic_spline(F95:F101,A95:A101,B$2),IF(AND(COUNT(A96:A107)=7,COUNT(F96:F107)=7),cubic_spline(F95:F102,A95:A102,B$2),IF(AND(COUNT(A96:A107)=8,COUNT(F96:F107)=8),cubic_spline(F95:F103,A95:A103,B$2),IF(AND(COUNT(A96:A107)=9,COUNT(F96:F107)=9),cubic_spline(F95:F104,A95:A104,B$2),IF(AND(COUNT(A96:A107)=10,COUNT(F96:F107)=10),cubic_spline(F95:F105,A95:A105,B$2),IF(AND(COUNT(A96:A107)=11,COUNT(F96:F107)=11),cubic_spline(F95:F106,A95:A106,B$2),IF(AND(COUNT(A96:A107)=12,COUNT(F96:F107)=12),cubic_spline(F95:F107,A95:A107,B$2),""))))))))))))</f>
        <v/>
      </c>
      <c r="L96" s="27" t="str">
        <f>IF(I96="","",0&amp;"-"&amp;B$2)</f>
        <v/>
      </c>
      <c r="M96" s="52" t="str">
        <f>IF(N(J96)=0,"",J96-J95)</f>
        <v/>
      </c>
    </row>
    <row r="97" spans="1:13" x14ac:dyDescent="0.35">
      <c r="A97" s="48"/>
      <c r="B97" s="48"/>
      <c r="C97" s="50"/>
      <c r="D97" s="50"/>
      <c r="E97" s="51" t="str">
        <f t="shared" ref="E97:E107" si="33">IF(N(C97)=0,"",(A97-A96)*C97*100)</f>
        <v/>
      </c>
      <c r="F97" s="68" t="str">
        <f t="shared" si="31"/>
        <v/>
      </c>
      <c r="G97" s="69" t="str">
        <f t="shared" ref="G97:G107" si="34">IF(OR(N(D97)=0,N(E97)=0),"",(E97*D97)/1000)</f>
        <v/>
      </c>
      <c r="H97" s="70" t="str">
        <f t="shared" si="32"/>
        <v/>
      </c>
      <c r="I97" s="27" t="str">
        <f>IF(N(J97)=0,"",0&amp;"-"&amp;B$3)</f>
        <v/>
      </c>
      <c r="J97" s="52" t="str">
        <f>IF(N(B$3)=0,"",IF(AND(COUNT(H96:H107)=2,COUNT(F96:F107)=2),cubic_spline(F95:F97,H95:H97,B$3),IF(AND(COUNT(H96:H107)=3,COUNT(F96:F107)=3),cubic_spline(F95:F98,H95:H98,B$3),IF(AND(COUNT(H96:H107)=4,COUNT(F96:F107)=4),cubic_spline(F95:F99,H95:H99,B$3),IF(AND(COUNT(H96:H107)=5,COUNT(F96:F107)=5),cubic_spline(F95:F100,H95:H100,B$3),IF(AND(COUNT(H96:H107)=6,COUNT(F96:F107)=6),cubic_spline(F95:F101,H95:H101,B$3),IF(AND(COUNT(H96:H107)=7,COUNT(F96:F107)=7),cubic_spline(F95:F102,H95:H102,B$3),IF(AND(COUNT(H96:H107)=8,COUNT(F96:F107)=8),cubic_spline(F95:F103,H95:H103,B$3),IF(AND(COUNT(H96:H107)=9,COUNT(F96:F107)=9),cubic_spline(F95:F104,H95:H104,B$3),IF(AND(COUNT(H96:H107)=10,COUNT(F96:F107)=10),cubic_spline(F95:F105,H95:H105,B$3),IF(AND(COUNT(H96:H107)=11,COUNT(F96:F107)=11),cubic_spline(F95:F106,H95:H106,B$3),IF(AND(COUNT(H96:H107)=12,COUNT(F96:F107)=12),cubic_spline(F95:F107,H95:H107,B$3),""))))))))))))</f>
        <v/>
      </c>
      <c r="K97" s="52" t="str">
        <f>IF(N(B$3)=0,"",IF(AND(COUNT(A96:A107)=2,COUNT(F96:F107)=2),cubic_spline(F95:F97,A95:A97,B$3),IF(AND(COUNT(A96:A107)=3,COUNT(F96:F107)=3),cubic_spline(F95:F98,A95:A98,B$3),IF(AND(COUNT(A96:A107)=4,COUNT(F96:F107)=4),cubic_spline(F95:F99,A95:A99,B$3),IF(AND(COUNT(A96:A107)=5,COUNT(F96:F107)=5),cubic_spline(F95:F100,A95:A100,B$3),IF(AND(COUNT(A96:A107)=6,COUNT(F96:F107)=6),cubic_spline(F95:F101,A95:A101,B$3),IF(AND(COUNT(A96:A107)=7,COUNT(F96:F107)=7),cubic_spline(F95:F102,A95:A102,B$3),IF(AND(COUNT(A96:A107)=8,COUNT(F96:F107)=8),cubic_spline(F95:F103,A95:A103,B$3),IF(AND(COUNT(A96:A107)=9,COUNT(F96:F107)=9),cubic_spline(F95:F104,A95:A104,B$3),IF(AND(COUNT(A96:A107)=10,COUNT(F96:F107)=10),cubic_spline(F95:F105,A95:A105,B$3),IF(AND(COUNT(A96:A107)=11,COUNT(F96:F107)=11),cubic_spline(F95:F106,A95:A106,B$3),IF(AND(COUNT(A96:A107)=12,COUNT(F96:F107)=12),cubic_spline(F95:F107,A95:A107,B$3),""))))))))))))</f>
        <v/>
      </c>
      <c r="L97" s="27" t="str">
        <f>IF(I97="","",B$2&amp;"-"&amp;B$3)</f>
        <v/>
      </c>
      <c r="M97" s="52" t="str">
        <f>IF(N(J97)=0,"",J97-J96)</f>
        <v/>
      </c>
    </row>
    <row r="98" spans="1:13" x14ac:dyDescent="0.35">
      <c r="A98" s="48"/>
      <c r="B98" s="48"/>
      <c r="C98" s="50"/>
      <c r="D98" s="50"/>
      <c r="E98" s="51" t="str">
        <f t="shared" si="33"/>
        <v/>
      </c>
      <c r="F98" s="68" t="str">
        <f t="shared" si="31"/>
        <v/>
      </c>
      <c r="G98" s="69" t="str">
        <f t="shared" si="34"/>
        <v/>
      </c>
      <c r="H98" s="70" t="str">
        <f t="shared" si="32"/>
        <v/>
      </c>
      <c r="I98" s="27" t="str">
        <f>IF(N(J98)=0,"",0&amp;"-"&amp;B$4)</f>
        <v/>
      </c>
      <c r="J98" s="52" t="str">
        <f>IF(N(B$4)=0,"",IF(AND(COUNT(H96:H107)=2,COUNT(F96:F107)=2),cubic_spline(F95:F97,H95:H97,B$4),IF(AND(COUNT(H96:H107)=3,COUNT(F96:F107)=3),cubic_spline(F95:F98,H95:H98,B$4),IF(AND(COUNT(H96:H107)=4,COUNT(F96:F107)=4),cubic_spline(F95:F99,H95:H99,B$4),IF(AND(COUNT(H96:H107)=5,COUNT(F96:F107)=5),cubic_spline(F95:F100,H95:H100,B$4),IF(AND(COUNT(H96:H107)=6,COUNT(F96:F107)=6),cubic_spline(F95:F101,H95:H101,B$4),IF(AND(COUNT(H96:H107)=7,COUNT(F96:F107)=7),cubic_spline(F95:F102,H95:H102,B$4),IF(AND(COUNT(H96:H107)=8,COUNT(F96:F107)=8),cubic_spline(F95:F103,H95:H103,B$4),IF(AND(COUNT(H96:H107)=9,COUNT(F96:F107)=9),cubic_spline(F95:F104,H95:H104,B$4),IF(AND(COUNT(H96:H107)=10,COUNT(F96:F107)=10),cubic_spline(F95:F105,H95:H105,B$4),IF(AND(COUNT(H96:H107)=11,COUNT(F96:F107)=11),cubic_spline(F95:F106,H95:H106,B$4),IF(AND(COUNT(H96:H107)=12,COUNT(F96:F107)=12),cubic_spline(F95:F107,H95:H107,B$4),""))))))))))))</f>
        <v/>
      </c>
      <c r="K98" s="52" t="str">
        <f>IF(N(B$4)=0,"",IF(AND(COUNT(A96:A107)=2,COUNT(F96:F107)=2),cubic_spline(F95:F97,A95:A97,B$4),IF(AND(COUNT(A96:A107)=3,COUNT(F96:F107)=3),cubic_spline(F95:F98,A95:A98,B$4),IF(AND(COUNT(A96:A107)=4,COUNT(F96:F107)=4),cubic_spline(F95:F99,A95:A99,B$4),IF(AND(COUNT(A96:A107)=5,COUNT(F96:F107)=5),cubic_spline(F95:F100,A95:A100,B$4),IF(AND(COUNT(A96:A107)=6,COUNT(F96:F107)=6),cubic_spline(F95:F101,A95:A101,B$4),IF(AND(COUNT(A96:A107)=7,COUNT(F96:F107)=7),cubic_spline(F95:F102,A95:A102,B$4),IF(AND(COUNT(A96:A107)=8,COUNT(F96:F107)=8),cubic_spline(F95:F103,A95:A103,B$4),IF(AND(COUNT(A96:A107)=9,COUNT(F96:F107)=9),cubic_spline(F95:F104,A95:A104,B$4),IF(AND(COUNT(A96:A107)=10,COUNT(F96:F107)=10),cubic_spline(F95:F105,A95:A105,B$4),IF(AND(COUNT(A96:A107)=11,COUNT(F96:F107)=11),cubic_spline(F95:F106,A95:A106,B$4),IF(AND(COUNT(A96:A107)=12,COUNT(F96:F107)=12),cubic_spline(F95:F107,A95:A107,B$4),""))))))))))))</f>
        <v/>
      </c>
      <c r="L98" s="27" t="str">
        <f>IF(I98="","",B$3&amp;"-"&amp;B$4)</f>
        <v/>
      </c>
      <c r="M98" s="52" t="str">
        <f>IF(N(J98)=0,"",J98-J97)</f>
        <v/>
      </c>
    </row>
    <row r="99" spans="1:13" x14ac:dyDescent="0.35">
      <c r="A99" s="48"/>
      <c r="B99" s="48"/>
      <c r="C99" s="50"/>
      <c r="D99" s="50"/>
      <c r="E99" s="51" t="str">
        <f t="shared" si="33"/>
        <v/>
      </c>
      <c r="F99" s="68" t="str">
        <f t="shared" si="31"/>
        <v/>
      </c>
      <c r="G99" s="69" t="str">
        <f t="shared" si="34"/>
        <v/>
      </c>
      <c r="H99" s="70" t="str">
        <f t="shared" si="32"/>
        <v/>
      </c>
      <c r="I99" s="27" t="str">
        <f>IF(N(J99)=0,"",0&amp;"-"&amp;B$5)</f>
        <v/>
      </c>
      <c r="J99" s="52" t="str">
        <f>IF(N(B$5)=0,"",IF(AND(COUNT(H96:H107)=2,COUNT(F96:F107)=2),cubic_spline(F95:F97,H95:H97,B$5),IF(AND(COUNT(H96:H107)=3,COUNT(F96:F107)=3),cubic_spline(F95:F98,H95:H98,B$5),IF(AND(COUNT(H96:H107)=4,COUNT(F96:F107)=4),cubic_spline(F95:F99,H95:H99,B$5),IF(AND(COUNT(H96:H107)=5,COUNT(F96:F107)=5),cubic_spline(F95:F100,H95:H100,B$5),IF(AND(COUNT(H96:H107)=6,COUNT(F96:F107)=6),cubic_spline(F95:F101,H95:H101,B$5),IF(AND(COUNT(H96:H107)=7,COUNT(F96:F107)=7),cubic_spline(F95:F102,H95:H102,B$5),IF(AND(COUNT(H96:H107)=8,COUNT(F96:F107)=8),cubic_spline(F95:F103,H95:H103,B$5),IF(AND(COUNT(H96:H107)=9,COUNT(F96:F107)=9),cubic_spline(F95:F104,H95:H104,B$5),IF(AND(COUNT(H96:H107)=10,COUNT(F96:F107)=10),cubic_spline(F95:F105,H95:H105,B$5),IF(AND(COUNT(H96:H107)=11,COUNT(F96:F107)=11),cubic_spline(F95:F106,H95:H106,B$5),IF(AND(COUNT(H96:H107)=12,COUNT(F96:F107)=12),cubic_spline(F95:F107,H95:H107,B$5),""))))))))))))</f>
        <v/>
      </c>
      <c r="K99" s="52" t="str">
        <f>IF(N(B$5)=0,"",IF(AND(COUNT(A96:A107)=2,COUNT(F96:F107)=2),cubic_spline(F95:F97,A95:A97,B$5),IF(AND(COUNT(A96:A107)=3,COUNT(F96:F107)=3),cubic_spline(F95:F98,A95:A98,B$5),IF(AND(COUNT(A96:A107)=4,COUNT(F96:F107)=4),cubic_spline(F95:F99,A95:A99,B$5),IF(AND(COUNT(A96:A107)=5,COUNT(F96:F107)=5),cubic_spline(F95:F100,A95:A100,B$5),IF(AND(COUNT(A96:A107)=6,COUNT(F96:F107)=6),cubic_spline(F95:F101,A95:A101,B$5),IF(AND(COUNT(A96:A107)=7,COUNT(F96:F107)=7),cubic_spline(F95:F102,A95:A102,B$5),IF(AND(COUNT(A96:A107)=8,COUNT(F96:F107)=8),cubic_spline(F95:F103,A95:A103,B$5),IF(AND(COUNT(A96:A107)=9,COUNT(F96:F107)=9),cubic_spline(F95:F104,A95:A104,B$5),IF(AND(COUNT(A96:A107)=10,COUNT(F96:F107)=10),cubic_spline(F95:F105,A95:A105,B$5),IF(AND(COUNT(A96:A107)=11,COUNT(F96:F107)=11),cubic_spline(F95:F106,A95:A106,B$5),IF(AND(COUNT(A96:A107)=12,COUNT(F96:F107)=12),cubic_spline(F95:F107,A95:A107,B$5),""))))))))))))</f>
        <v/>
      </c>
      <c r="L99" s="27" t="str">
        <f>IF(I99="","",B$4&amp;"-"&amp;B$5)</f>
        <v/>
      </c>
      <c r="M99" s="52" t="str">
        <f>IF(N(J99)=0,"",J99-J98)</f>
        <v/>
      </c>
    </row>
    <row r="100" spans="1:13" x14ac:dyDescent="0.35">
      <c r="A100" s="48"/>
      <c r="B100" s="48"/>
      <c r="C100" s="50"/>
      <c r="D100" s="50"/>
      <c r="E100" s="51" t="str">
        <f t="shared" si="33"/>
        <v/>
      </c>
      <c r="F100" s="71" t="str">
        <f t="shared" si="31"/>
        <v/>
      </c>
      <c r="G100" s="69" t="str">
        <f t="shared" si="34"/>
        <v/>
      </c>
      <c r="H100" s="70" t="str">
        <f t="shared" si="32"/>
        <v/>
      </c>
      <c r="I100" s="27" t="str">
        <f>IF(N(J100)=0,"",0&amp;"-"&amp;B$6)</f>
        <v/>
      </c>
      <c r="J100" s="52" t="str">
        <f>IF(N(B$6)=0,"",IF(AND(COUNT(H96:H107)=2,COUNT(F96:F107)=2),cubic_spline(F95:F97,H95:H97,B$6),IF(AND(COUNT(H96:H107)=3,COUNT(F96:F107)=3),cubic_spline(F95:F98,H95:H98,B$6),IF(AND(COUNT(H96:H107)=4,COUNT(F96:F107)=4),cubic_spline(F95:F99,H95:H99,B$6),IF(AND(COUNT(H96:H107)=5,COUNT(F96:F107)=5),cubic_spline(F95:F100,H95:H100,B$6),IF(AND(COUNT(H96:H107)=6,COUNT(F96:F107)=6),cubic_spline(F95:F101,H95:H101,B$6),IF(AND(COUNT(H96:H107)=7,COUNT(F96:F107)=7),cubic_spline(F95:F102,H95:H102,B$6),IF(AND(COUNT(H96:H107)=8,COUNT(F96:F107)=8),cubic_spline(F95:F103,H95:H103,B$6),IF(AND(COUNT(H96:H107)=9,COUNT(F96:F107)=9),cubic_spline(F95:F104,H95:H104,B$6),IF(AND(COUNT(H96:H107)=10,COUNT(F96:F107)=10),cubic_spline(F95:F105,H95:H105,B$6),IF(AND(COUNT(H96:H107)=11,COUNT(F96:F107)=11),cubic_spline(F95:F106,H95:H106,B$6),IF(AND(COUNT(H96:H107)=12,COUNT(F96:F107)=12),cubic_spline(F95:F107,H95:H107,B$6),""))))))))))))</f>
        <v/>
      </c>
      <c r="K100" s="52" t="str">
        <f>IF(N(B$6)=0,"",IF(AND(COUNT(A96:A107)=2,COUNT(F96:F107)=2),cubic_spline(F95:F97,A95:A97,B$6),IF(AND(COUNT(A96:A107)=3,COUNT(F96:F107)=3),cubic_spline(F95:F98,A95:A98,B$6),IF(AND(COUNT(A96:A107)=4,COUNT(F96:F107)=4),cubic_spline(F95:F99,A95:A99,B$6),IF(AND(COUNT(A96:A107)=5,COUNT(F96:F107)=5),cubic_spline(F95:F100,A95:A100,B$6),IF(AND(COUNT(A96:A107)=6,COUNT(F96:F107)=6),cubic_spline(F95:F101,A95:A101,B$6),IF(AND(COUNT(A96:A107)=7,COUNT(F96:F107)=7),cubic_spline(F95:F102,A95:A102,B$6),IF(AND(COUNT(A96:A107)=8,COUNT(F96:F107)=8),cubic_spline(F95:F103,A95:A103,B$6),IF(AND(COUNT(A96:A107)=9,COUNT(F96:F107)=9),cubic_spline(F95:F104,A95:A104,B$6),IF(AND(COUNT(A96:A107)=10,COUNT(F96:F107)=10),cubic_spline(F95:F105,A95:A105,B$6),IF(AND(COUNT(A96:A107)=11,COUNT(F96:F107)=11),cubic_spline(F95:F106,A95:A106,B$6),IF(AND(COUNT(A96:A107)=12,COUNT(F96:F107)=12),cubic_spline(F95:F107,A95:A107,B$6),""))))))))))))</f>
        <v/>
      </c>
      <c r="L100" s="27" t="str">
        <f>IF(I100="","",B$5&amp;"-"&amp;B$6)</f>
        <v/>
      </c>
      <c r="M100" s="52" t="str">
        <f>IF(N(J100)=0,"",J100-J99)</f>
        <v/>
      </c>
    </row>
    <row r="101" spans="1:13" x14ac:dyDescent="0.35">
      <c r="A101" s="48"/>
      <c r="B101" s="48"/>
      <c r="C101" s="50"/>
      <c r="D101" s="50"/>
      <c r="E101" s="51" t="str">
        <f t="shared" si="33"/>
        <v/>
      </c>
      <c r="F101" s="71" t="str">
        <f t="shared" si="31"/>
        <v/>
      </c>
      <c r="G101" s="69" t="str">
        <f t="shared" si="34"/>
        <v/>
      </c>
      <c r="H101" s="70" t="str">
        <f t="shared" si="32"/>
        <v/>
      </c>
      <c r="I101" s="27" t="str">
        <f>IF(N(J101)=0,"",0&amp;"-"&amp;B$7)</f>
        <v/>
      </c>
      <c r="J101" s="52" t="str">
        <f>IF(N(B$7)=0,"",IF(AND(COUNT(H96:H107)=2,COUNT(F96:F107)=2),cubic_spline(F95:F97,H95:H97,B$7),IF(AND(COUNT(H96:H107)=3,COUNT(F96:F107)=3),cubic_spline(F95:F98,H95:H98,B$7),IF(AND(COUNT(H96:H107)=4,COUNT(F96:F107)=4),cubic_spline(F95:F99,H95:H99,B$7),IF(AND(COUNT(H96:H107)=5,COUNT(F96:F107)=5),cubic_spline(F95:F100,H95:H100,B$7),IF(AND(COUNT(H96:H107)=6,COUNT(F96:F107)=6),cubic_spline(F95:F101,H95:H101,B$7),IF(AND(COUNT(H96:H107)=7,COUNT(F96:F107)=7),cubic_spline(F95:F102,H95:H102,B$7),IF(AND(COUNT(H96:H107)=8,COUNT(F96:F107)=8),cubic_spline(F95:F103,H95:H103,B$7),IF(AND(COUNT(H96:H107)=9,COUNT(F96:F107)=9),cubic_spline(F95:F104,H95:H104,B$7),IF(AND(COUNT(H96:H107)=10,COUNT(F96:F107)=10),cubic_spline(F95:F105,H95:H105,B$7),IF(AND(COUNT(H96:H107)=11,COUNT(F96:F107)=11),cubic_spline(F95:F106,H95:H106,B$7),IF(AND(COUNT(H96:H107)=12,COUNT(F96:F107)=12),cubic_spline(F95:F107,H95:H107,B$7),""))))))))))))</f>
        <v/>
      </c>
      <c r="K101" s="52" t="str">
        <f>IF(N(B$7)=0,"",IF(AND(COUNT(A96:A107)=2,COUNT(F96:F107)=2),cubic_spline(F95:F97,A95:A97,B$7),IF(AND(COUNT(A96:A107)=3,COUNT(F96:F107)=3),cubic_spline(F95:F98,A95:A98,B$7),IF(AND(COUNT(A96:A107)=4,COUNT(F96:F107)=4),cubic_spline(F95:F99,A95:A99,B$7),IF(AND(COUNT(A96:A107)=5,COUNT(F96:F107)=5),cubic_spline(F95:F100,A95:A100,B$7),IF(AND(COUNT(A96:A107)=6,COUNT(F96:F107)=6),cubic_spline(F95:F101,A95:A101,B$7),IF(AND(COUNT(A96:A107)=7,COUNT(F96:F107)=7),cubic_spline(F95:F102,A95:A102,B$7),IF(AND(COUNT(A96:A107)=8,COUNT(F96:F107)=8),cubic_spline(F95:F103,A95:A103,B$7),IF(AND(COUNT(A96:A107)=9,COUNT(F96:F107)=9),cubic_spline(F95:F104,A95:A104,B$7),IF(AND(COUNT(A96:A107)=10,COUNT(F96:F107)=10),cubic_spline(F95:F105,A95:A105,B$7),IF(AND(COUNT(A96:A107)=11,COUNT(F96:F107)=11),cubic_spline(F95:F106,A95:A106,B$7),IF(AND(COUNT(A96:A107)=12,COUNT(F96:F107)=12),cubic_spline(F95:F107,A95:A107,B$7),""))))))))))))</f>
        <v/>
      </c>
      <c r="L101" s="27" t="str">
        <f>IF(I101="","",B$6&amp;"-"&amp;B$7)</f>
        <v/>
      </c>
      <c r="M101" s="52" t="str">
        <f t="shared" ref="M101:M107" si="35">IF(N(J101)=0,"",J101-J100)</f>
        <v/>
      </c>
    </row>
    <row r="102" spans="1:13" x14ac:dyDescent="0.35">
      <c r="A102" s="48"/>
      <c r="B102" s="48"/>
      <c r="C102" s="50"/>
      <c r="D102" s="50"/>
      <c r="E102" s="51" t="str">
        <f t="shared" si="33"/>
        <v/>
      </c>
      <c r="F102" s="71" t="str">
        <f t="shared" si="31"/>
        <v/>
      </c>
      <c r="G102" s="69" t="str">
        <f t="shared" si="34"/>
        <v/>
      </c>
      <c r="H102" s="70" t="str">
        <f t="shared" si="32"/>
        <v/>
      </c>
      <c r="I102" s="27" t="str">
        <f>IF(N(J102)=0,"",0&amp;"-"&amp;B$8)</f>
        <v/>
      </c>
      <c r="J102" s="52" t="str">
        <f>IF(N(B$8)=0,"",IF(AND(COUNT(H96:H107)=2,COUNT(F96:F107)=2),cubic_spline(F95:F97,H95:H97,B$8),IF(AND(COUNT(H96:H107)=3,COUNT(F96:F107)=3),cubic_spline(F95:F98,H95:H98,B$8),IF(AND(COUNT(H96:H107)=4,COUNT(F96:F107)=4),cubic_spline(F95:F99,H95:H99,B$8),IF(AND(COUNT(H96:H107)=5,COUNT(F96:F107)=5),cubic_spline(F95:F100,H95:H100,B$8),IF(AND(COUNT(H96:H107)=6,COUNT(F96:F107)=6),cubic_spline(F95:F101,H95:H101,B$8),IF(AND(COUNT(H96:H107)=7,COUNT(F96:F107)=7),cubic_spline(F95:F102,H95:H102,B$8),IF(AND(COUNT(H96:H107)=8,COUNT(F96:F107)=8),cubic_spline(F95:F103,H95:H103,B$8),IF(AND(COUNT(H96:H107)=9,COUNT(F96:F107)=9),cubic_spline(F95:F104,H95:H104,B$8),IF(AND(COUNT(H96:H107)=10,COUNT(F96:F107)=10),cubic_spline(F95:F105,H95:H105,B$8),IF(AND(COUNT(H96:H107)=11,COUNT(F96:F107)=11),cubic_spline(F95:F106,H95:H106,B$8),IF(AND(COUNT(H96:H107)=12,COUNT(F96:F107)=12),cubic_spline(F95:F107,H95:H107,B$8),""))))))))))))</f>
        <v/>
      </c>
      <c r="K102" s="52" t="str">
        <f>IF(N(B$8)=0,"",IF(AND(COUNT(A96:A107)=2,COUNT(F96:F107)=2),cubic_spline(F95:F97,A95:A97,B$8),IF(AND(COUNT(A96:A107)=3,COUNT(F96:F107)=3),cubic_spline(F95:F98,A95:A98,B$8),IF(AND(COUNT(A96:A107)=4,COUNT(F96:F107)=4),cubic_spline(F95:F99,A95:A99,B$8),IF(AND(COUNT(A96:A107)=5,COUNT(F96:F107)=5),cubic_spline(F95:F100,A95:A100,B$8),IF(AND(COUNT(A96:A107)=6,COUNT(F96:F107)=6),cubic_spline(F95:F101,A95:A101,B$8),IF(AND(COUNT(A96:A107)=7,COUNT(F96:F107)=7),cubic_spline(F95:F102,A95:A102,B$8),IF(AND(COUNT(A96:A107)=8,COUNT(F96:F107)=8),cubic_spline(F95:F103,A95:A103,B$8),IF(AND(COUNT(A96:A107)=9,COUNT(F96:F107)=9),cubic_spline(F95:F104,A95:A104,B$8),IF(AND(COUNT(A96:A107)=10,COUNT(F96:F107)=10),cubic_spline(F95:F105,A95:A105,B$8),IF(AND(COUNT(A96:A107)=11,COUNT(F96:F107)=11),cubic_spline(F95:F106,A95:A106,B$8),IF(AND(COUNT(A96:A107)=12,COUNT(F96:F107)=12),cubic_spline(F95:F107,A95:A107,B$8),""))))))))))))</f>
        <v/>
      </c>
      <c r="L102" s="27" t="str">
        <f>IF(I102="","",B$7&amp;"-"&amp;B$8)</f>
        <v/>
      </c>
      <c r="M102" s="52" t="str">
        <f t="shared" si="35"/>
        <v/>
      </c>
    </row>
    <row r="103" spans="1:13" x14ac:dyDescent="0.35">
      <c r="A103" s="48"/>
      <c r="B103" s="48"/>
      <c r="C103" s="50"/>
      <c r="D103" s="50"/>
      <c r="E103" s="51" t="str">
        <f t="shared" si="33"/>
        <v/>
      </c>
      <c r="F103" s="71" t="str">
        <f t="shared" si="31"/>
        <v/>
      </c>
      <c r="G103" s="69" t="str">
        <f t="shared" si="34"/>
        <v/>
      </c>
      <c r="H103" s="70" t="str">
        <f t="shared" si="32"/>
        <v/>
      </c>
      <c r="I103" s="27" t="str">
        <f>IF(N(J103)=0,"",0&amp;"-"&amp;B$9)</f>
        <v/>
      </c>
      <c r="J103" s="52" t="str">
        <f>IF(N(B$9)=0,"",IF(AND(COUNT(H96:H107)=2,COUNT(F96:F107)=2),cubic_spline(F95:F97,H95:H97,B$9),IF(AND(COUNT(H96:H107)=3,COUNT(F96:F107)=3),cubic_spline(F95:F98,H95:H98,B$9),IF(AND(COUNT(H96:H107)=4,COUNT(F96:F107)=4),cubic_spline(F95:F99,H95:H99,B$9),IF(AND(COUNT(H96:H107)=5,COUNT(F96:F107)=5),cubic_spline(F95:F100,H95:H100,B$9),IF(AND(COUNT(H96:H107)=6,COUNT(F96:F107)=6),cubic_spline(F95:F101,H95:H101,B$9),IF(AND(COUNT(H96:H107)=7,COUNT(F96:F107)=7),cubic_spline(F95:F102,H95:H102,B$9),IF(AND(COUNT(H96:H107)=8,COUNT(F96:F107)=8),cubic_spline(F95:F103,H95:H103,B$9),IF(AND(COUNT(H96:H107)=9,COUNT(F96:F107)=9),cubic_spline(F95:F104,H95:H104,B$9),IF(AND(COUNT(H96:H107)=10,COUNT(F96:F107)=10),cubic_spline(F95:F105,H95:H105,B$9),IF(AND(COUNT(H96:H107)=11,COUNT(F96:F107)=11),cubic_spline(F95:F106,H95:H106,B$9),IF(AND(COUNT(H96:H107)=12,COUNT(F96:F107)=12),cubic_spline(F95:F107,H95:H107,B$9),""))))))))))))</f>
        <v/>
      </c>
      <c r="K103" s="52" t="str">
        <f>IF(N(B$9)=0,"",IF(AND(COUNT(A96:A107)=2,COUNT(F96:F107)=2),cubic_spline(F95:F97,A95:A97,B$9),IF(AND(COUNT(A96:A107)=3,COUNT(F96:F107)=3),cubic_spline(F95:F98,A95:A98,B$9),IF(AND(COUNT(A96:A107)=4,COUNT(F96:F107)=4),cubic_spline(F95:F99,A95:A99,B$9),IF(AND(COUNT(A96:A107)=5,COUNT(F96:F107)=5),cubic_spline(F95:F100,A95:A100,B$9),IF(AND(COUNT(A96:A107)=6,COUNT(F96:F107)=6),cubic_spline(F95:F101,A95:A101,B$9),IF(AND(COUNT(A96:A107)=7,COUNT(F96:F107)=7),cubic_spline(F95:F102,A95:A102,B$9),IF(AND(COUNT(A96:A107)=8,COUNT(F96:F107)=8),cubic_spline(F95:F103,A95:A103,B$9),IF(AND(COUNT(A96:A107)=9,COUNT(F96:F107)=9),cubic_spline(F95:F104,A95:A104,B$9),IF(AND(COUNT(A96:A107)=10,COUNT(F96:F107)=10),cubic_spline(F95:F105,A95:A105,B$9),IF(AND(COUNT(A96:A107)=11,COUNT(F96:F107)=11),cubic_spline(F95:F106,A95:A106,B$9),IF(AND(COUNT(A96:A107)=12,COUNT(F96:F107)=12),cubic_spline(F95:F107,A95:A107,B$9),""))))))))))))</f>
        <v/>
      </c>
      <c r="L103" s="27" t="str">
        <f>IF(I103="","",B$8&amp;"-"&amp;B$9)</f>
        <v/>
      </c>
      <c r="M103" s="52" t="str">
        <f t="shared" si="35"/>
        <v/>
      </c>
    </row>
    <row r="104" spans="1:13" x14ac:dyDescent="0.35">
      <c r="A104" s="48"/>
      <c r="B104" s="48"/>
      <c r="C104" s="50"/>
      <c r="D104" s="50"/>
      <c r="E104" s="51" t="str">
        <f t="shared" si="33"/>
        <v/>
      </c>
      <c r="F104" s="71" t="str">
        <f t="shared" si="31"/>
        <v/>
      </c>
      <c r="G104" s="69" t="str">
        <f t="shared" si="34"/>
        <v/>
      </c>
      <c r="H104" s="70" t="str">
        <f t="shared" si="32"/>
        <v/>
      </c>
      <c r="I104" s="27" t="str">
        <f>IF(N(J104)=0,"",0&amp;"-"&amp;B$10)</f>
        <v/>
      </c>
      <c r="J104" s="52" t="str">
        <f>IF(N(B$10)=0,"",IF(AND(COUNT(H96:H107)=2,COUNT(F96:F107)=2),cubic_spline(F95:F97,H95:H97,B$10),IF(AND(COUNT(H96:H107)=3,COUNT(F96:F107)=3),cubic_spline(F95:F98,H95:H98,B$10),IF(AND(COUNT(H96:H107)=4,COUNT(F96:F107)=4),cubic_spline(F95:F99,H95:H99,B$10),IF(AND(COUNT(H96:H107)=5,COUNT(F96:F107)=5),cubic_spline(F95:F100,H95:H100,B$10),IF(AND(COUNT(H96:H107)=6,COUNT(F96:F107)=6),cubic_spline(F95:F101,H95:H101,B$10),IF(AND(COUNT(H96:H107)=7,COUNT(F96:F107)=7),cubic_spline(F95:F102,H95:H102,B$10),IF(AND(COUNT(H96:H107)=8,COUNT(F96:F107)=8),cubic_spline(F95:F103,H95:H103,B$10),IF(AND(COUNT(H96:H107)=9,COUNT(F96:F107)=9),cubic_spline(F95:F104,H95:H104,B$10),IF(AND(COUNT(H96:H107)=10,COUNT(F96:F107)=10),cubic_spline(F95:F105,H95:H105,B$10),IF(AND(COUNT(H96:H107)=11,COUNT(F96:F107)=11),cubic_spline(F95:F106,H95:H106,B$10),IF(AND(COUNT(H96:H107)=12,COUNT(F96:F107)=12),cubic_spline(F95:F107,H95:H107,B$10),""))))))))))))</f>
        <v/>
      </c>
      <c r="K104" s="52" t="str">
        <f>IF(N(B$10)=0,"",IF(AND(COUNT(A96:A107)=2,COUNT(F96:F107)=2),cubic_spline(F95:F97,A95:A97,B$10),IF(AND(COUNT(A96:A107)=3,COUNT(F96:F107)=3),cubic_spline(F95:F98,A95:A98,B$10),IF(AND(COUNT(A96:A107)=4,COUNT(F96:F107)=4),cubic_spline(F95:F99,A95:A99,B$10),IF(AND(COUNT(A96:A107)=5,COUNT(F96:F107)=5),cubic_spline(F95:F100,A95:A100,B$10),IF(AND(COUNT(A96:A107)=6,COUNT(F96:F107)=6),cubic_spline(F95:F101,A95:A101,B$10),IF(AND(COUNT(A96:A107)=7,COUNT(F96:F107)=7),cubic_spline(F95:F102,A95:A102,B$10),IF(AND(COUNT(A96:A107)=8,COUNT(F96:F107)=8),cubic_spline(F95:F103,A95:A103,B$10),IF(AND(COUNT(A96:A107)=9,COUNT(F96:F107)=9),cubic_spline(F95:F104,A95:A104,B$10),IF(AND(COUNT(A96:A107)=10,COUNT(F96:F107)=10),cubic_spline(F95:F105,A95:A105,B$10),IF(AND(COUNT(A96:A107)=11,COUNT(F96:F107)=11),cubic_spline(F95:F106,A95:A106,B$10),IF(AND(COUNT(A96:A107)=12,COUNT(F96:F107)=12),cubic_spline(F95:F107,A95:A107,B$10),""))))))))))))</f>
        <v/>
      </c>
      <c r="L104" s="27" t="str">
        <f>IF(I104="","",B$9&amp;"-"&amp;B$10)</f>
        <v/>
      </c>
      <c r="M104" s="52" t="str">
        <f t="shared" si="35"/>
        <v/>
      </c>
    </row>
    <row r="105" spans="1:13" x14ac:dyDescent="0.35">
      <c r="A105" s="48"/>
      <c r="B105" s="48"/>
      <c r="C105" s="50"/>
      <c r="D105" s="50"/>
      <c r="E105" s="51" t="str">
        <f t="shared" si="33"/>
        <v/>
      </c>
      <c r="F105" s="71" t="str">
        <f t="shared" si="31"/>
        <v/>
      </c>
      <c r="G105" s="69" t="str">
        <f t="shared" si="34"/>
        <v/>
      </c>
      <c r="H105" s="70" t="str">
        <f t="shared" si="32"/>
        <v/>
      </c>
      <c r="I105" s="27" t="str">
        <f>IF(N(J105)=0,"",0&amp;"-"&amp;B$11)</f>
        <v/>
      </c>
      <c r="J105" s="52" t="str">
        <f>IF(N(B$11)=0,"",IF(AND(COUNT(H96:H107)=2,COUNT(F96:F107)=2),cubic_spline(F95:F97,H95:H97,B$11),IF(AND(COUNT(H96:H107)=3,COUNT(F96:F107)=3),cubic_spline(F95:F98,H95:H98,B$11),IF(AND(COUNT(H96:H107)=4,COUNT(F96:F107)=4),cubic_spline(F95:F99,H95:H99,B$11),IF(AND(COUNT(H96:H107)=5,COUNT(F96:F107)=5),cubic_spline(F95:F100,H95:H100,B$11),IF(AND(COUNT(H96:H107)=6,COUNT(F96:F107)=6),cubic_spline(F95:F101,H95:H101,B$11),IF(AND(COUNT(H96:H107)=7,COUNT(F96:F107)=7),cubic_spline(F95:F102,H95:H102,B$11),IF(AND(COUNT(H96:H107)=8,COUNT(F96:F107)=8),cubic_spline(F95:F103,H95:H103,B$11),IF(AND(COUNT(H96:H107)=9,COUNT(F96:F107)=9),cubic_spline(F95:F104,H95:H104,B$11),IF(AND(COUNT(H96:H107)=10,COUNT(F96:F107)=10),cubic_spline(F95:F105,H95:H105,B$11),IF(AND(COUNT(H96:H107)=11,COUNT(F96:F107)=11),cubic_spline(F95:F106,H95:H106,B$11),IF(AND(COUNT(H96:H107)=12,COUNT(F96:F107)=12),cubic_spline(F95:F107,H95:H107,B$11),""))))))))))))</f>
        <v/>
      </c>
      <c r="K105" s="52" t="str">
        <f>IF(N(B$11)=0,"",IF(AND(COUNT(A96:A107)=2,COUNT(F96:F107)=2),cubic_spline(F95:F97,A95:A97,B$11),IF(AND(COUNT(A96:A107)=3,COUNT(F96:F107)=3),cubic_spline(F95:F98,A95:A98,B$11),IF(AND(COUNT(A96:A107)=4,COUNT(F96:F107)=4),cubic_spline(F95:F99,A95:A99,B$11),IF(AND(COUNT(A96:A107)=5,COUNT(F96:F107)=5),cubic_spline(F95:F100,A95:A100,B$11),IF(AND(COUNT(A96:A107)=6,COUNT(F96:F107)=6),cubic_spline(F95:F101,A95:A101,B$11),IF(AND(COUNT(A96:A107)=7,COUNT(F96:F107)=7),cubic_spline(F95:F102,A95:A102,B$11),IF(AND(COUNT(A96:A107)=8,COUNT(F96:F107)=8),cubic_spline(F95:F103,A95:A103,B$11),IF(AND(COUNT(A96:A107)=9,COUNT(F96:F107)=9),cubic_spline(F95:F104,A95:A104,B$11),IF(AND(COUNT(A96:A107)=10,COUNT(F96:F107)=10),cubic_spline(F95:F105,A95:A105,B$11),IF(AND(COUNT(A96:A107)=11,COUNT(F96:F107)=11),cubic_spline(F95:F106,A95:A106,B$11),IF(AND(COUNT(A96:A107)=12,COUNT(F96:F107)=12),cubic_spline(F95:F107,A95:A107,B$11),""))))))))))))</f>
        <v/>
      </c>
      <c r="L105" s="27" t="str">
        <f>IF(I105="","",B$10&amp;"-"&amp;B$11)</f>
        <v/>
      </c>
      <c r="M105" s="52" t="str">
        <f t="shared" si="35"/>
        <v/>
      </c>
    </row>
    <row r="106" spans="1:13" x14ac:dyDescent="0.35">
      <c r="A106" s="48"/>
      <c r="B106" s="48"/>
      <c r="C106" s="50"/>
      <c r="D106" s="50"/>
      <c r="E106" s="51" t="str">
        <f t="shared" si="33"/>
        <v/>
      </c>
      <c r="F106" s="71" t="str">
        <f t="shared" si="31"/>
        <v/>
      </c>
      <c r="G106" s="69" t="str">
        <f t="shared" si="34"/>
        <v/>
      </c>
      <c r="H106" s="70" t="str">
        <f t="shared" si="32"/>
        <v/>
      </c>
      <c r="I106" s="27" t="str">
        <f>IF(N(J106)=0,"",0&amp;"-"&amp;B$12)</f>
        <v/>
      </c>
      <c r="J106" s="52" t="str">
        <f>IF(N(B$12)=0,"",IF(AND(COUNT(H96:H107)=2,COUNT(F96:F107)=2),cubic_spline(F95:F97,H95:H97,B$12),IF(AND(COUNT(H96:H107)=3,COUNT(F96:F107)=3),cubic_spline(F95:F98,H95:H98,B$12),IF(AND(COUNT(H96:H107)=4,COUNT(F96:F107)=4),cubic_spline(F95:F99,H95:H99,B$12),IF(AND(COUNT(H96:H107)=5,COUNT(F96:F107)=5),cubic_spline(F95:F100,H95:H100,B$12),IF(AND(COUNT(H96:H107)=6,COUNT(F96:F107)=6),cubic_spline(F95:F101,H95:H101,B$12),IF(AND(COUNT(H96:H107)=7,COUNT(F96:F107)=7),cubic_spline(F95:F102,H95:H102,B$12),IF(AND(COUNT(H96:H107)=8,COUNT(F96:F107)=8),cubic_spline(F95:F103,H95:H103,B$12),IF(AND(COUNT(H96:H107)=9,COUNT(F96:F107)=9),cubic_spline(F95:F104,H95:H104,B$12),IF(AND(COUNT(H96:H107)=10,COUNT(F96:F107)=10),cubic_spline(F95:F105,H95:H105,B$12),IF(AND(COUNT(H96:H107)=11,COUNT(F96:F107)=11),cubic_spline(F95:F106,H95:H106,B$12),IF(AND(COUNT(H96:H107)=12,COUNT(F96:F107)=12),cubic_spline(F95:F107,H95:H107,B$12),""))))))))))))</f>
        <v/>
      </c>
      <c r="K106" s="52" t="str">
        <f>IF(N(B$12)=0,"",IF(AND(COUNT(A96:A107)=2,COUNT(F96:F107)=2),cubic_spline(F95:F97,A95:A97,B$12),IF(AND(COUNT(A96:A107)=3,COUNT(F96:F107)=3),cubic_spline(F95:F98,A95:A98,B$12),IF(AND(COUNT(A96:A107)=4,COUNT(F96:F107)=4),cubic_spline(F95:F99,A95:A99,B$12),IF(AND(COUNT(A96:A107)=5,COUNT(F96:F107)=5),cubic_spline(F95:F100,A95:A100,B$12),IF(AND(COUNT(A96:A107)=6,COUNT(F96:F107)=6),cubic_spline(F95:F101,A95:A101,B$12),IF(AND(COUNT(A96:A107)=7,COUNT(F96:F107)=7),cubic_spline(F95:F102,A95:A102,B$12),IF(AND(COUNT(A96:A107)=8,COUNT(F96:F107)=8),cubic_spline(F95:F103,A95:A103,B$12),IF(AND(COUNT(A96:A107)=9,COUNT(F96:F107)=9),cubic_spline(F95:F104,A95:A104,B$12),IF(AND(COUNT(A96:A107)=10,COUNT(F96:F107)=10),cubic_spline(F95:F105,A95:A105,B$12),IF(AND(COUNT(A96:A107)=11,COUNT(F96:F107)=11),cubic_spline(F95:F106,A95:A106,B$12),IF(AND(COUNT(A96:A107)=12,COUNT(F96:F107)=12),cubic_spline(F95:F107,A95:A107,B$12),""))))))))))))</f>
        <v/>
      </c>
      <c r="L106" s="27" t="str">
        <f>IF(I106="","",B$11&amp;"-"&amp;B$12)</f>
        <v/>
      </c>
      <c r="M106" s="52" t="str">
        <f t="shared" si="35"/>
        <v/>
      </c>
    </row>
    <row r="107" spans="1:13" x14ac:dyDescent="0.35">
      <c r="A107" s="48"/>
      <c r="B107" s="48"/>
      <c r="C107" s="50"/>
      <c r="D107" s="50"/>
      <c r="E107" s="51" t="str">
        <f t="shared" si="33"/>
        <v/>
      </c>
      <c r="F107" s="71" t="str">
        <f t="shared" si="31"/>
        <v/>
      </c>
      <c r="G107" s="69" t="str">
        <f t="shared" si="34"/>
        <v/>
      </c>
      <c r="H107" s="70" t="str">
        <f t="shared" si="32"/>
        <v/>
      </c>
      <c r="I107" s="27" t="str">
        <f>IF(N(J107)=0,"",0&amp;"-"&amp;B$13)</f>
        <v/>
      </c>
      <c r="J107" s="52" t="str">
        <f>IF(N(B$13)=0,"",IF(AND(COUNT(H96:H107)=2,COUNT(F96:F107)=2),cubic_spline(F95:F97,H95:H97,B$13),IF(AND(COUNT(H96:H107)=3,COUNT(F96:F107)=3),cubic_spline(F95:F98,H95:H98,B$13),IF(AND(COUNT(H96:H107)=4,COUNT(F96:F107)=4),cubic_spline(F95:F99,H95:H99,B$13),IF(AND(COUNT(H96:H107)=5,COUNT(F96:F107)=5),cubic_spline(F95:F100,H95:H100,B$13),IF(AND(COUNT(H96:H107)=6,COUNT(F96:F107)=6),cubic_spline(F95:F101,H95:H101,B$13),IF(AND(COUNT(H96:H107)=7,COUNT(F96:F107)=7),cubic_spline(F95:F102,H95:H102,B$13),IF(AND(COUNT(H96:H107)=8,COUNT(F96:F107)=8),cubic_spline(F95:F103,H95:H103,B$13),IF(AND(COUNT(H96:H107)=9,COUNT(F96:F107)=9),cubic_spline(F95:F104,H95:H104,B$13),IF(AND(COUNT(H96:H107)=10,COUNT(F96:F107)=10),cubic_spline(F95:F105,H95:H105,B$13),IF(AND(COUNT(H96:H107)=11,COUNT(F96:F107)=11),cubic_spline(F95:F106,H95:H106,B$13),IF(AND(COUNT(H96:H107)=12,COUNT(F96:F107)=12),cubic_spline(F95:F107,H95:H107,B$13),""))))))))))))</f>
        <v/>
      </c>
      <c r="K107" s="52" t="str">
        <f>IF(N(B$13)=0,"",IF(AND(COUNT(A96:A107)=2,COUNT(F96:F107)=2),cubic_spline(F95:F97,A95:A97,B$13),IF(AND(COUNT(A96:A107)=3,COUNT(F96:F107)=3),cubic_spline(F95:F98,A95:A98,B$13),IF(AND(COUNT(A96:A107)=4,COUNT(F96:F107)=4),cubic_spline(F95:F99,A95:A99,B$13),IF(AND(COUNT(A96:A107)=5,COUNT(F96:F107)=5),cubic_spline(F95:F100,A95:A100,B$13),IF(AND(COUNT(A96:A107)=6,COUNT(F96:F107)=6),cubic_spline(F95:F101,A95:A101,B$13),IF(AND(COUNT(A96:A107)=7,COUNT(F96:F107)=7),cubic_spline(F95:F102,A95:A102,B$13),IF(AND(COUNT(A96:A107)=8,COUNT(F96:F107)=8),cubic_spline(F95:F103,A95:A103,B$13),IF(AND(COUNT(A96:A107)=9,COUNT(F96:F107)=9),cubic_spline(F95:F104,A95:A104,B$13),IF(AND(COUNT(A96:A107)=10,COUNT(F96:F107)=10),cubic_spline(F95:F105,A95:A105,B$13),IF(AND(COUNT(A96:A107)=11,COUNT(F96:F107)=11),cubic_spline(F95:F106,A95:A106,B$13),IF(AND(COUNT(A96:A107)=12,COUNT(F96:F107)=12),cubic_spline(F95:F107,A95:A107,B$13),""))))))))))))</f>
        <v/>
      </c>
      <c r="L107" s="27" t="str">
        <f>IF(I107="","",B$12&amp;"-"&amp;B$13)</f>
        <v/>
      </c>
      <c r="M107" s="52" t="str">
        <f t="shared" si="35"/>
        <v/>
      </c>
    </row>
    <row r="108" spans="1:13" ht="5.15" customHeight="1" x14ac:dyDescent="0.35">
      <c r="A108" s="47"/>
      <c r="B108" s="47"/>
      <c r="C108" s="53"/>
      <c r="D108" s="53"/>
      <c r="E108" s="54"/>
      <c r="F108" s="55"/>
      <c r="G108" s="72"/>
      <c r="H108" s="73"/>
      <c r="I108" s="47"/>
      <c r="J108" s="57"/>
      <c r="K108" s="57"/>
      <c r="L108" s="55"/>
      <c r="M108" s="57"/>
    </row>
    <row r="109" spans="1:13" x14ac:dyDescent="0.35">
      <c r="A109" s="48"/>
      <c r="B109" s="48"/>
      <c r="C109" s="50"/>
      <c r="D109" s="50"/>
      <c r="E109" s="51" t="str">
        <f>IF(N(C109)=0,"",(A109-A108)*C109*100)</f>
        <v/>
      </c>
      <c r="F109" s="68" t="str">
        <f t="shared" ref="F109:F120" si="36">IF(N(E109)=0,"",(N(E109)+N(F108)))</f>
        <v/>
      </c>
      <c r="G109" s="69" t="str">
        <f>IF(OR(N(D109)=0,N(E109)=0),"",(E109*D109)/1000)</f>
        <v/>
      </c>
      <c r="H109" s="70" t="str">
        <f t="shared" ref="H109:H120" si="37">IF(N(G109)=0,"",(N(G109)+N(H108)))</f>
        <v/>
      </c>
      <c r="I109" s="27" t="str">
        <f>IF(N(J109)=0,"",0&amp;"-"&amp;B$2)</f>
        <v/>
      </c>
      <c r="J109" s="52" t="str">
        <f>IF(N(B$2)=0,"",IF(AND(COUNT(H109:H120)=2,COUNT(F109:F120)=2),cubic_spline(F108:F110,H108:H110,B$2),IF(AND(COUNT(H109:H120)=3,COUNT(F109:F120)=3),cubic_spline(F108:F111,H108:H111,B$2),IF(AND(COUNT(H109:H120)=4,COUNT(F109:F120)=4),cubic_spline(F108:F112,H108:H112,B$2),IF(AND(COUNT(H109:H120)=5,COUNT(F109:F120)=5),cubic_spline(F108:F113,H108:H113,B$2),IF(AND(COUNT(H109:H120)=6,COUNT(F109:F120)=6),cubic_spline(F108:F114,H108:H114,B$2),IF(AND(COUNT(H109:H120)=7,COUNT(F109:F120)=7),cubic_spline(F108:F115,H108:H115,B$2),IF(AND(COUNT(H109:H120)=8,COUNT(F109:F120)=8),cubic_spline(F108:F116,H108:H116,B$2),IF(AND(COUNT(H109:H120)=9,COUNT(F109:F120)=9),cubic_spline(F108:F117,H108:H117,B$2),IF(AND(COUNT(H109:H120)=10,COUNT(F109:F120)=10),cubic_spline(F108:F118,H108:H118,B$2),IF(AND(COUNT(H109:H120)=11,COUNT(F109:F120)=11),cubic_spline(F108:F119,H108:H119,B$2),IF(AND(COUNT(H109:H120)=12,COUNT(F109:F120)=12),cubic_spline(F108:F120,H108:H120,B$2),""))))))))))))</f>
        <v/>
      </c>
      <c r="K109" s="52" t="str">
        <f>IF(N(B$2)=0,"",IF(AND(COUNT(A109:A120)=2,COUNT(F109:F120)=2),cubic_spline(F108:F110,A108:A110,B$2),IF(AND(COUNT(A109:A120)=3,COUNT(F109:F120)=3),cubic_spline(F108:F111,A108:A111,B$2),IF(AND(COUNT(A109:A120)=4,COUNT(F109:F120)=4),cubic_spline(F108:F112,A108:A112,B$2),IF(AND(COUNT(A109:A120)=5,COUNT(F109:F120)=5),cubic_spline(F108:F113,A108:A113,B$2),IF(AND(COUNT(A109:A120)=6,COUNT(F109:F120)=6),cubic_spline(F108:F114,A108:A114,B$2),IF(AND(COUNT(A109:A120)=7,COUNT(F109:F120)=7),cubic_spline(F108:F115,A108:A115,B$2),IF(AND(COUNT(A109:A120)=8,COUNT(F109:F120)=8),cubic_spline(F108:F116,A108:A116,B$2),IF(AND(COUNT(A109:A120)=9,COUNT(F109:F120)=9),cubic_spline(F108:F117,A108:A117,B$2),IF(AND(COUNT(A109:A120)=10,COUNT(F109:F120)=10),cubic_spline(F108:F118,A108:A118,B$2),IF(AND(COUNT(A109:A120)=11,COUNT(F109:F120)=11),cubic_spline(F108:F119,A108:A119,B$2),IF(AND(COUNT(A109:A120)=12,COUNT(F109:F120)=12),cubic_spline(F108:F120,A108:A120,B$2),""))))))))))))</f>
        <v/>
      </c>
      <c r="L109" s="27" t="str">
        <f>IF(I109="","",0&amp;"-"&amp;B$2)</f>
        <v/>
      </c>
      <c r="M109" s="52" t="str">
        <f>IF(N(J109)=0,"",J109-J108)</f>
        <v/>
      </c>
    </row>
    <row r="110" spans="1:13" x14ac:dyDescent="0.35">
      <c r="A110" s="48"/>
      <c r="B110" s="48"/>
      <c r="C110" s="50"/>
      <c r="D110" s="50"/>
      <c r="E110" s="51" t="str">
        <f t="shared" ref="E110:E120" si="38">IF(N(C110)=0,"",(A110-A109)*C110*100)</f>
        <v/>
      </c>
      <c r="F110" s="68" t="str">
        <f t="shared" si="36"/>
        <v/>
      </c>
      <c r="G110" s="69" t="str">
        <f t="shared" ref="G110:G120" si="39">IF(OR(N(D110)=0,N(E110)=0),"",(E110*D110)/1000)</f>
        <v/>
      </c>
      <c r="H110" s="70" t="str">
        <f t="shared" si="37"/>
        <v/>
      </c>
      <c r="I110" s="27" t="str">
        <f>IF(N(J110)=0,"",0&amp;"-"&amp;B$3)</f>
        <v/>
      </c>
      <c r="J110" s="52" t="str">
        <f>IF(N(B$3)=0,"",IF(AND(COUNT(H109:H120)=2,COUNT(F109:F120)=2),cubic_spline(F108:F110,H108:H110,B$3),IF(AND(COUNT(H109:H120)=3,COUNT(F109:F120)=3),cubic_spline(F108:F111,H108:H111,B$3),IF(AND(COUNT(H109:H120)=4,COUNT(F109:F120)=4),cubic_spline(F108:F112,H108:H112,B$3),IF(AND(COUNT(H109:H120)=5,COUNT(F109:F120)=5),cubic_spline(F108:F113,H108:H113,B$3),IF(AND(COUNT(H109:H120)=6,COUNT(F109:F120)=6),cubic_spline(F108:F114,H108:H114,B$3),IF(AND(COUNT(H109:H120)=7,COUNT(F109:F120)=7),cubic_spline(F108:F115,H108:H115,B$3),IF(AND(COUNT(H109:H120)=8,COUNT(F109:F120)=8),cubic_spline(F108:F116,H108:H116,B$3),IF(AND(COUNT(H109:H120)=9,COUNT(F109:F120)=9),cubic_spline(F108:F117,H108:H117,B$3),IF(AND(COUNT(H109:H120)=10,COUNT(F109:F120)=10),cubic_spline(F108:F118,H108:H118,B$3),IF(AND(COUNT(H109:H120)=11,COUNT(F109:F120)=11),cubic_spline(F108:F119,H108:H119,B$3),IF(AND(COUNT(H109:H120)=12,COUNT(F109:F120)=12),cubic_spline(F108:F120,H108:H120,B$3),""))))))))))))</f>
        <v/>
      </c>
      <c r="K110" s="52" t="str">
        <f>IF(N(B$3)=0,"",IF(AND(COUNT(A109:A120)=2,COUNT(F109:F120)=2),cubic_spline(F108:F110,A108:A110,B$3),IF(AND(COUNT(A109:A120)=3,COUNT(F109:F120)=3),cubic_spline(F108:F111,A108:A111,B$3),IF(AND(COUNT(A109:A120)=4,COUNT(F109:F120)=4),cubic_spline(F108:F112,A108:A112,B$3),IF(AND(COUNT(A109:A120)=5,COUNT(F109:F120)=5),cubic_spline(F108:F113,A108:A113,B$3),IF(AND(COUNT(A109:A120)=6,COUNT(F109:F120)=6),cubic_spline(F108:F114,A108:A114,B$3),IF(AND(COUNT(A109:A120)=7,COUNT(F109:F120)=7),cubic_spline(F108:F115,A108:A115,B$3),IF(AND(COUNT(A109:A120)=8,COUNT(F109:F120)=8),cubic_spline(F108:F116,A108:A116,B$3),IF(AND(COUNT(A109:A120)=9,COUNT(F109:F120)=9),cubic_spline(F108:F117,A108:A117,B$3),IF(AND(COUNT(A109:A120)=10,COUNT(F109:F120)=10),cubic_spline(F108:F118,A108:A118,B$3),IF(AND(COUNT(A109:A120)=11,COUNT(F109:F120)=11),cubic_spline(F108:F119,A108:A119,B$3),IF(AND(COUNT(A109:A120)=12,COUNT(F109:F120)=12),cubic_spline(F108:F120,A108:A120,B$3),""))))))))))))</f>
        <v/>
      </c>
      <c r="L110" s="27" t="str">
        <f>IF(I110="","",B$2&amp;"-"&amp;B$3)</f>
        <v/>
      </c>
      <c r="M110" s="52" t="str">
        <f>IF(N(J110)=0,"",J110-J109)</f>
        <v/>
      </c>
    </row>
    <row r="111" spans="1:13" x14ac:dyDescent="0.35">
      <c r="A111" s="48"/>
      <c r="B111" s="48"/>
      <c r="C111" s="50"/>
      <c r="D111" s="50"/>
      <c r="E111" s="51" t="str">
        <f t="shared" si="38"/>
        <v/>
      </c>
      <c r="F111" s="68" t="str">
        <f t="shared" si="36"/>
        <v/>
      </c>
      <c r="G111" s="69" t="str">
        <f t="shared" si="39"/>
        <v/>
      </c>
      <c r="H111" s="70" t="str">
        <f t="shared" si="37"/>
        <v/>
      </c>
      <c r="I111" s="27" t="str">
        <f>IF(N(J111)=0,"",0&amp;"-"&amp;B$4)</f>
        <v/>
      </c>
      <c r="J111" s="52" t="str">
        <f>IF(N(B$4)=0,"",IF(AND(COUNT(H109:H120)=2,COUNT(F109:F120)=2),cubic_spline(F108:F110,H108:H110,B$4),IF(AND(COUNT(H109:H120)=3,COUNT(F109:F120)=3),cubic_spline(F108:F111,H108:H111,B$4),IF(AND(COUNT(H109:H120)=4,COUNT(F109:F120)=4),cubic_spline(F108:F112,H108:H112,B$4),IF(AND(COUNT(H109:H120)=5,COUNT(F109:F120)=5),cubic_spline(F108:F113,H108:H113,B$4),IF(AND(COUNT(H109:H120)=6,COUNT(F109:F120)=6),cubic_spline(F108:F114,H108:H114,B$4),IF(AND(COUNT(H109:H120)=7,COUNT(F109:F120)=7),cubic_spline(F108:F115,H108:H115,B$4),IF(AND(COUNT(H109:H120)=8,COUNT(F109:F120)=8),cubic_spline(F108:F116,H108:H116,B$4),IF(AND(COUNT(H109:H120)=9,COUNT(F109:F120)=9),cubic_spline(F108:F117,H108:H117,B$4),IF(AND(COUNT(H109:H120)=10,COUNT(F109:F120)=10),cubic_spline(F108:F118,H108:H118,B$4),IF(AND(COUNT(H109:H120)=11,COUNT(F109:F120)=11),cubic_spline(F108:F119,H108:H119,B$4),IF(AND(COUNT(H109:H120)=12,COUNT(F109:F120)=12),cubic_spline(F108:F120,H108:H120,B$4),""))))))))))))</f>
        <v/>
      </c>
      <c r="K111" s="52" t="str">
        <f>IF(N(B$4)=0,"",IF(AND(COUNT(A109:A120)=2,COUNT(F109:F120)=2),cubic_spline(F108:F110,A108:A110,B$4),IF(AND(COUNT(A109:A120)=3,COUNT(F109:F120)=3),cubic_spline(F108:F111,A108:A111,B$4),IF(AND(COUNT(A109:A120)=4,COUNT(F109:F120)=4),cubic_spline(F108:F112,A108:A112,B$4),IF(AND(COUNT(A109:A120)=5,COUNT(F109:F120)=5),cubic_spline(F108:F113,A108:A113,B$4),IF(AND(COUNT(A109:A120)=6,COUNT(F109:F120)=6),cubic_spline(F108:F114,A108:A114,B$4),IF(AND(COUNT(A109:A120)=7,COUNT(F109:F120)=7),cubic_spline(F108:F115,A108:A115,B$4),IF(AND(COUNT(A109:A120)=8,COUNT(F109:F120)=8),cubic_spline(F108:F116,A108:A116,B$4),IF(AND(COUNT(A109:A120)=9,COUNT(F109:F120)=9),cubic_spline(F108:F117,A108:A117,B$4),IF(AND(COUNT(A109:A120)=10,COUNT(F109:F120)=10),cubic_spline(F108:F118,A108:A118,B$4),IF(AND(COUNT(A109:A120)=11,COUNT(F109:F120)=11),cubic_spline(F108:F119,A108:A119,B$4),IF(AND(COUNT(A109:A120)=12,COUNT(F109:F120)=12),cubic_spline(F108:F120,A108:A120,B$4),""))))))))))))</f>
        <v/>
      </c>
      <c r="L111" s="27" t="str">
        <f>IF(I111="","",B$3&amp;"-"&amp;B$4)</f>
        <v/>
      </c>
      <c r="M111" s="52" t="str">
        <f>IF(N(J111)=0,"",J111-J110)</f>
        <v/>
      </c>
    </row>
    <row r="112" spans="1:13" x14ac:dyDescent="0.35">
      <c r="A112" s="48"/>
      <c r="B112" s="48"/>
      <c r="C112" s="50"/>
      <c r="D112" s="50"/>
      <c r="E112" s="51" t="str">
        <f t="shared" si="38"/>
        <v/>
      </c>
      <c r="F112" s="68" t="str">
        <f t="shared" si="36"/>
        <v/>
      </c>
      <c r="G112" s="69" t="str">
        <f t="shared" si="39"/>
        <v/>
      </c>
      <c r="H112" s="70" t="str">
        <f t="shared" si="37"/>
        <v/>
      </c>
      <c r="I112" s="27" t="str">
        <f>IF(N(J112)=0,"",0&amp;"-"&amp;B$5)</f>
        <v/>
      </c>
      <c r="J112" s="52" t="str">
        <f>IF(N(B$5)=0,"",IF(AND(COUNT(H109:H120)=2,COUNT(F109:F120)=2),cubic_spline(F108:F110,H108:H110,B$5),IF(AND(COUNT(H109:H120)=3,COUNT(F109:F120)=3),cubic_spline(F108:F111,H108:H111,B$5),IF(AND(COUNT(H109:H120)=4,COUNT(F109:F120)=4),cubic_spline(F108:F112,H108:H112,B$5),IF(AND(COUNT(H109:H120)=5,COUNT(F109:F120)=5),cubic_spline(F108:F113,H108:H113,B$5),IF(AND(COUNT(H109:H120)=6,COUNT(F109:F120)=6),cubic_spline(F108:F114,H108:H114,B$5),IF(AND(COUNT(H109:H120)=7,COUNT(F109:F120)=7),cubic_spline(F108:F115,H108:H115,B$5),IF(AND(COUNT(H109:H120)=8,COUNT(F109:F120)=8),cubic_spline(F108:F116,H108:H116,B$5),IF(AND(COUNT(H109:H120)=9,COUNT(F109:F120)=9),cubic_spline(F108:F117,H108:H117,B$5),IF(AND(COUNT(H109:H120)=10,COUNT(F109:F120)=10),cubic_spline(F108:F118,H108:H118,B$5),IF(AND(COUNT(H109:H120)=11,COUNT(F109:F120)=11),cubic_spline(F108:F119,H108:H119,B$5),IF(AND(COUNT(H109:H120)=12,COUNT(F109:F120)=12),cubic_spline(F108:F120,H108:H120,B$5),""))))))))))))</f>
        <v/>
      </c>
      <c r="K112" s="52" t="str">
        <f>IF(N(B$5)=0,"",IF(AND(COUNT(A109:A120)=2,COUNT(F109:F120)=2),cubic_spline(F108:F110,A108:A110,B$5),IF(AND(COUNT(A109:A120)=3,COUNT(F109:F120)=3),cubic_spline(F108:F111,A108:A111,B$5),IF(AND(COUNT(A109:A120)=4,COUNT(F109:F120)=4),cubic_spline(F108:F112,A108:A112,B$5),IF(AND(COUNT(A109:A120)=5,COUNT(F109:F120)=5),cubic_spline(F108:F113,A108:A113,B$5),IF(AND(COUNT(A109:A120)=6,COUNT(F109:F120)=6),cubic_spline(F108:F114,A108:A114,B$5),IF(AND(COUNT(A109:A120)=7,COUNT(F109:F120)=7),cubic_spline(F108:F115,A108:A115,B$5),IF(AND(COUNT(A109:A120)=8,COUNT(F109:F120)=8),cubic_spline(F108:F116,A108:A116,B$5),IF(AND(COUNT(A109:A120)=9,COUNT(F109:F120)=9),cubic_spline(F108:F117,A108:A117,B$5),IF(AND(COUNT(A109:A120)=10,COUNT(F109:F120)=10),cubic_spline(F108:F118,A108:A118,B$5),IF(AND(COUNT(A109:A120)=11,COUNT(F109:F120)=11),cubic_spline(F108:F119,A108:A119,B$5),IF(AND(COUNT(A109:A120)=12,COUNT(F109:F120)=12),cubic_spline(F108:F120,A108:A120,B$5),""))))))))))))</f>
        <v/>
      </c>
      <c r="L112" s="27" t="str">
        <f>IF(I112="","",B$4&amp;"-"&amp;B$5)</f>
        <v/>
      </c>
      <c r="M112" s="52" t="str">
        <f>IF(N(J112)=0,"",J112-J111)</f>
        <v/>
      </c>
    </row>
    <row r="113" spans="1:13" x14ac:dyDescent="0.35">
      <c r="A113" s="48"/>
      <c r="B113" s="48"/>
      <c r="C113" s="50"/>
      <c r="D113" s="50"/>
      <c r="E113" s="51" t="str">
        <f t="shared" si="38"/>
        <v/>
      </c>
      <c r="F113" s="71" t="str">
        <f t="shared" si="36"/>
        <v/>
      </c>
      <c r="G113" s="69" t="str">
        <f t="shared" si="39"/>
        <v/>
      </c>
      <c r="H113" s="70" t="str">
        <f t="shared" si="37"/>
        <v/>
      </c>
      <c r="I113" s="27" t="str">
        <f>IF(N(J113)=0,"",0&amp;"-"&amp;B$6)</f>
        <v/>
      </c>
      <c r="J113" s="52" t="str">
        <f>IF(N(B$6)=0,"",IF(AND(COUNT(H109:H120)=2,COUNT(F109:F120)=2),cubic_spline(F108:F110,H108:H110,B$6),IF(AND(COUNT(H109:H120)=3,COUNT(F109:F120)=3),cubic_spline(F108:F111,H108:H111,B$6),IF(AND(COUNT(H109:H120)=4,COUNT(F109:F120)=4),cubic_spline(F108:F112,H108:H112,B$6),IF(AND(COUNT(H109:H120)=5,COUNT(F109:F120)=5),cubic_spline(F108:F113,H108:H113,B$6),IF(AND(COUNT(H109:H120)=6,COUNT(F109:F120)=6),cubic_spline(F108:F114,H108:H114,B$6),IF(AND(COUNT(H109:H120)=7,COUNT(F109:F120)=7),cubic_spline(F108:F115,H108:H115,B$6),IF(AND(COUNT(H109:H120)=8,COUNT(F109:F120)=8),cubic_spline(F108:F116,H108:H116,B$6),IF(AND(COUNT(H109:H120)=9,COUNT(F109:F120)=9),cubic_spline(F108:F117,H108:H117,B$6),IF(AND(COUNT(H109:H120)=10,COUNT(F109:F120)=10),cubic_spline(F108:F118,H108:H118,B$6),IF(AND(COUNT(H109:H120)=11,COUNT(F109:F120)=11),cubic_spline(F108:F119,H108:H119,B$6),IF(AND(COUNT(H109:H120)=12,COUNT(F109:F120)=12),cubic_spline(F108:F120,H108:H120,B$6),""))))))))))))</f>
        <v/>
      </c>
      <c r="K113" s="52" t="str">
        <f>IF(N(B$6)=0,"",IF(AND(COUNT(A109:A120)=2,COUNT(F109:F120)=2),cubic_spline(F108:F110,A108:A110,B$6),IF(AND(COUNT(A109:A120)=3,COUNT(F109:F120)=3),cubic_spline(F108:F111,A108:A111,B$6),IF(AND(COUNT(A109:A120)=4,COUNT(F109:F120)=4),cubic_spline(F108:F112,A108:A112,B$6),IF(AND(COUNT(A109:A120)=5,COUNT(F109:F120)=5),cubic_spline(F108:F113,A108:A113,B$6),IF(AND(COUNT(A109:A120)=6,COUNT(F109:F120)=6),cubic_spline(F108:F114,A108:A114,B$6),IF(AND(COUNT(A109:A120)=7,COUNT(F109:F120)=7),cubic_spline(F108:F115,A108:A115,B$6),IF(AND(COUNT(A109:A120)=8,COUNT(F109:F120)=8),cubic_spline(F108:F116,A108:A116,B$6),IF(AND(COUNT(A109:A120)=9,COUNT(F109:F120)=9),cubic_spline(F108:F117,A108:A117,B$6),IF(AND(COUNT(A109:A120)=10,COUNT(F109:F120)=10),cubic_spline(F108:F118,A108:A118,B$6),IF(AND(COUNT(A109:A120)=11,COUNT(F109:F120)=11),cubic_spline(F108:F119,A108:A119,B$6),IF(AND(COUNT(A109:A120)=12,COUNT(F109:F120)=12),cubic_spline(F108:F120,A108:A120,B$6),""))))))))))))</f>
        <v/>
      </c>
      <c r="L113" s="27" t="str">
        <f>IF(I113="","",B$5&amp;"-"&amp;B$6)</f>
        <v/>
      </c>
      <c r="M113" s="52" t="str">
        <f>IF(N(J113)=0,"",J113-J112)</f>
        <v/>
      </c>
    </row>
    <row r="114" spans="1:13" x14ac:dyDescent="0.35">
      <c r="A114" s="48"/>
      <c r="B114" s="48"/>
      <c r="C114" s="50"/>
      <c r="D114" s="50"/>
      <c r="E114" s="51" t="str">
        <f t="shared" si="38"/>
        <v/>
      </c>
      <c r="F114" s="71" t="str">
        <f t="shared" si="36"/>
        <v/>
      </c>
      <c r="G114" s="69" t="str">
        <f t="shared" si="39"/>
        <v/>
      </c>
      <c r="H114" s="70" t="str">
        <f t="shared" si="37"/>
        <v/>
      </c>
      <c r="I114" s="27" t="str">
        <f>IF(N(J114)=0,"",0&amp;"-"&amp;B$7)</f>
        <v/>
      </c>
      <c r="J114" s="52" t="str">
        <f>IF(N(B$7)=0,"",IF(AND(COUNT(H109:H120)=2,COUNT(F109:F120)=2),cubic_spline(F108:F110,H108:H110,B$7),IF(AND(COUNT(H109:H120)=3,COUNT(F109:F120)=3),cubic_spline(F108:F111,H108:H111,B$7),IF(AND(COUNT(H109:H120)=4,COUNT(F109:F120)=4),cubic_spline(F108:F112,H108:H112,B$7),IF(AND(COUNT(H109:H120)=5,COUNT(F109:F120)=5),cubic_spline(F108:F113,H108:H113,B$7),IF(AND(COUNT(H109:H120)=6,COUNT(F109:F120)=6),cubic_spline(F108:F114,H108:H114,B$7),IF(AND(COUNT(H109:H120)=7,COUNT(F109:F120)=7),cubic_spline(F108:F115,H108:H115,B$7),IF(AND(COUNT(H109:H120)=8,COUNT(F109:F120)=8),cubic_spline(F108:F116,H108:H116,B$7),IF(AND(COUNT(H109:H120)=9,COUNT(F109:F120)=9),cubic_spline(F108:F117,H108:H117,B$7),IF(AND(COUNT(H109:H120)=10,COUNT(F109:F120)=10),cubic_spline(F108:F118,H108:H118,B$7),IF(AND(COUNT(H109:H120)=11,COUNT(F109:F120)=11),cubic_spline(F108:F119,H108:H119,B$7),IF(AND(COUNT(H109:H120)=12,COUNT(F109:F120)=12),cubic_spline(F108:F120,H108:H120,B$7),""))))))))))))</f>
        <v/>
      </c>
      <c r="K114" s="52" t="str">
        <f>IF(N(B$7)=0,"",IF(AND(COUNT(A109:A120)=2,COUNT(F109:F120)=2),cubic_spline(F108:F110,A108:A110,B$7),IF(AND(COUNT(A109:A120)=3,COUNT(F109:F120)=3),cubic_spline(F108:F111,A108:A111,B$7),IF(AND(COUNT(A109:A120)=4,COUNT(F109:F120)=4),cubic_spline(F108:F112,A108:A112,B$7),IF(AND(COUNT(A109:A120)=5,COUNT(F109:F120)=5),cubic_spline(F108:F113,A108:A113,B$7),IF(AND(COUNT(A109:A120)=6,COUNT(F109:F120)=6),cubic_spline(F108:F114,A108:A114,B$7),IF(AND(COUNT(A109:A120)=7,COUNT(F109:F120)=7),cubic_spline(F108:F115,A108:A115,B$7),IF(AND(COUNT(A109:A120)=8,COUNT(F109:F120)=8),cubic_spline(F108:F116,A108:A116,B$7),IF(AND(COUNT(A109:A120)=9,COUNT(F109:F120)=9),cubic_spline(F108:F117,A108:A117,B$7),IF(AND(COUNT(A109:A120)=10,COUNT(F109:F120)=10),cubic_spline(F108:F118,A108:A118,B$7),IF(AND(COUNT(A109:A120)=11,COUNT(F109:F120)=11),cubic_spline(F108:F119,A108:A119,B$7),IF(AND(COUNT(A109:A120)=12,COUNT(F109:F120)=12),cubic_spline(F108:F120,A108:A120,B$7),""))))))))))))</f>
        <v/>
      </c>
      <c r="L114" s="27" t="str">
        <f>IF(I114="","",B$6&amp;"-"&amp;B$7)</f>
        <v/>
      </c>
      <c r="M114" s="52" t="str">
        <f t="shared" ref="M114:M120" si="40">IF(N(J114)=0,"",J114-J113)</f>
        <v/>
      </c>
    </row>
    <row r="115" spans="1:13" x14ac:dyDescent="0.35">
      <c r="A115" s="48"/>
      <c r="B115" s="48"/>
      <c r="C115" s="50"/>
      <c r="D115" s="50"/>
      <c r="E115" s="51" t="str">
        <f t="shared" si="38"/>
        <v/>
      </c>
      <c r="F115" s="71" t="str">
        <f t="shared" si="36"/>
        <v/>
      </c>
      <c r="G115" s="69" t="str">
        <f t="shared" si="39"/>
        <v/>
      </c>
      <c r="H115" s="70" t="str">
        <f t="shared" si="37"/>
        <v/>
      </c>
      <c r="I115" s="27" t="str">
        <f>IF(N(J115)=0,"",0&amp;"-"&amp;B$8)</f>
        <v/>
      </c>
      <c r="J115" s="52" t="str">
        <f>IF(N(B$8)=0,"",IF(AND(COUNT(H109:H120)=2,COUNT(F109:F120)=2),cubic_spline(F108:F110,H108:H110,B$8),IF(AND(COUNT(H109:H120)=3,COUNT(F109:F120)=3),cubic_spline(F108:F111,H108:H111,B$8),IF(AND(COUNT(H109:H120)=4,COUNT(F109:F120)=4),cubic_spline(F108:F112,H108:H112,B$8),IF(AND(COUNT(H109:H120)=5,COUNT(F109:F120)=5),cubic_spline(F108:F113,H108:H113,B$8),IF(AND(COUNT(H109:H120)=6,COUNT(F109:F120)=6),cubic_spline(F108:F114,H108:H114,B$8),IF(AND(COUNT(H109:H120)=7,COUNT(F109:F120)=7),cubic_spline(F108:F115,H108:H115,B$8),IF(AND(COUNT(H109:H120)=8,COUNT(F109:F120)=8),cubic_spline(F108:F116,H108:H116,B$8),IF(AND(COUNT(H109:H120)=9,COUNT(F109:F120)=9),cubic_spline(F108:F117,H108:H117,B$8),IF(AND(COUNT(H109:H120)=10,COUNT(F109:F120)=10),cubic_spline(F108:F118,H108:H118,B$8),IF(AND(COUNT(H109:H120)=11,COUNT(F109:F120)=11),cubic_spline(F108:F119,H108:H119,B$8),IF(AND(COUNT(H109:H120)=12,COUNT(F109:F120)=12),cubic_spline(F108:F120,H108:H120,B$8),""))))))))))))</f>
        <v/>
      </c>
      <c r="K115" s="52" t="str">
        <f>IF(N(B$8)=0,"",IF(AND(COUNT(A109:A120)=2,COUNT(F109:F120)=2),cubic_spline(F108:F110,A108:A110,B$8),IF(AND(COUNT(A109:A120)=3,COUNT(F109:F120)=3),cubic_spline(F108:F111,A108:A111,B$8),IF(AND(COUNT(A109:A120)=4,COUNT(F109:F120)=4),cubic_spline(F108:F112,A108:A112,B$8),IF(AND(COUNT(A109:A120)=5,COUNT(F109:F120)=5),cubic_spline(F108:F113,A108:A113,B$8),IF(AND(COUNT(A109:A120)=6,COUNT(F109:F120)=6),cubic_spline(F108:F114,A108:A114,B$8),IF(AND(COUNT(A109:A120)=7,COUNT(F109:F120)=7),cubic_spline(F108:F115,A108:A115,B$8),IF(AND(COUNT(A109:A120)=8,COUNT(F109:F120)=8),cubic_spline(F108:F116,A108:A116,B$8),IF(AND(COUNT(A109:A120)=9,COUNT(F109:F120)=9),cubic_spline(F108:F117,A108:A117,B$8),IF(AND(COUNT(A109:A120)=10,COUNT(F109:F120)=10),cubic_spline(F108:F118,A108:A118,B$8),IF(AND(COUNT(A109:A120)=11,COUNT(F109:F120)=11),cubic_spline(F108:F119,A108:A119,B$8),IF(AND(COUNT(A109:A120)=12,COUNT(F109:F120)=12),cubic_spline(F108:F120,A108:A120,B$8),""))))))))))))</f>
        <v/>
      </c>
      <c r="L115" s="27" t="str">
        <f>IF(I115="","",B$7&amp;"-"&amp;B$8)</f>
        <v/>
      </c>
      <c r="M115" s="52" t="str">
        <f t="shared" si="40"/>
        <v/>
      </c>
    </row>
    <row r="116" spans="1:13" x14ac:dyDescent="0.35">
      <c r="A116" s="48"/>
      <c r="B116" s="48"/>
      <c r="C116" s="50"/>
      <c r="D116" s="50"/>
      <c r="E116" s="51" t="str">
        <f t="shared" si="38"/>
        <v/>
      </c>
      <c r="F116" s="71" t="str">
        <f t="shared" si="36"/>
        <v/>
      </c>
      <c r="G116" s="69" t="str">
        <f t="shared" si="39"/>
        <v/>
      </c>
      <c r="H116" s="70" t="str">
        <f t="shared" si="37"/>
        <v/>
      </c>
      <c r="I116" s="27" t="str">
        <f>IF(N(J116)=0,"",0&amp;"-"&amp;B$9)</f>
        <v/>
      </c>
      <c r="J116" s="52" t="str">
        <f>IF(N(B$9)=0,"",IF(AND(COUNT(H109:H120)=2,COUNT(F109:F120)=2),cubic_spline(F108:F110,H108:H110,B$9),IF(AND(COUNT(H109:H120)=3,COUNT(F109:F120)=3),cubic_spline(F108:F111,H108:H111,B$9),IF(AND(COUNT(H109:H120)=4,COUNT(F109:F120)=4),cubic_spline(F108:F112,H108:H112,B$9),IF(AND(COUNT(H109:H120)=5,COUNT(F109:F120)=5),cubic_spline(F108:F113,H108:H113,B$9),IF(AND(COUNT(H109:H120)=6,COUNT(F109:F120)=6),cubic_spline(F108:F114,H108:H114,B$9),IF(AND(COUNT(H109:H120)=7,COUNT(F109:F120)=7),cubic_spline(F108:F115,H108:H115,B$9),IF(AND(COUNT(H109:H120)=8,COUNT(F109:F120)=8),cubic_spline(F108:F116,H108:H116,B$9),IF(AND(COUNT(H109:H120)=9,COUNT(F109:F120)=9),cubic_spline(F108:F117,H108:H117,B$9),IF(AND(COUNT(H109:H120)=10,COUNT(F109:F120)=10),cubic_spline(F108:F118,H108:H118,B$9),IF(AND(COUNT(H109:H120)=11,COUNT(F109:F120)=11),cubic_spline(F108:F119,H108:H119,B$9),IF(AND(COUNT(H109:H120)=12,COUNT(F109:F120)=12),cubic_spline(F108:F120,H108:H120,B$9),""))))))))))))</f>
        <v/>
      </c>
      <c r="K116" s="52" t="str">
        <f>IF(N(B$9)=0,"",IF(AND(COUNT(A109:A120)=2,COUNT(F109:F120)=2),cubic_spline(F108:F110,A108:A110,B$9),IF(AND(COUNT(A109:A120)=3,COUNT(F109:F120)=3),cubic_spline(F108:F111,A108:A111,B$9),IF(AND(COUNT(A109:A120)=4,COUNT(F109:F120)=4),cubic_spline(F108:F112,A108:A112,B$9),IF(AND(COUNT(A109:A120)=5,COUNT(F109:F120)=5),cubic_spline(F108:F113,A108:A113,B$9),IF(AND(COUNT(A109:A120)=6,COUNT(F109:F120)=6),cubic_spline(F108:F114,A108:A114,B$9),IF(AND(COUNT(A109:A120)=7,COUNT(F109:F120)=7),cubic_spline(F108:F115,A108:A115,B$9),IF(AND(COUNT(A109:A120)=8,COUNT(F109:F120)=8),cubic_spline(F108:F116,A108:A116,B$9),IF(AND(COUNT(A109:A120)=9,COUNT(F109:F120)=9),cubic_spline(F108:F117,A108:A117,B$9),IF(AND(COUNT(A109:A120)=10,COUNT(F109:F120)=10),cubic_spline(F108:F118,A108:A118,B$9),IF(AND(COUNT(A109:A120)=11,COUNT(F109:F120)=11),cubic_spline(F108:F119,A108:A119,B$9),IF(AND(COUNT(A109:A120)=12,COUNT(F109:F120)=12),cubic_spline(F108:F120,A108:A120,B$9),""))))))))))))</f>
        <v/>
      </c>
      <c r="L116" s="27" t="str">
        <f>IF(I116="","",B$8&amp;"-"&amp;B$9)</f>
        <v/>
      </c>
      <c r="M116" s="52" t="str">
        <f t="shared" si="40"/>
        <v/>
      </c>
    </row>
    <row r="117" spans="1:13" x14ac:dyDescent="0.35">
      <c r="A117" s="48"/>
      <c r="B117" s="48"/>
      <c r="C117" s="50"/>
      <c r="D117" s="50"/>
      <c r="E117" s="51" t="str">
        <f t="shared" si="38"/>
        <v/>
      </c>
      <c r="F117" s="71" t="str">
        <f t="shared" si="36"/>
        <v/>
      </c>
      <c r="G117" s="69" t="str">
        <f t="shared" si="39"/>
        <v/>
      </c>
      <c r="H117" s="70" t="str">
        <f t="shared" si="37"/>
        <v/>
      </c>
      <c r="I117" s="27" t="str">
        <f>IF(N(J117)=0,"",0&amp;"-"&amp;B$10)</f>
        <v/>
      </c>
      <c r="J117" s="52" t="str">
        <f>IF(N(B$10)=0,"",IF(AND(COUNT(H109:H120)=2,COUNT(F109:F120)=2),cubic_spline(F108:F110,H108:H110,B$10),IF(AND(COUNT(H109:H120)=3,COUNT(F109:F120)=3),cubic_spline(F108:F111,H108:H111,B$10),IF(AND(COUNT(H109:H120)=4,COUNT(F109:F120)=4),cubic_spline(F108:F112,H108:H112,B$10),IF(AND(COUNT(H109:H120)=5,COUNT(F109:F120)=5),cubic_spline(F108:F113,H108:H113,B$10),IF(AND(COUNT(H109:H120)=6,COUNT(F109:F120)=6),cubic_spline(F108:F114,H108:H114,B$10),IF(AND(COUNT(H109:H120)=7,COUNT(F109:F120)=7),cubic_spline(F108:F115,H108:H115,B$10),IF(AND(COUNT(H109:H120)=8,COUNT(F109:F120)=8),cubic_spline(F108:F116,H108:H116,B$10),IF(AND(COUNT(H109:H120)=9,COUNT(F109:F120)=9),cubic_spline(F108:F117,H108:H117,B$10),IF(AND(COUNT(H109:H120)=10,COUNT(F109:F120)=10),cubic_spline(F108:F118,H108:H118,B$10),IF(AND(COUNT(H109:H120)=11,COUNT(F109:F120)=11),cubic_spline(F108:F119,H108:H119,B$10),IF(AND(COUNT(H109:H120)=12,COUNT(F109:F120)=12),cubic_spline(F108:F120,H108:H120,B$10),""))))))))))))</f>
        <v/>
      </c>
      <c r="K117" s="52" t="str">
        <f>IF(N(B$10)=0,"",IF(AND(COUNT(A109:A120)=2,COUNT(F109:F120)=2),cubic_spline(F108:F110,A108:A110,B$10),IF(AND(COUNT(A109:A120)=3,COUNT(F109:F120)=3),cubic_spline(F108:F111,A108:A111,B$10),IF(AND(COUNT(A109:A120)=4,COUNT(F109:F120)=4),cubic_spline(F108:F112,A108:A112,B$10),IF(AND(COUNT(A109:A120)=5,COUNT(F109:F120)=5),cubic_spline(F108:F113,A108:A113,B$10),IF(AND(COUNT(A109:A120)=6,COUNT(F109:F120)=6),cubic_spline(F108:F114,A108:A114,B$10),IF(AND(COUNT(A109:A120)=7,COUNT(F109:F120)=7),cubic_spline(F108:F115,A108:A115,B$10),IF(AND(COUNT(A109:A120)=8,COUNT(F109:F120)=8),cubic_spline(F108:F116,A108:A116,B$10),IF(AND(COUNT(A109:A120)=9,COUNT(F109:F120)=9),cubic_spline(F108:F117,A108:A117,B$10),IF(AND(COUNT(A109:A120)=10,COUNT(F109:F120)=10),cubic_spline(F108:F118,A108:A118,B$10),IF(AND(COUNT(A109:A120)=11,COUNT(F109:F120)=11),cubic_spline(F108:F119,A108:A119,B$10),IF(AND(COUNT(A109:A120)=12,COUNT(F109:F120)=12),cubic_spline(F108:F120,A108:A120,B$10),""))))))))))))</f>
        <v/>
      </c>
      <c r="L117" s="27" t="str">
        <f>IF(I117="","",B$9&amp;"-"&amp;B$10)</f>
        <v/>
      </c>
      <c r="M117" s="52" t="str">
        <f t="shared" si="40"/>
        <v/>
      </c>
    </row>
    <row r="118" spans="1:13" x14ac:dyDescent="0.35">
      <c r="A118" s="48"/>
      <c r="B118" s="48"/>
      <c r="C118" s="50"/>
      <c r="D118" s="50"/>
      <c r="E118" s="51" t="str">
        <f t="shared" si="38"/>
        <v/>
      </c>
      <c r="F118" s="71" t="str">
        <f t="shared" si="36"/>
        <v/>
      </c>
      <c r="G118" s="69" t="str">
        <f t="shared" si="39"/>
        <v/>
      </c>
      <c r="H118" s="70" t="str">
        <f t="shared" si="37"/>
        <v/>
      </c>
      <c r="I118" s="27" t="str">
        <f>IF(N(J118)=0,"",0&amp;"-"&amp;B$11)</f>
        <v/>
      </c>
      <c r="J118" s="52" t="str">
        <f>IF(N(B$11)=0,"",IF(AND(COUNT(H109:H120)=2,COUNT(F109:F120)=2),cubic_spline(F108:F110,H108:H110,B$11),IF(AND(COUNT(H109:H120)=3,COUNT(F109:F120)=3),cubic_spline(F108:F111,H108:H111,B$11),IF(AND(COUNT(H109:H120)=4,COUNT(F109:F120)=4),cubic_spline(F108:F112,H108:H112,B$11),IF(AND(COUNT(H109:H120)=5,COUNT(F109:F120)=5),cubic_spline(F108:F113,H108:H113,B$11),IF(AND(COUNT(H109:H120)=6,COUNT(F109:F120)=6),cubic_spline(F108:F114,H108:H114,B$11),IF(AND(COUNT(H109:H120)=7,COUNT(F109:F120)=7),cubic_spline(F108:F115,H108:H115,B$11),IF(AND(COUNT(H109:H120)=8,COUNT(F109:F120)=8),cubic_spline(F108:F116,H108:H116,B$11),IF(AND(COUNT(H109:H120)=9,COUNT(F109:F120)=9),cubic_spline(F108:F117,H108:H117,B$11),IF(AND(COUNT(H109:H120)=10,COUNT(F109:F120)=10),cubic_spline(F108:F118,H108:H118,B$11),IF(AND(COUNT(H109:H120)=11,COUNT(F109:F120)=11),cubic_spline(F108:F119,H108:H119,B$11),IF(AND(COUNT(H109:H120)=12,COUNT(F109:F120)=12),cubic_spline(F108:F120,H108:H120,B$11),""))))))))))))</f>
        <v/>
      </c>
      <c r="K118" s="52" t="str">
        <f>IF(N(B$11)=0,"",IF(AND(COUNT(A109:A120)=2,COUNT(F109:F120)=2),cubic_spline(F108:F110,A108:A110,B$11),IF(AND(COUNT(A109:A120)=3,COUNT(F109:F120)=3),cubic_spline(F108:F111,A108:A111,B$11),IF(AND(COUNT(A109:A120)=4,COUNT(F109:F120)=4),cubic_spline(F108:F112,A108:A112,B$11),IF(AND(COUNT(A109:A120)=5,COUNT(F109:F120)=5),cubic_spline(F108:F113,A108:A113,B$11),IF(AND(COUNT(A109:A120)=6,COUNT(F109:F120)=6),cubic_spline(F108:F114,A108:A114,B$11),IF(AND(COUNT(A109:A120)=7,COUNT(F109:F120)=7),cubic_spline(F108:F115,A108:A115,B$11),IF(AND(COUNT(A109:A120)=8,COUNT(F109:F120)=8),cubic_spline(F108:F116,A108:A116,B$11),IF(AND(COUNT(A109:A120)=9,COUNT(F109:F120)=9),cubic_spline(F108:F117,A108:A117,B$11),IF(AND(COUNT(A109:A120)=10,COUNT(F109:F120)=10),cubic_spline(F108:F118,A108:A118,B$11),IF(AND(COUNT(A109:A120)=11,COUNT(F109:F120)=11),cubic_spline(F108:F119,A108:A119,B$11),IF(AND(COUNT(A109:A120)=12,COUNT(F109:F120)=12),cubic_spline(F108:F120,A108:A120,B$11),""))))))))))))</f>
        <v/>
      </c>
      <c r="L118" s="27" t="str">
        <f>IF(I118="","",B$10&amp;"-"&amp;B$11)</f>
        <v/>
      </c>
      <c r="M118" s="52" t="str">
        <f t="shared" si="40"/>
        <v/>
      </c>
    </row>
    <row r="119" spans="1:13" x14ac:dyDescent="0.35">
      <c r="A119" s="48"/>
      <c r="B119" s="48"/>
      <c r="C119" s="50"/>
      <c r="D119" s="50"/>
      <c r="E119" s="51" t="str">
        <f t="shared" si="38"/>
        <v/>
      </c>
      <c r="F119" s="71" t="str">
        <f t="shared" si="36"/>
        <v/>
      </c>
      <c r="G119" s="69" t="str">
        <f t="shared" si="39"/>
        <v/>
      </c>
      <c r="H119" s="70" t="str">
        <f t="shared" si="37"/>
        <v/>
      </c>
      <c r="I119" s="27" t="str">
        <f>IF(N(J119)=0,"",0&amp;"-"&amp;B$12)</f>
        <v/>
      </c>
      <c r="J119" s="52" t="str">
        <f>IF(N(B$12)=0,"",IF(AND(COUNT(H109:H120)=2,COUNT(F109:F120)=2),cubic_spline(F108:F110,H108:H110,B$12),IF(AND(COUNT(H109:H120)=3,COUNT(F109:F120)=3),cubic_spline(F108:F111,H108:H111,B$12),IF(AND(COUNT(H109:H120)=4,COUNT(F109:F120)=4),cubic_spline(F108:F112,H108:H112,B$12),IF(AND(COUNT(H109:H120)=5,COUNT(F109:F120)=5),cubic_spline(F108:F113,H108:H113,B$12),IF(AND(COUNT(H109:H120)=6,COUNT(F109:F120)=6),cubic_spline(F108:F114,H108:H114,B$12),IF(AND(COUNT(H109:H120)=7,COUNT(F109:F120)=7),cubic_spline(F108:F115,H108:H115,B$12),IF(AND(COUNT(H109:H120)=8,COUNT(F109:F120)=8),cubic_spline(F108:F116,H108:H116,B$12),IF(AND(COUNT(H109:H120)=9,COUNT(F109:F120)=9),cubic_spline(F108:F117,H108:H117,B$12),IF(AND(COUNT(H109:H120)=10,COUNT(F109:F120)=10),cubic_spline(F108:F118,H108:H118,B$12),IF(AND(COUNT(H109:H120)=11,COUNT(F109:F120)=11),cubic_spline(F108:F119,H108:H119,B$12),IF(AND(COUNT(H109:H120)=12,COUNT(F109:F120)=12),cubic_spline(F108:F120,H108:H120,B$12),""))))))))))))</f>
        <v/>
      </c>
      <c r="K119" s="52" t="str">
        <f>IF(N(B$12)=0,"",IF(AND(COUNT(A109:A120)=2,COUNT(F109:F120)=2),cubic_spline(F108:F110,A108:A110,B$12),IF(AND(COUNT(A109:A120)=3,COUNT(F109:F120)=3),cubic_spline(F108:F111,A108:A111,B$12),IF(AND(COUNT(A109:A120)=4,COUNT(F109:F120)=4),cubic_spline(F108:F112,A108:A112,B$12),IF(AND(COUNT(A109:A120)=5,COUNT(F109:F120)=5),cubic_spline(F108:F113,A108:A113,B$12),IF(AND(COUNT(A109:A120)=6,COUNT(F109:F120)=6),cubic_spline(F108:F114,A108:A114,B$12),IF(AND(COUNT(A109:A120)=7,COUNT(F109:F120)=7),cubic_spline(F108:F115,A108:A115,B$12),IF(AND(COUNT(A109:A120)=8,COUNT(F109:F120)=8),cubic_spline(F108:F116,A108:A116,B$12),IF(AND(COUNT(A109:A120)=9,COUNT(F109:F120)=9),cubic_spline(F108:F117,A108:A117,B$12),IF(AND(COUNT(A109:A120)=10,COUNT(F109:F120)=10),cubic_spline(F108:F118,A108:A118,B$12),IF(AND(COUNT(A109:A120)=11,COUNT(F109:F120)=11),cubic_spline(F108:F119,A108:A119,B$12),IF(AND(COUNT(A109:A120)=12,COUNT(F109:F120)=12),cubic_spline(F108:F120,A108:A120,B$12),""))))))))))))</f>
        <v/>
      </c>
      <c r="L119" s="27" t="str">
        <f>IF(I119="","",B$11&amp;"-"&amp;B$12)</f>
        <v/>
      </c>
      <c r="M119" s="52" t="str">
        <f t="shared" si="40"/>
        <v/>
      </c>
    </row>
    <row r="120" spans="1:13" x14ac:dyDescent="0.35">
      <c r="A120" s="48"/>
      <c r="B120" s="48"/>
      <c r="C120" s="50"/>
      <c r="D120" s="50"/>
      <c r="E120" s="51" t="str">
        <f t="shared" si="38"/>
        <v/>
      </c>
      <c r="F120" s="71" t="str">
        <f t="shared" si="36"/>
        <v/>
      </c>
      <c r="G120" s="69" t="str">
        <f t="shared" si="39"/>
        <v/>
      </c>
      <c r="H120" s="70" t="str">
        <f t="shared" si="37"/>
        <v/>
      </c>
      <c r="I120" s="27" t="str">
        <f>IF(N(J120)=0,"",0&amp;"-"&amp;B$13)</f>
        <v/>
      </c>
      <c r="J120" s="52" t="str">
        <f>IF(N(B$13)=0,"",IF(AND(COUNT(H109:H120)=2,COUNT(F109:F120)=2),cubic_spline(F108:F110,H108:H110,B$13),IF(AND(COUNT(H109:H120)=3,COUNT(F109:F120)=3),cubic_spline(F108:F111,H108:H111,B$13),IF(AND(COUNT(H109:H120)=4,COUNT(F109:F120)=4),cubic_spline(F108:F112,H108:H112,B$13),IF(AND(COUNT(H109:H120)=5,COUNT(F109:F120)=5),cubic_spline(F108:F113,H108:H113,B$13),IF(AND(COUNT(H109:H120)=6,COUNT(F109:F120)=6),cubic_spline(F108:F114,H108:H114,B$13),IF(AND(COUNT(H109:H120)=7,COUNT(F109:F120)=7),cubic_spline(F108:F115,H108:H115,B$13),IF(AND(COUNT(H109:H120)=8,COUNT(F109:F120)=8),cubic_spline(F108:F116,H108:H116,B$13),IF(AND(COUNT(H109:H120)=9,COUNT(F109:F120)=9),cubic_spline(F108:F117,H108:H117,B$13),IF(AND(COUNT(H109:H120)=10,COUNT(F109:F120)=10),cubic_spline(F108:F118,H108:H118,B$13),IF(AND(COUNT(H109:H120)=11,COUNT(F109:F120)=11),cubic_spline(F108:F119,H108:H119,B$13),IF(AND(COUNT(H109:H120)=12,COUNT(F109:F120)=12),cubic_spline(F108:F120,H108:H120,B$13),""))))))))))))</f>
        <v/>
      </c>
      <c r="K120" s="52" t="str">
        <f>IF(N(B$13)=0,"",IF(AND(COUNT(A109:A120)=2,COUNT(F109:F120)=2),cubic_spline(F108:F110,A108:A110,B$13),IF(AND(COUNT(A109:A120)=3,COUNT(F109:F120)=3),cubic_spline(F108:F111,A108:A111,B$13),IF(AND(COUNT(A109:A120)=4,COUNT(F109:F120)=4),cubic_spline(F108:F112,A108:A112,B$13),IF(AND(COUNT(A109:A120)=5,COUNT(F109:F120)=5),cubic_spline(F108:F113,A108:A113,B$13),IF(AND(COUNT(A109:A120)=6,COUNT(F109:F120)=6),cubic_spline(F108:F114,A108:A114,B$13),IF(AND(COUNT(A109:A120)=7,COUNT(F109:F120)=7),cubic_spline(F108:F115,A108:A115,B$13),IF(AND(COUNT(A109:A120)=8,COUNT(F109:F120)=8),cubic_spline(F108:F116,A108:A116,B$13),IF(AND(COUNT(A109:A120)=9,COUNT(F109:F120)=9),cubic_spline(F108:F117,A108:A117,B$13),IF(AND(COUNT(A109:A120)=10,COUNT(F109:F120)=10),cubic_spline(F108:F118,A108:A118,B$13),IF(AND(COUNT(A109:A120)=11,COUNT(F109:F120)=11),cubic_spline(F108:F119,A108:A119,B$13),IF(AND(COUNT(A109:A120)=12,COUNT(F109:F120)=12),cubic_spline(F108:F120,A108:A120,B$13),""))))))))))))</f>
        <v/>
      </c>
      <c r="L120" s="27" t="str">
        <f>IF(I120="","",B$12&amp;"-"&amp;B$13)</f>
        <v/>
      </c>
      <c r="M120" s="52" t="str">
        <f t="shared" si="40"/>
        <v/>
      </c>
    </row>
    <row r="121" spans="1:13" ht="5.15" customHeight="1" x14ac:dyDescent="0.35">
      <c r="A121" s="47"/>
      <c r="B121" s="47"/>
      <c r="C121" s="53"/>
      <c r="D121" s="53"/>
      <c r="E121" s="54"/>
      <c r="F121" s="55"/>
      <c r="G121" s="72"/>
      <c r="H121" s="73"/>
      <c r="I121" s="47"/>
      <c r="J121" s="57"/>
      <c r="K121" s="57"/>
      <c r="L121" s="55"/>
      <c r="M121" s="57"/>
    </row>
    <row r="122" spans="1:13" x14ac:dyDescent="0.35">
      <c r="A122" s="48"/>
      <c r="B122" s="48"/>
      <c r="C122" s="50"/>
      <c r="D122" s="50"/>
      <c r="E122" s="51" t="str">
        <f>IF(N(C122)=0,"",(A122-A121)*C122*100)</f>
        <v/>
      </c>
      <c r="F122" s="68" t="str">
        <f t="shared" ref="F122:F133" si="41">IF(N(E122)=0,"",(N(E122)+N(F121)))</f>
        <v/>
      </c>
      <c r="G122" s="69" t="str">
        <f>IF(OR(N(D122)=0,N(E122)=0),"",(E122*D122)/1000)</f>
        <v/>
      </c>
      <c r="H122" s="70" t="str">
        <f t="shared" ref="H122:H133" si="42">IF(N(G122)=0,"",(N(G122)+N(H121)))</f>
        <v/>
      </c>
      <c r="I122" s="27" t="str">
        <f>IF(N(J122)=0,"",0&amp;"-"&amp;B$2)</f>
        <v/>
      </c>
      <c r="J122" s="52" t="str">
        <f>IF(N(B$2)=0,"",IF(AND(COUNT(H122:H133)=2,COUNT(F122:F133)=2),cubic_spline(F121:F123,H121:H123,B$2),IF(AND(COUNT(H122:H133)=3,COUNT(F122:F133)=3),cubic_spline(F121:F124,H121:H124,B$2),IF(AND(COUNT(H122:H133)=4,COUNT(F122:F133)=4),cubic_spline(F121:F125,H121:H125,B$2),IF(AND(COUNT(H122:H133)=5,COUNT(F122:F133)=5),cubic_spline(F121:F126,H121:H126,B$2),IF(AND(COUNT(H122:H133)=6,COUNT(F122:F133)=6),cubic_spline(F121:F127,H121:H127,B$2),IF(AND(COUNT(H122:H133)=7,COUNT(F122:F133)=7),cubic_spline(F121:F128,H121:H128,B$2),IF(AND(COUNT(H122:H133)=8,COUNT(F122:F133)=8),cubic_spline(F121:F129,H121:H129,B$2),IF(AND(COUNT(H122:H133)=9,COUNT(F122:F133)=9),cubic_spline(F121:F130,H121:H130,B$2),IF(AND(COUNT(H122:H133)=10,COUNT(F122:F133)=10),cubic_spline(F121:F131,H121:H131,B$2),IF(AND(COUNT(H122:H133)=11,COUNT(F122:F133)=11),cubic_spline(F121:F132,H121:H132,B$2),IF(AND(COUNT(H122:H133)=12,COUNT(F122:F133)=12),cubic_spline(F121:F133,H121:H133,B$2),""))))))))))))</f>
        <v/>
      </c>
      <c r="K122" s="52" t="str">
        <f>IF(N(B$2)=0,"",IF(AND(COUNT(A122:A133)=2,COUNT(F122:F133)=2),cubic_spline(F121:F123,A121:A123,B$2),IF(AND(COUNT(A122:A133)=3,COUNT(F122:F133)=3),cubic_spline(F121:F124,A121:A124,B$2),IF(AND(COUNT(A122:A133)=4,COUNT(F122:F133)=4),cubic_spline(F121:F125,A121:A125,B$2),IF(AND(COUNT(A122:A133)=5,COUNT(F122:F133)=5),cubic_spline(F121:F126,A121:A126,B$2),IF(AND(COUNT(A122:A133)=6,COUNT(F122:F133)=6),cubic_spline(F121:F127,A121:A127,B$2),IF(AND(COUNT(A122:A133)=7,COUNT(F122:F133)=7),cubic_spline(F121:F128,A121:A128,B$2),IF(AND(COUNT(A122:A133)=8,COUNT(F122:F133)=8),cubic_spline(F121:F129,A121:A129,B$2),IF(AND(COUNT(A122:A133)=9,COUNT(F122:F133)=9),cubic_spline(F121:F130,A121:A130,B$2),IF(AND(COUNT(A122:A133)=10,COUNT(F122:F133)=10),cubic_spline(F121:F131,A121:A131,B$2),IF(AND(COUNT(A122:A133)=11,COUNT(F122:F133)=11),cubic_spline(F121:F132,A121:A132,B$2),IF(AND(COUNT(A122:A133)=12,COUNT(F122:F133)=12),cubic_spline(F121:F133,A121:A133,B$2),""))))))))))))</f>
        <v/>
      </c>
      <c r="L122" s="27" t="str">
        <f>IF(I122="","",0&amp;"-"&amp;B$2)</f>
        <v/>
      </c>
      <c r="M122" s="52" t="str">
        <f>IF(N(J122)=0,"",J122-J121)</f>
        <v/>
      </c>
    </row>
    <row r="123" spans="1:13" x14ac:dyDescent="0.35">
      <c r="A123" s="48"/>
      <c r="B123" s="48"/>
      <c r="C123" s="50"/>
      <c r="D123" s="50"/>
      <c r="E123" s="51" t="str">
        <f t="shared" ref="E123:E133" si="43">IF(N(C123)=0,"",(A123-A122)*C123*100)</f>
        <v/>
      </c>
      <c r="F123" s="68" t="str">
        <f t="shared" si="41"/>
        <v/>
      </c>
      <c r="G123" s="69" t="str">
        <f t="shared" ref="G123:G133" si="44">IF(OR(N(D123)=0,N(E123)=0),"",(E123*D123)/1000)</f>
        <v/>
      </c>
      <c r="H123" s="70" t="str">
        <f t="shared" si="42"/>
        <v/>
      </c>
      <c r="I123" s="27" t="str">
        <f>IF(N(J123)=0,"",0&amp;"-"&amp;B$3)</f>
        <v/>
      </c>
      <c r="J123" s="52" t="str">
        <f>IF(N(B$3)=0,"",IF(AND(COUNT(H122:H133)=2,COUNT(F122:F133)=2),cubic_spline(F121:F123,H121:H123,B$3),IF(AND(COUNT(H122:H133)=3,COUNT(F122:F133)=3),cubic_spline(F121:F124,H121:H124,B$3),IF(AND(COUNT(H122:H133)=4,COUNT(F122:F133)=4),cubic_spline(F121:F125,H121:H125,B$3),IF(AND(COUNT(H122:H133)=5,COUNT(F122:F133)=5),cubic_spline(F121:F126,H121:H126,B$3),IF(AND(COUNT(H122:H133)=6,COUNT(F122:F133)=6),cubic_spline(F121:F127,H121:H127,B$3),IF(AND(COUNT(H122:H133)=7,COUNT(F122:F133)=7),cubic_spline(F121:F128,H121:H128,B$3),IF(AND(COUNT(H122:H133)=8,COUNT(F122:F133)=8),cubic_spline(F121:F129,H121:H129,B$3),IF(AND(COUNT(H122:H133)=9,COUNT(F122:F133)=9),cubic_spline(F121:F130,H121:H130,B$3),IF(AND(COUNT(H122:H133)=10,COUNT(F122:F133)=10),cubic_spline(F121:F131,H121:H131,B$3),IF(AND(COUNT(H122:H133)=11,COUNT(F122:F133)=11),cubic_spline(F121:F132,H121:H132,B$3),IF(AND(COUNT(H122:H133)=12,COUNT(F122:F133)=12),cubic_spline(F121:F133,H121:H133,B$3),""))))))))))))</f>
        <v/>
      </c>
      <c r="K123" s="52" t="str">
        <f>IF(N(B$3)=0,"",IF(AND(COUNT(A122:A133)=2,COUNT(F122:F133)=2),cubic_spline(F121:F123,A121:A123,B$3),IF(AND(COUNT(A122:A133)=3,COUNT(F122:F133)=3),cubic_spline(F121:F124,A121:A124,B$3),IF(AND(COUNT(A122:A133)=4,COUNT(F122:F133)=4),cubic_spline(F121:F125,A121:A125,B$3),IF(AND(COUNT(A122:A133)=5,COUNT(F122:F133)=5),cubic_spline(F121:F126,A121:A126,B$3),IF(AND(COUNT(A122:A133)=6,COUNT(F122:F133)=6),cubic_spline(F121:F127,A121:A127,B$3),IF(AND(COUNT(A122:A133)=7,COUNT(F122:F133)=7),cubic_spline(F121:F128,A121:A128,B$3),IF(AND(COUNT(A122:A133)=8,COUNT(F122:F133)=8),cubic_spline(F121:F129,A121:A129,B$3),IF(AND(COUNT(A122:A133)=9,COUNT(F122:F133)=9),cubic_spline(F121:F130,A121:A130,B$3),IF(AND(COUNT(A122:A133)=10,COUNT(F122:F133)=10),cubic_spline(F121:F131,A121:A131,B$3),IF(AND(COUNT(A122:A133)=11,COUNT(F122:F133)=11),cubic_spline(F121:F132,A121:A132,B$3),IF(AND(COUNT(A122:A133)=12,COUNT(F122:F133)=12),cubic_spline(F121:F133,A121:A133,B$3),""))))))))))))</f>
        <v/>
      </c>
      <c r="L123" s="27" t="str">
        <f>IF(I123="","",B$2&amp;"-"&amp;B$3)</f>
        <v/>
      </c>
      <c r="M123" s="52" t="str">
        <f>IF(N(J123)=0,"",J123-J122)</f>
        <v/>
      </c>
    </row>
    <row r="124" spans="1:13" x14ac:dyDescent="0.35">
      <c r="A124" s="48"/>
      <c r="B124" s="48"/>
      <c r="C124" s="50"/>
      <c r="D124" s="50"/>
      <c r="E124" s="51" t="str">
        <f t="shared" si="43"/>
        <v/>
      </c>
      <c r="F124" s="68" t="str">
        <f t="shared" si="41"/>
        <v/>
      </c>
      <c r="G124" s="69" t="str">
        <f t="shared" si="44"/>
        <v/>
      </c>
      <c r="H124" s="70" t="str">
        <f t="shared" si="42"/>
        <v/>
      </c>
      <c r="I124" s="27" t="str">
        <f>IF(N(J124)=0,"",0&amp;"-"&amp;B$4)</f>
        <v/>
      </c>
      <c r="J124" s="52" t="str">
        <f>IF(N(B$4)=0,"",IF(AND(COUNT(H122:H133)=2,COUNT(F122:F133)=2),cubic_spline(F121:F123,H121:H123,B$4),IF(AND(COUNT(H122:H133)=3,COUNT(F122:F133)=3),cubic_spline(F121:F124,H121:H124,B$4),IF(AND(COUNT(H122:H133)=4,COUNT(F122:F133)=4),cubic_spline(F121:F125,H121:H125,B$4),IF(AND(COUNT(H122:H133)=5,COUNT(F122:F133)=5),cubic_spline(F121:F126,H121:H126,B$4),IF(AND(COUNT(H122:H133)=6,COUNT(F122:F133)=6),cubic_spline(F121:F127,H121:H127,B$4),IF(AND(COUNT(H122:H133)=7,COUNT(F122:F133)=7),cubic_spline(F121:F128,H121:H128,B$4),IF(AND(COUNT(H122:H133)=8,COUNT(F122:F133)=8),cubic_spline(F121:F129,H121:H129,B$4),IF(AND(COUNT(H122:H133)=9,COUNT(F122:F133)=9),cubic_spline(F121:F130,H121:H130,B$4),IF(AND(COUNT(H122:H133)=10,COUNT(F122:F133)=10),cubic_spline(F121:F131,H121:H131,B$4),IF(AND(COUNT(H122:H133)=11,COUNT(F122:F133)=11),cubic_spline(F121:F132,H121:H132,B$4),IF(AND(COUNT(H122:H133)=12,COUNT(F122:F133)=12),cubic_spline(F121:F133,H121:H133,B$4),""))))))))))))</f>
        <v/>
      </c>
      <c r="K124" s="52" t="str">
        <f>IF(N(B$4)=0,"",IF(AND(COUNT(A122:A133)=2,COUNT(F122:F133)=2),cubic_spline(F121:F123,A121:A123,B$4),IF(AND(COUNT(A122:A133)=3,COUNT(F122:F133)=3),cubic_spline(F121:F124,A121:A124,B$4),IF(AND(COUNT(A122:A133)=4,COUNT(F122:F133)=4),cubic_spline(F121:F125,A121:A125,B$4),IF(AND(COUNT(A122:A133)=5,COUNT(F122:F133)=5),cubic_spline(F121:F126,A121:A126,B$4),IF(AND(COUNT(A122:A133)=6,COUNT(F122:F133)=6),cubic_spline(F121:F127,A121:A127,B$4),IF(AND(COUNT(A122:A133)=7,COUNT(F122:F133)=7),cubic_spline(F121:F128,A121:A128,B$4),IF(AND(COUNT(A122:A133)=8,COUNT(F122:F133)=8),cubic_spline(F121:F129,A121:A129,B$4),IF(AND(COUNT(A122:A133)=9,COUNT(F122:F133)=9),cubic_spline(F121:F130,A121:A130,B$4),IF(AND(COUNT(A122:A133)=10,COUNT(F122:F133)=10),cubic_spline(F121:F131,A121:A131,B$4),IF(AND(COUNT(A122:A133)=11,COUNT(F122:F133)=11),cubic_spline(F121:F132,A121:A132,B$4),IF(AND(COUNT(A122:A133)=12,COUNT(F122:F133)=12),cubic_spline(F121:F133,A121:A133,B$4),""))))))))))))</f>
        <v/>
      </c>
      <c r="L124" s="27" t="str">
        <f>IF(I124="","",B$3&amp;"-"&amp;B$4)</f>
        <v/>
      </c>
      <c r="M124" s="52" t="str">
        <f>IF(N(J124)=0,"",J124-J123)</f>
        <v/>
      </c>
    </row>
    <row r="125" spans="1:13" x14ac:dyDescent="0.35">
      <c r="A125" s="48"/>
      <c r="B125" s="48"/>
      <c r="C125" s="50"/>
      <c r="D125" s="50"/>
      <c r="E125" s="51" t="str">
        <f t="shared" si="43"/>
        <v/>
      </c>
      <c r="F125" s="68" t="str">
        <f t="shared" si="41"/>
        <v/>
      </c>
      <c r="G125" s="69" t="str">
        <f t="shared" si="44"/>
        <v/>
      </c>
      <c r="H125" s="70" t="str">
        <f t="shared" si="42"/>
        <v/>
      </c>
      <c r="I125" s="27" t="str">
        <f>IF(N(J125)=0,"",0&amp;"-"&amp;B$5)</f>
        <v/>
      </c>
      <c r="J125" s="52" t="str">
        <f>IF(N(B$5)=0,"",IF(AND(COUNT(H122:H133)=2,COUNT(F122:F133)=2),cubic_spline(F121:F123,H121:H123,B$5),IF(AND(COUNT(H122:H133)=3,COUNT(F122:F133)=3),cubic_spline(F121:F124,H121:H124,B$5),IF(AND(COUNT(H122:H133)=4,COUNT(F122:F133)=4),cubic_spline(F121:F125,H121:H125,B$5),IF(AND(COUNT(H122:H133)=5,COUNT(F122:F133)=5),cubic_spline(F121:F126,H121:H126,B$5),IF(AND(COUNT(H122:H133)=6,COUNT(F122:F133)=6),cubic_spline(F121:F127,H121:H127,B$5),IF(AND(COUNT(H122:H133)=7,COUNT(F122:F133)=7),cubic_spline(F121:F128,H121:H128,B$5),IF(AND(COUNT(H122:H133)=8,COUNT(F122:F133)=8),cubic_spline(F121:F129,H121:H129,B$5),IF(AND(COUNT(H122:H133)=9,COUNT(F122:F133)=9),cubic_spline(F121:F130,H121:H130,B$5),IF(AND(COUNT(H122:H133)=10,COUNT(F122:F133)=10),cubic_spline(F121:F131,H121:H131,B$5),IF(AND(COUNT(H122:H133)=11,COUNT(F122:F133)=11),cubic_spline(F121:F132,H121:H132,B$5),IF(AND(COUNT(H122:H133)=12,COUNT(F122:F133)=12),cubic_spline(F121:F133,H121:H133,B$5),""))))))))))))</f>
        <v/>
      </c>
      <c r="K125" s="52" t="str">
        <f>IF(N(B$5)=0,"",IF(AND(COUNT(A122:A133)=2,COUNT(F122:F133)=2),cubic_spline(F121:F123,A121:A123,B$5),IF(AND(COUNT(A122:A133)=3,COUNT(F122:F133)=3),cubic_spline(F121:F124,A121:A124,B$5),IF(AND(COUNT(A122:A133)=4,COUNT(F122:F133)=4),cubic_spline(F121:F125,A121:A125,B$5),IF(AND(COUNT(A122:A133)=5,COUNT(F122:F133)=5),cubic_spline(F121:F126,A121:A126,B$5),IF(AND(COUNT(A122:A133)=6,COUNT(F122:F133)=6),cubic_spline(F121:F127,A121:A127,B$5),IF(AND(COUNT(A122:A133)=7,COUNT(F122:F133)=7),cubic_spline(F121:F128,A121:A128,B$5),IF(AND(COUNT(A122:A133)=8,COUNT(F122:F133)=8),cubic_spline(F121:F129,A121:A129,B$5),IF(AND(COUNT(A122:A133)=9,COUNT(F122:F133)=9),cubic_spline(F121:F130,A121:A130,B$5),IF(AND(COUNT(A122:A133)=10,COUNT(F122:F133)=10),cubic_spline(F121:F131,A121:A131,B$5),IF(AND(COUNT(A122:A133)=11,COUNT(F122:F133)=11),cubic_spline(F121:F132,A121:A132,B$5),IF(AND(COUNT(A122:A133)=12,COUNT(F122:F133)=12),cubic_spline(F121:F133,A121:A133,B$5),""))))))))))))</f>
        <v/>
      </c>
      <c r="L125" s="27" t="str">
        <f>IF(I125="","",B$4&amp;"-"&amp;B$5)</f>
        <v/>
      </c>
      <c r="M125" s="52" t="str">
        <f>IF(N(J125)=0,"",J125-J124)</f>
        <v/>
      </c>
    </row>
    <row r="126" spans="1:13" x14ac:dyDescent="0.35">
      <c r="A126" s="48"/>
      <c r="B126" s="48"/>
      <c r="C126" s="50"/>
      <c r="D126" s="50"/>
      <c r="E126" s="51" t="str">
        <f t="shared" si="43"/>
        <v/>
      </c>
      <c r="F126" s="71" t="str">
        <f t="shared" si="41"/>
        <v/>
      </c>
      <c r="G126" s="69" t="str">
        <f t="shared" si="44"/>
        <v/>
      </c>
      <c r="H126" s="70" t="str">
        <f t="shared" si="42"/>
        <v/>
      </c>
      <c r="I126" s="27" t="str">
        <f>IF(N(J126)=0,"",0&amp;"-"&amp;B$6)</f>
        <v/>
      </c>
      <c r="J126" s="52" t="str">
        <f>IF(N(B$6)=0,"",IF(AND(COUNT(H122:H133)=2,COUNT(F122:F133)=2),cubic_spline(F121:F123,H121:H123,B$6),IF(AND(COUNT(H122:H133)=3,COUNT(F122:F133)=3),cubic_spline(F121:F124,H121:H124,B$6),IF(AND(COUNT(H122:H133)=4,COUNT(F122:F133)=4),cubic_spline(F121:F125,H121:H125,B$6),IF(AND(COUNT(H122:H133)=5,COUNT(F122:F133)=5),cubic_spline(F121:F126,H121:H126,B$6),IF(AND(COUNT(H122:H133)=6,COUNT(F122:F133)=6),cubic_spline(F121:F127,H121:H127,B$6),IF(AND(COUNT(H122:H133)=7,COUNT(F122:F133)=7),cubic_spline(F121:F128,H121:H128,B$6),IF(AND(COUNT(H122:H133)=8,COUNT(F122:F133)=8),cubic_spline(F121:F129,H121:H129,B$6),IF(AND(COUNT(H122:H133)=9,COUNT(F122:F133)=9),cubic_spline(F121:F130,H121:H130,B$6),IF(AND(COUNT(H122:H133)=10,COUNT(F122:F133)=10),cubic_spline(F121:F131,H121:H131,B$6),IF(AND(COUNT(H122:H133)=11,COUNT(F122:F133)=11),cubic_spline(F121:F132,H121:H132,B$6),IF(AND(COUNT(H122:H133)=12,COUNT(F122:F133)=12),cubic_spline(F121:F133,H121:H133,B$6),""))))))))))))</f>
        <v/>
      </c>
      <c r="K126" s="52" t="str">
        <f>IF(N(B$6)=0,"",IF(AND(COUNT(A122:A133)=2,COUNT(F122:F133)=2),cubic_spline(F121:F123,A121:A123,B$6),IF(AND(COUNT(A122:A133)=3,COUNT(F122:F133)=3),cubic_spline(F121:F124,A121:A124,B$6),IF(AND(COUNT(A122:A133)=4,COUNT(F122:F133)=4),cubic_spline(F121:F125,A121:A125,B$6),IF(AND(COUNT(A122:A133)=5,COUNT(F122:F133)=5),cubic_spline(F121:F126,A121:A126,B$6),IF(AND(COUNT(A122:A133)=6,COUNT(F122:F133)=6),cubic_spline(F121:F127,A121:A127,B$6),IF(AND(COUNT(A122:A133)=7,COUNT(F122:F133)=7),cubic_spline(F121:F128,A121:A128,B$6),IF(AND(COUNT(A122:A133)=8,COUNT(F122:F133)=8),cubic_spline(F121:F129,A121:A129,B$6),IF(AND(COUNT(A122:A133)=9,COUNT(F122:F133)=9),cubic_spline(F121:F130,A121:A130,B$6),IF(AND(COUNT(A122:A133)=10,COUNT(F122:F133)=10),cubic_spline(F121:F131,A121:A131,B$6),IF(AND(COUNT(A122:A133)=11,COUNT(F122:F133)=11),cubic_spline(F121:F132,A121:A132,B$6),IF(AND(COUNT(A122:A133)=12,COUNT(F122:F133)=12),cubic_spline(F121:F133,A121:A133,B$6),""))))))))))))</f>
        <v/>
      </c>
      <c r="L126" s="27" t="str">
        <f>IF(I126="","",B$5&amp;"-"&amp;B$6)</f>
        <v/>
      </c>
      <c r="M126" s="52" t="str">
        <f>IF(N(J126)=0,"",J126-J125)</f>
        <v/>
      </c>
    </row>
    <row r="127" spans="1:13" x14ac:dyDescent="0.35">
      <c r="A127" s="48"/>
      <c r="B127" s="48"/>
      <c r="C127" s="50"/>
      <c r="D127" s="50"/>
      <c r="E127" s="51" t="str">
        <f t="shared" si="43"/>
        <v/>
      </c>
      <c r="F127" s="71" t="str">
        <f t="shared" si="41"/>
        <v/>
      </c>
      <c r="G127" s="69" t="str">
        <f t="shared" si="44"/>
        <v/>
      </c>
      <c r="H127" s="70" t="str">
        <f t="shared" si="42"/>
        <v/>
      </c>
      <c r="I127" s="27" t="str">
        <f>IF(N(J127)=0,"",0&amp;"-"&amp;B$7)</f>
        <v/>
      </c>
      <c r="J127" s="52" t="str">
        <f>IF(N(B$7)=0,"",IF(AND(COUNT(H122:H133)=2,COUNT(F122:F133)=2),cubic_spline(F121:F123,H121:H123,B$7),IF(AND(COUNT(H122:H133)=3,COUNT(F122:F133)=3),cubic_spline(F121:F124,H121:H124,B$7),IF(AND(COUNT(H122:H133)=4,COUNT(F122:F133)=4),cubic_spline(F121:F125,H121:H125,B$7),IF(AND(COUNT(H122:H133)=5,COUNT(F122:F133)=5),cubic_spline(F121:F126,H121:H126,B$7),IF(AND(COUNT(H122:H133)=6,COUNT(F122:F133)=6),cubic_spline(F121:F127,H121:H127,B$7),IF(AND(COUNT(H122:H133)=7,COUNT(F122:F133)=7),cubic_spline(F121:F128,H121:H128,B$7),IF(AND(COUNT(H122:H133)=8,COUNT(F122:F133)=8),cubic_spline(F121:F129,H121:H129,B$7),IF(AND(COUNT(H122:H133)=9,COUNT(F122:F133)=9),cubic_spline(F121:F130,H121:H130,B$7),IF(AND(COUNT(H122:H133)=10,COUNT(F122:F133)=10),cubic_spline(F121:F131,H121:H131,B$7),IF(AND(COUNT(H122:H133)=11,COUNT(F122:F133)=11),cubic_spline(F121:F132,H121:H132,B$7),IF(AND(COUNT(H122:H133)=12,COUNT(F122:F133)=12),cubic_spline(F121:F133,H121:H133,B$7),""))))))))))))</f>
        <v/>
      </c>
      <c r="K127" s="52" t="str">
        <f>IF(N(B$7)=0,"",IF(AND(COUNT(A122:A133)=2,COUNT(F122:F133)=2),cubic_spline(F121:F123,A121:A123,B$7),IF(AND(COUNT(A122:A133)=3,COUNT(F122:F133)=3),cubic_spline(F121:F124,A121:A124,B$7),IF(AND(COUNT(A122:A133)=4,COUNT(F122:F133)=4),cubic_spline(F121:F125,A121:A125,B$7),IF(AND(COUNT(A122:A133)=5,COUNT(F122:F133)=5),cubic_spline(F121:F126,A121:A126,B$7),IF(AND(COUNT(A122:A133)=6,COUNT(F122:F133)=6),cubic_spline(F121:F127,A121:A127,B$7),IF(AND(COUNT(A122:A133)=7,COUNT(F122:F133)=7),cubic_spline(F121:F128,A121:A128,B$7),IF(AND(COUNT(A122:A133)=8,COUNT(F122:F133)=8),cubic_spline(F121:F129,A121:A129,B$7),IF(AND(COUNT(A122:A133)=9,COUNT(F122:F133)=9),cubic_spline(F121:F130,A121:A130,B$7),IF(AND(COUNT(A122:A133)=10,COUNT(F122:F133)=10),cubic_spline(F121:F131,A121:A131,B$7),IF(AND(COUNT(A122:A133)=11,COUNT(F122:F133)=11),cubic_spline(F121:F132,A121:A132,B$7),IF(AND(COUNT(A122:A133)=12,COUNT(F122:F133)=12),cubic_spline(F121:F133,A121:A133,B$7),""))))))))))))</f>
        <v/>
      </c>
      <c r="L127" s="27" t="str">
        <f>IF(I127="","",B$6&amp;"-"&amp;B$7)</f>
        <v/>
      </c>
      <c r="M127" s="52" t="str">
        <f t="shared" ref="M127:M133" si="45">IF(N(J127)=0,"",J127-J126)</f>
        <v/>
      </c>
    </row>
    <row r="128" spans="1:13" x14ac:dyDescent="0.35">
      <c r="A128" s="48"/>
      <c r="B128" s="48"/>
      <c r="C128" s="50"/>
      <c r="D128" s="50"/>
      <c r="E128" s="51" t="str">
        <f t="shared" si="43"/>
        <v/>
      </c>
      <c r="F128" s="71" t="str">
        <f t="shared" si="41"/>
        <v/>
      </c>
      <c r="G128" s="69" t="str">
        <f t="shared" si="44"/>
        <v/>
      </c>
      <c r="H128" s="70" t="str">
        <f t="shared" si="42"/>
        <v/>
      </c>
      <c r="I128" s="27" t="str">
        <f>IF(N(J128)=0,"",0&amp;"-"&amp;B$8)</f>
        <v/>
      </c>
      <c r="J128" s="52" t="str">
        <f>IF(N(B$8)=0,"",IF(AND(COUNT(H122:H133)=2,COUNT(F122:F133)=2),cubic_spline(F121:F123,H121:H123,B$8),IF(AND(COUNT(H122:H133)=3,COUNT(F122:F133)=3),cubic_spline(F121:F124,H121:H124,B$8),IF(AND(COUNT(H122:H133)=4,COUNT(F122:F133)=4),cubic_spline(F121:F125,H121:H125,B$8),IF(AND(COUNT(H122:H133)=5,COUNT(F122:F133)=5),cubic_spline(F121:F126,H121:H126,B$8),IF(AND(COUNT(H122:H133)=6,COUNT(F122:F133)=6),cubic_spline(F121:F127,H121:H127,B$8),IF(AND(COUNT(H122:H133)=7,COUNT(F122:F133)=7),cubic_spline(F121:F128,H121:H128,B$8),IF(AND(COUNT(H122:H133)=8,COUNT(F122:F133)=8),cubic_spline(F121:F129,H121:H129,B$8),IF(AND(COUNT(H122:H133)=9,COUNT(F122:F133)=9),cubic_spline(F121:F130,H121:H130,B$8),IF(AND(COUNT(H122:H133)=10,COUNT(F122:F133)=10),cubic_spline(F121:F131,H121:H131,B$8),IF(AND(COUNT(H122:H133)=11,COUNT(F122:F133)=11),cubic_spline(F121:F132,H121:H132,B$8),IF(AND(COUNT(H122:H133)=12,COUNT(F122:F133)=12),cubic_spline(F121:F133,H121:H133,B$8),""))))))))))))</f>
        <v/>
      </c>
      <c r="K128" s="52" t="str">
        <f>IF(N(B$8)=0,"",IF(AND(COUNT(A122:A133)=2,COUNT(F122:F133)=2),cubic_spline(F121:F123,A121:A123,B$8),IF(AND(COUNT(A122:A133)=3,COUNT(F122:F133)=3),cubic_spline(F121:F124,A121:A124,B$8),IF(AND(COUNT(A122:A133)=4,COUNT(F122:F133)=4),cubic_spline(F121:F125,A121:A125,B$8),IF(AND(COUNT(A122:A133)=5,COUNT(F122:F133)=5),cubic_spline(F121:F126,A121:A126,B$8),IF(AND(COUNT(A122:A133)=6,COUNT(F122:F133)=6),cubic_spline(F121:F127,A121:A127,B$8),IF(AND(COUNT(A122:A133)=7,COUNT(F122:F133)=7),cubic_spline(F121:F128,A121:A128,B$8),IF(AND(COUNT(A122:A133)=8,COUNT(F122:F133)=8),cubic_spline(F121:F129,A121:A129,B$8),IF(AND(COUNT(A122:A133)=9,COUNT(F122:F133)=9),cubic_spline(F121:F130,A121:A130,B$8),IF(AND(COUNT(A122:A133)=10,COUNT(F122:F133)=10),cubic_spline(F121:F131,A121:A131,B$8),IF(AND(COUNT(A122:A133)=11,COUNT(F122:F133)=11),cubic_spline(F121:F132,A121:A132,B$8),IF(AND(COUNT(A122:A133)=12,COUNT(F122:F133)=12),cubic_spline(F121:F133,A121:A133,B$8),""))))))))))))</f>
        <v/>
      </c>
      <c r="L128" s="27" t="str">
        <f>IF(I128="","",B$7&amp;"-"&amp;B$8)</f>
        <v/>
      </c>
      <c r="M128" s="52" t="str">
        <f t="shared" si="45"/>
        <v/>
      </c>
    </row>
    <row r="129" spans="1:13" x14ac:dyDescent="0.35">
      <c r="A129" s="48"/>
      <c r="B129" s="48"/>
      <c r="C129" s="50"/>
      <c r="D129" s="50"/>
      <c r="E129" s="51" t="str">
        <f t="shared" si="43"/>
        <v/>
      </c>
      <c r="F129" s="71" t="str">
        <f t="shared" si="41"/>
        <v/>
      </c>
      <c r="G129" s="69" t="str">
        <f t="shared" si="44"/>
        <v/>
      </c>
      <c r="H129" s="70" t="str">
        <f t="shared" si="42"/>
        <v/>
      </c>
      <c r="I129" s="27" t="str">
        <f>IF(N(J129)=0,"",0&amp;"-"&amp;B$9)</f>
        <v/>
      </c>
      <c r="J129" s="52" t="str">
        <f>IF(N(B$9)=0,"",IF(AND(COUNT(H122:H133)=2,COUNT(F122:F133)=2),cubic_spline(F121:F123,H121:H123,B$9),IF(AND(COUNT(H122:H133)=3,COUNT(F122:F133)=3),cubic_spline(F121:F124,H121:H124,B$9),IF(AND(COUNT(H122:H133)=4,COUNT(F122:F133)=4),cubic_spline(F121:F125,H121:H125,B$9),IF(AND(COUNT(H122:H133)=5,COUNT(F122:F133)=5),cubic_spline(F121:F126,H121:H126,B$9),IF(AND(COUNT(H122:H133)=6,COUNT(F122:F133)=6),cubic_spline(F121:F127,H121:H127,B$9),IF(AND(COUNT(H122:H133)=7,COUNT(F122:F133)=7),cubic_spline(F121:F128,H121:H128,B$9),IF(AND(COUNT(H122:H133)=8,COUNT(F122:F133)=8),cubic_spline(F121:F129,H121:H129,B$9),IF(AND(COUNT(H122:H133)=9,COUNT(F122:F133)=9),cubic_spline(F121:F130,H121:H130,B$9),IF(AND(COUNT(H122:H133)=10,COUNT(F122:F133)=10),cubic_spline(F121:F131,H121:H131,B$9),IF(AND(COUNT(H122:H133)=11,COUNT(F122:F133)=11),cubic_spline(F121:F132,H121:H132,B$9),IF(AND(COUNT(H122:H133)=12,COUNT(F122:F133)=12),cubic_spline(F121:F133,H121:H133,B$9),""))))))))))))</f>
        <v/>
      </c>
      <c r="K129" s="52" t="str">
        <f>IF(N(B$9)=0,"",IF(AND(COUNT(A122:A133)=2,COUNT(F122:F133)=2),cubic_spline(F121:F123,A121:A123,B$9),IF(AND(COUNT(A122:A133)=3,COUNT(F122:F133)=3),cubic_spline(F121:F124,A121:A124,B$9),IF(AND(COUNT(A122:A133)=4,COUNT(F122:F133)=4),cubic_spline(F121:F125,A121:A125,B$9),IF(AND(COUNT(A122:A133)=5,COUNT(F122:F133)=5),cubic_spline(F121:F126,A121:A126,B$9),IF(AND(COUNT(A122:A133)=6,COUNT(F122:F133)=6),cubic_spline(F121:F127,A121:A127,B$9),IF(AND(COUNT(A122:A133)=7,COUNT(F122:F133)=7),cubic_spline(F121:F128,A121:A128,B$9),IF(AND(COUNT(A122:A133)=8,COUNT(F122:F133)=8),cubic_spline(F121:F129,A121:A129,B$9),IF(AND(COUNT(A122:A133)=9,COUNT(F122:F133)=9),cubic_spline(F121:F130,A121:A130,B$9),IF(AND(COUNT(A122:A133)=10,COUNT(F122:F133)=10),cubic_spline(F121:F131,A121:A131,B$9),IF(AND(COUNT(A122:A133)=11,COUNT(F122:F133)=11),cubic_spline(F121:F132,A121:A132,B$9),IF(AND(COUNT(A122:A133)=12,COUNT(F122:F133)=12),cubic_spline(F121:F133,A121:A133,B$9),""))))))))))))</f>
        <v/>
      </c>
      <c r="L129" s="27" t="str">
        <f>IF(I129="","",B$8&amp;"-"&amp;B$9)</f>
        <v/>
      </c>
      <c r="M129" s="52" t="str">
        <f t="shared" si="45"/>
        <v/>
      </c>
    </row>
    <row r="130" spans="1:13" x14ac:dyDescent="0.35">
      <c r="A130" s="48"/>
      <c r="B130" s="48"/>
      <c r="C130" s="50"/>
      <c r="D130" s="50"/>
      <c r="E130" s="51" t="str">
        <f t="shared" si="43"/>
        <v/>
      </c>
      <c r="F130" s="71" t="str">
        <f t="shared" si="41"/>
        <v/>
      </c>
      <c r="G130" s="69" t="str">
        <f t="shared" si="44"/>
        <v/>
      </c>
      <c r="H130" s="70" t="str">
        <f t="shared" si="42"/>
        <v/>
      </c>
      <c r="I130" s="27" t="str">
        <f>IF(N(J130)=0,"",0&amp;"-"&amp;B$10)</f>
        <v/>
      </c>
      <c r="J130" s="52" t="str">
        <f>IF(N(B$10)=0,"",IF(AND(COUNT(H122:H133)=2,COUNT(F122:F133)=2),cubic_spline(F121:F123,H121:H123,B$10),IF(AND(COUNT(H122:H133)=3,COUNT(F122:F133)=3),cubic_spline(F121:F124,H121:H124,B$10),IF(AND(COUNT(H122:H133)=4,COUNT(F122:F133)=4),cubic_spline(F121:F125,H121:H125,B$10),IF(AND(COUNT(H122:H133)=5,COUNT(F122:F133)=5),cubic_spline(F121:F126,H121:H126,B$10),IF(AND(COUNT(H122:H133)=6,COUNT(F122:F133)=6),cubic_spline(F121:F127,H121:H127,B$10),IF(AND(COUNT(H122:H133)=7,COUNT(F122:F133)=7),cubic_spline(F121:F128,H121:H128,B$10),IF(AND(COUNT(H122:H133)=8,COUNT(F122:F133)=8),cubic_spline(F121:F129,H121:H129,B$10),IF(AND(COUNT(H122:H133)=9,COUNT(F122:F133)=9),cubic_spline(F121:F130,H121:H130,B$10),IF(AND(COUNT(H122:H133)=10,COUNT(F122:F133)=10),cubic_spline(F121:F131,H121:H131,B$10),IF(AND(COUNT(H122:H133)=11,COUNT(F122:F133)=11),cubic_spline(F121:F132,H121:H132,B$10),IF(AND(COUNT(H122:H133)=12,COUNT(F122:F133)=12),cubic_spline(F121:F133,H121:H133,B$10),""))))))))))))</f>
        <v/>
      </c>
      <c r="K130" s="52" t="str">
        <f>IF(N(B$10)=0,"",IF(AND(COUNT(A122:A133)=2,COUNT(F122:F133)=2),cubic_spline(F121:F123,A121:A123,B$10),IF(AND(COUNT(A122:A133)=3,COUNT(F122:F133)=3),cubic_spline(F121:F124,A121:A124,B$10),IF(AND(COUNT(A122:A133)=4,COUNT(F122:F133)=4),cubic_spline(F121:F125,A121:A125,B$10),IF(AND(COUNT(A122:A133)=5,COUNT(F122:F133)=5),cubic_spline(F121:F126,A121:A126,B$10),IF(AND(COUNT(A122:A133)=6,COUNT(F122:F133)=6),cubic_spline(F121:F127,A121:A127,B$10),IF(AND(COUNT(A122:A133)=7,COUNT(F122:F133)=7),cubic_spline(F121:F128,A121:A128,B$10),IF(AND(COUNT(A122:A133)=8,COUNT(F122:F133)=8),cubic_spline(F121:F129,A121:A129,B$10),IF(AND(COUNT(A122:A133)=9,COUNT(F122:F133)=9),cubic_spline(F121:F130,A121:A130,B$10),IF(AND(COUNT(A122:A133)=10,COUNT(F122:F133)=10),cubic_spline(F121:F131,A121:A131,B$10),IF(AND(COUNT(A122:A133)=11,COUNT(F122:F133)=11),cubic_spline(F121:F132,A121:A132,B$10),IF(AND(COUNT(A122:A133)=12,COUNT(F122:F133)=12),cubic_spline(F121:F133,A121:A133,B$10),""))))))))))))</f>
        <v/>
      </c>
      <c r="L130" s="27" t="str">
        <f>IF(I130="","",B$9&amp;"-"&amp;B$10)</f>
        <v/>
      </c>
      <c r="M130" s="52" t="str">
        <f t="shared" si="45"/>
        <v/>
      </c>
    </row>
    <row r="131" spans="1:13" x14ac:dyDescent="0.35">
      <c r="A131" s="48"/>
      <c r="B131" s="48"/>
      <c r="C131" s="50"/>
      <c r="D131" s="50"/>
      <c r="E131" s="51" t="str">
        <f t="shared" si="43"/>
        <v/>
      </c>
      <c r="F131" s="71" t="str">
        <f t="shared" si="41"/>
        <v/>
      </c>
      <c r="G131" s="69" t="str">
        <f t="shared" si="44"/>
        <v/>
      </c>
      <c r="H131" s="70" t="str">
        <f t="shared" si="42"/>
        <v/>
      </c>
      <c r="I131" s="27" t="str">
        <f>IF(N(J131)=0,"",0&amp;"-"&amp;B$11)</f>
        <v/>
      </c>
      <c r="J131" s="52" t="str">
        <f>IF(N(B$11)=0,"",IF(AND(COUNT(H122:H133)=2,COUNT(F122:F133)=2),cubic_spline(F121:F123,H121:H123,B$11),IF(AND(COUNT(H122:H133)=3,COUNT(F122:F133)=3),cubic_spline(F121:F124,H121:H124,B$11),IF(AND(COUNT(H122:H133)=4,COUNT(F122:F133)=4),cubic_spline(F121:F125,H121:H125,B$11),IF(AND(COUNT(H122:H133)=5,COUNT(F122:F133)=5),cubic_spline(F121:F126,H121:H126,B$11),IF(AND(COUNT(H122:H133)=6,COUNT(F122:F133)=6),cubic_spline(F121:F127,H121:H127,B$11),IF(AND(COUNT(H122:H133)=7,COUNT(F122:F133)=7),cubic_spline(F121:F128,H121:H128,B$11),IF(AND(COUNT(H122:H133)=8,COUNT(F122:F133)=8),cubic_spline(F121:F129,H121:H129,B$11),IF(AND(COUNT(H122:H133)=9,COUNT(F122:F133)=9),cubic_spline(F121:F130,H121:H130,B$11),IF(AND(COUNT(H122:H133)=10,COUNT(F122:F133)=10),cubic_spline(F121:F131,H121:H131,B$11),IF(AND(COUNT(H122:H133)=11,COUNT(F122:F133)=11),cubic_spline(F121:F132,H121:H132,B$11),IF(AND(COUNT(H122:H133)=12,COUNT(F122:F133)=12),cubic_spline(F121:F133,H121:H133,B$11),""))))))))))))</f>
        <v/>
      </c>
      <c r="K131" s="52" t="str">
        <f>IF(N(B$11)=0,"",IF(AND(COUNT(A122:A133)=2,COUNT(F122:F133)=2),cubic_spline(F121:F123,A121:A123,B$11),IF(AND(COUNT(A122:A133)=3,COUNT(F122:F133)=3),cubic_spline(F121:F124,A121:A124,B$11),IF(AND(COUNT(A122:A133)=4,COUNT(F122:F133)=4),cubic_spline(F121:F125,A121:A125,B$11),IF(AND(COUNT(A122:A133)=5,COUNT(F122:F133)=5),cubic_spline(F121:F126,A121:A126,B$11),IF(AND(COUNT(A122:A133)=6,COUNT(F122:F133)=6),cubic_spline(F121:F127,A121:A127,B$11),IF(AND(COUNT(A122:A133)=7,COUNT(F122:F133)=7),cubic_spline(F121:F128,A121:A128,B$11),IF(AND(COUNT(A122:A133)=8,COUNT(F122:F133)=8),cubic_spline(F121:F129,A121:A129,B$11),IF(AND(COUNT(A122:A133)=9,COUNT(F122:F133)=9),cubic_spline(F121:F130,A121:A130,B$11),IF(AND(COUNT(A122:A133)=10,COUNT(F122:F133)=10),cubic_spline(F121:F131,A121:A131,B$11),IF(AND(COUNT(A122:A133)=11,COUNT(F122:F133)=11),cubic_spline(F121:F132,A121:A132,B$11),IF(AND(COUNT(A122:A133)=12,COUNT(F122:F133)=12),cubic_spline(F121:F133,A121:A133,B$11),""))))))))))))</f>
        <v/>
      </c>
      <c r="L131" s="27" t="str">
        <f>IF(I131="","",B$10&amp;"-"&amp;B$11)</f>
        <v/>
      </c>
      <c r="M131" s="52" t="str">
        <f t="shared" si="45"/>
        <v/>
      </c>
    </row>
    <row r="132" spans="1:13" x14ac:dyDescent="0.35">
      <c r="A132" s="48"/>
      <c r="B132" s="48"/>
      <c r="C132" s="50"/>
      <c r="D132" s="50"/>
      <c r="E132" s="51" t="str">
        <f t="shared" si="43"/>
        <v/>
      </c>
      <c r="F132" s="71" t="str">
        <f t="shared" si="41"/>
        <v/>
      </c>
      <c r="G132" s="69" t="str">
        <f t="shared" si="44"/>
        <v/>
      </c>
      <c r="H132" s="70" t="str">
        <f t="shared" si="42"/>
        <v/>
      </c>
      <c r="I132" s="27" t="str">
        <f>IF(N(J132)=0,"",0&amp;"-"&amp;B$12)</f>
        <v/>
      </c>
      <c r="J132" s="52" t="str">
        <f>IF(N(B$12)=0,"",IF(AND(COUNT(H122:H133)=2,COUNT(F122:F133)=2),cubic_spline(F121:F123,H121:H123,B$12),IF(AND(COUNT(H122:H133)=3,COUNT(F122:F133)=3),cubic_spline(F121:F124,H121:H124,B$12),IF(AND(COUNT(H122:H133)=4,COUNT(F122:F133)=4),cubic_spline(F121:F125,H121:H125,B$12),IF(AND(COUNT(H122:H133)=5,COUNT(F122:F133)=5),cubic_spline(F121:F126,H121:H126,B$12),IF(AND(COUNT(H122:H133)=6,COUNT(F122:F133)=6),cubic_spline(F121:F127,H121:H127,B$12),IF(AND(COUNT(H122:H133)=7,COUNT(F122:F133)=7),cubic_spline(F121:F128,H121:H128,B$12),IF(AND(COUNT(H122:H133)=8,COUNT(F122:F133)=8),cubic_spline(F121:F129,H121:H129,B$12),IF(AND(COUNT(H122:H133)=9,COUNT(F122:F133)=9),cubic_spline(F121:F130,H121:H130,B$12),IF(AND(COUNT(H122:H133)=10,COUNT(F122:F133)=10),cubic_spline(F121:F131,H121:H131,B$12),IF(AND(COUNT(H122:H133)=11,COUNT(F122:F133)=11),cubic_spline(F121:F132,H121:H132,B$12),IF(AND(COUNT(H122:H133)=12,COUNT(F122:F133)=12),cubic_spline(F121:F133,H121:H133,B$12),""))))))))))))</f>
        <v/>
      </c>
      <c r="K132" s="52" t="str">
        <f>IF(N(B$12)=0,"",IF(AND(COUNT(A122:A133)=2,COUNT(F122:F133)=2),cubic_spline(F121:F123,A121:A123,B$12),IF(AND(COUNT(A122:A133)=3,COUNT(F122:F133)=3),cubic_spline(F121:F124,A121:A124,B$12),IF(AND(COUNT(A122:A133)=4,COUNT(F122:F133)=4),cubic_spline(F121:F125,A121:A125,B$12),IF(AND(COUNT(A122:A133)=5,COUNT(F122:F133)=5),cubic_spline(F121:F126,A121:A126,B$12),IF(AND(COUNT(A122:A133)=6,COUNT(F122:F133)=6),cubic_spline(F121:F127,A121:A127,B$12),IF(AND(COUNT(A122:A133)=7,COUNT(F122:F133)=7),cubic_spline(F121:F128,A121:A128,B$12),IF(AND(COUNT(A122:A133)=8,COUNT(F122:F133)=8),cubic_spline(F121:F129,A121:A129,B$12),IF(AND(COUNT(A122:A133)=9,COUNT(F122:F133)=9),cubic_spline(F121:F130,A121:A130,B$12),IF(AND(COUNT(A122:A133)=10,COUNT(F122:F133)=10),cubic_spline(F121:F131,A121:A131,B$12),IF(AND(COUNT(A122:A133)=11,COUNT(F122:F133)=11),cubic_spline(F121:F132,A121:A132,B$12),IF(AND(COUNT(A122:A133)=12,COUNT(F122:F133)=12),cubic_spline(F121:F133,A121:A133,B$12),""))))))))))))</f>
        <v/>
      </c>
      <c r="L132" s="27" t="str">
        <f>IF(I132="","",B$11&amp;"-"&amp;B$12)</f>
        <v/>
      </c>
      <c r="M132" s="52" t="str">
        <f t="shared" si="45"/>
        <v/>
      </c>
    </row>
    <row r="133" spans="1:13" x14ac:dyDescent="0.35">
      <c r="A133" s="48"/>
      <c r="B133" s="48"/>
      <c r="C133" s="50"/>
      <c r="D133" s="50"/>
      <c r="E133" s="51" t="str">
        <f t="shared" si="43"/>
        <v/>
      </c>
      <c r="F133" s="71" t="str">
        <f t="shared" si="41"/>
        <v/>
      </c>
      <c r="G133" s="69" t="str">
        <f t="shared" si="44"/>
        <v/>
      </c>
      <c r="H133" s="70" t="str">
        <f t="shared" si="42"/>
        <v/>
      </c>
      <c r="I133" s="27" t="str">
        <f>IF(N(J133)=0,"",0&amp;"-"&amp;B$13)</f>
        <v/>
      </c>
      <c r="J133" s="52" t="str">
        <f>IF(N(B$13)=0,"",IF(AND(COUNT(H122:H133)=2,COUNT(F122:F133)=2),cubic_spline(F121:F123,H121:H123,B$13),IF(AND(COUNT(H122:H133)=3,COUNT(F122:F133)=3),cubic_spline(F121:F124,H121:H124,B$13),IF(AND(COUNT(H122:H133)=4,COUNT(F122:F133)=4),cubic_spline(F121:F125,H121:H125,B$13),IF(AND(COUNT(H122:H133)=5,COUNT(F122:F133)=5),cubic_spline(F121:F126,H121:H126,B$13),IF(AND(COUNT(H122:H133)=6,COUNT(F122:F133)=6),cubic_spline(F121:F127,H121:H127,B$13),IF(AND(COUNT(H122:H133)=7,COUNT(F122:F133)=7),cubic_spline(F121:F128,H121:H128,B$13),IF(AND(COUNT(H122:H133)=8,COUNT(F122:F133)=8),cubic_spline(F121:F129,H121:H129,B$13),IF(AND(COUNT(H122:H133)=9,COUNT(F122:F133)=9),cubic_spline(F121:F130,H121:H130,B$13),IF(AND(COUNT(H122:H133)=10,COUNT(F122:F133)=10),cubic_spline(F121:F131,H121:H131,B$13),IF(AND(COUNT(H122:H133)=11,COUNT(F122:F133)=11),cubic_spline(F121:F132,H121:H132,B$13),IF(AND(COUNT(H122:H133)=12,COUNT(F122:F133)=12),cubic_spline(F121:F133,H121:H133,B$13),""))))))))))))</f>
        <v/>
      </c>
      <c r="K133" s="52" t="str">
        <f>IF(N(B$13)=0,"",IF(AND(COUNT(A122:A133)=2,COUNT(F122:F133)=2),cubic_spline(F121:F123,A121:A123,B$13),IF(AND(COUNT(A122:A133)=3,COUNT(F122:F133)=3),cubic_spline(F121:F124,A121:A124,B$13),IF(AND(COUNT(A122:A133)=4,COUNT(F122:F133)=4),cubic_spline(F121:F125,A121:A125,B$13),IF(AND(COUNT(A122:A133)=5,COUNT(F122:F133)=5),cubic_spline(F121:F126,A121:A126,B$13),IF(AND(COUNT(A122:A133)=6,COUNT(F122:F133)=6),cubic_spline(F121:F127,A121:A127,B$13),IF(AND(COUNT(A122:A133)=7,COUNT(F122:F133)=7),cubic_spline(F121:F128,A121:A128,B$13),IF(AND(COUNT(A122:A133)=8,COUNT(F122:F133)=8),cubic_spline(F121:F129,A121:A129,B$13),IF(AND(COUNT(A122:A133)=9,COUNT(F122:F133)=9),cubic_spline(F121:F130,A121:A130,B$13),IF(AND(COUNT(A122:A133)=10,COUNT(F122:F133)=10),cubic_spline(F121:F131,A121:A131,B$13),IF(AND(COUNT(A122:A133)=11,COUNT(F122:F133)=11),cubic_spline(F121:F132,A121:A132,B$13),IF(AND(COUNT(A122:A133)=12,COUNT(F122:F133)=12),cubic_spline(F121:F133,A121:A133,B$13),""))))))))))))</f>
        <v/>
      </c>
      <c r="L133" s="27" t="str">
        <f>IF(I133="","",B$12&amp;"-"&amp;B$13)</f>
        <v/>
      </c>
      <c r="M133" s="52" t="str">
        <f t="shared" si="45"/>
        <v/>
      </c>
    </row>
    <row r="134" spans="1:13" ht="5.15" customHeight="1" x14ac:dyDescent="0.35">
      <c r="A134" s="47"/>
      <c r="B134" s="47"/>
      <c r="C134" s="53"/>
      <c r="D134" s="53"/>
      <c r="E134" s="54"/>
      <c r="F134" s="55"/>
      <c r="G134" s="72"/>
      <c r="H134" s="73"/>
      <c r="I134" s="47"/>
      <c r="J134" s="57"/>
      <c r="K134" s="57"/>
      <c r="L134" s="55"/>
      <c r="M134" s="57"/>
    </row>
    <row r="135" spans="1:13" x14ac:dyDescent="0.35">
      <c r="A135" s="48"/>
      <c r="B135" s="48"/>
      <c r="C135" s="50"/>
      <c r="D135" s="50"/>
      <c r="E135" s="51" t="str">
        <f>IF(N(C135)=0,"",(A135-A134)*C135*100)</f>
        <v/>
      </c>
      <c r="F135" s="68" t="str">
        <f t="shared" ref="F135:F146" si="46">IF(N(E135)=0,"",(N(E135)+N(F134)))</f>
        <v/>
      </c>
      <c r="G135" s="69" t="str">
        <f>IF(OR(N(D135)=0,N(E135)=0),"",(E135*D135)/1000)</f>
        <v/>
      </c>
      <c r="H135" s="70" t="str">
        <f t="shared" ref="H135:H146" si="47">IF(N(G135)=0,"",(N(G135)+N(H134)))</f>
        <v/>
      </c>
      <c r="I135" s="27" t="str">
        <f>IF(N(J135)=0,"",0&amp;"-"&amp;B$2)</f>
        <v/>
      </c>
      <c r="J135" s="52" t="str">
        <f>IF(N(B$2)=0,"",IF(AND(COUNT(H135:H146)=2,COUNT(F135:F146)=2),cubic_spline(F134:F136,H134:H136,B$2),IF(AND(COUNT(H135:H146)=3,COUNT(F135:F146)=3),cubic_spline(F134:F137,H134:H137,B$2),IF(AND(COUNT(H135:H146)=4,COUNT(F135:F146)=4),cubic_spline(F134:F138,H134:H138,B$2),IF(AND(COUNT(H135:H146)=5,COUNT(F135:F146)=5),cubic_spline(F134:F139,H134:H139,B$2),IF(AND(COUNT(H135:H146)=6,COUNT(F135:F146)=6),cubic_spline(F134:F140,H134:H140,B$2),IF(AND(COUNT(H135:H146)=7,COUNT(F135:F146)=7),cubic_spline(F134:F141,H134:H141,B$2),IF(AND(COUNT(H135:H146)=8,COUNT(F135:F146)=8),cubic_spline(F134:F142,H134:H142,B$2),IF(AND(COUNT(H135:H146)=9,COUNT(F135:F146)=9),cubic_spline(F134:F143,H134:H143,B$2),IF(AND(COUNT(H135:H146)=10,COUNT(F135:F146)=10),cubic_spline(F134:F144,H134:H144,B$2),IF(AND(COUNT(H135:H146)=11,COUNT(F135:F146)=11),cubic_spline(F134:F145,H134:H145,B$2),IF(AND(COUNT(H135:H146)=12,COUNT(F135:F146)=12),cubic_spline(F134:F146,H134:H146,B$2),""))))))))))))</f>
        <v/>
      </c>
      <c r="K135" s="52" t="str">
        <f>IF(N(B$2)=0,"",IF(AND(COUNT(A135:A146)=2,COUNT(F135:F146)=2),cubic_spline(F134:F136,A134:A136,B$2),IF(AND(COUNT(A135:A146)=3,COUNT(F135:F146)=3),cubic_spline(F134:F137,A134:A137,B$2),IF(AND(COUNT(A135:A146)=4,COUNT(F135:F146)=4),cubic_spline(F134:F138,A134:A138,B$2),IF(AND(COUNT(A135:A146)=5,COUNT(F135:F146)=5),cubic_spline(F134:F139,A134:A139,B$2),IF(AND(COUNT(A135:A146)=6,COUNT(F135:F146)=6),cubic_spline(F134:F140,A134:A140,B$2),IF(AND(COUNT(A135:A146)=7,COUNT(F135:F146)=7),cubic_spline(F134:F141,A134:A141,B$2),IF(AND(COUNT(A135:A146)=8,COUNT(F135:F146)=8),cubic_spline(F134:F142,A134:A142,B$2),IF(AND(COUNT(A135:A146)=9,COUNT(F135:F146)=9),cubic_spline(F134:F143,A134:A143,B$2),IF(AND(COUNT(A135:A146)=10,COUNT(F135:F146)=10),cubic_spline(F134:F144,A134:A144,B$2),IF(AND(COUNT(A135:A146)=11,COUNT(F135:F146)=11),cubic_spline(F134:F145,A134:A145,B$2),IF(AND(COUNT(A135:A146)=12,COUNT(F135:F146)=12),cubic_spline(F134:F146,A134:A146,B$2),""))))))))))))</f>
        <v/>
      </c>
      <c r="L135" s="27" t="str">
        <f>IF(I135="","",0&amp;"-"&amp;B$2)</f>
        <v/>
      </c>
      <c r="M135" s="52" t="str">
        <f>IF(N(J135)=0,"",J135-J134)</f>
        <v/>
      </c>
    </row>
    <row r="136" spans="1:13" x14ac:dyDescent="0.35">
      <c r="A136" s="48"/>
      <c r="B136" s="48"/>
      <c r="C136" s="50"/>
      <c r="D136" s="50"/>
      <c r="E136" s="51" t="str">
        <f t="shared" ref="E136:E146" si="48">IF(N(C136)=0,"",(A136-A135)*C136*100)</f>
        <v/>
      </c>
      <c r="F136" s="68" t="str">
        <f t="shared" si="46"/>
        <v/>
      </c>
      <c r="G136" s="69" t="str">
        <f t="shared" ref="G136:G146" si="49">IF(OR(N(D136)=0,N(E136)=0),"",(E136*D136)/1000)</f>
        <v/>
      </c>
      <c r="H136" s="70" t="str">
        <f t="shared" si="47"/>
        <v/>
      </c>
      <c r="I136" s="27" t="str">
        <f>IF(N(J136)=0,"",0&amp;"-"&amp;B$3)</f>
        <v/>
      </c>
      <c r="J136" s="52" t="str">
        <f>IF(N(B$3)=0,"",IF(AND(COUNT(H135:H146)=2,COUNT(F135:F146)=2),cubic_spline(F134:F136,H134:H136,B$3),IF(AND(COUNT(H135:H146)=3,COUNT(F135:F146)=3),cubic_spline(F134:F137,H134:H137,B$3),IF(AND(COUNT(H135:H146)=4,COUNT(F135:F146)=4),cubic_spline(F134:F138,H134:H138,B$3),IF(AND(COUNT(H135:H146)=5,COUNT(F135:F146)=5),cubic_spline(F134:F139,H134:H139,B$3),IF(AND(COUNT(H135:H146)=6,COUNT(F135:F146)=6),cubic_spline(F134:F140,H134:H140,B$3),IF(AND(COUNT(H135:H146)=7,COUNT(F135:F146)=7),cubic_spline(F134:F141,H134:H141,B$3),IF(AND(COUNT(H135:H146)=8,COUNT(F135:F146)=8),cubic_spline(F134:F142,H134:H142,B$3),IF(AND(COUNT(H135:H146)=9,COUNT(F135:F146)=9),cubic_spline(F134:F143,H134:H143,B$3),IF(AND(COUNT(H135:H146)=10,COUNT(F135:F146)=10),cubic_spline(F134:F144,H134:H144,B$3),IF(AND(COUNT(H135:H146)=11,COUNT(F135:F146)=11),cubic_spline(F134:F145,H134:H145,B$3),IF(AND(COUNT(H135:H146)=12,COUNT(F135:F146)=12),cubic_spline(F134:F146,H134:H146,B$3),""))))))))))))</f>
        <v/>
      </c>
      <c r="K136" s="52" t="str">
        <f>IF(N(B$3)=0,"",IF(AND(COUNT(A135:A146)=2,COUNT(F135:F146)=2),cubic_spline(F134:F136,A134:A136,B$3),IF(AND(COUNT(A135:A146)=3,COUNT(F135:F146)=3),cubic_spline(F134:F137,A134:A137,B$3),IF(AND(COUNT(A135:A146)=4,COUNT(F135:F146)=4),cubic_spline(F134:F138,A134:A138,B$3),IF(AND(COUNT(A135:A146)=5,COUNT(F135:F146)=5),cubic_spline(F134:F139,A134:A139,B$3),IF(AND(COUNT(A135:A146)=6,COUNT(F135:F146)=6),cubic_spline(F134:F140,A134:A140,B$3),IF(AND(COUNT(A135:A146)=7,COUNT(F135:F146)=7),cubic_spline(F134:F141,A134:A141,B$3),IF(AND(COUNT(A135:A146)=8,COUNT(F135:F146)=8),cubic_spline(F134:F142,A134:A142,B$3),IF(AND(COUNT(A135:A146)=9,COUNT(F135:F146)=9),cubic_spline(F134:F143,A134:A143,B$3),IF(AND(COUNT(A135:A146)=10,COUNT(F135:F146)=10),cubic_spline(F134:F144,A134:A144,B$3),IF(AND(COUNT(A135:A146)=11,COUNT(F135:F146)=11),cubic_spline(F134:F145,A134:A145,B$3),IF(AND(COUNT(A135:A146)=12,COUNT(F135:F146)=12),cubic_spline(F134:F146,A134:A146,B$3),""))))))))))))</f>
        <v/>
      </c>
      <c r="L136" s="27" t="str">
        <f>IF(I136="","",B$2&amp;"-"&amp;B$3)</f>
        <v/>
      </c>
      <c r="M136" s="52" t="str">
        <f>IF(N(J136)=0,"",J136-J135)</f>
        <v/>
      </c>
    </row>
    <row r="137" spans="1:13" x14ac:dyDescent="0.35">
      <c r="A137" s="48"/>
      <c r="B137" s="48"/>
      <c r="C137" s="50"/>
      <c r="D137" s="50"/>
      <c r="E137" s="51" t="str">
        <f t="shared" si="48"/>
        <v/>
      </c>
      <c r="F137" s="68" t="str">
        <f t="shared" si="46"/>
        <v/>
      </c>
      <c r="G137" s="69" t="str">
        <f t="shared" si="49"/>
        <v/>
      </c>
      <c r="H137" s="70" t="str">
        <f t="shared" si="47"/>
        <v/>
      </c>
      <c r="I137" s="27" t="str">
        <f>IF(N(J137)=0,"",0&amp;"-"&amp;B$4)</f>
        <v/>
      </c>
      <c r="J137" s="52" t="str">
        <f>IF(N(B$4)=0,"",IF(AND(COUNT(H135:H146)=2,COUNT(F135:F146)=2),cubic_spline(F134:F136,H134:H136,B$4),IF(AND(COUNT(H135:H146)=3,COUNT(F135:F146)=3),cubic_spline(F134:F137,H134:H137,B$4),IF(AND(COUNT(H135:H146)=4,COUNT(F135:F146)=4),cubic_spline(F134:F138,H134:H138,B$4),IF(AND(COUNT(H135:H146)=5,COUNT(F135:F146)=5),cubic_spline(F134:F139,H134:H139,B$4),IF(AND(COUNT(H135:H146)=6,COUNT(F135:F146)=6),cubic_spline(F134:F140,H134:H140,B$4),IF(AND(COUNT(H135:H146)=7,COUNT(F135:F146)=7),cubic_spline(F134:F141,H134:H141,B$4),IF(AND(COUNT(H135:H146)=8,COUNT(F135:F146)=8),cubic_spline(F134:F142,H134:H142,B$4),IF(AND(COUNT(H135:H146)=9,COUNT(F135:F146)=9),cubic_spline(F134:F143,H134:H143,B$4),IF(AND(COUNT(H135:H146)=10,COUNT(F135:F146)=10),cubic_spline(F134:F144,H134:H144,B$4),IF(AND(COUNT(H135:H146)=11,COUNT(F135:F146)=11),cubic_spline(F134:F145,H134:H145,B$4),IF(AND(COUNT(H135:H146)=12,COUNT(F135:F146)=12),cubic_spline(F134:F146,H134:H146,B$4),""))))))))))))</f>
        <v/>
      </c>
      <c r="K137" s="52" t="str">
        <f>IF(N(B$4)=0,"",IF(AND(COUNT(A135:A146)=2,COUNT(F135:F146)=2),cubic_spline(F134:F136,A134:A136,B$4),IF(AND(COUNT(A135:A146)=3,COUNT(F135:F146)=3),cubic_spline(F134:F137,A134:A137,B$4),IF(AND(COUNT(A135:A146)=4,COUNT(F135:F146)=4),cubic_spline(F134:F138,A134:A138,B$4),IF(AND(COUNT(A135:A146)=5,COUNT(F135:F146)=5),cubic_spline(F134:F139,A134:A139,B$4),IF(AND(COUNT(A135:A146)=6,COUNT(F135:F146)=6),cubic_spline(F134:F140,A134:A140,B$4),IF(AND(COUNT(A135:A146)=7,COUNT(F135:F146)=7),cubic_spline(F134:F141,A134:A141,B$4),IF(AND(COUNT(A135:A146)=8,COUNT(F135:F146)=8),cubic_spline(F134:F142,A134:A142,B$4),IF(AND(COUNT(A135:A146)=9,COUNT(F135:F146)=9),cubic_spline(F134:F143,A134:A143,B$4),IF(AND(COUNT(A135:A146)=10,COUNT(F135:F146)=10),cubic_spline(F134:F144,A134:A144,B$4),IF(AND(COUNT(A135:A146)=11,COUNT(F135:F146)=11),cubic_spline(F134:F145,A134:A145,B$4),IF(AND(COUNT(A135:A146)=12,COUNT(F135:F146)=12),cubic_spline(F134:F146,A134:A146,B$4),""))))))))))))</f>
        <v/>
      </c>
      <c r="L137" s="27" t="str">
        <f>IF(I137="","",B$3&amp;"-"&amp;B$4)</f>
        <v/>
      </c>
      <c r="M137" s="52" t="str">
        <f>IF(N(J137)=0,"",J137-J136)</f>
        <v/>
      </c>
    </row>
    <row r="138" spans="1:13" x14ac:dyDescent="0.35">
      <c r="A138" s="48"/>
      <c r="B138" s="48"/>
      <c r="C138" s="50"/>
      <c r="D138" s="50"/>
      <c r="E138" s="51" t="str">
        <f t="shared" si="48"/>
        <v/>
      </c>
      <c r="F138" s="68" t="str">
        <f t="shared" si="46"/>
        <v/>
      </c>
      <c r="G138" s="69" t="str">
        <f t="shared" si="49"/>
        <v/>
      </c>
      <c r="H138" s="70" t="str">
        <f t="shared" si="47"/>
        <v/>
      </c>
      <c r="I138" s="27" t="str">
        <f>IF(N(J138)=0,"",0&amp;"-"&amp;B$5)</f>
        <v/>
      </c>
      <c r="J138" s="52" t="str">
        <f>IF(N(B$5)=0,"",IF(AND(COUNT(H135:H146)=2,COUNT(F135:F146)=2),cubic_spline(F134:F136,H134:H136,B$5),IF(AND(COUNT(H135:H146)=3,COUNT(F135:F146)=3),cubic_spline(F134:F137,H134:H137,B$5),IF(AND(COUNT(H135:H146)=4,COUNT(F135:F146)=4),cubic_spline(F134:F138,H134:H138,B$5),IF(AND(COUNT(H135:H146)=5,COUNT(F135:F146)=5),cubic_spline(F134:F139,H134:H139,B$5),IF(AND(COUNT(H135:H146)=6,COUNT(F135:F146)=6),cubic_spline(F134:F140,H134:H140,B$5),IF(AND(COUNT(H135:H146)=7,COUNT(F135:F146)=7),cubic_spline(F134:F141,H134:H141,B$5),IF(AND(COUNT(H135:H146)=8,COUNT(F135:F146)=8),cubic_spline(F134:F142,H134:H142,B$5),IF(AND(COUNT(H135:H146)=9,COUNT(F135:F146)=9),cubic_spline(F134:F143,H134:H143,B$5),IF(AND(COUNT(H135:H146)=10,COUNT(F135:F146)=10),cubic_spline(F134:F144,H134:H144,B$5),IF(AND(COUNT(H135:H146)=11,COUNT(F135:F146)=11),cubic_spline(F134:F145,H134:H145,B$5),IF(AND(COUNT(H135:H146)=12,COUNT(F135:F146)=12),cubic_spline(F134:F146,H134:H146,B$5),""))))))))))))</f>
        <v/>
      </c>
      <c r="K138" s="52" t="str">
        <f>IF(N(B$5)=0,"",IF(AND(COUNT(A135:A146)=2,COUNT(F135:F146)=2),cubic_spline(F134:F136,A134:A136,B$5),IF(AND(COUNT(A135:A146)=3,COUNT(F135:F146)=3),cubic_spline(F134:F137,A134:A137,B$5),IF(AND(COUNT(A135:A146)=4,COUNT(F135:F146)=4),cubic_spline(F134:F138,A134:A138,B$5),IF(AND(COUNT(A135:A146)=5,COUNT(F135:F146)=5),cubic_spline(F134:F139,A134:A139,B$5),IF(AND(COUNT(A135:A146)=6,COUNT(F135:F146)=6),cubic_spline(F134:F140,A134:A140,B$5),IF(AND(COUNT(A135:A146)=7,COUNT(F135:F146)=7),cubic_spline(F134:F141,A134:A141,B$5),IF(AND(COUNT(A135:A146)=8,COUNT(F135:F146)=8),cubic_spline(F134:F142,A134:A142,B$5),IF(AND(COUNT(A135:A146)=9,COUNT(F135:F146)=9),cubic_spline(F134:F143,A134:A143,B$5),IF(AND(COUNT(A135:A146)=10,COUNT(F135:F146)=10),cubic_spline(F134:F144,A134:A144,B$5),IF(AND(COUNT(A135:A146)=11,COUNT(F135:F146)=11),cubic_spline(F134:F145,A134:A145,B$5),IF(AND(COUNT(A135:A146)=12,COUNT(F135:F146)=12),cubic_spline(F134:F146,A134:A146,B$5),""))))))))))))</f>
        <v/>
      </c>
      <c r="L138" s="27" t="str">
        <f>IF(I138="","",B$4&amp;"-"&amp;B$5)</f>
        <v/>
      </c>
      <c r="M138" s="52" t="str">
        <f>IF(N(J138)=0,"",J138-J137)</f>
        <v/>
      </c>
    </row>
    <row r="139" spans="1:13" x14ac:dyDescent="0.35">
      <c r="A139" s="48"/>
      <c r="B139" s="48"/>
      <c r="C139" s="50"/>
      <c r="D139" s="50"/>
      <c r="E139" s="51" t="str">
        <f t="shared" si="48"/>
        <v/>
      </c>
      <c r="F139" s="71" t="str">
        <f t="shared" si="46"/>
        <v/>
      </c>
      <c r="G139" s="69" t="str">
        <f t="shared" si="49"/>
        <v/>
      </c>
      <c r="H139" s="70" t="str">
        <f t="shared" si="47"/>
        <v/>
      </c>
      <c r="I139" s="27" t="str">
        <f>IF(N(J139)=0,"",0&amp;"-"&amp;B$6)</f>
        <v/>
      </c>
      <c r="J139" s="52" t="str">
        <f>IF(N(B$6)=0,"",IF(AND(COUNT(H135:H146)=2,COUNT(F135:F146)=2),cubic_spline(F134:F136,H134:H136,B$6),IF(AND(COUNT(H135:H146)=3,COUNT(F135:F146)=3),cubic_spline(F134:F137,H134:H137,B$6),IF(AND(COUNT(H135:H146)=4,COUNT(F135:F146)=4),cubic_spline(F134:F138,H134:H138,B$6),IF(AND(COUNT(H135:H146)=5,COUNT(F135:F146)=5),cubic_spline(F134:F139,H134:H139,B$6),IF(AND(COUNT(H135:H146)=6,COUNT(F135:F146)=6),cubic_spline(F134:F140,H134:H140,B$6),IF(AND(COUNT(H135:H146)=7,COUNT(F135:F146)=7),cubic_spline(F134:F141,H134:H141,B$6),IF(AND(COUNT(H135:H146)=8,COUNT(F135:F146)=8),cubic_spline(F134:F142,H134:H142,B$6),IF(AND(COUNT(H135:H146)=9,COUNT(F135:F146)=9),cubic_spline(F134:F143,H134:H143,B$6),IF(AND(COUNT(H135:H146)=10,COUNT(F135:F146)=10),cubic_spline(F134:F144,H134:H144,B$6),IF(AND(COUNT(H135:H146)=11,COUNT(F135:F146)=11),cubic_spline(F134:F145,H134:H145,B$6),IF(AND(COUNT(H135:H146)=12,COUNT(F135:F146)=12),cubic_spline(F134:F146,H134:H146,B$6),""))))))))))))</f>
        <v/>
      </c>
      <c r="K139" s="52" t="str">
        <f>IF(N(B$6)=0,"",IF(AND(COUNT(A135:A146)=2,COUNT(F135:F146)=2),cubic_spline(F134:F136,A134:A136,B$6),IF(AND(COUNT(A135:A146)=3,COUNT(F135:F146)=3),cubic_spline(F134:F137,A134:A137,B$6),IF(AND(COUNT(A135:A146)=4,COUNT(F135:F146)=4),cubic_spline(F134:F138,A134:A138,B$6),IF(AND(COUNT(A135:A146)=5,COUNT(F135:F146)=5),cubic_spline(F134:F139,A134:A139,B$6),IF(AND(COUNT(A135:A146)=6,COUNT(F135:F146)=6),cubic_spline(F134:F140,A134:A140,B$6),IF(AND(COUNT(A135:A146)=7,COUNT(F135:F146)=7),cubic_spline(F134:F141,A134:A141,B$6),IF(AND(COUNT(A135:A146)=8,COUNT(F135:F146)=8),cubic_spline(F134:F142,A134:A142,B$6),IF(AND(COUNT(A135:A146)=9,COUNT(F135:F146)=9),cubic_spline(F134:F143,A134:A143,B$6),IF(AND(COUNT(A135:A146)=10,COUNT(F135:F146)=10),cubic_spline(F134:F144,A134:A144,B$6),IF(AND(COUNT(A135:A146)=11,COUNT(F135:F146)=11),cubic_spline(F134:F145,A134:A145,B$6),IF(AND(COUNT(A135:A146)=12,COUNT(F135:F146)=12),cubic_spline(F134:F146,A134:A146,B$6),""))))))))))))</f>
        <v/>
      </c>
      <c r="L139" s="27" t="str">
        <f>IF(I139="","",B$5&amp;"-"&amp;B$6)</f>
        <v/>
      </c>
      <c r="M139" s="52" t="str">
        <f>IF(N(J139)=0,"",J139-J138)</f>
        <v/>
      </c>
    </row>
    <row r="140" spans="1:13" x14ac:dyDescent="0.35">
      <c r="A140" s="48"/>
      <c r="B140" s="48"/>
      <c r="C140" s="50"/>
      <c r="D140" s="50"/>
      <c r="E140" s="51" t="str">
        <f t="shared" si="48"/>
        <v/>
      </c>
      <c r="F140" s="71" t="str">
        <f t="shared" si="46"/>
        <v/>
      </c>
      <c r="G140" s="69" t="str">
        <f t="shared" si="49"/>
        <v/>
      </c>
      <c r="H140" s="70" t="str">
        <f t="shared" si="47"/>
        <v/>
      </c>
      <c r="I140" s="27" t="str">
        <f>IF(N(J140)=0,"",0&amp;"-"&amp;B$7)</f>
        <v/>
      </c>
      <c r="J140" s="52" t="str">
        <f>IF(N(B$7)=0,"",IF(AND(COUNT(H135:H146)=2,COUNT(F135:F146)=2),cubic_spline(F134:F136,H134:H136,B$7),IF(AND(COUNT(H135:H146)=3,COUNT(F135:F146)=3),cubic_spline(F134:F137,H134:H137,B$7),IF(AND(COUNT(H135:H146)=4,COUNT(F135:F146)=4),cubic_spline(F134:F138,H134:H138,B$7),IF(AND(COUNT(H135:H146)=5,COUNT(F135:F146)=5),cubic_spline(F134:F139,H134:H139,B$7),IF(AND(COUNT(H135:H146)=6,COUNT(F135:F146)=6),cubic_spline(F134:F140,H134:H140,B$7),IF(AND(COUNT(H135:H146)=7,COUNT(F135:F146)=7),cubic_spline(F134:F141,H134:H141,B$7),IF(AND(COUNT(H135:H146)=8,COUNT(F135:F146)=8),cubic_spline(F134:F142,H134:H142,B$7),IF(AND(COUNT(H135:H146)=9,COUNT(F135:F146)=9),cubic_spline(F134:F143,H134:H143,B$7),IF(AND(COUNT(H135:H146)=10,COUNT(F135:F146)=10),cubic_spline(F134:F144,H134:H144,B$7),IF(AND(COUNT(H135:H146)=11,COUNT(F135:F146)=11),cubic_spline(F134:F145,H134:H145,B$7),IF(AND(COUNT(H135:H146)=12,COUNT(F135:F146)=12),cubic_spline(F134:F146,H134:H146,B$7),""))))))))))))</f>
        <v/>
      </c>
      <c r="K140" s="52" t="str">
        <f>IF(N(B$7)=0,"",IF(AND(COUNT(A135:A146)=2,COUNT(F135:F146)=2),cubic_spline(F134:F136,A134:A136,B$7),IF(AND(COUNT(A135:A146)=3,COUNT(F135:F146)=3),cubic_spline(F134:F137,A134:A137,B$7),IF(AND(COUNT(A135:A146)=4,COUNT(F135:F146)=4),cubic_spline(F134:F138,A134:A138,B$7),IF(AND(COUNT(A135:A146)=5,COUNT(F135:F146)=5),cubic_spline(F134:F139,A134:A139,B$7),IF(AND(COUNT(A135:A146)=6,COUNT(F135:F146)=6),cubic_spline(F134:F140,A134:A140,B$7),IF(AND(COUNT(A135:A146)=7,COUNT(F135:F146)=7),cubic_spline(F134:F141,A134:A141,B$7),IF(AND(COUNT(A135:A146)=8,COUNT(F135:F146)=8),cubic_spline(F134:F142,A134:A142,B$7),IF(AND(COUNT(A135:A146)=9,COUNT(F135:F146)=9),cubic_spline(F134:F143,A134:A143,B$7),IF(AND(COUNT(A135:A146)=10,COUNT(F135:F146)=10),cubic_spline(F134:F144,A134:A144,B$7),IF(AND(COUNT(A135:A146)=11,COUNT(F135:F146)=11),cubic_spline(F134:F145,A134:A145,B$7),IF(AND(COUNT(A135:A146)=12,COUNT(F135:F146)=12),cubic_spline(F134:F146,A134:A146,B$7),""))))))))))))</f>
        <v/>
      </c>
      <c r="L140" s="27" t="str">
        <f>IF(I140="","",B$6&amp;"-"&amp;B$7)</f>
        <v/>
      </c>
      <c r="M140" s="52" t="str">
        <f t="shared" ref="M140:M146" si="50">IF(N(J140)=0,"",J140-J139)</f>
        <v/>
      </c>
    </row>
    <row r="141" spans="1:13" x14ac:dyDescent="0.35">
      <c r="A141" s="48"/>
      <c r="B141" s="48"/>
      <c r="C141" s="50"/>
      <c r="D141" s="50"/>
      <c r="E141" s="51" t="str">
        <f t="shared" si="48"/>
        <v/>
      </c>
      <c r="F141" s="71" t="str">
        <f t="shared" si="46"/>
        <v/>
      </c>
      <c r="G141" s="69" t="str">
        <f t="shared" si="49"/>
        <v/>
      </c>
      <c r="H141" s="70" t="str">
        <f t="shared" si="47"/>
        <v/>
      </c>
      <c r="I141" s="27" t="str">
        <f>IF(N(J141)=0,"",0&amp;"-"&amp;B$8)</f>
        <v/>
      </c>
      <c r="J141" s="52" t="str">
        <f>IF(N(B$8)=0,"",IF(AND(COUNT(H135:H146)=2,COUNT(F135:F146)=2),cubic_spline(F134:F136,H134:H136,B$8),IF(AND(COUNT(H135:H146)=3,COUNT(F135:F146)=3),cubic_spline(F134:F137,H134:H137,B$8),IF(AND(COUNT(H135:H146)=4,COUNT(F135:F146)=4),cubic_spline(F134:F138,H134:H138,B$8),IF(AND(COUNT(H135:H146)=5,COUNT(F135:F146)=5),cubic_spline(F134:F139,H134:H139,B$8),IF(AND(COUNT(H135:H146)=6,COUNT(F135:F146)=6),cubic_spline(F134:F140,H134:H140,B$8),IF(AND(COUNT(H135:H146)=7,COUNT(F135:F146)=7),cubic_spline(F134:F141,H134:H141,B$8),IF(AND(COUNT(H135:H146)=8,COUNT(F135:F146)=8),cubic_spline(F134:F142,H134:H142,B$8),IF(AND(COUNT(H135:H146)=9,COUNT(F135:F146)=9),cubic_spline(F134:F143,H134:H143,B$8),IF(AND(COUNT(H135:H146)=10,COUNT(F135:F146)=10),cubic_spline(F134:F144,H134:H144,B$8),IF(AND(COUNT(H135:H146)=11,COUNT(F135:F146)=11),cubic_spline(F134:F145,H134:H145,B$8),IF(AND(COUNT(H135:H146)=12,COUNT(F135:F146)=12),cubic_spline(F134:F146,H134:H146,B$8),""))))))))))))</f>
        <v/>
      </c>
      <c r="K141" s="52" t="str">
        <f>IF(N(B$8)=0,"",IF(AND(COUNT(A135:A146)=2,COUNT(F135:F146)=2),cubic_spline(F134:F136,A134:A136,B$8),IF(AND(COUNT(A135:A146)=3,COUNT(F135:F146)=3),cubic_spline(F134:F137,A134:A137,B$8),IF(AND(COUNT(A135:A146)=4,COUNT(F135:F146)=4),cubic_spline(F134:F138,A134:A138,B$8),IF(AND(COUNT(A135:A146)=5,COUNT(F135:F146)=5),cubic_spline(F134:F139,A134:A139,B$8),IF(AND(COUNT(A135:A146)=6,COUNT(F135:F146)=6),cubic_spline(F134:F140,A134:A140,B$8),IF(AND(COUNT(A135:A146)=7,COUNT(F135:F146)=7),cubic_spline(F134:F141,A134:A141,B$8),IF(AND(COUNT(A135:A146)=8,COUNT(F135:F146)=8),cubic_spline(F134:F142,A134:A142,B$8),IF(AND(COUNT(A135:A146)=9,COUNT(F135:F146)=9),cubic_spline(F134:F143,A134:A143,B$8),IF(AND(COUNT(A135:A146)=10,COUNT(F135:F146)=10),cubic_spline(F134:F144,A134:A144,B$8),IF(AND(COUNT(A135:A146)=11,COUNT(F135:F146)=11),cubic_spline(F134:F145,A134:A145,B$8),IF(AND(COUNT(A135:A146)=12,COUNT(F135:F146)=12),cubic_spline(F134:F146,A134:A146,B$8),""))))))))))))</f>
        <v/>
      </c>
      <c r="L141" s="27" t="str">
        <f>IF(I141="","",B$7&amp;"-"&amp;B$8)</f>
        <v/>
      </c>
      <c r="M141" s="52" t="str">
        <f t="shared" si="50"/>
        <v/>
      </c>
    </row>
    <row r="142" spans="1:13" x14ac:dyDescent="0.35">
      <c r="A142" s="48"/>
      <c r="B142" s="48"/>
      <c r="C142" s="50"/>
      <c r="D142" s="50"/>
      <c r="E142" s="51" t="str">
        <f t="shared" si="48"/>
        <v/>
      </c>
      <c r="F142" s="71" t="str">
        <f t="shared" si="46"/>
        <v/>
      </c>
      <c r="G142" s="69" t="str">
        <f t="shared" si="49"/>
        <v/>
      </c>
      <c r="H142" s="70" t="str">
        <f t="shared" si="47"/>
        <v/>
      </c>
      <c r="I142" s="27" t="str">
        <f>IF(N(J142)=0,"",0&amp;"-"&amp;B$9)</f>
        <v/>
      </c>
      <c r="J142" s="52" t="str">
        <f>IF(N(B$9)=0,"",IF(AND(COUNT(H135:H146)=2,COUNT(F135:F146)=2),cubic_spline(F134:F136,H134:H136,B$9),IF(AND(COUNT(H135:H146)=3,COUNT(F135:F146)=3),cubic_spline(F134:F137,H134:H137,B$9),IF(AND(COUNT(H135:H146)=4,COUNT(F135:F146)=4),cubic_spline(F134:F138,H134:H138,B$9),IF(AND(COUNT(H135:H146)=5,COUNT(F135:F146)=5),cubic_spline(F134:F139,H134:H139,B$9),IF(AND(COUNT(H135:H146)=6,COUNT(F135:F146)=6),cubic_spline(F134:F140,H134:H140,B$9),IF(AND(COUNT(H135:H146)=7,COUNT(F135:F146)=7),cubic_spline(F134:F141,H134:H141,B$9),IF(AND(COUNT(H135:H146)=8,COUNT(F135:F146)=8),cubic_spline(F134:F142,H134:H142,B$9),IF(AND(COUNT(H135:H146)=9,COUNT(F135:F146)=9),cubic_spline(F134:F143,H134:H143,B$9),IF(AND(COUNT(H135:H146)=10,COUNT(F135:F146)=10),cubic_spline(F134:F144,H134:H144,B$9),IF(AND(COUNT(H135:H146)=11,COUNT(F135:F146)=11),cubic_spline(F134:F145,H134:H145,B$9),IF(AND(COUNT(H135:H146)=12,COUNT(F135:F146)=12),cubic_spline(F134:F146,H134:H146,B$9),""))))))))))))</f>
        <v/>
      </c>
      <c r="K142" s="52" t="str">
        <f>IF(N(B$9)=0,"",IF(AND(COUNT(A135:A146)=2,COUNT(F135:F146)=2),cubic_spline(F134:F136,A134:A136,B$9),IF(AND(COUNT(A135:A146)=3,COUNT(F135:F146)=3),cubic_spline(F134:F137,A134:A137,B$9),IF(AND(COUNT(A135:A146)=4,COUNT(F135:F146)=4),cubic_spline(F134:F138,A134:A138,B$9),IF(AND(COUNT(A135:A146)=5,COUNT(F135:F146)=5),cubic_spline(F134:F139,A134:A139,B$9),IF(AND(COUNT(A135:A146)=6,COUNT(F135:F146)=6),cubic_spline(F134:F140,A134:A140,B$9),IF(AND(COUNT(A135:A146)=7,COUNT(F135:F146)=7),cubic_spline(F134:F141,A134:A141,B$9),IF(AND(COUNT(A135:A146)=8,COUNT(F135:F146)=8),cubic_spline(F134:F142,A134:A142,B$9),IF(AND(COUNT(A135:A146)=9,COUNT(F135:F146)=9),cubic_spline(F134:F143,A134:A143,B$9),IF(AND(COUNT(A135:A146)=10,COUNT(F135:F146)=10),cubic_spline(F134:F144,A134:A144,B$9),IF(AND(COUNT(A135:A146)=11,COUNT(F135:F146)=11),cubic_spline(F134:F145,A134:A145,B$9),IF(AND(COUNT(A135:A146)=12,COUNT(F135:F146)=12),cubic_spline(F134:F146,A134:A146,B$9),""))))))))))))</f>
        <v/>
      </c>
      <c r="L142" s="27" t="str">
        <f>IF(I142="","",B$8&amp;"-"&amp;B$9)</f>
        <v/>
      </c>
      <c r="M142" s="52" t="str">
        <f t="shared" si="50"/>
        <v/>
      </c>
    </row>
    <row r="143" spans="1:13" x14ac:dyDescent="0.35">
      <c r="A143" s="48"/>
      <c r="B143" s="48"/>
      <c r="C143" s="50"/>
      <c r="D143" s="50"/>
      <c r="E143" s="51" t="str">
        <f t="shared" si="48"/>
        <v/>
      </c>
      <c r="F143" s="71" t="str">
        <f t="shared" si="46"/>
        <v/>
      </c>
      <c r="G143" s="69" t="str">
        <f t="shared" si="49"/>
        <v/>
      </c>
      <c r="H143" s="70" t="str">
        <f t="shared" si="47"/>
        <v/>
      </c>
      <c r="I143" s="27" t="str">
        <f>IF(N(J143)=0,"",0&amp;"-"&amp;B$10)</f>
        <v/>
      </c>
      <c r="J143" s="52" t="str">
        <f>IF(N(B$10)=0,"",IF(AND(COUNT(H135:H146)=2,COUNT(F135:F146)=2),cubic_spline(F134:F136,H134:H136,B$10),IF(AND(COUNT(H135:H146)=3,COUNT(F135:F146)=3),cubic_spline(F134:F137,H134:H137,B$10),IF(AND(COUNT(H135:H146)=4,COUNT(F135:F146)=4),cubic_spline(F134:F138,H134:H138,B$10),IF(AND(COUNT(H135:H146)=5,COUNT(F135:F146)=5),cubic_spline(F134:F139,H134:H139,B$10),IF(AND(COUNT(H135:H146)=6,COUNT(F135:F146)=6),cubic_spline(F134:F140,H134:H140,B$10),IF(AND(COUNT(H135:H146)=7,COUNT(F135:F146)=7),cubic_spline(F134:F141,H134:H141,B$10),IF(AND(COUNT(H135:H146)=8,COUNT(F135:F146)=8),cubic_spline(F134:F142,H134:H142,B$10),IF(AND(COUNT(H135:H146)=9,COUNT(F135:F146)=9),cubic_spline(F134:F143,H134:H143,B$10),IF(AND(COUNT(H135:H146)=10,COUNT(F135:F146)=10),cubic_spline(F134:F144,H134:H144,B$10),IF(AND(COUNT(H135:H146)=11,COUNT(F135:F146)=11),cubic_spline(F134:F145,H134:H145,B$10),IF(AND(COUNT(H135:H146)=12,COUNT(F135:F146)=12),cubic_spline(F134:F146,H134:H146,B$10),""))))))))))))</f>
        <v/>
      </c>
      <c r="K143" s="52" t="str">
        <f>IF(N(B$10)=0,"",IF(AND(COUNT(A135:A146)=2,COUNT(F135:F146)=2),cubic_spline(F134:F136,A134:A136,B$10),IF(AND(COUNT(A135:A146)=3,COUNT(F135:F146)=3),cubic_spline(F134:F137,A134:A137,B$10),IF(AND(COUNT(A135:A146)=4,COUNT(F135:F146)=4),cubic_spline(F134:F138,A134:A138,B$10),IF(AND(COUNT(A135:A146)=5,COUNT(F135:F146)=5),cubic_spline(F134:F139,A134:A139,B$10),IF(AND(COUNT(A135:A146)=6,COUNT(F135:F146)=6),cubic_spline(F134:F140,A134:A140,B$10),IF(AND(COUNT(A135:A146)=7,COUNT(F135:F146)=7),cubic_spline(F134:F141,A134:A141,B$10),IF(AND(COUNT(A135:A146)=8,COUNT(F135:F146)=8),cubic_spline(F134:F142,A134:A142,B$10),IF(AND(COUNT(A135:A146)=9,COUNT(F135:F146)=9),cubic_spline(F134:F143,A134:A143,B$10),IF(AND(COUNT(A135:A146)=10,COUNT(F135:F146)=10),cubic_spline(F134:F144,A134:A144,B$10),IF(AND(COUNT(A135:A146)=11,COUNT(F135:F146)=11),cubic_spline(F134:F145,A134:A145,B$10),IF(AND(COUNT(A135:A146)=12,COUNT(F135:F146)=12),cubic_spline(F134:F146,A134:A146,B$10),""))))))))))))</f>
        <v/>
      </c>
      <c r="L143" s="27" t="str">
        <f>IF(I143="","",B$9&amp;"-"&amp;B$10)</f>
        <v/>
      </c>
      <c r="M143" s="52" t="str">
        <f t="shared" si="50"/>
        <v/>
      </c>
    </row>
    <row r="144" spans="1:13" x14ac:dyDescent="0.35">
      <c r="A144" s="48"/>
      <c r="B144" s="48"/>
      <c r="C144" s="50"/>
      <c r="D144" s="50"/>
      <c r="E144" s="51" t="str">
        <f t="shared" si="48"/>
        <v/>
      </c>
      <c r="F144" s="71" t="str">
        <f t="shared" si="46"/>
        <v/>
      </c>
      <c r="G144" s="69" t="str">
        <f t="shared" si="49"/>
        <v/>
      </c>
      <c r="H144" s="70" t="str">
        <f t="shared" si="47"/>
        <v/>
      </c>
      <c r="I144" s="27" t="str">
        <f>IF(N(J144)=0,"",0&amp;"-"&amp;B$11)</f>
        <v/>
      </c>
      <c r="J144" s="52" t="str">
        <f>IF(N(B$11)=0,"",IF(AND(COUNT(H135:H146)=2,COUNT(F135:F146)=2),cubic_spline(F134:F136,H134:H136,B$11),IF(AND(COUNT(H135:H146)=3,COUNT(F135:F146)=3),cubic_spline(F134:F137,H134:H137,B$11),IF(AND(COUNT(H135:H146)=4,COUNT(F135:F146)=4),cubic_spline(F134:F138,H134:H138,B$11),IF(AND(COUNT(H135:H146)=5,COUNT(F135:F146)=5),cubic_spline(F134:F139,H134:H139,B$11),IF(AND(COUNT(H135:H146)=6,COUNT(F135:F146)=6),cubic_spline(F134:F140,H134:H140,B$11),IF(AND(COUNT(H135:H146)=7,COUNT(F135:F146)=7),cubic_spline(F134:F141,H134:H141,B$11),IF(AND(COUNT(H135:H146)=8,COUNT(F135:F146)=8),cubic_spline(F134:F142,H134:H142,B$11),IF(AND(COUNT(H135:H146)=9,COUNT(F135:F146)=9),cubic_spline(F134:F143,H134:H143,B$11),IF(AND(COUNT(H135:H146)=10,COUNT(F135:F146)=10),cubic_spline(F134:F144,H134:H144,B$11),IF(AND(COUNT(H135:H146)=11,COUNT(F135:F146)=11),cubic_spline(F134:F145,H134:H145,B$11),IF(AND(COUNT(H135:H146)=12,COUNT(F135:F146)=12),cubic_spline(F134:F146,H134:H146,B$11),""))))))))))))</f>
        <v/>
      </c>
      <c r="K144" s="52" t="str">
        <f>IF(N(B$11)=0,"",IF(AND(COUNT(A135:A146)=2,COUNT(F135:F146)=2),cubic_spline(F134:F136,A134:A136,B$11),IF(AND(COUNT(A135:A146)=3,COUNT(F135:F146)=3),cubic_spline(F134:F137,A134:A137,B$11),IF(AND(COUNT(A135:A146)=4,COUNT(F135:F146)=4),cubic_spline(F134:F138,A134:A138,B$11),IF(AND(COUNT(A135:A146)=5,COUNT(F135:F146)=5),cubic_spline(F134:F139,A134:A139,B$11),IF(AND(COUNT(A135:A146)=6,COUNT(F135:F146)=6),cubic_spline(F134:F140,A134:A140,B$11),IF(AND(COUNT(A135:A146)=7,COUNT(F135:F146)=7),cubic_spline(F134:F141,A134:A141,B$11),IF(AND(COUNT(A135:A146)=8,COUNT(F135:F146)=8),cubic_spline(F134:F142,A134:A142,B$11),IF(AND(COUNT(A135:A146)=9,COUNT(F135:F146)=9),cubic_spline(F134:F143,A134:A143,B$11),IF(AND(COUNT(A135:A146)=10,COUNT(F135:F146)=10),cubic_spline(F134:F144,A134:A144,B$11),IF(AND(COUNT(A135:A146)=11,COUNT(F135:F146)=11),cubic_spline(F134:F145,A134:A145,B$11),IF(AND(COUNT(A135:A146)=12,COUNT(F135:F146)=12),cubic_spline(F134:F146,A134:A146,B$11),""))))))))))))</f>
        <v/>
      </c>
      <c r="L144" s="27" t="str">
        <f>IF(I144="","",B$10&amp;"-"&amp;B$11)</f>
        <v/>
      </c>
      <c r="M144" s="52" t="str">
        <f t="shared" si="50"/>
        <v/>
      </c>
    </row>
    <row r="145" spans="1:13" x14ac:dyDescent="0.35">
      <c r="A145" s="48"/>
      <c r="B145" s="48"/>
      <c r="C145" s="50"/>
      <c r="D145" s="50"/>
      <c r="E145" s="51" t="str">
        <f t="shared" si="48"/>
        <v/>
      </c>
      <c r="F145" s="71" t="str">
        <f t="shared" si="46"/>
        <v/>
      </c>
      <c r="G145" s="69" t="str">
        <f t="shared" si="49"/>
        <v/>
      </c>
      <c r="H145" s="70" t="str">
        <f t="shared" si="47"/>
        <v/>
      </c>
      <c r="I145" s="27" t="str">
        <f>IF(N(J145)=0,"",0&amp;"-"&amp;B$12)</f>
        <v/>
      </c>
      <c r="J145" s="52" t="str">
        <f>IF(N(B$12)=0,"",IF(AND(COUNT(H135:H146)=2,COUNT(F135:F146)=2),cubic_spline(F134:F136,H134:H136,B$12),IF(AND(COUNT(H135:H146)=3,COUNT(F135:F146)=3),cubic_spline(F134:F137,H134:H137,B$12),IF(AND(COUNT(H135:H146)=4,COUNT(F135:F146)=4),cubic_spline(F134:F138,H134:H138,B$12),IF(AND(COUNT(H135:H146)=5,COUNT(F135:F146)=5),cubic_spline(F134:F139,H134:H139,B$12),IF(AND(COUNT(H135:H146)=6,COUNT(F135:F146)=6),cubic_spline(F134:F140,H134:H140,B$12),IF(AND(COUNT(H135:H146)=7,COUNT(F135:F146)=7),cubic_spline(F134:F141,H134:H141,B$12),IF(AND(COUNT(H135:H146)=8,COUNT(F135:F146)=8),cubic_spline(F134:F142,H134:H142,B$12),IF(AND(COUNT(H135:H146)=9,COUNT(F135:F146)=9),cubic_spline(F134:F143,H134:H143,B$12),IF(AND(COUNT(H135:H146)=10,COUNT(F135:F146)=10),cubic_spline(F134:F144,H134:H144,B$12),IF(AND(COUNT(H135:H146)=11,COUNT(F135:F146)=11),cubic_spline(F134:F145,H134:H145,B$12),IF(AND(COUNT(H135:H146)=12,COUNT(F135:F146)=12),cubic_spline(F134:F146,H134:H146,B$12),""))))))))))))</f>
        <v/>
      </c>
      <c r="K145" s="52" t="str">
        <f>IF(N(B$12)=0,"",IF(AND(COUNT(A135:A146)=2,COUNT(F135:F146)=2),cubic_spline(F134:F136,A134:A136,B$12),IF(AND(COUNT(A135:A146)=3,COUNT(F135:F146)=3),cubic_spline(F134:F137,A134:A137,B$12),IF(AND(COUNT(A135:A146)=4,COUNT(F135:F146)=4),cubic_spline(F134:F138,A134:A138,B$12),IF(AND(COUNT(A135:A146)=5,COUNT(F135:F146)=5),cubic_spline(F134:F139,A134:A139,B$12),IF(AND(COUNT(A135:A146)=6,COUNT(F135:F146)=6),cubic_spline(F134:F140,A134:A140,B$12),IF(AND(COUNT(A135:A146)=7,COUNT(F135:F146)=7),cubic_spline(F134:F141,A134:A141,B$12),IF(AND(COUNT(A135:A146)=8,COUNT(F135:F146)=8),cubic_spline(F134:F142,A134:A142,B$12),IF(AND(COUNT(A135:A146)=9,COUNT(F135:F146)=9),cubic_spline(F134:F143,A134:A143,B$12),IF(AND(COUNT(A135:A146)=10,COUNT(F135:F146)=10),cubic_spline(F134:F144,A134:A144,B$12),IF(AND(COUNT(A135:A146)=11,COUNT(F135:F146)=11),cubic_spline(F134:F145,A134:A145,B$12),IF(AND(COUNT(A135:A146)=12,COUNT(F135:F146)=12),cubic_spline(F134:F146,A134:A146,B$12),""))))))))))))</f>
        <v/>
      </c>
      <c r="L145" s="27" t="str">
        <f>IF(I145="","",B$11&amp;"-"&amp;B$12)</f>
        <v/>
      </c>
      <c r="M145" s="52" t="str">
        <f t="shared" si="50"/>
        <v/>
      </c>
    </row>
    <row r="146" spans="1:13" x14ac:dyDescent="0.35">
      <c r="A146" s="48"/>
      <c r="B146" s="48"/>
      <c r="C146" s="50"/>
      <c r="D146" s="50"/>
      <c r="E146" s="51" t="str">
        <f t="shared" si="48"/>
        <v/>
      </c>
      <c r="F146" s="71" t="str">
        <f t="shared" si="46"/>
        <v/>
      </c>
      <c r="G146" s="69" t="str">
        <f t="shared" si="49"/>
        <v/>
      </c>
      <c r="H146" s="70" t="str">
        <f t="shared" si="47"/>
        <v/>
      </c>
      <c r="I146" s="27" t="str">
        <f>IF(N(J146)=0,"",0&amp;"-"&amp;B$13)</f>
        <v/>
      </c>
      <c r="J146" s="52" t="str">
        <f>IF(N(B$13)=0,"",IF(AND(COUNT(H135:H146)=2,COUNT(F135:F146)=2),cubic_spline(F134:F136,H134:H136,B$13),IF(AND(COUNT(H135:H146)=3,COUNT(F135:F146)=3),cubic_spline(F134:F137,H134:H137,B$13),IF(AND(COUNT(H135:H146)=4,COUNT(F135:F146)=4),cubic_spline(F134:F138,H134:H138,B$13),IF(AND(COUNT(H135:H146)=5,COUNT(F135:F146)=5),cubic_spline(F134:F139,H134:H139,B$13),IF(AND(COUNT(H135:H146)=6,COUNT(F135:F146)=6),cubic_spline(F134:F140,H134:H140,B$13),IF(AND(COUNT(H135:H146)=7,COUNT(F135:F146)=7),cubic_spline(F134:F141,H134:H141,B$13),IF(AND(COUNT(H135:H146)=8,COUNT(F135:F146)=8),cubic_spline(F134:F142,H134:H142,B$13),IF(AND(COUNT(H135:H146)=9,COUNT(F135:F146)=9),cubic_spline(F134:F143,H134:H143,B$13),IF(AND(COUNT(H135:H146)=10,COUNT(F135:F146)=10),cubic_spline(F134:F144,H134:H144,B$13),IF(AND(COUNT(H135:H146)=11,COUNT(F135:F146)=11),cubic_spline(F134:F145,H134:H145,B$13),IF(AND(COUNT(H135:H146)=12,COUNT(F135:F146)=12),cubic_spline(F134:F146,H134:H146,B$13),""))))))))))))</f>
        <v/>
      </c>
      <c r="K146" s="52" t="str">
        <f>IF(N(B$13)=0,"",IF(AND(COUNT(A135:A146)=2,COUNT(F135:F146)=2),cubic_spline(F134:F136,A134:A136,B$13),IF(AND(COUNT(A135:A146)=3,COUNT(F135:F146)=3),cubic_spline(F134:F137,A134:A137,B$13),IF(AND(COUNT(A135:A146)=4,COUNT(F135:F146)=4),cubic_spline(F134:F138,A134:A138,B$13),IF(AND(COUNT(A135:A146)=5,COUNT(F135:F146)=5),cubic_spline(F134:F139,A134:A139,B$13),IF(AND(COUNT(A135:A146)=6,COUNT(F135:F146)=6),cubic_spline(F134:F140,A134:A140,B$13),IF(AND(COUNT(A135:A146)=7,COUNT(F135:F146)=7),cubic_spline(F134:F141,A134:A141,B$13),IF(AND(COUNT(A135:A146)=8,COUNT(F135:F146)=8),cubic_spline(F134:F142,A134:A142,B$13),IF(AND(COUNT(A135:A146)=9,COUNT(F135:F146)=9),cubic_spline(F134:F143,A134:A143,B$13),IF(AND(COUNT(A135:A146)=10,COUNT(F135:F146)=10),cubic_spline(F134:F144,A134:A144,B$13),IF(AND(COUNT(A135:A146)=11,COUNT(F135:F146)=11),cubic_spline(F134:F145,A134:A145,B$13),IF(AND(COUNT(A135:A146)=12,COUNT(F135:F146)=12),cubic_spline(F134:F146,A134:A146,B$13),""))))))))))))</f>
        <v/>
      </c>
      <c r="L146" s="27" t="str">
        <f>IF(I146="","",B$12&amp;"-"&amp;B$13)</f>
        <v/>
      </c>
      <c r="M146" s="52" t="str">
        <f t="shared" si="50"/>
        <v/>
      </c>
    </row>
    <row r="147" spans="1:13" ht="5.15" customHeight="1" x14ac:dyDescent="0.35">
      <c r="A147" s="47"/>
      <c r="B147" s="47"/>
      <c r="C147" s="53"/>
      <c r="D147" s="53"/>
      <c r="E147" s="54"/>
      <c r="F147" s="55"/>
      <c r="G147" s="72"/>
      <c r="H147" s="73"/>
      <c r="I147" s="47"/>
      <c r="J147" s="57"/>
      <c r="K147" s="57"/>
      <c r="L147" s="55"/>
      <c r="M147" s="57"/>
    </row>
    <row r="148" spans="1:13" x14ac:dyDescent="0.35">
      <c r="A148" s="48"/>
      <c r="B148" s="48"/>
      <c r="C148" s="50"/>
      <c r="D148" s="50"/>
      <c r="E148" s="51" t="str">
        <f>IF(N(C148)=0,"",(A148-A147)*C148*100)</f>
        <v/>
      </c>
      <c r="F148" s="68" t="str">
        <f t="shared" ref="F148:F159" si="51">IF(N(E148)=0,"",(N(E148)+N(F147)))</f>
        <v/>
      </c>
      <c r="G148" s="69" t="str">
        <f>IF(OR(N(D148)=0,N(E148)=0),"",(E148*D148)/1000)</f>
        <v/>
      </c>
      <c r="H148" s="70" t="str">
        <f t="shared" ref="H148:H159" si="52">IF(N(G148)=0,"",(N(G148)+N(H147)))</f>
        <v/>
      </c>
      <c r="I148" s="27" t="str">
        <f>IF(N(J148)=0,"",0&amp;"-"&amp;B$2)</f>
        <v/>
      </c>
      <c r="J148" s="52" t="str">
        <f>IF(N(B$2)=0,"",IF(AND(COUNT(H148:H159)=2,COUNT(F148:F159)=2),cubic_spline(F147:F149,H147:H149,B$2),IF(AND(COUNT(H148:H159)=3,COUNT(F148:F159)=3),cubic_spline(F147:F150,H147:H150,B$2),IF(AND(COUNT(H148:H159)=4,COUNT(F148:F159)=4),cubic_spline(F147:F151,H147:H151,B$2),IF(AND(COUNT(H148:H159)=5,COUNT(F148:F159)=5),cubic_spline(F147:F152,H147:H152,B$2),IF(AND(COUNT(H148:H159)=6,COUNT(F148:F159)=6),cubic_spline(F147:F153,H147:H153,B$2),IF(AND(COUNT(H148:H159)=7,COUNT(F148:F159)=7),cubic_spline(F147:F154,H147:H154,B$2),IF(AND(COUNT(H148:H159)=8,COUNT(F148:F159)=8),cubic_spline(F147:F155,H147:H155,B$2),IF(AND(COUNT(H148:H159)=9,COUNT(F148:F159)=9),cubic_spline(F147:F156,H147:H156,B$2),IF(AND(COUNT(H148:H159)=10,COUNT(F148:F159)=10),cubic_spline(F147:F157,H147:H157,B$2),IF(AND(COUNT(H148:H159)=11,COUNT(F148:F159)=11),cubic_spline(F147:F158,H147:H158,B$2),IF(AND(COUNT(H148:H159)=12,COUNT(F148:F159)=12),cubic_spline(F147:F159,H147:H159,B$2),""))))))))))))</f>
        <v/>
      </c>
      <c r="K148" s="52" t="str">
        <f>IF(N(B$2)=0,"",IF(AND(COUNT(A148:A159)=2,COUNT(F148:F159)=2),cubic_spline(F147:F149,A147:A149,B$2),IF(AND(COUNT(A148:A159)=3,COUNT(F148:F159)=3),cubic_spline(F147:F150,A147:A150,B$2),IF(AND(COUNT(A148:A159)=4,COUNT(F148:F159)=4),cubic_spline(F147:F151,A147:A151,B$2),IF(AND(COUNT(A148:A159)=5,COUNT(F148:F159)=5),cubic_spline(F147:F152,A147:A152,B$2),IF(AND(COUNT(A148:A159)=6,COUNT(F148:F159)=6),cubic_spline(F147:F153,A147:A153,B$2),IF(AND(COUNT(A148:A159)=7,COUNT(F148:F159)=7),cubic_spline(F147:F154,A147:A154,B$2),IF(AND(COUNT(A148:A159)=8,COUNT(F148:F159)=8),cubic_spline(F147:F155,A147:A155,B$2),IF(AND(COUNT(A148:A159)=9,COUNT(F148:F159)=9),cubic_spline(F147:F156,A147:A156,B$2),IF(AND(COUNT(A148:A159)=10,COUNT(F148:F159)=10),cubic_spline(F147:F157,A147:A157,B$2),IF(AND(COUNT(A148:A159)=11,COUNT(F148:F159)=11),cubic_spline(F147:F158,A147:A158,B$2),IF(AND(COUNT(A148:A159)=12,COUNT(F148:F159)=12),cubic_spline(F147:F159,A147:A159,B$2),""))))))))))))</f>
        <v/>
      </c>
      <c r="L148" s="27" t="str">
        <f>IF(I148="","",0&amp;"-"&amp;B$2)</f>
        <v/>
      </c>
      <c r="M148" s="52" t="str">
        <f>IF(N(J148)=0,"",J148-J147)</f>
        <v/>
      </c>
    </row>
    <row r="149" spans="1:13" x14ac:dyDescent="0.35">
      <c r="A149" s="48"/>
      <c r="B149" s="48"/>
      <c r="C149" s="50"/>
      <c r="D149" s="50"/>
      <c r="E149" s="51" t="str">
        <f t="shared" ref="E149:E159" si="53">IF(N(C149)=0,"",(A149-A148)*C149*100)</f>
        <v/>
      </c>
      <c r="F149" s="68" t="str">
        <f t="shared" si="51"/>
        <v/>
      </c>
      <c r="G149" s="69" t="str">
        <f t="shared" ref="G149:G159" si="54">IF(OR(N(D149)=0,N(E149)=0),"",(E149*D149)/1000)</f>
        <v/>
      </c>
      <c r="H149" s="70" t="str">
        <f t="shared" si="52"/>
        <v/>
      </c>
      <c r="I149" s="27" t="str">
        <f>IF(N(J149)=0,"",0&amp;"-"&amp;B$3)</f>
        <v/>
      </c>
      <c r="J149" s="52" t="str">
        <f>IF(N(B$3)=0,"",IF(AND(COUNT(H148:H159)=2,COUNT(F148:F159)=2),cubic_spline(F147:F149,H147:H149,B$3),IF(AND(COUNT(H148:H159)=3,COUNT(F148:F159)=3),cubic_spline(F147:F150,H147:H150,B$3),IF(AND(COUNT(H148:H159)=4,COUNT(F148:F159)=4),cubic_spline(F147:F151,H147:H151,B$3),IF(AND(COUNT(H148:H159)=5,COUNT(F148:F159)=5),cubic_spline(F147:F152,H147:H152,B$3),IF(AND(COUNT(H148:H159)=6,COUNT(F148:F159)=6),cubic_spline(F147:F153,H147:H153,B$3),IF(AND(COUNT(H148:H159)=7,COUNT(F148:F159)=7),cubic_spline(F147:F154,H147:H154,B$3),IF(AND(COUNT(H148:H159)=8,COUNT(F148:F159)=8),cubic_spline(F147:F155,H147:H155,B$3),IF(AND(COUNT(H148:H159)=9,COUNT(F148:F159)=9),cubic_spline(F147:F156,H147:H156,B$3),IF(AND(COUNT(H148:H159)=10,COUNT(F148:F159)=10),cubic_spline(F147:F157,H147:H157,B$3),IF(AND(COUNT(H148:H159)=11,COUNT(F148:F159)=11),cubic_spline(F147:F158,H147:H158,B$3),IF(AND(COUNT(H148:H159)=12,COUNT(F148:F159)=12),cubic_spline(F147:F159,H147:H159,B$3),""))))))))))))</f>
        <v/>
      </c>
      <c r="K149" s="52" t="str">
        <f>IF(N(B$3)=0,"",IF(AND(COUNT(A148:A159)=2,COUNT(F148:F159)=2),cubic_spline(F147:F149,A147:A149,B$3),IF(AND(COUNT(A148:A159)=3,COUNT(F148:F159)=3),cubic_spline(F147:F150,A147:A150,B$3),IF(AND(COUNT(A148:A159)=4,COUNT(F148:F159)=4),cubic_spline(F147:F151,A147:A151,B$3),IF(AND(COUNT(A148:A159)=5,COUNT(F148:F159)=5),cubic_spline(F147:F152,A147:A152,B$3),IF(AND(COUNT(A148:A159)=6,COUNT(F148:F159)=6),cubic_spline(F147:F153,A147:A153,B$3),IF(AND(COUNT(A148:A159)=7,COUNT(F148:F159)=7),cubic_spline(F147:F154,A147:A154,B$3),IF(AND(COUNT(A148:A159)=8,COUNT(F148:F159)=8),cubic_spline(F147:F155,A147:A155,B$3),IF(AND(COUNT(A148:A159)=9,COUNT(F148:F159)=9),cubic_spline(F147:F156,A147:A156,B$3),IF(AND(COUNT(A148:A159)=10,COUNT(F148:F159)=10),cubic_spline(F147:F157,A147:A157,B$3),IF(AND(COUNT(A148:A159)=11,COUNT(F148:F159)=11),cubic_spline(F147:F158,A147:A158,B$3),IF(AND(COUNT(A148:A159)=12,COUNT(F148:F159)=12),cubic_spline(F147:F159,A147:A159,B$3),""))))))))))))</f>
        <v/>
      </c>
      <c r="L149" s="27" t="str">
        <f>IF(I149="","",B$2&amp;"-"&amp;B$3)</f>
        <v/>
      </c>
      <c r="M149" s="52" t="str">
        <f>IF(N(J149)=0,"",J149-J148)</f>
        <v/>
      </c>
    </row>
    <row r="150" spans="1:13" x14ac:dyDescent="0.35">
      <c r="A150" s="48"/>
      <c r="B150" s="48"/>
      <c r="C150" s="50"/>
      <c r="D150" s="50"/>
      <c r="E150" s="51" t="str">
        <f t="shared" si="53"/>
        <v/>
      </c>
      <c r="F150" s="68" t="str">
        <f t="shared" si="51"/>
        <v/>
      </c>
      <c r="G150" s="69" t="str">
        <f t="shared" si="54"/>
        <v/>
      </c>
      <c r="H150" s="70" t="str">
        <f t="shared" si="52"/>
        <v/>
      </c>
      <c r="I150" s="27" t="str">
        <f>IF(N(J150)=0,"",0&amp;"-"&amp;B$4)</f>
        <v/>
      </c>
      <c r="J150" s="52" t="str">
        <f>IF(N(B$4)=0,"",IF(AND(COUNT(H148:H159)=2,COUNT(F148:F159)=2),cubic_spline(F147:F149,H147:H149,B$4),IF(AND(COUNT(H148:H159)=3,COUNT(F148:F159)=3),cubic_spline(F147:F150,H147:H150,B$4),IF(AND(COUNT(H148:H159)=4,COUNT(F148:F159)=4),cubic_spline(F147:F151,H147:H151,B$4),IF(AND(COUNT(H148:H159)=5,COUNT(F148:F159)=5),cubic_spline(F147:F152,H147:H152,B$4),IF(AND(COUNT(H148:H159)=6,COUNT(F148:F159)=6),cubic_spline(F147:F153,H147:H153,B$4),IF(AND(COUNT(H148:H159)=7,COUNT(F148:F159)=7),cubic_spline(F147:F154,H147:H154,B$4),IF(AND(COUNT(H148:H159)=8,COUNT(F148:F159)=8),cubic_spline(F147:F155,H147:H155,B$4),IF(AND(COUNT(H148:H159)=9,COUNT(F148:F159)=9),cubic_spline(F147:F156,H147:H156,B$4),IF(AND(COUNT(H148:H159)=10,COUNT(F148:F159)=10),cubic_spline(F147:F157,H147:H157,B$4),IF(AND(COUNT(H148:H159)=11,COUNT(F148:F159)=11),cubic_spline(F147:F158,H147:H158,B$4),IF(AND(COUNT(H148:H159)=12,COUNT(F148:F159)=12),cubic_spline(F147:F159,H147:H159,B$4),""))))))))))))</f>
        <v/>
      </c>
      <c r="K150" s="52" t="str">
        <f>IF(N(B$4)=0,"",IF(AND(COUNT(A148:A159)=2,COUNT(F148:F159)=2),cubic_spline(F147:F149,A147:A149,B$4),IF(AND(COUNT(A148:A159)=3,COUNT(F148:F159)=3),cubic_spline(F147:F150,A147:A150,B$4),IF(AND(COUNT(A148:A159)=4,COUNT(F148:F159)=4),cubic_spline(F147:F151,A147:A151,B$4),IF(AND(COUNT(A148:A159)=5,COUNT(F148:F159)=5),cubic_spline(F147:F152,A147:A152,B$4),IF(AND(COUNT(A148:A159)=6,COUNT(F148:F159)=6),cubic_spline(F147:F153,A147:A153,B$4),IF(AND(COUNT(A148:A159)=7,COUNT(F148:F159)=7),cubic_spline(F147:F154,A147:A154,B$4),IF(AND(COUNT(A148:A159)=8,COUNT(F148:F159)=8),cubic_spline(F147:F155,A147:A155,B$4),IF(AND(COUNT(A148:A159)=9,COUNT(F148:F159)=9),cubic_spline(F147:F156,A147:A156,B$4),IF(AND(COUNT(A148:A159)=10,COUNT(F148:F159)=10),cubic_spline(F147:F157,A147:A157,B$4),IF(AND(COUNT(A148:A159)=11,COUNT(F148:F159)=11),cubic_spline(F147:F158,A147:A158,B$4),IF(AND(COUNT(A148:A159)=12,COUNT(F148:F159)=12),cubic_spline(F147:F159,A147:A159,B$4),""))))))))))))</f>
        <v/>
      </c>
      <c r="L150" s="27" t="str">
        <f>IF(I150="","",B$3&amp;"-"&amp;B$4)</f>
        <v/>
      </c>
      <c r="M150" s="52" t="str">
        <f>IF(N(J150)=0,"",J150-J149)</f>
        <v/>
      </c>
    </row>
    <row r="151" spans="1:13" x14ac:dyDescent="0.35">
      <c r="A151" s="48"/>
      <c r="B151" s="48"/>
      <c r="C151" s="50"/>
      <c r="D151" s="50"/>
      <c r="E151" s="51" t="str">
        <f t="shared" si="53"/>
        <v/>
      </c>
      <c r="F151" s="68" t="str">
        <f t="shared" si="51"/>
        <v/>
      </c>
      <c r="G151" s="69" t="str">
        <f t="shared" si="54"/>
        <v/>
      </c>
      <c r="H151" s="70" t="str">
        <f t="shared" si="52"/>
        <v/>
      </c>
      <c r="I151" s="27" t="str">
        <f>IF(N(J151)=0,"",0&amp;"-"&amp;B$5)</f>
        <v/>
      </c>
      <c r="J151" s="52" t="str">
        <f>IF(N(B$5)=0,"",IF(AND(COUNT(H148:H159)=2,COUNT(F148:F159)=2),cubic_spline(F147:F149,H147:H149,B$5),IF(AND(COUNT(H148:H159)=3,COUNT(F148:F159)=3),cubic_spline(F147:F150,H147:H150,B$5),IF(AND(COUNT(H148:H159)=4,COUNT(F148:F159)=4),cubic_spline(F147:F151,H147:H151,B$5),IF(AND(COUNT(H148:H159)=5,COUNT(F148:F159)=5),cubic_spline(F147:F152,H147:H152,B$5),IF(AND(COUNT(H148:H159)=6,COUNT(F148:F159)=6),cubic_spline(F147:F153,H147:H153,B$5),IF(AND(COUNT(H148:H159)=7,COUNT(F148:F159)=7),cubic_spline(F147:F154,H147:H154,B$5),IF(AND(COUNT(H148:H159)=8,COUNT(F148:F159)=8),cubic_spline(F147:F155,H147:H155,B$5),IF(AND(COUNT(H148:H159)=9,COUNT(F148:F159)=9),cubic_spline(F147:F156,H147:H156,B$5),IF(AND(COUNT(H148:H159)=10,COUNT(F148:F159)=10),cubic_spline(F147:F157,H147:H157,B$5),IF(AND(COUNT(H148:H159)=11,COUNT(F148:F159)=11),cubic_spline(F147:F158,H147:H158,B$5),IF(AND(COUNT(H148:H159)=12,COUNT(F148:F159)=12),cubic_spline(F147:F159,H147:H159,B$5),""))))))))))))</f>
        <v/>
      </c>
      <c r="K151" s="52" t="str">
        <f>IF(N(B$5)=0,"",IF(AND(COUNT(A148:A159)=2,COUNT(F148:F159)=2),cubic_spline(F147:F149,A147:A149,B$5),IF(AND(COUNT(A148:A159)=3,COUNT(F148:F159)=3),cubic_spline(F147:F150,A147:A150,B$5),IF(AND(COUNT(A148:A159)=4,COUNT(F148:F159)=4),cubic_spline(F147:F151,A147:A151,B$5),IF(AND(COUNT(A148:A159)=5,COUNT(F148:F159)=5),cubic_spline(F147:F152,A147:A152,B$5),IF(AND(COUNT(A148:A159)=6,COUNT(F148:F159)=6),cubic_spline(F147:F153,A147:A153,B$5),IF(AND(COUNT(A148:A159)=7,COUNT(F148:F159)=7),cubic_spline(F147:F154,A147:A154,B$5),IF(AND(COUNT(A148:A159)=8,COUNT(F148:F159)=8),cubic_spline(F147:F155,A147:A155,B$5),IF(AND(COUNT(A148:A159)=9,COUNT(F148:F159)=9),cubic_spline(F147:F156,A147:A156,B$5),IF(AND(COUNT(A148:A159)=10,COUNT(F148:F159)=10),cubic_spline(F147:F157,A147:A157,B$5),IF(AND(COUNT(A148:A159)=11,COUNT(F148:F159)=11),cubic_spline(F147:F158,A147:A158,B$5),IF(AND(COUNT(A148:A159)=12,COUNT(F148:F159)=12),cubic_spline(F147:F159,A147:A159,B$5),""))))))))))))</f>
        <v/>
      </c>
      <c r="L151" s="27" t="str">
        <f>IF(I151="","",B$4&amp;"-"&amp;B$5)</f>
        <v/>
      </c>
      <c r="M151" s="52" t="str">
        <f>IF(N(J151)=0,"",J151-J150)</f>
        <v/>
      </c>
    </row>
    <row r="152" spans="1:13" x14ac:dyDescent="0.35">
      <c r="A152" s="48"/>
      <c r="B152" s="48"/>
      <c r="C152" s="50"/>
      <c r="D152" s="50"/>
      <c r="E152" s="51" t="str">
        <f t="shared" si="53"/>
        <v/>
      </c>
      <c r="F152" s="71" t="str">
        <f t="shared" si="51"/>
        <v/>
      </c>
      <c r="G152" s="69" t="str">
        <f t="shared" si="54"/>
        <v/>
      </c>
      <c r="H152" s="70" t="str">
        <f t="shared" si="52"/>
        <v/>
      </c>
      <c r="I152" s="27" t="str">
        <f>IF(N(J152)=0,"",0&amp;"-"&amp;B$6)</f>
        <v/>
      </c>
      <c r="J152" s="52" t="str">
        <f>IF(N(B$6)=0,"",IF(AND(COUNT(H148:H159)=2,COUNT(F148:F159)=2),cubic_spline(F147:F149,H147:H149,B$6),IF(AND(COUNT(H148:H159)=3,COUNT(F148:F159)=3),cubic_spline(F147:F150,H147:H150,B$6),IF(AND(COUNT(H148:H159)=4,COUNT(F148:F159)=4),cubic_spline(F147:F151,H147:H151,B$6),IF(AND(COUNT(H148:H159)=5,COUNT(F148:F159)=5),cubic_spline(F147:F152,H147:H152,B$6),IF(AND(COUNT(H148:H159)=6,COUNT(F148:F159)=6),cubic_spline(F147:F153,H147:H153,B$6),IF(AND(COUNT(H148:H159)=7,COUNT(F148:F159)=7),cubic_spline(F147:F154,H147:H154,B$6),IF(AND(COUNT(H148:H159)=8,COUNT(F148:F159)=8),cubic_spline(F147:F155,H147:H155,B$6),IF(AND(COUNT(H148:H159)=9,COUNT(F148:F159)=9),cubic_spline(F147:F156,H147:H156,B$6),IF(AND(COUNT(H148:H159)=10,COUNT(F148:F159)=10),cubic_spline(F147:F157,H147:H157,B$6),IF(AND(COUNT(H148:H159)=11,COUNT(F148:F159)=11),cubic_spline(F147:F158,H147:H158,B$6),IF(AND(COUNT(H148:H159)=12,COUNT(F148:F159)=12),cubic_spline(F147:F159,H147:H159,B$6),""))))))))))))</f>
        <v/>
      </c>
      <c r="K152" s="52" t="str">
        <f>IF(N(B$6)=0,"",IF(AND(COUNT(A148:A159)=2,COUNT(F148:F159)=2),cubic_spline(F147:F149,A147:A149,B$6),IF(AND(COUNT(A148:A159)=3,COUNT(F148:F159)=3),cubic_spline(F147:F150,A147:A150,B$6),IF(AND(COUNT(A148:A159)=4,COUNT(F148:F159)=4),cubic_spline(F147:F151,A147:A151,B$6),IF(AND(COUNT(A148:A159)=5,COUNT(F148:F159)=5),cubic_spline(F147:F152,A147:A152,B$6),IF(AND(COUNT(A148:A159)=6,COUNT(F148:F159)=6),cubic_spline(F147:F153,A147:A153,B$6),IF(AND(COUNT(A148:A159)=7,COUNT(F148:F159)=7),cubic_spline(F147:F154,A147:A154,B$6),IF(AND(COUNT(A148:A159)=8,COUNT(F148:F159)=8),cubic_spline(F147:F155,A147:A155,B$6),IF(AND(COUNT(A148:A159)=9,COUNT(F148:F159)=9),cubic_spline(F147:F156,A147:A156,B$6),IF(AND(COUNT(A148:A159)=10,COUNT(F148:F159)=10),cubic_spline(F147:F157,A147:A157,B$6),IF(AND(COUNT(A148:A159)=11,COUNT(F148:F159)=11),cubic_spline(F147:F158,A147:A158,B$6),IF(AND(COUNT(A148:A159)=12,COUNT(F148:F159)=12),cubic_spline(F147:F159,A147:A159,B$6),""))))))))))))</f>
        <v/>
      </c>
      <c r="L152" s="27" t="str">
        <f>IF(I152="","",B$5&amp;"-"&amp;B$6)</f>
        <v/>
      </c>
      <c r="M152" s="52" t="str">
        <f>IF(N(J152)=0,"",J152-J151)</f>
        <v/>
      </c>
    </row>
    <row r="153" spans="1:13" x14ac:dyDescent="0.35">
      <c r="A153" s="48"/>
      <c r="B153" s="48"/>
      <c r="C153" s="50"/>
      <c r="D153" s="50"/>
      <c r="E153" s="51" t="str">
        <f t="shared" si="53"/>
        <v/>
      </c>
      <c r="F153" s="71" t="str">
        <f t="shared" si="51"/>
        <v/>
      </c>
      <c r="G153" s="69" t="str">
        <f t="shared" si="54"/>
        <v/>
      </c>
      <c r="H153" s="70" t="str">
        <f t="shared" si="52"/>
        <v/>
      </c>
      <c r="I153" s="27" t="str">
        <f>IF(N(J153)=0,"",0&amp;"-"&amp;B$7)</f>
        <v/>
      </c>
      <c r="J153" s="52" t="str">
        <f>IF(N(B$7)=0,"",IF(AND(COUNT(H148:H159)=2,COUNT(F148:F159)=2),cubic_spline(F147:F149,H147:H149,B$7),IF(AND(COUNT(H148:H159)=3,COUNT(F148:F159)=3),cubic_spline(F147:F150,H147:H150,B$7),IF(AND(COUNT(H148:H159)=4,COUNT(F148:F159)=4),cubic_spline(F147:F151,H147:H151,B$7),IF(AND(COUNT(H148:H159)=5,COUNT(F148:F159)=5),cubic_spline(F147:F152,H147:H152,B$7),IF(AND(COUNT(H148:H159)=6,COUNT(F148:F159)=6),cubic_spline(F147:F153,H147:H153,B$7),IF(AND(COUNT(H148:H159)=7,COUNT(F148:F159)=7),cubic_spline(F147:F154,H147:H154,B$7),IF(AND(COUNT(H148:H159)=8,COUNT(F148:F159)=8),cubic_spline(F147:F155,H147:H155,B$7),IF(AND(COUNT(H148:H159)=9,COUNT(F148:F159)=9),cubic_spline(F147:F156,H147:H156,B$7),IF(AND(COUNT(H148:H159)=10,COUNT(F148:F159)=10),cubic_spline(F147:F157,H147:H157,B$7),IF(AND(COUNT(H148:H159)=11,COUNT(F148:F159)=11),cubic_spline(F147:F158,H147:H158,B$7),IF(AND(COUNT(H148:H159)=12,COUNT(F148:F159)=12),cubic_spline(F147:F159,H147:H159,B$7),""))))))))))))</f>
        <v/>
      </c>
      <c r="K153" s="52" t="str">
        <f>IF(N(B$7)=0,"",IF(AND(COUNT(A148:A159)=2,COUNT(F148:F159)=2),cubic_spline(F147:F149,A147:A149,B$7),IF(AND(COUNT(A148:A159)=3,COUNT(F148:F159)=3),cubic_spline(F147:F150,A147:A150,B$7),IF(AND(COUNT(A148:A159)=4,COUNT(F148:F159)=4),cubic_spline(F147:F151,A147:A151,B$7),IF(AND(COUNT(A148:A159)=5,COUNT(F148:F159)=5),cubic_spline(F147:F152,A147:A152,B$7),IF(AND(COUNT(A148:A159)=6,COUNT(F148:F159)=6),cubic_spline(F147:F153,A147:A153,B$7),IF(AND(COUNT(A148:A159)=7,COUNT(F148:F159)=7),cubic_spline(F147:F154,A147:A154,B$7),IF(AND(COUNT(A148:A159)=8,COUNT(F148:F159)=8),cubic_spline(F147:F155,A147:A155,B$7),IF(AND(COUNT(A148:A159)=9,COUNT(F148:F159)=9),cubic_spline(F147:F156,A147:A156,B$7),IF(AND(COUNT(A148:A159)=10,COUNT(F148:F159)=10),cubic_spline(F147:F157,A147:A157,B$7),IF(AND(COUNT(A148:A159)=11,COUNT(F148:F159)=11),cubic_spline(F147:F158,A147:A158,B$7),IF(AND(COUNT(A148:A159)=12,COUNT(F148:F159)=12),cubic_spline(F147:F159,A147:A159,B$7),""))))))))))))</f>
        <v/>
      </c>
      <c r="L153" s="27" t="str">
        <f>IF(I153="","",B$6&amp;"-"&amp;B$7)</f>
        <v/>
      </c>
      <c r="M153" s="52" t="str">
        <f t="shared" ref="M153:M159" si="55">IF(N(J153)=0,"",J153-J152)</f>
        <v/>
      </c>
    </row>
    <row r="154" spans="1:13" x14ac:dyDescent="0.35">
      <c r="A154" s="48"/>
      <c r="B154" s="48"/>
      <c r="C154" s="50"/>
      <c r="D154" s="50"/>
      <c r="E154" s="51" t="str">
        <f t="shared" si="53"/>
        <v/>
      </c>
      <c r="F154" s="71" t="str">
        <f t="shared" si="51"/>
        <v/>
      </c>
      <c r="G154" s="69" t="str">
        <f t="shared" si="54"/>
        <v/>
      </c>
      <c r="H154" s="70" t="str">
        <f t="shared" si="52"/>
        <v/>
      </c>
      <c r="I154" s="27" t="str">
        <f>IF(N(J154)=0,"",0&amp;"-"&amp;B$8)</f>
        <v/>
      </c>
      <c r="J154" s="52" t="str">
        <f>IF(N(B$8)=0,"",IF(AND(COUNT(H148:H159)=2,COUNT(F148:F159)=2),cubic_spline(F147:F149,H147:H149,B$8),IF(AND(COUNT(H148:H159)=3,COUNT(F148:F159)=3),cubic_spline(F147:F150,H147:H150,B$8),IF(AND(COUNT(H148:H159)=4,COUNT(F148:F159)=4),cubic_spline(F147:F151,H147:H151,B$8),IF(AND(COUNT(H148:H159)=5,COUNT(F148:F159)=5),cubic_spline(F147:F152,H147:H152,B$8),IF(AND(COUNT(H148:H159)=6,COUNT(F148:F159)=6),cubic_spline(F147:F153,H147:H153,B$8),IF(AND(COUNT(H148:H159)=7,COUNT(F148:F159)=7),cubic_spline(F147:F154,H147:H154,B$8),IF(AND(COUNT(H148:H159)=8,COUNT(F148:F159)=8),cubic_spline(F147:F155,H147:H155,B$8),IF(AND(COUNT(H148:H159)=9,COUNT(F148:F159)=9),cubic_spline(F147:F156,H147:H156,B$8),IF(AND(COUNT(H148:H159)=10,COUNT(F148:F159)=10),cubic_spline(F147:F157,H147:H157,B$8),IF(AND(COUNT(H148:H159)=11,COUNT(F148:F159)=11),cubic_spline(F147:F158,H147:H158,B$8),IF(AND(COUNT(H148:H159)=12,COUNT(F148:F159)=12),cubic_spline(F147:F159,H147:H159,B$8),""))))))))))))</f>
        <v/>
      </c>
      <c r="K154" s="52" t="str">
        <f>IF(N(B$8)=0,"",IF(AND(COUNT(A148:A159)=2,COUNT(F148:F159)=2),cubic_spline(F147:F149,A147:A149,B$8),IF(AND(COUNT(A148:A159)=3,COUNT(F148:F159)=3),cubic_spline(F147:F150,A147:A150,B$8),IF(AND(COUNT(A148:A159)=4,COUNT(F148:F159)=4),cubic_spline(F147:F151,A147:A151,B$8),IF(AND(COUNT(A148:A159)=5,COUNT(F148:F159)=5),cubic_spline(F147:F152,A147:A152,B$8),IF(AND(COUNT(A148:A159)=6,COUNT(F148:F159)=6),cubic_spline(F147:F153,A147:A153,B$8),IF(AND(COUNT(A148:A159)=7,COUNT(F148:F159)=7),cubic_spline(F147:F154,A147:A154,B$8),IF(AND(COUNT(A148:A159)=8,COUNT(F148:F159)=8),cubic_spline(F147:F155,A147:A155,B$8),IF(AND(COUNT(A148:A159)=9,COUNT(F148:F159)=9),cubic_spline(F147:F156,A147:A156,B$8),IF(AND(COUNT(A148:A159)=10,COUNT(F148:F159)=10),cubic_spline(F147:F157,A147:A157,B$8),IF(AND(COUNT(A148:A159)=11,COUNT(F148:F159)=11),cubic_spline(F147:F158,A147:A158,B$8),IF(AND(COUNT(A148:A159)=12,COUNT(F148:F159)=12),cubic_spline(F147:F159,A147:A159,B$8),""))))))))))))</f>
        <v/>
      </c>
      <c r="L154" s="27" t="str">
        <f>IF(I154="","",B$7&amp;"-"&amp;B$8)</f>
        <v/>
      </c>
      <c r="M154" s="52" t="str">
        <f t="shared" si="55"/>
        <v/>
      </c>
    </row>
    <row r="155" spans="1:13" x14ac:dyDescent="0.35">
      <c r="A155" s="48"/>
      <c r="B155" s="48"/>
      <c r="C155" s="50"/>
      <c r="D155" s="50"/>
      <c r="E155" s="51" t="str">
        <f t="shared" si="53"/>
        <v/>
      </c>
      <c r="F155" s="71" t="str">
        <f t="shared" si="51"/>
        <v/>
      </c>
      <c r="G155" s="69" t="str">
        <f t="shared" si="54"/>
        <v/>
      </c>
      <c r="H155" s="70" t="str">
        <f t="shared" si="52"/>
        <v/>
      </c>
      <c r="I155" s="27" t="str">
        <f>IF(N(J155)=0,"",0&amp;"-"&amp;B$9)</f>
        <v/>
      </c>
      <c r="J155" s="52" t="str">
        <f>IF(N(B$9)=0,"",IF(AND(COUNT(H148:H159)=2,COUNT(F148:F159)=2),cubic_spline(F147:F149,H147:H149,B$9),IF(AND(COUNT(H148:H159)=3,COUNT(F148:F159)=3),cubic_spline(F147:F150,H147:H150,B$9),IF(AND(COUNT(H148:H159)=4,COUNT(F148:F159)=4),cubic_spline(F147:F151,H147:H151,B$9),IF(AND(COUNT(H148:H159)=5,COUNT(F148:F159)=5),cubic_spline(F147:F152,H147:H152,B$9),IF(AND(COUNT(H148:H159)=6,COUNT(F148:F159)=6),cubic_spline(F147:F153,H147:H153,B$9),IF(AND(COUNT(H148:H159)=7,COUNT(F148:F159)=7),cubic_spline(F147:F154,H147:H154,B$9),IF(AND(COUNT(H148:H159)=8,COUNT(F148:F159)=8),cubic_spline(F147:F155,H147:H155,B$9),IF(AND(COUNT(H148:H159)=9,COUNT(F148:F159)=9),cubic_spline(F147:F156,H147:H156,B$9),IF(AND(COUNT(H148:H159)=10,COUNT(F148:F159)=10),cubic_spline(F147:F157,H147:H157,B$9),IF(AND(COUNT(H148:H159)=11,COUNT(F148:F159)=11),cubic_spline(F147:F158,H147:H158,B$9),IF(AND(COUNT(H148:H159)=12,COUNT(F148:F159)=12),cubic_spline(F147:F159,H147:H159,B$9),""))))))))))))</f>
        <v/>
      </c>
      <c r="K155" s="52" t="str">
        <f>IF(N(B$9)=0,"",IF(AND(COUNT(A148:A159)=2,COUNT(F148:F159)=2),cubic_spline(F147:F149,A147:A149,B$9),IF(AND(COUNT(A148:A159)=3,COUNT(F148:F159)=3),cubic_spline(F147:F150,A147:A150,B$9),IF(AND(COUNT(A148:A159)=4,COUNT(F148:F159)=4),cubic_spline(F147:F151,A147:A151,B$9),IF(AND(COUNT(A148:A159)=5,COUNT(F148:F159)=5),cubic_spline(F147:F152,A147:A152,B$9),IF(AND(COUNT(A148:A159)=6,COUNT(F148:F159)=6),cubic_spline(F147:F153,A147:A153,B$9),IF(AND(COUNT(A148:A159)=7,COUNT(F148:F159)=7),cubic_spline(F147:F154,A147:A154,B$9),IF(AND(COUNT(A148:A159)=8,COUNT(F148:F159)=8),cubic_spline(F147:F155,A147:A155,B$9),IF(AND(COUNT(A148:A159)=9,COUNT(F148:F159)=9),cubic_spline(F147:F156,A147:A156,B$9),IF(AND(COUNT(A148:A159)=10,COUNT(F148:F159)=10),cubic_spline(F147:F157,A147:A157,B$9),IF(AND(COUNT(A148:A159)=11,COUNT(F148:F159)=11),cubic_spline(F147:F158,A147:A158,B$9),IF(AND(COUNT(A148:A159)=12,COUNT(F148:F159)=12),cubic_spline(F147:F159,A147:A159,B$9),""))))))))))))</f>
        <v/>
      </c>
      <c r="L155" s="27" t="str">
        <f>IF(I155="","",B$8&amp;"-"&amp;B$9)</f>
        <v/>
      </c>
      <c r="M155" s="52" t="str">
        <f t="shared" si="55"/>
        <v/>
      </c>
    </row>
    <row r="156" spans="1:13" x14ac:dyDescent="0.35">
      <c r="A156" s="48"/>
      <c r="B156" s="48"/>
      <c r="C156" s="50"/>
      <c r="D156" s="50"/>
      <c r="E156" s="51" t="str">
        <f t="shared" si="53"/>
        <v/>
      </c>
      <c r="F156" s="71" t="str">
        <f t="shared" si="51"/>
        <v/>
      </c>
      <c r="G156" s="69" t="str">
        <f t="shared" si="54"/>
        <v/>
      </c>
      <c r="H156" s="70" t="str">
        <f t="shared" si="52"/>
        <v/>
      </c>
      <c r="I156" s="27" t="str">
        <f>IF(N(J156)=0,"",0&amp;"-"&amp;B$10)</f>
        <v/>
      </c>
      <c r="J156" s="52" t="str">
        <f>IF(N(B$10)=0,"",IF(AND(COUNT(H148:H159)=2,COUNT(F148:F159)=2),cubic_spline(F147:F149,H147:H149,B$10),IF(AND(COUNT(H148:H159)=3,COUNT(F148:F159)=3),cubic_spline(F147:F150,H147:H150,B$10),IF(AND(COUNT(H148:H159)=4,COUNT(F148:F159)=4),cubic_spline(F147:F151,H147:H151,B$10),IF(AND(COUNT(H148:H159)=5,COUNT(F148:F159)=5),cubic_spline(F147:F152,H147:H152,B$10),IF(AND(COUNT(H148:H159)=6,COUNT(F148:F159)=6),cubic_spline(F147:F153,H147:H153,B$10),IF(AND(COUNT(H148:H159)=7,COUNT(F148:F159)=7),cubic_spline(F147:F154,H147:H154,B$10),IF(AND(COUNT(H148:H159)=8,COUNT(F148:F159)=8),cubic_spline(F147:F155,H147:H155,B$10),IF(AND(COUNT(H148:H159)=9,COUNT(F148:F159)=9),cubic_spline(F147:F156,H147:H156,B$10),IF(AND(COUNT(H148:H159)=10,COUNT(F148:F159)=10),cubic_spline(F147:F157,H147:H157,B$10),IF(AND(COUNT(H148:H159)=11,COUNT(F148:F159)=11),cubic_spline(F147:F158,H147:H158,B$10),IF(AND(COUNT(H148:H159)=12,COUNT(F148:F159)=12),cubic_spline(F147:F159,H147:H159,B$10),""))))))))))))</f>
        <v/>
      </c>
      <c r="K156" s="52" t="str">
        <f>IF(N(B$10)=0,"",IF(AND(COUNT(A148:A159)=2,COUNT(F148:F159)=2),cubic_spline(F147:F149,A147:A149,B$10),IF(AND(COUNT(A148:A159)=3,COUNT(F148:F159)=3),cubic_spline(F147:F150,A147:A150,B$10),IF(AND(COUNT(A148:A159)=4,COUNT(F148:F159)=4),cubic_spline(F147:F151,A147:A151,B$10),IF(AND(COUNT(A148:A159)=5,COUNT(F148:F159)=5),cubic_spline(F147:F152,A147:A152,B$10),IF(AND(COUNT(A148:A159)=6,COUNT(F148:F159)=6),cubic_spline(F147:F153,A147:A153,B$10),IF(AND(COUNT(A148:A159)=7,COUNT(F148:F159)=7),cubic_spline(F147:F154,A147:A154,B$10),IF(AND(COUNT(A148:A159)=8,COUNT(F148:F159)=8),cubic_spline(F147:F155,A147:A155,B$10),IF(AND(COUNT(A148:A159)=9,COUNT(F148:F159)=9),cubic_spline(F147:F156,A147:A156,B$10),IF(AND(COUNT(A148:A159)=10,COUNT(F148:F159)=10),cubic_spline(F147:F157,A147:A157,B$10),IF(AND(COUNT(A148:A159)=11,COUNT(F148:F159)=11),cubic_spline(F147:F158,A147:A158,B$10),IF(AND(COUNT(A148:A159)=12,COUNT(F148:F159)=12),cubic_spline(F147:F159,A147:A159,B$10),""))))))))))))</f>
        <v/>
      </c>
      <c r="L156" s="27" t="str">
        <f>IF(I156="","",B$9&amp;"-"&amp;B$10)</f>
        <v/>
      </c>
      <c r="M156" s="52" t="str">
        <f t="shared" si="55"/>
        <v/>
      </c>
    </row>
    <row r="157" spans="1:13" x14ac:dyDescent="0.35">
      <c r="A157" s="48"/>
      <c r="B157" s="48"/>
      <c r="C157" s="50"/>
      <c r="D157" s="50"/>
      <c r="E157" s="51" t="str">
        <f t="shared" si="53"/>
        <v/>
      </c>
      <c r="F157" s="71" t="str">
        <f t="shared" si="51"/>
        <v/>
      </c>
      <c r="G157" s="69" t="str">
        <f t="shared" si="54"/>
        <v/>
      </c>
      <c r="H157" s="70" t="str">
        <f t="shared" si="52"/>
        <v/>
      </c>
      <c r="I157" s="27" t="str">
        <f>IF(N(J157)=0,"",0&amp;"-"&amp;B$11)</f>
        <v/>
      </c>
      <c r="J157" s="52" t="str">
        <f>IF(N(B$11)=0,"",IF(AND(COUNT(H148:H159)=2,COUNT(F148:F159)=2),cubic_spline(F147:F149,H147:H149,B$11),IF(AND(COUNT(H148:H159)=3,COUNT(F148:F159)=3),cubic_spline(F147:F150,H147:H150,B$11),IF(AND(COUNT(H148:H159)=4,COUNT(F148:F159)=4),cubic_spline(F147:F151,H147:H151,B$11),IF(AND(COUNT(H148:H159)=5,COUNT(F148:F159)=5),cubic_spline(F147:F152,H147:H152,B$11),IF(AND(COUNT(H148:H159)=6,COUNT(F148:F159)=6),cubic_spline(F147:F153,H147:H153,B$11),IF(AND(COUNT(H148:H159)=7,COUNT(F148:F159)=7),cubic_spline(F147:F154,H147:H154,B$11),IF(AND(COUNT(H148:H159)=8,COUNT(F148:F159)=8),cubic_spline(F147:F155,H147:H155,B$11),IF(AND(COUNT(H148:H159)=9,COUNT(F148:F159)=9),cubic_spline(F147:F156,H147:H156,B$11),IF(AND(COUNT(H148:H159)=10,COUNT(F148:F159)=10),cubic_spline(F147:F157,H147:H157,B$11),IF(AND(COUNT(H148:H159)=11,COUNT(F148:F159)=11),cubic_spline(F147:F158,H147:H158,B$11),IF(AND(COUNT(H148:H159)=12,COUNT(F148:F159)=12),cubic_spline(F147:F159,H147:H159,B$11),""))))))))))))</f>
        <v/>
      </c>
      <c r="K157" s="52" t="str">
        <f>IF(N(B$11)=0,"",IF(AND(COUNT(A148:A159)=2,COUNT(F148:F159)=2),cubic_spline(F147:F149,A147:A149,B$11),IF(AND(COUNT(A148:A159)=3,COUNT(F148:F159)=3),cubic_spline(F147:F150,A147:A150,B$11),IF(AND(COUNT(A148:A159)=4,COUNT(F148:F159)=4),cubic_spline(F147:F151,A147:A151,B$11),IF(AND(COUNT(A148:A159)=5,COUNT(F148:F159)=5),cubic_spline(F147:F152,A147:A152,B$11),IF(AND(COUNT(A148:A159)=6,COUNT(F148:F159)=6),cubic_spline(F147:F153,A147:A153,B$11),IF(AND(COUNT(A148:A159)=7,COUNT(F148:F159)=7),cubic_spline(F147:F154,A147:A154,B$11),IF(AND(COUNT(A148:A159)=8,COUNT(F148:F159)=8),cubic_spline(F147:F155,A147:A155,B$11),IF(AND(COUNT(A148:A159)=9,COUNT(F148:F159)=9),cubic_spline(F147:F156,A147:A156,B$11),IF(AND(COUNT(A148:A159)=10,COUNT(F148:F159)=10),cubic_spline(F147:F157,A147:A157,B$11),IF(AND(COUNT(A148:A159)=11,COUNT(F148:F159)=11),cubic_spline(F147:F158,A147:A158,B$11),IF(AND(COUNT(A148:A159)=12,COUNT(F148:F159)=12),cubic_spline(F147:F159,A147:A159,B$11),""))))))))))))</f>
        <v/>
      </c>
      <c r="L157" s="27" t="str">
        <f>IF(I157="","",B$10&amp;"-"&amp;B$11)</f>
        <v/>
      </c>
      <c r="M157" s="52" t="str">
        <f t="shared" si="55"/>
        <v/>
      </c>
    </row>
    <row r="158" spans="1:13" x14ac:dyDescent="0.35">
      <c r="A158" s="48"/>
      <c r="B158" s="48"/>
      <c r="C158" s="50"/>
      <c r="D158" s="50"/>
      <c r="E158" s="51" t="str">
        <f t="shared" si="53"/>
        <v/>
      </c>
      <c r="F158" s="71" t="str">
        <f t="shared" si="51"/>
        <v/>
      </c>
      <c r="G158" s="69" t="str">
        <f t="shared" si="54"/>
        <v/>
      </c>
      <c r="H158" s="70" t="str">
        <f t="shared" si="52"/>
        <v/>
      </c>
      <c r="I158" s="27" t="str">
        <f>IF(N(J158)=0,"",0&amp;"-"&amp;B$12)</f>
        <v/>
      </c>
      <c r="J158" s="52" t="str">
        <f>IF(N(B$12)=0,"",IF(AND(COUNT(H148:H159)=2,COUNT(F148:F159)=2),cubic_spline(F147:F149,H147:H149,B$12),IF(AND(COUNT(H148:H159)=3,COUNT(F148:F159)=3),cubic_spline(F147:F150,H147:H150,B$12),IF(AND(COUNT(H148:H159)=4,COUNT(F148:F159)=4),cubic_spline(F147:F151,H147:H151,B$12),IF(AND(COUNT(H148:H159)=5,COUNT(F148:F159)=5),cubic_spline(F147:F152,H147:H152,B$12),IF(AND(COUNT(H148:H159)=6,COUNT(F148:F159)=6),cubic_spline(F147:F153,H147:H153,B$12),IF(AND(COUNT(H148:H159)=7,COUNT(F148:F159)=7),cubic_spline(F147:F154,H147:H154,B$12),IF(AND(COUNT(H148:H159)=8,COUNT(F148:F159)=8),cubic_spline(F147:F155,H147:H155,B$12),IF(AND(COUNT(H148:H159)=9,COUNT(F148:F159)=9),cubic_spline(F147:F156,H147:H156,B$12),IF(AND(COUNT(H148:H159)=10,COUNT(F148:F159)=10),cubic_spline(F147:F157,H147:H157,B$12),IF(AND(COUNT(H148:H159)=11,COUNT(F148:F159)=11),cubic_spline(F147:F158,H147:H158,B$12),IF(AND(COUNT(H148:H159)=12,COUNT(F148:F159)=12),cubic_spline(F147:F159,H147:H159,B$12),""))))))))))))</f>
        <v/>
      </c>
      <c r="K158" s="52" t="str">
        <f>IF(N(B$12)=0,"",IF(AND(COUNT(A148:A159)=2,COUNT(F148:F159)=2),cubic_spline(F147:F149,A147:A149,B$12),IF(AND(COUNT(A148:A159)=3,COUNT(F148:F159)=3),cubic_spline(F147:F150,A147:A150,B$12),IF(AND(COUNT(A148:A159)=4,COUNT(F148:F159)=4),cubic_spline(F147:F151,A147:A151,B$12),IF(AND(COUNT(A148:A159)=5,COUNT(F148:F159)=5),cubic_spline(F147:F152,A147:A152,B$12),IF(AND(COUNT(A148:A159)=6,COUNT(F148:F159)=6),cubic_spline(F147:F153,A147:A153,B$12),IF(AND(COUNT(A148:A159)=7,COUNT(F148:F159)=7),cubic_spline(F147:F154,A147:A154,B$12),IF(AND(COUNT(A148:A159)=8,COUNT(F148:F159)=8),cubic_spline(F147:F155,A147:A155,B$12),IF(AND(COUNT(A148:A159)=9,COUNT(F148:F159)=9),cubic_spline(F147:F156,A147:A156,B$12),IF(AND(COUNT(A148:A159)=10,COUNT(F148:F159)=10),cubic_spline(F147:F157,A147:A157,B$12),IF(AND(COUNT(A148:A159)=11,COUNT(F148:F159)=11),cubic_spline(F147:F158,A147:A158,B$12),IF(AND(COUNT(A148:A159)=12,COUNT(F148:F159)=12),cubic_spline(F147:F159,A147:A159,B$12),""))))))))))))</f>
        <v/>
      </c>
      <c r="L158" s="27" t="str">
        <f>IF(I158="","",B$11&amp;"-"&amp;B$12)</f>
        <v/>
      </c>
      <c r="M158" s="52" t="str">
        <f t="shared" si="55"/>
        <v/>
      </c>
    </row>
    <row r="159" spans="1:13" x14ac:dyDescent="0.35">
      <c r="A159" s="48"/>
      <c r="B159" s="48"/>
      <c r="C159" s="50"/>
      <c r="D159" s="50"/>
      <c r="E159" s="51" t="str">
        <f t="shared" si="53"/>
        <v/>
      </c>
      <c r="F159" s="71" t="str">
        <f t="shared" si="51"/>
        <v/>
      </c>
      <c r="G159" s="69" t="str">
        <f t="shared" si="54"/>
        <v/>
      </c>
      <c r="H159" s="70" t="str">
        <f t="shared" si="52"/>
        <v/>
      </c>
      <c r="I159" s="27" t="str">
        <f>IF(N(J159)=0,"",0&amp;"-"&amp;B$13)</f>
        <v/>
      </c>
      <c r="J159" s="52" t="str">
        <f>IF(N(B$13)=0,"",IF(AND(COUNT(H148:H159)=2,COUNT(F148:F159)=2),cubic_spline(F147:F149,H147:H149,B$13),IF(AND(COUNT(H148:H159)=3,COUNT(F148:F159)=3),cubic_spline(F147:F150,H147:H150,B$13),IF(AND(COUNT(H148:H159)=4,COUNT(F148:F159)=4),cubic_spline(F147:F151,H147:H151,B$13),IF(AND(COUNT(H148:H159)=5,COUNT(F148:F159)=5),cubic_spline(F147:F152,H147:H152,B$13),IF(AND(COUNT(H148:H159)=6,COUNT(F148:F159)=6),cubic_spline(F147:F153,H147:H153,B$13),IF(AND(COUNT(H148:H159)=7,COUNT(F148:F159)=7),cubic_spline(F147:F154,H147:H154,B$13),IF(AND(COUNT(H148:H159)=8,COUNT(F148:F159)=8),cubic_spline(F147:F155,H147:H155,B$13),IF(AND(COUNT(H148:H159)=9,COUNT(F148:F159)=9),cubic_spline(F147:F156,H147:H156,B$13),IF(AND(COUNT(H148:H159)=10,COUNT(F148:F159)=10),cubic_spline(F147:F157,H147:H157,B$13),IF(AND(COUNT(H148:H159)=11,COUNT(F148:F159)=11),cubic_spline(F147:F158,H147:H158,B$13),IF(AND(COUNT(H148:H159)=12,COUNT(F148:F159)=12),cubic_spline(F147:F159,H147:H159,B$13),""))))))))))))</f>
        <v/>
      </c>
      <c r="K159" s="52" t="str">
        <f>IF(N(B$13)=0,"",IF(AND(COUNT(A148:A159)=2,COUNT(F148:F159)=2),cubic_spline(F147:F149,A147:A149,B$13),IF(AND(COUNT(A148:A159)=3,COUNT(F148:F159)=3),cubic_spline(F147:F150,A147:A150,B$13),IF(AND(COUNT(A148:A159)=4,COUNT(F148:F159)=4),cubic_spline(F147:F151,A147:A151,B$13),IF(AND(COUNT(A148:A159)=5,COUNT(F148:F159)=5),cubic_spline(F147:F152,A147:A152,B$13),IF(AND(COUNT(A148:A159)=6,COUNT(F148:F159)=6),cubic_spline(F147:F153,A147:A153,B$13),IF(AND(COUNT(A148:A159)=7,COUNT(F148:F159)=7),cubic_spline(F147:F154,A147:A154,B$13),IF(AND(COUNT(A148:A159)=8,COUNT(F148:F159)=8),cubic_spline(F147:F155,A147:A155,B$13),IF(AND(COUNT(A148:A159)=9,COUNT(F148:F159)=9),cubic_spline(F147:F156,A147:A156,B$13),IF(AND(COUNT(A148:A159)=10,COUNT(F148:F159)=10),cubic_spline(F147:F157,A147:A157,B$13),IF(AND(COUNT(A148:A159)=11,COUNT(F148:F159)=11),cubic_spline(F147:F158,A147:A158,B$13),IF(AND(COUNT(A148:A159)=12,COUNT(F148:F159)=12),cubic_spline(F147:F159,A147:A159,B$13),""))))))))))))</f>
        <v/>
      </c>
      <c r="L159" s="27" t="str">
        <f>IF(I159="","",B$12&amp;"-"&amp;B$13)</f>
        <v/>
      </c>
      <c r="M159" s="52" t="str">
        <f t="shared" si="55"/>
        <v/>
      </c>
    </row>
    <row r="160" spans="1:13" ht="5.15" customHeight="1" x14ac:dyDescent="0.35">
      <c r="A160" s="47"/>
      <c r="B160" s="47"/>
      <c r="C160" s="53"/>
      <c r="D160" s="53"/>
      <c r="E160" s="54"/>
      <c r="F160" s="55"/>
      <c r="G160" s="72"/>
      <c r="H160" s="73"/>
      <c r="I160" s="47"/>
      <c r="J160" s="57"/>
      <c r="K160" s="57"/>
      <c r="L160" s="55"/>
      <c r="M160" s="57"/>
    </row>
    <row r="161" spans="1:13" x14ac:dyDescent="0.35">
      <c r="A161" s="48"/>
      <c r="B161" s="48"/>
      <c r="C161" s="50"/>
      <c r="D161" s="50"/>
      <c r="E161" s="51" t="str">
        <f>IF(N(C161)=0,"",(A161-A160)*C161*100)</f>
        <v/>
      </c>
      <c r="F161" s="68" t="str">
        <f t="shared" ref="F161:F172" si="56">IF(N(E161)=0,"",(N(E161)+N(F160)))</f>
        <v/>
      </c>
      <c r="G161" s="69" t="str">
        <f>IF(OR(N(D161)=0,N(E161)=0),"",(E161*D161)/1000)</f>
        <v/>
      </c>
      <c r="H161" s="70" t="str">
        <f t="shared" ref="H161:H172" si="57">IF(N(G161)=0,"",(N(G161)+N(H160)))</f>
        <v/>
      </c>
      <c r="I161" s="27" t="str">
        <f>IF(N(J161)=0,"",0&amp;"-"&amp;B$2)</f>
        <v/>
      </c>
      <c r="J161" s="52" t="str">
        <f>IF(N(B$2)=0,"",IF(AND(COUNT(H161:H172)=2,COUNT(F161:F172)=2),cubic_spline(F160:F162,H160:H162,B$2),IF(AND(COUNT(H161:H172)=3,COUNT(F161:F172)=3),cubic_spline(F160:F163,H160:H163,B$2),IF(AND(COUNT(H161:H172)=4,COUNT(F161:F172)=4),cubic_spline(F160:F164,H160:H164,B$2),IF(AND(COUNT(H161:H172)=5,COUNT(F161:F172)=5),cubic_spline(F160:F165,H160:H165,B$2),IF(AND(COUNT(H161:H172)=6,COUNT(F161:F172)=6),cubic_spline(F160:F166,H160:H166,B$2),IF(AND(COUNT(H161:H172)=7,COUNT(F161:F172)=7),cubic_spline(F160:F167,H160:H167,B$2),IF(AND(COUNT(H161:H172)=8,COUNT(F161:F172)=8),cubic_spline(F160:F168,H160:H168,B$2),IF(AND(COUNT(H161:H172)=9,COUNT(F161:F172)=9),cubic_spline(F160:F169,H160:H169,B$2),IF(AND(COUNT(H161:H172)=10,COUNT(F161:F172)=10),cubic_spline(F160:F170,H160:H170,B$2),IF(AND(COUNT(H161:H172)=11,COUNT(F161:F172)=11),cubic_spline(F160:F171,H160:H171,B$2),IF(AND(COUNT(H161:H172)=12,COUNT(F161:F172)=12),cubic_spline(F160:F172,H160:H172,B$2),""))))))))))))</f>
        <v/>
      </c>
      <c r="K161" s="52" t="str">
        <f>IF(N(B$2)=0,"",IF(AND(COUNT(A161:A172)=2,COUNT(F161:F172)=2),cubic_spline(F160:F162,A160:A162,B$2),IF(AND(COUNT(A161:A172)=3,COUNT(F161:F172)=3),cubic_spline(F160:F163,A160:A163,B$2),IF(AND(COUNT(A161:A172)=4,COUNT(F161:F172)=4),cubic_spline(F160:F164,A160:A164,B$2),IF(AND(COUNT(A161:A172)=5,COUNT(F161:F172)=5),cubic_spline(F160:F165,A160:A165,B$2),IF(AND(COUNT(A161:A172)=6,COUNT(F161:F172)=6),cubic_spline(F160:F166,A160:A166,B$2),IF(AND(COUNT(A161:A172)=7,COUNT(F161:F172)=7),cubic_spline(F160:F167,A160:A167,B$2),IF(AND(COUNT(A161:A172)=8,COUNT(F161:F172)=8),cubic_spline(F160:F168,A160:A168,B$2),IF(AND(COUNT(A161:A172)=9,COUNT(F161:F172)=9),cubic_spline(F160:F169,A160:A169,B$2),IF(AND(COUNT(A161:A172)=10,COUNT(F161:F172)=10),cubic_spline(F160:F170,A160:A170,B$2),IF(AND(COUNT(A161:A172)=11,COUNT(F161:F172)=11),cubic_spline(F160:F171,A160:A171,B$2),IF(AND(COUNT(A161:A172)=12,COUNT(F161:F172)=12),cubic_spline(F160:F172,A160:A172,B$2),""))))))))))))</f>
        <v/>
      </c>
      <c r="L161" s="27" t="str">
        <f>IF(I161="","",0&amp;"-"&amp;B$2)</f>
        <v/>
      </c>
      <c r="M161" s="52" t="str">
        <f>IF(N(J161)=0,"",J161-J160)</f>
        <v/>
      </c>
    </row>
    <row r="162" spans="1:13" x14ac:dyDescent="0.35">
      <c r="A162" s="48"/>
      <c r="B162" s="48"/>
      <c r="C162" s="50"/>
      <c r="D162" s="50"/>
      <c r="E162" s="51" t="str">
        <f t="shared" ref="E162:E172" si="58">IF(N(C162)=0,"",(A162-A161)*C162*100)</f>
        <v/>
      </c>
      <c r="F162" s="68" t="str">
        <f t="shared" si="56"/>
        <v/>
      </c>
      <c r="G162" s="69" t="str">
        <f t="shared" ref="G162:G172" si="59">IF(OR(N(D162)=0,N(E162)=0),"",(E162*D162)/1000)</f>
        <v/>
      </c>
      <c r="H162" s="70" t="str">
        <f t="shared" si="57"/>
        <v/>
      </c>
      <c r="I162" s="27" t="str">
        <f>IF(N(J162)=0,"",0&amp;"-"&amp;B$3)</f>
        <v/>
      </c>
      <c r="J162" s="52" t="str">
        <f>IF(N(B$3)=0,"",IF(AND(COUNT(H161:H172)=2,COUNT(F161:F172)=2),cubic_spline(F160:F162,H160:H162,B$3),IF(AND(COUNT(H161:H172)=3,COUNT(F161:F172)=3),cubic_spline(F160:F163,H160:H163,B$3),IF(AND(COUNT(H161:H172)=4,COUNT(F161:F172)=4),cubic_spline(F160:F164,H160:H164,B$3),IF(AND(COUNT(H161:H172)=5,COUNT(F161:F172)=5),cubic_spline(F160:F165,H160:H165,B$3),IF(AND(COUNT(H161:H172)=6,COUNT(F161:F172)=6),cubic_spline(F160:F166,H160:H166,B$3),IF(AND(COUNT(H161:H172)=7,COUNT(F161:F172)=7),cubic_spline(F160:F167,H160:H167,B$3),IF(AND(COUNT(H161:H172)=8,COUNT(F161:F172)=8),cubic_spline(F160:F168,H160:H168,B$3),IF(AND(COUNT(H161:H172)=9,COUNT(F161:F172)=9),cubic_spline(F160:F169,H160:H169,B$3),IF(AND(COUNT(H161:H172)=10,COUNT(F161:F172)=10),cubic_spline(F160:F170,H160:H170,B$3),IF(AND(COUNT(H161:H172)=11,COUNT(F161:F172)=11),cubic_spline(F160:F171,H160:H171,B$3),IF(AND(COUNT(H161:H172)=12,COUNT(F161:F172)=12),cubic_spline(F160:F172,H160:H172,B$3),""))))))))))))</f>
        <v/>
      </c>
      <c r="K162" s="52" t="str">
        <f>IF(N(B$3)=0,"",IF(AND(COUNT(A161:A172)=2,COUNT(F161:F172)=2),cubic_spline(F160:F162,A160:A162,B$3),IF(AND(COUNT(A161:A172)=3,COUNT(F161:F172)=3),cubic_spline(F160:F163,A160:A163,B$3),IF(AND(COUNT(A161:A172)=4,COUNT(F161:F172)=4),cubic_spline(F160:F164,A160:A164,B$3),IF(AND(COUNT(A161:A172)=5,COUNT(F161:F172)=5),cubic_spline(F160:F165,A160:A165,B$3),IF(AND(COUNT(A161:A172)=6,COUNT(F161:F172)=6),cubic_spline(F160:F166,A160:A166,B$3),IF(AND(COUNT(A161:A172)=7,COUNT(F161:F172)=7),cubic_spline(F160:F167,A160:A167,B$3),IF(AND(COUNT(A161:A172)=8,COUNT(F161:F172)=8),cubic_spline(F160:F168,A160:A168,B$3),IF(AND(COUNT(A161:A172)=9,COUNT(F161:F172)=9),cubic_spline(F160:F169,A160:A169,B$3),IF(AND(COUNT(A161:A172)=10,COUNT(F161:F172)=10),cubic_spline(F160:F170,A160:A170,B$3),IF(AND(COUNT(A161:A172)=11,COUNT(F161:F172)=11),cubic_spline(F160:F171,A160:A171,B$3),IF(AND(COUNT(A161:A172)=12,COUNT(F161:F172)=12),cubic_spline(F160:F172,A160:A172,B$3),""))))))))))))</f>
        <v/>
      </c>
      <c r="L162" s="27" t="str">
        <f>IF(I162="","",B$2&amp;"-"&amp;B$3)</f>
        <v/>
      </c>
      <c r="M162" s="52" t="str">
        <f>IF(N(J162)=0,"",J162-J161)</f>
        <v/>
      </c>
    </row>
    <row r="163" spans="1:13" x14ac:dyDescent="0.35">
      <c r="A163" s="48"/>
      <c r="B163" s="48"/>
      <c r="C163" s="50"/>
      <c r="D163" s="50"/>
      <c r="E163" s="51" t="str">
        <f t="shared" si="58"/>
        <v/>
      </c>
      <c r="F163" s="68" t="str">
        <f t="shared" si="56"/>
        <v/>
      </c>
      <c r="G163" s="69" t="str">
        <f t="shared" si="59"/>
        <v/>
      </c>
      <c r="H163" s="70" t="str">
        <f t="shared" si="57"/>
        <v/>
      </c>
      <c r="I163" s="27" t="str">
        <f>IF(N(J163)=0,"",0&amp;"-"&amp;B$4)</f>
        <v/>
      </c>
      <c r="J163" s="52" t="str">
        <f>IF(N(B$4)=0,"",IF(AND(COUNT(H161:H172)=2,COUNT(F161:F172)=2),cubic_spline(F160:F162,H160:H162,B$4),IF(AND(COUNT(H161:H172)=3,COUNT(F161:F172)=3),cubic_spline(F160:F163,H160:H163,B$4),IF(AND(COUNT(H161:H172)=4,COUNT(F161:F172)=4),cubic_spline(F160:F164,H160:H164,B$4),IF(AND(COUNT(H161:H172)=5,COUNT(F161:F172)=5),cubic_spline(F160:F165,H160:H165,B$4),IF(AND(COUNT(H161:H172)=6,COUNT(F161:F172)=6),cubic_spline(F160:F166,H160:H166,B$4),IF(AND(COUNT(H161:H172)=7,COUNT(F161:F172)=7),cubic_spline(F160:F167,H160:H167,B$4),IF(AND(COUNT(H161:H172)=8,COUNT(F161:F172)=8),cubic_spline(F160:F168,H160:H168,B$4),IF(AND(COUNT(H161:H172)=9,COUNT(F161:F172)=9),cubic_spline(F160:F169,H160:H169,B$4),IF(AND(COUNT(H161:H172)=10,COUNT(F161:F172)=10),cubic_spline(F160:F170,H160:H170,B$4),IF(AND(COUNT(H161:H172)=11,COUNT(F161:F172)=11),cubic_spline(F160:F171,H160:H171,B$4),IF(AND(COUNT(H161:H172)=12,COUNT(F161:F172)=12),cubic_spline(F160:F172,H160:H172,B$4),""))))))))))))</f>
        <v/>
      </c>
      <c r="K163" s="52" t="str">
        <f>IF(N(B$4)=0,"",IF(AND(COUNT(A161:A172)=2,COUNT(F161:F172)=2),cubic_spline(F160:F162,A160:A162,B$4),IF(AND(COUNT(A161:A172)=3,COUNT(F161:F172)=3),cubic_spline(F160:F163,A160:A163,B$4),IF(AND(COUNT(A161:A172)=4,COUNT(F161:F172)=4),cubic_spline(F160:F164,A160:A164,B$4),IF(AND(COUNT(A161:A172)=5,COUNT(F161:F172)=5),cubic_spline(F160:F165,A160:A165,B$4),IF(AND(COUNT(A161:A172)=6,COUNT(F161:F172)=6),cubic_spline(F160:F166,A160:A166,B$4),IF(AND(COUNT(A161:A172)=7,COUNT(F161:F172)=7),cubic_spline(F160:F167,A160:A167,B$4),IF(AND(COUNT(A161:A172)=8,COUNT(F161:F172)=8),cubic_spline(F160:F168,A160:A168,B$4),IF(AND(COUNT(A161:A172)=9,COUNT(F161:F172)=9),cubic_spline(F160:F169,A160:A169,B$4),IF(AND(COUNT(A161:A172)=10,COUNT(F161:F172)=10),cubic_spline(F160:F170,A160:A170,B$4),IF(AND(COUNT(A161:A172)=11,COUNT(F161:F172)=11),cubic_spline(F160:F171,A160:A171,B$4),IF(AND(COUNT(A161:A172)=12,COUNT(F161:F172)=12),cubic_spline(F160:F172,A160:A172,B$4),""))))))))))))</f>
        <v/>
      </c>
      <c r="L163" s="27" t="str">
        <f>IF(I163="","",B$3&amp;"-"&amp;B$4)</f>
        <v/>
      </c>
      <c r="M163" s="52" t="str">
        <f>IF(N(J163)=0,"",J163-J162)</f>
        <v/>
      </c>
    </row>
    <row r="164" spans="1:13" x14ac:dyDescent="0.35">
      <c r="A164" s="48"/>
      <c r="B164" s="48"/>
      <c r="C164" s="50"/>
      <c r="D164" s="50"/>
      <c r="E164" s="51" t="str">
        <f t="shared" si="58"/>
        <v/>
      </c>
      <c r="F164" s="68" t="str">
        <f t="shared" si="56"/>
        <v/>
      </c>
      <c r="G164" s="69" t="str">
        <f t="shared" si="59"/>
        <v/>
      </c>
      <c r="H164" s="70" t="str">
        <f t="shared" si="57"/>
        <v/>
      </c>
      <c r="I164" s="27" t="str">
        <f>IF(N(J164)=0,"",0&amp;"-"&amp;B$5)</f>
        <v/>
      </c>
      <c r="J164" s="52" t="str">
        <f>IF(N(B$5)=0,"",IF(AND(COUNT(H161:H172)=2,COUNT(F161:F172)=2),cubic_spline(F160:F162,H160:H162,B$5),IF(AND(COUNT(H161:H172)=3,COUNT(F161:F172)=3),cubic_spline(F160:F163,H160:H163,B$5),IF(AND(COUNT(H161:H172)=4,COUNT(F161:F172)=4),cubic_spline(F160:F164,H160:H164,B$5),IF(AND(COUNT(H161:H172)=5,COUNT(F161:F172)=5),cubic_spline(F160:F165,H160:H165,B$5),IF(AND(COUNT(H161:H172)=6,COUNT(F161:F172)=6),cubic_spline(F160:F166,H160:H166,B$5),IF(AND(COUNT(H161:H172)=7,COUNT(F161:F172)=7),cubic_spline(F160:F167,H160:H167,B$5),IF(AND(COUNT(H161:H172)=8,COUNT(F161:F172)=8),cubic_spline(F160:F168,H160:H168,B$5),IF(AND(COUNT(H161:H172)=9,COUNT(F161:F172)=9),cubic_spline(F160:F169,H160:H169,B$5),IF(AND(COUNT(H161:H172)=10,COUNT(F161:F172)=10),cubic_spline(F160:F170,H160:H170,B$5),IF(AND(COUNT(H161:H172)=11,COUNT(F161:F172)=11),cubic_spline(F160:F171,H160:H171,B$5),IF(AND(COUNT(H161:H172)=12,COUNT(F161:F172)=12),cubic_spline(F160:F172,H160:H172,B$5),""))))))))))))</f>
        <v/>
      </c>
      <c r="K164" s="52" t="str">
        <f>IF(N(B$5)=0,"",IF(AND(COUNT(A161:A172)=2,COUNT(F161:F172)=2),cubic_spline(F160:F162,A160:A162,B$5),IF(AND(COUNT(A161:A172)=3,COUNT(F161:F172)=3),cubic_spline(F160:F163,A160:A163,B$5),IF(AND(COUNT(A161:A172)=4,COUNT(F161:F172)=4),cubic_spline(F160:F164,A160:A164,B$5),IF(AND(COUNT(A161:A172)=5,COUNT(F161:F172)=5),cubic_spline(F160:F165,A160:A165,B$5),IF(AND(COUNT(A161:A172)=6,COUNT(F161:F172)=6),cubic_spline(F160:F166,A160:A166,B$5),IF(AND(COUNT(A161:A172)=7,COUNT(F161:F172)=7),cubic_spline(F160:F167,A160:A167,B$5),IF(AND(COUNT(A161:A172)=8,COUNT(F161:F172)=8),cubic_spline(F160:F168,A160:A168,B$5),IF(AND(COUNT(A161:A172)=9,COUNT(F161:F172)=9),cubic_spline(F160:F169,A160:A169,B$5),IF(AND(COUNT(A161:A172)=10,COUNT(F161:F172)=10),cubic_spline(F160:F170,A160:A170,B$5),IF(AND(COUNT(A161:A172)=11,COUNT(F161:F172)=11),cubic_spline(F160:F171,A160:A171,B$5),IF(AND(COUNT(A161:A172)=12,COUNT(F161:F172)=12),cubic_spline(F160:F172,A160:A172,B$5),""))))))))))))</f>
        <v/>
      </c>
      <c r="L164" s="27" t="str">
        <f>IF(I164="","",B$4&amp;"-"&amp;B$5)</f>
        <v/>
      </c>
      <c r="M164" s="52" t="str">
        <f>IF(N(J164)=0,"",J164-J163)</f>
        <v/>
      </c>
    </row>
    <row r="165" spans="1:13" x14ac:dyDescent="0.35">
      <c r="A165" s="48"/>
      <c r="B165" s="48"/>
      <c r="C165" s="50"/>
      <c r="D165" s="50"/>
      <c r="E165" s="51" t="str">
        <f t="shared" si="58"/>
        <v/>
      </c>
      <c r="F165" s="71" t="str">
        <f t="shared" si="56"/>
        <v/>
      </c>
      <c r="G165" s="69" t="str">
        <f t="shared" si="59"/>
        <v/>
      </c>
      <c r="H165" s="70" t="str">
        <f t="shared" si="57"/>
        <v/>
      </c>
      <c r="I165" s="27" t="str">
        <f>IF(N(J165)=0,"",0&amp;"-"&amp;B$6)</f>
        <v/>
      </c>
      <c r="J165" s="52" t="str">
        <f>IF(N(B$6)=0,"",IF(AND(COUNT(H161:H172)=2,COUNT(F161:F172)=2),cubic_spline(F160:F162,H160:H162,B$6),IF(AND(COUNT(H161:H172)=3,COUNT(F161:F172)=3),cubic_spline(F160:F163,H160:H163,B$6),IF(AND(COUNT(H161:H172)=4,COUNT(F161:F172)=4),cubic_spline(F160:F164,H160:H164,B$6),IF(AND(COUNT(H161:H172)=5,COUNT(F161:F172)=5),cubic_spline(F160:F165,H160:H165,B$6),IF(AND(COUNT(H161:H172)=6,COUNT(F161:F172)=6),cubic_spline(F160:F166,H160:H166,B$6),IF(AND(COUNT(H161:H172)=7,COUNT(F161:F172)=7),cubic_spline(F160:F167,H160:H167,B$6),IF(AND(COUNT(H161:H172)=8,COUNT(F161:F172)=8),cubic_spline(F160:F168,H160:H168,B$6),IF(AND(COUNT(H161:H172)=9,COUNT(F161:F172)=9),cubic_spline(F160:F169,H160:H169,B$6),IF(AND(COUNT(H161:H172)=10,COUNT(F161:F172)=10),cubic_spline(F160:F170,H160:H170,B$6),IF(AND(COUNT(H161:H172)=11,COUNT(F161:F172)=11),cubic_spline(F160:F171,H160:H171,B$6),IF(AND(COUNT(H161:H172)=12,COUNT(F161:F172)=12),cubic_spline(F160:F172,H160:H172,B$6),""))))))))))))</f>
        <v/>
      </c>
      <c r="K165" s="52" t="str">
        <f>IF(N(B$6)=0,"",IF(AND(COUNT(A161:A172)=2,COUNT(F161:F172)=2),cubic_spline(F160:F162,A160:A162,B$6),IF(AND(COUNT(A161:A172)=3,COUNT(F161:F172)=3),cubic_spline(F160:F163,A160:A163,B$6),IF(AND(COUNT(A161:A172)=4,COUNT(F161:F172)=4),cubic_spline(F160:F164,A160:A164,B$6),IF(AND(COUNT(A161:A172)=5,COUNT(F161:F172)=5),cubic_spline(F160:F165,A160:A165,B$6),IF(AND(COUNT(A161:A172)=6,COUNT(F161:F172)=6),cubic_spline(F160:F166,A160:A166,B$6),IF(AND(COUNT(A161:A172)=7,COUNT(F161:F172)=7),cubic_spline(F160:F167,A160:A167,B$6),IF(AND(COUNT(A161:A172)=8,COUNT(F161:F172)=8),cubic_spline(F160:F168,A160:A168,B$6),IF(AND(COUNT(A161:A172)=9,COUNT(F161:F172)=9),cubic_spline(F160:F169,A160:A169,B$6),IF(AND(COUNT(A161:A172)=10,COUNT(F161:F172)=10),cubic_spline(F160:F170,A160:A170,B$6),IF(AND(COUNT(A161:A172)=11,COUNT(F161:F172)=11),cubic_spline(F160:F171,A160:A171,B$6),IF(AND(COUNT(A161:A172)=12,COUNT(F161:F172)=12),cubic_spline(F160:F172,A160:A172,B$6),""))))))))))))</f>
        <v/>
      </c>
      <c r="L165" s="27" t="str">
        <f>IF(I165="","",B$5&amp;"-"&amp;B$6)</f>
        <v/>
      </c>
      <c r="M165" s="52" t="str">
        <f>IF(N(J165)=0,"",J165-J164)</f>
        <v/>
      </c>
    </row>
    <row r="166" spans="1:13" x14ac:dyDescent="0.35">
      <c r="A166" s="48"/>
      <c r="B166" s="48"/>
      <c r="C166" s="50"/>
      <c r="D166" s="50"/>
      <c r="E166" s="51" t="str">
        <f t="shared" si="58"/>
        <v/>
      </c>
      <c r="F166" s="71" t="str">
        <f t="shared" si="56"/>
        <v/>
      </c>
      <c r="G166" s="69" t="str">
        <f t="shared" si="59"/>
        <v/>
      </c>
      <c r="H166" s="70" t="str">
        <f t="shared" si="57"/>
        <v/>
      </c>
      <c r="I166" s="27" t="str">
        <f>IF(N(J166)=0,"",0&amp;"-"&amp;B$7)</f>
        <v/>
      </c>
      <c r="J166" s="52" t="str">
        <f>IF(N(B$7)=0,"",IF(AND(COUNT(H161:H172)=2,COUNT(F161:F172)=2),cubic_spline(F160:F162,H160:H162,B$7),IF(AND(COUNT(H161:H172)=3,COUNT(F161:F172)=3),cubic_spline(F160:F163,H160:H163,B$7),IF(AND(COUNT(H161:H172)=4,COUNT(F161:F172)=4),cubic_spline(F160:F164,H160:H164,B$7),IF(AND(COUNT(H161:H172)=5,COUNT(F161:F172)=5),cubic_spline(F160:F165,H160:H165,B$7),IF(AND(COUNT(H161:H172)=6,COUNT(F161:F172)=6),cubic_spline(F160:F166,H160:H166,B$7),IF(AND(COUNT(H161:H172)=7,COUNT(F161:F172)=7),cubic_spline(F160:F167,H160:H167,B$7),IF(AND(COUNT(H161:H172)=8,COUNT(F161:F172)=8),cubic_spline(F160:F168,H160:H168,B$7),IF(AND(COUNT(H161:H172)=9,COUNT(F161:F172)=9),cubic_spline(F160:F169,H160:H169,B$7),IF(AND(COUNT(H161:H172)=10,COUNT(F161:F172)=10),cubic_spline(F160:F170,H160:H170,B$7),IF(AND(COUNT(H161:H172)=11,COUNT(F161:F172)=11),cubic_spline(F160:F171,H160:H171,B$7),IF(AND(COUNT(H161:H172)=12,COUNT(F161:F172)=12),cubic_spline(F160:F172,H160:H172,B$7),""))))))))))))</f>
        <v/>
      </c>
      <c r="K166" s="52" t="str">
        <f>IF(N(B$7)=0,"",IF(AND(COUNT(A161:A172)=2,COUNT(F161:F172)=2),cubic_spline(F160:F162,A160:A162,B$7),IF(AND(COUNT(A161:A172)=3,COUNT(F161:F172)=3),cubic_spline(F160:F163,A160:A163,B$7),IF(AND(COUNT(A161:A172)=4,COUNT(F161:F172)=4),cubic_spline(F160:F164,A160:A164,B$7),IF(AND(COUNT(A161:A172)=5,COUNT(F161:F172)=5),cubic_spline(F160:F165,A160:A165,B$7),IF(AND(COUNT(A161:A172)=6,COUNT(F161:F172)=6),cubic_spline(F160:F166,A160:A166,B$7),IF(AND(COUNT(A161:A172)=7,COUNT(F161:F172)=7),cubic_spline(F160:F167,A160:A167,B$7),IF(AND(COUNT(A161:A172)=8,COUNT(F161:F172)=8),cubic_spline(F160:F168,A160:A168,B$7),IF(AND(COUNT(A161:A172)=9,COUNT(F161:F172)=9),cubic_spline(F160:F169,A160:A169,B$7),IF(AND(COUNT(A161:A172)=10,COUNT(F161:F172)=10),cubic_spline(F160:F170,A160:A170,B$7),IF(AND(COUNT(A161:A172)=11,COUNT(F161:F172)=11),cubic_spline(F160:F171,A160:A171,B$7),IF(AND(COUNT(A161:A172)=12,COUNT(F161:F172)=12),cubic_spline(F160:F172,A160:A172,B$7),""))))))))))))</f>
        <v/>
      </c>
      <c r="L166" s="27" t="str">
        <f>IF(I166="","",B$6&amp;"-"&amp;B$7)</f>
        <v/>
      </c>
      <c r="M166" s="52" t="str">
        <f t="shared" ref="M166:M172" si="60">IF(N(J166)=0,"",J166-J165)</f>
        <v/>
      </c>
    </row>
    <row r="167" spans="1:13" x14ac:dyDescent="0.35">
      <c r="A167" s="48"/>
      <c r="B167" s="48"/>
      <c r="C167" s="50"/>
      <c r="D167" s="50"/>
      <c r="E167" s="51" t="str">
        <f t="shared" si="58"/>
        <v/>
      </c>
      <c r="F167" s="71" t="str">
        <f t="shared" si="56"/>
        <v/>
      </c>
      <c r="G167" s="69" t="str">
        <f t="shared" si="59"/>
        <v/>
      </c>
      <c r="H167" s="70" t="str">
        <f t="shared" si="57"/>
        <v/>
      </c>
      <c r="I167" s="27" t="str">
        <f>IF(N(J167)=0,"",0&amp;"-"&amp;B$8)</f>
        <v/>
      </c>
      <c r="J167" s="52" t="str">
        <f>IF(N(B$8)=0,"",IF(AND(COUNT(H161:H172)=2,COUNT(F161:F172)=2),cubic_spline(F160:F162,H160:H162,B$8),IF(AND(COUNT(H161:H172)=3,COUNT(F161:F172)=3),cubic_spline(F160:F163,H160:H163,B$8),IF(AND(COUNT(H161:H172)=4,COUNT(F161:F172)=4),cubic_spline(F160:F164,H160:H164,B$8),IF(AND(COUNT(H161:H172)=5,COUNT(F161:F172)=5),cubic_spline(F160:F165,H160:H165,B$8),IF(AND(COUNT(H161:H172)=6,COUNT(F161:F172)=6),cubic_spline(F160:F166,H160:H166,B$8),IF(AND(COUNT(H161:H172)=7,COUNT(F161:F172)=7),cubic_spline(F160:F167,H160:H167,B$8),IF(AND(COUNT(H161:H172)=8,COUNT(F161:F172)=8),cubic_spline(F160:F168,H160:H168,B$8),IF(AND(COUNT(H161:H172)=9,COUNT(F161:F172)=9),cubic_spline(F160:F169,H160:H169,B$8),IF(AND(COUNT(H161:H172)=10,COUNT(F161:F172)=10),cubic_spline(F160:F170,H160:H170,B$8),IF(AND(COUNT(H161:H172)=11,COUNT(F161:F172)=11),cubic_spline(F160:F171,H160:H171,B$8),IF(AND(COUNT(H161:H172)=12,COUNT(F161:F172)=12),cubic_spline(F160:F172,H160:H172,B$8),""))))))))))))</f>
        <v/>
      </c>
      <c r="K167" s="52" t="str">
        <f>IF(N(B$8)=0,"",IF(AND(COUNT(A161:A172)=2,COUNT(F161:F172)=2),cubic_spline(F160:F162,A160:A162,B$8),IF(AND(COUNT(A161:A172)=3,COUNT(F161:F172)=3),cubic_spline(F160:F163,A160:A163,B$8),IF(AND(COUNT(A161:A172)=4,COUNT(F161:F172)=4),cubic_spline(F160:F164,A160:A164,B$8),IF(AND(COUNT(A161:A172)=5,COUNT(F161:F172)=5),cubic_spline(F160:F165,A160:A165,B$8),IF(AND(COUNT(A161:A172)=6,COUNT(F161:F172)=6),cubic_spline(F160:F166,A160:A166,B$8),IF(AND(COUNT(A161:A172)=7,COUNT(F161:F172)=7),cubic_spline(F160:F167,A160:A167,B$8),IF(AND(COUNT(A161:A172)=8,COUNT(F161:F172)=8),cubic_spline(F160:F168,A160:A168,B$8),IF(AND(COUNT(A161:A172)=9,COUNT(F161:F172)=9),cubic_spline(F160:F169,A160:A169,B$8),IF(AND(COUNT(A161:A172)=10,COUNT(F161:F172)=10),cubic_spline(F160:F170,A160:A170,B$8),IF(AND(COUNT(A161:A172)=11,COUNT(F161:F172)=11),cubic_spline(F160:F171,A160:A171,B$8),IF(AND(COUNT(A161:A172)=12,COUNT(F161:F172)=12),cubic_spline(F160:F172,A160:A172,B$8),""))))))))))))</f>
        <v/>
      </c>
      <c r="L167" s="27" t="str">
        <f>IF(I167="","",B$7&amp;"-"&amp;B$8)</f>
        <v/>
      </c>
      <c r="M167" s="52" t="str">
        <f t="shared" si="60"/>
        <v/>
      </c>
    </row>
    <row r="168" spans="1:13" x14ac:dyDescent="0.35">
      <c r="A168" s="48"/>
      <c r="B168" s="48"/>
      <c r="C168" s="50"/>
      <c r="D168" s="50"/>
      <c r="E168" s="51" t="str">
        <f t="shared" si="58"/>
        <v/>
      </c>
      <c r="F168" s="71" t="str">
        <f t="shared" si="56"/>
        <v/>
      </c>
      <c r="G168" s="69" t="str">
        <f t="shared" si="59"/>
        <v/>
      </c>
      <c r="H168" s="70" t="str">
        <f t="shared" si="57"/>
        <v/>
      </c>
      <c r="I168" s="27" t="str">
        <f>IF(N(J168)=0,"",0&amp;"-"&amp;B$9)</f>
        <v/>
      </c>
      <c r="J168" s="52" t="str">
        <f>IF(N(B$9)=0,"",IF(AND(COUNT(H161:H172)=2,COUNT(F161:F172)=2),cubic_spline(F160:F162,H160:H162,B$9),IF(AND(COUNT(H161:H172)=3,COUNT(F161:F172)=3),cubic_spline(F160:F163,H160:H163,B$9),IF(AND(COUNT(H161:H172)=4,COUNT(F161:F172)=4),cubic_spline(F160:F164,H160:H164,B$9),IF(AND(COUNT(H161:H172)=5,COUNT(F161:F172)=5),cubic_spline(F160:F165,H160:H165,B$9),IF(AND(COUNT(H161:H172)=6,COUNT(F161:F172)=6),cubic_spline(F160:F166,H160:H166,B$9),IF(AND(COUNT(H161:H172)=7,COUNT(F161:F172)=7),cubic_spline(F160:F167,H160:H167,B$9),IF(AND(COUNT(H161:H172)=8,COUNT(F161:F172)=8),cubic_spline(F160:F168,H160:H168,B$9),IF(AND(COUNT(H161:H172)=9,COUNT(F161:F172)=9),cubic_spline(F160:F169,H160:H169,B$9),IF(AND(COUNT(H161:H172)=10,COUNT(F161:F172)=10),cubic_spline(F160:F170,H160:H170,B$9),IF(AND(COUNT(H161:H172)=11,COUNT(F161:F172)=11),cubic_spline(F160:F171,H160:H171,B$9),IF(AND(COUNT(H161:H172)=12,COUNT(F161:F172)=12),cubic_spline(F160:F172,H160:H172,B$9),""))))))))))))</f>
        <v/>
      </c>
      <c r="K168" s="52" t="str">
        <f>IF(N(B$9)=0,"",IF(AND(COUNT(A161:A172)=2,COUNT(F161:F172)=2),cubic_spline(F160:F162,A160:A162,B$9),IF(AND(COUNT(A161:A172)=3,COUNT(F161:F172)=3),cubic_spline(F160:F163,A160:A163,B$9),IF(AND(COUNT(A161:A172)=4,COUNT(F161:F172)=4),cubic_spline(F160:F164,A160:A164,B$9),IF(AND(COUNT(A161:A172)=5,COUNT(F161:F172)=5),cubic_spline(F160:F165,A160:A165,B$9),IF(AND(COUNT(A161:A172)=6,COUNT(F161:F172)=6),cubic_spline(F160:F166,A160:A166,B$9),IF(AND(COUNT(A161:A172)=7,COUNT(F161:F172)=7),cubic_spline(F160:F167,A160:A167,B$9),IF(AND(COUNT(A161:A172)=8,COUNT(F161:F172)=8),cubic_spline(F160:F168,A160:A168,B$9),IF(AND(COUNT(A161:A172)=9,COUNT(F161:F172)=9),cubic_spline(F160:F169,A160:A169,B$9),IF(AND(COUNT(A161:A172)=10,COUNT(F161:F172)=10),cubic_spline(F160:F170,A160:A170,B$9),IF(AND(COUNT(A161:A172)=11,COUNT(F161:F172)=11),cubic_spline(F160:F171,A160:A171,B$9),IF(AND(COUNT(A161:A172)=12,COUNT(F161:F172)=12),cubic_spline(F160:F172,A160:A172,B$9),""))))))))))))</f>
        <v/>
      </c>
      <c r="L168" s="27" t="str">
        <f>IF(I168="","",B$8&amp;"-"&amp;B$9)</f>
        <v/>
      </c>
      <c r="M168" s="52" t="str">
        <f t="shared" si="60"/>
        <v/>
      </c>
    </row>
    <row r="169" spans="1:13" x14ac:dyDescent="0.35">
      <c r="A169" s="48"/>
      <c r="B169" s="48"/>
      <c r="C169" s="50"/>
      <c r="D169" s="50"/>
      <c r="E169" s="51" t="str">
        <f t="shared" si="58"/>
        <v/>
      </c>
      <c r="F169" s="71" t="str">
        <f t="shared" si="56"/>
        <v/>
      </c>
      <c r="G169" s="69" t="str">
        <f t="shared" si="59"/>
        <v/>
      </c>
      <c r="H169" s="70" t="str">
        <f t="shared" si="57"/>
        <v/>
      </c>
      <c r="I169" s="27" t="str">
        <f>IF(N(J169)=0,"",0&amp;"-"&amp;B$10)</f>
        <v/>
      </c>
      <c r="J169" s="52" t="str">
        <f>IF(N(B$10)=0,"",IF(AND(COUNT(H161:H172)=2,COUNT(F161:F172)=2),cubic_spline(F160:F162,H160:H162,B$10),IF(AND(COUNT(H161:H172)=3,COUNT(F161:F172)=3),cubic_spline(F160:F163,H160:H163,B$10),IF(AND(COUNT(H161:H172)=4,COUNT(F161:F172)=4),cubic_spline(F160:F164,H160:H164,B$10),IF(AND(COUNT(H161:H172)=5,COUNT(F161:F172)=5),cubic_spline(F160:F165,H160:H165,B$10),IF(AND(COUNT(H161:H172)=6,COUNT(F161:F172)=6),cubic_spline(F160:F166,H160:H166,B$10),IF(AND(COUNT(H161:H172)=7,COUNT(F161:F172)=7),cubic_spline(F160:F167,H160:H167,B$10),IF(AND(COUNT(H161:H172)=8,COUNT(F161:F172)=8),cubic_spline(F160:F168,H160:H168,B$10),IF(AND(COUNT(H161:H172)=9,COUNT(F161:F172)=9),cubic_spline(F160:F169,H160:H169,B$10),IF(AND(COUNT(H161:H172)=10,COUNT(F161:F172)=10),cubic_spline(F160:F170,H160:H170,B$10),IF(AND(COUNT(H161:H172)=11,COUNT(F161:F172)=11),cubic_spline(F160:F171,H160:H171,B$10),IF(AND(COUNT(H161:H172)=12,COUNT(F161:F172)=12),cubic_spline(F160:F172,H160:H172,B$10),""))))))))))))</f>
        <v/>
      </c>
      <c r="K169" s="52" t="str">
        <f>IF(N(B$10)=0,"",IF(AND(COUNT(A161:A172)=2,COUNT(F161:F172)=2),cubic_spline(F160:F162,A160:A162,B$10),IF(AND(COUNT(A161:A172)=3,COUNT(F161:F172)=3),cubic_spline(F160:F163,A160:A163,B$10),IF(AND(COUNT(A161:A172)=4,COUNT(F161:F172)=4),cubic_spline(F160:F164,A160:A164,B$10),IF(AND(COUNT(A161:A172)=5,COUNT(F161:F172)=5),cubic_spline(F160:F165,A160:A165,B$10),IF(AND(COUNT(A161:A172)=6,COUNT(F161:F172)=6),cubic_spline(F160:F166,A160:A166,B$10),IF(AND(COUNT(A161:A172)=7,COUNT(F161:F172)=7),cubic_spline(F160:F167,A160:A167,B$10),IF(AND(COUNT(A161:A172)=8,COUNT(F161:F172)=8),cubic_spline(F160:F168,A160:A168,B$10),IF(AND(COUNT(A161:A172)=9,COUNT(F161:F172)=9),cubic_spline(F160:F169,A160:A169,B$10),IF(AND(COUNT(A161:A172)=10,COUNT(F161:F172)=10),cubic_spline(F160:F170,A160:A170,B$10),IF(AND(COUNT(A161:A172)=11,COUNT(F161:F172)=11),cubic_spline(F160:F171,A160:A171,B$10),IF(AND(COUNT(A161:A172)=12,COUNT(F161:F172)=12),cubic_spline(F160:F172,A160:A172,B$10),""))))))))))))</f>
        <v/>
      </c>
      <c r="L169" s="27" t="str">
        <f>IF(I169="","",B$9&amp;"-"&amp;B$10)</f>
        <v/>
      </c>
      <c r="M169" s="52" t="str">
        <f t="shared" si="60"/>
        <v/>
      </c>
    </row>
    <row r="170" spans="1:13" x14ac:dyDescent="0.35">
      <c r="A170" s="48"/>
      <c r="B170" s="48"/>
      <c r="C170" s="50"/>
      <c r="D170" s="50"/>
      <c r="E170" s="51" t="str">
        <f t="shared" si="58"/>
        <v/>
      </c>
      <c r="F170" s="71" t="str">
        <f t="shared" si="56"/>
        <v/>
      </c>
      <c r="G170" s="69" t="str">
        <f t="shared" si="59"/>
        <v/>
      </c>
      <c r="H170" s="70" t="str">
        <f t="shared" si="57"/>
        <v/>
      </c>
      <c r="I170" s="27" t="str">
        <f>IF(N(J170)=0,"",0&amp;"-"&amp;B$11)</f>
        <v/>
      </c>
      <c r="J170" s="52" t="str">
        <f>IF(N(B$11)=0,"",IF(AND(COUNT(H161:H172)=2,COUNT(F161:F172)=2),cubic_spline(F160:F162,H160:H162,B$11),IF(AND(COUNT(H161:H172)=3,COUNT(F161:F172)=3),cubic_spline(F160:F163,H160:H163,B$11),IF(AND(COUNT(H161:H172)=4,COUNT(F161:F172)=4),cubic_spline(F160:F164,H160:H164,B$11),IF(AND(COUNT(H161:H172)=5,COUNT(F161:F172)=5),cubic_spline(F160:F165,H160:H165,B$11),IF(AND(COUNT(H161:H172)=6,COUNT(F161:F172)=6),cubic_spline(F160:F166,H160:H166,B$11),IF(AND(COUNT(H161:H172)=7,COUNT(F161:F172)=7),cubic_spline(F160:F167,H160:H167,B$11),IF(AND(COUNT(H161:H172)=8,COUNT(F161:F172)=8),cubic_spline(F160:F168,H160:H168,B$11),IF(AND(COUNT(H161:H172)=9,COUNT(F161:F172)=9),cubic_spline(F160:F169,H160:H169,B$11),IF(AND(COUNT(H161:H172)=10,COUNT(F161:F172)=10),cubic_spline(F160:F170,H160:H170,B$11),IF(AND(COUNT(H161:H172)=11,COUNT(F161:F172)=11),cubic_spline(F160:F171,H160:H171,B$11),IF(AND(COUNT(H161:H172)=12,COUNT(F161:F172)=12),cubic_spline(F160:F172,H160:H172,B$11),""))))))))))))</f>
        <v/>
      </c>
      <c r="K170" s="52" t="str">
        <f>IF(N(B$11)=0,"",IF(AND(COUNT(A161:A172)=2,COUNT(F161:F172)=2),cubic_spline(F160:F162,A160:A162,B$11),IF(AND(COUNT(A161:A172)=3,COUNT(F161:F172)=3),cubic_spline(F160:F163,A160:A163,B$11),IF(AND(COUNT(A161:A172)=4,COUNT(F161:F172)=4),cubic_spline(F160:F164,A160:A164,B$11),IF(AND(COUNT(A161:A172)=5,COUNT(F161:F172)=5),cubic_spline(F160:F165,A160:A165,B$11),IF(AND(COUNT(A161:A172)=6,COUNT(F161:F172)=6),cubic_spline(F160:F166,A160:A166,B$11),IF(AND(COUNT(A161:A172)=7,COUNT(F161:F172)=7),cubic_spline(F160:F167,A160:A167,B$11),IF(AND(COUNT(A161:A172)=8,COUNT(F161:F172)=8),cubic_spline(F160:F168,A160:A168,B$11),IF(AND(COUNT(A161:A172)=9,COUNT(F161:F172)=9),cubic_spline(F160:F169,A160:A169,B$11),IF(AND(COUNT(A161:A172)=10,COUNT(F161:F172)=10),cubic_spline(F160:F170,A160:A170,B$11),IF(AND(COUNT(A161:A172)=11,COUNT(F161:F172)=11),cubic_spline(F160:F171,A160:A171,B$11),IF(AND(COUNT(A161:A172)=12,COUNT(F161:F172)=12),cubic_spline(F160:F172,A160:A172,B$11),""))))))))))))</f>
        <v/>
      </c>
      <c r="L170" s="27" t="str">
        <f>IF(I170="","",B$10&amp;"-"&amp;B$11)</f>
        <v/>
      </c>
      <c r="M170" s="52" t="str">
        <f t="shared" si="60"/>
        <v/>
      </c>
    </row>
    <row r="171" spans="1:13" x14ac:dyDescent="0.35">
      <c r="A171" s="48"/>
      <c r="B171" s="48"/>
      <c r="C171" s="50"/>
      <c r="D171" s="50"/>
      <c r="E171" s="51" t="str">
        <f t="shared" si="58"/>
        <v/>
      </c>
      <c r="F171" s="71" t="str">
        <f t="shared" si="56"/>
        <v/>
      </c>
      <c r="G171" s="69" t="str">
        <f t="shared" si="59"/>
        <v/>
      </c>
      <c r="H171" s="70" t="str">
        <f t="shared" si="57"/>
        <v/>
      </c>
      <c r="I171" s="27" t="str">
        <f>IF(N(J171)=0,"",0&amp;"-"&amp;B$12)</f>
        <v/>
      </c>
      <c r="J171" s="52" t="str">
        <f>IF(N(B$12)=0,"",IF(AND(COUNT(H161:H172)=2,COUNT(F161:F172)=2),cubic_spline(F160:F162,H160:H162,B$12),IF(AND(COUNT(H161:H172)=3,COUNT(F161:F172)=3),cubic_spline(F160:F163,H160:H163,B$12),IF(AND(COUNT(H161:H172)=4,COUNT(F161:F172)=4),cubic_spline(F160:F164,H160:H164,B$12),IF(AND(COUNT(H161:H172)=5,COUNT(F161:F172)=5),cubic_spline(F160:F165,H160:H165,B$12),IF(AND(COUNT(H161:H172)=6,COUNT(F161:F172)=6),cubic_spline(F160:F166,H160:H166,B$12),IF(AND(COUNT(H161:H172)=7,COUNT(F161:F172)=7),cubic_spline(F160:F167,H160:H167,B$12),IF(AND(COUNT(H161:H172)=8,COUNT(F161:F172)=8),cubic_spline(F160:F168,H160:H168,B$12),IF(AND(COUNT(H161:H172)=9,COUNT(F161:F172)=9),cubic_spline(F160:F169,H160:H169,B$12),IF(AND(COUNT(H161:H172)=10,COUNT(F161:F172)=10),cubic_spline(F160:F170,H160:H170,B$12),IF(AND(COUNT(H161:H172)=11,COUNT(F161:F172)=11),cubic_spline(F160:F171,H160:H171,B$12),IF(AND(COUNT(H161:H172)=12,COUNT(F161:F172)=12),cubic_spline(F160:F172,H160:H172,B$12),""))))))))))))</f>
        <v/>
      </c>
      <c r="K171" s="52" t="str">
        <f>IF(N(B$12)=0,"",IF(AND(COUNT(A161:A172)=2,COUNT(F161:F172)=2),cubic_spline(F160:F162,A160:A162,B$12),IF(AND(COUNT(A161:A172)=3,COUNT(F161:F172)=3),cubic_spline(F160:F163,A160:A163,B$12),IF(AND(COUNT(A161:A172)=4,COUNT(F161:F172)=4),cubic_spline(F160:F164,A160:A164,B$12),IF(AND(COUNT(A161:A172)=5,COUNT(F161:F172)=5),cubic_spline(F160:F165,A160:A165,B$12),IF(AND(COUNT(A161:A172)=6,COUNT(F161:F172)=6),cubic_spline(F160:F166,A160:A166,B$12),IF(AND(COUNT(A161:A172)=7,COUNT(F161:F172)=7),cubic_spline(F160:F167,A160:A167,B$12),IF(AND(COUNT(A161:A172)=8,COUNT(F161:F172)=8),cubic_spline(F160:F168,A160:A168,B$12),IF(AND(COUNT(A161:A172)=9,COUNT(F161:F172)=9),cubic_spline(F160:F169,A160:A169,B$12),IF(AND(COUNT(A161:A172)=10,COUNT(F161:F172)=10),cubic_spline(F160:F170,A160:A170,B$12),IF(AND(COUNT(A161:A172)=11,COUNT(F161:F172)=11),cubic_spline(F160:F171,A160:A171,B$12),IF(AND(COUNT(A161:A172)=12,COUNT(F161:F172)=12),cubic_spline(F160:F172,A160:A172,B$12),""))))))))))))</f>
        <v/>
      </c>
      <c r="L171" s="27" t="str">
        <f>IF(I171="","",B$11&amp;"-"&amp;B$12)</f>
        <v/>
      </c>
      <c r="M171" s="52" t="str">
        <f t="shared" si="60"/>
        <v/>
      </c>
    </row>
    <row r="172" spans="1:13" x14ac:dyDescent="0.35">
      <c r="A172" s="48"/>
      <c r="B172" s="48"/>
      <c r="C172" s="50"/>
      <c r="D172" s="50"/>
      <c r="E172" s="51" t="str">
        <f t="shared" si="58"/>
        <v/>
      </c>
      <c r="F172" s="71" t="str">
        <f t="shared" si="56"/>
        <v/>
      </c>
      <c r="G172" s="69" t="str">
        <f t="shared" si="59"/>
        <v/>
      </c>
      <c r="H172" s="70" t="str">
        <f t="shared" si="57"/>
        <v/>
      </c>
      <c r="I172" s="27" t="str">
        <f>IF(N(J172)=0,"",0&amp;"-"&amp;B$13)</f>
        <v/>
      </c>
      <c r="J172" s="52" t="str">
        <f>IF(N(B$13)=0,"",IF(AND(COUNT(H161:H172)=2,COUNT(F161:F172)=2),cubic_spline(F160:F162,H160:H162,B$13),IF(AND(COUNT(H161:H172)=3,COUNT(F161:F172)=3),cubic_spline(F160:F163,H160:H163,B$13),IF(AND(COUNT(H161:H172)=4,COUNT(F161:F172)=4),cubic_spline(F160:F164,H160:H164,B$13),IF(AND(COUNT(H161:H172)=5,COUNT(F161:F172)=5),cubic_spline(F160:F165,H160:H165,B$13),IF(AND(COUNT(H161:H172)=6,COUNT(F161:F172)=6),cubic_spline(F160:F166,H160:H166,B$13),IF(AND(COUNT(H161:H172)=7,COUNT(F161:F172)=7),cubic_spline(F160:F167,H160:H167,B$13),IF(AND(COUNT(H161:H172)=8,COUNT(F161:F172)=8),cubic_spline(F160:F168,H160:H168,B$13),IF(AND(COUNT(H161:H172)=9,COUNT(F161:F172)=9),cubic_spline(F160:F169,H160:H169,B$13),IF(AND(COUNT(H161:H172)=10,COUNT(F161:F172)=10),cubic_spline(F160:F170,H160:H170,B$13),IF(AND(COUNT(H161:H172)=11,COUNT(F161:F172)=11),cubic_spline(F160:F171,H160:H171,B$13),IF(AND(COUNT(H161:H172)=12,COUNT(F161:F172)=12),cubic_spline(F160:F172,H160:H172,B$13),""))))))))))))</f>
        <v/>
      </c>
      <c r="K172" s="52" t="str">
        <f>IF(N(B$13)=0,"",IF(AND(COUNT(A161:A172)=2,COUNT(F161:F172)=2),cubic_spline(F160:F162,A160:A162,B$13),IF(AND(COUNT(A161:A172)=3,COUNT(F161:F172)=3),cubic_spline(F160:F163,A160:A163,B$13),IF(AND(COUNT(A161:A172)=4,COUNT(F161:F172)=4),cubic_spline(F160:F164,A160:A164,B$13),IF(AND(COUNT(A161:A172)=5,COUNT(F161:F172)=5),cubic_spline(F160:F165,A160:A165,B$13),IF(AND(COUNT(A161:A172)=6,COUNT(F161:F172)=6),cubic_spline(F160:F166,A160:A166,B$13),IF(AND(COUNT(A161:A172)=7,COUNT(F161:F172)=7),cubic_spline(F160:F167,A160:A167,B$13),IF(AND(COUNT(A161:A172)=8,COUNT(F161:F172)=8),cubic_spline(F160:F168,A160:A168,B$13),IF(AND(COUNT(A161:A172)=9,COUNT(F161:F172)=9),cubic_spline(F160:F169,A160:A169,B$13),IF(AND(COUNT(A161:A172)=10,COUNT(F161:F172)=10),cubic_spline(F160:F170,A160:A170,B$13),IF(AND(COUNT(A161:A172)=11,COUNT(F161:F172)=11),cubic_spline(F160:F171,A160:A171,B$13),IF(AND(COUNT(A161:A172)=12,COUNT(F161:F172)=12),cubic_spline(F160:F172,A160:A172,B$13),""))))))))))))</f>
        <v/>
      </c>
      <c r="L172" s="27" t="str">
        <f>IF(I172="","",B$12&amp;"-"&amp;B$13)</f>
        <v/>
      </c>
      <c r="M172" s="52" t="str">
        <f t="shared" si="60"/>
        <v/>
      </c>
    </row>
    <row r="173" spans="1:13" ht="5.15" customHeight="1" x14ac:dyDescent="0.35">
      <c r="A173" s="47"/>
      <c r="B173" s="47"/>
      <c r="C173" s="53"/>
      <c r="D173" s="53"/>
      <c r="E173" s="54"/>
      <c r="F173" s="55"/>
      <c r="G173" s="72"/>
      <c r="H173" s="73"/>
      <c r="I173" s="47"/>
      <c r="J173" s="57"/>
      <c r="K173" s="57"/>
      <c r="L173" s="55"/>
      <c r="M173" s="57"/>
    </row>
    <row r="174" spans="1:13" x14ac:dyDescent="0.35">
      <c r="A174" s="48"/>
      <c r="B174" s="48"/>
      <c r="C174" s="50"/>
      <c r="D174" s="50"/>
      <c r="E174" s="51" t="str">
        <f>IF(N(C174)=0,"",(A174-A173)*C174*100)</f>
        <v/>
      </c>
      <c r="F174" s="68" t="str">
        <f t="shared" ref="F174:F185" si="61">IF(N(E174)=0,"",(N(E174)+N(F173)))</f>
        <v/>
      </c>
      <c r="G174" s="69" t="str">
        <f>IF(OR(N(D174)=0,N(E174)=0),"",(E174*D174)/1000)</f>
        <v/>
      </c>
      <c r="H174" s="70" t="str">
        <f t="shared" ref="H174:H185" si="62">IF(N(G174)=0,"",(N(G174)+N(H173)))</f>
        <v/>
      </c>
      <c r="I174" s="27" t="str">
        <f>IF(N(J174)=0,"",0&amp;"-"&amp;B$2)</f>
        <v/>
      </c>
      <c r="J174" s="52" t="str">
        <f>IF(N(B$2)=0,"",IF(AND(COUNT(H174:H185)=2,COUNT(F174:F185)=2),cubic_spline(F173:F175,H173:H175,B$2),IF(AND(COUNT(H174:H185)=3,COUNT(F174:F185)=3),cubic_spline(F173:F176,H173:H176,B$2),IF(AND(COUNT(H174:H185)=4,COUNT(F174:F185)=4),cubic_spline(F173:F177,H173:H177,B$2),IF(AND(COUNT(H174:H185)=5,COUNT(F174:F185)=5),cubic_spline(F173:F178,H173:H178,B$2),IF(AND(COUNT(H174:H185)=6,COUNT(F174:F185)=6),cubic_spline(F173:F179,H173:H179,B$2),IF(AND(COUNT(H174:H185)=7,COUNT(F174:F185)=7),cubic_spline(F173:F180,H173:H180,B$2),IF(AND(COUNT(H174:H185)=8,COUNT(F174:F185)=8),cubic_spline(F173:F181,H173:H181,B$2),IF(AND(COUNT(H174:H185)=9,COUNT(F174:F185)=9),cubic_spline(F173:F182,H173:H182,B$2),IF(AND(COUNT(H174:H185)=10,COUNT(F174:F185)=10),cubic_spline(F173:F183,H173:H183,B$2),IF(AND(COUNT(H174:H185)=11,COUNT(F174:F185)=11),cubic_spline(F173:F184,H173:H184,B$2),IF(AND(COUNT(H174:H185)=12,COUNT(F174:F185)=12),cubic_spline(F173:F185,H173:H185,B$2),""))))))))))))</f>
        <v/>
      </c>
      <c r="K174" s="52" t="str">
        <f>IF(N(B$2)=0,"",IF(AND(COUNT(A174:A185)=2,COUNT(F174:F185)=2),cubic_spline(F173:F175,A173:A175,B$2),IF(AND(COUNT(A174:A185)=3,COUNT(F174:F185)=3),cubic_spline(F173:F176,A173:A176,B$2),IF(AND(COUNT(A174:A185)=4,COUNT(F174:F185)=4),cubic_spline(F173:F177,A173:A177,B$2),IF(AND(COUNT(A174:A185)=5,COUNT(F174:F185)=5),cubic_spline(F173:F178,A173:A178,B$2),IF(AND(COUNT(A174:A185)=6,COUNT(F174:F185)=6),cubic_spline(F173:F179,A173:A179,B$2),IF(AND(COUNT(A174:A185)=7,COUNT(F174:F185)=7),cubic_spline(F173:F180,A173:A180,B$2),IF(AND(COUNT(A174:A185)=8,COUNT(F174:F185)=8),cubic_spline(F173:F181,A173:A181,B$2),IF(AND(COUNT(A174:A185)=9,COUNT(F174:F185)=9),cubic_spline(F173:F182,A173:A182,B$2),IF(AND(COUNT(A174:A185)=10,COUNT(F174:F185)=10),cubic_spline(F173:F183,A173:A183,B$2),IF(AND(COUNT(A174:A185)=11,COUNT(F174:F185)=11),cubic_spline(F173:F184,A173:A184,B$2),IF(AND(COUNT(A174:A185)=12,COUNT(F174:F185)=12),cubic_spline(F173:F185,A173:A185,B$2),""))))))))))))</f>
        <v/>
      </c>
      <c r="L174" s="27" t="str">
        <f>IF(I174="","",0&amp;"-"&amp;B$2)</f>
        <v/>
      </c>
      <c r="M174" s="52" t="str">
        <f>IF(N(J174)=0,"",J174-J173)</f>
        <v/>
      </c>
    </row>
    <row r="175" spans="1:13" x14ac:dyDescent="0.35">
      <c r="A175" s="48"/>
      <c r="B175" s="48"/>
      <c r="C175" s="50"/>
      <c r="D175" s="50"/>
      <c r="E175" s="51" t="str">
        <f t="shared" ref="E175:E185" si="63">IF(N(C175)=0,"",(A175-A174)*C175*100)</f>
        <v/>
      </c>
      <c r="F175" s="68" t="str">
        <f t="shared" si="61"/>
        <v/>
      </c>
      <c r="G175" s="69" t="str">
        <f t="shared" ref="G175:G185" si="64">IF(OR(N(D175)=0,N(E175)=0),"",(E175*D175)/1000)</f>
        <v/>
      </c>
      <c r="H175" s="70" t="str">
        <f t="shared" si="62"/>
        <v/>
      </c>
      <c r="I175" s="27" t="str">
        <f>IF(N(J175)=0,"",0&amp;"-"&amp;B$3)</f>
        <v/>
      </c>
      <c r="J175" s="52" t="str">
        <f>IF(N(B$3)=0,"",IF(AND(COUNT(H174:H185)=2,COUNT(F174:F185)=2),cubic_spline(F173:F175,H173:H175,B$3),IF(AND(COUNT(H174:H185)=3,COUNT(F174:F185)=3),cubic_spline(F173:F176,H173:H176,B$3),IF(AND(COUNT(H174:H185)=4,COUNT(F174:F185)=4),cubic_spline(F173:F177,H173:H177,B$3),IF(AND(COUNT(H174:H185)=5,COUNT(F174:F185)=5),cubic_spline(F173:F178,H173:H178,B$3),IF(AND(COUNT(H174:H185)=6,COUNT(F174:F185)=6),cubic_spline(F173:F179,H173:H179,B$3),IF(AND(COUNT(H174:H185)=7,COUNT(F174:F185)=7),cubic_spline(F173:F180,H173:H180,B$3),IF(AND(COUNT(H174:H185)=8,COUNT(F174:F185)=8),cubic_spline(F173:F181,H173:H181,B$3),IF(AND(COUNT(H174:H185)=9,COUNT(F174:F185)=9),cubic_spline(F173:F182,H173:H182,B$3),IF(AND(COUNT(H174:H185)=10,COUNT(F174:F185)=10),cubic_spline(F173:F183,H173:H183,B$3),IF(AND(COUNT(H174:H185)=11,COUNT(F174:F185)=11),cubic_spline(F173:F184,H173:H184,B$3),IF(AND(COUNT(H174:H185)=12,COUNT(F174:F185)=12),cubic_spline(F173:F185,H173:H185,B$3),""))))))))))))</f>
        <v/>
      </c>
      <c r="K175" s="52" t="str">
        <f>IF(N(B$3)=0,"",IF(AND(COUNT(A174:A185)=2,COUNT(F174:F185)=2),cubic_spline(F173:F175,A173:A175,B$3),IF(AND(COUNT(A174:A185)=3,COUNT(F174:F185)=3),cubic_spline(F173:F176,A173:A176,B$3),IF(AND(COUNT(A174:A185)=4,COUNT(F174:F185)=4),cubic_spline(F173:F177,A173:A177,B$3),IF(AND(COUNT(A174:A185)=5,COUNT(F174:F185)=5),cubic_spline(F173:F178,A173:A178,B$3),IF(AND(COUNT(A174:A185)=6,COUNT(F174:F185)=6),cubic_spline(F173:F179,A173:A179,B$3),IF(AND(COUNT(A174:A185)=7,COUNT(F174:F185)=7),cubic_spline(F173:F180,A173:A180,B$3),IF(AND(COUNT(A174:A185)=8,COUNT(F174:F185)=8),cubic_spline(F173:F181,A173:A181,B$3),IF(AND(COUNT(A174:A185)=9,COUNT(F174:F185)=9),cubic_spline(F173:F182,A173:A182,B$3),IF(AND(COUNT(A174:A185)=10,COUNT(F174:F185)=10),cubic_spline(F173:F183,A173:A183,B$3),IF(AND(COUNT(A174:A185)=11,COUNT(F174:F185)=11),cubic_spline(F173:F184,A173:A184,B$3),IF(AND(COUNT(A174:A185)=12,COUNT(F174:F185)=12),cubic_spline(F173:F185,A173:A185,B$3),""))))))))))))</f>
        <v/>
      </c>
      <c r="L175" s="27" t="str">
        <f>IF(I175="","",B$2&amp;"-"&amp;B$3)</f>
        <v/>
      </c>
      <c r="M175" s="52" t="str">
        <f>IF(N(J175)=0,"",J175-J174)</f>
        <v/>
      </c>
    </row>
    <row r="176" spans="1:13" x14ac:dyDescent="0.35">
      <c r="A176" s="48"/>
      <c r="B176" s="48"/>
      <c r="C176" s="50"/>
      <c r="D176" s="50"/>
      <c r="E176" s="51" t="str">
        <f t="shared" si="63"/>
        <v/>
      </c>
      <c r="F176" s="68" t="str">
        <f t="shared" si="61"/>
        <v/>
      </c>
      <c r="G176" s="69" t="str">
        <f t="shared" si="64"/>
        <v/>
      </c>
      <c r="H176" s="70" t="str">
        <f t="shared" si="62"/>
        <v/>
      </c>
      <c r="I176" s="27" t="str">
        <f>IF(N(J176)=0,"",0&amp;"-"&amp;B$4)</f>
        <v/>
      </c>
      <c r="J176" s="52" t="str">
        <f>IF(N(B$4)=0,"",IF(AND(COUNT(H174:H185)=2,COUNT(F174:F185)=2),cubic_spline(F173:F175,H173:H175,B$4),IF(AND(COUNT(H174:H185)=3,COUNT(F174:F185)=3),cubic_spline(F173:F176,H173:H176,B$4),IF(AND(COUNT(H174:H185)=4,COUNT(F174:F185)=4),cubic_spline(F173:F177,H173:H177,B$4),IF(AND(COUNT(H174:H185)=5,COUNT(F174:F185)=5),cubic_spline(F173:F178,H173:H178,B$4),IF(AND(COUNT(H174:H185)=6,COUNT(F174:F185)=6),cubic_spline(F173:F179,H173:H179,B$4),IF(AND(COUNT(H174:H185)=7,COUNT(F174:F185)=7),cubic_spline(F173:F180,H173:H180,B$4),IF(AND(COUNT(H174:H185)=8,COUNT(F174:F185)=8),cubic_spline(F173:F181,H173:H181,B$4),IF(AND(COUNT(H174:H185)=9,COUNT(F174:F185)=9),cubic_spline(F173:F182,H173:H182,B$4),IF(AND(COUNT(H174:H185)=10,COUNT(F174:F185)=10),cubic_spline(F173:F183,H173:H183,B$4),IF(AND(COUNT(H174:H185)=11,COUNT(F174:F185)=11),cubic_spline(F173:F184,H173:H184,B$4),IF(AND(COUNT(H174:H185)=12,COUNT(F174:F185)=12),cubic_spline(F173:F185,H173:H185,B$4),""))))))))))))</f>
        <v/>
      </c>
      <c r="K176" s="52" t="str">
        <f>IF(N(B$4)=0,"",IF(AND(COUNT(A174:A185)=2,COUNT(F174:F185)=2),cubic_spline(F173:F175,A173:A175,B$4),IF(AND(COUNT(A174:A185)=3,COUNT(F174:F185)=3),cubic_spline(F173:F176,A173:A176,B$4),IF(AND(COUNT(A174:A185)=4,COUNT(F174:F185)=4),cubic_spline(F173:F177,A173:A177,B$4),IF(AND(COUNT(A174:A185)=5,COUNT(F174:F185)=5),cubic_spline(F173:F178,A173:A178,B$4),IF(AND(COUNT(A174:A185)=6,COUNT(F174:F185)=6),cubic_spline(F173:F179,A173:A179,B$4),IF(AND(COUNT(A174:A185)=7,COUNT(F174:F185)=7),cubic_spline(F173:F180,A173:A180,B$4),IF(AND(COUNT(A174:A185)=8,COUNT(F174:F185)=8),cubic_spline(F173:F181,A173:A181,B$4),IF(AND(COUNT(A174:A185)=9,COUNT(F174:F185)=9),cubic_spline(F173:F182,A173:A182,B$4),IF(AND(COUNT(A174:A185)=10,COUNT(F174:F185)=10),cubic_spline(F173:F183,A173:A183,B$4),IF(AND(COUNT(A174:A185)=11,COUNT(F174:F185)=11),cubic_spline(F173:F184,A173:A184,B$4),IF(AND(COUNT(A174:A185)=12,COUNT(F174:F185)=12),cubic_spline(F173:F185,A173:A185,B$4),""))))))))))))</f>
        <v/>
      </c>
      <c r="L176" s="27" t="str">
        <f>IF(I176="","",B$3&amp;"-"&amp;B$4)</f>
        <v/>
      </c>
      <c r="M176" s="52" t="str">
        <f>IF(N(J176)=0,"",J176-J175)</f>
        <v/>
      </c>
    </row>
    <row r="177" spans="1:13" x14ac:dyDescent="0.35">
      <c r="A177" s="48"/>
      <c r="B177" s="48"/>
      <c r="C177" s="50"/>
      <c r="D177" s="50"/>
      <c r="E177" s="51" t="str">
        <f t="shared" si="63"/>
        <v/>
      </c>
      <c r="F177" s="68" t="str">
        <f t="shared" si="61"/>
        <v/>
      </c>
      <c r="G177" s="69" t="str">
        <f t="shared" si="64"/>
        <v/>
      </c>
      <c r="H177" s="70" t="str">
        <f t="shared" si="62"/>
        <v/>
      </c>
      <c r="I177" s="27" t="str">
        <f>IF(N(J177)=0,"",0&amp;"-"&amp;B$5)</f>
        <v/>
      </c>
      <c r="J177" s="52" t="str">
        <f>IF(N(B$5)=0,"",IF(AND(COUNT(H174:H185)=2,COUNT(F174:F185)=2),cubic_spline(F173:F175,H173:H175,B$5),IF(AND(COUNT(H174:H185)=3,COUNT(F174:F185)=3),cubic_spline(F173:F176,H173:H176,B$5),IF(AND(COUNT(H174:H185)=4,COUNT(F174:F185)=4),cubic_spline(F173:F177,H173:H177,B$5),IF(AND(COUNT(H174:H185)=5,COUNT(F174:F185)=5),cubic_spline(F173:F178,H173:H178,B$5),IF(AND(COUNT(H174:H185)=6,COUNT(F174:F185)=6),cubic_spline(F173:F179,H173:H179,B$5),IF(AND(COUNT(H174:H185)=7,COUNT(F174:F185)=7),cubic_spline(F173:F180,H173:H180,B$5),IF(AND(COUNT(H174:H185)=8,COUNT(F174:F185)=8),cubic_spline(F173:F181,H173:H181,B$5),IF(AND(COUNT(H174:H185)=9,COUNT(F174:F185)=9),cubic_spline(F173:F182,H173:H182,B$5),IF(AND(COUNT(H174:H185)=10,COUNT(F174:F185)=10),cubic_spline(F173:F183,H173:H183,B$5),IF(AND(COUNT(H174:H185)=11,COUNT(F174:F185)=11),cubic_spline(F173:F184,H173:H184,B$5),IF(AND(COUNT(H174:H185)=12,COUNT(F174:F185)=12),cubic_spline(F173:F185,H173:H185,B$5),""))))))))))))</f>
        <v/>
      </c>
      <c r="K177" s="52" t="str">
        <f>IF(N(B$5)=0,"",IF(AND(COUNT(A174:A185)=2,COUNT(F174:F185)=2),cubic_spline(F173:F175,A173:A175,B$5),IF(AND(COUNT(A174:A185)=3,COUNT(F174:F185)=3),cubic_spline(F173:F176,A173:A176,B$5),IF(AND(COUNT(A174:A185)=4,COUNT(F174:F185)=4),cubic_spline(F173:F177,A173:A177,B$5),IF(AND(COUNT(A174:A185)=5,COUNT(F174:F185)=5),cubic_spline(F173:F178,A173:A178,B$5),IF(AND(COUNT(A174:A185)=6,COUNT(F174:F185)=6),cubic_spline(F173:F179,A173:A179,B$5),IF(AND(COUNT(A174:A185)=7,COUNT(F174:F185)=7),cubic_spline(F173:F180,A173:A180,B$5),IF(AND(COUNT(A174:A185)=8,COUNT(F174:F185)=8),cubic_spline(F173:F181,A173:A181,B$5),IF(AND(COUNT(A174:A185)=9,COUNT(F174:F185)=9),cubic_spline(F173:F182,A173:A182,B$5),IF(AND(COUNT(A174:A185)=10,COUNT(F174:F185)=10),cubic_spline(F173:F183,A173:A183,B$5),IF(AND(COUNT(A174:A185)=11,COUNT(F174:F185)=11),cubic_spline(F173:F184,A173:A184,B$5),IF(AND(COUNT(A174:A185)=12,COUNT(F174:F185)=12),cubic_spline(F173:F185,A173:A185,B$5),""))))))))))))</f>
        <v/>
      </c>
      <c r="L177" s="27" t="str">
        <f>IF(I177="","",B$4&amp;"-"&amp;B$5)</f>
        <v/>
      </c>
      <c r="M177" s="52" t="str">
        <f>IF(N(J177)=0,"",J177-J176)</f>
        <v/>
      </c>
    </row>
    <row r="178" spans="1:13" x14ac:dyDescent="0.35">
      <c r="A178" s="48"/>
      <c r="B178" s="48"/>
      <c r="C178" s="50"/>
      <c r="D178" s="50"/>
      <c r="E178" s="51" t="str">
        <f t="shared" si="63"/>
        <v/>
      </c>
      <c r="F178" s="71" t="str">
        <f t="shared" si="61"/>
        <v/>
      </c>
      <c r="G178" s="69" t="str">
        <f t="shared" si="64"/>
        <v/>
      </c>
      <c r="H178" s="70" t="str">
        <f t="shared" si="62"/>
        <v/>
      </c>
      <c r="I178" s="27" t="str">
        <f>IF(N(J178)=0,"",0&amp;"-"&amp;B$6)</f>
        <v/>
      </c>
      <c r="J178" s="52" t="str">
        <f>IF(N(B$6)=0,"",IF(AND(COUNT(H174:H185)=2,COUNT(F174:F185)=2),cubic_spline(F173:F175,H173:H175,B$6),IF(AND(COUNT(H174:H185)=3,COUNT(F174:F185)=3),cubic_spline(F173:F176,H173:H176,B$6),IF(AND(COUNT(H174:H185)=4,COUNT(F174:F185)=4),cubic_spline(F173:F177,H173:H177,B$6),IF(AND(COUNT(H174:H185)=5,COUNT(F174:F185)=5),cubic_spline(F173:F178,H173:H178,B$6),IF(AND(COUNT(H174:H185)=6,COUNT(F174:F185)=6),cubic_spline(F173:F179,H173:H179,B$6),IF(AND(COUNT(H174:H185)=7,COUNT(F174:F185)=7),cubic_spline(F173:F180,H173:H180,B$6),IF(AND(COUNT(H174:H185)=8,COUNT(F174:F185)=8),cubic_spline(F173:F181,H173:H181,B$6),IF(AND(COUNT(H174:H185)=9,COUNT(F174:F185)=9),cubic_spline(F173:F182,H173:H182,B$6),IF(AND(COUNT(H174:H185)=10,COUNT(F174:F185)=10),cubic_spline(F173:F183,H173:H183,B$6),IF(AND(COUNT(H174:H185)=11,COUNT(F174:F185)=11),cubic_spline(F173:F184,H173:H184,B$6),IF(AND(COUNT(H174:H185)=12,COUNT(F174:F185)=12),cubic_spline(F173:F185,H173:H185,B$6),""))))))))))))</f>
        <v/>
      </c>
      <c r="K178" s="52" t="str">
        <f>IF(N(B$6)=0,"",IF(AND(COUNT(A174:A185)=2,COUNT(F174:F185)=2),cubic_spline(F173:F175,A173:A175,B$6),IF(AND(COUNT(A174:A185)=3,COUNT(F174:F185)=3),cubic_spline(F173:F176,A173:A176,B$6),IF(AND(COUNT(A174:A185)=4,COUNT(F174:F185)=4),cubic_spline(F173:F177,A173:A177,B$6),IF(AND(COUNT(A174:A185)=5,COUNT(F174:F185)=5),cubic_spline(F173:F178,A173:A178,B$6),IF(AND(COUNT(A174:A185)=6,COUNT(F174:F185)=6),cubic_spline(F173:F179,A173:A179,B$6),IF(AND(COUNT(A174:A185)=7,COUNT(F174:F185)=7),cubic_spline(F173:F180,A173:A180,B$6),IF(AND(COUNT(A174:A185)=8,COUNT(F174:F185)=8),cubic_spline(F173:F181,A173:A181,B$6),IF(AND(COUNT(A174:A185)=9,COUNT(F174:F185)=9),cubic_spline(F173:F182,A173:A182,B$6),IF(AND(COUNT(A174:A185)=10,COUNT(F174:F185)=10),cubic_spline(F173:F183,A173:A183,B$6),IF(AND(COUNT(A174:A185)=11,COUNT(F174:F185)=11),cubic_spline(F173:F184,A173:A184,B$6),IF(AND(COUNT(A174:A185)=12,COUNT(F174:F185)=12),cubic_spline(F173:F185,A173:A185,B$6),""))))))))))))</f>
        <v/>
      </c>
      <c r="L178" s="27" t="str">
        <f>IF(I178="","",B$5&amp;"-"&amp;B$6)</f>
        <v/>
      </c>
      <c r="M178" s="52" t="str">
        <f>IF(N(J178)=0,"",J178-J177)</f>
        <v/>
      </c>
    </row>
    <row r="179" spans="1:13" x14ac:dyDescent="0.35">
      <c r="A179" s="48"/>
      <c r="B179" s="48"/>
      <c r="C179" s="50"/>
      <c r="D179" s="50"/>
      <c r="E179" s="51" t="str">
        <f t="shared" si="63"/>
        <v/>
      </c>
      <c r="F179" s="71" t="str">
        <f t="shared" si="61"/>
        <v/>
      </c>
      <c r="G179" s="69" t="str">
        <f t="shared" si="64"/>
        <v/>
      </c>
      <c r="H179" s="70" t="str">
        <f t="shared" si="62"/>
        <v/>
      </c>
      <c r="I179" s="27" t="str">
        <f>IF(N(J179)=0,"",0&amp;"-"&amp;B$7)</f>
        <v/>
      </c>
      <c r="J179" s="52" t="str">
        <f>IF(N(B$7)=0,"",IF(AND(COUNT(H174:H185)=2,COUNT(F174:F185)=2),cubic_spline(F173:F175,H173:H175,B$7),IF(AND(COUNT(H174:H185)=3,COUNT(F174:F185)=3),cubic_spline(F173:F176,H173:H176,B$7),IF(AND(COUNT(H174:H185)=4,COUNT(F174:F185)=4),cubic_spline(F173:F177,H173:H177,B$7),IF(AND(COUNT(H174:H185)=5,COUNT(F174:F185)=5),cubic_spline(F173:F178,H173:H178,B$7),IF(AND(COUNT(H174:H185)=6,COUNT(F174:F185)=6),cubic_spline(F173:F179,H173:H179,B$7),IF(AND(COUNT(H174:H185)=7,COUNT(F174:F185)=7),cubic_spline(F173:F180,H173:H180,B$7),IF(AND(COUNT(H174:H185)=8,COUNT(F174:F185)=8),cubic_spline(F173:F181,H173:H181,B$7),IF(AND(COUNT(H174:H185)=9,COUNT(F174:F185)=9),cubic_spline(F173:F182,H173:H182,B$7),IF(AND(COUNT(H174:H185)=10,COUNT(F174:F185)=10),cubic_spline(F173:F183,H173:H183,B$7),IF(AND(COUNT(H174:H185)=11,COUNT(F174:F185)=11),cubic_spline(F173:F184,H173:H184,B$7),IF(AND(COUNT(H174:H185)=12,COUNT(F174:F185)=12),cubic_spline(F173:F185,H173:H185,B$7),""))))))))))))</f>
        <v/>
      </c>
      <c r="K179" s="52" t="str">
        <f>IF(N(B$7)=0,"",IF(AND(COUNT(A174:A185)=2,COUNT(F174:F185)=2),cubic_spline(F173:F175,A173:A175,B$7),IF(AND(COUNT(A174:A185)=3,COUNT(F174:F185)=3),cubic_spline(F173:F176,A173:A176,B$7),IF(AND(COUNT(A174:A185)=4,COUNT(F174:F185)=4),cubic_spline(F173:F177,A173:A177,B$7),IF(AND(COUNT(A174:A185)=5,COUNT(F174:F185)=5),cubic_spline(F173:F178,A173:A178,B$7),IF(AND(COUNT(A174:A185)=6,COUNT(F174:F185)=6),cubic_spline(F173:F179,A173:A179,B$7),IF(AND(COUNT(A174:A185)=7,COUNT(F174:F185)=7),cubic_spline(F173:F180,A173:A180,B$7),IF(AND(COUNT(A174:A185)=8,COUNT(F174:F185)=8),cubic_spline(F173:F181,A173:A181,B$7),IF(AND(COUNT(A174:A185)=9,COUNT(F174:F185)=9),cubic_spline(F173:F182,A173:A182,B$7),IF(AND(COUNT(A174:A185)=10,COUNT(F174:F185)=10),cubic_spline(F173:F183,A173:A183,B$7),IF(AND(COUNT(A174:A185)=11,COUNT(F174:F185)=11),cubic_spline(F173:F184,A173:A184,B$7),IF(AND(COUNT(A174:A185)=12,COUNT(F174:F185)=12),cubic_spline(F173:F185,A173:A185,B$7),""))))))))))))</f>
        <v/>
      </c>
      <c r="L179" s="27" t="str">
        <f>IF(I179="","",B$6&amp;"-"&amp;B$7)</f>
        <v/>
      </c>
      <c r="M179" s="52" t="str">
        <f t="shared" ref="M179:M185" si="65">IF(N(J179)=0,"",J179-J178)</f>
        <v/>
      </c>
    </row>
    <row r="180" spans="1:13" x14ac:dyDescent="0.35">
      <c r="A180" s="48"/>
      <c r="B180" s="48"/>
      <c r="C180" s="50"/>
      <c r="D180" s="50"/>
      <c r="E180" s="51" t="str">
        <f t="shared" si="63"/>
        <v/>
      </c>
      <c r="F180" s="71" t="str">
        <f t="shared" si="61"/>
        <v/>
      </c>
      <c r="G180" s="69" t="str">
        <f t="shared" si="64"/>
        <v/>
      </c>
      <c r="H180" s="70" t="str">
        <f t="shared" si="62"/>
        <v/>
      </c>
      <c r="I180" s="27" t="str">
        <f>IF(N(J180)=0,"",0&amp;"-"&amp;B$8)</f>
        <v/>
      </c>
      <c r="J180" s="52" t="str">
        <f>IF(N(B$8)=0,"",IF(AND(COUNT(H174:H185)=2,COUNT(F174:F185)=2),cubic_spline(F173:F175,H173:H175,B$8),IF(AND(COUNT(H174:H185)=3,COUNT(F174:F185)=3),cubic_spline(F173:F176,H173:H176,B$8),IF(AND(COUNT(H174:H185)=4,COUNT(F174:F185)=4),cubic_spline(F173:F177,H173:H177,B$8),IF(AND(COUNT(H174:H185)=5,COUNT(F174:F185)=5),cubic_spline(F173:F178,H173:H178,B$8),IF(AND(COUNT(H174:H185)=6,COUNT(F174:F185)=6),cubic_spline(F173:F179,H173:H179,B$8),IF(AND(COUNT(H174:H185)=7,COUNT(F174:F185)=7),cubic_spline(F173:F180,H173:H180,B$8),IF(AND(COUNT(H174:H185)=8,COUNT(F174:F185)=8),cubic_spline(F173:F181,H173:H181,B$8),IF(AND(COUNT(H174:H185)=9,COUNT(F174:F185)=9),cubic_spline(F173:F182,H173:H182,B$8),IF(AND(COUNT(H174:H185)=10,COUNT(F174:F185)=10),cubic_spline(F173:F183,H173:H183,B$8),IF(AND(COUNT(H174:H185)=11,COUNT(F174:F185)=11),cubic_spline(F173:F184,H173:H184,B$8),IF(AND(COUNT(H174:H185)=12,COUNT(F174:F185)=12),cubic_spline(F173:F185,H173:H185,B$8),""))))))))))))</f>
        <v/>
      </c>
      <c r="K180" s="52" t="str">
        <f>IF(N(B$8)=0,"",IF(AND(COUNT(A174:A185)=2,COUNT(F174:F185)=2),cubic_spline(F173:F175,A173:A175,B$8),IF(AND(COUNT(A174:A185)=3,COUNT(F174:F185)=3),cubic_spline(F173:F176,A173:A176,B$8),IF(AND(COUNT(A174:A185)=4,COUNT(F174:F185)=4),cubic_spline(F173:F177,A173:A177,B$8),IF(AND(COUNT(A174:A185)=5,COUNT(F174:F185)=5),cubic_spline(F173:F178,A173:A178,B$8),IF(AND(COUNT(A174:A185)=6,COUNT(F174:F185)=6),cubic_spline(F173:F179,A173:A179,B$8),IF(AND(COUNT(A174:A185)=7,COUNT(F174:F185)=7),cubic_spline(F173:F180,A173:A180,B$8),IF(AND(COUNT(A174:A185)=8,COUNT(F174:F185)=8),cubic_spline(F173:F181,A173:A181,B$8),IF(AND(COUNT(A174:A185)=9,COUNT(F174:F185)=9),cubic_spline(F173:F182,A173:A182,B$8),IF(AND(COUNT(A174:A185)=10,COUNT(F174:F185)=10),cubic_spline(F173:F183,A173:A183,B$8),IF(AND(COUNT(A174:A185)=11,COUNT(F174:F185)=11),cubic_spline(F173:F184,A173:A184,B$8),IF(AND(COUNT(A174:A185)=12,COUNT(F174:F185)=12),cubic_spline(F173:F185,A173:A185,B$8),""))))))))))))</f>
        <v/>
      </c>
      <c r="L180" s="27" t="str">
        <f>IF(I180="","",B$7&amp;"-"&amp;B$8)</f>
        <v/>
      </c>
      <c r="M180" s="52" t="str">
        <f t="shared" si="65"/>
        <v/>
      </c>
    </row>
    <row r="181" spans="1:13" x14ac:dyDescent="0.35">
      <c r="A181" s="48"/>
      <c r="B181" s="48"/>
      <c r="C181" s="50"/>
      <c r="D181" s="50"/>
      <c r="E181" s="51" t="str">
        <f t="shared" si="63"/>
        <v/>
      </c>
      <c r="F181" s="71" t="str">
        <f t="shared" si="61"/>
        <v/>
      </c>
      <c r="G181" s="69" t="str">
        <f t="shared" si="64"/>
        <v/>
      </c>
      <c r="H181" s="70" t="str">
        <f t="shared" si="62"/>
        <v/>
      </c>
      <c r="I181" s="27" t="str">
        <f>IF(N(J181)=0,"",0&amp;"-"&amp;B$9)</f>
        <v/>
      </c>
      <c r="J181" s="52" t="str">
        <f>IF(N(B$9)=0,"",IF(AND(COUNT(H174:H185)=2,COUNT(F174:F185)=2),cubic_spline(F173:F175,H173:H175,B$9),IF(AND(COUNT(H174:H185)=3,COUNT(F174:F185)=3),cubic_spline(F173:F176,H173:H176,B$9),IF(AND(COUNT(H174:H185)=4,COUNT(F174:F185)=4),cubic_spline(F173:F177,H173:H177,B$9),IF(AND(COUNT(H174:H185)=5,COUNT(F174:F185)=5),cubic_spline(F173:F178,H173:H178,B$9),IF(AND(COUNT(H174:H185)=6,COUNT(F174:F185)=6),cubic_spline(F173:F179,H173:H179,B$9),IF(AND(COUNT(H174:H185)=7,COUNT(F174:F185)=7),cubic_spline(F173:F180,H173:H180,B$9),IF(AND(COUNT(H174:H185)=8,COUNT(F174:F185)=8),cubic_spline(F173:F181,H173:H181,B$9),IF(AND(COUNT(H174:H185)=9,COUNT(F174:F185)=9),cubic_spline(F173:F182,H173:H182,B$9),IF(AND(COUNT(H174:H185)=10,COUNT(F174:F185)=10),cubic_spline(F173:F183,H173:H183,B$9),IF(AND(COUNT(H174:H185)=11,COUNT(F174:F185)=11),cubic_spline(F173:F184,H173:H184,B$9),IF(AND(COUNT(H174:H185)=12,COUNT(F174:F185)=12),cubic_spline(F173:F185,H173:H185,B$9),""))))))))))))</f>
        <v/>
      </c>
      <c r="K181" s="52" t="str">
        <f>IF(N(B$9)=0,"",IF(AND(COUNT(A174:A185)=2,COUNT(F174:F185)=2),cubic_spline(F173:F175,A173:A175,B$9),IF(AND(COUNT(A174:A185)=3,COUNT(F174:F185)=3),cubic_spline(F173:F176,A173:A176,B$9),IF(AND(COUNT(A174:A185)=4,COUNT(F174:F185)=4),cubic_spline(F173:F177,A173:A177,B$9),IF(AND(COUNT(A174:A185)=5,COUNT(F174:F185)=5),cubic_spline(F173:F178,A173:A178,B$9),IF(AND(COUNT(A174:A185)=6,COUNT(F174:F185)=6),cubic_spline(F173:F179,A173:A179,B$9),IF(AND(COUNT(A174:A185)=7,COUNT(F174:F185)=7),cubic_spline(F173:F180,A173:A180,B$9),IF(AND(COUNT(A174:A185)=8,COUNT(F174:F185)=8),cubic_spline(F173:F181,A173:A181,B$9),IF(AND(COUNT(A174:A185)=9,COUNT(F174:F185)=9),cubic_spline(F173:F182,A173:A182,B$9),IF(AND(COUNT(A174:A185)=10,COUNT(F174:F185)=10),cubic_spline(F173:F183,A173:A183,B$9),IF(AND(COUNT(A174:A185)=11,COUNT(F174:F185)=11),cubic_spline(F173:F184,A173:A184,B$9),IF(AND(COUNT(A174:A185)=12,COUNT(F174:F185)=12),cubic_spline(F173:F185,A173:A185,B$9),""))))))))))))</f>
        <v/>
      </c>
      <c r="L181" s="27" t="str">
        <f>IF(I181="","",B$8&amp;"-"&amp;B$9)</f>
        <v/>
      </c>
      <c r="M181" s="52" t="str">
        <f t="shared" si="65"/>
        <v/>
      </c>
    </row>
    <row r="182" spans="1:13" x14ac:dyDescent="0.35">
      <c r="A182" s="48"/>
      <c r="B182" s="48"/>
      <c r="C182" s="50"/>
      <c r="D182" s="50"/>
      <c r="E182" s="51" t="str">
        <f t="shared" si="63"/>
        <v/>
      </c>
      <c r="F182" s="71" t="str">
        <f t="shared" si="61"/>
        <v/>
      </c>
      <c r="G182" s="69" t="str">
        <f t="shared" si="64"/>
        <v/>
      </c>
      <c r="H182" s="70" t="str">
        <f t="shared" si="62"/>
        <v/>
      </c>
      <c r="I182" s="27" t="str">
        <f>IF(N(J182)=0,"",0&amp;"-"&amp;B$10)</f>
        <v/>
      </c>
      <c r="J182" s="52" t="str">
        <f>IF(N(B$10)=0,"",IF(AND(COUNT(H174:H185)=2,COUNT(F174:F185)=2),cubic_spline(F173:F175,H173:H175,B$10),IF(AND(COUNT(H174:H185)=3,COUNT(F174:F185)=3),cubic_spline(F173:F176,H173:H176,B$10),IF(AND(COUNT(H174:H185)=4,COUNT(F174:F185)=4),cubic_spline(F173:F177,H173:H177,B$10),IF(AND(COUNT(H174:H185)=5,COUNT(F174:F185)=5),cubic_spline(F173:F178,H173:H178,B$10),IF(AND(COUNT(H174:H185)=6,COUNT(F174:F185)=6),cubic_spline(F173:F179,H173:H179,B$10),IF(AND(COUNT(H174:H185)=7,COUNT(F174:F185)=7),cubic_spline(F173:F180,H173:H180,B$10),IF(AND(COUNT(H174:H185)=8,COUNT(F174:F185)=8),cubic_spline(F173:F181,H173:H181,B$10),IF(AND(COUNT(H174:H185)=9,COUNT(F174:F185)=9),cubic_spline(F173:F182,H173:H182,B$10),IF(AND(COUNT(H174:H185)=10,COUNT(F174:F185)=10),cubic_spline(F173:F183,H173:H183,B$10),IF(AND(COUNT(H174:H185)=11,COUNT(F174:F185)=11),cubic_spline(F173:F184,H173:H184,B$10),IF(AND(COUNT(H174:H185)=12,COUNT(F174:F185)=12),cubic_spline(F173:F185,H173:H185,B$10),""))))))))))))</f>
        <v/>
      </c>
      <c r="K182" s="52" t="str">
        <f>IF(N(B$10)=0,"",IF(AND(COUNT(A174:A185)=2,COUNT(F174:F185)=2),cubic_spline(F173:F175,A173:A175,B$10),IF(AND(COUNT(A174:A185)=3,COUNT(F174:F185)=3),cubic_spline(F173:F176,A173:A176,B$10),IF(AND(COUNT(A174:A185)=4,COUNT(F174:F185)=4),cubic_spline(F173:F177,A173:A177,B$10),IF(AND(COUNT(A174:A185)=5,COUNT(F174:F185)=5),cubic_spline(F173:F178,A173:A178,B$10),IF(AND(COUNT(A174:A185)=6,COUNT(F174:F185)=6),cubic_spline(F173:F179,A173:A179,B$10),IF(AND(COUNT(A174:A185)=7,COUNT(F174:F185)=7),cubic_spline(F173:F180,A173:A180,B$10),IF(AND(COUNT(A174:A185)=8,COUNT(F174:F185)=8),cubic_spline(F173:F181,A173:A181,B$10),IF(AND(COUNT(A174:A185)=9,COUNT(F174:F185)=9),cubic_spline(F173:F182,A173:A182,B$10),IF(AND(COUNT(A174:A185)=10,COUNT(F174:F185)=10),cubic_spline(F173:F183,A173:A183,B$10),IF(AND(COUNT(A174:A185)=11,COUNT(F174:F185)=11),cubic_spline(F173:F184,A173:A184,B$10),IF(AND(COUNT(A174:A185)=12,COUNT(F174:F185)=12),cubic_spline(F173:F185,A173:A185,B$10),""))))))))))))</f>
        <v/>
      </c>
      <c r="L182" s="27" t="str">
        <f>IF(I182="","",B$9&amp;"-"&amp;B$10)</f>
        <v/>
      </c>
      <c r="M182" s="52" t="str">
        <f t="shared" si="65"/>
        <v/>
      </c>
    </row>
    <row r="183" spans="1:13" x14ac:dyDescent="0.35">
      <c r="A183" s="48"/>
      <c r="B183" s="48"/>
      <c r="C183" s="50"/>
      <c r="D183" s="50"/>
      <c r="E183" s="51" t="str">
        <f t="shared" si="63"/>
        <v/>
      </c>
      <c r="F183" s="71" t="str">
        <f t="shared" si="61"/>
        <v/>
      </c>
      <c r="G183" s="69" t="str">
        <f t="shared" si="64"/>
        <v/>
      </c>
      <c r="H183" s="70" t="str">
        <f t="shared" si="62"/>
        <v/>
      </c>
      <c r="I183" s="27" t="str">
        <f>IF(N(J183)=0,"",0&amp;"-"&amp;B$11)</f>
        <v/>
      </c>
      <c r="J183" s="52" t="str">
        <f>IF(N(B$11)=0,"",IF(AND(COUNT(H174:H185)=2,COUNT(F174:F185)=2),cubic_spline(F173:F175,H173:H175,B$11),IF(AND(COUNT(H174:H185)=3,COUNT(F174:F185)=3),cubic_spline(F173:F176,H173:H176,B$11),IF(AND(COUNT(H174:H185)=4,COUNT(F174:F185)=4),cubic_spline(F173:F177,H173:H177,B$11),IF(AND(COUNT(H174:H185)=5,COUNT(F174:F185)=5),cubic_spline(F173:F178,H173:H178,B$11),IF(AND(COUNT(H174:H185)=6,COUNT(F174:F185)=6),cubic_spline(F173:F179,H173:H179,B$11),IF(AND(COUNT(H174:H185)=7,COUNT(F174:F185)=7),cubic_spline(F173:F180,H173:H180,B$11),IF(AND(COUNT(H174:H185)=8,COUNT(F174:F185)=8),cubic_spline(F173:F181,H173:H181,B$11),IF(AND(COUNT(H174:H185)=9,COUNT(F174:F185)=9),cubic_spline(F173:F182,H173:H182,B$11),IF(AND(COUNT(H174:H185)=10,COUNT(F174:F185)=10),cubic_spline(F173:F183,H173:H183,B$11),IF(AND(COUNT(H174:H185)=11,COUNT(F174:F185)=11),cubic_spline(F173:F184,H173:H184,B$11),IF(AND(COUNT(H174:H185)=12,COUNT(F174:F185)=12),cubic_spline(F173:F185,H173:H185,B$11),""))))))))))))</f>
        <v/>
      </c>
      <c r="K183" s="52" t="str">
        <f>IF(N(B$11)=0,"",IF(AND(COUNT(A174:A185)=2,COUNT(F174:F185)=2),cubic_spline(F173:F175,A173:A175,B$11),IF(AND(COUNT(A174:A185)=3,COUNT(F174:F185)=3),cubic_spline(F173:F176,A173:A176,B$11),IF(AND(COUNT(A174:A185)=4,COUNT(F174:F185)=4),cubic_spline(F173:F177,A173:A177,B$11),IF(AND(COUNT(A174:A185)=5,COUNT(F174:F185)=5),cubic_spline(F173:F178,A173:A178,B$11),IF(AND(COUNT(A174:A185)=6,COUNT(F174:F185)=6),cubic_spline(F173:F179,A173:A179,B$11),IF(AND(COUNT(A174:A185)=7,COUNT(F174:F185)=7),cubic_spline(F173:F180,A173:A180,B$11),IF(AND(COUNT(A174:A185)=8,COUNT(F174:F185)=8),cubic_spline(F173:F181,A173:A181,B$11),IF(AND(COUNT(A174:A185)=9,COUNT(F174:F185)=9),cubic_spline(F173:F182,A173:A182,B$11),IF(AND(COUNT(A174:A185)=10,COUNT(F174:F185)=10),cubic_spline(F173:F183,A173:A183,B$11),IF(AND(COUNT(A174:A185)=11,COUNT(F174:F185)=11),cubic_spline(F173:F184,A173:A184,B$11),IF(AND(COUNT(A174:A185)=12,COUNT(F174:F185)=12),cubic_spline(F173:F185,A173:A185,B$11),""))))))))))))</f>
        <v/>
      </c>
      <c r="L183" s="27" t="str">
        <f>IF(I183="","",B$10&amp;"-"&amp;B$11)</f>
        <v/>
      </c>
      <c r="M183" s="52" t="str">
        <f t="shared" si="65"/>
        <v/>
      </c>
    </row>
    <row r="184" spans="1:13" x14ac:dyDescent="0.35">
      <c r="A184" s="48"/>
      <c r="B184" s="48"/>
      <c r="C184" s="50"/>
      <c r="D184" s="50"/>
      <c r="E184" s="51" t="str">
        <f t="shared" si="63"/>
        <v/>
      </c>
      <c r="F184" s="71" t="str">
        <f t="shared" si="61"/>
        <v/>
      </c>
      <c r="G184" s="69" t="str">
        <f t="shared" si="64"/>
        <v/>
      </c>
      <c r="H184" s="70" t="str">
        <f t="shared" si="62"/>
        <v/>
      </c>
      <c r="I184" s="27" t="str">
        <f>IF(N(J184)=0,"",0&amp;"-"&amp;B$12)</f>
        <v/>
      </c>
      <c r="J184" s="52" t="str">
        <f>IF(N(B$12)=0,"",IF(AND(COUNT(H174:H185)=2,COUNT(F174:F185)=2),cubic_spline(F173:F175,H173:H175,B$12),IF(AND(COUNT(H174:H185)=3,COUNT(F174:F185)=3),cubic_spline(F173:F176,H173:H176,B$12),IF(AND(COUNT(H174:H185)=4,COUNT(F174:F185)=4),cubic_spline(F173:F177,H173:H177,B$12),IF(AND(COUNT(H174:H185)=5,COUNT(F174:F185)=5),cubic_spline(F173:F178,H173:H178,B$12),IF(AND(COUNT(H174:H185)=6,COUNT(F174:F185)=6),cubic_spline(F173:F179,H173:H179,B$12),IF(AND(COUNT(H174:H185)=7,COUNT(F174:F185)=7),cubic_spline(F173:F180,H173:H180,B$12),IF(AND(COUNT(H174:H185)=8,COUNT(F174:F185)=8),cubic_spline(F173:F181,H173:H181,B$12),IF(AND(COUNT(H174:H185)=9,COUNT(F174:F185)=9),cubic_spline(F173:F182,H173:H182,B$12),IF(AND(COUNT(H174:H185)=10,COUNT(F174:F185)=10),cubic_spline(F173:F183,H173:H183,B$12),IF(AND(COUNT(H174:H185)=11,COUNT(F174:F185)=11),cubic_spline(F173:F184,H173:H184,B$12),IF(AND(COUNT(H174:H185)=12,COUNT(F174:F185)=12),cubic_spline(F173:F185,H173:H185,B$12),""))))))))))))</f>
        <v/>
      </c>
      <c r="K184" s="52" t="str">
        <f>IF(N(B$12)=0,"",IF(AND(COUNT(A174:A185)=2,COUNT(F174:F185)=2),cubic_spline(F173:F175,A173:A175,B$12),IF(AND(COUNT(A174:A185)=3,COUNT(F174:F185)=3),cubic_spline(F173:F176,A173:A176,B$12),IF(AND(COUNT(A174:A185)=4,COUNT(F174:F185)=4),cubic_spline(F173:F177,A173:A177,B$12),IF(AND(COUNT(A174:A185)=5,COUNT(F174:F185)=5),cubic_spline(F173:F178,A173:A178,B$12),IF(AND(COUNT(A174:A185)=6,COUNT(F174:F185)=6),cubic_spline(F173:F179,A173:A179,B$12),IF(AND(COUNT(A174:A185)=7,COUNT(F174:F185)=7),cubic_spline(F173:F180,A173:A180,B$12),IF(AND(COUNT(A174:A185)=8,COUNT(F174:F185)=8),cubic_spline(F173:F181,A173:A181,B$12),IF(AND(COUNT(A174:A185)=9,COUNT(F174:F185)=9),cubic_spline(F173:F182,A173:A182,B$12),IF(AND(COUNT(A174:A185)=10,COUNT(F174:F185)=10),cubic_spline(F173:F183,A173:A183,B$12),IF(AND(COUNT(A174:A185)=11,COUNT(F174:F185)=11),cubic_spline(F173:F184,A173:A184,B$12),IF(AND(COUNT(A174:A185)=12,COUNT(F174:F185)=12),cubic_spline(F173:F185,A173:A185,B$12),""))))))))))))</f>
        <v/>
      </c>
      <c r="L184" s="27" t="str">
        <f>IF(I184="","",B$11&amp;"-"&amp;B$12)</f>
        <v/>
      </c>
      <c r="M184" s="52" t="str">
        <f t="shared" si="65"/>
        <v/>
      </c>
    </row>
    <row r="185" spans="1:13" x14ac:dyDescent="0.35">
      <c r="A185" s="48"/>
      <c r="B185" s="48"/>
      <c r="C185" s="50"/>
      <c r="D185" s="50"/>
      <c r="E185" s="51" t="str">
        <f t="shared" si="63"/>
        <v/>
      </c>
      <c r="F185" s="71" t="str">
        <f t="shared" si="61"/>
        <v/>
      </c>
      <c r="G185" s="69" t="str">
        <f t="shared" si="64"/>
        <v/>
      </c>
      <c r="H185" s="70" t="str">
        <f t="shared" si="62"/>
        <v/>
      </c>
      <c r="I185" s="27" t="str">
        <f>IF(N(J185)=0,"",0&amp;"-"&amp;B$13)</f>
        <v/>
      </c>
      <c r="J185" s="52" t="str">
        <f>IF(N(B$13)=0,"",IF(AND(COUNT(H174:H185)=2,COUNT(F174:F185)=2),cubic_spline(F173:F175,H173:H175,B$13),IF(AND(COUNT(H174:H185)=3,COUNT(F174:F185)=3),cubic_spline(F173:F176,H173:H176,B$13),IF(AND(COUNT(H174:H185)=4,COUNT(F174:F185)=4),cubic_spline(F173:F177,H173:H177,B$13),IF(AND(COUNT(H174:H185)=5,COUNT(F174:F185)=5),cubic_spline(F173:F178,H173:H178,B$13),IF(AND(COUNT(H174:H185)=6,COUNT(F174:F185)=6),cubic_spline(F173:F179,H173:H179,B$13),IF(AND(COUNT(H174:H185)=7,COUNT(F174:F185)=7),cubic_spline(F173:F180,H173:H180,B$13),IF(AND(COUNT(H174:H185)=8,COUNT(F174:F185)=8),cubic_spline(F173:F181,H173:H181,B$13),IF(AND(COUNT(H174:H185)=9,COUNT(F174:F185)=9),cubic_spline(F173:F182,H173:H182,B$13),IF(AND(COUNT(H174:H185)=10,COUNT(F174:F185)=10),cubic_spline(F173:F183,H173:H183,B$13),IF(AND(COUNT(H174:H185)=11,COUNT(F174:F185)=11),cubic_spline(F173:F184,H173:H184,B$13),IF(AND(COUNT(H174:H185)=12,COUNT(F174:F185)=12),cubic_spline(F173:F185,H173:H185,B$13),""))))))))))))</f>
        <v/>
      </c>
      <c r="K185" s="52" t="str">
        <f>IF(N(B$13)=0,"",IF(AND(COUNT(A174:A185)=2,COUNT(F174:F185)=2),cubic_spline(F173:F175,A173:A175,B$13),IF(AND(COUNT(A174:A185)=3,COUNT(F174:F185)=3),cubic_spline(F173:F176,A173:A176,B$13),IF(AND(COUNT(A174:A185)=4,COUNT(F174:F185)=4),cubic_spline(F173:F177,A173:A177,B$13),IF(AND(COUNT(A174:A185)=5,COUNT(F174:F185)=5),cubic_spline(F173:F178,A173:A178,B$13),IF(AND(COUNT(A174:A185)=6,COUNT(F174:F185)=6),cubic_spline(F173:F179,A173:A179,B$13),IF(AND(COUNT(A174:A185)=7,COUNT(F174:F185)=7),cubic_spline(F173:F180,A173:A180,B$13),IF(AND(COUNT(A174:A185)=8,COUNT(F174:F185)=8),cubic_spline(F173:F181,A173:A181,B$13),IF(AND(COUNT(A174:A185)=9,COUNT(F174:F185)=9),cubic_spline(F173:F182,A173:A182,B$13),IF(AND(COUNT(A174:A185)=10,COUNT(F174:F185)=10),cubic_spline(F173:F183,A173:A183,B$13),IF(AND(COUNT(A174:A185)=11,COUNT(F174:F185)=11),cubic_spline(F173:F184,A173:A184,B$13),IF(AND(COUNT(A174:A185)=12,COUNT(F174:F185)=12),cubic_spline(F173:F185,A173:A185,B$13),""))))))))))))</f>
        <v/>
      </c>
      <c r="L185" s="27" t="str">
        <f>IF(I185="","",B$12&amp;"-"&amp;B$13)</f>
        <v/>
      </c>
      <c r="M185" s="52" t="str">
        <f t="shared" si="65"/>
        <v/>
      </c>
    </row>
    <row r="186" spans="1:13" ht="5.15" customHeight="1" x14ac:dyDescent="0.35">
      <c r="A186" s="47"/>
      <c r="B186" s="47"/>
      <c r="C186" s="53"/>
      <c r="D186" s="53"/>
      <c r="E186" s="54"/>
      <c r="F186" s="55"/>
      <c r="G186" s="72"/>
      <c r="H186" s="73"/>
      <c r="I186" s="47"/>
      <c r="J186" s="57"/>
      <c r="K186" s="57"/>
      <c r="L186" s="55"/>
      <c r="M186" s="57"/>
    </row>
    <row r="187" spans="1:13" x14ac:dyDescent="0.35">
      <c r="A187" s="48"/>
      <c r="B187" s="48"/>
      <c r="C187" s="50"/>
      <c r="D187" s="50"/>
      <c r="E187" s="51" t="str">
        <f>IF(N(C187)=0,"",(A187-A186)*C187*100)</f>
        <v/>
      </c>
      <c r="F187" s="68" t="str">
        <f t="shared" ref="F187:F198" si="66">IF(N(E187)=0,"",(N(E187)+N(F186)))</f>
        <v/>
      </c>
      <c r="G187" s="69" t="str">
        <f>IF(OR(N(D187)=0,N(E187)=0),"",(E187*D187)/1000)</f>
        <v/>
      </c>
      <c r="H187" s="70" t="str">
        <f t="shared" ref="H187:H198" si="67">IF(N(G187)=0,"",(N(G187)+N(H186)))</f>
        <v/>
      </c>
      <c r="I187" s="27" t="str">
        <f>IF(N(J187)=0,"",0&amp;"-"&amp;B$2)</f>
        <v/>
      </c>
      <c r="J187" s="52" t="str">
        <f>IF(N(B$2)=0,"",IF(AND(COUNT(H187:H198)=2,COUNT(F187:F198)=2),cubic_spline(F186:F188,H186:H188,B$2),IF(AND(COUNT(H187:H198)=3,COUNT(F187:F198)=3),cubic_spline(F186:F189,H186:H189,B$2),IF(AND(COUNT(H187:H198)=4,COUNT(F187:F198)=4),cubic_spline(F186:F190,H186:H190,B$2),IF(AND(COUNT(H187:H198)=5,COUNT(F187:F198)=5),cubic_spline(F186:F191,H186:H191,B$2),IF(AND(COUNT(H187:H198)=6,COUNT(F187:F198)=6),cubic_spline(F186:F192,H186:H192,B$2),IF(AND(COUNT(H187:H198)=7,COUNT(F187:F198)=7),cubic_spline(F186:F193,H186:H193,B$2),IF(AND(COUNT(H187:H198)=8,COUNT(F187:F198)=8),cubic_spline(F186:F194,H186:H194,B$2),IF(AND(COUNT(H187:H198)=9,COUNT(F187:F198)=9),cubic_spline(F186:F195,H186:H195,B$2),IF(AND(COUNT(H187:H198)=10,COUNT(F187:F198)=10),cubic_spline(F186:F196,H186:H196,B$2),IF(AND(COUNT(H187:H198)=11,COUNT(F187:F198)=11),cubic_spline(F186:F197,H186:H197,B$2),IF(AND(COUNT(H187:H198)=12,COUNT(F187:F198)=12),cubic_spline(F186:F198,H186:H198,B$2),""))))))))))))</f>
        <v/>
      </c>
      <c r="K187" s="52" t="str">
        <f>IF(N(B$2)=0,"",IF(AND(COUNT(A187:A198)=2,COUNT(F187:F198)=2),cubic_spline(F186:F188,A186:A188,B$2),IF(AND(COUNT(A187:A198)=3,COUNT(F187:F198)=3),cubic_spline(F186:F189,A186:A189,B$2),IF(AND(COUNT(A187:A198)=4,COUNT(F187:F198)=4),cubic_spline(F186:F190,A186:A190,B$2),IF(AND(COUNT(A187:A198)=5,COUNT(F187:F198)=5),cubic_spline(F186:F191,A186:A191,B$2),IF(AND(COUNT(A187:A198)=6,COUNT(F187:F198)=6),cubic_spline(F186:F192,A186:A192,B$2),IF(AND(COUNT(A187:A198)=7,COUNT(F187:F198)=7),cubic_spline(F186:F193,A186:A193,B$2),IF(AND(COUNT(A187:A198)=8,COUNT(F187:F198)=8),cubic_spline(F186:F194,A186:A194,B$2),IF(AND(COUNT(A187:A198)=9,COUNT(F187:F198)=9),cubic_spline(F186:F195,A186:A195,B$2),IF(AND(COUNT(A187:A198)=10,COUNT(F187:F198)=10),cubic_spline(F186:F196,A186:A196,B$2),IF(AND(COUNT(A187:A198)=11,COUNT(F187:F198)=11),cubic_spline(F186:F197,A186:A197,B$2),IF(AND(COUNT(A187:A198)=12,COUNT(F187:F198)=12),cubic_spline(F186:F198,A186:A198,B$2),""))))))))))))</f>
        <v/>
      </c>
      <c r="L187" s="27" t="str">
        <f>IF(I187="","",0&amp;"-"&amp;B$2)</f>
        <v/>
      </c>
      <c r="M187" s="52" t="str">
        <f>IF(N(J187)=0,"",J187-J186)</f>
        <v/>
      </c>
    </row>
    <row r="188" spans="1:13" x14ac:dyDescent="0.35">
      <c r="A188" s="48"/>
      <c r="B188" s="48"/>
      <c r="C188" s="50"/>
      <c r="D188" s="50"/>
      <c r="E188" s="51" t="str">
        <f t="shared" ref="E188:E198" si="68">IF(N(C188)=0,"",(A188-A187)*C188*100)</f>
        <v/>
      </c>
      <c r="F188" s="68" t="str">
        <f t="shared" si="66"/>
        <v/>
      </c>
      <c r="G188" s="69" t="str">
        <f t="shared" ref="G188:G198" si="69">IF(OR(N(D188)=0,N(E188)=0),"",(E188*D188)/1000)</f>
        <v/>
      </c>
      <c r="H188" s="70" t="str">
        <f t="shared" si="67"/>
        <v/>
      </c>
      <c r="I188" s="27" t="str">
        <f>IF(N(J188)=0,"",0&amp;"-"&amp;B$3)</f>
        <v/>
      </c>
      <c r="J188" s="52" t="str">
        <f>IF(N(B$3)=0,"",IF(AND(COUNT(H187:H198)=2,COUNT(F187:F198)=2),cubic_spline(F186:F188,H186:H188,B$3),IF(AND(COUNT(H187:H198)=3,COUNT(F187:F198)=3),cubic_spline(F186:F189,H186:H189,B$3),IF(AND(COUNT(H187:H198)=4,COUNT(F187:F198)=4),cubic_spline(F186:F190,H186:H190,B$3),IF(AND(COUNT(H187:H198)=5,COUNT(F187:F198)=5),cubic_spline(F186:F191,H186:H191,B$3),IF(AND(COUNT(H187:H198)=6,COUNT(F187:F198)=6),cubic_spline(F186:F192,H186:H192,B$3),IF(AND(COUNT(H187:H198)=7,COUNT(F187:F198)=7),cubic_spline(F186:F193,H186:H193,B$3),IF(AND(COUNT(H187:H198)=8,COUNT(F187:F198)=8),cubic_spline(F186:F194,H186:H194,B$3),IF(AND(COUNT(H187:H198)=9,COUNT(F187:F198)=9),cubic_spline(F186:F195,H186:H195,B$3),IF(AND(COUNT(H187:H198)=10,COUNT(F187:F198)=10),cubic_spline(F186:F196,H186:H196,B$3),IF(AND(COUNT(H187:H198)=11,COUNT(F187:F198)=11),cubic_spline(F186:F197,H186:H197,B$3),IF(AND(COUNT(H187:H198)=12,COUNT(F187:F198)=12),cubic_spline(F186:F198,H186:H198,B$3),""))))))))))))</f>
        <v/>
      </c>
      <c r="K188" s="52" t="str">
        <f>IF(N(B$3)=0,"",IF(AND(COUNT(A187:A198)=2,COUNT(F187:F198)=2),cubic_spline(F186:F188,A186:A188,B$3),IF(AND(COUNT(A187:A198)=3,COUNT(F187:F198)=3),cubic_spline(F186:F189,A186:A189,B$3),IF(AND(COUNT(A187:A198)=4,COUNT(F187:F198)=4),cubic_spline(F186:F190,A186:A190,B$3),IF(AND(COUNT(A187:A198)=5,COUNT(F187:F198)=5),cubic_spline(F186:F191,A186:A191,B$3),IF(AND(COUNT(A187:A198)=6,COUNT(F187:F198)=6),cubic_spline(F186:F192,A186:A192,B$3),IF(AND(COUNT(A187:A198)=7,COUNT(F187:F198)=7),cubic_spline(F186:F193,A186:A193,B$3),IF(AND(COUNT(A187:A198)=8,COUNT(F187:F198)=8),cubic_spline(F186:F194,A186:A194,B$3),IF(AND(COUNT(A187:A198)=9,COUNT(F187:F198)=9),cubic_spline(F186:F195,A186:A195,B$3),IF(AND(COUNT(A187:A198)=10,COUNT(F187:F198)=10),cubic_spline(F186:F196,A186:A196,B$3),IF(AND(COUNT(A187:A198)=11,COUNT(F187:F198)=11),cubic_spline(F186:F197,A186:A197,B$3),IF(AND(COUNT(A187:A198)=12,COUNT(F187:F198)=12),cubic_spline(F186:F198,A186:A198,B$3),""))))))))))))</f>
        <v/>
      </c>
      <c r="L188" s="27" t="str">
        <f>IF(I188="","",B$2&amp;"-"&amp;B$3)</f>
        <v/>
      </c>
      <c r="M188" s="52" t="str">
        <f>IF(N(J188)=0,"",J188-J187)</f>
        <v/>
      </c>
    </row>
    <row r="189" spans="1:13" x14ac:dyDescent="0.35">
      <c r="A189" s="48"/>
      <c r="B189" s="48"/>
      <c r="C189" s="50"/>
      <c r="D189" s="50"/>
      <c r="E189" s="51" t="str">
        <f t="shared" si="68"/>
        <v/>
      </c>
      <c r="F189" s="68" t="str">
        <f t="shared" si="66"/>
        <v/>
      </c>
      <c r="G189" s="69" t="str">
        <f t="shared" si="69"/>
        <v/>
      </c>
      <c r="H189" s="70" t="str">
        <f t="shared" si="67"/>
        <v/>
      </c>
      <c r="I189" s="27" t="str">
        <f>IF(N(J189)=0,"",0&amp;"-"&amp;B$4)</f>
        <v/>
      </c>
      <c r="J189" s="52" t="str">
        <f>IF(N(B$4)=0,"",IF(AND(COUNT(H187:H198)=2,COUNT(F187:F198)=2),cubic_spline(F186:F188,H186:H188,B$4),IF(AND(COUNT(H187:H198)=3,COUNT(F187:F198)=3),cubic_spline(F186:F189,H186:H189,B$4),IF(AND(COUNT(H187:H198)=4,COUNT(F187:F198)=4),cubic_spline(F186:F190,H186:H190,B$4),IF(AND(COUNT(H187:H198)=5,COUNT(F187:F198)=5),cubic_spline(F186:F191,H186:H191,B$4),IF(AND(COUNT(H187:H198)=6,COUNT(F187:F198)=6),cubic_spline(F186:F192,H186:H192,B$4),IF(AND(COUNT(H187:H198)=7,COUNT(F187:F198)=7),cubic_spline(F186:F193,H186:H193,B$4),IF(AND(COUNT(H187:H198)=8,COUNT(F187:F198)=8),cubic_spline(F186:F194,H186:H194,B$4),IF(AND(COUNT(H187:H198)=9,COUNT(F187:F198)=9),cubic_spline(F186:F195,H186:H195,B$4),IF(AND(COUNT(H187:H198)=10,COUNT(F187:F198)=10),cubic_spline(F186:F196,H186:H196,B$4),IF(AND(COUNT(H187:H198)=11,COUNT(F187:F198)=11),cubic_spline(F186:F197,H186:H197,B$4),IF(AND(COUNT(H187:H198)=12,COUNT(F187:F198)=12),cubic_spline(F186:F198,H186:H198,B$4),""))))))))))))</f>
        <v/>
      </c>
      <c r="K189" s="52" t="str">
        <f>IF(N(B$4)=0,"",IF(AND(COUNT(A187:A198)=2,COUNT(F187:F198)=2),cubic_spline(F186:F188,A186:A188,B$4),IF(AND(COUNT(A187:A198)=3,COUNT(F187:F198)=3),cubic_spline(F186:F189,A186:A189,B$4),IF(AND(COUNT(A187:A198)=4,COUNT(F187:F198)=4),cubic_spline(F186:F190,A186:A190,B$4),IF(AND(COUNT(A187:A198)=5,COUNT(F187:F198)=5),cubic_spline(F186:F191,A186:A191,B$4),IF(AND(COUNT(A187:A198)=6,COUNT(F187:F198)=6),cubic_spline(F186:F192,A186:A192,B$4),IF(AND(COUNT(A187:A198)=7,COUNT(F187:F198)=7),cubic_spline(F186:F193,A186:A193,B$4),IF(AND(COUNT(A187:A198)=8,COUNT(F187:F198)=8),cubic_spline(F186:F194,A186:A194,B$4),IF(AND(COUNT(A187:A198)=9,COUNT(F187:F198)=9),cubic_spline(F186:F195,A186:A195,B$4),IF(AND(COUNT(A187:A198)=10,COUNT(F187:F198)=10),cubic_spline(F186:F196,A186:A196,B$4),IF(AND(COUNT(A187:A198)=11,COUNT(F187:F198)=11),cubic_spline(F186:F197,A186:A197,B$4),IF(AND(COUNT(A187:A198)=12,COUNT(F187:F198)=12),cubic_spline(F186:F198,A186:A198,B$4),""))))))))))))</f>
        <v/>
      </c>
      <c r="L189" s="27" t="str">
        <f>IF(I189="","",B$3&amp;"-"&amp;B$4)</f>
        <v/>
      </c>
      <c r="M189" s="52" t="str">
        <f>IF(N(J189)=0,"",J189-J188)</f>
        <v/>
      </c>
    </row>
    <row r="190" spans="1:13" x14ac:dyDescent="0.35">
      <c r="A190" s="48"/>
      <c r="B190" s="48"/>
      <c r="C190" s="50"/>
      <c r="D190" s="50"/>
      <c r="E190" s="51" t="str">
        <f t="shared" si="68"/>
        <v/>
      </c>
      <c r="F190" s="68" t="str">
        <f t="shared" si="66"/>
        <v/>
      </c>
      <c r="G190" s="69" t="str">
        <f t="shared" si="69"/>
        <v/>
      </c>
      <c r="H190" s="70" t="str">
        <f t="shared" si="67"/>
        <v/>
      </c>
      <c r="I190" s="27" t="str">
        <f>IF(N(J190)=0,"",0&amp;"-"&amp;B$5)</f>
        <v/>
      </c>
      <c r="J190" s="52" t="str">
        <f>IF(N(B$5)=0,"",IF(AND(COUNT(H187:H198)=2,COUNT(F187:F198)=2),cubic_spline(F186:F188,H186:H188,B$5),IF(AND(COUNT(H187:H198)=3,COUNT(F187:F198)=3),cubic_spline(F186:F189,H186:H189,B$5),IF(AND(COUNT(H187:H198)=4,COUNT(F187:F198)=4),cubic_spline(F186:F190,H186:H190,B$5),IF(AND(COUNT(H187:H198)=5,COUNT(F187:F198)=5),cubic_spline(F186:F191,H186:H191,B$5),IF(AND(COUNT(H187:H198)=6,COUNT(F187:F198)=6),cubic_spline(F186:F192,H186:H192,B$5),IF(AND(COUNT(H187:H198)=7,COUNT(F187:F198)=7),cubic_spline(F186:F193,H186:H193,B$5),IF(AND(COUNT(H187:H198)=8,COUNT(F187:F198)=8),cubic_spline(F186:F194,H186:H194,B$5),IF(AND(COUNT(H187:H198)=9,COUNT(F187:F198)=9),cubic_spline(F186:F195,H186:H195,B$5),IF(AND(COUNT(H187:H198)=10,COUNT(F187:F198)=10),cubic_spline(F186:F196,H186:H196,B$5),IF(AND(COUNT(H187:H198)=11,COUNT(F187:F198)=11),cubic_spline(F186:F197,H186:H197,B$5),IF(AND(COUNT(H187:H198)=12,COUNT(F187:F198)=12),cubic_spline(F186:F198,H186:H198,B$5),""))))))))))))</f>
        <v/>
      </c>
      <c r="K190" s="52" t="str">
        <f>IF(N(B$5)=0,"",IF(AND(COUNT(A187:A198)=2,COUNT(F187:F198)=2),cubic_spline(F186:F188,A186:A188,B$5),IF(AND(COUNT(A187:A198)=3,COUNT(F187:F198)=3),cubic_spline(F186:F189,A186:A189,B$5),IF(AND(COUNT(A187:A198)=4,COUNT(F187:F198)=4),cubic_spline(F186:F190,A186:A190,B$5),IF(AND(COUNT(A187:A198)=5,COUNT(F187:F198)=5),cubic_spline(F186:F191,A186:A191,B$5),IF(AND(COUNT(A187:A198)=6,COUNT(F187:F198)=6),cubic_spline(F186:F192,A186:A192,B$5),IF(AND(COUNT(A187:A198)=7,COUNT(F187:F198)=7),cubic_spline(F186:F193,A186:A193,B$5),IF(AND(COUNT(A187:A198)=8,COUNT(F187:F198)=8),cubic_spline(F186:F194,A186:A194,B$5),IF(AND(COUNT(A187:A198)=9,COUNT(F187:F198)=9),cubic_spline(F186:F195,A186:A195,B$5),IF(AND(COUNT(A187:A198)=10,COUNT(F187:F198)=10),cubic_spline(F186:F196,A186:A196,B$5),IF(AND(COUNT(A187:A198)=11,COUNT(F187:F198)=11),cubic_spline(F186:F197,A186:A197,B$5),IF(AND(COUNT(A187:A198)=12,COUNT(F187:F198)=12),cubic_spline(F186:F198,A186:A198,B$5),""))))))))))))</f>
        <v/>
      </c>
      <c r="L190" s="27" t="str">
        <f>IF(I190="","",B$4&amp;"-"&amp;B$5)</f>
        <v/>
      </c>
      <c r="M190" s="52" t="str">
        <f>IF(N(J190)=0,"",J190-J189)</f>
        <v/>
      </c>
    </row>
    <row r="191" spans="1:13" x14ac:dyDescent="0.35">
      <c r="A191" s="48"/>
      <c r="B191" s="48"/>
      <c r="C191" s="50"/>
      <c r="D191" s="50"/>
      <c r="E191" s="51" t="str">
        <f t="shared" si="68"/>
        <v/>
      </c>
      <c r="F191" s="71" t="str">
        <f t="shared" si="66"/>
        <v/>
      </c>
      <c r="G191" s="69" t="str">
        <f t="shared" si="69"/>
        <v/>
      </c>
      <c r="H191" s="70" t="str">
        <f t="shared" si="67"/>
        <v/>
      </c>
      <c r="I191" s="27" t="str">
        <f>IF(N(J191)=0,"",0&amp;"-"&amp;B$6)</f>
        <v/>
      </c>
      <c r="J191" s="52" t="str">
        <f>IF(N(B$6)=0,"",IF(AND(COUNT(H187:H198)=2,COUNT(F187:F198)=2),cubic_spline(F186:F188,H186:H188,B$6),IF(AND(COUNT(H187:H198)=3,COUNT(F187:F198)=3),cubic_spline(F186:F189,H186:H189,B$6),IF(AND(COUNT(H187:H198)=4,COUNT(F187:F198)=4),cubic_spline(F186:F190,H186:H190,B$6),IF(AND(COUNT(H187:H198)=5,COUNT(F187:F198)=5),cubic_spline(F186:F191,H186:H191,B$6),IF(AND(COUNT(H187:H198)=6,COUNT(F187:F198)=6),cubic_spline(F186:F192,H186:H192,B$6),IF(AND(COUNT(H187:H198)=7,COUNT(F187:F198)=7),cubic_spline(F186:F193,H186:H193,B$6),IF(AND(COUNT(H187:H198)=8,COUNT(F187:F198)=8),cubic_spline(F186:F194,H186:H194,B$6),IF(AND(COUNT(H187:H198)=9,COUNT(F187:F198)=9),cubic_spline(F186:F195,H186:H195,B$6),IF(AND(COUNT(H187:H198)=10,COUNT(F187:F198)=10),cubic_spline(F186:F196,H186:H196,B$6),IF(AND(COUNT(H187:H198)=11,COUNT(F187:F198)=11),cubic_spline(F186:F197,H186:H197,B$6),IF(AND(COUNT(H187:H198)=12,COUNT(F187:F198)=12),cubic_spline(F186:F198,H186:H198,B$6),""))))))))))))</f>
        <v/>
      </c>
      <c r="K191" s="52" t="str">
        <f>IF(N(B$6)=0,"",IF(AND(COUNT(A187:A198)=2,COUNT(F187:F198)=2),cubic_spline(F186:F188,A186:A188,B$6),IF(AND(COUNT(A187:A198)=3,COUNT(F187:F198)=3),cubic_spline(F186:F189,A186:A189,B$6),IF(AND(COUNT(A187:A198)=4,COUNT(F187:F198)=4),cubic_spline(F186:F190,A186:A190,B$6),IF(AND(COUNT(A187:A198)=5,COUNT(F187:F198)=5),cubic_spline(F186:F191,A186:A191,B$6),IF(AND(COUNT(A187:A198)=6,COUNT(F187:F198)=6),cubic_spline(F186:F192,A186:A192,B$6),IF(AND(COUNT(A187:A198)=7,COUNT(F187:F198)=7),cubic_spline(F186:F193,A186:A193,B$6),IF(AND(COUNT(A187:A198)=8,COUNT(F187:F198)=8),cubic_spline(F186:F194,A186:A194,B$6),IF(AND(COUNT(A187:A198)=9,COUNT(F187:F198)=9),cubic_spline(F186:F195,A186:A195,B$6),IF(AND(COUNT(A187:A198)=10,COUNT(F187:F198)=10),cubic_spline(F186:F196,A186:A196,B$6),IF(AND(COUNT(A187:A198)=11,COUNT(F187:F198)=11),cubic_spline(F186:F197,A186:A197,B$6),IF(AND(COUNT(A187:A198)=12,COUNT(F187:F198)=12),cubic_spline(F186:F198,A186:A198,B$6),""))))))))))))</f>
        <v/>
      </c>
      <c r="L191" s="27" t="str">
        <f>IF(I191="","",B$5&amp;"-"&amp;B$6)</f>
        <v/>
      </c>
      <c r="M191" s="52" t="str">
        <f>IF(N(J191)=0,"",J191-J190)</f>
        <v/>
      </c>
    </row>
    <row r="192" spans="1:13" x14ac:dyDescent="0.35">
      <c r="A192" s="48"/>
      <c r="B192" s="48"/>
      <c r="C192" s="50"/>
      <c r="D192" s="50"/>
      <c r="E192" s="51" t="str">
        <f t="shared" si="68"/>
        <v/>
      </c>
      <c r="F192" s="71" t="str">
        <f t="shared" si="66"/>
        <v/>
      </c>
      <c r="G192" s="69" t="str">
        <f t="shared" si="69"/>
        <v/>
      </c>
      <c r="H192" s="70" t="str">
        <f t="shared" si="67"/>
        <v/>
      </c>
      <c r="I192" s="27" t="str">
        <f>IF(N(J192)=0,"",0&amp;"-"&amp;B$7)</f>
        <v/>
      </c>
      <c r="J192" s="52" t="str">
        <f>IF(N(B$7)=0,"",IF(AND(COUNT(H187:H198)=2,COUNT(F187:F198)=2),cubic_spline(F186:F188,H186:H188,B$7),IF(AND(COUNT(H187:H198)=3,COUNT(F187:F198)=3),cubic_spline(F186:F189,H186:H189,B$7),IF(AND(COUNT(H187:H198)=4,COUNT(F187:F198)=4),cubic_spline(F186:F190,H186:H190,B$7),IF(AND(COUNT(H187:H198)=5,COUNT(F187:F198)=5),cubic_spline(F186:F191,H186:H191,B$7),IF(AND(COUNT(H187:H198)=6,COUNT(F187:F198)=6),cubic_spline(F186:F192,H186:H192,B$7),IF(AND(COUNT(H187:H198)=7,COUNT(F187:F198)=7),cubic_spline(F186:F193,H186:H193,B$7),IF(AND(COUNT(H187:H198)=8,COUNT(F187:F198)=8),cubic_spline(F186:F194,H186:H194,B$7),IF(AND(COUNT(H187:H198)=9,COUNT(F187:F198)=9),cubic_spline(F186:F195,H186:H195,B$7),IF(AND(COUNT(H187:H198)=10,COUNT(F187:F198)=10),cubic_spline(F186:F196,H186:H196,B$7),IF(AND(COUNT(H187:H198)=11,COUNT(F187:F198)=11),cubic_spline(F186:F197,H186:H197,B$7),IF(AND(COUNT(H187:H198)=12,COUNT(F187:F198)=12),cubic_spline(F186:F198,H186:H198,B$7),""))))))))))))</f>
        <v/>
      </c>
      <c r="K192" s="52" t="str">
        <f>IF(N(B$7)=0,"",IF(AND(COUNT(A187:A198)=2,COUNT(F187:F198)=2),cubic_spline(F186:F188,A186:A188,B$7),IF(AND(COUNT(A187:A198)=3,COUNT(F187:F198)=3),cubic_spline(F186:F189,A186:A189,B$7),IF(AND(COUNT(A187:A198)=4,COUNT(F187:F198)=4),cubic_spline(F186:F190,A186:A190,B$7),IF(AND(COUNT(A187:A198)=5,COUNT(F187:F198)=5),cubic_spline(F186:F191,A186:A191,B$7),IF(AND(COUNT(A187:A198)=6,COUNT(F187:F198)=6),cubic_spline(F186:F192,A186:A192,B$7),IF(AND(COUNT(A187:A198)=7,COUNT(F187:F198)=7),cubic_spline(F186:F193,A186:A193,B$7),IF(AND(COUNT(A187:A198)=8,COUNT(F187:F198)=8),cubic_spline(F186:F194,A186:A194,B$7),IF(AND(COUNT(A187:A198)=9,COUNT(F187:F198)=9),cubic_spline(F186:F195,A186:A195,B$7),IF(AND(COUNT(A187:A198)=10,COUNT(F187:F198)=10),cubic_spline(F186:F196,A186:A196,B$7),IF(AND(COUNT(A187:A198)=11,COUNT(F187:F198)=11),cubic_spline(F186:F197,A186:A197,B$7),IF(AND(COUNT(A187:A198)=12,COUNT(F187:F198)=12),cubic_spline(F186:F198,A186:A198,B$7),""))))))))))))</f>
        <v/>
      </c>
      <c r="L192" s="27" t="str">
        <f>IF(I192="","",B$6&amp;"-"&amp;B$7)</f>
        <v/>
      </c>
      <c r="M192" s="52" t="str">
        <f t="shared" ref="M192:M198" si="70">IF(N(J192)=0,"",J192-J191)</f>
        <v/>
      </c>
    </row>
    <row r="193" spans="1:13" x14ac:dyDescent="0.35">
      <c r="A193" s="48"/>
      <c r="B193" s="48"/>
      <c r="C193" s="50"/>
      <c r="D193" s="50"/>
      <c r="E193" s="51" t="str">
        <f t="shared" si="68"/>
        <v/>
      </c>
      <c r="F193" s="71" t="str">
        <f t="shared" si="66"/>
        <v/>
      </c>
      <c r="G193" s="69" t="str">
        <f t="shared" si="69"/>
        <v/>
      </c>
      <c r="H193" s="70" t="str">
        <f t="shared" si="67"/>
        <v/>
      </c>
      <c r="I193" s="27" t="str">
        <f>IF(N(J193)=0,"",0&amp;"-"&amp;B$8)</f>
        <v/>
      </c>
      <c r="J193" s="52" t="str">
        <f>IF(N(B$8)=0,"",IF(AND(COUNT(H187:H198)=2,COUNT(F187:F198)=2),cubic_spline(F186:F188,H186:H188,B$8),IF(AND(COUNT(H187:H198)=3,COUNT(F187:F198)=3),cubic_spline(F186:F189,H186:H189,B$8),IF(AND(COUNT(H187:H198)=4,COUNT(F187:F198)=4),cubic_spline(F186:F190,H186:H190,B$8),IF(AND(COUNT(H187:H198)=5,COUNT(F187:F198)=5),cubic_spline(F186:F191,H186:H191,B$8),IF(AND(COUNT(H187:H198)=6,COUNT(F187:F198)=6),cubic_spline(F186:F192,H186:H192,B$8),IF(AND(COUNT(H187:H198)=7,COUNT(F187:F198)=7),cubic_spline(F186:F193,H186:H193,B$8),IF(AND(COUNT(H187:H198)=8,COUNT(F187:F198)=8),cubic_spline(F186:F194,H186:H194,B$8),IF(AND(COUNT(H187:H198)=9,COUNT(F187:F198)=9),cubic_spline(F186:F195,H186:H195,B$8),IF(AND(COUNT(H187:H198)=10,COUNT(F187:F198)=10),cubic_spline(F186:F196,H186:H196,B$8),IF(AND(COUNT(H187:H198)=11,COUNT(F187:F198)=11),cubic_spline(F186:F197,H186:H197,B$8),IF(AND(COUNT(H187:H198)=12,COUNT(F187:F198)=12),cubic_spline(F186:F198,H186:H198,B$8),""))))))))))))</f>
        <v/>
      </c>
      <c r="K193" s="52" t="str">
        <f>IF(N(B$8)=0,"",IF(AND(COUNT(A187:A198)=2,COUNT(F187:F198)=2),cubic_spline(F186:F188,A186:A188,B$8),IF(AND(COUNT(A187:A198)=3,COUNT(F187:F198)=3),cubic_spline(F186:F189,A186:A189,B$8),IF(AND(COUNT(A187:A198)=4,COUNT(F187:F198)=4),cubic_spline(F186:F190,A186:A190,B$8),IF(AND(COUNT(A187:A198)=5,COUNT(F187:F198)=5),cubic_spline(F186:F191,A186:A191,B$8),IF(AND(COUNT(A187:A198)=6,COUNT(F187:F198)=6),cubic_spline(F186:F192,A186:A192,B$8),IF(AND(COUNT(A187:A198)=7,COUNT(F187:F198)=7),cubic_spline(F186:F193,A186:A193,B$8),IF(AND(COUNT(A187:A198)=8,COUNT(F187:F198)=8),cubic_spline(F186:F194,A186:A194,B$8),IF(AND(COUNT(A187:A198)=9,COUNT(F187:F198)=9),cubic_spline(F186:F195,A186:A195,B$8),IF(AND(COUNT(A187:A198)=10,COUNT(F187:F198)=10),cubic_spline(F186:F196,A186:A196,B$8),IF(AND(COUNT(A187:A198)=11,COUNT(F187:F198)=11),cubic_spline(F186:F197,A186:A197,B$8),IF(AND(COUNT(A187:A198)=12,COUNT(F187:F198)=12),cubic_spline(F186:F198,A186:A198,B$8),""))))))))))))</f>
        <v/>
      </c>
      <c r="L193" s="27" t="str">
        <f>IF(I193="","",B$7&amp;"-"&amp;B$8)</f>
        <v/>
      </c>
      <c r="M193" s="52" t="str">
        <f t="shared" si="70"/>
        <v/>
      </c>
    </row>
    <row r="194" spans="1:13" x14ac:dyDescent="0.35">
      <c r="A194" s="48"/>
      <c r="B194" s="48"/>
      <c r="C194" s="50"/>
      <c r="D194" s="50"/>
      <c r="E194" s="51" t="str">
        <f t="shared" si="68"/>
        <v/>
      </c>
      <c r="F194" s="71" t="str">
        <f t="shared" si="66"/>
        <v/>
      </c>
      <c r="G194" s="69" t="str">
        <f t="shared" si="69"/>
        <v/>
      </c>
      <c r="H194" s="70" t="str">
        <f t="shared" si="67"/>
        <v/>
      </c>
      <c r="I194" s="27" t="str">
        <f>IF(N(J194)=0,"",0&amp;"-"&amp;B$9)</f>
        <v/>
      </c>
      <c r="J194" s="52" t="str">
        <f>IF(N(B$9)=0,"",IF(AND(COUNT(H187:H198)=2,COUNT(F187:F198)=2),cubic_spline(F186:F188,H186:H188,B$9),IF(AND(COUNT(H187:H198)=3,COUNT(F187:F198)=3),cubic_spline(F186:F189,H186:H189,B$9),IF(AND(COUNT(H187:H198)=4,COUNT(F187:F198)=4),cubic_spline(F186:F190,H186:H190,B$9),IF(AND(COUNT(H187:H198)=5,COUNT(F187:F198)=5),cubic_spline(F186:F191,H186:H191,B$9),IF(AND(COUNT(H187:H198)=6,COUNT(F187:F198)=6),cubic_spline(F186:F192,H186:H192,B$9),IF(AND(COUNT(H187:H198)=7,COUNT(F187:F198)=7),cubic_spline(F186:F193,H186:H193,B$9),IF(AND(COUNT(H187:H198)=8,COUNT(F187:F198)=8),cubic_spline(F186:F194,H186:H194,B$9),IF(AND(COUNT(H187:H198)=9,COUNT(F187:F198)=9),cubic_spline(F186:F195,H186:H195,B$9),IF(AND(COUNT(H187:H198)=10,COUNT(F187:F198)=10),cubic_spline(F186:F196,H186:H196,B$9),IF(AND(COUNT(H187:H198)=11,COUNT(F187:F198)=11),cubic_spline(F186:F197,H186:H197,B$9),IF(AND(COUNT(H187:H198)=12,COUNT(F187:F198)=12),cubic_spline(F186:F198,H186:H198,B$9),""))))))))))))</f>
        <v/>
      </c>
      <c r="K194" s="52" t="str">
        <f>IF(N(B$9)=0,"",IF(AND(COUNT(A187:A198)=2,COUNT(F187:F198)=2),cubic_spline(F186:F188,A186:A188,B$9),IF(AND(COUNT(A187:A198)=3,COUNT(F187:F198)=3),cubic_spline(F186:F189,A186:A189,B$9),IF(AND(COUNT(A187:A198)=4,COUNT(F187:F198)=4),cubic_spline(F186:F190,A186:A190,B$9),IF(AND(COUNT(A187:A198)=5,COUNT(F187:F198)=5),cubic_spline(F186:F191,A186:A191,B$9),IF(AND(COUNT(A187:A198)=6,COUNT(F187:F198)=6),cubic_spline(F186:F192,A186:A192,B$9),IF(AND(COUNT(A187:A198)=7,COUNT(F187:F198)=7),cubic_spline(F186:F193,A186:A193,B$9),IF(AND(COUNT(A187:A198)=8,COUNT(F187:F198)=8),cubic_spline(F186:F194,A186:A194,B$9),IF(AND(COUNT(A187:A198)=9,COUNT(F187:F198)=9),cubic_spline(F186:F195,A186:A195,B$9),IF(AND(COUNT(A187:A198)=10,COUNT(F187:F198)=10),cubic_spline(F186:F196,A186:A196,B$9),IF(AND(COUNT(A187:A198)=11,COUNT(F187:F198)=11),cubic_spline(F186:F197,A186:A197,B$9),IF(AND(COUNT(A187:A198)=12,COUNT(F187:F198)=12),cubic_spline(F186:F198,A186:A198,B$9),""))))))))))))</f>
        <v/>
      </c>
      <c r="L194" s="27" t="str">
        <f>IF(I194="","",B$8&amp;"-"&amp;B$9)</f>
        <v/>
      </c>
      <c r="M194" s="52" t="str">
        <f t="shared" si="70"/>
        <v/>
      </c>
    </row>
    <row r="195" spans="1:13" x14ac:dyDescent="0.35">
      <c r="A195" s="48"/>
      <c r="B195" s="48"/>
      <c r="C195" s="50"/>
      <c r="D195" s="50"/>
      <c r="E195" s="51" t="str">
        <f t="shared" si="68"/>
        <v/>
      </c>
      <c r="F195" s="71" t="str">
        <f t="shared" si="66"/>
        <v/>
      </c>
      <c r="G195" s="69" t="str">
        <f t="shared" si="69"/>
        <v/>
      </c>
      <c r="H195" s="70" t="str">
        <f t="shared" si="67"/>
        <v/>
      </c>
      <c r="I195" s="27" t="str">
        <f>IF(N(J195)=0,"",0&amp;"-"&amp;B$10)</f>
        <v/>
      </c>
      <c r="J195" s="52" t="str">
        <f>IF(N(B$10)=0,"",IF(AND(COUNT(H187:H198)=2,COUNT(F187:F198)=2),cubic_spline(F186:F188,H186:H188,B$10),IF(AND(COUNT(H187:H198)=3,COUNT(F187:F198)=3),cubic_spline(F186:F189,H186:H189,B$10),IF(AND(COUNT(H187:H198)=4,COUNT(F187:F198)=4),cubic_spline(F186:F190,H186:H190,B$10),IF(AND(COUNT(H187:H198)=5,COUNT(F187:F198)=5),cubic_spline(F186:F191,H186:H191,B$10),IF(AND(COUNT(H187:H198)=6,COUNT(F187:F198)=6),cubic_spline(F186:F192,H186:H192,B$10),IF(AND(COUNT(H187:H198)=7,COUNT(F187:F198)=7),cubic_spline(F186:F193,H186:H193,B$10),IF(AND(COUNT(H187:H198)=8,COUNT(F187:F198)=8),cubic_spline(F186:F194,H186:H194,B$10),IF(AND(COUNT(H187:H198)=9,COUNT(F187:F198)=9),cubic_spline(F186:F195,H186:H195,B$10),IF(AND(COUNT(H187:H198)=10,COUNT(F187:F198)=10),cubic_spline(F186:F196,H186:H196,B$10),IF(AND(COUNT(H187:H198)=11,COUNT(F187:F198)=11),cubic_spline(F186:F197,H186:H197,B$10),IF(AND(COUNT(H187:H198)=12,COUNT(F187:F198)=12),cubic_spline(F186:F198,H186:H198,B$10),""))))))))))))</f>
        <v/>
      </c>
      <c r="K195" s="52" t="str">
        <f>IF(N(B$10)=0,"",IF(AND(COUNT(A187:A198)=2,COUNT(F187:F198)=2),cubic_spline(F186:F188,A186:A188,B$10),IF(AND(COUNT(A187:A198)=3,COUNT(F187:F198)=3),cubic_spline(F186:F189,A186:A189,B$10),IF(AND(COUNT(A187:A198)=4,COUNT(F187:F198)=4),cubic_spline(F186:F190,A186:A190,B$10),IF(AND(COUNT(A187:A198)=5,COUNT(F187:F198)=5),cubic_spline(F186:F191,A186:A191,B$10),IF(AND(COUNT(A187:A198)=6,COUNT(F187:F198)=6),cubic_spline(F186:F192,A186:A192,B$10),IF(AND(COUNT(A187:A198)=7,COUNT(F187:F198)=7),cubic_spline(F186:F193,A186:A193,B$10),IF(AND(COUNT(A187:A198)=8,COUNT(F187:F198)=8),cubic_spline(F186:F194,A186:A194,B$10),IF(AND(COUNT(A187:A198)=9,COUNT(F187:F198)=9),cubic_spline(F186:F195,A186:A195,B$10),IF(AND(COUNT(A187:A198)=10,COUNT(F187:F198)=10),cubic_spline(F186:F196,A186:A196,B$10),IF(AND(COUNT(A187:A198)=11,COUNT(F187:F198)=11),cubic_spline(F186:F197,A186:A197,B$10),IF(AND(COUNT(A187:A198)=12,COUNT(F187:F198)=12),cubic_spline(F186:F198,A186:A198,B$10),""))))))))))))</f>
        <v/>
      </c>
      <c r="L195" s="27" t="str">
        <f>IF(I195="","",B$9&amp;"-"&amp;B$10)</f>
        <v/>
      </c>
      <c r="M195" s="52" t="str">
        <f t="shared" si="70"/>
        <v/>
      </c>
    </row>
    <row r="196" spans="1:13" x14ac:dyDescent="0.35">
      <c r="A196" s="48"/>
      <c r="B196" s="48"/>
      <c r="C196" s="50"/>
      <c r="D196" s="50"/>
      <c r="E196" s="51" t="str">
        <f t="shared" si="68"/>
        <v/>
      </c>
      <c r="F196" s="71" t="str">
        <f t="shared" si="66"/>
        <v/>
      </c>
      <c r="G196" s="69" t="str">
        <f t="shared" si="69"/>
        <v/>
      </c>
      <c r="H196" s="70" t="str">
        <f t="shared" si="67"/>
        <v/>
      </c>
      <c r="I196" s="27" t="str">
        <f>IF(N(J196)=0,"",0&amp;"-"&amp;B$11)</f>
        <v/>
      </c>
      <c r="J196" s="52" t="str">
        <f>IF(N(B$11)=0,"",IF(AND(COUNT(H187:H198)=2,COUNT(F187:F198)=2),cubic_spline(F186:F188,H186:H188,B$11),IF(AND(COUNT(H187:H198)=3,COUNT(F187:F198)=3),cubic_spline(F186:F189,H186:H189,B$11),IF(AND(COUNT(H187:H198)=4,COUNT(F187:F198)=4),cubic_spline(F186:F190,H186:H190,B$11),IF(AND(COUNT(H187:H198)=5,COUNT(F187:F198)=5),cubic_spline(F186:F191,H186:H191,B$11),IF(AND(COUNT(H187:H198)=6,COUNT(F187:F198)=6),cubic_spline(F186:F192,H186:H192,B$11),IF(AND(COUNT(H187:H198)=7,COUNT(F187:F198)=7),cubic_spline(F186:F193,H186:H193,B$11),IF(AND(COUNT(H187:H198)=8,COUNT(F187:F198)=8),cubic_spline(F186:F194,H186:H194,B$11),IF(AND(COUNT(H187:H198)=9,COUNT(F187:F198)=9),cubic_spline(F186:F195,H186:H195,B$11),IF(AND(COUNT(H187:H198)=10,COUNT(F187:F198)=10),cubic_spline(F186:F196,H186:H196,B$11),IF(AND(COUNT(H187:H198)=11,COUNT(F187:F198)=11),cubic_spline(F186:F197,H186:H197,B$11),IF(AND(COUNT(H187:H198)=12,COUNT(F187:F198)=12),cubic_spline(F186:F198,H186:H198,B$11),""))))))))))))</f>
        <v/>
      </c>
      <c r="K196" s="52" t="str">
        <f>IF(N(B$11)=0,"",IF(AND(COUNT(A187:A198)=2,COUNT(F187:F198)=2),cubic_spline(F186:F188,A186:A188,B$11),IF(AND(COUNT(A187:A198)=3,COUNT(F187:F198)=3),cubic_spline(F186:F189,A186:A189,B$11),IF(AND(COUNT(A187:A198)=4,COUNT(F187:F198)=4),cubic_spline(F186:F190,A186:A190,B$11),IF(AND(COUNT(A187:A198)=5,COUNT(F187:F198)=5),cubic_spline(F186:F191,A186:A191,B$11),IF(AND(COUNT(A187:A198)=6,COUNT(F187:F198)=6),cubic_spline(F186:F192,A186:A192,B$11),IF(AND(COUNT(A187:A198)=7,COUNT(F187:F198)=7),cubic_spline(F186:F193,A186:A193,B$11),IF(AND(COUNT(A187:A198)=8,COUNT(F187:F198)=8),cubic_spline(F186:F194,A186:A194,B$11),IF(AND(COUNT(A187:A198)=9,COUNT(F187:F198)=9),cubic_spline(F186:F195,A186:A195,B$11),IF(AND(COUNT(A187:A198)=10,COUNT(F187:F198)=10),cubic_spline(F186:F196,A186:A196,B$11),IF(AND(COUNT(A187:A198)=11,COUNT(F187:F198)=11),cubic_spline(F186:F197,A186:A197,B$11),IF(AND(COUNT(A187:A198)=12,COUNT(F187:F198)=12),cubic_spline(F186:F198,A186:A198,B$11),""))))))))))))</f>
        <v/>
      </c>
      <c r="L196" s="27" t="str">
        <f>IF(I196="","",B$10&amp;"-"&amp;B$11)</f>
        <v/>
      </c>
      <c r="M196" s="52" t="str">
        <f t="shared" si="70"/>
        <v/>
      </c>
    </row>
    <row r="197" spans="1:13" x14ac:dyDescent="0.35">
      <c r="A197" s="48"/>
      <c r="B197" s="48"/>
      <c r="C197" s="50"/>
      <c r="D197" s="50"/>
      <c r="E197" s="51" t="str">
        <f t="shared" si="68"/>
        <v/>
      </c>
      <c r="F197" s="71" t="str">
        <f t="shared" si="66"/>
        <v/>
      </c>
      <c r="G197" s="69" t="str">
        <f t="shared" si="69"/>
        <v/>
      </c>
      <c r="H197" s="70" t="str">
        <f t="shared" si="67"/>
        <v/>
      </c>
      <c r="I197" s="27" t="str">
        <f>IF(N(J197)=0,"",0&amp;"-"&amp;B$12)</f>
        <v/>
      </c>
      <c r="J197" s="52" t="str">
        <f>IF(N(B$12)=0,"",IF(AND(COUNT(H187:H198)=2,COUNT(F187:F198)=2),cubic_spline(F186:F188,H186:H188,B$12),IF(AND(COUNT(H187:H198)=3,COUNT(F187:F198)=3),cubic_spline(F186:F189,H186:H189,B$12),IF(AND(COUNT(H187:H198)=4,COUNT(F187:F198)=4),cubic_spline(F186:F190,H186:H190,B$12),IF(AND(COUNT(H187:H198)=5,COUNT(F187:F198)=5),cubic_spline(F186:F191,H186:H191,B$12),IF(AND(COUNT(H187:H198)=6,COUNT(F187:F198)=6),cubic_spline(F186:F192,H186:H192,B$12),IF(AND(COUNT(H187:H198)=7,COUNT(F187:F198)=7),cubic_spline(F186:F193,H186:H193,B$12),IF(AND(COUNT(H187:H198)=8,COUNT(F187:F198)=8),cubic_spline(F186:F194,H186:H194,B$12),IF(AND(COUNT(H187:H198)=9,COUNT(F187:F198)=9),cubic_spline(F186:F195,H186:H195,B$12),IF(AND(COUNT(H187:H198)=10,COUNT(F187:F198)=10),cubic_spline(F186:F196,H186:H196,B$12),IF(AND(COUNT(H187:H198)=11,COUNT(F187:F198)=11),cubic_spline(F186:F197,H186:H197,B$12),IF(AND(COUNT(H187:H198)=12,COUNT(F187:F198)=12),cubic_spline(F186:F198,H186:H198,B$12),""))))))))))))</f>
        <v/>
      </c>
      <c r="K197" s="52" t="str">
        <f>IF(N(B$12)=0,"",IF(AND(COUNT(A187:A198)=2,COUNT(F187:F198)=2),cubic_spline(F186:F188,A186:A188,B$12),IF(AND(COUNT(A187:A198)=3,COUNT(F187:F198)=3),cubic_spline(F186:F189,A186:A189,B$12),IF(AND(COUNT(A187:A198)=4,COUNT(F187:F198)=4),cubic_spline(F186:F190,A186:A190,B$12),IF(AND(COUNT(A187:A198)=5,COUNT(F187:F198)=5),cubic_spline(F186:F191,A186:A191,B$12),IF(AND(COUNT(A187:A198)=6,COUNT(F187:F198)=6),cubic_spline(F186:F192,A186:A192,B$12),IF(AND(COUNT(A187:A198)=7,COUNT(F187:F198)=7),cubic_spline(F186:F193,A186:A193,B$12),IF(AND(COUNT(A187:A198)=8,COUNT(F187:F198)=8),cubic_spline(F186:F194,A186:A194,B$12),IF(AND(COUNT(A187:A198)=9,COUNT(F187:F198)=9),cubic_spline(F186:F195,A186:A195,B$12),IF(AND(COUNT(A187:A198)=10,COUNT(F187:F198)=10),cubic_spline(F186:F196,A186:A196,B$12),IF(AND(COUNT(A187:A198)=11,COUNT(F187:F198)=11),cubic_spline(F186:F197,A186:A197,B$12),IF(AND(COUNT(A187:A198)=12,COUNT(F187:F198)=12),cubic_spline(F186:F198,A186:A198,B$12),""))))))))))))</f>
        <v/>
      </c>
      <c r="L197" s="27" t="str">
        <f>IF(I197="","",B$11&amp;"-"&amp;B$12)</f>
        <v/>
      </c>
      <c r="M197" s="52" t="str">
        <f t="shared" si="70"/>
        <v/>
      </c>
    </row>
    <row r="198" spans="1:13" x14ac:dyDescent="0.35">
      <c r="A198" s="48"/>
      <c r="B198" s="48"/>
      <c r="C198" s="50"/>
      <c r="D198" s="50"/>
      <c r="E198" s="51" t="str">
        <f t="shared" si="68"/>
        <v/>
      </c>
      <c r="F198" s="71" t="str">
        <f t="shared" si="66"/>
        <v/>
      </c>
      <c r="G198" s="69" t="str">
        <f t="shared" si="69"/>
        <v/>
      </c>
      <c r="H198" s="70" t="str">
        <f t="shared" si="67"/>
        <v/>
      </c>
      <c r="I198" s="27" t="str">
        <f>IF(N(J198)=0,"",0&amp;"-"&amp;B$13)</f>
        <v/>
      </c>
      <c r="J198" s="52" t="str">
        <f>IF(N(B$13)=0,"",IF(AND(COUNT(H187:H198)=2,COUNT(F187:F198)=2),cubic_spline(F186:F188,H186:H188,B$13),IF(AND(COUNT(H187:H198)=3,COUNT(F187:F198)=3),cubic_spline(F186:F189,H186:H189,B$13),IF(AND(COUNT(H187:H198)=4,COUNT(F187:F198)=4),cubic_spline(F186:F190,H186:H190,B$13),IF(AND(COUNT(H187:H198)=5,COUNT(F187:F198)=5),cubic_spline(F186:F191,H186:H191,B$13),IF(AND(COUNT(H187:H198)=6,COUNT(F187:F198)=6),cubic_spline(F186:F192,H186:H192,B$13),IF(AND(COUNT(H187:H198)=7,COUNT(F187:F198)=7),cubic_spline(F186:F193,H186:H193,B$13),IF(AND(COUNT(H187:H198)=8,COUNT(F187:F198)=8),cubic_spline(F186:F194,H186:H194,B$13),IF(AND(COUNT(H187:H198)=9,COUNT(F187:F198)=9),cubic_spline(F186:F195,H186:H195,B$13),IF(AND(COUNT(H187:H198)=10,COUNT(F187:F198)=10),cubic_spline(F186:F196,H186:H196,B$13),IF(AND(COUNT(H187:H198)=11,COUNT(F187:F198)=11),cubic_spline(F186:F197,H186:H197,B$13),IF(AND(COUNT(H187:H198)=12,COUNT(F187:F198)=12),cubic_spline(F186:F198,H186:H198,B$13),""))))))))))))</f>
        <v/>
      </c>
      <c r="K198" s="52" t="str">
        <f>IF(N(B$13)=0,"",IF(AND(COUNT(A187:A198)=2,COUNT(F187:F198)=2),cubic_spline(F186:F188,A186:A188,B$13),IF(AND(COUNT(A187:A198)=3,COUNT(F187:F198)=3),cubic_spline(F186:F189,A186:A189,B$13),IF(AND(COUNT(A187:A198)=4,COUNT(F187:F198)=4),cubic_spline(F186:F190,A186:A190,B$13),IF(AND(COUNT(A187:A198)=5,COUNT(F187:F198)=5),cubic_spline(F186:F191,A186:A191,B$13),IF(AND(COUNT(A187:A198)=6,COUNT(F187:F198)=6),cubic_spline(F186:F192,A186:A192,B$13),IF(AND(COUNT(A187:A198)=7,COUNT(F187:F198)=7),cubic_spline(F186:F193,A186:A193,B$13),IF(AND(COUNT(A187:A198)=8,COUNT(F187:F198)=8),cubic_spline(F186:F194,A186:A194,B$13),IF(AND(COUNT(A187:A198)=9,COUNT(F187:F198)=9),cubic_spline(F186:F195,A186:A195,B$13),IF(AND(COUNT(A187:A198)=10,COUNT(F187:F198)=10),cubic_spline(F186:F196,A186:A196,B$13),IF(AND(COUNT(A187:A198)=11,COUNT(F187:F198)=11),cubic_spline(F186:F197,A186:A197,B$13),IF(AND(COUNT(A187:A198)=12,COUNT(F187:F198)=12),cubic_spline(F186:F198,A186:A198,B$13),""))))))))))))</f>
        <v/>
      </c>
      <c r="L198" s="27" t="str">
        <f>IF(I198="","",B$12&amp;"-"&amp;B$13)</f>
        <v/>
      </c>
      <c r="M198" s="52" t="str">
        <f t="shared" si="70"/>
        <v/>
      </c>
    </row>
    <row r="199" spans="1:13" ht="5.15" customHeight="1" x14ac:dyDescent="0.35">
      <c r="A199" s="47"/>
      <c r="B199" s="47"/>
      <c r="C199" s="53"/>
      <c r="D199" s="53"/>
      <c r="E199" s="54"/>
      <c r="F199" s="55"/>
      <c r="G199" s="72"/>
      <c r="H199" s="73"/>
      <c r="I199" s="47"/>
      <c r="J199" s="57"/>
      <c r="K199" s="57"/>
      <c r="L199" s="55"/>
      <c r="M199" s="57"/>
    </row>
    <row r="200" spans="1:13" x14ac:dyDescent="0.35">
      <c r="A200" s="48"/>
      <c r="B200" s="48"/>
      <c r="C200" s="50"/>
      <c r="D200" s="50"/>
      <c r="E200" s="51" t="str">
        <f>IF(N(C200)=0,"",(A200-A199)*C200*100)</f>
        <v/>
      </c>
      <c r="F200" s="68" t="str">
        <f t="shared" ref="F200:F211" si="71">IF(N(E200)=0,"",(N(E200)+N(F199)))</f>
        <v/>
      </c>
      <c r="G200" s="69" t="str">
        <f>IF(OR(N(D200)=0,N(E200)=0),"",(E200*D200)/1000)</f>
        <v/>
      </c>
      <c r="H200" s="70" t="str">
        <f t="shared" ref="H200:H211" si="72">IF(N(G200)=0,"",(N(G200)+N(H199)))</f>
        <v/>
      </c>
      <c r="I200" s="27" t="str">
        <f>IF(N(J200)=0,"",0&amp;"-"&amp;B$2)</f>
        <v/>
      </c>
      <c r="J200" s="52" t="str">
        <f>IF(N(B$2)=0,"",IF(AND(COUNT(H200:H211)=2,COUNT(F200:F211)=2),cubic_spline(F199:F201,H199:H201,B$2),IF(AND(COUNT(H200:H211)=3,COUNT(F200:F211)=3),cubic_spline(F199:F202,H199:H202,B$2),IF(AND(COUNT(H200:H211)=4,COUNT(F200:F211)=4),cubic_spline(F199:F203,H199:H203,B$2),IF(AND(COUNT(H200:H211)=5,COUNT(F200:F211)=5),cubic_spline(F199:F204,H199:H204,B$2),IF(AND(COUNT(H200:H211)=6,COUNT(F200:F211)=6),cubic_spline(F199:F205,H199:H205,B$2),IF(AND(COUNT(H200:H211)=7,COUNT(F200:F211)=7),cubic_spline(F199:F206,H199:H206,B$2),IF(AND(COUNT(H200:H211)=8,COUNT(F200:F211)=8),cubic_spline(F199:F207,H199:H207,B$2),IF(AND(COUNT(H200:H211)=9,COUNT(F200:F211)=9),cubic_spline(F199:F208,H199:H208,B$2),IF(AND(COUNT(H200:H211)=10,COUNT(F200:F211)=10),cubic_spline(F199:F209,H199:H209,B$2),IF(AND(COUNT(H200:H211)=11,COUNT(F200:F211)=11),cubic_spline(F199:F210,H199:H210,B$2),IF(AND(COUNT(H200:H211)=12,COUNT(F200:F211)=12),cubic_spline(F199:F211,H199:H211,B$2),""))))))))))))</f>
        <v/>
      </c>
      <c r="K200" s="52" t="str">
        <f>IF(N(B$2)=0,"",IF(AND(COUNT(A200:A211)=2,COUNT(F200:F211)=2),cubic_spline(F199:F201,A199:A201,B$2),IF(AND(COUNT(A200:A211)=3,COUNT(F200:F211)=3),cubic_spline(F199:F202,A199:A202,B$2),IF(AND(COUNT(A200:A211)=4,COUNT(F200:F211)=4),cubic_spline(F199:F203,A199:A203,B$2),IF(AND(COUNT(A200:A211)=5,COUNT(F200:F211)=5),cubic_spline(F199:F204,A199:A204,B$2),IF(AND(COUNT(A200:A211)=6,COUNT(F200:F211)=6),cubic_spline(F199:F205,A199:A205,B$2),IF(AND(COUNT(A200:A211)=7,COUNT(F200:F211)=7),cubic_spline(F199:F206,A199:A206,B$2),IF(AND(COUNT(A200:A211)=8,COUNT(F200:F211)=8),cubic_spline(F199:F207,A199:A207,B$2),IF(AND(COUNT(A200:A211)=9,COUNT(F200:F211)=9),cubic_spline(F199:F208,A199:A208,B$2),IF(AND(COUNT(A200:A211)=10,COUNT(F200:F211)=10),cubic_spline(F199:F209,A199:A209,B$2),IF(AND(COUNT(A200:A211)=11,COUNT(F200:F211)=11),cubic_spline(F199:F210,A199:A210,B$2),IF(AND(COUNT(A200:A211)=12,COUNT(F200:F211)=12),cubic_spline(F199:F211,A199:A211,B$2),""))))))))))))</f>
        <v/>
      </c>
      <c r="L200" s="27" t="str">
        <f>IF(I200="","",0&amp;"-"&amp;B$2)</f>
        <v/>
      </c>
      <c r="M200" s="52" t="str">
        <f>IF(N(J200)=0,"",J200-J199)</f>
        <v/>
      </c>
    </row>
    <row r="201" spans="1:13" x14ac:dyDescent="0.35">
      <c r="A201" s="48"/>
      <c r="B201" s="48"/>
      <c r="C201" s="50"/>
      <c r="D201" s="50"/>
      <c r="E201" s="51" t="str">
        <f t="shared" ref="E201:E211" si="73">IF(N(C201)=0,"",(A201-A200)*C201*100)</f>
        <v/>
      </c>
      <c r="F201" s="68" t="str">
        <f t="shared" si="71"/>
        <v/>
      </c>
      <c r="G201" s="69" t="str">
        <f t="shared" ref="G201:G211" si="74">IF(OR(N(D201)=0,N(E201)=0),"",(E201*D201)/1000)</f>
        <v/>
      </c>
      <c r="H201" s="70" t="str">
        <f t="shared" si="72"/>
        <v/>
      </c>
      <c r="I201" s="27" t="str">
        <f>IF(N(J201)=0,"",0&amp;"-"&amp;B$3)</f>
        <v/>
      </c>
      <c r="J201" s="52" t="str">
        <f>IF(N(B$3)=0,"",IF(AND(COUNT(H200:H211)=2,COUNT(F200:F211)=2),cubic_spline(F199:F201,H199:H201,B$3),IF(AND(COUNT(H200:H211)=3,COUNT(F200:F211)=3),cubic_spline(F199:F202,H199:H202,B$3),IF(AND(COUNT(H200:H211)=4,COUNT(F200:F211)=4),cubic_spline(F199:F203,H199:H203,B$3),IF(AND(COUNT(H200:H211)=5,COUNT(F200:F211)=5),cubic_spline(F199:F204,H199:H204,B$3),IF(AND(COUNT(H200:H211)=6,COUNT(F200:F211)=6),cubic_spline(F199:F205,H199:H205,B$3),IF(AND(COUNT(H200:H211)=7,COUNT(F200:F211)=7),cubic_spline(F199:F206,H199:H206,B$3),IF(AND(COUNT(H200:H211)=8,COUNT(F200:F211)=8),cubic_spline(F199:F207,H199:H207,B$3),IF(AND(COUNT(H200:H211)=9,COUNT(F200:F211)=9),cubic_spline(F199:F208,H199:H208,B$3),IF(AND(COUNT(H200:H211)=10,COUNT(F200:F211)=10),cubic_spline(F199:F209,H199:H209,B$3),IF(AND(COUNT(H200:H211)=11,COUNT(F200:F211)=11),cubic_spline(F199:F210,H199:H210,B$3),IF(AND(COUNT(H200:H211)=12,COUNT(F200:F211)=12),cubic_spline(F199:F211,H199:H211,B$3),""))))))))))))</f>
        <v/>
      </c>
      <c r="K201" s="52" t="str">
        <f>IF(N(B$3)=0,"",IF(AND(COUNT(A200:A211)=2,COUNT(F200:F211)=2),cubic_spline(F199:F201,A199:A201,B$3),IF(AND(COUNT(A200:A211)=3,COUNT(F200:F211)=3),cubic_spline(F199:F202,A199:A202,B$3),IF(AND(COUNT(A200:A211)=4,COUNT(F200:F211)=4),cubic_spline(F199:F203,A199:A203,B$3),IF(AND(COUNT(A200:A211)=5,COUNT(F200:F211)=5),cubic_spline(F199:F204,A199:A204,B$3),IF(AND(COUNT(A200:A211)=6,COUNT(F200:F211)=6),cubic_spline(F199:F205,A199:A205,B$3),IF(AND(COUNT(A200:A211)=7,COUNT(F200:F211)=7),cubic_spline(F199:F206,A199:A206,B$3),IF(AND(COUNT(A200:A211)=8,COUNT(F200:F211)=8),cubic_spline(F199:F207,A199:A207,B$3),IF(AND(COUNT(A200:A211)=9,COUNT(F200:F211)=9),cubic_spline(F199:F208,A199:A208,B$3),IF(AND(COUNT(A200:A211)=10,COUNT(F200:F211)=10),cubic_spline(F199:F209,A199:A209,B$3),IF(AND(COUNT(A200:A211)=11,COUNT(F200:F211)=11),cubic_spline(F199:F210,A199:A210,B$3),IF(AND(COUNT(A200:A211)=12,COUNT(F200:F211)=12),cubic_spline(F199:F211,A199:A211,B$3),""))))))))))))</f>
        <v/>
      </c>
      <c r="L201" s="27" t="str">
        <f>IF(I201="","",B$2&amp;"-"&amp;B$3)</f>
        <v/>
      </c>
      <c r="M201" s="52" t="str">
        <f>IF(N(J201)=0,"",J201-J200)</f>
        <v/>
      </c>
    </row>
    <row r="202" spans="1:13" x14ac:dyDescent="0.35">
      <c r="A202" s="48"/>
      <c r="B202" s="48"/>
      <c r="C202" s="50"/>
      <c r="D202" s="50"/>
      <c r="E202" s="51" t="str">
        <f t="shared" si="73"/>
        <v/>
      </c>
      <c r="F202" s="68" t="str">
        <f t="shared" si="71"/>
        <v/>
      </c>
      <c r="G202" s="69" t="str">
        <f t="shared" si="74"/>
        <v/>
      </c>
      <c r="H202" s="70" t="str">
        <f t="shared" si="72"/>
        <v/>
      </c>
      <c r="I202" s="27" t="str">
        <f>IF(N(J202)=0,"",0&amp;"-"&amp;B$4)</f>
        <v/>
      </c>
      <c r="J202" s="52" t="str">
        <f>IF(N(B$4)=0,"",IF(AND(COUNT(H200:H211)=2,COUNT(F200:F211)=2),cubic_spline(F199:F201,H199:H201,B$4),IF(AND(COUNT(H200:H211)=3,COUNT(F200:F211)=3),cubic_spline(F199:F202,H199:H202,B$4),IF(AND(COUNT(H200:H211)=4,COUNT(F200:F211)=4),cubic_spline(F199:F203,H199:H203,B$4),IF(AND(COUNT(H200:H211)=5,COUNT(F200:F211)=5),cubic_spline(F199:F204,H199:H204,B$4),IF(AND(COUNT(H200:H211)=6,COUNT(F200:F211)=6),cubic_spline(F199:F205,H199:H205,B$4),IF(AND(COUNT(H200:H211)=7,COUNT(F200:F211)=7),cubic_spline(F199:F206,H199:H206,B$4),IF(AND(COUNT(H200:H211)=8,COUNT(F200:F211)=8),cubic_spline(F199:F207,H199:H207,B$4),IF(AND(COUNT(H200:H211)=9,COUNT(F200:F211)=9),cubic_spline(F199:F208,H199:H208,B$4),IF(AND(COUNT(H200:H211)=10,COUNT(F200:F211)=10),cubic_spline(F199:F209,H199:H209,B$4),IF(AND(COUNT(H200:H211)=11,COUNT(F200:F211)=11),cubic_spline(F199:F210,H199:H210,B$4),IF(AND(COUNT(H200:H211)=12,COUNT(F200:F211)=12),cubic_spline(F199:F211,H199:H211,B$4),""))))))))))))</f>
        <v/>
      </c>
      <c r="K202" s="52" t="str">
        <f>IF(N(B$4)=0,"",IF(AND(COUNT(A200:A211)=2,COUNT(F200:F211)=2),cubic_spline(F199:F201,A199:A201,B$4),IF(AND(COUNT(A200:A211)=3,COUNT(F200:F211)=3),cubic_spline(F199:F202,A199:A202,B$4),IF(AND(COUNT(A200:A211)=4,COUNT(F200:F211)=4),cubic_spline(F199:F203,A199:A203,B$4),IF(AND(COUNT(A200:A211)=5,COUNT(F200:F211)=5),cubic_spline(F199:F204,A199:A204,B$4),IF(AND(COUNT(A200:A211)=6,COUNT(F200:F211)=6),cubic_spline(F199:F205,A199:A205,B$4),IF(AND(COUNT(A200:A211)=7,COUNT(F200:F211)=7),cubic_spline(F199:F206,A199:A206,B$4),IF(AND(COUNT(A200:A211)=8,COUNT(F200:F211)=8),cubic_spline(F199:F207,A199:A207,B$4),IF(AND(COUNT(A200:A211)=9,COUNT(F200:F211)=9),cubic_spline(F199:F208,A199:A208,B$4),IF(AND(COUNT(A200:A211)=10,COUNT(F200:F211)=10),cubic_spline(F199:F209,A199:A209,B$4),IF(AND(COUNT(A200:A211)=11,COUNT(F200:F211)=11),cubic_spline(F199:F210,A199:A210,B$4),IF(AND(COUNT(A200:A211)=12,COUNT(F200:F211)=12),cubic_spline(F199:F211,A199:A211,B$4),""))))))))))))</f>
        <v/>
      </c>
      <c r="L202" s="27" t="str">
        <f>IF(I202="","",B$3&amp;"-"&amp;B$4)</f>
        <v/>
      </c>
      <c r="M202" s="52" t="str">
        <f>IF(N(J202)=0,"",J202-J201)</f>
        <v/>
      </c>
    </row>
    <row r="203" spans="1:13" x14ac:dyDescent="0.35">
      <c r="A203" s="48"/>
      <c r="B203" s="48"/>
      <c r="C203" s="50"/>
      <c r="D203" s="50"/>
      <c r="E203" s="51" t="str">
        <f t="shared" si="73"/>
        <v/>
      </c>
      <c r="F203" s="68" t="str">
        <f t="shared" si="71"/>
        <v/>
      </c>
      <c r="G203" s="69" t="str">
        <f t="shared" si="74"/>
        <v/>
      </c>
      <c r="H203" s="70" t="str">
        <f t="shared" si="72"/>
        <v/>
      </c>
      <c r="I203" s="27" t="str">
        <f>IF(N(J203)=0,"",0&amp;"-"&amp;B$5)</f>
        <v/>
      </c>
      <c r="J203" s="52" t="str">
        <f>IF(N(B$5)=0,"",IF(AND(COUNT(H200:H211)=2,COUNT(F200:F211)=2),cubic_spline(F199:F201,H199:H201,B$5),IF(AND(COUNT(H200:H211)=3,COUNT(F200:F211)=3),cubic_spline(F199:F202,H199:H202,B$5),IF(AND(COUNT(H200:H211)=4,COUNT(F200:F211)=4),cubic_spline(F199:F203,H199:H203,B$5),IF(AND(COUNT(H200:H211)=5,COUNT(F200:F211)=5),cubic_spline(F199:F204,H199:H204,B$5),IF(AND(COUNT(H200:H211)=6,COUNT(F200:F211)=6),cubic_spline(F199:F205,H199:H205,B$5),IF(AND(COUNT(H200:H211)=7,COUNT(F200:F211)=7),cubic_spline(F199:F206,H199:H206,B$5),IF(AND(COUNT(H200:H211)=8,COUNT(F200:F211)=8),cubic_spline(F199:F207,H199:H207,B$5),IF(AND(COUNT(H200:H211)=9,COUNT(F200:F211)=9),cubic_spline(F199:F208,H199:H208,B$5),IF(AND(COUNT(H200:H211)=10,COUNT(F200:F211)=10),cubic_spline(F199:F209,H199:H209,B$5),IF(AND(COUNT(H200:H211)=11,COUNT(F200:F211)=11),cubic_spline(F199:F210,H199:H210,B$5),IF(AND(COUNT(H200:H211)=12,COUNT(F200:F211)=12),cubic_spline(F199:F211,H199:H211,B$5),""))))))))))))</f>
        <v/>
      </c>
      <c r="K203" s="52" t="str">
        <f>IF(N(B$5)=0,"",IF(AND(COUNT(A200:A211)=2,COUNT(F200:F211)=2),cubic_spline(F199:F201,A199:A201,B$5),IF(AND(COUNT(A200:A211)=3,COUNT(F200:F211)=3),cubic_spline(F199:F202,A199:A202,B$5),IF(AND(COUNT(A200:A211)=4,COUNT(F200:F211)=4),cubic_spline(F199:F203,A199:A203,B$5),IF(AND(COUNT(A200:A211)=5,COUNT(F200:F211)=5),cubic_spline(F199:F204,A199:A204,B$5),IF(AND(COUNT(A200:A211)=6,COUNT(F200:F211)=6),cubic_spline(F199:F205,A199:A205,B$5),IF(AND(COUNT(A200:A211)=7,COUNT(F200:F211)=7),cubic_spline(F199:F206,A199:A206,B$5),IF(AND(COUNT(A200:A211)=8,COUNT(F200:F211)=8),cubic_spline(F199:F207,A199:A207,B$5),IF(AND(COUNT(A200:A211)=9,COUNT(F200:F211)=9),cubic_spline(F199:F208,A199:A208,B$5),IF(AND(COUNT(A200:A211)=10,COUNT(F200:F211)=10),cubic_spline(F199:F209,A199:A209,B$5),IF(AND(COUNT(A200:A211)=11,COUNT(F200:F211)=11),cubic_spline(F199:F210,A199:A210,B$5),IF(AND(COUNT(A200:A211)=12,COUNT(F200:F211)=12),cubic_spline(F199:F211,A199:A211,B$5),""))))))))))))</f>
        <v/>
      </c>
      <c r="L203" s="27" t="str">
        <f>IF(I203="","",B$4&amp;"-"&amp;B$5)</f>
        <v/>
      </c>
      <c r="M203" s="52" t="str">
        <f>IF(N(J203)=0,"",J203-J202)</f>
        <v/>
      </c>
    </row>
    <row r="204" spans="1:13" x14ac:dyDescent="0.35">
      <c r="A204" s="48"/>
      <c r="B204" s="48"/>
      <c r="C204" s="50"/>
      <c r="D204" s="50"/>
      <c r="E204" s="51" t="str">
        <f t="shared" si="73"/>
        <v/>
      </c>
      <c r="F204" s="71" t="str">
        <f t="shared" si="71"/>
        <v/>
      </c>
      <c r="G204" s="69" t="str">
        <f t="shared" si="74"/>
        <v/>
      </c>
      <c r="H204" s="70" t="str">
        <f t="shared" si="72"/>
        <v/>
      </c>
      <c r="I204" s="27" t="str">
        <f>IF(N(J204)=0,"",0&amp;"-"&amp;B$6)</f>
        <v/>
      </c>
      <c r="J204" s="52" t="str">
        <f>IF(N(B$6)=0,"",IF(AND(COUNT(H200:H211)=2,COUNT(F200:F211)=2),cubic_spline(F199:F201,H199:H201,B$6),IF(AND(COUNT(H200:H211)=3,COUNT(F200:F211)=3),cubic_spline(F199:F202,H199:H202,B$6),IF(AND(COUNT(H200:H211)=4,COUNT(F200:F211)=4),cubic_spline(F199:F203,H199:H203,B$6),IF(AND(COUNT(H200:H211)=5,COUNT(F200:F211)=5),cubic_spline(F199:F204,H199:H204,B$6),IF(AND(COUNT(H200:H211)=6,COUNT(F200:F211)=6),cubic_spline(F199:F205,H199:H205,B$6),IF(AND(COUNT(H200:H211)=7,COUNT(F200:F211)=7),cubic_spline(F199:F206,H199:H206,B$6),IF(AND(COUNT(H200:H211)=8,COUNT(F200:F211)=8),cubic_spline(F199:F207,H199:H207,B$6),IF(AND(COUNT(H200:H211)=9,COUNT(F200:F211)=9),cubic_spline(F199:F208,H199:H208,B$6),IF(AND(COUNT(H200:H211)=10,COUNT(F200:F211)=10),cubic_spline(F199:F209,H199:H209,B$6),IF(AND(COUNT(H200:H211)=11,COUNT(F200:F211)=11),cubic_spline(F199:F210,H199:H210,B$6),IF(AND(COUNT(H200:H211)=12,COUNT(F200:F211)=12),cubic_spline(F199:F211,H199:H211,B$6),""))))))))))))</f>
        <v/>
      </c>
      <c r="K204" s="52" t="str">
        <f>IF(N(B$6)=0,"",IF(AND(COUNT(A200:A211)=2,COUNT(F200:F211)=2),cubic_spline(F199:F201,A199:A201,B$6),IF(AND(COUNT(A200:A211)=3,COUNT(F200:F211)=3),cubic_spline(F199:F202,A199:A202,B$6),IF(AND(COUNT(A200:A211)=4,COUNT(F200:F211)=4),cubic_spline(F199:F203,A199:A203,B$6),IF(AND(COUNT(A200:A211)=5,COUNT(F200:F211)=5),cubic_spline(F199:F204,A199:A204,B$6),IF(AND(COUNT(A200:A211)=6,COUNT(F200:F211)=6),cubic_spline(F199:F205,A199:A205,B$6),IF(AND(COUNT(A200:A211)=7,COUNT(F200:F211)=7),cubic_spline(F199:F206,A199:A206,B$6),IF(AND(COUNT(A200:A211)=8,COUNT(F200:F211)=8),cubic_spline(F199:F207,A199:A207,B$6),IF(AND(COUNT(A200:A211)=9,COUNT(F200:F211)=9),cubic_spline(F199:F208,A199:A208,B$6),IF(AND(COUNT(A200:A211)=10,COUNT(F200:F211)=10),cubic_spline(F199:F209,A199:A209,B$6),IF(AND(COUNT(A200:A211)=11,COUNT(F200:F211)=11),cubic_spline(F199:F210,A199:A210,B$6),IF(AND(COUNT(A200:A211)=12,COUNT(F200:F211)=12),cubic_spline(F199:F211,A199:A211,B$6),""))))))))))))</f>
        <v/>
      </c>
      <c r="L204" s="27" t="str">
        <f>IF(I204="","",B$5&amp;"-"&amp;B$6)</f>
        <v/>
      </c>
      <c r="M204" s="52" t="str">
        <f>IF(N(J204)=0,"",J204-J203)</f>
        <v/>
      </c>
    </row>
    <row r="205" spans="1:13" x14ac:dyDescent="0.35">
      <c r="A205" s="48"/>
      <c r="B205" s="48"/>
      <c r="C205" s="50"/>
      <c r="D205" s="50"/>
      <c r="E205" s="51" t="str">
        <f t="shared" si="73"/>
        <v/>
      </c>
      <c r="F205" s="71" t="str">
        <f t="shared" si="71"/>
        <v/>
      </c>
      <c r="G205" s="69" t="str">
        <f t="shared" si="74"/>
        <v/>
      </c>
      <c r="H205" s="70" t="str">
        <f t="shared" si="72"/>
        <v/>
      </c>
      <c r="I205" s="27" t="str">
        <f>IF(N(J205)=0,"",0&amp;"-"&amp;B$7)</f>
        <v/>
      </c>
      <c r="J205" s="52" t="str">
        <f>IF(N(B$7)=0,"",IF(AND(COUNT(H200:H211)=2,COUNT(F200:F211)=2),cubic_spline(F199:F201,H199:H201,B$7),IF(AND(COUNT(H200:H211)=3,COUNT(F200:F211)=3),cubic_spline(F199:F202,H199:H202,B$7),IF(AND(COUNT(H200:H211)=4,COUNT(F200:F211)=4),cubic_spline(F199:F203,H199:H203,B$7),IF(AND(COUNT(H200:H211)=5,COUNT(F200:F211)=5),cubic_spline(F199:F204,H199:H204,B$7),IF(AND(COUNT(H200:H211)=6,COUNT(F200:F211)=6),cubic_spline(F199:F205,H199:H205,B$7),IF(AND(COUNT(H200:H211)=7,COUNT(F200:F211)=7),cubic_spline(F199:F206,H199:H206,B$7),IF(AND(COUNT(H200:H211)=8,COUNT(F200:F211)=8),cubic_spline(F199:F207,H199:H207,B$7),IF(AND(COUNT(H200:H211)=9,COUNT(F200:F211)=9),cubic_spline(F199:F208,H199:H208,B$7),IF(AND(COUNT(H200:H211)=10,COUNT(F200:F211)=10),cubic_spline(F199:F209,H199:H209,B$7),IF(AND(COUNT(H200:H211)=11,COUNT(F200:F211)=11),cubic_spline(F199:F210,H199:H210,B$7),IF(AND(COUNT(H200:H211)=12,COUNT(F200:F211)=12),cubic_spline(F199:F211,H199:H211,B$7),""))))))))))))</f>
        <v/>
      </c>
      <c r="K205" s="52" t="str">
        <f>IF(N(B$7)=0,"",IF(AND(COUNT(A200:A211)=2,COUNT(F200:F211)=2),cubic_spline(F199:F201,A199:A201,B$7),IF(AND(COUNT(A200:A211)=3,COUNT(F200:F211)=3),cubic_spline(F199:F202,A199:A202,B$7),IF(AND(COUNT(A200:A211)=4,COUNT(F200:F211)=4),cubic_spline(F199:F203,A199:A203,B$7),IF(AND(COUNT(A200:A211)=5,COUNT(F200:F211)=5),cubic_spline(F199:F204,A199:A204,B$7),IF(AND(COUNT(A200:A211)=6,COUNT(F200:F211)=6),cubic_spline(F199:F205,A199:A205,B$7),IF(AND(COUNT(A200:A211)=7,COUNT(F200:F211)=7),cubic_spline(F199:F206,A199:A206,B$7),IF(AND(COUNT(A200:A211)=8,COUNT(F200:F211)=8),cubic_spline(F199:F207,A199:A207,B$7),IF(AND(COUNT(A200:A211)=9,COUNT(F200:F211)=9),cubic_spline(F199:F208,A199:A208,B$7),IF(AND(COUNT(A200:A211)=10,COUNT(F200:F211)=10),cubic_spline(F199:F209,A199:A209,B$7),IF(AND(COUNT(A200:A211)=11,COUNT(F200:F211)=11),cubic_spline(F199:F210,A199:A210,B$7),IF(AND(COUNT(A200:A211)=12,COUNT(F200:F211)=12),cubic_spline(F199:F211,A199:A211,B$7),""))))))))))))</f>
        <v/>
      </c>
      <c r="L205" s="27" t="str">
        <f>IF(I205="","",B$6&amp;"-"&amp;B$7)</f>
        <v/>
      </c>
      <c r="M205" s="52" t="str">
        <f t="shared" ref="M205:M211" si="75">IF(N(J205)=0,"",J205-J204)</f>
        <v/>
      </c>
    </row>
    <row r="206" spans="1:13" x14ac:dyDescent="0.35">
      <c r="A206" s="48"/>
      <c r="B206" s="48"/>
      <c r="C206" s="50"/>
      <c r="D206" s="50"/>
      <c r="E206" s="51" t="str">
        <f t="shared" si="73"/>
        <v/>
      </c>
      <c r="F206" s="71" t="str">
        <f t="shared" si="71"/>
        <v/>
      </c>
      <c r="G206" s="69" t="str">
        <f t="shared" si="74"/>
        <v/>
      </c>
      <c r="H206" s="70" t="str">
        <f t="shared" si="72"/>
        <v/>
      </c>
      <c r="I206" s="27" t="str">
        <f>IF(N(J206)=0,"",0&amp;"-"&amp;B$8)</f>
        <v/>
      </c>
      <c r="J206" s="52" t="str">
        <f>IF(N(B$8)=0,"",IF(AND(COUNT(H200:H211)=2,COUNT(F200:F211)=2),cubic_spline(F199:F201,H199:H201,B$8),IF(AND(COUNT(H200:H211)=3,COUNT(F200:F211)=3),cubic_spline(F199:F202,H199:H202,B$8),IF(AND(COUNT(H200:H211)=4,COUNT(F200:F211)=4),cubic_spline(F199:F203,H199:H203,B$8),IF(AND(COUNT(H200:H211)=5,COUNT(F200:F211)=5),cubic_spline(F199:F204,H199:H204,B$8),IF(AND(COUNT(H200:H211)=6,COUNT(F200:F211)=6),cubic_spline(F199:F205,H199:H205,B$8),IF(AND(COUNT(H200:H211)=7,COUNT(F200:F211)=7),cubic_spline(F199:F206,H199:H206,B$8),IF(AND(COUNT(H200:H211)=8,COUNT(F200:F211)=8),cubic_spline(F199:F207,H199:H207,B$8),IF(AND(COUNT(H200:H211)=9,COUNT(F200:F211)=9),cubic_spline(F199:F208,H199:H208,B$8),IF(AND(COUNT(H200:H211)=10,COUNT(F200:F211)=10),cubic_spline(F199:F209,H199:H209,B$8),IF(AND(COUNT(H200:H211)=11,COUNT(F200:F211)=11),cubic_spline(F199:F210,H199:H210,B$8),IF(AND(COUNT(H200:H211)=12,COUNT(F200:F211)=12),cubic_spline(F199:F211,H199:H211,B$8),""))))))))))))</f>
        <v/>
      </c>
      <c r="K206" s="52" t="str">
        <f>IF(N(B$8)=0,"",IF(AND(COUNT(A200:A211)=2,COUNT(F200:F211)=2),cubic_spline(F199:F201,A199:A201,B$8),IF(AND(COUNT(A200:A211)=3,COUNT(F200:F211)=3),cubic_spline(F199:F202,A199:A202,B$8),IF(AND(COUNT(A200:A211)=4,COUNT(F200:F211)=4),cubic_spline(F199:F203,A199:A203,B$8),IF(AND(COUNT(A200:A211)=5,COUNT(F200:F211)=5),cubic_spline(F199:F204,A199:A204,B$8),IF(AND(COUNT(A200:A211)=6,COUNT(F200:F211)=6),cubic_spline(F199:F205,A199:A205,B$8),IF(AND(COUNT(A200:A211)=7,COUNT(F200:F211)=7),cubic_spline(F199:F206,A199:A206,B$8),IF(AND(COUNT(A200:A211)=8,COUNT(F200:F211)=8),cubic_spline(F199:F207,A199:A207,B$8),IF(AND(COUNT(A200:A211)=9,COUNT(F200:F211)=9),cubic_spline(F199:F208,A199:A208,B$8),IF(AND(COUNT(A200:A211)=10,COUNT(F200:F211)=10),cubic_spline(F199:F209,A199:A209,B$8),IF(AND(COUNT(A200:A211)=11,COUNT(F200:F211)=11),cubic_spline(F199:F210,A199:A210,B$8),IF(AND(COUNT(A200:A211)=12,COUNT(F200:F211)=12),cubic_spline(F199:F211,A199:A211,B$8),""))))))))))))</f>
        <v/>
      </c>
      <c r="L206" s="27" t="str">
        <f>IF(I206="","",B$7&amp;"-"&amp;B$8)</f>
        <v/>
      </c>
      <c r="M206" s="52" t="str">
        <f t="shared" si="75"/>
        <v/>
      </c>
    </row>
    <row r="207" spans="1:13" x14ac:dyDescent="0.35">
      <c r="A207" s="48"/>
      <c r="B207" s="48"/>
      <c r="C207" s="50"/>
      <c r="D207" s="50"/>
      <c r="E207" s="51" t="str">
        <f t="shared" si="73"/>
        <v/>
      </c>
      <c r="F207" s="71" t="str">
        <f t="shared" si="71"/>
        <v/>
      </c>
      <c r="G207" s="69" t="str">
        <f t="shared" si="74"/>
        <v/>
      </c>
      <c r="H207" s="70" t="str">
        <f t="shared" si="72"/>
        <v/>
      </c>
      <c r="I207" s="27" t="str">
        <f>IF(N(J207)=0,"",0&amp;"-"&amp;B$9)</f>
        <v/>
      </c>
      <c r="J207" s="52" t="str">
        <f>IF(N(B$9)=0,"",IF(AND(COUNT(H200:H211)=2,COUNT(F200:F211)=2),cubic_spline(F199:F201,H199:H201,B$9),IF(AND(COUNT(H200:H211)=3,COUNT(F200:F211)=3),cubic_spline(F199:F202,H199:H202,B$9),IF(AND(COUNT(H200:H211)=4,COUNT(F200:F211)=4),cubic_spline(F199:F203,H199:H203,B$9),IF(AND(COUNT(H200:H211)=5,COUNT(F200:F211)=5),cubic_spline(F199:F204,H199:H204,B$9),IF(AND(COUNT(H200:H211)=6,COUNT(F200:F211)=6),cubic_spline(F199:F205,H199:H205,B$9),IF(AND(COUNT(H200:H211)=7,COUNT(F200:F211)=7),cubic_spline(F199:F206,H199:H206,B$9),IF(AND(COUNT(H200:H211)=8,COUNT(F200:F211)=8),cubic_spline(F199:F207,H199:H207,B$9),IF(AND(COUNT(H200:H211)=9,COUNT(F200:F211)=9),cubic_spline(F199:F208,H199:H208,B$9),IF(AND(COUNT(H200:H211)=10,COUNT(F200:F211)=10),cubic_spline(F199:F209,H199:H209,B$9),IF(AND(COUNT(H200:H211)=11,COUNT(F200:F211)=11),cubic_spline(F199:F210,H199:H210,B$9),IF(AND(COUNT(H200:H211)=12,COUNT(F200:F211)=12),cubic_spline(F199:F211,H199:H211,B$9),""))))))))))))</f>
        <v/>
      </c>
      <c r="K207" s="52" t="str">
        <f>IF(N(B$9)=0,"",IF(AND(COUNT(A200:A211)=2,COUNT(F200:F211)=2),cubic_spline(F199:F201,A199:A201,B$9),IF(AND(COUNT(A200:A211)=3,COUNT(F200:F211)=3),cubic_spline(F199:F202,A199:A202,B$9),IF(AND(COUNT(A200:A211)=4,COUNT(F200:F211)=4),cubic_spline(F199:F203,A199:A203,B$9),IF(AND(COUNT(A200:A211)=5,COUNT(F200:F211)=5),cubic_spline(F199:F204,A199:A204,B$9),IF(AND(COUNT(A200:A211)=6,COUNT(F200:F211)=6),cubic_spline(F199:F205,A199:A205,B$9),IF(AND(COUNT(A200:A211)=7,COUNT(F200:F211)=7),cubic_spline(F199:F206,A199:A206,B$9),IF(AND(COUNT(A200:A211)=8,COUNT(F200:F211)=8),cubic_spline(F199:F207,A199:A207,B$9),IF(AND(COUNT(A200:A211)=9,COUNT(F200:F211)=9),cubic_spline(F199:F208,A199:A208,B$9),IF(AND(COUNT(A200:A211)=10,COUNT(F200:F211)=10),cubic_spline(F199:F209,A199:A209,B$9),IF(AND(COUNT(A200:A211)=11,COUNT(F200:F211)=11),cubic_spline(F199:F210,A199:A210,B$9),IF(AND(COUNT(A200:A211)=12,COUNT(F200:F211)=12),cubic_spline(F199:F211,A199:A211,B$9),""))))))))))))</f>
        <v/>
      </c>
      <c r="L207" s="27" t="str">
        <f>IF(I207="","",B$8&amp;"-"&amp;B$9)</f>
        <v/>
      </c>
      <c r="M207" s="52" t="str">
        <f t="shared" si="75"/>
        <v/>
      </c>
    </row>
    <row r="208" spans="1:13" x14ac:dyDescent="0.35">
      <c r="A208" s="48"/>
      <c r="B208" s="48"/>
      <c r="C208" s="50"/>
      <c r="D208" s="50"/>
      <c r="E208" s="51" t="str">
        <f t="shared" si="73"/>
        <v/>
      </c>
      <c r="F208" s="71" t="str">
        <f t="shared" si="71"/>
        <v/>
      </c>
      <c r="G208" s="69" t="str">
        <f t="shared" si="74"/>
        <v/>
      </c>
      <c r="H208" s="70" t="str">
        <f t="shared" si="72"/>
        <v/>
      </c>
      <c r="I208" s="27" t="str">
        <f>IF(N(J208)=0,"",0&amp;"-"&amp;B$10)</f>
        <v/>
      </c>
      <c r="J208" s="52" t="str">
        <f>IF(N(B$10)=0,"",IF(AND(COUNT(H200:H211)=2,COUNT(F200:F211)=2),cubic_spline(F199:F201,H199:H201,B$10),IF(AND(COUNT(H200:H211)=3,COUNT(F200:F211)=3),cubic_spline(F199:F202,H199:H202,B$10),IF(AND(COUNT(H200:H211)=4,COUNT(F200:F211)=4),cubic_spline(F199:F203,H199:H203,B$10),IF(AND(COUNT(H200:H211)=5,COUNT(F200:F211)=5),cubic_spline(F199:F204,H199:H204,B$10),IF(AND(COUNT(H200:H211)=6,COUNT(F200:F211)=6),cubic_spline(F199:F205,H199:H205,B$10),IF(AND(COUNT(H200:H211)=7,COUNT(F200:F211)=7),cubic_spline(F199:F206,H199:H206,B$10),IF(AND(COUNT(H200:H211)=8,COUNT(F200:F211)=8),cubic_spline(F199:F207,H199:H207,B$10),IF(AND(COUNT(H200:H211)=9,COUNT(F200:F211)=9),cubic_spline(F199:F208,H199:H208,B$10),IF(AND(COUNT(H200:H211)=10,COUNT(F200:F211)=10),cubic_spline(F199:F209,H199:H209,B$10),IF(AND(COUNT(H200:H211)=11,COUNT(F200:F211)=11),cubic_spline(F199:F210,H199:H210,B$10),IF(AND(COUNT(H200:H211)=12,COUNT(F200:F211)=12),cubic_spline(F199:F211,H199:H211,B$10),""))))))))))))</f>
        <v/>
      </c>
      <c r="K208" s="52" t="str">
        <f>IF(N(B$10)=0,"",IF(AND(COUNT(A200:A211)=2,COUNT(F200:F211)=2),cubic_spline(F199:F201,A199:A201,B$10),IF(AND(COUNT(A200:A211)=3,COUNT(F200:F211)=3),cubic_spline(F199:F202,A199:A202,B$10),IF(AND(COUNT(A200:A211)=4,COUNT(F200:F211)=4),cubic_spline(F199:F203,A199:A203,B$10),IF(AND(COUNT(A200:A211)=5,COUNT(F200:F211)=5),cubic_spline(F199:F204,A199:A204,B$10),IF(AND(COUNT(A200:A211)=6,COUNT(F200:F211)=6),cubic_spline(F199:F205,A199:A205,B$10),IF(AND(COUNT(A200:A211)=7,COUNT(F200:F211)=7),cubic_spline(F199:F206,A199:A206,B$10),IF(AND(COUNT(A200:A211)=8,COUNT(F200:F211)=8),cubic_spline(F199:F207,A199:A207,B$10),IF(AND(COUNT(A200:A211)=9,COUNT(F200:F211)=9),cubic_spline(F199:F208,A199:A208,B$10),IF(AND(COUNT(A200:A211)=10,COUNT(F200:F211)=10),cubic_spline(F199:F209,A199:A209,B$10),IF(AND(COUNT(A200:A211)=11,COUNT(F200:F211)=11),cubic_spline(F199:F210,A199:A210,B$10),IF(AND(COUNT(A200:A211)=12,COUNT(F200:F211)=12),cubic_spline(F199:F211,A199:A211,B$10),""))))))))))))</f>
        <v/>
      </c>
      <c r="L208" s="27" t="str">
        <f>IF(I208="","",B$9&amp;"-"&amp;B$10)</f>
        <v/>
      </c>
      <c r="M208" s="52" t="str">
        <f t="shared" si="75"/>
        <v/>
      </c>
    </row>
    <row r="209" spans="1:13" x14ac:dyDescent="0.35">
      <c r="A209" s="48"/>
      <c r="B209" s="48"/>
      <c r="C209" s="50"/>
      <c r="D209" s="50"/>
      <c r="E209" s="51" t="str">
        <f t="shared" si="73"/>
        <v/>
      </c>
      <c r="F209" s="71" t="str">
        <f t="shared" si="71"/>
        <v/>
      </c>
      <c r="G209" s="69" t="str">
        <f t="shared" si="74"/>
        <v/>
      </c>
      <c r="H209" s="70" t="str">
        <f t="shared" si="72"/>
        <v/>
      </c>
      <c r="I209" s="27" t="str">
        <f>IF(N(J209)=0,"",0&amp;"-"&amp;B$11)</f>
        <v/>
      </c>
      <c r="J209" s="52" t="str">
        <f>IF(N(B$11)=0,"",IF(AND(COUNT(H200:H211)=2,COUNT(F200:F211)=2),cubic_spline(F199:F201,H199:H201,B$11),IF(AND(COUNT(H200:H211)=3,COUNT(F200:F211)=3),cubic_spline(F199:F202,H199:H202,B$11),IF(AND(COUNT(H200:H211)=4,COUNT(F200:F211)=4),cubic_spline(F199:F203,H199:H203,B$11),IF(AND(COUNT(H200:H211)=5,COUNT(F200:F211)=5),cubic_spline(F199:F204,H199:H204,B$11),IF(AND(COUNT(H200:H211)=6,COUNT(F200:F211)=6),cubic_spline(F199:F205,H199:H205,B$11),IF(AND(COUNT(H200:H211)=7,COUNT(F200:F211)=7),cubic_spline(F199:F206,H199:H206,B$11),IF(AND(COUNT(H200:H211)=8,COUNT(F200:F211)=8),cubic_spline(F199:F207,H199:H207,B$11),IF(AND(COUNT(H200:H211)=9,COUNT(F200:F211)=9),cubic_spline(F199:F208,H199:H208,B$11),IF(AND(COUNT(H200:H211)=10,COUNT(F200:F211)=10),cubic_spline(F199:F209,H199:H209,B$11),IF(AND(COUNT(H200:H211)=11,COUNT(F200:F211)=11),cubic_spline(F199:F210,H199:H210,B$11),IF(AND(COUNT(H200:H211)=12,COUNT(F200:F211)=12),cubic_spline(F199:F211,H199:H211,B$11),""))))))))))))</f>
        <v/>
      </c>
      <c r="K209" s="52" t="str">
        <f>IF(N(B$11)=0,"",IF(AND(COUNT(A200:A211)=2,COUNT(F200:F211)=2),cubic_spline(F199:F201,A199:A201,B$11),IF(AND(COUNT(A200:A211)=3,COUNT(F200:F211)=3),cubic_spline(F199:F202,A199:A202,B$11),IF(AND(COUNT(A200:A211)=4,COUNT(F200:F211)=4),cubic_spline(F199:F203,A199:A203,B$11),IF(AND(COUNT(A200:A211)=5,COUNT(F200:F211)=5),cubic_spline(F199:F204,A199:A204,B$11),IF(AND(COUNT(A200:A211)=6,COUNT(F200:F211)=6),cubic_spline(F199:F205,A199:A205,B$11),IF(AND(COUNT(A200:A211)=7,COUNT(F200:F211)=7),cubic_spline(F199:F206,A199:A206,B$11),IF(AND(COUNT(A200:A211)=8,COUNT(F200:F211)=8),cubic_spline(F199:F207,A199:A207,B$11),IF(AND(COUNT(A200:A211)=9,COUNT(F200:F211)=9),cubic_spline(F199:F208,A199:A208,B$11),IF(AND(COUNT(A200:A211)=10,COUNT(F200:F211)=10),cubic_spline(F199:F209,A199:A209,B$11),IF(AND(COUNT(A200:A211)=11,COUNT(F200:F211)=11),cubic_spline(F199:F210,A199:A210,B$11),IF(AND(COUNT(A200:A211)=12,COUNT(F200:F211)=12),cubic_spline(F199:F211,A199:A211,B$11),""))))))))))))</f>
        <v/>
      </c>
      <c r="L209" s="27" t="str">
        <f>IF(I209="","",B$10&amp;"-"&amp;B$11)</f>
        <v/>
      </c>
      <c r="M209" s="52" t="str">
        <f t="shared" si="75"/>
        <v/>
      </c>
    </row>
    <row r="210" spans="1:13" x14ac:dyDescent="0.35">
      <c r="A210" s="48"/>
      <c r="B210" s="48"/>
      <c r="C210" s="50"/>
      <c r="D210" s="50"/>
      <c r="E210" s="51" t="str">
        <f t="shared" si="73"/>
        <v/>
      </c>
      <c r="F210" s="71" t="str">
        <f t="shared" si="71"/>
        <v/>
      </c>
      <c r="G210" s="69" t="str">
        <f t="shared" si="74"/>
        <v/>
      </c>
      <c r="H210" s="70" t="str">
        <f t="shared" si="72"/>
        <v/>
      </c>
      <c r="I210" s="27" t="str">
        <f>IF(N(J210)=0,"",0&amp;"-"&amp;B$12)</f>
        <v/>
      </c>
      <c r="J210" s="52" t="str">
        <f>IF(N(B$12)=0,"",IF(AND(COUNT(H200:H211)=2,COUNT(F200:F211)=2),cubic_spline(F199:F201,H199:H201,B$12),IF(AND(COUNT(H200:H211)=3,COUNT(F200:F211)=3),cubic_spline(F199:F202,H199:H202,B$12),IF(AND(COUNT(H200:H211)=4,COUNT(F200:F211)=4),cubic_spline(F199:F203,H199:H203,B$12),IF(AND(COUNT(H200:H211)=5,COUNT(F200:F211)=5),cubic_spline(F199:F204,H199:H204,B$12),IF(AND(COUNT(H200:H211)=6,COUNT(F200:F211)=6),cubic_spline(F199:F205,H199:H205,B$12),IF(AND(COUNT(H200:H211)=7,COUNT(F200:F211)=7),cubic_spline(F199:F206,H199:H206,B$12),IF(AND(COUNT(H200:H211)=8,COUNT(F200:F211)=8),cubic_spline(F199:F207,H199:H207,B$12),IF(AND(COUNT(H200:H211)=9,COUNT(F200:F211)=9),cubic_spline(F199:F208,H199:H208,B$12),IF(AND(COUNT(H200:H211)=10,COUNT(F200:F211)=10),cubic_spline(F199:F209,H199:H209,B$12),IF(AND(COUNT(H200:H211)=11,COUNT(F200:F211)=11),cubic_spline(F199:F210,H199:H210,B$12),IF(AND(COUNT(H200:H211)=12,COUNT(F200:F211)=12),cubic_spline(F199:F211,H199:H211,B$12),""))))))))))))</f>
        <v/>
      </c>
      <c r="K210" s="52" t="str">
        <f>IF(N(B$12)=0,"",IF(AND(COUNT(A200:A211)=2,COUNT(F200:F211)=2),cubic_spline(F199:F201,A199:A201,B$12),IF(AND(COUNT(A200:A211)=3,COUNT(F200:F211)=3),cubic_spline(F199:F202,A199:A202,B$12),IF(AND(COUNT(A200:A211)=4,COUNT(F200:F211)=4),cubic_spline(F199:F203,A199:A203,B$12),IF(AND(COUNT(A200:A211)=5,COUNT(F200:F211)=5),cubic_spline(F199:F204,A199:A204,B$12),IF(AND(COUNT(A200:A211)=6,COUNT(F200:F211)=6),cubic_spline(F199:F205,A199:A205,B$12),IF(AND(COUNT(A200:A211)=7,COUNT(F200:F211)=7),cubic_spline(F199:F206,A199:A206,B$12),IF(AND(COUNT(A200:A211)=8,COUNT(F200:F211)=8),cubic_spline(F199:F207,A199:A207,B$12),IF(AND(COUNT(A200:A211)=9,COUNT(F200:F211)=9),cubic_spline(F199:F208,A199:A208,B$12),IF(AND(COUNT(A200:A211)=10,COUNT(F200:F211)=10),cubic_spline(F199:F209,A199:A209,B$12),IF(AND(COUNT(A200:A211)=11,COUNT(F200:F211)=11),cubic_spline(F199:F210,A199:A210,B$12),IF(AND(COUNT(A200:A211)=12,COUNT(F200:F211)=12),cubic_spline(F199:F211,A199:A211,B$12),""))))))))))))</f>
        <v/>
      </c>
      <c r="L210" s="27" t="str">
        <f>IF(I210="","",B$11&amp;"-"&amp;B$12)</f>
        <v/>
      </c>
      <c r="M210" s="52" t="str">
        <f t="shared" si="75"/>
        <v/>
      </c>
    </row>
    <row r="211" spans="1:13" x14ac:dyDescent="0.35">
      <c r="A211" s="48"/>
      <c r="B211" s="48"/>
      <c r="C211" s="50"/>
      <c r="D211" s="50"/>
      <c r="E211" s="51" t="str">
        <f t="shared" si="73"/>
        <v/>
      </c>
      <c r="F211" s="71" t="str">
        <f t="shared" si="71"/>
        <v/>
      </c>
      <c r="G211" s="69" t="str">
        <f t="shared" si="74"/>
        <v/>
      </c>
      <c r="H211" s="70" t="str">
        <f t="shared" si="72"/>
        <v/>
      </c>
      <c r="I211" s="27" t="str">
        <f>IF(N(J211)=0,"",0&amp;"-"&amp;B$13)</f>
        <v/>
      </c>
      <c r="J211" s="52" t="str">
        <f>IF(N(B$13)=0,"",IF(AND(COUNT(H200:H211)=2,COUNT(F200:F211)=2),cubic_spline(F199:F201,H199:H201,B$13),IF(AND(COUNT(H200:H211)=3,COUNT(F200:F211)=3),cubic_spline(F199:F202,H199:H202,B$13),IF(AND(COUNT(H200:H211)=4,COUNT(F200:F211)=4),cubic_spline(F199:F203,H199:H203,B$13),IF(AND(COUNT(H200:H211)=5,COUNT(F200:F211)=5),cubic_spline(F199:F204,H199:H204,B$13),IF(AND(COUNT(H200:H211)=6,COUNT(F200:F211)=6),cubic_spline(F199:F205,H199:H205,B$13),IF(AND(COUNT(H200:H211)=7,COUNT(F200:F211)=7),cubic_spline(F199:F206,H199:H206,B$13),IF(AND(COUNT(H200:H211)=8,COUNT(F200:F211)=8),cubic_spline(F199:F207,H199:H207,B$13),IF(AND(COUNT(H200:H211)=9,COUNT(F200:F211)=9),cubic_spline(F199:F208,H199:H208,B$13),IF(AND(COUNT(H200:H211)=10,COUNT(F200:F211)=10),cubic_spline(F199:F209,H199:H209,B$13),IF(AND(COUNT(H200:H211)=11,COUNT(F200:F211)=11),cubic_spline(F199:F210,H199:H210,B$13),IF(AND(COUNT(H200:H211)=12,COUNT(F200:F211)=12),cubic_spline(F199:F211,H199:H211,B$13),""))))))))))))</f>
        <v/>
      </c>
      <c r="K211" s="52" t="str">
        <f>IF(N(B$13)=0,"",IF(AND(COUNT(A200:A211)=2,COUNT(F200:F211)=2),cubic_spline(F199:F201,A199:A201,B$13),IF(AND(COUNT(A200:A211)=3,COUNT(F200:F211)=3),cubic_spline(F199:F202,A199:A202,B$13),IF(AND(COUNT(A200:A211)=4,COUNT(F200:F211)=4),cubic_spline(F199:F203,A199:A203,B$13),IF(AND(COUNT(A200:A211)=5,COUNT(F200:F211)=5),cubic_spline(F199:F204,A199:A204,B$13),IF(AND(COUNT(A200:A211)=6,COUNT(F200:F211)=6),cubic_spline(F199:F205,A199:A205,B$13),IF(AND(COUNT(A200:A211)=7,COUNT(F200:F211)=7),cubic_spline(F199:F206,A199:A206,B$13),IF(AND(COUNT(A200:A211)=8,COUNT(F200:F211)=8),cubic_spline(F199:F207,A199:A207,B$13),IF(AND(COUNT(A200:A211)=9,COUNT(F200:F211)=9),cubic_spline(F199:F208,A199:A208,B$13),IF(AND(COUNT(A200:A211)=10,COUNT(F200:F211)=10),cubic_spline(F199:F209,A199:A209,B$13),IF(AND(COUNT(A200:A211)=11,COUNT(F200:F211)=11),cubic_spline(F199:F210,A199:A210,B$13),IF(AND(COUNT(A200:A211)=12,COUNT(F200:F211)=12),cubic_spline(F199:F211,A199:A211,B$13),""))))))))))))</f>
        <v/>
      </c>
      <c r="L211" s="27" t="str">
        <f>IF(I211="","",B$12&amp;"-"&amp;B$13)</f>
        <v/>
      </c>
      <c r="M211" s="52" t="str">
        <f t="shared" si="75"/>
        <v/>
      </c>
    </row>
    <row r="212" spans="1:13" ht="5.15" customHeight="1" x14ac:dyDescent="0.35">
      <c r="A212" s="47"/>
      <c r="B212" s="47"/>
      <c r="C212" s="53"/>
      <c r="D212" s="53"/>
      <c r="E212" s="54"/>
      <c r="F212" s="55"/>
      <c r="G212" s="72"/>
      <c r="H212" s="73"/>
      <c r="I212" s="47"/>
      <c r="J212" s="57"/>
      <c r="K212" s="57"/>
      <c r="L212" s="55"/>
      <c r="M212" s="57"/>
    </row>
    <row r="213" spans="1:13" ht="15" customHeight="1" x14ac:dyDescent="0.35">
      <c r="A213" s="48"/>
      <c r="B213" s="48"/>
      <c r="C213" s="50"/>
      <c r="D213" s="50"/>
      <c r="E213" s="51" t="str">
        <f>IF(N(C213)=0,"",(A213-A212)*C213*100)</f>
        <v/>
      </c>
      <c r="F213" s="68" t="str">
        <f t="shared" ref="F213:F224" si="76">IF(N(E213)=0,"",(N(E213)+N(F212)))</f>
        <v/>
      </c>
      <c r="G213" s="69" t="str">
        <f>IF(OR(N(D213)=0,N(E213)=0),"",(E213*D213)/1000)</f>
        <v/>
      </c>
      <c r="H213" s="70" t="str">
        <f t="shared" ref="H213:H224" si="77">IF(N(G213)=0,"",(N(G213)+N(H212)))</f>
        <v/>
      </c>
      <c r="I213" s="27" t="str">
        <f>IF(N(J213)=0,"",0&amp;"-"&amp;B$2)</f>
        <v/>
      </c>
      <c r="J213" s="52" t="str">
        <f>IF(N(B$2)=0,"",IF(AND(COUNT(H213:H224)=2,COUNT(F213:F224)=2),cubic_spline(F212:F214,H212:H214,B$2),IF(AND(COUNT(H213:H224)=3,COUNT(F213:F224)=3),cubic_spline(F212:F215,H212:H215,B$2),IF(AND(COUNT(H213:H224)=4,COUNT(F213:F224)=4),cubic_spline(F212:F216,H212:H216,B$2),IF(AND(COUNT(H213:H224)=5,COUNT(F213:F224)=5),cubic_spline(F212:F217,H212:H217,B$2),IF(AND(COUNT(H213:H224)=6,COUNT(F213:F224)=6),cubic_spline(F212:F218,H212:H218,B$2),IF(AND(COUNT(H213:H224)=7,COUNT(F213:F224)=7),cubic_spline(F212:F219,H212:H219,B$2),IF(AND(COUNT(H213:H224)=8,COUNT(F213:F224)=8),cubic_spline(F212:F220,H212:H220,B$2),IF(AND(COUNT(H213:H224)=9,COUNT(F213:F224)=9),cubic_spline(F212:F221,H212:H221,B$2),IF(AND(COUNT(H213:H224)=10,COUNT(F213:F224)=10),cubic_spline(F212:F222,H212:H222,B$2),IF(AND(COUNT(H213:H224)=11,COUNT(F213:F224)=11),cubic_spline(F212:F223,H212:H223,B$2),IF(AND(COUNT(H213:H224)=12,COUNT(F213:F224)=12),cubic_spline(F212:F224,H212:H224,B$2),""))))))))))))</f>
        <v/>
      </c>
      <c r="K213" s="52" t="str">
        <f>IF(N(B$2)=0,"",IF(AND(COUNT(A213:A224)=2,COUNT(F213:F224)=2),cubic_spline(F212:F214,A212:A214,B$2),IF(AND(COUNT(A213:A224)=3,COUNT(F213:F224)=3),cubic_spline(F212:F215,A212:A215,B$2),IF(AND(COUNT(A213:A224)=4,COUNT(F213:F224)=4),cubic_spline(F212:F216,A212:A216,B$2),IF(AND(COUNT(A213:A224)=5,COUNT(F213:F224)=5),cubic_spline(F212:F217,A212:A217,B$2),IF(AND(COUNT(A213:A224)=6,COUNT(F213:F224)=6),cubic_spline(F212:F218,A212:A218,B$2),IF(AND(COUNT(A213:A224)=7,COUNT(F213:F224)=7),cubic_spline(F212:F219,A212:A219,B$2),IF(AND(COUNT(A213:A224)=8,COUNT(F213:F224)=8),cubic_spline(F212:F220,A212:A220,B$2),IF(AND(COUNT(A213:A224)=9,COUNT(F213:F224)=9),cubic_spline(F212:F221,A212:A221,B$2),IF(AND(COUNT(A213:A224)=10,COUNT(F213:F224)=10),cubic_spline(F212:F222,A212:A222,B$2),IF(AND(COUNT(A213:A224)=11,COUNT(F213:F224)=11),cubic_spline(F212:F223,A212:A223,B$2),IF(AND(COUNT(A213:A224)=12,COUNT(F213:F224)=12),cubic_spline(F212:F224,A212:A224,B$2),""))))))))))))</f>
        <v/>
      </c>
      <c r="L213" s="27" t="str">
        <f>IF(I213="","",0&amp;"-"&amp;B$2)</f>
        <v/>
      </c>
      <c r="M213" s="52" t="str">
        <f>IF(N(J213)=0,"",J213-J212)</f>
        <v/>
      </c>
    </row>
    <row r="214" spans="1:13" ht="15" customHeight="1" x14ac:dyDescent="0.35">
      <c r="A214" s="48"/>
      <c r="B214" s="48"/>
      <c r="C214" s="50"/>
      <c r="D214" s="50"/>
      <c r="E214" s="51" t="str">
        <f t="shared" ref="E214:E224" si="78">IF(N(C214)=0,"",(A214-A213)*C214*100)</f>
        <v/>
      </c>
      <c r="F214" s="68" t="str">
        <f t="shared" si="76"/>
        <v/>
      </c>
      <c r="G214" s="69" t="str">
        <f t="shared" ref="G214:G224" si="79">IF(OR(N(D214)=0,N(E214)=0),"",(E214*D214)/1000)</f>
        <v/>
      </c>
      <c r="H214" s="70" t="str">
        <f t="shared" si="77"/>
        <v/>
      </c>
      <c r="I214" s="27" t="str">
        <f>IF(N(J214)=0,"",0&amp;"-"&amp;B$3)</f>
        <v/>
      </c>
      <c r="J214" s="52" t="str">
        <f>IF(N(B$3)=0,"",IF(AND(COUNT(H213:H224)=2,COUNT(F213:F224)=2),cubic_spline(F212:F214,H212:H214,B$3),IF(AND(COUNT(H213:H224)=3,COUNT(F213:F224)=3),cubic_spline(F212:F215,H212:H215,B$3),IF(AND(COUNT(H213:H224)=4,COUNT(F213:F224)=4),cubic_spline(F212:F216,H212:H216,B$3),IF(AND(COUNT(H213:H224)=5,COUNT(F213:F224)=5),cubic_spline(F212:F217,H212:H217,B$3),IF(AND(COUNT(H213:H224)=6,COUNT(F213:F224)=6),cubic_spline(F212:F218,H212:H218,B$3),IF(AND(COUNT(H213:H224)=7,COUNT(F213:F224)=7),cubic_spline(F212:F219,H212:H219,B$3),IF(AND(COUNT(H213:H224)=8,COUNT(F213:F224)=8),cubic_spline(F212:F220,H212:H220,B$3),IF(AND(COUNT(H213:H224)=9,COUNT(F213:F224)=9),cubic_spline(F212:F221,H212:H221,B$3),IF(AND(COUNT(H213:H224)=10,COUNT(F213:F224)=10),cubic_spline(F212:F222,H212:H222,B$3),IF(AND(COUNT(H213:H224)=11,COUNT(F213:F224)=11),cubic_spline(F212:F223,H212:H223,B$3),IF(AND(COUNT(H213:H224)=12,COUNT(F213:F224)=12),cubic_spline(F212:F224,H212:H224,B$3),""))))))))))))</f>
        <v/>
      </c>
      <c r="K214" s="52" t="str">
        <f>IF(N(B$3)=0,"",IF(AND(COUNT(A213:A224)=2,COUNT(F213:F224)=2),cubic_spline(F212:F214,A212:A214,B$3),IF(AND(COUNT(A213:A224)=3,COUNT(F213:F224)=3),cubic_spline(F212:F215,A212:A215,B$3),IF(AND(COUNT(A213:A224)=4,COUNT(F213:F224)=4),cubic_spline(F212:F216,A212:A216,B$3),IF(AND(COUNT(A213:A224)=5,COUNT(F213:F224)=5),cubic_spline(F212:F217,A212:A217,B$3),IF(AND(COUNT(A213:A224)=6,COUNT(F213:F224)=6),cubic_spline(F212:F218,A212:A218,B$3),IF(AND(COUNT(A213:A224)=7,COUNT(F213:F224)=7),cubic_spline(F212:F219,A212:A219,B$3),IF(AND(COUNT(A213:A224)=8,COUNT(F213:F224)=8),cubic_spline(F212:F220,A212:A220,B$3),IF(AND(COUNT(A213:A224)=9,COUNT(F213:F224)=9),cubic_spline(F212:F221,A212:A221,B$3),IF(AND(COUNT(A213:A224)=10,COUNT(F213:F224)=10),cubic_spline(F212:F222,A212:A222,B$3),IF(AND(COUNT(A213:A224)=11,COUNT(F213:F224)=11),cubic_spline(F212:F223,A212:A223,B$3),IF(AND(COUNT(A213:A224)=12,COUNT(F213:F224)=12),cubic_spline(F212:F224,A212:A224,B$3),""))))))))))))</f>
        <v/>
      </c>
      <c r="L214" s="27" t="str">
        <f>IF(I214="","",B$2&amp;"-"&amp;B$3)</f>
        <v/>
      </c>
      <c r="M214" s="52" t="str">
        <f>IF(N(J214)=0,"",J214-J213)</f>
        <v/>
      </c>
    </row>
    <row r="215" spans="1:13" x14ac:dyDescent="0.35">
      <c r="A215" s="48"/>
      <c r="B215" s="48"/>
      <c r="C215" s="50"/>
      <c r="D215" s="50"/>
      <c r="E215" s="51" t="str">
        <f t="shared" si="78"/>
        <v/>
      </c>
      <c r="F215" s="68" t="str">
        <f t="shared" si="76"/>
        <v/>
      </c>
      <c r="G215" s="69" t="str">
        <f t="shared" si="79"/>
        <v/>
      </c>
      <c r="H215" s="70" t="str">
        <f t="shared" si="77"/>
        <v/>
      </c>
      <c r="I215" s="27" t="str">
        <f>IF(N(J215)=0,"",0&amp;"-"&amp;B$4)</f>
        <v/>
      </c>
      <c r="J215" s="52" t="str">
        <f>IF(N(B$4)=0,"",IF(AND(COUNT(H213:H224)=2,COUNT(F213:F224)=2),cubic_spline(F212:F214,H212:H214,B$4),IF(AND(COUNT(H213:H224)=3,COUNT(F213:F224)=3),cubic_spline(F212:F215,H212:H215,B$4),IF(AND(COUNT(H213:H224)=4,COUNT(F213:F224)=4),cubic_spline(F212:F216,H212:H216,B$4),IF(AND(COUNT(H213:H224)=5,COUNT(F213:F224)=5),cubic_spline(F212:F217,H212:H217,B$4),IF(AND(COUNT(H213:H224)=6,COUNT(F213:F224)=6),cubic_spline(F212:F218,H212:H218,B$4),IF(AND(COUNT(H213:H224)=7,COUNT(F213:F224)=7),cubic_spline(F212:F219,H212:H219,B$4),IF(AND(COUNT(H213:H224)=8,COUNT(F213:F224)=8),cubic_spline(F212:F220,H212:H220,B$4),IF(AND(COUNT(H213:H224)=9,COUNT(F213:F224)=9),cubic_spline(F212:F221,H212:H221,B$4),IF(AND(COUNT(H213:H224)=10,COUNT(F213:F224)=10),cubic_spline(F212:F222,H212:H222,B$4),IF(AND(COUNT(H213:H224)=11,COUNT(F213:F224)=11),cubic_spline(F212:F223,H212:H223,B$4),IF(AND(COUNT(H213:H224)=12,COUNT(F213:F224)=12),cubic_spline(F212:F224,H212:H224,B$4),""))))))))))))</f>
        <v/>
      </c>
      <c r="K215" s="52" t="str">
        <f>IF(N(B$4)=0,"",IF(AND(COUNT(A213:A224)=2,COUNT(F213:F224)=2),cubic_spline(F212:F214,A212:A214,B$4),IF(AND(COUNT(A213:A224)=3,COUNT(F213:F224)=3),cubic_spline(F212:F215,A212:A215,B$4),IF(AND(COUNT(A213:A224)=4,COUNT(F213:F224)=4),cubic_spline(F212:F216,A212:A216,B$4),IF(AND(COUNT(A213:A224)=5,COUNT(F213:F224)=5),cubic_spline(F212:F217,A212:A217,B$4),IF(AND(COUNT(A213:A224)=6,COUNT(F213:F224)=6),cubic_spline(F212:F218,A212:A218,B$4),IF(AND(COUNT(A213:A224)=7,COUNT(F213:F224)=7),cubic_spline(F212:F219,A212:A219,B$4),IF(AND(COUNT(A213:A224)=8,COUNT(F213:F224)=8),cubic_spline(F212:F220,A212:A220,B$4),IF(AND(COUNT(A213:A224)=9,COUNT(F213:F224)=9),cubic_spline(F212:F221,A212:A221,B$4),IF(AND(COUNT(A213:A224)=10,COUNT(F213:F224)=10),cubic_spline(F212:F222,A212:A222,B$4),IF(AND(COUNT(A213:A224)=11,COUNT(F213:F224)=11),cubic_spline(F212:F223,A212:A223,B$4),IF(AND(COUNT(A213:A224)=12,COUNT(F213:F224)=12),cubic_spline(F212:F224,A212:A224,B$4),""))))))))))))</f>
        <v/>
      </c>
      <c r="L215" s="27" t="str">
        <f>IF(I215="","",B$3&amp;"-"&amp;B$4)</f>
        <v/>
      </c>
      <c r="M215" s="52" t="str">
        <f>IF(N(J215)=0,"",J215-J214)</f>
        <v/>
      </c>
    </row>
    <row r="216" spans="1:13" x14ac:dyDescent="0.35">
      <c r="A216" s="48"/>
      <c r="B216" s="48"/>
      <c r="C216" s="50"/>
      <c r="D216" s="50"/>
      <c r="E216" s="51" t="str">
        <f t="shared" si="78"/>
        <v/>
      </c>
      <c r="F216" s="68" t="str">
        <f t="shared" si="76"/>
        <v/>
      </c>
      <c r="G216" s="69" t="str">
        <f t="shared" si="79"/>
        <v/>
      </c>
      <c r="H216" s="70" t="str">
        <f t="shared" si="77"/>
        <v/>
      </c>
      <c r="I216" s="27" t="str">
        <f>IF(N(J216)=0,"",0&amp;"-"&amp;B$5)</f>
        <v/>
      </c>
      <c r="J216" s="52" t="str">
        <f>IF(N(B$5)=0,"",IF(AND(COUNT(H213:H224)=2,COUNT(F213:F224)=2),cubic_spline(F212:F214,H212:H214,B$5),IF(AND(COUNT(H213:H224)=3,COUNT(F213:F224)=3),cubic_spline(F212:F215,H212:H215,B$5),IF(AND(COUNT(H213:H224)=4,COUNT(F213:F224)=4),cubic_spline(F212:F216,H212:H216,B$5),IF(AND(COUNT(H213:H224)=5,COUNT(F213:F224)=5),cubic_spline(F212:F217,H212:H217,B$5),IF(AND(COUNT(H213:H224)=6,COUNT(F213:F224)=6),cubic_spline(F212:F218,H212:H218,B$5),IF(AND(COUNT(H213:H224)=7,COUNT(F213:F224)=7),cubic_spline(F212:F219,H212:H219,B$5),IF(AND(COUNT(H213:H224)=8,COUNT(F213:F224)=8),cubic_spline(F212:F220,H212:H220,B$5),IF(AND(COUNT(H213:H224)=9,COUNT(F213:F224)=9),cubic_spline(F212:F221,H212:H221,B$5),IF(AND(COUNT(H213:H224)=10,COUNT(F213:F224)=10),cubic_spline(F212:F222,H212:H222,B$5),IF(AND(COUNT(H213:H224)=11,COUNT(F213:F224)=11),cubic_spline(F212:F223,H212:H223,B$5),IF(AND(COUNT(H213:H224)=12,COUNT(F213:F224)=12),cubic_spline(F212:F224,H212:H224,B$5),""))))))))))))</f>
        <v/>
      </c>
      <c r="K216" s="52" t="str">
        <f>IF(N(B$5)=0,"",IF(AND(COUNT(A213:A224)=2,COUNT(F213:F224)=2),cubic_spline(F212:F214,A212:A214,B$5),IF(AND(COUNT(A213:A224)=3,COUNT(F213:F224)=3),cubic_spline(F212:F215,A212:A215,B$5),IF(AND(COUNT(A213:A224)=4,COUNT(F213:F224)=4),cubic_spline(F212:F216,A212:A216,B$5),IF(AND(COUNT(A213:A224)=5,COUNT(F213:F224)=5),cubic_spline(F212:F217,A212:A217,B$5),IF(AND(COUNT(A213:A224)=6,COUNT(F213:F224)=6),cubic_spline(F212:F218,A212:A218,B$5),IF(AND(COUNT(A213:A224)=7,COUNT(F213:F224)=7),cubic_spline(F212:F219,A212:A219,B$5),IF(AND(COUNT(A213:A224)=8,COUNT(F213:F224)=8),cubic_spline(F212:F220,A212:A220,B$5),IF(AND(COUNT(A213:A224)=9,COUNT(F213:F224)=9),cubic_spline(F212:F221,A212:A221,B$5),IF(AND(COUNT(A213:A224)=10,COUNT(F213:F224)=10),cubic_spline(F212:F222,A212:A222,B$5),IF(AND(COUNT(A213:A224)=11,COUNT(F213:F224)=11),cubic_spline(F212:F223,A212:A223,B$5),IF(AND(COUNT(A213:A224)=12,COUNT(F213:F224)=12),cubic_spline(F212:F224,A212:A224,B$5),""))))))))))))</f>
        <v/>
      </c>
      <c r="L216" s="27" t="str">
        <f>IF(I216="","",B$4&amp;"-"&amp;B$5)</f>
        <v/>
      </c>
      <c r="M216" s="52" t="str">
        <f>IF(N(J216)=0,"",J216-J215)</f>
        <v/>
      </c>
    </row>
    <row r="217" spans="1:13" x14ac:dyDescent="0.35">
      <c r="A217" s="48"/>
      <c r="B217" s="48"/>
      <c r="C217" s="50"/>
      <c r="D217" s="50"/>
      <c r="E217" s="51" t="str">
        <f t="shared" si="78"/>
        <v/>
      </c>
      <c r="F217" s="71" t="str">
        <f t="shared" si="76"/>
        <v/>
      </c>
      <c r="G217" s="69" t="str">
        <f t="shared" si="79"/>
        <v/>
      </c>
      <c r="H217" s="70" t="str">
        <f t="shared" si="77"/>
        <v/>
      </c>
      <c r="I217" s="27" t="str">
        <f>IF(N(J217)=0,"",0&amp;"-"&amp;B$6)</f>
        <v/>
      </c>
      <c r="J217" s="52" t="str">
        <f>IF(N(B$6)=0,"",IF(AND(COUNT(H213:H224)=2,COUNT(F213:F224)=2),cubic_spline(F212:F214,H212:H214,B$6),IF(AND(COUNT(H213:H224)=3,COUNT(F213:F224)=3),cubic_spline(F212:F215,H212:H215,B$6),IF(AND(COUNT(H213:H224)=4,COUNT(F213:F224)=4),cubic_spline(F212:F216,H212:H216,B$6),IF(AND(COUNT(H213:H224)=5,COUNT(F213:F224)=5),cubic_spline(F212:F217,H212:H217,B$6),IF(AND(COUNT(H213:H224)=6,COUNT(F213:F224)=6),cubic_spline(F212:F218,H212:H218,B$6),IF(AND(COUNT(H213:H224)=7,COUNT(F213:F224)=7),cubic_spline(F212:F219,H212:H219,B$6),IF(AND(COUNT(H213:H224)=8,COUNT(F213:F224)=8),cubic_spline(F212:F220,H212:H220,B$6),IF(AND(COUNT(H213:H224)=9,COUNT(F213:F224)=9),cubic_spline(F212:F221,H212:H221,B$6),IF(AND(COUNT(H213:H224)=10,COUNT(F213:F224)=10),cubic_spline(F212:F222,H212:H222,B$6),IF(AND(COUNT(H213:H224)=11,COUNT(F213:F224)=11),cubic_spline(F212:F223,H212:H223,B$6),IF(AND(COUNT(H213:H224)=12,COUNT(F213:F224)=12),cubic_spline(F212:F224,H212:H224,B$6),""))))))))))))</f>
        <v/>
      </c>
      <c r="K217" s="52" t="str">
        <f>IF(N(B$6)=0,"",IF(AND(COUNT(A213:A224)=2,COUNT(F213:F224)=2),cubic_spline(F212:F214,A212:A214,B$6),IF(AND(COUNT(A213:A224)=3,COUNT(F213:F224)=3),cubic_spline(F212:F215,A212:A215,B$6),IF(AND(COUNT(A213:A224)=4,COUNT(F213:F224)=4),cubic_spline(F212:F216,A212:A216,B$6),IF(AND(COUNT(A213:A224)=5,COUNT(F213:F224)=5),cubic_spline(F212:F217,A212:A217,B$6),IF(AND(COUNT(A213:A224)=6,COUNT(F213:F224)=6),cubic_spline(F212:F218,A212:A218,B$6),IF(AND(COUNT(A213:A224)=7,COUNT(F213:F224)=7),cubic_spline(F212:F219,A212:A219,B$6),IF(AND(COUNT(A213:A224)=8,COUNT(F213:F224)=8),cubic_spline(F212:F220,A212:A220,B$6),IF(AND(COUNT(A213:A224)=9,COUNT(F213:F224)=9),cubic_spline(F212:F221,A212:A221,B$6),IF(AND(COUNT(A213:A224)=10,COUNT(F213:F224)=10),cubic_spline(F212:F222,A212:A222,B$6),IF(AND(COUNT(A213:A224)=11,COUNT(F213:F224)=11),cubic_spline(F212:F223,A212:A223,B$6),IF(AND(COUNT(A213:A224)=12,COUNT(F213:F224)=12),cubic_spline(F212:F224,A212:A224,B$6),""))))))))))))</f>
        <v/>
      </c>
      <c r="L217" s="27" t="str">
        <f>IF(I217="","",B$5&amp;"-"&amp;B$6)</f>
        <v/>
      </c>
      <c r="M217" s="52" t="str">
        <f>IF(N(J217)=0,"",J217-J216)</f>
        <v/>
      </c>
    </row>
    <row r="218" spans="1:13" x14ac:dyDescent="0.35">
      <c r="A218" s="48"/>
      <c r="B218" s="48"/>
      <c r="C218" s="50"/>
      <c r="D218" s="50"/>
      <c r="E218" s="51" t="str">
        <f t="shared" si="78"/>
        <v/>
      </c>
      <c r="F218" s="71" t="str">
        <f t="shared" si="76"/>
        <v/>
      </c>
      <c r="G218" s="69" t="str">
        <f t="shared" si="79"/>
        <v/>
      </c>
      <c r="H218" s="70" t="str">
        <f t="shared" si="77"/>
        <v/>
      </c>
      <c r="I218" s="27" t="str">
        <f>IF(N(J218)=0,"",0&amp;"-"&amp;B$7)</f>
        <v/>
      </c>
      <c r="J218" s="52" t="str">
        <f>IF(N(B$7)=0,"",IF(AND(COUNT(H213:H224)=2,COUNT(F213:F224)=2),cubic_spline(F212:F214,H212:H214,B$7),IF(AND(COUNT(H213:H224)=3,COUNT(F213:F224)=3),cubic_spline(F212:F215,H212:H215,B$7),IF(AND(COUNT(H213:H224)=4,COUNT(F213:F224)=4),cubic_spline(F212:F216,H212:H216,B$7),IF(AND(COUNT(H213:H224)=5,COUNT(F213:F224)=5),cubic_spline(F212:F217,H212:H217,B$7),IF(AND(COUNT(H213:H224)=6,COUNT(F213:F224)=6),cubic_spline(F212:F218,H212:H218,B$7),IF(AND(COUNT(H213:H224)=7,COUNT(F213:F224)=7),cubic_spline(F212:F219,H212:H219,B$7),IF(AND(COUNT(H213:H224)=8,COUNT(F213:F224)=8),cubic_spline(F212:F220,H212:H220,B$7),IF(AND(COUNT(H213:H224)=9,COUNT(F213:F224)=9),cubic_spline(F212:F221,H212:H221,B$7),IF(AND(COUNT(H213:H224)=10,COUNT(F213:F224)=10),cubic_spline(F212:F222,H212:H222,B$7),IF(AND(COUNT(H213:H224)=11,COUNT(F213:F224)=11),cubic_spline(F212:F223,H212:H223,B$7),IF(AND(COUNT(H213:H224)=12,COUNT(F213:F224)=12),cubic_spline(F212:F224,H212:H224,B$7),""))))))))))))</f>
        <v/>
      </c>
      <c r="K218" s="52" t="str">
        <f>IF(N(B$7)=0,"",IF(AND(COUNT(A213:A224)=2,COUNT(F213:F224)=2),cubic_spline(F212:F214,A212:A214,B$7),IF(AND(COUNT(A213:A224)=3,COUNT(F213:F224)=3),cubic_spline(F212:F215,A212:A215,B$7),IF(AND(COUNT(A213:A224)=4,COUNT(F213:F224)=4),cubic_spline(F212:F216,A212:A216,B$7),IF(AND(COUNT(A213:A224)=5,COUNT(F213:F224)=5),cubic_spline(F212:F217,A212:A217,B$7),IF(AND(COUNT(A213:A224)=6,COUNT(F213:F224)=6),cubic_spline(F212:F218,A212:A218,B$7),IF(AND(COUNT(A213:A224)=7,COUNT(F213:F224)=7),cubic_spline(F212:F219,A212:A219,B$7),IF(AND(COUNT(A213:A224)=8,COUNT(F213:F224)=8),cubic_spline(F212:F220,A212:A220,B$7),IF(AND(COUNT(A213:A224)=9,COUNT(F213:F224)=9),cubic_spline(F212:F221,A212:A221,B$7),IF(AND(COUNT(A213:A224)=10,COUNT(F213:F224)=10),cubic_spline(F212:F222,A212:A222,B$7),IF(AND(COUNT(A213:A224)=11,COUNT(F213:F224)=11),cubic_spline(F212:F223,A212:A223,B$7),IF(AND(COUNT(A213:A224)=12,COUNT(F213:F224)=12),cubic_spline(F212:F224,A212:A224,B$7),""))))))))))))</f>
        <v/>
      </c>
      <c r="L218" s="27" t="str">
        <f>IF(I218="","",B$6&amp;"-"&amp;B$7)</f>
        <v/>
      </c>
      <c r="M218" s="52" t="str">
        <f t="shared" ref="M218:M224" si="80">IF(N(J218)=0,"",J218-J217)</f>
        <v/>
      </c>
    </row>
    <row r="219" spans="1:13" x14ac:dyDescent="0.35">
      <c r="A219" s="48"/>
      <c r="B219" s="48"/>
      <c r="C219" s="50"/>
      <c r="D219" s="50"/>
      <c r="E219" s="51" t="str">
        <f t="shared" si="78"/>
        <v/>
      </c>
      <c r="F219" s="71" t="str">
        <f t="shared" si="76"/>
        <v/>
      </c>
      <c r="G219" s="69" t="str">
        <f t="shared" si="79"/>
        <v/>
      </c>
      <c r="H219" s="70" t="str">
        <f t="shared" si="77"/>
        <v/>
      </c>
      <c r="I219" s="27" t="str">
        <f>IF(N(J219)=0,"",0&amp;"-"&amp;B$8)</f>
        <v/>
      </c>
      <c r="J219" s="52" t="str">
        <f>IF(N(B$8)=0,"",IF(AND(COUNT(H213:H224)=2,COUNT(F213:F224)=2),cubic_spline(F212:F214,H212:H214,B$8),IF(AND(COUNT(H213:H224)=3,COUNT(F213:F224)=3),cubic_spline(F212:F215,H212:H215,B$8),IF(AND(COUNT(H213:H224)=4,COUNT(F213:F224)=4),cubic_spline(F212:F216,H212:H216,B$8),IF(AND(COUNT(H213:H224)=5,COUNT(F213:F224)=5),cubic_spline(F212:F217,H212:H217,B$8),IF(AND(COUNT(H213:H224)=6,COUNT(F213:F224)=6),cubic_spline(F212:F218,H212:H218,B$8),IF(AND(COUNT(H213:H224)=7,COUNT(F213:F224)=7),cubic_spline(F212:F219,H212:H219,B$8),IF(AND(COUNT(H213:H224)=8,COUNT(F213:F224)=8),cubic_spline(F212:F220,H212:H220,B$8),IF(AND(COUNT(H213:H224)=9,COUNT(F213:F224)=9),cubic_spline(F212:F221,H212:H221,B$8),IF(AND(COUNT(H213:H224)=10,COUNT(F213:F224)=10),cubic_spline(F212:F222,H212:H222,B$8),IF(AND(COUNT(H213:H224)=11,COUNT(F213:F224)=11),cubic_spline(F212:F223,H212:H223,B$8),IF(AND(COUNT(H213:H224)=12,COUNT(F213:F224)=12),cubic_spline(F212:F224,H212:H224,B$8),""))))))))))))</f>
        <v/>
      </c>
      <c r="K219" s="52" t="str">
        <f>IF(N(B$8)=0,"",IF(AND(COUNT(A213:A224)=2,COUNT(F213:F224)=2),cubic_spline(F212:F214,A212:A214,B$8),IF(AND(COUNT(A213:A224)=3,COUNT(F213:F224)=3),cubic_spline(F212:F215,A212:A215,B$8),IF(AND(COUNT(A213:A224)=4,COUNT(F213:F224)=4),cubic_spline(F212:F216,A212:A216,B$8),IF(AND(COUNT(A213:A224)=5,COUNT(F213:F224)=5),cubic_spline(F212:F217,A212:A217,B$8),IF(AND(COUNT(A213:A224)=6,COUNT(F213:F224)=6),cubic_spline(F212:F218,A212:A218,B$8),IF(AND(COUNT(A213:A224)=7,COUNT(F213:F224)=7),cubic_spline(F212:F219,A212:A219,B$8),IF(AND(COUNT(A213:A224)=8,COUNT(F213:F224)=8),cubic_spline(F212:F220,A212:A220,B$8),IF(AND(COUNT(A213:A224)=9,COUNT(F213:F224)=9),cubic_spline(F212:F221,A212:A221,B$8),IF(AND(COUNT(A213:A224)=10,COUNT(F213:F224)=10),cubic_spline(F212:F222,A212:A222,B$8),IF(AND(COUNT(A213:A224)=11,COUNT(F213:F224)=11),cubic_spline(F212:F223,A212:A223,B$8),IF(AND(COUNT(A213:A224)=12,COUNT(F213:F224)=12),cubic_spline(F212:F224,A212:A224,B$8),""))))))))))))</f>
        <v/>
      </c>
      <c r="L219" s="27" t="str">
        <f>IF(I219="","",B$7&amp;"-"&amp;B$8)</f>
        <v/>
      </c>
      <c r="M219" s="52" t="str">
        <f t="shared" si="80"/>
        <v/>
      </c>
    </row>
    <row r="220" spans="1:13" x14ac:dyDescent="0.35">
      <c r="A220" s="48"/>
      <c r="B220" s="48"/>
      <c r="C220" s="50"/>
      <c r="D220" s="50"/>
      <c r="E220" s="51" t="str">
        <f t="shared" si="78"/>
        <v/>
      </c>
      <c r="F220" s="71" t="str">
        <f t="shared" si="76"/>
        <v/>
      </c>
      <c r="G220" s="69" t="str">
        <f t="shared" si="79"/>
        <v/>
      </c>
      <c r="H220" s="70" t="str">
        <f t="shared" si="77"/>
        <v/>
      </c>
      <c r="I220" s="27" t="str">
        <f>IF(N(J220)=0,"",0&amp;"-"&amp;B$9)</f>
        <v/>
      </c>
      <c r="J220" s="52" t="str">
        <f>IF(N(B$9)=0,"",IF(AND(COUNT(H213:H224)=2,COUNT(F213:F224)=2),cubic_spline(F212:F214,H212:H214,B$9),IF(AND(COUNT(H213:H224)=3,COUNT(F213:F224)=3),cubic_spline(F212:F215,H212:H215,B$9),IF(AND(COUNT(H213:H224)=4,COUNT(F213:F224)=4),cubic_spline(F212:F216,H212:H216,B$9),IF(AND(COUNT(H213:H224)=5,COUNT(F213:F224)=5),cubic_spline(F212:F217,H212:H217,B$9),IF(AND(COUNT(H213:H224)=6,COUNT(F213:F224)=6),cubic_spline(F212:F218,H212:H218,B$9),IF(AND(COUNT(H213:H224)=7,COUNT(F213:F224)=7),cubic_spline(F212:F219,H212:H219,B$9),IF(AND(COUNT(H213:H224)=8,COUNT(F213:F224)=8),cubic_spline(F212:F220,H212:H220,B$9),IF(AND(COUNT(H213:H224)=9,COUNT(F213:F224)=9),cubic_spline(F212:F221,H212:H221,B$9),IF(AND(COUNT(H213:H224)=10,COUNT(F213:F224)=10),cubic_spline(F212:F222,H212:H222,B$9),IF(AND(COUNT(H213:H224)=11,COUNT(F213:F224)=11),cubic_spline(F212:F223,H212:H223,B$9),IF(AND(COUNT(H213:H224)=12,COUNT(F213:F224)=12),cubic_spline(F212:F224,H212:H224,B$9),""))))))))))))</f>
        <v/>
      </c>
      <c r="K220" s="52" t="str">
        <f>IF(N(B$9)=0,"",IF(AND(COUNT(A213:A224)=2,COUNT(F213:F224)=2),cubic_spline(F212:F214,A212:A214,B$9),IF(AND(COUNT(A213:A224)=3,COUNT(F213:F224)=3),cubic_spline(F212:F215,A212:A215,B$9),IF(AND(COUNT(A213:A224)=4,COUNT(F213:F224)=4),cubic_spline(F212:F216,A212:A216,B$9),IF(AND(COUNT(A213:A224)=5,COUNT(F213:F224)=5),cubic_spline(F212:F217,A212:A217,B$9),IF(AND(COUNT(A213:A224)=6,COUNT(F213:F224)=6),cubic_spline(F212:F218,A212:A218,B$9),IF(AND(COUNT(A213:A224)=7,COUNT(F213:F224)=7),cubic_spline(F212:F219,A212:A219,B$9),IF(AND(COUNT(A213:A224)=8,COUNT(F213:F224)=8),cubic_spline(F212:F220,A212:A220,B$9),IF(AND(COUNT(A213:A224)=9,COUNT(F213:F224)=9),cubic_spline(F212:F221,A212:A221,B$9),IF(AND(COUNT(A213:A224)=10,COUNT(F213:F224)=10),cubic_spline(F212:F222,A212:A222,B$9),IF(AND(COUNT(A213:A224)=11,COUNT(F213:F224)=11),cubic_spline(F212:F223,A212:A223,B$9),IF(AND(COUNT(A213:A224)=12,COUNT(F213:F224)=12),cubic_spline(F212:F224,A212:A224,B$9),""))))))))))))</f>
        <v/>
      </c>
      <c r="L220" s="27" t="str">
        <f>IF(I220="","",B$8&amp;"-"&amp;B$9)</f>
        <v/>
      </c>
      <c r="M220" s="52" t="str">
        <f t="shared" si="80"/>
        <v/>
      </c>
    </row>
    <row r="221" spans="1:13" x14ac:dyDescent="0.35">
      <c r="A221" s="48"/>
      <c r="B221" s="48"/>
      <c r="C221" s="50"/>
      <c r="D221" s="50"/>
      <c r="E221" s="51" t="str">
        <f t="shared" si="78"/>
        <v/>
      </c>
      <c r="F221" s="71" t="str">
        <f t="shared" si="76"/>
        <v/>
      </c>
      <c r="G221" s="69" t="str">
        <f t="shared" si="79"/>
        <v/>
      </c>
      <c r="H221" s="70" t="str">
        <f t="shared" si="77"/>
        <v/>
      </c>
      <c r="I221" s="27" t="str">
        <f>IF(N(J221)=0,"",0&amp;"-"&amp;B$10)</f>
        <v/>
      </c>
      <c r="J221" s="52" t="str">
        <f>IF(N(B$10)=0,"",IF(AND(COUNT(H213:H224)=2,COUNT(F213:F224)=2),cubic_spline(F212:F214,H212:H214,B$10),IF(AND(COUNT(H213:H224)=3,COUNT(F213:F224)=3),cubic_spline(F212:F215,H212:H215,B$10),IF(AND(COUNT(H213:H224)=4,COUNT(F213:F224)=4),cubic_spline(F212:F216,H212:H216,B$10),IF(AND(COUNT(H213:H224)=5,COUNT(F213:F224)=5),cubic_spline(F212:F217,H212:H217,B$10),IF(AND(COUNT(H213:H224)=6,COUNT(F213:F224)=6),cubic_spline(F212:F218,H212:H218,B$10),IF(AND(COUNT(H213:H224)=7,COUNT(F213:F224)=7),cubic_spline(F212:F219,H212:H219,B$10),IF(AND(COUNT(H213:H224)=8,COUNT(F213:F224)=8),cubic_spline(F212:F220,H212:H220,B$10),IF(AND(COUNT(H213:H224)=9,COUNT(F213:F224)=9),cubic_spline(F212:F221,H212:H221,B$10),IF(AND(COUNT(H213:H224)=10,COUNT(F213:F224)=10),cubic_spline(F212:F222,H212:H222,B$10),IF(AND(COUNT(H213:H224)=11,COUNT(F213:F224)=11),cubic_spline(F212:F223,H212:H223,B$10),IF(AND(COUNT(H213:H224)=12,COUNT(F213:F224)=12),cubic_spline(F212:F224,H212:H224,B$10),""))))))))))))</f>
        <v/>
      </c>
      <c r="K221" s="52" t="str">
        <f>IF(N(B$10)=0,"",IF(AND(COUNT(A213:A224)=2,COUNT(F213:F224)=2),cubic_spline(F212:F214,A212:A214,B$10),IF(AND(COUNT(A213:A224)=3,COUNT(F213:F224)=3),cubic_spline(F212:F215,A212:A215,B$10),IF(AND(COUNT(A213:A224)=4,COUNT(F213:F224)=4),cubic_spline(F212:F216,A212:A216,B$10),IF(AND(COUNT(A213:A224)=5,COUNT(F213:F224)=5),cubic_spline(F212:F217,A212:A217,B$10),IF(AND(COUNT(A213:A224)=6,COUNT(F213:F224)=6),cubic_spline(F212:F218,A212:A218,B$10),IF(AND(COUNT(A213:A224)=7,COUNT(F213:F224)=7),cubic_spline(F212:F219,A212:A219,B$10),IF(AND(COUNT(A213:A224)=8,COUNT(F213:F224)=8),cubic_spline(F212:F220,A212:A220,B$10),IF(AND(COUNT(A213:A224)=9,COUNT(F213:F224)=9),cubic_spline(F212:F221,A212:A221,B$10),IF(AND(COUNT(A213:A224)=10,COUNT(F213:F224)=10),cubic_spline(F212:F222,A212:A222,B$10),IF(AND(COUNT(A213:A224)=11,COUNT(F213:F224)=11),cubic_spline(F212:F223,A212:A223,B$10),IF(AND(COUNT(A213:A224)=12,COUNT(F213:F224)=12),cubic_spline(F212:F224,A212:A224,B$10),""))))))))))))</f>
        <v/>
      </c>
      <c r="L221" s="27" t="str">
        <f>IF(I221="","",B$9&amp;"-"&amp;B$10)</f>
        <v/>
      </c>
      <c r="M221" s="52" t="str">
        <f t="shared" si="80"/>
        <v/>
      </c>
    </row>
    <row r="222" spans="1:13" x14ac:dyDescent="0.35">
      <c r="A222" s="48"/>
      <c r="B222" s="48"/>
      <c r="C222" s="50"/>
      <c r="D222" s="50"/>
      <c r="E222" s="51" t="str">
        <f t="shared" si="78"/>
        <v/>
      </c>
      <c r="F222" s="71" t="str">
        <f t="shared" si="76"/>
        <v/>
      </c>
      <c r="G222" s="69" t="str">
        <f t="shared" si="79"/>
        <v/>
      </c>
      <c r="H222" s="70" t="str">
        <f t="shared" si="77"/>
        <v/>
      </c>
      <c r="I222" s="27" t="str">
        <f>IF(N(J222)=0,"",0&amp;"-"&amp;B$11)</f>
        <v/>
      </c>
      <c r="J222" s="52" t="str">
        <f>IF(N(B$11)=0,"",IF(AND(COUNT(H213:H224)=2,COUNT(F213:F224)=2),cubic_spline(F212:F214,H212:H214,B$11),IF(AND(COUNT(H213:H224)=3,COUNT(F213:F224)=3),cubic_spline(F212:F215,H212:H215,B$11),IF(AND(COUNT(H213:H224)=4,COUNT(F213:F224)=4),cubic_spline(F212:F216,H212:H216,B$11),IF(AND(COUNT(H213:H224)=5,COUNT(F213:F224)=5),cubic_spline(F212:F217,H212:H217,B$11),IF(AND(COUNT(H213:H224)=6,COUNT(F213:F224)=6),cubic_spline(F212:F218,H212:H218,B$11),IF(AND(COUNT(H213:H224)=7,COUNT(F213:F224)=7),cubic_spline(F212:F219,H212:H219,B$11),IF(AND(COUNT(H213:H224)=8,COUNT(F213:F224)=8),cubic_spline(F212:F220,H212:H220,B$11),IF(AND(COUNT(H213:H224)=9,COUNT(F213:F224)=9),cubic_spline(F212:F221,H212:H221,B$11),IF(AND(COUNT(H213:H224)=10,COUNT(F213:F224)=10),cubic_spline(F212:F222,H212:H222,B$11),IF(AND(COUNT(H213:H224)=11,COUNT(F213:F224)=11),cubic_spline(F212:F223,H212:H223,B$11),IF(AND(COUNT(H213:H224)=12,COUNT(F213:F224)=12),cubic_spline(F212:F224,H212:H224,B$11),""))))))))))))</f>
        <v/>
      </c>
      <c r="K222" s="52" t="str">
        <f>IF(N(B$11)=0,"",IF(AND(COUNT(A213:A224)=2,COUNT(F213:F224)=2),cubic_spline(F212:F214,A212:A214,B$11),IF(AND(COUNT(A213:A224)=3,COUNT(F213:F224)=3),cubic_spline(F212:F215,A212:A215,B$11),IF(AND(COUNT(A213:A224)=4,COUNT(F213:F224)=4),cubic_spline(F212:F216,A212:A216,B$11),IF(AND(COUNT(A213:A224)=5,COUNT(F213:F224)=5),cubic_spline(F212:F217,A212:A217,B$11),IF(AND(COUNT(A213:A224)=6,COUNT(F213:F224)=6),cubic_spline(F212:F218,A212:A218,B$11),IF(AND(COUNT(A213:A224)=7,COUNT(F213:F224)=7),cubic_spline(F212:F219,A212:A219,B$11),IF(AND(COUNT(A213:A224)=8,COUNT(F213:F224)=8),cubic_spline(F212:F220,A212:A220,B$11),IF(AND(COUNT(A213:A224)=9,COUNT(F213:F224)=9),cubic_spline(F212:F221,A212:A221,B$11),IF(AND(COUNT(A213:A224)=10,COUNT(F213:F224)=10),cubic_spline(F212:F222,A212:A222,B$11),IF(AND(COUNT(A213:A224)=11,COUNT(F213:F224)=11),cubic_spline(F212:F223,A212:A223,B$11),IF(AND(COUNT(A213:A224)=12,COUNT(F213:F224)=12),cubic_spline(F212:F224,A212:A224,B$11),""))))))))))))</f>
        <v/>
      </c>
      <c r="L222" s="27" t="str">
        <f>IF(I222="","",B$10&amp;"-"&amp;B$11)</f>
        <v/>
      </c>
      <c r="M222" s="52" t="str">
        <f t="shared" si="80"/>
        <v/>
      </c>
    </row>
    <row r="223" spans="1:13" x14ac:dyDescent="0.35">
      <c r="A223" s="48"/>
      <c r="B223" s="48"/>
      <c r="C223" s="50"/>
      <c r="D223" s="50"/>
      <c r="E223" s="51" t="str">
        <f t="shared" si="78"/>
        <v/>
      </c>
      <c r="F223" s="71" t="str">
        <f t="shared" si="76"/>
        <v/>
      </c>
      <c r="G223" s="69" t="str">
        <f t="shared" si="79"/>
        <v/>
      </c>
      <c r="H223" s="70" t="str">
        <f t="shared" si="77"/>
        <v/>
      </c>
      <c r="I223" s="27" t="str">
        <f>IF(N(J223)=0,"",0&amp;"-"&amp;B$12)</f>
        <v/>
      </c>
      <c r="J223" s="52" t="str">
        <f>IF(N(B$12)=0,"",IF(AND(COUNT(H213:H224)=2,COUNT(F213:F224)=2),cubic_spline(F212:F214,H212:H214,B$12),IF(AND(COUNT(H213:H224)=3,COUNT(F213:F224)=3),cubic_spline(F212:F215,H212:H215,B$12),IF(AND(COUNT(H213:H224)=4,COUNT(F213:F224)=4),cubic_spline(F212:F216,H212:H216,B$12),IF(AND(COUNT(H213:H224)=5,COUNT(F213:F224)=5),cubic_spline(F212:F217,H212:H217,B$12),IF(AND(COUNT(H213:H224)=6,COUNT(F213:F224)=6),cubic_spline(F212:F218,H212:H218,B$12),IF(AND(COUNT(H213:H224)=7,COUNT(F213:F224)=7),cubic_spline(F212:F219,H212:H219,B$12),IF(AND(COUNT(H213:H224)=8,COUNT(F213:F224)=8),cubic_spline(F212:F220,H212:H220,B$12),IF(AND(COUNT(H213:H224)=9,COUNT(F213:F224)=9),cubic_spline(F212:F221,H212:H221,B$12),IF(AND(COUNT(H213:H224)=10,COUNT(F213:F224)=10),cubic_spline(F212:F222,H212:H222,B$12),IF(AND(COUNT(H213:H224)=11,COUNT(F213:F224)=11),cubic_spline(F212:F223,H212:H223,B$12),IF(AND(COUNT(H213:H224)=12,COUNT(F213:F224)=12),cubic_spline(F212:F224,H212:H224,B$12),""))))))))))))</f>
        <v/>
      </c>
      <c r="K223" s="52" t="str">
        <f>IF(N(B$12)=0,"",IF(AND(COUNT(A213:A224)=2,COUNT(F213:F224)=2),cubic_spline(F212:F214,A212:A214,B$12),IF(AND(COUNT(A213:A224)=3,COUNT(F213:F224)=3),cubic_spline(F212:F215,A212:A215,B$12),IF(AND(COUNT(A213:A224)=4,COUNT(F213:F224)=4),cubic_spline(F212:F216,A212:A216,B$12),IF(AND(COUNT(A213:A224)=5,COUNT(F213:F224)=5),cubic_spline(F212:F217,A212:A217,B$12),IF(AND(COUNT(A213:A224)=6,COUNT(F213:F224)=6),cubic_spline(F212:F218,A212:A218,B$12),IF(AND(COUNT(A213:A224)=7,COUNT(F213:F224)=7),cubic_spline(F212:F219,A212:A219,B$12),IF(AND(COUNT(A213:A224)=8,COUNT(F213:F224)=8),cubic_spline(F212:F220,A212:A220,B$12),IF(AND(COUNT(A213:A224)=9,COUNT(F213:F224)=9),cubic_spline(F212:F221,A212:A221,B$12),IF(AND(COUNT(A213:A224)=10,COUNT(F213:F224)=10),cubic_spline(F212:F222,A212:A222,B$12),IF(AND(COUNT(A213:A224)=11,COUNT(F213:F224)=11),cubic_spline(F212:F223,A212:A223,B$12),IF(AND(COUNT(A213:A224)=12,COUNT(F213:F224)=12),cubic_spline(F212:F224,A212:A224,B$12),""))))))))))))</f>
        <v/>
      </c>
      <c r="L223" s="27" t="str">
        <f>IF(I223="","",B$11&amp;"-"&amp;B$12)</f>
        <v/>
      </c>
      <c r="M223" s="52" t="str">
        <f t="shared" si="80"/>
        <v/>
      </c>
    </row>
    <row r="224" spans="1:13" x14ac:dyDescent="0.35">
      <c r="A224" s="48"/>
      <c r="B224" s="48"/>
      <c r="C224" s="50"/>
      <c r="D224" s="50"/>
      <c r="E224" s="51" t="str">
        <f t="shared" si="78"/>
        <v/>
      </c>
      <c r="F224" s="71" t="str">
        <f t="shared" si="76"/>
        <v/>
      </c>
      <c r="G224" s="69" t="str">
        <f t="shared" si="79"/>
        <v/>
      </c>
      <c r="H224" s="70" t="str">
        <f t="shared" si="77"/>
        <v/>
      </c>
      <c r="I224" s="27" t="str">
        <f>IF(N(J224)=0,"",0&amp;"-"&amp;B$13)</f>
        <v/>
      </c>
      <c r="J224" s="52" t="str">
        <f>IF(N(B$13)=0,"",IF(AND(COUNT(H213:H224)=2,COUNT(F213:F224)=2),cubic_spline(F212:F214,H212:H214,B$13),IF(AND(COUNT(H213:H224)=3,COUNT(F213:F224)=3),cubic_spline(F212:F215,H212:H215,B$13),IF(AND(COUNT(H213:H224)=4,COUNT(F213:F224)=4),cubic_spline(F212:F216,H212:H216,B$13),IF(AND(COUNT(H213:H224)=5,COUNT(F213:F224)=5),cubic_spline(F212:F217,H212:H217,B$13),IF(AND(COUNT(H213:H224)=6,COUNT(F213:F224)=6),cubic_spline(F212:F218,H212:H218,B$13),IF(AND(COUNT(H213:H224)=7,COUNT(F213:F224)=7),cubic_spline(F212:F219,H212:H219,B$13),IF(AND(COUNT(H213:H224)=8,COUNT(F213:F224)=8),cubic_spline(F212:F220,H212:H220,B$13),IF(AND(COUNT(H213:H224)=9,COUNT(F213:F224)=9),cubic_spline(F212:F221,H212:H221,B$13),IF(AND(COUNT(H213:H224)=10,COUNT(F213:F224)=10),cubic_spline(F212:F222,H212:H222,B$13),IF(AND(COUNT(H213:H224)=11,COUNT(F213:F224)=11),cubic_spline(F212:F223,H212:H223,B$13),IF(AND(COUNT(H213:H224)=12,COUNT(F213:F224)=12),cubic_spline(F212:F224,H212:H224,B$13),""))))))))))))</f>
        <v/>
      </c>
      <c r="K224" s="52" t="str">
        <f>IF(N(B$13)=0,"",IF(AND(COUNT(A213:A224)=2,COUNT(F213:F224)=2),cubic_spline(F212:F214,A212:A214,B$13),IF(AND(COUNT(A213:A224)=3,COUNT(F213:F224)=3),cubic_spline(F212:F215,A212:A215,B$13),IF(AND(COUNT(A213:A224)=4,COUNT(F213:F224)=4),cubic_spline(F212:F216,A212:A216,B$13),IF(AND(COUNT(A213:A224)=5,COUNT(F213:F224)=5),cubic_spline(F212:F217,A212:A217,B$13),IF(AND(COUNT(A213:A224)=6,COUNT(F213:F224)=6),cubic_spline(F212:F218,A212:A218,B$13),IF(AND(COUNT(A213:A224)=7,COUNT(F213:F224)=7),cubic_spline(F212:F219,A212:A219,B$13),IF(AND(COUNT(A213:A224)=8,COUNT(F213:F224)=8),cubic_spline(F212:F220,A212:A220,B$13),IF(AND(COUNT(A213:A224)=9,COUNT(F213:F224)=9),cubic_spline(F212:F221,A212:A221,B$13),IF(AND(COUNT(A213:A224)=10,COUNT(F213:F224)=10),cubic_spline(F212:F222,A212:A222,B$13),IF(AND(COUNT(A213:A224)=11,COUNT(F213:F224)=11),cubic_spline(F212:F223,A212:A223,B$13),IF(AND(COUNT(A213:A224)=12,COUNT(F213:F224)=12),cubic_spline(F212:F224,A212:A224,B$13),""))))))))))))</f>
        <v/>
      </c>
      <c r="L224" s="27" t="str">
        <f>IF(I224="","",B$12&amp;"-"&amp;B$13)</f>
        <v/>
      </c>
      <c r="M224" s="52" t="str">
        <f t="shared" si="80"/>
        <v/>
      </c>
    </row>
    <row r="225" spans="1:13" ht="5.15" customHeight="1" x14ac:dyDescent="0.35">
      <c r="A225" s="47"/>
      <c r="B225" s="47"/>
      <c r="C225" s="53"/>
      <c r="D225" s="53"/>
      <c r="E225" s="54"/>
      <c r="F225" s="55"/>
      <c r="G225" s="72"/>
      <c r="H225" s="73"/>
      <c r="I225" s="47"/>
      <c r="J225" s="57"/>
      <c r="K225" s="57"/>
      <c r="L225" s="55"/>
      <c r="M225" s="57"/>
    </row>
    <row r="226" spans="1:13" x14ac:dyDescent="0.35">
      <c r="A226" s="48"/>
      <c r="B226" s="48"/>
      <c r="C226" s="50"/>
      <c r="D226" s="50"/>
      <c r="E226" s="51" t="str">
        <f>IF(N(C226)=0,"",(A226-A225)*C226*100)</f>
        <v/>
      </c>
      <c r="F226" s="68" t="str">
        <f t="shared" ref="F226:F237" si="81">IF(N(E226)=0,"",(N(E226)+N(F225)))</f>
        <v/>
      </c>
      <c r="G226" s="69" t="str">
        <f>IF(OR(N(D226)=0,N(E226)=0),"",(E226*D226)/1000)</f>
        <v/>
      </c>
      <c r="H226" s="70" t="str">
        <f t="shared" ref="H226:H237" si="82">IF(N(G226)=0,"",(N(G226)+N(H225)))</f>
        <v/>
      </c>
      <c r="I226" s="27" t="str">
        <f>IF(N(J226)=0,"",0&amp;"-"&amp;B$2)</f>
        <v/>
      </c>
      <c r="J226" s="52" t="str">
        <f>IF(N(B$2)=0,"",IF(AND(COUNT(H226:H237)=2,COUNT(F226:F237)=2),cubic_spline(F225:F227,H225:H227,B$2),IF(AND(COUNT(H226:H237)=3,COUNT(F226:F237)=3),cubic_spline(F225:F228,H225:H228,B$2),IF(AND(COUNT(H226:H237)=4,COUNT(F226:F237)=4),cubic_spline(F225:F229,H225:H229,B$2),IF(AND(COUNT(H226:H237)=5,COUNT(F226:F237)=5),cubic_spline(F225:F230,H225:H230,B$2),IF(AND(COUNT(H226:H237)=6,COUNT(F226:F237)=6),cubic_spline(F225:F231,H225:H231,B$2),IF(AND(COUNT(H226:H237)=7,COUNT(F226:F237)=7),cubic_spline(F225:F232,H225:H232,B$2),IF(AND(COUNT(H226:H237)=8,COUNT(F226:F237)=8),cubic_spline(F225:F233,H225:H233,B$2),IF(AND(COUNT(H226:H237)=9,COUNT(F226:F237)=9),cubic_spline(F225:F234,H225:H234,B$2),IF(AND(COUNT(H226:H237)=10,COUNT(F226:F237)=10),cubic_spline(F225:F235,H225:H235,B$2),IF(AND(COUNT(H226:H237)=11,COUNT(F226:F237)=11),cubic_spline(F225:F236,H225:H236,B$2),IF(AND(COUNT(H226:H237)=12,COUNT(F226:F237)=12),cubic_spline(F225:F237,H225:H237,B$2),""))))))))))))</f>
        <v/>
      </c>
      <c r="K226" s="52" t="str">
        <f>IF(N(B$2)=0,"",IF(AND(COUNT(A226:A237)=2,COUNT(F226:F237)=2),cubic_spline(F225:F227,A225:A227,B$2),IF(AND(COUNT(A226:A237)=3,COUNT(F226:F237)=3),cubic_spline(F225:F228,A225:A228,B$2),IF(AND(COUNT(A226:A237)=4,COUNT(F226:F237)=4),cubic_spline(F225:F229,A225:A229,B$2),IF(AND(COUNT(A226:A237)=5,COUNT(F226:F237)=5),cubic_spline(F225:F230,A225:A230,B$2),IF(AND(COUNT(A226:A237)=6,COUNT(F226:F237)=6),cubic_spline(F225:F231,A225:A231,B$2),IF(AND(COUNT(A226:A237)=7,COUNT(F226:F237)=7),cubic_spline(F225:F232,A225:A232,B$2),IF(AND(COUNT(A226:A237)=8,COUNT(F226:F237)=8),cubic_spline(F225:F233,A225:A233,B$2),IF(AND(COUNT(A226:A237)=9,COUNT(F226:F237)=9),cubic_spline(F225:F234,A225:A234,B$2),IF(AND(COUNT(A226:A237)=10,COUNT(F226:F237)=10),cubic_spline(F225:F235,A225:A235,B$2),IF(AND(COUNT(A226:A237)=11,COUNT(F226:F237)=11),cubic_spline(F225:F236,A225:A236,B$2),IF(AND(COUNT(A226:A237)=12,COUNT(F226:F237)=12),cubic_spline(F225:F237,A225:A237,B$2),""))))))))))))</f>
        <v/>
      </c>
      <c r="L226" s="27" t="str">
        <f>IF(I226="","",0&amp;"-"&amp;B$2)</f>
        <v/>
      </c>
      <c r="M226" s="52" t="str">
        <f>IF(N(J226)=0,"",J226-J225)</f>
        <v/>
      </c>
    </row>
    <row r="227" spans="1:13" x14ac:dyDescent="0.35">
      <c r="A227" s="48"/>
      <c r="B227" s="48"/>
      <c r="C227" s="50"/>
      <c r="D227" s="50"/>
      <c r="E227" s="51" t="str">
        <f t="shared" ref="E227:E237" si="83">IF(N(C227)=0,"",(A227-A226)*C227*100)</f>
        <v/>
      </c>
      <c r="F227" s="68" t="str">
        <f t="shared" si="81"/>
        <v/>
      </c>
      <c r="G227" s="69" t="str">
        <f t="shared" ref="G227:G237" si="84">IF(OR(N(D227)=0,N(E227)=0),"",(E227*D227)/1000)</f>
        <v/>
      </c>
      <c r="H227" s="70" t="str">
        <f t="shared" si="82"/>
        <v/>
      </c>
      <c r="I227" s="27" t="str">
        <f>IF(N(J227)=0,"",0&amp;"-"&amp;B$3)</f>
        <v/>
      </c>
      <c r="J227" s="52" t="str">
        <f>IF(N(B$3)=0,"",IF(AND(COUNT(H226:H237)=2,COUNT(F226:F237)=2),cubic_spline(F225:F227,H225:H227,B$3),IF(AND(COUNT(H226:H237)=3,COUNT(F226:F237)=3),cubic_spline(F225:F228,H225:H228,B$3),IF(AND(COUNT(H226:H237)=4,COUNT(F226:F237)=4),cubic_spline(F225:F229,H225:H229,B$3),IF(AND(COUNT(H226:H237)=5,COUNT(F226:F237)=5),cubic_spline(F225:F230,H225:H230,B$3),IF(AND(COUNT(H226:H237)=6,COUNT(F226:F237)=6),cubic_spline(F225:F231,H225:H231,B$3),IF(AND(COUNT(H226:H237)=7,COUNT(F226:F237)=7),cubic_spline(F225:F232,H225:H232,B$3),IF(AND(COUNT(H226:H237)=8,COUNT(F226:F237)=8),cubic_spline(F225:F233,H225:H233,B$3),IF(AND(COUNT(H226:H237)=9,COUNT(F226:F237)=9),cubic_spline(F225:F234,H225:H234,B$3),IF(AND(COUNT(H226:H237)=10,COUNT(F226:F237)=10),cubic_spline(F225:F235,H225:H235,B$3),IF(AND(COUNT(H226:H237)=11,COUNT(F226:F237)=11),cubic_spline(F225:F236,H225:H236,B$3),IF(AND(COUNT(H226:H237)=12,COUNT(F226:F237)=12),cubic_spline(F225:F237,H225:H237,B$3),""))))))))))))</f>
        <v/>
      </c>
      <c r="K227" s="52" t="str">
        <f>IF(N(B$3)=0,"",IF(AND(COUNT(A226:A237)=2,COUNT(F226:F237)=2),cubic_spline(F225:F227,A225:A227,B$3),IF(AND(COUNT(A226:A237)=3,COUNT(F226:F237)=3),cubic_spline(F225:F228,A225:A228,B$3),IF(AND(COUNT(A226:A237)=4,COUNT(F226:F237)=4),cubic_spline(F225:F229,A225:A229,B$3),IF(AND(COUNT(A226:A237)=5,COUNT(F226:F237)=5),cubic_spline(F225:F230,A225:A230,B$3),IF(AND(COUNT(A226:A237)=6,COUNT(F226:F237)=6),cubic_spline(F225:F231,A225:A231,B$3),IF(AND(COUNT(A226:A237)=7,COUNT(F226:F237)=7),cubic_spline(F225:F232,A225:A232,B$3),IF(AND(COUNT(A226:A237)=8,COUNT(F226:F237)=8),cubic_spline(F225:F233,A225:A233,B$3),IF(AND(COUNT(A226:A237)=9,COUNT(F226:F237)=9),cubic_spline(F225:F234,A225:A234,B$3),IF(AND(COUNT(A226:A237)=10,COUNT(F226:F237)=10),cubic_spline(F225:F235,A225:A235,B$3),IF(AND(COUNT(A226:A237)=11,COUNT(F226:F237)=11),cubic_spline(F225:F236,A225:A236,B$3),IF(AND(COUNT(A226:A237)=12,COUNT(F226:F237)=12),cubic_spline(F225:F237,A225:A237,B$3),""))))))))))))</f>
        <v/>
      </c>
      <c r="L227" s="27" t="str">
        <f>IF(I227="","",B$2&amp;"-"&amp;B$3)</f>
        <v/>
      </c>
      <c r="M227" s="52" t="str">
        <f>IF(N(J227)=0,"",J227-J226)</f>
        <v/>
      </c>
    </row>
    <row r="228" spans="1:13" x14ac:dyDescent="0.35">
      <c r="A228" s="48"/>
      <c r="B228" s="48"/>
      <c r="C228" s="50"/>
      <c r="D228" s="50"/>
      <c r="E228" s="51" t="str">
        <f t="shared" si="83"/>
        <v/>
      </c>
      <c r="F228" s="68" t="str">
        <f t="shared" si="81"/>
        <v/>
      </c>
      <c r="G228" s="69" t="str">
        <f t="shared" si="84"/>
        <v/>
      </c>
      <c r="H228" s="70" t="str">
        <f t="shared" si="82"/>
        <v/>
      </c>
      <c r="I228" s="27" t="str">
        <f>IF(N(J228)=0,"",0&amp;"-"&amp;B$4)</f>
        <v/>
      </c>
      <c r="J228" s="52" t="str">
        <f>IF(N(B$4)=0,"",IF(AND(COUNT(H226:H237)=2,COUNT(F226:F237)=2),cubic_spline(F225:F227,H225:H227,B$4),IF(AND(COUNT(H226:H237)=3,COUNT(F226:F237)=3),cubic_spline(F225:F228,H225:H228,B$4),IF(AND(COUNT(H226:H237)=4,COUNT(F226:F237)=4),cubic_spline(F225:F229,H225:H229,B$4),IF(AND(COUNT(H226:H237)=5,COUNT(F226:F237)=5),cubic_spline(F225:F230,H225:H230,B$4),IF(AND(COUNT(H226:H237)=6,COUNT(F226:F237)=6),cubic_spline(F225:F231,H225:H231,B$4),IF(AND(COUNT(H226:H237)=7,COUNT(F226:F237)=7),cubic_spline(F225:F232,H225:H232,B$4),IF(AND(COUNT(H226:H237)=8,COUNT(F226:F237)=8),cubic_spline(F225:F233,H225:H233,B$4),IF(AND(COUNT(H226:H237)=9,COUNT(F226:F237)=9),cubic_spline(F225:F234,H225:H234,B$4),IF(AND(COUNT(H226:H237)=10,COUNT(F226:F237)=10),cubic_spline(F225:F235,H225:H235,B$4),IF(AND(COUNT(H226:H237)=11,COUNT(F226:F237)=11),cubic_spline(F225:F236,H225:H236,B$4),IF(AND(COUNT(H226:H237)=12,COUNT(F226:F237)=12),cubic_spline(F225:F237,H225:H237,B$4),""))))))))))))</f>
        <v/>
      </c>
      <c r="K228" s="52" t="str">
        <f>IF(N(B$4)=0,"",IF(AND(COUNT(A226:A237)=2,COUNT(F226:F237)=2),cubic_spline(F225:F227,A225:A227,B$4),IF(AND(COUNT(A226:A237)=3,COUNT(F226:F237)=3),cubic_spline(F225:F228,A225:A228,B$4),IF(AND(COUNT(A226:A237)=4,COUNT(F226:F237)=4),cubic_spline(F225:F229,A225:A229,B$4),IF(AND(COUNT(A226:A237)=5,COUNT(F226:F237)=5),cubic_spline(F225:F230,A225:A230,B$4),IF(AND(COUNT(A226:A237)=6,COUNT(F226:F237)=6),cubic_spline(F225:F231,A225:A231,B$4),IF(AND(COUNT(A226:A237)=7,COUNT(F226:F237)=7),cubic_spline(F225:F232,A225:A232,B$4),IF(AND(COUNT(A226:A237)=8,COUNT(F226:F237)=8),cubic_spline(F225:F233,A225:A233,B$4),IF(AND(COUNT(A226:A237)=9,COUNT(F226:F237)=9),cubic_spline(F225:F234,A225:A234,B$4),IF(AND(COUNT(A226:A237)=10,COUNT(F226:F237)=10),cubic_spline(F225:F235,A225:A235,B$4),IF(AND(COUNT(A226:A237)=11,COUNT(F226:F237)=11),cubic_spline(F225:F236,A225:A236,B$4),IF(AND(COUNT(A226:A237)=12,COUNT(F226:F237)=12),cubic_spline(F225:F237,A225:A237,B$4),""))))))))))))</f>
        <v/>
      </c>
      <c r="L228" s="27" t="str">
        <f>IF(I228="","",B$3&amp;"-"&amp;B$4)</f>
        <v/>
      </c>
      <c r="M228" s="52" t="str">
        <f>IF(N(J228)=0,"",J228-J227)</f>
        <v/>
      </c>
    </row>
    <row r="229" spans="1:13" x14ac:dyDescent="0.35">
      <c r="A229" s="48"/>
      <c r="B229" s="48"/>
      <c r="C229" s="50"/>
      <c r="D229" s="50"/>
      <c r="E229" s="51" t="str">
        <f t="shared" si="83"/>
        <v/>
      </c>
      <c r="F229" s="68" t="str">
        <f t="shared" si="81"/>
        <v/>
      </c>
      <c r="G229" s="69" t="str">
        <f t="shared" si="84"/>
        <v/>
      </c>
      <c r="H229" s="70" t="str">
        <f t="shared" si="82"/>
        <v/>
      </c>
      <c r="I229" s="27" t="str">
        <f>IF(N(J229)=0,"",0&amp;"-"&amp;B$5)</f>
        <v/>
      </c>
      <c r="J229" s="52" t="str">
        <f>IF(N(B$5)=0,"",IF(AND(COUNT(H226:H237)=2,COUNT(F226:F237)=2),cubic_spline(F225:F227,H225:H227,B$5),IF(AND(COUNT(H226:H237)=3,COUNT(F226:F237)=3),cubic_spline(F225:F228,H225:H228,B$5),IF(AND(COUNT(H226:H237)=4,COUNT(F226:F237)=4),cubic_spline(F225:F229,H225:H229,B$5),IF(AND(COUNT(H226:H237)=5,COUNT(F226:F237)=5),cubic_spline(F225:F230,H225:H230,B$5),IF(AND(COUNT(H226:H237)=6,COUNT(F226:F237)=6),cubic_spline(F225:F231,H225:H231,B$5),IF(AND(COUNT(H226:H237)=7,COUNT(F226:F237)=7),cubic_spline(F225:F232,H225:H232,B$5),IF(AND(COUNT(H226:H237)=8,COUNT(F226:F237)=8),cubic_spline(F225:F233,H225:H233,B$5),IF(AND(COUNT(H226:H237)=9,COUNT(F226:F237)=9),cubic_spline(F225:F234,H225:H234,B$5),IF(AND(COUNT(H226:H237)=10,COUNT(F226:F237)=10),cubic_spline(F225:F235,H225:H235,B$5),IF(AND(COUNT(H226:H237)=11,COUNT(F226:F237)=11),cubic_spline(F225:F236,H225:H236,B$5),IF(AND(COUNT(H226:H237)=12,COUNT(F226:F237)=12),cubic_spline(F225:F237,H225:H237,B$5),""))))))))))))</f>
        <v/>
      </c>
      <c r="K229" s="52" t="str">
        <f>IF(N(B$5)=0,"",IF(AND(COUNT(A226:A237)=2,COUNT(F226:F237)=2),cubic_spline(F225:F227,A225:A227,B$5),IF(AND(COUNT(A226:A237)=3,COUNT(F226:F237)=3),cubic_spline(F225:F228,A225:A228,B$5),IF(AND(COUNT(A226:A237)=4,COUNT(F226:F237)=4),cubic_spline(F225:F229,A225:A229,B$5),IF(AND(COUNT(A226:A237)=5,COUNT(F226:F237)=5),cubic_spline(F225:F230,A225:A230,B$5),IF(AND(COUNT(A226:A237)=6,COUNT(F226:F237)=6),cubic_spline(F225:F231,A225:A231,B$5),IF(AND(COUNT(A226:A237)=7,COUNT(F226:F237)=7),cubic_spline(F225:F232,A225:A232,B$5),IF(AND(COUNT(A226:A237)=8,COUNT(F226:F237)=8),cubic_spline(F225:F233,A225:A233,B$5),IF(AND(COUNT(A226:A237)=9,COUNT(F226:F237)=9),cubic_spline(F225:F234,A225:A234,B$5),IF(AND(COUNT(A226:A237)=10,COUNT(F226:F237)=10),cubic_spline(F225:F235,A225:A235,B$5),IF(AND(COUNT(A226:A237)=11,COUNT(F226:F237)=11),cubic_spline(F225:F236,A225:A236,B$5),IF(AND(COUNT(A226:A237)=12,COUNT(F226:F237)=12),cubic_spline(F225:F237,A225:A237,B$5),""))))))))))))</f>
        <v/>
      </c>
      <c r="L229" s="27" t="str">
        <f>IF(I229="","",B$4&amp;"-"&amp;B$5)</f>
        <v/>
      </c>
      <c r="M229" s="52" t="str">
        <f>IF(N(J229)=0,"",J229-J228)</f>
        <v/>
      </c>
    </row>
    <row r="230" spans="1:13" x14ac:dyDescent="0.35">
      <c r="A230" s="48"/>
      <c r="B230" s="48"/>
      <c r="C230" s="50"/>
      <c r="D230" s="50"/>
      <c r="E230" s="51" t="str">
        <f t="shared" si="83"/>
        <v/>
      </c>
      <c r="F230" s="71" t="str">
        <f t="shared" si="81"/>
        <v/>
      </c>
      <c r="G230" s="69" t="str">
        <f t="shared" si="84"/>
        <v/>
      </c>
      <c r="H230" s="70" t="str">
        <f t="shared" si="82"/>
        <v/>
      </c>
      <c r="I230" s="27" t="str">
        <f>IF(N(J230)=0,"",0&amp;"-"&amp;B$6)</f>
        <v/>
      </c>
      <c r="J230" s="52" t="str">
        <f>IF(N(B$6)=0,"",IF(AND(COUNT(H226:H237)=2,COUNT(F226:F237)=2),cubic_spline(F225:F227,H225:H227,B$6),IF(AND(COUNT(H226:H237)=3,COUNT(F226:F237)=3),cubic_spline(F225:F228,H225:H228,B$6),IF(AND(COUNT(H226:H237)=4,COUNT(F226:F237)=4),cubic_spline(F225:F229,H225:H229,B$6),IF(AND(COUNT(H226:H237)=5,COUNT(F226:F237)=5),cubic_spline(F225:F230,H225:H230,B$6),IF(AND(COUNT(H226:H237)=6,COUNT(F226:F237)=6),cubic_spline(F225:F231,H225:H231,B$6),IF(AND(COUNT(H226:H237)=7,COUNT(F226:F237)=7),cubic_spline(F225:F232,H225:H232,B$6),IF(AND(COUNT(H226:H237)=8,COUNT(F226:F237)=8),cubic_spline(F225:F233,H225:H233,B$6),IF(AND(COUNT(H226:H237)=9,COUNT(F226:F237)=9),cubic_spline(F225:F234,H225:H234,B$6),IF(AND(COUNT(H226:H237)=10,COUNT(F226:F237)=10),cubic_spline(F225:F235,H225:H235,B$6),IF(AND(COUNT(H226:H237)=11,COUNT(F226:F237)=11),cubic_spline(F225:F236,H225:H236,B$6),IF(AND(COUNT(H226:H237)=12,COUNT(F226:F237)=12),cubic_spline(F225:F237,H225:H237,B$6),""))))))))))))</f>
        <v/>
      </c>
      <c r="K230" s="52" t="str">
        <f>IF(N(B$6)=0,"",IF(AND(COUNT(A226:A237)=2,COUNT(F226:F237)=2),cubic_spline(F225:F227,A225:A227,B$6),IF(AND(COUNT(A226:A237)=3,COUNT(F226:F237)=3),cubic_spline(F225:F228,A225:A228,B$6),IF(AND(COUNT(A226:A237)=4,COUNT(F226:F237)=4),cubic_spline(F225:F229,A225:A229,B$6),IF(AND(COUNT(A226:A237)=5,COUNT(F226:F237)=5),cubic_spline(F225:F230,A225:A230,B$6),IF(AND(COUNT(A226:A237)=6,COUNT(F226:F237)=6),cubic_spline(F225:F231,A225:A231,B$6),IF(AND(COUNT(A226:A237)=7,COUNT(F226:F237)=7),cubic_spline(F225:F232,A225:A232,B$6),IF(AND(COUNT(A226:A237)=8,COUNT(F226:F237)=8),cubic_spline(F225:F233,A225:A233,B$6),IF(AND(COUNT(A226:A237)=9,COUNT(F226:F237)=9),cubic_spline(F225:F234,A225:A234,B$6),IF(AND(COUNT(A226:A237)=10,COUNT(F226:F237)=10),cubic_spline(F225:F235,A225:A235,B$6),IF(AND(COUNT(A226:A237)=11,COUNT(F226:F237)=11),cubic_spline(F225:F236,A225:A236,B$6),IF(AND(COUNT(A226:A237)=12,COUNT(F226:F237)=12),cubic_spline(F225:F237,A225:A237,B$6),""))))))))))))</f>
        <v/>
      </c>
      <c r="L230" s="27" t="str">
        <f>IF(I230="","",B$5&amp;"-"&amp;B$6)</f>
        <v/>
      </c>
      <c r="M230" s="52" t="str">
        <f>IF(N(J230)=0,"",J230-J229)</f>
        <v/>
      </c>
    </row>
    <row r="231" spans="1:13" x14ac:dyDescent="0.35">
      <c r="A231" s="48"/>
      <c r="B231" s="48"/>
      <c r="C231" s="50"/>
      <c r="D231" s="50"/>
      <c r="E231" s="51" t="str">
        <f t="shared" si="83"/>
        <v/>
      </c>
      <c r="F231" s="71" t="str">
        <f t="shared" si="81"/>
        <v/>
      </c>
      <c r="G231" s="69" t="str">
        <f t="shared" si="84"/>
        <v/>
      </c>
      <c r="H231" s="70" t="str">
        <f t="shared" si="82"/>
        <v/>
      </c>
      <c r="I231" s="27" t="str">
        <f>IF(N(J231)=0,"",0&amp;"-"&amp;B$7)</f>
        <v/>
      </c>
      <c r="J231" s="52" t="str">
        <f>IF(N(B$7)=0,"",IF(AND(COUNT(H226:H237)=2,COUNT(F226:F237)=2),cubic_spline(F225:F227,H225:H227,B$7),IF(AND(COUNT(H226:H237)=3,COUNT(F226:F237)=3),cubic_spline(F225:F228,H225:H228,B$7),IF(AND(COUNT(H226:H237)=4,COUNT(F226:F237)=4),cubic_spline(F225:F229,H225:H229,B$7),IF(AND(COUNT(H226:H237)=5,COUNT(F226:F237)=5),cubic_spline(F225:F230,H225:H230,B$7),IF(AND(COUNT(H226:H237)=6,COUNT(F226:F237)=6),cubic_spline(F225:F231,H225:H231,B$7),IF(AND(COUNT(H226:H237)=7,COUNT(F226:F237)=7),cubic_spline(F225:F232,H225:H232,B$7),IF(AND(COUNT(H226:H237)=8,COUNT(F226:F237)=8),cubic_spline(F225:F233,H225:H233,B$7),IF(AND(COUNT(H226:H237)=9,COUNT(F226:F237)=9),cubic_spline(F225:F234,H225:H234,B$7),IF(AND(COUNT(H226:H237)=10,COUNT(F226:F237)=10),cubic_spline(F225:F235,H225:H235,B$7),IF(AND(COUNT(H226:H237)=11,COUNT(F226:F237)=11),cubic_spline(F225:F236,H225:H236,B$7),IF(AND(COUNT(H226:H237)=12,COUNT(F226:F237)=12),cubic_spline(F225:F237,H225:H237,B$7),""))))))))))))</f>
        <v/>
      </c>
      <c r="K231" s="52" t="str">
        <f>IF(N(B$7)=0,"",IF(AND(COUNT(A226:A237)=2,COUNT(F226:F237)=2),cubic_spline(F225:F227,A225:A227,B$7),IF(AND(COUNT(A226:A237)=3,COUNT(F226:F237)=3),cubic_spline(F225:F228,A225:A228,B$7),IF(AND(COUNT(A226:A237)=4,COUNT(F226:F237)=4),cubic_spline(F225:F229,A225:A229,B$7),IF(AND(COUNT(A226:A237)=5,COUNT(F226:F237)=5),cubic_spline(F225:F230,A225:A230,B$7),IF(AND(COUNT(A226:A237)=6,COUNT(F226:F237)=6),cubic_spline(F225:F231,A225:A231,B$7),IF(AND(COUNT(A226:A237)=7,COUNT(F226:F237)=7),cubic_spline(F225:F232,A225:A232,B$7),IF(AND(COUNT(A226:A237)=8,COUNT(F226:F237)=8),cubic_spline(F225:F233,A225:A233,B$7),IF(AND(COUNT(A226:A237)=9,COUNT(F226:F237)=9),cubic_spline(F225:F234,A225:A234,B$7),IF(AND(COUNT(A226:A237)=10,COUNT(F226:F237)=10),cubic_spline(F225:F235,A225:A235,B$7),IF(AND(COUNT(A226:A237)=11,COUNT(F226:F237)=11),cubic_spline(F225:F236,A225:A236,B$7),IF(AND(COUNT(A226:A237)=12,COUNT(F226:F237)=12),cubic_spline(F225:F237,A225:A237,B$7),""))))))))))))</f>
        <v/>
      </c>
      <c r="L231" s="27" t="str">
        <f>IF(I231="","",B$6&amp;"-"&amp;B$7)</f>
        <v/>
      </c>
      <c r="M231" s="52" t="str">
        <f t="shared" ref="M231:M237" si="85">IF(N(J231)=0,"",J231-J230)</f>
        <v/>
      </c>
    </row>
    <row r="232" spans="1:13" x14ac:dyDescent="0.35">
      <c r="A232" s="48"/>
      <c r="B232" s="48"/>
      <c r="C232" s="50"/>
      <c r="D232" s="50"/>
      <c r="E232" s="51" t="str">
        <f t="shared" si="83"/>
        <v/>
      </c>
      <c r="F232" s="71" t="str">
        <f t="shared" si="81"/>
        <v/>
      </c>
      <c r="G232" s="69" t="str">
        <f t="shared" si="84"/>
        <v/>
      </c>
      <c r="H232" s="70" t="str">
        <f t="shared" si="82"/>
        <v/>
      </c>
      <c r="I232" s="27" t="str">
        <f>IF(N(J232)=0,"",0&amp;"-"&amp;B$8)</f>
        <v/>
      </c>
      <c r="J232" s="52" t="str">
        <f>IF(N(B$8)=0,"",IF(AND(COUNT(H226:H237)=2,COUNT(F226:F237)=2),cubic_spline(F225:F227,H225:H227,B$8),IF(AND(COUNT(H226:H237)=3,COUNT(F226:F237)=3),cubic_spline(F225:F228,H225:H228,B$8),IF(AND(COUNT(H226:H237)=4,COUNT(F226:F237)=4),cubic_spline(F225:F229,H225:H229,B$8),IF(AND(COUNT(H226:H237)=5,COUNT(F226:F237)=5),cubic_spline(F225:F230,H225:H230,B$8),IF(AND(COUNT(H226:H237)=6,COUNT(F226:F237)=6),cubic_spline(F225:F231,H225:H231,B$8),IF(AND(COUNT(H226:H237)=7,COUNT(F226:F237)=7),cubic_spline(F225:F232,H225:H232,B$8),IF(AND(COUNT(H226:H237)=8,COUNT(F226:F237)=8),cubic_spline(F225:F233,H225:H233,B$8),IF(AND(COUNT(H226:H237)=9,COUNT(F226:F237)=9),cubic_spline(F225:F234,H225:H234,B$8),IF(AND(COUNT(H226:H237)=10,COUNT(F226:F237)=10),cubic_spline(F225:F235,H225:H235,B$8),IF(AND(COUNT(H226:H237)=11,COUNT(F226:F237)=11),cubic_spline(F225:F236,H225:H236,B$8),IF(AND(COUNT(H226:H237)=12,COUNT(F226:F237)=12),cubic_spline(F225:F237,H225:H237,B$8),""))))))))))))</f>
        <v/>
      </c>
      <c r="K232" s="52" t="str">
        <f>IF(N(B$8)=0,"",IF(AND(COUNT(A226:A237)=2,COUNT(F226:F237)=2),cubic_spline(F225:F227,A225:A227,B$8),IF(AND(COUNT(A226:A237)=3,COUNT(F226:F237)=3),cubic_spline(F225:F228,A225:A228,B$8),IF(AND(COUNT(A226:A237)=4,COUNT(F226:F237)=4),cubic_spline(F225:F229,A225:A229,B$8),IF(AND(COUNT(A226:A237)=5,COUNT(F226:F237)=5),cubic_spline(F225:F230,A225:A230,B$8),IF(AND(COUNT(A226:A237)=6,COUNT(F226:F237)=6),cubic_spline(F225:F231,A225:A231,B$8),IF(AND(COUNT(A226:A237)=7,COUNT(F226:F237)=7),cubic_spline(F225:F232,A225:A232,B$8),IF(AND(COUNT(A226:A237)=8,COUNT(F226:F237)=8),cubic_spline(F225:F233,A225:A233,B$8),IF(AND(COUNT(A226:A237)=9,COUNT(F226:F237)=9),cubic_spline(F225:F234,A225:A234,B$8),IF(AND(COUNT(A226:A237)=10,COUNT(F226:F237)=10),cubic_spline(F225:F235,A225:A235,B$8),IF(AND(COUNT(A226:A237)=11,COUNT(F226:F237)=11),cubic_spline(F225:F236,A225:A236,B$8),IF(AND(COUNT(A226:A237)=12,COUNT(F226:F237)=12),cubic_spline(F225:F237,A225:A237,B$8),""))))))))))))</f>
        <v/>
      </c>
      <c r="L232" s="27" t="str">
        <f>IF(I232="","",B$7&amp;"-"&amp;B$8)</f>
        <v/>
      </c>
      <c r="M232" s="52" t="str">
        <f t="shared" si="85"/>
        <v/>
      </c>
    </row>
    <row r="233" spans="1:13" x14ac:dyDescent="0.35">
      <c r="A233" s="48"/>
      <c r="B233" s="48"/>
      <c r="C233" s="50"/>
      <c r="D233" s="50"/>
      <c r="E233" s="51" t="str">
        <f t="shared" si="83"/>
        <v/>
      </c>
      <c r="F233" s="71" t="str">
        <f t="shared" si="81"/>
        <v/>
      </c>
      <c r="G233" s="69" t="str">
        <f t="shared" si="84"/>
        <v/>
      </c>
      <c r="H233" s="70" t="str">
        <f t="shared" si="82"/>
        <v/>
      </c>
      <c r="I233" s="27" t="str">
        <f>IF(N(J233)=0,"",0&amp;"-"&amp;B$9)</f>
        <v/>
      </c>
      <c r="J233" s="52" t="str">
        <f>IF(N(B$9)=0,"",IF(AND(COUNT(H226:H237)=2,COUNT(F226:F237)=2),cubic_spline(F225:F227,H225:H227,B$9),IF(AND(COUNT(H226:H237)=3,COUNT(F226:F237)=3),cubic_spline(F225:F228,H225:H228,B$9),IF(AND(COUNT(H226:H237)=4,COUNT(F226:F237)=4),cubic_spline(F225:F229,H225:H229,B$9),IF(AND(COUNT(H226:H237)=5,COUNT(F226:F237)=5),cubic_spline(F225:F230,H225:H230,B$9),IF(AND(COUNT(H226:H237)=6,COUNT(F226:F237)=6),cubic_spline(F225:F231,H225:H231,B$9),IF(AND(COUNT(H226:H237)=7,COUNT(F226:F237)=7),cubic_spline(F225:F232,H225:H232,B$9),IF(AND(COUNT(H226:H237)=8,COUNT(F226:F237)=8),cubic_spline(F225:F233,H225:H233,B$9),IF(AND(COUNT(H226:H237)=9,COUNT(F226:F237)=9),cubic_spline(F225:F234,H225:H234,B$9),IF(AND(COUNT(H226:H237)=10,COUNT(F226:F237)=10),cubic_spline(F225:F235,H225:H235,B$9),IF(AND(COUNT(H226:H237)=11,COUNT(F226:F237)=11),cubic_spline(F225:F236,H225:H236,B$9),IF(AND(COUNT(H226:H237)=12,COUNT(F226:F237)=12),cubic_spline(F225:F237,H225:H237,B$9),""))))))))))))</f>
        <v/>
      </c>
      <c r="K233" s="52" t="str">
        <f>IF(N(B$9)=0,"",IF(AND(COUNT(A226:A237)=2,COUNT(F226:F237)=2),cubic_spline(F225:F227,A225:A227,B$9),IF(AND(COUNT(A226:A237)=3,COUNT(F226:F237)=3),cubic_spline(F225:F228,A225:A228,B$9),IF(AND(COUNT(A226:A237)=4,COUNT(F226:F237)=4),cubic_spline(F225:F229,A225:A229,B$9),IF(AND(COUNT(A226:A237)=5,COUNT(F226:F237)=5),cubic_spline(F225:F230,A225:A230,B$9),IF(AND(COUNT(A226:A237)=6,COUNT(F226:F237)=6),cubic_spline(F225:F231,A225:A231,B$9),IF(AND(COUNT(A226:A237)=7,COUNT(F226:F237)=7),cubic_spline(F225:F232,A225:A232,B$9),IF(AND(COUNT(A226:A237)=8,COUNT(F226:F237)=8),cubic_spline(F225:F233,A225:A233,B$9),IF(AND(COUNT(A226:A237)=9,COUNT(F226:F237)=9),cubic_spline(F225:F234,A225:A234,B$9),IF(AND(COUNT(A226:A237)=10,COUNT(F226:F237)=10),cubic_spline(F225:F235,A225:A235,B$9),IF(AND(COUNT(A226:A237)=11,COUNT(F226:F237)=11),cubic_spline(F225:F236,A225:A236,B$9),IF(AND(COUNT(A226:A237)=12,COUNT(F226:F237)=12),cubic_spline(F225:F237,A225:A237,B$9),""))))))))))))</f>
        <v/>
      </c>
      <c r="L233" s="27" t="str">
        <f>IF(I233="","",B$8&amp;"-"&amp;B$9)</f>
        <v/>
      </c>
      <c r="M233" s="52" t="str">
        <f t="shared" si="85"/>
        <v/>
      </c>
    </row>
    <row r="234" spans="1:13" x14ac:dyDescent="0.35">
      <c r="A234" s="48"/>
      <c r="B234" s="48"/>
      <c r="C234" s="50"/>
      <c r="D234" s="50"/>
      <c r="E234" s="51" t="str">
        <f t="shared" si="83"/>
        <v/>
      </c>
      <c r="F234" s="71" t="str">
        <f t="shared" si="81"/>
        <v/>
      </c>
      <c r="G234" s="69" t="str">
        <f t="shared" si="84"/>
        <v/>
      </c>
      <c r="H234" s="70" t="str">
        <f t="shared" si="82"/>
        <v/>
      </c>
      <c r="I234" s="27" t="str">
        <f>IF(N(J234)=0,"",0&amp;"-"&amp;B$10)</f>
        <v/>
      </c>
      <c r="J234" s="52" t="str">
        <f>IF(N(B$10)=0,"",IF(AND(COUNT(H226:H237)=2,COUNT(F226:F237)=2),cubic_spline(F225:F227,H225:H227,B$10),IF(AND(COUNT(H226:H237)=3,COUNT(F226:F237)=3),cubic_spline(F225:F228,H225:H228,B$10),IF(AND(COUNT(H226:H237)=4,COUNT(F226:F237)=4),cubic_spline(F225:F229,H225:H229,B$10),IF(AND(COUNT(H226:H237)=5,COUNT(F226:F237)=5),cubic_spline(F225:F230,H225:H230,B$10),IF(AND(COUNT(H226:H237)=6,COUNT(F226:F237)=6),cubic_spline(F225:F231,H225:H231,B$10),IF(AND(COUNT(H226:H237)=7,COUNT(F226:F237)=7),cubic_spline(F225:F232,H225:H232,B$10),IF(AND(COUNT(H226:H237)=8,COUNT(F226:F237)=8),cubic_spline(F225:F233,H225:H233,B$10),IF(AND(COUNT(H226:H237)=9,COUNT(F226:F237)=9),cubic_spline(F225:F234,H225:H234,B$10),IF(AND(COUNT(H226:H237)=10,COUNT(F226:F237)=10),cubic_spline(F225:F235,H225:H235,B$10),IF(AND(COUNT(H226:H237)=11,COUNT(F226:F237)=11),cubic_spline(F225:F236,H225:H236,B$10),IF(AND(COUNT(H226:H237)=12,COUNT(F226:F237)=12),cubic_spline(F225:F237,H225:H237,B$10),""))))))))))))</f>
        <v/>
      </c>
      <c r="K234" s="52" t="str">
        <f>IF(N(B$10)=0,"",IF(AND(COUNT(A226:A237)=2,COUNT(F226:F237)=2),cubic_spline(F225:F227,A225:A227,B$10),IF(AND(COUNT(A226:A237)=3,COUNT(F226:F237)=3),cubic_spline(F225:F228,A225:A228,B$10),IF(AND(COUNT(A226:A237)=4,COUNT(F226:F237)=4),cubic_spline(F225:F229,A225:A229,B$10),IF(AND(COUNT(A226:A237)=5,COUNT(F226:F237)=5),cubic_spline(F225:F230,A225:A230,B$10),IF(AND(COUNT(A226:A237)=6,COUNT(F226:F237)=6),cubic_spline(F225:F231,A225:A231,B$10),IF(AND(COUNT(A226:A237)=7,COUNT(F226:F237)=7),cubic_spline(F225:F232,A225:A232,B$10),IF(AND(COUNT(A226:A237)=8,COUNT(F226:F237)=8),cubic_spline(F225:F233,A225:A233,B$10),IF(AND(COUNT(A226:A237)=9,COUNT(F226:F237)=9),cubic_spline(F225:F234,A225:A234,B$10),IF(AND(COUNT(A226:A237)=10,COUNT(F226:F237)=10),cubic_spline(F225:F235,A225:A235,B$10),IF(AND(COUNT(A226:A237)=11,COUNT(F226:F237)=11),cubic_spline(F225:F236,A225:A236,B$10),IF(AND(COUNT(A226:A237)=12,COUNT(F226:F237)=12),cubic_spline(F225:F237,A225:A237,B$10),""))))))))))))</f>
        <v/>
      </c>
      <c r="L234" s="27" t="str">
        <f>IF(I234="","",B$9&amp;"-"&amp;B$10)</f>
        <v/>
      </c>
      <c r="M234" s="52" t="str">
        <f t="shared" si="85"/>
        <v/>
      </c>
    </row>
    <row r="235" spans="1:13" x14ac:dyDescent="0.35">
      <c r="A235" s="48"/>
      <c r="B235" s="48"/>
      <c r="C235" s="50"/>
      <c r="D235" s="50"/>
      <c r="E235" s="51" t="str">
        <f t="shared" si="83"/>
        <v/>
      </c>
      <c r="F235" s="71" t="str">
        <f t="shared" si="81"/>
        <v/>
      </c>
      <c r="G235" s="69" t="str">
        <f t="shared" si="84"/>
        <v/>
      </c>
      <c r="H235" s="70" t="str">
        <f t="shared" si="82"/>
        <v/>
      </c>
      <c r="I235" s="27" t="str">
        <f>IF(N(J235)=0,"",0&amp;"-"&amp;B$11)</f>
        <v/>
      </c>
      <c r="J235" s="52" t="str">
        <f>IF(N(B$11)=0,"",IF(AND(COUNT(H226:H237)=2,COUNT(F226:F237)=2),cubic_spline(F225:F227,H225:H227,B$11),IF(AND(COUNT(H226:H237)=3,COUNT(F226:F237)=3),cubic_spline(F225:F228,H225:H228,B$11),IF(AND(COUNT(H226:H237)=4,COUNT(F226:F237)=4),cubic_spline(F225:F229,H225:H229,B$11),IF(AND(COUNT(H226:H237)=5,COUNT(F226:F237)=5),cubic_spline(F225:F230,H225:H230,B$11),IF(AND(COUNT(H226:H237)=6,COUNT(F226:F237)=6),cubic_spline(F225:F231,H225:H231,B$11),IF(AND(COUNT(H226:H237)=7,COUNT(F226:F237)=7),cubic_spline(F225:F232,H225:H232,B$11),IF(AND(COUNT(H226:H237)=8,COUNT(F226:F237)=8),cubic_spline(F225:F233,H225:H233,B$11),IF(AND(COUNT(H226:H237)=9,COUNT(F226:F237)=9),cubic_spline(F225:F234,H225:H234,B$11),IF(AND(COUNT(H226:H237)=10,COUNT(F226:F237)=10),cubic_spline(F225:F235,H225:H235,B$11),IF(AND(COUNT(H226:H237)=11,COUNT(F226:F237)=11),cubic_spline(F225:F236,H225:H236,B$11),IF(AND(COUNT(H226:H237)=12,COUNT(F226:F237)=12),cubic_spline(F225:F237,H225:H237,B$11),""))))))))))))</f>
        <v/>
      </c>
      <c r="K235" s="52" t="str">
        <f>IF(N(B$11)=0,"",IF(AND(COUNT(A226:A237)=2,COUNT(F226:F237)=2),cubic_spline(F225:F227,A225:A227,B$11),IF(AND(COUNT(A226:A237)=3,COUNT(F226:F237)=3),cubic_spline(F225:F228,A225:A228,B$11),IF(AND(COUNT(A226:A237)=4,COUNT(F226:F237)=4),cubic_spline(F225:F229,A225:A229,B$11),IF(AND(COUNT(A226:A237)=5,COUNT(F226:F237)=5),cubic_spline(F225:F230,A225:A230,B$11),IF(AND(COUNT(A226:A237)=6,COUNT(F226:F237)=6),cubic_spline(F225:F231,A225:A231,B$11),IF(AND(COUNT(A226:A237)=7,COUNT(F226:F237)=7),cubic_spline(F225:F232,A225:A232,B$11),IF(AND(COUNT(A226:A237)=8,COUNT(F226:F237)=8),cubic_spline(F225:F233,A225:A233,B$11),IF(AND(COUNT(A226:A237)=9,COUNT(F226:F237)=9),cubic_spline(F225:F234,A225:A234,B$11),IF(AND(COUNT(A226:A237)=10,COUNT(F226:F237)=10),cubic_spline(F225:F235,A225:A235,B$11),IF(AND(COUNT(A226:A237)=11,COUNT(F226:F237)=11),cubic_spline(F225:F236,A225:A236,B$11),IF(AND(COUNT(A226:A237)=12,COUNT(F226:F237)=12),cubic_spline(F225:F237,A225:A237,B$11),""))))))))))))</f>
        <v/>
      </c>
      <c r="L235" s="27" t="str">
        <f>IF(I235="","",B$10&amp;"-"&amp;B$11)</f>
        <v/>
      </c>
      <c r="M235" s="52" t="str">
        <f t="shared" si="85"/>
        <v/>
      </c>
    </row>
    <row r="236" spans="1:13" x14ac:dyDescent="0.35">
      <c r="A236" s="48"/>
      <c r="B236" s="48"/>
      <c r="C236" s="50"/>
      <c r="D236" s="50"/>
      <c r="E236" s="51" t="str">
        <f t="shared" si="83"/>
        <v/>
      </c>
      <c r="F236" s="71" t="str">
        <f t="shared" si="81"/>
        <v/>
      </c>
      <c r="G236" s="69" t="str">
        <f t="shared" si="84"/>
        <v/>
      </c>
      <c r="H236" s="70" t="str">
        <f t="shared" si="82"/>
        <v/>
      </c>
      <c r="I236" s="27" t="str">
        <f>IF(N(J236)=0,"",0&amp;"-"&amp;B$12)</f>
        <v/>
      </c>
      <c r="J236" s="52" t="str">
        <f>IF(N(B$12)=0,"",IF(AND(COUNT(H226:H237)=2,COUNT(F226:F237)=2),cubic_spline(F225:F227,H225:H227,B$12),IF(AND(COUNT(H226:H237)=3,COUNT(F226:F237)=3),cubic_spline(F225:F228,H225:H228,B$12),IF(AND(COUNT(H226:H237)=4,COUNT(F226:F237)=4),cubic_spline(F225:F229,H225:H229,B$12),IF(AND(COUNT(H226:H237)=5,COUNT(F226:F237)=5),cubic_spline(F225:F230,H225:H230,B$12),IF(AND(COUNT(H226:H237)=6,COUNT(F226:F237)=6),cubic_spline(F225:F231,H225:H231,B$12),IF(AND(COUNT(H226:H237)=7,COUNT(F226:F237)=7),cubic_spline(F225:F232,H225:H232,B$12),IF(AND(COUNT(H226:H237)=8,COUNT(F226:F237)=8),cubic_spline(F225:F233,H225:H233,B$12),IF(AND(COUNT(H226:H237)=9,COUNT(F226:F237)=9),cubic_spline(F225:F234,H225:H234,B$12),IF(AND(COUNT(H226:H237)=10,COUNT(F226:F237)=10),cubic_spline(F225:F235,H225:H235,B$12),IF(AND(COUNT(H226:H237)=11,COUNT(F226:F237)=11),cubic_spline(F225:F236,H225:H236,B$12),IF(AND(COUNT(H226:H237)=12,COUNT(F226:F237)=12),cubic_spline(F225:F237,H225:H237,B$12),""))))))))))))</f>
        <v/>
      </c>
      <c r="K236" s="52" t="str">
        <f>IF(N(B$12)=0,"",IF(AND(COUNT(A226:A237)=2,COUNT(F226:F237)=2),cubic_spline(F225:F227,A225:A227,B$12),IF(AND(COUNT(A226:A237)=3,COUNT(F226:F237)=3),cubic_spline(F225:F228,A225:A228,B$12),IF(AND(COUNT(A226:A237)=4,COUNT(F226:F237)=4),cubic_spline(F225:F229,A225:A229,B$12),IF(AND(COUNT(A226:A237)=5,COUNT(F226:F237)=5),cubic_spline(F225:F230,A225:A230,B$12),IF(AND(COUNT(A226:A237)=6,COUNT(F226:F237)=6),cubic_spline(F225:F231,A225:A231,B$12),IF(AND(COUNT(A226:A237)=7,COUNT(F226:F237)=7),cubic_spline(F225:F232,A225:A232,B$12),IF(AND(COUNT(A226:A237)=8,COUNT(F226:F237)=8),cubic_spline(F225:F233,A225:A233,B$12),IF(AND(COUNT(A226:A237)=9,COUNT(F226:F237)=9),cubic_spline(F225:F234,A225:A234,B$12),IF(AND(COUNT(A226:A237)=10,COUNT(F226:F237)=10),cubic_spline(F225:F235,A225:A235,B$12),IF(AND(COUNT(A226:A237)=11,COUNT(F226:F237)=11),cubic_spline(F225:F236,A225:A236,B$12),IF(AND(COUNT(A226:A237)=12,COUNT(F226:F237)=12),cubic_spline(F225:F237,A225:A237,B$12),""))))))))))))</f>
        <v/>
      </c>
      <c r="L236" s="27" t="str">
        <f>IF(I236="","",B$11&amp;"-"&amp;B$12)</f>
        <v/>
      </c>
      <c r="M236" s="52" t="str">
        <f t="shared" si="85"/>
        <v/>
      </c>
    </row>
    <row r="237" spans="1:13" x14ac:dyDescent="0.35">
      <c r="A237" s="48"/>
      <c r="B237" s="48"/>
      <c r="C237" s="50"/>
      <c r="D237" s="50"/>
      <c r="E237" s="51" t="str">
        <f t="shared" si="83"/>
        <v/>
      </c>
      <c r="F237" s="71" t="str">
        <f t="shared" si="81"/>
        <v/>
      </c>
      <c r="G237" s="69" t="str">
        <f t="shared" si="84"/>
        <v/>
      </c>
      <c r="H237" s="70" t="str">
        <f t="shared" si="82"/>
        <v/>
      </c>
      <c r="I237" s="27" t="str">
        <f>IF(N(J237)=0,"",0&amp;"-"&amp;B$13)</f>
        <v/>
      </c>
      <c r="J237" s="52" t="str">
        <f>IF(N(B$13)=0,"",IF(AND(COUNT(H226:H237)=2,COUNT(F226:F237)=2),cubic_spline(F225:F227,H225:H227,B$13),IF(AND(COUNT(H226:H237)=3,COUNT(F226:F237)=3),cubic_spline(F225:F228,H225:H228,B$13),IF(AND(COUNT(H226:H237)=4,COUNT(F226:F237)=4),cubic_spline(F225:F229,H225:H229,B$13),IF(AND(COUNT(H226:H237)=5,COUNT(F226:F237)=5),cubic_spline(F225:F230,H225:H230,B$13),IF(AND(COUNT(H226:H237)=6,COUNT(F226:F237)=6),cubic_spline(F225:F231,H225:H231,B$13),IF(AND(COUNT(H226:H237)=7,COUNT(F226:F237)=7),cubic_spline(F225:F232,H225:H232,B$13),IF(AND(COUNT(H226:H237)=8,COUNT(F226:F237)=8),cubic_spline(F225:F233,H225:H233,B$13),IF(AND(COUNT(H226:H237)=9,COUNT(F226:F237)=9),cubic_spline(F225:F234,H225:H234,B$13),IF(AND(COUNT(H226:H237)=10,COUNT(F226:F237)=10),cubic_spline(F225:F235,H225:H235,B$13),IF(AND(COUNT(H226:H237)=11,COUNT(F226:F237)=11),cubic_spline(F225:F236,H225:H236,B$13),IF(AND(COUNT(H226:H237)=12,COUNT(F226:F237)=12),cubic_spline(F225:F237,H225:H237,B$13),""))))))))))))</f>
        <v/>
      </c>
      <c r="K237" s="52" t="str">
        <f>IF(N(B$13)=0,"",IF(AND(COUNT(A226:A237)=2,COUNT(F226:F237)=2),cubic_spline(F225:F227,A225:A227,B$13),IF(AND(COUNT(A226:A237)=3,COUNT(F226:F237)=3),cubic_spline(F225:F228,A225:A228,B$13),IF(AND(COUNT(A226:A237)=4,COUNT(F226:F237)=4),cubic_spline(F225:F229,A225:A229,B$13),IF(AND(COUNT(A226:A237)=5,COUNT(F226:F237)=5),cubic_spline(F225:F230,A225:A230,B$13),IF(AND(COUNT(A226:A237)=6,COUNT(F226:F237)=6),cubic_spline(F225:F231,A225:A231,B$13),IF(AND(COUNT(A226:A237)=7,COUNT(F226:F237)=7),cubic_spline(F225:F232,A225:A232,B$13),IF(AND(COUNT(A226:A237)=8,COUNT(F226:F237)=8),cubic_spline(F225:F233,A225:A233,B$13),IF(AND(COUNT(A226:A237)=9,COUNT(F226:F237)=9),cubic_spline(F225:F234,A225:A234,B$13),IF(AND(COUNT(A226:A237)=10,COUNT(F226:F237)=10),cubic_spline(F225:F235,A225:A235,B$13),IF(AND(COUNT(A226:A237)=11,COUNT(F226:F237)=11),cubic_spline(F225:F236,A225:A236,B$13),IF(AND(COUNT(A226:A237)=12,COUNT(F226:F237)=12),cubic_spline(F225:F237,A225:A237,B$13),""))))))))))))</f>
        <v/>
      </c>
      <c r="L237" s="27" t="str">
        <f>IF(I237="","",B$12&amp;"-"&amp;B$13)</f>
        <v/>
      </c>
      <c r="M237" s="52" t="str">
        <f t="shared" si="85"/>
        <v/>
      </c>
    </row>
    <row r="238" spans="1:13" ht="5.15" customHeight="1" x14ac:dyDescent="0.35">
      <c r="A238" s="47"/>
      <c r="B238" s="47"/>
      <c r="C238" s="53"/>
      <c r="D238" s="53"/>
      <c r="E238" s="54"/>
      <c r="F238" s="55"/>
      <c r="G238" s="72"/>
      <c r="H238" s="73"/>
      <c r="I238" s="47"/>
      <c r="J238" s="57"/>
      <c r="K238" s="57"/>
      <c r="L238" s="55"/>
      <c r="M238" s="57"/>
    </row>
    <row r="239" spans="1:13" x14ac:dyDescent="0.35">
      <c r="A239" s="48"/>
      <c r="B239" s="48"/>
      <c r="C239" s="50"/>
      <c r="D239" s="50"/>
      <c r="E239" s="51" t="str">
        <f>IF(N(C239)=0,"",(A239-A238)*C239*100)</f>
        <v/>
      </c>
      <c r="F239" s="68" t="str">
        <f t="shared" ref="F239:F250" si="86">IF(N(E239)=0,"",(N(E239)+N(F238)))</f>
        <v/>
      </c>
      <c r="G239" s="69" t="str">
        <f>IF(OR(N(D239)=0,N(E239)=0),"",(E239*D239)/1000)</f>
        <v/>
      </c>
      <c r="H239" s="70" t="str">
        <f t="shared" ref="H239:H250" si="87">IF(N(G239)=0,"",(N(G239)+N(H238)))</f>
        <v/>
      </c>
      <c r="I239" s="27" t="str">
        <f>IF(N(J239)=0,"",0&amp;"-"&amp;B$2)</f>
        <v/>
      </c>
      <c r="J239" s="52" t="str">
        <f>IF(N(B$2)=0,"",IF(AND(COUNT(H239:H250)=2,COUNT(F239:F250)=2),cubic_spline(F238:F240,H238:H240,B$2),IF(AND(COUNT(H239:H250)=3,COUNT(F239:F250)=3),cubic_spline(F238:F241,H238:H241,B$2),IF(AND(COUNT(H239:H250)=4,COUNT(F239:F250)=4),cubic_spline(F238:F242,H238:H242,B$2),IF(AND(COUNT(H239:H250)=5,COUNT(F239:F250)=5),cubic_spline(F238:F243,H238:H243,B$2),IF(AND(COUNT(H239:H250)=6,COUNT(F239:F250)=6),cubic_spline(F238:F244,H238:H244,B$2),IF(AND(COUNT(H239:H250)=7,COUNT(F239:F250)=7),cubic_spline(F238:F245,H238:H245,B$2),IF(AND(COUNT(H239:H250)=8,COUNT(F239:F250)=8),cubic_spline(F238:F246,H238:H246,B$2),IF(AND(COUNT(H239:H250)=9,COUNT(F239:F250)=9),cubic_spline(F238:F247,H238:H247,B$2),IF(AND(COUNT(H239:H250)=10,COUNT(F239:F250)=10),cubic_spline(F238:F248,H238:H248,B$2),IF(AND(COUNT(H239:H250)=11,COUNT(F239:F250)=11),cubic_spline(F238:F249,H238:H249,B$2),IF(AND(COUNT(H239:H250)=12,COUNT(F239:F250)=12),cubic_spline(F238:F250,H238:H250,B$2),""))))))))))))</f>
        <v/>
      </c>
      <c r="K239" s="52" t="str">
        <f>IF(N(B$2)=0,"",IF(AND(COUNT(A239:A250)=2,COUNT(F239:F250)=2),cubic_spline(F238:F240,A238:A240,B$2),IF(AND(COUNT(A239:A250)=3,COUNT(F239:F250)=3),cubic_spline(F238:F241,A238:A241,B$2),IF(AND(COUNT(A239:A250)=4,COUNT(F239:F250)=4),cubic_spline(F238:F242,A238:A242,B$2),IF(AND(COUNT(A239:A250)=5,COUNT(F239:F250)=5),cubic_spline(F238:F243,A238:A243,B$2),IF(AND(COUNT(A239:A250)=6,COUNT(F239:F250)=6),cubic_spline(F238:F244,A238:A244,B$2),IF(AND(COUNT(A239:A250)=7,COUNT(F239:F250)=7),cubic_spline(F238:F245,A238:A245,B$2),IF(AND(COUNT(A239:A250)=8,COUNT(F239:F250)=8),cubic_spline(F238:F246,A238:A246,B$2),IF(AND(COUNT(A239:A250)=9,COUNT(F239:F250)=9),cubic_spline(F238:F247,A238:A247,B$2),IF(AND(COUNT(A239:A250)=10,COUNT(F239:F250)=10),cubic_spline(F238:F248,A238:A248,B$2),IF(AND(COUNT(A239:A250)=11,COUNT(F239:F250)=11),cubic_spline(F238:F249,A238:A249,B$2),IF(AND(COUNT(A239:A250)=12,COUNT(F239:F250)=12),cubic_spline(F238:F250,A238:A250,B$2),""))))))))))))</f>
        <v/>
      </c>
      <c r="L239" s="27" t="str">
        <f>IF(I239="","",0&amp;"-"&amp;B$2)</f>
        <v/>
      </c>
      <c r="M239" s="52" t="str">
        <f>IF(N(J239)=0,"",J239-J238)</f>
        <v/>
      </c>
    </row>
    <row r="240" spans="1:13" x14ac:dyDescent="0.35">
      <c r="A240" s="48"/>
      <c r="B240" s="48"/>
      <c r="C240" s="50"/>
      <c r="D240" s="50"/>
      <c r="E240" s="51" t="str">
        <f t="shared" ref="E240:E250" si="88">IF(N(C240)=0,"",(A240-A239)*C240*100)</f>
        <v/>
      </c>
      <c r="F240" s="68" t="str">
        <f t="shared" si="86"/>
        <v/>
      </c>
      <c r="G240" s="69" t="str">
        <f t="shared" ref="G240:G250" si="89">IF(OR(N(D240)=0,N(E240)=0),"",(E240*D240)/1000)</f>
        <v/>
      </c>
      <c r="H240" s="70" t="str">
        <f t="shared" si="87"/>
        <v/>
      </c>
      <c r="I240" s="27" t="str">
        <f>IF(N(J240)=0,"",0&amp;"-"&amp;B$3)</f>
        <v/>
      </c>
      <c r="J240" s="52" t="str">
        <f>IF(N(B$3)=0,"",IF(AND(COUNT(H239:H250)=2,COUNT(F239:F250)=2),cubic_spline(F238:F240,H238:H240,B$3),IF(AND(COUNT(H239:H250)=3,COUNT(F239:F250)=3),cubic_spline(F238:F241,H238:H241,B$3),IF(AND(COUNT(H239:H250)=4,COUNT(F239:F250)=4),cubic_spline(F238:F242,H238:H242,B$3),IF(AND(COUNT(H239:H250)=5,COUNT(F239:F250)=5),cubic_spline(F238:F243,H238:H243,B$3),IF(AND(COUNT(H239:H250)=6,COUNT(F239:F250)=6),cubic_spline(F238:F244,H238:H244,B$3),IF(AND(COUNT(H239:H250)=7,COUNT(F239:F250)=7),cubic_spline(F238:F245,H238:H245,B$3),IF(AND(COUNT(H239:H250)=8,COUNT(F239:F250)=8),cubic_spline(F238:F246,H238:H246,B$3),IF(AND(COUNT(H239:H250)=9,COUNT(F239:F250)=9),cubic_spline(F238:F247,H238:H247,B$3),IF(AND(COUNT(H239:H250)=10,COUNT(F239:F250)=10),cubic_spline(F238:F248,H238:H248,B$3),IF(AND(COUNT(H239:H250)=11,COUNT(F239:F250)=11),cubic_spline(F238:F249,H238:H249,B$3),IF(AND(COUNT(H239:H250)=12,COUNT(F239:F250)=12),cubic_spline(F238:F250,H238:H250,B$3),""))))))))))))</f>
        <v/>
      </c>
      <c r="K240" s="52" t="str">
        <f>IF(N(B$3)=0,"",IF(AND(COUNT(A239:A250)=2,COUNT(F239:F250)=2),cubic_spline(F238:F240,A238:A240,B$3),IF(AND(COUNT(A239:A250)=3,COUNT(F239:F250)=3),cubic_spline(F238:F241,A238:A241,B$3),IF(AND(COUNT(A239:A250)=4,COUNT(F239:F250)=4),cubic_spline(F238:F242,A238:A242,B$3),IF(AND(COUNT(A239:A250)=5,COUNT(F239:F250)=5),cubic_spline(F238:F243,A238:A243,B$3),IF(AND(COUNT(A239:A250)=6,COUNT(F239:F250)=6),cubic_spline(F238:F244,A238:A244,B$3),IF(AND(COUNT(A239:A250)=7,COUNT(F239:F250)=7),cubic_spline(F238:F245,A238:A245,B$3),IF(AND(COUNT(A239:A250)=8,COUNT(F239:F250)=8),cubic_spline(F238:F246,A238:A246,B$3),IF(AND(COUNT(A239:A250)=9,COUNT(F239:F250)=9),cubic_spline(F238:F247,A238:A247,B$3),IF(AND(COUNT(A239:A250)=10,COUNT(F239:F250)=10),cubic_spline(F238:F248,A238:A248,B$3),IF(AND(COUNT(A239:A250)=11,COUNT(F239:F250)=11),cubic_spline(F238:F249,A238:A249,B$3),IF(AND(COUNT(A239:A250)=12,COUNT(F239:F250)=12),cubic_spline(F238:F250,A238:A250,B$3),""))))))))))))</f>
        <v/>
      </c>
      <c r="L240" s="27" t="str">
        <f>IF(I240="","",B$2&amp;"-"&amp;B$3)</f>
        <v/>
      </c>
      <c r="M240" s="52" t="str">
        <f>IF(N(J240)=0,"",J240-J239)</f>
        <v/>
      </c>
    </row>
    <row r="241" spans="1:13" x14ac:dyDescent="0.35">
      <c r="A241" s="48"/>
      <c r="B241" s="48"/>
      <c r="C241" s="50"/>
      <c r="D241" s="50"/>
      <c r="E241" s="51" t="str">
        <f t="shared" si="88"/>
        <v/>
      </c>
      <c r="F241" s="68" t="str">
        <f t="shared" si="86"/>
        <v/>
      </c>
      <c r="G241" s="69" t="str">
        <f t="shared" si="89"/>
        <v/>
      </c>
      <c r="H241" s="70" t="str">
        <f t="shared" si="87"/>
        <v/>
      </c>
      <c r="I241" s="27" t="str">
        <f>IF(N(J241)=0,"",0&amp;"-"&amp;B$4)</f>
        <v/>
      </c>
      <c r="J241" s="52" t="str">
        <f>IF(N(B$4)=0,"",IF(AND(COUNT(H239:H250)=2,COUNT(F239:F250)=2),cubic_spline(F238:F240,H238:H240,B$4),IF(AND(COUNT(H239:H250)=3,COUNT(F239:F250)=3),cubic_spline(F238:F241,H238:H241,B$4),IF(AND(COUNT(H239:H250)=4,COUNT(F239:F250)=4),cubic_spline(F238:F242,H238:H242,B$4),IF(AND(COUNT(H239:H250)=5,COUNT(F239:F250)=5),cubic_spline(F238:F243,H238:H243,B$4),IF(AND(COUNT(H239:H250)=6,COUNT(F239:F250)=6),cubic_spline(F238:F244,H238:H244,B$4),IF(AND(COUNT(H239:H250)=7,COUNT(F239:F250)=7),cubic_spline(F238:F245,H238:H245,B$4),IF(AND(COUNT(H239:H250)=8,COUNT(F239:F250)=8),cubic_spline(F238:F246,H238:H246,B$4),IF(AND(COUNT(H239:H250)=9,COUNT(F239:F250)=9),cubic_spline(F238:F247,H238:H247,B$4),IF(AND(COUNT(H239:H250)=10,COUNT(F239:F250)=10),cubic_spline(F238:F248,H238:H248,B$4),IF(AND(COUNT(H239:H250)=11,COUNT(F239:F250)=11),cubic_spline(F238:F249,H238:H249,B$4),IF(AND(COUNT(H239:H250)=12,COUNT(F239:F250)=12),cubic_spline(F238:F250,H238:H250,B$4),""))))))))))))</f>
        <v/>
      </c>
      <c r="K241" s="52" t="str">
        <f>IF(N(B$4)=0,"",IF(AND(COUNT(A239:A250)=2,COUNT(F239:F250)=2),cubic_spline(F238:F240,A238:A240,B$4),IF(AND(COUNT(A239:A250)=3,COUNT(F239:F250)=3),cubic_spline(F238:F241,A238:A241,B$4),IF(AND(COUNT(A239:A250)=4,COUNT(F239:F250)=4),cubic_spline(F238:F242,A238:A242,B$4),IF(AND(COUNT(A239:A250)=5,COUNT(F239:F250)=5),cubic_spline(F238:F243,A238:A243,B$4),IF(AND(COUNT(A239:A250)=6,COUNT(F239:F250)=6),cubic_spline(F238:F244,A238:A244,B$4),IF(AND(COUNT(A239:A250)=7,COUNT(F239:F250)=7),cubic_spline(F238:F245,A238:A245,B$4),IF(AND(COUNT(A239:A250)=8,COUNT(F239:F250)=8),cubic_spline(F238:F246,A238:A246,B$4),IF(AND(COUNT(A239:A250)=9,COUNT(F239:F250)=9),cubic_spline(F238:F247,A238:A247,B$4),IF(AND(COUNT(A239:A250)=10,COUNT(F239:F250)=10),cubic_spline(F238:F248,A238:A248,B$4),IF(AND(COUNT(A239:A250)=11,COUNT(F239:F250)=11),cubic_spline(F238:F249,A238:A249,B$4),IF(AND(COUNT(A239:A250)=12,COUNT(F239:F250)=12),cubic_spline(F238:F250,A238:A250,B$4),""))))))))))))</f>
        <v/>
      </c>
      <c r="L241" s="27" t="str">
        <f>IF(I241="","",B$3&amp;"-"&amp;B$4)</f>
        <v/>
      </c>
      <c r="M241" s="52" t="str">
        <f>IF(N(J241)=0,"",J241-J240)</f>
        <v/>
      </c>
    </row>
    <row r="242" spans="1:13" x14ac:dyDescent="0.35">
      <c r="A242" s="48"/>
      <c r="B242" s="48"/>
      <c r="C242" s="50"/>
      <c r="D242" s="50"/>
      <c r="E242" s="51" t="str">
        <f t="shared" si="88"/>
        <v/>
      </c>
      <c r="F242" s="68" t="str">
        <f t="shared" si="86"/>
        <v/>
      </c>
      <c r="G242" s="69" t="str">
        <f t="shared" si="89"/>
        <v/>
      </c>
      <c r="H242" s="70" t="str">
        <f t="shared" si="87"/>
        <v/>
      </c>
      <c r="I242" s="27" t="str">
        <f>IF(N(J242)=0,"",0&amp;"-"&amp;B$5)</f>
        <v/>
      </c>
      <c r="J242" s="52" t="str">
        <f>IF(N(B$5)=0,"",IF(AND(COUNT(H239:H250)=2,COUNT(F239:F250)=2),cubic_spline(F238:F240,H238:H240,B$5),IF(AND(COUNT(H239:H250)=3,COUNT(F239:F250)=3),cubic_spline(F238:F241,H238:H241,B$5),IF(AND(COUNT(H239:H250)=4,COUNT(F239:F250)=4),cubic_spline(F238:F242,H238:H242,B$5),IF(AND(COUNT(H239:H250)=5,COUNT(F239:F250)=5),cubic_spline(F238:F243,H238:H243,B$5),IF(AND(COUNT(H239:H250)=6,COUNT(F239:F250)=6),cubic_spline(F238:F244,H238:H244,B$5),IF(AND(COUNT(H239:H250)=7,COUNT(F239:F250)=7),cubic_spline(F238:F245,H238:H245,B$5),IF(AND(COUNT(H239:H250)=8,COUNT(F239:F250)=8),cubic_spline(F238:F246,H238:H246,B$5),IF(AND(COUNT(H239:H250)=9,COUNT(F239:F250)=9),cubic_spline(F238:F247,H238:H247,B$5),IF(AND(COUNT(H239:H250)=10,COUNT(F239:F250)=10),cubic_spline(F238:F248,H238:H248,B$5),IF(AND(COUNT(H239:H250)=11,COUNT(F239:F250)=11),cubic_spline(F238:F249,H238:H249,B$5),IF(AND(COUNT(H239:H250)=12,COUNT(F239:F250)=12),cubic_spline(F238:F250,H238:H250,B$5),""))))))))))))</f>
        <v/>
      </c>
      <c r="K242" s="52" t="str">
        <f>IF(N(B$5)=0,"",IF(AND(COUNT(A239:A250)=2,COUNT(F239:F250)=2),cubic_spline(F238:F240,A238:A240,B$5),IF(AND(COUNT(A239:A250)=3,COUNT(F239:F250)=3),cubic_spline(F238:F241,A238:A241,B$5),IF(AND(COUNT(A239:A250)=4,COUNT(F239:F250)=4),cubic_spline(F238:F242,A238:A242,B$5),IF(AND(COUNT(A239:A250)=5,COUNT(F239:F250)=5),cubic_spline(F238:F243,A238:A243,B$5),IF(AND(COUNT(A239:A250)=6,COUNT(F239:F250)=6),cubic_spline(F238:F244,A238:A244,B$5),IF(AND(COUNT(A239:A250)=7,COUNT(F239:F250)=7),cubic_spline(F238:F245,A238:A245,B$5),IF(AND(COUNT(A239:A250)=8,COUNT(F239:F250)=8),cubic_spline(F238:F246,A238:A246,B$5),IF(AND(COUNT(A239:A250)=9,COUNT(F239:F250)=9),cubic_spline(F238:F247,A238:A247,B$5),IF(AND(COUNT(A239:A250)=10,COUNT(F239:F250)=10),cubic_spline(F238:F248,A238:A248,B$5),IF(AND(COUNT(A239:A250)=11,COUNT(F239:F250)=11),cubic_spline(F238:F249,A238:A249,B$5),IF(AND(COUNT(A239:A250)=12,COUNT(F239:F250)=12),cubic_spline(F238:F250,A238:A250,B$5),""))))))))))))</f>
        <v/>
      </c>
      <c r="L242" s="27" t="str">
        <f>IF(I242="","",B$4&amp;"-"&amp;B$5)</f>
        <v/>
      </c>
      <c r="M242" s="52" t="str">
        <f>IF(N(J242)=0,"",J242-J241)</f>
        <v/>
      </c>
    </row>
    <row r="243" spans="1:13" x14ac:dyDescent="0.35">
      <c r="A243" s="48"/>
      <c r="B243" s="48"/>
      <c r="C243" s="50"/>
      <c r="D243" s="50"/>
      <c r="E243" s="51" t="str">
        <f t="shared" si="88"/>
        <v/>
      </c>
      <c r="F243" s="71" t="str">
        <f t="shared" si="86"/>
        <v/>
      </c>
      <c r="G243" s="69" t="str">
        <f t="shared" si="89"/>
        <v/>
      </c>
      <c r="H243" s="70" t="str">
        <f t="shared" si="87"/>
        <v/>
      </c>
      <c r="I243" s="27" t="str">
        <f>IF(N(J243)=0,"",0&amp;"-"&amp;B$6)</f>
        <v/>
      </c>
      <c r="J243" s="52" t="str">
        <f>IF(N(B$6)=0,"",IF(AND(COUNT(H239:H250)=2,COUNT(F239:F250)=2),cubic_spline(F238:F240,H238:H240,B$6),IF(AND(COUNT(H239:H250)=3,COUNT(F239:F250)=3),cubic_spline(F238:F241,H238:H241,B$6),IF(AND(COUNT(H239:H250)=4,COUNT(F239:F250)=4),cubic_spline(F238:F242,H238:H242,B$6),IF(AND(COUNT(H239:H250)=5,COUNT(F239:F250)=5),cubic_spline(F238:F243,H238:H243,B$6),IF(AND(COUNT(H239:H250)=6,COUNT(F239:F250)=6),cubic_spline(F238:F244,H238:H244,B$6),IF(AND(COUNT(H239:H250)=7,COUNT(F239:F250)=7),cubic_spline(F238:F245,H238:H245,B$6),IF(AND(COUNT(H239:H250)=8,COUNT(F239:F250)=8),cubic_spline(F238:F246,H238:H246,B$6),IF(AND(COUNT(H239:H250)=9,COUNT(F239:F250)=9),cubic_spline(F238:F247,H238:H247,B$6),IF(AND(COUNT(H239:H250)=10,COUNT(F239:F250)=10),cubic_spline(F238:F248,H238:H248,B$6),IF(AND(COUNT(H239:H250)=11,COUNT(F239:F250)=11),cubic_spline(F238:F249,H238:H249,B$6),IF(AND(COUNT(H239:H250)=12,COUNT(F239:F250)=12),cubic_spline(F238:F250,H238:H250,B$6),""))))))))))))</f>
        <v/>
      </c>
      <c r="K243" s="52" t="str">
        <f>IF(N(B$6)=0,"",IF(AND(COUNT(A239:A250)=2,COUNT(F239:F250)=2),cubic_spline(F238:F240,A238:A240,B$6),IF(AND(COUNT(A239:A250)=3,COUNT(F239:F250)=3),cubic_spline(F238:F241,A238:A241,B$6),IF(AND(COUNT(A239:A250)=4,COUNT(F239:F250)=4),cubic_spline(F238:F242,A238:A242,B$6),IF(AND(COUNT(A239:A250)=5,COUNT(F239:F250)=5),cubic_spline(F238:F243,A238:A243,B$6),IF(AND(COUNT(A239:A250)=6,COUNT(F239:F250)=6),cubic_spline(F238:F244,A238:A244,B$6),IF(AND(COUNT(A239:A250)=7,COUNT(F239:F250)=7),cubic_spline(F238:F245,A238:A245,B$6),IF(AND(COUNT(A239:A250)=8,COUNT(F239:F250)=8),cubic_spline(F238:F246,A238:A246,B$6),IF(AND(COUNT(A239:A250)=9,COUNT(F239:F250)=9),cubic_spline(F238:F247,A238:A247,B$6),IF(AND(COUNT(A239:A250)=10,COUNT(F239:F250)=10),cubic_spline(F238:F248,A238:A248,B$6),IF(AND(COUNT(A239:A250)=11,COUNT(F239:F250)=11),cubic_spline(F238:F249,A238:A249,B$6),IF(AND(COUNT(A239:A250)=12,COUNT(F239:F250)=12),cubic_spline(F238:F250,A238:A250,B$6),""))))))))))))</f>
        <v/>
      </c>
      <c r="L243" s="27" t="str">
        <f>IF(I243="","",B$5&amp;"-"&amp;B$6)</f>
        <v/>
      </c>
      <c r="M243" s="52" t="str">
        <f>IF(N(J243)=0,"",J243-J242)</f>
        <v/>
      </c>
    </row>
    <row r="244" spans="1:13" x14ac:dyDescent="0.35">
      <c r="A244" s="48"/>
      <c r="B244" s="48"/>
      <c r="C244" s="50"/>
      <c r="D244" s="50"/>
      <c r="E244" s="51" t="str">
        <f t="shared" si="88"/>
        <v/>
      </c>
      <c r="F244" s="71" t="str">
        <f t="shared" si="86"/>
        <v/>
      </c>
      <c r="G244" s="69" t="str">
        <f t="shared" si="89"/>
        <v/>
      </c>
      <c r="H244" s="70" t="str">
        <f t="shared" si="87"/>
        <v/>
      </c>
      <c r="I244" s="27" t="str">
        <f>IF(N(J244)=0,"",0&amp;"-"&amp;B$7)</f>
        <v/>
      </c>
      <c r="J244" s="52" t="str">
        <f>IF(N(B$7)=0,"",IF(AND(COUNT(H239:H250)=2,COUNT(F239:F250)=2),cubic_spline(F238:F240,H238:H240,B$7),IF(AND(COUNT(H239:H250)=3,COUNT(F239:F250)=3),cubic_spline(F238:F241,H238:H241,B$7),IF(AND(COUNT(H239:H250)=4,COUNT(F239:F250)=4),cubic_spline(F238:F242,H238:H242,B$7),IF(AND(COUNT(H239:H250)=5,COUNT(F239:F250)=5),cubic_spline(F238:F243,H238:H243,B$7),IF(AND(COUNT(H239:H250)=6,COUNT(F239:F250)=6),cubic_spline(F238:F244,H238:H244,B$7),IF(AND(COUNT(H239:H250)=7,COUNT(F239:F250)=7),cubic_spline(F238:F245,H238:H245,B$7),IF(AND(COUNT(H239:H250)=8,COUNT(F239:F250)=8),cubic_spline(F238:F246,H238:H246,B$7),IF(AND(COUNT(H239:H250)=9,COUNT(F239:F250)=9),cubic_spline(F238:F247,H238:H247,B$7),IF(AND(COUNT(H239:H250)=10,COUNT(F239:F250)=10),cubic_spline(F238:F248,H238:H248,B$7),IF(AND(COUNT(H239:H250)=11,COUNT(F239:F250)=11),cubic_spline(F238:F249,H238:H249,B$7),IF(AND(COUNT(H239:H250)=12,COUNT(F239:F250)=12),cubic_spline(F238:F250,H238:H250,B$7),""))))))))))))</f>
        <v/>
      </c>
      <c r="K244" s="52" t="str">
        <f>IF(N(B$7)=0,"",IF(AND(COUNT(A239:A250)=2,COUNT(F239:F250)=2),cubic_spline(F238:F240,A238:A240,B$7),IF(AND(COUNT(A239:A250)=3,COUNT(F239:F250)=3),cubic_spline(F238:F241,A238:A241,B$7),IF(AND(COUNT(A239:A250)=4,COUNT(F239:F250)=4),cubic_spline(F238:F242,A238:A242,B$7),IF(AND(COUNT(A239:A250)=5,COUNT(F239:F250)=5),cubic_spline(F238:F243,A238:A243,B$7),IF(AND(COUNT(A239:A250)=6,COUNT(F239:F250)=6),cubic_spline(F238:F244,A238:A244,B$7),IF(AND(COUNT(A239:A250)=7,COUNT(F239:F250)=7),cubic_spline(F238:F245,A238:A245,B$7),IF(AND(COUNT(A239:A250)=8,COUNT(F239:F250)=8),cubic_spline(F238:F246,A238:A246,B$7),IF(AND(COUNT(A239:A250)=9,COUNT(F239:F250)=9),cubic_spline(F238:F247,A238:A247,B$7),IF(AND(COUNT(A239:A250)=10,COUNT(F239:F250)=10),cubic_spline(F238:F248,A238:A248,B$7),IF(AND(COUNT(A239:A250)=11,COUNT(F239:F250)=11),cubic_spline(F238:F249,A238:A249,B$7),IF(AND(COUNT(A239:A250)=12,COUNT(F239:F250)=12),cubic_spline(F238:F250,A238:A250,B$7),""))))))))))))</f>
        <v/>
      </c>
      <c r="L244" s="27" t="str">
        <f>IF(I244="","",B$6&amp;"-"&amp;B$7)</f>
        <v/>
      </c>
      <c r="M244" s="52" t="str">
        <f t="shared" ref="M244:M250" si="90">IF(N(J244)=0,"",J244-J243)</f>
        <v/>
      </c>
    </row>
    <row r="245" spans="1:13" x14ac:dyDescent="0.35">
      <c r="A245" s="48"/>
      <c r="B245" s="48"/>
      <c r="C245" s="50"/>
      <c r="D245" s="50"/>
      <c r="E245" s="51" t="str">
        <f t="shared" si="88"/>
        <v/>
      </c>
      <c r="F245" s="71" t="str">
        <f t="shared" si="86"/>
        <v/>
      </c>
      <c r="G245" s="69" t="str">
        <f t="shared" si="89"/>
        <v/>
      </c>
      <c r="H245" s="70" t="str">
        <f t="shared" si="87"/>
        <v/>
      </c>
      <c r="I245" s="27" t="str">
        <f>IF(N(J245)=0,"",0&amp;"-"&amp;B$8)</f>
        <v/>
      </c>
      <c r="J245" s="52" t="str">
        <f>IF(N(B$8)=0,"",IF(AND(COUNT(H239:H250)=2,COUNT(F239:F250)=2),cubic_spline(F238:F240,H238:H240,B$8),IF(AND(COUNT(H239:H250)=3,COUNT(F239:F250)=3),cubic_spline(F238:F241,H238:H241,B$8),IF(AND(COUNT(H239:H250)=4,COUNT(F239:F250)=4),cubic_spline(F238:F242,H238:H242,B$8),IF(AND(COUNT(H239:H250)=5,COUNT(F239:F250)=5),cubic_spline(F238:F243,H238:H243,B$8),IF(AND(COUNT(H239:H250)=6,COUNT(F239:F250)=6),cubic_spline(F238:F244,H238:H244,B$8),IF(AND(COUNT(H239:H250)=7,COUNT(F239:F250)=7),cubic_spline(F238:F245,H238:H245,B$8),IF(AND(COUNT(H239:H250)=8,COUNT(F239:F250)=8),cubic_spline(F238:F246,H238:H246,B$8),IF(AND(COUNT(H239:H250)=9,COUNT(F239:F250)=9),cubic_spline(F238:F247,H238:H247,B$8),IF(AND(COUNT(H239:H250)=10,COUNT(F239:F250)=10),cubic_spline(F238:F248,H238:H248,B$8),IF(AND(COUNT(H239:H250)=11,COUNT(F239:F250)=11),cubic_spline(F238:F249,H238:H249,B$8),IF(AND(COUNT(H239:H250)=12,COUNT(F239:F250)=12),cubic_spline(F238:F250,H238:H250,B$8),""))))))))))))</f>
        <v/>
      </c>
      <c r="K245" s="52" t="str">
        <f>IF(N(B$8)=0,"",IF(AND(COUNT(A239:A250)=2,COUNT(F239:F250)=2),cubic_spline(F238:F240,A238:A240,B$8),IF(AND(COUNT(A239:A250)=3,COUNT(F239:F250)=3),cubic_spline(F238:F241,A238:A241,B$8),IF(AND(COUNT(A239:A250)=4,COUNT(F239:F250)=4),cubic_spline(F238:F242,A238:A242,B$8),IF(AND(COUNT(A239:A250)=5,COUNT(F239:F250)=5),cubic_spline(F238:F243,A238:A243,B$8),IF(AND(COUNT(A239:A250)=6,COUNT(F239:F250)=6),cubic_spline(F238:F244,A238:A244,B$8),IF(AND(COUNT(A239:A250)=7,COUNT(F239:F250)=7),cubic_spline(F238:F245,A238:A245,B$8),IF(AND(COUNT(A239:A250)=8,COUNT(F239:F250)=8),cubic_spline(F238:F246,A238:A246,B$8),IF(AND(COUNT(A239:A250)=9,COUNT(F239:F250)=9),cubic_spline(F238:F247,A238:A247,B$8),IF(AND(COUNT(A239:A250)=10,COUNT(F239:F250)=10),cubic_spline(F238:F248,A238:A248,B$8),IF(AND(COUNT(A239:A250)=11,COUNT(F239:F250)=11),cubic_spline(F238:F249,A238:A249,B$8),IF(AND(COUNT(A239:A250)=12,COUNT(F239:F250)=12),cubic_spline(F238:F250,A238:A250,B$8),""))))))))))))</f>
        <v/>
      </c>
      <c r="L245" s="27" t="str">
        <f>IF(I245="","",B$7&amp;"-"&amp;B$8)</f>
        <v/>
      </c>
      <c r="M245" s="52" t="str">
        <f t="shared" si="90"/>
        <v/>
      </c>
    </row>
    <row r="246" spans="1:13" x14ac:dyDescent="0.35">
      <c r="A246" s="48"/>
      <c r="B246" s="48"/>
      <c r="C246" s="50"/>
      <c r="D246" s="50"/>
      <c r="E246" s="51" t="str">
        <f t="shared" si="88"/>
        <v/>
      </c>
      <c r="F246" s="71" t="str">
        <f t="shared" si="86"/>
        <v/>
      </c>
      <c r="G246" s="69" t="str">
        <f t="shared" si="89"/>
        <v/>
      </c>
      <c r="H246" s="70" t="str">
        <f t="shared" si="87"/>
        <v/>
      </c>
      <c r="I246" s="27" t="str">
        <f>IF(N(J246)=0,"",0&amp;"-"&amp;B$9)</f>
        <v/>
      </c>
      <c r="J246" s="52" t="str">
        <f>IF(N(B$9)=0,"",IF(AND(COUNT(H239:H250)=2,COUNT(F239:F250)=2),cubic_spline(F238:F240,H238:H240,B$9),IF(AND(COUNT(H239:H250)=3,COUNT(F239:F250)=3),cubic_spline(F238:F241,H238:H241,B$9),IF(AND(COUNT(H239:H250)=4,COUNT(F239:F250)=4),cubic_spline(F238:F242,H238:H242,B$9),IF(AND(COUNT(H239:H250)=5,COUNT(F239:F250)=5),cubic_spline(F238:F243,H238:H243,B$9),IF(AND(COUNT(H239:H250)=6,COUNT(F239:F250)=6),cubic_spline(F238:F244,H238:H244,B$9),IF(AND(COUNT(H239:H250)=7,COUNT(F239:F250)=7),cubic_spline(F238:F245,H238:H245,B$9),IF(AND(COUNT(H239:H250)=8,COUNT(F239:F250)=8),cubic_spline(F238:F246,H238:H246,B$9),IF(AND(COUNT(H239:H250)=9,COUNT(F239:F250)=9),cubic_spline(F238:F247,H238:H247,B$9),IF(AND(COUNT(H239:H250)=10,COUNT(F239:F250)=10),cubic_spline(F238:F248,H238:H248,B$9),IF(AND(COUNT(H239:H250)=11,COUNT(F239:F250)=11),cubic_spline(F238:F249,H238:H249,B$9),IF(AND(COUNT(H239:H250)=12,COUNT(F239:F250)=12),cubic_spline(F238:F250,H238:H250,B$9),""))))))))))))</f>
        <v/>
      </c>
      <c r="K246" s="52" t="str">
        <f>IF(N(B$9)=0,"",IF(AND(COUNT(A239:A250)=2,COUNT(F239:F250)=2),cubic_spline(F238:F240,A238:A240,B$9),IF(AND(COUNT(A239:A250)=3,COUNT(F239:F250)=3),cubic_spline(F238:F241,A238:A241,B$9),IF(AND(COUNT(A239:A250)=4,COUNT(F239:F250)=4),cubic_spline(F238:F242,A238:A242,B$9),IF(AND(COUNT(A239:A250)=5,COUNT(F239:F250)=5),cubic_spline(F238:F243,A238:A243,B$9),IF(AND(COUNT(A239:A250)=6,COUNT(F239:F250)=6),cubic_spline(F238:F244,A238:A244,B$9),IF(AND(COUNT(A239:A250)=7,COUNT(F239:F250)=7),cubic_spline(F238:F245,A238:A245,B$9),IF(AND(COUNT(A239:A250)=8,COUNT(F239:F250)=8),cubic_spline(F238:F246,A238:A246,B$9),IF(AND(COUNT(A239:A250)=9,COUNT(F239:F250)=9),cubic_spline(F238:F247,A238:A247,B$9),IF(AND(COUNT(A239:A250)=10,COUNT(F239:F250)=10),cubic_spline(F238:F248,A238:A248,B$9),IF(AND(COUNT(A239:A250)=11,COUNT(F239:F250)=11),cubic_spline(F238:F249,A238:A249,B$9),IF(AND(COUNT(A239:A250)=12,COUNT(F239:F250)=12),cubic_spline(F238:F250,A238:A250,B$9),""))))))))))))</f>
        <v/>
      </c>
      <c r="L246" s="27" t="str">
        <f>IF(I246="","",B$8&amp;"-"&amp;B$9)</f>
        <v/>
      </c>
      <c r="M246" s="52" t="str">
        <f t="shared" si="90"/>
        <v/>
      </c>
    </row>
    <row r="247" spans="1:13" x14ac:dyDescent="0.35">
      <c r="A247" s="48"/>
      <c r="B247" s="48"/>
      <c r="C247" s="50"/>
      <c r="D247" s="50"/>
      <c r="E247" s="51" t="str">
        <f t="shared" si="88"/>
        <v/>
      </c>
      <c r="F247" s="71" t="str">
        <f t="shared" si="86"/>
        <v/>
      </c>
      <c r="G247" s="69" t="str">
        <f t="shared" si="89"/>
        <v/>
      </c>
      <c r="H247" s="70" t="str">
        <f t="shared" si="87"/>
        <v/>
      </c>
      <c r="I247" s="27" t="str">
        <f>IF(N(J247)=0,"",0&amp;"-"&amp;B$10)</f>
        <v/>
      </c>
      <c r="J247" s="52" t="str">
        <f>IF(N(B$10)=0,"",IF(AND(COUNT(H239:H250)=2,COUNT(F239:F250)=2),cubic_spline(F238:F240,H238:H240,B$10),IF(AND(COUNT(H239:H250)=3,COUNT(F239:F250)=3),cubic_spline(F238:F241,H238:H241,B$10),IF(AND(COUNT(H239:H250)=4,COUNT(F239:F250)=4),cubic_spline(F238:F242,H238:H242,B$10),IF(AND(COUNT(H239:H250)=5,COUNT(F239:F250)=5),cubic_spline(F238:F243,H238:H243,B$10),IF(AND(COUNT(H239:H250)=6,COUNT(F239:F250)=6),cubic_spline(F238:F244,H238:H244,B$10),IF(AND(COUNT(H239:H250)=7,COUNT(F239:F250)=7),cubic_spline(F238:F245,H238:H245,B$10),IF(AND(COUNT(H239:H250)=8,COUNT(F239:F250)=8),cubic_spline(F238:F246,H238:H246,B$10),IF(AND(COUNT(H239:H250)=9,COUNT(F239:F250)=9),cubic_spline(F238:F247,H238:H247,B$10),IF(AND(COUNT(H239:H250)=10,COUNT(F239:F250)=10),cubic_spline(F238:F248,H238:H248,B$10),IF(AND(COUNT(H239:H250)=11,COUNT(F239:F250)=11),cubic_spline(F238:F249,H238:H249,B$10),IF(AND(COUNT(H239:H250)=12,COUNT(F239:F250)=12),cubic_spline(F238:F250,H238:H250,B$10),""))))))))))))</f>
        <v/>
      </c>
      <c r="K247" s="52" t="str">
        <f>IF(N(B$10)=0,"",IF(AND(COUNT(A239:A250)=2,COUNT(F239:F250)=2),cubic_spline(F238:F240,A238:A240,B$10),IF(AND(COUNT(A239:A250)=3,COUNT(F239:F250)=3),cubic_spline(F238:F241,A238:A241,B$10),IF(AND(COUNT(A239:A250)=4,COUNT(F239:F250)=4),cubic_spline(F238:F242,A238:A242,B$10),IF(AND(COUNT(A239:A250)=5,COUNT(F239:F250)=5),cubic_spline(F238:F243,A238:A243,B$10),IF(AND(COUNT(A239:A250)=6,COUNT(F239:F250)=6),cubic_spline(F238:F244,A238:A244,B$10),IF(AND(COUNT(A239:A250)=7,COUNT(F239:F250)=7),cubic_spline(F238:F245,A238:A245,B$10),IF(AND(COUNT(A239:A250)=8,COUNT(F239:F250)=8),cubic_spline(F238:F246,A238:A246,B$10),IF(AND(COUNT(A239:A250)=9,COUNT(F239:F250)=9),cubic_spline(F238:F247,A238:A247,B$10),IF(AND(COUNT(A239:A250)=10,COUNT(F239:F250)=10),cubic_spline(F238:F248,A238:A248,B$10),IF(AND(COUNT(A239:A250)=11,COUNT(F239:F250)=11),cubic_spline(F238:F249,A238:A249,B$10),IF(AND(COUNT(A239:A250)=12,COUNT(F239:F250)=12),cubic_spline(F238:F250,A238:A250,B$10),""))))))))))))</f>
        <v/>
      </c>
      <c r="L247" s="27" t="str">
        <f>IF(I247="","",B$9&amp;"-"&amp;B$10)</f>
        <v/>
      </c>
      <c r="M247" s="52" t="str">
        <f t="shared" si="90"/>
        <v/>
      </c>
    </row>
    <row r="248" spans="1:13" x14ac:dyDescent="0.35">
      <c r="A248" s="48"/>
      <c r="B248" s="48"/>
      <c r="C248" s="50"/>
      <c r="D248" s="50"/>
      <c r="E248" s="51" t="str">
        <f t="shared" si="88"/>
        <v/>
      </c>
      <c r="F248" s="71" t="str">
        <f t="shared" si="86"/>
        <v/>
      </c>
      <c r="G248" s="69" t="str">
        <f t="shared" si="89"/>
        <v/>
      </c>
      <c r="H248" s="70" t="str">
        <f t="shared" si="87"/>
        <v/>
      </c>
      <c r="I248" s="27" t="str">
        <f>IF(N(J248)=0,"",0&amp;"-"&amp;B$11)</f>
        <v/>
      </c>
      <c r="J248" s="52" t="str">
        <f>IF(N(B$11)=0,"",IF(AND(COUNT(H239:H250)=2,COUNT(F239:F250)=2),cubic_spline(F238:F240,H238:H240,B$11),IF(AND(COUNT(H239:H250)=3,COUNT(F239:F250)=3),cubic_spline(F238:F241,H238:H241,B$11),IF(AND(COUNT(H239:H250)=4,COUNT(F239:F250)=4),cubic_spline(F238:F242,H238:H242,B$11),IF(AND(COUNT(H239:H250)=5,COUNT(F239:F250)=5),cubic_spline(F238:F243,H238:H243,B$11),IF(AND(COUNT(H239:H250)=6,COUNT(F239:F250)=6),cubic_spline(F238:F244,H238:H244,B$11),IF(AND(COUNT(H239:H250)=7,COUNT(F239:F250)=7),cubic_spline(F238:F245,H238:H245,B$11),IF(AND(COUNT(H239:H250)=8,COUNT(F239:F250)=8),cubic_spline(F238:F246,H238:H246,B$11),IF(AND(COUNT(H239:H250)=9,COUNT(F239:F250)=9),cubic_spline(F238:F247,H238:H247,B$11),IF(AND(COUNT(H239:H250)=10,COUNT(F239:F250)=10),cubic_spline(F238:F248,H238:H248,B$11),IF(AND(COUNT(H239:H250)=11,COUNT(F239:F250)=11),cubic_spline(F238:F249,H238:H249,B$11),IF(AND(COUNT(H239:H250)=12,COUNT(F239:F250)=12),cubic_spline(F238:F250,H238:H250,B$11),""))))))))))))</f>
        <v/>
      </c>
      <c r="K248" s="52" t="str">
        <f>IF(N(B$11)=0,"",IF(AND(COUNT(A239:A250)=2,COUNT(F239:F250)=2),cubic_spline(F238:F240,A238:A240,B$11),IF(AND(COUNT(A239:A250)=3,COUNT(F239:F250)=3),cubic_spline(F238:F241,A238:A241,B$11),IF(AND(COUNT(A239:A250)=4,COUNT(F239:F250)=4),cubic_spline(F238:F242,A238:A242,B$11),IF(AND(COUNT(A239:A250)=5,COUNT(F239:F250)=5),cubic_spline(F238:F243,A238:A243,B$11),IF(AND(COUNT(A239:A250)=6,COUNT(F239:F250)=6),cubic_spline(F238:F244,A238:A244,B$11),IF(AND(COUNT(A239:A250)=7,COUNT(F239:F250)=7),cubic_spline(F238:F245,A238:A245,B$11),IF(AND(COUNT(A239:A250)=8,COUNT(F239:F250)=8),cubic_spline(F238:F246,A238:A246,B$11),IF(AND(COUNT(A239:A250)=9,COUNT(F239:F250)=9),cubic_spline(F238:F247,A238:A247,B$11),IF(AND(COUNT(A239:A250)=10,COUNT(F239:F250)=10),cubic_spline(F238:F248,A238:A248,B$11),IF(AND(COUNT(A239:A250)=11,COUNT(F239:F250)=11),cubic_spline(F238:F249,A238:A249,B$11),IF(AND(COUNT(A239:A250)=12,COUNT(F239:F250)=12),cubic_spline(F238:F250,A238:A250,B$11),""))))))))))))</f>
        <v/>
      </c>
      <c r="L248" s="27" t="str">
        <f>IF(I248="","",B$10&amp;"-"&amp;B$11)</f>
        <v/>
      </c>
      <c r="M248" s="52" t="str">
        <f t="shared" si="90"/>
        <v/>
      </c>
    </row>
    <row r="249" spans="1:13" x14ac:dyDescent="0.35">
      <c r="A249" s="48"/>
      <c r="B249" s="48"/>
      <c r="C249" s="50"/>
      <c r="D249" s="50"/>
      <c r="E249" s="51" t="str">
        <f t="shared" si="88"/>
        <v/>
      </c>
      <c r="F249" s="71" t="str">
        <f t="shared" si="86"/>
        <v/>
      </c>
      <c r="G249" s="69" t="str">
        <f t="shared" si="89"/>
        <v/>
      </c>
      <c r="H249" s="70" t="str">
        <f t="shared" si="87"/>
        <v/>
      </c>
      <c r="I249" s="27" t="str">
        <f>IF(N(J249)=0,"",0&amp;"-"&amp;B$12)</f>
        <v/>
      </c>
      <c r="J249" s="52" t="str">
        <f>IF(N(B$12)=0,"",IF(AND(COUNT(H239:H250)=2,COUNT(F239:F250)=2),cubic_spline(F238:F240,H238:H240,B$12),IF(AND(COUNT(H239:H250)=3,COUNT(F239:F250)=3),cubic_spline(F238:F241,H238:H241,B$12),IF(AND(COUNT(H239:H250)=4,COUNT(F239:F250)=4),cubic_spline(F238:F242,H238:H242,B$12),IF(AND(COUNT(H239:H250)=5,COUNT(F239:F250)=5),cubic_spline(F238:F243,H238:H243,B$12),IF(AND(COUNT(H239:H250)=6,COUNT(F239:F250)=6),cubic_spline(F238:F244,H238:H244,B$12),IF(AND(COUNT(H239:H250)=7,COUNT(F239:F250)=7),cubic_spline(F238:F245,H238:H245,B$12),IF(AND(COUNT(H239:H250)=8,COUNT(F239:F250)=8),cubic_spline(F238:F246,H238:H246,B$12),IF(AND(COUNT(H239:H250)=9,COUNT(F239:F250)=9),cubic_spline(F238:F247,H238:H247,B$12),IF(AND(COUNT(H239:H250)=10,COUNT(F239:F250)=10),cubic_spline(F238:F248,H238:H248,B$12),IF(AND(COUNT(H239:H250)=11,COUNT(F239:F250)=11),cubic_spline(F238:F249,H238:H249,B$12),IF(AND(COUNT(H239:H250)=12,COUNT(F239:F250)=12),cubic_spline(F238:F250,H238:H250,B$12),""))))))))))))</f>
        <v/>
      </c>
      <c r="K249" s="52" t="str">
        <f>IF(N(B$12)=0,"",IF(AND(COUNT(A239:A250)=2,COUNT(F239:F250)=2),cubic_spline(F238:F240,A238:A240,B$12),IF(AND(COUNT(A239:A250)=3,COUNT(F239:F250)=3),cubic_spline(F238:F241,A238:A241,B$12),IF(AND(COUNT(A239:A250)=4,COUNT(F239:F250)=4),cubic_spline(F238:F242,A238:A242,B$12),IF(AND(COUNT(A239:A250)=5,COUNT(F239:F250)=5),cubic_spline(F238:F243,A238:A243,B$12),IF(AND(COUNT(A239:A250)=6,COUNT(F239:F250)=6),cubic_spline(F238:F244,A238:A244,B$12),IF(AND(COUNT(A239:A250)=7,COUNT(F239:F250)=7),cubic_spline(F238:F245,A238:A245,B$12),IF(AND(COUNT(A239:A250)=8,COUNT(F239:F250)=8),cubic_spline(F238:F246,A238:A246,B$12),IF(AND(COUNT(A239:A250)=9,COUNT(F239:F250)=9),cubic_spline(F238:F247,A238:A247,B$12),IF(AND(COUNT(A239:A250)=10,COUNT(F239:F250)=10),cubic_spline(F238:F248,A238:A248,B$12),IF(AND(COUNT(A239:A250)=11,COUNT(F239:F250)=11),cubic_spline(F238:F249,A238:A249,B$12),IF(AND(COUNT(A239:A250)=12,COUNT(F239:F250)=12),cubic_spline(F238:F250,A238:A250,B$12),""))))))))))))</f>
        <v/>
      </c>
      <c r="L249" s="27" t="str">
        <f>IF(I249="","",B$11&amp;"-"&amp;B$12)</f>
        <v/>
      </c>
      <c r="M249" s="52" t="str">
        <f t="shared" si="90"/>
        <v/>
      </c>
    </row>
    <row r="250" spans="1:13" x14ac:dyDescent="0.35">
      <c r="A250" s="48"/>
      <c r="B250" s="48"/>
      <c r="C250" s="50"/>
      <c r="D250" s="50"/>
      <c r="E250" s="51" t="str">
        <f t="shared" si="88"/>
        <v/>
      </c>
      <c r="F250" s="71" t="str">
        <f t="shared" si="86"/>
        <v/>
      </c>
      <c r="G250" s="69" t="str">
        <f t="shared" si="89"/>
        <v/>
      </c>
      <c r="H250" s="70" t="str">
        <f t="shared" si="87"/>
        <v/>
      </c>
      <c r="I250" s="27" t="str">
        <f>IF(N(J250)=0,"",0&amp;"-"&amp;B$13)</f>
        <v/>
      </c>
      <c r="J250" s="52" t="str">
        <f>IF(N(B$13)=0,"",IF(AND(COUNT(H239:H250)=2,COUNT(F239:F250)=2),cubic_spline(F238:F240,H238:H240,B$13),IF(AND(COUNT(H239:H250)=3,COUNT(F239:F250)=3),cubic_spline(F238:F241,H238:H241,B$13),IF(AND(COUNT(H239:H250)=4,COUNT(F239:F250)=4),cubic_spline(F238:F242,H238:H242,B$13),IF(AND(COUNT(H239:H250)=5,COUNT(F239:F250)=5),cubic_spline(F238:F243,H238:H243,B$13),IF(AND(COUNT(H239:H250)=6,COUNT(F239:F250)=6),cubic_spline(F238:F244,H238:H244,B$13),IF(AND(COUNT(H239:H250)=7,COUNT(F239:F250)=7),cubic_spline(F238:F245,H238:H245,B$13),IF(AND(COUNT(H239:H250)=8,COUNT(F239:F250)=8),cubic_spline(F238:F246,H238:H246,B$13),IF(AND(COUNT(H239:H250)=9,COUNT(F239:F250)=9),cubic_spline(F238:F247,H238:H247,B$13),IF(AND(COUNT(H239:H250)=10,COUNT(F239:F250)=10),cubic_spline(F238:F248,H238:H248,B$13),IF(AND(COUNT(H239:H250)=11,COUNT(F239:F250)=11),cubic_spline(F238:F249,H238:H249,B$13),IF(AND(COUNT(H239:H250)=12,COUNT(F239:F250)=12),cubic_spline(F238:F250,H238:H250,B$13),""))))))))))))</f>
        <v/>
      </c>
      <c r="K250" s="52" t="str">
        <f>IF(N(B$13)=0,"",IF(AND(COUNT(A239:A250)=2,COUNT(F239:F250)=2),cubic_spline(F238:F240,A238:A240,B$13),IF(AND(COUNT(A239:A250)=3,COUNT(F239:F250)=3),cubic_spline(F238:F241,A238:A241,B$13),IF(AND(COUNT(A239:A250)=4,COUNT(F239:F250)=4),cubic_spline(F238:F242,A238:A242,B$13),IF(AND(COUNT(A239:A250)=5,COUNT(F239:F250)=5),cubic_spline(F238:F243,A238:A243,B$13),IF(AND(COUNT(A239:A250)=6,COUNT(F239:F250)=6),cubic_spline(F238:F244,A238:A244,B$13),IF(AND(COUNT(A239:A250)=7,COUNT(F239:F250)=7),cubic_spline(F238:F245,A238:A245,B$13),IF(AND(COUNT(A239:A250)=8,COUNT(F239:F250)=8),cubic_spline(F238:F246,A238:A246,B$13),IF(AND(COUNT(A239:A250)=9,COUNT(F239:F250)=9),cubic_spline(F238:F247,A238:A247,B$13),IF(AND(COUNT(A239:A250)=10,COUNT(F239:F250)=10),cubic_spline(F238:F248,A238:A248,B$13),IF(AND(COUNT(A239:A250)=11,COUNT(F239:F250)=11),cubic_spline(F238:F249,A238:A249,B$13),IF(AND(COUNT(A239:A250)=12,COUNT(F239:F250)=12),cubic_spline(F238:F250,A238:A250,B$13),""))))))))))))</f>
        <v/>
      </c>
      <c r="L250" s="27" t="str">
        <f>IF(I250="","",B$12&amp;"-"&amp;B$13)</f>
        <v/>
      </c>
      <c r="M250" s="52" t="str">
        <f t="shared" si="90"/>
        <v/>
      </c>
    </row>
    <row r="251" spans="1:13" ht="5.15" customHeight="1" x14ac:dyDescent="0.35">
      <c r="A251" s="47"/>
      <c r="B251" s="47"/>
      <c r="C251" s="53"/>
      <c r="D251" s="53"/>
      <c r="E251" s="54"/>
      <c r="F251" s="55"/>
      <c r="G251" s="72"/>
      <c r="H251" s="73"/>
      <c r="I251" s="47"/>
      <c r="J251" s="57"/>
      <c r="K251" s="57"/>
      <c r="L251" s="55"/>
      <c r="M251" s="57"/>
    </row>
    <row r="252" spans="1:13" x14ac:dyDescent="0.35">
      <c r="A252" s="48"/>
      <c r="B252" s="48"/>
      <c r="C252" s="50"/>
      <c r="D252" s="50"/>
      <c r="E252" s="51" t="str">
        <f>IF(N(C252)=0,"",(A252-A251)*C252*100)</f>
        <v/>
      </c>
      <c r="F252" s="68" t="str">
        <f t="shared" ref="F252:F263" si="91">IF(N(E252)=0,"",(N(E252)+N(F251)))</f>
        <v/>
      </c>
      <c r="G252" s="69" t="str">
        <f>IF(OR(N(D252)=0,N(E252)=0),"",(E252*D252)/1000)</f>
        <v/>
      </c>
      <c r="H252" s="70" t="str">
        <f t="shared" ref="H252:H263" si="92">IF(N(G252)=0,"",(N(G252)+N(H251)))</f>
        <v/>
      </c>
      <c r="I252" s="27" t="str">
        <f>IF(N(J252)=0,"",0&amp;"-"&amp;B$2)</f>
        <v/>
      </c>
      <c r="J252" s="52" t="str">
        <f>IF(N(B$2)=0,"",IF(AND(COUNT(H252:H263)=2,COUNT(F252:F263)=2),cubic_spline(F251:F253,H251:H253,B$2),IF(AND(COUNT(H252:H263)=3,COUNT(F252:F263)=3),cubic_spline(F251:F254,H251:H254,B$2),IF(AND(COUNT(H252:H263)=4,COUNT(F252:F263)=4),cubic_spline(F251:F255,H251:H255,B$2),IF(AND(COUNT(H252:H263)=5,COUNT(F252:F263)=5),cubic_spline(F251:F256,H251:H256,B$2),IF(AND(COUNT(H252:H263)=6,COUNT(F252:F263)=6),cubic_spline(F251:F257,H251:H257,B$2),IF(AND(COUNT(H252:H263)=7,COUNT(F252:F263)=7),cubic_spline(F251:F258,H251:H258,B$2),IF(AND(COUNT(H252:H263)=8,COUNT(F252:F263)=8),cubic_spline(F251:F259,H251:H259,B$2),IF(AND(COUNT(H252:H263)=9,COUNT(F252:F263)=9),cubic_spline(F251:F260,H251:H260,B$2),IF(AND(COUNT(H252:H263)=10,COUNT(F252:F263)=10),cubic_spline(F251:F261,H251:H261,B$2),IF(AND(COUNT(H252:H263)=11,COUNT(F252:F263)=11),cubic_spline(F251:F262,H251:H262,B$2),IF(AND(COUNT(H252:H263)=12,COUNT(F252:F263)=12),cubic_spline(F251:F263,H251:H263,B$2),""))))))))))))</f>
        <v/>
      </c>
      <c r="K252" s="52" t="str">
        <f>IF(N(B$2)=0,"",IF(AND(COUNT(A252:A263)=2,COUNT(F252:F263)=2),cubic_spline(F251:F253,A251:A253,B$2),IF(AND(COUNT(A252:A263)=3,COUNT(F252:F263)=3),cubic_spline(F251:F254,A251:A254,B$2),IF(AND(COUNT(A252:A263)=4,COUNT(F252:F263)=4),cubic_spline(F251:F255,A251:A255,B$2),IF(AND(COUNT(A252:A263)=5,COUNT(F252:F263)=5),cubic_spline(F251:F256,A251:A256,B$2),IF(AND(COUNT(A252:A263)=6,COUNT(F252:F263)=6),cubic_spline(F251:F257,A251:A257,B$2),IF(AND(COUNT(A252:A263)=7,COUNT(F252:F263)=7),cubic_spline(F251:F258,A251:A258,B$2),IF(AND(COUNT(A252:A263)=8,COUNT(F252:F263)=8),cubic_spline(F251:F259,A251:A259,B$2),IF(AND(COUNT(A252:A263)=9,COUNT(F252:F263)=9),cubic_spline(F251:F260,A251:A260,B$2),IF(AND(COUNT(A252:A263)=10,COUNT(F252:F263)=10),cubic_spline(F251:F261,A251:A261,B$2),IF(AND(COUNT(A252:A263)=11,COUNT(F252:F263)=11),cubic_spline(F251:F262,A251:A262,B$2),IF(AND(COUNT(A252:A263)=12,COUNT(F252:F263)=12),cubic_spline(F251:F263,A251:A263,B$2),""))))))))))))</f>
        <v/>
      </c>
      <c r="L252" s="27" t="str">
        <f>IF(I252="","",0&amp;"-"&amp;B$2)</f>
        <v/>
      </c>
      <c r="M252" s="52" t="str">
        <f>IF(N(J252)=0,"",J252-J251)</f>
        <v/>
      </c>
    </row>
    <row r="253" spans="1:13" x14ac:dyDescent="0.35">
      <c r="A253" s="48"/>
      <c r="B253" s="48"/>
      <c r="C253" s="50"/>
      <c r="D253" s="50"/>
      <c r="E253" s="51" t="str">
        <f t="shared" ref="E253:E263" si="93">IF(N(C253)=0,"",(A253-A252)*C253*100)</f>
        <v/>
      </c>
      <c r="F253" s="68" t="str">
        <f t="shared" si="91"/>
        <v/>
      </c>
      <c r="G253" s="69" t="str">
        <f t="shared" ref="G253:G263" si="94">IF(OR(N(D253)=0,N(E253)=0),"",(E253*D253)/1000)</f>
        <v/>
      </c>
      <c r="H253" s="70" t="str">
        <f t="shared" si="92"/>
        <v/>
      </c>
      <c r="I253" s="27" t="str">
        <f>IF(N(J253)=0,"",0&amp;"-"&amp;B$3)</f>
        <v/>
      </c>
      <c r="J253" s="52" t="str">
        <f>IF(N(B$3)=0,"",IF(AND(COUNT(H252:H263)=2,COUNT(F252:F263)=2),cubic_spline(F251:F253,H251:H253,B$3),IF(AND(COUNT(H252:H263)=3,COUNT(F252:F263)=3),cubic_spline(F251:F254,H251:H254,B$3),IF(AND(COUNT(H252:H263)=4,COUNT(F252:F263)=4),cubic_spline(F251:F255,H251:H255,B$3),IF(AND(COUNT(H252:H263)=5,COUNT(F252:F263)=5),cubic_spline(F251:F256,H251:H256,B$3),IF(AND(COUNT(H252:H263)=6,COUNT(F252:F263)=6),cubic_spline(F251:F257,H251:H257,B$3),IF(AND(COUNT(H252:H263)=7,COUNT(F252:F263)=7),cubic_spline(F251:F258,H251:H258,B$3),IF(AND(COUNT(H252:H263)=8,COUNT(F252:F263)=8),cubic_spline(F251:F259,H251:H259,B$3),IF(AND(COUNT(H252:H263)=9,COUNT(F252:F263)=9),cubic_spline(F251:F260,H251:H260,B$3),IF(AND(COUNT(H252:H263)=10,COUNT(F252:F263)=10),cubic_spline(F251:F261,H251:H261,B$3),IF(AND(COUNT(H252:H263)=11,COUNT(F252:F263)=11),cubic_spline(F251:F262,H251:H262,B$3),IF(AND(COUNT(H252:H263)=12,COUNT(F252:F263)=12),cubic_spline(F251:F263,H251:H263,B$3),""))))))))))))</f>
        <v/>
      </c>
      <c r="K253" s="52" t="str">
        <f>IF(N(B$3)=0,"",IF(AND(COUNT(A252:A263)=2,COUNT(F252:F263)=2),cubic_spline(F251:F253,A251:A253,B$3),IF(AND(COUNT(A252:A263)=3,COUNT(F252:F263)=3),cubic_spline(F251:F254,A251:A254,B$3),IF(AND(COUNT(A252:A263)=4,COUNT(F252:F263)=4),cubic_spline(F251:F255,A251:A255,B$3),IF(AND(COUNT(A252:A263)=5,COUNT(F252:F263)=5),cubic_spline(F251:F256,A251:A256,B$3),IF(AND(COUNT(A252:A263)=6,COUNT(F252:F263)=6),cubic_spline(F251:F257,A251:A257,B$3),IF(AND(COUNT(A252:A263)=7,COUNT(F252:F263)=7),cubic_spline(F251:F258,A251:A258,B$3),IF(AND(COUNT(A252:A263)=8,COUNT(F252:F263)=8),cubic_spline(F251:F259,A251:A259,B$3),IF(AND(COUNT(A252:A263)=9,COUNT(F252:F263)=9),cubic_spline(F251:F260,A251:A260,B$3),IF(AND(COUNT(A252:A263)=10,COUNT(F252:F263)=10),cubic_spline(F251:F261,A251:A261,B$3),IF(AND(COUNT(A252:A263)=11,COUNT(F252:F263)=11),cubic_spline(F251:F262,A251:A262,B$3),IF(AND(COUNT(A252:A263)=12,COUNT(F252:F263)=12),cubic_spline(F251:F263,A251:A263,B$3),""))))))))))))</f>
        <v/>
      </c>
      <c r="L253" s="27" t="str">
        <f>IF(I253="","",B$2&amp;"-"&amp;B$3)</f>
        <v/>
      </c>
      <c r="M253" s="52" t="str">
        <f>IF(N(J253)=0,"",J253-J252)</f>
        <v/>
      </c>
    </row>
    <row r="254" spans="1:13" x14ac:dyDescent="0.35">
      <c r="A254" s="48"/>
      <c r="B254" s="48"/>
      <c r="C254" s="50"/>
      <c r="D254" s="50"/>
      <c r="E254" s="51" t="str">
        <f t="shared" si="93"/>
        <v/>
      </c>
      <c r="F254" s="68" t="str">
        <f t="shared" si="91"/>
        <v/>
      </c>
      <c r="G254" s="69" t="str">
        <f t="shared" si="94"/>
        <v/>
      </c>
      <c r="H254" s="70" t="str">
        <f t="shared" si="92"/>
        <v/>
      </c>
      <c r="I254" s="27" t="str">
        <f>IF(N(J254)=0,"",0&amp;"-"&amp;B$4)</f>
        <v/>
      </c>
      <c r="J254" s="52" t="str">
        <f>IF(N(B$4)=0,"",IF(AND(COUNT(H252:H263)=2,COUNT(F252:F263)=2),cubic_spline(F251:F253,H251:H253,B$4),IF(AND(COUNT(H252:H263)=3,COUNT(F252:F263)=3),cubic_spline(F251:F254,H251:H254,B$4),IF(AND(COUNT(H252:H263)=4,COUNT(F252:F263)=4),cubic_spline(F251:F255,H251:H255,B$4),IF(AND(COUNT(H252:H263)=5,COUNT(F252:F263)=5),cubic_spline(F251:F256,H251:H256,B$4),IF(AND(COUNT(H252:H263)=6,COUNT(F252:F263)=6),cubic_spline(F251:F257,H251:H257,B$4),IF(AND(COUNT(H252:H263)=7,COUNT(F252:F263)=7),cubic_spline(F251:F258,H251:H258,B$4),IF(AND(COUNT(H252:H263)=8,COUNT(F252:F263)=8),cubic_spline(F251:F259,H251:H259,B$4),IF(AND(COUNT(H252:H263)=9,COUNT(F252:F263)=9),cubic_spline(F251:F260,H251:H260,B$4),IF(AND(COUNT(H252:H263)=10,COUNT(F252:F263)=10),cubic_spline(F251:F261,H251:H261,B$4),IF(AND(COUNT(H252:H263)=11,COUNT(F252:F263)=11),cubic_spline(F251:F262,H251:H262,B$4),IF(AND(COUNT(H252:H263)=12,COUNT(F252:F263)=12),cubic_spline(F251:F263,H251:H263,B$4),""))))))))))))</f>
        <v/>
      </c>
      <c r="K254" s="52" t="str">
        <f>IF(N(B$4)=0,"",IF(AND(COUNT(A252:A263)=2,COUNT(F252:F263)=2),cubic_spline(F251:F253,A251:A253,B$4),IF(AND(COUNT(A252:A263)=3,COUNT(F252:F263)=3),cubic_spline(F251:F254,A251:A254,B$4),IF(AND(COUNT(A252:A263)=4,COUNT(F252:F263)=4),cubic_spline(F251:F255,A251:A255,B$4),IF(AND(COUNT(A252:A263)=5,COUNT(F252:F263)=5),cubic_spline(F251:F256,A251:A256,B$4),IF(AND(COUNT(A252:A263)=6,COUNT(F252:F263)=6),cubic_spline(F251:F257,A251:A257,B$4),IF(AND(COUNT(A252:A263)=7,COUNT(F252:F263)=7),cubic_spline(F251:F258,A251:A258,B$4),IF(AND(COUNT(A252:A263)=8,COUNT(F252:F263)=8),cubic_spline(F251:F259,A251:A259,B$4),IF(AND(COUNT(A252:A263)=9,COUNT(F252:F263)=9),cubic_spline(F251:F260,A251:A260,B$4),IF(AND(COUNT(A252:A263)=10,COUNT(F252:F263)=10),cubic_spline(F251:F261,A251:A261,B$4),IF(AND(COUNT(A252:A263)=11,COUNT(F252:F263)=11),cubic_spline(F251:F262,A251:A262,B$4),IF(AND(COUNT(A252:A263)=12,COUNT(F252:F263)=12),cubic_spline(F251:F263,A251:A263,B$4),""))))))))))))</f>
        <v/>
      </c>
      <c r="L254" s="27" t="str">
        <f>IF(I254="","",B$3&amp;"-"&amp;B$4)</f>
        <v/>
      </c>
      <c r="M254" s="52" t="str">
        <f>IF(N(J254)=0,"",J254-J253)</f>
        <v/>
      </c>
    </row>
    <row r="255" spans="1:13" x14ac:dyDescent="0.35">
      <c r="A255" s="48"/>
      <c r="B255" s="48"/>
      <c r="C255" s="50"/>
      <c r="D255" s="50"/>
      <c r="E255" s="51" t="str">
        <f t="shared" si="93"/>
        <v/>
      </c>
      <c r="F255" s="68" t="str">
        <f t="shared" si="91"/>
        <v/>
      </c>
      <c r="G255" s="69" t="str">
        <f t="shared" si="94"/>
        <v/>
      </c>
      <c r="H255" s="70" t="str">
        <f t="shared" si="92"/>
        <v/>
      </c>
      <c r="I255" s="27" t="str">
        <f>IF(N(J255)=0,"",0&amp;"-"&amp;B$5)</f>
        <v/>
      </c>
      <c r="J255" s="52" t="str">
        <f>IF(N(B$5)=0,"",IF(AND(COUNT(H252:H263)=2,COUNT(F252:F263)=2),cubic_spline(F251:F253,H251:H253,B$5),IF(AND(COUNT(H252:H263)=3,COUNT(F252:F263)=3),cubic_spline(F251:F254,H251:H254,B$5),IF(AND(COUNT(H252:H263)=4,COUNT(F252:F263)=4),cubic_spline(F251:F255,H251:H255,B$5),IF(AND(COUNT(H252:H263)=5,COUNT(F252:F263)=5),cubic_spline(F251:F256,H251:H256,B$5),IF(AND(COUNT(H252:H263)=6,COUNT(F252:F263)=6),cubic_spline(F251:F257,H251:H257,B$5),IF(AND(COUNT(H252:H263)=7,COUNT(F252:F263)=7),cubic_spline(F251:F258,H251:H258,B$5),IF(AND(COUNT(H252:H263)=8,COUNT(F252:F263)=8),cubic_spline(F251:F259,H251:H259,B$5),IF(AND(COUNT(H252:H263)=9,COUNT(F252:F263)=9),cubic_spline(F251:F260,H251:H260,B$5),IF(AND(COUNT(H252:H263)=10,COUNT(F252:F263)=10),cubic_spline(F251:F261,H251:H261,B$5),IF(AND(COUNT(H252:H263)=11,COUNT(F252:F263)=11),cubic_spline(F251:F262,H251:H262,B$5),IF(AND(COUNT(H252:H263)=12,COUNT(F252:F263)=12),cubic_spline(F251:F263,H251:H263,B$5),""))))))))))))</f>
        <v/>
      </c>
      <c r="K255" s="52" t="str">
        <f>IF(N(B$5)=0,"",IF(AND(COUNT(A252:A263)=2,COUNT(F252:F263)=2),cubic_spline(F251:F253,A251:A253,B$5),IF(AND(COUNT(A252:A263)=3,COUNT(F252:F263)=3),cubic_spline(F251:F254,A251:A254,B$5),IF(AND(COUNT(A252:A263)=4,COUNT(F252:F263)=4),cubic_spline(F251:F255,A251:A255,B$5),IF(AND(COUNT(A252:A263)=5,COUNT(F252:F263)=5),cubic_spline(F251:F256,A251:A256,B$5),IF(AND(COUNT(A252:A263)=6,COUNT(F252:F263)=6),cubic_spline(F251:F257,A251:A257,B$5),IF(AND(COUNT(A252:A263)=7,COUNT(F252:F263)=7),cubic_spline(F251:F258,A251:A258,B$5),IF(AND(COUNT(A252:A263)=8,COUNT(F252:F263)=8),cubic_spline(F251:F259,A251:A259,B$5),IF(AND(COUNT(A252:A263)=9,COUNT(F252:F263)=9),cubic_spline(F251:F260,A251:A260,B$5),IF(AND(COUNT(A252:A263)=10,COUNT(F252:F263)=10),cubic_spline(F251:F261,A251:A261,B$5),IF(AND(COUNT(A252:A263)=11,COUNT(F252:F263)=11),cubic_spline(F251:F262,A251:A262,B$5),IF(AND(COUNT(A252:A263)=12,COUNT(F252:F263)=12),cubic_spline(F251:F263,A251:A263,B$5),""))))))))))))</f>
        <v/>
      </c>
      <c r="L255" s="27" t="str">
        <f>IF(I255="","",B$4&amp;"-"&amp;B$5)</f>
        <v/>
      </c>
      <c r="M255" s="52" t="str">
        <f>IF(N(J255)=0,"",J255-J254)</f>
        <v/>
      </c>
    </row>
    <row r="256" spans="1:13" x14ac:dyDescent="0.35">
      <c r="A256" s="48"/>
      <c r="B256" s="48"/>
      <c r="C256" s="50"/>
      <c r="D256" s="50"/>
      <c r="E256" s="51" t="str">
        <f t="shared" si="93"/>
        <v/>
      </c>
      <c r="F256" s="71" t="str">
        <f t="shared" si="91"/>
        <v/>
      </c>
      <c r="G256" s="69" t="str">
        <f t="shared" si="94"/>
        <v/>
      </c>
      <c r="H256" s="70" t="str">
        <f t="shared" si="92"/>
        <v/>
      </c>
      <c r="I256" s="27" t="str">
        <f>IF(N(J256)=0,"",0&amp;"-"&amp;B$6)</f>
        <v/>
      </c>
      <c r="J256" s="52" t="str">
        <f>IF(N(B$6)=0,"",IF(AND(COUNT(H252:H263)=2,COUNT(F252:F263)=2),cubic_spline(F251:F253,H251:H253,B$6),IF(AND(COUNT(H252:H263)=3,COUNT(F252:F263)=3),cubic_spline(F251:F254,H251:H254,B$6),IF(AND(COUNT(H252:H263)=4,COUNT(F252:F263)=4),cubic_spline(F251:F255,H251:H255,B$6),IF(AND(COUNT(H252:H263)=5,COUNT(F252:F263)=5),cubic_spline(F251:F256,H251:H256,B$6),IF(AND(COUNT(H252:H263)=6,COUNT(F252:F263)=6),cubic_spline(F251:F257,H251:H257,B$6),IF(AND(COUNT(H252:H263)=7,COUNT(F252:F263)=7),cubic_spline(F251:F258,H251:H258,B$6),IF(AND(COUNT(H252:H263)=8,COUNT(F252:F263)=8),cubic_spline(F251:F259,H251:H259,B$6),IF(AND(COUNT(H252:H263)=9,COUNT(F252:F263)=9),cubic_spline(F251:F260,H251:H260,B$6),IF(AND(COUNT(H252:H263)=10,COUNT(F252:F263)=10),cubic_spline(F251:F261,H251:H261,B$6),IF(AND(COUNT(H252:H263)=11,COUNT(F252:F263)=11),cubic_spline(F251:F262,H251:H262,B$6),IF(AND(COUNT(H252:H263)=12,COUNT(F252:F263)=12),cubic_spline(F251:F263,H251:H263,B$6),""))))))))))))</f>
        <v/>
      </c>
      <c r="K256" s="52" t="str">
        <f>IF(N(B$6)=0,"",IF(AND(COUNT(A252:A263)=2,COUNT(F252:F263)=2),cubic_spline(F251:F253,A251:A253,B$6),IF(AND(COUNT(A252:A263)=3,COUNT(F252:F263)=3),cubic_spline(F251:F254,A251:A254,B$6),IF(AND(COUNT(A252:A263)=4,COUNT(F252:F263)=4),cubic_spline(F251:F255,A251:A255,B$6),IF(AND(COUNT(A252:A263)=5,COUNT(F252:F263)=5),cubic_spline(F251:F256,A251:A256,B$6),IF(AND(COUNT(A252:A263)=6,COUNT(F252:F263)=6),cubic_spline(F251:F257,A251:A257,B$6),IF(AND(COUNT(A252:A263)=7,COUNT(F252:F263)=7),cubic_spline(F251:F258,A251:A258,B$6),IF(AND(COUNT(A252:A263)=8,COUNT(F252:F263)=8),cubic_spline(F251:F259,A251:A259,B$6),IF(AND(COUNT(A252:A263)=9,COUNT(F252:F263)=9),cubic_spline(F251:F260,A251:A260,B$6),IF(AND(COUNT(A252:A263)=10,COUNT(F252:F263)=10),cubic_spline(F251:F261,A251:A261,B$6),IF(AND(COUNT(A252:A263)=11,COUNT(F252:F263)=11),cubic_spline(F251:F262,A251:A262,B$6),IF(AND(COUNT(A252:A263)=12,COUNT(F252:F263)=12),cubic_spline(F251:F263,A251:A263,B$6),""))))))))))))</f>
        <v/>
      </c>
      <c r="L256" s="27" t="str">
        <f>IF(I256="","",B$5&amp;"-"&amp;B$6)</f>
        <v/>
      </c>
      <c r="M256" s="52" t="str">
        <f>IF(N(J256)=0,"",J256-J255)</f>
        <v/>
      </c>
    </row>
    <row r="257" spans="1:13" x14ac:dyDescent="0.35">
      <c r="A257" s="48"/>
      <c r="B257" s="48"/>
      <c r="C257" s="50"/>
      <c r="D257" s="50"/>
      <c r="E257" s="51" t="str">
        <f t="shared" si="93"/>
        <v/>
      </c>
      <c r="F257" s="71" t="str">
        <f t="shared" si="91"/>
        <v/>
      </c>
      <c r="G257" s="69" t="str">
        <f t="shared" si="94"/>
        <v/>
      </c>
      <c r="H257" s="70" t="str">
        <f t="shared" si="92"/>
        <v/>
      </c>
      <c r="I257" s="27" t="str">
        <f>IF(N(J257)=0,"",0&amp;"-"&amp;B$7)</f>
        <v/>
      </c>
      <c r="J257" s="52" t="str">
        <f>IF(N(B$7)=0,"",IF(AND(COUNT(H252:H263)=2,COUNT(F252:F263)=2),cubic_spline(F251:F253,H251:H253,B$7),IF(AND(COUNT(H252:H263)=3,COUNT(F252:F263)=3),cubic_spline(F251:F254,H251:H254,B$7),IF(AND(COUNT(H252:H263)=4,COUNT(F252:F263)=4),cubic_spline(F251:F255,H251:H255,B$7),IF(AND(COUNT(H252:H263)=5,COUNT(F252:F263)=5),cubic_spline(F251:F256,H251:H256,B$7),IF(AND(COUNT(H252:H263)=6,COUNT(F252:F263)=6),cubic_spline(F251:F257,H251:H257,B$7),IF(AND(COUNT(H252:H263)=7,COUNT(F252:F263)=7),cubic_spline(F251:F258,H251:H258,B$7),IF(AND(COUNT(H252:H263)=8,COUNT(F252:F263)=8),cubic_spline(F251:F259,H251:H259,B$7),IF(AND(COUNT(H252:H263)=9,COUNT(F252:F263)=9),cubic_spline(F251:F260,H251:H260,B$7),IF(AND(COUNT(H252:H263)=10,COUNT(F252:F263)=10),cubic_spline(F251:F261,H251:H261,B$7),IF(AND(COUNT(H252:H263)=11,COUNT(F252:F263)=11),cubic_spline(F251:F262,H251:H262,B$7),IF(AND(COUNT(H252:H263)=12,COUNT(F252:F263)=12),cubic_spline(F251:F263,H251:H263,B$7),""))))))))))))</f>
        <v/>
      </c>
      <c r="K257" s="52" t="str">
        <f>IF(N(B$7)=0,"",IF(AND(COUNT(A252:A263)=2,COUNT(F252:F263)=2),cubic_spline(F251:F253,A251:A253,B$7),IF(AND(COUNT(A252:A263)=3,COUNT(F252:F263)=3),cubic_spline(F251:F254,A251:A254,B$7),IF(AND(COUNT(A252:A263)=4,COUNT(F252:F263)=4),cubic_spline(F251:F255,A251:A255,B$7),IF(AND(COUNT(A252:A263)=5,COUNT(F252:F263)=5),cubic_spline(F251:F256,A251:A256,B$7),IF(AND(COUNT(A252:A263)=6,COUNT(F252:F263)=6),cubic_spline(F251:F257,A251:A257,B$7),IF(AND(COUNT(A252:A263)=7,COUNT(F252:F263)=7),cubic_spline(F251:F258,A251:A258,B$7),IF(AND(COUNT(A252:A263)=8,COUNT(F252:F263)=8),cubic_spline(F251:F259,A251:A259,B$7),IF(AND(COUNT(A252:A263)=9,COUNT(F252:F263)=9),cubic_spline(F251:F260,A251:A260,B$7),IF(AND(COUNT(A252:A263)=10,COUNT(F252:F263)=10),cubic_spline(F251:F261,A251:A261,B$7),IF(AND(COUNT(A252:A263)=11,COUNT(F252:F263)=11),cubic_spline(F251:F262,A251:A262,B$7),IF(AND(COUNT(A252:A263)=12,COUNT(F252:F263)=12),cubic_spline(F251:F263,A251:A263,B$7),""))))))))))))</f>
        <v/>
      </c>
      <c r="L257" s="27" t="str">
        <f>IF(I257="","",B$6&amp;"-"&amp;B$7)</f>
        <v/>
      </c>
      <c r="M257" s="52" t="str">
        <f t="shared" ref="M257:M263" si="95">IF(N(J257)=0,"",J257-J256)</f>
        <v/>
      </c>
    </row>
    <row r="258" spans="1:13" x14ac:dyDescent="0.35">
      <c r="A258" s="48"/>
      <c r="B258" s="48"/>
      <c r="C258" s="50"/>
      <c r="D258" s="50"/>
      <c r="E258" s="51" t="str">
        <f t="shared" si="93"/>
        <v/>
      </c>
      <c r="F258" s="71" t="str">
        <f t="shared" si="91"/>
        <v/>
      </c>
      <c r="G258" s="69" t="str">
        <f t="shared" si="94"/>
        <v/>
      </c>
      <c r="H258" s="70" t="str">
        <f t="shared" si="92"/>
        <v/>
      </c>
      <c r="I258" s="27" t="str">
        <f>IF(N(J258)=0,"",0&amp;"-"&amp;B$8)</f>
        <v/>
      </c>
      <c r="J258" s="52" t="str">
        <f>IF(N(B$8)=0,"",IF(AND(COUNT(H252:H263)=2,COUNT(F252:F263)=2),cubic_spline(F251:F253,H251:H253,B$8),IF(AND(COUNT(H252:H263)=3,COUNT(F252:F263)=3),cubic_spline(F251:F254,H251:H254,B$8),IF(AND(COUNT(H252:H263)=4,COUNT(F252:F263)=4),cubic_spline(F251:F255,H251:H255,B$8),IF(AND(COUNT(H252:H263)=5,COUNT(F252:F263)=5),cubic_spline(F251:F256,H251:H256,B$8),IF(AND(COUNT(H252:H263)=6,COUNT(F252:F263)=6),cubic_spline(F251:F257,H251:H257,B$8),IF(AND(COUNT(H252:H263)=7,COUNT(F252:F263)=7),cubic_spline(F251:F258,H251:H258,B$8),IF(AND(COUNT(H252:H263)=8,COUNT(F252:F263)=8),cubic_spline(F251:F259,H251:H259,B$8),IF(AND(COUNT(H252:H263)=9,COUNT(F252:F263)=9),cubic_spline(F251:F260,H251:H260,B$8),IF(AND(COUNT(H252:H263)=10,COUNT(F252:F263)=10),cubic_spline(F251:F261,H251:H261,B$8),IF(AND(COUNT(H252:H263)=11,COUNT(F252:F263)=11),cubic_spline(F251:F262,H251:H262,B$8),IF(AND(COUNT(H252:H263)=12,COUNT(F252:F263)=12),cubic_spline(F251:F263,H251:H263,B$8),""))))))))))))</f>
        <v/>
      </c>
      <c r="K258" s="52" t="str">
        <f>IF(N(B$8)=0,"",IF(AND(COUNT(A252:A263)=2,COUNT(F252:F263)=2),cubic_spline(F251:F253,A251:A253,B$8),IF(AND(COUNT(A252:A263)=3,COUNT(F252:F263)=3),cubic_spline(F251:F254,A251:A254,B$8),IF(AND(COUNT(A252:A263)=4,COUNT(F252:F263)=4),cubic_spline(F251:F255,A251:A255,B$8),IF(AND(COUNT(A252:A263)=5,COUNT(F252:F263)=5),cubic_spline(F251:F256,A251:A256,B$8),IF(AND(COUNT(A252:A263)=6,COUNT(F252:F263)=6),cubic_spline(F251:F257,A251:A257,B$8),IF(AND(COUNT(A252:A263)=7,COUNT(F252:F263)=7),cubic_spline(F251:F258,A251:A258,B$8),IF(AND(COUNT(A252:A263)=8,COUNT(F252:F263)=8),cubic_spline(F251:F259,A251:A259,B$8),IF(AND(COUNT(A252:A263)=9,COUNT(F252:F263)=9),cubic_spline(F251:F260,A251:A260,B$8),IF(AND(COUNT(A252:A263)=10,COUNT(F252:F263)=10),cubic_spline(F251:F261,A251:A261,B$8),IF(AND(COUNT(A252:A263)=11,COUNT(F252:F263)=11),cubic_spline(F251:F262,A251:A262,B$8),IF(AND(COUNT(A252:A263)=12,COUNT(F252:F263)=12),cubic_spline(F251:F263,A251:A263,B$8),""))))))))))))</f>
        <v/>
      </c>
      <c r="L258" s="27" t="str">
        <f>IF(I258="","",B$7&amp;"-"&amp;B$8)</f>
        <v/>
      </c>
      <c r="M258" s="52" t="str">
        <f t="shared" si="95"/>
        <v/>
      </c>
    </row>
    <row r="259" spans="1:13" x14ac:dyDescent="0.35">
      <c r="A259" s="48"/>
      <c r="B259" s="48"/>
      <c r="C259" s="50"/>
      <c r="D259" s="50"/>
      <c r="E259" s="51" t="str">
        <f t="shared" si="93"/>
        <v/>
      </c>
      <c r="F259" s="71" t="str">
        <f t="shared" si="91"/>
        <v/>
      </c>
      <c r="G259" s="69" t="str">
        <f t="shared" si="94"/>
        <v/>
      </c>
      <c r="H259" s="70" t="str">
        <f t="shared" si="92"/>
        <v/>
      </c>
      <c r="I259" s="27" t="str">
        <f>IF(N(J259)=0,"",0&amp;"-"&amp;B$9)</f>
        <v/>
      </c>
      <c r="J259" s="52" t="str">
        <f>IF(N(B$9)=0,"",IF(AND(COUNT(H252:H263)=2,COUNT(F252:F263)=2),cubic_spline(F251:F253,H251:H253,B$9),IF(AND(COUNT(H252:H263)=3,COUNT(F252:F263)=3),cubic_spline(F251:F254,H251:H254,B$9),IF(AND(COUNT(H252:H263)=4,COUNT(F252:F263)=4),cubic_spline(F251:F255,H251:H255,B$9),IF(AND(COUNT(H252:H263)=5,COUNT(F252:F263)=5),cubic_spline(F251:F256,H251:H256,B$9),IF(AND(COUNT(H252:H263)=6,COUNT(F252:F263)=6),cubic_spline(F251:F257,H251:H257,B$9),IF(AND(COUNT(H252:H263)=7,COUNT(F252:F263)=7),cubic_spline(F251:F258,H251:H258,B$9),IF(AND(COUNT(H252:H263)=8,COUNT(F252:F263)=8),cubic_spline(F251:F259,H251:H259,B$9),IF(AND(COUNT(H252:H263)=9,COUNT(F252:F263)=9),cubic_spline(F251:F260,H251:H260,B$9),IF(AND(COUNT(H252:H263)=10,COUNT(F252:F263)=10),cubic_spline(F251:F261,H251:H261,B$9),IF(AND(COUNT(H252:H263)=11,COUNT(F252:F263)=11),cubic_spline(F251:F262,H251:H262,B$9),IF(AND(COUNT(H252:H263)=12,COUNT(F252:F263)=12),cubic_spline(F251:F263,H251:H263,B$9),""))))))))))))</f>
        <v/>
      </c>
      <c r="K259" s="52" t="str">
        <f>IF(N(B$9)=0,"",IF(AND(COUNT(A252:A263)=2,COUNT(F252:F263)=2),cubic_spline(F251:F253,A251:A253,B$9),IF(AND(COUNT(A252:A263)=3,COUNT(F252:F263)=3),cubic_spline(F251:F254,A251:A254,B$9),IF(AND(COUNT(A252:A263)=4,COUNT(F252:F263)=4),cubic_spline(F251:F255,A251:A255,B$9),IF(AND(COUNT(A252:A263)=5,COUNT(F252:F263)=5),cubic_spline(F251:F256,A251:A256,B$9),IF(AND(COUNT(A252:A263)=6,COUNT(F252:F263)=6),cubic_spline(F251:F257,A251:A257,B$9),IF(AND(COUNT(A252:A263)=7,COUNT(F252:F263)=7),cubic_spline(F251:F258,A251:A258,B$9),IF(AND(COUNT(A252:A263)=8,COUNT(F252:F263)=8),cubic_spline(F251:F259,A251:A259,B$9),IF(AND(COUNT(A252:A263)=9,COUNT(F252:F263)=9),cubic_spline(F251:F260,A251:A260,B$9),IF(AND(COUNT(A252:A263)=10,COUNT(F252:F263)=10),cubic_spline(F251:F261,A251:A261,B$9),IF(AND(COUNT(A252:A263)=11,COUNT(F252:F263)=11),cubic_spline(F251:F262,A251:A262,B$9),IF(AND(COUNT(A252:A263)=12,COUNT(F252:F263)=12),cubic_spline(F251:F263,A251:A263,B$9),""))))))))))))</f>
        <v/>
      </c>
      <c r="L259" s="27" t="str">
        <f>IF(I259="","",B$8&amp;"-"&amp;B$9)</f>
        <v/>
      </c>
      <c r="M259" s="52" t="str">
        <f t="shared" si="95"/>
        <v/>
      </c>
    </row>
    <row r="260" spans="1:13" x14ac:dyDescent="0.35">
      <c r="A260" s="48"/>
      <c r="B260" s="48"/>
      <c r="C260" s="50"/>
      <c r="D260" s="50"/>
      <c r="E260" s="51" t="str">
        <f t="shared" si="93"/>
        <v/>
      </c>
      <c r="F260" s="71" t="str">
        <f t="shared" si="91"/>
        <v/>
      </c>
      <c r="G260" s="69" t="str">
        <f t="shared" si="94"/>
        <v/>
      </c>
      <c r="H260" s="70" t="str">
        <f t="shared" si="92"/>
        <v/>
      </c>
      <c r="I260" s="27" t="str">
        <f>IF(N(J260)=0,"",0&amp;"-"&amp;B$10)</f>
        <v/>
      </c>
      <c r="J260" s="52" t="str">
        <f>IF(N(B$10)=0,"",IF(AND(COUNT(H252:H263)=2,COUNT(F252:F263)=2),cubic_spline(F251:F253,H251:H253,B$10),IF(AND(COUNT(H252:H263)=3,COUNT(F252:F263)=3),cubic_spline(F251:F254,H251:H254,B$10),IF(AND(COUNT(H252:H263)=4,COUNT(F252:F263)=4),cubic_spline(F251:F255,H251:H255,B$10),IF(AND(COUNT(H252:H263)=5,COUNT(F252:F263)=5),cubic_spline(F251:F256,H251:H256,B$10),IF(AND(COUNT(H252:H263)=6,COUNT(F252:F263)=6),cubic_spline(F251:F257,H251:H257,B$10),IF(AND(COUNT(H252:H263)=7,COUNT(F252:F263)=7),cubic_spline(F251:F258,H251:H258,B$10),IF(AND(COUNT(H252:H263)=8,COUNT(F252:F263)=8),cubic_spline(F251:F259,H251:H259,B$10),IF(AND(COUNT(H252:H263)=9,COUNT(F252:F263)=9),cubic_spline(F251:F260,H251:H260,B$10),IF(AND(COUNT(H252:H263)=10,COUNT(F252:F263)=10),cubic_spline(F251:F261,H251:H261,B$10),IF(AND(COUNT(H252:H263)=11,COUNT(F252:F263)=11),cubic_spline(F251:F262,H251:H262,B$10),IF(AND(COUNT(H252:H263)=12,COUNT(F252:F263)=12),cubic_spline(F251:F263,H251:H263,B$10),""))))))))))))</f>
        <v/>
      </c>
      <c r="K260" s="52" t="str">
        <f>IF(N(B$10)=0,"",IF(AND(COUNT(A252:A263)=2,COUNT(F252:F263)=2),cubic_spline(F251:F253,A251:A253,B$10),IF(AND(COUNT(A252:A263)=3,COUNT(F252:F263)=3),cubic_spline(F251:F254,A251:A254,B$10),IF(AND(COUNT(A252:A263)=4,COUNT(F252:F263)=4),cubic_spline(F251:F255,A251:A255,B$10),IF(AND(COUNT(A252:A263)=5,COUNT(F252:F263)=5),cubic_spline(F251:F256,A251:A256,B$10),IF(AND(COUNT(A252:A263)=6,COUNT(F252:F263)=6),cubic_spline(F251:F257,A251:A257,B$10),IF(AND(COUNT(A252:A263)=7,COUNT(F252:F263)=7),cubic_spline(F251:F258,A251:A258,B$10),IF(AND(COUNT(A252:A263)=8,COUNT(F252:F263)=8),cubic_spline(F251:F259,A251:A259,B$10),IF(AND(COUNT(A252:A263)=9,COUNT(F252:F263)=9),cubic_spline(F251:F260,A251:A260,B$10),IF(AND(COUNT(A252:A263)=10,COUNT(F252:F263)=10),cubic_spline(F251:F261,A251:A261,B$10),IF(AND(COUNT(A252:A263)=11,COUNT(F252:F263)=11),cubic_spline(F251:F262,A251:A262,B$10),IF(AND(COUNT(A252:A263)=12,COUNT(F252:F263)=12),cubic_spline(F251:F263,A251:A263,B$10),""))))))))))))</f>
        <v/>
      </c>
      <c r="L260" s="27" t="str">
        <f>IF(I260="","",B$9&amp;"-"&amp;B$10)</f>
        <v/>
      </c>
      <c r="M260" s="52" t="str">
        <f t="shared" si="95"/>
        <v/>
      </c>
    </row>
    <row r="261" spans="1:13" x14ac:dyDescent="0.35">
      <c r="A261" s="48"/>
      <c r="B261" s="48"/>
      <c r="C261" s="50"/>
      <c r="D261" s="50"/>
      <c r="E261" s="51" t="str">
        <f t="shared" si="93"/>
        <v/>
      </c>
      <c r="F261" s="71" t="str">
        <f t="shared" si="91"/>
        <v/>
      </c>
      <c r="G261" s="69" t="str">
        <f t="shared" si="94"/>
        <v/>
      </c>
      <c r="H261" s="70" t="str">
        <f t="shared" si="92"/>
        <v/>
      </c>
      <c r="I261" s="27" t="str">
        <f>IF(N(J261)=0,"",0&amp;"-"&amp;B$11)</f>
        <v/>
      </c>
      <c r="J261" s="52" t="str">
        <f>IF(N(B$11)=0,"",IF(AND(COUNT(H252:H263)=2,COUNT(F252:F263)=2),cubic_spline(F251:F253,H251:H253,B$11),IF(AND(COUNT(H252:H263)=3,COUNT(F252:F263)=3),cubic_spline(F251:F254,H251:H254,B$11),IF(AND(COUNT(H252:H263)=4,COUNT(F252:F263)=4),cubic_spline(F251:F255,H251:H255,B$11),IF(AND(COUNT(H252:H263)=5,COUNT(F252:F263)=5),cubic_spline(F251:F256,H251:H256,B$11),IF(AND(COUNT(H252:H263)=6,COUNT(F252:F263)=6),cubic_spline(F251:F257,H251:H257,B$11),IF(AND(COUNT(H252:H263)=7,COUNT(F252:F263)=7),cubic_spline(F251:F258,H251:H258,B$11),IF(AND(COUNT(H252:H263)=8,COUNT(F252:F263)=8),cubic_spline(F251:F259,H251:H259,B$11),IF(AND(COUNT(H252:H263)=9,COUNT(F252:F263)=9),cubic_spline(F251:F260,H251:H260,B$11),IF(AND(COUNT(H252:H263)=10,COUNT(F252:F263)=10),cubic_spline(F251:F261,H251:H261,B$11),IF(AND(COUNT(H252:H263)=11,COUNT(F252:F263)=11),cubic_spline(F251:F262,H251:H262,B$11),IF(AND(COUNT(H252:H263)=12,COUNT(F252:F263)=12),cubic_spline(F251:F263,H251:H263,B$11),""))))))))))))</f>
        <v/>
      </c>
      <c r="K261" s="52" t="str">
        <f>IF(N(B$11)=0,"",IF(AND(COUNT(A252:A263)=2,COUNT(F252:F263)=2),cubic_spline(F251:F253,A251:A253,B$11),IF(AND(COUNT(A252:A263)=3,COUNT(F252:F263)=3),cubic_spline(F251:F254,A251:A254,B$11),IF(AND(COUNT(A252:A263)=4,COUNT(F252:F263)=4),cubic_spline(F251:F255,A251:A255,B$11),IF(AND(COUNT(A252:A263)=5,COUNT(F252:F263)=5),cubic_spline(F251:F256,A251:A256,B$11),IF(AND(COUNT(A252:A263)=6,COUNT(F252:F263)=6),cubic_spline(F251:F257,A251:A257,B$11),IF(AND(COUNT(A252:A263)=7,COUNT(F252:F263)=7),cubic_spline(F251:F258,A251:A258,B$11),IF(AND(COUNT(A252:A263)=8,COUNT(F252:F263)=8),cubic_spline(F251:F259,A251:A259,B$11),IF(AND(COUNT(A252:A263)=9,COUNT(F252:F263)=9),cubic_spline(F251:F260,A251:A260,B$11),IF(AND(COUNT(A252:A263)=10,COUNT(F252:F263)=10),cubic_spline(F251:F261,A251:A261,B$11),IF(AND(COUNT(A252:A263)=11,COUNT(F252:F263)=11),cubic_spline(F251:F262,A251:A262,B$11),IF(AND(COUNT(A252:A263)=12,COUNT(F252:F263)=12),cubic_spline(F251:F263,A251:A263,B$11),""))))))))))))</f>
        <v/>
      </c>
      <c r="L261" s="27" t="str">
        <f>IF(I261="","",B$10&amp;"-"&amp;B$11)</f>
        <v/>
      </c>
      <c r="M261" s="52" t="str">
        <f t="shared" si="95"/>
        <v/>
      </c>
    </row>
    <row r="262" spans="1:13" x14ac:dyDescent="0.35">
      <c r="A262" s="48"/>
      <c r="B262" s="48"/>
      <c r="C262" s="50"/>
      <c r="D262" s="50"/>
      <c r="E262" s="51" t="str">
        <f t="shared" si="93"/>
        <v/>
      </c>
      <c r="F262" s="71" t="str">
        <f t="shared" si="91"/>
        <v/>
      </c>
      <c r="G262" s="69" t="str">
        <f t="shared" si="94"/>
        <v/>
      </c>
      <c r="H262" s="70" t="str">
        <f t="shared" si="92"/>
        <v/>
      </c>
      <c r="I262" s="27" t="str">
        <f>IF(N(J262)=0,"",0&amp;"-"&amp;B$12)</f>
        <v/>
      </c>
      <c r="J262" s="52" t="str">
        <f>IF(N(B$12)=0,"",IF(AND(COUNT(H252:H263)=2,COUNT(F252:F263)=2),cubic_spline(F251:F253,H251:H253,B$12),IF(AND(COUNT(H252:H263)=3,COUNT(F252:F263)=3),cubic_spline(F251:F254,H251:H254,B$12),IF(AND(COUNT(H252:H263)=4,COUNT(F252:F263)=4),cubic_spline(F251:F255,H251:H255,B$12),IF(AND(COUNT(H252:H263)=5,COUNT(F252:F263)=5),cubic_spline(F251:F256,H251:H256,B$12),IF(AND(COUNT(H252:H263)=6,COUNT(F252:F263)=6),cubic_spline(F251:F257,H251:H257,B$12),IF(AND(COUNT(H252:H263)=7,COUNT(F252:F263)=7),cubic_spline(F251:F258,H251:H258,B$12),IF(AND(COUNT(H252:H263)=8,COUNT(F252:F263)=8),cubic_spline(F251:F259,H251:H259,B$12),IF(AND(COUNT(H252:H263)=9,COUNT(F252:F263)=9),cubic_spline(F251:F260,H251:H260,B$12),IF(AND(COUNT(H252:H263)=10,COUNT(F252:F263)=10),cubic_spline(F251:F261,H251:H261,B$12),IF(AND(COUNT(H252:H263)=11,COUNT(F252:F263)=11),cubic_spline(F251:F262,H251:H262,B$12),IF(AND(COUNT(H252:H263)=12,COUNT(F252:F263)=12),cubic_spline(F251:F263,H251:H263,B$12),""))))))))))))</f>
        <v/>
      </c>
      <c r="K262" s="52" t="str">
        <f>IF(N(B$12)=0,"",IF(AND(COUNT(A252:A263)=2,COUNT(F252:F263)=2),cubic_spline(F251:F253,A251:A253,B$12),IF(AND(COUNT(A252:A263)=3,COUNT(F252:F263)=3),cubic_spline(F251:F254,A251:A254,B$12),IF(AND(COUNT(A252:A263)=4,COUNT(F252:F263)=4),cubic_spline(F251:F255,A251:A255,B$12),IF(AND(COUNT(A252:A263)=5,COUNT(F252:F263)=5),cubic_spline(F251:F256,A251:A256,B$12),IF(AND(COUNT(A252:A263)=6,COUNT(F252:F263)=6),cubic_spline(F251:F257,A251:A257,B$12),IF(AND(COUNT(A252:A263)=7,COUNT(F252:F263)=7),cubic_spline(F251:F258,A251:A258,B$12),IF(AND(COUNT(A252:A263)=8,COUNT(F252:F263)=8),cubic_spline(F251:F259,A251:A259,B$12),IF(AND(COUNT(A252:A263)=9,COUNT(F252:F263)=9),cubic_spline(F251:F260,A251:A260,B$12),IF(AND(COUNT(A252:A263)=10,COUNT(F252:F263)=10),cubic_spline(F251:F261,A251:A261,B$12),IF(AND(COUNT(A252:A263)=11,COUNT(F252:F263)=11),cubic_spline(F251:F262,A251:A262,B$12),IF(AND(COUNT(A252:A263)=12,COUNT(F252:F263)=12),cubic_spline(F251:F263,A251:A263,B$12),""))))))))))))</f>
        <v/>
      </c>
      <c r="L262" s="27" t="str">
        <f>IF(I262="","",B$11&amp;"-"&amp;B$12)</f>
        <v/>
      </c>
      <c r="M262" s="52" t="str">
        <f t="shared" si="95"/>
        <v/>
      </c>
    </row>
    <row r="263" spans="1:13" x14ac:dyDescent="0.35">
      <c r="A263" s="48"/>
      <c r="B263" s="48"/>
      <c r="C263" s="50"/>
      <c r="D263" s="50"/>
      <c r="E263" s="51" t="str">
        <f t="shared" si="93"/>
        <v/>
      </c>
      <c r="F263" s="71" t="str">
        <f t="shared" si="91"/>
        <v/>
      </c>
      <c r="G263" s="69" t="str">
        <f t="shared" si="94"/>
        <v/>
      </c>
      <c r="H263" s="70" t="str">
        <f t="shared" si="92"/>
        <v/>
      </c>
      <c r="I263" s="27" t="str">
        <f>IF(N(J263)=0,"",0&amp;"-"&amp;B$13)</f>
        <v/>
      </c>
      <c r="J263" s="52" t="str">
        <f>IF(N(B$13)=0,"",IF(AND(COUNT(H252:H263)=2,COUNT(F252:F263)=2),cubic_spline(F251:F253,H251:H253,B$13),IF(AND(COUNT(H252:H263)=3,COUNT(F252:F263)=3),cubic_spline(F251:F254,H251:H254,B$13),IF(AND(COUNT(H252:H263)=4,COUNT(F252:F263)=4),cubic_spline(F251:F255,H251:H255,B$13),IF(AND(COUNT(H252:H263)=5,COUNT(F252:F263)=5),cubic_spline(F251:F256,H251:H256,B$13),IF(AND(COUNT(H252:H263)=6,COUNT(F252:F263)=6),cubic_spline(F251:F257,H251:H257,B$13),IF(AND(COUNT(H252:H263)=7,COUNT(F252:F263)=7),cubic_spline(F251:F258,H251:H258,B$13),IF(AND(COUNT(H252:H263)=8,COUNT(F252:F263)=8),cubic_spline(F251:F259,H251:H259,B$13),IF(AND(COUNT(H252:H263)=9,COUNT(F252:F263)=9),cubic_spline(F251:F260,H251:H260,B$13),IF(AND(COUNT(H252:H263)=10,COUNT(F252:F263)=10),cubic_spline(F251:F261,H251:H261,B$13),IF(AND(COUNT(H252:H263)=11,COUNT(F252:F263)=11),cubic_spline(F251:F262,H251:H262,B$13),IF(AND(COUNT(H252:H263)=12,COUNT(F252:F263)=12),cubic_spline(F251:F263,H251:H263,B$13),""))))))))))))</f>
        <v/>
      </c>
      <c r="K263" s="52" t="str">
        <f>IF(N(B$13)=0,"",IF(AND(COUNT(A252:A263)=2,COUNT(F252:F263)=2),cubic_spline(F251:F253,A251:A253,B$13),IF(AND(COUNT(A252:A263)=3,COUNT(F252:F263)=3),cubic_spline(F251:F254,A251:A254,B$13),IF(AND(COUNT(A252:A263)=4,COUNT(F252:F263)=4),cubic_spline(F251:F255,A251:A255,B$13),IF(AND(COUNT(A252:A263)=5,COUNT(F252:F263)=5),cubic_spline(F251:F256,A251:A256,B$13),IF(AND(COUNT(A252:A263)=6,COUNT(F252:F263)=6),cubic_spline(F251:F257,A251:A257,B$13),IF(AND(COUNT(A252:A263)=7,COUNT(F252:F263)=7),cubic_spline(F251:F258,A251:A258,B$13),IF(AND(COUNT(A252:A263)=8,COUNT(F252:F263)=8),cubic_spline(F251:F259,A251:A259,B$13),IF(AND(COUNT(A252:A263)=9,COUNT(F252:F263)=9),cubic_spline(F251:F260,A251:A260,B$13),IF(AND(COUNT(A252:A263)=10,COUNT(F252:F263)=10),cubic_spline(F251:F261,A251:A261,B$13),IF(AND(COUNT(A252:A263)=11,COUNT(F252:F263)=11),cubic_spline(F251:F262,A251:A262,B$13),IF(AND(COUNT(A252:A263)=12,COUNT(F252:F263)=12),cubic_spline(F251:F263,A251:A263,B$13),""))))))))))))</f>
        <v/>
      </c>
      <c r="L263" s="27" t="str">
        <f>IF(I263="","",B$12&amp;"-"&amp;B$13)</f>
        <v/>
      </c>
      <c r="M263" s="52" t="str">
        <f t="shared" si="95"/>
        <v/>
      </c>
    </row>
    <row r="264" spans="1:13" ht="5.15" customHeight="1" x14ac:dyDescent="0.35">
      <c r="A264" s="47"/>
      <c r="B264" s="47"/>
      <c r="C264" s="53"/>
      <c r="D264" s="53"/>
      <c r="E264" s="54"/>
      <c r="F264" s="55"/>
      <c r="G264" s="72"/>
      <c r="H264" s="73"/>
      <c r="I264" s="47"/>
      <c r="J264" s="57"/>
      <c r="K264" s="57"/>
      <c r="L264" s="55"/>
      <c r="M264" s="57"/>
    </row>
    <row r="265" spans="1:13" x14ac:dyDescent="0.35">
      <c r="A265" s="48"/>
      <c r="B265" s="48"/>
      <c r="C265" s="50"/>
      <c r="D265" s="50"/>
      <c r="E265" s="51" t="str">
        <f>IF(N(C265)=0,"",(A265-A264)*C265*100)</f>
        <v/>
      </c>
      <c r="F265" s="68" t="str">
        <f t="shared" ref="F265:F276" si="96">IF(N(E265)=0,"",(N(E265)+N(F264)))</f>
        <v/>
      </c>
      <c r="G265" s="69" t="str">
        <f>IF(OR(N(D265)=0,N(E265)=0),"",(E265*D265)/1000)</f>
        <v/>
      </c>
      <c r="H265" s="70" t="str">
        <f t="shared" ref="H265:H276" si="97">IF(N(G265)=0,"",(N(G265)+N(H264)))</f>
        <v/>
      </c>
      <c r="I265" s="27" t="str">
        <f>IF(N(J265)=0,"",0&amp;"-"&amp;B$2)</f>
        <v/>
      </c>
      <c r="J265" s="52" t="str">
        <f>IF(N(B$2)=0,"",IF(AND(COUNT(H265:H276)=2,COUNT(F265:F276)=2),cubic_spline(F264:F266,H264:H266,B$2),IF(AND(COUNT(H265:H276)=3,COUNT(F265:F276)=3),cubic_spline(F264:F267,H264:H267,B$2),IF(AND(COUNT(H265:H276)=4,COUNT(F265:F276)=4),cubic_spline(F264:F268,H264:H268,B$2),IF(AND(COUNT(H265:H276)=5,COUNT(F265:F276)=5),cubic_spline(F264:F269,H264:H269,B$2),IF(AND(COUNT(H265:H276)=6,COUNT(F265:F276)=6),cubic_spline(F264:F270,H264:H270,B$2),IF(AND(COUNT(H265:H276)=7,COUNT(F265:F276)=7),cubic_spline(F264:F271,H264:H271,B$2),IF(AND(COUNT(H265:H276)=8,COUNT(F265:F276)=8),cubic_spline(F264:F272,H264:H272,B$2),IF(AND(COUNT(H265:H276)=9,COUNT(F265:F276)=9),cubic_spline(F264:F273,H264:H273,B$2),IF(AND(COUNT(H265:H276)=10,COUNT(F265:F276)=10),cubic_spline(F264:F274,H264:H274,B$2),IF(AND(COUNT(H265:H276)=11,COUNT(F265:F276)=11),cubic_spline(F264:F275,H264:H275,B$2),IF(AND(COUNT(H265:H276)=12,COUNT(F265:F276)=12),cubic_spline(F264:F276,H264:H276,B$2),""))))))))))))</f>
        <v/>
      </c>
      <c r="K265" s="52" t="str">
        <f>IF(N(B$2)=0,"",IF(AND(COUNT(A265:A276)=2,COUNT(F265:F276)=2),cubic_spline(F264:F266,A264:A266,B$2),IF(AND(COUNT(A265:A276)=3,COUNT(F265:F276)=3),cubic_spline(F264:F267,A264:A267,B$2),IF(AND(COUNT(A265:A276)=4,COUNT(F265:F276)=4),cubic_spline(F264:F268,A264:A268,B$2),IF(AND(COUNT(A265:A276)=5,COUNT(F265:F276)=5),cubic_spline(F264:F269,A264:A269,B$2),IF(AND(COUNT(A265:A276)=6,COUNT(F265:F276)=6),cubic_spline(F264:F270,A264:A270,B$2),IF(AND(COUNT(A265:A276)=7,COUNT(F265:F276)=7),cubic_spline(F264:F271,A264:A271,B$2),IF(AND(COUNT(A265:A276)=8,COUNT(F265:F276)=8),cubic_spline(F264:F272,A264:A272,B$2),IF(AND(COUNT(A265:A276)=9,COUNT(F265:F276)=9),cubic_spline(F264:F273,A264:A273,B$2),IF(AND(COUNT(A265:A276)=10,COUNT(F265:F276)=10),cubic_spline(F264:F274,A264:A274,B$2),IF(AND(COUNT(A265:A276)=11,COUNT(F265:F276)=11),cubic_spline(F264:F275,A264:A275,B$2),IF(AND(COUNT(A265:A276)=12,COUNT(F265:F276)=12),cubic_spline(F264:F276,A264:A276,B$2),""))))))))))))</f>
        <v/>
      </c>
      <c r="L265" s="27" t="str">
        <f>IF(I265="","",0&amp;"-"&amp;B$2)</f>
        <v/>
      </c>
      <c r="M265" s="52" t="str">
        <f>IF(N(J265)=0,"",J265-J264)</f>
        <v/>
      </c>
    </row>
    <row r="266" spans="1:13" x14ac:dyDescent="0.35">
      <c r="A266" s="48"/>
      <c r="B266" s="48"/>
      <c r="C266" s="50"/>
      <c r="D266" s="50"/>
      <c r="E266" s="51" t="str">
        <f t="shared" ref="E266:E276" si="98">IF(N(C266)=0,"",(A266-A265)*C266*100)</f>
        <v/>
      </c>
      <c r="F266" s="68" t="str">
        <f t="shared" si="96"/>
        <v/>
      </c>
      <c r="G266" s="69" t="str">
        <f t="shared" ref="G266:G276" si="99">IF(OR(N(D266)=0,N(E266)=0),"",(E266*D266)/1000)</f>
        <v/>
      </c>
      <c r="H266" s="70" t="str">
        <f t="shared" si="97"/>
        <v/>
      </c>
      <c r="I266" s="27" t="str">
        <f>IF(N(J266)=0,"",0&amp;"-"&amp;B$3)</f>
        <v/>
      </c>
      <c r="J266" s="52" t="str">
        <f>IF(N(B$3)=0,"",IF(AND(COUNT(H265:H276)=2,COUNT(F265:F276)=2),cubic_spline(F264:F266,H264:H266,B$3),IF(AND(COUNT(H265:H276)=3,COUNT(F265:F276)=3),cubic_spline(F264:F267,H264:H267,B$3),IF(AND(COUNT(H265:H276)=4,COUNT(F265:F276)=4),cubic_spline(F264:F268,H264:H268,B$3),IF(AND(COUNT(H265:H276)=5,COUNT(F265:F276)=5),cubic_spline(F264:F269,H264:H269,B$3),IF(AND(COUNT(H265:H276)=6,COUNT(F265:F276)=6),cubic_spline(F264:F270,H264:H270,B$3),IF(AND(COUNT(H265:H276)=7,COUNT(F265:F276)=7),cubic_spline(F264:F271,H264:H271,B$3),IF(AND(COUNT(H265:H276)=8,COUNT(F265:F276)=8),cubic_spline(F264:F272,H264:H272,B$3),IF(AND(COUNT(H265:H276)=9,COUNT(F265:F276)=9),cubic_spline(F264:F273,H264:H273,B$3),IF(AND(COUNT(H265:H276)=10,COUNT(F265:F276)=10),cubic_spline(F264:F274,H264:H274,B$3),IF(AND(COUNT(H265:H276)=11,COUNT(F265:F276)=11),cubic_spline(F264:F275,H264:H275,B$3),IF(AND(COUNT(H265:H276)=12,COUNT(F265:F276)=12),cubic_spline(F264:F276,H264:H276,B$3),""))))))))))))</f>
        <v/>
      </c>
      <c r="K266" s="52" t="str">
        <f>IF(N(B$3)=0,"",IF(AND(COUNT(A265:A276)=2,COUNT(F265:F276)=2),cubic_spline(F264:F266,A264:A266,B$3),IF(AND(COUNT(A265:A276)=3,COUNT(F265:F276)=3),cubic_spline(F264:F267,A264:A267,B$3),IF(AND(COUNT(A265:A276)=4,COUNT(F265:F276)=4),cubic_spline(F264:F268,A264:A268,B$3),IF(AND(COUNT(A265:A276)=5,COUNT(F265:F276)=5),cubic_spline(F264:F269,A264:A269,B$3),IF(AND(COUNT(A265:A276)=6,COUNT(F265:F276)=6),cubic_spline(F264:F270,A264:A270,B$3),IF(AND(COUNT(A265:A276)=7,COUNT(F265:F276)=7),cubic_spline(F264:F271,A264:A271,B$3),IF(AND(COUNT(A265:A276)=8,COUNT(F265:F276)=8),cubic_spline(F264:F272,A264:A272,B$3),IF(AND(COUNT(A265:A276)=9,COUNT(F265:F276)=9),cubic_spline(F264:F273,A264:A273,B$3),IF(AND(COUNT(A265:A276)=10,COUNT(F265:F276)=10),cubic_spline(F264:F274,A264:A274,B$3),IF(AND(COUNT(A265:A276)=11,COUNT(F265:F276)=11),cubic_spline(F264:F275,A264:A275,B$3),IF(AND(COUNT(A265:A276)=12,COUNT(F265:F276)=12),cubic_spline(F264:F276,A264:A276,B$3),""))))))))))))</f>
        <v/>
      </c>
      <c r="L266" s="27" t="str">
        <f>IF(I266="","",B$2&amp;"-"&amp;B$3)</f>
        <v/>
      </c>
      <c r="M266" s="52" t="str">
        <f>IF(N(J266)=0,"",J266-J265)</f>
        <v/>
      </c>
    </row>
    <row r="267" spans="1:13" x14ac:dyDescent="0.35">
      <c r="A267" s="48"/>
      <c r="B267" s="48"/>
      <c r="C267" s="50"/>
      <c r="D267" s="50"/>
      <c r="E267" s="51" t="str">
        <f t="shared" si="98"/>
        <v/>
      </c>
      <c r="F267" s="68" t="str">
        <f t="shared" si="96"/>
        <v/>
      </c>
      <c r="G267" s="69" t="str">
        <f t="shared" si="99"/>
        <v/>
      </c>
      <c r="H267" s="70" t="str">
        <f t="shared" si="97"/>
        <v/>
      </c>
      <c r="I267" s="27" t="str">
        <f>IF(N(J267)=0,"",0&amp;"-"&amp;B$4)</f>
        <v/>
      </c>
      <c r="J267" s="52" t="str">
        <f>IF(N(B$4)=0,"",IF(AND(COUNT(H265:H276)=2,COUNT(F265:F276)=2),cubic_spline(F264:F266,H264:H266,B$4),IF(AND(COUNT(H265:H276)=3,COUNT(F265:F276)=3),cubic_spline(F264:F267,H264:H267,B$4),IF(AND(COUNT(H265:H276)=4,COUNT(F265:F276)=4),cubic_spline(F264:F268,H264:H268,B$4),IF(AND(COUNT(H265:H276)=5,COUNT(F265:F276)=5),cubic_spline(F264:F269,H264:H269,B$4),IF(AND(COUNT(H265:H276)=6,COUNT(F265:F276)=6),cubic_spline(F264:F270,H264:H270,B$4),IF(AND(COUNT(H265:H276)=7,COUNT(F265:F276)=7),cubic_spline(F264:F271,H264:H271,B$4),IF(AND(COUNT(H265:H276)=8,COUNT(F265:F276)=8),cubic_spline(F264:F272,H264:H272,B$4),IF(AND(COUNT(H265:H276)=9,COUNT(F265:F276)=9),cubic_spline(F264:F273,H264:H273,B$4),IF(AND(COUNT(H265:H276)=10,COUNT(F265:F276)=10),cubic_spline(F264:F274,H264:H274,B$4),IF(AND(COUNT(H265:H276)=11,COUNT(F265:F276)=11),cubic_spline(F264:F275,H264:H275,B$4),IF(AND(COUNT(H265:H276)=12,COUNT(F265:F276)=12),cubic_spline(F264:F276,H264:H276,B$4),""))))))))))))</f>
        <v/>
      </c>
      <c r="K267" s="52" t="str">
        <f>IF(N(B$4)=0,"",IF(AND(COUNT(A265:A276)=2,COUNT(F265:F276)=2),cubic_spline(F264:F266,A264:A266,B$4),IF(AND(COUNT(A265:A276)=3,COUNT(F265:F276)=3),cubic_spline(F264:F267,A264:A267,B$4),IF(AND(COUNT(A265:A276)=4,COUNT(F265:F276)=4),cubic_spline(F264:F268,A264:A268,B$4),IF(AND(COUNT(A265:A276)=5,COUNT(F265:F276)=5),cubic_spline(F264:F269,A264:A269,B$4),IF(AND(COUNT(A265:A276)=6,COUNT(F265:F276)=6),cubic_spline(F264:F270,A264:A270,B$4),IF(AND(COUNT(A265:A276)=7,COUNT(F265:F276)=7),cubic_spline(F264:F271,A264:A271,B$4),IF(AND(COUNT(A265:A276)=8,COUNT(F265:F276)=8),cubic_spline(F264:F272,A264:A272,B$4),IF(AND(COUNT(A265:A276)=9,COUNT(F265:F276)=9),cubic_spline(F264:F273,A264:A273,B$4),IF(AND(COUNT(A265:A276)=10,COUNT(F265:F276)=10),cubic_spline(F264:F274,A264:A274,B$4),IF(AND(COUNT(A265:A276)=11,COUNT(F265:F276)=11),cubic_spline(F264:F275,A264:A275,B$4),IF(AND(COUNT(A265:A276)=12,COUNT(F265:F276)=12),cubic_spline(F264:F276,A264:A276,B$4),""))))))))))))</f>
        <v/>
      </c>
      <c r="L267" s="27" t="str">
        <f>IF(I267="","",B$3&amp;"-"&amp;B$4)</f>
        <v/>
      </c>
      <c r="M267" s="52" t="str">
        <f>IF(N(J267)=0,"",J267-J266)</f>
        <v/>
      </c>
    </row>
    <row r="268" spans="1:13" x14ac:dyDescent="0.35">
      <c r="A268" s="48"/>
      <c r="B268" s="48"/>
      <c r="C268" s="50"/>
      <c r="D268" s="50"/>
      <c r="E268" s="51" t="str">
        <f t="shared" si="98"/>
        <v/>
      </c>
      <c r="F268" s="68" t="str">
        <f t="shared" si="96"/>
        <v/>
      </c>
      <c r="G268" s="69" t="str">
        <f t="shared" si="99"/>
        <v/>
      </c>
      <c r="H268" s="70" t="str">
        <f t="shared" si="97"/>
        <v/>
      </c>
      <c r="I268" s="27" t="str">
        <f>IF(N(J268)=0,"",0&amp;"-"&amp;B$5)</f>
        <v/>
      </c>
      <c r="J268" s="52" t="str">
        <f>IF(N(B$5)=0,"",IF(AND(COUNT(H265:H276)=2,COUNT(F265:F276)=2),cubic_spline(F264:F266,H264:H266,B$5),IF(AND(COUNT(H265:H276)=3,COUNT(F265:F276)=3),cubic_spline(F264:F267,H264:H267,B$5),IF(AND(COUNT(H265:H276)=4,COUNT(F265:F276)=4),cubic_spline(F264:F268,H264:H268,B$5),IF(AND(COUNT(H265:H276)=5,COUNT(F265:F276)=5),cubic_spline(F264:F269,H264:H269,B$5),IF(AND(COUNT(H265:H276)=6,COUNT(F265:F276)=6),cubic_spline(F264:F270,H264:H270,B$5),IF(AND(COUNT(H265:H276)=7,COUNT(F265:F276)=7),cubic_spline(F264:F271,H264:H271,B$5),IF(AND(COUNT(H265:H276)=8,COUNT(F265:F276)=8),cubic_spline(F264:F272,H264:H272,B$5),IF(AND(COUNT(H265:H276)=9,COUNT(F265:F276)=9),cubic_spline(F264:F273,H264:H273,B$5),IF(AND(COUNT(H265:H276)=10,COUNT(F265:F276)=10),cubic_spline(F264:F274,H264:H274,B$5),IF(AND(COUNT(H265:H276)=11,COUNT(F265:F276)=11),cubic_spline(F264:F275,H264:H275,B$5),IF(AND(COUNT(H265:H276)=12,COUNT(F265:F276)=12),cubic_spline(F264:F276,H264:H276,B$5),""))))))))))))</f>
        <v/>
      </c>
      <c r="K268" s="52" t="str">
        <f>IF(N(B$5)=0,"",IF(AND(COUNT(A265:A276)=2,COUNT(F265:F276)=2),cubic_spline(F264:F266,A264:A266,B$5),IF(AND(COUNT(A265:A276)=3,COUNT(F265:F276)=3),cubic_spline(F264:F267,A264:A267,B$5),IF(AND(COUNT(A265:A276)=4,COUNT(F265:F276)=4),cubic_spline(F264:F268,A264:A268,B$5),IF(AND(COUNT(A265:A276)=5,COUNT(F265:F276)=5),cubic_spline(F264:F269,A264:A269,B$5),IF(AND(COUNT(A265:A276)=6,COUNT(F265:F276)=6),cubic_spline(F264:F270,A264:A270,B$5),IF(AND(COUNT(A265:A276)=7,COUNT(F265:F276)=7),cubic_spline(F264:F271,A264:A271,B$5),IF(AND(COUNT(A265:A276)=8,COUNT(F265:F276)=8),cubic_spline(F264:F272,A264:A272,B$5),IF(AND(COUNT(A265:A276)=9,COUNT(F265:F276)=9),cubic_spline(F264:F273,A264:A273,B$5),IF(AND(COUNT(A265:A276)=10,COUNT(F265:F276)=10),cubic_spline(F264:F274,A264:A274,B$5),IF(AND(COUNT(A265:A276)=11,COUNT(F265:F276)=11),cubic_spline(F264:F275,A264:A275,B$5),IF(AND(COUNT(A265:A276)=12,COUNT(F265:F276)=12),cubic_spline(F264:F276,A264:A276,B$5),""))))))))))))</f>
        <v/>
      </c>
      <c r="L268" s="27" t="str">
        <f>IF(I268="","",B$4&amp;"-"&amp;B$5)</f>
        <v/>
      </c>
      <c r="M268" s="52" t="str">
        <f>IF(N(J268)=0,"",J268-J267)</f>
        <v/>
      </c>
    </row>
    <row r="269" spans="1:13" x14ac:dyDescent="0.35">
      <c r="A269" s="48"/>
      <c r="B269" s="48"/>
      <c r="C269" s="50"/>
      <c r="D269" s="50"/>
      <c r="E269" s="51" t="str">
        <f t="shared" si="98"/>
        <v/>
      </c>
      <c r="F269" s="71" t="str">
        <f t="shared" si="96"/>
        <v/>
      </c>
      <c r="G269" s="69" t="str">
        <f t="shared" si="99"/>
        <v/>
      </c>
      <c r="H269" s="70" t="str">
        <f t="shared" si="97"/>
        <v/>
      </c>
      <c r="I269" s="27" t="str">
        <f>IF(N(J269)=0,"",0&amp;"-"&amp;B$6)</f>
        <v/>
      </c>
      <c r="J269" s="52" t="str">
        <f>IF(N(B$6)=0,"",IF(AND(COUNT(H265:H276)=2,COUNT(F265:F276)=2),cubic_spline(F264:F266,H264:H266,B$6),IF(AND(COUNT(H265:H276)=3,COUNT(F265:F276)=3),cubic_spline(F264:F267,H264:H267,B$6),IF(AND(COUNT(H265:H276)=4,COUNT(F265:F276)=4),cubic_spline(F264:F268,H264:H268,B$6),IF(AND(COUNT(H265:H276)=5,COUNT(F265:F276)=5),cubic_spline(F264:F269,H264:H269,B$6),IF(AND(COUNT(H265:H276)=6,COUNT(F265:F276)=6),cubic_spline(F264:F270,H264:H270,B$6),IF(AND(COUNT(H265:H276)=7,COUNT(F265:F276)=7),cubic_spline(F264:F271,H264:H271,B$6),IF(AND(COUNT(H265:H276)=8,COUNT(F265:F276)=8),cubic_spline(F264:F272,H264:H272,B$6),IF(AND(COUNT(H265:H276)=9,COUNT(F265:F276)=9),cubic_spline(F264:F273,H264:H273,B$6),IF(AND(COUNT(H265:H276)=10,COUNT(F265:F276)=10),cubic_spline(F264:F274,H264:H274,B$6),IF(AND(COUNT(H265:H276)=11,COUNT(F265:F276)=11),cubic_spline(F264:F275,H264:H275,B$6),IF(AND(COUNT(H265:H276)=12,COUNT(F265:F276)=12),cubic_spline(F264:F276,H264:H276,B$6),""))))))))))))</f>
        <v/>
      </c>
      <c r="K269" s="52" t="str">
        <f>IF(N(B$6)=0,"",IF(AND(COUNT(A265:A276)=2,COUNT(F265:F276)=2),cubic_spline(F264:F266,A264:A266,B$6),IF(AND(COUNT(A265:A276)=3,COUNT(F265:F276)=3),cubic_spline(F264:F267,A264:A267,B$6),IF(AND(COUNT(A265:A276)=4,COUNT(F265:F276)=4),cubic_spline(F264:F268,A264:A268,B$6),IF(AND(COUNT(A265:A276)=5,COUNT(F265:F276)=5),cubic_spline(F264:F269,A264:A269,B$6),IF(AND(COUNT(A265:A276)=6,COUNT(F265:F276)=6),cubic_spline(F264:F270,A264:A270,B$6),IF(AND(COUNT(A265:A276)=7,COUNT(F265:F276)=7),cubic_spline(F264:F271,A264:A271,B$6),IF(AND(COUNT(A265:A276)=8,COUNT(F265:F276)=8),cubic_spline(F264:F272,A264:A272,B$6),IF(AND(COUNT(A265:A276)=9,COUNT(F265:F276)=9),cubic_spline(F264:F273,A264:A273,B$6),IF(AND(COUNT(A265:A276)=10,COUNT(F265:F276)=10),cubic_spline(F264:F274,A264:A274,B$6),IF(AND(COUNT(A265:A276)=11,COUNT(F265:F276)=11),cubic_spline(F264:F275,A264:A275,B$6),IF(AND(COUNT(A265:A276)=12,COUNT(F265:F276)=12),cubic_spline(F264:F276,A264:A276,B$6),""))))))))))))</f>
        <v/>
      </c>
      <c r="L269" s="27" t="str">
        <f>IF(I269="","",B$5&amp;"-"&amp;B$6)</f>
        <v/>
      </c>
      <c r="M269" s="52" t="str">
        <f>IF(N(J269)=0,"",J269-J268)</f>
        <v/>
      </c>
    </row>
    <row r="270" spans="1:13" x14ac:dyDescent="0.35">
      <c r="A270" s="48"/>
      <c r="B270" s="48"/>
      <c r="C270" s="50"/>
      <c r="D270" s="50"/>
      <c r="E270" s="51" t="str">
        <f t="shared" si="98"/>
        <v/>
      </c>
      <c r="F270" s="71" t="str">
        <f t="shared" si="96"/>
        <v/>
      </c>
      <c r="G270" s="69" t="str">
        <f t="shared" si="99"/>
        <v/>
      </c>
      <c r="H270" s="70" t="str">
        <f t="shared" si="97"/>
        <v/>
      </c>
      <c r="I270" s="27" t="str">
        <f>IF(N(J270)=0,"",0&amp;"-"&amp;B$7)</f>
        <v/>
      </c>
      <c r="J270" s="52" t="str">
        <f>IF(N(B$7)=0,"",IF(AND(COUNT(H265:H276)=2,COUNT(F265:F276)=2),cubic_spline(F264:F266,H264:H266,B$7),IF(AND(COUNT(H265:H276)=3,COUNT(F265:F276)=3),cubic_spline(F264:F267,H264:H267,B$7),IF(AND(COUNT(H265:H276)=4,COUNT(F265:F276)=4),cubic_spline(F264:F268,H264:H268,B$7),IF(AND(COUNT(H265:H276)=5,COUNT(F265:F276)=5),cubic_spline(F264:F269,H264:H269,B$7),IF(AND(COUNT(H265:H276)=6,COUNT(F265:F276)=6),cubic_spline(F264:F270,H264:H270,B$7),IF(AND(COUNT(H265:H276)=7,COUNT(F265:F276)=7),cubic_spline(F264:F271,H264:H271,B$7),IF(AND(COUNT(H265:H276)=8,COUNT(F265:F276)=8),cubic_spline(F264:F272,H264:H272,B$7),IF(AND(COUNT(H265:H276)=9,COUNT(F265:F276)=9),cubic_spline(F264:F273,H264:H273,B$7),IF(AND(COUNT(H265:H276)=10,COUNT(F265:F276)=10),cubic_spline(F264:F274,H264:H274,B$7),IF(AND(COUNT(H265:H276)=11,COUNT(F265:F276)=11),cubic_spline(F264:F275,H264:H275,B$7),IF(AND(COUNT(H265:H276)=12,COUNT(F265:F276)=12),cubic_spline(F264:F276,H264:H276,B$7),""))))))))))))</f>
        <v/>
      </c>
      <c r="K270" s="52" t="str">
        <f>IF(N(B$7)=0,"",IF(AND(COUNT(A265:A276)=2,COUNT(F265:F276)=2),cubic_spline(F264:F266,A264:A266,B$7),IF(AND(COUNT(A265:A276)=3,COUNT(F265:F276)=3),cubic_spline(F264:F267,A264:A267,B$7),IF(AND(COUNT(A265:A276)=4,COUNT(F265:F276)=4),cubic_spline(F264:F268,A264:A268,B$7),IF(AND(COUNT(A265:A276)=5,COUNT(F265:F276)=5),cubic_spline(F264:F269,A264:A269,B$7),IF(AND(COUNT(A265:A276)=6,COUNT(F265:F276)=6),cubic_spline(F264:F270,A264:A270,B$7),IF(AND(COUNT(A265:A276)=7,COUNT(F265:F276)=7),cubic_spline(F264:F271,A264:A271,B$7),IF(AND(COUNT(A265:A276)=8,COUNT(F265:F276)=8),cubic_spline(F264:F272,A264:A272,B$7),IF(AND(COUNT(A265:A276)=9,COUNT(F265:F276)=9),cubic_spline(F264:F273,A264:A273,B$7),IF(AND(COUNT(A265:A276)=10,COUNT(F265:F276)=10),cubic_spline(F264:F274,A264:A274,B$7),IF(AND(COUNT(A265:A276)=11,COUNT(F265:F276)=11),cubic_spline(F264:F275,A264:A275,B$7),IF(AND(COUNT(A265:A276)=12,COUNT(F265:F276)=12),cubic_spline(F264:F276,A264:A276,B$7),""))))))))))))</f>
        <v/>
      </c>
      <c r="L270" s="27" t="str">
        <f>IF(I270="","",B$6&amp;"-"&amp;B$7)</f>
        <v/>
      </c>
      <c r="M270" s="52" t="str">
        <f t="shared" ref="M270:M276" si="100">IF(N(J270)=0,"",J270-J269)</f>
        <v/>
      </c>
    </row>
    <row r="271" spans="1:13" x14ac:dyDescent="0.35">
      <c r="A271" s="48"/>
      <c r="B271" s="48"/>
      <c r="C271" s="50"/>
      <c r="D271" s="50"/>
      <c r="E271" s="51" t="str">
        <f t="shared" si="98"/>
        <v/>
      </c>
      <c r="F271" s="71" t="str">
        <f t="shared" si="96"/>
        <v/>
      </c>
      <c r="G271" s="69" t="str">
        <f t="shared" si="99"/>
        <v/>
      </c>
      <c r="H271" s="70" t="str">
        <f t="shared" si="97"/>
        <v/>
      </c>
      <c r="I271" s="27" t="str">
        <f>IF(N(J271)=0,"",0&amp;"-"&amp;B$8)</f>
        <v/>
      </c>
      <c r="J271" s="52" t="str">
        <f>IF(N(B$8)=0,"",IF(AND(COUNT(H265:H276)=2,COUNT(F265:F276)=2),cubic_spline(F264:F266,H264:H266,B$8),IF(AND(COUNT(H265:H276)=3,COUNT(F265:F276)=3),cubic_spline(F264:F267,H264:H267,B$8),IF(AND(COUNT(H265:H276)=4,COUNT(F265:F276)=4),cubic_spline(F264:F268,H264:H268,B$8),IF(AND(COUNT(H265:H276)=5,COUNT(F265:F276)=5),cubic_spline(F264:F269,H264:H269,B$8),IF(AND(COUNT(H265:H276)=6,COUNT(F265:F276)=6),cubic_spline(F264:F270,H264:H270,B$8),IF(AND(COUNT(H265:H276)=7,COUNT(F265:F276)=7),cubic_spline(F264:F271,H264:H271,B$8),IF(AND(COUNT(H265:H276)=8,COUNT(F265:F276)=8),cubic_spline(F264:F272,H264:H272,B$8),IF(AND(COUNT(H265:H276)=9,COUNT(F265:F276)=9),cubic_spline(F264:F273,H264:H273,B$8),IF(AND(COUNT(H265:H276)=10,COUNT(F265:F276)=10),cubic_spline(F264:F274,H264:H274,B$8),IF(AND(COUNT(H265:H276)=11,COUNT(F265:F276)=11),cubic_spline(F264:F275,H264:H275,B$8),IF(AND(COUNT(H265:H276)=12,COUNT(F265:F276)=12),cubic_spline(F264:F276,H264:H276,B$8),""))))))))))))</f>
        <v/>
      </c>
      <c r="K271" s="52" t="str">
        <f>IF(N(B$8)=0,"",IF(AND(COUNT(A265:A276)=2,COUNT(F265:F276)=2),cubic_spline(F264:F266,A264:A266,B$8),IF(AND(COUNT(A265:A276)=3,COUNT(F265:F276)=3),cubic_spline(F264:F267,A264:A267,B$8),IF(AND(COUNT(A265:A276)=4,COUNT(F265:F276)=4),cubic_spline(F264:F268,A264:A268,B$8),IF(AND(COUNT(A265:A276)=5,COUNT(F265:F276)=5),cubic_spline(F264:F269,A264:A269,B$8),IF(AND(COUNT(A265:A276)=6,COUNT(F265:F276)=6),cubic_spline(F264:F270,A264:A270,B$8),IF(AND(COUNT(A265:A276)=7,COUNT(F265:F276)=7),cubic_spline(F264:F271,A264:A271,B$8),IF(AND(COUNT(A265:A276)=8,COUNT(F265:F276)=8),cubic_spline(F264:F272,A264:A272,B$8),IF(AND(COUNT(A265:A276)=9,COUNT(F265:F276)=9),cubic_spline(F264:F273,A264:A273,B$8),IF(AND(COUNT(A265:A276)=10,COUNT(F265:F276)=10),cubic_spline(F264:F274,A264:A274,B$8),IF(AND(COUNT(A265:A276)=11,COUNT(F265:F276)=11),cubic_spline(F264:F275,A264:A275,B$8),IF(AND(COUNT(A265:A276)=12,COUNT(F265:F276)=12),cubic_spline(F264:F276,A264:A276,B$8),""))))))))))))</f>
        <v/>
      </c>
      <c r="L271" s="27" t="str">
        <f>IF(I271="","",B$7&amp;"-"&amp;B$8)</f>
        <v/>
      </c>
      <c r="M271" s="52" t="str">
        <f t="shared" si="100"/>
        <v/>
      </c>
    </row>
    <row r="272" spans="1:13" x14ac:dyDescent="0.35">
      <c r="A272" s="48"/>
      <c r="B272" s="48"/>
      <c r="C272" s="50"/>
      <c r="D272" s="50"/>
      <c r="E272" s="51" t="str">
        <f t="shared" si="98"/>
        <v/>
      </c>
      <c r="F272" s="71" t="str">
        <f t="shared" si="96"/>
        <v/>
      </c>
      <c r="G272" s="69" t="str">
        <f t="shared" si="99"/>
        <v/>
      </c>
      <c r="H272" s="70" t="str">
        <f t="shared" si="97"/>
        <v/>
      </c>
      <c r="I272" s="27" t="str">
        <f>IF(N(J272)=0,"",0&amp;"-"&amp;B$9)</f>
        <v/>
      </c>
      <c r="J272" s="52" t="str">
        <f>IF(N(B$9)=0,"",IF(AND(COUNT(H265:H276)=2,COUNT(F265:F276)=2),cubic_spline(F264:F266,H264:H266,B$9),IF(AND(COUNT(H265:H276)=3,COUNT(F265:F276)=3),cubic_spline(F264:F267,H264:H267,B$9),IF(AND(COUNT(H265:H276)=4,COUNT(F265:F276)=4),cubic_spline(F264:F268,H264:H268,B$9),IF(AND(COUNT(H265:H276)=5,COUNT(F265:F276)=5),cubic_spline(F264:F269,H264:H269,B$9),IF(AND(COUNT(H265:H276)=6,COUNT(F265:F276)=6),cubic_spline(F264:F270,H264:H270,B$9),IF(AND(COUNT(H265:H276)=7,COUNT(F265:F276)=7),cubic_spline(F264:F271,H264:H271,B$9),IF(AND(COUNT(H265:H276)=8,COUNT(F265:F276)=8),cubic_spline(F264:F272,H264:H272,B$9),IF(AND(COUNT(H265:H276)=9,COUNT(F265:F276)=9),cubic_spline(F264:F273,H264:H273,B$9),IF(AND(COUNT(H265:H276)=10,COUNT(F265:F276)=10),cubic_spline(F264:F274,H264:H274,B$9),IF(AND(COUNT(H265:H276)=11,COUNT(F265:F276)=11),cubic_spline(F264:F275,H264:H275,B$9),IF(AND(COUNT(H265:H276)=12,COUNT(F265:F276)=12),cubic_spline(F264:F276,H264:H276,B$9),""))))))))))))</f>
        <v/>
      </c>
      <c r="K272" s="52" t="str">
        <f>IF(N(B$9)=0,"",IF(AND(COUNT(A265:A276)=2,COUNT(F265:F276)=2),cubic_spline(F264:F266,A264:A266,B$9),IF(AND(COUNT(A265:A276)=3,COUNT(F265:F276)=3),cubic_spline(F264:F267,A264:A267,B$9),IF(AND(COUNT(A265:A276)=4,COUNT(F265:F276)=4),cubic_spline(F264:F268,A264:A268,B$9),IF(AND(COUNT(A265:A276)=5,COUNT(F265:F276)=5),cubic_spline(F264:F269,A264:A269,B$9),IF(AND(COUNT(A265:A276)=6,COUNT(F265:F276)=6),cubic_spline(F264:F270,A264:A270,B$9),IF(AND(COUNT(A265:A276)=7,COUNT(F265:F276)=7),cubic_spline(F264:F271,A264:A271,B$9),IF(AND(COUNT(A265:A276)=8,COUNT(F265:F276)=8),cubic_spline(F264:F272,A264:A272,B$9),IF(AND(COUNT(A265:A276)=9,COUNT(F265:F276)=9),cubic_spline(F264:F273,A264:A273,B$9),IF(AND(COUNT(A265:A276)=10,COUNT(F265:F276)=10),cubic_spline(F264:F274,A264:A274,B$9),IF(AND(COUNT(A265:A276)=11,COUNT(F265:F276)=11),cubic_spline(F264:F275,A264:A275,B$9),IF(AND(COUNT(A265:A276)=12,COUNT(F265:F276)=12),cubic_spline(F264:F276,A264:A276,B$9),""))))))))))))</f>
        <v/>
      </c>
      <c r="L272" s="27" t="str">
        <f>IF(I272="","",B$8&amp;"-"&amp;B$9)</f>
        <v/>
      </c>
      <c r="M272" s="52" t="str">
        <f t="shared" si="100"/>
        <v/>
      </c>
    </row>
    <row r="273" spans="1:13" x14ac:dyDescent="0.35">
      <c r="A273" s="48"/>
      <c r="B273" s="48"/>
      <c r="C273" s="50"/>
      <c r="D273" s="50"/>
      <c r="E273" s="51" t="str">
        <f t="shared" si="98"/>
        <v/>
      </c>
      <c r="F273" s="71" t="str">
        <f t="shared" si="96"/>
        <v/>
      </c>
      <c r="G273" s="69" t="str">
        <f t="shared" si="99"/>
        <v/>
      </c>
      <c r="H273" s="70" t="str">
        <f t="shared" si="97"/>
        <v/>
      </c>
      <c r="I273" s="27" t="str">
        <f>IF(N(J273)=0,"",0&amp;"-"&amp;B$10)</f>
        <v/>
      </c>
      <c r="J273" s="52" t="str">
        <f>IF(N(B$10)=0,"",IF(AND(COUNT(H265:H276)=2,COUNT(F265:F276)=2),cubic_spline(F264:F266,H264:H266,B$10),IF(AND(COUNT(H265:H276)=3,COUNT(F265:F276)=3),cubic_spline(F264:F267,H264:H267,B$10),IF(AND(COUNT(H265:H276)=4,COUNT(F265:F276)=4),cubic_spline(F264:F268,H264:H268,B$10),IF(AND(COUNT(H265:H276)=5,COUNT(F265:F276)=5),cubic_spline(F264:F269,H264:H269,B$10),IF(AND(COUNT(H265:H276)=6,COUNT(F265:F276)=6),cubic_spline(F264:F270,H264:H270,B$10),IF(AND(COUNT(H265:H276)=7,COUNT(F265:F276)=7),cubic_spline(F264:F271,H264:H271,B$10),IF(AND(COUNT(H265:H276)=8,COUNT(F265:F276)=8),cubic_spline(F264:F272,H264:H272,B$10),IF(AND(COUNT(H265:H276)=9,COUNT(F265:F276)=9),cubic_spline(F264:F273,H264:H273,B$10),IF(AND(COUNT(H265:H276)=10,COUNT(F265:F276)=10),cubic_spline(F264:F274,H264:H274,B$10),IF(AND(COUNT(H265:H276)=11,COUNT(F265:F276)=11),cubic_spline(F264:F275,H264:H275,B$10),IF(AND(COUNT(H265:H276)=12,COUNT(F265:F276)=12),cubic_spline(F264:F276,H264:H276,B$10),""))))))))))))</f>
        <v/>
      </c>
      <c r="K273" s="52" t="str">
        <f>IF(N(B$10)=0,"",IF(AND(COUNT(A265:A276)=2,COUNT(F265:F276)=2),cubic_spline(F264:F266,A264:A266,B$10),IF(AND(COUNT(A265:A276)=3,COUNT(F265:F276)=3),cubic_spline(F264:F267,A264:A267,B$10),IF(AND(COUNT(A265:A276)=4,COUNT(F265:F276)=4),cubic_spline(F264:F268,A264:A268,B$10),IF(AND(COUNT(A265:A276)=5,COUNT(F265:F276)=5),cubic_spline(F264:F269,A264:A269,B$10),IF(AND(COUNT(A265:A276)=6,COUNT(F265:F276)=6),cubic_spline(F264:F270,A264:A270,B$10),IF(AND(COUNT(A265:A276)=7,COUNT(F265:F276)=7),cubic_spline(F264:F271,A264:A271,B$10),IF(AND(COUNT(A265:A276)=8,COUNT(F265:F276)=8),cubic_spline(F264:F272,A264:A272,B$10),IF(AND(COUNT(A265:A276)=9,COUNT(F265:F276)=9),cubic_spline(F264:F273,A264:A273,B$10),IF(AND(COUNT(A265:A276)=10,COUNT(F265:F276)=10),cubic_spline(F264:F274,A264:A274,B$10),IF(AND(COUNT(A265:A276)=11,COUNT(F265:F276)=11),cubic_spline(F264:F275,A264:A275,B$10),IF(AND(COUNT(A265:A276)=12,COUNT(F265:F276)=12),cubic_spline(F264:F276,A264:A276,B$10),""))))))))))))</f>
        <v/>
      </c>
      <c r="L273" s="27" t="str">
        <f>IF(I273="","",B$9&amp;"-"&amp;B$10)</f>
        <v/>
      </c>
      <c r="M273" s="52" t="str">
        <f t="shared" si="100"/>
        <v/>
      </c>
    </row>
    <row r="274" spans="1:13" x14ac:dyDescent="0.35">
      <c r="A274" s="48"/>
      <c r="B274" s="48"/>
      <c r="C274" s="50"/>
      <c r="D274" s="50"/>
      <c r="E274" s="51" t="str">
        <f t="shared" si="98"/>
        <v/>
      </c>
      <c r="F274" s="71" t="str">
        <f t="shared" si="96"/>
        <v/>
      </c>
      <c r="G274" s="69" t="str">
        <f t="shared" si="99"/>
        <v/>
      </c>
      <c r="H274" s="70" t="str">
        <f t="shared" si="97"/>
        <v/>
      </c>
      <c r="I274" s="27" t="str">
        <f>IF(N(J274)=0,"",0&amp;"-"&amp;B$11)</f>
        <v/>
      </c>
      <c r="J274" s="52" t="str">
        <f>IF(N(B$11)=0,"",IF(AND(COUNT(H265:H276)=2,COUNT(F265:F276)=2),cubic_spline(F264:F266,H264:H266,B$11),IF(AND(COUNT(H265:H276)=3,COUNT(F265:F276)=3),cubic_spline(F264:F267,H264:H267,B$11),IF(AND(COUNT(H265:H276)=4,COUNT(F265:F276)=4),cubic_spline(F264:F268,H264:H268,B$11),IF(AND(COUNT(H265:H276)=5,COUNT(F265:F276)=5),cubic_spline(F264:F269,H264:H269,B$11),IF(AND(COUNT(H265:H276)=6,COUNT(F265:F276)=6),cubic_spline(F264:F270,H264:H270,B$11),IF(AND(COUNT(H265:H276)=7,COUNT(F265:F276)=7),cubic_spline(F264:F271,H264:H271,B$11),IF(AND(COUNT(H265:H276)=8,COUNT(F265:F276)=8),cubic_spline(F264:F272,H264:H272,B$11),IF(AND(COUNT(H265:H276)=9,COUNT(F265:F276)=9),cubic_spline(F264:F273,H264:H273,B$11),IF(AND(COUNT(H265:H276)=10,COUNT(F265:F276)=10),cubic_spline(F264:F274,H264:H274,B$11),IF(AND(COUNT(H265:H276)=11,COUNT(F265:F276)=11),cubic_spline(F264:F275,H264:H275,B$11),IF(AND(COUNT(H265:H276)=12,COUNT(F265:F276)=12),cubic_spline(F264:F276,H264:H276,B$11),""))))))))))))</f>
        <v/>
      </c>
      <c r="K274" s="52" t="str">
        <f>IF(N(B$11)=0,"",IF(AND(COUNT(A265:A276)=2,COUNT(F265:F276)=2),cubic_spline(F264:F266,A264:A266,B$11),IF(AND(COUNT(A265:A276)=3,COUNT(F265:F276)=3),cubic_spline(F264:F267,A264:A267,B$11),IF(AND(COUNT(A265:A276)=4,COUNT(F265:F276)=4),cubic_spline(F264:F268,A264:A268,B$11),IF(AND(COUNT(A265:A276)=5,COUNT(F265:F276)=5),cubic_spline(F264:F269,A264:A269,B$11),IF(AND(COUNT(A265:A276)=6,COUNT(F265:F276)=6),cubic_spline(F264:F270,A264:A270,B$11),IF(AND(COUNT(A265:A276)=7,COUNT(F265:F276)=7),cubic_spline(F264:F271,A264:A271,B$11),IF(AND(COUNT(A265:A276)=8,COUNT(F265:F276)=8),cubic_spline(F264:F272,A264:A272,B$11),IF(AND(COUNT(A265:A276)=9,COUNT(F265:F276)=9),cubic_spline(F264:F273,A264:A273,B$11),IF(AND(COUNT(A265:A276)=10,COUNT(F265:F276)=10),cubic_spline(F264:F274,A264:A274,B$11),IF(AND(COUNT(A265:A276)=11,COUNT(F265:F276)=11),cubic_spline(F264:F275,A264:A275,B$11),IF(AND(COUNT(A265:A276)=12,COUNT(F265:F276)=12),cubic_spline(F264:F276,A264:A276,B$11),""))))))))))))</f>
        <v/>
      </c>
      <c r="L274" s="27" t="str">
        <f>IF(I274="","",B$10&amp;"-"&amp;B$11)</f>
        <v/>
      </c>
      <c r="M274" s="52" t="str">
        <f t="shared" si="100"/>
        <v/>
      </c>
    </row>
    <row r="275" spans="1:13" x14ac:dyDescent="0.35">
      <c r="A275" s="48"/>
      <c r="B275" s="48"/>
      <c r="C275" s="50"/>
      <c r="D275" s="50"/>
      <c r="E275" s="51" t="str">
        <f t="shared" si="98"/>
        <v/>
      </c>
      <c r="F275" s="71" t="str">
        <f t="shared" si="96"/>
        <v/>
      </c>
      <c r="G275" s="69" t="str">
        <f t="shared" si="99"/>
        <v/>
      </c>
      <c r="H275" s="70" t="str">
        <f t="shared" si="97"/>
        <v/>
      </c>
      <c r="I275" s="27" t="str">
        <f>IF(N(J275)=0,"",0&amp;"-"&amp;B$12)</f>
        <v/>
      </c>
      <c r="J275" s="52" t="str">
        <f>IF(N(B$12)=0,"",IF(AND(COUNT(H265:H276)=2,COUNT(F265:F276)=2),cubic_spline(F264:F266,H264:H266,B$12),IF(AND(COUNT(H265:H276)=3,COUNT(F265:F276)=3),cubic_spline(F264:F267,H264:H267,B$12),IF(AND(COUNT(H265:H276)=4,COUNT(F265:F276)=4),cubic_spline(F264:F268,H264:H268,B$12),IF(AND(COUNT(H265:H276)=5,COUNT(F265:F276)=5),cubic_spline(F264:F269,H264:H269,B$12),IF(AND(COUNT(H265:H276)=6,COUNT(F265:F276)=6),cubic_spline(F264:F270,H264:H270,B$12),IF(AND(COUNT(H265:H276)=7,COUNT(F265:F276)=7),cubic_spline(F264:F271,H264:H271,B$12),IF(AND(COUNT(H265:H276)=8,COUNT(F265:F276)=8),cubic_spline(F264:F272,H264:H272,B$12),IF(AND(COUNT(H265:H276)=9,COUNT(F265:F276)=9),cubic_spline(F264:F273,H264:H273,B$12),IF(AND(COUNT(H265:H276)=10,COUNT(F265:F276)=10),cubic_spline(F264:F274,H264:H274,B$12),IF(AND(COUNT(H265:H276)=11,COUNT(F265:F276)=11),cubic_spline(F264:F275,H264:H275,B$12),IF(AND(COUNT(H265:H276)=12,COUNT(F265:F276)=12),cubic_spline(F264:F276,H264:H276,B$12),""))))))))))))</f>
        <v/>
      </c>
      <c r="K275" s="52" t="str">
        <f>IF(N(B$12)=0,"",IF(AND(COUNT(A265:A276)=2,COUNT(F265:F276)=2),cubic_spline(F264:F266,A264:A266,B$12),IF(AND(COUNT(A265:A276)=3,COUNT(F265:F276)=3),cubic_spline(F264:F267,A264:A267,B$12),IF(AND(COUNT(A265:A276)=4,COUNT(F265:F276)=4),cubic_spline(F264:F268,A264:A268,B$12),IF(AND(COUNT(A265:A276)=5,COUNT(F265:F276)=5),cubic_spline(F264:F269,A264:A269,B$12),IF(AND(COUNT(A265:A276)=6,COUNT(F265:F276)=6),cubic_spline(F264:F270,A264:A270,B$12),IF(AND(COUNT(A265:A276)=7,COUNT(F265:F276)=7),cubic_spline(F264:F271,A264:A271,B$12),IF(AND(COUNT(A265:A276)=8,COUNT(F265:F276)=8),cubic_spline(F264:F272,A264:A272,B$12),IF(AND(COUNT(A265:A276)=9,COUNT(F265:F276)=9),cubic_spline(F264:F273,A264:A273,B$12),IF(AND(COUNT(A265:A276)=10,COUNT(F265:F276)=10),cubic_spline(F264:F274,A264:A274,B$12),IF(AND(COUNT(A265:A276)=11,COUNT(F265:F276)=11),cubic_spline(F264:F275,A264:A275,B$12),IF(AND(COUNT(A265:A276)=12,COUNT(F265:F276)=12),cubic_spline(F264:F276,A264:A276,B$12),""))))))))))))</f>
        <v/>
      </c>
      <c r="L275" s="27" t="str">
        <f>IF(I275="","",B$11&amp;"-"&amp;B$12)</f>
        <v/>
      </c>
      <c r="M275" s="52" t="str">
        <f t="shared" si="100"/>
        <v/>
      </c>
    </row>
    <row r="276" spans="1:13" x14ac:dyDescent="0.35">
      <c r="A276" s="48"/>
      <c r="B276" s="48"/>
      <c r="C276" s="50"/>
      <c r="D276" s="50"/>
      <c r="E276" s="51" t="str">
        <f t="shared" si="98"/>
        <v/>
      </c>
      <c r="F276" s="71" t="str">
        <f t="shared" si="96"/>
        <v/>
      </c>
      <c r="G276" s="69" t="str">
        <f t="shared" si="99"/>
        <v/>
      </c>
      <c r="H276" s="70" t="str">
        <f t="shared" si="97"/>
        <v/>
      </c>
      <c r="I276" s="27" t="str">
        <f>IF(N(J276)=0,"",0&amp;"-"&amp;B$13)</f>
        <v/>
      </c>
      <c r="J276" s="52" t="str">
        <f>IF(N(B$13)=0,"",IF(AND(COUNT(H265:H276)=2,COUNT(F265:F276)=2),cubic_spline(F264:F266,H264:H266,B$13),IF(AND(COUNT(H265:H276)=3,COUNT(F265:F276)=3),cubic_spline(F264:F267,H264:H267,B$13),IF(AND(COUNT(H265:H276)=4,COUNT(F265:F276)=4),cubic_spline(F264:F268,H264:H268,B$13),IF(AND(COUNT(H265:H276)=5,COUNT(F265:F276)=5),cubic_spline(F264:F269,H264:H269,B$13),IF(AND(COUNT(H265:H276)=6,COUNT(F265:F276)=6),cubic_spline(F264:F270,H264:H270,B$13),IF(AND(COUNT(H265:H276)=7,COUNT(F265:F276)=7),cubic_spline(F264:F271,H264:H271,B$13),IF(AND(COUNT(H265:H276)=8,COUNT(F265:F276)=8),cubic_spline(F264:F272,H264:H272,B$13),IF(AND(COUNT(H265:H276)=9,COUNT(F265:F276)=9),cubic_spline(F264:F273,H264:H273,B$13),IF(AND(COUNT(H265:H276)=10,COUNT(F265:F276)=10),cubic_spline(F264:F274,H264:H274,B$13),IF(AND(COUNT(H265:H276)=11,COUNT(F265:F276)=11),cubic_spline(F264:F275,H264:H275,B$13),IF(AND(COUNT(H265:H276)=12,COUNT(F265:F276)=12),cubic_spline(F264:F276,H264:H276,B$13),""))))))))))))</f>
        <v/>
      </c>
      <c r="K276" s="52" t="str">
        <f>IF(N(B$13)=0,"",IF(AND(COUNT(A265:A276)=2,COUNT(F265:F276)=2),cubic_spline(F264:F266,A264:A266,B$13),IF(AND(COUNT(A265:A276)=3,COUNT(F265:F276)=3),cubic_spline(F264:F267,A264:A267,B$13),IF(AND(COUNT(A265:A276)=4,COUNT(F265:F276)=4),cubic_spline(F264:F268,A264:A268,B$13),IF(AND(COUNT(A265:A276)=5,COUNT(F265:F276)=5),cubic_spline(F264:F269,A264:A269,B$13),IF(AND(COUNT(A265:A276)=6,COUNT(F265:F276)=6),cubic_spline(F264:F270,A264:A270,B$13),IF(AND(COUNT(A265:A276)=7,COUNT(F265:F276)=7),cubic_spline(F264:F271,A264:A271,B$13),IF(AND(COUNT(A265:A276)=8,COUNT(F265:F276)=8),cubic_spline(F264:F272,A264:A272,B$13),IF(AND(COUNT(A265:A276)=9,COUNT(F265:F276)=9),cubic_spline(F264:F273,A264:A273,B$13),IF(AND(COUNT(A265:A276)=10,COUNT(F265:F276)=10),cubic_spline(F264:F274,A264:A274,B$13),IF(AND(COUNT(A265:A276)=11,COUNT(F265:F276)=11),cubic_spline(F264:F275,A264:A275,B$13),IF(AND(COUNT(A265:A276)=12,COUNT(F265:F276)=12),cubic_spline(F264:F276,A264:A276,B$13),""))))))))))))</f>
        <v/>
      </c>
      <c r="L276" s="27" t="str">
        <f>IF(I276="","",B$12&amp;"-"&amp;B$13)</f>
        <v/>
      </c>
      <c r="M276" s="52" t="str">
        <f t="shared" si="100"/>
        <v/>
      </c>
    </row>
    <row r="277" spans="1:13" ht="5.15" customHeight="1" x14ac:dyDescent="0.35">
      <c r="A277" s="47"/>
      <c r="B277" s="47"/>
      <c r="C277" s="53"/>
      <c r="D277" s="53"/>
      <c r="E277" s="54"/>
      <c r="F277" s="55"/>
      <c r="G277" s="72"/>
      <c r="H277" s="73"/>
      <c r="I277" s="47"/>
      <c r="J277" s="57"/>
      <c r="K277" s="57"/>
      <c r="L277" s="55"/>
      <c r="M277" s="57"/>
    </row>
    <row r="278" spans="1:13" x14ac:dyDescent="0.35">
      <c r="A278" s="48"/>
      <c r="B278" s="48"/>
      <c r="C278" s="50"/>
      <c r="D278" s="50"/>
      <c r="E278" s="51" t="str">
        <f>IF(N(C278)=0,"",(A278-A277)*C278*100)</f>
        <v/>
      </c>
      <c r="F278" s="68" t="str">
        <f t="shared" ref="F278:F289" si="101">IF(N(E278)=0,"",(N(E278)+N(F277)))</f>
        <v/>
      </c>
      <c r="G278" s="69" t="str">
        <f>IF(OR(N(D278)=0,N(E278)=0),"",(E278*D278)/1000)</f>
        <v/>
      </c>
      <c r="H278" s="70" t="str">
        <f t="shared" ref="H278:H289" si="102">IF(N(G278)=0,"",(N(G278)+N(H277)))</f>
        <v/>
      </c>
      <c r="I278" s="27" t="str">
        <f>IF(N(J278)=0,"",0&amp;"-"&amp;B$2)</f>
        <v/>
      </c>
      <c r="J278" s="52" t="str">
        <f>IF(N(B$2)=0,"",IF(AND(COUNT(H278:H289)=2,COUNT(F278:F289)=2),cubic_spline(F277:F279,H277:H279,B$2),IF(AND(COUNT(H278:H289)=3,COUNT(F278:F289)=3),cubic_spline(F277:F280,H277:H280,B$2),IF(AND(COUNT(H278:H289)=4,COUNT(F278:F289)=4),cubic_spline(F277:F281,H277:H281,B$2),IF(AND(COUNT(H278:H289)=5,COUNT(F278:F289)=5),cubic_spline(F277:F282,H277:H282,B$2),IF(AND(COUNT(H278:H289)=6,COUNT(F278:F289)=6),cubic_spline(F277:F283,H277:H283,B$2),IF(AND(COUNT(H278:H289)=7,COUNT(F278:F289)=7),cubic_spline(F277:F284,H277:H284,B$2),IF(AND(COUNT(H278:H289)=8,COUNT(F278:F289)=8),cubic_spline(F277:F285,H277:H285,B$2),IF(AND(COUNT(H278:H289)=9,COUNT(F278:F289)=9),cubic_spline(F277:F286,H277:H286,B$2),IF(AND(COUNT(H278:H289)=10,COUNT(F278:F289)=10),cubic_spline(F277:F287,H277:H287,B$2),IF(AND(COUNT(H278:H289)=11,COUNT(F278:F289)=11),cubic_spline(F277:F288,H277:H288,B$2),IF(AND(COUNT(H278:H289)=12,COUNT(F278:F289)=12),cubic_spline(F277:F289,H277:H289,B$2),""))))))))))))</f>
        <v/>
      </c>
      <c r="K278" s="52" t="str">
        <f>IF(N(B$2)=0,"",IF(AND(COUNT(A278:A289)=2,COUNT(F278:F289)=2),cubic_spline(F277:F279,A277:A279,B$2),IF(AND(COUNT(A278:A289)=3,COUNT(F278:F289)=3),cubic_spline(F277:F280,A277:A280,B$2),IF(AND(COUNT(A278:A289)=4,COUNT(F278:F289)=4),cubic_spline(F277:F281,A277:A281,B$2),IF(AND(COUNT(A278:A289)=5,COUNT(F278:F289)=5),cubic_spline(F277:F282,A277:A282,B$2),IF(AND(COUNT(A278:A289)=6,COUNT(F278:F289)=6),cubic_spline(F277:F283,A277:A283,B$2),IF(AND(COUNT(A278:A289)=7,COUNT(F278:F289)=7),cubic_spline(F277:F284,A277:A284,B$2),IF(AND(COUNT(A278:A289)=8,COUNT(F278:F289)=8),cubic_spline(F277:F285,A277:A285,B$2),IF(AND(COUNT(A278:A289)=9,COUNT(F278:F289)=9),cubic_spline(F277:F286,A277:A286,B$2),IF(AND(COUNT(A278:A289)=10,COUNT(F278:F289)=10),cubic_spline(F277:F287,A277:A287,B$2),IF(AND(COUNT(A278:A289)=11,COUNT(F278:F289)=11),cubic_spline(F277:F288,A277:A288,B$2),IF(AND(COUNT(A278:A289)=12,COUNT(F278:F289)=12),cubic_spline(F277:F289,A277:A289,B$2),""))))))))))))</f>
        <v/>
      </c>
      <c r="L278" s="27" t="str">
        <f>IF(I278="","",0&amp;"-"&amp;B$2)</f>
        <v/>
      </c>
      <c r="M278" s="52" t="str">
        <f>IF(N(J278)=0,"",J278-J277)</f>
        <v/>
      </c>
    </row>
    <row r="279" spans="1:13" x14ac:dyDescent="0.35">
      <c r="A279" s="48"/>
      <c r="B279" s="48"/>
      <c r="C279" s="50"/>
      <c r="D279" s="50"/>
      <c r="E279" s="51" t="str">
        <f t="shared" ref="E279:E289" si="103">IF(N(C279)=0,"",(A279-A278)*C279*100)</f>
        <v/>
      </c>
      <c r="F279" s="68" t="str">
        <f t="shared" si="101"/>
        <v/>
      </c>
      <c r="G279" s="69" t="str">
        <f t="shared" ref="G279:G289" si="104">IF(OR(N(D279)=0,N(E279)=0),"",(E279*D279)/1000)</f>
        <v/>
      </c>
      <c r="H279" s="70" t="str">
        <f t="shared" si="102"/>
        <v/>
      </c>
      <c r="I279" s="27" t="str">
        <f>IF(N(J279)=0,"",0&amp;"-"&amp;B$3)</f>
        <v/>
      </c>
      <c r="J279" s="52" t="str">
        <f>IF(N(B$3)=0,"",IF(AND(COUNT(H278:H289)=2,COUNT(F278:F289)=2),cubic_spline(F277:F279,H277:H279,B$3),IF(AND(COUNT(H278:H289)=3,COUNT(F278:F289)=3),cubic_spline(F277:F280,H277:H280,B$3),IF(AND(COUNT(H278:H289)=4,COUNT(F278:F289)=4),cubic_spline(F277:F281,H277:H281,B$3),IF(AND(COUNT(H278:H289)=5,COUNT(F278:F289)=5),cubic_spline(F277:F282,H277:H282,B$3),IF(AND(COUNT(H278:H289)=6,COUNT(F278:F289)=6),cubic_spline(F277:F283,H277:H283,B$3),IF(AND(COUNT(H278:H289)=7,COUNT(F278:F289)=7),cubic_spline(F277:F284,H277:H284,B$3),IF(AND(COUNT(H278:H289)=8,COUNT(F278:F289)=8),cubic_spline(F277:F285,H277:H285,B$3),IF(AND(COUNT(H278:H289)=9,COUNT(F278:F289)=9),cubic_spline(F277:F286,H277:H286,B$3),IF(AND(COUNT(H278:H289)=10,COUNT(F278:F289)=10),cubic_spline(F277:F287,H277:H287,B$3),IF(AND(COUNT(H278:H289)=11,COUNT(F278:F289)=11),cubic_spline(F277:F288,H277:H288,B$3),IF(AND(COUNT(H278:H289)=12,COUNT(F278:F289)=12),cubic_spline(F277:F289,H277:H289,B$3),""))))))))))))</f>
        <v/>
      </c>
      <c r="K279" s="52" t="str">
        <f>IF(N(B$3)=0,"",IF(AND(COUNT(A278:A289)=2,COUNT(F278:F289)=2),cubic_spline(F277:F279,A277:A279,B$3),IF(AND(COUNT(A278:A289)=3,COUNT(F278:F289)=3),cubic_spline(F277:F280,A277:A280,B$3),IF(AND(COUNT(A278:A289)=4,COUNT(F278:F289)=4),cubic_spline(F277:F281,A277:A281,B$3),IF(AND(COUNT(A278:A289)=5,COUNT(F278:F289)=5),cubic_spline(F277:F282,A277:A282,B$3),IF(AND(COUNT(A278:A289)=6,COUNT(F278:F289)=6),cubic_spline(F277:F283,A277:A283,B$3),IF(AND(COUNT(A278:A289)=7,COUNT(F278:F289)=7),cubic_spline(F277:F284,A277:A284,B$3),IF(AND(COUNT(A278:A289)=8,COUNT(F278:F289)=8),cubic_spline(F277:F285,A277:A285,B$3),IF(AND(COUNT(A278:A289)=9,COUNT(F278:F289)=9),cubic_spline(F277:F286,A277:A286,B$3),IF(AND(COUNT(A278:A289)=10,COUNT(F278:F289)=10),cubic_spline(F277:F287,A277:A287,B$3),IF(AND(COUNT(A278:A289)=11,COUNT(F278:F289)=11),cubic_spline(F277:F288,A277:A288,B$3),IF(AND(COUNT(A278:A289)=12,COUNT(F278:F289)=12),cubic_spline(F277:F289,A277:A289,B$3),""))))))))))))</f>
        <v/>
      </c>
      <c r="L279" s="27" t="str">
        <f>IF(I279="","",B$2&amp;"-"&amp;B$3)</f>
        <v/>
      </c>
      <c r="M279" s="52" t="str">
        <f>IF(N(J279)=0,"",J279-J278)</f>
        <v/>
      </c>
    </row>
    <row r="280" spans="1:13" x14ac:dyDescent="0.35">
      <c r="A280" s="48"/>
      <c r="B280" s="48"/>
      <c r="C280" s="50"/>
      <c r="D280" s="50"/>
      <c r="E280" s="51" t="str">
        <f t="shared" si="103"/>
        <v/>
      </c>
      <c r="F280" s="68" t="str">
        <f t="shared" si="101"/>
        <v/>
      </c>
      <c r="G280" s="69" t="str">
        <f t="shared" si="104"/>
        <v/>
      </c>
      <c r="H280" s="70" t="str">
        <f t="shared" si="102"/>
        <v/>
      </c>
      <c r="I280" s="27" t="str">
        <f>IF(N(J280)=0,"",0&amp;"-"&amp;B$4)</f>
        <v/>
      </c>
      <c r="J280" s="52" t="str">
        <f>IF(N(B$4)=0,"",IF(AND(COUNT(H278:H289)=2,COUNT(F278:F289)=2),cubic_spline(F277:F279,H277:H279,B$4),IF(AND(COUNT(H278:H289)=3,COUNT(F278:F289)=3),cubic_spline(F277:F280,H277:H280,B$4),IF(AND(COUNT(H278:H289)=4,COUNT(F278:F289)=4),cubic_spline(F277:F281,H277:H281,B$4),IF(AND(COUNT(H278:H289)=5,COUNT(F278:F289)=5),cubic_spline(F277:F282,H277:H282,B$4),IF(AND(COUNT(H278:H289)=6,COUNT(F278:F289)=6),cubic_spline(F277:F283,H277:H283,B$4),IF(AND(COUNT(H278:H289)=7,COUNT(F278:F289)=7),cubic_spline(F277:F284,H277:H284,B$4),IF(AND(COUNT(H278:H289)=8,COUNT(F278:F289)=8),cubic_spline(F277:F285,H277:H285,B$4),IF(AND(COUNT(H278:H289)=9,COUNT(F278:F289)=9),cubic_spline(F277:F286,H277:H286,B$4),IF(AND(COUNT(H278:H289)=10,COUNT(F278:F289)=10),cubic_spline(F277:F287,H277:H287,B$4),IF(AND(COUNT(H278:H289)=11,COUNT(F278:F289)=11),cubic_spline(F277:F288,H277:H288,B$4),IF(AND(COUNT(H278:H289)=12,COUNT(F278:F289)=12),cubic_spline(F277:F289,H277:H289,B$4),""))))))))))))</f>
        <v/>
      </c>
      <c r="K280" s="52" t="str">
        <f>IF(N(B$4)=0,"",IF(AND(COUNT(A278:A289)=2,COUNT(F278:F289)=2),cubic_spline(F277:F279,A277:A279,B$4),IF(AND(COUNT(A278:A289)=3,COUNT(F278:F289)=3),cubic_spline(F277:F280,A277:A280,B$4),IF(AND(COUNT(A278:A289)=4,COUNT(F278:F289)=4),cubic_spline(F277:F281,A277:A281,B$4),IF(AND(COUNT(A278:A289)=5,COUNT(F278:F289)=5),cubic_spline(F277:F282,A277:A282,B$4),IF(AND(COUNT(A278:A289)=6,COUNT(F278:F289)=6),cubic_spline(F277:F283,A277:A283,B$4),IF(AND(COUNT(A278:A289)=7,COUNT(F278:F289)=7),cubic_spline(F277:F284,A277:A284,B$4),IF(AND(COUNT(A278:A289)=8,COUNT(F278:F289)=8),cubic_spline(F277:F285,A277:A285,B$4),IF(AND(COUNT(A278:A289)=9,COUNT(F278:F289)=9),cubic_spline(F277:F286,A277:A286,B$4),IF(AND(COUNT(A278:A289)=10,COUNT(F278:F289)=10),cubic_spline(F277:F287,A277:A287,B$4),IF(AND(COUNT(A278:A289)=11,COUNT(F278:F289)=11),cubic_spline(F277:F288,A277:A288,B$4),IF(AND(COUNT(A278:A289)=12,COUNT(F278:F289)=12),cubic_spline(F277:F289,A277:A289,B$4),""))))))))))))</f>
        <v/>
      </c>
      <c r="L280" s="27" t="str">
        <f>IF(I280="","",B$3&amp;"-"&amp;B$4)</f>
        <v/>
      </c>
      <c r="M280" s="52" t="str">
        <f>IF(N(J280)=0,"",J280-J279)</f>
        <v/>
      </c>
    </row>
    <row r="281" spans="1:13" x14ac:dyDescent="0.35">
      <c r="A281" s="48"/>
      <c r="B281" s="48"/>
      <c r="C281" s="50"/>
      <c r="D281" s="50"/>
      <c r="E281" s="51" t="str">
        <f t="shared" si="103"/>
        <v/>
      </c>
      <c r="F281" s="68" t="str">
        <f t="shared" si="101"/>
        <v/>
      </c>
      <c r="G281" s="69" t="str">
        <f t="shared" si="104"/>
        <v/>
      </c>
      <c r="H281" s="70" t="str">
        <f t="shared" si="102"/>
        <v/>
      </c>
      <c r="I281" s="27" t="str">
        <f>IF(N(J281)=0,"",0&amp;"-"&amp;B$5)</f>
        <v/>
      </c>
      <c r="J281" s="52" t="str">
        <f>IF(N(B$5)=0,"",IF(AND(COUNT(H278:H289)=2,COUNT(F278:F289)=2),cubic_spline(F277:F279,H277:H279,B$5),IF(AND(COUNT(H278:H289)=3,COUNT(F278:F289)=3),cubic_spline(F277:F280,H277:H280,B$5),IF(AND(COUNT(H278:H289)=4,COUNT(F278:F289)=4),cubic_spline(F277:F281,H277:H281,B$5),IF(AND(COUNT(H278:H289)=5,COUNT(F278:F289)=5),cubic_spline(F277:F282,H277:H282,B$5),IF(AND(COUNT(H278:H289)=6,COUNT(F278:F289)=6),cubic_spline(F277:F283,H277:H283,B$5),IF(AND(COUNT(H278:H289)=7,COUNT(F278:F289)=7),cubic_spline(F277:F284,H277:H284,B$5),IF(AND(COUNT(H278:H289)=8,COUNT(F278:F289)=8),cubic_spline(F277:F285,H277:H285,B$5),IF(AND(COUNT(H278:H289)=9,COUNT(F278:F289)=9),cubic_spline(F277:F286,H277:H286,B$5),IF(AND(COUNT(H278:H289)=10,COUNT(F278:F289)=10),cubic_spline(F277:F287,H277:H287,B$5),IF(AND(COUNT(H278:H289)=11,COUNT(F278:F289)=11),cubic_spline(F277:F288,H277:H288,B$5),IF(AND(COUNT(H278:H289)=12,COUNT(F278:F289)=12),cubic_spline(F277:F289,H277:H289,B$5),""))))))))))))</f>
        <v/>
      </c>
      <c r="K281" s="52" t="str">
        <f>IF(N(B$5)=0,"",IF(AND(COUNT(A278:A289)=2,COUNT(F278:F289)=2),cubic_spline(F277:F279,A277:A279,B$5),IF(AND(COUNT(A278:A289)=3,COUNT(F278:F289)=3),cubic_spline(F277:F280,A277:A280,B$5),IF(AND(COUNT(A278:A289)=4,COUNT(F278:F289)=4),cubic_spline(F277:F281,A277:A281,B$5),IF(AND(COUNT(A278:A289)=5,COUNT(F278:F289)=5),cubic_spline(F277:F282,A277:A282,B$5),IF(AND(COUNT(A278:A289)=6,COUNT(F278:F289)=6),cubic_spline(F277:F283,A277:A283,B$5),IF(AND(COUNT(A278:A289)=7,COUNT(F278:F289)=7),cubic_spline(F277:F284,A277:A284,B$5),IF(AND(COUNT(A278:A289)=8,COUNT(F278:F289)=8),cubic_spline(F277:F285,A277:A285,B$5),IF(AND(COUNT(A278:A289)=9,COUNT(F278:F289)=9),cubic_spline(F277:F286,A277:A286,B$5),IF(AND(COUNT(A278:A289)=10,COUNT(F278:F289)=10),cubic_spline(F277:F287,A277:A287,B$5),IF(AND(COUNT(A278:A289)=11,COUNT(F278:F289)=11),cubic_spline(F277:F288,A277:A288,B$5),IF(AND(COUNT(A278:A289)=12,COUNT(F278:F289)=12),cubic_spline(F277:F289,A277:A289,B$5),""))))))))))))</f>
        <v/>
      </c>
      <c r="L281" s="27" t="str">
        <f>IF(I281="","",B$4&amp;"-"&amp;B$5)</f>
        <v/>
      </c>
      <c r="M281" s="52" t="str">
        <f>IF(N(J281)=0,"",J281-J280)</f>
        <v/>
      </c>
    </row>
    <row r="282" spans="1:13" x14ac:dyDescent="0.35">
      <c r="A282" s="48"/>
      <c r="B282" s="48"/>
      <c r="C282" s="50"/>
      <c r="D282" s="50"/>
      <c r="E282" s="51" t="str">
        <f t="shared" si="103"/>
        <v/>
      </c>
      <c r="F282" s="71" t="str">
        <f t="shared" si="101"/>
        <v/>
      </c>
      <c r="G282" s="69" t="str">
        <f t="shared" si="104"/>
        <v/>
      </c>
      <c r="H282" s="70" t="str">
        <f t="shared" si="102"/>
        <v/>
      </c>
      <c r="I282" s="27" t="str">
        <f>IF(N(J282)=0,"",0&amp;"-"&amp;B$6)</f>
        <v/>
      </c>
      <c r="J282" s="52" t="str">
        <f>IF(N(B$6)=0,"",IF(AND(COUNT(H278:H289)=2,COUNT(F278:F289)=2),cubic_spline(F277:F279,H277:H279,B$6),IF(AND(COUNT(H278:H289)=3,COUNT(F278:F289)=3),cubic_spline(F277:F280,H277:H280,B$6),IF(AND(COUNT(H278:H289)=4,COUNT(F278:F289)=4),cubic_spline(F277:F281,H277:H281,B$6),IF(AND(COUNT(H278:H289)=5,COUNT(F278:F289)=5),cubic_spline(F277:F282,H277:H282,B$6),IF(AND(COUNT(H278:H289)=6,COUNT(F278:F289)=6),cubic_spline(F277:F283,H277:H283,B$6),IF(AND(COUNT(H278:H289)=7,COUNT(F278:F289)=7),cubic_spline(F277:F284,H277:H284,B$6),IF(AND(COUNT(H278:H289)=8,COUNT(F278:F289)=8),cubic_spline(F277:F285,H277:H285,B$6),IF(AND(COUNT(H278:H289)=9,COUNT(F278:F289)=9),cubic_spline(F277:F286,H277:H286,B$6),IF(AND(COUNT(H278:H289)=10,COUNT(F278:F289)=10),cubic_spline(F277:F287,H277:H287,B$6),IF(AND(COUNT(H278:H289)=11,COUNT(F278:F289)=11),cubic_spline(F277:F288,H277:H288,B$6),IF(AND(COUNT(H278:H289)=12,COUNT(F278:F289)=12),cubic_spline(F277:F289,H277:H289,B$6),""))))))))))))</f>
        <v/>
      </c>
      <c r="K282" s="52" t="str">
        <f>IF(N(B$6)=0,"",IF(AND(COUNT(A278:A289)=2,COUNT(F278:F289)=2),cubic_spline(F277:F279,A277:A279,B$6),IF(AND(COUNT(A278:A289)=3,COUNT(F278:F289)=3),cubic_spline(F277:F280,A277:A280,B$6),IF(AND(COUNT(A278:A289)=4,COUNT(F278:F289)=4),cubic_spline(F277:F281,A277:A281,B$6),IF(AND(COUNT(A278:A289)=5,COUNT(F278:F289)=5),cubic_spline(F277:F282,A277:A282,B$6),IF(AND(COUNT(A278:A289)=6,COUNT(F278:F289)=6),cubic_spline(F277:F283,A277:A283,B$6),IF(AND(COUNT(A278:A289)=7,COUNT(F278:F289)=7),cubic_spline(F277:F284,A277:A284,B$6),IF(AND(COUNT(A278:A289)=8,COUNT(F278:F289)=8),cubic_spline(F277:F285,A277:A285,B$6),IF(AND(COUNT(A278:A289)=9,COUNT(F278:F289)=9),cubic_spline(F277:F286,A277:A286,B$6),IF(AND(COUNT(A278:A289)=10,COUNT(F278:F289)=10),cubic_spline(F277:F287,A277:A287,B$6),IF(AND(COUNT(A278:A289)=11,COUNT(F278:F289)=11),cubic_spline(F277:F288,A277:A288,B$6),IF(AND(COUNT(A278:A289)=12,COUNT(F278:F289)=12),cubic_spline(F277:F289,A277:A289,B$6),""))))))))))))</f>
        <v/>
      </c>
      <c r="L282" s="27" t="str">
        <f>IF(I282="","",B$5&amp;"-"&amp;B$6)</f>
        <v/>
      </c>
      <c r="M282" s="52" t="str">
        <f>IF(N(J282)=0,"",J282-J281)</f>
        <v/>
      </c>
    </row>
    <row r="283" spans="1:13" x14ac:dyDescent="0.35">
      <c r="A283" s="48"/>
      <c r="B283" s="48"/>
      <c r="C283" s="50"/>
      <c r="D283" s="50"/>
      <c r="E283" s="51" t="str">
        <f t="shared" si="103"/>
        <v/>
      </c>
      <c r="F283" s="71" t="str">
        <f t="shared" si="101"/>
        <v/>
      </c>
      <c r="G283" s="69" t="str">
        <f t="shared" si="104"/>
        <v/>
      </c>
      <c r="H283" s="70" t="str">
        <f t="shared" si="102"/>
        <v/>
      </c>
      <c r="I283" s="27" t="str">
        <f>IF(N(J283)=0,"",0&amp;"-"&amp;B$7)</f>
        <v/>
      </c>
      <c r="J283" s="52" t="str">
        <f>IF(N(B$7)=0,"",IF(AND(COUNT(H278:H289)=2,COUNT(F278:F289)=2),cubic_spline(F277:F279,H277:H279,B$7),IF(AND(COUNT(H278:H289)=3,COUNT(F278:F289)=3),cubic_spline(F277:F280,H277:H280,B$7),IF(AND(COUNT(H278:H289)=4,COUNT(F278:F289)=4),cubic_spline(F277:F281,H277:H281,B$7),IF(AND(COUNT(H278:H289)=5,COUNT(F278:F289)=5),cubic_spline(F277:F282,H277:H282,B$7),IF(AND(COUNT(H278:H289)=6,COUNT(F278:F289)=6),cubic_spline(F277:F283,H277:H283,B$7),IF(AND(COUNT(H278:H289)=7,COUNT(F278:F289)=7),cubic_spline(F277:F284,H277:H284,B$7),IF(AND(COUNT(H278:H289)=8,COUNT(F278:F289)=8),cubic_spline(F277:F285,H277:H285,B$7),IF(AND(COUNT(H278:H289)=9,COUNT(F278:F289)=9),cubic_spline(F277:F286,H277:H286,B$7),IF(AND(COUNT(H278:H289)=10,COUNT(F278:F289)=10),cubic_spline(F277:F287,H277:H287,B$7),IF(AND(COUNT(H278:H289)=11,COUNT(F278:F289)=11),cubic_spline(F277:F288,H277:H288,B$7),IF(AND(COUNT(H278:H289)=12,COUNT(F278:F289)=12),cubic_spline(F277:F289,H277:H289,B$7),""))))))))))))</f>
        <v/>
      </c>
      <c r="K283" s="52" t="str">
        <f>IF(N(B$7)=0,"",IF(AND(COUNT(A278:A289)=2,COUNT(F278:F289)=2),cubic_spline(F277:F279,A277:A279,B$7),IF(AND(COUNT(A278:A289)=3,COUNT(F278:F289)=3),cubic_spline(F277:F280,A277:A280,B$7),IF(AND(COUNT(A278:A289)=4,COUNT(F278:F289)=4),cubic_spline(F277:F281,A277:A281,B$7),IF(AND(COUNT(A278:A289)=5,COUNT(F278:F289)=5),cubic_spline(F277:F282,A277:A282,B$7),IF(AND(COUNT(A278:A289)=6,COUNT(F278:F289)=6),cubic_spline(F277:F283,A277:A283,B$7),IF(AND(COUNT(A278:A289)=7,COUNT(F278:F289)=7),cubic_spline(F277:F284,A277:A284,B$7),IF(AND(COUNT(A278:A289)=8,COUNT(F278:F289)=8),cubic_spline(F277:F285,A277:A285,B$7),IF(AND(COUNT(A278:A289)=9,COUNT(F278:F289)=9),cubic_spline(F277:F286,A277:A286,B$7),IF(AND(COUNT(A278:A289)=10,COUNT(F278:F289)=10),cubic_spline(F277:F287,A277:A287,B$7),IF(AND(COUNT(A278:A289)=11,COUNT(F278:F289)=11),cubic_spline(F277:F288,A277:A288,B$7),IF(AND(COUNT(A278:A289)=12,COUNT(F278:F289)=12),cubic_spline(F277:F289,A277:A289,B$7),""))))))))))))</f>
        <v/>
      </c>
      <c r="L283" s="27" t="str">
        <f>IF(I283="","",B$6&amp;"-"&amp;B$7)</f>
        <v/>
      </c>
      <c r="M283" s="52" t="str">
        <f t="shared" ref="M283:M289" si="105">IF(N(J283)=0,"",J283-J282)</f>
        <v/>
      </c>
    </row>
    <row r="284" spans="1:13" x14ac:dyDescent="0.35">
      <c r="A284" s="48"/>
      <c r="B284" s="48"/>
      <c r="C284" s="50"/>
      <c r="D284" s="50"/>
      <c r="E284" s="51" t="str">
        <f t="shared" si="103"/>
        <v/>
      </c>
      <c r="F284" s="71" t="str">
        <f t="shared" si="101"/>
        <v/>
      </c>
      <c r="G284" s="69" t="str">
        <f t="shared" si="104"/>
        <v/>
      </c>
      <c r="H284" s="70" t="str">
        <f t="shared" si="102"/>
        <v/>
      </c>
      <c r="I284" s="27" t="str">
        <f>IF(N(J284)=0,"",0&amp;"-"&amp;B$8)</f>
        <v/>
      </c>
      <c r="J284" s="52" t="str">
        <f>IF(N(B$8)=0,"",IF(AND(COUNT(H278:H289)=2,COUNT(F278:F289)=2),cubic_spline(F277:F279,H277:H279,B$8),IF(AND(COUNT(H278:H289)=3,COUNT(F278:F289)=3),cubic_spline(F277:F280,H277:H280,B$8),IF(AND(COUNT(H278:H289)=4,COUNT(F278:F289)=4),cubic_spline(F277:F281,H277:H281,B$8),IF(AND(COUNT(H278:H289)=5,COUNT(F278:F289)=5),cubic_spline(F277:F282,H277:H282,B$8),IF(AND(COUNT(H278:H289)=6,COUNT(F278:F289)=6),cubic_spline(F277:F283,H277:H283,B$8),IF(AND(COUNT(H278:H289)=7,COUNT(F278:F289)=7),cubic_spline(F277:F284,H277:H284,B$8),IF(AND(COUNT(H278:H289)=8,COUNT(F278:F289)=8),cubic_spline(F277:F285,H277:H285,B$8),IF(AND(COUNT(H278:H289)=9,COUNT(F278:F289)=9),cubic_spline(F277:F286,H277:H286,B$8),IF(AND(COUNT(H278:H289)=10,COUNT(F278:F289)=10),cubic_spline(F277:F287,H277:H287,B$8),IF(AND(COUNT(H278:H289)=11,COUNT(F278:F289)=11),cubic_spline(F277:F288,H277:H288,B$8),IF(AND(COUNT(H278:H289)=12,COUNT(F278:F289)=12),cubic_spline(F277:F289,H277:H289,B$8),""))))))))))))</f>
        <v/>
      </c>
      <c r="K284" s="52" t="str">
        <f>IF(N(B$8)=0,"",IF(AND(COUNT(A278:A289)=2,COUNT(F278:F289)=2),cubic_spline(F277:F279,A277:A279,B$8),IF(AND(COUNT(A278:A289)=3,COUNT(F278:F289)=3),cubic_spline(F277:F280,A277:A280,B$8),IF(AND(COUNT(A278:A289)=4,COUNT(F278:F289)=4),cubic_spline(F277:F281,A277:A281,B$8),IF(AND(COUNT(A278:A289)=5,COUNT(F278:F289)=5),cubic_spline(F277:F282,A277:A282,B$8),IF(AND(COUNT(A278:A289)=6,COUNT(F278:F289)=6),cubic_spline(F277:F283,A277:A283,B$8),IF(AND(COUNT(A278:A289)=7,COUNT(F278:F289)=7),cubic_spline(F277:F284,A277:A284,B$8),IF(AND(COUNT(A278:A289)=8,COUNT(F278:F289)=8),cubic_spline(F277:F285,A277:A285,B$8),IF(AND(COUNT(A278:A289)=9,COUNT(F278:F289)=9),cubic_spline(F277:F286,A277:A286,B$8),IF(AND(COUNT(A278:A289)=10,COUNT(F278:F289)=10),cubic_spline(F277:F287,A277:A287,B$8),IF(AND(COUNT(A278:A289)=11,COUNT(F278:F289)=11),cubic_spline(F277:F288,A277:A288,B$8),IF(AND(COUNT(A278:A289)=12,COUNT(F278:F289)=12),cubic_spline(F277:F289,A277:A289,B$8),""))))))))))))</f>
        <v/>
      </c>
      <c r="L284" s="27" t="str">
        <f>IF(I284="","",B$7&amp;"-"&amp;B$8)</f>
        <v/>
      </c>
      <c r="M284" s="52" t="str">
        <f t="shared" si="105"/>
        <v/>
      </c>
    </row>
    <row r="285" spans="1:13" x14ac:dyDescent="0.35">
      <c r="A285" s="48"/>
      <c r="B285" s="48"/>
      <c r="C285" s="50"/>
      <c r="D285" s="50"/>
      <c r="E285" s="51" t="str">
        <f t="shared" si="103"/>
        <v/>
      </c>
      <c r="F285" s="71" t="str">
        <f t="shared" si="101"/>
        <v/>
      </c>
      <c r="G285" s="69" t="str">
        <f t="shared" si="104"/>
        <v/>
      </c>
      <c r="H285" s="70" t="str">
        <f t="shared" si="102"/>
        <v/>
      </c>
      <c r="I285" s="27" t="str">
        <f>IF(N(J285)=0,"",0&amp;"-"&amp;B$9)</f>
        <v/>
      </c>
      <c r="J285" s="52" t="str">
        <f>IF(N(B$9)=0,"",IF(AND(COUNT(H278:H289)=2,COUNT(F278:F289)=2),cubic_spline(F277:F279,H277:H279,B$9),IF(AND(COUNT(H278:H289)=3,COUNT(F278:F289)=3),cubic_spline(F277:F280,H277:H280,B$9),IF(AND(COUNT(H278:H289)=4,COUNT(F278:F289)=4),cubic_spline(F277:F281,H277:H281,B$9),IF(AND(COUNT(H278:H289)=5,COUNT(F278:F289)=5),cubic_spline(F277:F282,H277:H282,B$9),IF(AND(COUNT(H278:H289)=6,COUNT(F278:F289)=6),cubic_spline(F277:F283,H277:H283,B$9),IF(AND(COUNT(H278:H289)=7,COUNT(F278:F289)=7),cubic_spline(F277:F284,H277:H284,B$9),IF(AND(COUNT(H278:H289)=8,COUNT(F278:F289)=8),cubic_spline(F277:F285,H277:H285,B$9),IF(AND(COUNT(H278:H289)=9,COUNT(F278:F289)=9),cubic_spline(F277:F286,H277:H286,B$9),IF(AND(COUNT(H278:H289)=10,COUNT(F278:F289)=10),cubic_spline(F277:F287,H277:H287,B$9),IF(AND(COUNT(H278:H289)=11,COUNT(F278:F289)=11),cubic_spline(F277:F288,H277:H288,B$9),IF(AND(COUNT(H278:H289)=12,COUNT(F278:F289)=12),cubic_spline(F277:F289,H277:H289,B$9),""))))))))))))</f>
        <v/>
      </c>
      <c r="K285" s="52" t="str">
        <f>IF(N(B$9)=0,"",IF(AND(COUNT(A278:A289)=2,COUNT(F278:F289)=2),cubic_spline(F277:F279,A277:A279,B$9),IF(AND(COUNT(A278:A289)=3,COUNT(F278:F289)=3),cubic_spline(F277:F280,A277:A280,B$9),IF(AND(COUNT(A278:A289)=4,COUNT(F278:F289)=4),cubic_spline(F277:F281,A277:A281,B$9),IF(AND(COUNT(A278:A289)=5,COUNT(F278:F289)=5),cubic_spline(F277:F282,A277:A282,B$9),IF(AND(COUNT(A278:A289)=6,COUNT(F278:F289)=6),cubic_spline(F277:F283,A277:A283,B$9),IF(AND(COUNT(A278:A289)=7,COUNT(F278:F289)=7),cubic_spline(F277:F284,A277:A284,B$9),IF(AND(COUNT(A278:A289)=8,COUNT(F278:F289)=8),cubic_spline(F277:F285,A277:A285,B$9),IF(AND(COUNT(A278:A289)=9,COUNT(F278:F289)=9),cubic_spline(F277:F286,A277:A286,B$9),IF(AND(COUNT(A278:A289)=10,COUNT(F278:F289)=10),cubic_spline(F277:F287,A277:A287,B$9),IF(AND(COUNT(A278:A289)=11,COUNT(F278:F289)=11),cubic_spline(F277:F288,A277:A288,B$9),IF(AND(COUNT(A278:A289)=12,COUNT(F278:F289)=12),cubic_spline(F277:F289,A277:A289,B$9),""))))))))))))</f>
        <v/>
      </c>
      <c r="L285" s="27" t="str">
        <f>IF(I285="","",B$8&amp;"-"&amp;B$9)</f>
        <v/>
      </c>
      <c r="M285" s="52" t="str">
        <f t="shared" si="105"/>
        <v/>
      </c>
    </row>
    <row r="286" spans="1:13" x14ac:dyDescent="0.35">
      <c r="A286" s="48"/>
      <c r="B286" s="48"/>
      <c r="C286" s="50"/>
      <c r="D286" s="50"/>
      <c r="E286" s="51" t="str">
        <f t="shared" si="103"/>
        <v/>
      </c>
      <c r="F286" s="71" t="str">
        <f t="shared" si="101"/>
        <v/>
      </c>
      <c r="G286" s="69" t="str">
        <f t="shared" si="104"/>
        <v/>
      </c>
      <c r="H286" s="70" t="str">
        <f t="shared" si="102"/>
        <v/>
      </c>
      <c r="I286" s="27" t="str">
        <f>IF(N(J286)=0,"",0&amp;"-"&amp;B$10)</f>
        <v/>
      </c>
      <c r="J286" s="52" t="str">
        <f>IF(N(B$10)=0,"",IF(AND(COUNT(H278:H289)=2,COUNT(F278:F289)=2),cubic_spline(F277:F279,H277:H279,B$10),IF(AND(COUNT(H278:H289)=3,COUNT(F278:F289)=3),cubic_spline(F277:F280,H277:H280,B$10),IF(AND(COUNT(H278:H289)=4,COUNT(F278:F289)=4),cubic_spline(F277:F281,H277:H281,B$10),IF(AND(COUNT(H278:H289)=5,COUNT(F278:F289)=5),cubic_spline(F277:F282,H277:H282,B$10),IF(AND(COUNT(H278:H289)=6,COUNT(F278:F289)=6),cubic_spline(F277:F283,H277:H283,B$10),IF(AND(COUNT(H278:H289)=7,COUNT(F278:F289)=7),cubic_spline(F277:F284,H277:H284,B$10),IF(AND(COUNT(H278:H289)=8,COUNT(F278:F289)=8),cubic_spline(F277:F285,H277:H285,B$10),IF(AND(COUNT(H278:H289)=9,COUNT(F278:F289)=9),cubic_spline(F277:F286,H277:H286,B$10),IF(AND(COUNT(H278:H289)=10,COUNT(F278:F289)=10),cubic_spline(F277:F287,H277:H287,B$10),IF(AND(COUNT(H278:H289)=11,COUNT(F278:F289)=11),cubic_spline(F277:F288,H277:H288,B$10),IF(AND(COUNT(H278:H289)=12,COUNT(F278:F289)=12),cubic_spline(F277:F289,H277:H289,B$10),""))))))))))))</f>
        <v/>
      </c>
      <c r="K286" s="52" t="str">
        <f>IF(N(B$10)=0,"",IF(AND(COUNT(A278:A289)=2,COUNT(F278:F289)=2),cubic_spline(F277:F279,A277:A279,B$10),IF(AND(COUNT(A278:A289)=3,COUNT(F278:F289)=3),cubic_spline(F277:F280,A277:A280,B$10),IF(AND(COUNT(A278:A289)=4,COUNT(F278:F289)=4),cubic_spline(F277:F281,A277:A281,B$10),IF(AND(COUNT(A278:A289)=5,COUNT(F278:F289)=5),cubic_spline(F277:F282,A277:A282,B$10),IF(AND(COUNT(A278:A289)=6,COUNT(F278:F289)=6),cubic_spline(F277:F283,A277:A283,B$10),IF(AND(COUNT(A278:A289)=7,COUNT(F278:F289)=7),cubic_spline(F277:F284,A277:A284,B$10),IF(AND(COUNT(A278:A289)=8,COUNT(F278:F289)=8),cubic_spline(F277:F285,A277:A285,B$10),IF(AND(COUNT(A278:A289)=9,COUNT(F278:F289)=9),cubic_spline(F277:F286,A277:A286,B$10),IF(AND(COUNT(A278:A289)=10,COUNT(F278:F289)=10),cubic_spline(F277:F287,A277:A287,B$10),IF(AND(COUNT(A278:A289)=11,COUNT(F278:F289)=11),cubic_spline(F277:F288,A277:A288,B$10),IF(AND(COUNT(A278:A289)=12,COUNT(F278:F289)=12),cubic_spline(F277:F289,A277:A289,B$10),""))))))))))))</f>
        <v/>
      </c>
      <c r="L286" s="27" t="str">
        <f>IF(I286="","",B$9&amp;"-"&amp;B$10)</f>
        <v/>
      </c>
      <c r="M286" s="52" t="str">
        <f t="shared" si="105"/>
        <v/>
      </c>
    </row>
    <row r="287" spans="1:13" x14ac:dyDescent="0.35">
      <c r="A287" s="48"/>
      <c r="B287" s="48"/>
      <c r="C287" s="50"/>
      <c r="D287" s="50"/>
      <c r="E287" s="51" t="str">
        <f t="shared" si="103"/>
        <v/>
      </c>
      <c r="F287" s="71" t="str">
        <f t="shared" si="101"/>
        <v/>
      </c>
      <c r="G287" s="69" t="str">
        <f t="shared" si="104"/>
        <v/>
      </c>
      <c r="H287" s="70" t="str">
        <f t="shared" si="102"/>
        <v/>
      </c>
      <c r="I287" s="27" t="str">
        <f>IF(N(J287)=0,"",0&amp;"-"&amp;B$11)</f>
        <v/>
      </c>
      <c r="J287" s="52" t="str">
        <f>IF(N(B$11)=0,"",IF(AND(COUNT(H278:H289)=2,COUNT(F278:F289)=2),cubic_spline(F277:F279,H277:H279,B$11),IF(AND(COUNT(H278:H289)=3,COUNT(F278:F289)=3),cubic_spline(F277:F280,H277:H280,B$11),IF(AND(COUNT(H278:H289)=4,COUNT(F278:F289)=4),cubic_spline(F277:F281,H277:H281,B$11),IF(AND(COUNT(H278:H289)=5,COUNT(F278:F289)=5),cubic_spline(F277:F282,H277:H282,B$11),IF(AND(COUNT(H278:H289)=6,COUNT(F278:F289)=6),cubic_spline(F277:F283,H277:H283,B$11),IF(AND(COUNT(H278:H289)=7,COUNT(F278:F289)=7),cubic_spline(F277:F284,H277:H284,B$11),IF(AND(COUNT(H278:H289)=8,COUNT(F278:F289)=8),cubic_spline(F277:F285,H277:H285,B$11),IF(AND(COUNT(H278:H289)=9,COUNT(F278:F289)=9),cubic_spline(F277:F286,H277:H286,B$11),IF(AND(COUNT(H278:H289)=10,COUNT(F278:F289)=10),cubic_spline(F277:F287,H277:H287,B$11),IF(AND(COUNT(H278:H289)=11,COUNT(F278:F289)=11),cubic_spline(F277:F288,H277:H288,B$11),IF(AND(COUNT(H278:H289)=12,COUNT(F278:F289)=12),cubic_spline(F277:F289,H277:H289,B$11),""))))))))))))</f>
        <v/>
      </c>
      <c r="K287" s="52" t="str">
        <f>IF(N(B$11)=0,"",IF(AND(COUNT(A278:A289)=2,COUNT(F278:F289)=2),cubic_spline(F277:F279,A277:A279,B$11),IF(AND(COUNT(A278:A289)=3,COUNT(F278:F289)=3),cubic_spline(F277:F280,A277:A280,B$11),IF(AND(COUNT(A278:A289)=4,COUNT(F278:F289)=4),cubic_spline(F277:F281,A277:A281,B$11),IF(AND(COUNT(A278:A289)=5,COUNT(F278:F289)=5),cubic_spline(F277:F282,A277:A282,B$11),IF(AND(COUNT(A278:A289)=6,COUNT(F278:F289)=6),cubic_spline(F277:F283,A277:A283,B$11),IF(AND(COUNT(A278:A289)=7,COUNT(F278:F289)=7),cubic_spline(F277:F284,A277:A284,B$11),IF(AND(COUNT(A278:A289)=8,COUNT(F278:F289)=8),cubic_spline(F277:F285,A277:A285,B$11),IF(AND(COUNT(A278:A289)=9,COUNT(F278:F289)=9),cubic_spline(F277:F286,A277:A286,B$11),IF(AND(COUNT(A278:A289)=10,COUNT(F278:F289)=10),cubic_spline(F277:F287,A277:A287,B$11),IF(AND(COUNT(A278:A289)=11,COUNT(F278:F289)=11),cubic_spline(F277:F288,A277:A288,B$11),IF(AND(COUNT(A278:A289)=12,COUNT(F278:F289)=12),cubic_spline(F277:F289,A277:A289,B$11),""))))))))))))</f>
        <v/>
      </c>
      <c r="L287" s="27" t="str">
        <f>IF(I287="","",B$10&amp;"-"&amp;B$11)</f>
        <v/>
      </c>
      <c r="M287" s="52" t="str">
        <f t="shared" si="105"/>
        <v/>
      </c>
    </row>
    <row r="288" spans="1:13" x14ac:dyDescent="0.35">
      <c r="A288" s="48"/>
      <c r="B288" s="48"/>
      <c r="C288" s="50"/>
      <c r="D288" s="50"/>
      <c r="E288" s="51" t="str">
        <f t="shared" si="103"/>
        <v/>
      </c>
      <c r="F288" s="71" t="str">
        <f t="shared" si="101"/>
        <v/>
      </c>
      <c r="G288" s="69" t="str">
        <f t="shared" si="104"/>
        <v/>
      </c>
      <c r="H288" s="70" t="str">
        <f t="shared" si="102"/>
        <v/>
      </c>
      <c r="I288" s="27" t="str">
        <f>IF(N(J288)=0,"",0&amp;"-"&amp;B$12)</f>
        <v/>
      </c>
      <c r="J288" s="52" t="str">
        <f>IF(N(B$12)=0,"",IF(AND(COUNT(H278:H289)=2,COUNT(F278:F289)=2),cubic_spline(F277:F279,H277:H279,B$12),IF(AND(COUNT(H278:H289)=3,COUNT(F278:F289)=3),cubic_spline(F277:F280,H277:H280,B$12),IF(AND(COUNT(H278:H289)=4,COUNT(F278:F289)=4),cubic_spline(F277:F281,H277:H281,B$12),IF(AND(COUNT(H278:H289)=5,COUNT(F278:F289)=5),cubic_spline(F277:F282,H277:H282,B$12),IF(AND(COUNT(H278:H289)=6,COUNT(F278:F289)=6),cubic_spline(F277:F283,H277:H283,B$12),IF(AND(COUNT(H278:H289)=7,COUNT(F278:F289)=7),cubic_spline(F277:F284,H277:H284,B$12),IF(AND(COUNT(H278:H289)=8,COUNT(F278:F289)=8),cubic_spline(F277:F285,H277:H285,B$12),IF(AND(COUNT(H278:H289)=9,COUNT(F278:F289)=9),cubic_spline(F277:F286,H277:H286,B$12),IF(AND(COUNT(H278:H289)=10,COUNT(F278:F289)=10),cubic_spline(F277:F287,H277:H287,B$12),IF(AND(COUNT(H278:H289)=11,COUNT(F278:F289)=11),cubic_spline(F277:F288,H277:H288,B$12),IF(AND(COUNT(H278:H289)=12,COUNT(F278:F289)=12),cubic_spline(F277:F289,H277:H289,B$12),""))))))))))))</f>
        <v/>
      </c>
      <c r="K288" s="52" t="str">
        <f>IF(N(B$12)=0,"",IF(AND(COUNT(A278:A289)=2,COUNT(F278:F289)=2),cubic_spline(F277:F279,A277:A279,B$12),IF(AND(COUNT(A278:A289)=3,COUNT(F278:F289)=3),cubic_spline(F277:F280,A277:A280,B$12),IF(AND(COUNT(A278:A289)=4,COUNT(F278:F289)=4),cubic_spline(F277:F281,A277:A281,B$12),IF(AND(COUNT(A278:A289)=5,COUNT(F278:F289)=5),cubic_spline(F277:F282,A277:A282,B$12),IF(AND(COUNT(A278:A289)=6,COUNT(F278:F289)=6),cubic_spline(F277:F283,A277:A283,B$12),IF(AND(COUNT(A278:A289)=7,COUNT(F278:F289)=7),cubic_spline(F277:F284,A277:A284,B$12),IF(AND(COUNT(A278:A289)=8,COUNT(F278:F289)=8),cubic_spline(F277:F285,A277:A285,B$12),IF(AND(COUNT(A278:A289)=9,COUNT(F278:F289)=9),cubic_spline(F277:F286,A277:A286,B$12),IF(AND(COUNT(A278:A289)=10,COUNT(F278:F289)=10),cubic_spline(F277:F287,A277:A287,B$12),IF(AND(COUNT(A278:A289)=11,COUNT(F278:F289)=11),cubic_spline(F277:F288,A277:A288,B$12),IF(AND(COUNT(A278:A289)=12,COUNT(F278:F289)=12),cubic_spline(F277:F289,A277:A289,B$12),""))))))))))))</f>
        <v/>
      </c>
      <c r="L288" s="27" t="str">
        <f>IF(I288="","",B$11&amp;"-"&amp;B$12)</f>
        <v/>
      </c>
      <c r="M288" s="52" t="str">
        <f t="shared" si="105"/>
        <v/>
      </c>
    </row>
    <row r="289" spans="1:13" x14ac:dyDescent="0.35">
      <c r="A289" s="48"/>
      <c r="B289" s="48"/>
      <c r="C289" s="50"/>
      <c r="D289" s="50"/>
      <c r="E289" s="51" t="str">
        <f t="shared" si="103"/>
        <v/>
      </c>
      <c r="F289" s="71" t="str">
        <f t="shared" si="101"/>
        <v/>
      </c>
      <c r="G289" s="69" t="str">
        <f t="shared" si="104"/>
        <v/>
      </c>
      <c r="H289" s="70" t="str">
        <f t="shared" si="102"/>
        <v/>
      </c>
      <c r="I289" s="27" t="str">
        <f>IF(N(J289)=0,"",0&amp;"-"&amp;B$13)</f>
        <v/>
      </c>
      <c r="J289" s="52" t="str">
        <f>IF(N(B$13)=0,"",IF(AND(COUNT(H278:H289)=2,COUNT(F278:F289)=2),cubic_spline(F277:F279,H277:H279,B$13),IF(AND(COUNT(H278:H289)=3,COUNT(F278:F289)=3),cubic_spline(F277:F280,H277:H280,B$13),IF(AND(COUNT(H278:H289)=4,COUNT(F278:F289)=4),cubic_spline(F277:F281,H277:H281,B$13),IF(AND(COUNT(H278:H289)=5,COUNT(F278:F289)=5),cubic_spline(F277:F282,H277:H282,B$13),IF(AND(COUNT(H278:H289)=6,COUNT(F278:F289)=6),cubic_spline(F277:F283,H277:H283,B$13),IF(AND(COUNT(H278:H289)=7,COUNT(F278:F289)=7),cubic_spline(F277:F284,H277:H284,B$13),IF(AND(COUNT(H278:H289)=8,COUNT(F278:F289)=8),cubic_spline(F277:F285,H277:H285,B$13),IF(AND(COUNT(H278:H289)=9,COUNT(F278:F289)=9),cubic_spline(F277:F286,H277:H286,B$13),IF(AND(COUNT(H278:H289)=10,COUNT(F278:F289)=10),cubic_spline(F277:F287,H277:H287,B$13),IF(AND(COUNT(H278:H289)=11,COUNT(F278:F289)=11),cubic_spline(F277:F288,H277:H288,B$13),IF(AND(COUNT(H278:H289)=12,COUNT(F278:F289)=12),cubic_spline(F277:F289,H277:H289,B$13),""))))))))))))</f>
        <v/>
      </c>
      <c r="K289" s="52" t="str">
        <f>IF(N(B$13)=0,"",IF(AND(COUNT(A278:A289)=2,COUNT(F278:F289)=2),cubic_spline(F277:F279,A277:A279,B$13),IF(AND(COUNT(A278:A289)=3,COUNT(F278:F289)=3),cubic_spline(F277:F280,A277:A280,B$13),IF(AND(COUNT(A278:A289)=4,COUNT(F278:F289)=4),cubic_spline(F277:F281,A277:A281,B$13),IF(AND(COUNT(A278:A289)=5,COUNT(F278:F289)=5),cubic_spline(F277:F282,A277:A282,B$13),IF(AND(COUNT(A278:A289)=6,COUNT(F278:F289)=6),cubic_spline(F277:F283,A277:A283,B$13),IF(AND(COUNT(A278:A289)=7,COUNT(F278:F289)=7),cubic_spline(F277:F284,A277:A284,B$13),IF(AND(COUNT(A278:A289)=8,COUNT(F278:F289)=8),cubic_spline(F277:F285,A277:A285,B$13),IF(AND(COUNT(A278:A289)=9,COUNT(F278:F289)=9),cubic_spline(F277:F286,A277:A286,B$13),IF(AND(COUNT(A278:A289)=10,COUNT(F278:F289)=10),cubic_spline(F277:F287,A277:A287,B$13),IF(AND(COUNT(A278:A289)=11,COUNT(F278:F289)=11),cubic_spline(F277:F288,A277:A288,B$13),IF(AND(COUNT(A278:A289)=12,COUNT(F278:F289)=12),cubic_spline(F277:F289,A277:A289,B$13),""))))))))))))</f>
        <v/>
      </c>
      <c r="L289" s="27" t="str">
        <f>IF(I289="","",B$12&amp;"-"&amp;B$13)</f>
        <v/>
      </c>
      <c r="M289" s="52" t="str">
        <f t="shared" si="105"/>
        <v/>
      </c>
    </row>
    <row r="290" spans="1:13" ht="5.15" customHeight="1" x14ac:dyDescent="0.35">
      <c r="A290" s="47"/>
      <c r="B290" s="47"/>
      <c r="C290" s="53"/>
      <c r="D290" s="53"/>
      <c r="E290" s="54"/>
      <c r="F290" s="55"/>
      <c r="G290" s="72"/>
      <c r="H290" s="73"/>
      <c r="I290" s="47"/>
      <c r="J290" s="57"/>
      <c r="K290" s="57"/>
      <c r="L290" s="55"/>
      <c r="M290" s="57"/>
    </row>
    <row r="291" spans="1:13" x14ac:dyDescent="0.35">
      <c r="A291" s="48"/>
      <c r="B291" s="48"/>
      <c r="C291" s="50"/>
      <c r="D291" s="50"/>
      <c r="E291" s="51" t="str">
        <f>IF(N(C291)=0,"",(A291-A290)*C291*100)</f>
        <v/>
      </c>
      <c r="F291" s="68" t="str">
        <f t="shared" ref="F291:F302" si="106">IF(N(E291)=0,"",(N(E291)+N(F290)))</f>
        <v/>
      </c>
      <c r="G291" s="69" t="str">
        <f>IF(OR(N(D291)=0,N(E291)=0),"",(E291*D291)/1000)</f>
        <v/>
      </c>
      <c r="H291" s="70" t="str">
        <f t="shared" ref="H291:H302" si="107">IF(N(G291)=0,"",(N(G291)+N(H290)))</f>
        <v/>
      </c>
      <c r="I291" s="27" t="str">
        <f>IF(N(J291)=0,"",0&amp;"-"&amp;B$2)</f>
        <v/>
      </c>
      <c r="J291" s="52" t="str">
        <f>IF(N(B$2)=0,"",IF(AND(COUNT(H291:H302)=2,COUNT(F291:F302)=2),cubic_spline(F290:F292,H290:H292,B$2),IF(AND(COUNT(H291:H302)=3,COUNT(F291:F302)=3),cubic_spline(F290:F293,H290:H293,B$2),IF(AND(COUNT(H291:H302)=4,COUNT(F291:F302)=4),cubic_spline(F290:F294,H290:H294,B$2),IF(AND(COUNT(H291:H302)=5,COUNT(F291:F302)=5),cubic_spline(F290:F295,H290:H295,B$2),IF(AND(COUNT(H291:H302)=6,COUNT(F291:F302)=6),cubic_spline(F290:F296,H290:H296,B$2),IF(AND(COUNT(H291:H302)=7,COUNT(F291:F302)=7),cubic_spline(F290:F297,H290:H297,B$2),IF(AND(COUNT(H291:H302)=8,COUNT(F291:F302)=8),cubic_spline(F290:F298,H290:H298,B$2),IF(AND(COUNT(H291:H302)=9,COUNT(F291:F302)=9),cubic_spline(F290:F299,H290:H299,B$2),IF(AND(COUNT(H291:H302)=10,COUNT(F291:F302)=10),cubic_spline(F290:F300,H290:H300,B$2),IF(AND(COUNT(H291:H302)=11,COUNT(F291:F302)=11),cubic_spline(F290:F301,H290:H301,B$2),IF(AND(COUNT(H291:H302)=12,COUNT(F291:F302)=12),cubic_spline(F290:F302,H290:H302,B$2),""))))))))))))</f>
        <v/>
      </c>
      <c r="K291" s="52" t="str">
        <f>IF(N(B$2)=0,"",IF(AND(COUNT(A291:A302)=2,COUNT(F291:F302)=2),cubic_spline(F290:F292,A290:A292,B$2),IF(AND(COUNT(A291:A302)=3,COUNT(F291:F302)=3),cubic_spline(F290:F293,A290:A293,B$2),IF(AND(COUNT(A291:A302)=4,COUNT(F291:F302)=4),cubic_spline(F290:F294,A290:A294,B$2),IF(AND(COUNT(A291:A302)=5,COUNT(F291:F302)=5),cubic_spline(F290:F295,A290:A295,B$2),IF(AND(COUNT(A291:A302)=6,COUNT(F291:F302)=6),cubic_spline(F290:F296,A290:A296,B$2),IF(AND(COUNT(A291:A302)=7,COUNT(F291:F302)=7),cubic_spline(F290:F297,A290:A297,B$2),IF(AND(COUNT(A291:A302)=8,COUNT(F291:F302)=8),cubic_spline(F290:F298,A290:A298,B$2),IF(AND(COUNT(A291:A302)=9,COUNT(F291:F302)=9),cubic_spline(F290:F299,A290:A299,B$2),IF(AND(COUNT(A291:A302)=10,COUNT(F291:F302)=10),cubic_spline(F290:F300,A290:A300,B$2),IF(AND(COUNT(A291:A302)=11,COUNT(F291:F302)=11),cubic_spline(F290:F301,A290:A301,B$2),IF(AND(COUNT(A291:A302)=12,COUNT(F291:F302)=12),cubic_spline(F290:F302,A290:A302,B$2),""))))))))))))</f>
        <v/>
      </c>
      <c r="L291" s="27" t="str">
        <f>IF(I291="","",0&amp;"-"&amp;B$2)</f>
        <v/>
      </c>
      <c r="M291" s="52" t="str">
        <f>IF(N(J291)=0,"",J291-J290)</f>
        <v/>
      </c>
    </row>
    <row r="292" spans="1:13" x14ac:dyDescent="0.35">
      <c r="A292" s="48"/>
      <c r="B292" s="48"/>
      <c r="C292" s="50"/>
      <c r="D292" s="50"/>
      <c r="E292" s="51" t="str">
        <f t="shared" ref="E292:E302" si="108">IF(N(C292)=0,"",(A292-A291)*C292*100)</f>
        <v/>
      </c>
      <c r="F292" s="68" t="str">
        <f t="shared" si="106"/>
        <v/>
      </c>
      <c r="G292" s="69" t="str">
        <f t="shared" ref="G292:G302" si="109">IF(OR(N(D292)=0,N(E292)=0),"",(E292*D292)/1000)</f>
        <v/>
      </c>
      <c r="H292" s="70" t="str">
        <f t="shared" si="107"/>
        <v/>
      </c>
      <c r="I292" s="27" t="str">
        <f>IF(N(J292)=0,"",0&amp;"-"&amp;B$3)</f>
        <v/>
      </c>
      <c r="J292" s="52" t="str">
        <f>IF(N(B$3)=0,"",IF(AND(COUNT(H291:H302)=2,COUNT(F291:F302)=2),cubic_spline(F290:F292,H290:H292,B$3),IF(AND(COUNT(H291:H302)=3,COUNT(F291:F302)=3),cubic_spline(F290:F293,H290:H293,B$3),IF(AND(COUNT(H291:H302)=4,COUNT(F291:F302)=4),cubic_spline(F290:F294,H290:H294,B$3),IF(AND(COUNT(H291:H302)=5,COUNT(F291:F302)=5),cubic_spline(F290:F295,H290:H295,B$3),IF(AND(COUNT(H291:H302)=6,COUNT(F291:F302)=6),cubic_spline(F290:F296,H290:H296,B$3),IF(AND(COUNT(H291:H302)=7,COUNT(F291:F302)=7),cubic_spline(F290:F297,H290:H297,B$3),IF(AND(COUNT(H291:H302)=8,COUNT(F291:F302)=8),cubic_spline(F290:F298,H290:H298,B$3),IF(AND(COUNT(H291:H302)=9,COUNT(F291:F302)=9),cubic_spline(F290:F299,H290:H299,B$3),IF(AND(COUNT(H291:H302)=10,COUNT(F291:F302)=10),cubic_spline(F290:F300,H290:H300,B$3),IF(AND(COUNT(H291:H302)=11,COUNT(F291:F302)=11),cubic_spline(F290:F301,H290:H301,B$3),IF(AND(COUNT(H291:H302)=12,COUNT(F291:F302)=12),cubic_spline(F290:F302,H290:H302,B$3),""))))))))))))</f>
        <v/>
      </c>
      <c r="K292" s="52" t="str">
        <f>IF(N(B$3)=0,"",IF(AND(COUNT(A291:A302)=2,COUNT(F291:F302)=2),cubic_spline(F290:F292,A290:A292,B$3),IF(AND(COUNT(A291:A302)=3,COUNT(F291:F302)=3),cubic_spline(F290:F293,A290:A293,B$3),IF(AND(COUNT(A291:A302)=4,COUNT(F291:F302)=4),cubic_spline(F290:F294,A290:A294,B$3),IF(AND(COUNT(A291:A302)=5,COUNT(F291:F302)=5),cubic_spline(F290:F295,A290:A295,B$3),IF(AND(COUNT(A291:A302)=6,COUNT(F291:F302)=6),cubic_spline(F290:F296,A290:A296,B$3),IF(AND(COUNT(A291:A302)=7,COUNT(F291:F302)=7),cubic_spline(F290:F297,A290:A297,B$3),IF(AND(COUNT(A291:A302)=8,COUNT(F291:F302)=8),cubic_spline(F290:F298,A290:A298,B$3),IF(AND(COUNT(A291:A302)=9,COUNT(F291:F302)=9),cubic_spline(F290:F299,A290:A299,B$3),IF(AND(COUNT(A291:A302)=10,COUNT(F291:F302)=10),cubic_spline(F290:F300,A290:A300,B$3),IF(AND(COUNT(A291:A302)=11,COUNT(F291:F302)=11),cubic_spline(F290:F301,A290:A301,B$3),IF(AND(COUNT(A291:A302)=12,COUNT(F291:F302)=12),cubic_spline(F290:F302,A290:A302,B$3),""))))))))))))</f>
        <v/>
      </c>
      <c r="L292" s="27" t="str">
        <f>IF(I292="","",B$2&amp;"-"&amp;B$3)</f>
        <v/>
      </c>
      <c r="M292" s="52" t="str">
        <f>IF(N(J292)=0,"",J292-J291)</f>
        <v/>
      </c>
    </row>
    <row r="293" spans="1:13" x14ac:dyDescent="0.35">
      <c r="A293" s="48"/>
      <c r="B293" s="48"/>
      <c r="C293" s="50"/>
      <c r="D293" s="50"/>
      <c r="E293" s="51" t="str">
        <f t="shared" si="108"/>
        <v/>
      </c>
      <c r="F293" s="68" t="str">
        <f t="shared" si="106"/>
        <v/>
      </c>
      <c r="G293" s="69" t="str">
        <f t="shared" si="109"/>
        <v/>
      </c>
      <c r="H293" s="70" t="str">
        <f t="shared" si="107"/>
        <v/>
      </c>
      <c r="I293" s="27" t="str">
        <f>IF(N(J293)=0,"",0&amp;"-"&amp;B$4)</f>
        <v/>
      </c>
      <c r="J293" s="52" t="str">
        <f>IF(N(B$4)=0,"",IF(AND(COUNT(H291:H302)=2,COUNT(F291:F302)=2),cubic_spline(F290:F292,H290:H292,B$4),IF(AND(COUNT(H291:H302)=3,COUNT(F291:F302)=3),cubic_spline(F290:F293,H290:H293,B$4),IF(AND(COUNT(H291:H302)=4,COUNT(F291:F302)=4),cubic_spline(F290:F294,H290:H294,B$4),IF(AND(COUNT(H291:H302)=5,COUNT(F291:F302)=5),cubic_spline(F290:F295,H290:H295,B$4),IF(AND(COUNT(H291:H302)=6,COUNT(F291:F302)=6),cubic_spline(F290:F296,H290:H296,B$4),IF(AND(COUNT(H291:H302)=7,COUNT(F291:F302)=7),cubic_spline(F290:F297,H290:H297,B$4),IF(AND(COUNT(H291:H302)=8,COUNT(F291:F302)=8),cubic_spline(F290:F298,H290:H298,B$4),IF(AND(COUNT(H291:H302)=9,COUNT(F291:F302)=9),cubic_spline(F290:F299,H290:H299,B$4),IF(AND(COUNT(H291:H302)=10,COUNT(F291:F302)=10),cubic_spline(F290:F300,H290:H300,B$4),IF(AND(COUNT(H291:H302)=11,COUNT(F291:F302)=11),cubic_spline(F290:F301,H290:H301,B$4),IF(AND(COUNT(H291:H302)=12,COUNT(F291:F302)=12),cubic_spline(F290:F302,H290:H302,B$4),""))))))))))))</f>
        <v/>
      </c>
      <c r="K293" s="52" t="str">
        <f>IF(N(B$4)=0,"",IF(AND(COUNT(A291:A302)=2,COUNT(F291:F302)=2),cubic_spline(F290:F292,A290:A292,B$4),IF(AND(COUNT(A291:A302)=3,COUNT(F291:F302)=3),cubic_spline(F290:F293,A290:A293,B$4),IF(AND(COUNT(A291:A302)=4,COUNT(F291:F302)=4),cubic_spline(F290:F294,A290:A294,B$4),IF(AND(COUNT(A291:A302)=5,COUNT(F291:F302)=5),cubic_spline(F290:F295,A290:A295,B$4),IF(AND(COUNT(A291:A302)=6,COUNT(F291:F302)=6),cubic_spline(F290:F296,A290:A296,B$4),IF(AND(COUNT(A291:A302)=7,COUNT(F291:F302)=7),cubic_spline(F290:F297,A290:A297,B$4),IF(AND(COUNT(A291:A302)=8,COUNT(F291:F302)=8),cubic_spline(F290:F298,A290:A298,B$4),IF(AND(COUNT(A291:A302)=9,COUNT(F291:F302)=9),cubic_spline(F290:F299,A290:A299,B$4),IF(AND(COUNT(A291:A302)=10,COUNT(F291:F302)=10),cubic_spline(F290:F300,A290:A300,B$4),IF(AND(COUNT(A291:A302)=11,COUNT(F291:F302)=11),cubic_spline(F290:F301,A290:A301,B$4),IF(AND(COUNT(A291:A302)=12,COUNT(F291:F302)=12),cubic_spline(F290:F302,A290:A302,B$4),""))))))))))))</f>
        <v/>
      </c>
      <c r="L293" s="27" t="str">
        <f>IF(I293="","",B$3&amp;"-"&amp;B$4)</f>
        <v/>
      </c>
      <c r="M293" s="52" t="str">
        <f>IF(N(J293)=0,"",J293-J292)</f>
        <v/>
      </c>
    </row>
    <row r="294" spans="1:13" x14ac:dyDescent="0.35">
      <c r="A294" s="48"/>
      <c r="B294" s="48"/>
      <c r="C294" s="50"/>
      <c r="D294" s="50"/>
      <c r="E294" s="51" t="str">
        <f t="shared" si="108"/>
        <v/>
      </c>
      <c r="F294" s="68" t="str">
        <f t="shared" si="106"/>
        <v/>
      </c>
      <c r="G294" s="69" t="str">
        <f t="shared" si="109"/>
        <v/>
      </c>
      <c r="H294" s="70" t="str">
        <f t="shared" si="107"/>
        <v/>
      </c>
      <c r="I294" s="27" t="str">
        <f>IF(N(J294)=0,"",0&amp;"-"&amp;B$5)</f>
        <v/>
      </c>
      <c r="J294" s="52" t="str">
        <f>IF(N(B$5)=0,"",IF(AND(COUNT(H291:H302)=2,COUNT(F291:F302)=2),cubic_spline(F290:F292,H290:H292,B$5),IF(AND(COUNT(H291:H302)=3,COUNT(F291:F302)=3),cubic_spline(F290:F293,H290:H293,B$5),IF(AND(COUNT(H291:H302)=4,COUNT(F291:F302)=4),cubic_spline(F290:F294,H290:H294,B$5),IF(AND(COUNT(H291:H302)=5,COUNT(F291:F302)=5),cubic_spline(F290:F295,H290:H295,B$5),IF(AND(COUNT(H291:H302)=6,COUNT(F291:F302)=6),cubic_spline(F290:F296,H290:H296,B$5),IF(AND(COUNT(H291:H302)=7,COUNT(F291:F302)=7),cubic_spline(F290:F297,H290:H297,B$5),IF(AND(COUNT(H291:H302)=8,COUNT(F291:F302)=8),cubic_spline(F290:F298,H290:H298,B$5),IF(AND(COUNT(H291:H302)=9,COUNT(F291:F302)=9),cubic_spline(F290:F299,H290:H299,B$5),IF(AND(COUNT(H291:H302)=10,COUNT(F291:F302)=10),cubic_spline(F290:F300,H290:H300,B$5),IF(AND(COUNT(H291:H302)=11,COUNT(F291:F302)=11),cubic_spline(F290:F301,H290:H301,B$5),IF(AND(COUNT(H291:H302)=12,COUNT(F291:F302)=12),cubic_spline(F290:F302,H290:H302,B$5),""))))))))))))</f>
        <v/>
      </c>
      <c r="K294" s="52" t="str">
        <f>IF(N(B$5)=0,"",IF(AND(COUNT(A291:A302)=2,COUNT(F291:F302)=2),cubic_spline(F290:F292,A290:A292,B$5),IF(AND(COUNT(A291:A302)=3,COUNT(F291:F302)=3),cubic_spline(F290:F293,A290:A293,B$5),IF(AND(COUNT(A291:A302)=4,COUNT(F291:F302)=4),cubic_spline(F290:F294,A290:A294,B$5),IF(AND(COUNT(A291:A302)=5,COUNT(F291:F302)=5),cubic_spline(F290:F295,A290:A295,B$5),IF(AND(COUNT(A291:A302)=6,COUNT(F291:F302)=6),cubic_spline(F290:F296,A290:A296,B$5),IF(AND(COUNT(A291:A302)=7,COUNT(F291:F302)=7),cubic_spline(F290:F297,A290:A297,B$5),IF(AND(COUNT(A291:A302)=8,COUNT(F291:F302)=8),cubic_spline(F290:F298,A290:A298,B$5),IF(AND(COUNT(A291:A302)=9,COUNT(F291:F302)=9),cubic_spline(F290:F299,A290:A299,B$5),IF(AND(COUNT(A291:A302)=10,COUNT(F291:F302)=10),cubic_spline(F290:F300,A290:A300,B$5),IF(AND(COUNT(A291:A302)=11,COUNT(F291:F302)=11),cubic_spline(F290:F301,A290:A301,B$5),IF(AND(COUNT(A291:A302)=12,COUNT(F291:F302)=12),cubic_spline(F290:F302,A290:A302,B$5),""))))))))))))</f>
        <v/>
      </c>
      <c r="L294" s="27" t="str">
        <f>IF(I294="","",B$4&amp;"-"&amp;B$5)</f>
        <v/>
      </c>
      <c r="M294" s="52" t="str">
        <f>IF(N(J294)=0,"",J294-J293)</f>
        <v/>
      </c>
    </row>
    <row r="295" spans="1:13" x14ac:dyDescent="0.35">
      <c r="A295" s="48"/>
      <c r="B295" s="48"/>
      <c r="C295" s="50"/>
      <c r="D295" s="50"/>
      <c r="E295" s="51" t="str">
        <f t="shared" si="108"/>
        <v/>
      </c>
      <c r="F295" s="71" t="str">
        <f t="shared" si="106"/>
        <v/>
      </c>
      <c r="G295" s="69" t="str">
        <f t="shared" si="109"/>
        <v/>
      </c>
      <c r="H295" s="70" t="str">
        <f t="shared" si="107"/>
        <v/>
      </c>
      <c r="I295" s="27" t="str">
        <f>IF(N(J295)=0,"",0&amp;"-"&amp;B$6)</f>
        <v/>
      </c>
      <c r="J295" s="52" t="str">
        <f>IF(N(B$6)=0,"",IF(AND(COUNT(H291:H302)=2,COUNT(F291:F302)=2),cubic_spline(F290:F292,H290:H292,B$6),IF(AND(COUNT(H291:H302)=3,COUNT(F291:F302)=3),cubic_spline(F290:F293,H290:H293,B$6),IF(AND(COUNT(H291:H302)=4,COUNT(F291:F302)=4),cubic_spline(F290:F294,H290:H294,B$6),IF(AND(COUNT(H291:H302)=5,COUNT(F291:F302)=5),cubic_spline(F290:F295,H290:H295,B$6),IF(AND(COUNT(H291:H302)=6,COUNT(F291:F302)=6),cubic_spline(F290:F296,H290:H296,B$6),IF(AND(COUNT(H291:H302)=7,COUNT(F291:F302)=7),cubic_spline(F290:F297,H290:H297,B$6),IF(AND(COUNT(H291:H302)=8,COUNT(F291:F302)=8),cubic_spline(F290:F298,H290:H298,B$6),IF(AND(COUNT(H291:H302)=9,COUNT(F291:F302)=9),cubic_spline(F290:F299,H290:H299,B$6),IF(AND(COUNT(H291:H302)=10,COUNT(F291:F302)=10),cubic_spline(F290:F300,H290:H300,B$6),IF(AND(COUNT(H291:H302)=11,COUNT(F291:F302)=11),cubic_spline(F290:F301,H290:H301,B$6),IF(AND(COUNT(H291:H302)=12,COUNT(F291:F302)=12),cubic_spline(F290:F302,H290:H302,B$6),""))))))))))))</f>
        <v/>
      </c>
      <c r="K295" s="52" t="str">
        <f>IF(N(B$6)=0,"",IF(AND(COUNT(A291:A302)=2,COUNT(F291:F302)=2),cubic_spline(F290:F292,A290:A292,B$6),IF(AND(COUNT(A291:A302)=3,COUNT(F291:F302)=3),cubic_spline(F290:F293,A290:A293,B$6),IF(AND(COUNT(A291:A302)=4,COUNT(F291:F302)=4),cubic_spline(F290:F294,A290:A294,B$6),IF(AND(COUNT(A291:A302)=5,COUNT(F291:F302)=5),cubic_spline(F290:F295,A290:A295,B$6),IF(AND(COUNT(A291:A302)=6,COUNT(F291:F302)=6),cubic_spline(F290:F296,A290:A296,B$6),IF(AND(COUNT(A291:A302)=7,COUNT(F291:F302)=7),cubic_spline(F290:F297,A290:A297,B$6),IF(AND(COUNT(A291:A302)=8,COUNT(F291:F302)=8),cubic_spline(F290:F298,A290:A298,B$6),IF(AND(COUNT(A291:A302)=9,COUNT(F291:F302)=9),cubic_spline(F290:F299,A290:A299,B$6),IF(AND(COUNT(A291:A302)=10,COUNT(F291:F302)=10),cubic_spline(F290:F300,A290:A300,B$6),IF(AND(COUNT(A291:A302)=11,COUNT(F291:F302)=11),cubic_spline(F290:F301,A290:A301,B$6),IF(AND(COUNT(A291:A302)=12,COUNT(F291:F302)=12),cubic_spline(F290:F302,A290:A302,B$6),""))))))))))))</f>
        <v/>
      </c>
      <c r="L295" s="27" t="str">
        <f>IF(I295="","",B$5&amp;"-"&amp;B$6)</f>
        <v/>
      </c>
      <c r="M295" s="52" t="str">
        <f>IF(N(J295)=0,"",J295-J294)</f>
        <v/>
      </c>
    </row>
    <row r="296" spans="1:13" x14ac:dyDescent="0.35">
      <c r="A296" s="48"/>
      <c r="B296" s="48"/>
      <c r="C296" s="50"/>
      <c r="D296" s="50"/>
      <c r="E296" s="51" t="str">
        <f t="shared" si="108"/>
        <v/>
      </c>
      <c r="F296" s="71" t="str">
        <f t="shared" si="106"/>
        <v/>
      </c>
      <c r="G296" s="69" t="str">
        <f t="shared" si="109"/>
        <v/>
      </c>
      <c r="H296" s="70" t="str">
        <f t="shared" si="107"/>
        <v/>
      </c>
      <c r="I296" s="27" t="str">
        <f>IF(N(J296)=0,"",0&amp;"-"&amp;B$7)</f>
        <v/>
      </c>
      <c r="J296" s="52" t="str">
        <f>IF(N(B$7)=0,"",IF(AND(COUNT(H291:H302)=2,COUNT(F291:F302)=2),cubic_spline(F290:F292,H290:H292,B$7),IF(AND(COUNT(H291:H302)=3,COUNT(F291:F302)=3),cubic_spline(F290:F293,H290:H293,B$7),IF(AND(COUNT(H291:H302)=4,COUNT(F291:F302)=4),cubic_spline(F290:F294,H290:H294,B$7),IF(AND(COUNT(H291:H302)=5,COUNT(F291:F302)=5),cubic_spline(F290:F295,H290:H295,B$7),IF(AND(COUNT(H291:H302)=6,COUNT(F291:F302)=6),cubic_spline(F290:F296,H290:H296,B$7),IF(AND(COUNT(H291:H302)=7,COUNT(F291:F302)=7),cubic_spline(F290:F297,H290:H297,B$7),IF(AND(COUNT(H291:H302)=8,COUNT(F291:F302)=8),cubic_spline(F290:F298,H290:H298,B$7),IF(AND(COUNT(H291:H302)=9,COUNT(F291:F302)=9),cubic_spline(F290:F299,H290:H299,B$7),IF(AND(COUNT(H291:H302)=10,COUNT(F291:F302)=10),cubic_spline(F290:F300,H290:H300,B$7),IF(AND(COUNT(H291:H302)=11,COUNT(F291:F302)=11),cubic_spline(F290:F301,H290:H301,B$7),IF(AND(COUNT(H291:H302)=12,COUNT(F291:F302)=12),cubic_spline(F290:F302,H290:H302,B$7),""))))))))))))</f>
        <v/>
      </c>
      <c r="K296" s="52" t="str">
        <f>IF(N(B$7)=0,"",IF(AND(COUNT(A291:A302)=2,COUNT(F291:F302)=2),cubic_spline(F290:F292,A290:A292,B$7),IF(AND(COUNT(A291:A302)=3,COUNT(F291:F302)=3),cubic_spline(F290:F293,A290:A293,B$7),IF(AND(COUNT(A291:A302)=4,COUNT(F291:F302)=4),cubic_spline(F290:F294,A290:A294,B$7),IF(AND(COUNT(A291:A302)=5,COUNT(F291:F302)=5),cubic_spline(F290:F295,A290:A295,B$7),IF(AND(COUNT(A291:A302)=6,COUNT(F291:F302)=6),cubic_spline(F290:F296,A290:A296,B$7),IF(AND(COUNT(A291:A302)=7,COUNT(F291:F302)=7),cubic_spline(F290:F297,A290:A297,B$7),IF(AND(COUNT(A291:A302)=8,COUNT(F291:F302)=8),cubic_spline(F290:F298,A290:A298,B$7),IF(AND(COUNT(A291:A302)=9,COUNT(F291:F302)=9),cubic_spline(F290:F299,A290:A299,B$7),IF(AND(COUNT(A291:A302)=10,COUNT(F291:F302)=10),cubic_spline(F290:F300,A290:A300,B$7),IF(AND(COUNT(A291:A302)=11,COUNT(F291:F302)=11),cubic_spline(F290:F301,A290:A301,B$7),IF(AND(COUNT(A291:A302)=12,COUNT(F291:F302)=12),cubic_spline(F290:F302,A290:A302,B$7),""))))))))))))</f>
        <v/>
      </c>
      <c r="L296" s="27" t="str">
        <f>IF(I296="","",B$6&amp;"-"&amp;B$7)</f>
        <v/>
      </c>
      <c r="M296" s="52" t="str">
        <f t="shared" ref="M296:M302" si="110">IF(N(J296)=0,"",J296-J295)</f>
        <v/>
      </c>
    </row>
    <row r="297" spans="1:13" x14ac:dyDescent="0.35">
      <c r="A297" s="48"/>
      <c r="B297" s="48"/>
      <c r="C297" s="50"/>
      <c r="D297" s="50"/>
      <c r="E297" s="51" t="str">
        <f t="shared" si="108"/>
        <v/>
      </c>
      <c r="F297" s="71" t="str">
        <f t="shared" si="106"/>
        <v/>
      </c>
      <c r="G297" s="69" t="str">
        <f t="shared" si="109"/>
        <v/>
      </c>
      <c r="H297" s="70" t="str">
        <f t="shared" si="107"/>
        <v/>
      </c>
      <c r="I297" s="27" t="str">
        <f>IF(N(J297)=0,"",0&amp;"-"&amp;B$8)</f>
        <v/>
      </c>
      <c r="J297" s="52" t="str">
        <f>IF(N(B$8)=0,"",IF(AND(COUNT(H291:H302)=2,COUNT(F291:F302)=2),cubic_spline(F290:F292,H290:H292,B$8),IF(AND(COUNT(H291:H302)=3,COUNT(F291:F302)=3),cubic_spline(F290:F293,H290:H293,B$8),IF(AND(COUNT(H291:H302)=4,COUNT(F291:F302)=4),cubic_spline(F290:F294,H290:H294,B$8),IF(AND(COUNT(H291:H302)=5,COUNT(F291:F302)=5),cubic_spline(F290:F295,H290:H295,B$8),IF(AND(COUNT(H291:H302)=6,COUNT(F291:F302)=6),cubic_spline(F290:F296,H290:H296,B$8),IF(AND(COUNT(H291:H302)=7,COUNT(F291:F302)=7),cubic_spline(F290:F297,H290:H297,B$8),IF(AND(COUNT(H291:H302)=8,COUNT(F291:F302)=8),cubic_spline(F290:F298,H290:H298,B$8),IF(AND(COUNT(H291:H302)=9,COUNT(F291:F302)=9),cubic_spline(F290:F299,H290:H299,B$8),IF(AND(COUNT(H291:H302)=10,COUNT(F291:F302)=10),cubic_spline(F290:F300,H290:H300,B$8),IF(AND(COUNT(H291:H302)=11,COUNT(F291:F302)=11),cubic_spline(F290:F301,H290:H301,B$8),IF(AND(COUNT(H291:H302)=12,COUNT(F291:F302)=12),cubic_spline(F290:F302,H290:H302,B$8),""))))))))))))</f>
        <v/>
      </c>
      <c r="K297" s="52" t="str">
        <f>IF(N(B$8)=0,"",IF(AND(COUNT(A291:A302)=2,COUNT(F291:F302)=2),cubic_spline(F290:F292,A290:A292,B$8),IF(AND(COUNT(A291:A302)=3,COUNT(F291:F302)=3),cubic_spline(F290:F293,A290:A293,B$8),IF(AND(COUNT(A291:A302)=4,COUNT(F291:F302)=4),cubic_spline(F290:F294,A290:A294,B$8),IF(AND(COUNT(A291:A302)=5,COUNT(F291:F302)=5),cubic_spline(F290:F295,A290:A295,B$8),IF(AND(COUNT(A291:A302)=6,COUNT(F291:F302)=6),cubic_spline(F290:F296,A290:A296,B$8),IF(AND(COUNT(A291:A302)=7,COUNT(F291:F302)=7),cubic_spline(F290:F297,A290:A297,B$8),IF(AND(COUNT(A291:A302)=8,COUNT(F291:F302)=8),cubic_spline(F290:F298,A290:A298,B$8),IF(AND(COUNT(A291:A302)=9,COUNT(F291:F302)=9),cubic_spline(F290:F299,A290:A299,B$8),IF(AND(COUNT(A291:A302)=10,COUNT(F291:F302)=10),cubic_spline(F290:F300,A290:A300,B$8),IF(AND(COUNT(A291:A302)=11,COUNT(F291:F302)=11),cubic_spline(F290:F301,A290:A301,B$8),IF(AND(COUNT(A291:A302)=12,COUNT(F291:F302)=12),cubic_spline(F290:F302,A290:A302,B$8),""))))))))))))</f>
        <v/>
      </c>
      <c r="L297" s="27" t="str">
        <f>IF(I297="","",B$7&amp;"-"&amp;B$8)</f>
        <v/>
      </c>
      <c r="M297" s="52" t="str">
        <f t="shared" si="110"/>
        <v/>
      </c>
    </row>
    <row r="298" spans="1:13" x14ac:dyDescent="0.35">
      <c r="A298" s="48"/>
      <c r="B298" s="48"/>
      <c r="C298" s="50"/>
      <c r="D298" s="50"/>
      <c r="E298" s="51" t="str">
        <f t="shared" si="108"/>
        <v/>
      </c>
      <c r="F298" s="71" t="str">
        <f t="shared" si="106"/>
        <v/>
      </c>
      <c r="G298" s="69" t="str">
        <f t="shared" si="109"/>
        <v/>
      </c>
      <c r="H298" s="70" t="str">
        <f t="shared" si="107"/>
        <v/>
      </c>
      <c r="I298" s="27" t="str">
        <f>IF(N(J298)=0,"",0&amp;"-"&amp;B$9)</f>
        <v/>
      </c>
      <c r="J298" s="52" t="str">
        <f>IF(N(B$9)=0,"",IF(AND(COUNT(H291:H302)=2,COUNT(F291:F302)=2),cubic_spline(F290:F292,H290:H292,B$9),IF(AND(COUNT(H291:H302)=3,COUNT(F291:F302)=3),cubic_spline(F290:F293,H290:H293,B$9),IF(AND(COUNT(H291:H302)=4,COUNT(F291:F302)=4),cubic_spline(F290:F294,H290:H294,B$9),IF(AND(COUNT(H291:H302)=5,COUNT(F291:F302)=5),cubic_spline(F290:F295,H290:H295,B$9),IF(AND(COUNT(H291:H302)=6,COUNT(F291:F302)=6),cubic_spline(F290:F296,H290:H296,B$9),IF(AND(COUNT(H291:H302)=7,COUNT(F291:F302)=7),cubic_spline(F290:F297,H290:H297,B$9),IF(AND(COUNT(H291:H302)=8,COUNT(F291:F302)=8),cubic_spline(F290:F298,H290:H298,B$9),IF(AND(COUNT(H291:H302)=9,COUNT(F291:F302)=9),cubic_spline(F290:F299,H290:H299,B$9),IF(AND(COUNT(H291:H302)=10,COUNT(F291:F302)=10),cubic_spline(F290:F300,H290:H300,B$9),IF(AND(COUNT(H291:H302)=11,COUNT(F291:F302)=11),cubic_spline(F290:F301,H290:H301,B$9),IF(AND(COUNT(H291:H302)=12,COUNT(F291:F302)=12),cubic_spline(F290:F302,H290:H302,B$9),""))))))))))))</f>
        <v/>
      </c>
      <c r="K298" s="52" t="str">
        <f>IF(N(B$9)=0,"",IF(AND(COUNT(A291:A302)=2,COUNT(F291:F302)=2),cubic_spline(F290:F292,A290:A292,B$9),IF(AND(COUNT(A291:A302)=3,COUNT(F291:F302)=3),cubic_spline(F290:F293,A290:A293,B$9),IF(AND(COUNT(A291:A302)=4,COUNT(F291:F302)=4),cubic_spline(F290:F294,A290:A294,B$9),IF(AND(COUNT(A291:A302)=5,COUNT(F291:F302)=5),cubic_spline(F290:F295,A290:A295,B$9),IF(AND(COUNT(A291:A302)=6,COUNT(F291:F302)=6),cubic_spline(F290:F296,A290:A296,B$9),IF(AND(COUNT(A291:A302)=7,COUNT(F291:F302)=7),cubic_spline(F290:F297,A290:A297,B$9),IF(AND(COUNT(A291:A302)=8,COUNT(F291:F302)=8),cubic_spline(F290:F298,A290:A298,B$9),IF(AND(COUNT(A291:A302)=9,COUNT(F291:F302)=9),cubic_spline(F290:F299,A290:A299,B$9),IF(AND(COUNT(A291:A302)=10,COUNT(F291:F302)=10),cubic_spline(F290:F300,A290:A300,B$9),IF(AND(COUNT(A291:A302)=11,COUNT(F291:F302)=11),cubic_spline(F290:F301,A290:A301,B$9),IF(AND(COUNT(A291:A302)=12,COUNT(F291:F302)=12),cubic_spline(F290:F302,A290:A302,B$9),""))))))))))))</f>
        <v/>
      </c>
      <c r="L298" s="27" t="str">
        <f>IF(I298="","",B$8&amp;"-"&amp;B$9)</f>
        <v/>
      </c>
      <c r="M298" s="52" t="str">
        <f t="shared" si="110"/>
        <v/>
      </c>
    </row>
    <row r="299" spans="1:13" x14ac:dyDescent="0.35">
      <c r="A299" s="48"/>
      <c r="B299" s="48"/>
      <c r="C299" s="50"/>
      <c r="D299" s="50"/>
      <c r="E299" s="51" t="str">
        <f t="shared" si="108"/>
        <v/>
      </c>
      <c r="F299" s="71" t="str">
        <f t="shared" si="106"/>
        <v/>
      </c>
      <c r="G299" s="69" t="str">
        <f t="shared" si="109"/>
        <v/>
      </c>
      <c r="H299" s="70" t="str">
        <f t="shared" si="107"/>
        <v/>
      </c>
      <c r="I299" s="27" t="str">
        <f>IF(N(J299)=0,"",0&amp;"-"&amp;B$10)</f>
        <v/>
      </c>
      <c r="J299" s="52" t="str">
        <f>IF(N(B$10)=0,"",IF(AND(COUNT(H291:H302)=2,COUNT(F291:F302)=2),cubic_spline(F290:F292,H290:H292,B$10),IF(AND(COUNT(H291:H302)=3,COUNT(F291:F302)=3),cubic_spline(F290:F293,H290:H293,B$10),IF(AND(COUNT(H291:H302)=4,COUNT(F291:F302)=4),cubic_spline(F290:F294,H290:H294,B$10),IF(AND(COUNT(H291:H302)=5,COUNT(F291:F302)=5),cubic_spline(F290:F295,H290:H295,B$10),IF(AND(COUNT(H291:H302)=6,COUNT(F291:F302)=6),cubic_spline(F290:F296,H290:H296,B$10),IF(AND(COUNT(H291:H302)=7,COUNT(F291:F302)=7),cubic_spline(F290:F297,H290:H297,B$10),IF(AND(COUNT(H291:H302)=8,COUNT(F291:F302)=8),cubic_spline(F290:F298,H290:H298,B$10),IF(AND(COUNT(H291:H302)=9,COUNT(F291:F302)=9),cubic_spline(F290:F299,H290:H299,B$10),IF(AND(COUNT(H291:H302)=10,COUNT(F291:F302)=10),cubic_spline(F290:F300,H290:H300,B$10),IF(AND(COUNT(H291:H302)=11,COUNT(F291:F302)=11),cubic_spline(F290:F301,H290:H301,B$10),IF(AND(COUNT(H291:H302)=12,COUNT(F291:F302)=12),cubic_spline(F290:F302,H290:H302,B$10),""))))))))))))</f>
        <v/>
      </c>
      <c r="K299" s="52" t="str">
        <f>IF(N(B$10)=0,"",IF(AND(COUNT(A291:A302)=2,COUNT(F291:F302)=2),cubic_spline(F290:F292,A290:A292,B$10),IF(AND(COUNT(A291:A302)=3,COUNT(F291:F302)=3),cubic_spline(F290:F293,A290:A293,B$10),IF(AND(COUNT(A291:A302)=4,COUNT(F291:F302)=4),cubic_spline(F290:F294,A290:A294,B$10),IF(AND(COUNT(A291:A302)=5,COUNT(F291:F302)=5),cubic_spline(F290:F295,A290:A295,B$10),IF(AND(COUNT(A291:A302)=6,COUNT(F291:F302)=6),cubic_spline(F290:F296,A290:A296,B$10),IF(AND(COUNT(A291:A302)=7,COUNT(F291:F302)=7),cubic_spline(F290:F297,A290:A297,B$10),IF(AND(COUNT(A291:A302)=8,COUNT(F291:F302)=8),cubic_spline(F290:F298,A290:A298,B$10),IF(AND(COUNT(A291:A302)=9,COUNT(F291:F302)=9),cubic_spline(F290:F299,A290:A299,B$10),IF(AND(COUNT(A291:A302)=10,COUNT(F291:F302)=10),cubic_spline(F290:F300,A290:A300,B$10),IF(AND(COUNT(A291:A302)=11,COUNT(F291:F302)=11),cubic_spline(F290:F301,A290:A301,B$10),IF(AND(COUNT(A291:A302)=12,COUNT(F291:F302)=12),cubic_spline(F290:F302,A290:A302,B$10),""))))))))))))</f>
        <v/>
      </c>
      <c r="L299" s="27" t="str">
        <f>IF(I299="","",B$9&amp;"-"&amp;B$10)</f>
        <v/>
      </c>
      <c r="M299" s="52" t="str">
        <f t="shared" si="110"/>
        <v/>
      </c>
    </row>
    <row r="300" spans="1:13" x14ac:dyDescent="0.35">
      <c r="A300" s="48"/>
      <c r="B300" s="48"/>
      <c r="C300" s="50"/>
      <c r="D300" s="50"/>
      <c r="E300" s="51" t="str">
        <f t="shared" si="108"/>
        <v/>
      </c>
      <c r="F300" s="71" t="str">
        <f t="shared" si="106"/>
        <v/>
      </c>
      <c r="G300" s="69" t="str">
        <f t="shared" si="109"/>
        <v/>
      </c>
      <c r="H300" s="70" t="str">
        <f t="shared" si="107"/>
        <v/>
      </c>
      <c r="I300" s="27" t="str">
        <f>IF(N(J300)=0,"",0&amp;"-"&amp;B$11)</f>
        <v/>
      </c>
      <c r="J300" s="52" t="str">
        <f>IF(N(B$11)=0,"",IF(AND(COUNT(H291:H302)=2,COUNT(F291:F302)=2),cubic_spline(F290:F292,H290:H292,B$11),IF(AND(COUNT(H291:H302)=3,COUNT(F291:F302)=3),cubic_spline(F290:F293,H290:H293,B$11),IF(AND(COUNT(H291:H302)=4,COUNT(F291:F302)=4),cubic_spline(F290:F294,H290:H294,B$11),IF(AND(COUNT(H291:H302)=5,COUNT(F291:F302)=5),cubic_spline(F290:F295,H290:H295,B$11),IF(AND(COUNT(H291:H302)=6,COUNT(F291:F302)=6),cubic_spline(F290:F296,H290:H296,B$11),IF(AND(COUNT(H291:H302)=7,COUNT(F291:F302)=7),cubic_spline(F290:F297,H290:H297,B$11),IF(AND(COUNT(H291:H302)=8,COUNT(F291:F302)=8),cubic_spline(F290:F298,H290:H298,B$11),IF(AND(COUNT(H291:H302)=9,COUNT(F291:F302)=9),cubic_spline(F290:F299,H290:H299,B$11),IF(AND(COUNT(H291:H302)=10,COUNT(F291:F302)=10),cubic_spline(F290:F300,H290:H300,B$11),IF(AND(COUNT(H291:H302)=11,COUNT(F291:F302)=11),cubic_spline(F290:F301,H290:H301,B$11),IF(AND(COUNT(H291:H302)=12,COUNT(F291:F302)=12),cubic_spline(F290:F302,H290:H302,B$11),""))))))))))))</f>
        <v/>
      </c>
      <c r="K300" s="52" t="str">
        <f>IF(N(B$11)=0,"",IF(AND(COUNT(A291:A302)=2,COUNT(F291:F302)=2),cubic_spline(F290:F292,A290:A292,B$11),IF(AND(COUNT(A291:A302)=3,COUNT(F291:F302)=3),cubic_spline(F290:F293,A290:A293,B$11),IF(AND(COUNT(A291:A302)=4,COUNT(F291:F302)=4),cubic_spline(F290:F294,A290:A294,B$11),IF(AND(COUNT(A291:A302)=5,COUNT(F291:F302)=5),cubic_spline(F290:F295,A290:A295,B$11),IF(AND(COUNT(A291:A302)=6,COUNT(F291:F302)=6),cubic_spline(F290:F296,A290:A296,B$11),IF(AND(COUNT(A291:A302)=7,COUNT(F291:F302)=7),cubic_spline(F290:F297,A290:A297,B$11),IF(AND(COUNT(A291:A302)=8,COUNT(F291:F302)=8),cubic_spline(F290:F298,A290:A298,B$11),IF(AND(COUNT(A291:A302)=9,COUNT(F291:F302)=9),cubic_spline(F290:F299,A290:A299,B$11),IF(AND(COUNT(A291:A302)=10,COUNT(F291:F302)=10),cubic_spline(F290:F300,A290:A300,B$11),IF(AND(COUNT(A291:A302)=11,COUNT(F291:F302)=11),cubic_spline(F290:F301,A290:A301,B$11),IF(AND(COUNT(A291:A302)=12,COUNT(F291:F302)=12),cubic_spline(F290:F302,A290:A302,B$11),""))))))))))))</f>
        <v/>
      </c>
      <c r="L300" s="27" t="str">
        <f>IF(I300="","",B$10&amp;"-"&amp;B$11)</f>
        <v/>
      </c>
      <c r="M300" s="52" t="str">
        <f t="shared" si="110"/>
        <v/>
      </c>
    </row>
    <row r="301" spans="1:13" x14ac:dyDescent="0.35">
      <c r="A301" s="48"/>
      <c r="B301" s="48"/>
      <c r="C301" s="50"/>
      <c r="D301" s="50"/>
      <c r="E301" s="51" t="str">
        <f t="shared" si="108"/>
        <v/>
      </c>
      <c r="F301" s="71" t="str">
        <f t="shared" si="106"/>
        <v/>
      </c>
      <c r="G301" s="69" t="str">
        <f t="shared" si="109"/>
        <v/>
      </c>
      <c r="H301" s="70" t="str">
        <f t="shared" si="107"/>
        <v/>
      </c>
      <c r="I301" s="27" t="str">
        <f>IF(N(J301)=0,"",0&amp;"-"&amp;B$12)</f>
        <v/>
      </c>
      <c r="J301" s="52" t="str">
        <f>IF(N(B$12)=0,"",IF(AND(COUNT(H291:H302)=2,COUNT(F291:F302)=2),cubic_spline(F290:F292,H290:H292,B$12),IF(AND(COUNT(H291:H302)=3,COUNT(F291:F302)=3),cubic_spline(F290:F293,H290:H293,B$12),IF(AND(COUNT(H291:H302)=4,COUNT(F291:F302)=4),cubic_spline(F290:F294,H290:H294,B$12),IF(AND(COUNT(H291:H302)=5,COUNT(F291:F302)=5),cubic_spline(F290:F295,H290:H295,B$12),IF(AND(COUNT(H291:H302)=6,COUNT(F291:F302)=6),cubic_spline(F290:F296,H290:H296,B$12),IF(AND(COUNT(H291:H302)=7,COUNT(F291:F302)=7),cubic_spline(F290:F297,H290:H297,B$12),IF(AND(COUNT(H291:H302)=8,COUNT(F291:F302)=8),cubic_spline(F290:F298,H290:H298,B$12),IF(AND(COUNT(H291:H302)=9,COUNT(F291:F302)=9),cubic_spline(F290:F299,H290:H299,B$12),IF(AND(COUNT(H291:H302)=10,COUNT(F291:F302)=10),cubic_spline(F290:F300,H290:H300,B$12),IF(AND(COUNT(H291:H302)=11,COUNT(F291:F302)=11),cubic_spline(F290:F301,H290:H301,B$12),IF(AND(COUNT(H291:H302)=12,COUNT(F291:F302)=12),cubic_spline(F290:F302,H290:H302,B$12),""))))))))))))</f>
        <v/>
      </c>
      <c r="K301" s="52" t="str">
        <f>IF(N(B$12)=0,"",IF(AND(COUNT(A291:A302)=2,COUNT(F291:F302)=2),cubic_spline(F290:F292,A290:A292,B$12),IF(AND(COUNT(A291:A302)=3,COUNT(F291:F302)=3),cubic_spline(F290:F293,A290:A293,B$12),IF(AND(COUNT(A291:A302)=4,COUNT(F291:F302)=4),cubic_spline(F290:F294,A290:A294,B$12),IF(AND(COUNT(A291:A302)=5,COUNT(F291:F302)=5),cubic_spline(F290:F295,A290:A295,B$12),IF(AND(COUNT(A291:A302)=6,COUNT(F291:F302)=6),cubic_spline(F290:F296,A290:A296,B$12),IF(AND(COUNT(A291:A302)=7,COUNT(F291:F302)=7),cubic_spline(F290:F297,A290:A297,B$12),IF(AND(COUNT(A291:A302)=8,COUNT(F291:F302)=8),cubic_spline(F290:F298,A290:A298,B$12),IF(AND(COUNT(A291:A302)=9,COUNT(F291:F302)=9),cubic_spline(F290:F299,A290:A299,B$12),IF(AND(COUNT(A291:A302)=10,COUNT(F291:F302)=10),cubic_spline(F290:F300,A290:A300,B$12),IF(AND(COUNT(A291:A302)=11,COUNT(F291:F302)=11),cubic_spline(F290:F301,A290:A301,B$12),IF(AND(COUNT(A291:A302)=12,COUNT(F291:F302)=12),cubic_spline(F290:F302,A290:A302,B$12),""))))))))))))</f>
        <v/>
      </c>
      <c r="L301" s="27" t="str">
        <f>IF(I301="","",B$11&amp;"-"&amp;B$12)</f>
        <v/>
      </c>
      <c r="M301" s="52" t="str">
        <f t="shared" si="110"/>
        <v/>
      </c>
    </row>
    <row r="302" spans="1:13" x14ac:dyDescent="0.35">
      <c r="A302" s="48"/>
      <c r="B302" s="48"/>
      <c r="C302" s="50"/>
      <c r="D302" s="50"/>
      <c r="E302" s="51" t="str">
        <f t="shared" si="108"/>
        <v/>
      </c>
      <c r="F302" s="71" t="str">
        <f t="shared" si="106"/>
        <v/>
      </c>
      <c r="G302" s="69" t="str">
        <f t="shared" si="109"/>
        <v/>
      </c>
      <c r="H302" s="70" t="str">
        <f t="shared" si="107"/>
        <v/>
      </c>
      <c r="I302" s="27" t="str">
        <f>IF(N(J302)=0,"",0&amp;"-"&amp;B$13)</f>
        <v/>
      </c>
      <c r="J302" s="52" t="str">
        <f>IF(N(B$13)=0,"",IF(AND(COUNT(H291:H302)=2,COUNT(F291:F302)=2),cubic_spline(F290:F292,H290:H292,B$13),IF(AND(COUNT(H291:H302)=3,COUNT(F291:F302)=3),cubic_spline(F290:F293,H290:H293,B$13),IF(AND(COUNT(H291:H302)=4,COUNT(F291:F302)=4),cubic_spline(F290:F294,H290:H294,B$13),IF(AND(COUNT(H291:H302)=5,COUNT(F291:F302)=5),cubic_spline(F290:F295,H290:H295,B$13),IF(AND(COUNT(H291:H302)=6,COUNT(F291:F302)=6),cubic_spline(F290:F296,H290:H296,B$13),IF(AND(COUNT(H291:H302)=7,COUNT(F291:F302)=7),cubic_spline(F290:F297,H290:H297,B$13),IF(AND(COUNT(H291:H302)=8,COUNT(F291:F302)=8),cubic_spline(F290:F298,H290:H298,B$13),IF(AND(COUNT(H291:H302)=9,COUNT(F291:F302)=9),cubic_spline(F290:F299,H290:H299,B$13),IF(AND(COUNT(H291:H302)=10,COUNT(F291:F302)=10),cubic_spline(F290:F300,H290:H300,B$13),IF(AND(COUNT(H291:H302)=11,COUNT(F291:F302)=11),cubic_spline(F290:F301,H290:H301,B$13),IF(AND(COUNT(H291:H302)=12,COUNT(F291:F302)=12),cubic_spline(F290:F302,H290:H302,B$13),""))))))))))))</f>
        <v/>
      </c>
      <c r="K302" s="52" t="str">
        <f>IF(N(B$13)=0,"",IF(AND(COUNT(A291:A302)=2,COUNT(F291:F302)=2),cubic_spline(F290:F292,A290:A292,B$13),IF(AND(COUNT(A291:A302)=3,COUNT(F291:F302)=3),cubic_spline(F290:F293,A290:A293,B$13),IF(AND(COUNT(A291:A302)=4,COUNT(F291:F302)=4),cubic_spline(F290:F294,A290:A294,B$13),IF(AND(COUNT(A291:A302)=5,COUNT(F291:F302)=5),cubic_spline(F290:F295,A290:A295,B$13),IF(AND(COUNT(A291:A302)=6,COUNT(F291:F302)=6),cubic_spline(F290:F296,A290:A296,B$13),IF(AND(COUNT(A291:A302)=7,COUNT(F291:F302)=7),cubic_spline(F290:F297,A290:A297,B$13),IF(AND(COUNT(A291:A302)=8,COUNT(F291:F302)=8),cubic_spline(F290:F298,A290:A298,B$13),IF(AND(COUNT(A291:A302)=9,COUNT(F291:F302)=9),cubic_spline(F290:F299,A290:A299,B$13),IF(AND(COUNT(A291:A302)=10,COUNT(F291:F302)=10),cubic_spline(F290:F300,A290:A300,B$13),IF(AND(COUNT(A291:A302)=11,COUNT(F291:F302)=11),cubic_spline(F290:F301,A290:A301,B$13),IF(AND(COUNT(A291:A302)=12,COUNT(F291:F302)=12),cubic_spline(F290:F302,A290:A302,B$13),""))))))))))))</f>
        <v/>
      </c>
      <c r="L302" s="27" t="str">
        <f>IF(I302="","",B$12&amp;"-"&amp;B$13)</f>
        <v/>
      </c>
      <c r="M302" s="52" t="str">
        <f t="shared" si="110"/>
        <v/>
      </c>
    </row>
    <row r="303" spans="1:13" ht="5.15" customHeight="1" x14ac:dyDescent="0.35">
      <c r="A303" s="47"/>
      <c r="B303" s="47"/>
      <c r="C303" s="53"/>
      <c r="D303" s="53"/>
      <c r="E303" s="54"/>
      <c r="F303" s="55"/>
      <c r="G303" s="72"/>
      <c r="H303" s="73"/>
      <c r="I303" s="47"/>
      <c r="J303" s="57"/>
      <c r="K303" s="57"/>
      <c r="L303" s="55"/>
      <c r="M303" s="57"/>
    </row>
    <row r="304" spans="1:13" x14ac:dyDescent="0.35">
      <c r="A304" s="48"/>
      <c r="B304" s="48"/>
      <c r="C304" s="50"/>
      <c r="D304" s="50"/>
      <c r="E304" s="51" t="str">
        <f>IF(N(C304)=0,"",(A304-A303)*C304*100)</f>
        <v/>
      </c>
      <c r="F304" s="68" t="str">
        <f t="shared" ref="F304:F315" si="111">IF(N(E304)=0,"",(N(E304)+N(F303)))</f>
        <v/>
      </c>
      <c r="G304" s="69" t="str">
        <f>IF(OR(N(D304)=0,N(E304)=0),"",(E304*D304)/1000)</f>
        <v/>
      </c>
      <c r="H304" s="70" t="str">
        <f t="shared" ref="H304:H315" si="112">IF(N(G304)=0,"",(N(G304)+N(H303)))</f>
        <v/>
      </c>
      <c r="I304" s="27" t="str">
        <f>IF(N(J304)=0,"",0&amp;"-"&amp;B$2)</f>
        <v/>
      </c>
      <c r="J304" s="52" t="str">
        <f>IF(N(B$2)=0,"",IF(AND(COUNT(H304:H315)=2,COUNT(F304:F315)=2),cubic_spline(F303:F305,H303:H305,B$2),IF(AND(COUNT(H304:H315)=3,COUNT(F304:F315)=3),cubic_spline(F303:F306,H303:H306,B$2),IF(AND(COUNT(H304:H315)=4,COUNT(F304:F315)=4),cubic_spline(F303:F307,H303:H307,B$2),IF(AND(COUNT(H304:H315)=5,COUNT(F304:F315)=5),cubic_spline(F303:F308,H303:H308,B$2),IF(AND(COUNT(H304:H315)=6,COUNT(F304:F315)=6),cubic_spline(F303:F309,H303:H309,B$2),IF(AND(COUNT(H304:H315)=7,COUNT(F304:F315)=7),cubic_spline(F303:F310,H303:H310,B$2),IF(AND(COUNT(H304:H315)=8,COUNT(F304:F315)=8),cubic_spline(F303:F311,H303:H311,B$2),IF(AND(COUNT(H304:H315)=9,COUNT(F304:F315)=9),cubic_spline(F303:F312,H303:H312,B$2),IF(AND(COUNT(H304:H315)=10,COUNT(F304:F315)=10),cubic_spline(F303:F313,H303:H313,B$2),IF(AND(COUNT(H304:H315)=11,COUNT(F304:F315)=11),cubic_spline(F303:F314,H303:H314,B$2),IF(AND(COUNT(H304:H315)=12,COUNT(F304:F315)=12),cubic_spline(F303:F315,H303:H315,B$2),""))))))))))))</f>
        <v/>
      </c>
      <c r="K304" s="52" t="str">
        <f>IF(N(B$2)=0,"",IF(AND(COUNT(A304:A315)=2,COUNT(F304:F315)=2),cubic_spline(F303:F305,A303:A305,B$2),IF(AND(COUNT(A304:A315)=3,COUNT(F304:F315)=3),cubic_spline(F303:F306,A303:A306,B$2),IF(AND(COUNT(A304:A315)=4,COUNT(F304:F315)=4),cubic_spline(F303:F307,A303:A307,B$2),IF(AND(COUNT(A304:A315)=5,COUNT(F304:F315)=5),cubic_spline(F303:F308,A303:A308,B$2),IF(AND(COUNT(A304:A315)=6,COUNT(F304:F315)=6),cubic_spline(F303:F309,A303:A309,B$2),IF(AND(COUNT(A304:A315)=7,COUNT(F304:F315)=7),cubic_spline(F303:F310,A303:A310,B$2),IF(AND(COUNT(A304:A315)=8,COUNT(F304:F315)=8),cubic_spline(F303:F311,A303:A311,B$2),IF(AND(COUNT(A304:A315)=9,COUNT(F304:F315)=9),cubic_spline(F303:F312,A303:A312,B$2),IF(AND(COUNT(A304:A315)=10,COUNT(F304:F315)=10),cubic_spline(F303:F313,A303:A313,B$2),IF(AND(COUNT(A304:A315)=11,COUNT(F304:F315)=11),cubic_spline(F303:F314,A303:A314,B$2),IF(AND(COUNT(A304:A315)=12,COUNT(F304:F315)=12),cubic_spline(F303:F315,A303:A315,B$2),""))))))))))))</f>
        <v/>
      </c>
      <c r="L304" s="27" t="str">
        <f>IF(I304="","",0&amp;"-"&amp;B$2)</f>
        <v/>
      </c>
      <c r="M304" s="52" t="str">
        <f>IF(N(J304)=0,"",J304-J303)</f>
        <v/>
      </c>
    </row>
    <row r="305" spans="1:13" x14ac:dyDescent="0.35">
      <c r="A305" s="48"/>
      <c r="B305" s="48"/>
      <c r="C305" s="50"/>
      <c r="D305" s="50"/>
      <c r="E305" s="51" t="str">
        <f t="shared" ref="E305:E315" si="113">IF(N(C305)=0,"",(A305-A304)*C305*100)</f>
        <v/>
      </c>
      <c r="F305" s="68" t="str">
        <f t="shared" si="111"/>
        <v/>
      </c>
      <c r="G305" s="69" t="str">
        <f t="shared" ref="G305:G315" si="114">IF(OR(N(D305)=0,N(E305)=0),"",(E305*D305)/1000)</f>
        <v/>
      </c>
      <c r="H305" s="70" t="str">
        <f t="shared" si="112"/>
        <v/>
      </c>
      <c r="I305" s="27" t="str">
        <f>IF(N(J305)=0,"",0&amp;"-"&amp;B$3)</f>
        <v/>
      </c>
      <c r="J305" s="52" t="str">
        <f>IF(N(B$3)=0,"",IF(AND(COUNT(H304:H315)=2,COUNT(F304:F315)=2),cubic_spline(F303:F305,H303:H305,B$3),IF(AND(COUNT(H304:H315)=3,COUNT(F304:F315)=3),cubic_spline(F303:F306,H303:H306,B$3),IF(AND(COUNT(H304:H315)=4,COUNT(F304:F315)=4),cubic_spline(F303:F307,H303:H307,B$3),IF(AND(COUNT(H304:H315)=5,COUNT(F304:F315)=5),cubic_spline(F303:F308,H303:H308,B$3),IF(AND(COUNT(H304:H315)=6,COUNT(F304:F315)=6),cubic_spline(F303:F309,H303:H309,B$3),IF(AND(COUNT(H304:H315)=7,COUNT(F304:F315)=7),cubic_spline(F303:F310,H303:H310,B$3),IF(AND(COUNT(H304:H315)=8,COUNT(F304:F315)=8),cubic_spline(F303:F311,H303:H311,B$3),IF(AND(COUNT(H304:H315)=9,COUNT(F304:F315)=9),cubic_spline(F303:F312,H303:H312,B$3),IF(AND(COUNT(H304:H315)=10,COUNT(F304:F315)=10),cubic_spline(F303:F313,H303:H313,B$3),IF(AND(COUNT(H304:H315)=11,COUNT(F304:F315)=11),cubic_spline(F303:F314,H303:H314,B$3),IF(AND(COUNT(H304:H315)=12,COUNT(F304:F315)=12),cubic_spline(F303:F315,H303:H315,B$3),""))))))))))))</f>
        <v/>
      </c>
      <c r="K305" s="52" t="str">
        <f>IF(N(B$3)=0,"",IF(AND(COUNT(A304:A315)=2,COUNT(F304:F315)=2),cubic_spline(F303:F305,A303:A305,B$3),IF(AND(COUNT(A304:A315)=3,COUNT(F304:F315)=3),cubic_spline(F303:F306,A303:A306,B$3),IF(AND(COUNT(A304:A315)=4,COUNT(F304:F315)=4),cubic_spline(F303:F307,A303:A307,B$3),IF(AND(COUNT(A304:A315)=5,COUNT(F304:F315)=5),cubic_spline(F303:F308,A303:A308,B$3),IF(AND(COUNT(A304:A315)=6,COUNT(F304:F315)=6),cubic_spline(F303:F309,A303:A309,B$3),IF(AND(COUNT(A304:A315)=7,COUNT(F304:F315)=7),cubic_spline(F303:F310,A303:A310,B$3),IF(AND(COUNT(A304:A315)=8,COUNT(F304:F315)=8),cubic_spline(F303:F311,A303:A311,B$3),IF(AND(COUNT(A304:A315)=9,COUNT(F304:F315)=9),cubic_spline(F303:F312,A303:A312,B$3),IF(AND(COUNT(A304:A315)=10,COUNT(F304:F315)=10),cubic_spline(F303:F313,A303:A313,B$3),IF(AND(COUNT(A304:A315)=11,COUNT(F304:F315)=11),cubic_spline(F303:F314,A303:A314,B$3),IF(AND(COUNT(A304:A315)=12,COUNT(F304:F315)=12),cubic_spline(F303:F315,A303:A315,B$3),""))))))))))))</f>
        <v/>
      </c>
      <c r="L305" s="27" t="str">
        <f>IF(I305="","",B$2&amp;"-"&amp;B$3)</f>
        <v/>
      </c>
      <c r="M305" s="52" t="str">
        <f>IF(N(J305)=0,"",J305-J304)</f>
        <v/>
      </c>
    </row>
    <row r="306" spans="1:13" x14ac:dyDescent="0.35">
      <c r="A306" s="48"/>
      <c r="B306" s="48"/>
      <c r="C306" s="50"/>
      <c r="D306" s="50"/>
      <c r="E306" s="51" t="str">
        <f t="shared" si="113"/>
        <v/>
      </c>
      <c r="F306" s="68" t="str">
        <f t="shared" si="111"/>
        <v/>
      </c>
      <c r="G306" s="69" t="str">
        <f t="shared" si="114"/>
        <v/>
      </c>
      <c r="H306" s="70" t="str">
        <f t="shared" si="112"/>
        <v/>
      </c>
      <c r="I306" s="27" t="str">
        <f>IF(N(J306)=0,"",0&amp;"-"&amp;B$4)</f>
        <v/>
      </c>
      <c r="J306" s="52" t="str">
        <f>IF(N(B$4)=0,"",IF(AND(COUNT(H304:H315)=2,COUNT(F304:F315)=2),cubic_spline(F303:F305,H303:H305,B$4),IF(AND(COUNT(H304:H315)=3,COUNT(F304:F315)=3),cubic_spline(F303:F306,H303:H306,B$4),IF(AND(COUNT(H304:H315)=4,COUNT(F304:F315)=4),cubic_spline(F303:F307,H303:H307,B$4),IF(AND(COUNT(H304:H315)=5,COUNT(F304:F315)=5),cubic_spline(F303:F308,H303:H308,B$4),IF(AND(COUNT(H304:H315)=6,COUNT(F304:F315)=6),cubic_spline(F303:F309,H303:H309,B$4),IF(AND(COUNT(H304:H315)=7,COUNT(F304:F315)=7),cubic_spline(F303:F310,H303:H310,B$4),IF(AND(COUNT(H304:H315)=8,COUNT(F304:F315)=8),cubic_spline(F303:F311,H303:H311,B$4),IF(AND(COUNT(H304:H315)=9,COUNT(F304:F315)=9),cubic_spline(F303:F312,H303:H312,B$4),IF(AND(COUNT(H304:H315)=10,COUNT(F304:F315)=10),cubic_spline(F303:F313,H303:H313,B$4),IF(AND(COUNT(H304:H315)=11,COUNT(F304:F315)=11),cubic_spline(F303:F314,H303:H314,B$4),IF(AND(COUNT(H304:H315)=12,COUNT(F304:F315)=12),cubic_spline(F303:F315,H303:H315,B$4),""))))))))))))</f>
        <v/>
      </c>
      <c r="K306" s="52" t="str">
        <f>IF(N(B$4)=0,"",IF(AND(COUNT(A304:A315)=2,COUNT(F304:F315)=2),cubic_spline(F303:F305,A303:A305,B$4),IF(AND(COUNT(A304:A315)=3,COUNT(F304:F315)=3),cubic_spline(F303:F306,A303:A306,B$4),IF(AND(COUNT(A304:A315)=4,COUNT(F304:F315)=4),cubic_spline(F303:F307,A303:A307,B$4),IF(AND(COUNT(A304:A315)=5,COUNT(F304:F315)=5),cubic_spline(F303:F308,A303:A308,B$4),IF(AND(COUNT(A304:A315)=6,COUNT(F304:F315)=6),cubic_spline(F303:F309,A303:A309,B$4),IF(AND(COUNT(A304:A315)=7,COUNT(F304:F315)=7),cubic_spline(F303:F310,A303:A310,B$4),IF(AND(COUNT(A304:A315)=8,COUNT(F304:F315)=8),cubic_spline(F303:F311,A303:A311,B$4),IF(AND(COUNT(A304:A315)=9,COUNT(F304:F315)=9),cubic_spline(F303:F312,A303:A312,B$4),IF(AND(COUNT(A304:A315)=10,COUNT(F304:F315)=10),cubic_spline(F303:F313,A303:A313,B$4),IF(AND(COUNT(A304:A315)=11,COUNT(F304:F315)=11),cubic_spline(F303:F314,A303:A314,B$4),IF(AND(COUNT(A304:A315)=12,COUNT(F304:F315)=12),cubic_spline(F303:F315,A303:A315,B$4),""))))))))))))</f>
        <v/>
      </c>
      <c r="L306" s="27" t="str">
        <f>IF(I306="","",B$3&amp;"-"&amp;B$4)</f>
        <v/>
      </c>
      <c r="M306" s="52" t="str">
        <f>IF(N(J306)=0,"",J306-J305)</f>
        <v/>
      </c>
    </row>
    <row r="307" spans="1:13" x14ac:dyDescent="0.35">
      <c r="A307" s="48"/>
      <c r="B307" s="48"/>
      <c r="C307" s="50"/>
      <c r="D307" s="50"/>
      <c r="E307" s="51" t="str">
        <f t="shared" si="113"/>
        <v/>
      </c>
      <c r="F307" s="68" t="str">
        <f t="shared" si="111"/>
        <v/>
      </c>
      <c r="G307" s="69" t="str">
        <f t="shared" si="114"/>
        <v/>
      </c>
      <c r="H307" s="70" t="str">
        <f t="shared" si="112"/>
        <v/>
      </c>
      <c r="I307" s="27" t="str">
        <f>IF(N(J307)=0,"",0&amp;"-"&amp;B$5)</f>
        <v/>
      </c>
      <c r="J307" s="52" t="str">
        <f>IF(N(B$5)=0,"",IF(AND(COUNT(H304:H315)=2,COUNT(F304:F315)=2),cubic_spline(F303:F305,H303:H305,B$5),IF(AND(COUNT(H304:H315)=3,COUNT(F304:F315)=3),cubic_spline(F303:F306,H303:H306,B$5),IF(AND(COUNT(H304:H315)=4,COUNT(F304:F315)=4),cubic_spline(F303:F307,H303:H307,B$5),IF(AND(COUNT(H304:H315)=5,COUNT(F304:F315)=5),cubic_spline(F303:F308,H303:H308,B$5),IF(AND(COUNT(H304:H315)=6,COUNT(F304:F315)=6),cubic_spline(F303:F309,H303:H309,B$5),IF(AND(COUNT(H304:H315)=7,COUNT(F304:F315)=7),cubic_spline(F303:F310,H303:H310,B$5),IF(AND(COUNT(H304:H315)=8,COUNT(F304:F315)=8),cubic_spline(F303:F311,H303:H311,B$5),IF(AND(COUNT(H304:H315)=9,COUNT(F304:F315)=9),cubic_spline(F303:F312,H303:H312,B$5),IF(AND(COUNT(H304:H315)=10,COUNT(F304:F315)=10),cubic_spline(F303:F313,H303:H313,B$5),IF(AND(COUNT(H304:H315)=11,COUNT(F304:F315)=11),cubic_spline(F303:F314,H303:H314,B$5),IF(AND(COUNT(H304:H315)=12,COUNT(F304:F315)=12),cubic_spline(F303:F315,H303:H315,B$5),""))))))))))))</f>
        <v/>
      </c>
      <c r="K307" s="52" t="str">
        <f>IF(N(B$5)=0,"",IF(AND(COUNT(A304:A315)=2,COUNT(F304:F315)=2),cubic_spline(F303:F305,A303:A305,B$5),IF(AND(COUNT(A304:A315)=3,COUNT(F304:F315)=3),cubic_spline(F303:F306,A303:A306,B$5),IF(AND(COUNT(A304:A315)=4,COUNT(F304:F315)=4),cubic_spline(F303:F307,A303:A307,B$5),IF(AND(COUNT(A304:A315)=5,COUNT(F304:F315)=5),cubic_spline(F303:F308,A303:A308,B$5),IF(AND(COUNT(A304:A315)=6,COUNT(F304:F315)=6),cubic_spline(F303:F309,A303:A309,B$5),IF(AND(COUNT(A304:A315)=7,COUNT(F304:F315)=7),cubic_spline(F303:F310,A303:A310,B$5),IF(AND(COUNT(A304:A315)=8,COUNT(F304:F315)=8),cubic_spline(F303:F311,A303:A311,B$5),IF(AND(COUNT(A304:A315)=9,COUNT(F304:F315)=9),cubic_spline(F303:F312,A303:A312,B$5),IF(AND(COUNT(A304:A315)=10,COUNT(F304:F315)=10),cubic_spline(F303:F313,A303:A313,B$5),IF(AND(COUNT(A304:A315)=11,COUNT(F304:F315)=11),cubic_spline(F303:F314,A303:A314,B$5),IF(AND(COUNT(A304:A315)=12,COUNT(F304:F315)=12),cubic_spline(F303:F315,A303:A315,B$5),""))))))))))))</f>
        <v/>
      </c>
      <c r="L307" s="27" t="str">
        <f>IF(I307="","",B$4&amp;"-"&amp;B$5)</f>
        <v/>
      </c>
      <c r="M307" s="52" t="str">
        <f>IF(N(J307)=0,"",J307-J306)</f>
        <v/>
      </c>
    </row>
    <row r="308" spans="1:13" x14ac:dyDescent="0.35">
      <c r="A308" s="48"/>
      <c r="B308" s="48"/>
      <c r="C308" s="50"/>
      <c r="D308" s="50"/>
      <c r="E308" s="51" t="str">
        <f t="shared" si="113"/>
        <v/>
      </c>
      <c r="F308" s="71" t="str">
        <f t="shared" si="111"/>
        <v/>
      </c>
      <c r="G308" s="69" t="str">
        <f t="shared" si="114"/>
        <v/>
      </c>
      <c r="H308" s="70" t="str">
        <f t="shared" si="112"/>
        <v/>
      </c>
      <c r="I308" s="27" t="str">
        <f>IF(N(J308)=0,"",0&amp;"-"&amp;B$6)</f>
        <v/>
      </c>
      <c r="J308" s="52" t="str">
        <f>IF(N(B$6)=0,"",IF(AND(COUNT(H304:H315)=2,COUNT(F304:F315)=2),cubic_spline(F303:F305,H303:H305,B$6),IF(AND(COUNT(H304:H315)=3,COUNT(F304:F315)=3),cubic_spline(F303:F306,H303:H306,B$6),IF(AND(COUNT(H304:H315)=4,COUNT(F304:F315)=4),cubic_spline(F303:F307,H303:H307,B$6),IF(AND(COUNT(H304:H315)=5,COUNT(F304:F315)=5),cubic_spline(F303:F308,H303:H308,B$6),IF(AND(COUNT(H304:H315)=6,COUNT(F304:F315)=6),cubic_spline(F303:F309,H303:H309,B$6),IF(AND(COUNT(H304:H315)=7,COUNT(F304:F315)=7),cubic_spline(F303:F310,H303:H310,B$6),IF(AND(COUNT(H304:H315)=8,COUNT(F304:F315)=8),cubic_spline(F303:F311,H303:H311,B$6),IF(AND(COUNT(H304:H315)=9,COUNT(F304:F315)=9),cubic_spline(F303:F312,H303:H312,B$6),IF(AND(COUNT(H304:H315)=10,COUNT(F304:F315)=10),cubic_spline(F303:F313,H303:H313,B$6),IF(AND(COUNT(H304:H315)=11,COUNT(F304:F315)=11),cubic_spline(F303:F314,H303:H314,B$6),IF(AND(COUNT(H304:H315)=12,COUNT(F304:F315)=12),cubic_spline(F303:F315,H303:H315,B$6),""))))))))))))</f>
        <v/>
      </c>
      <c r="K308" s="52" t="str">
        <f>IF(N(B$6)=0,"",IF(AND(COUNT(A304:A315)=2,COUNT(F304:F315)=2),cubic_spline(F303:F305,A303:A305,B$6),IF(AND(COUNT(A304:A315)=3,COUNT(F304:F315)=3),cubic_spline(F303:F306,A303:A306,B$6),IF(AND(COUNT(A304:A315)=4,COUNT(F304:F315)=4),cubic_spline(F303:F307,A303:A307,B$6),IF(AND(COUNT(A304:A315)=5,COUNT(F304:F315)=5),cubic_spline(F303:F308,A303:A308,B$6),IF(AND(COUNT(A304:A315)=6,COUNT(F304:F315)=6),cubic_spline(F303:F309,A303:A309,B$6),IF(AND(COUNT(A304:A315)=7,COUNT(F304:F315)=7),cubic_spline(F303:F310,A303:A310,B$6),IF(AND(COUNT(A304:A315)=8,COUNT(F304:F315)=8),cubic_spline(F303:F311,A303:A311,B$6),IF(AND(COUNT(A304:A315)=9,COUNT(F304:F315)=9),cubic_spline(F303:F312,A303:A312,B$6),IF(AND(COUNT(A304:A315)=10,COUNT(F304:F315)=10),cubic_spline(F303:F313,A303:A313,B$6),IF(AND(COUNT(A304:A315)=11,COUNT(F304:F315)=11),cubic_spline(F303:F314,A303:A314,B$6),IF(AND(COUNT(A304:A315)=12,COUNT(F304:F315)=12),cubic_spline(F303:F315,A303:A315,B$6),""))))))))))))</f>
        <v/>
      </c>
      <c r="L308" s="27" t="str">
        <f>IF(I308="","",B$5&amp;"-"&amp;B$6)</f>
        <v/>
      </c>
      <c r="M308" s="52" t="str">
        <f>IF(N(J308)=0,"",J308-J307)</f>
        <v/>
      </c>
    </row>
    <row r="309" spans="1:13" x14ac:dyDescent="0.35">
      <c r="A309" s="48"/>
      <c r="B309" s="48"/>
      <c r="C309" s="50"/>
      <c r="D309" s="50"/>
      <c r="E309" s="51" t="str">
        <f t="shared" si="113"/>
        <v/>
      </c>
      <c r="F309" s="71" t="str">
        <f t="shared" si="111"/>
        <v/>
      </c>
      <c r="G309" s="69" t="str">
        <f t="shared" si="114"/>
        <v/>
      </c>
      <c r="H309" s="70" t="str">
        <f t="shared" si="112"/>
        <v/>
      </c>
      <c r="I309" s="27" t="str">
        <f>IF(N(J309)=0,"",0&amp;"-"&amp;B$7)</f>
        <v/>
      </c>
      <c r="J309" s="52" t="str">
        <f>IF(N(B$7)=0,"",IF(AND(COUNT(H304:H315)=2,COUNT(F304:F315)=2),cubic_spline(F303:F305,H303:H305,B$7),IF(AND(COUNT(H304:H315)=3,COUNT(F304:F315)=3),cubic_spline(F303:F306,H303:H306,B$7),IF(AND(COUNT(H304:H315)=4,COUNT(F304:F315)=4),cubic_spline(F303:F307,H303:H307,B$7),IF(AND(COUNT(H304:H315)=5,COUNT(F304:F315)=5),cubic_spline(F303:F308,H303:H308,B$7),IF(AND(COUNT(H304:H315)=6,COUNT(F304:F315)=6),cubic_spline(F303:F309,H303:H309,B$7),IF(AND(COUNT(H304:H315)=7,COUNT(F304:F315)=7),cubic_spline(F303:F310,H303:H310,B$7),IF(AND(COUNT(H304:H315)=8,COUNT(F304:F315)=8),cubic_spline(F303:F311,H303:H311,B$7),IF(AND(COUNT(H304:H315)=9,COUNT(F304:F315)=9),cubic_spline(F303:F312,H303:H312,B$7),IF(AND(COUNT(H304:H315)=10,COUNT(F304:F315)=10),cubic_spline(F303:F313,H303:H313,B$7),IF(AND(COUNT(H304:H315)=11,COUNT(F304:F315)=11),cubic_spline(F303:F314,H303:H314,B$7),IF(AND(COUNT(H304:H315)=12,COUNT(F304:F315)=12),cubic_spline(F303:F315,H303:H315,B$7),""))))))))))))</f>
        <v/>
      </c>
      <c r="K309" s="52" t="str">
        <f>IF(N(B$7)=0,"",IF(AND(COUNT(A304:A315)=2,COUNT(F304:F315)=2),cubic_spline(F303:F305,A303:A305,B$7),IF(AND(COUNT(A304:A315)=3,COUNT(F304:F315)=3),cubic_spline(F303:F306,A303:A306,B$7),IF(AND(COUNT(A304:A315)=4,COUNT(F304:F315)=4),cubic_spline(F303:F307,A303:A307,B$7),IF(AND(COUNT(A304:A315)=5,COUNT(F304:F315)=5),cubic_spline(F303:F308,A303:A308,B$7),IF(AND(COUNT(A304:A315)=6,COUNT(F304:F315)=6),cubic_spline(F303:F309,A303:A309,B$7),IF(AND(COUNT(A304:A315)=7,COUNT(F304:F315)=7),cubic_spline(F303:F310,A303:A310,B$7),IF(AND(COUNT(A304:A315)=8,COUNT(F304:F315)=8),cubic_spline(F303:F311,A303:A311,B$7),IF(AND(COUNT(A304:A315)=9,COUNT(F304:F315)=9),cubic_spline(F303:F312,A303:A312,B$7),IF(AND(COUNT(A304:A315)=10,COUNT(F304:F315)=10),cubic_spline(F303:F313,A303:A313,B$7),IF(AND(COUNT(A304:A315)=11,COUNT(F304:F315)=11),cubic_spline(F303:F314,A303:A314,B$7),IF(AND(COUNT(A304:A315)=12,COUNT(F304:F315)=12),cubic_spline(F303:F315,A303:A315,B$7),""))))))))))))</f>
        <v/>
      </c>
      <c r="L309" s="27" t="str">
        <f>IF(I309="","",B$6&amp;"-"&amp;B$7)</f>
        <v/>
      </c>
      <c r="M309" s="52" t="str">
        <f t="shared" ref="M309:M315" si="115">IF(N(J309)=0,"",J309-J308)</f>
        <v/>
      </c>
    </row>
    <row r="310" spans="1:13" x14ac:dyDescent="0.35">
      <c r="A310" s="48"/>
      <c r="B310" s="48"/>
      <c r="C310" s="50"/>
      <c r="D310" s="50"/>
      <c r="E310" s="51" t="str">
        <f t="shared" si="113"/>
        <v/>
      </c>
      <c r="F310" s="71" t="str">
        <f t="shared" si="111"/>
        <v/>
      </c>
      <c r="G310" s="69" t="str">
        <f t="shared" si="114"/>
        <v/>
      </c>
      <c r="H310" s="70" t="str">
        <f t="shared" si="112"/>
        <v/>
      </c>
      <c r="I310" s="27" t="str">
        <f>IF(N(J310)=0,"",0&amp;"-"&amp;B$8)</f>
        <v/>
      </c>
      <c r="J310" s="52" t="str">
        <f>IF(N(B$8)=0,"",IF(AND(COUNT(H304:H315)=2,COUNT(F304:F315)=2),cubic_spline(F303:F305,H303:H305,B$8),IF(AND(COUNT(H304:H315)=3,COUNT(F304:F315)=3),cubic_spline(F303:F306,H303:H306,B$8),IF(AND(COUNT(H304:H315)=4,COUNT(F304:F315)=4),cubic_spline(F303:F307,H303:H307,B$8),IF(AND(COUNT(H304:H315)=5,COUNT(F304:F315)=5),cubic_spline(F303:F308,H303:H308,B$8),IF(AND(COUNT(H304:H315)=6,COUNT(F304:F315)=6),cubic_spline(F303:F309,H303:H309,B$8),IF(AND(COUNT(H304:H315)=7,COUNT(F304:F315)=7),cubic_spline(F303:F310,H303:H310,B$8),IF(AND(COUNT(H304:H315)=8,COUNT(F304:F315)=8),cubic_spline(F303:F311,H303:H311,B$8),IF(AND(COUNT(H304:H315)=9,COUNT(F304:F315)=9),cubic_spline(F303:F312,H303:H312,B$8),IF(AND(COUNT(H304:H315)=10,COUNT(F304:F315)=10),cubic_spline(F303:F313,H303:H313,B$8),IF(AND(COUNT(H304:H315)=11,COUNT(F304:F315)=11),cubic_spline(F303:F314,H303:H314,B$8),IF(AND(COUNT(H304:H315)=12,COUNT(F304:F315)=12),cubic_spline(F303:F315,H303:H315,B$8),""))))))))))))</f>
        <v/>
      </c>
      <c r="K310" s="52" t="str">
        <f>IF(N(B$8)=0,"",IF(AND(COUNT(A304:A315)=2,COUNT(F304:F315)=2),cubic_spline(F303:F305,A303:A305,B$8),IF(AND(COUNT(A304:A315)=3,COUNT(F304:F315)=3),cubic_spline(F303:F306,A303:A306,B$8),IF(AND(COUNT(A304:A315)=4,COUNT(F304:F315)=4),cubic_spline(F303:F307,A303:A307,B$8),IF(AND(COUNT(A304:A315)=5,COUNT(F304:F315)=5),cubic_spline(F303:F308,A303:A308,B$8),IF(AND(COUNT(A304:A315)=6,COUNT(F304:F315)=6),cubic_spline(F303:F309,A303:A309,B$8),IF(AND(COUNT(A304:A315)=7,COUNT(F304:F315)=7),cubic_spline(F303:F310,A303:A310,B$8),IF(AND(COUNT(A304:A315)=8,COUNT(F304:F315)=8),cubic_spline(F303:F311,A303:A311,B$8),IF(AND(COUNT(A304:A315)=9,COUNT(F304:F315)=9),cubic_spline(F303:F312,A303:A312,B$8),IF(AND(COUNT(A304:A315)=10,COUNT(F304:F315)=10),cubic_spline(F303:F313,A303:A313,B$8),IF(AND(COUNT(A304:A315)=11,COUNT(F304:F315)=11),cubic_spline(F303:F314,A303:A314,B$8),IF(AND(COUNT(A304:A315)=12,COUNT(F304:F315)=12),cubic_spline(F303:F315,A303:A315,B$8),""))))))))))))</f>
        <v/>
      </c>
      <c r="L310" s="27" t="str">
        <f>IF(I310="","",B$7&amp;"-"&amp;B$8)</f>
        <v/>
      </c>
      <c r="M310" s="52" t="str">
        <f t="shared" si="115"/>
        <v/>
      </c>
    </row>
    <row r="311" spans="1:13" x14ac:dyDescent="0.35">
      <c r="A311" s="48"/>
      <c r="B311" s="48"/>
      <c r="C311" s="50"/>
      <c r="D311" s="50"/>
      <c r="E311" s="51" t="str">
        <f t="shared" si="113"/>
        <v/>
      </c>
      <c r="F311" s="71" t="str">
        <f t="shared" si="111"/>
        <v/>
      </c>
      <c r="G311" s="69" t="str">
        <f t="shared" si="114"/>
        <v/>
      </c>
      <c r="H311" s="70" t="str">
        <f t="shared" si="112"/>
        <v/>
      </c>
      <c r="I311" s="27" t="str">
        <f>IF(N(J311)=0,"",0&amp;"-"&amp;B$9)</f>
        <v/>
      </c>
      <c r="J311" s="52" t="str">
        <f>IF(N(B$9)=0,"",IF(AND(COUNT(H304:H315)=2,COUNT(F304:F315)=2),cubic_spline(F303:F305,H303:H305,B$9),IF(AND(COUNT(H304:H315)=3,COUNT(F304:F315)=3),cubic_spline(F303:F306,H303:H306,B$9),IF(AND(COUNT(H304:H315)=4,COUNT(F304:F315)=4),cubic_spline(F303:F307,H303:H307,B$9),IF(AND(COUNT(H304:H315)=5,COUNT(F304:F315)=5),cubic_spline(F303:F308,H303:H308,B$9),IF(AND(COUNT(H304:H315)=6,COUNT(F304:F315)=6),cubic_spline(F303:F309,H303:H309,B$9),IF(AND(COUNT(H304:H315)=7,COUNT(F304:F315)=7),cubic_spline(F303:F310,H303:H310,B$9),IF(AND(COUNT(H304:H315)=8,COUNT(F304:F315)=8),cubic_spline(F303:F311,H303:H311,B$9),IF(AND(COUNT(H304:H315)=9,COUNT(F304:F315)=9),cubic_spline(F303:F312,H303:H312,B$9),IF(AND(COUNT(H304:H315)=10,COUNT(F304:F315)=10),cubic_spline(F303:F313,H303:H313,B$9),IF(AND(COUNT(H304:H315)=11,COUNT(F304:F315)=11),cubic_spline(F303:F314,H303:H314,B$9),IF(AND(COUNT(H304:H315)=12,COUNT(F304:F315)=12),cubic_spline(F303:F315,H303:H315,B$9),""))))))))))))</f>
        <v/>
      </c>
      <c r="K311" s="52" t="str">
        <f>IF(N(B$9)=0,"",IF(AND(COUNT(A304:A315)=2,COUNT(F304:F315)=2),cubic_spline(F303:F305,A303:A305,B$9),IF(AND(COUNT(A304:A315)=3,COUNT(F304:F315)=3),cubic_spline(F303:F306,A303:A306,B$9),IF(AND(COUNT(A304:A315)=4,COUNT(F304:F315)=4),cubic_spline(F303:F307,A303:A307,B$9),IF(AND(COUNT(A304:A315)=5,COUNT(F304:F315)=5),cubic_spline(F303:F308,A303:A308,B$9),IF(AND(COUNT(A304:A315)=6,COUNT(F304:F315)=6),cubic_spline(F303:F309,A303:A309,B$9),IF(AND(COUNT(A304:A315)=7,COUNT(F304:F315)=7),cubic_spline(F303:F310,A303:A310,B$9),IF(AND(COUNT(A304:A315)=8,COUNT(F304:F315)=8),cubic_spline(F303:F311,A303:A311,B$9),IF(AND(COUNT(A304:A315)=9,COUNT(F304:F315)=9),cubic_spline(F303:F312,A303:A312,B$9),IF(AND(COUNT(A304:A315)=10,COUNT(F304:F315)=10),cubic_spline(F303:F313,A303:A313,B$9),IF(AND(COUNT(A304:A315)=11,COUNT(F304:F315)=11),cubic_spline(F303:F314,A303:A314,B$9),IF(AND(COUNT(A304:A315)=12,COUNT(F304:F315)=12),cubic_spline(F303:F315,A303:A315,B$9),""))))))))))))</f>
        <v/>
      </c>
      <c r="L311" s="27" t="str">
        <f>IF(I311="","",B$8&amp;"-"&amp;B$9)</f>
        <v/>
      </c>
      <c r="M311" s="52" t="str">
        <f t="shared" si="115"/>
        <v/>
      </c>
    </row>
    <row r="312" spans="1:13" x14ac:dyDescent="0.35">
      <c r="A312" s="48"/>
      <c r="B312" s="48"/>
      <c r="C312" s="50"/>
      <c r="D312" s="50"/>
      <c r="E312" s="51" t="str">
        <f t="shared" si="113"/>
        <v/>
      </c>
      <c r="F312" s="71" t="str">
        <f t="shared" si="111"/>
        <v/>
      </c>
      <c r="G312" s="69" t="str">
        <f t="shared" si="114"/>
        <v/>
      </c>
      <c r="H312" s="70" t="str">
        <f t="shared" si="112"/>
        <v/>
      </c>
      <c r="I312" s="27" t="str">
        <f>IF(N(J312)=0,"",0&amp;"-"&amp;B$10)</f>
        <v/>
      </c>
      <c r="J312" s="52" t="str">
        <f>IF(N(B$10)=0,"",IF(AND(COUNT(H304:H315)=2,COUNT(F304:F315)=2),cubic_spline(F303:F305,H303:H305,B$10),IF(AND(COUNT(H304:H315)=3,COUNT(F304:F315)=3),cubic_spline(F303:F306,H303:H306,B$10),IF(AND(COUNT(H304:H315)=4,COUNT(F304:F315)=4),cubic_spline(F303:F307,H303:H307,B$10),IF(AND(COUNT(H304:H315)=5,COUNT(F304:F315)=5),cubic_spline(F303:F308,H303:H308,B$10),IF(AND(COUNT(H304:H315)=6,COUNT(F304:F315)=6),cubic_spline(F303:F309,H303:H309,B$10),IF(AND(COUNT(H304:H315)=7,COUNT(F304:F315)=7),cubic_spline(F303:F310,H303:H310,B$10),IF(AND(COUNT(H304:H315)=8,COUNT(F304:F315)=8),cubic_spline(F303:F311,H303:H311,B$10),IF(AND(COUNT(H304:H315)=9,COUNT(F304:F315)=9),cubic_spline(F303:F312,H303:H312,B$10),IF(AND(COUNT(H304:H315)=10,COUNT(F304:F315)=10),cubic_spline(F303:F313,H303:H313,B$10),IF(AND(COUNT(H304:H315)=11,COUNT(F304:F315)=11),cubic_spline(F303:F314,H303:H314,B$10),IF(AND(COUNT(H304:H315)=12,COUNT(F304:F315)=12),cubic_spline(F303:F315,H303:H315,B$10),""))))))))))))</f>
        <v/>
      </c>
      <c r="K312" s="52" t="str">
        <f>IF(N(B$10)=0,"",IF(AND(COUNT(A304:A315)=2,COUNT(F304:F315)=2),cubic_spline(F303:F305,A303:A305,B$10),IF(AND(COUNT(A304:A315)=3,COUNT(F304:F315)=3),cubic_spline(F303:F306,A303:A306,B$10),IF(AND(COUNT(A304:A315)=4,COUNT(F304:F315)=4),cubic_spline(F303:F307,A303:A307,B$10),IF(AND(COUNT(A304:A315)=5,COUNT(F304:F315)=5),cubic_spline(F303:F308,A303:A308,B$10),IF(AND(COUNT(A304:A315)=6,COUNT(F304:F315)=6),cubic_spline(F303:F309,A303:A309,B$10),IF(AND(COUNT(A304:A315)=7,COUNT(F304:F315)=7),cubic_spline(F303:F310,A303:A310,B$10),IF(AND(COUNT(A304:A315)=8,COUNT(F304:F315)=8),cubic_spline(F303:F311,A303:A311,B$10),IF(AND(COUNT(A304:A315)=9,COUNT(F304:F315)=9),cubic_spline(F303:F312,A303:A312,B$10),IF(AND(COUNT(A304:A315)=10,COUNT(F304:F315)=10),cubic_spline(F303:F313,A303:A313,B$10),IF(AND(COUNT(A304:A315)=11,COUNT(F304:F315)=11),cubic_spline(F303:F314,A303:A314,B$10),IF(AND(COUNT(A304:A315)=12,COUNT(F304:F315)=12),cubic_spline(F303:F315,A303:A315,B$10),""))))))))))))</f>
        <v/>
      </c>
      <c r="L312" s="27" t="str">
        <f>IF(I312="","",B$9&amp;"-"&amp;B$10)</f>
        <v/>
      </c>
      <c r="M312" s="52" t="str">
        <f t="shared" si="115"/>
        <v/>
      </c>
    </row>
    <row r="313" spans="1:13" x14ac:dyDescent="0.35">
      <c r="A313" s="48"/>
      <c r="B313" s="48"/>
      <c r="C313" s="50"/>
      <c r="D313" s="50"/>
      <c r="E313" s="51" t="str">
        <f t="shared" si="113"/>
        <v/>
      </c>
      <c r="F313" s="71" t="str">
        <f t="shared" si="111"/>
        <v/>
      </c>
      <c r="G313" s="69" t="str">
        <f t="shared" si="114"/>
        <v/>
      </c>
      <c r="H313" s="70" t="str">
        <f t="shared" si="112"/>
        <v/>
      </c>
      <c r="I313" s="27" t="str">
        <f>IF(N(J313)=0,"",0&amp;"-"&amp;B$11)</f>
        <v/>
      </c>
      <c r="J313" s="52" t="str">
        <f>IF(N(B$11)=0,"",IF(AND(COUNT(H304:H315)=2,COUNT(F304:F315)=2),cubic_spline(F303:F305,H303:H305,B$11),IF(AND(COUNT(H304:H315)=3,COUNT(F304:F315)=3),cubic_spline(F303:F306,H303:H306,B$11),IF(AND(COUNT(H304:H315)=4,COUNT(F304:F315)=4),cubic_spline(F303:F307,H303:H307,B$11),IF(AND(COUNT(H304:H315)=5,COUNT(F304:F315)=5),cubic_spline(F303:F308,H303:H308,B$11),IF(AND(COUNT(H304:H315)=6,COUNT(F304:F315)=6),cubic_spline(F303:F309,H303:H309,B$11),IF(AND(COUNT(H304:H315)=7,COUNT(F304:F315)=7),cubic_spline(F303:F310,H303:H310,B$11),IF(AND(COUNT(H304:H315)=8,COUNT(F304:F315)=8),cubic_spline(F303:F311,H303:H311,B$11),IF(AND(COUNT(H304:H315)=9,COUNT(F304:F315)=9),cubic_spline(F303:F312,H303:H312,B$11),IF(AND(COUNT(H304:H315)=10,COUNT(F304:F315)=10),cubic_spline(F303:F313,H303:H313,B$11),IF(AND(COUNT(H304:H315)=11,COUNT(F304:F315)=11),cubic_spline(F303:F314,H303:H314,B$11),IF(AND(COUNT(H304:H315)=12,COUNT(F304:F315)=12),cubic_spline(F303:F315,H303:H315,B$11),""))))))))))))</f>
        <v/>
      </c>
      <c r="K313" s="52" t="str">
        <f>IF(N(B$11)=0,"",IF(AND(COUNT(A304:A315)=2,COUNT(F304:F315)=2),cubic_spline(F303:F305,A303:A305,B$11),IF(AND(COUNT(A304:A315)=3,COUNT(F304:F315)=3),cubic_spline(F303:F306,A303:A306,B$11),IF(AND(COUNT(A304:A315)=4,COUNT(F304:F315)=4),cubic_spline(F303:F307,A303:A307,B$11),IF(AND(COUNT(A304:A315)=5,COUNT(F304:F315)=5),cubic_spline(F303:F308,A303:A308,B$11),IF(AND(COUNT(A304:A315)=6,COUNT(F304:F315)=6),cubic_spline(F303:F309,A303:A309,B$11),IF(AND(COUNT(A304:A315)=7,COUNT(F304:F315)=7),cubic_spline(F303:F310,A303:A310,B$11),IF(AND(COUNT(A304:A315)=8,COUNT(F304:F315)=8),cubic_spline(F303:F311,A303:A311,B$11),IF(AND(COUNT(A304:A315)=9,COUNT(F304:F315)=9),cubic_spline(F303:F312,A303:A312,B$11),IF(AND(COUNT(A304:A315)=10,COUNT(F304:F315)=10),cubic_spline(F303:F313,A303:A313,B$11),IF(AND(COUNT(A304:A315)=11,COUNT(F304:F315)=11),cubic_spline(F303:F314,A303:A314,B$11),IF(AND(COUNT(A304:A315)=12,COUNT(F304:F315)=12),cubic_spline(F303:F315,A303:A315,B$11),""))))))))))))</f>
        <v/>
      </c>
      <c r="L313" s="27" t="str">
        <f>IF(I313="","",B$10&amp;"-"&amp;B$11)</f>
        <v/>
      </c>
      <c r="M313" s="52" t="str">
        <f t="shared" si="115"/>
        <v/>
      </c>
    </row>
    <row r="314" spans="1:13" x14ac:dyDescent="0.35">
      <c r="A314" s="48"/>
      <c r="B314" s="48"/>
      <c r="C314" s="50"/>
      <c r="D314" s="50"/>
      <c r="E314" s="51" t="str">
        <f t="shared" si="113"/>
        <v/>
      </c>
      <c r="F314" s="71" t="str">
        <f t="shared" si="111"/>
        <v/>
      </c>
      <c r="G314" s="69" t="str">
        <f t="shared" si="114"/>
        <v/>
      </c>
      <c r="H314" s="70" t="str">
        <f t="shared" si="112"/>
        <v/>
      </c>
      <c r="I314" s="27" t="str">
        <f>IF(N(J314)=0,"",0&amp;"-"&amp;B$12)</f>
        <v/>
      </c>
      <c r="J314" s="52" t="str">
        <f>IF(N(B$12)=0,"",IF(AND(COUNT(H304:H315)=2,COUNT(F304:F315)=2),cubic_spline(F303:F305,H303:H305,B$12),IF(AND(COUNT(H304:H315)=3,COUNT(F304:F315)=3),cubic_spline(F303:F306,H303:H306,B$12),IF(AND(COUNT(H304:H315)=4,COUNT(F304:F315)=4),cubic_spline(F303:F307,H303:H307,B$12),IF(AND(COUNT(H304:H315)=5,COUNT(F304:F315)=5),cubic_spline(F303:F308,H303:H308,B$12),IF(AND(COUNT(H304:H315)=6,COUNT(F304:F315)=6),cubic_spline(F303:F309,H303:H309,B$12),IF(AND(COUNT(H304:H315)=7,COUNT(F304:F315)=7),cubic_spline(F303:F310,H303:H310,B$12),IF(AND(COUNT(H304:H315)=8,COUNT(F304:F315)=8),cubic_spline(F303:F311,H303:H311,B$12),IF(AND(COUNT(H304:H315)=9,COUNT(F304:F315)=9),cubic_spline(F303:F312,H303:H312,B$12),IF(AND(COUNT(H304:H315)=10,COUNT(F304:F315)=10),cubic_spline(F303:F313,H303:H313,B$12),IF(AND(COUNT(H304:H315)=11,COUNT(F304:F315)=11),cubic_spline(F303:F314,H303:H314,B$12),IF(AND(COUNT(H304:H315)=12,COUNT(F304:F315)=12),cubic_spline(F303:F315,H303:H315,B$12),""))))))))))))</f>
        <v/>
      </c>
      <c r="K314" s="52" t="str">
        <f>IF(N(B$12)=0,"",IF(AND(COUNT(A304:A315)=2,COUNT(F304:F315)=2),cubic_spline(F303:F305,A303:A305,B$12),IF(AND(COUNT(A304:A315)=3,COUNT(F304:F315)=3),cubic_spline(F303:F306,A303:A306,B$12),IF(AND(COUNT(A304:A315)=4,COUNT(F304:F315)=4),cubic_spline(F303:F307,A303:A307,B$12),IF(AND(COUNT(A304:A315)=5,COUNT(F304:F315)=5),cubic_spline(F303:F308,A303:A308,B$12),IF(AND(COUNT(A304:A315)=6,COUNT(F304:F315)=6),cubic_spline(F303:F309,A303:A309,B$12),IF(AND(COUNT(A304:A315)=7,COUNT(F304:F315)=7),cubic_spline(F303:F310,A303:A310,B$12),IF(AND(COUNT(A304:A315)=8,COUNT(F304:F315)=8),cubic_spline(F303:F311,A303:A311,B$12),IF(AND(COUNT(A304:A315)=9,COUNT(F304:F315)=9),cubic_spline(F303:F312,A303:A312,B$12),IF(AND(COUNT(A304:A315)=10,COUNT(F304:F315)=10),cubic_spline(F303:F313,A303:A313,B$12),IF(AND(COUNT(A304:A315)=11,COUNT(F304:F315)=11),cubic_spline(F303:F314,A303:A314,B$12),IF(AND(COUNT(A304:A315)=12,COUNT(F304:F315)=12),cubic_spline(F303:F315,A303:A315,B$12),""))))))))))))</f>
        <v/>
      </c>
      <c r="L314" s="27" t="str">
        <f>IF(I314="","",B$11&amp;"-"&amp;B$12)</f>
        <v/>
      </c>
      <c r="M314" s="52" t="str">
        <f t="shared" si="115"/>
        <v/>
      </c>
    </row>
    <row r="315" spans="1:13" x14ac:dyDescent="0.35">
      <c r="A315" s="48"/>
      <c r="B315" s="48"/>
      <c r="C315" s="50"/>
      <c r="D315" s="50"/>
      <c r="E315" s="51" t="str">
        <f t="shared" si="113"/>
        <v/>
      </c>
      <c r="F315" s="71" t="str">
        <f t="shared" si="111"/>
        <v/>
      </c>
      <c r="G315" s="69" t="str">
        <f t="shared" si="114"/>
        <v/>
      </c>
      <c r="H315" s="70" t="str">
        <f t="shared" si="112"/>
        <v/>
      </c>
      <c r="I315" s="27" t="str">
        <f>IF(N(J315)=0,"",0&amp;"-"&amp;B$13)</f>
        <v/>
      </c>
      <c r="J315" s="52" t="str">
        <f>IF(N(B$13)=0,"",IF(AND(COUNT(H304:H315)=2,COUNT(F304:F315)=2),cubic_spline(F303:F305,H303:H305,B$13),IF(AND(COUNT(H304:H315)=3,COUNT(F304:F315)=3),cubic_spline(F303:F306,H303:H306,B$13),IF(AND(COUNT(H304:H315)=4,COUNT(F304:F315)=4),cubic_spline(F303:F307,H303:H307,B$13),IF(AND(COUNT(H304:H315)=5,COUNT(F304:F315)=5),cubic_spline(F303:F308,H303:H308,B$13),IF(AND(COUNT(H304:H315)=6,COUNT(F304:F315)=6),cubic_spline(F303:F309,H303:H309,B$13),IF(AND(COUNT(H304:H315)=7,COUNT(F304:F315)=7),cubic_spline(F303:F310,H303:H310,B$13),IF(AND(COUNT(H304:H315)=8,COUNT(F304:F315)=8),cubic_spline(F303:F311,H303:H311,B$13),IF(AND(COUNT(H304:H315)=9,COUNT(F304:F315)=9),cubic_spline(F303:F312,H303:H312,B$13),IF(AND(COUNT(H304:H315)=10,COUNT(F304:F315)=10),cubic_spline(F303:F313,H303:H313,B$13),IF(AND(COUNT(H304:H315)=11,COUNT(F304:F315)=11),cubic_spline(F303:F314,H303:H314,B$13),IF(AND(COUNT(H304:H315)=12,COUNT(F304:F315)=12),cubic_spline(F303:F315,H303:H315,B$13),""))))))))))))</f>
        <v/>
      </c>
      <c r="K315" s="52" t="str">
        <f>IF(N(B$13)=0,"",IF(AND(COUNT(A304:A315)=2,COUNT(F304:F315)=2),cubic_spline(F303:F305,A303:A305,B$13),IF(AND(COUNT(A304:A315)=3,COUNT(F304:F315)=3),cubic_spline(F303:F306,A303:A306,B$13),IF(AND(COUNT(A304:A315)=4,COUNT(F304:F315)=4),cubic_spline(F303:F307,A303:A307,B$13),IF(AND(COUNT(A304:A315)=5,COUNT(F304:F315)=5),cubic_spline(F303:F308,A303:A308,B$13),IF(AND(COUNT(A304:A315)=6,COUNT(F304:F315)=6),cubic_spline(F303:F309,A303:A309,B$13),IF(AND(COUNT(A304:A315)=7,COUNT(F304:F315)=7),cubic_spline(F303:F310,A303:A310,B$13),IF(AND(COUNT(A304:A315)=8,COUNT(F304:F315)=8),cubic_spline(F303:F311,A303:A311,B$13),IF(AND(COUNT(A304:A315)=9,COUNT(F304:F315)=9),cubic_spline(F303:F312,A303:A312,B$13),IF(AND(COUNT(A304:A315)=10,COUNT(F304:F315)=10),cubic_spline(F303:F313,A303:A313,B$13),IF(AND(COUNT(A304:A315)=11,COUNT(F304:F315)=11),cubic_spline(F303:F314,A303:A314,B$13),IF(AND(COUNT(A304:A315)=12,COUNT(F304:F315)=12),cubic_spline(F303:F315,A303:A315,B$13),""))))))))))))</f>
        <v/>
      </c>
      <c r="L315" s="27" t="str">
        <f>IF(I315="","",B$12&amp;"-"&amp;B$13)</f>
        <v/>
      </c>
      <c r="M315" s="52" t="str">
        <f t="shared" si="115"/>
        <v/>
      </c>
    </row>
    <row r="316" spans="1:13" ht="5.15" customHeight="1" x14ac:dyDescent="0.35">
      <c r="A316" s="47"/>
      <c r="B316" s="47"/>
      <c r="C316" s="53"/>
      <c r="D316" s="53"/>
      <c r="E316" s="54"/>
      <c r="F316" s="55"/>
      <c r="G316" s="72"/>
      <c r="H316" s="73"/>
      <c r="I316" s="47"/>
      <c r="J316" s="57"/>
      <c r="K316" s="57"/>
      <c r="L316" s="55"/>
      <c r="M316" s="57"/>
    </row>
    <row r="317" spans="1:13" x14ac:dyDescent="0.35">
      <c r="A317" s="48"/>
      <c r="B317" s="48"/>
      <c r="C317" s="50"/>
      <c r="D317" s="50"/>
      <c r="E317" s="51" t="str">
        <f>IF(N(C317)=0,"",(A317-A316)*C317*100)</f>
        <v/>
      </c>
      <c r="F317" s="68" t="str">
        <f t="shared" ref="F317:F328" si="116">IF(N(E317)=0,"",(N(E317)+N(F316)))</f>
        <v/>
      </c>
      <c r="G317" s="69" t="str">
        <f>IF(OR(N(D317)=0,N(E317)=0),"",(E317*D317)/1000)</f>
        <v/>
      </c>
      <c r="H317" s="70" t="str">
        <f t="shared" ref="H317:H328" si="117">IF(N(G317)=0,"",(N(G317)+N(H316)))</f>
        <v/>
      </c>
      <c r="I317" s="27" t="str">
        <f>IF(N(J317)=0,"",0&amp;"-"&amp;B$2)</f>
        <v/>
      </c>
      <c r="J317" s="52" t="str">
        <f>IF(N(B$2)=0,"",IF(AND(COUNT(H317:H328)=2,COUNT(F317:F328)=2),cubic_spline(F316:F318,H316:H318,B$2),IF(AND(COUNT(H317:H328)=3,COUNT(F317:F328)=3),cubic_spline(F316:F319,H316:H319,B$2),IF(AND(COUNT(H317:H328)=4,COUNT(F317:F328)=4),cubic_spline(F316:F320,H316:H320,B$2),IF(AND(COUNT(H317:H328)=5,COUNT(F317:F328)=5),cubic_spline(F316:F321,H316:H321,B$2),IF(AND(COUNT(H317:H328)=6,COUNT(F317:F328)=6),cubic_spline(F316:F322,H316:H322,B$2),IF(AND(COUNT(H317:H328)=7,COUNT(F317:F328)=7),cubic_spline(F316:F323,H316:H323,B$2),IF(AND(COUNT(H317:H328)=8,COUNT(F317:F328)=8),cubic_spline(F316:F324,H316:H324,B$2),IF(AND(COUNT(H317:H328)=9,COUNT(F317:F328)=9),cubic_spline(F316:F325,H316:H325,B$2),IF(AND(COUNT(H317:H328)=10,COUNT(F317:F328)=10),cubic_spline(F316:F326,H316:H326,B$2),IF(AND(COUNT(H317:H328)=11,COUNT(F317:F328)=11),cubic_spline(F316:F327,H316:H327,B$2),IF(AND(COUNT(H317:H328)=12,COUNT(F317:F328)=12),cubic_spline(F316:F328,H316:H328,B$2),""))))))))))))</f>
        <v/>
      </c>
      <c r="K317" s="52" t="str">
        <f>IF(N(B$2)=0,"",IF(AND(COUNT(A317:A328)=2,COUNT(F317:F328)=2),cubic_spline(F316:F318,A316:A318,B$2),IF(AND(COUNT(A317:A328)=3,COUNT(F317:F328)=3),cubic_spline(F316:F319,A316:A319,B$2),IF(AND(COUNT(A317:A328)=4,COUNT(F317:F328)=4),cubic_spline(F316:F320,A316:A320,B$2),IF(AND(COUNT(A317:A328)=5,COUNT(F317:F328)=5),cubic_spline(F316:F321,A316:A321,B$2),IF(AND(COUNT(A317:A328)=6,COUNT(F317:F328)=6),cubic_spline(F316:F322,A316:A322,B$2),IF(AND(COUNT(A317:A328)=7,COUNT(F317:F328)=7),cubic_spline(F316:F323,A316:A323,B$2),IF(AND(COUNT(A317:A328)=8,COUNT(F317:F328)=8),cubic_spline(F316:F324,A316:A324,B$2),IF(AND(COUNT(A317:A328)=9,COUNT(F317:F328)=9),cubic_spline(F316:F325,A316:A325,B$2),IF(AND(COUNT(A317:A328)=10,COUNT(F317:F328)=10),cubic_spline(F316:F326,A316:A326,B$2),IF(AND(COUNT(A317:A328)=11,COUNT(F317:F328)=11),cubic_spline(F316:F327,A316:A327,B$2),IF(AND(COUNT(A317:A328)=12,COUNT(F317:F328)=12),cubic_spline(F316:F328,A316:A328,B$2),""))))))))))))</f>
        <v/>
      </c>
      <c r="L317" s="27" t="str">
        <f>IF(I317="","",0&amp;"-"&amp;B$2)</f>
        <v/>
      </c>
      <c r="M317" s="52" t="str">
        <f>IF(N(J317)=0,"",J317-J316)</f>
        <v/>
      </c>
    </row>
    <row r="318" spans="1:13" x14ac:dyDescent="0.35">
      <c r="A318" s="48"/>
      <c r="B318" s="48"/>
      <c r="C318" s="50"/>
      <c r="D318" s="50"/>
      <c r="E318" s="51" t="str">
        <f t="shared" ref="E318:E328" si="118">IF(N(C318)=0,"",(A318-A317)*C318*100)</f>
        <v/>
      </c>
      <c r="F318" s="68" t="str">
        <f t="shared" si="116"/>
        <v/>
      </c>
      <c r="G318" s="69" t="str">
        <f t="shared" ref="G318:G328" si="119">IF(OR(N(D318)=0,N(E318)=0),"",(E318*D318)/1000)</f>
        <v/>
      </c>
      <c r="H318" s="70" t="str">
        <f t="shared" si="117"/>
        <v/>
      </c>
      <c r="I318" s="27" t="str">
        <f>IF(N(J318)=0,"",0&amp;"-"&amp;B$3)</f>
        <v/>
      </c>
      <c r="J318" s="52" t="str">
        <f>IF(N(B$3)=0,"",IF(AND(COUNT(H317:H328)=2,COUNT(F317:F328)=2),cubic_spline(F316:F318,H316:H318,B$3),IF(AND(COUNT(H317:H328)=3,COUNT(F317:F328)=3),cubic_spline(F316:F319,H316:H319,B$3),IF(AND(COUNT(H317:H328)=4,COUNT(F317:F328)=4),cubic_spline(F316:F320,H316:H320,B$3),IF(AND(COUNT(H317:H328)=5,COUNT(F317:F328)=5),cubic_spline(F316:F321,H316:H321,B$3),IF(AND(COUNT(H317:H328)=6,COUNT(F317:F328)=6),cubic_spline(F316:F322,H316:H322,B$3),IF(AND(COUNT(H317:H328)=7,COUNT(F317:F328)=7),cubic_spline(F316:F323,H316:H323,B$3),IF(AND(COUNT(H317:H328)=8,COUNT(F317:F328)=8),cubic_spline(F316:F324,H316:H324,B$3),IF(AND(COUNT(H317:H328)=9,COUNT(F317:F328)=9),cubic_spline(F316:F325,H316:H325,B$3),IF(AND(COUNT(H317:H328)=10,COUNT(F317:F328)=10),cubic_spline(F316:F326,H316:H326,B$3),IF(AND(COUNT(H317:H328)=11,COUNT(F317:F328)=11),cubic_spline(F316:F327,H316:H327,B$3),IF(AND(COUNT(H317:H328)=12,COUNT(F317:F328)=12),cubic_spline(F316:F328,H316:H328,B$3),""))))))))))))</f>
        <v/>
      </c>
      <c r="K318" s="52" t="str">
        <f>IF(N(B$3)=0,"",IF(AND(COUNT(A317:A328)=2,COUNT(F317:F328)=2),cubic_spline(F316:F318,A316:A318,B$3),IF(AND(COUNT(A317:A328)=3,COUNT(F317:F328)=3),cubic_spline(F316:F319,A316:A319,B$3),IF(AND(COUNT(A317:A328)=4,COUNT(F317:F328)=4),cubic_spline(F316:F320,A316:A320,B$3),IF(AND(COUNT(A317:A328)=5,COUNT(F317:F328)=5),cubic_spline(F316:F321,A316:A321,B$3),IF(AND(COUNT(A317:A328)=6,COUNT(F317:F328)=6),cubic_spline(F316:F322,A316:A322,B$3),IF(AND(COUNT(A317:A328)=7,COUNT(F317:F328)=7),cubic_spline(F316:F323,A316:A323,B$3),IF(AND(COUNT(A317:A328)=8,COUNT(F317:F328)=8),cubic_spline(F316:F324,A316:A324,B$3),IF(AND(COUNT(A317:A328)=9,COUNT(F317:F328)=9),cubic_spline(F316:F325,A316:A325,B$3),IF(AND(COUNT(A317:A328)=10,COUNT(F317:F328)=10),cubic_spline(F316:F326,A316:A326,B$3),IF(AND(COUNT(A317:A328)=11,COUNT(F317:F328)=11),cubic_spline(F316:F327,A316:A327,B$3),IF(AND(COUNT(A317:A328)=12,COUNT(F317:F328)=12),cubic_spline(F316:F328,A316:A328,B$3),""))))))))))))</f>
        <v/>
      </c>
      <c r="L318" s="27" t="str">
        <f>IF(I318="","",B$2&amp;"-"&amp;B$3)</f>
        <v/>
      </c>
      <c r="M318" s="52" t="str">
        <f>IF(N(J318)=0,"",J318-J317)</f>
        <v/>
      </c>
    </row>
    <row r="319" spans="1:13" x14ac:dyDescent="0.35">
      <c r="A319" s="48"/>
      <c r="B319" s="48"/>
      <c r="C319" s="50"/>
      <c r="D319" s="50"/>
      <c r="E319" s="51" t="str">
        <f t="shared" si="118"/>
        <v/>
      </c>
      <c r="F319" s="68" t="str">
        <f t="shared" si="116"/>
        <v/>
      </c>
      <c r="G319" s="69" t="str">
        <f t="shared" si="119"/>
        <v/>
      </c>
      <c r="H319" s="70" t="str">
        <f t="shared" si="117"/>
        <v/>
      </c>
      <c r="I319" s="27" t="str">
        <f>IF(N(J319)=0,"",0&amp;"-"&amp;B$4)</f>
        <v/>
      </c>
      <c r="J319" s="52" t="str">
        <f>IF(N(B$4)=0,"",IF(AND(COUNT(H317:H328)=2,COUNT(F317:F328)=2),cubic_spline(F316:F318,H316:H318,B$4),IF(AND(COUNT(H317:H328)=3,COUNT(F317:F328)=3),cubic_spline(F316:F319,H316:H319,B$4),IF(AND(COUNT(H317:H328)=4,COUNT(F317:F328)=4),cubic_spline(F316:F320,H316:H320,B$4),IF(AND(COUNT(H317:H328)=5,COUNT(F317:F328)=5),cubic_spline(F316:F321,H316:H321,B$4),IF(AND(COUNT(H317:H328)=6,COUNT(F317:F328)=6),cubic_spline(F316:F322,H316:H322,B$4),IF(AND(COUNT(H317:H328)=7,COUNT(F317:F328)=7),cubic_spline(F316:F323,H316:H323,B$4),IF(AND(COUNT(H317:H328)=8,COUNT(F317:F328)=8),cubic_spline(F316:F324,H316:H324,B$4),IF(AND(COUNT(H317:H328)=9,COUNT(F317:F328)=9),cubic_spline(F316:F325,H316:H325,B$4),IF(AND(COUNT(H317:H328)=10,COUNT(F317:F328)=10),cubic_spline(F316:F326,H316:H326,B$4),IF(AND(COUNT(H317:H328)=11,COUNT(F317:F328)=11),cubic_spline(F316:F327,H316:H327,B$4),IF(AND(COUNT(H317:H328)=12,COUNT(F317:F328)=12),cubic_spline(F316:F328,H316:H328,B$4),""))))))))))))</f>
        <v/>
      </c>
      <c r="K319" s="52" t="str">
        <f>IF(N(B$4)=0,"",IF(AND(COUNT(A317:A328)=2,COUNT(F317:F328)=2),cubic_spline(F316:F318,A316:A318,B$4),IF(AND(COUNT(A317:A328)=3,COUNT(F317:F328)=3),cubic_spline(F316:F319,A316:A319,B$4),IF(AND(COUNT(A317:A328)=4,COUNT(F317:F328)=4),cubic_spline(F316:F320,A316:A320,B$4),IF(AND(COUNT(A317:A328)=5,COUNT(F317:F328)=5),cubic_spline(F316:F321,A316:A321,B$4),IF(AND(COUNT(A317:A328)=6,COUNT(F317:F328)=6),cubic_spline(F316:F322,A316:A322,B$4),IF(AND(COUNT(A317:A328)=7,COUNT(F317:F328)=7),cubic_spline(F316:F323,A316:A323,B$4),IF(AND(COUNT(A317:A328)=8,COUNT(F317:F328)=8),cubic_spline(F316:F324,A316:A324,B$4),IF(AND(COUNT(A317:A328)=9,COUNT(F317:F328)=9),cubic_spline(F316:F325,A316:A325,B$4),IF(AND(COUNT(A317:A328)=10,COUNT(F317:F328)=10),cubic_spline(F316:F326,A316:A326,B$4),IF(AND(COUNT(A317:A328)=11,COUNT(F317:F328)=11),cubic_spline(F316:F327,A316:A327,B$4),IF(AND(COUNT(A317:A328)=12,COUNT(F317:F328)=12),cubic_spline(F316:F328,A316:A328,B$4),""))))))))))))</f>
        <v/>
      </c>
      <c r="L319" s="27" t="str">
        <f>IF(I319="","",B$3&amp;"-"&amp;B$4)</f>
        <v/>
      </c>
      <c r="M319" s="52" t="str">
        <f>IF(N(J319)=0,"",J319-J318)</f>
        <v/>
      </c>
    </row>
    <row r="320" spans="1:13" x14ac:dyDescent="0.35">
      <c r="A320" s="48"/>
      <c r="B320" s="48"/>
      <c r="C320" s="50"/>
      <c r="D320" s="50"/>
      <c r="E320" s="51" t="str">
        <f t="shared" si="118"/>
        <v/>
      </c>
      <c r="F320" s="68" t="str">
        <f t="shared" si="116"/>
        <v/>
      </c>
      <c r="G320" s="69" t="str">
        <f t="shared" si="119"/>
        <v/>
      </c>
      <c r="H320" s="70" t="str">
        <f t="shared" si="117"/>
        <v/>
      </c>
      <c r="I320" s="27" t="str">
        <f>IF(N(J320)=0,"",0&amp;"-"&amp;B$5)</f>
        <v/>
      </c>
      <c r="J320" s="52" t="str">
        <f>IF(N(B$5)=0,"",IF(AND(COUNT(H317:H328)=2,COUNT(F317:F328)=2),cubic_spline(F316:F318,H316:H318,B$5),IF(AND(COUNT(H317:H328)=3,COUNT(F317:F328)=3),cubic_spline(F316:F319,H316:H319,B$5),IF(AND(COUNT(H317:H328)=4,COUNT(F317:F328)=4),cubic_spline(F316:F320,H316:H320,B$5),IF(AND(COUNT(H317:H328)=5,COUNT(F317:F328)=5),cubic_spline(F316:F321,H316:H321,B$5),IF(AND(COUNT(H317:H328)=6,COUNT(F317:F328)=6),cubic_spline(F316:F322,H316:H322,B$5),IF(AND(COUNT(H317:H328)=7,COUNT(F317:F328)=7),cubic_spline(F316:F323,H316:H323,B$5),IF(AND(COUNT(H317:H328)=8,COUNT(F317:F328)=8),cubic_spline(F316:F324,H316:H324,B$5),IF(AND(COUNT(H317:H328)=9,COUNT(F317:F328)=9),cubic_spline(F316:F325,H316:H325,B$5),IF(AND(COUNT(H317:H328)=10,COUNT(F317:F328)=10),cubic_spline(F316:F326,H316:H326,B$5),IF(AND(COUNT(H317:H328)=11,COUNT(F317:F328)=11),cubic_spline(F316:F327,H316:H327,B$5),IF(AND(COUNT(H317:H328)=12,COUNT(F317:F328)=12),cubic_spline(F316:F328,H316:H328,B$5),""))))))))))))</f>
        <v/>
      </c>
      <c r="K320" s="52" t="str">
        <f>IF(N(B$5)=0,"",IF(AND(COUNT(A317:A328)=2,COUNT(F317:F328)=2),cubic_spline(F316:F318,A316:A318,B$5),IF(AND(COUNT(A317:A328)=3,COUNT(F317:F328)=3),cubic_spline(F316:F319,A316:A319,B$5),IF(AND(COUNT(A317:A328)=4,COUNT(F317:F328)=4),cubic_spline(F316:F320,A316:A320,B$5),IF(AND(COUNT(A317:A328)=5,COUNT(F317:F328)=5),cubic_spline(F316:F321,A316:A321,B$5),IF(AND(COUNT(A317:A328)=6,COUNT(F317:F328)=6),cubic_spline(F316:F322,A316:A322,B$5),IF(AND(COUNT(A317:A328)=7,COUNT(F317:F328)=7),cubic_spline(F316:F323,A316:A323,B$5),IF(AND(COUNT(A317:A328)=8,COUNT(F317:F328)=8),cubic_spline(F316:F324,A316:A324,B$5),IF(AND(COUNT(A317:A328)=9,COUNT(F317:F328)=9),cubic_spline(F316:F325,A316:A325,B$5),IF(AND(COUNT(A317:A328)=10,COUNT(F317:F328)=10),cubic_spline(F316:F326,A316:A326,B$5),IF(AND(COUNT(A317:A328)=11,COUNT(F317:F328)=11),cubic_spline(F316:F327,A316:A327,B$5),IF(AND(COUNT(A317:A328)=12,COUNT(F317:F328)=12),cubic_spline(F316:F328,A316:A328,B$5),""))))))))))))</f>
        <v/>
      </c>
      <c r="L320" s="27" t="str">
        <f>IF(I320="","",B$4&amp;"-"&amp;B$5)</f>
        <v/>
      </c>
      <c r="M320" s="52" t="str">
        <f>IF(N(J320)=0,"",J320-J319)</f>
        <v/>
      </c>
    </row>
    <row r="321" spans="1:13" x14ac:dyDescent="0.35">
      <c r="A321" s="48"/>
      <c r="B321" s="48"/>
      <c r="C321" s="50"/>
      <c r="D321" s="50"/>
      <c r="E321" s="51" t="str">
        <f t="shared" si="118"/>
        <v/>
      </c>
      <c r="F321" s="71" t="str">
        <f t="shared" si="116"/>
        <v/>
      </c>
      <c r="G321" s="69" t="str">
        <f t="shared" si="119"/>
        <v/>
      </c>
      <c r="H321" s="70" t="str">
        <f t="shared" si="117"/>
        <v/>
      </c>
      <c r="I321" s="27" t="str">
        <f>IF(N(J321)=0,"",0&amp;"-"&amp;B$6)</f>
        <v/>
      </c>
      <c r="J321" s="52" t="str">
        <f>IF(N(B$6)=0,"",IF(AND(COUNT(H317:H328)=2,COUNT(F317:F328)=2),cubic_spline(F316:F318,H316:H318,B$6),IF(AND(COUNT(H317:H328)=3,COUNT(F317:F328)=3),cubic_spline(F316:F319,H316:H319,B$6),IF(AND(COUNT(H317:H328)=4,COUNT(F317:F328)=4),cubic_spline(F316:F320,H316:H320,B$6),IF(AND(COUNT(H317:H328)=5,COUNT(F317:F328)=5),cubic_spline(F316:F321,H316:H321,B$6),IF(AND(COUNT(H317:H328)=6,COUNT(F317:F328)=6),cubic_spline(F316:F322,H316:H322,B$6),IF(AND(COUNT(H317:H328)=7,COUNT(F317:F328)=7),cubic_spline(F316:F323,H316:H323,B$6),IF(AND(COUNT(H317:H328)=8,COUNT(F317:F328)=8),cubic_spline(F316:F324,H316:H324,B$6),IF(AND(COUNT(H317:H328)=9,COUNT(F317:F328)=9),cubic_spline(F316:F325,H316:H325,B$6),IF(AND(COUNT(H317:H328)=10,COUNT(F317:F328)=10),cubic_spline(F316:F326,H316:H326,B$6),IF(AND(COUNT(H317:H328)=11,COUNT(F317:F328)=11),cubic_spline(F316:F327,H316:H327,B$6),IF(AND(COUNT(H317:H328)=12,COUNT(F317:F328)=12),cubic_spline(F316:F328,H316:H328,B$6),""))))))))))))</f>
        <v/>
      </c>
      <c r="K321" s="52" t="str">
        <f>IF(N(B$6)=0,"",IF(AND(COUNT(A317:A328)=2,COUNT(F317:F328)=2),cubic_spline(F316:F318,A316:A318,B$6),IF(AND(COUNT(A317:A328)=3,COUNT(F317:F328)=3),cubic_spline(F316:F319,A316:A319,B$6),IF(AND(COUNT(A317:A328)=4,COUNT(F317:F328)=4),cubic_spline(F316:F320,A316:A320,B$6),IF(AND(COUNT(A317:A328)=5,COUNT(F317:F328)=5),cubic_spline(F316:F321,A316:A321,B$6),IF(AND(COUNT(A317:A328)=6,COUNT(F317:F328)=6),cubic_spline(F316:F322,A316:A322,B$6),IF(AND(COUNT(A317:A328)=7,COUNT(F317:F328)=7),cubic_spline(F316:F323,A316:A323,B$6),IF(AND(COUNT(A317:A328)=8,COUNT(F317:F328)=8),cubic_spline(F316:F324,A316:A324,B$6),IF(AND(COUNT(A317:A328)=9,COUNT(F317:F328)=9),cubic_spline(F316:F325,A316:A325,B$6),IF(AND(COUNT(A317:A328)=10,COUNT(F317:F328)=10),cubic_spline(F316:F326,A316:A326,B$6),IF(AND(COUNT(A317:A328)=11,COUNT(F317:F328)=11),cubic_spline(F316:F327,A316:A327,B$6),IF(AND(COUNT(A317:A328)=12,COUNT(F317:F328)=12),cubic_spline(F316:F328,A316:A328,B$6),""))))))))))))</f>
        <v/>
      </c>
      <c r="L321" s="27" t="str">
        <f>IF(I321="","",B$5&amp;"-"&amp;B$6)</f>
        <v/>
      </c>
      <c r="M321" s="52" t="str">
        <f>IF(N(J321)=0,"",J321-J320)</f>
        <v/>
      </c>
    </row>
    <row r="322" spans="1:13" x14ac:dyDescent="0.35">
      <c r="A322" s="48"/>
      <c r="B322" s="48"/>
      <c r="C322" s="50"/>
      <c r="D322" s="50"/>
      <c r="E322" s="51" t="str">
        <f t="shared" si="118"/>
        <v/>
      </c>
      <c r="F322" s="71" t="str">
        <f t="shared" si="116"/>
        <v/>
      </c>
      <c r="G322" s="69" t="str">
        <f t="shared" si="119"/>
        <v/>
      </c>
      <c r="H322" s="70" t="str">
        <f t="shared" si="117"/>
        <v/>
      </c>
      <c r="I322" s="27" t="str">
        <f>IF(N(J322)=0,"",0&amp;"-"&amp;B$7)</f>
        <v/>
      </c>
      <c r="J322" s="52" t="str">
        <f>IF(N(B$7)=0,"",IF(AND(COUNT(H317:H328)=2,COUNT(F317:F328)=2),cubic_spline(F316:F318,H316:H318,B$7),IF(AND(COUNT(H317:H328)=3,COUNT(F317:F328)=3),cubic_spline(F316:F319,H316:H319,B$7),IF(AND(COUNT(H317:H328)=4,COUNT(F317:F328)=4),cubic_spline(F316:F320,H316:H320,B$7),IF(AND(COUNT(H317:H328)=5,COUNT(F317:F328)=5),cubic_spline(F316:F321,H316:H321,B$7),IF(AND(COUNT(H317:H328)=6,COUNT(F317:F328)=6),cubic_spline(F316:F322,H316:H322,B$7),IF(AND(COUNT(H317:H328)=7,COUNT(F317:F328)=7),cubic_spline(F316:F323,H316:H323,B$7),IF(AND(COUNT(H317:H328)=8,COUNT(F317:F328)=8),cubic_spline(F316:F324,H316:H324,B$7),IF(AND(COUNT(H317:H328)=9,COUNT(F317:F328)=9),cubic_spline(F316:F325,H316:H325,B$7),IF(AND(COUNT(H317:H328)=10,COUNT(F317:F328)=10),cubic_spline(F316:F326,H316:H326,B$7),IF(AND(COUNT(H317:H328)=11,COUNT(F317:F328)=11),cubic_spline(F316:F327,H316:H327,B$7),IF(AND(COUNT(H317:H328)=12,COUNT(F317:F328)=12),cubic_spline(F316:F328,H316:H328,B$7),""))))))))))))</f>
        <v/>
      </c>
      <c r="K322" s="52" t="str">
        <f>IF(N(B$7)=0,"",IF(AND(COUNT(A317:A328)=2,COUNT(F317:F328)=2),cubic_spline(F316:F318,A316:A318,B$7),IF(AND(COUNT(A317:A328)=3,COUNT(F317:F328)=3),cubic_spline(F316:F319,A316:A319,B$7),IF(AND(COUNT(A317:A328)=4,COUNT(F317:F328)=4),cubic_spline(F316:F320,A316:A320,B$7),IF(AND(COUNT(A317:A328)=5,COUNT(F317:F328)=5),cubic_spline(F316:F321,A316:A321,B$7),IF(AND(COUNT(A317:A328)=6,COUNT(F317:F328)=6),cubic_spline(F316:F322,A316:A322,B$7),IF(AND(COUNT(A317:A328)=7,COUNT(F317:F328)=7),cubic_spline(F316:F323,A316:A323,B$7),IF(AND(COUNT(A317:A328)=8,COUNT(F317:F328)=8),cubic_spline(F316:F324,A316:A324,B$7),IF(AND(COUNT(A317:A328)=9,COUNT(F317:F328)=9),cubic_spline(F316:F325,A316:A325,B$7),IF(AND(COUNT(A317:A328)=10,COUNT(F317:F328)=10),cubic_spline(F316:F326,A316:A326,B$7),IF(AND(COUNT(A317:A328)=11,COUNT(F317:F328)=11),cubic_spline(F316:F327,A316:A327,B$7),IF(AND(COUNT(A317:A328)=12,COUNT(F317:F328)=12),cubic_spline(F316:F328,A316:A328,B$7),""))))))))))))</f>
        <v/>
      </c>
      <c r="L322" s="27" t="str">
        <f>IF(I322="","",B$6&amp;"-"&amp;B$7)</f>
        <v/>
      </c>
      <c r="M322" s="52" t="str">
        <f t="shared" ref="M322:M328" si="120">IF(N(J322)=0,"",J322-J321)</f>
        <v/>
      </c>
    </row>
    <row r="323" spans="1:13" x14ac:dyDescent="0.35">
      <c r="A323" s="48"/>
      <c r="B323" s="48"/>
      <c r="C323" s="50"/>
      <c r="D323" s="50"/>
      <c r="E323" s="51" t="str">
        <f t="shared" si="118"/>
        <v/>
      </c>
      <c r="F323" s="71" t="str">
        <f t="shared" si="116"/>
        <v/>
      </c>
      <c r="G323" s="69" t="str">
        <f t="shared" si="119"/>
        <v/>
      </c>
      <c r="H323" s="70" t="str">
        <f t="shared" si="117"/>
        <v/>
      </c>
      <c r="I323" s="27" t="str">
        <f>IF(N(J323)=0,"",0&amp;"-"&amp;B$8)</f>
        <v/>
      </c>
      <c r="J323" s="52" t="str">
        <f>IF(N(B$8)=0,"",IF(AND(COUNT(H317:H328)=2,COUNT(F317:F328)=2),cubic_spline(F316:F318,H316:H318,B$8),IF(AND(COUNT(H317:H328)=3,COUNT(F317:F328)=3),cubic_spline(F316:F319,H316:H319,B$8),IF(AND(COUNT(H317:H328)=4,COUNT(F317:F328)=4),cubic_spline(F316:F320,H316:H320,B$8),IF(AND(COUNT(H317:H328)=5,COUNT(F317:F328)=5),cubic_spline(F316:F321,H316:H321,B$8),IF(AND(COUNT(H317:H328)=6,COUNT(F317:F328)=6),cubic_spline(F316:F322,H316:H322,B$8),IF(AND(COUNT(H317:H328)=7,COUNT(F317:F328)=7),cubic_spline(F316:F323,H316:H323,B$8),IF(AND(COUNT(H317:H328)=8,COUNT(F317:F328)=8),cubic_spline(F316:F324,H316:H324,B$8),IF(AND(COUNT(H317:H328)=9,COUNT(F317:F328)=9),cubic_spline(F316:F325,H316:H325,B$8),IF(AND(COUNT(H317:H328)=10,COUNT(F317:F328)=10),cubic_spline(F316:F326,H316:H326,B$8),IF(AND(COUNT(H317:H328)=11,COUNT(F317:F328)=11),cubic_spline(F316:F327,H316:H327,B$8),IF(AND(COUNT(H317:H328)=12,COUNT(F317:F328)=12),cubic_spline(F316:F328,H316:H328,B$8),""))))))))))))</f>
        <v/>
      </c>
      <c r="K323" s="52" t="str">
        <f>IF(N(B$8)=0,"",IF(AND(COUNT(A317:A328)=2,COUNT(F317:F328)=2),cubic_spline(F316:F318,A316:A318,B$8),IF(AND(COUNT(A317:A328)=3,COUNT(F317:F328)=3),cubic_spline(F316:F319,A316:A319,B$8),IF(AND(COUNT(A317:A328)=4,COUNT(F317:F328)=4),cubic_spline(F316:F320,A316:A320,B$8),IF(AND(COUNT(A317:A328)=5,COUNT(F317:F328)=5),cubic_spline(F316:F321,A316:A321,B$8),IF(AND(COUNT(A317:A328)=6,COUNT(F317:F328)=6),cubic_spline(F316:F322,A316:A322,B$8),IF(AND(COUNT(A317:A328)=7,COUNT(F317:F328)=7),cubic_spline(F316:F323,A316:A323,B$8),IF(AND(COUNT(A317:A328)=8,COUNT(F317:F328)=8),cubic_spline(F316:F324,A316:A324,B$8),IF(AND(COUNT(A317:A328)=9,COUNT(F317:F328)=9),cubic_spline(F316:F325,A316:A325,B$8),IF(AND(COUNT(A317:A328)=10,COUNT(F317:F328)=10),cubic_spline(F316:F326,A316:A326,B$8),IF(AND(COUNT(A317:A328)=11,COUNT(F317:F328)=11),cubic_spline(F316:F327,A316:A327,B$8),IF(AND(COUNT(A317:A328)=12,COUNT(F317:F328)=12),cubic_spline(F316:F328,A316:A328,B$8),""))))))))))))</f>
        <v/>
      </c>
      <c r="L323" s="27" t="str">
        <f>IF(I323="","",B$7&amp;"-"&amp;B$8)</f>
        <v/>
      </c>
      <c r="M323" s="52" t="str">
        <f t="shared" si="120"/>
        <v/>
      </c>
    </row>
    <row r="324" spans="1:13" x14ac:dyDescent="0.35">
      <c r="A324" s="48"/>
      <c r="B324" s="48"/>
      <c r="C324" s="50"/>
      <c r="D324" s="50"/>
      <c r="E324" s="51" t="str">
        <f t="shared" si="118"/>
        <v/>
      </c>
      <c r="F324" s="71" t="str">
        <f t="shared" si="116"/>
        <v/>
      </c>
      <c r="G324" s="69" t="str">
        <f t="shared" si="119"/>
        <v/>
      </c>
      <c r="H324" s="70" t="str">
        <f t="shared" si="117"/>
        <v/>
      </c>
      <c r="I324" s="27" t="str">
        <f>IF(N(J324)=0,"",0&amp;"-"&amp;B$9)</f>
        <v/>
      </c>
      <c r="J324" s="52" t="str">
        <f>IF(N(B$9)=0,"",IF(AND(COUNT(H317:H328)=2,COUNT(F317:F328)=2),cubic_spline(F316:F318,H316:H318,B$9),IF(AND(COUNT(H317:H328)=3,COUNT(F317:F328)=3),cubic_spline(F316:F319,H316:H319,B$9),IF(AND(COUNT(H317:H328)=4,COUNT(F317:F328)=4),cubic_spline(F316:F320,H316:H320,B$9),IF(AND(COUNT(H317:H328)=5,COUNT(F317:F328)=5),cubic_spline(F316:F321,H316:H321,B$9),IF(AND(COUNT(H317:H328)=6,COUNT(F317:F328)=6),cubic_spline(F316:F322,H316:H322,B$9),IF(AND(COUNT(H317:H328)=7,COUNT(F317:F328)=7),cubic_spline(F316:F323,H316:H323,B$9),IF(AND(COUNT(H317:H328)=8,COUNT(F317:F328)=8),cubic_spline(F316:F324,H316:H324,B$9),IF(AND(COUNT(H317:H328)=9,COUNT(F317:F328)=9),cubic_spline(F316:F325,H316:H325,B$9),IF(AND(COUNT(H317:H328)=10,COUNT(F317:F328)=10),cubic_spline(F316:F326,H316:H326,B$9),IF(AND(COUNT(H317:H328)=11,COUNT(F317:F328)=11),cubic_spline(F316:F327,H316:H327,B$9),IF(AND(COUNT(H317:H328)=12,COUNT(F317:F328)=12),cubic_spline(F316:F328,H316:H328,B$9),""))))))))))))</f>
        <v/>
      </c>
      <c r="K324" s="52" t="str">
        <f>IF(N(B$9)=0,"",IF(AND(COUNT(A317:A328)=2,COUNT(F317:F328)=2),cubic_spline(F316:F318,A316:A318,B$9),IF(AND(COUNT(A317:A328)=3,COUNT(F317:F328)=3),cubic_spline(F316:F319,A316:A319,B$9),IF(AND(COUNT(A317:A328)=4,COUNT(F317:F328)=4),cubic_spline(F316:F320,A316:A320,B$9),IF(AND(COUNT(A317:A328)=5,COUNT(F317:F328)=5),cubic_spline(F316:F321,A316:A321,B$9),IF(AND(COUNT(A317:A328)=6,COUNT(F317:F328)=6),cubic_spline(F316:F322,A316:A322,B$9),IF(AND(COUNT(A317:A328)=7,COUNT(F317:F328)=7),cubic_spline(F316:F323,A316:A323,B$9),IF(AND(COUNT(A317:A328)=8,COUNT(F317:F328)=8),cubic_spline(F316:F324,A316:A324,B$9),IF(AND(COUNT(A317:A328)=9,COUNT(F317:F328)=9),cubic_spline(F316:F325,A316:A325,B$9),IF(AND(COUNT(A317:A328)=10,COUNT(F317:F328)=10),cubic_spline(F316:F326,A316:A326,B$9),IF(AND(COUNT(A317:A328)=11,COUNT(F317:F328)=11),cubic_spline(F316:F327,A316:A327,B$9),IF(AND(COUNT(A317:A328)=12,COUNT(F317:F328)=12),cubic_spline(F316:F328,A316:A328,B$9),""))))))))))))</f>
        <v/>
      </c>
      <c r="L324" s="27" t="str">
        <f>IF(I324="","",B$8&amp;"-"&amp;B$9)</f>
        <v/>
      </c>
      <c r="M324" s="52" t="str">
        <f t="shared" si="120"/>
        <v/>
      </c>
    </row>
    <row r="325" spans="1:13" x14ac:dyDescent="0.35">
      <c r="A325" s="48"/>
      <c r="B325" s="48"/>
      <c r="C325" s="50"/>
      <c r="D325" s="50"/>
      <c r="E325" s="51" t="str">
        <f t="shared" si="118"/>
        <v/>
      </c>
      <c r="F325" s="71" t="str">
        <f t="shared" si="116"/>
        <v/>
      </c>
      <c r="G325" s="69" t="str">
        <f t="shared" si="119"/>
        <v/>
      </c>
      <c r="H325" s="70" t="str">
        <f t="shared" si="117"/>
        <v/>
      </c>
      <c r="I325" s="27" t="str">
        <f>IF(N(J325)=0,"",0&amp;"-"&amp;B$10)</f>
        <v/>
      </c>
      <c r="J325" s="52" t="str">
        <f>IF(N(B$10)=0,"",IF(AND(COUNT(H317:H328)=2,COUNT(F317:F328)=2),cubic_spline(F316:F318,H316:H318,B$10),IF(AND(COUNT(H317:H328)=3,COUNT(F317:F328)=3),cubic_spline(F316:F319,H316:H319,B$10),IF(AND(COUNT(H317:H328)=4,COUNT(F317:F328)=4),cubic_spline(F316:F320,H316:H320,B$10),IF(AND(COUNT(H317:H328)=5,COUNT(F317:F328)=5),cubic_spline(F316:F321,H316:H321,B$10),IF(AND(COUNT(H317:H328)=6,COUNT(F317:F328)=6),cubic_spline(F316:F322,H316:H322,B$10),IF(AND(COUNT(H317:H328)=7,COUNT(F317:F328)=7),cubic_spline(F316:F323,H316:H323,B$10),IF(AND(COUNT(H317:H328)=8,COUNT(F317:F328)=8),cubic_spline(F316:F324,H316:H324,B$10),IF(AND(COUNT(H317:H328)=9,COUNT(F317:F328)=9),cubic_spline(F316:F325,H316:H325,B$10),IF(AND(COUNT(H317:H328)=10,COUNT(F317:F328)=10),cubic_spline(F316:F326,H316:H326,B$10),IF(AND(COUNT(H317:H328)=11,COUNT(F317:F328)=11),cubic_spline(F316:F327,H316:H327,B$10),IF(AND(COUNT(H317:H328)=12,COUNT(F317:F328)=12),cubic_spline(F316:F328,H316:H328,B$10),""))))))))))))</f>
        <v/>
      </c>
      <c r="K325" s="52" t="str">
        <f>IF(N(B$10)=0,"",IF(AND(COUNT(A317:A328)=2,COUNT(F317:F328)=2),cubic_spline(F316:F318,A316:A318,B$10),IF(AND(COUNT(A317:A328)=3,COUNT(F317:F328)=3),cubic_spline(F316:F319,A316:A319,B$10),IF(AND(COUNT(A317:A328)=4,COUNT(F317:F328)=4),cubic_spline(F316:F320,A316:A320,B$10),IF(AND(COUNT(A317:A328)=5,COUNT(F317:F328)=5),cubic_spline(F316:F321,A316:A321,B$10),IF(AND(COUNT(A317:A328)=6,COUNT(F317:F328)=6),cubic_spline(F316:F322,A316:A322,B$10),IF(AND(COUNT(A317:A328)=7,COUNT(F317:F328)=7),cubic_spline(F316:F323,A316:A323,B$10),IF(AND(COUNT(A317:A328)=8,COUNT(F317:F328)=8),cubic_spline(F316:F324,A316:A324,B$10),IF(AND(COUNT(A317:A328)=9,COUNT(F317:F328)=9),cubic_spline(F316:F325,A316:A325,B$10),IF(AND(COUNT(A317:A328)=10,COUNT(F317:F328)=10),cubic_spline(F316:F326,A316:A326,B$10),IF(AND(COUNT(A317:A328)=11,COUNT(F317:F328)=11),cubic_spline(F316:F327,A316:A327,B$10),IF(AND(COUNT(A317:A328)=12,COUNT(F317:F328)=12),cubic_spline(F316:F328,A316:A328,B$10),""))))))))))))</f>
        <v/>
      </c>
      <c r="L325" s="27" t="str">
        <f>IF(I325="","",B$9&amp;"-"&amp;B$10)</f>
        <v/>
      </c>
      <c r="M325" s="52" t="str">
        <f t="shared" si="120"/>
        <v/>
      </c>
    </row>
    <row r="326" spans="1:13" x14ac:dyDescent="0.35">
      <c r="A326" s="48"/>
      <c r="B326" s="48"/>
      <c r="C326" s="50"/>
      <c r="D326" s="50"/>
      <c r="E326" s="51" t="str">
        <f t="shared" si="118"/>
        <v/>
      </c>
      <c r="F326" s="71" t="str">
        <f t="shared" si="116"/>
        <v/>
      </c>
      <c r="G326" s="69" t="str">
        <f t="shared" si="119"/>
        <v/>
      </c>
      <c r="H326" s="70" t="str">
        <f t="shared" si="117"/>
        <v/>
      </c>
      <c r="I326" s="27" t="str">
        <f>IF(N(J326)=0,"",0&amp;"-"&amp;B$11)</f>
        <v/>
      </c>
      <c r="J326" s="52" t="str">
        <f>IF(N(B$11)=0,"",IF(AND(COUNT(H317:H328)=2,COUNT(F317:F328)=2),cubic_spline(F316:F318,H316:H318,B$11),IF(AND(COUNT(H317:H328)=3,COUNT(F317:F328)=3),cubic_spline(F316:F319,H316:H319,B$11),IF(AND(COUNT(H317:H328)=4,COUNT(F317:F328)=4),cubic_spline(F316:F320,H316:H320,B$11),IF(AND(COUNT(H317:H328)=5,COUNT(F317:F328)=5),cubic_spline(F316:F321,H316:H321,B$11),IF(AND(COUNT(H317:H328)=6,COUNT(F317:F328)=6),cubic_spline(F316:F322,H316:H322,B$11),IF(AND(COUNT(H317:H328)=7,COUNT(F317:F328)=7),cubic_spline(F316:F323,H316:H323,B$11),IF(AND(COUNT(H317:H328)=8,COUNT(F317:F328)=8),cubic_spline(F316:F324,H316:H324,B$11),IF(AND(COUNT(H317:H328)=9,COUNT(F317:F328)=9),cubic_spline(F316:F325,H316:H325,B$11),IF(AND(COUNT(H317:H328)=10,COUNT(F317:F328)=10),cubic_spline(F316:F326,H316:H326,B$11),IF(AND(COUNT(H317:H328)=11,COUNT(F317:F328)=11),cubic_spline(F316:F327,H316:H327,B$11),IF(AND(COUNT(H317:H328)=12,COUNT(F317:F328)=12),cubic_spline(F316:F328,H316:H328,B$11),""))))))))))))</f>
        <v/>
      </c>
      <c r="K326" s="52" t="str">
        <f>IF(N(B$11)=0,"",IF(AND(COUNT(A317:A328)=2,COUNT(F317:F328)=2),cubic_spline(F316:F318,A316:A318,B$11),IF(AND(COUNT(A317:A328)=3,COUNT(F317:F328)=3),cubic_spline(F316:F319,A316:A319,B$11),IF(AND(COUNT(A317:A328)=4,COUNT(F317:F328)=4),cubic_spline(F316:F320,A316:A320,B$11),IF(AND(COUNT(A317:A328)=5,COUNT(F317:F328)=5),cubic_spline(F316:F321,A316:A321,B$11),IF(AND(COUNT(A317:A328)=6,COUNT(F317:F328)=6),cubic_spline(F316:F322,A316:A322,B$11),IF(AND(COUNT(A317:A328)=7,COUNT(F317:F328)=7),cubic_spline(F316:F323,A316:A323,B$11),IF(AND(COUNT(A317:A328)=8,COUNT(F317:F328)=8),cubic_spline(F316:F324,A316:A324,B$11),IF(AND(COUNT(A317:A328)=9,COUNT(F317:F328)=9),cubic_spline(F316:F325,A316:A325,B$11),IF(AND(COUNT(A317:A328)=10,COUNT(F317:F328)=10),cubic_spline(F316:F326,A316:A326,B$11),IF(AND(COUNT(A317:A328)=11,COUNT(F317:F328)=11),cubic_spline(F316:F327,A316:A327,B$11),IF(AND(COUNT(A317:A328)=12,COUNT(F317:F328)=12),cubic_spline(F316:F328,A316:A328,B$11),""))))))))))))</f>
        <v/>
      </c>
      <c r="L326" s="27" t="str">
        <f>IF(I326="","",B$10&amp;"-"&amp;B$11)</f>
        <v/>
      </c>
      <c r="M326" s="52" t="str">
        <f t="shared" si="120"/>
        <v/>
      </c>
    </row>
    <row r="327" spans="1:13" x14ac:dyDescent="0.35">
      <c r="A327" s="48"/>
      <c r="B327" s="48"/>
      <c r="C327" s="50"/>
      <c r="D327" s="50"/>
      <c r="E327" s="51" t="str">
        <f t="shared" si="118"/>
        <v/>
      </c>
      <c r="F327" s="71" t="str">
        <f t="shared" si="116"/>
        <v/>
      </c>
      <c r="G327" s="69" t="str">
        <f t="shared" si="119"/>
        <v/>
      </c>
      <c r="H327" s="70" t="str">
        <f t="shared" si="117"/>
        <v/>
      </c>
      <c r="I327" s="27" t="str">
        <f>IF(N(J327)=0,"",0&amp;"-"&amp;B$12)</f>
        <v/>
      </c>
      <c r="J327" s="52" t="str">
        <f>IF(N(B$12)=0,"",IF(AND(COUNT(H317:H328)=2,COUNT(F317:F328)=2),cubic_spline(F316:F318,H316:H318,B$12),IF(AND(COUNT(H317:H328)=3,COUNT(F317:F328)=3),cubic_spline(F316:F319,H316:H319,B$12),IF(AND(COUNT(H317:H328)=4,COUNT(F317:F328)=4),cubic_spline(F316:F320,H316:H320,B$12),IF(AND(COUNT(H317:H328)=5,COUNT(F317:F328)=5),cubic_spline(F316:F321,H316:H321,B$12),IF(AND(COUNT(H317:H328)=6,COUNT(F317:F328)=6),cubic_spline(F316:F322,H316:H322,B$12),IF(AND(COUNT(H317:H328)=7,COUNT(F317:F328)=7),cubic_spline(F316:F323,H316:H323,B$12),IF(AND(COUNT(H317:H328)=8,COUNT(F317:F328)=8),cubic_spline(F316:F324,H316:H324,B$12),IF(AND(COUNT(H317:H328)=9,COUNT(F317:F328)=9),cubic_spline(F316:F325,H316:H325,B$12),IF(AND(COUNT(H317:H328)=10,COUNT(F317:F328)=10),cubic_spline(F316:F326,H316:H326,B$12),IF(AND(COUNT(H317:H328)=11,COUNT(F317:F328)=11),cubic_spline(F316:F327,H316:H327,B$12),IF(AND(COUNT(H317:H328)=12,COUNT(F317:F328)=12),cubic_spline(F316:F328,H316:H328,B$12),""))))))))))))</f>
        <v/>
      </c>
      <c r="K327" s="52" t="str">
        <f>IF(N(B$12)=0,"",IF(AND(COUNT(A317:A328)=2,COUNT(F317:F328)=2),cubic_spline(F316:F318,A316:A318,B$12),IF(AND(COUNT(A317:A328)=3,COUNT(F317:F328)=3),cubic_spline(F316:F319,A316:A319,B$12),IF(AND(COUNT(A317:A328)=4,COUNT(F317:F328)=4),cubic_spline(F316:F320,A316:A320,B$12),IF(AND(COUNT(A317:A328)=5,COUNT(F317:F328)=5),cubic_spline(F316:F321,A316:A321,B$12),IF(AND(COUNT(A317:A328)=6,COUNT(F317:F328)=6),cubic_spline(F316:F322,A316:A322,B$12),IF(AND(COUNT(A317:A328)=7,COUNT(F317:F328)=7),cubic_spline(F316:F323,A316:A323,B$12),IF(AND(COUNT(A317:A328)=8,COUNT(F317:F328)=8),cubic_spline(F316:F324,A316:A324,B$12),IF(AND(COUNT(A317:A328)=9,COUNT(F317:F328)=9),cubic_spline(F316:F325,A316:A325,B$12),IF(AND(COUNT(A317:A328)=10,COUNT(F317:F328)=10),cubic_spline(F316:F326,A316:A326,B$12),IF(AND(COUNT(A317:A328)=11,COUNT(F317:F328)=11),cubic_spline(F316:F327,A316:A327,B$12),IF(AND(COUNT(A317:A328)=12,COUNT(F317:F328)=12),cubic_spline(F316:F328,A316:A328,B$12),""))))))))))))</f>
        <v/>
      </c>
      <c r="L327" s="27" t="str">
        <f>IF(I327="","",B$11&amp;"-"&amp;B$12)</f>
        <v/>
      </c>
      <c r="M327" s="52" t="str">
        <f t="shared" si="120"/>
        <v/>
      </c>
    </row>
    <row r="328" spans="1:13" x14ac:dyDescent="0.35">
      <c r="A328" s="48"/>
      <c r="B328" s="48"/>
      <c r="C328" s="50"/>
      <c r="D328" s="50"/>
      <c r="E328" s="51" t="str">
        <f t="shared" si="118"/>
        <v/>
      </c>
      <c r="F328" s="71" t="str">
        <f t="shared" si="116"/>
        <v/>
      </c>
      <c r="G328" s="69" t="str">
        <f t="shared" si="119"/>
        <v/>
      </c>
      <c r="H328" s="70" t="str">
        <f t="shared" si="117"/>
        <v/>
      </c>
      <c r="I328" s="27" t="str">
        <f>IF(N(J328)=0,"",0&amp;"-"&amp;B$13)</f>
        <v/>
      </c>
      <c r="J328" s="52" t="str">
        <f>IF(N(B$13)=0,"",IF(AND(COUNT(H317:H328)=2,COUNT(F317:F328)=2),cubic_spline(F316:F318,H316:H318,B$13),IF(AND(COUNT(H317:H328)=3,COUNT(F317:F328)=3),cubic_spline(F316:F319,H316:H319,B$13),IF(AND(COUNT(H317:H328)=4,COUNT(F317:F328)=4),cubic_spline(F316:F320,H316:H320,B$13),IF(AND(COUNT(H317:H328)=5,COUNT(F317:F328)=5),cubic_spline(F316:F321,H316:H321,B$13),IF(AND(COUNT(H317:H328)=6,COUNT(F317:F328)=6),cubic_spline(F316:F322,H316:H322,B$13),IF(AND(COUNT(H317:H328)=7,COUNT(F317:F328)=7),cubic_spline(F316:F323,H316:H323,B$13),IF(AND(COUNT(H317:H328)=8,COUNT(F317:F328)=8),cubic_spline(F316:F324,H316:H324,B$13),IF(AND(COUNT(H317:H328)=9,COUNT(F317:F328)=9),cubic_spline(F316:F325,H316:H325,B$13),IF(AND(COUNT(H317:H328)=10,COUNT(F317:F328)=10),cubic_spline(F316:F326,H316:H326,B$13),IF(AND(COUNT(H317:H328)=11,COUNT(F317:F328)=11),cubic_spline(F316:F327,H316:H327,B$13),IF(AND(COUNT(H317:H328)=12,COUNT(F317:F328)=12),cubic_spline(F316:F328,H316:H328,B$13),""))))))))))))</f>
        <v/>
      </c>
      <c r="K328" s="52" t="str">
        <f>IF(N(B$13)=0,"",IF(AND(COUNT(A317:A328)=2,COUNT(F317:F328)=2),cubic_spline(F316:F318,A316:A318,B$13),IF(AND(COUNT(A317:A328)=3,COUNT(F317:F328)=3),cubic_spline(F316:F319,A316:A319,B$13),IF(AND(COUNT(A317:A328)=4,COUNT(F317:F328)=4),cubic_spline(F316:F320,A316:A320,B$13),IF(AND(COUNT(A317:A328)=5,COUNT(F317:F328)=5),cubic_spline(F316:F321,A316:A321,B$13),IF(AND(COUNT(A317:A328)=6,COUNT(F317:F328)=6),cubic_spline(F316:F322,A316:A322,B$13),IF(AND(COUNT(A317:A328)=7,COUNT(F317:F328)=7),cubic_spline(F316:F323,A316:A323,B$13),IF(AND(COUNT(A317:A328)=8,COUNT(F317:F328)=8),cubic_spline(F316:F324,A316:A324,B$13),IF(AND(COUNT(A317:A328)=9,COUNT(F317:F328)=9),cubic_spline(F316:F325,A316:A325,B$13),IF(AND(COUNT(A317:A328)=10,COUNT(F317:F328)=10),cubic_spline(F316:F326,A316:A326,B$13),IF(AND(COUNT(A317:A328)=11,COUNT(F317:F328)=11),cubic_spline(F316:F327,A316:A327,B$13),IF(AND(COUNT(A317:A328)=12,COUNT(F317:F328)=12),cubic_spline(F316:F328,A316:A328,B$13),""))))))))))))</f>
        <v/>
      </c>
      <c r="L328" s="27" t="str">
        <f>IF(I328="","",B$12&amp;"-"&amp;B$13)</f>
        <v/>
      </c>
      <c r="M328" s="52" t="str">
        <f t="shared" si="120"/>
        <v/>
      </c>
    </row>
    <row r="329" spans="1:13" ht="5.15" customHeight="1" x14ac:dyDescent="0.35">
      <c r="A329" s="47"/>
      <c r="B329" s="47"/>
      <c r="C329" s="53"/>
      <c r="D329" s="53"/>
      <c r="E329" s="54"/>
      <c r="F329" s="55"/>
      <c r="G329" s="72"/>
      <c r="H329" s="73"/>
      <c r="I329" s="47"/>
      <c r="J329" s="57"/>
      <c r="K329" s="57"/>
      <c r="L329" s="55"/>
      <c r="M329" s="57"/>
    </row>
    <row r="330" spans="1:13" x14ac:dyDescent="0.35">
      <c r="A330" s="48"/>
      <c r="B330" s="48"/>
      <c r="C330" s="50"/>
      <c r="D330" s="50"/>
      <c r="E330" s="51" t="str">
        <f>IF(N(C330)=0,"",(A330-A329)*C330*100)</f>
        <v/>
      </c>
      <c r="F330" s="68" t="str">
        <f t="shared" ref="F330:F341" si="121">IF(N(E330)=0,"",(N(E330)+N(F329)))</f>
        <v/>
      </c>
      <c r="G330" s="69" t="str">
        <f>IF(OR(N(D330)=0,N(E330)=0),"",(E330*D330)/1000)</f>
        <v/>
      </c>
      <c r="H330" s="70" t="str">
        <f t="shared" ref="H330:H341" si="122">IF(N(G330)=0,"",(N(G330)+N(H329)))</f>
        <v/>
      </c>
      <c r="I330" s="27" t="str">
        <f>IF(N(J330)=0,"",0&amp;"-"&amp;B$2)</f>
        <v/>
      </c>
      <c r="J330" s="52" t="str">
        <f>IF(N(B$2)=0,"",IF(AND(COUNT(H330:H341)=2,COUNT(F330:F341)=2),cubic_spline(F329:F331,H329:H331,B$2),IF(AND(COUNT(H330:H341)=3,COUNT(F330:F341)=3),cubic_spline(F329:F332,H329:H332,B$2),IF(AND(COUNT(H330:H341)=4,COUNT(F330:F341)=4),cubic_spline(F329:F333,H329:H333,B$2),IF(AND(COUNT(H330:H341)=5,COUNT(F330:F341)=5),cubic_spline(F329:F334,H329:H334,B$2),IF(AND(COUNT(H330:H341)=6,COUNT(F330:F341)=6),cubic_spline(F329:F335,H329:H335,B$2),IF(AND(COUNT(H330:H341)=7,COUNT(F330:F341)=7),cubic_spline(F329:F336,H329:H336,B$2),IF(AND(COUNT(H330:H341)=8,COUNT(F330:F341)=8),cubic_spline(F329:F337,H329:H337,B$2),IF(AND(COUNT(H330:H341)=9,COUNT(F330:F341)=9),cubic_spline(F329:F338,H329:H338,B$2),IF(AND(COUNT(H330:H341)=10,COUNT(F330:F341)=10),cubic_spline(F329:F339,H329:H339,B$2),IF(AND(COUNT(H330:H341)=11,COUNT(F330:F341)=11),cubic_spline(F329:F340,H329:H340,B$2),IF(AND(COUNT(H330:H341)=12,COUNT(F330:F341)=12),cubic_spline(F329:F341,H329:H341,B$2),""))))))))))))</f>
        <v/>
      </c>
      <c r="K330" s="52" t="str">
        <f>IF(N(B$2)=0,"",IF(AND(COUNT(A330:A341)=2,COUNT(F330:F341)=2),cubic_spline(F329:F331,A329:A331,B$2),IF(AND(COUNT(A330:A341)=3,COUNT(F330:F341)=3),cubic_spline(F329:F332,A329:A332,B$2),IF(AND(COUNT(A330:A341)=4,COUNT(F330:F341)=4),cubic_spline(F329:F333,A329:A333,B$2),IF(AND(COUNT(A330:A341)=5,COUNT(F330:F341)=5),cubic_spline(F329:F334,A329:A334,B$2),IF(AND(COUNT(A330:A341)=6,COUNT(F330:F341)=6),cubic_spline(F329:F335,A329:A335,B$2),IF(AND(COUNT(A330:A341)=7,COUNT(F330:F341)=7),cubic_spline(F329:F336,A329:A336,B$2),IF(AND(COUNT(A330:A341)=8,COUNT(F330:F341)=8),cubic_spline(F329:F337,A329:A337,B$2),IF(AND(COUNT(A330:A341)=9,COUNT(F330:F341)=9),cubic_spline(F329:F338,A329:A338,B$2),IF(AND(COUNT(A330:A341)=10,COUNT(F330:F341)=10),cubic_spline(F329:F339,A329:A339,B$2),IF(AND(COUNT(A330:A341)=11,COUNT(F330:F341)=11),cubic_spline(F329:F340,A329:A340,B$2),IF(AND(COUNT(A330:A341)=12,COUNT(F330:F341)=12),cubic_spline(F329:F341,A329:A341,B$2),""))))))))))))</f>
        <v/>
      </c>
      <c r="L330" s="27" t="str">
        <f>IF(I330="","",0&amp;"-"&amp;B$2)</f>
        <v/>
      </c>
      <c r="M330" s="52" t="str">
        <f>IF(N(J330)=0,"",J330-J329)</f>
        <v/>
      </c>
    </row>
    <row r="331" spans="1:13" x14ac:dyDescent="0.35">
      <c r="A331" s="48"/>
      <c r="B331" s="48"/>
      <c r="C331" s="50"/>
      <c r="D331" s="50"/>
      <c r="E331" s="51" t="str">
        <f t="shared" ref="E331:E341" si="123">IF(N(C331)=0,"",(A331-A330)*C331*100)</f>
        <v/>
      </c>
      <c r="F331" s="68" t="str">
        <f t="shared" si="121"/>
        <v/>
      </c>
      <c r="G331" s="69" t="str">
        <f t="shared" ref="G331:G341" si="124">IF(OR(N(D331)=0,N(E331)=0),"",(E331*D331)/1000)</f>
        <v/>
      </c>
      <c r="H331" s="70" t="str">
        <f t="shared" si="122"/>
        <v/>
      </c>
      <c r="I331" s="27" t="str">
        <f>IF(N(J331)=0,"",0&amp;"-"&amp;B$3)</f>
        <v/>
      </c>
      <c r="J331" s="52" t="str">
        <f>IF(N(B$3)=0,"",IF(AND(COUNT(H330:H341)=2,COUNT(F330:F341)=2),cubic_spline(F329:F331,H329:H331,B$3),IF(AND(COUNT(H330:H341)=3,COUNT(F330:F341)=3),cubic_spline(F329:F332,H329:H332,B$3),IF(AND(COUNT(H330:H341)=4,COUNT(F330:F341)=4),cubic_spline(F329:F333,H329:H333,B$3),IF(AND(COUNT(H330:H341)=5,COUNT(F330:F341)=5),cubic_spline(F329:F334,H329:H334,B$3),IF(AND(COUNT(H330:H341)=6,COUNT(F330:F341)=6),cubic_spline(F329:F335,H329:H335,B$3),IF(AND(COUNT(H330:H341)=7,COUNT(F330:F341)=7),cubic_spline(F329:F336,H329:H336,B$3),IF(AND(COUNT(H330:H341)=8,COUNT(F330:F341)=8),cubic_spline(F329:F337,H329:H337,B$3),IF(AND(COUNT(H330:H341)=9,COUNT(F330:F341)=9),cubic_spline(F329:F338,H329:H338,B$3),IF(AND(COUNT(H330:H341)=10,COUNT(F330:F341)=10),cubic_spline(F329:F339,H329:H339,B$3),IF(AND(COUNT(H330:H341)=11,COUNT(F330:F341)=11),cubic_spline(F329:F340,H329:H340,B$3),IF(AND(COUNT(H330:H341)=12,COUNT(F330:F341)=12),cubic_spline(F329:F341,H329:H341,B$3),""))))))))))))</f>
        <v/>
      </c>
      <c r="K331" s="52" t="str">
        <f>IF(N(B$3)=0,"",IF(AND(COUNT(A330:A341)=2,COUNT(F330:F341)=2),cubic_spline(F329:F331,A329:A331,B$3),IF(AND(COUNT(A330:A341)=3,COUNT(F330:F341)=3),cubic_spline(F329:F332,A329:A332,B$3),IF(AND(COUNT(A330:A341)=4,COUNT(F330:F341)=4),cubic_spline(F329:F333,A329:A333,B$3),IF(AND(COUNT(A330:A341)=5,COUNT(F330:F341)=5),cubic_spline(F329:F334,A329:A334,B$3),IF(AND(COUNT(A330:A341)=6,COUNT(F330:F341)=6),cubic_spline(F329:F335,A329:A335,B$3),IF(AND(COUNT(A330:A341)=7,COUNT(F330:F341)=7),cubic_spline(F329:F336,A329:A336,B$3),IF(AND(COUNT(A330:A341)=8,COUNT(F330:F341)=8),cubic_spline(F329:F337,A329:A337,B$3),IF(AND(COUNT(A330:A341)=9,COUNT(F330:F341)=9),cubic_spline(F329:F338,A329:A338,B$3),IF(AND(COUNT(A330:A341)=10,COUNT(F330:F341)=10),cubic_spline(F329:F339,A329:A339,B$3),IF(AND(COUNT(A330:A341)=11,COUNT(F330:F341)=11),cubic_spline(F329:F340,A329:A340,B$3),IF(AND(COUNT(A330:A341)=12,COUNT(F330:F341)=12),cubic_spline(F329:F341,A329:A341,B$3),""))))))))))))</f>
        <v/>
      </c>
      <c r="L331" s="27" t="str">
        <f>IF(I331="","",B$2&amp;"-"&amp;B$3)</f>
        <v/>
      </c>
      <c r="M331" s="52" t="str">
        <f>IF(N(J331)=0,"",J331-J330)</f>
        <v/>
      </c>
    </row>
    <row r="332" spans="1:13" x14ac:dyDescent="0.35">
      <c r="A332" s="48"/>
      <c r="B332" s="48"/>
      <c r="C332" s="50"/>
      <c r="D332" s="50"/>
      <c r="E332" s="51" t="str">
        <f t="shared" si="123"/>
        <v/>
      </c>
      <c r="F332" s="68" t="str">
        <f t="shared" si="121"/>
        <v/>
      </c>
      <c r="G332" s="69" t="str">
        <f t="shared" si="124"/>
        <v/>
      </c>
      <c r="H332" s="70" t="str">
        <f t="shared" si="122"/>
        <v/>
      </c>
      <c r="I332" s="27" t="str">
        <f>IF(N(J332)=0,"",0&amp;"-"&amp;B$4)</f>
        <v/>
      </c>
      <c r="J332" s="52" t="str">
        <f>IF(N(B$4)=0,"",IF(AND(COUNT(H330:H341)=2,COUNT(F330:F341)=2),cubic_spline(F329:F331,H329:H331,B$4),IF(AND(COUNT(H330:H341)=3,COUNT(F330:F341)=3),cubic_spline(F329:F332,H329:H332,B$4),IF(AND(COUNT(H330:H341)=4,COUNT(F330:F341)=4),cubic_spline(F329:F333,H329:H333,B$4),IF(AND(COUNT(H330:H341)=5,COUNT(F330:F341)=5),cubic_spline(F329:F334,H329:H334,B$4),IF(AND(COUNT(H330:H341)=6,COUNT(F330:F341)=6),cubic_spline(F329:F335,H329:H335,B$4),IF(AND(COUNT(H330:H341)=7,COUNT(F330:F341)=7),cubic_spline(F329:F336,H329:H336,B$4),IF(AND(COUNT(H330:H341)=8,COUNT(F330:F341)=8),cubic_spline(F329:F337,H329:H337,B$4),IF(AND(COUNT(H330:H341)=9,COUNT(F330:F341)=9),cubic_spline(F329:F338,H329:H338,B$4),IF(AND(COUNT(H330:H341)=10,COUNT(F330:F341)=10),cubic_spline(F329:F339,H329:H339,B$4),IF(AND(COUNT(H330:H341)=11,COUNT(F330:F341)=11),cubic_spline(F329:F340,H329:H340,B$4),IF(AND(COUNT(H330:H341)=12,COUNT(F330:F341)=12),cubic_spline(F329:F341,H329:H341,B$4),""))))))))))))</f>
        <v/>
      </c>
      <c r="K332" s="52" t="str">
        <f>IF(N(B$4)=0,"",IF(AND(COUNT(A330:A341)=2,COUNT(F330:F341)=2),cubic_spline(F329:F331,A329:A331,B$4),IF(AND(COUNT(A330:A341)=3,COUNT(F330:F341)=3),cubic_spline(F329:F332,A329:A332,B$4),IF(AND(COUNT(A330:A341)=4,COUNT(F330:F341)=4),cubic_spline(F329:F333,A329:A333,B$4),IF(AND(COUNT(A330:A341)=5,COUNT(F330:F341)=5),cubic_spline(F329:F334,A329:A334,B$4),IF(AND(COUNT(A330:A341)=6,COUNT(F330:F341)=6),cubic_spline(F329:F335,A329:A335,B$4),IF(AND(COUNT(A330:A341)=7,COUNT(F330:F341)=7),cubic_spline(F329:F336,A329:A336,B$4),IF(AND(COUNT(A330:A341)=8,COUNT(F330:F341)=8),cubic_spline(F329:F337,A329:A337,B$4),IF(AND(COUNT(A330:A341)=9,COUNT(F330:F341)=9),cubic_spline(F329:F338,A329:A338,B$4),IF(AND(COUNT(A330:A341)=10,COUNT(F330:F341)=10),cubic_spline(F329:F339,A329:A339,B$4),IF(AND(COUNT(A330:A341)=11,COUNT(F330:F341)=11),cubic_spline(F329:F340,A329:A340,B$4),IF(AND(COUNT(A330:A341)=12,COUNT(F330:F341)=12),cubic_spline(F329:F341,A329:A341,B$4),""))))))))))))</f>
        <v/>
      </c>
      <c r="L332" s="27" t="str">
        <f>IF(I332="","",B$3&amp;"-"&amp;B$4)</f>
        <v/>
      </c>
      <c r="M332" s="52" t="str">
        <f>IF(N(J332)=0,"",J332-J331)</f>
        <v/>
      </c>
    </row>
    <row r="333" spans="1:13" x14ac:dyDescent="0.35">
      <c r="A333" s="48"/>
      <c r="B333" s="48"/>
      <c r="C333" s="50"/>
      <c r="D333" s="50"/>
      <c r="E333" s="51" t="str">
        <f t="shared" si="123"/>
        <v/>
      </c>
      <c r="F333" s="68" t="str">
        <f t="shared" si="121"/>
        <v/>
      </c>
      <c r="G333" s="69" t="str">
        <f t="shared" si="124"/>
        <v/>
      </c>
      <c r="H333" s="70" t="str">
        <f t="shared" si="122"/>
        <v/>
      </c>
      <c r="I333" s="27" t="str">
        <f>IF(N(J333)=0,"",0&amp;"-"&amp;B$5)</f>
        <v/>
      </c>
      <c r="J333" s="52" t="str">
        <f>IF(N(B$5)=0,"",IF(AND(COUNT(H330:H341)=2,COUNT(F330:F341)=2),cubic_spline(F329:F331,H329:H331,B$5),IF(AND(COUNT(H330:H341)=3,COUNT(F330:F341)=3),cubic_spline(F329:F332,H329:H332,B$5),IF(AND(COUNT(H330:H341)=4,COUNT(F330:F341)=4),cubic_spline(F329:F333,H329:H333,B$5),IF(AND(COUNT(H330:H341)=5,COUNT(F330:F341)=5),cubic_spline(F329:F334,H329:H334,B$5),IF(AND(COUNT(H330:H341)=6,COUNT(F330:F341)=6),cubic_spline(F329:F335,H329:H335,B$5),IF(AND(COUNT(H330:H341)=7,COUNT(F330:F341)=7),cubic_spline(F329:F336,H329:H336,B$5),IF(AND(COUNT(H330:H341)=8,COUNT(F330:F341)=8),cubic_spline(F329:F337,H329:H337,B$5),IF(AND(COUNT(H330:H341)=9,COUNT(F330:F341)=9),cubic_spline(F329:F338,H329:H338,B$5),IF(AND(COUNT(H330:H341)=10,COUNT(F330:F341)=10),cubic_spline(F329:F339,H329:H339,B$5),IF(AND(COUNT(H330:H341)=11,COUNT(F330:F341)=11),cubic_spline(F329:F340,H329:H340,B$5),IF(AND(COUNT(H330:H341)=12,COUNT(F330:F341)=12),cubic_spline(F329:F341,H329:H341,B$5),""))))))))))))</f>
        <v/>
      </c>
      <c r="K333" s="52" t="str">
        <f>IF(N(B$5)=0,"",IF(AND(COUNT(A330:A341)=2,COUNT(F330:F341)=2),cubic_spline(F329:F331,A329:A331,B$5),IF(AND(COUNT(A330:A341)=3,COUNT(F330:F341)=3),cubic_spline(F329:F332,A329:A332,B$5),IF(AND(COUNT(A330:A341)=4,COUNT(F330:F341)=4),cubic_spline(F329:F333,A329:A333,B$5),IF(AND(COUNT(A330:A341)=5,COUNT(F330:F341)=5),cubic_spline(F329:F334,A329:A334,B$5),IF(AND(COUNT(A330:A341)=6,COUNT(F330:F341)=6),cubic_spline(F329:F335,A329:A335,B$5),IF(AND(COUNT(A330:A341)=7,COUNT(F330:F341)=7),cubic_spline(F329:F336,A329:A336,B$5),IF(AND(COUNT(A330:A341)=8,COUNT(F330:F341)=8),cubic_spline(F329:F337,A329:A337,B$5),IF(AND(COUNT(A330:A341)=9,COUNT(F330:F341)=9),cubic_spline(F329:F338,A329:A338,B$5),IF(AND(COUNT(A330:A341)=10,COUNT(F330:F341)=10),cubic_spline(F329:F339,A329:A339,B$5),IF(AND(COUNT(A330:A341)=11,COUNT(F330:F341)=11),cubic_spline(F329:F340,A329:A340,B$5),IF(AND(COUNT(A330:A341)=12,COUNT(F330:F341)=12),cubic_spline(F329:F341,A329:A341,B$5),""))))))))))))</f>
        <v/>
      </c>
      <c r="L333" s="27" t="str">
        <f>IF(I333="","",B$4&amp;"-"&amp;B$5)</f>
        <v/>
      </c>
      <c r="M333" s="52" t="str">
        <f>IF(N(J333)=0,"",J333-J332)</f>
        <v/>
      </c>
    </row>
    <row r="334" spans="1:13" x14ac:dyDescent="0.35">
      <c r="A334" s="48"/>
      <c r="B334" s="48"/>
      <c r="C334" s="50"/>
      <c r="D334" s="50"/>
      <c r="E334" s="51" t="str">
        <f t="shared" si="123"/>
        <v/>
      </c>
      <c r="F334" s="71" t="str">
        <f t="shared" si="121"/>
        <v/>
      </c>
      <c r="G334" s="69" t="str">
        <f t="shared" si="124"/>
        <v/>
      </c>
      <c r="H334" s="70" t="str">
        <f t="shared" si="122"/>
        <v/>
      </c>
      <c r="I334" s="27" t="str">
        <f>IF(N(J334)=0,"",0&amp;"-"&amp;B$6)</f>
        <v/>
      </c>
      <c r="J334" s="52" t="str">
        <f>IF(N(B$6)=0,"",IF(AND(COUNT(H330:H341)=2,COUNT(F330:F341)=2),cubic_spline(F329:F331,H329:H331,B$6),IF(AND(COUNT(H330:H341)=3,COUNT(F330:F341)=3),cubic_spline(F329:F332,H329:H332,B$6),IF(AND(COUNT(H330:H341)=4,COUNT(F330:F341)=4),cubic_spline(F329:F333,H329:H333,B$6),IF(AND(COUNT(H330:H341)=5,COUNT(F330:F341)=5),cubic_spline(F329:F334,H329:H334,B$6),IF(AND(COUNT(H330:H341)=6,COUNT(F330:F341)=6),cubic_spline(F329:F335,H329:H335,B$6),IF(AND(COUNT(H330:H341)=7,COUNT(F330:F341)=7),cubic_spline(F329:F336,H329:H336,B$6),IF(AND(COUNT(H330:H341)=8,COUNT(F330:F341)=8),cubic_spline(F329:F337,H329:H337,B$6),IF(AND(COUNT(H330:H341)=9,COUNT(F330:F341)=9),cubic_spline(F329:F338,H329:H338,B$6),IF(AND(COUNT(H330:H341)=10,COUNT(F330:F341)=10),cubic_spline(F329:F339,H329:H339,B$6),IF(AND(COUNT(H330:H341)=11,COUNT(F330:F341)=11),cubic_spline(F329:F340,H329:H340,B$6),IF(AND(COUNT(H330:H341)=12,COUNT(F330:F341)=12),cubic_spline(F329:F341,H329:H341,B$6),""))))))))))))</f>
        <v/>
      </c>
      <c r="K334" s="52" t="str">
        <f>IF(N(B$6)=0,"",IF(AND(COUNT(A330:A341)=2,COUNT(F330:F341)=2),cubic_spline(F329:F331,A329:A331,B$6),IF(AND(COUNT(A330:A341)=3,COUNT(F330:F341)=3),cubic_spline(F329:F332,A329:A332,B$6),IF(AND(COUNT(A330:A341)=4,COUNT(F330:F341)=4),cubic_spline(F329:F333,A329:A333,B$6),IF(AND(COUNT(A330:A341)=5,COUNT(F330:F341)=5),cubic_spline(F329:F334,A329:A334,B$6),IF(AND(COUNT(A330:A341)=6,COUNT(F330:F341)=6),cubic_spline(F329:F335,A329:A335,B$6),IF(AND(COUNT(A330:A341)=7,COUNT(F330:F341)=7),cubic_spline(F329:F336,A329:A336,B$6),IF(AND(COUNT(A330:A341)=8,COUNT(F330:F341)=8),cubic_spline(F329:F337,A329:A337,B$6),IF(AND(COUNT(A330:A341)=9,COUNT(F330:F341)=9),cubic_spline(F329:F338,A329:A338,B$6),IF(AND(COUNT(A330:A341)=10,COUNT(F330:F341)=10),cubic_spline(F329:F339,A329:A339,B$6),IF(AND(COUNT(A330:A341)=11,COUNT(F330:F341)=11),cubic_spline(F329:F340,A329:A340,B$6),IF(AND(COUNT(A330:A341)=12,COUNT(F330:F341)=12),cubic_spline(F329:F341,A329:A341,B$6),""))))))))))))</f>
        <v/>
      </c>
      <c r="L334" s="27" t="str">
        <f>IF(I334="","",B$5&amp;"-"&amp;B$6)</f>
        <v/>
      </c>
      <c r="M334" s="52" t="str">
        <f>IF(N(J334)=0,"",J334-J333)</f>
        <v/>
      </c>
    </row>
    <row r="335" spans="1:13" x14ac:dyDescent="0.35">
      <c r="A335" s="48"/>
      <c r="B335" s="48"/>
      <c r="C335" s="50"/>
      <c r="D335" s="50"/>
      <c r="E335" s="51" t="str">
        <f t="shared" si="123"/>
        <v/>
      </c>
      <c r="F335" s="71" t="str">
        <f t="shared" si="121"/>
        <v/>
      </c>
      <c r="G335" s="69" t="str">
        <f t="shared" si="124"/>
        <v/>
      </c>
      <c r="H335" s="70" t="str">
        <f t="shared" si="122"/>
        <v/>
      </c>
      <c r="I335" s="27" t="str">
        <f>IF(N(J335)=0,"",0&amp;"-"&amp;B$7)</f>
        <v/>
      </c>
      <c r="J335" s="52" t="str">
        <f>IF(N(B$7)=0,"",IF(AND(COUNT(H330:H341)=2,COUNT(F330:F341)=2),cubic_spline(F329:F331,H329:H331,B$7),IF(AND(COUNT(H330:H341)=3,COUNT(F330:F341)=3),cubic_spline(F329:F332,H329:H332,B$7),IF(AND(COUNT(H330:H341)=4,COUNT(F330:F341)=4),cubic_spline(F329:F333,H329:H333,B$7),IF(AND(COUNT(H330:H341)=5,COUNT(F330:F341)=5),cubic_spline(F329:F334,H329:H334,B$7),IF(AND(COUNT(H330:H341)=6,COUNT(F330:F341)=6),cubic_spline(F329:F335,H329:H335,B$7),IF(AND(COUNT(H330:H341)=7,COUNT(F330:F341)=7),cubic_spline(F329:F336,H329:H336,B$7),IF(AND(COUNT(H330:H341)=8,COUNT(F330:F341)=8),cubic_spline(F329:F337,H329:H337,B$7),IF(AND(COUNT(H330:H341)=9,COUNT(F330:F341)=9),cubic_spline(F329:F338,H329:H338,B$7),IF(AND(COUNT(H330:H341)=10,COUNT(F330:F341)=10),cubic_spline(F329:F339,H329:H339,B$7),IF(AND(COUNT(H330:H341)=11,COUNT(F330:F341)=11),cubic_spline(F329:F340,H329:H340,B$7),IF(AND(COUNT(H330:H341)=12,COUNT(F330:F341)=12),cubic_spline(F329:F341,H329:H341,B$7),""))))))))))))</f>
        <v/>
      </c>
      <c r="K335" s="52" t="str">
        <f>IF(N(B$7)=0,"",IF(AND(COUNT(A330:A341)=2,COUNT(F330:F341)=2),cubic_spline(F329:F331,A329:A331,B$7),IF(AND(COUNT(A330:A341)=3,COUNT(F330:F341)=3),cubic_spline(F329:F332,A329:A332,B$7),IF(AND(COUNT(A330:A341)=4,COUNT(F330:F341)=4),cubic_spline(F329:F333,A329:A333,B$7),IF(AND(COUNT(A330:A341)=5,COUNT(F330:F341)=5),cubic_spline(F329:F334,A329:A334,B$7),IF(AND(COUNT(A330:A341)=6,COUNT(F330:F341)=6),cubic_spline(F329:F335,A329:A335,B$7),IF(AND(COUNT(A330:A341)=7,COUNT(F330:F341)=7),cubic_spline(F329:F336,A329:A336,B$7),IF(AND(COUNT(A330:A341)=8,COUNT(F330:F341)=8),cubic_spline(F329:F337,A329:A337,B$7),IF(AND(COUNT(A330:A341)=9,COUNT(F330:F341)=9),cubic_spline(F329:F338,A329:A338,B$7),IF(AND(COUNT(A330:A341)=10,COUNT(F330:F341)=10),cubic_spline(F329:F339,A329:A339,B$7),IF(AND(COUNT(A330:A341)=11,COUNT(F330:F341)=11),cubic_spline(F329:F340,A329:A340,B$7),IF(AND(COUNT(A330:A341)=12,COUNT(F330:F341)=12),cubic_spline(F329:F341,A329:A341,B$7),""))))))))))))</f>
        <v/>
      </c>
      <c r="L335" s="27" t="str">
        <f>IF(I335="","",B$6&amp;"-"&amp;B$7)</f>
        <v/>
      </c>
      <c r="M335" s="52" t="str">
        <f t="shared" ref="M335:M341" si="125">IF(N(J335)=0,"",J335-J334)</f>
        <v/>
      </c>
    </row>
    <row r="336" spans="1:13" x14ac:dyDescent="0.35">
      <c r="A336" s="48"/>
      <c r="B336" s="48"/>
      <c r="C336" s="50"/>
      <c r="D336" s="50"/>
      <c r="E336" s="51" t="str">
        <f t="shared" si="123"/>
        <v/>
      </c>
      <c r="F336" s="71" t="str">
        <f t="shared" si="121"/>
        <v/>
      </c>
      <c r="G336" s="69" t="str">
        <f t="shared" si="124"/>
        <v/>
      </c>
      <c r="H336" s="70" t="str">
        <f t="shared" si="122"/>
        <v/>
      </c>
      <c r="I336" s="27" t="str">
        <f>IF(N(J336)=0,"",0&amp;"-"&amp;B$8)</f>
        <v/>
      </c>
      <c r="J336" s="52" t="str">
        <f>IF(N(B$8)=0,"",IF(AND(COUNT(H330:H341)=2,COUNT(F330:F341)=2),cubic_spline(F329:F331,H329:H331,B$8),IF(AND(COUNT(H330:H341)=3,COUNT(F330:F341)=3),cubic_spline(F329:F332,H329:H332,B$8),IF(AND(COUNT(H330:H341)=4,COUNT(F330:F341)=4),cubic_spline(F329:F333,H329:H333,B$8),IF(AND(COUNT(H330:H341)=5,COUNT(F330:F341)=5),cubic_spline(F329:F334,H329:H334,B$8),IF(AND(COUNT(H330:H341)=6,COUNT(F330:F341)=6),cubic_spline(F329:F335,H329:H335,B$8),IF(AND(COUNT(H330:H341)=7,COUNT(F330:F341)=7),cubic_spline(F329:F336,H329:H336,B$8),IF(AND(COUNT(H330:H341)=8,COUNT(F330:F341)=8),cubic_spline(F329:F337,H329:H337,B$8),IF(AND(COUNT(H330:H341)=9,COUNT(F330:F341)=9),cubic_spline(F329:F338,H329:H338,B$8),IF(AND(COUNT(H330:H341)=10,COUNT(F330:F341)=10),cubic_spline(F329:F339,H329:H339,B$8),IF(AND(COUNT(H330:H341)=11,COUNT(F330:F341)=11),cubic_spline(F329:F340,H329:H340,B$8),IF(AND(COUNT(H330:H341)=12,COUNT(F330:F341)=12),cubic_spline(F329:F341,H329:H341,B$8),""))))))))))))</f>
        <v/>
      </c>
      <c r="K336" s="52" t="str">
        <f>IF(N(B$8)=0,"",IF(AND(COUNT(A330:A341)=2,COUNT(F330:F341)=2),cubic_spline(F329:F331,A329:A331,B$8),IF(AND(COUNT(A330:A341)=3,COUNT(F330:F341)=3),cubic_spline(F329:F332,A329:A332,B$8),IF(AND(COUNT(A330:A341)=4,COUNT(F330:F341)=4),cubic_spline(F329:F333,A329:A333,B$8),IF(AND(COUNT(A330:A341)=5,COUNT(F330:F341)=5),cubic_spline(F329:F334,A329:A334,B$8),IF(AND(COUNT(A330:A341)=6,COUNT(F330:F341)=6),cubic_spline(F329:F335,A329:A335,B$8),IF(AND(COUNT(A330:A341)=7,COUNT(F330:F341)=7),cubic_spline(F329:F336,A329:A336,B$8),IF(AND(COUNT(A330:A341)=8,COUNT(F330:F341)=8),cubic_spline(F329:F337,A329:A337,B$8),IF(AND(COUNT(A330:A341)=9,COUNT(F330:F341)=9),cubic_spline(F329:F338,A329:A338,B$8),IF(AND(COUNT(A330:A341)=10,COUNT(F330:F341)=10),cubic_spline(F329:F339,A329:A339,B$8),IF(AND(COUNT(A330:A341)=11,COUNT(F330:F341)=11),cubic_spline(F329:F340,A329:A340,B$8),IF(AND(COUNT(A330:A341)=12,COUNT(F330:F341)=12),cubic_spline(F329:F341,A329:A341,B$8),""))))))))))))</f>
        <v/>
      </c>
      <c r="L336" s="27" t="str">
        <f>IF(I336="","",B$7&amp;"-"&amp;B$8)</f>
        <v/>
      </c>
      <c r="M336" s="52" t="str">
        <f t="shared" si="125"/>
        <v/>
      </c>
    </row>
    <row r="337" spans="1:13" x14ac:dyDescent="0.35">
      <c r="A337" s="48"/>
      <c r="B337" s="48"/>
      <c r="C337" s="50"/>
      <c r="D337" s="50"/>
      <c r="E337" s="51" t="str">
        <f t="shared" si="123"/>
        <v/>
      </c>
      <c r="F337" s="71" t="str">
        <f t="shared" si="121"/>
        <v/>
      </c>
      <c r="G337" s="69" t="str">
        <f t="shared" si="124"/>
        <v/>
      </c>
      <c r="H337" s="70" t="str">
        <f t="shared" si="122"/>
        <v/>
      </c>
      <c r="I337" s="27" t="str">
        <f>IF(N(J337)=0,"",0&amp;"-"&amp;B$9)</f>
        <v/>
      </c>
      <c r="J337" s="52" t="str">
        <f>IF(N(B$9)=0,"",IF(AND(COUNT(H330:H341)=2,COUNT(F330:F341)=2),cubic_spline(F329:F331,H329:H331,B$9),IF(AND(COUNT(H330:H341)=3,COUNT(F330:F341)=3),cubic_spline(F329:F332,H329:H332,B$9),IF(AND(COUNT(H330:H341)=4,COUNT(F330:F341)=4),cubic_spline(F329:F333,H329:H333,B$9),IF(AND(COUNT(H330:H341)=5,COUNT(F330:F341)=5),cubic_spline(F329:F334,H329:H334,B$9),IF(AND(COUNT(H330:H341)=6,COUNT(F330:F341)=6),cubic_spline(F329:F335,H329:H335,B$9),IF(AND(COUNT(H330:H341)=7,COUNT(F330:F341)=7),cubic_spline(F329:F336,H329:H336,B$9),IF(AND(COUNT(H330:H341)=8,COUNT(F330:F341)=8),cubic_spline(F329:F337,H329:H337,B$9),IF(AND(COUNT(H330:H341)=9,COUNT(F330:F341)=9),cubic_spline(F329:F338,H329:H338,B$9),IF(AND(COUNT(H330:H341)=10,COUNT(F330:F341)=10),cubic_spline(F329:F339,H329:H339,B$9),IF(AND(COUNT(H330:H341)=11,COUNT(F330:F341)=11),cubic_spline(F329:F340,H329:H340,B$9),IF(AND(COUNT(H330:H341)=12,COUNT(F330:F341)=12),cubic_spline(F329:F341,H329:H341,B$9),""))))))))))))</f>
        <v/>
      </c>
      <c r="K337" s="52" t="str">
        <f>IF(N(B$9)=0,"",IF(AND(COUNT(A330:A341)=2,COUNT(F330:F341)=2),cubic_spline(F329:F331,A329:A331,B$9),IF(AND(COUNT(A330:A341)=3,COUNT(F330:F341)=3),cubic_spline(F329:F332,A329:A332,B$9),IF(AND(COUNT(A330:A341)=4,COUNT(F330:F341)=4),cubic_spline(F329:F333,A329:A333,B$9),IF(AND(COUNT(A330:A341)=5,COUNT(F330:F341)=5),cubic_spline(F329:F334,A329:A334,B$9),IF(AND(COUNT(A330:A341)=6,COUNT(F330:F341)=6),cubic_spline(F329:F335,A329:A335,B$9),IF(AND(COUNT(A330:A341)=7,COUNT(F330:F341)=7),cubic_spline(F329:F336,A329:A336,B$9),IF(AND(COUNT(A330:A341)=8,COUNT(F330:F341)=8),cubic_spline(F329:F337,A329:A337,B$9),IF(AND(COUNT(A330:A341)=9,COUNT(F330:F341)=9),cubic_spline(F329:F338,A329:A338,B$9),IF(AND(COUNT(A330:A341)=10,COUNT(F330:F341)=10),cubic_spline(F329:F339,A329:A339,B$9),IF(AND(COUNT(A330:A341)=11,COUNT(F330:F341)=11),cubic_spline(F329:F340,A329:A340,B$9),IF(AND(COUNT(A330:A341)=12,COUNT(F330:F341)=12),cubic_spline(F329:F341,A329:A341,B$9),""))))))))))))</f>
        <v/>
      </c>
      <c r="L337" s="27" t="str">
        <f>IF(I337="","",B$8&amp;"-"&amp;B$9)</f>
        <v/>
      </c>
      <c r="M337" s="52" t="str">
        <f t="shared" si="125"/>
        <v/>
      </c>
    </row>
    <row r="338" spans="1:13" x14ac:dyDescent="0.35">
      <c r="A338" s="48"/>
      <c r="B338" s="48"/>
      <c r="C338" s="50"/>
      <c r="D338" s="50"/>
      <c r="E338" s="51" t="str">
        <f t="shared" si="123"/>
        <v/>
      </c>
      <c r="F338" s="71" t="str">
        <f t="shared" si="121"/>
        <v/>
      </c>
      <c r="G338" s="69" t="str">
        <f t="shared" si="124"/>
        <v/>
      </c>
      <c r="H338" s="70" t="str">
        <f t="shared" si="122"/>
        <v/>
      </c>
      <c r="I338" s="27" t="str">
        <f>IF(N(J338)=0,"",0&amp;"-"&amp;B$10)</f>
        <v/>
      </c>
      <c r="J338" s="52" t="str">
        <f>IF(N(B$10)=0,"",IF(AND(COUNT(H330:H341)=2,COUNT(F330:F341)=2),cubic_spline(F329:F331,H329:H331,B$10),IF(AND(COUNT(H330:H341)=3,COUNT(F330:F341)=3),cubic_spline(F329:F332,H329:H332,B$10),IF(AND(COUNT(H330:H341)=4,COUNT(F330:F341)=4),cubic_spline(F329:F333,H329:H333,B$10),IF(AND(COUNT(H330:H341)=5,COUNT(F330:F341)=5),cubic_spline(F329:F334,H329:H334,B$10),IF(AND(COUNT(H330:H341)=6,COUNT(F330:F341)=6),cubic_spline(F329:F335,H329:H335,B$10),IF(AND(COUNT(H330:H341)=7,COUNT(F330:F341)=7),cubic_spline(F329:F336,H329:H336,B$10),IF(AND(COUNT(H330:H341)=8,COUNT(F330:F341)=8),cubic_spline(F329:F337,H329:H337,B$10),IF(AND(COUNT(H330:H341)=9,COUNT(F330:F341)=9),cubic_spline(F329:F338,H329:H338,B$10),IF(AND(COUNT(H330:H341)=10,COUNT(F330:F341)=10),cubic_spline(F329:F339,H329:H339,B$10),IF(AND(COUNT(H330:H341)=11,COUNT(F330:F341)=11),cubic_spline(F329:F340,H329:H340,B$10),IF(AND(COUNT(H330:H341)=12,COUNT(F330:F341)=12),cubic_spline(F329:F341,H329:H341,B$10),""))))))))))))</f>
        <v/>
      </c>
      <c r="K338" s="52" t="str">
        <f>IF(N(B$10)=0,"",IF(AND(COUNT(A330:A341)=2,COUNT(F330:F341)=2),cubic_spline(F329:F331,A329:A331,B$10),IF(AND(COUNT(A330:A341)=3,COUNT(F330:F341)=3),cubic_spline(F329:F332,A329:A332,B$10),IF(AND(COUNT(A330:A341)=4,COUNT(F330:F341)=4),cubic_spline(F329:F333,A329:A333,B$10),IF(AND(COUNT(A330:A341)=5,COUNT(F330:F341)=5),cubic_spline(F329:F334,A329:A334,B$10),IF(AND(COUNT(A330:A341)=6,COUNT(F330:F341)=6),cubic_spline(F329:F335,A329:A335,B$10),IF(AND(COUNT(A330:A341)=7,COUNT(F330:F341)=7),cubic_spline(F329:F336,A329:A336,B$10),IF(AND(COUNT(A330:A341)=8,COUNT(F330:F341)=8),cubic_spline(F329:F337,A329:A337,B$10),IF(AND(COUNT(A330:A341)=9,COUNT(F330:F341)=9),cubic_spline(F329:F338,A329:A338,B$10),IF(AND(COUNT(A330:A341)=10,COUNT(F330:F341)=10),cubic_spline(F329:F339,A329:A339,B$10),IF(AND(COUNT(A330:A341)=11,COUNT(F330:F341)=11),cubic_spline(F329:F340,A329:A340,B$10),IF(AND(COUNT(A330:A341)=12,COUNT(F330:F341)=12),cubic_spline(F329:F341,A329:A341,B$10),""))))))))))))</f>
        <v/>
      </c>
      <c r="L338" s="27" t="str">
        <f>IF(I338="","",B$9&amp;"-"&amp;B$10)</f>
        <v/>
      </c>
      <c r="M338" s="52" t="str">
        <f t="shared" si="125"/>
        <v/>
      </c>
    </row>
    <row r="339" spans="1:13" x14ac:dyDescent="0.35">
      <c r="A339" s="48"/>
      <c r="B339" s="48"/>
      <c r="C339" s="50"/>
      <c r="D339" s="50"/>
      <c r="E339" s="51" t="str">
        <f t="shared" si="123"/>
        <v/>
      </c>
      <c r="F339" s="71" t="str">
        <f t="shared" si="121"/>
        <v/>
      </c>
      <c r="G339" s="69" t="str">
        <f t="shared" si="124"/>
        <v/>
      </c>
      <c r="H339" s="70" t="str">
        <f t="shared" si="122"/>
        <v/>
      </c>
      <c r="I339" s="27" t="str">
        <f>IF(N(J339)=0,"",0&amp;"-"&amp;B$11)</f>
        <v/>
      </c>
      <c r="J339" s="52" t="str">
        <f>IF(N(B$11)=0,"",IF(AND(COUNT(H330:H341)=2,COUNT(F330:F341)=2),cubic_spline(F329:F331,H329:H331,B$11),IF(AND(COUNT(H330:H341)=3,COUNT(F330:F341)=3),cubic_spline(F329:F332,H329:H332,B$11),IF(AND(COUNT(H330:H341)=4,COUNT(F330:F341)=4),cubic_spline(F329:F333,H329:H333,B$11),IF(AND(COUNT(H330:H341)=5,COUNT(F330:F341)=5),cubic_spline(F329:F334,H329:H334,B$11),IF(AND(COUNT(H330:H341)=6,COUNT(F330:F341)=6),cubic_spline(F329:F335,H329:H335,B$11),IF(AND(COUNT(H330:H341)=7,COUNT(F330:F341)=7),cubic_spline(F329:F336,H329:H336,B$11),IF(AND(COUNT(H330:H341)=8,COUNT(F330:F341)=8),cubic_spline(F329:F337,H329:H337,B$11),IF(AND(COUNT(H330:H341)=9,COUNT(F330:F341)=9),cubic_spline(F329:F338,H329:H338,B$11),IF(AND(COUNT(H330:H341)=10,COUNT(F330:F341)=10),cubic_spline(F329:F339,H329:H339,B$11),IF(AND(COUNT(H330:H341)=11,COUNT(F330:F341)=11),cubic_spline(F329:F340,H329:H340,B$11),IF(AND(COUNT(H330:H341)=12,COUNT(F330:F341)=12),cubic_spline(F329:F341,H329:H341,B$11),""))))))))))))</f>
        <v/>
      </c>
      <c r="K339" s="52" t="str">
        <f>IF(N(B$11)=0,"",IF(AND(COUNT(A330:A341)=2,COUNT(F330:F341)=2),cubic_spline(F329:F331,A329:A331,B$11),IF(AND(COUNT(A330:A341)=3,COUNT(F330:F341)=3),cubic_spline(F329:F332,A329:A332,B$11),IF(AND(COUNT(A330:A341)=4,COUNT(F330:F341)=4),cubic_spline(F329:F333,A329:A333,B$11),IF(AND(COUNT(A330:A341)=5,COUNT(F330:F341)=5),cubic_spline(F329:F334,A329:A334,B$11),IF(AND(COUNT(A330:A341)=6,COUNT(F330:F341)=6),cubic_spline(F329:F335,A329:A335,B$11),IF(AND(COUNT(A330:A341)=7,COUNT(F330:F341)=7),cubic_spline(F329:F336,A329:A336,B$11),IF(AND(COUNT(A330:A341)=8,COUNT(F330:F341)=8),cubic_spline(F329:F337,A329:A337,B$11),IF(AND(COUNT(A330:A341)=9,COUNT(F330:F341)=9),cubic_spline(F329:F338,A329:A338,B$11),IF(AND(COUNT(A330:A341)=10,COUNT(F330:F341)=10),cubic_spline(F329:F339,A329:A339,B$11),IF(AND(COUNT(A330:A341)=11,COUNT(F330:F341)=11),cubic_spline(F329:F340,A329:A340,B$11),IF(AND(COUNT(A330:A341)=12,COUNT(F330:F341)=12),cubic_spline(F329:F341,A329:A341,B$11),""))))))))))))</f>
        <v/>
      </c>
      <c r="L339" s="27" t="str">
        <f>IF(I339="","",B$10&amp;"-"&amp;B$11)</f>
        <v/>
      </c>
      <c r="M339" s="52" t="str">
        <f t="shared" si="125"/>
        <v/>
      </c>
    </row>
    <row r="340" spans="1:13" x14ac:dyDescent="0.35">
      <c r="A340" s="48"/>
      <c r="B340" s="48"/>
      <c r="C340" s="50"/>
      <c r="D340" s="50"/>
      <c r="E340" s="51" t="str">
        <f t="shared" si="123"/>
        <v/>
      </c>
      <c r="F340" s="71" t="str">
        <f t="shared" si="121"/>
        <v/>
      </c>
      <c r="G340" s="69" t="str">
        <f t="shared" si="124"/>
        <v/>
      </c>
      <c r="H340" s="70" t="str">
        <f t="shared" si="122"/>
        <v/>
      </c>
      <c r="I340" s="27" t="str">
        <f>IF(N(J340)=0,"",0&amp;"-"&amp;B$12)</f>
        <v/>
      </c>
      <c r="J340" s="52" t="str">
        <f>IF(N(B$12)=0,"",IF(AND(COUNT(H330:H341)=2,COUNT(F330:F341)=2),cubic_spline(F329:F331,H329:H331,B$12),IF(AND(COUNT(H330:H341)=3,COUNT(F330:F341)=3),cubic_spline(F329:F332,H329:H332,B$12),IF(AND(COUNT(H330:H341)=4,COUNT(F330:F341)=4),cubic_spline(F329:F333,H329:H333,B$12),IF(AND(COUNT(H330:H341)=5,COUNT(F330:F341)=5),cubic_spline(F329:F334,H329:H334,B$12),IF(AND(COUNT(H330:H341)=6,COUNT(F330:F341)=6),cubic_spline(F329:F335,H329:H335,B$12),IF(AND(COUNT(H330:H341)=7,COUNT(F330:F341)=7),cubic_spline(F329:F336,H329:H336,B$12),IF(AND(COUNT(H330:H341)=8,COUNT(F330:F341)=8),cubic_spline(F329:F337,H329:H337,B$12),IF(AND(COUNT(H330:H341)=9,COUNT(F330:F341)=9),cubic_spline(F329:F338,H329:H338,B$12),IF(AND(COUNT(H330:H341)=10,COUNT(F330:F341)=10),cubic_spline(F329:F339,H329:H339,B$12),IF(AND(COUNT(H330:H341)=11,COUNT(F330:F341)=11),cubic_spline(F329:F340,H329:H340,B$12),IF(AND(COUNT(H330:H341)=12,COUNT(F330:F341)=12),cubic_spline(F329:F341,H329:H341,B$12),""))))))))))))</f>
        <v/>
      </c>
      <c r="K340" s="52" t="str">
        <f>IF(N(B$12)=0,"",IF(AND(COUNT(A330:A341)=2,COUNT(F330:F341)=2),cubic_spline(F329:F331,A329:A331,B$12),IF(AND(COUNT(A330:A341)=3,COUNT(F330:F341)=3),cubic_spline(F329:F332,A329:A332,B$12),IF(AND(COUNT(A330:A341)=4,COUNT(F330:F341)=4),cubic_spline(F329:F333,A329:A333,B$12),IF(AND(COUNT(A330:A341)=5,COUNT(F330:F341)=5),cubic_spline(F329:F334,A329:A334,B$12),IF(AND(COUNT(A330:A341)=6,COUNT(F330:F341)=6),cubic_spline(F329:F335,A329:A335,B$12),IF(AND(COUNT(A330:A341)=7,COUNT(F330:F341)=7),cubic_spline(F329:F336,A329:A336,B$12),IF(AND(COUNT(A330:A341)=8,COUNT(F330:F341)=8),cubic_spline(F329:F337,A329:A337,B$12),IF(AND(COUNT(A330:A341)=9,COUNT(F330:F341)=9),cubic_spline(F329:F338,A329:A338,B$12),IF(AND(COUNT(A330:A341)=10,COUNT(F330:F341)=10),cubic_spline(F329:F339,A329:A339,B$12),IF(AND(COUNT(A330:A341)=11,COUNT(F330:F341)=11),cubic_spline(F329:F340,A329:A340,B$12),IF(AND(COUNT(A330:A341)=12,COUNT(F330:F341)=12),cubic_spline(F329:F341,A329:A341,B$12),""))))))))))))</f>
        <v/>
      </c>
      <c r="L340" s="27" t="str">
        <f>IF(I340="","",B$11&amp;"-"&amp;B$12)</f>
        <v/>
      </c>
      <c r="M340" s="52" t="str">
        <f t="shared" si="125"/>
        <v/>
      </c>
    </row>
    <row r="341" spans="1:13" x14ac:dyDescent="0.35">
      <c r="A341" s="48"/>
      <c r="B341" s="48"/>
      <c r="C341" s="50"/>
      <c r="D341" s="50"/>
      <c r="E341" s="51" t="str">
        <f t="shared" si="123"/>
        <v/>
      </c>
      <c r="F341" s="71" t="str">
        <f t="shared" si="121"/>
        <v/>
      </c>
      <c r="G341" s="69" t="str">
        <f t="shared" si="124"/>
        <v/>
      </c>
      <c r="H341" s="70" t="str">
        <f t="shared" si="122"/>
        <v/>
      </c>
      <c r="I341" s="27" t="str">
        <f>IF(N(J341)=0,"",0&amp;"-"&amp;B$13)</f>
        <v/>
      </c>
      <c r="J341" s="52" t="str">
        <f>IF(N(B$13)=0,"",IF(AND(COUNT(H330:H341)=2,COUNT(F330:F341)=2),cubic_spline(F329:F331,H329:H331,B$13),IF(AND(COUNT(H330:H341)=3,COUNT(F330:F341)=3),cubic_spline(F329:F332,H329:H332,B$13),IF(AND(COUNT(H330:H341)=4,COUNT(F330:F341)=4),cubic_spline(F329:F333,H329:H333,B$13),IF(AND(COUNT(H330:H341)=5,COUNT(F330:F341)=5),cubic_spline(F329:F334,H329:H334,B$13),IF(AND(COUNT(H330:H341)=6,COUNT(F330:F341)=6),cubic_spline(F329:F335,H329:H335,B$13),IF(AND(COUNT(H330:H341)=7,COUNT(F330:F341)=7),cubic_spline(F329:F336,H329:H336,B$13),IF(AND(COUNT(H330:H341)=8,COUNT(F330:F341)=8),cubic_spline(F329:F337,H329:H337,B$13),IF(AND(COUNT(H330:H341)=9,COUNT(F330:F341)=9),cubic_spline(F329:F338,H329:H338,B$13),IF(AND(COUNT(H330:H341)=10,COUNT(F330:F341)=10),cubic_spline(F329:F339,H329:H339,B$13),IF(AND(COUNT(H330:H341)=11,COUNT(F330:F341)=11),cubic_spline(F329:F340,H329:H340,B$13),IF(AND(COUNT(H330:H341)=12,COUNT(F330:F341)=12),cubic_spline(F329:F341,H329:H341,B$13),""))))))))))))</f>
        <v/>
      </c>
      <c r="K341" s="52" t="str">
        <f>IF(N(B$13)=0,"",IF(AND(COUNT(A330:A341)=2,COUNT(F330:F341)=2),cubic_spline(F329:F331,A329:A331,B$13),IF(AND(COUNT(A330:A341)=3,COUNT(F330:F341)=3),cubic_spline(F329:F332,A329:A332,B$13),IF(AND(COUNT(A330:A341)=4,COUNT(F330:F341)=4),cubic_spline(F329:F333,A329:A333,B$13),IF(AND(COUNT(A330:A341)=5,COUNT(F330:F341)=5),cubic_spline(F329:F334,A329:A334,B$13),IF(AND(COUNT(A330:A341)=6,COUNT(F330:F341)=6),cubic_spline(F329:F335,A329:A335,B$13),IF(AND(COUNT(A330:A341)=7,COUNT(F330:F341)=7),cubic_spline(F329:F336,A329:A336,B$13),IF(AND(COUNT(A330:A341)=8,COUNT(F330:F341)=8),cubic_spline(F329:F337,A329:A337,B$13),IF(AND(COUNT(A330:A341)=9,COUNT(F330:F341)=9),cubic_spline(F329:F338,A329:A338,B$13),IF(AND(COUNT(A330:A341)=10,COUNT(F330:F341)=10),cubic_spline(F329:F339,A329:A339,B$13),IF(AND(COUNT(A330:A341)=11,COUNT(F330:F341)=11),cubic_spline(F329:F340,A329:A340,B$13),IF(AND(COUNT(A330:A341)=12,COUNT(F330:F341)=12),cubic_spline(F329:F341,A329:A341,B$13),""))))))))))))</f>
        <v/>
      </c>
      <c r="L341" s="27" t="str">
        <f>IF(I341="","",B$12&amp;"-"&amp;B$13)</f>
        <v/>
      </c>
      <c r="M341" s="52" t="str">
        <f t="shared" si="125"/>
        <v/>
      </c>
    </row>
    <row r="342" spans="1:13" ht="5.15" customHeight="1" x14ac:dyDescent="0.35">
      <c r="A342" s="47"/>
      <c r="B342" s="47"/>
      <c r="C342" s="53"/>
      <c r="D342" s="53"/>
      <c r="E342" s="54"/>
      <c r="F342" s="55"/>
      <c r="G342" s="72"/>
      <c r="H342" s="73"/>
      <c r="I342" s="47"/>
      <c r="J342" s="57"/>
      <c r="K342" s="57"/>
      <c r="L342" s="55"/>
      <c r="M342" s="57"/>
    </row>
    <row r="343" spans="1:13" x14ac:dyDescent="0.35">
      <c r="A343" s="48"/>
      <c r="B343" s="48"/>
      <c r="C343" s="50"/>
      <c r="D343" s="50"/>
      <c r="E343" s="51" t="str">
        <f>IF(N(C343)=0,"",(A343-A342)*C343*100)</f>
        <v/>
      </c>
      <c r="F343" s="68" t="str">
        <f t="shared" ref="F343:F354" si="126">IF(N(E343)=0,"",(N(E343)+N(F342)))</f>
        <v/>
      </c>
      <c r="G343" s="69" t="str">
        <f>IF(OR(N(D343)=0,N(E343)=0),"",(E343*D343)/1000)</f>
        <v/>
      </c>
      <c r="H343" s="70" t="str">
        <f t="shared" ref="H343:H354" si="127">IF(N(G343)=0,"",(N(G343)+N(H342)))</f>
        <v/>
      </c>
      <c r="I343" s="27" t="str">
        <f>IF(N(J343)=0,"",0&amp;"-"&amp;B$2)</f>
        <v/>
      </c>
      <c r="J343" s="52" t="str">
        <f>IF(N(B$2)=0,"",IF(AND(COUNT(H343:H354)=2,COUNT(F343:F354)=2),cubic_spline(F342:F344,H342:H344,B$2),IF(AND(COUNT(H343:H354)=3,COUNT(F343:F354)=3),cubic_spline(F342:F345,H342:H345,B$2),IF(AND(COUNT(H343:H354)=4,COUNT(F343:F354)=4),cubic_spline(F342:F346,H342:H346,B$2),IF(AND(COUNT(H343:H354)=5,COUNT(F343:F354)=5),cubic_spline(F342:F347,H342:H347,B$2),IF(AND(COUNT(H343:H354)=6,COUNT(F343:F354)=6),cubic_spline(F342:F348,H342:H348,B$2),IF(AND(COUNT(H343:H354)=7,COUNT(F343:F354)=7),cubic_spline(F342:F349,H342:H349,B$2),IF(AND(COUNT(H343:H354)=8,COUNT(F343:F354)=8),cubic_spline(F342:F350,H342:H350,B$2),IF(AND(COUNT(H343:H354)=9,COUNT(F343:F354)=9),cubic_spline(F342:F351,H342:H351,B$2),IF(AND(COUNT(H343:H354)=10,COUNT(F343:F354)=10),cubic_spline(F342:F352,H342:H352,B$2),IF(AND(COUNT(H343:H354)=11,COUNT(F343:F354)=11),cubic_spline(F342:F353,H342:H353,B$2),IF(AND(COUNT(H343:H354)=12,COUNT(F343:F354)=12),cubic_spline(F342:F354,H342:H354,B$2),""))))))))))))</f>
        <v/>
      </c>
      <c r="K343" s="52" t="str">
        <f>IF(N(B$2)=0,"",IF(AND(COUNT(A343:A354)=2,COUNT(F343:F354)=2),cubic_spline(F342:F344,A342:A344,B$2),IF(AND(COUNT(A343:A354)=3,COUNT(F343:F354)=3),cubic_spline(F342:F345,A342:A345,B$2),IF(AND(COUNT(A343:A354)=4,COUNT(F343:F354)=4),cubic_spline(F342:F346,A342:A346,B$2),IF(AND(COUNT(A343:A354)=5,COUNT(F343:F354)=5),cubic_spline(F342:F347,A342:A347,B$2),IF(AND(COUNT(A343:A354)=6,COUNT(F343:F354)=6),cubic_spline(F342:F348,A342:A348,B$2),IF(AND(COUNT(A343:A354)=7,COUNT(F343:F354)=7),cubic_spline(F342:F349,A342:A349,B$2),IF(AND(COUNT(A343:A354)=8,COUNT(F343:F354)=8),cubic_spline(F342:F350,A342:A350,B$2),IF(AND(COUNT(A343:A354)=9,COUNT(F343:F354)=9),cubic_spline(F342:F351,A342:A351,B$2),IF(AND(COUNT(A343:A354)=10,COUNT(F343:F354)=10),cubic_spline(F342:F352,A342:A352,B$2),IF(AND(COUNT(A343:A354)=11,COUNT(F343:F354)=11),cubic_spline(F342:F353,A342:A353,B$2),IF(AND(COUNT(A343:A354)=12,COUNT(F343:F354)=12),cubic_spline(F342:F354,A342:A354,B$2),""))))))))))))</f>
        <v/>
      </c>
      <c r="L343" s="27" t="str">
        <f>IF(I343="","",0&amp;"-"&amp;B$2)</f>
        <v/>
      </c>
      <c r="M343" s="52" t="str">
        <f>IF(N(J343)=0,"",J343-J342)</f>
        <v/>
      </c>
    </row>
    <row r="344" spans="1:13" x14ac:dyDescent="0.35">
      <c r="A344" s="48"/>
      <c r="B344" s="48"/>
      <c r="C344" s="50"/>
      <c r="D344" s="50"/>
      <c r="E344" s="51" t="str">
        <f t="shared" ref="E344:E354" si="128">IF(N(C344)=0,"",(A344-A343)*C344*100)</f>
        <v/>
      </c>
      <c r="F344" s="68" t="str">
        <f t="shared" si="126"/>
        <v/>
      </c>
      <c r="G344" s="69" t="str">
        <f t="shared" ref="G344:G354" si="129">IF(OR(N(D344)=0,N(E344)=0),"",(E344*D344)/1000)</f>
        <v/>
      </c>
      <c r="H344" s="70" t="str">
        <f t="shared" si="127"/>
        <v/>
      </c>
      <c r="I344" s="27" t="str">
        <f>IF(N(J344)=0,"",0&amp;"-"&amp;B$3)</f>
        <v/>
      </c>
      <c r="J344" s="52" t="str">
        <f>IF(N(B$3)=0,"",IF(AND(COUNT(H343:H354)=2,COUNT(F343:F354)=2),cubic_spline(F342:F344,H342:H344,B$3),IF(AND(COUNT(H343:H354)=3,COUNT(F343:F354)=3),cubic_spline(F342:F345,H342:H345,B$3),IF(AND(COUNT(H343:H354)=4,COUNT(F343:F354)=4),cubic_spline(F342:F346,H342:H346,B$3),IF(AND(COUNT(H343:H354)=5,COUNT(F343:F354)=5),cubic_spline(F342:F347,H342:H347,B$3),IF(AND(COUNT(H343:H354)=6,COUNT(F343:F354)=6),cubic_spline(F342:F348,H342:H348,B$3),IF(AND(COUNT(H343:H354)=7,COUNT(F343:F354)=7),cubic_spline(F342:F349,H342:H349,B$3),IF(AND(COUNT(H343:H354)=8,COUNT(F343:F354)=8),cubic_spline(F342:F350,H342:H350,B$3),IF(AND(COUNT(H343:H354)=9,COUNT(F343:F354)=9),cubic_spline(F342:F351,H342:H351,B$3),IF(AND(COUNT(H343:H354)=10,COUNT(F343:F354)=10),cubic_spline(F342:F352,H342:H352,B$3),IF(AND(COUNT(H343:H354)=11,COUNT(F343:F354)=11),cubic_spline(F342:F353,H342:H353,B$3),IF(AND(COUNT(H343:H354)=12,COUNT(F343:F354)=12),cubic_spline(F342:F354,H342:H354,B$3),""))))))))))))</f>
        <v/>
      </c>
      <c r="K344" s="52" t="str">
        <f>IF(N(B$3)=0,"",IF(AND(COUNT(A343:A354)=2,COUNT(F343:F354)=2),cubic_spline(F342:F344,A342:A344,B$3),IF(AND(COUNT(A343:A354)=3,COUNT(F343:F354)=3),cubic_spline(F342:F345,A342:A345,B$3),IF(AND(COUNT(A343:A354)=4,COUNT(F343:F354)=4),cubic_spline(F342:F346,A342:A346,B$3),IF(AND(COUNT(A343:A354)=5,COUNT(F343:F354)=5),cubic_spline(F342:F347,A342:A347,B$3),IF(AND(COUNT(A343:A354)=6,COUNT(F343:F354)=6),cubic_spline(F342:F348,A342:A348,B$3),IF(AND(COUNT(A343:A354)=7,COUNT(F343:F354)=7),cubic_spline(F342:F349,A342:A349,B$3),IF(AND(COUNT(A343:A354)=8,COUNT(F343:F354)=8),cubic_spline(F342:F350,A342:A350,B$3),IF(AND(COUNT(A343:A354)=9,COUNT(F343:F354)=9),cubic_spline(F342:F351,A342:A351,B$3),IF(AND(COUNT(A343:A354)=10,COUNT(F343:F354)=10),cubic_spline(F342:F352,A342:A352,B$3),IF(AND(COUNT(A343:A354)=11,COUNT(F343:F354)=11),cubic_spline(F342:F353,A342:A353,B$3),IF(AND(COUNT(A343:A354)=12,COUNT(F343:F354)=12),cubic_spline(F342:F354,A342:A354,B$3),""))))))))))))</f>
        <v/>
      </c>
      <c r="L344" s="27" t="str">
        <f>IF(I344="","",B$2&amp;"-"&amp;B$3)</f>
        <v/>
      </c>
      <c r="M344" s="52" t="str">
        <f>IF(N(J344)=0,"",J344-J343)</f>
        <v/>
      </c>
    </row>
    <row r="345" spans="1:13" x14ac:dyDescent="0.35">
      <c r="A345" s="48"/>
      <c r="B345" s="48"/>
      <c r="C345" s="50"/>
      <c r="D345" s="50"/>
      <c r="E345" s="51" t="str">
        <f t="shared" si="128"/>
        <v/>
      </c>
      <c r="F345" s="68" t="str">
        <f t="shared" si="126"/>
        <v/>
      </c>
      <c r="G345" s="69" t="str">
        <f t="shared" si="129"/>
        <v/>
      </c>
      <c r="H345" s="70" t="str">
        <f t="shared" si="127"/>
        <v/>
      </c>
      <c r="I345" s="27" t="str">
        <f>IF(N(J345)=0,"",0&amp;"-"&amp;B$4)</f>
        <v/>
      </c>
      <c r="J345" s="52" t="str">
        <f>IF(N(B$4)=0,"",IF(AND(COUNT(H343:H354)=2,COUNT(F343:F354)=2),cubic_spline(F342:F344,H342:H344,B$4),IF(AND(COUNT(H343:H354)=3,COUNT(F343:F354)=3),cubic_spline(F342:F345,H342:H345,B$4),IF(AND(COUNT(H343:H354)=4,COUNT(F343:F354)=4),cubic_spline(F342:F346,H342:H346,B$4),IF(AND(COUNT(H343:H354)=5,COUNT(F343:F354)=5),cubic_spline(F342:F347,H342:H347,B$4),IF(AND(COUNT(H343:H354)=6,COUNT(F343:F354)=6),cubic_spline(F342:F348,H342:H348,B$4),IF(AND(COUNT(H343:H354)=7,COUNT(F343:F354)=7),cubic_spline(F342:F349,H342:H349,B$4),IF(AND(COUNT(H343:H354)=8,COUNT(F343:F354)=8),cubic_spline(F342:F350,H342:H350,B$4),IF(AND(COUNT(H343:H354)=9,COUNT(F343:F354)=9),cubic_spline(F342:F351,H342:H351,B$4),IF(AND(COUNT(H343:H354)=10,COUNT(F343:F354)=10),cubic_spline(F342:F352,H342:H352,B$4),IF(AND(COUNT(H343:H354)=11,COUNT(F343:F354)=11),cubic_spline(F342:F353,H342:H353,B$4),IF(AND(COUNT(H343:H354)=12,COUNT(F343:F354)=12),cubic_spline(F342:F354,H342:H354,B$4),""))))))))))))</f>
        <v/>
      </c>
      <c r="K345" s="52" t="str">
        <f>IF(N(B$4)=0,"",IF(AND(COUNT(A343:A354)=2,COUNT(F343:F354)=2),cubic_spline(F342:F344,A342:A344,B$4),IF(AND(COUNT(A343:A354)=3,COUNT(F343:F354)=3),cubic_spline(F342:F345,A342:A345,B$4),IF(AND(COUNT(A343:A354)=4,COUNT(F343:F354)=4),cubic_spline(F342:F346,A342:A346,B$4),IF(AND(COUNT(A343:A354)=5,COUNT(F343:F354)=5),cubic_spline(F342:F347,A342:A347,B$4),IF(AND(COUNT(A343:A354)=6,COUNT(F343:F354)=6),cubic_spline(F342:F348,A342:A348,B$4),IF(AND(COUNT(A343:A354)=7,COUNT(F343:F354)=7),cubic_spline(F342:F349,A342:A349,B$4),IF(AND(COUNT(A343:A354)=8,COUNT(F343:F354)=8),cubic_spline(F342:F350,A342:A350,B$4),IF(AND(COUNT(A343:A354)=9,COUNT(F343:F354)=9),cubic_spline(F342:F351,A342:A351,B$4),IF(AND(COUNT(A343:A354)=10,COUNT(F343:F354)=10),cubic_spline(F342:F352,A342:A352,B$4),IF(AND(COUNT(A343:A354)=11,COUNT(F343:F354)=11),cubic_spline(F342:F353,A342:A353,B$4),IF(AND(COUNT(A343:A354)=12,COUNT(F343:F354)=12),cubic_spline(F342:F354,A342:A354,B$4),""))))))))))))</f>
        <v/>
      </c>
      <c r="L345" s="27" t="str">
        <f>IF(I345="","",B$3&amp;"-"&amp;B$4)</f>
        <v/>
      </c>
      <c r="M345" s="52" t="str">
        <f>IF(N(J345)=0,"",J345-J344)</f>
        <v/>
      </c>
    </row>
    <row r="346" spans="1:13" x14ac:dyDescent="0.35">
      <c r="A346" s="48"/>
      <c r="B346" s="48"/>
      <c r="C346" s="50"/>
      <c r="D346" s="50"/>
      <c r="E346" s="51" t="str">
        <f t="shared" si="128"/>
        <v/>
      </c>
      <c r="F346" s="68" t="str">
        <f t="shared" si="126"/>
        <v/>
      </c>
      <c r="G346" s="69" t="str">
        <f t="shared" si="129"/>
        <v/>
      </c>
      <c r="H346" s="70" t="str">
        <f t="shared" si="127"/>
        <v/>
      </c>
      <c r="I346" s="27" t="str">
        <f>IF(N(J346)=0,"",0&amp;"-"&amp;B$5)</f>
        <v/>
      </c>
      <c r="J346" s="52" t="str">
        <f>IF(N(B$5)=0,"",IF(AND(COUNT(H343:H354)=2,COUNT(F343:F354)=2),cubic_spline(F342:F344,H342:H344,B$5),IF(AND(COUNT(H343:H354)=3,COUNT(F343:F354)=3),cubic_spline(F342:F345,H342:H345,B$5),IF(AND(COUNT(H343:H354)=4,COUNT(F343:F354)=4),cubic_spline(F342:F346,H342:H346,B$5),IF(AND(COUNT(H343:H354)=5,COUNT(F343:F354)=5),cubic_spline(F342:F347,H342:H347,B$5),IF(AND(COUNT(H343:H354)=6,COUNT(F343:F354)=6),cubic_spline(F342:F348,H342:H348,B$5),IF(AND(COUNT(H343:H354)=7,COUNT(F343:F354)=7),cubic_spline(F342:F349,H342:H349,B$5),IF(AND(COUNT(H343:H354)=8,COUNT(F343:F354)=8),cubic_spline(F342:F350,H342:H350,B$5),IF(AND(COUNT(H343:H354)=9,COUNT(F343:F354)=9),cubic_spline(F342:F351,H342:H351,B$5),IF(AND(COUNT(H343:H354)=10,COUNT(F343:F354)=10),cubic_spline(F342:F352,H342:H352,B$5),IF(AND(COUNT(H343:H354)=11,COUNT(F343:F354)=11),cubic_spline(F342:F353,H342:H353,B$5),IF(AND(COUNT(H343:H354)=12,COUNT(F343:F354)=12),cubic_spline(F342:F354,H342:H354,B$5),""))))))))))))</f>
        <v/>
      </c>
      <c r="K346" s="52" t="str">
        <f>IF(N(B$5)=0,"",IF(AND(COUNT(A343:A354)=2,COUNT(F343:F354)=2),cubic_spline(F342:F344,A342:A344,B$5),IF(AND(COUNT(A343:A354)=3,COUNT(F343:F354)=3),cubic_spline(F342:F345,A342:A345,B$5),IF(AND(COUNT(A343:A354)=4,COUNT(F343:F354)=4),cubic_spline(F342:F346,A342:A346,B$5),IF(AND(COUNT(A343:A354)=5,COUNT(F343:F354)=5),cubic_spline(F342:F347,A342:A347,B$5),IF(AND(COUNT(A343:A354)=6,COUNT(F343:F354)=6),cubic_spline(F342:F348,A342:A348,B$5),IF(AND(COUNT(A343:A354)=7,COUNT(F343:F354)=7),cubic_spline(F342:F349,A342:A349,B$5),IF(AND(COUNT(A343:A354)=8,COUNT(F343:F354)=8),cubic_spline(F342:F350,A342:A350,B$5),IF(AND(COUNT(A343:A354)=9,COUNT(F343:F354)=9),cubic_spline(F342:F351,A342:A351,B$5),IF(AND(COUNT(A343:A354)=10,COUNT(F343:F354)=10),cubic_spline(F342:F352,A342:A352,B$5),IF(AND(COUNT(A343:A354)=11,COUNT(F343:F354)=11),cubic_spline(F342:F353,A342:A353,B$5),IF(AND(COUNT(A343:A354)=12,COUNT(F343:F354)=12),cubic_spline(F342:F354,A342:A354,B$5),""))))))))))))</f>
        <v/>
      </c>
      <c r="L346" s="27" t="str">
        <f>IF(I346="","",B$4&amp;"-"&amp;B$5)</f>
        <v/>
      </c>
      <c r="M346" s="52" t="str">
        <f>IF(N(J346)=0,"",J346-J345)</f>
        <v/>
      </c>
    </row>
    <row r="347" spans="1:13" x14ac:dyDescent="0.35">
      <c r="A347" s="48"/>
      <c r="B347" s="48"/>
      <c r="C347" s="50"/>
      <c r="D347" s="50"/>
      <c r="E347" s="51" t="str">
        <f t="shared" si="128"/>
        <v/>
      </c>
      <c r="F347" s="71" t="str">
        <f t="shared" si="126"/>
        <v/>
      </c>
      <c r="G347" s="69" t="str">
        <f t="shared" si="129"/>
        <v/>
      </c>
      <c r="H347" s="70" t="str">
        <f t="shared" si="127"/>
        <v/>
      </c>
      <c r="I347" s="27" t="str">
        <f>IF(N(J347)=0,"",0&amp;"-"&amp;B$6)</f>
        <v/>
      </c>
      <c r="J347" s="52" t="str">
        <f>IF(N(B$6)=0,"",IF(AND(COUNT(H343:H354)=2,COUNT(F343:F354)=2),cubic_spline(F342:F344,H342:H344,B$6),IF(AND(COUNT(H343:H354)=3,COUNT(F343:F354)=3),cubic_spline(F342:F345,H342:H345,B$6),IF(AND(COUNT(H343:H354)=4,COUNT(F343:F354)=4),cubic_spline(F342:F346,H342:H346,B$6),IF(AND(COUNT(H343:H354)=5,COUNT(F343:F354)=5),cubic_spline(F342:F347,H342:H347,B$6),IF(AND(COUNT(H343:H354)=6,COUNT(F343:F354)=6),cubic_spline(F342:F348,H342:H348,B$6),IF(AND(COUNT(H343:H354)=7,COUNT(F343:F354)=7),cubic_spline(F342:F349,H342:H349,B$6),IF(AND(COUNT(H343:H354)=8,COUNT(F343:F354)=8),cubic_spline(F342:F350,H342:H350,B$6),IF(AND(COUNT(H343:H354)=9,COUNT(F343:F354)=9),cubic_spline(F342:F351,H342:H351,B$6),IF(AND(COUNT(H343:H354)=10,COUNT(F343:F354)=10),cubic_spline(F342:F352,H342:H352,B$6),IF(AND(COUNT(H343:H354)=11,COUNT(F343:F354)=11),cubic_spline(F342:F353,H342:H353,B$6),IF(AND(COUNT(H343:H354)=12,COUNT(F343:F354)=12),cubic_spline(F342:F354,H342:H354,B$6),""))))))))))))</f>
        <v/>
      </c>
      <c r="K347" s="52" t="str">
        <f>IF(N(B$6)=0,"",IF(AND(COUNT(A343:A354)=2,COUNT(F343:F354)=2),cubic_spline(F342:F344,A342:A344,B$6),IF(AND(COUNT(A343:A354)=3,COUNT(F343:F354)=3),cubic_spline(F342:F345,A342:A345,B$6),IF(AND(COUNT(A343:A354)=4,COUNT(F343:F354)=4),cubic_spline(F342:F346,A342:A346,B$6),IF(AND(COUNT(A343:A354)=5,COUNT(F343:F354)=5),cubic_spline(F342:F347,A342:A347,B$6),IF(AND(COUNT(A343:A354)=6,COUNT(F343:F354)=6),cubic_spline(F342:F348,A342:A348,B$6),IF(AND(COUNT(A343:A354)=7,COUNT(F343:F354)=7),cubic_spline(F342:F349,A342:A349,B$6),IF(AND(COUNT(A343:A354)=8,COUNT(F343:F354)=8),cubic_spline(F342:F350,A342:A350,B$6),IF(AND(COUNT(A343:A354)=9,COUNT(F343:F354)=9),cubic_spline(F342:F351,A342:A351,B$6),IF(AND(COUNT(A343:A354)=10,COUNT(F343:F354)=10),cubic_spline(F342:F352,A342:A352,B$6),IF(AND(COUNT(A343:A354)=11,COUNT(F343:F354)=11),cubic_spline(F342:F353,A342:A353,B$6),IF(AND(COUNT(A343:A354)=12,COUNT(F343:F354)=12),cubic_spline(F342:F354,A342:A354,B$6),""))))))))))))</f>
        <v/>
      </c>
      <c r="L347" s="27" t="str">
        <f>IF(I347="","",B$5&amp;"-"&amp;B$6)</f>
        <v/>
      </c>
      <c r="M347" s="52" t="str">
        <f>IF(N(J347)=0,"",J347-J346)</f>
        <v/>
      </c>
    </row>
    <row r="348" spans="1:13" x14ac:dyDescent="0.35">
      <c r="A348" s="48"/>
      <c r="B348" s="48"/>
      <c r="C348" s="50"/>
      <c r="D348" s="50"/>
      <c r="E348" s="51" t="str">
        <f t="shared" si="128"/>
        <v/>
      </c>
      <c r="F348" s="71" t="str">
        <f t="shared" si="126"/>
        <v/>
      </c>
      <c r="G348" s="69" t="str">
        <f t="shared" si="129"/>
        <v/>
      </c>
      <c r="H348" s="70" t="str">
        <f t="shared" si="127"/>
        <v/>
      </c>
      <c r="I348" s="27" t="str">
        <f>IF(N(J348)=0,"",0&amp;"-"&amp;B$7)</f>
        <v/>
      </c>
      <c r="J348" s="52" t="str">
        <f>IF(N(B$7)=0,"",IF(AND(COUNT(H343:H354)=2,COUNT(F343:F354)=2),cubic_spline(F342:F344,H342:H344,B$7),IF(AND(COUNT(H343:H354)=3,COUNT(F343:F354)=3),cubic_spline(F342:F345,H342:H345,B$7),IF(AND(COUNT(H343:H354)=4,COUNT(F343:F354)=4),cubic_spline(F342:F346,H342:H346,B$7),IF(AND(COUNT(H343:H354)=5,COUNT(F343:F354)=5),cubic_spline(F342:F347,H342:H347,B$7),IF(AND(COUNT(H343:H354)=6,COUNT(F343:F354)=6),cubic_spline(F342:F348,H342:H348,B$7),IF(AND(COUNT(H343:H354)=7,COUNT(F343:F354)=7),cubic_spline(F342:F349,H342:H349,B$7),IF(AND(COUNT(H343:H354)=8,COUNT(F343:F354)=8),cubic_spline(F342:F350,H342:H350,B$7),IF(AND(COUNT(H343:H354)=9,COUNT(F343:F354)=9),cubic_spline(F342:F351,H342:H351,B$7),IF(AND(COUNT(H343:H354)=10,COUNT(F343:F354)=10),cubic_spline(F342:F352,H342:H352,B$7),IF(AND(COUNT(H343:H354)=11,COUNT(F343:F354)=11),cubic_spline(F342:F353,H342:H353,B$7),IF(AND(COUNT(H343:H354)=12,COUNT(F343:F354)=12),cubic_spline(F342:F354,H342:H354,B$7),""))))))))))))</f>
        <v/>
      </c>
      <c r="K348" s="52" t="str">
        <f>IF(N(B$7)=0,"",IF(AND(COUNT(A343:A354)=2,COUNT(F343:F354)=2),cubic_spline(F342:F344,A342:A344,B$7),IF(AND(COUNT(A343:A354)=3,COUNT(F343:F354)=3),cubic_spline(F342:F345,A342:A345,B$7),IF(AND(COUNT(A343:A354)=4,COUNT(F343:F354)=4),cubic_spline(F342:F346,A342:A346,B$7),IF(AND(COUNT(A343:A354)=5,COUNT(F343:F354)=5),cubic_spline(F342:F347,A342:A347,B$7),IF(AND(COUNT(A343:A354)=6,COUNT(F343:F354)=6),cubic_spline(F342:F348,A342:A348,B$7),IF(AND(COUNT(A343:A354)=7,COUNT(F343:F354)=7),cubic_spline(F342:F349,A342:A349,B$7),IF(AND(COUNT(A343:A354)=8,COUNT(F343:F354)=8),cubic_spline(F342:F350,A342:A350,B$7),IF(AND(COUNT(A343:A354)=9,COUNT(F343:F354)=9),cubic_spline(F342:F351,A342:A351,B$7),IF(AND(COUNT(A343:A354)=10,COUNT(F343:F354)=10),cubic_spline(F342:F352,A342:A352,B$7),IF(AND(COUNT(A343:A354)=11,COUNT(F343:F354)=11),cubic_spline(F342:F353,A342:A353,B$7),IF(AND(COUNT(A343:A354)=12,COUNT(F343:F354)=12),cubic_spline(F342:F354,A342:A354,B$7),""))))))))))))</f>
        <v/>
      </c>
      <c r="L348" s="27" t="str">
        <f>IF(I348="","",B$6&amp;"-"&amp;B$7)</f>
        <v/>
      </c>
      <c r="M348" s="52" t="str">
        <f t="shared" ref="M348:M354" si="130">IF(N(J348)=0,"",J348-J347)</f>
        <v/>
      </c>
    </row>
    <row r="349" spans="1:13" x14ac:dyDescent="0.35">
      <c r="A349" s="48"/>
      <c r="B349" s="48"/>
      <c r="C349" s="50"/>
      <c r="D349" s="50"/>
      <c r="E349" s="51" t="str">
        <f t="shared" si="128"/>
        <v/>
      </c>
      <c r="F349" s="71" t="str">
        <f t="shared" si="126"/>
        <v/>
      </c>
      <c r="G349" s="69" t="str">
        <f t="shared" si="129"/>
        <v/>
      </c>
      <c r="H349" s="70" t="str">
        <f t="shared" si="127"/>
        <v/>
      </c>
      <c r="I349" s="27" t="str">
        <f>IF(N(J349)=0,"",0&amp;"-"&amp;B$8)</f>
        <v/>
      </c>
      <c r="J349" s="52" t="str">
        <f>IF(N(B$8)=0,"",IF(AND(COUNT(H343:H354)=2,COUNT(F343:F354)=2),cubic_spline(F342:F344,H342:H344,B$8),IF(AND(COUNT(H343:H354)=3,COUNT(F343:F354)=3),cubic_spline(F342:F345,H342:H345,B$8),IF(AND(COUNT(H343:H354)=4,COUNT(F343:F354)=4),cubic_spline(F342:F346,H342:H346,B$8),IF(AND(COUNT(H343:H354)=5,COUNT(F343:F354)=5),cubic_spline(F342:F347,H342:H347,B$8),IF(AND(COUNT(H343:H354)=6,COUNT(F343:F354)=6),cubic_spline(F342:F348,H342:H348,B$8),IF(AND(COUNT(H343:H354)=7,COUNT(F343:F354)=7),cubic_spline(F342:F349,H342:H349,B$8),IF(AND(COUNT(H343:H354)=8,COUNT(F343:F354)=8),cubic_spline(F342:F350,H342:H350,B$8),IF(AND(COUNT(H343:H354)=9,COUNT(F343:F354)=9),cubic_spline(F342:F351,H342:H351,B$8),IF(AND(COUNT(H343:H354)=10,COUNT(F343:F354)=10),cubic_spline(F342:F352,H342:H352,B$8),IF(AND(COUNT(H343:H354)=11,COUNT(F343:F354)=11),cubic_spline(F342:F353,H342:H353,B$8),IF(AND(COUNT(H343:H354)=12,COUNT(F343:F354)=12),cubic_spline(F342:F354,H342:H354,B$8),""))))))))))))</f>
        <v/>
      </c>
      <c r="K349" s="52" t="str">
        <f>IF(N(B$8)=0,"",IF(AND(COUNT(A343:A354)=2,COUNT(F343:F354)=2),cubic_spline(F342:F344,A342:A344,B$8),IF(AND(COUNT(A343:A354)=3,COUNT(F343:F354)=3),cubic_spline(F342:F345,A342:A345,B$8),IF(AND(COUNT(A343:A354)=4,COUNT(F343:F354)=4),cubic_spline(F342:F346,A342:A346,B$8),IF(AND(COUNT(A343:A354)=5,COUNT(F343:F354)=5),cubic_spline(F342:F347,A342:A347,B$8),IF(AND(COUNT(A343:A354)=6,COUNT(F343:F354)=6),cubic_spline(F342:F348,A342:A348,B$8),IF(AND(COUNT(A343:A354)=7,COUNT(F343:F354)=7),cubic_spline(F342:F349,A342:A349,B$8),IF(AND(COUNT(A343:A354)=8,COUNT(F343:F354)=8),cubic_spline(F342:F350,A342:A350,B$8),IF(AND(COUNT(A343:A354)=9,COUNT(F343:F354)=9),cubic_spline(F342:F351,A342:A351,B$8),IF(AND(COUNT(A343:A354)=10,COUNT(F343:F354)=10),cubic_spline(F342:F352,A342:A352,B$8),IF(AND(COUNT(A343:A354)=11,COUNT(F343:F354)=11),cubic_spline(F342:F353,A342:A353,B$8),IF(AND(COUNT(A343:A354)=12,COUNT(F343:F354)=12),cubic_spline(F342:F354,A342:A354,B$8),""))))))))))))</f>
        <v/>
      </c>
      <c r="L349" s="27" t="str">
        <f>IF(I349="","",B$7&amp;"-"&amp;B$8)</f>
        <v/>
      </c>
      <c r="M349" s="52" t="str">
        <f t="shared" si="130"/>
        <v/>
      </c>
    </row>
    <row r="350" spans="1:13" x14ac:dyDescent="0.35">
      <c r="A350" s="48"/>
      <c r="B350" s="48"/>
      <c r="C350" s="50"/>
      <c r="D350" s="50"/>
      <c r="E350" s="51" t="str">
        <f t="shared" si="128"/>
        <v/>
      </c>
      <c r="F350" s="71" t="str">
        <f t="shared" si="126"/>
        <v/>
      </c>
      <c r="G350" s="69" t="str">
        <f t="shared" si="129"/>
        <v/>
      </c>
      <c r="H350" s="70" t="str">
        <f t="shared" si="127"/>
        <v/>
      </c>
      <c r="I350" s="27" t="str">
        <f>IF(N(J350)=0,"",0&amp;"-"&amp;B$9)</f>
        <v/>
      </c>
      <c r="J350" s="52" t="str">
        <f>IF(N(B$9)=0,"",IF(AND(COUNT(H343:H354)=2,COUNT(F343:F354)=2),cubic_spline(F342:F344,H342:H344,B$9),IF(AND(COUNT(H343:H354)=3,COUNT(F343:F354)=3),cubic_spline(F342:F345,H342:H345,B$9),IF(AND(COUNT(H343:H354)=4,COUNT(F343:F354)=4),cubic_spline(F342:F346,H342:H346,B$9),IF(AND(COUNT(H343:H354)=5,COUNT(F343:F354)=5),cubic_spline(F342:F347,H342:H347,B$9),IF(AND(COUNT(H343:H354)=6,COUNT(F343:F354)=6),cubic_spline(F342:F348,H342:H348,B$9),IF(AND(COUNT(H343:H354)=7,COUNT(F343:F354)=7),cubic_spline(F342:F349,H342:H349,B$9),IF(AND(COUNT(H343:H354)=8,COUNT(F343:F354)=8),cubic_spline(F342:F350,H342:H350,B$9),IF(AND(COUNT(H343:H354)=9,COUNT(F343:F354)=9),cubic_spline(F342:F351,H342:H351,B$9),IF(AND(COUNT(H343:H354)=10,COUNT(F343:F354)=10),cubic_spline(F342:F352,H342:H352,B$9),IF(AND(COUNT(H343:H354)=11,COUNT(F343:F354)=11),cubic_spline(F342:F353,H342:H353,B$9),IF(AND(COUNT(H343:H354)=12,COUNT(F343:F354)=12),cubic_spline(F342:F354,H342:H354,B$9),""))))))))))))</f>
        <v/>
      </c>
      <c r="K350" s="52" t="str">
        <f>IF(N(B$9)=0,"",IF(AND(COUNT(A343:A354)=2,COUNT(F343:F354)=2),cubic_spline(F342:F344,A342:A344,B$9),IF(AND(COUNT(A343:A354)=3,COUNT(F343:F354)=3),cubic_spline(F342:F345,A342:A345,B$9),IF(AND(COUNT(A343:A354)=4,COUNT(F343:F354)=4),cubic_spline(F342:F346,A342:A346,B$9),IF(AND(COUNT(A343:A354)=5,COUNT(F343:F354)=5),cubic_spline(F342:F347,A342:A347,B$9),IF(AND(COUNT(A343:A354)=6,COUNT(F343:F354)=6),cubic_spline(F342:F348,A342:A348,B$9),IF(AND(COUNT(A343:A354)=7,COUNT(F343:F354)=7),cubic_spline(F342:F349,A342:A349,B$9),IF(AND(COUNT(A343:A354)=8,COUNT(F343:F354)=8),cubic_spline(F342:F350,A342:A350,B$9),IF(AND(COUNT(A343:A354)=9,COUNT(F343:F354)=9),cubic_spline(F342:F351,A342:A351,B$9),IF(AND(COUNT(A343:A354)=10,COUNT(F343:F354)=10),cubic_spline(F342:F352,A342:A352,B$9),IF(AND(COUNT(A343:A354)=11,COUNT(F343:F354)=11),cubic_spline(F342:F353,A342:A353,B$9),IF(AND(COUNT(A343:A354)=12,COUNT(F343:F354)=12),cubic_spline(F342:F354,A342:A354,B$9),""))))))))))))</f>
        <v/>
      </c>
      <c r="L350" s="27" t="str">
        <f>IF(I350="","",B$8&amp;"-"&amp;B$9)</f>
        <v/>
      </c>
      <c r="M350" s="52" t="str">
        <f t="shared" si="130"/>
        <v/>
      </c>
    </row>
    <row r="351" spans="1:13" x14ac:dyDescent="0.35">
      <c r="A351" s="48"/>
      <c r="B351" s="48"/>
      <c r="C351" s="50"/>
      <c r="D351" s="50"/>
      <c r="E351" s="51" t="str">
        <f t="shared" si="128"/>
        <v/>
      </c>
      <c r="F351" s="71" t="str">
        <f t="shared" si="126"/>
        <v/>
      </c>
      <c r="G351" s="69" t="str">
        <f t="shared" si="129"/>
        <v/>
      </c>
      <c r="H351" s="70" t="str">
        <f t="shared" si="127"/>
        <v/>
      </c>
      <c r="I351" s="27" t="str">
        <f>IF(N(J351)=0,"",0&amp;"-"&amp;B$10)</f>
        <v/>
      </c>
      <c r="J351" s="52" t="str">
        <f>IF(N(B$10)=0,"",IF(AND(COUNT(H343:H354)=2,COUNT(F343:F354)=2),cubic_spline(F342:F344,H342:H344,B$10),IF(AND(COUNT(H343:H354)=3,COUNT(F343:F354)=3),cubic_spline(F342:F345,H342:H345,B$10),IF(AND(COUNT(H343:H354)=4,COUNT(F343:F354)=4),cubic_spline(F342:F346,H342:H346,B$10),IF(AND(COUNT(H343:H354)=5,COUNT(F343:F354)=5),cubic_spline(F342:F347,H342:H347,B$10),IF(AND(COUNT(H343:H354)=6,COUNT(F343:F354)=6),cubic_spline(F342:F348,H342:H348,B$10),IF(AND(COUNT(H343:H354)=7,COUNT(F343:F354)=7),cubic_spline(F342:F349,H342:H349,B$10),IF(AND(COUNT(H343:H354)=8,COUNT(F343:F354)=8),cubic_spline(F342:F350,H342:H350,B$10),IF(AND(COUNT(H343:H354)=9,COUNT(F343:F354)=9),cubic_spline(F342:F351,H342:H351,B$10),IF(AND(COUNT(H343:H354)=10,COUNT(F343:F354)=10),cubic_spline(F342:F352,H342:H352,B$10),IF(AND(COUNT(H343:H354)=11,COUNT(F343:F354)=11),cubic_spline(F342:F353,H342:H353,B$10),IF(AND(COUNT(H343:H354)=12,COUNT(F343:F354)=12),cubic_spline(F342:F354,H342:H354,B$10),""))))))))))))</f>
        <v/>
      </c>
      <c r="K351" s="52" t="str">
        <f>IF(N(B$10)=0,"",IF(AND(COUNT(A343:A354)=2,COUNT(F343:F354)=2),cubic_spline(F342:F344,A342:A344,B$10),IF(AND(COUNT(A343:A354)=3,COUNT(F343:F354)=3),cubic_spline(F342:F345,A342:A345,B$10),IF(AND(COUNT(A343:A354)=4,COUNT(F343:F354)=4),cubic_spline(F342:F346,A342:A346,B$10),IF(AND(COUNT(A343:A354)=5,COUNT(F343:F354)=5),cubic_spline(F342:F347,A342:A347,B$10),IF(AND(COUNT(A343:A354)=6,COUNT(F343:F354)=6),cubic_spline(F342:F348,A342:A348,B$10),IF(AND(COUNT(A343:A354)=7,COUNT(F343:F354)=7),cubic_spline(F342:F349,A342:A349,B$10),IF(AND(COUNT(A343:A354)=8,COUNT(F343:F354)=8),cubic_spline(F342:F350,A342:A350,B$10),IF(AND(COUNT(A343:A354)=9,COUNT(F343:F354)=9),cubic_spline(F342:F351,A342:A351,B$10),IF(AND(COUNT(A343:A354)=10,COUNT(F343:F354)=10),cubic_spline(F342:F352,A342:A352,B$10),IF(AND(COUNT(A343:A354)=11,COUNT(F343:F354)=11),cubic_spline(F342:F353,A342:A353,B$10),IF(AND(COUNT(A343:A354)=12,COUNT(F343:F354)=12),cubic_spline(F342:F354,A342:A354,B$10),""))))))))))))</f>
        <v/>
      </c>
      <c r="L351" s="27" t="str">
        <f>IF(I351="","",B$9&amp;"-"&amp;B$10)</f>
        <v/>
      </c>
      <c r="M351" s="52" t="str">
        <f t="shared" si="130"/>
        <v/>
      </c>
    </row>
    <row r="352" spans="1:13" x14ac:dyDescent="0.35">
      <c r="A352" s="48"/>
      <c r="B352" s="48"/>
      <c r="C352" s="50"/>
      <c r="D352" s="50"/>
      <c r="E352" s="51" t="str">
        <f t="shared" si="128"/>
        <v/>
      </c>
      <c r="F352" s="71" t="str">
        <f t="shared" si="126"/>
        <v/>
      </c>
      <c r="G352" s="69" t="str">
        <f t="shared" si="129"/>
        <v/>
      </c>
      <c r="H352" s="70" t="str">
        <f t="shared" si="127"/>
        <v/>
      </c>
      <c r="I352" s="27" t="str">
        <f>IF(N(J352)=0,"",0&amp;"-"&amp;B$11)</f>
        <v/>
      </c>
      <c r="J352" s="52" t="str">
        <f>IF(N(B$11)=0,"",IF(AND(COUNT(H343:H354)=2,COUNT(F343:F354)=2),cubic_spline(F342:F344,H342:H344,B$11),IF(AND(COUNT(H343:H354)=3,COUNT(F343:F354)=3),cubic_spline(F342:F345,H342:H345,B$11),IF(AND(COUNT(H343:H354)=4,COUNT(F343:F354)=4),cubic_spline(F342:F346,H342:H346,B$11),IF(AND(COUNT(H343:H354)=5,COUNT(F343:F354)=5),cubic_spline(F342:F347,H342:H347,B$11),IF(AND(COUNT(H343:H354)=6,COUNT(F343:F354)=6),cubic_spline(F342:F348,H342:H348,B$11),IF(AND(COUNT(H343:H354)=7,COUNT(F343:F354)=7),cubic_spline(F342:F349,H342:H349,B$11),IF(AND(COUNT(H343:H354)=8,COUNT(F343:F354)=8),cubic_spline(F342:F350,H342:H350,B$11),IF(AND(COUNT(H343:H354)=9,COUNT(F343:F354)=9),cubic_spline(F342:F351,H342:H351,B$11),IF(AND(COUNT(H343:H354)=10,COUNT(F343:F354)=10),cubic_spline(F342:F352,H342:H352,B$11),IF(AND(COUNT(H343:H354)=11,COUNT(F343:F354)=11),cubic_spline(F342:F353,H342:H353,B$11),IF(AND(COUNT(H343:H354)=12,COUNT(F343:F354)=12),cubic_spline(F342:F354,H342:H354,B$11),""))))))))))))</f>
        <v/>
      </c>
      <c r="K352" s="52" t="str">
        <f>IF(N(B$11)=0,"",IF(AND(COUNT(A343:A354)=2,COUNT(F343:F354)=2),cubic_spline(F342:F344,A342:A344,B$11),IF(AND(COUNT(A343:A354)=3,COUNT(F343:F354)=3),cubic_spline(F342:F345,A342:A345,B$11),IF(AND(COUNT(A343:A354)=4,COUNT(F343:F354)=4),cubic_spline(F342:F346,A342:A346,B$11),IF(AND(COUNT(A343:A354)=5,COUNT(F343:F354)=5),cubic_spline(F342:F347,A342:A347,B$11),IF(AND(COUNT(A343:A354)=6,COUNT(F343:F354)=6),cubic_spline(F342:F348,A342:A348,B$11),IF(AND(COUNT(A343:A354)=7,COUNT(F343:F354)=7),cubic_spline(F342:F349,A342:A349,B$11),IF(AND(COUNT(A343:A354)=8,COUNT(F343:F354)=8),cubic_spline(F342:F350,A342:A350,B$11),IF(AND(COUNT(A343:A354)=9,COUNT(F343:F354)=9),cubic_spline(F342:F351,A342:A351,B$11),IF(AND(COUNT(A343:A354)=10,COUNT(F343:F354)=10),cubic_spline(F342:F352,A342:A352,B$11),IF(AND(COUNT(A343:A354)=11,COUNT(F343:F354)=11),cubic_spline(F342:F353,A342:A353,B$11),IF(AND(COUNT(A343:A354)=12,COUNT(F343:F354)=12),cubic_spline(F342:F354,A342:A354,B$11),""))))))))))))</f>
        <v/>
      </c>
      <c r="L352" s="27" t="str">
        <f>IF(I352="","",B$10&amp;"-"&amp;B$11)</f>
        <v/>
      </c>
      <c r="M352" s="52" t="str">
        <f t="shared" si="130"/>
        <v/>
      </c>
    </row>
    <row r="353" spans="1:13" x14ac:dyDescent="0.35">
      <c r="A353" s="48"/>
      <c r="B353" s="48"/>
      <c r="C353" s="50"/>
      <c r="D353" s="50"/>
      <c r="E353" s="51" t="str">
        <f t="shared" si="128"/>
        <v/>
      </c>
      <c r="F353" s="71" t="str">
        <f t="shared" si="126"/>
        <v/>
      </c>
      <c r="G353" s="69" t="str">
        <f t="shared" si="129"/>
        <v/>
      </c>
      <c r="H353" s="70" t="str">
        <f t="shared" si="127"/>
        <v/>
      </c>
      <c r="I353" s="27" t="str">
        <f>IF(N(J353)=0,"",0&amp;"-"&amp;B$12)</f>
        <v/>
      </c>
      <c r="J353" s="52" t="str">
        <f>IF(N(B$12)=0,"",IF(AND(COUNT(H343:H354)=2,COUNT(F343:F354)=2),cubic_spline(F342:F344,H342:H344,B$12),IF(AND(COUNT(H343:H354)=3,COUNT(F343:F354)=3),cubic_spline(F342:F345,H342:H345,B$12),IF(AND(COUNT(H343:H354)=4,COUNT(F343:F354)=4),cubic_spline(F342:F346,H342:H346,B$12),IF(AND(COUNT(H343:H354)=5,COUNT(F343:F354)=5),cubic_spline(F342:F347,H342:H347,B$12),IF(AND(COUNT(H343:H354)=6,COUNT(F343:F354)=6),cubic_spline(F342:F348,H342:H348,B$12),IF(AND(COUNT(H343:H354)=7,COUNT(F343:F354)=7),cubic_spline(F342:F349,H342:H349,B$12),IF(AND(COUNT(H343:H354)=8,COUNT(F343:F354)=8),cubic_spline(F342:F350,H342:H350,B$12),IF(AND(COUNT(H343:H354)=9,COUNT(F343:F354)=9),cubic_spline(F342:F351,H342:H351,B$12),IF(AND(COUNT(H343:H354)=10,COUNT(F343:F354)=10),cubic_spline(F342:F352,H342:H352,B$12),IF(AND(COUNT(H343:H354)=11,COUNT(F343:F354)=11),cubic_spline(F342:F353,H342:H353,B$12),IF(AND(COUNT(H343:H354)=12,COUNT(F343:F354)=12),cubic_spline(F342:F354,H342:H354,B$12),""))))))))))))</f>
        <v/>
      </c>
      <c r="K353" s="52" t="str">
        <f>IF(N(B$12)=0,"",IF(AND(COUNT(A343:A354)=2,COUNT(F343:F354)=2),cubic_spline(F342:F344,A342:A344,B$12),IF(AND(COUNT(A343:A354)=3,COUNT(F343:F354)=3),cubic_spline(F342:F345,A342:A345,B$12),IF(AND(COUNT(A343:A354)=4,COUNT(F343:F354)=4),cubic_spline(F342:F346,A342:A346,B$12),IF(AND(COUNT(A343:A354)=5,COUNT(F343:F354)=5),cubic_spline(F342:F347,A342:A347,B$12),IF(AND(COUNT(A343:A354)=6,COUNT(F343:F354)=6),cubic_spline(F342:F348,A342:A348,B$12),IF(AND(COUNT(A343:A354)=7,COUNT(F343:F354)=7),cubic_spline(F342:F349,A342:A349,B$12),IF(AND(COUNT(A343:A354)=8,COUNT(F343:F354)=8),cubic_spline(F342:F350,A342:A350,B$12),IF(AND(COUNT(A343:A354)=9,COUNT(F343:F354)=9),cubic_spline(F342:F351,A342:A351,B$12),IF(AND(COUNT(A343:A354)=10,COUNT(F343:F354)=10),cubic_spline(F342:F352,A342:A352,B$12),IF(AND(COUNT(A343:A354)=11,COUNT(F343:F354)=11),cubic_spline(F342:F353,A342:A353,B$12),IF(AND(COUNT(A343:A354)=12,COUNT(F343:F354)=12),cubic_spline(F342:F354,A342:A354,B$12),""))))))))))))</f>
        <v/>
      </c>
      <c r="L353" s="27" t="str">
        <f>IF(I353="","",B$11&amp;"-"&amp;B$12)</f>
        <v/>
      </c>
      <c r="M353" s="52" t="str">
        <f t="shared" si="130"/>
        <v/>
      </c>
    </row>
    <row r="354" spans="1:13" x14ac:dyDescent="0.35">
      <c r="A354" s="48"/>
      <c r="B354" s="48"/>
      <c r="C354" s="50"/>
      <c r="D354" s="50"/>
      <c r="E354" s="51" t="str">
        <f t="shared" si="128"/>
        <v/>
      </c>
      <c r="F354" s="71" t="str">
        <f t="shared" si="126"/>
        <v/>
      </c>
      <c r="G354" s="69" t="str">
        <f t="shared" si="129"/>
        <v/>
      </c>
      <c r="H354" s="70" t="str">
        <f t="shared" si="127"/>
        <v/>
      </c>
      <c r="I354" s="27" t="str">
        <f>IF(N(J354)=0,"",0&amp;"-"&amp;B$13)</f>
        <v/>
      </c>
      <c r="J354" s="52" t="str">
        <f>IF(N(B$13)=0,"",IF(AND(COUNT(H343:H354)=2,COUNT(F343:F354)=2),cubic_spline(F342:F344,H342:H344,B$13),IF(AND(COUNT(H343:H354)=3,COUNT(F343:F354)=3),cubic_spline(F342:F345,H342:H345,B$13),IF(AND(COUNT(H343:H354)=4,COUNT(F343:F354)=4),cubic_spline(F342:F346,H342:H346,B$13),IF(AND(COUNT(H343:H354)=5,COUNT(F343:F354)=5),cubic_spline(F342:F347,H342:H347,B$13),IF(AND(COUNT(H343:H354)=6,COUNT(F343:F354)=6),cubic_spline(F342:F348,H342:H348,B$13),IF(AND(COUNT(H343:H354)=7,COUNT(F343:F354)=7),cubic_spline(F342:F349,H342:H349,B$13),IF(AND(COUNT(H343:H354)=8,COUNT(F343:F354)=8),cubic_spline(F342:F350,H342:H350,B$13),IF(AND(COUNT(H343:H354)=9,COUNT(F343:F354)=9),cubic_spline(F342:F351,H342:H351,B$13),IF(AND(COUNT(H343:H354)=10,COUNT(F343:F354)=10),cubic_spline(F342:F352,H342:H352,B$13),IF(AND(COUNT(H343:H354)=11,COUNT(F343:F354)=11),cubic_spline(F342:F353,H342:H353,B$13),IF(AND(COUNT(H343:H354)=12,COUNT(F343:F354)=12),cubic_spline(F342:F354,H342:H354,B$13),""))))))))))))</f>
        <v/>
      </c>
      <c r="K354" s="52" t="str">
        <f>IF(N(B$13)=0,"",IF(AND(COUNT(A343:A354)=2,COUNT(F343:F354)=2),cubic_spline(F342:F344,A342:A344,B$13),IF(AND(COUNT(A343:A354)=3,COUNT(F343:F354)=3),cubic_spline(F342:F345,A342:A345,B$13),IF(AND(COUNT(A343:A354)=4,COUNT(F343:F354)=4),cubic_spline(F342:F346,A342:A346,B$13),IF(AND(COUNT(A343:A354)=5,COUNT(F343:F354)=5),cubic_spline(F342:F347,A342:A347,B$13),IF(AND(COUNT(A343:A354)=6,COUNT(F343:F354)=6),cubic_spline(F342:F348,A342:A348,B$13),IF(AND(COUNT(A343:A354)=7,COUNT(F343:F354)=7),cubic_spline(F342:F349,A342:A349,B$13),IF(AND(COUNT(A343:A354)=8,COUNT(F343:F354)=8),cubic_spline(F342:F350,A342:A350,B$13),IF(AND(COUNT(A343:A354)=9,COUNT(F343:F354)=9),cubic_spline(F342:F351,A342:A351,B$13),IF(AND(COUNT(A343:A354)=10,COUNT(F343:F354)=10),cubic_spline(F342:F352,A342:A352,B$13),IF(AND(COUNT(A343:A354)=11,COUNT(F343:F354)=11),cubic_spline(F342:F353,A342:A353,B$13),IF(AND(COUNT(A343:A354)=12,COUNT(F343:F354)=12),cubic_spline(F342:F354,A342:A354,B$13),""))))))))))))</f>
        <v/>
      </c>
      <c r="L354" s="27" t="str">
        <f>IF(I354="","",B$12&amp;"-"&amp;B$13)</f>
        <v/>
      </c>
      <c r="M354" s="52" t="str">
        <f t="shared" si="130"/>
        <v/>
      </c>
    </row>
    <row r="355" spans="1:13" ht="5.15" customHeight="1" x14ac:dyDescent="0.35">
      <c r="A355" s="47"/>
      <c r="B355" s="47"/>
      <c r="C355" s="53"/>
      <c r="D355" s="53"/>
      <c r="E355" s="54"/>
      <c r="F355" s="55"/>
      <c r="G355" s="72"/>
      <c r="H355" s="73"/>
      <c r="I355" s="47"/>
      <c r="J355" s="57"/>
      <c r="K355" s="57"/>
      <c r="L355" s="55"/>
      <c r="M355" s="57"/>
    </row>
    <row r="356" spans="1:13" x14ac:dyDescent="0.35">
      <c r="A356" s="48"/>
      <c r="B356" s="48"/>
      <c r="C356" s="50"/>
      <c r="D356" s="50"/>
      <c r="E356" s="51" t="str">
        <f>IF(N(C356)=0,"",(A356-A355)*C356*100)</f>
        <v/>
      </c>
      <c r="F356" s="68" t="str">
        <f t="shared" ref="F356:F367" si="131">IF(N(E356)=0,"",(N(E356)+N(F355)))</f>
        <v/>
      </c>
      <c r="G356" s="69" t="str">
        <f>IF(OR(N(D356)=0,N(E356)=0),"",(E356*D356)/1000)</f>
        <v/>
      </c>
      <c r="H356" s="70" t="str">
        <f t="shared" ref="H356:H367" si="132">IF(N(G356)=0,"",(N(G356)+N(H355)))</f>
        <v/>
      </c>
      <c r="I356" s="27" t="str">
        <f>IF(N(J356)=0,"",0&amp;"-"&amp;B$2)</f>
        <v/>
      </c>
      <c r="J356" s="52" t="str">
        <f>IF(N(B$2)=0,"",IF(AND(COUNT(H356:H367)=2,COUNT(F356:F367)=2),cubic_spline(F355:F357,H355:H357,B$2),IF(AND(COUNT(H356:H367)=3,COUNT(F356:F367)=3),cubic_spline(F355:F358,H355:H358,B$2),IF(AND(COUNT(H356:H367)=4,COUNT(F356:F367)=4),cubic_spline(F355:F359,H355:H359,B$2),IF(AND(COUNT(H356:H367)=5,COUNT(F356:F367)=5),cubic_spline(F355:F360,H355:H360,B$2),IF(AND(COUNT(H356:H367)=6,COUNT(F356:F367)=6),cubic_spline(F355:F361,H355:H361,B$2),IF(AND(COUNT(H356:H367)=7,COUNT(F356:F367)=7),cubic_spline(F355:F362,H355:H362,B$2),IF(AND(COUNT(H356:H367)=8,COUNT(F356:F367)=8),cubic_spline(F355:F363,H355:H363,B$2),IF(AND(COUNT(H356:H367)=9,COUNT(F356:F367)=9),cubic_spline(F355:F364,H355:H364,B$2),IF(AND(COUNT(H356:H367)=10,COUNT(F356:F367)=10),cubic_spline(F355:F365,H355:H365,B$2),IF(AND(COUNT(H356:H367)=11,COUNT(F356:F367)=11),cubic_spline(F355:F366,H355:H366,B$2),IF(AND(COUNT(H356:H367)=12,COUNT(F356:F367)=12),cubic_spline(F355:F367,H355:H367,B$2),""))))))))))))</f>
        <v/>
      </c>
      <c r="K356" s="52" t="str">
        <f>IF(N(B$2)=0,"",IF(AND(COUNT(A356:A367)=2,COUNT(F356:F367)=2),cubic_spline(F355:F357,A355:A357,B$2),IF(AND(COUNT(A356:A367)=3,COUNT(F356:F367)=3),cubic_spline(F355:F358,A355:A358,B$2),IF(AND(COUNT(A356:A367)=4,COUNT(F356:F367)=4),cubic_spline(F355:F359,A355:A359,B$2),IF(AND(COUNT(A356:A367)=5,COUNT(F356:F367)=5),cubic_spline(F355:F360,A355:A360,B$2),IF(AND(COUNT(A356:A367)=6,COUNT(F356:F367)=6),cubic_spline(F355:F361,A355:A361,B$2),IF(AND(COUNT(A356:A367)=7,COUNT(F356:F367)=7),cubic_spline(F355:F362,A355:A362,B$2),IF(AND(COUNT(A356:A367)=8,COUNT(F356:F367)=8),cubic_spline(F355:F363,A355:A363,B$2),IF(AND(COUNT(A356:A367)=9,COUNT(F356:F367)=9),cubic_spline(F355:F364,A355:A364,B$2),IF(AND(COUNT(A356:A367)=10,COUNT(F356:F367)=10),cubic_spline(F355:F365,A355:A365,B$2),IF(AND(COUNT(A356:A367)=11,COUNT(F356:F367)=11),cubic_spline(F355:F366,A355:A366,B$2),IF(AND(COUNT(A356:A367)=12,COUNT(F356:F367)=12),cubic_spline(F355:F367,A355:A367,B$2),""))))))))))))</f>
        <v/>
      </c>
      <c r="L356" s="27" t="str">
        <f>IF(I356="","",0&amp;"-"&amp;B$2)</f>
        <v/>
      </c>
      <c r="M356" s="52" t="str">
        <f>IF(N(J356)=0,"",J356-J355)</f>
        <v/>
      </c>
    </row>
    <row r="357" spans="1:13" x14ac:dyDescent="0.35">
      <c r="A357" s="48"/>
      <c r="B357" s="48"/>
      <c r="C357" s="50"/>
      <c r="D357" s="50"/>
      <c r="E357" s="51" t="str">
        <f t="shared" ref="E357:E367" si="133">IF(N(C357)=0,"",(A357-A356)*C357*100)</f>
        <v/>
      </c>
      <c r="F357" s="68" t="str">
        <f t="shared" si="131"/>
        <v/>
      </c>
      <c r="G357" s="69" t="str">
        <f t="shared" ref="G357:G367" si="134">IF(OR(N(D357)=0,N(E357)=0),"",(E357*D357)/1000)</f>
        <v/>
      </c>
      <c r="H357" s="70" t="str">
        <f t="shared" si="132"/>
        <v/>
      </c>
      <c r="I357" s="27" t="str">
        <f>IF(N(J357)=0,"",0&amp;"-"&amp;B$3)</f>
        <v/>
      </c>
      <c r="J357" s="52" t="str">
        <f>IF(N(B$3)=0,"",IF(AND(COUNT(H356:H367)=2,COUNT(F356:F367)=2),cubic_spline(F355:F357,H355:H357,B$3),IF(AND(COUNT(H356:H367)=3,COUNT(F356:F367)=3),cubic_spline(F355:F358,H355:H358,B$3),IF(AND(COUNT(H356:H367)=4,COUNT(F356:F367)=4),cubic_spline(F355:F359,H355:H359,B$3),IF(AND(COUNT(H356:H367)=5,COUNT(F356:F367)=5),cubic_spline(F355:F360,H355:H360,B$3),IF(AND(COUNT(H356:H367)=6,COUNT(F356:F367)=6),cubic_spline(F355:F361,H355:H361,B$3),IF(AND(COUNT(H356:H367)=7,COUNT(F356:F367)=7),cubic_spline(F355:F362,H355:H362,B$3),IF(AND(COUNT(H356:H367)=8,COUNT(F356:F367)=8),cubic_spline(F355:F363,H355:H363,B$3),IF(AND(COUNT(H356:H367)=9,COUNT(F356:F367)=9),cubic_spline(F355:F364,H355:H364,B$3),IF(AND(COUNT(H356:H367)=10,COUNT(F356:F367)=10),cubic_spline(F355:F365,H355:H365,B$3),IF(AND(COUNT(H356:H367)=11,COUNT(F356:F367)=11),cubic_spline(F355:F366,H355:H366,B$3),IF(AND(COUNT(H356:H367)=12,COUNT(F356:F367)=12),cubic_spline(F355:F367,H355:H367,B$3),""))))))))))))</f>
        <v/>
      </c>
      <c r="K357" s="52" t="str">
        <f>IF(N(B$3)=0,"",IF(AND(COUNT(A356:A367)=2,COUNT(F356:F367)=2),cubic_spline(F355:F357,A355:A357,B$3),IF(AND(COUNT(A356:A367)=3,COUNT(F356:F367)=3),cubic_spline(F355:F358,A355:A358,B$3),IF(AND(COUNT(A356:A367)=4,COUNT(F356:F367)=4),cubic_spline(F355:F359,A355:A359,B$3),IF(AND(COUNT(A356:A367)=5,COUNT(F356:F367)=5),cubic_spline(F355:F360,A355:A360,B$3),IF(AND(COUNT(A356:A367)=6,COUNT(F356:F367)=6),cubic_spline(F355:F361,A355:A361,B$3),IF(AND(COUNT(A356:A367)=7,COUNT(F356:F367)=7),cubic_spline(F355:F362,A355:A362,B$3),IF(AND(COUNT(A356:A367)=8,COUNT(F356:F367)=8),cubic_spline(F355:F363,A355:A363,B$3),IF(AND(COUNT(A356:A367)=9,COUNT(F356:F367)=9),cubic_spline(F355:F364,A355:A364,B$3),IF(AND(COUNT(A356:A367)=10,COUNT(F356:F367)=10),cubic_spline(F355:F365,A355:A365,B$3),IF(AND(COUNT(A356:A367)=11,COUNT(F356:F367)=11),cubic_spline(F355:F366,A355:A366,B$3),IF(AND(COUNT(A356:A367)=12,COUNT(F356:F367)=12),cubic_spline(F355:F367,A355:A367,B$3),""))))))))))))</f>
        <v/>
      </c>
      <c r="L357" s="27" t="str">
        <f>IF(I357="","",B$2&amp;"-"&amp;B$3)</f>
        <v/>
      </c>
      <c r="M357" s="52" t="str">
        <f>IF(N(J357)=0,"",J357-J356)</f>
        <v/>
      </c>
    </row>
    <row r="358" spans="1:13" x14ac:dyDescent="0.35">
      <c r="A358" s="48"/>
      <c r="B358" s="48"/>
      <c r="C358" s="50"/>
      <c r="D358" s="50"/>
      <c r="E358" s="51" t="str">
        <f t="shared" si="133"/>
        <v/>
      </c>
      <c r="F358" s="68" t="str">
        <f t="shared" si="131"/>
        <v/>
      </c>
      <c r="G358" s="69" t="str">
        <f t="shared" si="134"/>
        <v/>
      </c>
      <c r="H358" s="70" t="str">
        <f t="shared" si="132"/>
        <v/>
      </c>
      <c r="I358" s="27" t="str">
        <f>IF(N(J358)=0,"",0&amp;"-"&amp;B$4)</f>
        <v/>
      </c>
      <c r="J358" s="52" t="str">
        <f>IF(N(B$4)=0,"",IF(AND(COUNT(H356:H367)=2,COUNT(F356:F367)=2),cubic_spline(F355:F357,H355:H357,B$4),IF(AND(COUNT(H356:H367)=3,COUNT(F356:F367)=3),cubic_spline(F355:F358,H355:H358,B$4),IF(AND(COUNT(H356:H367)=4,COUNT(F356:F367)=4),cubic_spline(F355:F359,H355:H359,B$4),IF(AND(COUNT(H356:H367)=5,COUNT(F356:F367)=5),cubic_spline(F355:F360,H355:H360,B$4),IF(AND(COUNT(H356:H367)=6,COUNT(F356:F367)=6),cubic_spline(F355:F361,H355:H361,B$4),IF(AND(COUNT(H356:H367)=7,COUNT(F356:F367)=7),cubic_spline(F355:F362,H355:H362,B$4),IF(AND(COUNT(H356:H367)=8,COUNT(F356:F367)=8),cubic_spline(F355:F363,H355:H363,B$4),IF(AND(COUNT(H356:H367)=9,COUNT(F356:F367)=9),cubic_spline(F355:F364,H355:H364,B$4),IF(AND(COUNT(H356:H367)=10,COUNT(F356:F367)=10),cubic_spline(F355:F365,H355:H365,B$4),IF(AND(COUNT(H356:H367)=11,COUNT(F356:F367)=11),cubic_spline(F355:F366,H355:H366,B$4),IF(AND(COUNT(H356:H367)=12,COUNT(F356:F367)=12),cubic_spline(F355:F367,H355:H367,B$4),""))))))))))))</f>
        <v/>
      </c>
      <c r="K358" s="52" t="str">
        <f>IF(N(B$4)=0,"",IF(AND(COUNT(A356:A367)=2,COUNT(F356:F367)=2),cubic_spline(F355:F357,A355:A357,B$4),IF(AND(COUNT(A356:A367)=3,COUNT(F356:F367)=3),cubic_spline(F355:F358,A355:A358,B$4),IF(AND(COUNT(A356:A367)=4,COUNT(F356:F367)=4),cubic_spline(F355:F359,A355:A359,B$4),IF(AND(COUNT(A356:A367)=5,COUNT(F356:F367)=5),cubic_spline(F355:F360,A355:A360,B$4),IF(AND(COUNT(A356:A367)=6,COUNT(F356:F367)=6),cubic_spline(F355:F361,A355:A361,B$4),IF(AND(COUNT(A356:A367)=7,COUNT(F356:F367)=7),cubic_spline(F355:F362,A355:A362,B$4),IF(AND(COUNT(A356:A367)=8,COUNT(F356:F367)=8),cubic_spline(F355:F363,A355:A363,B$4),IF(AND(COUNT(A356:A367)=9,COUNT(F356:F367)=9),cubic_spline(F355:F364,A355:A364,B$4),IF(AND(COUNT(A356:A367)=10,COUNT(F356:F367)=10),cubic_spline(F355:F365,A355:A365,B$4),IF(AND(COUNT(A356:A367)=11,COUNT(F356:F367)=11),cubic_spline(F355:F366,A355:A366,B$4),IF(AND(COUNT(A356:A367)=12,COUNT(F356:F367)=12),cubic_spline(F355:F367,A355:A367,B$4),""))))))))))))</f>
        <v/>
      </c>
      <c r="L358" s="27" t="str">
        <f>IF(I358="","",B$3&amp;"-"&amp;B$4)</f>
        <v/>
      </c>
      <c r="M358" s="52" t="str">
        <f>IF(N(J358)=0,"",J358-J357)</f>
        <v/>
      </c>
    </row>
    <row r="359" spans="1:13" x14ac:dyDescent="0.35">
      <c r="A359" s="48"/>
      <c r="B359" s="48"/>
      <c r="C359" s="50"/>
      <c r="D359" s="50"/>
      <c r="E359" s="51" t="str">
        <f t="shared" si="133"/>
        <v/>
      </c>
      <c r="F359" s="68" t="str">
        <f t="shared" si="131"/>
        <v/>
      </c>
      <c r="G359" s="69" t="str">
        <f t="shared" si="134"/>
        <v/>
      </c>
      <c r="H359" s="70" t="str">
        <f t="shared" si="132"/>
        <v/>
      </c>
      <c r="I359" s="27" t="str">
        <f>IF(N(J359)=0,"",0&amp;"-"&amp;B$5)</f>
        <v/>
      </c>
      <c r="J359" s="52" t="str">
        <f>IF(N(B$5)=0,"",IF(AND(COUNT(H356:H367)=2,COUNT(F356:F367)=2),cubic_spline(F355:F357,H355:H357,B$5),IF(AND(COUNT(H356:H367)=3,COUNT(F356:F367)=3),cubic_spline(F355:F358,H355:H358,B$5),IF(AND(COUNT(H356:H367)=4,COUNT(F356:F367)=4),cubic_spline(F355:F359,H355:H359,B$5),IF(AND(COUNT(H356:H367)=5,COUNT(F356:F367)=5),cubic_spline(F355:F360,H355:H360,B$5),IF(AND(COUNT(H356:H367)=6,COUNT(F356:F367)=6),cubic_spline(F355:F361,H355:H361,B$5),IF(AND(COUNT(H356:H367)=7,COUNT(F356:F367)=7),cubic_spline(F355:F362,H355:H362,B$5),IF(AND(COUNT(H356:H367)=8,COUNT(F356:F367)=8),cubic_spline(F355:F363,H355:H363,B$5),IF(AND(COUNT(H356:H367)=9,COUNT(F356:F367)=9),cubic_spline(F355:F364,H355:H364,B$5),IF(AND(COUNT(H356:H367)=10,COUNT(F356:F367)=10),cubic_spline(F355:F365,H355:H365,B$5),IF(AND(COUNT(H356:H367)=11,COUNT(F356:F367)=11),cubic_spline(F355:F366,H355:H366,B$5),IF(AND(COUNT(H356:H367)=12,COUNT(F356:F367)=12),cubic_spline(F355:F367,H355:H367,B$5),""))))))))))))</f>
        <v/>
      </c>
      <c r="K359" s="52" t="str">
        <f>IF(N(B$5)=0,"",IF(AND(COUNT(A356:A367)=2,COUNT(F356:F367)=2),cubic_spline(F355:F357,A355:A357,B$5),IF(AND(COUNT(A356:A367)=3,COUNT(F356:F367)=3),cubic_spline(F355:F358,A355:A358,B$5),IF(AND(COUNT(A356:A367)=4,COUNT(F356:F367)=4),cubic_spline(F355:F359,A355:A359,B$5),IF(AND(COUNT(A356:A367)=5,COUNT(F356:F367)=5),cubic_spline(F355:F360,A355:A360,B$5),IF(AND(COUNT(A356:A367)=6,COUNT(F356:F367)=6),cubic_spline(F355:F361,A355:A361,B$5),IF(AND(COUNT(A356:A367)=7,COUNT(F356:F367)=7),cubic_spline(F355:F362,A355:A362,B$5),IF(AND(COUNT(A356:A367)=8,COUNT(F356:F367)=8),cubic_spline(F355:F363,A355:A363,B$5),IF(AND(COUNT(A356:A367)=9,COUNT(F356:F367)=9),cubic_spline(F355:F364,A355:A364,B$5),IF(AND(COUNT(A356:A367)=10,COUNT(F356:F367)=10),cubic_spline(F355:F365,A355:A365,B$5),IF(AND(COUNT(A356:A367)=11,COUNT(F356:F367)=11),cubic_spline(F355:F366,A355:A366,B$5),IF(AND(COUNT(A356:A367)=12,COUNT(F356:F367)=12),cubic_spline(F355:F367,A355:A367,B$5),""))))))))))))</f>
        <v/>
      </c>
      <c r="L359" s="27" t="str">
        <f>IF(I359="","",B$4&amp;"-"&amp;B$5)</f>
        <v/>
      </c>
      <c r="M359" s="52" t="str">
        <f>IF(N(J359)=0,"",J359-J358)</f>
        <v/>
      </c>
    </row>
    <row r="360" spans="1:13" x14ac:dyDescent="0.35">
      <c r="A360" s="48"/>
      <c r="B360" s="48"/>
      <c r="C360" s="50"/>
      <c r="D360" s="50"/>
      <c r="E360" s="51" t="str">
        <f t="shared" si="133"/>
        <v/>
      </c>
      <c r="F360" s="71" t="str">
        <f t="shared" si="131"/>
        <v/>
      </c>
      <c r="G360" s="69" t="str">
        <f t="shared" si="134"/>
        <v/>
      </c>
      <c r="H360" s="70" t="str">
        <f t="shared" si="132"/>
        <v/>
      </c>
      <c r="I360" s="27" t="str">
        <f>IF(N(J360)=0,"",0&amp;"-"&amp;B$6)</f>
        <v/>
      </c>
      <c r="J360" s="52" t="str">
        <f>IF(N(B$6)=0,"",IF(AND(COUNT(H356:H367)=2,COUNT(F356:F367)=2),cubic_spline(F355:F357,H355:H357,B$6),IF(AND(COUNT(H356:H367)=3,COUNT(F356:F367)=3),cubic_spline(F355:F358,H355:H358,B$6),IF(AND(COUNT(H356:H367)=4,COUNT(F356:F367)=4),cubic_spline(F355:F359,H355:H359,B$6),IF(AND(COUNT(H356:H367)=5,COUNT(F356:F367)=5),cubic_spline(F355:F360,H355:H360,B$6),IF(AND(COUNT(H356:H367)=6,COUNT(F356:F367)=6),cubic_spline(F355:F361,H355:H361,B$6),IF(AND(COUNT(H356:H367)=7,COUNT(F356:F367)=7),cubic_spline(F355:F362,H355:H362,B$6),IF(AND(COUNT(H356:H367)=8,COUNT(F356:F367)=8),cubic_spline(F355:F363,H355:H363,B$6),IF(AND(COUNT(H356:H367)=9,COUNT(F356:F367)=9),cubic_spline(F355:F364,H355:H364,B$6),IF(AND(COUNT(H356:H367)=10,COUNT(F356:F367)=10),cubic_spline(F355:F365,H355:H365,B$6),IF(AND(COUNT(H356:H367)=11,COUNT(F356:F367)=11),cubic_spline(F355:F366,H355:H366,B$6),IF(AND(COUNT(H356:H367)=12,COUNT(F356:F367)=12),cubic_spline(F355:F367,H355:H367,B$6),""))))))))))))</f>
        <v/>
      </c>
      <c r="K360" s="52" t="str">
        <f>IF(N(B$6)=0,"",IF(AND(COUNT(A356:A367)=2,COUNT(F356:F367)=2),cubic_spline(F355:F357,A355:A357,B$6),IF(AND(COUNT(A356:A367)=3,COUNT(F356:F367)=3),cubic_spline(F355:F358,A355:A358,B$6),IF(AND(COUNT(A356:A367)=4,COUNT(F356:F367)=4),cubic_spline(F355:F359,A355:A359,B$6),IF(AND(COUNT(A356:A367)=5,COUNT(F356:F367)=5),cubic_spline(F355:F360,A355:A360,B$6),IF(AND(COUNT(A356:A367)=6,COUNT(F356:F367)=6),cubic_spline(F355:F361,A355:A361,B$6),IF(AND(COUNT(A356:A367)=7,COUNT(F356:F367)=7),cubic_spline(F355:F362,A355:A362,B$6),IF(AND(COUNT(A356:A367)=8,COUNT(F356:F367)=8),cubic_spline(F355:F363,A355:A363,B$6),IF(AND(COUNT(A356:A367)=9,COUNT(F356:F367)=9),cubic_spline(F355:F364,A355:A364,B$6),IF(AND(COUNT(A356:A367)=10,COUNT(F356:F367)=10),cubic_spline(F355:F365,A355:A365,B$6),IF(AND(COUNT(A356:A367)=11,COUNT(F356:F367)=11),cubic_spline(F355:F366,A355:A366,B$6),IF(AND(COUNT(A356:A367)=12,COUNT(F356:F367)=12),cubic_spline(F355:F367,A355:A367,B$6),""))))))))))))</f>
        <v/>
      </c>
      <c r="L360" s="27" t="str">
        <f>IF(I360="","",B$5&amp;"-"&amp;B$6)</f>
        <v/>
      </c>
      <c r="M360" s="52" t="str">
        <f>IF(N(J360)=0,"",J360-J359)</f>
        <v/>
      </c>
    </row>
    <row r="361" spans="1:13" x14ac:dyDescent="0.35">
      <c r="A361" s="48"/>
      <c r="B361" s="48"/>
      <c r="C361" s="50"/>
      <c r="D361" s="50"/>
      <c r="E361" s="51" t="str">
        <f t="shared" si="133"/>
        <v/>
      </c>
      <c r="F361" s="71" t="str">
        <f t="shared" si="131"/>
        <v/>
      </c>
      <c r="G361" s="69" t="str">
        <f t="shared" si="134"/>
        <v/>
      </c>
      <c r="H361" s="70" t="str">
        <f t="shared" si="132"/>
        <v/>
      </c>
      <c r="I361" s="27" t="str">
        <f>IF(N(J361)=0,"",0&amp;"-"&amp;B$7)</f>
        <v/>
      </c>
      <c r="J361" s="52" t="str">
        <f>IF(N(B$7)=0,"",IF(AND(COUNT(H356:H367)=2,COUNT(F356:F367)=2),cubic_spline(F355:F357,H355:H357,B$7),IF(AND(COUNT(H356:H367)=3,COUNT(F356:F367)=3),cubic_spline(F355:F358,H355:H358,B$7),IF(AND(COUNT(H356:H367)=4,COUNT(F356:F367)=4),cubic_spline(F355:F359,H355:H359,B$7),IF(AND(COUNT(H356:H367)=5,COUNT(F356:F367)=5),cubic_spline(F355:F360,H355:H360,B$7),IF(AND(COUNT(H356:H367)=6,COUNT(F356:F367)=6),cubic_spline(F355:F361,H355:H361,B$7),IF(AND(COUNT(H356:H367)=7,COUNT(F356:F367)=7),cubic_spline(F355:F362,H355:H362,B$7),IF(AND(COUNT(H356:H367)=8,COUNT(F356:F367)=8),cubic_spline(F355:F363,H355:H363,B$7),IF(AND(COUNT(H356:H367)=9,COUNT(F356:F367)=9),cubic_spline(F355:F364,H355:H364,B$7),IF(AND(COUNT(H356:H367)=10,COUNT(F356:F367)=10),cubic_spline(F355:F365,H355:H365,B$7),IF(AND(COUNT(H356:H367)=11,COUNT(F356:F367)=11),cubic_spline(F355:F366,H355:H366,B$7),IF(AND(COUNT(H356:H367)=12,COUNT(F356:F367)=12),cubic_spline(F355:F367,H355:H367,B$7),""))))))))))))</f>
        <v/>
      </c>
      <c r="K361" s="52" t="str">
        <f>IF(N(B$7)=0,"",IF(AND(COUNT(A356:A367)=2,COUNT(F356:F367)=2),cubic_spline(F355:F357,A355:A357,B$7),IF(AND(COUNT(A356:A367)=3,COUNT(F356:F367)=3),cubic_spline(F355:F358,A355:A358,B$7),IF(AND(COUNT(A356:A367)=4,COUNT(F356:F367)=4),cubic_spline(F355:F359,A355:A359,B$7),IF(AND(COUNT(A356:A367)=5,COUNT(F356:F367)=5),cubic_spline(F355:F360,A355:A360,B$7),IF(AND(COUNT(A356:A367)=6,COUNT(F356:F367)=6),cubic_spline(F355:F361,A355:A361,B$7),IF(AND(COUNT(A356:A367)=7,COUNT(F356:F367)=7),cubic_spline(F355:F362,A355:A362,B$7),IF(AND(COUNT(A356:A367)=8,COUNT(F356:F367)=8),cubic_spline(F355:F363,A355:A363,B$7),IF(AND(COUNT(A356:A367)=9,COUNT(F356:F367)=9),cubic_spline(F355:F364,A355:A364,B$7),IF(AND(COUNT(A356:A367)=10,COUNT(F356:F367)=10),cubic_spline(F355:F365,A355:A365,B$7),IF(AND(COUNT(A356:A367)=11,COUNT(F356:F367)=11),cubic_spline(F355:F366,A355:A366,B$7),IF(AND(COUNT(A356:A367)=12,COUNT(F356:F367)=12),cubic_spline(F355:F367,A355:A367,B$7),""))))))))))))</f>
        <v/>
      </c>
      <c r="L361" s="27" t="str">
        <f>IF(I361="","",B$6&amp;"-"&amp;B$7)</f>
        <v/>
      </c>
      <c r="M361" s="52" t="str">
        <f t="shared" ref="M361:M367" si="135">IF(N(J361)=0,"",J361-J360)</f>
        <v/>
      </c>
    </row>
    <row r="362" spans="1:13" x14ac:dyDescent="0.35">
      <c r="A362" s="48"/>
      <c r="B362" s="48"/>
      <c r="C362" s="50"/>
      <c r="D362" s="50"/>
      <c r="E362" s="51" t="str">
        <f t="shared" si="133"/>
        <v/>
      </c>
      <c r="F362" s="71" t="str">
        <f t="shared" si="131"/>
        <v/>
      </c>
      <c r="G362" s="69" t="str">
        <f t="shared" si="134"/>
        <v/>
      </c>
      <c r="H362" s="70" t="str">
        <f t="shared" si="132"/>
        <v/>
      </c>
      <c r="I362" s="27" t="str">
        <f>IF(N(J362)=0,"",0&amp;"-"&amp;B$8)</f>
        <v/>
      </c>
      <c r="J362" s="52" t="str">
        <f>IF(N(B$8)=0,"",IF(AND(COUNT(H356:H367)=2,COUNT(F356:F367)=2),cubic_spline(F355:F357,H355:H357,B$8),IF(AND(COUNT(H356:H367)=3,COUNT(F356:F367)=3),cubic_spline(F355:F358,H355:H358,B$8),IF(AND(COUNT(H356:H367)=4,COUNT(F356:F367)=4),cubic_spline(F355:F359,H355:H359,B$8),IF(AND(COUNT(H356:H367)=5,COUNT(F356:F367)=5),cubic_spline(F355:F360,H355:H360,B$8),IF(AND(COUNT(H356:H367)=6,COUNT(F356:F367)=6),cubic_spline(F355:F361,H355:H361,B$8),IF(AND(COUNT(H356:H367)=7,COUNT(F356:F367)=7),cubic_spline(F355:F362,H355:H362,B$8),IF(AND(COUNT(H356:H367)=8,COUNT(F356:F367)=8),cubic_spline(F355:F363,H355:H363,B$8),IF(AND(COUNT(H356:H367)=9,COUNT(F356:F367)=9),cubic_spline(F355:F364,H355:H364,B$8),IF(AND(COUNT(H356:H367)=10,COUNT(F356:F367)=10),cubic_spline(F355:F365,H355:H365,B$8),IF(AND(COUNT(H356:H367)=11,COUNT(F356:F367)=11),cubic_spline(F355:F366,H355:H366,B$8),IF(AND(COUNT(H356:H367)=12,COUNT(F356:F367)=12),cubic_spline(F355:F367,H355:H367,B$8),""))))))))))))</f>
        <v/>
      </c>
      <c r="K362" s="52" t="str">
        <f>IF(N(B$8)=0,"",IF(AND(COUNT(A356:A367)=2,COUNT(F356:F367)=2),cubic_spline(F355:F357,A355:A357,B$8),IF(AND(COUNT(A356:A367)=3,COUNT(F356:F367)=3),cubic_spline(F355:F358,A355:A358,B$8),IF(AND(COUNT(A356:A367)=4,COUNT(F356:F367)=4),cubic_spline(F355:F359,A355:A359,B$8),IF(AND(COUNT(A356:A367)=5,COUNT(F356:F367)=5),cubic_spline(F355:F360,A355:A360,B$8),IF(AND(COUNT(A356:A367)=6,COUNT(F356:F367)=6),cubic_spline(F355:F361,A355:A361,B$8),IF(AND(COUNT(A356:A367)=7,COUNT(F356:F367)=7),cubic_spline(F355:F362,A355:A362,B$8),IF(AND(COUNT(A356:A367)=8,COUNT(F356:F367)=8),cubic_spline(F355:F363,A355:A363,B$8),IF(AND(COUNT(A356:A367)=9,COUNT(F356:F367)=9),cubic_spline(F355:F364,A355:A364,B$8),IF(AND(COUNT(A356:A367)=10,COUNT(F356:F367)=10),cubic_spline(F355:F365,A355:A365,B$8),IF(AND(COUNT(A356:A367)=11,COUNT(F356:F367)=11),cubic_spline(F355:F366,A355:A366,B$8),IF(AND(COUNT(A356:A367)=12,COUNT(F356:F367)=12),cubic_spline(F355:F367,A355:A367,B$8),""))))))))))))</f>
        <v/>
      </c>
      <c r="L362" s="27" t="str">
        <f>IF(I362="","",B$7&amp;"-"&amp;B$8)</f>
        <v/>
      </c>
      <c r="M362" s="52" t="str">
        <f t="shared" si="135"/>
        <v/>
      </c>
    </row>
    <row r="363" spans="1:13" x14ac:dyDescent="0.35">
      <c r="A363" s="48"/>
      <c r="B363" s="48"/>
      <c r="C363" s="50"/>
      <c r="D363" s="50"/>
      <c r="E363" s="51" t="str">
        <f t="shared" si="133"/>
        <v/>
      </c>
      <c r="F363" s="71" t="str">
        <f t="shared" si="131"/>
        <v/>
      </c>
      <c r="G363" s="69" t="str">
        <f t="shared" si="134"/>
        <v/>
      </c>
      <c r="H363" s="70" t="str">
        <f t="shared" si="132"/>
        <v/>
      </c>
      <c r="I363" s="27" t="str">
        <f>IF(N(J363)=0,"",0&amp;"-"&amp;B$9)</f>
        <v/>
      </c>
      <c r="J363" s="52" t="str">
        <f>IF(N(B$9)=0,"",IF(AND(COUNT(H356:H367)=2,COUNT(F356:F367)=2),cubic_spline(F355:F357,H355:H357,B$9),IF(AND(COUNT(H356:H367)=3,COUNT(F356:F367)=3),cubic_spline(F355:F358,H355:H358,B$9),IF(AND(COUNT(H356:H367)=4,COUNT(F356:F367)=4),cubic_spline(F355:F359,H355:H359,B$9),IF(AND(COUNT(H356:H367)=5,COUNT(F356:F367)=5),cubic_spline(F355:F360,H355:H360,B$9),IF(AND(COUNT(H356:H367)=6,COUNT(F356:F367)=6),cubic_spline(F355:F361,H355:H361,B$9),IF(AND(COUNT(H356:H367)=7,COUNT(F356:F367)=7),cubic_spline(F355:F362,H355:H362,B$9),IF(AND(COUNT(H356:H367)=8,COUNT(F356:F367)=8),cubic_spline(F355:F363,H355:H363,B$9),IF(AND(COUNT(H356:H367)=9,COUNT(F356:F367)=9),cubic_spline(F355:F364,H355:H364,B$9),IF(AND(COUNT(H356:H367)=10,COUNT(F356:F367)=10),cubic_spline(F355:F365,H355:H365,B$9),IF(AND(COUNT(H356:H367)=11,COUNT(F356:F367)=11),cubic_spline(F355:F366,H355:H366,B$9),IF(AND(COUNT(H356:H367)=12,COUNT(F356:F367)=12),cubic_spline(F355:F367,H355:H367,B$9),""))))))))))))</f>
        <v/>
      </c>
      <c r="K363" s="52" t="str">
        <f>IF(N(B$9)=0,"",IF(AND(COUNT(A356:A367)=2,COUNT(F356:F367)=2),cubic_spline(F355:F357,A355:A357,B$9),IF(AND(COUNT(A356:A367)=3,COUNT(F356:F367)=3),cubic_spline(F355:F358,A355:A358,B$9),IF(AND(COUNT(A356:A367)=4,COUNT(F356:F367)=4),cubic_spline(F355:F359,A355:A359,B$9),IF(AND(COUNT(A356:A367)=5,COUNT(F356:F367)=5),cubic_spline(F355:F360,A355:A360,B$9),IF(AND(COUNT(A356:A367)=6,COUNT(F356:F367)=6),cubic_spline(F355:F361,A355:A361,B$9),IF(AND(COUNT(A356:A367)=7,COUNT(F356:F367)=7),cubic_spline(F355:F362,A355:A362,B$9),IF(AND(COUNT(A356:A367)=8,COUNT(F356:F367)=8),cubic_spline(F355:F363,A355:A363,B$9),IF(AND(COUNT(A356:A367)=9,COUNT(F356:F367)=9),cubic_spline(F355:F364,A355:A364,B$9),IF(AND(COUNT(A356:A367)=10,COUNT(F356:F367)=10),cubic_spline(F355:F365,A355:A365,B$9),IF(AND(COUNT(A356:A367)=11,COUNT(F356:F367)=11),cubic_spline(F355:F366,A355:A366,B$9),IF(AND(COUNT(A356:A367)=12,COUNT(F356:F367)=12),cubic_spline(F355:F367,A355:A367,B$9),""))))))))))))</f>
        <v/>
      </c>
      <c r="L363" s="27" t="str">
        <f>IF(I363="","",B$8&amp;"-"&amp;B$9)</f>
        <v/>
      </c>
      <c r="M363" s="52" t="str">
        <f t="shared" si="135"/>
        <v/>
      </c>
    </row>
    <row r="364" spans="1:13" x14ac:dyDescent="0.35">
      <c r="A364" s="48"/>
      <c r="B364" s="48"/>
      <c r="C364" s="50"/>
      <c r="D364" s="50"/>
      <c r="E364" s="51" t="str">
        <f t="shared" si="133"/>
        <v/>
      </c>
      <c r="F364" s="71" t="str">
        <f t="shared" si="131"/>
        <v/>
      </c>
      <c r="G364" s="69" t="str">
        <f t="shared" si="134"/>
        <v/>
      </c>
      <c r="H364" s="70" t="str">
        <f t="shared" si="132"/>
        <v/>
      </c>
      <c r="I364" s="27" t="str">
        <f>IF(N(J364)=0,"",0&amp;"-"&amp;B$10)</f>
        <v/>
      </c>
      <c r="J364" s="52" t="str">
        <f>IF(N(B$10)=0,"",IF(AND(COUNT(H356:H367)=2,COUNT(F356:F367)=2),cubic_spline(F355:F357,H355:H357,B$10),IF(AND(COUNT(H356:H367)=3,COUNT(F356:F367)=3),cubic_spline(F355:F358,H355:H358,B$10),IF(AND(COUNT(H356:H367)=4,COUNT(F356:F367)=4),cubic_spline(F355:F359,H355:H359,B$10),IF(AND(COUNT(H356:H367)=5,COUNT(F356:F367)=5),cubic_spline(F355:F360,H355:H360,B$10),IF(AND(COUNT(H356:H367)=6,COUNT(F356:F367)=6),cubic_spline(F355:F361,H355:H361,B$10),IF(AND(COUNT(H356:H367)=7,COUNT(F356:F367)=7),cubic_spline(F355:F362,H355:H362,B$10),IF(AND(COUNT(H356:H367)=8,COUNT(F356:F367)=8),cubic_spline(F355:F363,H355:H363,B$10),IF(AND(COUNT(H356:H367)=9,COUNT(F356:F367)=9),cubic_spline(F355:F364,H355:H364,B$10),IF(AND(COUNT(H356:H367)=10,COUNT(F356:F367)=10),cubic_spline(F355:F365,H355:H365,B$10),IF(AND(COUNT(H356:H367)=11,COUNT(F356:F367)=11),cubic_spline(F355:F366,H355:H366,B$10),IF(AND(COUNT(H356:H367)=12,COUNT(F356:F367)=12),cubic_spline(F355:F367,H355:H367,B$10),""))))))))))))</f>
        <v/>
      </c>
      <c r="K364" s="52" t="str">
        <f>IF(N(B$10)=0,"",IF(AND(COUNT(A356:A367)=2,COUNT(F356:F367)=2),cubic_spline(F355:F357,A355:A357,B$10),IF(AND(COUNT(A356:A367)=3,COUNT(F356:F367)=3),cubic_spline(F355:F358,A355:A358,B$10),IF(AND(COUNT(A356:A367)=4,COUNT(F356:F367)=4),cubic_spline(F355:F359,A355:A359,B$10),IF(AND(COUNT(A356:A367)=5,COUNT(F356:F367)=5),cubic_spline(F355:F360,A355:A360,B$10),IF(AND(COUNT(A356:A367)=6,COUNT(F356:F367)=6),cubic_spline(F355:F361,A355:A361,B$10),IF(AND(COUNT(A356:A367)=7,COUNT(F356:F367)=7),cubic_spline(F355:F362,A355:A362,B$10),IF(AND(COUNT(A356:A367)=8,COUNT(F356:F367)=8),cubic_spline(F355:F363,A355:A363,B$10),IF(AND(COUNT(A356:A367)=9,COUNT(F356:F367)=9),cubic_spline(F355:F364,A355:A364,B$10),IF(AND(COUNT(A356:A367)=10,COUNT(F356:F367)=10),cubic_spline(F355:F365,A355:A365,B$10),IF(AND(COUNT(A356:A367)=11,COUNT(F356:F367)=11),cubic_spline(F355:F366,A355:A366,B$10),IF(AND(COUNT(A356:A367)=12,COUNT(F356:F367)=12),cubic_spline(F355:F367,A355:A367,B$10),""))))))))))))</f>
        <v/>
      </c>
      <c r="L364" s="27" t="str">
        <f>IF(I364="","",B$9&amp;"-"&amp;B$10)</f>
        <v/>
      </c>
      <c r="M364" s="52" t="str">
        <f t="shared" si="135"/>
        <v/>
      </c>
    </row>
    <row r="365" spans="1:13" x14ac:dyDescent="0.35">
      <c r="A365" s="48"/>
      <c r="B365" s="48"/>
      <c r="C365" s="50"/>
      <c r="D365" s="50"/>
      <c r="E365" s="51" t="str">
        <f t="shared" si="133"/>
        <v/>
      </c>
      <c r="F365" s="71" t="str">
        <f t="shared" si="131"/>
        <v/>
      </c>
      <c r="G365" s="69" t="str">
        <f t="shared" si="134"/>
        <v/>
      </c>
      <c r="H365" s="70" t="str">
        <f t="shared" si="132"/>
        <v/>
      </c>
      <c r="I365" s="27" t="str">
        <f>IF(N(J365)=0,"",0&amp;"-"&amp;B$11)</f>
        <v/>
      </c>
      <c r="J365" s="52" t="str">
        <f>IF(N(B$11)=0,"",IF(AND(COUNT(H356:H367)=2,COUNT(F356:F367)=2),cubic_spline(F355:F357,H355:H357,B$11),IF(AND(COUNT(H356:H367)=3,COUNT(F356:F367)=3),cubic_spline(F355:F358,H355:H358,B$11),IF(AND(COUNT(H356:H367)=4,COUNT(F356:F367)=4),cubic_spline(F355:F359,H355:H359,B$11),IF(AND(COUNT(H356:H367)=5,COUNT(F356:F367)=5),cubic_spline(F355:F360,H355:H360,B$11),IF(AND(COUNT(H356:H367)=6,COUNT(F356:F367)=6),cubic_spline(F355:F361,H355:H361,B$11),IF(AND(COUNT(H356:H367)=7,COUNT(F356:F367)=7),cubic_spline(F355:F362,H355:H362,B$11),IF(AND(COUNT(H356:H367)=8,COUNT(F356:F367)=8),cubic_spline(F355:F363,H355:H363,B$11),IF(AND(COUNT(H356:H367)=9,COUNT(F356:F367)=9),cubic_spline(F355:F364,H355:H364,B$11),IF(AND(COUNT(H356:H367)=10,COUNT(F356:F367)=10),cubic_spline(F355:F365,H355:H365,B$11),IF(AND(COUNT(H356:H367)=11,COUNT(F356:F367)=11),cubic_spline(F355:F366,H355:H366,B$11),IF(AND(COUNT(H356:H367)=12,COUNT(F356:F367)=12),cubic_spline(F355:F367,H355:H367,B$11),""))))))))))))</f>
        <v/>
      </c>
      <c r="K365" s="52" t="str">
        <f>IF(N(B$11)=0,"",IF(AND(COUNT(A356:A367)=2,COUNT(F356:F367)=2),cubic_spline(F355:F357,A355:A357,B$11),IF(AND(COUNT(A356:A367)=3,COUNT(F356:F367)=3),cubic_spline(F355:F358,A355:A358,B$11),IF(AND(COUNT(A356:A367)=4,COUNT(F356:F367)=4),cubic_spline(F355:F359,A355:A359,B$11),IF(AND(COUNT(A356:A367)=5,COUNT(F356:F367)=5),cubic_spline(F355:F360,A355:A360,B$11),IF(AND(COUNT(A356:A367)=6,COUNT(F356:F367)=6),cubic_spline(F355:F361,A355:A361,B$11),IF(AND(COUNT(A356:A367)=7,COUNT(F356:F367)=7),cubic_spline(F355:F362,A355:A362,B$11),IF(AND(COUNT(A356:A367)=8,COUNT(F356:F367)=8),cubic_spline(F355:F363,A355:A363,B$11),IF(AND(COUNT(A356:A367)=9,COUNT(F356:F367)=9),cubic_spline(F355:F364,A355:A364,B$11),IF(AND(COUNT(A356:A367)=10,COUNT(F356:F367)=10),cubic_spline(F355:F365,A355:A365,B$11),IF(AND(COUNT(A356:A367)=11,COUNT(F356:F367)=11),cubic_spline(F355:F366,A355:A366,B$11),IF(AND(COUNT(A356:A367)=12,COUNT(F356:F367)=12),cubic_spline(F355:F367,A355:A367,B$11),""))))))))))))</f>
        <v/>
      </c>
      <c r="L365" s="27" t="str">
        <f>IF(I365="","",B$10&amp;"-"&amp;B$11)</f>
        <v/>
      </c>
      <c r="M365" s="52" t="str">
        <f t="shared" si="135"/>
        <v/>
      </c>
    </row>
    <row r="366" spans="1:13" x14ac:dyDescent="0.35">
      <c r="A366" s="48"/>
      <c r="B366" s="48"/>
      <c r="C366" s="50"/>
      <c r="D366" s="50"/>
      <c r="E366" s="51" t="str">
        <f t="shared" si="133"/>
        <v/>
      </c>
      <c r="F366" s="71" t="str">
        <f t="shared" si="131"/>
        <v/>
      </c>
      <c r="G366" s="69" t="str">
        <f t="shared" si="134"/>
        <v/>
      </c>
      <c r="H366" s="70" t="str">
        <f t="shared" si="132"/>
        <v/>
      </c>
      <c r="I366" s="27" t="str">
        <f>IF(N(J366)=0,"",0&amp;"-"&amp;B$12)</f>
        <v/>
      </c>
      <c r="J366" s="52" t="str">
        <f>IF(N(B$12)=0,"",IF(AND(COUNT(H356:H367)=2,COUNT(F356:F367)=2),cubic_spline(F355:F357,H355:H357,B$12),IF(AND(COUNT(H356:H367)=3,COUNT(F356:F367)=3),cubic_spline(F355:F358,H355:H358,B$12),IF(AND(COUNT(H356:H367)=4,COUNT(F356:F367)=4),cubic_spline(F355:F359,H355:H359,B$12),IF(AND(COUNT(H356:H367)=5,COUNT(F356:F367)=5),cubic_spline(F355:F360,H355:H360,B$12),IF(AND(COUNT(H356:H367)=6,COUNT(F356:F367)=6),cubic_spline(F355:F361,H355:H361,B$12),IF(AND(COUNT(H356:H367)=7,COUNT(F356:F367)=7),cubic_spline(F355:F362,H355:H362,B$12),IF(AND(COUNT(H356:H367)=8,COUNT(F356:F367)=8),cubic_spline(F355:F363,H355:H363,B$12),IF(AND(COUNT(H356:H367)=9,COUNT(F356:F367)=9),cubic_spline(F355:F364,H355:H364,B$12),IF(AND(COUNT(H356:H367)=10,COUNT(F356:F367)=10),cubic_spline(F355:F365,H355:H365,B$12),IF(AND(COUNT(H356:H367)=11,COUNT(F356:F367)=11),cubic_spline(F355:F366,H355:H366,B$12),IF(AND(COUNT(H356:H367)=12,COUNT(F356:F367)=12),cubic_spline(F355:F367,H355:H367,B$12),""))))))))))))</f>
        <v/>
      </c>
      <c r="K366" s="52" t="str">
        <f>IF(N(B$12)=0,"",IF(AND(COUNT(A356:A367)=2,COUNT(F356:F367)=2),cubic_spline(F355:F357,A355:A357,B$12),IF(AND(COUNT(A356:A367)=3,COUNT(F356:F367)=3),cubic_spline(F355:F358,A355:A358,B$12),IF(AND(COUNT(A356:A367)=4,COUNT(F356:F367)=4),cubic_spline(F355:F359,A355:A359,B$12),IF(AND(COUNT(A356:A367)=5,COUNT(F356:F367)=5),cubic_spline(F355:F360,A355:A360,B$12),IF(AND(COUNT(A356:A367)=6,COUNT(F356:F367)=6),cubic_spline(F355:F361,A355:A361,B$12),IF(AND(COUNT(A356:A367)=7,COUNT(F356:F367)=7),cubic_spline(F355:F362,A355:A362,B$12),IF(AND(COUNT(A356:A367)=8,COUNT(F356:F367)=8),cubic_spline(F355:F363,A355:A363,B$12),IF(AND(COUNT(A356:A367)=9,COUNT(F356:F367)=9),cubic_spline(F355:F364,A355:A364,B$12),IF(AND(COUNT(A356:A367)=10,COUNT(F356:F367)=10),cubic_spline(F355:F365,A355:A365,B$12),IF(AND(COUNT(A356:A367)=11,COUNT(F356:F367)=11),cubic_spline(F355:F366,A355:A366,B$12),IF(AND(COUNT(A356:A367)=12,COUNT(F356:F367)=12),cubic_spline(F355:F367,A355:A367,B$12),""))))))))))))</f>
        <v/>
      </c>
      <c r="L366" s="27" t="str">
        <f>IF(I366="","",B$11&amp;"-"&amp;B$12)</f>
        <v/>
      </c>
      <c r="M366" s="52" t="str">
        <f t="shared" si="135"/>
        <v/>
      </c>
    </row>
    <row r="367" spans="1:13" x14ac:dyDescent="0.35">
      <c r="A367" s="48"/>
      <c r="B367" s="48"/>
      <c r="C367" s="50"/>
      <c r="D367" s="50"/>
      <c r="E367" s="51" t="str">
        <f t="shared" si="133"/>
        <v/>
      </c>
      <c r="F367" s="71" t="str">
        <f t="shared" si="131"/>
        <v/>
      </c>
      <c r="G367" s="69" t="str">
        <f t="shared" si="134"/>
        <v/>
      </c>
      <c r="H367" s="70" t="str">
        <f t="shared" si="132"/>
        <v/>
      </c>
      <c r="I367" s="27" t="str">
        <f>IF(N(J367)=0,"",0&amp;"-"&amp;B$13)</f>
        <v/>
      </c>
      <c r="J367" s="52" t="str">
        <f>IF(N(B$13)=0,"",IF(AND(COUNT(H356:H367)=2,COUNT(F356:F367)=2),cubic_spline(F355:F357,H355:H357,B$13),IF(AND(COUNT(H356:H367)=3,COUNT(F356:F367)=3),cubic_spline(F355:F358,H355:H358,B$13),IF(AND(COUNT(H356:H367)=4,COUNT(F356:F367)=4),cubic_spline(F355:F359,H355:H359,B$13),IF(AND(COUNT(H356:H367)=5,COUNT(F356:F367)=5),cubic_spline(F355:F360,H355:H360,B$13),IF(AND(COUNT(H356:H367)=6,COUNT(F356:F367)=6),cubic_spline(F355:F361,H355:H361,B$13),IF(AND(COUNT(H356:H367)=7,COUNT(F356:F367)=7),cubic_spline(F355:F362,H355:H362,B$13),IF(AND(COUNT(H356:H367)=8,COUNT(F356:F367)=8),cubic_spline(F355:F363,H355:H363,B$13),IF(AND(COUNT(H356:H367)=9,COUNT(F356:F367)=9),cubic_spline(F355:F364,H355:H364,B$13),IF(AND(COUNT(H356:H367)=10,COUNT(F356:F367)=10),cubic_spline(F355:F365,H355:H365,B$13),IF(AND(COUNT(H356:H367)=11,COUNT(F356:F367)=11),cubic_spline(F355:F366,H355:H366,B$13),IF(AND(COUNT(H356:H367)=12,COUNT(F356:F367)=12),cubic_spline(F355:F367,H355:H367,B$13),""))))))))))))</f>
        <v/>
      </c>
      <c r="K367" s="52" t="str">
        <f>IF(N(B$13)=0,"",IF(AND(COUNT(A356:A367)=2,COUNT(F356:F367)=2),cubic_spline(F355:F357,A355:A357,B$13),IF(AND(COUNT(A356:A367)=3,COUNT(F356:F367)=3),cubic_spline(F355:F358,A355:A358,B$13),IF(AND(COUNT(A356:A367)=4,COUNT(F356:F367)=4),cubic_spline(F355:F359,A355:A359,B$13),IF(AND(COUNT(A356:A367)=5,COUNT(F356:F367)=5),cubic_spline(F355:F360,A355:A360,B$13),IF(AND(COUNT(A356:A367)=6,COUNT(F356:F367)=6),cubic_spline(F355:F361,A355:A361,B$13),IF(AND(COUNT(A356:A367)=7,COUNT(F356:F367)=7),cubic_spline(F355:F362,A355:A362,B$13),IF(AND(COUNT(A356:A367)=8,COUNT(F356:F367)=8),cubic_spline(F355:F363,A355:A363,B$13),IF(AND(COUNT(A356:A367)=9,COUNT(F356:F367)=9),cubic_spline(F355:F364,A355:A364,B$13),IF(AND(COUNT(A356:A367)=10,COUNT(F356:F367)=10),cubic_spline(F355:F365,A355:A365,B$13),IF(AND(COUNT(A356:A367)=11,COUNT(F356:F367)=11),cubic_spline(F355:F366,A355:A366,B$13),IF(AND(COUNT(A356:A367)=12,COUNT(F356:F367)=12),cubic_spline(F355:F367,A355:A367,B$13),""))))))))))))</f>
        <v/>
      </c>
      <c r="L367" s="27" t="str">
        <f>IF(I367="","",B$12&amp;"-"&amp;B$13)</f>
        <v/>
      </c>
      <c r="M367" s="52" t="str">
        <f t="shared" si="135"/>
        <v/>
      </c>
    </row>
    <row r="368" spans="1:13" ht="5.15" customHeight="1" x14ac:dyDescent="0.35">
      <c r="A368" s="47"/>
      <c r="B368" s="47"/>
      <c r="C368" s="53"/>
      <c r="D368" s="53"/>
      <c r="E368" s="54"/>
      <c r="F368" s="55"/>
      <c r="G368" s="72"/>
      <c r="H368" s="73"/>
      <c r="I368" s="47"/>
      <c r="J368" s="57"/>
      <c r="K368" s="57"/>
      <c r="L368" s="55"/>
      <c r="M368" s="57"/>
    </row>
    <row r="369" spans="1:13" x14ac:dyDescent="0.35">
      <c r="A369" s="48"/>
      <c r="B369" s="48"/>
      <c r="C369" s="50"/>
      <c r="D369" s="50"/>
      <c r="E369" s="51" t="str">
        <f>IF(N(C369)=0,"",(A369-A368)*C369*100)</f>
        <v/>
      </c>
      <c r="F369" s="68" t="str">
        <f t="shared" ref="F369:F380" si="136">IF(N(E369)=0,"",(N(E369)+N(F368)))</f>
        <v/>
      </c>
      <c r="G369" s="69" t="str">
        <f>IF(OR(N(D369)=0,N(E369)=0),"",(E369*D369)/1000)</f>
        <v/>
      </c>
      <c r="H369" s="70" t="str">
        <f t="shared" ref="H369:H380" si="137">IF(N(G369)=0,"",(N(G369)+N(H368)))</f>
        <v/>
      </c>
      <c r="I369" s="27" t="str">
        <f>IF(N(J369)=0,"",0&amp;"-"&amp;B$2)</f>
        <v/>
      </c>
      <c r="J369" s="52" t="str">
        <f>IF(N(B$2)=0,"",IF(AND(COUNT(H369:H380)=2,COUNT(F369:F380)=2),cubic_spline(F368:F370,H368:H370,B$2),IF(AND(COUNT(H369:H380)=3,COUNT(F369:F380)=3),cubic_spline(F368:F371,H368:H371,B$2),IF(AND(COUNT(H369:H380)=4,COUNT(F369:F380)=4),cubic_spline(F368:F372,H368:H372,B$2),IF(AND(COUNT(H369:H380)=5,COUNT(F369:F380)=5),cubic_spline(F368:F373,H368:H373,B$2),IF(AND(COUNT(H369:H380)=6,COUNT(F369:F380)=6),cubic_spline(F368:F374,H368:H374,B$2),IF(AND(COUNT(H369:H380)=7,COUNT(F369:F380)=7),cubic_spline(F368:F375,H368:H375,B$2),IF(AND(COUNT(H369:H380)=8,COUNT(F369:F380)=8),cubic_spline(F368:F376,H368:H376,B$2),IF(AND(COUNT(H369:H380)=9,COUNT(F369:F380)=9),cubic_spline(F368:F377,H368:H377,B$2),IF(AND(COUNT(H369:H380)=10,COUNT(F369:F380)=10),cubic_spline(F368:F378,H368:H378,B$2),IF(AND(COUNT(H369:H380)=11,COUNT(F369:F380)=11),cubic_spline(F368:F379,H368:H379,B$2),IF(AND(COUNT(H369:H380)=12,COUNT(F369:F380)=12),cubic_spline(F368:F380,H368:H380,B$2),""))))))))))))</f>
        <v/>
      </c>
      <c r="K369" s="52" t="str">
        <f>IF(N(B$2)=0,"",IF(AND(COUNT(A369:A380)=2,COUNT(F369:F380)=2),cubic_spline(F368:F370,A368:A370,B$2),IF(AND(COUNT(A369:A380)=3,COUNT(F369:F380)=3),cubic_spline(F368:F371,A368:A371,B$2),IF(AND(COUNT(A369:A380)=4,COUNT(F369:F380)=4),cubic_spline(F368:F372,A368:A372,B$2),IF(AND(COUNT(A369:A380)=5,COUNT(F369:F380)=5),cubic_spline(F368:F373,A368:A373,B$2),IF(AND(COUNT(A369:A380)=6,COUNT(F369:F380)=6),cubic_spline(F368:F374,A368:A374,B$2),IF(AND(COUNT(A369:A380)=7,COUNT(F369:F380)=7),cubic_spline(F368:F375,A368:A375,B$2),IF(AND(COUNT(A369:A380)=8,COUNT(F369:F380)=8),cubic_spline(F368:F376,A368:A376,B$2),IF(AND(COUNT(A369:A380)=9,COUNT(F369:F380)=9),cubic_spline(F368:F377,A368:A377,B$2),IF(AND(COUNT(A369:A380)=10,COUNT(F369:F380)=10),cubic_spline(F368:F378,A368:A378,B$2),IF(AND(COUNT(A369:A380)=11,COUNT(F369:F380)=11),cubic_spline(F368:F379,A368:A379,B$2),IF(AND(COUNT(A369:A380)=12,COUNT(F369:F380)=12),cubic_spline(F368:F380,A368:A380,B$2),""))))))))))))</f>
        <v/>
      </c>
      <c r="L369" s="27" t="str">
        <f>IF(I369="","",0&amp;"-"&amp;B$2)</f>
        <v/>
      </c>
      <c r="M369" s="52" t="str">
        <f>IF(N(J369)=0,"",J369-J368)</f>
        <v/>
      </c>
    </row>
    <row r="370" spans="1:13" x14ac:dyDescent="0.35">
      <c r="A370" s="48"/>
      <c r="B370" s="48"/>
      <c r="C370" s="50"/>
      <c r="D370" s="50"/>
      <c r="E370" s="51" t="str">
        <f t="shared" ref="E370:E380" si="138">IF(N(C370)=0,"",(A370-A369)*C370*100)</f>
        <v/>
      </c>
      <c r="F370" s="68" t="str">
        <f t="shared" si="136"/>
        <v/>
      </c>
      <c r="G370" s="69" t="str">
        <f t="shared" ref="G370:G380" si="139">IF(OR(N(D370)=0,N(E370)=0),"",(E370*D370)/1000)</f>
        <v/>
      </c>
      <c r="H370" s="70" t="str">
        <f t="shared" si="137"/>
        <v/>
      </c>
      <c r="I370" s="27" t="str">
        <f>IF(N(J370)=0,"",0&amp;"-"&amp;B$3)</f>
        <v/>
      </c>
      <c r="J370" s="52" t="str">
        <f>IF(N(B$3)=0,"",IF(AND(COUNT(H369:H380)=2,COUNT(F369:F380)=2),cubic_spline(F368:F370,H368:H370,B$3),IF(AND(COUNT(H369:H380)=3,COUNT(F369:F380)=3),cubic_spline(F368:F371,H368:H371,B$3),IF(AND(COUNT(H369:H380)=4,COUNT(F369:F380)=4),cubic_spline(F368:F372,H368:H372,B$3),IF(AND(COUNT(H369:H380)=5,COUNT(F369:F380)=5),cubic_spline(F368:F373,H368:H373,B$3),IF(AND(COUNT(H369:H380)=6,COUNT(F369:F380)=6),cubic_spline(F368:F374,H368:H374,B$3),IF(AND(COUNT(H369:H380)=7,COUNT(F369:F380)=7),cubic_spline(F368:F375,H368:H375,B$3),IF(AND(COUNT(H369:H380)=8,COUNT(F369:F380)=8),cubic_spline(F368:F376,H368:H376,B$3),IF(AND(COUNT(H369:H380)=9,COUNT(F369:F380)=9),cubic_spline(F368:F377,H368:H377,B$3),IF(AND(COUNT(H369:H380)=10,COUNT(F369:F380)=10),cubic_spline(F368:F378,H368:H378,B$3),IF(AND(COUNT(H369:H380)=11,COUNT(F369:F380)=11),cubic_spline(F368:F379,H368:H379,B$3),IF(AND(COUNT(H369:H380)=12,COUNT(F369:F380)=12),cubic_spline(F368:F380,H368:H380,B$3),""))))))))))))</f>
        <v/>
      </c>
      <c r="K370" s="52" t="str">
        <f>IF(N(B$3)=0,"",IF(AND(COUNT(A369:A380)=2,COUNT(F369:F380)=2),cubic_spline(F368:F370,A368:A370,B$3),IF(AND(COUNT(A369:A380)=3,COUNT(F369:F380)=3),cubic_spline(F368:F371,A368:A371,B$3),IF(AND(COUNT(A369:A380)=4,COUNT(F369:F380)=4),cubic_spline(F368:F372,A368:A372,B$3),IF(AND(COUNT(A369:A380)=5,COUNT(F369:F380)=5),cubic_spline(F368:F373,A368:A373,B$3),IF(AND(COUNT(A369:A380)=6,COUNT(F369:F380)=6),cubic_spline(F368:F374,A368:A374,B$3),IF(AND(COUNT(A369:A380)=7,COUNT(F369:F380)=7),cubic_spline(F368:F375,A368:A375,B$3),IF(AND(COUNT(A369:A380)=8,COUNT(F369:F380)=8),cubic_spline(F368:F376,A368:A376,B$3),IF(AND(COUNT(A369:A380)=9,COUNT(F369:F380)=9),cubic_spline(F368:F377,A368:A377,B$3),IF(AND(COUNT(A369:A380)=10,COUNT(F369:F380)=10),cubic_spline(F368:F378,A368:A378,B$3),IF(AND(COUNT(A369:A380)=11,COUNT(F369:F380)=11),cubic_spline(F368:F379,A368:A379,B$3),IF(AND(COUNT(A369:A380)=12,COUNT(F369:F380)=12),cubic_spline(F368:F380,A368:A380,B$3),""))))))))))))</f>
        <v/>
      </c>
      <c r="L370" s="27" t="str">
        <f>IF(I370="","",B$2&amp;"-"&amp;B$3)</f>
        <v/>
      </c>
      <c r="M370" s="52" t="str">
        <f>IF(N(J370)=0,"",J370-J369)</f>
        <v/>
      </c>
    </row>
    <row r="371" spans="1:13" x14ac:dyDescent="0.35">
      <c r="A371" s="48"/>
      <c r="B371" s="48"/>
      <c r="C371" s="50"/>
      <c r="D371" s="50"/>
      <c r="E371" s="51" t="str">
        <f t="shared" si="138"/>
        <v/>
      </c>
      <c r="F371" s="68" t="str">
        <f t="shared" si="136"/>
        <v/>
      </c>
      <c r="G371" s="69" t="str">
        <f t="shared" si="139"/>
        <v/>
      </c>
      <c r="H371" s="70" t="str">
        <f t="shared" si="137"/>
        <v/>
      </c>
      <c r="I371" s="27" t="str">
        <f>IF(N(J371)=0,"",0&amp;"-"&amp;B$4)</f>
        <v/>
      </c>
      <c r="J371" s="52" t="str">
        <f>IF(N(B$4)=0,"",IF(AND(COUNT(H369:H380)=2,COUNT(F369:F380)=2),cubic_spline(F368:F370,H368:H370,B$4),IF(AND(COUNT(H369:H380)=3,COUNT(F369:F380)=3),cubic_spline(F368:F371,H368:H371,B$4),IF(AND(COUNT(H369:H380)=4,COUNT(F369:F380)=4),cubic_spline(F368:F372,H368:H372,B$4),IF(AND(COUNT(H369:H380)=5,COUNT(F369:F380)=5),cubic_spline(F368:F373,H368:H373,B$4),IF(AND(COUNT(H369:H380)=6,COUNT(F369:F380)=6),cubic_spline(F368:F374,H368:H374,B$4),IF(AND(COUNT(H369:H380)=7,COUNT(F369:F380)=7),cubic_spline(F368:F375,H368:H375,B$4),IF(AND(COUNT(H369:H380)=8,COUNT(F369:F380)=8),cubic_spline(F368:F376,H368:H376,B$4),IF(AND(COUNT(H369:H380)=9,COUNT(F369:F380)=9),cubic_spline(F368:F377,H368:H377,B$4),IF(AND(COUNT(H369:H380)=10,COUNT(F369:F380)=10),cubic_spline(F368:F378,H368:H378,B$4),IF(AND(COUNT(H369:H380)=11,COUNT(F369:F380)=11),cubic_spline(F368:F379,H368:H379,B$4),IF(AND(COUNT(H369:H380)=12,COUNT(F369:F380)=12),cubic_spline(F368:F380,H368:H380,B$4),""))))))))))))</f>
        <v/>
      </c>
      <c r="K371" s="52" t="str">
        <f>IF(N(B$4)=0,"",IF(AND(COUNT(A369:A380)=2,COUNT(F369:F380)=2),cubic_spline(F368:F370,A368:A370,B$4),IF(AND(COUNT(A369:A380)=3,COUNT(F369:F380)=3),cubic_spline(F368:F371,A368:A371,B$4),IF(AND(COUNT(A369:A380)=4,COUNT(F369:F380)=4),cubic_spline(F368:F372,A368:A372,B$4),IF(AND(COUNT(A369:A380)=5,COUNT(F369:F380)=5),cubic_spline(F368:F373,A368:A373,B$4),IF(AND(COUNT(A369:A380)=6,COUNT(F369:F380)=6),cubic_spline(F368:F374,A368:A374,B$4),IF(AND(COUNT(A369:A380)=7,COUNT(F369:F380)=7),cubic_spline(F368:F375,A368:A375,B$4),IF(AND(COUNT(A369:A380)=8,COUNT(F369:F380)=8),cubic_spline(F368:F376,A368:A376,B$4),IF(AND(COUNT(A369:A380)=9,COUNT(F369:F380)=9),cubic_spline(F368:F377,A368:A377,B$4),IF(AND(COUNT(A369:A380)=10,COUNT(F369:F380)=10),cubic_spline(F368:F378,A368:A378,B$4),IF(AND(COUNT(A369:A380)=11,COUNT(F369:F380)=11),cubic_spline(F368:F379,A368:A379,B$4),IF(AND(COUNT(A369:A380)=12,COUNT(F369:F380)=12),cubic_spline(F368:F380,A368:A380,B$4),""))))))))))))</f>
        <v/>
      </c>
      <c r="L371" s="27" t="str">
        <f>IF(I371="","",B$3&amp;"-"&amp;B$4)</f>
        <v/>
      </c>
      <c r="M371" s="52" t="str">
        <f>IF(N(J371)=0,"",J371-J370)</f>
        <v/>
      </c>
    </row>
    <row r="372" spans="1:13" x14ac:dyDescent="0.35">
      <c r="A372" s="48"/>
      <c r="B372" s="48"/>
      <c r="C372" s="50"/>
      <c r="D372" s="50"/>
      <c r="E372" s="51" t="str">
        <f t="shared" si="138"/>
        <v/>
      </c>
      <c r="F372" s="68" t="str">
        <f t="shared" si="136"/>
        <v/>
      </c>
      <c r="G372" s="69" t="str">
        <f t="shared" si="139"/>
        <v/>
      </c>
      <c r="H372" s="70" t="str">
        <f t="shared" si="137"/>
        <v/>
      </c>
      <c r="I372" s="27" t="str">
        <f>IF(N(J372)=0,"",0&amp;"-"&amp;B$5)</f>
        <v/>
      </c>
      <c r="J372" s="52" t="str">
        <f>IF(N(B$5)=0,"",IF(AND(COUNT(H369:H380)=2,COUNT(F369:F380)=2),cubic_spline(F368:F370,H368:H370,B$5),IF(AND(COUNT(H369:H380)=3,COUNT(F369:F380)=3),cubic_spline(F368:F371,H368:H371,B$5),IF(AND(COUNT(H369:H380)=4,COUNT(F369:F380)=4),cubic_spline(F368:F372,H368:H372,B$5),IF(AND(COUNT(H369:H380)=5,COUNT(F369:F380)=5),cubic_spline(F368:F373,H368:H373,B$5),IF(AND(COUNT(H369:H380)=6,COUNT(F369:F380)=6),cubic_spline(F368:F374,H368:H374,B$5),IF(AND(COUNT(H369:H380)=7,COUNT(F369:F380)=7),cubic_spline(F368:F375,H368:H375,B$5),IF(AND(COUNT(H369:H380)=8,COUNT(F369:F380)=8),cubic_spline(F368:F376,H368:H376,B$5),IF(AND(COUNT(H369:H380)=9,COUNT(F369:F380)=9),cubic_spline(F368:F377,H368:H377,B$5),IF(AND(COUNT(H369:H380)=10,COUNT(F369:F380)=10),cubic_spline(F368:F378,H368:H378,B$5),IF(AND(COUNT(H369:H380)=11,COUNT(F369:F380)=11),cubic_spline(F368:F379,H368:H379,B$5),IF(AND(COUNT(H369:H380)=12,COUNT(F369:F380)=12),cubic_spline(F368:F380,H368:H380,B$5),""))))))))))))</f>
        <v/>
      </c>
      <c r="K372" s="52" t="str">
        <f>IF(N(B$5)=0,"",IF(AND(COUNT(A369:A380)=2,COUNT(F369:F380)=2),cubic_spline(F368:F370,A368:A370,B$5),IF(AND(COUNT(A369:A380)=3,COUNT(F369:F380)=3),cubic_spline(F368:F371,A368:A371,B$5),IF(AND(COUNT(A369:A380)=4,COUNT(F369:F380)=4),cubic_spline(F368:F372,A368:A372,B$5),IF(AND(COUNT(A369:A380)=5,COUNT(F369:F380)=5),cubic_spline(F368:F373,A368:A373,B$5),IF(AND(COUNT(A369:A380)=6,COUNT(F369:F380)=6),cubic_spline(F368:F374,A368:A374,B$5),IF(AND(COUNT(A369:A380)=7,COUNT(F369:F380)=7),cubic_spline(F368:F375,A368:A375,B$5),IF(AND(COUNT(A369:A380)=8,COUNT(F369:F380)=8),cubic_spline(F368:F376,A368:A376,B$5),IF(AND(COUNT(A369:A380)=9,COUNT(F369:F380)=9),cubic_spline(F368:F377,A368:A377,B$5),IF(AND(COUNT(A369:A380)=10,COUNT(F369:F380)=10),cubic_spline(F368:F378,A368:A378,B$5),IF(AND(COUNT(A369:A380)=11,COUNT(F369:F380)=11),cubic_spline(F368:F379,A368:A379,B$5),IF(AND(COUNT(A369:A380)=12,COUNT(F369:F380)=12),cubic_spline(F368:F380,A368:A380,B$5),""))))))))))))</f>
        <v/>
      </c>
      <c r="L372" s="27" t="str">
        <f>IF(I372="","",B$4&amp;"-"&amp;B$5)</f>
        <v/>
      </c>
      <c r="M372" s="52" t="str">
        <f>IF(N(J372)=0,"",J372-J371)</f>
        <v/>
      </c>
    </row>
    <row r="373" spans="1:13" x14ac:dyDescent="0.35">
      <c r="A373" s="48"/>
      <c r="B373" s="48"/>
      <c r="C373" s="50"/>
      <c r="D373" s="50"/>
      <c r="E373" s="51" t="str">
        <f t="shared" si="138"/>
        <v/>
      </c>
      <c r="F373" s="71" t="str">
        <f t="shared" si="136"/>
        <v/>
      </c>
      <c r="G373" s="69" t="str">
        <f t="shared" si="139"/>
        <v/>
      </c>
      <c r="H373" s="70" t="str">
        <f t="shared" si="137"/>
        <v/>
      </c>
      <c r="I373" s="27" t="str">
        <f>IF(N(J373)=0,"",0&amp;"-"&amp;B$6)</f>
        <v/>
      </c>
      <c r="J373" s="52" t="str">
        <f>IF(N(B$6)=0,"",IF(AND(COUNT(H369:H380)=2,COUNT(F369:F380)=2),cubic_spline(F368:F370,H368:H370,B$6),IF(AND(COUNT(H369:H380)=3,COUNT(F369:F380)=3),cubic_spline(F368:F371,H368:H371,B$6),IF(AND(COUNT(H369:H380)=4,COUNT(F369:F380)=4),cubic_spline(F368:F372,H368:H372,B$6),IF(AND(COUNT(H369:H380)=5,COUNT(F369:F380)=5),cubic_spline(F368:F373,H368:H373,B$6),IF(AND(COUNT(H369:H380)=6,COUNT(F369:F380)=6),cubic_spline(F368:F374,H368:H374,B$6),IF(AND(COUNT(H369:H380)=7,COUNT(F369:F380)=7),cubic_spline(F368:F375,H368:H375,B$6),IF(AND(COUNT(H369:H380)=8,COUNT(F369:F380)=8),cubic_spline(F368:F376,H368:H376,B$6),IF(AND(COUNT(H369:H380)=9,COUNT(F369:F380)=9),cubic_spline(F368:F377,H368:H377,B$6),IF(AND(COUNT(H369:H380)=10,COUNT(F369:F380)=10),cubic_spline(F368:F378,H368:H378,B$6),IF(AND(COUNT(H369:H380)=11,COUNT(F369:F380)=11),cubic_spline(F368:F379,H368:H379,B$6),IF(AND(COUNT(H369:H380)=12,COUNT(F369:F380)=12),cubic_spline(F368:F380,H368:H380,B$6),""))))))))))))</f>
        <v/>
      </c>
      <c r="K373" s="52" t="str">
        <f>IF(N(B$6)=0,"",IF(AND(COUNT(A369:A380)=2,COUNT(F369:F380)=2),cubic_spline(F368:F370,A368:A370,B$6),IF(AND(COUNT(A369:A380)=3,COUNT(F369:F380)=3),cubic_spline(F368:F371,A368:A371,B$6),IF(AND(COUNT(A369:A380)=4,COUNT(F369:F380)=4),cubic_spline(F368:F372,A368:A372,B$6),IF(AND(COUNT(A369:A380)=5,COUNT(F369:F380)=5),cubic_spline(F368:F373,A368:A373,B$6),IF(AND(COUNT(A369:A380)=6,COUNT(F369:F380)=6),cubic_spline(F368:F374,A368:A374,B$6),IF(AND(COUNT(A369:A380)=7,COUNT(F369:F380)=7),cubic_spline(F368:F375,A368:A375,B$6),IF(AND(COUNT(A369:A380)=8,COUNT(F369:F380)=8),cubic_spline(F368:F376,A368:A376,B$6),IF(AND(COUNT(A369:A380)=9,COUNT(F369:F380)=9),cubic_spline(F368:F377,A368:A377,B$6),IF(AND(COUNT(A369:A380)=10,COUNT(F369:F380)=10),cubic_spline(F368:F378,A368:A378,B$6),IF(AND(COUNT(A369:A380)=11,COUNT(F369:F380)=11),cubic_spline(F368:F379,A368:A379,B$6),IF(AND(COUNT(A369:A380)=12,COUNT(F369:F380)=12),cubic_spline(F368:F380,A368:A380,B$6),""))))))))))))</f>
        <v/>
      </c>
      <c r="L373" s="27" t="str">
        <f>IF(I373="","",B$5&amp;"-"&amp;B$6)</f>
        <v/>
      </c>
      <c r="M373" s="52" t="str">
        <f>IF(N(J373)=0,"",J373-J372)</f>
        <v/>
      </c>
    </row>
    <row r="374" spans="1:13" x14ac:dyDescent="0.35">
      <c r="A374" s="48"/>
      <c r="B374" s="48"/>
      <c r="C374" s="50"/>
      <c r="D374" s="50"/>
      <c r="E374" s="51" t="str">
        <f t="shared" si="138"/>
        <v/>
      </c>
      <c r="F374" s="71" t="str">
        <f t="shared" si="136"/>
        <v/>
      </c>
      <c r="G374" s="69" t="str">
        <f t="shared" si="139"/>
        <v/>
      </c>
      <c r="H374" s="70" t="str">
        <f t="shared" si="137"/>
        <v/>
      </c>
      <c r="I374" s="27" t="str">
        <f>IF(N(J374)=0,"",0&amp;"-"&amp;B$7)</f>
        <v/>
      </c>
      <c r="J374" s="52" t="str">
        <f>IF(N(B$7)=0,"",IF(AND(COUNT(H369:H380)=2,COUNT(F369:F380)=2),cubic_spline(F368:F370,H368:H370,B$7),IF(AND(COUNT(H369:H380)=3,COUNT(F369:F380)=3),cubic_spline(F368:F371,H368:H371,B$7),IF(AND(COUNT(H369:H380)=4,COUNT(F369:F380)=4),cubic_spline(F368:F372,H368:H372,B$7),IF(AND(COUNT(H369:H380)=5,COUNT(F369:F380)=5),cubic_spline(F368:F373,H368:H373,B$7),IF(AND(COUNT(H369:H380)=6,COUNT(F369:F380)=6),cubic_spline(F368:F374,H368:H374,B$7),IF(AND(COUNT(H369:H380)=7,COUNT(F369:F380)=7),cubic_spline(F368:F375,H368:H375,B$7),IF(AND(COUNT(H369:H380)=8,COUNT(F369:F380)=8),cubic_spline(F368:F376,H368:H376,B$7),IF(AND(COUNT(H369:H380)=9,COUNT(F369:F380)=9),cubic_spline(F368:F377,H368:H377,B$7),IF(AND(COUNT(H369:H380)=10,COUNT(F369:F380)=10),cubic_spline(F368:F378,H368:H378,B$7),IF(AND(COUNT(H369:H380)=11,COUNT(F369:F380)=11),cubic_spline(F368:F379,H368:H379,B$7),IF(AND(COUNT(H369:H380)=12,COUNT(F369:F380)=12),cubic_spline(F368:F380,H368:H380,B$7),""))))))))))))</f>
        <v/>
      </c>
      <c r="K374" s="52" t="str">
        <f>IF(N(B$7)=0,"",IF(AND(COUNT(A369:A380)=2,COUNT(F369:F380)=2),cubic_spline(F368:F370,A368:A370,B$7),IF(AND(COUNT(A369:A380)=3,COUNT(F369:F380)=3),cubic_spline(F368:F371,A368:A371,B$7),IF(AND(COUNT(A369:A380)=4,COUNT(F369:F380)=4),cubic_spline(F368:F372,A368:A372,B$7),IF(AND(COUNT(A369:A380)=5,COUNT(F369:F380)=5),cubic_spline(F368:F373,A368:A373,B$7),IF(AND(COUNT(A369:A380)=6,COUNT(F369:F380)=6),cubic_spline(F368:F374,A368:A374,B$7),IF(AND(COUNT(A369:A380)=7,COUNT(F369:F380)=7),cubic_spline(F368:F375,A368:A375,B$7),IF(AND(COUNT(A369:A380)=8,COUNT(F369:F380)=8),cubic_spline(F368:F376,A368:A376,B$7),IF(AND(COUNT(A369:A380)=9,COUNT(F369:F380)=9),cubic_spline(F368:F377,A368:A377,B$7),IF(AND(COUNT(A369:A380)=10,COUNT(F369:F380)=10),cubic_spline(F368:F378,A368:A378,B$7),IF(AND(COUNT(A369:A380)=11,COUNT(F369:F380)=11),cubic_spline(F368:F379,A368:A379,B$7),IF(AND(COUNT(A369:A380)=12,COUNT(F369:F380)=12),cubic_spline(F368:F380,A368:A380,B$7),""))))))))))))</f>
        <v/>
      </c>
      <c r="L374" s="27" t="str">
        <f>IF(I374="","",B$6&amp;"-"&amp;B$7)</f>
        <v/>
      </c>
      <c r="M374" s="52" t="str">
        <f t="shared" ref="M374:M380" si="140">IF(N(J374)=0,"",J374-J373)</f>
        <v/>
      </c>
    </row>
    <row r="375" spans="1:13" x14ac:dyDescent="0.35">
      <c r="A375" s="48"/>
      <c r="B375" s="48"/>
      <c r="C375" s="50"/>
      <c r="D375" s="50"/>
      <c r="E375" s="51" t="str">
        <f t="shared" si="138"/>
        <v/>
      </c>
      <c r="F375" s="71" t="str">
        <f t="shared" si="136"/>
        <v/>
      </c>
      <c r="G375" s="69" t="str">
        <f t="shared" si="139"/>
        <v/>
      </c>
      <c r="H375" s="70" t="str">
        <f t="shared" si="137"/>
        <v/>
      </c>
      <c r="I375" s="27" t="str">
        <f>IF(N(J375)=0,"",0&amp;"-"&amp;B$8)</f>
        <v/>
      </c>
      <c r="J375" s="52" t="str">
        <f>IF(N(B$8)=0,"",IF(AND(COUNT(H369:H380)=2,COUNT(F369:F380)=2),cubic_spline(F368:F370,H368:H370,B$8),IF(AND(COUNT(H369:H380)=3,COUNT(F369:F380)=3),cubic_spline(F368:F371,H368:H371,B$8),IF(AND(COUNT(H369:H380)=4,COUNT(F369:F380)=4),cubic_spline(F368:F372,H368:H372,B$8),IF(AND(COUNT(H369:H380)=5,COUNT(F369:F380)=5),cubic_spline(F368:F373,H368:H373,B$8),IF(AND(COUNT(H369:H380)=6,COUNT(F369:F380)=6),cubic_spline(F368:F374,H368:H374,B$8),IF(AND(COUNT(H369:H380)=7,COUNT(F369:F380)=7),cubic_spline(F368:F375,H368:H375,B$8),IF(AND(COUNT(H369:H380)=8,COUNT(F369:F380)=8),cubic_spline(F368:F376,H368:H376,B$8),IF(AND(COUNT(H369:H380)=9,COUNT(F369:F380)=9),cubic_spline(F368:F377,H368:H377,B$8),IF(AND(COUNT(H369:H380)=10,COUNT(F369:F380)=10),cubic_spline(F368:F378,H368:H378,B$8),IF(AND(COUNT(H369:H380)=11,COUNT(F369:F380)=11),cubic_spline(F368:F379,H368:H379,B$8),IF(AND(COUNT(H369:H380)=12,COUNT(F369:F380)=12),cubic_spline(F368:F380,H368:H380,B$8),""))))))))))))</f>
        <v/>
      </c>
      <c r="K375" s="52" t="str">
        <f>IF(N(B$8)=0,"",IF(AND(COUNT(A369:A380)=2,COUNT(F369:F380)=2),cubic_spline(F368:F370,A368:A370,B$8),IF(AND(COUNT(A369:A380)=3,COUNT(F369:F380)=3),cubic_spline(F368:F371,A368:A371,B$8),IF(AND(COUNT(A369:A380)=4,COUNT(F369:F380)=4),cubic_spline(F368:F372,A368:A372,B$8),IF(AND(COUNT(A369:A380)=5,COUNT(F369:F380)=5),cubic_spline(F368:F373,A368:A373,B$8),IF(AND(COUNT(A369:A380)=6,COUNT(F369:F380)=6),cubic_spline(F368:F374,A368:A374,B$8),IF(AND(COUNT(A369:A380)=7,COUNT(F369:F380)=7),cubic_spline(F368:F375,A368:A375,B$8),IF(AND(COUNT(A369:A380)=8,COUNT(F369:F380)=8),cubic_spline(F368:F376,A368:A376,B$8),IF(AND(COUNT(A369:A380)=9,COUNT(F369:F380)=9),cubic_spline(F368:F377,A368:A377,B$8),IF(AND(COUNT(A369:A380)=10,COUNT(F369:F380)=10),cubic_spline(F368:F378,A368:A378,B$8),IF(AND(COUNT(A369:A380)=11,COUNT(F369:F380)=11),cubic_spline(F368:F379,A368:A379,B$8),IF(AND(COUNT(A369:A380)=12,COUNT(F369:F380)=12),cubic_spline(F368:F380,A368:A380,B$8),""))))))))))))</f>
        <v/>
      </c>
      <c r="L375" s="27" t="str">
        <f>IF(I375="","",B$7&amp;"-"&amp;B$8)</f>
        <v/>
      </c>
      <c r="M375" s="52" t="str">
        <f t="shared" si="140"/>
        <v/>
      </c>
    </row>
    <row r="376" spans="1:13" x14ac:dyDescent="0.35">
      <c r="A376" s="48"/>
      <c r="B376" s="48"/>
      <c r="C376" s="50"/>
      <c r="D376" s="50"/>
      <c r="E376" s="51" t="str">
        <f t="shared" si="138"/>
        <v/>
      </c>
      <c r="F376" s="71" t="str">
        <f t="shared" si="136"/>
        <v/>
      </c>
      <c r="G376" s="69" t="str">
        <f t="shared" si="139"/>
        <v/>
      </c>
      <c r="H376" s="70" t="str">
        <f t="shared" si="137"/>
        <v/>
      </c>
      <c r="I376" s="27" t="str">
        <f>IF(N(J376)=0,"",0&amp;"-"&amp;B$9)</f>
        <v/>
      </c>
      <c r="J376" s="52" t="str">
        <f>IF(N(B$9)=0,"",IF(AND(COUNT(H369:H380)=2,COUNT(F369:F380)=2),cubic_spline(F368:F370,H368:H370,B$9),IF(AND(COUNT(H369:H380)=3,COUNT(F369:F380)=3),cubic_spline(F368:F371,H368:H371,B$9),IF(AND(COUNT(H369:H380)=4,COUNT(F369:F380)=4),cubic_spline(F368:F372,H368:H372,B$9),IF(AND(COUNT(H369:H380)=5,COUNT(F369:F380)=5),cubic_spline(F368:F373,H368:H373,B$9),IF(AND(COUNT(H369:H380)=6,COUNT(F369:F380)=6),cubic_spline(F368:F374,H368:H374,B$9),IF(AND(COUNT(H369:H380)=7,COUNT(F369:F380)=7),cubic_spline(F368:F375,H368:H375,B$9),IF(AND(COUNT(H369:H380)=8,COUNT(F369:F380)=8),cubic_spline(F368:F376,H368:H376,B$9),IF(AND(COUNT(H369:H380)=9,COUNT(F369:F380)=9),cubic_spline(F368:F377,H368:H377,B$9),IF(AND(COUNT(H369:H380)=10,COUNT(F369:F380)=10),cubic_spline(F368:F378,H368:H378,B$9),IF(AND(COUNT(H369:H380)=11,COUNT(F369:F380)=11),cubic_spline(F368:F379,H368:H379,B$9),IF(AND(COUNT(H369:H380)=12,COUNT(F369:F380)=12),cubic_spline(F368:F380,H368:H380,B$9),""))))))))))))</f>
        <v/>
      </c>
      <c r="K376" s="52" t="str">
        <f>IF(N(B$9)=0,"",IF(AND(COUNT(A369:A380)=2,COUNT(F369:F380)=2),cubic_spline(F368:F370,A368:A370,B$9),IF(AND(COUNT(A369:A380)=3,COUNT(F369:F380)=3),cubic_spline(F368:F371,A368:A371,B$9),IF(AND(COUNT(A369:A380)=4,COUNT(F369:F380)=4),cubic_spline(F368:F372,A368:A372,B$9),IF(AND(COUNT(A369:A380)=5,COUNT(F369:F380)=5),cubic_spline(F368:F373,A368:A373,B$9),IF(AND(COUNT(A369:A380)=6,COUNT(F369:F380)=6),cubic_spline(F368:F374,A368:A374,B$9),IF(AND(COUNT(A369:A380)=7,COUNT(F369:F380)=7),cubic_spline(F368:F375,A368:A375,B$9),IF(AND(COUNT(A369:A380)=8,COUNT(F369:F380)=8),cubic_spline(F368:F376,A368:A376,B$9),IF(AND(COUNT(A369:A380)=9,COUNT(F369:F380)=9),cubic_spline(F368:F377,A368:A377,B$9),IF(AND(COUNT(A369:A380)=10,COUNT(F369:F380)=10),cubic_spline(F368:F378,A368:A378,B$9),IF(AND(COUNT(A369:A380)=11,COUNT(F369:F380)=11),cubic_spline(F368:F379,A368:A379,B$9),IF(AND(COUNT(A369:A380)=12,COUNT(F369:F380)=12),cubic_spline(F368:F380,A368:A380,B$9),""))))))))))))</f>
        <v/>
      </c>
      <c r="L376" s="27" t="str">
        <f>IF(I376="","",B$8&amp;"-"&amp;B$9)</f>
        <v/>
      </c>
      <c r="M376" s="52" t="str">
        <f t="shared" si="140"/>
        <v/>
      </c>
    </row>
    <row r="377" spans="1:13" x14ac:dyDescent="0.35">
      <c r="A377" s="48"/>
      <c r="B377" s="48"/>
      <c r="C377" s="50"/>
      <c r="D377" s="50"/>
      <c r="E377" s="51" t="str">
        <f t="shared" si="138"/>
        <v/>
      </c>
      <c r="F377" s="71" t="str">
        <f t="shared" si="136"/>
        <v/>
      </c>
      <c r="G377" s="69" t="str">
        <f t="shared" si="139"/>
        <v/>
      </c>
      <c r="H377" s="70" t="str">
        <f t="shared" si="137"/>
        <v/>
      </c>
      <c r="I377" s="27" t="str">
        <f>IF(N(J377)=0,"",0&amp;"-"&amp;B$10)</f>
        <v/>
      </c>
      <c r="J377" s="52" t="str">
        <f>IF(N(B$10)=0,"",IF(AND(COUNT(H369:H380)=2,COUNT(F369:F380)=2),cubic_spline(F368:F370,H368:H370,B$10),IF(AND(COUNT(H369:H380)=3,COUNT(F369:F380)=3),cubic_spline(F368:F371,H368:H371,B$10),IF(AND(COUNT(H369:H380)=4,COUNT(F369:F380)=4),cubic_spline(F368:F372,H368:H372,B$10),IF(AND(COUNT(H369:H380)=5,COUNT(F369:F380)=5),cubic_spline(F368:F373,H368:H373,B$10),IF(AND(COUNT(H369:H380)=6,COUNT(F369:F380)=6),cubic_spline(F368:F374,H368:H374,B$10),IF(AND(COUNT(H369:H380)=7,COUNT(F369:F380)=7),cubic_spline(F368:F375,H368:H375,B$10),IF(AND(COUNT(H369:H380)=8,COUNT(F369:F380)=8),cubic_spline(F368:F376,H368:H376,B$10),IF(AND(COUNT(H369:H380)=9,COUNT(F369:F380)=9),cubic_spline(F368:F377,H368:H377,B$10),IF(AND(COUNT(H369:H380)=10,COUNT(F369:F380)=10),cubic_spline(F368:F378,H368:H378,B$10),IF(AND(COUNT(H369:H380)=11,COUNT(F369:F380)=11),cubic_spline(F368:F379,H368:H379,B$10),IF(AND(COUNT(H369:H380)=12,COUNT(F369:F380)=12),cubic_spline(F368:F380,H368:H380,B$10),""))))))))))))</f>
        <v/>
      </c>
      <c r="K377" s="52" t="str">
        <f>IF(N(B$10)=0,"",IF(AND(COUNT(A369:A380)=2,COUNT(F369:F380)=2),cubic_spline(F368:F370,A368:A370,B$10),IF(AND(COUNT(A369:A380)=3,COUNT(F369:F380)=3),cubic_spline(F368:F371,A368:A371,B$10),IF(AND(COUNT(A369:A380)=4,COUNT(F369:F380)=4),cubic_spline(F368:F372,A368:A372,B$10),IF(AND(COUNT(A369:A380)=5,COUNT(F369:F380)=5),cubic_spline(F368:F373,A368:A373,B$10),IF(AND(COUNT(A369:A380)=6,COUNT(F369:F380)=6),cubic_spline(F368:F374,A368:A374,B$10),IF(AND(COUNT(A369:A380)=7,COUNT(F369:F380)=7),cubic_spline(F368:F375,A368:A375,B$10),IF(AND(COUNT(A369:A380)=8,COUNT(F369:F380)=8),cubic_spline(F368:F376,A368:A376,B$10),IF(AND(COUNT(A369:A380)=9,COUNT(F369:F380)=9),cubic_spline(F368:F377,A368:A377,B$10),IF(AND(COUNT(A369:A380)=10,COUNT(F369:F380)=10),cubic_spline(F368:F378,A368:A378,B$10),IF(AND(COUNT(A369:A380)=11,COUNT(F369:F380)=11),cubic_spline(F368:F379,A368:A379,B$10),IF(AND(COUNT(A369:A380)=12,COUNT(F369:F380)=12),cubic_spline(F368:F380,A368:A380,B$10),""))))))))))))</f>
        <v/>
      </c>
      <c r="L377" s="27" t="str">
        <f>IF(I377="","",B$9&amp;"-"&amp;B$10)</f>
        <v/>
      </c>
      <c r="M377" s="52" t="str">
        <f t="shared" si="140"/>
        <v/>
      </c>
    </row>
    <row r="378" spans="1:13" x14ac:dyDescent="0.35">
      <c r="A378" s="48"/>
      <c r="B378" s="48"/>
      <c r="C378" s="50"/>
      <c r="D378" s="50"/>
      <c r="E378" s="51" t="str">
        <f t="shared" si="138"/>
        <v/>
      </c>
      <c r="F378" s="71" t="str">
        <f t="shared" si="136"/>
        <v/>
      </c>
      <c r="G378" s="69" t="str">
        <f t="shared" si="139"/>
        <v/>
      </c>
      <c r="H378" s="70" t="str">
        <f t="shared" si="137"/>
        <v/>
      </c>
      <c r="I378" s="27" t="str">
        <f>IF(N(J378)=0,"",0&amp;"-"&amp;B$11)</f>
        <v/>
      </c>
      <c r="J378" s="52" t="str">
        <f>IF(N(B$11)=0,"",IF(AND(COUNT(H369:H380)=2,COUNT(F369:F380)=2),cubic_spline(F368:F370,H368:H370,B$11),IF(AND(COUNT(H369:H380)=3,COUNT(F369:F380)=3),cubic_spline(F368:F371,H368:H371,B$11),IF(AND(COUNT(H369:H380)=4,COUNT(F369:F380)=4),cubic_spline(F368:F372,H368:H372,B$11),IF(AND(COUNT(H369:H380)=5,COUNT(F369:F380)=5),cubic_spline(F368:F373,H368:H373,B$11),IF(AND(COUNT(H369:H380)=6,COUNT(F369:F380)=6),cubic_spline(F368:F374,H368:H374,B$11),IF(AND(COUNT(H369:H380)=7,COUNT(F369:F380)=7),cubic_spline(F368:F375,H368:H375,B$11),IF(AND(COUNT(H369:H380)=8,COUNT(F369:F380)=8),cubic_spline(F368:F376,H368:H376,B$11),IF(AND(COUNT(H369:H380)=9,COUNT(F369:F380)=9),cubic_spline(F368:F377,H368:H377,B$11),IF(AND(COUNT(H369:H380)=10,COUNT(F369:F380)=10),cubic_spline(F368:F378,H368:H378,B$11),IF(AND(COUNT(H369:H380)=11,COUNT(F369:F380)=11),cubic_spline(F368:F379,H368:H379,B$11),IF(AND(COUNT(H369:H380)=12,COUNT(F369:F380)=12),cubic_spline(F368:F380,H368:H380,B$11),""))))))))))))</f>
        <v/>
      </c>
      <c r="K378" s="52" t="str">
        <f>IF(N(B$11)=0,"",IF(AND(COUNT(A369:A380)=2,COUNT(F369:F380)=2),cubic_spline(F368:F370,A368:A370,B$11),IF(AND(COUNT(A369:A380)=3,COUNT(F369:F380)=3),cubic_spline(F368:F371,A368:A371,B$11),IF(AND(COUNT(A369:A380)=4,COUNT(F369:F380)=4),cubic_spline(F368:F372,A368:A372,B$11),IF(AND(COUNT(A369:A380)=5,COUNT(F369:F380)=5),cubic_spline(F368:F373,A368:A373,B$11),IF(AND(COUNT(A369:A380)=6,COUNT(F369:F380)=6),cubic_spline(F368:F374,A368:A374,B$11),IF(AND(COUNT(A369:A380)=7,COUNT(F369:F380)=7),cubic_spline(F368:F375,A368:A375,B$11),IF(AND(COUNT(A369:A380)=8,COUNT(F369:F380)=8),cubic_spline(F368:F376,A368:A376,B$11),IF(AND(COUNT(A369:A380)=9,COUNT(F369:F380)=9),cubic_spline(F368:F377,A368:A377,B$11),IF(AND(COUNT(A369:A380)=10,COUNT(F369:F380)=10),cubic_spline(F368:F378,A368:A378,B$11),IF(AND(COUNT(A369:A380)=11,COUNT(F369:F380)=11),cubic_spline(F368:F379,A368:A379,B$11),IF(AND(COUNT(A369:A380)=12,COUNT(F369:F380)=12),cubic_spline(F368:F380,A368:A380,B$11),""))))))))))))</f>
        <v/>
      </c>
      <c r="L378" s="27" t="str">
        <f>IF(I378="","",B$10&amp;"-"&amp;B$11)</f>
        <v/>
      </c>
      <c r="M378" s="52" t="str">
        <f t="shared" si="140"/>
        <v/>
      </c>
    </row>
    <row r="379" spans="1:13" x14ac:dyDescent="0.35">
      <c r="A379" s="48"/>
      <c r="B379" s="48"/>
      <c r="C379" s="50"/>
      <c r="D379" s="50"/>
      <c r="E379" s="51" t="str">
        <f t="shared" si="138"/>
        <v/>
      </c>
      <c r="F379" s="71" t="str">
        <f t="shared" si="136"/>
        <v/>
      </c>
      <c r="G379" s="69" t="str">
        <f t="shared" si="139"/>
        <v/>
      </c>
      <c r="H379" s="70" t="str">
        <f t="shared" si="137"/>
        <v/>
      </c>
      <c r="I379" s="27" t="str">
        <f>IF(N(J379)=0,"",0&amp;"-"&amp;B$12)</f>
        <v/>
      </c>
      <c r="J379" s="52" t="str">
        <f>IF(N(B$12)=0,"",IF(AND(COUNT(H369:H380)=2,COUNT(F369:F380)=2),cubic_spline(F368:F370,H368:H370,B$12),IF(AND(COUNT(H369:H380)=3,COUNT(F369:F380)=3),cubic_spline(F368:F371,H368:H371,B$12),IF(AND(COUNT(H369:H380)=4,COUNT(F369:F380)=4),cubic_spline(F368:F372,H368:H372,B$12),IF(AND(COUNT(H369:H380)=5,COUNT(F369:F380)=5),cubic_spline(F368:F373,H368:H373,B$12),IF(AND(COUNT(H369:H380)=6,COUNT(F369:F380)=6),cubic_spline(F368:F374,H368:H374,B$12),IF(AND(COUNT(H369:H380)=7,COUNT(F369:F380)=7),cubic_spline(F368:F375,H368:H375,B$12),IF(AND(COUNT(H369:H380)=8,COUNT(F369:F380)=8),cubic_spline(F368:F376,H368:H376,B$12),IF(AND(COUNT(H369:H380)=9,COUNT(F369:F380)=9),cubic_spline(F368:F377,H368:H377,B$12),IF(AND(COUNT(H369:H380)=10,COUNT(F369:F380)=10),cubic_spline(F368:F378,H368:H378,B$12),IF(AND(COUNT(H369:H380)=11,COUNT(F369:F380)=11),cubic_spline(F368:F379,H368:H379,B$12),IF(AND(COUNT(H369:H380)=12,COUNT(F369:F380)=12),cubic_spline(F368:F380,H368:H380,B$12),""))))))))))))</f>
        <v/>
      </c>
      <c r="K379" s="52" t="str">
        <f>IF(N(B$12)=0,"",IF(AND(COUNT(A369:A380)=2,COUNT(F369:F380)=2),cubic_spline(F368:F370,A368:A370,B$12),IF(AND(COUNT(A369:A380)=3,COUNT(F369:F380)=3),cubic_spline(F368:F371,A368:A371,B$12),IF(AND(COUNT(A369:A380)=4,COUNT(F369:F380)=4),cubic_spline(F368:F372,A368:A372,B$12),IF(AND(COUNT(A369:A380)=5,COUNT(F369:F380)=5),cubic_spline(F368:F373,A368:A373,B$12),IF(AND(COUNT(A369:A380)=6,COUNT(F369:F380)=6),cubic_spline(F368:F374,A368:A374,B$12),IF(AND(COUNT(A369:A380)=7,COUNT(F369:F380)=7),cubic_spline(F368:F375,A368:A375,B$12),IF(AND(COUNT(A369:A380)=8,COUNT(F369:F380)=8),cubic_spline(F368:F376,A368:A376,B$12),IF(AND(COUNT(A369:A380)=9,COUNT(F369:F380)=9),cubic_spline(F368:F377,A368:A377,B$12),IF(AND(COUNT(A369:A380)=10,COUNT(F369:F380)=10),cubic_spline(F368:F378,A368:A378,B$12),IF(AND(COUNT(A369:A380)=11,COUNT(F369:F380)=11),cubic_spline(F368:F379,A368:A379,B$12),IF(AND(COUNT(A369:A380)=12,COUNT(F369:F380)=12),cubic_spline(F368:F380,A368:A380,B$12),""))))))))))))</f>
        <v/>
      </c>
      <c r="L379" s="27" t="str">
        <f>IF(I379="","",B$11&amp;"-"&amp;B$12)</f>
        <v/>
      </c>
      <c r="M379" s="52" t="str">
        <f t="shared" si="140"/>
        <v/>
      </c>
    </row>
    <row r="380" spans="1:13" x14ac:dyDescent="0.35">
      <c r="A380" s="48"/>
      <c r="B380" s="48"/>
      <c r="C380" s="50"/>
      <c r="D380" s="50"/>
      <c r="E380" s="51" t="str">
        <f t="shared" si="138"/>
        <v/>
      </c>
      <c r="F380" s="71" t="str">
        <f t="shared" si="136"/>
        <v/>
      </c>
      <c r="G380" s="69" t="str">
        <f t="shared" si="139"/>
        <v/>
      </c>
      <c r="H380" s="70" t="str">
        <f t="shared" si="137"/>
        <v/>
      </c>
      <c r="I380" s="27" t="str">
        <f>IF(N(J380)=0,"",0&amp;"-"&amp;B$13)</f>
        <v/>
      </c>
      <c r="J380" s="52" t="str">
        <f>IF(N(B$13)=0,"",IF(AND(COUNT(H369:H380)=2,COUNT(F369:F380)=2),cubic_spline(F368:F370,H368:H370,B$13),IF(AND(COUNT(H369:H380)=3,COUNT(F369:F380)=3),cubic_spline(F368:F371,H368:H371,B$13),IF(AND(COUNT(H369:H380)=4,COUNT(F369:F380)=4),cubic_spline(F368:F372,H368:H372,B$13),IF(AND(COUNT(H369:H380)=5,COUNT(F369:F380)=5),cubic_spline(F368:F373,H368:H373,B$13),IF(AND(COUNT(H369:H380)=6,COUNT(F369:F380)=6),cubic_spline(F368:F374,H368:H374,B$13),IF(AND(COUNT(H369:H380)=7,COUNT(F369:F380)=7),cubic_spline(F368:F375,H368:H375,B$13),IF(AND(COUNT(H369:H380)=8,COUNT(F369:F380)=8),cubic_spline(F368:F376,H368:H376,B$13),IF(AND(COUNT(H369:H380)=9,COUNT(F369:F380)=9),cubic_spline(F368:F377,H368:H377,B$13),IF(AND(COUNT(H369:H380)=10,COUNT(F369:F380)=10),cubic_spline(F368:F378,H368:H378,B$13),IF(AND(COUNT(H369:H380)=11,COUNT(F369:F380)=11),cubic_spline(F368:F379,H368:H379,B$13),IF(AND(COUNT(H369:H380)=12,COUNT(F369:F380)=12),cubic_spline(F368:F380,H368:H380,B$13),""))))))))))))</f>
        <v/>
      </c>
      <c r="K380" s="52" t="str">
        <f>IF(N(B$13)=0,"",IF(AND(COUNT(A369:A380)=2,COUNT(F369:F380)=2),cubic_spline(F368:F370,A368:A370,B$13),IF(AND(COUNT(A369:A380)=3,COUNT(F369:F380)=3),cubic_spline(F368:F371,A368:A371,B$13),IF(AND(COUNT(A369:A380)=4,COUNT(F369:F380)=4),cubic_spline(F368:F372,A368:A372,B$13),IF(AND(COUNT(A369:A380)=5,COUNT(F369:F380)=5),cubic_spline(F368:F373,A368:A373,B$13),IF(AND(COUNT(A369:A380)=6,COUNT(F369:F380)=6),cubic_spline(F368:F374,A368:A374,B$13),IF(AND(COUNT(A369:A380)=7,COUNT(F369:F380)=7),cubic_spline(F368:F375,A368:A375,B$13),IF(AND(COUNT(A369:A380)=8,COUNT(F369:F380)=8),cubic_spline(F368:F376,A368:A376,B$13),IF(AND(COUNT(A369:A380)=9,COUNT(F369:F380)=9),cubic_spline(F368:F377,A368:A377,B$13),IF(AND(COUNT(A369:A380)=10,COUNT(F369:F380)=10),cubic_spline(F368:F378,A368:A378,B$13),IF(AND(COUNT(A369:A380)=11,COUNT(F369:F380)=11),cubic_spline(F368:F379,A368:A379,B$13),IF(AND(COUNT(A369:A380)=12,COUNT(F369:F380)=12),cubic_spline(F368:F380,A368:A380,B$13),""))))))))))))</f>
        <v/>
      </c>
      <c r="L380" s="27" t="str">
        <f>IF(I380="","",B$12&amp;"-"&amp;B$13)</f>
        <v/>
      </c>
      <c r="M380" s="52" t="str">
        <f t="shared" si="140"/>
        <v/>
      </c>
    </row>
    <row r="381" spans="1:13" ht="5.15" customHeight="1" x14ac:dyDescent="0.35">
      <c r="A381" s="47"/>
      <c r="B381" s="47"/>
      <c r="C381" s="53"/>
      <c r="D381" s="53"/>
      <c r="E381" s="54"/>
      <c r="F381" s="55"/>
      <c r="G381" s="72"/>
      <c r="H381" s="73"/>
      <c r="I381" s="47"/>
      <c r="J381" s="57"/>
      <c r="K381" s="57"/>
      <c r="L381" s="55"/>
      <c r="M381" s="57"/>
    </row>
    <row r="382" spans="1:13" x14ac:dyDescent="0.35">
      <c r="A382" s="48"/>
      <c r="B382" s="48"/>
      <c r="C382" s="50"/>
      <c r="D382" s="50"/>
      <c r="E382" s="51" t="str">
        <f>IF(N(C382)=0,"",(A382-A381)*C382*100)</f>
        <v/>
      </c>
      <c r="F382" s="68" t="str">
        <f t="shared" ref="F382:F393" si="141">IF(N(E382)=0,"",(N(E382)+N(F381)))</f>
        <v/>
      </c>
      <c r="G382" s="69" t="str">
        <f>IF(OR(N(D382)=0,N(E382)=0),"",(E382*D382)/1000)</f>
        <v/>
      </c>
      <c r="H382" s="70" t="str">
        <f t="shared" ref="H382:H393" si="142">IF(N(G382)=0,"",(N(G382)+N(H381)))</f>
        <v/>
      </c>
      <c r="I382" s="27" t="str">
        <f>IF(N(J382)=0,"",0&amp;"-"&amp;B$2)</f>
        <v/>
      </c>
      <c r="J382" s="52" t="str">
        <f>IF(N(B$2)=0,"",IF(AND(COUNT(H382:H393)=2,COUNT(F382:F393)=2),cubic_spline(F381:F383,H381:H383,B$2),IF(AND(COUNT(H382:H393)=3,COUNT(F382:F393)=3),cubic_spline(F381:F384,H381:H384,B$2),IF(AND(COUNT(H382:H393)=4,COUNT(F382:F393)=4),cubic_spline(F381:F385,H381:H385,B$2),IF(AND(COUNT(H382:H393)=5,COUNT(F382:F393)=5),cubic_spline(F381:F386,H381:H386,B$2),IF(AND(COUNT(H382:H393)=6,COUNT(F382:F393)=6),cubic_spline(F381:F387,H381:H387,B$2),IF(AND(COUNT(H382:H393)=7,COUNT(F382:F393)=7),cubic_spline(F381:F388,H381:H388,B$2),IF(AND(COUNT(H382:H393)=8,COUNT(F382:F393)=8),cubic_spline(F381:F389,H381:H389,B$2),IF(AND(COUNT(H382:H393)=9,COUNT(F382:F393)=9),cubic_spline(F381:F390,H381:H390,B$2),IF(AND(COUNT(H382:H393)=10,COUNT(F382:F393)=10),cubic_spline(F381:F391,H381:H391,B$2),IF(AND(COUNT(H382:H393)=11,COUNT(F382:F393)=11),cubic_spline(F381:F392,H381:H392,B$2),IF(AND(COUNT(H382:H393)=12,COUNT(F382:F393)=12),cubic_spline(F381:F393,H381:H393,B$2),""))))))))))))</f>
        <v/>
      </c>
      <c r="K382" s="52" t="str">
        <f>IF(N(B$2)=0,"",IF(AND(COUNT(A382:A393)=2,COUNT(F382:F393)=2),cubic_spline(F381:F383,A381:A383,B$2),IF(AND(COUNT(A382:A393)=3,COUNT(F382:F393)=3),cubic_spline(F381:F384,A381:A384,B$2),IF(AND(COUNT(A382:A393)=4,COUNT(F382:F393)=4),cubic_spline(F381:F385,A381:A385,B$2),IF(AND(COUNT(A382:A393)=5,COUNT(F382:F393)=5),cubic_spline(F381:F386,A381:A386,B$2),IF(AND(COUNT(A382:A393)=6,COUNT(F382:F393)=6),cubic_spline(F381:F387,A381:A387,B$2),IF(AND(COUNT(A382:A393)=7,COUNT(F382:F393)=7),cubic_spline(F381:F388,A381:A388,B$2),IF(AND(COUNT(A382:A393)=8,COUNT(F382:F393)=8),cubic_spline(F381:F389,A381:A389,B$2),IF(AND(COUNT(A382:A393)=9,COUNT(F382:F393)=9),cubic_spline(F381:F390,A381:A390,B$2),IF(AND(COUNT(A382:A393)=10,COUNT(F382:F393)=10),cubic_spline(F381:F391,A381:A391,B$2),IF(AND(COUNT(A382:A393)=11,COUNT(F382:F393)=11),cubic_spline(F381:F392,A381:A392,B$2),IF(AND(COUNT(A382:A393)=12,COUNT(F382:F393)=12),cubic_spline(F381:F393,A381:A393,B$2),""))))))))))))</f>
        <v/>
      </c>
      <c r="L382" s="27" t="str">
        <f>IF(I382="","",0&amp;"-"&amp;B$2)</f>
        <v/>
      </c>
      <c r="M382" s="52" t="str">
        <f>IF(N(J382)=0,"",J382-J381)</f>
        <v/>
      </c>
    </row>
    <row r="383" spans="1:13" x14ac:dyDescent="0.35">
      <c r="A383" s="48"/>
      <c r="B383" s="48"/>
      <c r="C383" s="50"/>
      <c r="D383" s="50"/>
      <c r="E383" s="51" t="str">
        <f t="shared" ref="E383:E393" si="143">IF(N(C383)=0,"",(A383-A382)*C383*100)</f>
        <v/>
      </c>
      <c r="F383" s="68" t="str">
        <f t="shared" si="141"/>
        <v/>
      </c>
      <c r="G383" s="69" t="str">
        <f t="shared" ref="G383:G393" si="144">IF(OR(N(D383)=0,N(E383)=0),"",(E383*D383)/1000)</f>
        <v/>
      </c>
      <c r="H383" s="70" t="str">
        <f t="shared" si="142"/>
        <v/>
      </c>
      <c r="I383" s="27" t="str">
        <f>IF(N(J383)=0,"",0&amp;"-"&amp;B$3)</f>
        <v/>
      </c>
      <c r="J383" s="52" t="str">
        <f>IF(N(B$3)=0,"",IF(AND(COUNT(H382:H393)=2,COUNT(F382:F393)=2),cubic_spline(F381:F383,H381:H383,B$3),IF(AND(COUNT(H382:H393)=3,COUNT(F382:F393)=3),cubic_spline(F381:F384,H381:H384,B$3),IF(AND(COUNT(H382:H393)=4,COUNT(F382:F393)=4),cubic_spline(F381:F385,H381:H385,B$3),IF(AND(COUNT(H382:H393)=5,COUNT(F382:F393)=5),cubic_spline(F381:F386,H381:H386,B$3),IF(AND(COUNT(H382:H393)=6,COUNT(F382:F393)=6),cubic_spline(F381:F387,H381:H387,B$3),IF(AND(COUNT(H382:H393)=7,COUNT(F382:F393)=7),cubic_spline(F381:F388,H381:H388,B$3),IF(AND(COUNT(H382:H393)=8,COUNT(F382:F393)=8),cubic_spline(F381:F389,H381:H389,B$3),IF(AND(COUNT(H382:H393)=9,COUNT(F382:F393)=9),cubic_spline(F381:F390,H381:H390,B$3),IF(AND(COUNT(H382:H393)=10,COUNT(F382:F393)=10),cubic_spline(F381:F391,H381:H391,B$3),IF(AND(COUNT(H382:H393)=11,COUNT(F382:F393)=11),cubic_spline(F381:F392,H381:H392,B$3),IF(AND(COUNT(H382:H393)=12,COUNT(F382:F393)=12),cubic_spline(F381:F393,H381:H393,B$3),""))))))))))))</f>
        <v/>
      </c>
      <c r="K383" s="52" t="str">
        <f>IF(N(B$3)=0,"",IF(AND(COUNT(A382:A393)=2,COUNT(F382:F393)=2),cubic_spline(F381:F383,A381:A383,B$3),IF(AND(COUNT(A382:A393)=3,COUNT(F382:F393)=3),cubic_spline(F381:F384,A381:A384,B$3),IF(AND(COUNT(A382:A393)=4,COUNT(F382:F393)=4),cubic_spline(F381:F385,A381:A385,B$3),IF(AND(COUNT(A382:A393)=5,COUNT(F382:F393)=5),cubic_spline(F381:F386,A381:A386,B$3),IF(AND(COUNT(A382:A393)=6,COUNT(F382:F393)=6),cubic_spline(F381:F387,A381:A387,B$3),IF(AND(COUNT(A382:A393)=7,COUNT(F382:F393)=7),cubic_spline(F381:F388,A381:A388,B$3),IF(AND(COUNT(A382:A393)=8,COUNT(F382:F393)=8),cubic_spline(F381:F389,A381:A389,B$3),IF(AND(COUNT(A382:A393)=9,COUNT(F382:F393)=9),cubic_spline(F381:F390,A381:A390,B$3),IF(AND(COUNT(A382:A393)=10,COUNT(F382:F393)=10),cubic_spline(F381:F391,A381:A391,B$3),IF(AND(COUNT(A382:A393)=11,COUNT(F382:F393)=11),cubic_spline(F381:F392,A381:A392,B$3),IF(AND(COUNT(A382:A393)=12,COUNT(F382:F393)=12),cubic_spline(F381:F393,A381:A393,B$3),""))))))))))))</f>
        <v/>
      </c>
      <c r="L383" s="27" t="str">
        <f>IF(I383="","",B$2&amp;"-"&amp;B$3)</f>
        <v/>
      </c>
      <c r="M383" s="52" t="str">
        <f>IF(N(J383)=0,"",J383-J382)</f>
        <v/>
      </c>
    </row>
    <row r="384" spans="1:13" x14ac:dyDescent="0.35">
      <c r="A384" s="48"/>
      <c r="B384" s="48"/>
      <c r="C384" s="50"/>
      <c r="D384" s="50"/>
      <c r="E384" s="51" t="str">
        <f t="shared" si="143"/>
        <v/>
      </c>
      <c r="F384" s="68" t="str">
        <f t="shared" si="141"/>
        <v/>
      </c>
      <c r="G384" s="69" t="str">
        <f t="shared" si="144"/>
        <v/>
      </c>
      <c r="H384" s="70" t="str">
        <f t="shared" si="142"/>
        <v/>
      </c>
      <c r="I384" s="27" t="str">
        <f>IF(N(J384)=0,"",0&amp;"-"&amp;B$4)</f>
        <v/>
      </c>
      <c r="J384" s="52" t="str">
        <f>IF(N(B$4)=0,"",IF(AND(COUNT(H382:H393)=2,COUNT(F382:F393)=2),cubic_spline(F381:F383,H381:H383,B$4),IF(AND(COUNT(H382:H393)=3,COUNT(F382:F393)=3),cubic_spline(F381:F384,H381:H384,B$4),IF(AND(COUNT(H382:H393)=4,COUNT(F382:F393)=4),cubic_spline(F381:F385,H381:H385,B$4),IF(AND(COUNT(H382:H393)=5,COUNT(F382:F393)=5),cubic_spline(F381:F386,H381:H386,B$4),IF(AND(COUNT(H382:H393)=6,COUNT(F382:F393)=6),cubic_spline(F381:F387,H381:H387,B$4),IF(AND(COUNT(H382:H393)=7,COUNT(F382:F393)=7),cubic_spline(F381:F388,H381:H388,B$4),IF(AND(COUNT(H382:H393)=8,COUNT(F382:F393)=8),cubic_spline(F381:F389,H381:H389,B$4),IF(AND(COUNT(H382:H393)=9,COUNT(F382:F393)=9),cubic_spline(F381:F390,H381:H390,B$4),IF(AND(COUNT(H382:H393)=10,COUNT(F382:F393)=10),cubic_spline(F381:F391,H381:H391,B$4),IF(AND(COUNT(H382:H393)=11,COUNT(F382:F393)=11),cubic_spline(F381:F392,H381:H392,B$4),IF(AND(COUNT(H382:H393)=12,COUNT(F382:F393)=12),cubic_spline(F381:F393,H381:H393,B$4),""))))))))))))</f>
        <v/>
      </c>
      <c r="K384" s="52" t="str">
        <f>IF(N(B$4)=0,"",IF(AND(COUNT(A382:A393)=2,COUNT(F382:F393)=2),cubic_spline(F381:F383,A381:A383,B$4),IF(AND(COUNT(A382:A393)=3,COUNT(F382:F393)=3),cubic_spline(F381:F384,A381:A384,B$4),IF(AND(COUNT(A382:A393)=4,COUNT(F382:F393)=4),cubic_spline(F381:F385,A381:A385,B$4),IF(AND(COUNT(A382:A393)=5,COUNT(F382:F393)=5),cubic_spline(F381:F386,A381:A386,B$4),IF(AND(COUNT(A382:A393)=6,COUNT(F382:F393)=6),cubic_spline(F381:F387,A381:A387,B$4),IF(AND(COUNT(A382:A393)=7,COUNT(F382:F393)=7),cubic_spline(F381:F388,A381:A388,B$4),IF(AND(COUNT(A382:A393)=8,COUNT(F382:F393)=8),cubic_spline(F381:F389,A381:A389,B$4),IF(AND(COUNT(A382:A393)=9,COUNT(F382:F393)=9),cubic_spline(F381:F390,A381:A390,B$4),IF(AND(COUNT(A382:A393)=10,COUNT(F382:F393)=10),cubic_spline(F381:F391,A381:A391,B$4),IF(AND(COUNT(A382:A393)=11,COUNT(F382:F393)=11),cubic_spline(F381:F392,A381:A392,B$4),IF(AND(COUNT(A382:A393)=12,COUNT(F382:F393)=12),cubic_spline(F381:F393,A381:A393,B$4),""))))))))))))</f>
        <v/>
      </c>
      <c r="L384" s="27" t="str">
        <f>IF(I384="","",B$3&amp;"-"&amp;B$4)</f>
        <v/>
      </c>
      <c r="M384" s="52" t="str">
        <f>IF(N(J384)=0,"",J384-J383)</f>
        <v/>
      </c>
    </row>
    <row r="385" spans="1:13" x14ac:dyDescent="0.35">
      <c r="A385" s="48"/>
      <c r="B385" s="48"/>
      <c r="C385" s="50"/>
      <c r="D385" s="50"/>
      <c r="E385" s="51" t="str">
        <f t="shared" si="143"/>
        <v/>
      </c>
      <c r="F385" s="68" t="str">
        <f t="shared" si="141"/>
        <v/>
      </c>
      <c r="G385" s="69" t="str">
        <f t="shared" si="144"/>
        <v/>
      </c>
      <c r="H385" s="70" t="str">
        <f t="shared" si="142"/>
        <v/>
      </c>
      <c r="I385" s="27" t="str">
        <f>IF(N(J385)=0,"",0&amp;"-"&amp;B$5)</f>
        <v/>
      </c>
      <c r="J385" s="52" t="str">
        <f>IF(N(B$5)=0,"",IF(AND(COUNT(H382:H393)=2,COUNT(F382:F393)=2),cubic_spline(F381:F383,H381:H383,B$5),IF(AND(COUNT(H382:H393)=3,COUNT(F382:F393)=3),cubic_spline(F381:F384,H381:H384,B$5),IF(AND(COUNT(H382:H393)=4,COUNT(F382:F393)=4),cubic_spline(F381:F385,H381:H385,B$5),IF(AND(COUNT(H382:H393)=5,COUNT(F382:F393)=5),cubic_spline(F381:F386,H381:H386,B$5),IF(AND(COUNT(H382:H393)=6,COUNT(F382:F393)=6),cubic_spline(F381:F387,H381:H387,B$5),IF(AND(COUNT(H382:H393)=7,COUNT(F382:F393)=7),cubic_spline(F381:F388,H381:H388,B$5),IF(AND(COUNT(H382:H393)=8,COUNT(F382:F393)=8),cubic_spline(F381:F389,H381:H389,B$5),IF(AND(COUNT(H382:H393)=9,COUNT(F382:F393)=9),cubic_spline(F381:F390,H381:H390,B$5),IF(AND(COUNT(H382:H393)=10,COUNT(F382:F393)=10),cubic_spline(F381:F391,H381:H391,B$5),IF(AND(COUNT(H382:H393)=11,COUNT(F382:F393)=11),cubic_spline(F381:F392,H381:H392,B$5),IF(AND(COUNT(H382:H393)=12,COUNT(F382:F393)=12),cubic_spline(F381:F393,H381:H393,B$5),""))))))))))))</f>
        <v/>
      </c>
      <c r="K385" s="52" t="str">
        <f>IF(N(B$5)=0,"",IF(AND(COUNT(A382:A393)=2,COUNT(F382:F393)=2),cubic_spline(F381:F383,A381:A383,B$5),IF(AND(COUNT(A382:A393)=3,COUNT(F382:F393)=3),cubic_spline(F381:F384,A381:A384,B$5),IF(AND(COUNT(A382:A393)=4,COUNT(F382:F393)=4),cubic_spline(F381:F385,A381:A385,B$5),IF(AND(COUNT(A382:A393)=5,COUNT(F382:F393)=5),cubic_spline(F381:F386,A381:A386,B$5),IF(AND(COUNT(A382:A393)=6,COUNT(F382:F393)=6),cubic_spline(F381:F387,A381:A387,B$5),IF(AND(COUNT(A382:A393)=7,COUNT(F382:F393)=7),cubic_spline(F381:F388,A381:A388,B$5),IF(AND(COUNT(A382:A393)=8,COUNT(F382:F393)=8),cubic_spline(F381:F389,A381:A389,B$5),IF(AND(COUNT(A382:A393)=9,COUNT(F382:F393)=9),cubic_spline(F381:F390,A381:A390,B$5),IF(AND(COUNT(A382:A393)=10,COUNT(F382:F393)=10),cubic_spline(F381:F391,A381:A391,B$5),IF(AND(COUNT(A382:A393)=11,COUNT(F382:F393)=11),cubic_spline(F381:F392,A381:A392,B$5),IF(AND(COUNT(A382:A393)=12,COUNT(F382:F393)=12),cubic_spline(F381:F393,A381:A393,B$5),""))))))))))))</f>
        <v/>
      </c>
      <c r="L385" s="27" t="str">
        <f>IF(I385="","",B$4&amp;"-"&amp;B$5)</f>
        <v/>
      </c>
      <c r="M385" s="52" t="str">
        <f>IF(N(J385)=0,"",J385-J384)</f>
        <v/>
      </c>
    </row>
    <row r="386" spans="1:13" x14ac:dyDescent="0.35">
      <c r="A386" s="48"/>
      <c r="B386" s="48"/>
      <c r="C386" s="50"/>
      <c r="D386" s="50"/>
      <c r="E386" s="51" t="str">
        <f t="shared" si="143"/>
        <v/>
      </c>
      <c r="F386" s="71" t="str">
        <f t="shared" si="141"/>
        <v/>
      </c>
      <c r="G386" s="69" t="str">
        <f t="shared" si="144"/>
        <v/>
      </c>
      <c r="H386" s="70" t="str">
        <f t="shared" si="142"/>
        <v/>
      </c>
      <c r="I386" s="27" t="str">
        <f>IF(N(J386)=0,"",0&amp;"-"&amp;B$6)</f>
        <v/>
      </c>
      <c r="J386" s="52" t="str">
        <f>IF(N(B$6)=0,"",IF(AND(COUNT(H382:H393)=2,COUNT(F382:F393)=2),cubic_spline(F381:F383,H381:H383,B$6),IF(AND(COUNT(H382:H393)=3,COUNT(F382:F393)=3),cubic_spline(F381:F384,H381:H384,B$6),IF(AND(COUNT(H382:H393)=4,COUNT(F382:F393)=4),cubic_spline(F381:F385,H381:H385,B$6),IF(AND(COUNT(H382:H393)=5,COUNT(F382:F393)=5),cubic_spline(F381:F386,H381:H386,B$6),IF(AND(COUNT(H382:H393)=6,COUNT(F382:F393)=6),cubic_spline(F381:F387,H381:H387,B$6),IF(AND(COUNT(H382:H393)=7,COUNT(F382:F393)=7),cubic_spline(F381:F388,H381:H388,B$6),IF(AND(COUNT(H382:H393)=8,COUNT(F382:F393)=8),cubic_spline(F381:F389,H381:H389,B$6),IF(AND(COUNT(H382:H393)=9,COUNT(F382:F393)=9),cubic_spline(F381:F390,H381:H390,B$6),IF(AND(COUNT(H382:H393)=10,COUNT(F382:F393)=10),cubic_spline(F381:F391,H381:H391,B$6),IF(AND(COUNT(H382:H393)=11,COUNT(F382:F393)=11),cubic_spline(F381:F392,H381:H392,B$6),IF(AND(COUNT(H382:H393)=12,COUNT(F382:F393)=12),cubic_spline(F381:F393,H381:H393,B$6),""))))))))))))</f>
        <v/>
      </c>
      <c r="K386" s="52" t="str">
        <f>IF(N(B$6)=0,"",IF(AND(COUNT(A382:A393)=2,COUNT(F382:F393)=2),cubic_spline(F381:F383,A381:A383,B$6),IF(AND(COUNT(A382:A393)=3,COUNT(F382:F393)=3),cubic_spline(F381:F384,A381:A384,B$6),IF(AND(COUNT(A382:A393)=4,COUNT(F382:F393)=4),cubic_spline(F381:F385,A381:A385,B$6),IF(AND(COUNT(A382:A393)=5,COUNT(F382:F393)=5),cubic_spline(F381:F386,A381:A386,B$6),IF(AND(COUNT(A382:A393)=6,COUNT(F382:F393)=6),cubic_spline(F381:F387,A381:A387,B$6),IF(AND(COUNT(A382:A393)=7,COUNT(F382:F393)=7),cubic_spline(F381:F388,A381:A388,B$6),IF(AND(COUNT(A382:A393)=8,COUNT(F382:F393)=8),cubic_spline(F381:F389,A381:A389,B$6),IF(AND(COUNT(A382:A393)=9,COUNT(F382:F393)=9),cubic_spline(F381:F390,A381:A390,B$6),IF(AND(COUNT(A382:A393)=10,COUNT(F382:F393)=10),cubic_spline(F381:F391,A381:A391,B$6),IF(AND(COUNT(A382:A393)=11,COUNT(F382:F393)=11),cubic_spline(F381:F392,A381:A392,B$6),IF(AND(COUNT(A382:A393)=12,COUNT(F382:F393)=12),cubic_spline(F381:F393,A381:A393,B$6),""))))))))))))</f>
        <v/>
      </c>
      <c r="L386" s="27" t="str">
        <f>IF(I386="","",B$5&amp;"-"&amp;B$6)</f>
        <v/>
      </c>
      <c r="M386" s="52" t="str">
        <f>IF(N(J386)=0,"",J386-J385)</f>
        <v/>
      </c>
    </row>
    <row r="387" spans="1:13" x14ac:dyDescent="0.35">
      <c r="A387" s="48"/>
      <c r="B387" s="48"/>
      <c r="C387" s="50"/>
      <c r="D387" s="50"/>
      <c r="E387" s="51" t="str">
        <f t="shared" si="143"/>
        <v/>
      </c>
      <c r="F387" s="71" t="str">
        <f t="shared" si="141"/>
        <v/>
      </c>
      <c r="G387" s="69" t="str">
        <f t="shared" si="144"/>
        <v/>
      </c>
      <c r="H387" s="70" t="str">
        <f t="shared" si="142"/>
        <v/>
      </c>
      <c r="I387" s="27" t="str">
        <f>IF(N(J387)=0,"",0&amp;"-"&amp;B$7)</f>
        <v/>
      </c>
      <c r="J387" s="52" t="str">
        <f>IF(N(B$7)=0,"",IF(AND(COUNT(H382:H393)=2,COUNT(F382:F393)=2),cubic_spline(F381:F383,H381:H383,B$7),IF(AND(COUNT(H382:H393)=3,COUNT(F382:F393)=3),cubic_spline(F381:F384,H381:H384,B$7),IF(AND(COUNT(H382:H393)=4,COUNT(F382:F393)=4),cubic_spline(F381:F385,H381:H385,B$7),IF(AND(COUNT(H382:H393)=5,COUNT(F382:F393)=5),cubic_spline(F381:F386,H381:H386,B$7),IF(AND(COUNT(H382:H393)=6,COUNT(F382:F393)=6),cubic_spline(F381:F387,H381:H387,B$7),IF(AND(COUNT(H382:H393)=7,COUNT(F382:F393)=7),cubic_spline(F381:F388,H381:H388,B$7),IF(AND(COUNT(H382:H393)=8,COUNT(F382:F393)=8),cubic_spline(F381:F389,H381:H389,B$7),IF(AND(COUNT(H382:H393)=9,COUNT(F382:F393)=9),cubic_spline(F381:F390,H381:H390,B$7),IF(AND(COUNT(H382:H393)=10,COUNT(F382:F393)=10),cubic_spline(F381:F391,H381:H391,B$7),IF(AND(COUNT(H382:H393)=11,COUNT(F382:F393)=11),cubic_spline(F381:F392,H381:H392,B$7),IF(AND(COUNT(H382:H393)=12,COUNT(F382:F393)=12),cubic_spline(F381:F393,H381:H393,B$7),""))))))))))))</f>
        <v/>
      </c>
      <c r="K387" s="52" t="str">
        <f>IF(N(B$7)=0,"",IF(AND(COUNT(A382:A393)=2,COUNT(F382:F393)=2),cubic_spline(F381:F383,A381:A383,B$7),IF(AND(COUNT(A382:A393)=3,COUNT(F382:F393)=3),cubic_spline(F381:F384,A381:A384,B$7),IF(AND(COUNT(A382:A393)=4,COUNT(F382:F393)=4),cubic_spline(F381:F385,A381:A385,B$7),IF(AND(COUNT(A382:A393)=5,COUNT(F382:F393)=5),cubic_spline(F381:F386,A381:A386,B$7),IF(AND(COUNT(A382:A393)=6,COUNT(F382:F393)=6),cubic_spline(F381:F387,A381:A387,B$7),IF(AND(COUNT(A382:A393)=7,COUNT(F382:F393)=7),cubic_spline(F381:F388,A381:A388,B$7),IF(AND(COUNT(A382:A393)=8,COUNT(F382:F393)=8),cubic_spline(F381:F389,A381:A389,B$7),IF(AND(COUNT(A382:A393)=9,COUNT(F382:F393)=9),cubic_spline(F381:F390,A381:A390,B$7),IF(AND(COUNT(A382:A393)=10,COUNT(F382:F393)=10),cubic_spline(F381:F391,A381:A391,B$7),IF(AND(COUNT(A382:A393)=11,COUNT(F382:F393)=11),cubic_spline(F381:F392,A381:A392,B$7),IF(AND(COUNT(A382:A393)=12,COUNT(F382:F393)=12),cubic_spline(F381:F393,A381:A393,B$7),""))))))))))))</f>
        <v/>
      </c>
      <c r="L387" s="27" t="str">
        <f>IF(I387="","",B$6&amp;"-"&amp;B$7)</f>
        <v/>
      </c>
      <c r="M387" s="52" t="str">
        <f t="shared" ref="M387:M393" si="145">IF(N(J387)=0,"",J387-J386)</f>
        <v/>
      </c>
    </row>
    <row r="388" spans="1:13" x14ac:dyDescent="0.35">
      <c r="A388" s="48"/>
      <c r="B388" s="48"/>
      <c r="C388" s="50"/>
      <c r="D388" s="50"/>
      <c r="E388" s="51" t="str">
        <f t="shared" si="143"/>
        <v/>
      </c>
      <c r="F388" s="71" t="str">
        <f t="shared" si="141"/>
        <v/>
      </c>
      <c r="G388" s="69" t="str">
        <f t="shared" si="144"/>
        <v/>
      </c>
      <c r="H388" s="70" t="str">
        <f t="shared" si="142"/>
        <v/>
      </c>
      <c r="I388" s="27" t="str">
        <f>IF(N(J388)=0,"",0&amp;"-"&amp;B$8)</f>
        <v/>
      </c>
      <c r="J388" s="52" t="str">
        <f>IF(N(B$8)=0,"",IF(AND(COUNT(H382:H393)=2,COUNT(F382:F393)=2),cubic_spline(F381:F383,H381:H383,B$8),IF(AND(COUNT(H382:H393)=3,COUNT(F382:F393)=3),cubic_spline(F381:F384,H381:H384,B$8),IF(AND(COUNT(H382:H393)=4,COUNT(F382:F393)=4),cubic_spline(F381:F385,H381:H385,B$8),IF(AND(COUNT(H382:H393)=5,COUNT(F382:F393)=5),cubic_spline(F381:F386,H381:H386,B$8),IF(AND(COUNT(H382:H393)=6,COUNT(F382:F393)=6),cubic_spline(F381:F387,H381:H387,B$8),IF(AND(COUNT(H382:H393)=7,COUNT(F382:F393)=7),cubic_spline(F381:F388,H381:H388,B$8),IF(AND(COUNT(H382:H393)=8,COUNT(F382:F393)=8),cubic_spline(F381:F389,H381:H389,B$8),IF(AND(COUNT(H382:H393)=9,COUNT(F382:F393)=9),cubic_spline(F381:F390,H381:H390,B$8),IF(AND(COUNT(H382:H393)=10,COUNT(F382:F393)=10),cubic_spline(F381:F391,H381:H391,B$8),IF(AND(COUNT(H382:H393)=11,COUNT(F382:F393)=11),cubic_spline(F381:F392,H381:H392,B$8),IF(AND(COUNT(H382:H393)=12,COUNT(F382:F393)=12),cubic_spline(F381:F393,H381:H393,B$8),""))))))))))))</f>
        <v/>
      </c>
      <c r="K388" s="52" t="str">
        <f>IF(N(B$8)=0,"",IF(AND(COUNT(A382:A393)=2,COUNT(F382:F393)=2),cubic_spline(F381:F383,A381:A383,B$8),IF(AND(COUNT(A382:A393)=3,COUNT(F382:F393)=3),cubic_spline(F381:F384,A381:A384,B$8),IF(AND(COUNT(A382:A393)=4,COUNT(F382:F393)=4),cubic_spline(F381:F385,A381:A385,B$8),IF(AND(COUNT(A382:A393)=5,COUNT(F382:F393)=5),cubic_spline(F381:F386,A381:A386,B$8),IF(AND(COUNT(A382:A393)=6,COUNT(F382:F393)=6),cubic_spline(F381:F387,A381:A387,B$8),IF(AND(COUNT(A382:A393)=7,COUNT(F382:F393)=7),cubic_spline(F381:F388,A381:A388,B$8),IF(AND(COUNT(A382:A393)=8,COUNT(F382:F393)=8),cubic_spline(F381:F389,A381:A389,B$8),IF(AND(COUNT(A382:A393)=9,COUNT(F382:F393)=9),cubic_spline(F381:F390,A381:A390,B$8),IF(AND(COUNT(A382:A393)=10,COUNT(F382:F393)=10),cubic_spline(F381:F391,A381:A391,B$8),IF(AND(COUNT(A382:A393)=11,COUNT(F382:F393)=11),cubic_spline(F381:F392,A381:A392,B$8),IF(AND(COUNT(A382:A393)=12,COUNT(F382:F393)=12),cubic_spline(F381:F393,A381:A393,B$8),""))))))))))))</f>
        <v/>
      </c>
      <c r="L388" s="27" t="str">
        <f>IF(I388="","",B$7&amp;"-"&amp;B$8)</f>
        <v/>
      </c>
      <c r="M388" s="52" t="str">
        <f t="shared" si="145"/>
        <v/>
      </c>
    </row>
    <row r="389" spans="1:13" x14ac:dyDescent="0.35">
      <c r="A389" s="48"/>
      <c r="B389" s="48"/>
      <c r="C389" s="50"/>
      <c r="D389" s="50"/>
      <c r="E389" s="51" t="str">
        <f t="shared" si="143"/>
        <v/>
      </c>
      <c r="F389" s="71" t="str">
        <f t="shared" si="141"/>
        <v/>
      </c>
      <c r="G389" s="69" t="str">
        <f t="shared" si="144"/>
        <v/>
      </c>
      <c r="H389" s="70" t="str">
        <f t="shared" si="142"/>
        <v/>
      </c>
      <c r="I389" s="27" t="str">
        <f>IF(N(J389)=0,"",0&amp;"-"&amp;B$9)</f>
        <v/>
      </c>
      <c r="J389" s="52" t="str">
        <f>IF(N(B$9)=0,"",IF(AND(COUNT(H382:H393)=2,COUNT(F382:F393)=2),cubic_spline(F381:F383,H381:H383,B$9),IF(AND(COUNT(H382:H393)=3,COUNT(F382:F393)=3),cubic_spline(F381:F384,H381:H384,B$9),IF(AND(COUNT(H382:H393)=4,COUNT(F382:F393)=4),cubic_spline(F381:F385,H381:H385,B$9),IF(AND(COUNT(H382:H393)=5,COUNT(F382:F393)=5),cubic_spline(F381:F386,H381:H386,B$9),IF(AND(COUNT(H382:H393)=6,COUNT(F382:F393)=6),cubic_spline(F381:F387,H381:H387,B$9),IF(AND(COUNT(H382:H393)=7,COUNT(F382:F393)=7),cubic_spline(F381:F388,H381:H388,B$9),IF(AND(COUNT(H382:H393)=8,COUNT(F382:F393)=8),cubic_spline(F381:F389,H381:H389,B$9),IF(AND(COUNT(H382:H393)=9,COUNT(F382:F393)=9),cubic_spline(F381:F390,H381:H390,B$9),IF(AND(COUNT(H382:H393)=10,COUNT(F382:F393)=10),cubic_spline(F381:F391,H381:H391,B$9),IF(AND(COUNT(H382:H393)=11,COUNT(F382:F393)=11),cubic_spline(F381:F392,H381:H392,B$9),IF(AND(COUNT(H382:H393)=12,COUNT(F382:F393)=12),cubic_spline(F381:F393,H381:H393,B$9),""))))))))))))</f>
        <v/>
      </c>
      <c r="K389" s="52" t="str">
        <f>IF(N(B$9)=0,"",IF(AND(COUNT(A382:A393)=2,COUNT(F382:F393)=2),cubic_spline(F381:F383,A381:A383,B$9),IF(AND(COUNT(A382:A393)=3,COUNT(F382:F393)=3),cubic_spline(F381:F384,A381:A384,B$9),IF(AND(COUNT(A382:A393)=4,COUNT(F382:F393)=4),cubic_spline(F381:F385,A381:A385,B$9),IF(AND(COUNT(A382:A393)=5,COUNT(F382:F393)=5),cubic_spline(F381:F386,A381:A386,B$9),IF(AND(COUNT(A382:A393)=6,COUNT(F382:F393)=6),cubic_spline(F381:F387,A381:A387,B$9),IF(AND(COUNT(A382:A393)=7,COUNT(F382:F393)=7),cubic_spline(F381:F388,A381:A388,B$9),IF(AND(COUNT(A382:A393)=8,COUNT(F382:F393)=8),cubic_spline(F381:F389,A381:A389,B$9),IF(AND(COUNT(A382:A393)=9,COUNT(F382:F393)=9),cubic_spline(F381:F390,A381:A390,B$9),IF(AND(COUNT(A382:A393)=10,COUNT(F382:F393)=10),cubic_spline(F381:F391,A381:A391,B$9),IF(AND(COUNT(A382:A393)=11,COUNT(F382:F393)=11),cubic_spline(F381:F392,A381:A392,B$9),IF(AND(COUNT(A382:A393)=12,COUNT(F382:F393)=12),cubic_spline(F381:F393,A381:A393,B$9),""))))))))))))</f>
        <v/>
      </c>
      <c r="L389" s="27" t="str">
        <f>IF(I389="","",B$8&amp;"-"&amp;B$9)</f>
        <v/>
      </c>
      <c r="M389" s="52" t="str">
        <f t="shared" si="145"/>
        <v/>
      </c>
    </row>
    <row r="390" spans="1:13" x14ac:dyDescent="0.35">
      <c r="A390" s="48"/>
      <c r="B390" s="48"/>
      <c r="C390" s="50"/>
      <c r="D390" s="50"/>
      <c r="E390" s="51" t="str">
        <f t="shared" si="143"/>
        <v/>
      </c>
      <c r="F390" s="71" t="str">
        <f t="shared" si="141"/>
        <v/>
      </c>
      <c r="G390" s="69" t="str">
        <f t="shared" si="144"/>
        <v/>
      </c>
      <c r="H390" s="70" t="str">
        <f t="shared" si="142"/>
        <v/>
      </c>
      <c r="I390" s="27" t="str">
        <f>IF(N(J390)=0,"",0&amp;"-"&amp;B$10)</f>
        <v/>
      </c>
      <c r="J390" s="52" t="str">
        <f>IF(N(B$10)=0,"",IF(AND(COUNT(H382:H393)=2,COUNT(F382:F393)=2),cubic_spline(F381:F383,H381:H383,B$10),IF(AND(COUNT(H382:H393)=3,COUNT(F382:F393)=3),cubic_spline(F381:F384,H381:H384,B$10),IF(AND(COUNT(H382:H393)=4,COUNT(F382:F393)=4),cubic_spline(F381:F385,H381:H385,B$10),IF(AND(COUNT(H382:H393)=5,COUNT(F382:F393)=5),cubic_spline(F381:F386,H381:H386,B$10),IF(AND(COUNT(H382:H393)=6,COUNT(F382:F393)=6),cubic_spline(F381:F387,H381:H387,B$10),IF(AND(COUNT(H382:H393)=7,COUNT(F382:F393)=7),cubic_spline(F381:F388,H381:H388,B$10),IF(AND(COUNT(H382:H393)=8,COUNT(F382:F393)=8),cubic_spline(F381:F389,H381:H389,B$10),IF(AND(COUNT(H382:H393)=9,COUNT(F382:F393)=9),cubic_spline(F381:F390,H381:H390,B$10),IF(AND(COUNT(H382:H393)=10,COUNT(F382:F393)=10),cubic_spline(F381:F391,H381:H391,B$10),IF(AND(COUNT(H382:H393)=11,COUNT(F382:F393)=11),cubic_spline(F381:F392,H381:H392,B$10),IF(AND(COUNT(H382:H393)=12,COUNT(F382:F393)=12),cubic_spline(F381:F393,H381:H393,B$10),""))))))))))))</f>
        <v/>
      </c>
      <c r="K390" s="52" t="str">
        <f>IF(N(B$10)=0,"",IF(AND(COUNT(A382:A393)=2,COUNT(F382:F393)=2),cubic_spline(F381:F383,A381:A383,B$10),IF(AND(COUNT(A382:A393)=3,COUNT(F382:F393)=3),cubic_spline(F381:F384,A381:A384,B$10),IF(AND(COUNT(A382:A393)=4,COUNT(F382:F393)=4),cubic_spline(F381:F385,A381:A385,B$10),IF(AND(COUNT(A382:A393)=5,COUNT(F382:F393)=5),cubic_spline(F381:F386,A381:A386,B$10),IF(AND(COUNT(A382:A393)=6,COUNT(F382:F393)=6),cubic_spline(F381:F387,A381:A387,B$10),IF(AND(COUNT(A382:A393)=7,COUNT(F382:F393)=7),cubic_spline(F381:F388,A381:A388,B$10),IF(AND(COUNT(A382:A393)=8,COUNT(F382:F393)=8),cubic_spline(F381:F389,A381:A389,B$10),IF(AND(COUNT(A382:A393)=9,COUNT(F382:F393)=9),cubic_spline(F381:F390,A381:A390,B$10),IF(AND(COUNT(A382:A393)=10,COUNT(F382:F393)=10),cubic_spline(F381:F391,A381:A391,B$10),IF(AND(COUNT(A382:A393)=11,COUNT(F382:F393)=11),cubic_spline(F381:F392,A381:A392,B$10),IF(AND(COUNT(A382:A393)=12,COUNT(F382:F393)=12),cubic_spline(F381:F393,A381:A393,B$10),""))))))))))))</f>
        <v/>
      </c>
      <c r="L390" s="27" t="str">
        <f>IF(I390="","",B$9&amp;"-"&amp;B$10)</f>
        <v/>
      </c>
      <c r="M390" s="52" t="str">
        <f t="shared" si="145"/>
        <v/>
      </c>
    </row>
    <row r="391" spans="1:13" x14ac:dyDescent="0.35">
      <c r="A391" s="48"/>
      <c r="B391" s="48"/>
      <c r="C391" s="50"/>
      <c r="D391" s="50"/>
      <c r="E391" s="51" t="str">
        <f t="shared" si="143"/>
        <v/>
      </c>
      <c r="F391" s="71" t="str">
        <f t="shared" si="141"/>
        <v/>
      </c>
      <c r="G391" s="69" t="str">
        <f t="shared" si="144"/>
        <v/>
      </c>
      <c r="H391" s="70" t="str">
        <f t="shared" si="142"/>
        <v/>
      </c>
      <c r="I391" s="27" t="str">
        <f>IF(N(J391)=0,"",0&amp;"-"&amp;B$11)</f>
        <v/>
      </c>
      <c r="J391" s="52" t="str">
        <f>IF(N(B$11)=0,"",IF(AND(COUNT(H382:H393)=2,COUNT(F382:F393)=2),cubic_spline(F381:F383,H381:H383,B$11),IF(AND(COUNT(H382:H393)=3,COUNT(F382:F393)=3),cubic_spline(F381:F384,H381:H384,B$11),IF(AND(COUNT(H382:H393)=4,COUNT(F382:F393)=4),cubic_spline(F381:F385,H381:H385,B$11),IF(AND(COUNT(H382:H393)=5,COUNT(F382:F393)=5),cubic_spline(F381:F386,H381:H386,B$11),IF(AND(COUNT(H382:H393)=6,COUNT(F382:F393)=6),cubic_spline(F381:F387,H381:H387,B$11),IF(AND(COUNT(H382:H393)=7,COUNT(F382:F393)=7),cubic_spline(F381:F388,H381:H388,B$11),IF(AND(COUNT(H382:H393)=8,COUNT(F382:F393)=8),cubic_spline(F381:F389,H381:H389,B$11),IF(AND(COUNT(H382:H393)=9,COUNT(F382:F393)=9),cubic_spline(F381:F390,H381:H390,B$11),IF(AND(COUNT(H382:H393)=10,COUNT(F382:F393)=10),cubic_spline(F381:F391,H381:H391,B$11),IF(AND(COUNT(H382:H393)=11,COUNT(F382:F393)=11),cubic_spline(F381:F392,H381:H392,B$11),IF(AND(COUNT(H382:H393)=12,COUNT(F382:F393)=12),cubic_spline(F381:F393,H381:H393,B$11),""))))))))))))</f>
        <v/>
      </c>
      <c r="K391" s="52" t="str">
        <f>IF(N(B$11)=0,"",IF(AND(COUNT(A382:A393)=2,COUNT(F382:F393)=2),cubic_spline(F381:F383,A381:A383,B$11),IF(AND(COUNT(A382:A393)=3,COUNT(F382:F393)=3),cubic_spline(F381:F384,A381:A384,B$11),IF(AND(COUNT(A382:A393)=4,COUNT(F382:F393)=4),cubic_spline(F381:F385,A381:A385,B$11),IF(AND(COUNT(A382:A393)=5,COUNT(F382:F393)=5),cubic_spline(F381:F386,A381:A386,B$11),IF(AND(COUNT(A382:A393)=6,COUNT(F382:F393)=6),cubic_spline(F381:F387,A381:A387,B$11),IF(AND(COUNT(A382:A393)=7,COUNT(F382:F393)=7),cubic_spline(F381:F388,A381:A388,B$11),IF(AND(COUNT(A382:A393)=8,COUNT(F382:F393)=8),cubic_spline(F381:F389,A381:A389,B$11),IF(AND(COUNT(A382:A393)=9,COUNT(F382:F393)=9),cubic_spline(F381:F390,A381:A390,B$11),IF(AND(COUNT(A382:A393)=10,COUNT(F382:F393)=10),cubic_spline(F381:F391,A381:A391,B$11),IF(AND(COUNT(A382:A393)=11,COUNT(F382:F393)=11),cubic_spline(F381:F392,A381:A392,B$11),IF(AND(COUNT(A382:A393)=12,COUNT(F382:F393)=12),cubic_spline(F381:F393,A381:A393,B$11),""))))))))))))</f>
        <v/>
      </c>
      <c r="L391" s="27" t="str">
        <f>IF(I391="","",B$10&amp;"-"&amp;B$11)</f>
        <v/>
      </c>
      <c r="M391" s="52" t="str">
        <f t="shared" si="145"/>
        <v/>
      </c>
    </row>
    <row r="392" spans="1:13" x14ac:dyDescent="0.35">
      <c r="A392" s="48"/>
      <c r="B392" s="48"/>
      <c r="C392" s="50"/>
      <c r="D392" s="50"/>
      <c r="E392" s="51" t="str">
        <f t="shared" si="143"/>
        <v/>
      </c>
      <c r="F392" s="71" t="str">
        <f t="shared" si="141"/>
        <v/>
      </c>
      <c r="G392" s="69" t="str">
        <f t="shared" si="144"/>
        <v/>
      </c>
      <c r="H392" s="70" t="str">
        <f t="shared" si="142"/>
        <v/>
      </c>
      <c r="I392" s="27" t="str">
        <f>IF(N(J392)=0,"",0&amp;"-"&amp;B$12)</f>
        <v/>
      </c>
      <c r="J392" s="52" t="str">
        <f>IF(N(B$12)=0,"",IF(AND(COUNT(H382:H393)=2,COUNT(F382:F393)=2),cubic_spline(F381:F383,H381:H383,B$12),IF(AND(COUNT(H382:H393)=3,COUNT(F382:F393)=3),cubic_spline(F381:F384,H381:H384,B$12),IF(AND(COUNT(H382:H393)=4,COUNT(F382:F393)=4),cubic_spline(F381:F385,H381:H385,B$12),IF(AND(COUNT(H382:H393)=5,COUNT(F382:F393)=5),cubic_spline(F381:F386,H381:H386,B$12),IF(AND(COUNT(H382:H393)=6,COUNT(F382:F393)=6),cubic_spline(F381:F387,H381:H387,B$12),IF(AND(COUNT(H382:H393)=7,COUNT(F382:F393)=7),cubic_spline(F381:F388,H381:H388,B$12),IF(AND(COUNT(H382:H393)=8,COUNT(F382:F393)=8),cubic_spline(F381:F389,H381:H389,B$12),IF(AND(COUNT(H382:H393)=9,COUNT(F382:F393)=9),cubic_spline(F381:F390,H381:H390,B$12),IF(AND(COUNT(H382:H393)=10,COUNT(F382:F393)=10),cubic_spline(F381:F391,H381:H391,B$12),IF(AND(COUNT(H382:H393)=11,COUNT(F382:F393)=11),cubic_spline(F381:F392,H381:H392,B$12),IF(AND(COUNT(H382:H393)=12,COUNT(F382:F393)=12),cubic_spline(F381:F393,H381:H393,B$12),""))))))))))))</f>
        <v/>
      </c>
      <c r="K392" s="52" t="str">
        <f>IF(N(B$12)=0,"",IF(AND(COUNT(A382:A393)=2,COUNT(F382:F393)=2),cubic_spline(F381:F383,A381:A383,B$12),IF(AND(COUNT(A382:A393)=3,COUNT(F382:F393)=3),cubic_spline(F381:F384,A381:A384,B$12),IF(AND(COUNT(A382:A393)=4,COUNT(F382:F393)=4),cubic_spline(F381:F385,A381:A385,B$12),IF(AND(COUNT(A382:A393)=5,COUNT(F382:F393)=5),cubic_spline(F381:F386,A381:A386,B$12),IF(AND(COUNT(A382:A393)=6,COUNT(F382:F393)=6),cubic_spline(F381:F387,A381:A387,B$12),IF(AND(COUNT(A382:A393)=7,COUNT(F382:F393)=7),cubic_spline(F381:F388,A381:A388,B$12),IF(AND(COUNT(A382:A393)=8,COUNT(F382:F393)=8),cubic_spline(F381:F389,A381:A389,B$12),IF(AND(COUNT(A382:A393)=9,COUNT(F382:F393)=9),cubic_spline(F381:F390,A381:A390,B$12),IF(AND(COUNT(A382:A393)=10,COUNT(F382:F393)=10),cubic_spline(F381:F391,A381:A391,B$12),IF(AND(COUNT(A382:A393)=11,COUNT(F382:F393)=11),cubic_spline(F381:F392,A381:A392,B$12),IF(AND(COUNT(A382:A393)=12,COUNT(F382:F393)=12),cubic_spline(F381:F393,A381:A393,B$12),""))))))))))))</f>
        <v/>
      </c>
      <c r="L392" s="27" t="str">
        <f>IF(I392="","",B$11&amp;"-"&amp;B$12)</f>
        <v/>
      </c>
      <c r="M392" s="52" t="str">
        <f t="shared" si="145"/>
        <v/>
      </c>
    </row>
    <row r="393" spans="1:13" x14ac:dyDescent="0.35">
      <c r="A393" s="48"/>
      <c r="B393" s="48"/>
      <c r="C393" s="50"/>
      <c r="D393" s="50"/>
      <c r="E393" s="51" t="str">
        <f t="shared" si="143"/>
        <v/>
      </c>
      <c r="F393" s="71" t="str">
        <f t="shared" si="141"/>
        <v/>
      </c>
      <c r="G393" s="69" t="str">
        <f t="shared" si="144"/>
        <v/>
      </c>
      <c r="H393" s="70" t="str">
        <f t="shared" si="142"/>
        <v/>
      </c>
      <c r="I393" s="27" t="str">
        <f>IF(N(J393)=0,"",0&amp;"-"&amp;B$13)</f>
        <v/>
      </c>
      <c r="J393" s="52" t="str">
        <f>IF(N(B$13)=0,"",IF(AND(COUNT(H382:H393)=2,COUNT(F382:F393)=2),cubic_spline(F381:F383,H381:H383,B$13),IF(AND(COUNT(H382:H393)=3,COUNT(F382:F393)=3),cubic_spline(F381:F384,H381:H384,B$13),IF(AND(COUNT(H382:H393)=4,COUNT(F382:F393)=4),cubic_spline(F381:F385,H381:H385,B$13),IF(AND(COUNT(H382:H393)=5,COUNT(F382:F393)=5),cubic_spline(F381:F386,H381:H386,B$13),IF(AND(COUNT(H382:H393)=6,COUNT(F382:F393)=6),cubic_spline(F381:F387,H381:H387,B$13),IF(AND(COUNT(H382:H393)=7,COUNT(F382:F393)=7),cubic_spline(F381:F388,H381:H388,B$13),IF(AND(COUNT(H382:H393)=8,COUNT(F382:F393)=8),cubic_spline(F381:F389,H381:H389,B$13),IF(AND(COUNT(H382:H393)=9,COUNT(F382:F393)=9),cubic_spline(F381:F390,H381:H390,B$13),IF(AND(COUNT(H382:H393)=10,COUNT(F382:F393)=10),cubic_spline(F381:F391,H381:H391,B$13),IF(AND(COUNT(H382:H393)=11,COUNT(F382:F393)=11),cubic_spline(F381:F392,H381:H392,B$13),IF(AND(COUNT(H382:H393)=12,COUNT(F382:F393)=12),cubic_spline(F381:F393,H381:H393,B$13),""))))))))))))</f>
        <v/>
      </c>
      <c r="K393" s="52" t="str">
        <f>IF(N(B$13)=0,"",IF(AND(COUNT(A382:A393)=2,COUNT(F382:F393)=2),cubic_spline(F381:F383,A381:A383,B$13),IF(AND(COUNT(A382:A393)=3,COUNT(F382:F393)=3),cubic_spline(F381:F384,A381:A384,B$13),IF(AND(COUNT(A382:A393)=4,COUNT(F382:F393)=4),cubic_spline(F381:F385,A381:A385,B$13),IF(AND(COUNT(A382:A393)=5,COUNT(F382:F393)=5),cubic_spline(F381:F386,A381:A386,B$13),IF(AND(COUNT(A382:A393)=6,COUNT(F382:F393)=6),cubic_spline(F381:F387,A381:A387,B$13),IF(AND(COUNT(A382:A393)=7,COUNT(F382:F393)=7),cubic_spline(F381:F388,A381:A388,B$13),IF(AND(COUNT(A382:A393)=8,COUNT(F382:F393)=8),cubic_spline(F381:F389,A381:A389,B$13),IF(AND(COUNT(A382:A393)=9,COUNT(F382:F393)=9),cubic_spline(F381:F390,A381:A390,B$13),IF(AND(COUNT(A382:A393)=10,COUNT(F382:F393)=10),cubic_spline(F381:F391,A381:A391,B$13),IF(AND(COUNT(A382:A393)=11,COUNT(F382:F393)=11),cubic_spline(F381:F392,A381:A392,B$13),IF(AND(COUNT(A382:A393)=12,COUNT(F382:F393)=12),cubic_spline(F381:F393,A381:A393,B$13),""))))))))))))</f>
        <v/>
      </c>
      <c r="L393" s="27" t="str">
        <f>IF(I393="","",B$12&amp;"-"&amp;B$13)</f>
        <v/>
      </c>
      <c r="M393" s="52" t="str">
        <f t="shared" si="145"/>
        <v/>
      </c>
    </row>
    <row r="394" spans="1:13" ht="5.15" customHeight="1" x14ac:dyDescent="0.35">
      <c r="A394" s="47"/>
      <c r="B394" s="47"/>
      <c r="C394" s="53"/>
      <c r="D394" s="53"/>
      <c r="E394" s="54"/>
      <c r="F394" s="55"/>
      <c r="G394" s="72"/>
      <c r="H394" s="73"/>
      <c r="I394" s="47"/>
      <c r="J394" s="57"/>
      <c r="K394" s="57"/>
      <c r="L394" s="55"/>
      <c r="M394" s="57"/>
    </row>
    <row r="395" spans="1:13" x14ac:dyDescent="0.35">
      <c r="A395" s="48"/>
      <c r="B395" s="48"/>
      <c r="C395" s="50"/>
      <c r="D395" s="50"/>
      <c r="E395" s="51" t="str">
        <f>IF(N(C395)=0,"",(A395-A394)*C395*100)</f>
        <v/>
      </c>
      <c r="F395" s="68" t="str">
        <f t="shared" ref="F395:F406" si="146">IF(N(E395)=0,"",(N(E395)+N(F394)))</f>
        <v/>
      </c>
      <c r="G395" s="69" t="str">
        <f>IF(OR(N(D395)=0,N(E395)=0),"",(E395*D395)/1000)</f>
        <v/>
      </c>
      <c r="H395" s="70" t="str">
        <f t="shared" ref="H395:H406" si="147">IF(N(G395)=0,"",(N(G395)+N(H394)))</f>
        <v/>
      </c>
      <c r="I395" s="27" t="str">
        <f>IF(N(J395)=0,"",0&amp;"-"&amp;B$2)</f>
        <v/>
      </c>
      <c r="J395" s="52" t="str">
        <f>IF(N(B$2)=0,"",IF(AND(COUNT(H395:H406)=2,COUNT(F395:F406)=2),cubic_spline(F394:F396,H394:H396,B$2),IF(AND(COUNT(H395:H406)=3,COUNT(F395:F406)=3),cubic_spline(F394:F397,H394:H397,B$2),IF(AND(COUNT(H395:H406)=4,COUNT(F395:F406)=4),cubic_spline(F394:F398,H394:H398,B$2),IF(AND(COUNT(H395:H406)=5,COUNT(F395:F406)=5),cubic_spline(F394:F399,H394:H399,B$2),IF(AND(COUNT(H395:H406)=6,COUNT(F395:F406)=6),cubic_spline(F394:F400,H394:H400,B$2),IF(AND(COUNT(H395:H406)=7,COUNT(F395:F406)=7),cubic_spline(F394:F401,H394:H401,B$2),IF(AND(COUNT(H395:H406)=8,COUNT(F395:F406)=8),cubic_spline(F394:F402,H394:H402,B$2),IF(AND(COUNT(H395:H406)=9,COUNT(F395:F406)=9),cubic_spline(F394:F403,H394:H403,B$2),IF(AND(COUNT(H395:H406)=10,COUNT(F395:F406)=10),cubic_spline(F394:F404,H394:H404,B$2),IF(AND(COUNT(H395:H406)=11,COUNT(F395:F406)=11),cubic_spline(F394:F405,H394:H405,B$2),IF(AND(COUNT(H395:H406)=12,COUNT(F395:F406)=12),cubic_spline(F394:F406,H394:H406,B$2),""))))))))))))</f>
        <v/>
      </c>
      <c r="K395" s="52" t="str">
        <f>IF(N(B$2)=0,"",IF(AND(COUNT(A395:A406)=2,COUNT(F395:F406)=2),cubic_spline(F394:F396,A394:A396,B$2),IF(AND(COUNT(A395:A406)=3,COUNT(F395:F406)=3),cubic_spline(F394:F397,A394:A397,B$2),IF(AND(COUNT(A395:A406)=4,COUNT(F395:F406)=4),cubic_spline(F394:F398,A394:A398,B$2),IF(AND(COUNT(A395:A406)=5,COUNT(F395:F406)=5),cubic_spline(F394:F399,A394:A399,B$2),IF(AND(COUNT(A395:A406)=6,COUNT(F395:F406)=6),cubic_spline(F394:F400,A394:A400,B$2),IF(AND(COUNT(A395:A406)=7,COUNT(F395:F406)=7),cubic_spline(F394:F401,A394:A401,B$2),IF(AND(COUNT(A395:A406)=8,COUNT(F395:F406)=8),cubic_spline(F394:F402,A394:A402,B$2),IF(AND(COUNT(A395:A406)=9,COUNT(F395:F406)=9),cubic_spline(F394:F403,A394:A403,B$2),IF(AND(COUNT(A395:A406)=10,COUNT(F395:F406)=10),cubic_spline(F394:F404,A394:A404,B$2),IF(AND(COUNT(A395:A406)=11,COUNT(F395:F406)=11),cubic_spline(F394:F405,A394:A405,B$2),IF(AND(COUNT(A395:A406)=12,COUNT(F395:F406)=12),cubic_spline(F394:F406,A394:A406,B$2),""))))))))))))</f>
        <v/>
      </c>
      <c r="L395" s="27" t="str">
        <f>IF(I395="","",0&amp;"-"&amp;B$2)</f>
        <v/>
      </c>
      <c r="M395" s="52" t="str">
        <f>IF(N(J395)=0,"",J395-J394)</f>
        <v/>
      </c>
    </row>
    <row r="396" spans="1:13" x14ac:dyDescent="0.35">
      <c r="A396" s="48"/>
      <c r="B396" s="48"/>
      <c r="C396" s="50"/>
      <c r="D396" s="50"/>
      <c r="E396" s="51" t="str">
        <f t="shared" ref="E396:E406" si="148">IF(N(C396)=0,"",(A396-A395)*C396*100)</f>
        <v/>
      </c>
      <c r="F396" s="68" t="str">
        <f t="shared" si="146"/>
        <v/>
      </c>
      <c r="G396" s="69" t="str">
        <f t="shared" ref="G396:G406" si="149">IF(OR(N(D396)=0,N(E396)=0),"",(E396*D396)/1000)</f>
        <v/>
      </c>
      <c r="H396" s="70" t="str">
        <f t="shared" si="147"/>
        <v/>
      </c>
      <c r="I396" s="27" t="str">
        <f>IF(N(J396)=0,"",0&amp;"-"&amp;B$3)</f>
        <v/>
      </c>
      <c r="J396" s="52" t="str">
        <f>IF(N(B$3)=0,"",IF(AND(COUNT(H395:H406)=2,COUNT(F395:F406)=2),cubic_spline(F394:F396,H394:H396,B$3),IF(AND(COUNT(H395:H406)=3,COUNT(F395:F406)=3),cubic_spline(F394:F397,H394:H397,B$3),IF(AND(COUNT(H395:H406)=4,COUNT(F395:F406)=4),cubic_spline(F394:F398,H394:H398,B$3),IF(AND(COUNT(H395:H406)=5,COUNT(F395:F406)=5),cubic_spline(F394:F399,H394:H399,B$3),IF(AND(COUNT(H395:H406)=6,COUNT(F395:F406)=6),cubic_spline(F394:F400,H394:H400,B$3),IF(AND(COUNT(H395:H406)=7,COUNT(F395:F406)=7),cubic_spline(F394:F401,H394:H401,B$3),IF(AND(COUNT(H395:H406)=8,COUNT(F395:F406)=8),cubic_spline(F394:F402,H394:H402,B$3),IF(AND(COUNT(H395:H406)=9,COUNT(F395:F406)=9),cubic_spline(F394:F403,H394:H403,B$3),IF(AND(COUNT(H395:H406)=10,COUNT(F395:F406)=10),cubic_spline(F394:F404,H394:H404,B$3),IF(AND(COUNT(H395:H406)=11,COUNT(F395:F406)=11),cubic_spline(F394:F405,H394:H405,B$3),IF(AND(COUNT(H395:H406)=12,COUNT(F395:F406)=12),cubic_spline(F394:F406,H394:H406,B$3),""))))))))))))</f>
        <v/>
      </c>
      <c r="K396" s="52" t="str">
        <f>IF(N(B$3)=0,"",IF(AND(COUNT(A395:A406)=2,COUNT(F395:F406)=2),cubic_spline(F394:F396,A394:A396,B$3),IF(AND(COUNT(A395:A406)=3,COUNT(F395:F406)=3),cubic_spline(F394:F397,A394:A397,B$3),IF(AND(COUNT(A395:A406)=4,COUNT(F395:F406)=4),cubic_spline(F394:F398,A394:A398,B$3),IF(AND(COUNT(A395:A406)=5,COUNT(F395:F406)=5),cubic_spline(F394:F399,A394:A399,B$3),IF(AND(COUNT(A395:A406)=6,COUNT(F395:F406)=6),cubic_spline(F394:F400,A394:A400,B$3),IF(AND(COUNT(A395:A406)=7,COUNT(F395:F406)=7),cubic_spline(F394:F401,A394:A401,B$3),IF(AND(COUNT(A395:A406)=8,COUNT(F395:F406)=8),cubic_spline(F394:F402,A394:A402,B$3),IF(AND(COUNT(A395:A406)=9,COUNT(F395:F406)=9),cubic_spline(F394:F403,A394:A403,B$3),IF(AND(COUNT(A395:A406)=10,COUNT(F395:F406)=10),cubic_spline(F394:F404,A394:A404,B$3),IF(AND(COUNT(A395:A406)=11,COUNT(F395:F406)=11),cubic_spline(F394:F405,A394:A405,B$3),IF(AND(COUNT(A395:A406)=12,COUNT(F395:F406)=12),cubic_spline(F394:F406,A394:A406,B$3),""))))))))))))</f>
        <v/>
      </c>
      <c r="L396" s="27" t="str">
        <f>IF(I396="","",B$2&amp;"-"&amp;B$3)</f>
        <v/>
      </c>
      <c r="M396" s="52" t="str">
        <f>IF(N(J396)=0,"",J396-J395)</f>
        <v/>
      </c>
    </row>
    <row r="397" spans="1:13" x14ac:dyDescent="0.35">
      <c r="A397" s="48"/>
      <c r="B397" s="48"/>
      <c r="C397" s="50"/>
      <c r="D397" s="50"/>
      <c r="E397" s="51" t="str">
        <f t="shared" si="148"/>
        <v/>
      </c>
      <c r="F397" s="68" t="str">
        <f t="shared" si="146"/>
        <v/>
      </c>
      <c r="G397" s="69" t="str">
        <f t="shared" si="149"/>
        <v/>
      </c>
      <c r="H397" s="70" t="str">
        <f t="shared" si="147"/>
        <v/>
      </c>
      <c r="I397" s="27" t="str">
        <f>IF(N(J397)=0,"",0&amp;"-"&amp;B$4)</f>
        <v/>
      </c>
      <c r="J397" s="52" t="str">
        <f>IF(N(B$4)=0,"",IF(AND(COUNT(H395:H406)=2,COUNT(F395:F406)=2),cubic_spline(F394:F396,H394:H396,B$4),IF(AND(COUNT(H395:H406)=3,COUNT(F395:F406)=3),cubic_spline(F394:F397,H394:H397,B$4),IF(AND(COUNT(H395:H406)=4,COUNT(F395:F406)=4),cubic_spline(F394:F398,H394:H398,B$4),IF(AND(COUNT(H395:H406)=5,COUNT(F395:F406)=5),cubic_spline(F394:F399,H394:H399,B$4),IF(AND(COUNT(H395:H406)=6,COUNT(F395:F406)=6),cubic_spline(F394:F400,H394:H400,B$4),IF(AND(COUNT(H395:H406)=7,COUNT(F395:F406)=7),cubic_spline(F394:F401,H394:H401,B$4),IF(AND(COUNT(H395:H406)=8,COUNT(F395:F406)=8),cubic_spline(F394:F402,H394:H402,B$4),IF(AND(COUNT(H395:H406)=9,COUNT(F395:F406)=9),cubic_spline(F394:F403,H394:H403,B$4),IF(AND(COUNT(H395:H406)=10,COUNT(F395:F406)=10),cubic_spline(F394:F404,H394:H404,B$4),IF(AND(COUNT(H395:H406)=11,COUNT(F395:F406)=11),cubic_spline(F394:F405,H394:H405,B$4),IF(AND(COUNT(H395:H406)=12,COUNT(F395:F406)=12),cubic_spline(F394:F406,H394:H406,B$4),""))))))))))))</f>
        <v/>
      </c>
      <c r="K397" s="52" t="str">
        <f>IF(N(B$4)=0,"",IF(AND(COUNT(A395:A406)=2,COUNT(F395:F406)=2),cubic_spline(F394:F396,A394:A396,B$4),IF(AND(COUNT(A395:A406)=3,COUNT(F395:F406)=3),cubic_spline(F394:F397,A394:A397,B$4),IF(AND(COUNT(A395:A406)=4,COUNT(F395:F406)=4),cubic_spline(F394:F398,A394:A398,B$4),IF(AND(COUNT(A395:A406)=5,COUNT(F395:F406)=5),cubic_spline(F394:F399,A394:A399,B$4),IF(AND(COUNT(A395:A406)=6,COUNT(F395:F406)=6),cubic_spline(F394:F400,A394:A400,B$4),IF(AND(COUNT(A395:A406)=7,COUNT(F395:F406)=7),cubic_spline(F394:F401,A394:A401,B$4),IF(AND(COUNT(A395:A406)=8,COUNT(F395:F406)=8),cubic_spline(F394:F402,A394:A402,B$4),IF(AND(COUNT(A395:A406)=9,COUNT(F395:F406)=9),cubic_spline(F394:F403,A394:A403,B$4),IF(AND(COUNT(A395:A406)=10,COUNT(F395:F406)=10),cubic_spline(F394:F404,A394:A404,B$4),IF(AND(COUNT(A395:A406)=11,COUNT(F395:F406)=11),cubic_spline(F394:F405,A394:A405,B$4),IF(AND(COUNT(A395:A406)=12,COUNT(F395:F406)=12),cubic_spline(F394:F406,A394:A406,B$4),""))))))))))))</f>
        <v/>
      </c>
      <c r="L397" s="27" t="str">
        <f>IF(I397="","",B$3&amp;"-"&amp;B$4)</f>
        <v/>
      </c>
      <c r="M397" s="52" t="str">
        <f>IF(N(J397)=0,"",J397-J396)</f>
        <v/>
      </c>
    </row>
    <row r="398" spans="1:13" x14ac:dyDescent="0.35">
      <c r="A398" s="48"/>
      <c r="B398" s="48"/>
      <c r="C398" s="50"/>
      <c r="D398" s="50"/>
      <c r="E398" s="51" t="str">
        <f t="shared" si="148"/>
        <v/>
      </c>
      <c r="F398" s="68" t="str">
        <f t="shared" si="146"/>
        <v/>
      </c>
      <c r="G398" s="69" t="str">
        <f t="shared" si="149"/>
        <v/>
      </c>
      <c r="H398" s="70" t="str">
        <f t="shared" si="147"/>
        <v/>
      </c>
      <c r="I398" s="27" t="str">
        <f>IF(N(J398)=0,"",0&amp;"-"&amp;B$5)</f>
        <v/>
      </c>
      <c r="J398" s="52" t="str">
        <f>IF(N(B$5)=0,"",IF(AND(COUNT(H395:H406)=2,COUNT(F395:F406)=2),cubic_spline(F394:F396,H394:H396,B$5),IF(AND(COUNT(H395:H406)=3,COUNT(F395:F406)=3),cubic_spline(F394:F397,H394:H397,B$5),IF(AND(COUNT(H395:H406)=4,COUNT(F395:F406)=4),cubic_spline(F394:F398,H394:H398,B$5),IF(AND(COUNT(H395:H406)=5,COUNT(F395:F406)=5),cubic_spline(F394:F399,H394:H399,B$5),IF(AND(COUNT(H395:H406)=6,COUNT(F395:F406)=6),cubic_spline(F394:F400,H394:H400,B$5),IF(AND(COUNT(H395:H406)=7,COUNT(F395:F406)=7),cubic_spline(F394:F401,H394:H401,B$5),IF(AND(COUNT(H395:H406)=8,COUNT(F395:F406)=8),cubic_spline(F394:F402,H394:H402,B$5),IF(AND(COUNT(H395:H406)=9,COUNT(F395:F406)=9),cubic_spline(F394:F403,H394:H403,B$5),IF(AND(COUNT(H395:H406)=10,COUNT(F395:F406)=10),cubic_spline(F394:F404,H394:H404,B$5),IF(AND(COUNT(H395:H406)=11,COUNT(F395:F406)=11),cubic_spline(F394:F405,H394:H405,B$5),IF(AND(COUNT(H395:H406)=12,COUNT(F395:F406)=12),cubic_spline(F394:F406,H394:H406,B$5),""))))))))))))</f>
        <v/>
      </c>
      <c r="K398" s="52" t="str">
        <f>IF(N(B$5)=0,"",IF(AND(COUNT(A395:A406)=2,COUNT(F395:F406)=2),cubic_spline(F394:F396,A394:A396,B$5),IF(AND(COUNT(A395:A406)=3,COUNT(F395:F406)=3),cubic_spline(F394:F397,A394:A397,B$5),IF(AND(COUNT(A395:A406)=4,COUNT(F395:F406)=4),cubic_spline(F394:F398,A394:A398,B$5),IF(AND(COUNT(A395:A406)=5,COUNT(F395:F406)=5),cubic_spline(F394:F399,A394:A399,B$5),IF(AND(COUNT(A395:A406)=6,COUNT(F395:F406)=6),cubic_spline(F394:F400,A394:A400,B$5),IF(AND(COUNT(A395:A406)=7,COUNT(F395:F406)=7),cubic_spline(F394:F401,A394:A401,B$5),IF(AND(COUNT(A395:A406)=8,COUNT(F395:F406)=8),cubic_spline(F394:F402,A394:A402,B$5),IF(AND(COUNT(A395:A406)=9,COUNT(F395:F406)=9),cubic_spline(F394:F403,A394:A403,B$5),IF(AND(COUNT(A395:A406)=10,COUNT(F395:F406)=10),cubic_spline(F394:F404,A394:A404,B$5),IF(AND(COUNT(A395:A406)=11,COUNT(F395:F406)=11),cubic_spline(F394:F405,A394:A405,B$5),IF(AND(COUNT(A395:A406)=12,COUNT(F395:F406)=12),cubic_spline(F394:F406,A394:A406,B$5),""))))))))))))</f>
        <v/>
      </c>
      <c r="L398" s="27" t="str">
        <f>IF(I398="","",B$4&amp;"-"&amp;B$5)</f>
        <v/>
      </c>
      <c r="M398" s="52" t="str">
        <f>IF(N(J398)=0,"",J398-J397)</f>
        <v/>
      </c>
    </row>
    <row r="399" spans="1:13" x14ac:dyDescent="0.35">
      <c r="A399" s="48"/>
      <c r="B399" s="48"/>
      <c r="C399" s="50"/>
      <c r="D399" s="50"/>
      <c r="E399" s="51" t="str">
        <f t="shared" si="148"/>
        <v/>
      </c>
      <c r="F399" s="71" t="str">
        <f t="shared" si="146"/>
        <v/>
      </c>
      <c r="G399" s="69" t="str">
        <f t="shared" si="149"/>
        <v/>
      </c>
      <c r="H399" s="70" t="str">
        <f t="shared" si="147"/>
        <v/>
      </c>
      <c r="I399" s="27" t="str">
        <f>IF(N(J399)=0,"",0&amp;"-"&amp;B$6)</f>
        <v/>
      </c>
      <c r="J399" s="52" t="str">
        <f>IF(N(B$6)=0,"",IF(AND(COUNT(H395:H406)=2,COUNT(F395:F406)=2),cubic_spline(F394:F396,H394:H396,B$6),IF(AND(COUNT(H395:H406)=3,COUNT(F395:F406)=3),cubic_spline(F394:F397,H394:H397,B$6),IF(AND(COUNT(H395:H406)=4,COUNT(F395:F406)=4),cubic_spline(F394:F398,H394:H398,B$6),IF(AND(COUNT(H395:H406)=5,COUNT(F395:F406)=5),cubic_spline(F394:F399,H394:H399,B$6),IF(AND(COUNT(H395:H406)=6,COUNT(F395:F406)=6),cubic_spline(F394:F400,H394:H400,B$6),IF(AND(COUNT(H395:H406)=7,COUNT(F395:F406)=7),cubic_spline(F394:F401,H394:H401,B$6),IF(AND(COUNT(H395:H406)=8,COUNT(F395:F406)=8),cubic_spline(F394:F402,H394:H402,B$6),IF(AND(COUNT(H395:H406)=9,COUNT(F395:F406)=9),cubic_spline(F394:F403,H394:H403,B$6),IF(AND(COUNT(H395:H406)=10,COUNT(F395:F406)=10),cubic_spline(F394:F404,H394:H404,B$6),IF(AND(COUNT(H395:H406)=11,COUNT(F395:F406)=11),cubic_spline(F394:F405,H394:H405,B$6),IF(AND(COUNT(H395:H406)=12,COUNT(F395:F406)=12),cubic_spline(F394:F406,H394:H406,B$6),""))))))))))))</f>
        <v/>
      </c>
      <c r="K399" s="52" t="str">
        <f>IF(N(B$6)=0,"",IF(AND(COUNT(A395:A406)=2,COUNT(F395:F406)=2),cubic_spline(F394:F396,A394:A396,B$6),IF(AND(COUNT(A395:A406)=3,COUNT(F395:F406)=3),cubic_spline(F394:F397,A394:A397,B$6),IF(AND(COUNT(A395:A406)=4,COUNT(F395:F406)=4),cubic_spline(F394:F398,A394:A398,B$6),IF(AND(COUNT(A395:A406)=5,COUNT(F395:F406)=5),cubic_spline(F394:F399,A394:A399,B$6),IF(AND(COUNT(A395:A406)=6,COUNT(F395:F406)=6),cubic_spline(F394:F400,A394:A400,B$6),IF(AND(COUNT(A395:A406)=7,COUNT(F395:F406)=7),cubic_spline(F394:F401,A394:A401,B$6),IF(AND(COUNT(A395:A406)=8,COUNT(F395:F406)=8),cubic_spline(F394:F402,A394:A402,B$6),IF(AND(COUNT(A395:A406)=9,COUNT(F395:F406)=9),cubic_spline(F394:F403,A394:A403,B$6),IF(AND(COUNT(A395:A406)=10,COUNT(F395:F406)=10),cubic_spline(F394:F404,A394:A404,B$6),IF(AND(COUNT(A395:A406)=11,COUNT(F395:F406)=11),cubic_spline(F394:F405,A394:A405,B$6),IF(AND(COUNT(A395:A406)=12,COUNT(F395:F406)=12),cubic_spline(F394:F406,A394:A406,B$6),""))))))))))))</f>
        <v/>
      </c>
      <c r="L399" s="27" t="str">
        <f>IF(I399="","",B$5&amp;"-"&amp;B$6)</f>
        <v/>
      </c>
      <c r="M399" s="52" t="str">
        <f>IF(N(J399)=0,"",J399-J398)</f>
        <v/>
      </c>
    </row>
    <row r="400" spans="1:13" x14ac:dyDescent="0.35">
      <c r="A400" s="48"/>
      <c r="B400" s="48"/>
      <c r="C400" s="50"/>
      <c r="D400" s="50"/>
      <c r="E400" s="51" t="str">
        <f t="shared" si="148"/>
        <v/>
      </c>
      <c r="F400" s="71" t="str">
        <f t="shared" si="146"/>
        <v/>
      </c>
      <c r="G400" s="69" t="str">
        <f t="shared" si="149"/>
        <v/>
      </c>
      <c r="H400" s="70" t="str">
        <f t="shared" si="147"/>
        <v/>
      </c>
      <c r="I400" s="27" t="str">
        <f>IF(N(J400)=0,"",0&amp;"-"&amp;B$7)</f>
        <v/>
      </c>
      <c r="J400" s="52" t="str">
        <f>IF(N(B$7)=0,"",IF(AND(COUNT(H395:H406)=2,COUNT(F395:F406)=2),cubic_spline(F394:F396,H394:H396,B$7),IF(AND(COUNT(H395:H406)=3,COUNT(F395:F406)=3),cubic_spline(F394:F397,H394:H397,B$7),IF(AND(COUNT(H395:H406)=4,COUNT(F395:F406)=4),cubic_spline(F394:F398,H394:H398,B$7),IF(AND(COUNT(H395:H406)=5,COUNT(F395:F406)=5),cubic_spline(F394:F399,H394:H399,B$7),IF(AND(COUNT(H395:H406)=6,COUNT(F395:F406)=6),cubic_spline(F394:F400,H394:H400,B$7),IF(AND(COUNT(H395:H406)=7,COUNT(F395:F406)=7),cubic_spline(F394:F401,H394:H401,B$7),IF(AND(COUNT(H395:H406)=8,COUNT(F395:F406)=8),cubic_spline(F394:F402,H394:H402,B$7),IF(AND(COUNT(H395:H406)=9,COUNT(F395:F406)=9),cubic_spline(F394:F403,H394:H403,B$7),IF(AND(COUNT(H395:H406)=10,COUNT(F395:F406)=10),cubic_spline(F394:F404,H394:H404,B$7),IF(AND(COUNT(H395:H406)=11,COUNT(F395:F406)=11),cubic_spline(F394:F405,H394:H405,B$7),IF(AND(COUNT(H395:H406)=12,COUNT(F395:F406)=12),cubic_spline(F394:F406,H394:H406,B$7),""))))))))))))</f>
        <v/>
      </c>
      <c r="K400" s="52" t="str">
        <f>IF(N(B$7)=0,"",IF(AND(COUNT(A395:A406)=2,COUNT(F395:F406)=2),cubic_spline(F394:F396,A394:A396,B$7),IF(AND(COUNT(A395:A406)=3,COUNT(F395:F406)=3),cubic_spline(F394:F397,A394:A397,B$7),IF(AND(COUNT(A395:A406)=4,COUNT(F395:F406)=4),cubic_spline(F394:F398,A394:A398,B$7),IF(AND(COUNT(A395:A406)=5,COUNT(F395:F406)=5),cubic_spline(F394:F399,A394:A399,B$7),IF(AND(COUNT(A395:A406)=6,COUNT(F395:F406)=6),cubic_spline(F394:F400,A394:A400,B$7),IF(AND(COUNT(A395:A406)=7,COUNT(F395:F406)=7),cubic_spline(F394:F401,A394:A401,B$7),IF(AND(COUNT(A395:A406)=8,COUNT(F395:F406)=8),cubic_spline(F394:F402,A394:A402,B$7),IF(AND(COUNT(A395:A406)=9,COUNT(F395:F406)=9),cubic_spline(F394:F403,A394:A403,B$7),IF(AND(COUNT(A395:A406)=10,COUNT(F395:F406)=10),cubic_spline(F394:F404,A394:A404,B$7),IF(AND(COUNT(A395:A406)=11,COUNT(F395:F406)=11),cubic_spline(F394:F405,A394:A405,B$7),IF(AND(COUNT(A395:A406)=12,COUNT(F395:F406)=12),cubic_spline(F394:F406,A394:A406,B$7),""))))))))))))</f>
        <v/>
      </c>
      <c r="L400" s="27" t="str">
        <f>IF(I400="","",B$6&amp;"-"&amp;B$7)</f>
        <v/>
      </c>
      <c r="M400" s="52" t="str">
        <f t="shared" ref="M400:M406" si="150">IF(N(J400)=0,"",J400-J399)</f>
        <v/>
      </c>
    </row>
    <row r="401" spans="1:13" x14ac:dyDescent="0.35">
      <c r="A401" s="48"/>
      <c r="B401" s="48"/>
      <c r="C401" s="50"/>
      <c r="D401" s="50"/>
      <c r="E401" s="51" t="str">
        <f t="shared" si="148"/>
        <v/>
      </c>
      <c r="F401" s="71" t="str">
        <f t="shared" si="146"/>
        <v/>
      </c>
      <c r="G401" s="69" t="str">
        <f t="shared" si="149"/>
        <v/>
      </c>
      <c r="H401" s="70" t="str">
        <f t="shared" si="147"/>
        <v/>
      </c>
      <c r="I401" s="27" t="str">
        <f>IF(N(J401)=0,"",0&amp;"-"&amp;B$8)</f>
        <v/>
      </c>
      <c r="J401" s="52" t="str">
        <f>IF(N(B$8)=0,"",IF(AND(COUNT(H395:H406)=2,COUNT(F395:F406)=2),cubic_spline(F394:F396,H394:H396,B$8),IF(AND(COUNT(H395:H406)=3,COUNT(F395:F406)=3),cubic_spline(F394:F397,H394:H397,B$8),IF(AND(COUNT(H395:H406)=4,COUNT(F395:F406)=4),cubic_spline(F394:F398,H394:H398,B$8),IF(AND(COUNT(H395:H406)=5,COUNT(F395:F406)=5),cubic_spline(F394:F399,H394:H399,B$8),IF(AND(COUNT(H395:H406)=6,COUNT(F395:F406)=6),cubic_spline(F394:F400,H394:H400,B$8),IF(AND(COUNT(H395:H406)=7,COUNT(F395:F406)=7),cubic_spline(F394:F401,H394:H401,B$8),IF(AND(COUNT(H395:H406)=8,COUNT(F395:F406)=8),cubic_spline(F394:F402,H394:H402,B$8),IF(AND(COUNT(H395:H406)=9,COUNT(F395:F406)=9),cubic_spline(F394:F403,H394:H403,B$8),IF(AND(COUNT(H395:H406)=10,COUNT(F395:F406)=10),cubic_spline(F394:F404,H394:H404,B$8),IF(AND(COUNT(H395:H406)=11,COUNT(F395:F406)=11),cubic_spline(F394:F405,H394:H405,B$8),IF(AND(COUNT(H395:H406)=12,COUNT(F395:F406)=12),cubic_spline(F394:F406,H394:H406,B$8),""))))))))))))</f>
        <v/>
      </c>
      <c r="K401" s="52" t="str">
        <f>IF(N(B$8)=0,"",IF(AND(COUNT(A395:A406)=2,COUNT(F395:F406)=2),cubic_spline(F394:F396,A394:A396,B$8),IF(AND(COUNT(A395:A406)=3,COUNT(F395:F406)=3),cubic_spline(F394:F397,A394:A397,B$8),IF(AND(COUNT(A395:A406)=4,COUNT(F395:F406)=4),cubic_spline(F394:F398,A394:A398,B$8),IF(AND(COUNT(A395:A406)=5,COUNT(F395:F406)=5),cubic_spline(F394:F399,A394:A399,B$8),IF(AND(COUNT(A395:A406)=6,COUNT(F395:F406)=6),cubic_spline(F394:F400,A394:A400,B$8),IF(AND(COUNT(A395:A406)=7,COUNT(F395:F406)=7),cubic_spline(F394:F401,A394:A401,B$8),IF(AND(COUNT(A395:A406)=8,COUNT(F395:F406)=8),cubic_spline(F394:F402,A394:A402,B$8),IF(AND(COUNT(A395:A406)=9,COUNT(F395:F406)=9),cubic_spline(F394:F403,A394:A403,B$8),IF(AND(COUNT(A395:A406)=10,COUNT(F395:F406)=10),cubic_spline(F394:F404,A394:A404,B$8),IF(AND(COUNT(A395:A406)=11,COUNT(F395:F406)=11),cubic_spline(F394:F405,A394:A405,B$8),IF(AND(COUNT(A395:A406)=12,COUNT(F395:F406)=12),cubic_spline(F394:F406,A394:A406,B$8),""))))))))))))</f>
        <v/>
      </c>
      <c r="L401" s="27" t="str">
        <f>IF(I401="","",B$7&amp;"-"&amp;B$8)</f>
        <v/>
      </c>
      <c r="M401" s="52" t="str">
        <f t="shared" si="150"/>
        <v/>
      </c>
    </row>
    <row r="402" spans="1:13" x14ac:dyDescent="0.35">
      <c r="A402" s="48"/>
      <c r="B402" s="48"/>
      <c r="C402" s="50"/>
      <c r="D402" s="50"/>
      <c r="E402" s="51" t="str">
        <f t="shared" si="148"/>
        <v/>
      </c>
      <c r="F402" s="71" t="str">
        <f t="shared" si="146"/>
        <v/>
      </c>
      <c r="G402" s="69" t="str">
        <f t="shared" si="149"/>
        <v/>
      </c>
      <c r="H402" s="70" t="str">
        <f t="shared" si="147"/>
        <v/>
      </c>
      <c r="I402" s="27" t="str">
        <f>IF(N(J402)=0,"",0&amp;"-"&amp;B$9)</f>
        <v/>
      </c>
      <c r="J402" s="52" t="str">
        <f>IF(N(B$9)=0,"",IF(AND(COUNT(H395:H406)=2,COUNT(F395:F406)=2),cubic_spline(F394:F396,H394:H396,B$9),IF(AND(COUNT(H395:H406)=3,COUNT(F395:F406)=3),cubic_spline(F394:F397,H394:H397,B$9),IF(AND(COUNT(H395:H406)=4,COUNT(F395:F406)=4),cubic_spline(F394:F398,H394:H398,B$9),IF(AND(COUNT(H395:H406)=5,COUNT(F395:F406)=5),cubic_spline(F394:F399,H394:H399,B$9),IF(AND(COUNT(H395:H406)=6,COUNT(F395:F406)=6),cubic_spline(F394:F400,H394:H400,B$9),IF(AND(COUNT(H395:H406)=7,COUNT(F395:F406)=7),cubic_spline(F394:F401,H394:H401,B$9),IF(AND(COUNT(H395:H406)=8,COUNT(F395:F406)=8),cubic_spline(F394:F402,H394:H402,B$9),IF(AND(COUNT(H395:H406)=9,COUNT(F395:F406)=9),cubic_spline(F394:F403,H394:H403,B$9),IF(AND(COUNT(H395:H406)=10,COUNT(F395:F406)=10),cubic_spline(F394:F404,H394:H404,B$9),IF(AND(COUNT(H395:H406)=11,COUNT(F395:F406)=11),cubic_spline(F394:F405,H394:H405,B$9),IF(AND(COUNT(H395:H406)=12,COUNT(F395:F406)=12),cubic_spline(F394:F406,H394:H406,B$9),""))))))))))))</f>
        <v/>
      </c>
      <c r="K402" s="52" t="str">
        <f>IF(N(B$9)=0,"",IF(AND(COUNT(A395:A406)=2,COUNT(F395:F406)=2),cubic_spline(F394:F396,A394:A396,B$9),IF(AND(COUNT(A395:A406)=3,COUNT(F395:F406)=3),cubic_spline(F394:F397,A394:A397,B$9),IF(AND(COUNT(A395:A406)=4,COUNT(F395:F406)=4),cubic_spline(F394:F398,A394:A398,B$9),IF(AND(COUNT(A395:A406)=5,COUNT(F395:F406)=5),cubic_spline(F394:F399,A394:A399,B$9),IF(AND(COUNT(A395:A406)=6,COUNT(F395:F406)=6),cubic_spline(F394:F400,A394:A400,B$9),IF(AND(COUNT(A395:A406)=7,COUNT(F395:F406)=7),cubic_spline(F394:F401,A394:A401,B$9),IF(AND(COUNT(A395:A406)=8,COUNT(F395:F406)=8),cubic_spline(F394:F402,A394:A402,B$9),IF(AND(COUNT(A395:A406)=9,COUNT(F395:F406)=9),cubic_spline(F394:F403,A394:A403,B$9),IF(AND(COUNT(A395:A406)=10,COUNT(F395:F406)=10),cubic_spline(F394:F404,A394:A404,B$9),IF(AND(COUNT(A395:A406)=11,COUNT(F395:F406)=11),cubic_spline(F394:F405,A394:A405,B$9),IF(AND(COUNT(A395:A406)=12,COUNT(F395:F406)=12),cubic_spline(F394:F406,A394:A406,B$9),""))))))))))))</f>
        <v/>
      </c>
      <c r="L402" s="27" t="str">
        <f>IF(I402="","",B$8&amp;"-"&amp;B$9)</f>
        <v/>
      </c>
      <c r="M402" s="52" t="str">
        <f t="shared" si="150"/>
        <v/>
      </c>
    </row>
    <row r="403" spans="1:13" x14ac:dyDescent="0.35">
      <c r="A403" s="48"/>
      <c r="B403" s="48"/>
      <c r="C403" s="50"/>
      <c r="D403" s="50"/>
      <c r="E403" s="51" t="str">
        <f t="shared" si="148"/>
        <v/>
      </c>
      <c r="F403" s="71" t="str">
        <f t="shared" si="146"/>
        <v/>
      </c>
      <c r="G403" s="69" t="str">
        <f t="shared" si="149"/>
        <v/>
      </c>
      <c r="H403" s="70" t="str">
        <f t="shared" si="147"/>
        <v/>
      </c>
      <c r="I403" s="27" t="str">
        <f>IF(N(J403)=0,"",0&amp;"-"&amp;B$10)</f>
        <v/>
      </c>
      <c r="J403" s="52" t="str">
        <f>IF(N(B$10)=0,"",IF(AND(COUNT(H395:H406)=2,COUNT(F395:F406)=2),cubic_spline(F394:F396,H394:H396,B$10),IF(AND(COUNT(H395:H406)=3,COUNT(F395:F406)=3),cubic_spline(F394:F397,H394:H397,B$10),IF(AND(COUNT(H395:H406)=4,COUNT(F395:F406)=4),cubic_spline(F394:F398,H394:H398,B$10),IF(AND(COUNT(H395:H406)=5,COUNT(F395:F406)=5),cubic_spline(F394:F399,H394:H399,B$10),IF(AND(COUNT(H395:H406)=6,COUNT(F395:F406)=6),cubic_spline(F394:F400,H394:H400,B$10),IF(AND(COUNT(H395:H406)=7,COUNT(F395:F406)=7),cubic_spline(F394:F401,H394:H401,B$10),IF(AND(COUNT(H395:H406)=8,COUNT(F395:F406)=8),cubic_spline(F394:F402,H394:H402,B$10),IF(AND(COUNT(H395:H406)=9,COUNT(F395:F406)=9),cubic_spline(F394:F403,H394:H403,B$10),IF(AND(COUNT(H395:H406)=10,COUNT(F395:F406)=10),cubic_spline(F394:F404,H394:H404,B$10),IF(AND(COUNT(H395:H406)=11,COUNT(F395:F406)=11),cubic_spline(F394:F405,H394:H405,B$10),IF(AND(COUNT(H395:H406)=12,COUNT(F395:F406)=12),cubic_spline(F394:F406,H394:H406,B$10),""))))))))))))</f>
        <v/>
      </c>
      <c r="K403" s="52" t="str">
        <f>IF(N(B$10)=0,"",IF(AND(COUNT(A395:A406)=2,COUNT(F395:F406)=2),cubic_spline(F394:F396,A394:A396,B$10),IF(AND(COUNT(A395:A406)=3,COUNT(F395:F406)=3),cubic_spline(F394:F397,A394:A397,B$10),IF(AND(COUNT(A395:A406)=4,COUNT(F395:F406)=4),cubic_spline(F394:F398,A394:A398,B$10),IF(AND(COUNT(A395:A406)=5,COUNT(F395:F406)=5),cubic_spline(F394:F399,A394:A399,B$10),IF(AND(COUNT(A395:A406)=6,COUNT(F395:F406)=6),cubic_spline(F394:F400,A394:A400,B$10),IF(AND(COUNT(A395:A406)=7,COUNT(F395:F406)=7),cubic_spline(F394:F401,A394:A401,B$10),IF(AND(COUNT(A395:A406)=8,COUNT(F395:F406)=8),cubic_spline(F394:F402,A394:A402,B$10),IF(AND(COUNT(A395:A406)=9,COUNT(F395:F406)=9),cubic_spline(F394:F403,A394:A403,B$10),IF(AND(COUNT(A395:A406)=10,COUNT(F395:F406)=10),cubic_spline(F394:F404,A394:A404,B$10),IF(AND(COUNT(A395:A406)=11,COUNT(F395:F406)=11),cubic_spline(F394:F405,A394:A405,B$10),IF(AND(COUNT(A395:A406)=12,COUNT(F395:F406)=12),cubic_spline(F394:F406,A394:A406,B$10),""))))))))))))</f>
        <v/>
      </c>
      <c r="L403" s="27" t="str">
        <f>IF(I403="","",B$9&amp;"-"&amp;B$10)</f>
        <v/>
      </c>
      <c r="M403" s="52" t="str">
        <f t="shared" si="150"/>
        <v/>
      </c>
    </row>
    <row r="404" spans="1:13" x14ac:dyDescent="0.35">
      <c r="A404" s="48"/>
      <c r="B404" s="48"/>
      <c r="C404" s="50"/>
      <c r="D404" s="50"/>
      <c r="E404" s="51" t="str">
        <f t="shared" si="148"/>
        <v/>
      </c>
      <c r="F404" s="71" t="str">
        <f t="shared" si="146"/>
        <v/>
      </c>
      <c r="G404" s="69" t="str">
        <f t="shared" si="149"/>
        <v/>
      </c>
      <c r="H404" s="70" t="str">
        <f t="shared" si="147"/>
        <v/>
      </c>
      <c r="I404" s="27" t="str">
        <f>IF(N(J404)=0,"",0&amp;"-"&amp;B$11)</f>
        <v/>
      </c>
      <c r="J404" s="52" t="str">
        <f>IF(N(B$11)=0,"",IF(AND(COUNT(H395:H406)=2,COUNT(F395:F406)=2),cubic_spline(F394:F396,H394:H396,B$11),IF(AND(COUNT(H395:H406)=3,COUNT(F395:F406)=3),cubic_spline(F394:F397,H394:H397,B$11),IF(AND(COUNT(H395:H406)=4,COUNT(F395:F406)=4),cubic_spline(F394:F398,H394:H398,B$11),IF(AND(COUNT(H395:H406)=5,COUNT(F395:F406)=5),cubic_spline(F394:F399,H394:H399,B$11),IF(AND(COUNT(H395:H406)=6,COUNT(F395:F406)=6),cubic_spline(F394:F400,H394:H400,B$11),IF(AND(COUNT(H395:H406)=7,COUNT(F395:F406)=7),cubic_spline(F394:F401,H394:H401,B$11),IF(AND(COUNT(H395:H406)=8,COUNT(F395:F406)=8),cubic_spline(F394:F402,H394:H402,B$11),IF(AND(COUNT(H395:H406)=9,COUNT(F395:F406)=9),cubic_spline(F394:F403,H394:H403,B$11),IF(AND(COUNT(H395:H406)=10,COUNT(F395:F406)=10),cubic_spline(F394:F404,H394:H404,B$11),IF(AND(COUNT(H395:H406)=11,COUNT(F395:F406)=11),cubic_spline(F394:F405,H394:H405,B$11),IF(AND(COUNT(H395:H406)=12,COUNT(F395:F406)=12),cubic_spline(F394:F406,H394:H406,B$11),""))))))))))))</f>
        <v/>
      </c>
      <c r="K404" s="52" t="str">
        <f>IF(N(B$11)=0,"",IF(AND(COUNT(A395:A406)=2,COUNT(F395:F406)=2),cubic_spline(F394:F396,A394:A396,B$11),IF(AND(COUNT(A395:A406)=3,COUNT(F395:F406)=3),cubic_spline(F394:F397,A394:A397,B$11),IF(AND(COUNT(A395:A406)=4,COUNT(F395:F406)=4),cubic_spline(F394:F398,A394:A398,B$11),IF(AND(COUNT(A395:A406)=5,COUNT(F395:F406)=5),cubic_spline(F394:F399,A394:A399,B$11),IF(AND(COUNT(A395:A406)=6,COUNT(F395:F406)=6),cubic_spline(F394:F400,A394:A400,B$11),IF(AND(COUNT(A395:A406)=7,COUNT(F395:F406)=7),cubic_spline(F394:F401,A394:A401,B$11),IF(AND(COUNT(A395:A406)=8,COUNT(F395:F406)=8),cubic_spline(F394:F402,A394:A402,B$11),IF(AND(COUNT(A395:A406)=9,COUNT(F395:F406)=9),cubic_spline(F394:F403,A394:A403,B$11),IF(AND(COUNT(A395:A406)=10,COUNT(F395:F406)=10),cubic_spline(F394:F404,A394:A404,B$11),IF(AND(COUNT(A395:A406)=11,COUNT(F395:F406)=11),cubic_spline(F394:F405,A394:A405,B$11),IF(AND(COUNT(A395:A406)=12,COUNT(F395:F406)=12),cubic_spline(F394:F406,A394:A406,B$11),""))))))))))))</f>
        <v/>
      </c>
      <c r="L404" s="27" t="str">
        <f>IF(I404="","",B$10&amp;"-"&amp;B$11)</f>
        <v/>
      </c>
      <c r="M404" s="52" t="str">
        <f t="shared" si="150"/>
        <v/>
      </c>
    </row>
    <row r="405" spans="1:13" x14ac:dyDescent="0.35">
      <c r="A405" s="48"/>
      <c r="B405" s="48"/>
      <c r="C405" s="50"/>
      <c r="D405" s="50"/>
      <c r="E405" s="51" t="str">
        <f t="shared" si="148"/>
        <v/>
      </c>
      <c r="F405" s="71" t="str">
        <f t="shared" si="146"/>
        <v/>
      </c>
      <c r="G405" s="69" t="str">
        <f t="shared" si="149"/>
        <v/>
      </c>
      <c r="H405" s="70" t="str">
        <f t="shared" si="147"/>
        <v/>
      </c>
      <c r="I405" s="27" t="str">
        <f>IF(N(J405)=0,"",0&amp;"-"&amp;B$12)</f>
        <v/>
      </c>
      <c r="J405" s="52" t="str">
        <f>IF(N(B$12)=0,"",IF(AND(COUNT(H395:H406)=2,COUNT(F395:F406)=2),cubic_spline(F394:F396,H394:H396,B$12),IF(AND(COUNT(H395:H406)=3,COUNT(F395:F406)=3),cubic_spline(F394:F397,H394:H397,B$12),IF(AND(COUNT(H395:H406)=4,COUNT(F395:F406)=4),cubic_spline(F394:F398,H394:H398,B$12),IF(AND(COUNT(H395:H406)=5,COUNT(F395:F406)=5),cubic_spline(F394:F399,H394:H399,B$12),IF(AND(COUNT(H395:H406)=6,COUNT(F395:F406)=6),cubic_spline(F394:F400,H394:H400,B$12),IF(AND(COUNT(H395:H406)=7,COUNT(F395:F406)=7),cubic_spline(F394:F401,H394:H401,B$12),IF(AND(COUNT(H395:H406)=8,COUNT(F395:F406)=8),cubic_spline(F394:F402,H394:H402,B$12),IF(AND(COUNT(H395:H406)=9,COUNT(F395:F406)=9),cubic_spline(F394:F403,H394:H403,B$12),IF(AND(COUNT(H395:H406)=10,COUNT(F395:F406)=10),cubic_spline(F394:F404,H394:H404,B$12),IF(AND(COUNT(H395:H406)=11,COUNT(F395:F406)=11),cubic_spline(F394:F405,H394:H405,B$12),IF(AND(COUNT(H395:H406)=12,COUNT(F395:F406)=12),cubic_spline(F394:F406,H394:H406,B$12),""))))))))))))</f>
        <v/>
      </c>
      <c r="K405" s="52" t="str">
        <f>IF(N(B$12)=0,"",IF(AND(COUNT(A395:A406)=2,COUNT(F395:F406)=2),cubic_spline(F394:F396,A394:A396,B$12),IF(AND(COUNT(A395:A406)=3,COUNT(F395:F406)=3),cubic_spline(F394:F397,A394:A397,B$12),IF(AND(COUNT(A395:A406)=4,COUNT(F395:F406)=4),cubic_spline(F394:F398,A394:A398,B$12),IF(AND(COUNT(A395:A406)=5,COUNT(F395:F406)=5),cubic_spline(F394:F399,A394:A399,B$12),IF(AND(COUNT(A395:A406)=6,COUNT(F395:F406)=6),cubic_spline(F394:F400,A394:A400,B$12),IF(AND(COUNT(A395:A406)=7,COUNT(F395:F406)=7),cubic_spline(F394:F401,A394:A401,B$12),IF(AND(COUNT(A395:A406)=8,COUNT(F395:F406)=8),cubic_spline(F394:F402,A394:A402,B$12),IF(AND(COUNT(A395:A406)=9,COUNT(F395:F406)=9),cubic_spline(F394:F403,A394:A403,B$12),IF(AND(COUNT(A395:A406)=10,COUNT(F395:F406)=10),cubic_spline(F394:F404,A394:A404,B$12),IF(AND(COUNT(A395:A406)=11,COUNT(F395:F406)=11),cubic_spline(F394:F405,A394:A405,B$12),IF(AND(COUNT(A395:A406)=12,COUNT(F395:F406)=12),cubic_spline(F394:F406,A394:A406,B$12),""))))))))))))</f>
        <v/>
      </c>
      <c r="L405" s="27" t="str">
        <f>IF(I405="","",B$11&amp;"-"&amp;B$12)</f>
        <v/>
      </c>
      <c r="M405" s="52" t="str">
        <f t="shared" si="150"/>
        <v/>
      </c>
    </row>
    <row r="406" spans="1:13" x14ac:dyDescent="0.35">
      <c r="A406" s="48"/>
      <c r="B406" s="48"/>
      <c r="C406" s="50"/>
      <c r="D406" s="50"/>
      <c r="E406" s="51" t="str">
        <f t="shared" si="148"/>
        <v/>
      </c>
      <c r="F406" s="71" t="str">
        <f t="shared" si="146"/>
        <v/>
      </c>
      <c r="G406" s="69" t="str">
        <f t="shared" si="149"/>
        <v/>
      </c>
      <c r="H406" s="70" t="str">
        <f t="shared" si="147"/>
        <v/>
      </c>
      <c r="I406" s="27" t="str">
        <f>IF(N(J406)=0,"",0&amp;"-"&amp;B$13)</f>
        <v/>
      </c>
      <c r="J406" s="52" t="str">
        <f>IF(N(B$13)=0,"",IF(AND(COUNT(H395:H406)=2,COUNT(F395:F406)=2),cubic_spline(F394:F396,H394:H396,B$13),IF(AND(COUNT(H395:H406)=3,COUNT(F395:F406)=3),cubic_spline(F394:F397,H394:H397,B$13),IF(AND(COUNT(H395:H406)=4,COUNT(F395:F406)=4),cubic_spline(F394:F398,H394:H398,B$13),IF(AND(COUNT(H395:H406)=5,COUNT(F395:F406)=5),cubic_spline(F394:F399,H394:H399,B$13),IF(AND(COUNT(H395:H406)=6,COUNT(F395:F406)=6),cubic_spline(F394:F400,H394:H400,B$13),IF(AND(COUNT(H395:H406)=7,COUNT(F395:F406)=7),cubic_spline(F394:F401,H394:H401,B$13),IF(AND(COUNT(H395:H406)=8,COUNT(F395:F406)=8),cubic_spline(F394:F402,H394:H402,B$13),IF(AND(COUNT(H395:H406)=9,COUNT(F395:F406)=9),cubic_spline(F394:F403,H394:H403,B$13),IF(AND(COUNT(H395:H406)=10,COUNT(F395:F406)=10),cubic_spline(F394:F404,H394:H404,B$13),IF(AND(COUNT(H395:H406)=11,COUNT(F395:F406)=11),cubic_spline(F394:F405,H394:H405,B$13),IF(AND(COUNT(H395:H406)=12,COUNT(F395:F406)=12),cubic_spline(F394:F406,H394:H406,B$13),""))))))))))))</f>
        <v/>
      </c>
      <c r="K406" s="52" t="str">
        <f>IF(N(B$13)=0,"",IF(AND(COUNT(A395:A406)=2,COUNT(F395:F406)=2),cubic_spline(F394:F396,A394:A396,B$13),IF(AND(COUNT(A395:A406)=3,COUNT(F395:F406)=3),cubic_spline(F394:F397,A394:A397,B$13),IF(AND(COUNT(A395:A406)=4,COUNT(F395:F406)=4),cubic_spline(F394:F398,A394:A398,B$13),IF(AND(COUNT(A395:A406)=5,COUNT(F395:F406)=5),cubic_spline(F394:F399,A394:A399,B$13),IF(AND(COUNT(A395:A406)=6,COUNT(F395:F406)=6),cubic_spline(F394:F400,A394:A400,B$13),IF(AND(COUNT(A395:A406)=7,COUNT(F395:F406)=7),cubic_spline(F394:F401,A394:A401,B$13),IF(AND(COUNT(A395:A406)=8,COUNT(F395:F406)=8),cubic_spline(F394:F402,A394:A402,B$13),IF(AND(COUNT(A395:A406)=9,COUNT(F395:F406)=9),cubic_spline(F394:F403,A394:A403,B$13),IF(AND(COUNT(A395:A406)=10,COUNT(F395:F406)=10),cubic_spline(F394:F404,A394:A404,B$13),IF(AND(COUNT(A395:A406)=11,COUNT(F395:F406)=11),cubic_spline(F394:F405,A394:A405,B$13),IF(AND(COUNT(A395:A406)=12,COUNT(F395:F406)=12),cubic_spline(F394:F406,A394:A406,B$13),""))))))))))))</f>
        <v/>
      </c>
      <c r="L406" s="27" t="str">
        <f>IF(I406="","",B$12&amp;"-"&amp;B$13)</f>
        <v/>
      </c>
      <c r="M406" s="52" t="str">
        <f t="shared" si="150"/>
        <v/>
      </c>
    </row>
    <row r="407" spans="1:13" ht="5.15" customHeight="1" x14ac:dyDescent="0.35">
      <c r="A407" s="47"/>
      <c r="B407" s="47"/>
      <c r="C407" s="53"/>
      <c r="D407" s="53"/>
      <c r="E407" s="54"/>
      <c r="F407" s="55"/>
      <c r="G407" s="72"/>
      <c r="H407" s="73"/>
      <c r="I407" s="47"/>
      <c r="J407" s="57"/>
      <c r="K407" s="57"/>
      <c r="L407" s="55"/>
      <c r="M407" s="57"/>
    </row>
    <row r="408" spans="1:13" x14ac:dyDescent="0.35">
      <c r="A408" s="48"/>
      <c r="B408" s="48"/>
      <c r="C408" s="50"/>
      <c r="D408" s="50"/>
      <c r="E408" s="51" t="str">
        <f>IF(N(C408)=0,"",(A408-A407)*C408*100)</f>
        <v/>
      </c>
      <c r="F408" s="68" t="str">
        <f t="shared" ref="F408:F419" si="151">IF(N(E408)=0,"",(N(E408)+N(F407)))</f>
        <v/>
      </c>
      <c r="G408" s="69" t="str">
        <f>IF(OR(N(D408)=0,N(E408)=0),"",(E408*D408)/1000)</f>
        <v/>
      </c>
      <c r="H408" s="70" t="str">
        <f t="shared" ref="H408:H419" si="152">IF(N(G408)=0,"",(N(G408)+N(H407)))</f>
        <v/>
      </c>
      <c r="I408" s="27" t="str">
        <f>IF(N(J408)=0,"",0&amp;"-"&amp;B$2)</f>
        <v/>
      </c>
      <c r="J408" s="52" t="str">
        <f>IF(N(B$2)=0,"",IF(AND(COUNT(H408:H419)=2,COUNT(F408:F419)=2),cubic_spline(F407:F409,H407:H409,B$2),IF(AND(COUNT(H408:H419)=3,COUNT(F408:F419)=3),cubic_spline(F407:F410,H407:H410,B$2),IF(AND(COUNT(H408:H419)=4,COUNT(F408:F419)=4),cubic_spline(F407:F411,H407:H411,B$2),IF(AND(COUNT(H408:H419)=5,COUNT(F408:F419)=5),cubic_spline(F407:F412,H407:H412,B$2),IF(AND(COUNT(H408:H419)=6,COUNT(F408:F419)=6),cubic_spline(F407:F413,H407:H413,B$2),IF(AND(COUNT(H408:H419)=7,COUNT(F408:F419)=7),cubic_spline(F407:F414,H407:H414,B$2),IF(AND(COUNT(H408:H419)=8,COUNT(F408:F419)=8),cubic_spline(F407:F415,H407:H415,B$2),IF(AND(COUNT(H408:H419)=9,COUNT(F408:F419)=9),cubic_spline(F407:F416,H407:H416,B$2),IF(AND(COUNT(H408:H419)=10,COUNT(F408:F419)=10),cubic_spline(F407:F417,H407:H417,B$2),IF(AND(COUNT(H408:H419)=11,COUNT(F408:F419)=11),cubic_spline(F407:F418,H407:H418,B$2),IF(AND(COUNT(H408:H419)=12,COUNT(F408:F419)=12),cubic_spline(F407:F419,H407:H419,B$2),""))))))))))))</f>
        <v/>
      </c>
      <c r="K408" s="52" t="str">
        <f>IF(N(B$2)=0,"",IF(AND(COUNT(A408:A419)=2,COUNT(F408:F419)=2),cubic_spline(F407:F409,A407:A409,B$2),IF(AND(COUNT(A408:A419)=3,COUNT(F408:F419)=3),cubic_spline(F407:F410,A407:A410,B$2),IF(AND(COUNT(A408:A419)=4,COUNT(F408:F419)=4),cubic_spline(F407:F411,A407:A411,B$2),IF(AND(COUNT(A408:A419)=5,COUNT(F408:F419)=5),cubic_spline(F407:F412,A407:A412,B$2),IF(AND(COUNT(A408:A419)=6,COUNT(F408:F419)=6),cubic_spline(F407:F413,A407:A413,B$2),IF(AND(COUNT(A408:A419)=7,COUNT(F408:F419)=7),cubic_spline(F407:F414,A407:A414,B$2),IF(AND(COUNT(A408:A419)=8,COUNT(F408:F419)=8),cubic_spline(F407:F415,A407:A415,B$2),IF(AND(COUNT(A408:A419)=9,COUNT(F408:F419)=9),cubic_spline(F407:F416,A407:A416,B$2),IF(AND(COUNT(A408:A419)=10,COUNT(F408:F419)=10),cubic_spline(F407:F417,A407:A417,B$2),IF(AND(COUNT(A408:A419)=11,COUNT(F408:F419)=11),cubic_spline(F407:F418,A407:A418,B$2),IF(AND(COUNT(A408:A419)=12,COUNT(F408:F419)=12),cubic_spline(F407:F419,A407:A419,B$2),""))))))))))))</f>
        <v/>
      </c>
      <c r="L408" s="27" t="str">
        <f>IF(I408="","",0&amp;"-"&amp;B$2)</f>
        <v/>
      </c>
      <c r="M408" s="52" t="str">
        <f>IF(N(J408)=0,"",J408-J407)</f>
        <v/>
      </c>
    </row>
    <row r="409" spans="1:13" x14ac:dyDescent="0.35">
      <c r="A409" s="48"/>
      <c r="B409" s="48"/>
      <c r="C409" s="50"/>
      <c r="D409" s="50"/>
      <c r="E409" s="51" t="str">
        <f t="shared" ref="E409:E419" si="153">IF(N(C409)=0,"",(A409-A408)*C409*100)</f>
        <v/>
      </c>
      <c r="F409" s="68" t="str">
        <f t="shared" si="151"/>
        <v/>
      </c>
      <c r="G409" s="69" t="str">
        <f t="shared" ref="G409:G419" si="154">IF(OR(N(D409)=0,N(E409)=0),"",(E409*D409)/1000)</f>
        <v/>
      </c>
      <c r="H409" s="70" t="str">
        <f t="shared" si="152"/>
        <v/>
      </c>
      <c r="I409" s="27" t="str">
        <f>IF(N(J409)=0,"",0&amp;"-"&amp;B$3)</f>
        <v/>
      </c>
      <c r="J409" s="52" t="str">
        <f>IF(N(B$3)=0,"",IF(AND(COUNT(H408:H419)=2,COUNT(F408:F419)=2),cubic_spline(F407:F409,H407:H409,B$3),IF(AND(COUNT(H408:H419)=3,COUNT(F408:F419)=3),cubic_spline(F407:F410,H407:H410,B$3),IF(AND(COUNT(H408:H419)=4,COUNT(F408:F419)=4),cubic_spline(F407:F411,H407:H411,B$3),IF(AND(COUNT(H408:H419)=5,COUNT(F408:F419)=5),cubic_spline(F407:F412,H407:H412,B$3),IF(AND(COUNT(H408:H419)=6,COUNT(F408:F419)=6),cubic_spline(F407:F413,H407:H413,B$3),IF(AND(COUNT(H408:H419)=7,COUNT(F408:F419)=7),cubic_spline(F407:F414,H407:H414,B$3),IF(AND(COUNT(H408:H419)=8,COUNT(F408:F419)=8),cubic_spline(F407:F415,H407:H415,B$3),IF(AND(COUNT(H408:H419)=9,COUNT(F408:F419)=9),cubic_spline(F407:F416,H407:H416,B$3),IF(AND(COUNT(H408:H419)=10,COUNT(F408:F419)=10),cubic_spline(F407:F417,H407:H417,B$3),IF(AND(COUNT(H408:H419)=11,COUNT(F408:F419)=11),cubic_spline(F407:F418,H407:H418,B$3),IF(AND(COUNT(H408:H419)=12,COUNT(F408:F419)=12),cubic_spline(F407:F419,H407:H419,B$3),""))))))))))))</f>
        <v/>
      </c>
      <c r="K409" s="52" t="str">
        <f>IF(N(B$3)=0,"",IF(AND(COUNT(A408:A419)=2,COUNT(F408:F419)=2),cubic_spline(F407:F409,A407:A409,B$3),IF(AND(COUNT(A408:A419)=3,COUNT(F408:F419)=3),cubic_spline(F407:F410,A407:A410,B$3),IF(AND(COUNT(A408:A419)=4,COUNT(F408:F419)=4),cubic_spline(F407:F411,A407:A411,B$3),IF(AND(COUNT(A408:A419)=5,COUNT(F408:F419)=5),cubic_spline(F407:F412,A407:A412,B$3),IF(AND(COUNT(A408:A419)=6,COUNT(F408:F419)=6),cubic_spline(F407:F413,A407:A413,B$3),IF(AND(COUNT(A408:A419)=7,COUNT(F408:F419)=7),cubic_spline(F407:F414,A407:A414,B$3),IF(AND(COUNT(A408:A419)=8,COUNT(F408:F419)=8),cubic_spline(F407:F415,A407:A415,B$3),IF(AND(COUNT(A408:A419)=9,COUNT(F408:F419)=9),cubic_spline(F407:F416,A407:A416,B$3),IF(AND(COUNT(A408:A419)=10,COUNT(F408:F419)=10),cubic_spline(F407:F417,A407:A417,B$3),IF(AND(COUNT(A408:A419)=11,COUNT(F408:F419)=11),cubic_spline(F407:F418,A407:A418,B$3),IF(AND(COUNT(A408:A419)=12,COUNT(F408:F419)=12),cubic_spline(F407:F419,A407:A419,B$3),""))))))))))))</f>
        <v/>
      </c>
      <c r="L409" s="27" t="str">
        <f>IF(I409="","",B$2&amp;"-"&amp;B$3)</f>
        <v/>
      </c>
      <c r="M409" s="52" t="str">
        <f>IF(N(J409)=0,"",J409-J408)</f>
        <v/>
      </c>
    </row>
    <row r="410" spans="1:13" x14ac:dyDescent="0.35">
      <c r="A410" s="48"/>
      <c r="B410" s="48"/>
      <c r="C410" s="50"/>
      <c r="D410" s="50"/>
      <c r="E410" s="51" t="str">
        <f t="shared" si="153"/>
        <v/>
      </c>
      <c r="F410" s="68" t="str">
        <f t="shared" si="151"/>
        <v/>
      </c>
      <c r="G410" s="69" t="str">
        <f t="shared" si="154"/>
        <v/>
      </c>
      <c r="H410" s="70" t="str">
        <f t="shared" si="152"/>
        <v/>
      </c>
      <c r="I410" s="27" t="str">
        <f>IF(N(J410)=0,"",0&amp;"-"&amp;B$4)</f>
        <v/>
      </c>
      <c r="J410" s="52" t="str">
        <f>IF(N(B$4)=0,"",IF(AND(COUNT(H408:H419)=2,COUNT(F408:F419)=2),cubic_spline(F407:F409,H407:H409,B$4),IF(AND(COUNT(H408:H419)=3,COUNT(F408:F419)=3),cubic_spline(F407:F410,H407:H410,B$4),IF(AND(COUNT(H408:H419)=4,COUNT(F408:F419)=4),cubic_spline(F407:F411,H407:H411,B$4),IF(AND(COUNT(H408:H419)=5,COUNT(F408:F419)=5),cubic_spline(F407:F412,H407:H412,B$4),IF(AND(COUNT(H408:H419)=6,COUNT(F408:F419)=6),cubic_spline(F407:F413,H407:H413,B$4),IF(AND(COUNT(H408:H419)=7,COUNT(F408:F419)=7),cubic_spline(F407:F414,H407:H414,B$4),IF(AND(COUNT(H408:H419)=8,COUNT(F408:F419)=8),cubic_spline(F407:F415,H407:H415,B$4),IF(AND(COUNT(H408:H419)=9,COUNT(F408:F419)=9),cubic_spline(F407:F416,H407:H416,B$4),IF(AND(COUNT(H408:H419)=10,COUNT(F408:F419)=10),cubic_spline(F407:F417,H407:H417,B$4),IF(AND(COUNT(H408:H419)=11,COUNT(F408:F419)=11),cubic_spline(F407:F418,H407:H418,B$4),IF(AND(COUNT(H408:H419)=12,COUNT(F408:F419)=12),cubic_spline(F407:F419,H407:H419,B$4),""))))))))))))</f>
        <v/>
      </c>
      <c r="K410" s="52" t="str">
        <f>IF(N(B$4)=0,"",IF(AND(COUNT(A408:A419)=2,COUNT(F408:F419)=2),cubic_spline(F407:F409,A407:A409,B$4),IF(AND(COUNT(A408:A419)=3,COUNT(F408:F419)=3),cubic_spline(F407:F410,A407:A410,B$4),IF(AND(COUNT(A408:A419)=4,COUNT(F408:F419)=4),cubic_spline(F407:F411,A407:A411,B$4),IF(AND(COUNT(A408:A419)=5,COUNT(F408:F419)=5),cubic_spline(F407:F412,A407:A412,B$4),IF(AND(COUNT(A408:A419)=6,COUNT(F408:F419)=6),cubic_spline(F407:F413,A407:A413,B$4),IF(AND(COUNT(A408:A419)=7,COUNT(F408:F419)=7),cubic_spline(F407:F414,A407:A414,B$4),IF(AND(COUNT(A408:A419)=8,COUNT(F408:F419)=8),cubic_spline(F407:F415,A407:A415,B$4),IF(AND(COUNT(A408:A419)=9,COUNT(F408:F419)=9),cubic_spline(F407:F416,A407:A416,B$4),IF(AND(COUNT(A408:A419)=10,COUNT(F408:F419)=10),cubic_spline(F407:F417,A407:A417,B$4),IF(AND(COUNT(A408:A419)=11,COUNT(F408:F419)=11),cubic_spline(F407:F418,A407:A418,B$4),IF(AND(COUNT(A408:A419)=12,COUNT(F408:F419)=12),cubic_spline(F407:F419,A407:A419,B$4),""))))))))))))</f>
        <v/>
      </c>
      <c r="L410" s="27" t="str">
        <f>IF(I410="","",B$3&amp;"-"&amp;B$4)</f>
        <v/>
      </c>
      <c r="M410" s="52" t="str">
        <f>IF(N(J410)=0,"",J410-J409)</f>
        <v/>
      </c>
    </row>
    <row r="411" spans="1:13" x14ac:dyDescent="0.35">
      <c r="A411" s="48"/>
      <c r="B411" s="48"/>
      <c r="C411" s="50"/>
      <c r="D411" s="50"/>
      <c r="E411" s="51" t="str">
        <f t="shared" si="153"/>
        <v/>
      </c>
      <c r="F411" s="68" t="str">
        <f t="shared" si="151"/>
        <v/>
      </c>
      <c r="G411" s="69" t="str">
        <f t="shared" si="154"/>
        <v/>
      </c>
      <c r="H411" s="70" t="str">
        <f t="shared" si="152"/>
        <v/>
      </c>
      <c r="I411" s="27" t="str">
        <f>IF(N(J411)=0,"",0&amp;"-"&amp;B$5)</f>
        <v/>
      </c>
      <c r="J411" s="52" t="str">
        <f>IF(N(B$5)=0,"",IF(AND(COUNT(H408:H419)=2,COUNT(F408:F419)=2),cubic_spline(F407:F409,H407:H409,B$5),IF(AND(COUNT(H408:H419)=3,COUNT(F408:F419)=3),cubic_spline(F407:F410,H407:H410,B$5),IF(AND(COUNT(H408:H419)=4,COUNT(F408:F419)=4),cubic_spline(F407:F411,H407:H411,B$5),IF(AND(COUNT(H408:H419)=5,COUNT(F408:F419)=5),cubic_spline(F407:F412,H407:H412,B$5),IF(AND(COUNT(H408:H419)=6,COUNT(F408:F419)=6),cubic_spline(F407:F413,H407:H413,B$5),IF(AND(COUNT(H408:H419)=7,COUNT(F408:F419)=7),cubic_spline(F407:F414,H407:H414,B$5),IF(AND(COUNT(H408:H419)=8,COUNT(F408:F419)=8),cubic_spline(F407:F415,H407:H415,B$5),IF(AND(COUNT(H408:H419)=9,COUNT(F408:F419)=9),cubic_spline(F407:F416,H407:H416,B$5),IF(AND(COUNT(H408:H419)=10,COUNT(F408:F419)=10),cubic_spline(F407:F417,H407:H417,B$5),IF(AND(COUNT(H408:H419)=11,COUNT(F408:F419)=11),cubic_spline(F407:F418,H407:H418,B$5),IF(AND(COUNT(H408:H419)=12,COUNT(F408:F419)=12),cubic_spline(F407:F419,H407:H419,B$5),""))))))))))))</f>
        <v/>
      </c>
      <c r="K411" s="52" t="str">
        <f>IF(N(B$5)=0,"",IF(AND(COUNT(A408:A419)=2,COUNT(F408:F419)=2),cubic_spline(F407:F409,A407:A409,B$5),IF(AND(COUNT(A408:A419)=3,COUNT(F408:F419)=3),cubic_spline(F407:F410,A407:A410,B$5),IF(AND(COUNT(A408:A419)=4,COUNT(F408:F419)=4),cubic_spline(F407:F411,A407:A411,B$5),IF(AND(COUNT(A408:A419)=5,COUNT(F408:F419)=5),cubic_spline(F407:F412,A407:A412,B$5),IF(AND(COUNT(A408:A419)=6,COUNT(F408:F419)=6),cubic_spline(F407:F413,A407:A413,B$5),IF(AND(COUNT(A408:A419)=7,COUNT(F408:F419)=7),cubic_spline(F407:F414,A407:A414,B$5),IF(AND(COUNT(A408:A419)=8,COUNT(F408:F419)=8),cubic_spline(F407:F415,A407:A415,B$5),IF(AND(COUNT(A408:A419)=9,COUNT(F408:F419)=9),cubic_spline(F407:F416,A407:A416,B$5),IF(AND(COUNT(A408:A419)=10,COUNT(F408:F419)=10),cubic_spline(F407:F417,A407:A417,B$5),IF(AND(COUNT(A408:A419)=11,COUNT(F408:F419)=11),cubic_spline(F407:F418,A407:A418,B$5),IF(AND(COUNT(A408:A419)=12,COUNT(F408:F419)=12),cubic_spline(F407:F419,A407:A419,B$5),""))))))))))))</f>
        <v/>
      </c>
      <c r="L411" s="27" t="str">
        <f>IF(I411="","",B$4&amp;"-"&amp;B$5)</f>
        <v/>
      </c>
      <c r="M411" s="52" t="str">
        <f>IF(N(J411)=0,"",J411-J410)</f>
        <v/>
      </c>
    </row>
    <row r="412" spans="1:13" x14ac:dyDescent="0.35">
      <c r="A412" s="48"/>
      <c r="B412" s="48"/>
      <c r="C412" s="50"/>
      <c r="D412" s="50"/>
      <c r="E412" s="51" t="str">
        <f t="shared" si="153"/>
        <v/>
      </c>
      <c r="F412" s="71" t="str">
        <f t="shared" si="151"/>
        <v/>
      </c>
      <c r="G412" s="69" t="str">
        <f t="shared" si="154"/>
        <v/>
      </c>
      <c r="H412" s="70" t="str">
        <f t="shared" si="152"/>
        <v/>
      </c>
      <c r="I412" s="27" t="str">
        <f>IF(N(J412)=0,"",0&amp;"-"&amp;B$6)</f>
        <v/>
      </c>
      <c r="J412" s="52" t="str">
        <f>IF(N(B$6)=0,"",IF(AND(COUNT(H408:H419)=2,COUNT(F408:F419)=2),cubic_spline(F407:F409,H407:H409,B$6),IF(AND(COUNT(H408:H419)=3,COUNT(F408:F419)=3),cubic_spline(F407:F410,H407:H410,B$6),IF(AND(COUNT(H408:H419)=4,COUNT(F408:F419)=4),cubic_spline(F407:F411,H407:H411,B$6),IF(AND(COUNT(H408:H419)=5,COUNT(F408:F419)=5),cubic_spline(F407:F412,H407:H412,B$6),IF(AND(COUNT(H408:H419)=6,COUNT(F408:F419)=6),cubic_spline(F407:F413,H407:H413,B$6),IF(AND(COUNT(H408:H419)=7,COUNT(F408:F419)=7),cubic_spline(F407:F414,H407:H414,B$6),IF(AND(COUNT(H408:H419)=8,COUNT(F408:F419)=8),cubic_spline(F407:F415,H407:H415,B$6),IF(AND(COUNT(H408:H419)=9,COUNT(F408:F419)=9),cubic_spline(F407:F416,H407:H416,B$6),IF(AND(COUNT(H408:H419)=10,COUNT(F408:F419)=10),cubic_spline(F407:F417,H407:H417,B$6),IF(AND(COUNT(H408:H419)=11,COUNT(F408:F419)=11),cubic_spline(F407:F418,H407:H418,B$6),IF(AND(COUNT(H408:H419)=12,COUNT(F408:F419)=12),cubic_spline(F407:F419,H407:H419,B$6),""))))))))))))</f>
        <v/>
      </c>
      <c r="K412" s="52" t="str">
        <f>IF(N(B$6)=0,"",IF(AND(COUNT(A408:A419)=2,COUNT(F408:F419)=2),cubic_spline(F407:F409,A407:A409,B$6),IF(AND(COUNT(A408:A419)=3,COUNT(F408:F419)=3),cubic_spline(F407:F410,A407:A410,B$6),IF(AND(COUNT(A408:A419)=4,COUNT(F408:F419)=4),cubic_spline(F407:F411,A407:A411,B$6),IF(AND(COUNT(A408:A419)=5,COUNT(F408:F419)=5),cubic_spline(F407:F412,A407:A412,B$6),IF(AND(COUNT(A408:A419)=6,COUNT(F408:F419)=6),cubic_spline(F407:F413,A407:A413,B$6),IF(AND(COUNT(A408:A419)=7,COUNT(F408:F419)=7),cubic_spline(F407:F414,A407:A414,B$6),IF(AND(COUNT(A408:A419)=8,COUNT(F408:F419)=8),cubic_spline(F407:F415,A407:A415,B$6),IF(AND(COUNT(A408:A419)=9,COUNT(F408:F419)=9),cubic_spline(F407:F416,A407:A416,B$6),IF(AND(COUNT(A408:A419)=10,COUNT(F408:F419)=10),cubic_spline(F407:F417,A407:A417,B$6),IF(AND(COUNT(A408:A419)=11,COUNT(F408:F419)=11),cubic_spline(F407:F418,A407:A418,B$6),IF(AND(COUNT(A408:A419)=12,COUNT(F408:F419)=12),cubic_spline(F407:F419,A407:A419,B$6),""))))))))))))</f>
        <v/>
      </c>
      <c r="L412" s="27" t="str">
        <f>IF(I412="","",B$5&amp;"-"&amp;B$6)</f>
        <v/>
      </c>
      <c r="M412" s="52" t="str">
        <f>IF(N(J412)=0,"",J412-J411)</f>
        <v/>
      </c>
    </row>
    <row r="413" spans="1:13" x14ac:dyDescent="0.35">
      <c r="A413" s="48"/>
      <c r="B413" s="48"/>
      <c r="C413" s="50"/>
      <c r="D413" s="50"/>
      <c r="E413" s="51" t="str">
        <f t="shared" si="153"/>
        <v/>
      </c>
      <c r="F413" s="71" t="str">
        <f t="shared" si="151"/>
        <v/>
      </c>
      <c r="G413" s="69" t="str">
        <f t="shared" si="154"/>
        <v/>
      </c>
      <c r="H413" s="70" t="str">
        <f t="shared" si="152"/>
        <v/>
      </c>
      <c r="I413" s="27" t="str">
        <f>IF(N(J413)=0,"",0&amp;"-"&amp;B$7)</f>
        <v/>
      </c>
      <c r="J413" s="52" t="str">
        <f>IF(N(B$7)=0,"",IF(AND(COUNT(H408:H419)=2,COUNT(F408:F419)=2),cubic_spline(F407:F409,H407:H409,B$7),IF(AND(COUNT(H408:H419)=3,COUNT(F408:F419)=3),cubic_spline(F407:F410,H407:H410,B$7),IF(AND(COUNT(H408:H419)=4,COUNT(F408:F419)=4),cubic_spline(F407:F411,H407:H411,B$7),IF(AND(COUNT(H408:H419)=5,COUNT(F408:F419)=5),cubic_spline(F407:F412,H407:H412,B$7),IF(AND(COUNT(H408:H419)=6,COUNT(F408:F419)=6),cubic_spline(F407:F413,H407:H413,B$7),IF(AND(COUNT(H408:H419)=7,COUNT(F408:F419)=7),cubic_spline(F407:F414,H407:H414,B$7),IF(AND(COUNT(H408:H419)=8,COUNT(F408:F419)=8),cubic_spline(F407:F415,H407:H415,B$7),IF(AND(COUNT(H408:H419)=9,COUNT(F408:F419)=9),cubic_spline(F407:F416,H407:H416,B$7),IF(AND(COUNT(H408:H419)=10,COUNT(F408:F419)=10),cubic_spline(F407:F417,H407:H417,B$7),IF(AND(COUNT(H408:H419)=11,COUNT(F408:F419)=11),cubic_spline(F407:F418,H407:H418,B$7),IF(AND(COUNT(H408:H419)=12,COUNT(F408:F419)=12),cubic_spline(F407:F419,H407:H419,B$7),""))))))))))))</f>
        <v/>
      </c>
      <c r="K413" s="52" t="str">
        <f>IF(N(B$7)=0,"",IF(AND(COUNT(A408:A419)=2,COUNT(F408:F419)=2),cubic_spline(F407:F409,A407:A409,B$7),IF(AND(COUNT(A408:A419)=3,COUNT(F408:F419)=3),cubic_spline(F407:F410,A407:A410,B$7),IF(AND(COUNT(A408:A419)=4,COUNT(F408:F419)=4),cubic_spline(F407:F411,A407:A411,B$7),IF(AND(COUNT(A408:A419)=5,COUNT(F408:F419)=5),cubic_spline(F407:F412,A407:A412,B$7),IF(AND(COUNT(A408:A419)=6,COUNT(F408:F419)=6),cubic_spline(F407:F413,A407:A413,B$7),IF(AND(COUNT(A408:A419)=7,COUNT(F408:F419)=7),cubic_spline(F407:F414,A407:A414,B$7),IF(AND(COUNT(A408:A419)=8,COUNT(F408:F419)=8),cubic_spline(F407:F415,A407:A415,B$7),IF(AND(COUNT(A408:A419)=9,COUNT(F408:F419)=9),cubic_spline(F407:F416,A407:A416,B$7),IF(AND(COUNT(A408:A419)=10,COUNT(F408:F419)=10),cubic_spline(F407:F417,A407:A417,B$7),IF(AND(COUNT(A408:A419)=11,COUNT(F408:F419)=11),cubic_spline(F407:F418,A407:A418,B$7),IF(AND(COUNT(A408:A419)=12,COUNT(F408:F419)=12),cubic_spline(F407:F419,A407:A419,B$7),""))))))))))))</f>
        <v/>
      </c>
      <c r="L413" s="27" t="str">
        <f>IF(I413="","",B$6&amp;"-"&amp;B$7)</f>
        <v/>
      </c>
      <c r="M413" s="52" t="str">
        <f t="shared" ref="M413:M419" si="155">IF(N(J413)=0,"",J413-J412)</f>
        <v/>
      </c>
    </row>
    <row r="414" spans="1:13" x14ac:dyDescent="0.35">
      <c r="A414" s="48"/>
      <c r="B414" s="48"/>
      <c r="C414" s="50"/>
      <c r="D414" s="50"/>
      <c r="E414" s="51" t="str">
        <f t="shared" si="153"/>
        <v/>
      </c>
      <c r="F414" s="71" t="str">
        <f t="shared" si="151"/>
        <v/>
      </c>
      <c r="G414" s="69" t="str">
        <f t="shared" si="154"/>
        <v/>
      </c>
      <c r="H414" s="70" t="str">
        <f t="shared" si="152"/>
        <v/>
      </c>
      <c r="I414" s="27" t="str">
        <f>IF(N(J414)=0,"",0&amp;"-"&amp;B$8)</f>
        <v/>
      </c>
      <c r="J414" s="52" t="str">
        <f>IF(N(B$8)=0,"",IF(AND(COUNT(H408:H419)=2,COUNT(F408:F419)=2),cubic_spline(F407:F409,H407:H409,B$8),IF(AND(COUNT(H408:H419)=3,COUNT(F408:F419)=3),cubic_spline(F407:F410,H407:H410,B$8),IF(AND(COUNT(H408:H419)=4,COUNT(F408:F419)=4),cubic_spline(F407:F411,H407:H411,B$8),IF(AND(COUNT(H408:H419)=5,COUNT(F408:F419)=5),cubic_spline(F407:F412,H407:H412,B$8),IF(AND(COUNT(H408:H419)=6,COUNT(F408:F419)=6),cubic_spline(F407:F413,H407:H413,B$8),IF(AND(COUNT(H408:H419)=7,COUNT(F408:F419)=7),cubic_spline(F407:F414,H407:H414,B$8),IF(AND(COUNT(H408:H419)=8,COUNT(F408:F419)=8),cubic_spline(F407:F415,H407:H415,B$8),IF(AND(COUNT(H408:H419)=9,COUNT(F408:F419)=9),cubic_spline(F407:F416,H407:H416,B$8),IF(AND(COUNT(H408:H419)=10,COUNT(F408:F419)=10),cubic_spline(F407:F417,H407:H417,B$8),IF(AND(COUNT(H408:H419)=11,COUNT(F408:F419)=11),cubic_spline(F407:F418,H407:H418,B$8),IF(AND(COUNT(H408:H419)=12,COUNT(F408:F419)=12),cubic_spline(F407:F419,H407:H419,B$8),""))))))))))))</f>
        <v/>
      </c>
      <c r="K414" s="52" t="str">
        <f>IF(N(B$8)=0,"",IF(AND(COUNT(A408:A419)=2,COUNT(F408:F419)=2),cubic_spline(F407:F409,A407:A409,B$8),IF(AND(COUNT(A408:A419)=3,COUNT(F408:F419)=3),cubic_spline(F407:F410,A407:A410,B$8),IF(AND(COUNT(A408:A419)=4,COUNT(F408:F419)=4),cubic_spline(F407:F411,A407:A411,B$8),IF(AND(COUNT(A408:A419)=5,COUNT(F408:F419)=5),cubic_spline(F407:F412,A407:A412,B$8),IF(AND(COUNT(A408:A419)=6,COUNT(F408:F419)=6),cubic_spline(F407:F413,A407:A413,B$8),IF(AND(COUNT(A408:A419)=7,COUNT(F408:F419)=7),cubic_spline(F407:F414,A407:A414,B$8),IF(AND(COUNT(A408:A419)=8,COUNT(F408:F419)=8),cubic_spline(F407:F415,A407:A415,B$8),IF(AND(COUNT(A408:A419)=9,COUNT(F408:F419)=9),cubic_spline(F407:F416,A407:A416,B$8),IF(AND(COUNT(A408:A419)=10,COUNT(F408:F419)=10),cubic_spline(F407:F417,A407:A417,B$8),IF(AND(COUNT(A408:A419)=11,COUNT(F408:F419)=11),cubic_spline(F407:F418,A407:A418,B$8),IF(AND(COUNT(A408:A419)=12,COUNT(F408:F419)=12),cubic_spline(F407:F419,A407:A419,B$8),""))))))))))))</f>
        <v/>
      </c>
      <c r="L414" s="27" t="str">
        <f>IF(I414="","",B$7&amp;"-"&amp;B$8)</f>
        <v/>
      </c>
      <c r="M414" s="52" t="str">
        <f t="shared" si="155"/>
        <v/>
      </c>
    </row>
    <row r="415" spans="1:13" x14ac:dyDescent="0.35">
      <c r="A415" s="48"/>
      <c r="B415" s="48"/>
      <c r="C415" s="50"/>
      <c r="D415" s="50"/>
      <c r="E415" s="51" t="str">
        <f t="shared" si="153"/>
        <v/>
      </c>
      <c r="F415" s="71" t="str">
        <f t="shared" si="151"/>
        <v/>
      </c>
      <c r="G415" s="69" t="str">
        <f t="shared" si="154"/>
        <v/>
      </c>
      <c r="H415" s="70" t="str">
        <f t="shared" si="152"/>
        <v/>
      </c>
      <c r="I415" s="27" t="str">
        <f>IF(N(J415)=0,"",0&amp;"-"&amp;B$9)</f>
        <v/>
      </c>
      <c r="J415" s="52" t="str">
        <f>IF(N(B$9)=0,"",IF(AND(COUNT(H408:H419)=2,COUNT(F408:F419)=2),cubic_spline(F407:F409,H407:H409,B$9),IF(AND(COUNT(H408:H419)=3,COUNT(F408:F419)=3),cubic_spline(F407:F410,H407:H410,B$9),IF(AND(COUNT(H408:H419)=4,COUNT(F408:F419)=4),cubic_spline(F407:F411,H407:H411,B$9),IF(AND(COUNT(H408:H419)=5,COUNT(F408:F419)=5),cubic_spline(F407:F412,H407:H412,B$9),IF(AND(COUNT(H408:H419)=6,COUNT(F408:F419)=6),cubic_spline(F407:F413,H407:H413,B$9),IF(AND(COUNT(H408:H419)=7,COUNT(F408:F419)=7),cubic_spline(F407:F414,H407:H414,B$9),IF(AND(COUNT(H408:H419)=8,COUNT(F408:F419)=8),cubic_spline(F407:F415,H407:H415,B$9),IF(AND(COUNT(H408:H419)=9,COUNT(F408:F419)=9),cubic_spline(F407:F416,H407:H416,B$9),IF(AND(COUNT(H408:H419)=10,COUNT(F408:F419)=10),cubic_spline(F407:F417,H407:H417,B$9),IF(AND(COUNT(H408:H419)=11,COUNT(F408:F419)=11),cubic_spline(F407:F418,H407:H418,B$9),IF(AND(COUNT(H408:H419)=12,COUNT(F408:F419)=12),cubic_spline(F407:F419,H407:H419,B$9),""))))))))))))</f>
        <v/>
      </c>
      <c r="K415" s="52" t="str">
        <f>IF(N(B$9)=0,"",IF(AND(COUNT(A408:A419)=2,COUNT(F408:F419)=2),cubic_spline(F407:F409,A407:A409,B$9),IF(AND(COUNT(A408:A419)=3,COUNT(F408:F419)=3),cubic_spline(F407:F410,A407:A410,B$9),IF(AND(COUNT(A408:A419)=4,COUNT(F408:F419)=4),cubic_spline(F407:F411,A407:A411,B$9),IF(AND(COUNT(A408:A419)=5,COUNT(F408:F419)=5),cubic_spline(F407:F412,A407:A412,B$9),IF(AND(COUNT(A408:A419)=6,COUNT(F408:F419)=6),cubic_spline(F407:F413,A407:A413,B$9),IF(AND(COUNT(A408:A419)=7,COUNT(F408:F419)=7),cubic_spline(F407:F414,A407:A414,B$9),IF(AND(COUNT(A408:A419)=8,COUNT(F408:F419)=8),cubic_spline(F407:F415,A407:A415,B$9),IF(AND(COUNT(A408:A419)=9,COUNT(F408:F419)=9),cubic_spline(F407:F416,A407:A416,B$9),IF(AND(COUNT(A408:A419)=10,COUNT(F408:F419)=10),cubic_spline(F407:F417,A407:A417,B$9),IF(AND(COUNT(A408:A419)=11,COUNT(F408:F419)=11),cubic_spline(F407:F418,A407:A418,B$9),IF(AND(COUNT(A408:A419)=12,COUNT(F408:F419)=12),cubic_spline(F407:F419,A407:A419,B$9),""))))))))))))</f>
        <v/>
      </c>
      <c r="L415" s="27" t="str">
        <f>IF(I415="","",B$8&amp;"-"&amp;B$9)</f>
        <v/>
      </c>
      <c r="M415" s="52" t="str">
        <f t="shared" si="155"/>
        <v/>
      </c>
    </row>
    <row r="416" spans="1:13" x14ac:dyDescent="0.35">
      <c r="A416" s="48"/>
      <c r="B416" s="48"/>
      <c r="C416" s="50"/>
      <c r="D416" s="50"/>
      <c r="E416" s="51" t="str">
        <f t="shared" si="153"/>
        <v/>
      </c>
      <c r="F416" s="71" t="str">
        <f t="shared" si="151"/>
        <v/>
      </c>
      <c r="G416" s="69" t="str">
        <f t="shared" si="154"/>
        <v/>
      </c>
      <c r="H416" s="70" t="str">
        <f t="shared" si="152"/>
        <v/>
      </c>
      <c r="I416" s="27" t="str">
        <f>IF(N(J416)=0,"",0&amp;"-"&amp;B$10)</f>
        <v/>
      </c>
      <c r="J416" s="52" t="str">
        <f>IF(N(B$10)=0,"",IF(AND(COUNT(H408:H419)=2,COUNT(F408:F419)=2),cubic_spline(F407:F409,H407:H409,B$10),IF(AND(COUNT(H408:H419)=3,COUNT(F408:F419)=3),cubic_spline(F407:F410,H407:H410,B$10),IF(AND(COUNT(H408:H419)=4,COUNT(F408:F419)=4),cubic_spline(F407:F411,H407:H411,B$10),IF(AND(COUNT(H408:H419)=5,COUNT(F408:F419)=5),cubic_spline(F407:F412,H407:H412,B$10),IF(AND(COUNT(H408:H419)=6,COUNT(F408:F419)=6),cubic_spline(F407:F413,H407:H413,B$10),IF(AND(COUNT(H408:H419)=7,COUNT(F408:F419)=7),cubic_spline(F407:F414,H407:H414,B$10),IF(AND(COUNT(H408:H419)=8,COUNT(F408:F419)=8),cubic_spline(F407:F415,H407:H415,B$10),IF(AND(COUNT(H408:H419)=9,COUNT(F408:F419)=9),cubic_spline(F407:F416,H407:H416,B$10),IF(AND(COUNT(H408:H419)=10,COUNT(F408:F419)=10),cubic_spline(F407:F417,H407:H417,B$10),IF(AND(COUNT(H408:H419)=11,COUNT(F408:F419)=11),cubic_spline(F407:F418,H407:H418,B$10),IF(AND(COUNT(H408:H419)=12,COUNT(F408:F419)=12),cubic_spline(F407:F419,H407:H419,B$10),""))))))))))))</f>
        <v/>
      </c>
      <c r="K416" s="52" t="str">
        <f>IF(N(B$10)=0,"",IF(AND(COUNT(A408:A419)=2,COUNT(F408:F419)=2),cubic_spline(F407:F409,A407:A409,B$10),IF(AND(COUNT(A408:A419)=3,COUNT(F408:F419)=3),cubic_spline(F407:F410,A407:A410,B$10),IF(AND(COUNT(A408:A419)=4,COUNT(F408:F419)=4),cubic_spline(F407:F411,A407:A411,B$10),IF(AND(COUNT(A408:A419)=5,COUNT(F408:F419)=5),cubic_spline(F407:F412,A407:A412,B$10),IF(AND(COUNT(A408:A419)=6,COUNT(F408:F419)=6),cubic_spline(F407:F413,A407:A413,B$10),IF(AND(COUNT(A408:A419)=7,COUNT(F408:F419)=7),cubic_spline(F407:F414,A407:A414,B$10),IF(AND(COUNT(A408:A419)=8,COUNT(F408:F419)=8),cubic_spline(F407:F415,A407:A415,B$10),IF(AND(COUNT(A408:A419)=9,COUNT(F408:F419)=9),cubic_spline(F407:F416,A407:A416,B$10),IF(AND(COUNT(A408:A419)=10,COUNT(F408:F419)=10),cubic_spline(F407:F417,A407:A417,B$10),IF(AND(COUNT(A408:A419)=11,COUNT(F408:F419)=11),cubic_spline(F407:F418,A407:A418,B$10),IF(AND(COUNT(A408:A419)=12,COUNT(F408:F419)=12),cubic_spline(F407:F419,A407:A419,B$10),""))))))))))))</f>
        <v/>
      </c>
      <c r="L416" s="27" t="str">
        <f>IF(I416="","",B$9&amp;"-"&amp;B$10)</f>
        <v/>
      </c>
      <c r="M416" s="52" t="str">
        <f t="shared" si="155"/>
        <v/>
      </c>
    </row>
    <row r="417" spans="1:13" x14ac:dyDescent="0.35">
      <c r="A417" s="48"/>
      <c r="B417" s="48"/>
      <c r="C417" s="50"/>
      <c r="D417" s="50"/>
      <c r="E417" s="51" t="str">
        <f t="shared" si="153"/>
        <v/>
      </c>
      <c r="F417" s="71" t="str">
        <f t="shared" si="151"/>
        <v/>
      </c>
      <c r="G417" s="69" t="str">
        <f t="shared" si="154"/>
        <v/>
      </c>
      <c r="H417" s="70" t="str">
        <f t="shared" si="152"/>
        <v/>
      </c>
      <c r="I417" s="27" t="str">
        <f>IF(N(J417)=0,"",0&amp;"-"&amp;B$11)</f>
        <v/>
      </c>
      <c r="J417" s="52" t="str">
        <f>IF(N(B$11)=0,"",IF(AND(COUNT(H408:H419)=2,COUNT(F408:F419)=2),cubic_spline(F407:F409,H407:H409,B$11),IF(AND(COUNT(H408:H419)=3,COUNT(F408:F419)=3),cubic_spline(F407:F410,H407:H410,B$11),IF(AND(COUNT(H408:H419)=4,COUNT(F408:F419)=4),cubic_spline(F407:F411,H407:H411,B$11),IF(AND(COUNT(H408:H419)=5,COUNT(F408:F419)=5),cubic_spline(F407:F412,H407:H412,B$11),IF(AND(COUNT(H408:H419)=6,COUNT(F408:F419)=6),cubic_spline(F407:F413,H407:H413,B$11),IF(AND(COUNT(H408:H419)=7,COUNT(F408:F419)=7),cubic_spline(F407:F414,H407:H414,B$11),IF(AND(COUNT(H408:H419)=8,COUNT(F408:F419)=8),cubic_spline(F407:F415,H407:H415,B$11),IF(AND(COUNT(H408:H419)=9,COUNT(F408:F419)=9),cubic_spline(F407:F416,H407:H416,B$11),IF(AND(COUNT(H408:H419)=10,COUNT(F408:F419)=10),cubic_spline(F407:F417,H407:H417,B$11),IF(AND(COUNT(H408:H419)=11,COUNT(F408:F419)=11),cubic_spline(F407:F418,H407:H418,B$11),IF(AND(COUNT(H408:H419)=12,COUNT(F408:F419)=12),cubic_spline(F407:F419,H407:H419,B$11),""))))))))))))</f>
        <v/>
      </c>
      <c r="K417" s="52" t="str">
        <f>IF(N(B$11)=0,"",IF(AND(COUNT(A408:A419)=2,COUNT(F408:F419)=2),cubic_spline(F407:F409,A407:A409,B$11),IF(AND(COUNT(A408:A419)=3,COUNT(F408:F419)=3),cubic_spline(F407:F410,A407:A410,B$11),IF(AND(COUNT(A408:A419)=4,COUNT(F408:F419)=4),cubic_spline(F407:F411,A407:A411,B$11),IF(AND(COUNT(A408:A419)=5,COUNT(F408:F419)=5),cubic_spline(F407:F412,A407:A412,B$11),IF(AND(COUNT(A408:A419)=6,COUNT(F408:F419)=6),cubic_spline(F407:F413,A407:A413,B$11),IF(AND(COUNT(A408:A419)=7,COUNT(F408:F419)=7),cubic_spline(F407:F414,A407:A414,B$11),IF(AND(COUNT(A408:A419)=8,COUNT(F408:F419)=8),cubic_spline(F407:F415,A407:A415,B$11),IF(AND(COUNT(A408:A419)=9,COUNT(F408:F419)=9),cubic_spline(F407:F416,A407:A416,B$11),IF(AND(COUNT(A408:A419)=10,COUNT(F408:F419)=10),cubic_spline(F407:F417,A407:A417,B$11),IF(AND(COUNT(A408:A419)=11,COUNT(F408:F419)=11),cubic_spline(F407:F418,A407:A418,B$11),IF(AND(COUNT(A408:A419)=12,COUNT(F408:F419)=12),cubic_spline(F407:F419,A407:A419,B$11),""))))))))))))</f>
        <v/>
      </c>
      <c r="L417" s="27" t="str">
        <f>IF(I417="","",B$10&amp;"-"&amp;B$11)</f>
        <v/>
      </c>
      <c r="M417" s="52" t="str">
        <f t="shared" si="155"/>
        <v/>
      </c>
    </row>
    <row r="418" spans="1:13" x14ac:dyDescent="0.35">
      <c r="A418" s="48"/>
      <c r="B418" s="48"/>
      <c r="C418" s="50"/>
      <c r="D418" s="50"/>
      <c r="E418" s="51" t="str">
        <f t="shared" si="153"/>
        <v/>
      </c>
      <c r="F418" s="71" t="str">
        <f t="shared" si="151"/>
        <v/>
      </c>
      <c r="G418" s="69" t="str">
        <f t="shared" si="154"/>
        <v/>
      </c>
      <c r="H418" s="70" t="str">
        <f t="shared" si="152"/>
        <v/>
      </c>
      <c r="I418" s="27" t="str">
        <f>IF(N(J418)=0,"",0&amp;"-"&amp;B$12)</f>
        <v/>
      </c>
      <c r="J418" s="52" t="str">
        <f>IF(N(B$12)=0,"",IF(AND(COUNT(H408:H419)=2,COUNT(F408:F419)=2),cubic_spline(F407:F409,H407:H409,B$12),IF(AND(COUNT(H408:H419)=3,COUNT(F408:F419)=3),cubic_spline(F407:F410,H407:H410,B$12),IF(AND(COUNT(H408:H419)=4,COUNT(F408:F419)=4),cubic_spline(F407:F411,H407:H411,B$12),IF(AND(COUNT(H408:H419)=5,COUNT(F408:F419)=5),cubic_spline(F407:F412,H407:H412,B$12),IF(AND(COUNT(H408:H419)=6,COUNT(F408:F419)=6),cubic_spline(F407:F413,H407:H413,B$12),IF(AND(COUNT(H408:H419)=7,COUNT(F408:F419)=7),cubic_spline(F407:F414,H407:H414,B$12),IF(AND(COUNT(H408:H419)=8,COUNT(F408:F419)=8),cubic_spline(F407:F415,H407:H415,B$12),IF(AND(COUNT(H408:H419)=9,COUNT(F408:F419)=9),cubic_spline(F407:F416,H407:H416,B$12),IF(AND(COUNT(H408:H419)=10,COUNT(F408:F419)=10),cubic_spline(F407:F417,H407:H417,B$12),IF(AND(COUNT(H408:H419)=11,COUNT(F408:F419)=11),cubic_spline(F407:F418,H407:H418,B$12),IF(AND(COUNT(H408:H419)=12,COUNT(F408:F419)=12),cubic_spline(F407:F419,H407:H419,B$12),""))))))))))))</f>
        <v/>
      </c>
      <c r="K418" s="52" t="str">
        <f>IF(N(B$12)=0,"",IF(AND(COUNT(A408:A419)=2,COUNT(F408:F419)=2),cubic_spline(F407:F409,A407:A409,B$12),IF(AND(COUNT(A408:A419)=3,COUNT(F408:F419)=3),cubic_spline(F407:F410,A407:A410,B$12),IF(AND(COUNT(A408:A419)=4,COUNT(F408:F419)=4),cubic_spline(F407:F411,A407:A411,B$12),IF(AND(COUNT(A408:A419)=5,COUNT(F408:F419)=5),cubic_spline(F407:F412,A407:A412,B$12),IF(AND(COUNT(A408:A419)=6,COUNT(F408:F419)=6),cubic_spline(F407:F413,A407:A413,B$12),IF(AND(COUNT(A408:A419)=7,COUNT(F408:F419)=7),cubic_spline(F407:F414,A407:A414,B$12),IF(AND(COUNT(A408:A419)=8,COUNT(F408:F419)=8),cubic_spline(F407:F415,A407:A415,B$12),IF(AND(COUNT(A408:A419)=9,COUNT(F408:F419)=9),cubic_spline(F407:F416,A407:A416,B$12),IF(AND(COUNT(A408:A419)=10,COUNT(F408:F419)=10),cubic_spline(F407:F417,A407:A417,B$12),IF(AND(COUNT(A408:A419)=11,COUNT(F408:F419)=11),cubic_spline(F407:F418,A407:A418,B$12),IF(AND(COUNT(A408:A419)=12,COUNT(F408:F419)=12),cubic_spline(F407:F419,A407:A419,B$12),""))))))))))))</f>
        <v/>
      </c>
      <c r="L418" s="27" t="str">
        <f>IF(I418="","",B$11&amp;"-"&amp;B$12)</f>
        <v/>
      </c>
      <c r="M418" s="52" t="str">
        <f t="shared" si="155"/>
        <v/>
      </c>
    </row>
    <row r="419" spans="1:13" x14ac:dyDescent="0.35">
      <c r="A419" s="48"/>
      <c r="B419" s="48"/>
      <c r="C419" s="50"/>
      <c r="D419" s="50"/>
      <c r="E419" s="51" t="str">
        <f t="shared" si="153"/>
        <v/>
      </c>
      <c r="F419" s="71" t="str">
        <f t="shared" si="151"/>
        <v/>
      </c>
      <c r="G419" s="69" t="str">
        <f t="shared" si="154"/>
        <v/>
      </c>
      <c r="H419" s="70" t="str">
        <f t="shared" si="152"/>
        <v/>
      </c>
      <c r="I419" s="27" t="str">
        <f>IF(N(J419)=0,"",0&amp;"-"&amp;B$13)</f>
        <v/>
      </c>
      <c r="J419" s="52" t="str">
        <f>IF(N(B$13)=0,"",IF(AND(COUNT(H408:H419)=2,COUNT(F408:F419)=2),cubic_spline(F407:F409,H407:H409,B$13),IF(AND(COUNT(H408:H419)=3,COUNT(F408:F419)=3),cubic_spline(F407:F410,H407:H410,B$13),IF(AND(COUNT(H408:H419)=4,COUNT(F408:F419)=4),cubic_spline(F407:F411,H407:H411,B$13),IF(AND(COUNT(H408:H419)=5,COUNT(F408:F419)=5),cubic_spline(F407:F412,H407:H412,B$13),IF(AND(COUNT(H408:H419)=6,COUNT(F408:F419)=6),cubic_spline(F407:F413,H407:H413,B$13),IF(AND(COUNT(H408:H419)=7,COUNT(F408:F419)=7),cubic_spline(F407:F414,H407:H414,B$13),IF(AND(COUNT(H408:H419)=8,COUNT(F408:F419)=8),cubic_spline(F407:F415,H407:H415,B$13),IF(AND(COUNT(H408:H419)=9,COUNT(F408:F419)=9),cubic_spline(F407:F416,H407:H416,B$13),IF(AND(COUNT(H408:H419)=10,COUNT(F408:F419)=10),cubic_spline(F407:F417,H407:H417,B$13),IF(AND(COUNT(H408:H419)=11,COUNT(F408:F419)=11),cubic_spline(F407:F418,H407:H418,B$13),IF(AND(COUNT(H408:H419)=12,COUNT(F408:F419)=12),cubic_spline(F407:F419,H407:H419,B$13),""))))))))))))</f>
        <v/>
      </c>
      <c r="K419" s="52" t="str">
        <f>IF(N(B$13)=0,"",IF(AND(COUNT(A408:A419)=2,COUNT(F408:F419)=2),cubic_spline(F407:F409,A407:A409,B$13),IF(AND(COUNT(A408:A419)=3,COUNT(F408:F419)=3),cubic_spline(F407:F410,A407:A410,B$13),IF(AND(COUNT(A408:A419)=4,COUNT(F408:F419)=4),cubic_spline(F407:F411,A407:A411,B$13),IF(AND(COUNT(A408:A419)=5,COUNT(F408:F419)=5),cubic_spline(F407:F412,A407:A412,B$13),IF(AND(COUNT(A408:A419)=6,COUNT(F408:F419)=6),cubic_spline(F407:F413,A407:A413,B$13),IF(AND(COUNT(A408:A419)=7,COUNT(F408:F419)=7),cubic_spline(F407:F414,A407:A414,B$13),IF(AND(COUNT(A408:A419)=8,COUNT(F408:F419)=8),cubic_spline(F407:F415,A407:A415,B$13),IF(AND(COUNT(A408:A419)=9,COUNT(F408:F419)=9),cubic_spline(F407:F416,A407:A416,B$13),IF(AND(COUNT(A408:A419)=10,COUNT(F408:F419)=10),cubic_spline(F407:F417,A407:A417,B$13),IF(AND(COUNT(A408:A419)=11,COUNT(F408:F419)=11),cubic_spline(F407:F418,A407:A418,B$13),IF(AND(COUNT(A408:A419)=12,COUNT(F408:F419)=12),cubic_spline(F407:F419,A407:A419,B$13),""))))))))))))</f>
        <v/>
      </c>
      <c r="L419" s="27" t="str">
        <f>IF(I419="","",B$12&amp;"-"&amp;B$13)</f>
        <v/>
      </c>
      <c r="M419" s="52" t="str">
        <f t="shared" si="155"/>
        <v/>
      </c>
    </row>
    <row r="420" spans="1:13" ht="5.15" customHeight="1" x14ac:dyDescent="0.35">
      <c r="A420" s="47"/>
      <c r="B420" s="47"/>
      <c r="C420" s="53"/>
      <c r="D420" s="53"/>
      <c r="E420" s="54"/>
      <c r="F420" s="55"/>
      <c r="G420" s="72"/>
      <c r="H420" s="73"/>
      <c r="I420" s="47"/>
      <c r="J420" s="57"/>
      <c r="K420" s="57"/>
      <c r="L420" s="55"/>
      <c r="M420" s="57"/>
    </row>
    <row r="421" spans="1:13" x14ac:dyDescent="0.35">
      <c r="A421" s="48"/>
      <c r="B421" s="48"/>
      <c r="C421" s="50"/>
      <c r="D421" s="50"/>
      <c r="E421" s="51" t="str">
        <f>IF(N(C421)=0,"",(A421-A420)*C421*100)</f>
        <v/>
      </c>
      <c r="F421" s="68" t="str">
        <f t="shared" ref="F421:F432" si="156">IF(N(E421)=0,"",(N(E421)+N(F420)))</f>
        <v/>
      </c>
      <c r="G421" s="69" t="str">
        <f>IF(OR(N(D421)=0,N(E421)=0),"",(E421*D421)/1000)</f>
        <v/>
      </c>
      <c r="H421" s="70" t="str">
        <f t="shared" ref="H421:H432" si="157">IF(N(G421)=0,"",(N(G421)+N(H420)))</f>
        <v/>
      </c>
      <c r="I421" s="27" t="str">
        <f>IF(N(J421)=0,"",0&amp;"-"&amp;B$2)</f>
        <v/>
      </c>
      <c r="J421" s="52" t="str">
        <f>IF(N(B$2)=0,"",IF(AND(COUNT(H421:H432)=2,COUNT(F421:F432)=2),cubic_spline(F420:F422,H420:H422,B$2),IF(AND(COUNT(H421:H432)=3,COUNT(F421:F432)=3),cubic_spline(F420:F423,H420:H423,B$2),IF(AND(COUNT(H421:H432)=4,COUNT(F421:F432)=4),cubic_spline(F420:F424,H420:H424,B$2),IF(AND(COUNT(H421:H432)=5,COUNT(F421:F432)=5),cubic_spline(F420:F425,H420:H425,B$2),IF(AND(COUNT(H421:H432)=6,COUNT(F421:F432)=6),cubic_spline(F420:F426,H420:H426,B$2),IF(AND(COUNT(H421:H432)=7,COUNT(F421:F432)=7),cubic_spline(F420:F427,H420:H427,B$2),IF(AND(COUNT(H421:H432)=8,COUNT(F421:F432)=8),cubic_spline(F420:F428,H420:H428,B$2),IF(AND(COUNT(H421:H432)=9,COUNT(F421:F432)=9),cubic_spline(F420:F429,H420:H429,B$2),IF(AND(COUNT(H421:H432)=10,COUNT(F421:F432)=10),cubic_spline(F420:F430,H420:H430,B$2),IF(AND(COUNT(H421:H432)=11,COUNT(F421:F432)=11),cubic_spline(F420:F431,H420:H431,B$2),IF(AND(COUNT(H421:H432)=12,COUNT(F421:F432)=12),cubic_spline(F420:F432,H420:H432,B$2),""))))))))))))</f>
        <v/>
      </c>
      <c r="K421" s="52" t="str">
        <f>IF(N(B$2)=0,"",IF(AND(COUNT(A421:A432)=2,COUNT(F421:F432)=2),cubic_spline(F420:F422,A420:A422,B$2),IF(AND(COUNT(A421:A432)=3,COUNT(F421:F432)=3),cubic_spline(F420:F423,A420:A423,B$2),IF(AND(COUNT(A421:A432)=4,COUNT(F421:F432)=4),cubic_spline(F420:F424,A420:A424,B$2),IF(AND(COUNT(A421:A432)=5,COUNT(F421:F432)=5),cubic_spline(F420:F425,A420:A425,B$2),IF(AND(COUNT(A421:A432)=6,COUNT(F421:F432)=6),cubic_spline(F420:F426,A420:A426,B$2),IF(AND(COUNT(A421:A432)=7,COUNT(F421:F432)=7),cubic_spline(F420:F427,A420:A427,B$2),IF(AND(COUNT(A421:A432)=8,COUNT(F421:F432)=8),cubic_spline(F420:F428,A420:A428,B$2),IF(AND(COUNT(A421:A432)=9,COUNT(F421:F432)=9),cubic_spline(F420:F429,A420:A429,B$2),IF(AND(COUNT(A421:A432)=10,COUNT(F421:F432)=10),cubic_spline(F420:F430,A420:A430,B$2),IF(AND(COUNT(A421:A432)=11,COUNT(F421:F432)=11),cubic_spline(F420:F431,A420:A431,B$2),IF(AND(COUNT(A421:A432)=12,COUNT(F421:F432)=12),cubic_spline(F420:F432,A420:A432,B$2),""))))))))))))</f>
        <v/>
      </c>
      <c r="L421" s="27" t="str">
        <f>IF(I421="","",0&amp;"-"&amp;B$2)</f>
        <v/>
      </c>
      <c r="M421" s="52" t="str">
        <f>IF(N(J421)=0,"",J421-J420)</f>
        <v/>
      </c>
    </row>
    <row r="422" spans="1:13" x14ac:dyDescent="0.35">
      <c r="A422" s="48"/>
      <c r="B422" s="48"/>
      <c r="C422" s="50"/>
      <c r="D422" s="50"/>
      <c r="E422" s="51" t="str">
        <f t="shared" ref="E422:E432" si="158">IF(N(C422)=0,"",(A422-A421)*C422*100)</f>
        <v/>
      </c>
      <c r="F422" s="68" t="str">
        <f t="shared" si="156"/>
        <v/>
      </c>
      <c r="G422" s="69" t="str">
        <f t="shared" ref="G422:G432" si="159">IF(OR(N(D422)=0,N(E422)=0),"",(E422*D422)/1000)</f>
        <v/>
      </c>
      <c r="H422" s="70" t="str">
        <f t="shared" si="157"/>
        <v/>
      </c>
      <c r="I422" s="27" t="str">
        <f>IF(N(J422)=0,"",0&amp;"-"&amp;B$3)</f>
        <v/>
      </c>
      <c r="J422" s="52" t="str">
        <f>IF(N(B$3)=0,"",IF(AND(COUNT(H421:H432)=2,COUNT(F421:F432)=2),cubic_spline(F420:F422,H420:H422,B$3),IF(AND(COUNT(H421:H432)=3,COUNT(F421:F432)=3),cubic_spline(F420:F423,H420:H423,B$3),IF(AND(COUNT(H421:H432)=4,COUNT(F421:F432)=4),cubic_spline(F420:F424,H420:H424,B$3),IF(AND(COUNT(H421:H432)=5,COUNT(F421:F432)=5),cubic_spline(F420:F425,H420:H425,B$3),IF(AND(COUNT(H421:H432)=6,COUNT(F421:F432)=6),cubic_spline(F420:F426,H420:H426,B$3),IF(AND(COUNT(H421:H432)=7,COUNT(F421:F432)=7),cubic_spline(F420:F427,H420:H427,B$3),IF(AND(COUNT(H421:H432)=8,COUNT(F421:F432)=8),cubic_spline(F420:F428,H420:H428,B$3),IF(AND(COUNT(H421:H432)=9,COUNT(F421:F432)=9),cubic_spline(F420:F429,H420:H429,B$3),IF(AND(COUNT(H421:H432)=10,COUNT(F421:F432)=10),cubic_spline(F420:F430,H420:H430,B$3),IF(AND(COUNT(H421:H432)=11,COUNT(F421:F432)=11),cubic_spline(F420:F431,H420:H431,B$3),IF(AND(COUNT(H421:H432)=12,COUNT(F421:F432)=12),cubic_spline(F420:F432,H420:H432,B$3),""))))))))))))</f>
        <v/>
      </c>
      <c r="K422" s="52" t="str">
        <f>IF(N(B$3)=0,"",IF(AND(COUNT(A421:A432)=2,COUNT(F421:F432)=2),cubic_spline(F420:F422,A420:A422,B$3),IF(AND(COUNT(A421:A432)=3,COUNT(F421:F432)=3),cubic_spline(F420:F423,A420:A423,B$3),IF(AND(COUNT(A421:A432)=4,COUNT(F421:F432)=4),cubic_spline(F420:F424,A420:A424,B$3),IF(AND(COUNT(A421:A432)=5,COUNT(F421:F432)=5),cubic_spline(F420:F425,A420:A425,B$3),IF(AND(COUNT(A421:A432)=6,COUNT(F421:F432)=6),cubic_spline(F420:F426,A420:A426,B$3),IF(AND(COUNT(A421:A432)=7,COUNT(F421:F432)=7),cubic_spline(F420:F427,A420:A427,B$3),IF(AND(COUNT(A421:A432)=8,COUNT(F421:F432)=8),cubic_spline(F420:F428,A420:A428,B$3),IF(AND(COUNT(A421:A432)=9,COUNT(F421:F432)=9),cubic_spline(F420:F429,A420:A429,B$3),IF(AND(COUNT(A421:A432)=10,COUNT(F421:F432)=10),cubic_spline(F420:F430,A420:A430,B$3),IF(AND(COUNT(A421:A432)=11,COUNT(F421:F432)=11),cubic_spline(F420:F431,A420:A431,B$3),IF(AND(COUNT(A421:A432)=12,COUNT(F421:F432)=12),cubic_spline(F420:F432,A420:A432,B$3),""))))))))))))</f>
        <v/>
      </c>
      <c r="L422" s="27" t="str">
        <f>IF(I422="","",B$2&amp;"-"&amp;B$3)</f>
        <v/>
      </c>
      <c r="M422" s="52" t="str">
        <f>IF(N(J422)=0,"",J422-J421)</f>
        <v/>
      </c>
    </row>
    <row r="423" spans="1:13" x14ac:dyDescent="0.35">
      <c r="A423" s="48"/>
      <c r="B423" s="48"/>
      <c r="C423" s="50"/>
      <c r="D423" s="50"/>
      <c r="E423" s="51" t="str">
        <f t="shared" si="158"/>
        <v/>
      </c>
      <c r="F423" s="68" t="str">
        <f t="shared" si="156"/>
        <v/>
      </c>
      <c r="G423" s="69" t="str">
        <f t="shared" si="159"/>
        <v/>
      </c>
      <c r="H423" s="70" t="str">
        <f t="shared" si="157"/>
        <v/>
      </c>
      <c r="I423" s="27" t="str">
        <f>IF(N(J423)=0,"",0&amp;"-"&amp;B$4)</f>
        <v/>
      </c>
      <c r="J423" s="52" t="str">
        <f>IF(N(B$4)=0,"",IF(AND(COUNT(H421:H432)=2,COUNT(F421:F432)=2),cubic_spline(F420:F422,H420:H422,B$4),IF(AND(COUNT(H421:H432)=3,COUNT(F421:F432)=3),cubic_spline(F420:F423,H420:H423,B$4),IF(AND(COUNT(H421:H432)=4,COUNT(F421:F432)=4),cubic_spline(F420:F424,H420:H424,B$4),IF(AND(COUNT(H421:H432)=5,COUNT(F421:F432)=5),cubic_spline(F420:F425,H420:H425,B$4),IF(AND(COUNT(H421:H432)=6,COUNT(F421:F432)=6),cubic_spline(F420:F426,H420:H426,B$4),IF(AND(COUNT(H421:H432)=7,COUNT(F421:F432)=7),cubic_spline(F420:F427,H420:H427,B$4),IF(AND(COUNT(H421:H432)=8,COUNT(F421:F432)=8),cubic_spline(F420:F428,H420:H428,B$4),IF(AND(COUNT(H421:H432)=9,COUNT(F421:F432)=9),cubic_spline(F420:F429,H420:H429,B$4),IF(AND(COUNT(H421:H432)=10,COUNT(F421:F432)=10),cubic_spline(F420:F430,H420:H430,B$4),IF(AND(COUNT(H421:H432)=11,COUNT(F421:F432)=11),cubic_spline(F420:F431,H420:H431,B$4),IF(AND(COUNT(H421:H432)=12,COUNT(F421:F432)=12),cubic_spline(F420:F432,H420:H432,B$4),""))))))))))))</f>
        <v/>
      </c>
      <c r="K423" s="52" t="str">
        <f>IF(N(B$4)=0,"",IF(AND(COUNT(A421:A432)=2,COUNT(F421:F432)=2),cubic_spline(F420:F422,A420:A422,B$4),IF(AND(COUNT(A421:A432)=3,COUNT(F421:F432)=3),cubic_spline(F420:F423,A420:A423,B$4),IF(AND(COUNT(A421:A432)=4,COUNT(F421:F432)=4),cubic_spline(F420:F424,A420:A424,B$4),IF(AND(COUNT(A421:A432)=5,COUNT(F421:F432)=5),cubic_spline(F420:F425,A420:A425,B$4),IF(AND(COUNT(A421:A432)=6,COUNT(F421:F432)=6),cubic_spline(F420:F426,A420:A426,B$4),IF(AND(COUNT(A421:A432)=7,COUNT(F421:F432)=7),cubic_spline(F420:F427,A420:A427,B$4),IF(AND(COUNT(A421:A432)=8,COUNT(F421:F432)=8),cubic_spline(F420:F428,A420:A428,B$4),IF(AND(COUNT(A421:A432)=9,COUNT(F421:F432)=9),cubic_spline(F420:F429,A420:A429,B$4),IF(AND(COUNT(A421:A432)=10,COUNT(F421:F432)=10),cubic_spline(F420:F430,A420:A430,B$4),IF(AND(COUNT(A421:A432)=11,COUNT(F421:F432)=11),cubic_spline(F420:F431,A420:A431,B$4),IF(AND(COUNT(A421:A432)=12,COUNT(F421:F432)=12),cubic_spline(F420:F432,A420:A432,B$4),""))))))))))))</f>
        <v/>
      </c>
      <c r="L423" s="27" t="str">
        <f>IF(I423="","",B$3&amp;"-"&amp;B$4)</f>
        <v/>
      </c>
      <c r="M423" s="52" t="str">
        <f>IF(N(J423)=0,"",J423-J422)</f>
        <v/>
      </c>
    </row>
    <row r="424" spans="1:13" x14ac:dyDescent="0.35">
      <c r="A424" s="48"/>
      <c r="B424" s="48"/>
      <c r="C424" s="50"/>
      <c r="D424" s="50"/>
      <c r="E424" s="51" t="str">
        <f t="shared" si="158"/>
        <v/>
      </c>
      <c r="F424" s="68" t="str">
        <f t="shared" si="156"/>
        <v/>
      </c>
      <c r="G424" s="69" t="str">
        <f t="shared" si="159"/>
        <v/>
      </c>
      <c r="H424" s="70" t="str">
        <f t="shared" si="157"/>
        <v/>
      </c>
      <c r="I424" s="27" t="str">
        <f>IF(N(J424)=0,"",0&amp;"-"&amp;B$5)</f>
        <v/>
      </c>
      <c r="J424" s="52" t="str">
        <f>IF(N(B$5)=0,"",IF(AND(COUNT(H421:H432)=2,COUNT(F421:F432)=2),cubic_spline(F420:F422,H420:H422,B$5),IF(AND(COUNT(H421:H432)=3,COUNT(F421:F432)=3),cubic_spline(F420:F423,H420:H423,B$5),IF(AND(COUNT(H421:H432)=4,COUNT(F421:F432)=4),cubic_spline(F420:F424,H420:H424,B$5),IF(AND(COUNT(H421:H432)=5,COUNT(F421:F432)=5),cubic_spline(F420:F425,H420:H425,B$5),IF(AND(COUNT(H421:H432)=6,COUNT(F421:F432)=6),cubic_spline(F420:F426,H420:H426,B$5),IF(AND(COUNT(H421:H432)=7,COUNT(F421:F432)=7),cubic_spline(F420:F427,H420:H427,B$5),IF(AND(COUNT(H421:H432)=8,COUNT(F421:F432)=8),cubic_spline(F420:F428,H420:H428,B$5),IF(AND(COUNT(H421:H432)=9,COUNT(F421:F432)=9),cubic_spline(F420:F429,H420:H429,B$5),IF(AND(COUNT(H421:H432)=10,COUNT(F421:F432)=10),cubic_spline(F420:F430,H420:H430,B$5),IF(AND(COUNT(H421:H432)=11,COUNT(F421:F432)=11),cubic_spline(F420:F431,H420:H431,B$5),IF(AND(COUNT(H421:H432)=12,COUNT(F421:F432)=12),cubic_spline(F420:F432,H420:H432,B$5),""))))))))))))</f>
        <v/>
      </c>
      <c r="K424" s="52" t="str">
        <f>IF(N(B$5)=0,"",IF(AND(COUNT(A421:A432)=2,COUNT(F421:F432)=2),cubic_spline(F420:F422,A420:A422,B$5),IF(AND(COUNT(A421:A432)=3,COUNT(F421:F432)=3),cubic_spline(F420:F423,A420:A423,B$5),IF(AND(COUNT(A421:A432)=4,COUNT(F421:F432)=4),cubic_spline(F420:F424,A420:A424,B$5),IF(AND(COUNT(A421:A432)=5,COUNT(F421:F432)=5),cubic_spline(F420:F425,A420:A425,B$5),IF(AND(COUNT(A421:A432)=6,COUNT(F421:F432)=6),cubic_spline(F420:F426,A420:A426,B$5),IF(AND(COUNT(A421:A432)=7,COUNT(F421:F432)=7),cubic_spline(F420:F427,A420:A427,B$5),IF(AND(COUNT(A421:A432)=8,COUNT(F421:F432)=8),cubic_spline(F420:F428,A420:A428,B$5),IF(AND(COUNT(A421:A432)=9,COUNT(F421:F432)=9),cubic_spline(F420:F429,A420:A429,B$5),IF(AND(COUNT(A421:A432)=10,COUNT(F421:F432)=10),cubic_spline(F420:F430,A420:A430,B$5),IF(AND(COUNT(A421:A432)=11,COUNT(F421:F432)=11),cubic_spline(F420:F431,A420:A431,B$5),IF(AND(COUNT(A421:A432)=12,COUNT(F421:F432)=12),cubic_spline(F420:F432,A420:A432,B$5),""))))))))))))</f>
        <v/>
      </c>
      <c r="L424" s="27" t="str">
        <f>IF(I424="","",B$4&amp;"-"&amp;B$5)</f>
        <v/>
      </c>
      <c r="M424" s="52" t="str">
        <f>IF(N(J424)=0,"",J424-J423)</f>
        <v/>
      </c>
    </row>
    <row r="425" spans="1:13" x14ac:dyDescent="0.35">
      <c r="A425" s="48"/>
      <c r="B425" s="48"/>
      <c r="C425" s="50"/>
      <c r="D425" s="50"/>
      <c r="E425" s="51" t="str">
        <f t="shared" si="158"/>
        <v/>
      </c>
      <c r="F425" s="71" t="str">
        <f t="shared" si="156"/>
        <v/>
      </c>
      <c r="G425" s="69" t="str">
        <f t="shared" si="159"/>
        <v/>
      </c>
      <c r="H425" s="70" t="str">
        <f t="shared" si="157"/>
        <v/>
      </c>
      <c r="I425" s="27" t="str">
        <f>IF(N(J425)=0,"",0&amp;"-"&amp;B$6)</f>
        <v/>
      </c>
      <c r="J425" s="52" t="str">
        <f>IF(N(B$6)=0,"",IF(AND(COUNT(H421:H432)=2,COUNT(F421:F432)=2),cubic_spline(F420:F422,H420:H422,B$6),IF(AND(COUNT(H421:H432)=3,COUNT(F421:F432)=3),cubic_spline(F420:F423,H420:H423,B$6),IF(AND(COUNT(H421:H432)=4,COUNT(F421:F432)=4),cubic_spline(F420:F424,H420:H424,B$6),IF(AND(COUNT(H421:H432)=5,COUNT(F421:F432)=5),cubic_spline(F420:F425,H420:H425,B$6),IF(AND(COUNT(H421:H432)=6,COUNT(F421:F432)=6),cubic_spline(F420:F426,H420:H426,B$6),IF(AND(COUNT(H421:H432)=7,COUNT(F421:F432)=7),cubic_spline(F420:F427,H420:H427,B$6),IF(AND(COUNT(H421:H432)=8,COUNT(F421:F432)=8),cubic_spline(F420:F428,H420:H428,B$6),IF(AND(COUNT(H421:H432)=9,COUNT(F421:F432)=9),cubic_spline(F420:F429,H420:H429,B$6),IF(AND(COUNT(H421:H432)=10,COUNT(F421:F432)=10),cubic_spline(F420:F430,H420:H430,B$6),IF(AND(COUNT(H421:H432)=11,COUNT(F421:F432)=11),cubic_spline(F420:F431,H420:H431,B$6),IF(AND(COUNT(H421:H432)=12,COUNT(F421:F432)=12),cubic_spline(F420:F432,H420:H432,B$6),""))))))))))))</f>
        <v/>
      </c>
      <c r="K425" s="52" t="str">
        <f>IF(N(B$6)=0,"",IF(AND(COUNT(A421:A432)=2,COUNT(F421:F432)=2),cubic_spline(F420:F422,A420:A422,B$6),IF(AND(COUNT(A421:A432)=3,COUNT(F421:F432)=3),cubic_spline(F420:F423,A420:A423,B$6),IF(AND(COUNT(A421:A432)=4,COUNT(F421:F432)=4),cubic_spline(F420:F424,A420:A424,B$6),IF(AND(COUNT(A421:A432)=5,COUNT(F421:F432)=5),cubic_spline(F420:F425,A420:A425,B$6),IF(AND(COUNT(A421:A432)=6,COUNT(F421:F432)=6),cubic_spline(F420:F426,A420:A426,B$6),IF(AND(COUNT(A421:A432)=7,COUNT(F421:F432)=7),cubic_spline(F420:F427,A420:A427,B$6),IF(AND(COUNT(A421:A432)=8,COUNT(F421:F432)=8),cubic_spline(F420:F428,A420:A428,B$6),IF(AND(COUNT(A421:A432)=9,COUNT(F421:F432)=9),cubic_spline(F420:F429,A420:A429,B$6),IF(AND(COUNT(A421:A432)=10,COUNT(F421:F432)=10),cubic_spline(F420:F430,A420:A430,B$6),IF(AND(COUNT(A421:A432)=11,COUNT(F421:F432)=11),cubic_spline(F420:F431,A420:A431,B$6),IF(AND(COUNT(A421:A432)=12,COUNT(F421:F432)=12),cubic_spline(F420:F432,A420:A432,B$6),""))))))))))))</f>
        <v/>
      </c>
      <c r="L425" s="27" t="str">
        <f>IF(I425="","",B$5&amp;"-"&amp;B$6)</f>
        <v/>
      </c>
      <c r="M425" s="52" t="str">
        <f>IF(N(J425)=0,"",J425-J424)</f>
        <v/>
      </c>
    </row>
    <row r="426" spans="1:13" x14ac:dyDescent="0.35">
      <c r="A426" s="48"/>
      <c r="B426" s="48"/>
      <c r="C426" s="50"/>
      <c r="D426" s="50"/>
      <c r="E426" s="51" t="str">
        <f t="shared" si="158"/>
        <v/>
      </c>
      <c r="F426" s="71" t="str">
        <f t="shared" si="156"/>
        <v/>
      </c>
      <c r="G426" s="69" t="str">
        <f t="shared" si="159"/>
        <v/>
      </c>
      <c r="H426" s="70" t="str">
        <f t="shared" si="157"/>
        <v/>
      </c>
      <c r="I426" s="27" t="str">
        <f>IF(N(J426)=0,"",0&amp;"-"&amp;B$7)</f>
        <v/>
      </c>
      <c r="J426" s="52" t="str">
        <f>IF(N(B$7)=0,"",IF(AND(COUNT(H421:H432)=2,COUNT(F421:F432)=2),cubic_spline(F420:F422,H420:H422,B$7),IF(AND(COUNT(H421:H432)=3,COUNT(F421:F432)=3),cubic_spline(F420:F423,H420:H423,B$7),IF(AND(COUNT(H421:H432)=4,COUNT(F421:F432)=4),cubic_spline(F420:F424,H420:H424,B$7),IF(AND(COUNT(H421:H432)=5,COUNT(F421:F432)=5),cubic_spline(F420:F425,H420:H425,B$7),IF(AND(COUNT(H421:H432)=6,COUNT(F421:F432)=6),cubic_spline(F420:F426,H420:H426,B$7),IF(AND(COUNT(H421:H432)=7,COUNT(F421:F432)=7),cubic_spline(F420:F427,H420:H427,B$7),IF(AND(COUNT(H421:H432)=8,COUNT(F421:F432)=8),cubic_spline(F420:F428,H420:H428,B$7),IF(AND(COUNT(H421:H432)=9,COUNT(F421:F432)=9),cubic_spline(F420:F429,H420:H429,B$7),IF(AND(COUNT(H421:H432)=10,COUNT(F421:F432)=10),cubic_spline(F420:F430,H420:H430,B$7),IF(AND(COUNT(H421:H432)=11,COUNT(F421:F432)=11),cubic_spline(F420:F431,H420:H431,B$7),IF(AND(COUNT(H421:H432)=12,COUNT(F421:F432)=12),cubic_spline(F420:F432,H420:H432,B$7),""))))))))))))</f>
        <v/>
      </c>
      <c r="K426" s="52" t="str">
        <f>IF(N(B$7)=0,"",IF(AND(COUNT(A421:A432)=2,COUNT(F421:F432)=2),cubic_spline(F420:F422,A420:A422,B$7),IF(AND(COUNT(A421:A432)=3,COUNT(F421:F432)=3),cubic_spline(F420:F423,A420:A423,B$7),IF(AND(COUNT(A421:A432)=4,COUNT(F421:F432)=4),cubic_spline(F420:F424,A420:A424,B$7),IF(AND(COUNT(A421:A432)=5,COUNT(F421:F432)=5),cubic_spline(F420:F425,A420:A425,B$7),IF(AND(COUNT(A421:A432)=6,COUNT(F421:F432)=6),cubic_spline(F420:F426,A420:A426,B$7),IF(AND(COUNT(A421:A432)=7,COUNT(F421:F432)=7),cubic_spline(F420:F427,A420:A427,B$7),IF(AND(COUNT(A421:A432)=8,COUNT(F421:F432)=8),cubic_spline(F420:F428,A420:A428,B$7),IF(AND(COUNT(A421:A432)=9,COUNT(F421:F432)=9),cubic_spline(F420:F429,A420:A429,B$7),IF(AND(COUNT(A421:A432)=10,COUNT(F421:F432)=10),cubic_spline(F420:F430,A420:A430,B$7),IF(AND(COUNT(A421:A432)=11,COUNT(F421:F432)=11),cubic_spline(F420:F431,A420:A431,B$7),IF(AND(COUNT(A421:A432)=12,COUNT(F421:F432)=12),cubic_spline(F420:F432,A420:A432,B$7),""))))))))))))</f>
        <v/>
      </c>
      <c r="L426" s="27" t="str">
        <f>IF(I426="","",B$6&amp;"-"&amp;B$7)</f>
        <v/>
      </c>
      <c r="M426" s="52" t="str">
        <f t="shared" ref="M426:M432" si="160">IF(N(J426)=0,"",J426-J425)</f>
        <v/>
      </c>
    </row>
    <row r="427" spans="1:13" x14ac:dyDescent="0.35">
      <c r="A427" s="48"/>
      <c r="B427" s="48"/>
      <c r="C427" s="50"/>
      <c r="D427" s="50"/>
      <c r="E427" s="51" t="str">
        <f t="shared" si="158"/>
        <v/>
      </c>
      <c r="F427" s="71" t="str">
        <f t="shared" si="156"/>
        <v/>
      </c>
      <c r="G427" s="69" t="str">
        <f t="shared" si="159"/>
        <v/>
      </c>
      <c r="H427" s="70" t="str">
        <f t="shared" si="157"/>
        <v/>
      </c>
      <c r="I427" s="27" t="str">
        <f>IF(N(J427)=0,"",0&amp;"-"&amp;B$8)</f>
        <v/>
      </c>
      <c r="J427" s="52" t="str">
        <f>IF(N(B$8)=0,"",IF(AND(COUNT(H421:H432)=2,COUNT(F421:F432)=2),cubic_spline(F420:F422,H420:H422,B$8),IF(AND(COUNT(H421:H432)=3,COUNT(F421:F432)=3),cubic_spline(F420:F423,H420:H423,B$8),IF(AND(COUNT(H421:H432)=4,COUNT(F421:F432)=4),cubic_spline(F420:F424,H420:H424,B$8),IF(AND(COUNT(H421:H432)=5,COUNT(F421:F432)=5),cubic_spline(F420:F425,H420:H425,B$8),IF(AND(COUNT(H421:H432)=6,COUNT(F421:F432)=6),cubic_spline(F420:F426,H420:H426,B$8),IF(AND(COUNT(H421:H432)=7,COUNT(F421:F432)=7),cubic_spline(F420:F427,H420:H427,B$8),IF(AND(COUNT(H421:H432)=8,COUNT(F421:F432)=8),cubic_spline(F420:F428,H420:H428,B$8),IF(AND(COUNT(H421:H432)=9,COUNT(F421:F432)=9),cubic_spline(F420:F429,H420:H429,B$8),IF(AND(COUNT(H421:H432)=10,COUNT(F421:F432)=10),cubic_spline(F420:F430,H420:H430,B$8),IF(AND(COUNT(H421:H432)=11,COUNT(F421:F432)=11),cubic_spline(F420:F431,H420:H431,B$8),IF(AND(COUNT(H421:H432)=12,COUNT(F421:F432)=12),cubic_spline(F420:F432,H420:H432,B$8),""))))))))))))</f>
        <v/>
      </c>
      <c r="K427" s="52" t="str">
        <f>IF(N(B$8)=0,"",IF(AND(COUNT(A421:A432)=2,COUNT(F421:F432)=2),cubic_spline(F420:F422,A420:A422,B$8),IF(AND(COUNT(A421:A432)=3,COUNT(F421:F432)=3),cubic_spline(F420:F423,A420:A423,B$8),IF(AND(COUNT(A421:A432)=4,COUNT(F421:F432)=4),cubic_spline(F420:F424,A420:A424,B$8),IF(AND(COUNT(A421:A432)=5,COUNT(F421:F432)=5),cubic_spline(F420:F425,A420:A425,B$8),IF(AND(COUNT(A421:A432)=6,COUNT(F421:F432)=6),cubic_spline(F420:F426,A420:A426,B$8),IF(AND(COUNT(A421:A432)=7,COUNT(F421:F432)=7),cubic_spline(F420:F427,A420:A427,B$8),IF(AND(COUNT(A421:A432)=8,COUNT(F421:F432)=8),cubic_spline(F420:F428,A420:A428,B$8),IF(AND(COUNT(A421:A432)=9,COUNT(F421:F432)=9),cubic_spline(F420:F429,A420:A429,B$8),IF(AND(COUNT(A421:A432)=10,COUNT(F421:F432)=10),cubic_spline(F420:F430,A420:A430,B$8),IF(AND(COUNT(A421:A432)=11,COUNT(F421:F432)=11),cubic_spline(F420:F431,A420:A431,B$8),IF(AND(COUNT(A421:A432)=12,COUNT(F421:F432)=12),cubic_spline(F420:F432,A420:A432,B$8),""))))))))))))</f>
        <v/>
      </c>
      <c r="L427" s="27" t="str">
        <f>IF(I427="","",B$7&amp;"-"&amp;B$8)</f>
        <v/>
      </c>
      <c r="M427" s="52" t="str">
        <f t="shared" si="160"/>
        <v/>
      </c>
    </row>
    <row r="428" spans="1:13" x14ac:dyDescent="0.35">
      <c r="A428" s="48"/>
      <c r="B428" s="48"/>
      <c r="C428" s="50"/>
      <c r="D428" s="50"/>
      <c r="E428" s="51" t="str">
        <f t="shared" si="158"/>
        <v/>
      </c>
      <c r="F428" s="71" t="str">
        <f t="shared" si="156"/>
        <v/>
      </c>
      <c r="G428" s="69" t="str">
        <f t="shared" si="159"/>
        <v/>
      </c>
      <c r="H428" s="70" t="str">
        <f t="shared" si="157"/>
        <v/>
      </c>
      <c r="I428" s="27" t="str">
        <f>IF(N(J428)=0,"",0&amp;"-"&amp;B$9)</f>
        <v/>
      </c>
      <c r="J428" s="52" t="str">
        <f>IF(N(B$9)=0,"",IF(AND(COUNT(H421:H432)=2,COUNT(F421:F432)=2),cubic_spline(F420:F422,H420:H422,B$9),IF(AND(COUNT(H421:H432)=3,COUNT(F421:F432)=3),cubic_spline(F420:F423,H420:H423,B$9),IF(AND(COUNT(H421:H432)=4,COUNT(F421:F432)=4),cubic_spline(F420:F424,H420:H424,B$9),IF(AND(COUNT(H421:H432)=5,COUNT(F421:F432)=5),cubic_spline(F420:F425,H420:H425,B$9),IF(AND(COUNT(H421:H432)=6,COUNT(F421:F432)=6),cubic_spline(F420:F426,H420:H426,B$9),IF(AND(COUNT(H421:H432)=7,COUNT(F421:F432)=7),cubic_spline(F420:F427,H420:H427,B$9),IF(AND(COUNT(H421:H432)=8,COUNT(F421:F432)=8),cubic_spline(F420:F428,H420:H428,B$9),IF(AND(COUNT(H421:H432)=9,COUNT(F421:F432)=9),cubic_spline(F420:F429,H420:H429,B$9),IF(AND(COUNT(H421:H432)=10,COUNT(F421:F432)=10),cubic_spline(F420:F430,H420:H430,B$9),IF(AND(COUNT(H421:H432)=11,COUNT(F421:F432)=11),cubic_spline(F420:F431,H420:H431,B$9),IF(AND(COUNT(H421:H432)=12,COUNT(F421:F432)=12),cubic_spline(F420:F432,H420:H432,B$9),""))))))))))))</f>
        <v/>
      </c>
      <c r="K428" s="52" t="str">
        <f>IF(N(B$9)=0,"",IF(AND(COUNT(A421:A432)=2,COUNT(F421:F432)=2),cubic_spline(F420:F422,A420:A422,B$9),IF(AND(COUNT(A421:A432)=3,COUNT(F421:F432)=3),cubic_spline(F420:F423,A420:A423,B$9),IF(AND(COUNT(A421:A432)=4,COUNT(F421:F432)=4),cubic_spline(F420:F424,A420:A424,B$9),IF(AND(COUNT(A421:A432)=5,COUNT(F421:F432)=5),cubic_spline(F420:F425,A420:A425,B$9),IF(AND(COUNT(A421:A432)=6,COUNT(F421:F432)=6),cubic_spline(F420:F426,A420:A426,B$9),IF(AND(COUNT(A421:A432)=7,COUNT(F421:F432)=7),cubic_spline(F420:F427,A420:A427,B$9),IF(AND(COUNT(A421:A432)=8,COUNT(F421:F432)=8),cubic_spline(F420:F428,A420:A428,B$9),IF(AND(COUNT(A421:A432)=9,COUNT(F421:F432)=9),cubic_spline(F420:F429,A420:A429,B$9),IF(AND(COUNT(A421:A432)=10,COUNT(F421:F432)=10),cubic_spline(F420:F430,A420:A430,B$9),IF(AND(COUNT(A421:A432)=11,COUNT(F421:F432)=11),cubic_spline(F420:F431,A420:A431,B$9),IF(AND(COUNT(A421:A432)=12,COUNT(F421:F432)=12),cubic_spline(F420:F432,A420:A432,B$9),""))))))))))))</f>
        <v/>
      </c>
      <c r="L428" s="27" t="str">
        <f>IF(I428="","",B$8&amp;"-"&amp;B$9)</f>
        <v/>
      </c>
      <c r="M428" s="52" t="str">
        <f t="shared" si="160"/>
        <v/>
      </c>
    </row>
    <row r="429" spans="1:13" x14ac:dyDescent="0.35">
      <c r="A429" s="48"/>
      <c r="B429" s="48"/>
      <c r="C429" s="50"/>
      <c r="D429" s="50"/>
      <c r="E429" s="51" t="str">
        <f t="shared" si="158"/>
        <v/>
      </c>
      <c r="F429" s="71" t="str">
        <f t="shared" si="156"/>
        <v/>
      </c>
      <c r="G429" s="69" t="str">
        <f t="shared" si="159"/>
        <v/>
      </c>
      <c r="H429" s="70" t="str">
        <f t="shared" si="157"/>
        <v/>
      </c>
      <c r="I429" s="27" t="str">
        <f>IF(N(J429)=0,"",0&amp;"-"&amp;B$10)</f>
        <v/>
      </c>
      <c r="J429" s="52" t="str">
        <f>IF(N(B$10)=0,"",IF(AND(COUNT(H421:H432)=2,COUNT(F421:F432)=2),cubic_spline(F420:F422,H420:H422,B$10),IF(AND(COUNT(H421:H432)=3,COUNT(F421:F432)=3),cubic_spline(F420:F423,H420:H423,B$10),IF(AND(COUNT(H421:H432)=4,COUNT(F421:F432)=4),cubic_spline(F420:F424,H420:H424,B$10),IF(AND(COUNT(H421:H432)=5,COUNT(F421:F432)=5),cubic_spline(F420:F425,H420:H425,B$10),IF(AND(COUNT(H421:H432)=6,COUNT(F421:F432)=6),cubic_spline(F420:F426,H420:H426,B$10),IF(AND(COUNT(H421:H432)=7,COUNT(F421:F432)=7),cubic_spline(F420:F427,H420:H427,B$10),IF(AND(COUNT(H421:H432)=8,COUNT(F421:F432)=8),cubic_spline(F420:F428,H420:H428,B$10),IF(AND(COUNT(H421:H432)=9,COUNT(F421:F432)=9),cubic_spline(F420:F429,H420:H429,B$10),IF(AND(COUNT(H421:H432)=10,COUNT(F421:F432)=10),cubic_spline(F420:F430,H420:H430,B$10),IF(AND(COUNT(H421:H432)=11,COUNT(F421:F432)=11),cubic_spline(F420:F431,H420:H431,B$10),IF(AND(COUNT(H421:H432)=12,COUNT(F421:F432)=12),cubic_spline(F420:F432,H420:H432,B$10),""))))))))))))</f>
        <v/>
      </c>
      <c r="K429" s="52" t="str">
        <f>IF(N(B$10)=0,"",IF(AND(COUNT(A421:A432)=2,COUNT(F421:F432)=2),cubic_spline(F420:F422,A420:A422,B$10),IF(AND(COUNT(A421:A432)=3,COUNT(F421:F432)=3),cubic_spline(F420:F423,A420:A423,B$10),IF(AND(COUNT(A421:A432)=4,COUNT(F421:F432)=4),cubic_spline(F420:F424,A420:A424,B$10),IF(AND(COUNT(A421:A432)=5,COUNT(F421:F432)=5),cubic_spline(F420:F425,A420:A425,B$10),IF(AND(COUNT(A421:A432)=6,COUNT(F421:F432)=6),cubic_spline(F420:F426,A420:A426,B$10),IF(AND(COUNT(A421:A432)=7,COUNT(F421:F432)=7),cubic_spline(F420:F427,A420:A427,B$10),IF(AND(COUNT(A421:A432)=8,COUNT(F421:F432)=8),cubic_spline(F420:F428,A420:A428,B$10),IF(AND(COUNT(A421:A432)=9,COUNT(F421:F432)=9),cubic_spline(F420:F429,A420:A429,B$10),IF(AND(COUNT(A421:A432)=10,COUNT(F421:F432)=10),cubic_spline(F420:F430,A420:A430,B$10),IF(AND(COUNT(A421:A432)=11,COUNT(F421:F432)=11),cubic_spline(F420:F431,A420:A431,B$10),IF(AND(COUNT(A421:A432)=12,COUNT(F421:F432)=12),cubic_spline(F420:F432,A420:A432,B$10),""))))))))))))</f>
        <v/>
      </c>
      <c r="L429" s="27" t="str">
        <f>IF(I429="","",B$9&amp;"-"&amp;B$10)</f>
        <v/>
      </c>
      <c r="M429" s="52" t="str">
        <f t="shared" si="160"/>
        <v/>
      </c>
    </row>
    <row r="430" spans="1:13" x14ac:dyDescent="0.35">
      <c r="A430" s="48"/>
      <c r="B430" s="48"/>
      <c r="C430" s="50"/>
      <c r="D430" s="50"/>
      <c r="E430" s="51" t="str">
        <f t="shared" si="158"/>
        <v/>
      </c>
      <c r="F430" s="71" t="str">
        <f t="shared" si="156"/>
        <v/>
      </c>
      <c r="G430" s="69" t="str">
        <f t="shared" si="159"/>
        <v/>
      </c>
      <c r="H430" s="70" t="str">
        <f t="shared" si="157"/>
        <v/>
      </c>
      <c r="I430" s="27" t="str">
        <f>IF(N(J430)=0,"",0&amp;"-"&amp;B$11)</f>
        <v/>
      </c>
      <c r="J430" s="52" t="str">
        <f>IF(N(B$11)=0,"",IF(AND(COUNT(H421:H432)=2,COUNT(F421:F432)=2),cubic_spline(F420:F422,H420:H422,B$11),IF(AND(COUNT(H421:H432)=3,COUNT(F421:F432)=3),cubic_spline(F420:F423,H420:H423,B$11),IF(AND(COUNT(H421:H432)=4,COUNT(F421:F432)=4),cubic_spline(F420:F424,H420:H424,B$11),IF(AND(COUNT(H421:H432)=5,COUNT(F421:F432)=5),cubic_spline(F420:F425,H420:H425,B$11),IF(AND(COUNT(H421:H432)=6,COUNT(F421:F432)=6),cubic_spline(F420:F426,H420:H426,B$11),IF(AND(COUNT(H421:H432)=7,COUNT(F421:F432)=7),cubic_spline(F420:F427,H420:H427,B$11),IF(AND(COUNT(H421:H432)=8,COUNT(F421:F432)=8),cubic_spline(F420:F428,H420:H428,B$11),IF(AND(COUNT(H421:H432)=9,COUNT(F421:F432)=9),cubic_spline(F420:F429,H420:H429,B$11),IF(AND(COUNT(H421:H432)=10,COUNT(F421:F432)=10),cubic_spline(F420:F430,H420:H430,B$11),IF(AND(COUNT(H421:H432)=11,COUNT(F421:F432)=11),cubic_spline(F420:F431,H420:H431,B$11),IF(AND(COUNT(H421:H432)=12,COUNT(F421:F432)=12),cubic_spline(F420:F432,H420:H432,B$11),""))))))))))))</f>
        <v/>
      </c>
      <c r="K430" s="52" t="str">
        <f>IF(N(B$11)=0,"",IF(AND(COUNT(A421:A432)=2,COUNT(F421:F432)=2),cubic_spline(F420:F422,A420:A422,B$11),IF(AND(COUNT(A421:A432)=3,COUNT(F421:F432)=3),cubic_spline(F420:F423,A420:A423,B$11),IF(AND(COUNT(A421:A432)=4,COUNT(F421:F432)=4),cubic_spline(F420:F424,A420:A424,B$11),IF(AND(COUNT(A421:A432)=5,COUNT(F421:F432)=5),cubic_spline(F420:F425,A420:A425,B$11),IF(AND(COUNT(A421:A432)=6,COUNT(F421:F432)=6),cubic_spline(F420:F426,A420:A426,B$11),IF(AND(COUNT(A421:A432)=7,COUNT(F421:F432)=7),cubic_spline(F420:F427,A420:A427,B$11),IF(AND(COUNT(A421:A432)=8,COUNT(F421:F432)=8),cubic_spline(F420:F428,A420:A428,B$11),IF(AND(COUNT(A421:A432)=9,COUNT(F421:F432)=9),cubic_spline(F420:F429,A420:A429,B$11),IF(AND(COUNT(A421:A432)=10,COUNT(F421:F432)=10),cubic_spline(F420:F430,A420:A430,B$11),IF(AND(COUNT(A421:A432)=11,COUNT(F421:F432)=11),cubic_spline(F420:F431,A420:A431,B$11),IF(AND(COUNT(A421:A432)=12,COUNT(F421:F432)=12),cubic_spline(F420:F432,A420:A432,B$11),""))))))))))))</f>
        <v/>
      </c>
      <c r="L430" s="27" t="str">
        <f>IF(I430="","",B$10&amp;"-"&amp;B$11)</f>
        <v/>
      </c>
      <c r="M430" s="52" t="str">
        <f t="shared" si="160"/>
        <v/>
      </c>
    </row>
    <row r="431" spans="1:13" x14ac:dyDescent="0.35">
      <c r="A431" s="48"/>
      <c r="B431" s="48"/>
      <c r="C431" s="50"/>
      <c r="D431" s="50"/>
      <c r="E431" s="51" t="str">
        <f t="shared" si="158"/>
        <v/>
      </c>
      <c r="F431" s="71" t="str">
        <f t="shared" si="156"/>
        <v/>
      </c>
      <c r="G431" s="69" t="str">
        <f t="shared" si="159"/>
        <v/>
      </c>
      <c r="H431" s="70" t="str">
        <f t="shared" si="157"/>
        <v/>
      </c>
      <c r="I431" s="27" t="str">
        <f>IF(N(J431)=0,"",0&amp;"-"&amp;B$12)</f>
        <v/>
      </c>
      <c r="J431" s="52" t="str">
        <f>IF(N(B$12)=0,"",IF(AND(COUNT(H421:H432)=2,COUNT(F421:F432)=2),cubic_spline(F420:F422,H420:H422,B$12),IF(AND(COUNT(H421:H432)=3,COUNT(F421:F432)=3),cubic_spline(F420:F423,H420:H423,B$12),IF(AND(COUNT(H421:H432)=4,COUNT(F421:F432)=4),cubic_spline(F420:F424,H420:H424,B$12),IF(AND(COUNT(H421:H432)=5,COUNT(F421:F432)=5),cubic_spline(F420:F425,H420:H425,B$12),IF(AND(COUNT(H421:H432)=6,COUNT(F421:F432)=6),cubic_spline(F420:F426,H420:H426,B$12),IF(AND(COUNT(H421:H432)=7,COUNT(F421:F432)=7),cubic_spline(F420:F427,H420:H427,B$12),IF(AND(COUNT(H421:H432)=8,COUNT(F421:F432)=8),cubic_spline(F420:F428,H420:H428,B$12),IF(AND(COUNT(H421:H432)=9,COUNT(F421:F432)=9),cubic_spline(F420:F429,H420:H429,B$12),IF(AND(COUNT(H421:H432)=10,COUNT(F421:F432)=10),cubic_spline(F420:F430,H420:H430,B$12),IF(AND(COUNT(H421:H432)=11,COUNT(F421:F432)=11),cubic_spline(F420:F431,H420:H431,B$12),IF(AND(COUNT(H421:H432)=12,COUNT(F421:F432)=12),cubic_spline(F420:F432,H420:H432,B$12),""))))))))))))</f>
        <v/>
      </c>
      <c r="K431" s="52" t="str">
        <f>IF(N(B$12)=0,"",IF(AND(COUNT(A421:A432)=2,COUNT(F421:F432)=2),cubic_spline(F420:F422,A420:A422,B$12),IF(AND(COUNT(A421:A432)=3,COUNT(F421:F432)=3),cubic_spline(F420:F423,A420:A423,B$12),IF(AND(COUNT(A421:A432)=4,COUNT(F421:F432)=4),cubic_spline(F420:F424,A420:A424,B$12),IF(AND(COUNT(A421:A432)=5,COUNT(F421:F432)=5),cubic_spline(F420:F425,A420:A425,B$12),IF(AND(COUNT(A421:A432)=6,COUNT(F421:F432)=6),cubic_spline(F420:F426,A420:A426,B$12),IF(AND(COUNT(A421:A432)=7,COUNT(F421:F432)=7),cubic_spline(F420:F427,A420:A427,B$12),IF(AND(COUNT(A421:A432)=8,COUNT(F421:F432)=8),cubic_spline(F420:F428,A420:A428,B$12),IF(AND(COUNT(A421:A432)=9,COUNT(F421:F432)=9),cubic_spline(F420:F429,A420:A429,B$12),IF(AND(COUNT(A421:A432)=10,COUNT(F421:F432)=10),cubic_spline(F420:F430,A420:A430,B$12),IF(AND(COUNT(A421:A432)=11,COUNT(F421:F432)=11),cubic_spline(F420:F431,A420:A431,B$12),IF(AND(COUNT(A421:A432)=12,COUNT(F421:F432)=12),cubic_spline(F420:F432,A420:A432,B$12),""))))))))))))</f>
        <v/>
      </c>
      <c r="L431" s="27" t="str">
        <f>IF(I431="","",B$11&amp;"-"&amp;B$12)</f>
        <v/>
      </c>
      <c r="M431" s="52" t="str">
        <f t="shared" si="160"/>
        <v/>
      </c>
    </row>
    <row r="432" spans="1:13" x14ac:dyDescent="0.35">
      <c r="A432" s="48"/>
      <c r="B432" s="48"/>
      <c r="C432" s="50"/>
      <c r="D432" s="50"/>
      <c r="E432" s="51" t="str">
        <f t="shared" si="158"/>
        <v/>
      </c>
      <c r="F432" s="71" t="str">
        <f t="shared" si="156"/>
        <v/>
      </c>
      <c r="G432" s="69" t="str">
        <f t="shared" si="159"/>
        <v/>
      </c>
      <c r="H432" s="70" t="str">
        <f t="shared" si="157"/>
        <v/>
      </c>
      <c r="I432" s="27" t="str">
        <f>IF(N(J432)=0,"",0&amp;"-"&amp;B$13)</f>
        <v/>
      </c>
      <c r="J432" s="52" t="str">
        <f>IF(N(B$13)=0,"",IF(AND(COUNT(H421:H432)=2,COUNT(F421:F432)=2),cubic_spline(F420:F422,H420:H422,B$13),IF(AND(COUNT(H421:H432)=3,COUNT(F421:F432)=3),cubic_spline(F420:F423,H420:H423,B$13),IF(AND(COUNT(H421:H432)=4,COUNT(F421:F432)=4),cubic_spline(F420:F424,H420:H424,B$13),IF(AND(COUNT(H421:H432)=5,COUNT(F421:F432)=5),cubic_spline(F420:F425,H420:H425,B$13),IF(AND(COUNT(H421:H432)=6,COUNT(F421:F432)=6),cubic_spline(F420:F426,H420:H426,B$13),IF(AND(COUNT(H421:H432)=7,COUNT(F421:F432)=7),cubic_spline(F420:F427,H420:H427,B$13),IF(AND(COUNT(H421:H432)=8,COUNT(F421:F432)=8),cubic_spline(F420:F428,H420:H428,B$13),IF(AND(COUNT(H421:H432)=9,COUNT(F421:F432)=9),cubic_spline(F420:F429,H420:H429,B$13),IF(AND(COUNT(H421:H432)=10,COUNT(F421:F432)=10),cubic_spline(F420:F430,H420:H430,B$13),IF(AND(COUNT(H421:H432)=11,COUNT(F421:F432)=11),cubic_spline(F420:F431,H420:H431,B$13),IF(AND(COUNT(H421:H432)=12,COUNT(F421:F432)=12),cubic_spline(F420:F432,H420:H432,B$13),""))))))))))))</f>
        <v/>
      </c>
      <c r="K432" s="52" t="str">
        <f>IF(N(B$13)=0,"",IF(AND(COUNT(A421:A432)=2,COUNT(F421:F432)=2),cubic_spline(F420:F422,A420:A422,B$13),IF(AND(COUNT(A421:A432)=3,COUNT(F421:F432)=3),cubic_spline(F420:F423,A420:A423,B$13),IF(AND(COUNT(A421:A432)=4,COUNT(F421:F432)=4),cubic_spline(F420:F424,A420:A424,B$13),IF(AND(COUNT(A421:A432)=5,COUNT(F421:F432)=5),cubic_spline(F420:F425,A420:A425,B$13),IF(AND(COUNT(A421:A432)=6,COUNT(F421:F432)=6),cubic_spline(F420:F426,A420:A426,B$13),IF(AND(COUNT(A421:A432)=7,COUNT(F421:F432)=7),cubic_spline(F420:F427,A420:A427,B$13),IF(AND(COUNT(A421:A432)=8,COUNT(F421:F432)=8),cubic_spline(F420:F428,A420:A428,B$13),IF(AND(COUNT(A421:A432)=9,COUNT(F421:F432)=9),cubic_spline(F420:F429,A420:A429,B$13),IF(AND(COUNT(A421:A432)=10,COUNT(F421:F432)=10),cubic_spline(F420:F430,A420:A430,B$13),IF(AND(COUNT(A421:A432)=11,COUNT(F421:F432)=11),cubic_spline(F420:F431,A420:A431,B$13),IF(AND(COUNT(A421:A432)=12,COUNT(F421:F432)=12),cubic_spline(F420:F432,A420:A432,B$13),""))))))))))))</f>
        <v/>
      </c>
      <c r="L432" s="27" t="str">
        <f>IF(I432="","",B$12&amp;"-"&amp;B$13)</f>
        <v/>
      </c>
      <c r="M432" s="52" t="str">
        <f t="shared" si="160"/>
        <v/>
      </c>
    </row>
    <row r="433" spans="1:13" ht="5.15" customHeight="1" x14ac:dyDescent="0.35">
      <c r="A433" s="47"/>
      <c r="B433" s="47"/>
      <c r="C433" s="53"/>
      <c r="D433" s="53"/>
      <c r="E433" s="54"/>
      <c r="F433" s="55"/>
      <c r="G433" s="72"/>
      <c r="H433" s="73"/>
      <c r="I433" s="47"/>
      <c r="J433" s="57"/>
      <c r="K433" s="57"/>
      <c r="L433" s="55"/>
      <c r="M433" s="57"/>
    </row>
    <row r="434" spans="1:13" x14ac:dyDescent="0.35">
      <c r="A434" s="48"/>
      <c r="B434" s="48"/>
      <c r="C434" s="50"/>
      <c r="D434" s="50"/>
      <c r="E434" s="51" t="str">
        <f>IF(N(C434)=0,"",(A434-A433)*C434*100)</f>
        <v/>
      </c>
      <c r="F434" s="68" t="str">
        <f t="shared" ref="F434:F445" si="161">IF(N(E434)=0,"",(N(E434)+N(F433)))</f>
        <v/>
      </c>
      <c r="G434" s="69" t="str">
        <f>IF(OR(N(D434)=0,N(E434)=0),"",(E434*D434)/1000)</f>
        <v/>
      </c>
      <c r="H434" s="70" t="str">
        <f t="shared" ref="H434:H445" si="162">IF(N(G434)=0,"",(N(G434)+N(H433)))</f>
        <v/>
      </c>
      <c r="I434" s="27" t="str">
        <f>IF(N(J434)=0,"",0&amp;"-"&amp;B$2)</f>
        <v/>
      </c>
      <c r="J434" s="52" t="str">
        <f>IF(N(B$2)=0,"",IF(AND(COUNT(H434:H445)=2,COUNT(F434:F445)=2),cubic_spline(F433:F435,H433:H435,B$2),IF(AND(COUNT(H434:H445)=3,COUNT(F434:F445)=3),cubic_spline(F433:F436,H433:H436,B$2),IF(AND(COUNT(H434:H445)=4,COUNT(F434:F445)=4),cubic_spline(F433:F437,H433:H437,B$2),IF(AND(COUNT(H434:H445)=5,COUNT(F434:F445)=5),cubic_spline(F433:F438,H433:H438,B$2),IF(AND(COUNT(H434:H445)=6,COUNT(F434:F445)=6),cubic_spline(F433:F439,H433:H439,B$2),IF(AND(COUNT(H434:H445)=7,COUNT(F434:F445)=7),cubic_spline(F433:F440,H433:H440,B$2),IF(AND(COUNT(H434:H445)=8,COUNT(F434:F445)=8),cubic_spline(F433:F441,H433:H441,B$2),IF(AND(COUNT(H434:H445)=9,COUNT(F434:F445)=9),cubic_spline(F433:F442,H433:H442,B$2),IF(AND(COUNT(H434:H445)=10,COUNT(F434:F445)=10),cubic_spline(F433:F443,H433:H443,B$2),IF(AND(COUNT(H434:H445)=11,COUNT(F434:F445)=11),cubic_spline(F433:F444,H433:H444,B$2),IF(AND(COUNT(H434:H445)=12,COUNT(F434:F445)=12),cubic_spline(F433:F445,H433:H445,B$2),""))))))))))))</f>
        <v/>
      </c>
      <c r="K434" s="52" t="str">
        <f>IF(N(B$2)=0,"",IF(AND(COUNT(A434:A445)=2,COUNT(F434:F445)=2),cubic_spline(F433:F435,A433:A435,B$2),IF(AND(COUNT(A434:A445)=3,COUNT(F434:F445)=3),cubic_spline(F433:F436,A433:A436,B$2),IF(AND(COUNT(A434:A445)=4,COUNT(F434:F445)=4),cubic_spline(F433:F437,A433:A437,B$2),IF(AND(COUNT(A434:A445)=5,COUNT(F434:F445)=5),cubic_spline(F433:F438,A433:A438,B$2),IF(AND(COUNT(A434:A445)=6,COUNT(F434:F445)=6),cubic_spline(F433:F439,A433:A439,B$2),IF(AND(COUNT(A434:A445)=7,COUNT(F434:F445)=7),cubic_spline(F433:F440,A433:A440,B$2),IF(AND(COUNT(A434:A445)=8,COUNT(F434:F445)=8),cubic_spline(F433:F441,A433:A441,B$2),IF(AND(COUNT(A434:A445)=9,COUNT(F434:F445)=9),cubic_spline(F433:F442,A433:A442,B$2),IF(AND(COUNT(A434:A445)=10,COUNT(F434:F445)=10),cubic_spline(F433:F443,A433:A443,B$2),IF(AND(COUNT(A434:A445)=11,COUNT(F434:F445)=11),cubic_spline(F433:F444,A433:A444,B$2),IF(AND(COUNT(A434:A445)=12,COUNT(F434:F445)=12),cubic_spline(F433:F445,A433:A445,B$2),""))))))))))))</f>
        <v/>
      </c>
      <c r="L434" s="27" t="str">
        <f>IF(I434="","",0&amp;"-"&amp;B$2)</f>
        <v/>
      </c>
      <c r="M434" s="52" t="str">
        <f>IF(N(J434)=0,"",J434-J433)</f>
        <v/>
      </c>
    </row>
    <row r="435" spans="1:13" x14ac:dyDescent="0.35">
      <c r="A435" s="48"/>
      <c r="B435" s="48"/>
      <c r="C435" s="50"/>
      <c r="D435" s="50"/>
      <c r="E435" s="51" t="str">
        <f t="shared" ref="E435:E445" si="163">IF(N(C435)=0,"",(A435-A434)*C435*100)</f>
        <v/>
      </c>
      <c r="F435" s="68" t="str">
        <f t="shared" si="161"/>
        <v/>
      </c>
      <c r="G435" s="69" t="str">
        <f t="shared" ref="G435:G445" si="164">IF(OR(N(D435)=0,N(E435)=0),"",(E435*D435)/1000)</f>
        <v/>
      </c>
      <c r="H435" s="70" t="str">
        <f t="shared" si="162"/>
        <v/>
      </c>
      <c r="I435" s="27" t="str">
        <f>IF(N(J435)=0,"",0&amp;"-"&amp;B$3)</f>
        <v/>
      </c>
      <c r="J435" s="52" t="str">
        <f>IF(N(B$3)=0,"",IF(AND(COUNT(H434:H445)=2,COUNT(F434:F445)=2),cubic_spline(F433:F435,H433:H435,B$3),IF(AND(COUNT(H434:H445)=3,COUNT(F434:F445)=3),cubic_spline(F433:F436,H433:H436,B$3),IF(AND(COUNT(H434:H445)=4,COUNT(F434:F445)=4),cubic_spline(F433:F437,H433:H437,B$3),IF(AND(COUNT(H434:H445)=5,COUNT(F434:F445)=5),cubic_spline(F433:F438,H433:H438,B$3),IF(AND(COUNT(H434:H445)=6,COUNT(F434:F445)=6),cubic_spline(F433:F439,H433:H439,B$3),IF(AND(COUNT(H434:H445)=7,COUNT(F434:F445)=7),cubic_spline(F433:F440,H433:H440,B$3),IF(AND(COUNT(H434:H445)=8,COUNT(F434:F445)=8),cubic_spline(F433:F441,H433:H441,B$3),IF(AND(COUNT(H434:H445)=9,COUNT(F434:F445)=9),cubic_spline(F433:F442,H433:H442,B$3),IF(AND(COUNT(H434:H445)=10,COUNT(F434:F445)=10),cubic_spline(F433:F443,H433:H443,B$3),IF(AND(COUNT(H434:H445)=11,COUNT(F434:F445)=11),cubic_spline(F433:F444,H433:H444,B$3),IF(AND(COUNT(H434:H445)=12,COUNT(F434:F445)=12),cubic_spline(F433:F445,H433:H445,B$3),""))))))))))))</f>
        <v/>
      </c>
      <c r="K435" s="52" t="str">
        <f>IF(N(B$3)=0,"",IF(AND(COUNT(A434:A445)=2,COUNT(F434:F445)=2),cubic_spline(F433:F435,A433:A435,B$3),IF(AND(COUNT(A434:A445)=3,COUNT(F434:F445)=3),cubic_spline(F433:F436,A433:A436,B$3),IF(AND(COUNT(A434:A445)=4,COUNT(F434:F445)=4),cubic_spline(F433:F437,A433:A437,B$3),IF(AND(COUNT(A434:A445)=5,COUNT(F434:F445)=5),cubic_spline(F433:F438,A433:A438,B$3),IF(AND(COUNT(A434:A445)=6,COUNT(F434:F445)=6),cubic_spline(F433:F439,A433:A439,B$3),IF(AND(COUNT(A434:A445)=7,COUNT(F434:F445)=7),cubic_spline(F433:F440,A433:A440,B$3),IF(AND(COUNT(A434:A445)=8,COUNT(F434:F445)=8),cubic_spline(F433:F441,A433:A441,B$3),IF(AND(COUNT(A434:A445)=9,COUNT(F434:F445)=9),cubic_spline(F433:F442,A433:A442,B$3),IF(AND(COUNT(A434:A445)=10,COUNT(F434:F445)=10),cubic_spline(F433:F443,A433:A443,B$3),IF(AND(COUNT(A434:A445)=11,COUNT(F434:F445)=11),cubic_spline(F433:F444,A433:A444,B$3),IF(AND(COUNT(A434:A445)=12,COUNT(F434:F445)=12),cubic_spline(F433:F445,A433:A445,B$3),""))))))))))))</f>
        <v/>
      </c>
      <c r="L435" s="27" t="str">
        <f>IF(I435="","",B$2&amp;"-"&amp;B$3)</f>
        <v/>
      </c>
      <c r="M435" s="52" t="str">
        <f>IF(N(J435)=0,"",J435-J434)</f>
        <v/>
      </c>
    </row>
    <row r="436" spans="1:13" x14ac:dyDescent="0.35">
      <c r="A436" s="48"/>
      <c r="B436" s="48"/>
      <c r="C436" s="50"/>
      <c r="D436" s="50"/>
      <c r="E436" s="51" t="str">
        <f t="shared" si="163"/>
        <v/>
      </c>
      <c r="F436" s="68" t="str">
        <f t="shared" si="161"/>
        <v/>
      </c>
      <c r="G436" s="69" t="str">
        <f t="shared" si="164"/>
        <v/>
      </c>
      <c r="H436" s="70" t="str">
        <f t="shared" si="162"/>
        <v/>
      </c>
      <c r="I436" s="27" t="str">
        <f>IF(N(J436)=0,"",0&amp;"-"&amp;B$4)</f>
        <v/>
      </c>
      <c r="J436" s="52" t="str">
        <f>IF(N(B$4)=0,"",IF(AND(COUNT(H434:H445)=2,COUNT(F434:F445)=2),cubic_spline(F433:F435,H433:H435,B$4),IF(AND(COUNT(H434:H445)=3,COUNT(F434:F445)=3),cubic_spline(F433:F436,H433:H436,B$4),IF(AND(COUNT(H434:H445)=4,COUNT(F434:F445)=4),cubic_spline(F433:F437,H433:H437,B$4),IF(AND(COUNT(H434:H445)=5,COUNT(F434:F445)=5),cubic_spline(F433:F438,H433:H438,B$4),IF(AND(COUNT(H434:H445)=6,COUNT(F434:F445)=6),cubic_spline(F433:F439,H433:H439,B$4),IF(AND(COUNT(H434:H445)=7,COUNT(F434:F445)=7),cubic_spline(F433:F440,H433:H440,B$4),IF(AND(COUNT(H434:H445)=8,COUNT(F434:F445)=8),cubic_spline(F433:F441,H433:H441,B$4),IF(AND(COUNT(H434:H445)=9,COUNT(F434:F445)=9),cubic_spline(F433:F442,H433:H442,B$4),IF(AND(COUNT(H434:H445)=10,COUNT(F434:F445)=10),cubic_spline(F433:F443,H433:H443,B$4),IF(AND(COUNT(H434:H445)=11,COUNT(F434:F445)=11),cubic_spline(F433:F444,H433:H444,B$4),IF(AND(COUNT(H434:H445)=12,COUNT(F434:F445)=12),cubic_spline(F433:F445,H433:H445,B$4),""))))))))))))</f>
        <v/>
      </c>
      <c r="K436" s="52" t="str">
        <f>IF(N(B$4)=0,"",IF(AND(COUNT(A434:A445)=2,COUNT(F434:F445)=2),cubic_spline(F433:F435,A433:A435,B$4),IF(AND(COUNT(A434:A445)=3,COUNT(F434:F445)=3),cubic_spline(F433:F436,A433:A436,B$4),IF(AND(COUNT(A434:A445)=4,COUNT(F434:F445)=4),cubic_spline(F433:F437,A433:A437,B$4),IF(AND(COUNT(A434:A445)=5,COUNT(F434:F445)=5),cubic_spline(F433:F438,A433:A438,B$4),IF(AND(COUNT(A434:A445)=6,COUNT(F434:F445)=6),cubic_spline(F433:F439,A433:A439,B$4),IF(AND(COUNT(A434:A445)=7,COUNT(F434:F445)=7),cubic_spline(F433:F440,A433:A440,B$4),IF(AND(COUNT(A434:A445)=8,COUNT(F434:F445)=8),cubic_spline(F433:F441,A433:A441,B$4),IF(AND(COUNT(A434:A445)=9,COUNT(F434:F445)=9),cubic_spline(F433:F442,A433:A442,B$4),IF(AND(COUNT(A434:A445)=10,COUNT(F434:F445)=10),cubic_spline(F433:F443,A433:A443,B$4),IF(AND(COUNT(A434:A445)=11,COUNT(F434:F445)=11),cubic_spline(F433:F444,A433:A444,B$4),IF(AND(COUNT(A434:A445)=12,COUNT(F434:F445)=12),cubic_spline(F433:F445,A433:A445,B$4),""))))))))))))</f>
        <v/>
      </c>
      <c r="L436" s="27" t="str">
        <f>IF(I436="","",B$3&amp;"-"&amp;B$4)</f>
        <v/>
      </c>
      <c r="M436" s="52" t="str">
        <f>IF(N(J436)=0,"",J436-J435)</f>
        <v/>
      </c>
    </row>
    <row r="437" spans="1:13" x14ac:dyDescent="0.35">
      <c r="A437" s="48"/>
      <c r="B437" s="48"/>
      <c r="C437" s="50"/>
      <c r="D437" s="50"/>
      <c r="E437" s="51" t="str">
        <f t="shared" si="163"/>
        <v/>
      </c>
      <c r="F437" s="68" t="str">
        <f t="shared" si="161"/>
        <v/>
      </c>
      <c r="G437" s="69" t="str">
        <f t="shared" si="164"/>
        <v/>
      </c>
      <c r="H437" s="70" t="str">
        <f t="shared" si="162"/>
        <v/>
      </c>
      <c r="I437" s="27" t="str">
        <f>IF(N(J437)=0,"",0&amp;"-"&amp;B$5)</f>
        <v/>
      </c>
      <c r="J437" s="52" t="str">
        <f>IF(N(B$5)=0,"",IF(AND(COUNT(H434:H445)=2,COUNT(F434:F445)=2),cubic_spline(F433:F435,H433:H435,B$5),IF(AND(COUNT(H434:H445)=3,COUNT(F434:F445)=3),cubic_spline(F433:F436,H433:H436,B$5),IF(AND(COUNT(H434:H445)=4,COUNT(F434:F445)=4),cubic_spline(F433:F437,H433:H437,B$5),IF(AND(COUNT(H434:H445)=5,COUNT(F434:F445)=5),cubic_spline(F433:F438,H433:H438,B$5),IF(AND(COUNT(H434:H445)=6,COUNT(F434:F445)=6),cubic_spline(F433:F439,H433:H439,B$5),IF(AND(COUNT(H434:H445)=7,COUNT(F434:F445)=7),cubic_spline(F433:F440,H433:H440,B$5),IF(AND(COUNT(H434:H445)=8,COUNT(F434:F445)=8),cubic_spline(F433:F441,H433:H441,B$5),IF(AND(COUNT(H434:H445)=9,COUNT(F434:F445)=9),cubic_spline(F433:F442,H433:H442,B$5),IF(AND(COUNT(H434:H445)=10,COUNT(F434:F445)=10),cubic_spline(F433:F443,H433:H443,B$5),IF(AND(COUNT(H434:H445)=11,COUNT(F434:F445)=11),cubic_spline(F433:F444,H433:H444,B$5),IF(AND(COUNT(H434:H445)=12,COUNT(F434:F445)=12),cubic_spline(F433:F445,H433:H445,B$5),""))))))))))))</f>
        <v/>
      </c>
      <c r="K437" s="52" t="str">
        <f>IF(N(B$5)=0,"",IF(AND(COUNT(A434:A445)=2,COUNT(F434:F445)=2),cubic_spline(F433:F435,A433:A435,B$5),IF(AND(COUNT(A434:A445)=3,COUNT(F434:F445)=3),cubic_spline(F433:F436,A433:A436,B$5),IF(AND(COUNT(A434:A445)=4,COUNT(F434:F445)=4),cubic_spline(F433:F437,A433:A437,B$5),IF(AND(COUNT(A434:A445)=5,COUNT(F434:F445)=5),cubic_spline(F433:F438,A433:A438,B$5),IF(AND(COUNT(A434:A445)=6,COUNT(F434:F445)=6),cubic_spline(F433:F439,A433:A439,B$5),IF(AND(COUNT(A434:A445)=7,COUNT(F434:F445)=7),cubic_spline(F433:F440,A433:A440,B$5),IF(AND(COUNT(A434:A445)=8,COUNT(F434:F445)=8),cubic_spline(F433:F441,A433:A441,B$5),IF(AND(COUNT(A434:A445)=9,COUNT(F434:F445)=9),cubic_spline(F433:F442,A433:A442,B$5),IF(AND(COUNT(A434:A445)=10,COUNT(F434:F445)=10),cubic_spline(F433:F443,A433:A443,B$5),IF(AND(COUNT(A434:A445)=11,COUNT(F434:F445)=11),cubic_spline(F433:F444,A433:A444,B$5),IF(AND(COUNT(A434:A445)=12,COUNT(F434:F445)=12),cubic_spline(F433:F445,A433:A445,B$5),""))))))))))))</f>
        <v/>
      </c>
      <c r="L437" s="27" t="str">
        <f>IF(I437="","",B$4&amp;"-"&amp;B$5)</f>
        <v/>
      </c>
      <c r="M437" s="52" t="str">
        <f>IF(N(J437)=0,"",J437-J436)</f>
        <v/>
      </c>
    </row>
    <row r="438" spans="1:13" x14ac:dyDescent="0.35">
      <c r="A438" s="48"/>
      <c r="B438" s="48"/>
      <c r="C438" s="50"/>
      <c r="D438" s="50"/>
      <c r="E438" s="51" t="str">
        <f t="shared" si="163"/>
        <v/>
      </c>
      <c r="F438" s="71" t="str">
        <f t="shared" si="161"/>
        <v/>
      </c>
      <c r="G438" s="69" t="str">
        <f t="shared" si="164"/>
        <v/>
      </c>
      <c r="H438" s="70" t="str">
        <f t="shared" si="162"/>
        <v/>
      </c>
      <c r="I438" s="27" t="str">
        <f>IF(N(J438)=0,"",0&amp;"-"&amp;B$6)</f>
        <v/>
      </c>
      <c r="J438" s="52" t="str">
        <f>IF(N(B$6)=0,"",IF(AND(COUNT(H434:H445)=2,COUNT(F434:F445)=2),cubic_spline(F433:F435,H433:H435,B$6),IF(AND(COUNT(H434:H445)=3,COUNT(F434:F445)=3),cubic_spline(F433:F436,H433:H436,B$6),IF(AND(COUNT(H434:H445)=4,COUNT(F434:F445)=4),cubic_spline(F433:F437,H433:H437,B$6),IF(AND(COUNT(H434:H445)=5,COUNT(F434:F445)=5),cubic_spline(F433:F438,H433:H438,B$6),IF(AND(COUNT(H434:H445)=6,COUNT(F434:F445)=6),cubic_spline(F433:F439,H433:H439,B$6),IF(AND(COUNT(H434:H445)=7,COUNT(F434:F445)=7),cubic_spline(F433:F440,H433:H440,B$6),IF(AND(COUNT(H434:H445)=8,COUNT(F434:F445)=8),cubic_spline(F433:F441,H433:H441,B$6),IF(AND(COUNT(H434:H445)=9,COUNT(F434:F445)=9),cubic_spline(F433:F442,H433:H442,B$6),IF(AND(COUNT(H434:H445)=10,COUNT(F434:F445)=10),cubic_spline(F433:F443,H433:H443,B$6),IF(AND(COUNT(H434:H445)=11,COUNT(F434:F445)=11),cubic_spline(F433:F444,H433:H444,B$6),IF(AND(COUNT(H434:H445)=12,COUNT(F434:F445)=12),cubic_spline(F433:F445,H433:H445,B$6),""))))))))))))</f>
        <v/>
      </c>
      <c r="K438" s="52" t="str">
        <f>IF(N(B$6)=0,"",IF(AND(COUNT(A434:A445)=2,COUNT(F434:F445)=2),cubic_spline(F433:F435,A433:A435,B$6),IF(AND(COUNT(A434:A445)=3,COUNT(F434:F445)=3),cubic_spline(F433:F436,A433:A436,B$6),IF(AND(COUNT(A434:A445)=4,COUNT(F434:F445)=4),cubic_spline(F433:F437,A433:A437,B$6),IF(AND(COUNT(A434:A445)=5,COUNT(F434:F445)=5),cubic_spline(F433:F438,A433:A438,B$6),IF(AND(COUNT(A434:A445)=6,COUNT(F434:F445)=6),cubic_spline(F433:F439,A433:A439,B$6),IF(AND(COUNT(A434:A445)=7,COUNT(F434:F445)=7),cubic_spline(F433:F440,A433:A440,B$6),IF(AND(COUNT(A434:A445)=8,COUNT(F434:F445)=8),cubic_spline(F433:F441,A433:A441,B$6),IF(AND(COUNT(A434:A445)=9,COUNT(F434:F445)=9),cubic_spline(F433:F442,A433:A442,B$6),IF(AND(COUNT(A434:A445)=10,COUNT(F434:F445)=10),cubic_spline(F433:F443,A433:A443,B$6),IF(AND(COUNT(A434:A445)=11,COUNT(F434:F445)=11),cubic_spline(F433:F444,A433:A444,B$6),IF(AND(COUNT(A434:A445)=12,COUNT(F434:F445)=12),cubic_spline(F433:F445,A433:A445,B$6),""))))))))))))</f>
        <v/>
      </c>
      <c r="L438" s="27" t="str">
        <f>IF(I438="","",B$5&amp;"-"&amp;B$6)</f>
        <v/>
      </c>
      <c r="M438" s="52" t="str">
        <f>IF(N(J438)=0,"",J438-J437)</f>
        <v/>
      </c>
    </row>
    <row r="439" spans="1:13" x14ac:dyDescent="0.35">
      <c r="A439" s="48"/>
      <c r="B439" s="48"/>
      <c r="C439" s="50"/>
      <c r="D439" s="50"/>
      <c r="E439" s="51" t="str">
        <f t="shared" si="163"/>
        <v/>
      </c>
      <c r="F439" s="71" t="str">
        <f t="shared" si="161"/>
        <v/>
      </c>
      <c r="G439" s="69" t="str">
        <f t="shared" si="164"/>
        <v/>
      </c>
      <c r="H439" s="70" t="str">
        <f t="shared" si="162"/>
        <v/>
      </c>
      <c r="I439" s="27" t="str">
        <f>IF(N(J439)=0,"",0&amp;"-"&amp;B$7)</f>
        <v/>
      </c>
      <c r="J439" s="52" t="str">
        <f>IF(N(B$7)=0,"",IF(AND(COUNT(H434:H445)=2,COUNT(F434:F445)=2),cubic_spline(F433:F435,H433:H435,B$7),IF(AND(COUNT(H434:H445)=3,COUNT(F434:F445)=3),cubic_spline(F433:F436,H433:H436,B$7),IF(AND(COUNT(H434:H445)=4,COUNT(F434:F445)=4),cubic_spline(F433:F437,H433:H437,B$7),IF(AND(COUNT(H434:H445)=5,COUNT(F434:F445)=5),cubic_spline(F433:F438,H433:H438,B$7),IF(AND(COUNT(H434:H445)=6,COUNT(F434:F445)=6),cubic_spline(F433:F439,H433:H439,B$7),IF(AND(COUNT(H434:H445)=7,COUNT(F434:F445)=7),cubic_spline(F433:F440,H433:H440,B$7),IF(AND(COUNT(H434:H445)=8,COUNT(F434:F445)=8),cubic_spline(F433:F441,H433:H441,B$7),IF(AND(COUNT(H434:H445)=9,COUNT(F434:F445)=9),cubic_spline(F433:F442,H433:H442,B$7),IF(AND(COUNT(H434:H445)=10,COUNT(F434:F445)=10),cubic_spline(F433:F443,H433:H443,B$7),IF(AND(COUNT(H434:H445)=11,COUNT(F434:F445)=11),cubic_spline(F433:F444,H433:H444,B$7),IF(AND(COUNT(H434:H445)=12,COUNT(F434:F445)=12),cubic_spline(F433:F445,H433:H445,B$7),""))))))))))))</f>
        <v/>
      </c>
      <c r="K439" s="52" t="str">
        <f>IF(N(B$7)=0,"",IF(AND(COUNT(A434:A445)=2,COUNT(F434:F445)=2),cubic_spline(F433:F435,A433:A435,B$7),IF(AND(COUNT(A434:A445)=3,COUNT(F434:F445)=3),cubic_spline(F433:F436,A433:A436,B$7),IF(AND(COUNT(A434:A445)=4,COUNT(F434:F445)=4),cubic_spline(F433:F437,A433:A437,B$7),IF(AND(COUNT(A434:A445)=5,COUNT(F434:F445)=5),cubic_spline(F433:F438,A433:A438,B$7),IF(AND(COUNT(A434:A445)=6,COUNT(F434:F445)=6),cubic_spline(F433:F439,A433:A439,B$7),IF(AND(COUNT(A434:A445)=7,COUNT(F434:F445)=7),cubic_spline(F433:F440,A433:A440,B$7),IF(AND(COUNT(A434:A445)=8,COUNT(F434:F445)=8),cubic_spline(F433:F441,A433:A441,B$7),IF(AND(COUNT(A434:A445)=9,COUNT(F434:F445)=9),cubic_spline(F433:F442,A433:A442,B$7),IF(AND(COUNT(A434:A445)=10,COUNT(F434:F445)=10),cubic_spline(F433:F443,A433:A443,B$7),IF(AND(COUNT(A434:A445)=11,COUNT(F434:F445)=11),cubic_spline(F433:F444,A433:A444,B$7),IF(AND(COUNT(A434:A445)=12,COUNT(F434:F445)=12),cubic_spline(F433:F445,A433:A445,B$7),""))))))))))))</f>
        <v/>
      </c>
      <c r="L439" s="27" t="str">
        <f>IF(I439="","",B$6&amp;"-"&amp;B$7)</f>
        <v/>
      </c>
      <c r="M439" s="52" t="str">
        <f t="shared" ref="M439:M445" si="165">IF(N(J439)=0,"",J439-J438)</f>
        <v/>
      </c>
    </row>
    <row r="440" spans="1:13" x14ac:dyDescent="0.35">
      <c r="A440" s="48"/>
      <c r="B440" s="48"/>
      <c r="C440" s="50"/>
      <c r="D440" s="50"/>
      <c r="E440" s="51" t="str">
        <f t="shared" si="163"/>
        <v/>
      </c>
      <c r="F440" s="71" t="str">
        <f t="shared" si="161"/>
        <v/>
      </c>
      <c r="G440" s="69" t="str">
        <f t="shared" si="164"/>
        <v/>
      </c>
      <c r="H440" s="70" t="str">
        <f t="shared" si="162"/>
        <v/>
      </c>
      <c r="I440" s="27" t="str">
        <f>IF(N(J440)=0,"",0&amp;"-"&amp;B$8)</f>
        <v/>
      </c>
      <c r="J440" s="52" t="str">
        <f>IF(N(B$8)=0,"",IF(AND(COUNT(H434:H445)=2,COUNT(F434:F445)=2),cubic_spline(F433:F435,H433:H435,B$8),IF(AND(COUNT(H434:H445)=3,COUNT(F434:F445)=3),cubic_spline(F433:F436,H433:H436,B$8),IF(AND(COUNT(H434:H445)=4,COUNT(F434:F445)=4),cubic_spline(F433:F437,H433:H437,B$8),IF(AND(COUNT(H434:H445)=5,COUNT(F434:F445)=5),cubic_spline(F433:F438,H433:H438,B$8),IF(AND(COUNT(H434:H445)=6,COUNT(F434:F445)=6),cubic_spline(F433:F439,H433:H439,B$8),IF(AND(COUNT(H434:H445)=7,COUNT(F434:F445)=7),cubic_spline(F433:F440,H433:H440,B$8),IF(AND(COUNT(H434:H445)=8,COUNT(F434:F445)=8),cubic_spline(F433:F441,H433:H441,B$8),IF(AND(COUNT(H434:H445)=9,COUNT(F434:F445)=9),cubic_spline(F433:F442,H433:H442,B$8),IF(AND(COUNT(H434:H445)=10,COUNT(F434:F445)=10),cubic_spline(F433:F443,H433:H443,B$8),IF(AND(COUNT(H434:H445)=11,COUNT(F434:F445)=11),cubic_spline(F433:F444,H433:H444,B$8),IF(AND(COUNT(H434:H445)=12,COUNT(F434:F445)=12),cubic_spline(F433:F445,H433:H445,B$8),""))))))))))))</f>
        <v/>
      </c>
      <c r="K440" s="52" t="str">
        <f>IF(N(B$8)=0,"",IF(AND(COUNT(A434:A445)=2,COUNT(F434:F445)=2),cubic_spline(F433:F435,A433:A435,B$8),IF(AND(COUNT(A434:A445)=3,COUNT(F434:F445)=3),cubic_spline(F433:F436,A433:A436,B$8),IF(AND(COUNT(A434:A445)=4,COUNT(F434:F445)=4),cubic_spline(F433:F437,A433:A437,B$8),IF(AND(COUNT(A434:A445)=5,COUNT(F434:F445)=5),cubic_spline(F433:F438,A433:A438,B$8),IF(AND(COUNT(A434:A445)=6,COUNT(F434:F445)=6),cubic_spline(F433:F439,A433:A439,B$8),IF(AND(COUNT(A434:A445)=7,COUNT(F434:F445)=7),cubic_spline(F433:F440,A433:A440,B$8),IF(AND(COUNT(A434:A445)=8,COUNT(F434:F445)=8),cubic_spline(F433:F441,A433:A441,B$8),IF(AND(COUNT(A434:A445)=9,COUNT(F434:F445)=9),cubic_spline(F433:F442,A433:A442,B$8),IF(AND(COUNT(A434:A445)=10,COUNT(F434:F445)=10),cubic_spline(F433:F443,A433:A443,B$8),IF(AND(COUNT(A434:A445)=11,COUNT(F434:F445)=11),cubic_spline(F433:F444,A433:A444,B$8),IF(AND(COUNT(A434:A445)=12,COUNT(F434:F445)=12),cubic_spline(F433:F445,A433:A445,B$8),""))))))))))))</f>
        <v/>
      </c>
      <c r="L440" s="27" t="str">
        <f>IF(I440="","",B$7&amp;"-"&amp;B$8)</f>
        <v/>
      </c>
      <c r="M440" s="52" t="str">
        <f t="shared" si="165"/>
        <v/>
      </c>
    </row>
    <row r="441" spans="1:13" x14ac:dyDescent="0.35">
      <c r="A441" s="48"/>
      <c r="B441" s="48"/>
      <c r="C441" s="50"/>
      <c r="D441" s="50"/>
      <c r="E441" s="51" t="str">
        <f t="shared" si="163"/>
        <v/>
      </c>
      <c r="F441" s="71" t="str">
        <f t="shared" si="161"/>
        <v/>
      </c>
      <c r="G441" s="69" t="str">
        <f t="shared" si="164"/>
        <v/>
      </c>
      <c r="H441" s="70" t="str">
        <f t="shared" si="162"/>
        <v/>
      </c>
      <c r="I441" s="27" t="str">
        <f>IF(N(J441)=0,"",0&amp;"-"&amp;B$9)</f>
        <v/>
      </c>
      <c r="J441" s="52" t="str">
        <f>IF(N(B$9)=0,"",IF(AND(COUNT(H434:H445)=2,COUNT(F434:F445)=2),cubic_spline(F433:F435,H433:H435,B$9),IF(AND(COUNT(H434:H445)=3,COUNT(F434:F445)=3),cubic_spline(F433:F436,H433:H436,B$9),IF(AND(COUNT(H434:H445)=4,COUNT(F434:F445)=4),cubic_spline(F433:F437,H433:H437,B$9),IF(AND(COUNT(H434:H445)=5,COUNT(F434:F445)=5),cubic_spline(F433:F438,H433:H438,B$9),IF(AND(COUNT(H434:H445)=6,COUNT(F434:F445)=6),cubic_spline(F433:F439,H433:H439,B$9),IF(AND(COUNT(H434:H445)=7,COUNT(F434:F445)=7),cubic_spline(F433:F440,H433:H440,B$9),IF(AND(COUNT(H434:H445)=8,COUNT(F434:F445)=8),cubic_spline(F433:F441,H433:H441,B$9),IF(AND(COUNT(H434:H445)=9,COUNT(F434:F445)=9),cubic_spline(F433:F442,H433:H442,B$9),IF(AND(COUNT(H434:H445)=10,COUNT(F434:F445)=10),cubic_spline(F433:F443,H433:H443,B$9),IF(AND(COUNT(H434:H445)=11,COUNT(F434:F445)=11),cubic_spline(F433:F444,H433:H444,B$9),IF(AND(COUNT(H434:H445)=12,COUNT(F434:F445)=12),cubic_spline(F433:F445,H433:H445,B$9),""))))))))))))</f>
        <v/>
      </c>
      <c r="K441" s="52" t="str">
        <f>IF(N(B$9)=0,"",IF(AND(COUNT(A434:A445)=2,COUNT(F434:F445)=2),cubic_spline(F433:F435,A433:A435,B$9),IF(AND(COUNT(A434:A445)=3,COUNT(F434:F445)=3),cubic_spline(F433:F436,A433:A436,B$9),IF(AND(COUNT(A434:A445)=4,COUNT(F434:F445)=4),cubic_spline(F433:F437,A433:A437,B$9),IF(AND(COUNT(A434:A445)=5,COUNT(F434:F445)=5),cubic_spline(F433:F438,A433:A438,B$9),IF(AND(COUNT(A434:A445)=6,COUNT(F434:F445)=6),cubic_spline(F433:F439,A433:A439,B$9),IF(AND(COUNT(A434:A445)=7,COUNT(F434:F445)=7),cubic_spline(F433:F440,A433:A440,B$9),IF(AND(COUNT(A434:A445)=8,COUNT(F434:F445)=8),cubic_spline(F433:F441,A433:A441,B$9),IF(AND(COUNT(A434:A445)=9,COUNT(F434:F445)=9),cubic_spline(F433:F442,A433:A442,B$9),IF(AND(COUNT(A434:A445)=10,COUNT(F434:F445)=10),cubic_spline(F433:F443,A433:A443,B$9),IF(AND(COUNT(A434:A445)=11,COUNT(F434:F445)=11),cubic_spline(F433:F444,A433:A444,B$9),IF(AND(COUNT(A434:A445)=12,COUNT(F434:F445)=12),cubic_spline(F433:F445,A433:A445,B$9),""))))))))))))</f>
        <v/>
      </c>
      <c r="L441" s="27" t="str">
        <f>IF(I441="","",B$8&amp;"-"&amp;B$9)</f>
        <v/>
      </c>
      <c r="M441" s="52" t="str">
        <f t="shared" si="165"/>
        <v/>
      </c>
    </row>
    <row r="442" spans="1:13" x14ac:dyDescent="0.35">
      <c r="A442" s="48"/>
      <c r="B442" s="48"/>
      <c r="C442" s="50"/>
      <c r="D442" s="50"/>
      <c r="E442" s="51" t="str">
        <f t="shared" si="163"/>
        <v/>
      </c>
      <c r="F442" s="71" t="str">
        <f t="shared" si="161"/>
        <v/>
      </c>
      <c r="G442" s="69" t="str">
        <f t="shared" si="164"/>
        <v/>
      </c>
      <c r="H442" s="70" t="str">
        <f t="shared" si="162"/>
        <v/>
      </c>
      <c r="I442" s="27" t="str">
        <f>IF(N(J442)=0,"",0&amp;"-"&amp;B$10)</f>
        <v/>
      </c>
      <c r="J442" s="52" t="str">
        <f>IF(N(B$10)=0,"",IF(AND(COUNT(H434:H445)=2,COUNT(F434:F445)=2),cubic_spline(F433:F435,H433:H435,B$10),IF(AND(COUNT(H434:H445)=3,COUNT(F434:F445)=3),cubic_spline(F433:F436,H433:H436,B$10),IF(AND(COUNT(H434:H445)=4,COUNT(F434:F445)=4),cubic_spline(F433:F437,H433:H437,B$10),IF(AND(COUNT(H434:H445)=5,COUNT(F434:F445)=5),cubic_spline(F433:F438,H433:H438,B$10),IF(AND(COUNT(H434:H445)=6,COUNT(F434:F445)=6),cubic_spline(F433:F439,H433:H439,B$10),IF(AND(COUNT(H434:H445)=7,COUNT(F434:F445)=7),cubic_spline(F433:F440,H433:H440,B$10),IF(AND(COUNT(H434:H445)=8,COUNT(F434:F445)=8),cubic_spline(F433:F441,H433:H441,B$10),IF(AND(COUNT(H434:H445)=9,COUNT(F434:F445)=9),cubic_spline(F433:F442,H433:H442,B$10),IF(AND(COUNT(H434:H445)=10,COUNT(F434:F445)=10),cubic_spline(F433:F443,H433:H443,B$10),IF(AND(COUNT(H434:H445)=11,COUNT(F434:F445)=11),cubic_spline(F433:F444,H433:H444,B$10),IF(AND(COUNT(H434:H445)=12,COUNT(F434:F445)=12),cubic_spline(F433:F445,H433:H445,B$10),""))))))))))))</f>
        <v/>
      </c>
      <c r="K442" s="52" t="str">
        <f>IF(N(B$10)=0,"",IF(AND(COUNT(A434:A445)=2,COUNT(F434:F445)=2),cubic_spline(F433:F435,A433:A435,B$10),IF(AND(COUNT(A434:A445)=3,COUNT(F434:F445)=3),cubic_spline(F433:F436,A433:A436,B$10),IF(AND(COUNT(A434:A445)=4,COUNT(F434:F445)=4),cubic_spline(F433:F437,A433:A437,B$10),IF(AND(COUNT(A434:A445)=5,COUNT(F434:F445)=5),cubic_spline(F433:F438,A433:A438,B$10),IF(AND(COUNT(A434:A445)=6,COUNT(F434:F445)=6),cubic_spline(F433:F439,A433:A439,B$10),IF(AND(COUNT(A434:A445)=7,COUNT(F434:F445)=7),cubic_spline(F433:F440,A433:A440,B$10),IF(AND(COUNT(A434:A445)=8,COUNT(F434:F445)=8),cubic_spline(F433:F441,A433:A441,B$10),IF(AND(COUNT(A434:A445)=9,COUNT(F434:F445)=9),cubic_spline(F433:F442,A433:A442,B$10),IF(AND(COUNT(A434:A445)=10,COUNT(F434:F445)=10),cubic_spline(F433:F443,A433:A443,B$10),IF(AND(COUNT(A434:A445)=11,COUNT(F434:F445)=11),cubic_spline(F433:F444,A433:A444,B$10),IF(AND(COUNT(A434:A445)=12,COUNT(F434:F445)=12),cubic_spline(F433:F445,A433:A445,B$10),""))))))))))))</f>
        <v/>
      </c>
      <c r="L442" s="27" t="str">
        <f>IF(I442="","",B$9&amp;"-"&amp;B$10)</f>
        <v/>
      </c>
      <c r="M442" s="52" t="str">
        <f t="shared" si="165"/>
        <v/>
      </c>
    </row>
    <row r="443" spans="1:13" x14ac:dyDescent="0.35">
      <c r="A443" s="48"/>
      <c r="B443" s="48"/>
      <c r="C443" s="50"/>
      <c r="D443" s="50"/>
      <c r="E443" s="51" t="str">
        <f t="shared" si="163"/>
        <v/>
      </c>
      <c r="F443" s="71" t="str">
        <f t="shared" si="161"/>
        <v/>
      </c>
      <c r="G443" s="69" t="str">
        <f t="shared" si="164"/>
        <v/>
      </c>
      <c r="H443" s="70" t="str">
        <f t="shared" si="162"/>
        <v/>
      </c>
      <c r="I443" s="27" t="str">
        <f>IF(N(J443)=0,"",0&amp;"-"&amp;B$11)</f>
        <v/>
      </c>
      <c r="J443" s="52" t="str">
        <f>IF(N(B$11)=0,"",IF(AND(COUNT(H434:H445)=2,COUNT(F434:F445)=2),cubic_spline(F433:F435,H433:H435,B$11),IF(AND(COUNT(H434:H445)=3,COUNT(F434:F445)=3),cubic_spline(F433:F436,H433:H436,B$11),IF(AND(COUNT(H434:H445)=4,COUNT(F434:F445)=4),cubic_spline(F433:F437,H433:H437,B$11),IF(AND(COUNT(H434:H445)=5,COUNT(F434:F445)=5),cubic_spline(F433:F438,H433:H438,B$11),IF(AND(COUNT(H434:H445)=6,COUNT(F434:F445)=6),cubic_spline(F433:F439,H433:H439,B$11),IF(AND(COUNT(H434:H445)=7,COUNT(F434:F445)=7),cubic_spline(F433:F440,H433:H440,B$11),IF(AND(COUNT(H434:H445)=8,COUNT(F434:F445)=8),cubic_spline(F433:F441,H433:H441,B$11),IF(AND(COUNT(H434:H445)=9,COUNT(F434:F445)=9),cubic_spline(F433:F442,H433:H442,B$11),IF(AND(COUNT(H434:H445)=10,COUNT(F434:F445)=10),cubic_spline(F433:F443,H433:H443,B$11),IF(AND(COUNT(H434:H445)=11,COUNT(F434:F445)=11),cubic_spline(F433:F444,H433:H444,B$11),IF(AND(COUNT(H434:H445)=12,COUNT(F434:F445)=12),cubic_spline(F433:F445,H433:H445,B$11),""))))))))))))</f>
        <v/>
      </c>
      <c r="K443" s="52" t="str">
        <f>IF(N(B$11)=0,"",IF(AND(COUNT(A434:A445)=2,COUNT(F434:F445)=2),cubic_spline(F433:F435,A433:A435,B$11),IF(AND(COUNT(A434:A445)=3,COUNT(F434:F445)=3),cubic_spline(F433:F436,A433:A436,B$11),IF(AND(COUNT(A434:A445)=4,COUNT(F434:F445)=4),cubic_spline(F433:F437,A433:A437,B$11),IF(AND(COUNT(A434:A445)=5,COUNT(F434:F445)=5),cubic_spline(F433:F438,A433:A438,B$11),IF(AND(COUNT(A434:A445)=6,COUNT(F434:F445)=6),cubic_spline(F433:F439,A433:A439,B$11),IF(AND(COUNT(A434:A445)=7,COUNT(F434:F445)=7),cubic_spline(F433:F440,A433:A440,B$11),IF(AND(COUNT(A434:A445)=8,COUNT(F434:F445)=8),cubic_spline(F433:F441,A433:A441,B$11),IF(AND(COUNT(A434:A445)=9,COUNT(F434:F445)=9),cubic_spline(F433:F442,A433:A442,B$11),IF(AND(COUNT(A434:A445)=10,COUNT(F434:F445)=10),cubic_spline(F433:F443,A433:A443,B$11),IF(AND(COUNT(A434:A445)=11,COUNT(F434:F445)=11),cubic_spline(F433:F444,A433:A444,B$11),IF(AND(COUNT(A434:A445)=12,COUNT(F434:F445)=12),cubic_spline(F433:F445,A433:A445,B$11),""))))))))))))</f>
        <v/>
      </c>
      <c r="L443" s="27" t="str">
        <f>IF(I443="","",B$10&amp;"-"&amp;B$11)</f>
        <v/>
      </c>
      <c r="M443" s="52" t="str">
        <f t="shared" si="165"/>
        <v/>
      </c>
    </row>
    <row r="444" spans="1:13" x14ac:dyDescent="0.35">
      <c r="A444" s="48"/>
      <c r="B444" s="48"/>
      <c r="C444" s="50"/>
      <c r="D444" s="50"/>
      <c r="E444" s="51" t="str">
        <f t="shared" si="163"/>
        <v/>
      </c>
      <c r="F444" s="71" t="str">
        <f t="shared" si="161"/>
        <v/>
      </c>
      <c r="G444" s="69" t="str">
        <f t="shared" si="164"/>
        <v/>
      </c>
      <c r="H444" s="70" t="str">
        <f t="shared" si="162"/>
        <v/>
      </c>
      <c r="I444" s="27" t="str">
        <f>IF(N(J444)=0,"",0&amp;"-"&amp;B$12)</f>
        <v/>
      </c>
      <c r="J444" s="52" t="str">
        <f>IF(N(B$12)=0,"",IF(AND(COUNT(H434:H445)=2,COUNT(F434:F445)=2),cubic_spline(F433:F435,H433:H435,B$12),IF(AND(COUNT(H434:H445)=3,COUNT(F434:F445)=3),cubic_spline(F433:F436,H433:H436,B$12),IF(AND(COUNT(H434:H445)=4,COUNT(F434:F445)=4),cubic_spline(F433:F437,H433:H437,B$12),IF(AND(COUNT(H434:H445)=5,COUNT(F434:F445)=5),cubic_spline(F433:F438,H433:H438,B$12),IF(AND(COUNT(H434:H445)=6,COUNT(F434:F445)=6),cubic_spline(F433:F439,H433:H439,B$12),IF(AND(COUNT(H434:H445)=7,COUNT(F434:F445)=7),cubic_spline(F433:F440,H433:H440,B$12),IF(AND(COUNT(H434:H445)=8,COUNT(F434:F445)=8),cubic_spline(F433:F441,H433:H441,B$12),IF(AND(COUNT(H434:H445)=9,COUNT(F434:F445)=9),cubic_spline(F433:F442,H433:H442,B$12),IF(AND(COUNT(H434:H445)=10,COUNT(F434:F445)=10),cubic_spline(F433:F443,H433:H443,B$12),IF(AND(COUNT(H434:H445)=11,COUNT(F434:F445)=11),cubic_spline(F433:F444,H433:H444,B$12),IF(AND(COUNT(H434:H445)=12,COUNT(F434:F445)=12),cubic_spline(F433:F445,H433:H445,B$12),""))))))))))))</f>
        <v/>
      </c>
      <c r="K444" s="52" t="str">
        <f>IF(N(B$12)=0,"",IF(AND(COUNT(A434:A445)=2,COUNT(F434:F445)=2),cubic_spline(F433:F435,A433:A435,B$12),IF(AND(COUNT(A434:A445)=3,COUNT(F434:F445)=3),cubic_spline(F433:F436,A433:A436,B$12),IF(AND(COUNT(A434:A445)=4,COUNT(F434:F445)=4),cubic_spline(F433:F437,A433:A437,B$12),IF(AND(COUNT(A434:A445)=5,COUNT(F434:F445)=5),cubic_spline(F433:F438,A433:A438,B$12),IF(AND(COUNT(A434:A445)=6,COUNT(F434:F445)=6),cubic_spline(F433:F439,A433:A439,B$12),IF(AND(COUNT(A434:A445)=7,COUNT(F434:F445)=7),cubic_spline(F433:F440,A433:A440,B$12),IF(AND(COUNT(A434:A445)=8,COUNT(F434:F445)=8),cubic_spline(F433:F441,A433:A441,B$12),IF(AND(COUNT(A434:A445)=9,COUNT(F434:F445)=9),cubic_spline(F433:F442,A433:A442,B$12),IF(AND(COUNT(A434:A445)=10,COUNT(F434:F445)=10),cubic_spline(F433:F443,A433:A443,B$12),IF(AND(COUNT(A434:A445)=11,COUNT(F434:F445)=11),cubic_spline(F433:F444,A433:A444,B$12),IF(AND(COUNT(A434:A445)=12,COUNT(F434:F445)=12),cubic_spline(F433:F445,A433:A445,B$12),""))))))))))))</f>
        <v/>
      </c>
      <c r="L444" s="27" t="str">
        <f>IF(I444="","",B$11&amp;"-"&amp;B$12)</f>
        <v/>
      </c>
      <c r="M444" s="52" t="str">
        <f t="shared" si="165"/>
        <v/>
      </c>
    </row>
    <row r="445" spans="1:13" x14ac:dyDescent="0.35">
      <c r="A445" s="48"/>
      <c r="B445" s="48"/>
      <c r="C445" s="50"/>
      <c r="D445" s="50"/>
      <c r="E445" s="51" t="str">
        <f t="shared" si="163"/>
        <v/>
      </c>
      <c r="F445" s="71" t="str">
        <f t="shared" si="161"/>
        <v/>
      </c>
      <c r="G445" s="69" t="str">
        <f t="shared" si="164"/>
        <v/>
      </c>
      <c r="H445" s="70" t="str">
        <f t="shared" si="162"/>
        <v/>
      </c>
      <c r="I445" s="27" t="str">
        <f>IF(N(J445)=0,"",0&amp;"-"&amp;B$13)</f>
        <v/>
      </c>
      <c r="J445" s="52" t="str">
        <f>IF(N(B$13)=0,"",IF(AND(COUNT(H434:H445)=2,COUNT(F434:F445)=2),cubic_spline(F433:F435,H433:H435,B$13),IF(AND(COUNT(H434:H445)=3,COUNT(F434:F445)=3),cubic_spline(F433:F436,H433:H436,B$13),IF(AND(COUNT(H434:H445)=4,COUNT(F434:F445)=4),cubic_spline(F433:F437,H433:H437,B$13),IF(AND(COUNT(H434:H445)=5,COUNT(F434:F445)=5),cubic_spline(F433:F438,H433:H438,B$13),IF(AND(COUNT(H434:H445)=6,COUNT(F434:F445)=6),cubic_spline(F433:F439,H433:H439,B$13),IF(AND(COUNT(H434:H445)=7,COUNT(F434:F445)=7),cubic_spline(F433:F440,H433:H440,B$13),IF(AND(COUNT(H434:H445)=8,COUNT(F434:F445)=8),cubic_spline(F433:F441,H433:H441,B$13),IF(AND(COUNT(H434:H445)=9,COUNT(F434:F445)=9),cubic_spline(F433:F442,H433:H442,B$13),IF(AND(COUNT(H434:H445)=10,COUNT(F434:F445)=10),cubic_spline(F433:F443,H433:H443,B$13),IF(AND(COUNT(H434:H445)=11,COUNT(F434:F445)=11),cubic_spline(F433:F444,H433:H444,B$13),IF(AND(COUNT(H434:H445)=12,COUNT(F434:F445)=12),cubic_spline(F433:F445,H433:H445,B$13),""))))))))))))</f>
        <v/>
      </c>
      <c r="K445" s="52" t="str">
        <f>IF(N(B$13)=0,"",IF(AND(COUNT(A434:A445)=2,COUNT(F434:F445)=2),cubic_spline(F433:F435,A433:A435,B$13),IF(AND(COUNT(A434:A445)=3,COUNT(F434:F445)=3),cubic_spline(F433:F436,A433:A436,B$13),IF(AND(COUNT(A434:A445)=4,COUNT(F434:F445)=4),cubic_spline(F433:F437,A433:A437,B$13),IF(AND(COUNT(A434:A445)=5,COUNT(F434:F445)=5),cubic_spline(F433:F438,A433:A438,B$13),IF(AND(COUNT(A434:A445)=6,COUNT(F434:F445)=6),cubic_spline(F433:F439,A433:A439,B$13),IF(AND(COUNT(A434:A445)=7,COUNT(F434:F445)=7),cubic_spline(F433:F440,A433:A440,B$13),IF(AND(COUNT(A434:A445)=8,COUNT(F434:F445)=8),cubic_spline(F433:F441,A433:A441,B$13),IF(AND(COUNT(A434:A445)=9,COUNT(F434:F445)=9),cubic_spline(F433:F442,A433:A442,B$13),IF(AND(COUNT(A434:A445)=10,COUNT(F434:F445)=10),cubic_spline(F433:F443,A433:A443,B$13),IF(AND(COUNT(A434:A445)=11,COUNT(F434:F445)=11),cubic_spline(F433:F444,A433:A444,B$13),IF(AND(COUNT(A434:A445)=12,COUNT(F434:F445)=12),cubic_spline(F433:F445,A433:A445,B$13),""))))))))))))</f>
        <v/>
      </c>
      <c r="L445" s="27" t="str">
        <f>IF(I445="","",B$12&amp;"-"&amp;B$13)</f>
        <v/>
      </c>
      <c r="M445" s="52" t="str">
        <f t="shared" si="165"/>
        <v/>
      </c>
    </row>
    <row r="446" spans="1:13" ht="5.15" customHeight="1" x14ac:dyDescent="0.35">
      <c r="A446" s="47"/>
      <c r="B446" s="47"/>
      <c r="C446" s="53"/>
      <c r="D446" s="53"/>
      <c r="E446" s="54"/>
      <c r="F446" s="55"/>
      <c r="G446" s="72"/>
      <c r="H446" s="73"/>
      <c r="I446" s="47"/>
      <c r="J446" s="57"/>
      <c r="K446" s="57"/>
      <c r="L446" s="55"/>
      <c r="M446" s="57"/>
    </row>
    <row r="447" spans="1:13" x14ac:dyDescent="0.35">
      <c r="A447" s="48"/>
      <c r="B447" s="48"/>
      <c r="C447" s="50"/>
      <c r="D447" s="50"/>
      <c r="E447" s="51" t="str">
        <f>IF(N(C447)=0,"",(A447-A446)*C447*100)</f>
        <v/>
      </c>
      <c r="F447" s="68" t="str">
        <f t="shared" ref="F447:F458" si="166">IF(N(E447)=0,"",(N(E447)+N(F446)))</f>
        <v/>
      </c>
      <c r="G447" s="69" t="str">
        <f>IF(OR(N(D447)=0,N(E447)=0),"",(E447*D447)/1000)</f>
        <v/>
      </c>
      <c r="H447" s="70" t="str">
        <f t="shared" ref="H447:H458" si="167">IF(N(G447)=0,"",(N(G447)+N(H446)))</f>
        <v/>
      </c>
      <c r="I447" s="27" t="str">
        <f>IF(N(J447)=0,"",0&amp;"-"&amp;B$2)</f>
        <v/>
      </c>
      <c r="J447" s="52" t="str">
        <f>IF(N(B$2)=0,"",IF(AND(COUNT(H447:H458)=2,COUNT(F447:F458)=2),cubic_spline(F446:F448,H446:H448,B$2),IF(AND(COUNT(H447:H458)=3,COUNT(F447:F458)=3),cubic_spline(F446:F449,H446:H449,B$2),IF(AND(COUNT(H447:H458)=4,COUNT(F447:F458)=4),cubic_spline(F446:F450,H446:H450,B$2),IF(AND(COUNT(H447:H458)=5,COUNT(F447:F458)=5),cubic_spline(F446:F451,H446:H451,B$2),IF(AND(COUNT(H447:H458)=6,COUNT(F447:F458)=6),cubic_spline(F446:F452,H446:H452,B$2),IF(AND(COUNT(H447:H458)=7,COUNT(F447:F458)=7),cubic_spline(F446:F453,H446:H453,B$2),IF(AND(COUNT(H447:H458)=8,COUNT(F447:F458)=8),cubic_spline(F446:F454,H446:H454,B$2),IF(AND(COUNT(H447:H458)=9,COUNT(F447:F458)=9),cubic_spline(F446:F455,H446:H455,B$2),IF(AND(COUNT(H447:H458)=10,COUNT(F447:F458)=10),cubic_spline(F446:F456,H446:H456,B$2),IF(AND(COUNT(H447:H458)=11,COUNT(F447:F458)=11),cubic_spline(F446:F457,H446:H457,B$2),IF(AND(COUNT(H447:H458)=12,COUNT(F447:F458)=12),cubic_spline(F446:F458,H446:H458,B$2),""))))))))))))</f>
        <v/>
      </c>
      <c r="K447" s="52" t="str">
        <f>IF(N(B$2)=0,"",IF(AND(COUNT(A447:A458)=2,COUNT(F447:F458)=2),cubic_spline(F446:F448,A446:A448,B$2),IF(AND(COUNT(A447:A458)=3,COUNT(F447:F458)=3),cubic_spline(F446:F449,A446:A449,B$2),IF(AND(COUNT(A447:A458)=4,COUNT(F447:F458)=4),cubic_spline(F446:F450,A446:A450,B$2),IF(AND(COUNT(A447:A458)=5,COUNT(F447:F458)=5),cubic_spline(F446:F451,A446:A451,B$2),IF(AND(COUNT(A447:A458)=6,COUNT(F447:F458)=6),cubic_spline(F446:F452,A446:A452,B$2),IF(AND(COUNT(A447:A458)=7,COUNT(F447:F458)=7),cubic_spline(F446:F453,A446:A453,B$2),IF(AND(COUNT(A447:A458)=8,COUNT(F447:F458)=8),cubic_spline(F446:F454,A446:A454,B$2),IF(AND(COUNT(A447:A458)=9,COUNT(F447:F458)=9),cubic_spline(F446:F455,A446:A455,B$2),IF(AND(COUNT(A447:A458)=10,COUNT(F447:F458)=10),cubic_spline(F446:F456,A446:A456,B$2),IF(AND(COUNT(A447:A458)=11,COUNT(F447:F458)=11),cubic_spline(F446:F457,A446:A457,B$2),IF(AND(COUNT(A447:A458)=12,COUNT(F447:F458)=12),cubic_spline(F446:F458,A446:A458,B$2),""))))))))))))</f>
        <v/>
      </c>
      <c r="L447" s="27" t="str">
        <f>IF(I447="","",0&amp;"-"&amp;B$2)</f>
        <v/>
      </c>
      <c r="M447" s="52" t="str">
        <f>IF(N(J447)=0,"",J447-J446)</f>
        <v/>
      </c>
    </row>
    <row r="448" spans="1:13" x14ac:dyDescent="0.35">
      <c r="A448" s="48"/>
      <c r="B448" s="48"/>
      <c r="C448" s="50"/>
      <c r="D448" s="50"/>
      <c r="E448" s="51" t="str">
        <f t="shared" ref="E448:E458" si="168">IF(N(C448)=0,"",(A448-A447)*C448*100)</f>
        <v/>
      </c>
      <c r="F448" s="68" t="str">
        <f t="shared" si="166"/>
        <v/>
      </c>
      <c r="G448" s="69" t="str">
        <f t="shared" ref="G448:G458" si="169">IF(OR(N(D448)=0,N(E448)=0),"",(E448*D448)/1000)</f>
        <v/>
      </c>
      <c r="H448" s="70" t="str">
        <f t="shared" si="167"/>
        <v/>
      </c>
      <c r="I448" s="27" t="str">
        <f>IF(N(J448)=0,"",0&amp;"-"&amp;B$3)</f>
        <v/>
      </c>
      <c r="J448" s="52" t="str">
        <f>IF(N(B$3)=0,"",IF(AND(COUNT(H447:H458)=2,COUNT(F447:F458)=2),cubic_spline(F446:F448,H446:H448,B$3),IF(AND(COUNT(H447:H458)=3,COUNT(F447:F458)=3),cubic_spline(F446:F449,H446:H449,B$3),IF(AND(COUNT(H447:H458)=4,COUNT(F447:F458)=4),cubic_spline(F446:F450,H446:H450,B$3),IF(AND(COUNT(H447:H458)=5,COUNT(F447:F458)=5),cubic_spline(F446:F451,H446:H451,B$3),IF(AND(COUNT(H447:H458)=6,COUNT(F447:F458)=6),cubic_spline(F446:F452,H446:H452,B$3),IF(AND(COUNT(H447:H458)=7,COUNT(F447:F458)=7),cubic_spline(F446:F453,H446:H453,B$3),IF(AND(COUNT(H447:H458)=8,COUNT(F447:F458)=8),cubic_spline(F446:F454,H446:H454,B$3),IF(AND(COUNT(H447:H458)=9,COUNT(F447:F458)=9),cubic_spline(F446:F455,H446:H455,B$3),IF(AND(COUNT(H447:H458)=10,COUNT(F447:F458)=10),cubic_spline(F446:F456,H446:H456,B$3),IF(AND(COUNT(H447:H458)=11,COUNT(F447:F458)=11),cubic_spline(F446:F457,H446:H457,B$3),IF(AND(COUNT(H447:H458)=12,COUNT(F447:F458)=12),cubic_spline(F446:F458,H446:H458,B$3),""))))))))))))</f>
        <v/>
      </c>
      <c r="K448" s="52" t="str">
        <f>IF(N(B$3)=0,"",IF(AND(COUNT(A447:A458)=2,COUNT(F447:F458)=2),cubic_spline(F446:F448,A446:A448,B$3),IF(AND(COUNT(A447:A458)=3,COUNT(F447:F458)=3),cubic_spline(F446:F449,A446:A449,B$3),IF(AND(COUNT(A447:A458)=4,COUNT(F447:F458)=4),cubic_spline(F446:F450,A446:A450,B$3),IF(AND(COUNT(A447:A458)=5,COUNT(F447:F458)=5),cubic_spline(F446:F451,A446:A451,B$3),IF(AND(COUNT(A447:A458)=6,COUNT(F447:F458)=6),cubic_spline(F446:F452,A446:A452,B$3),IF(AND(COUNT(A447:A458)=7,COUNT(F447:F458)=7),cubic_spline(F446:F453,A446:A453,B$3),IF(AND(COUNT(A447:A458)=8,COUNT(F447:F458)=8),cubic_spline(F446:F454,A446:A454,B$3),IF(AND(COUNT(A447:A458)=9,COUNT(F447:F458)=9),cubic_spline(F446:F455,A446:A455,B$3),IF(AND(COUNT(A447:A458)=10,COUNT(F447:F458)=10),cubic_spline(F446:F456,A446:A456,B$3),IF(AND(COUNT(A447:A458)=11,COUNT(F447:F458)=11),cubic_spline(F446:F457,A446:A457,B$3),IF(AND(COUNT(A447:A458)=12,COUNT(F447:F458)=12),cubic_spline(F446:F458,A446:A458,B$3),""))))))))))))</f>
        <v/>
      </c>
      <c r="L448" s="27" t="str">
        <f>IF(I448="","",B$2&amp;"-"&amp;B$3)</f>
        <v/>
      </c>
      <c r="M448" s="52" t="str">
        <f>IF(N(J448)=0,"",J448-J447)</f>
        <v/>
      </c>
    </row>
    <row r="449" spans="1:13" x14ac:dyDescent="0.35">
      <c r="A449" s="48"/>
      <c r="B449" s="48"/>
      <c r="C449" s="50"/>
      <c r="D449" s="50"/>
      <c r="E449" s="51" t="str">
        <f t="shared" si="168"/>
        <v/>
      </c>
      <c r="F449" s="68" t="str">
        <f t="shared" si="166"/>
        <v/>
      </c>
      <c r="G449" s="69" t="str">
        <f t="shared" si="169"/>
        <v/>
      </c>
      <c r="H449" s="70" t="str">
        <f t="shared" si="167"/>
        <v/>
      </c>
      <c r="I449" s="27" t="str">
        <f>IF(N(J449)=0,"",0&amp;"-"&amp;B$4)</f>
        <v/>
      </c>
      <c r="J449" s="52" t="str">
        <f>IF(N(B$4)=0,"",IF(AND(COUNT(H447:H458)=2,COUNT(F447:F458)=2),cubic_spline(F446:F448,H446:H448,B$4),IF(AND(COUNT(H447:H458)=3,COUNT(F447:F458)=3),cubic_spline(F446:F449,H446:H449,B$4),IF(AND(COUNT(H447:H458)=4,COUNT(F447:F458)=4),cubic_spline(F446:F450,H446:H450,B$4),IF(AND(COUNT(H447:H458)=5,COUNT(F447:F458)=5),cubic_spline(F446:F451,H446:H451,B$4),IF(AND(COUNT(H447:H458)=6,COUNT(F447:F458)=6),cubic_spline(F446:F452,H446:H452,B$4),IF(AND(COUNT(H447:H458)=7,COUNT(F447:F458)=7),cubic_spline(F446:F453,H446:H453,B$4),IF(AND(COUNT(H447:H458)=8,COUNT(F447:F458)=8),cubic_spline(F446:F454,H446:H454,B$4),IF(AND(COUNT(H447:H458)=9,COUNT(F447:F458)=9),cubic_spline(F446:F455,H446:H455,B$4),IF(AND(COUNT(H447:H458)=10,COUNT(F447:F458)=10),cubic_spline(F446:F456,H446:H456,B$4),IF(AND(COUNT(H447:H458)=11,COUNT(F447:F458)=11),cubic_spline(F446:F457,H446:H457,B$4),IF(AND(COUNT(H447:H458)=12,COUNT(F447:F458)=12),cubic_spline(F446:F458,H446:H458,B$4),""))))))))))))</f>
        <v/>
      </c>
      <c r="K449" s="52" t="str">
        <f>IF(N(B$4)=0,"",IF(AND(COUNT(A447:A458)=2,COUNT(F447:F458)=2),cubic_spline(F446:F448,A446:A448,B$4),IF(AND(COUNT(A447:A458)=3,COUNT(F447:F458)=3),cubic_spline(F446:F449,A446:A449,B$4),IF(AND(COUNT(A447:A458)=4,COUNT(F447:F458)=4),cubic_spline(F446:F450,A446:A450,B$4),IF(AND(COUNT(A447:A458)=5,COUNT(F447:F458)=5),cubic_spline(F446:F451,A446:A451,B$4),IF(AND(COUNT(A447:A458)=6,COUNT(F447:F458)=6),cubic_spline(F446:F452,A446:A452,B$4),IF(AND(COUNT(A447:A458)=7,COUNT(F447:F458)=7),cubic_spline(F446:F453,A446:A453,B$4),IF(AND(COUNT(A447:A458)=8,COUNT(F447:F458)=8),cubic_spline(F446:F454,A446:A454,B$4),IF(AND(COUNT(A447:A458)=9,COUNT(F447:F458)=9),cubic_spline(F446:F455,A446:A455,B$4),IF(AND(COUNT(A447:A458)=10,COUNT(F447:F458)=10),cubic_spline(F446:F456,A446:A456,B$4),IF(AND(COUNT(A447:A458)=11,COUNT(F447:F458)=11),cubic_spline(F446:F457,A446:A457,B$4),IF(AND(COUNT(A447:A458)=12,COUNT(F447:F458)=12),cubic_spline(F446:F458,A446:A458,B$4),""))))))))))))</f>
        <v/>
      </c>
      <c r="L449" s="27" t="str">
        <f>IF(I449="","",B$3&amp;"-"&amp;B$4)</f>
        <v/>
      </c>
      <c r="M449" s="52" t="str">
        <f>IF(N(J449)=0,"",J449-J448)</f>
        <v/>
      </c>
    </row>
    <row r="450" spans="1:13" x14ac:dyDescent="0.35">
      <c r="A450" s="48"/>
      <c r="B450" s="48"/>
      <c r="C450" s="50"/>
      <c r="D450" s="50"/>
      <c r="E450" s="51" t="str">
        <f t="shared" si="168"/>
        <v/>
      </c>
      <c r="F450" s="68" t="str">
        <f t="shared" si="166"/>
        <v/>
      </c>
      <c r="G450" s="69" t="str">
        <f t="shared" si="169"/>
        <v/>
      </c>
      <c r="H450" s="70" t="str">
        <f t="shared" si="167"/>
        <v/>
      </c>
      <c r="I450" s="27" t="str">
        <f>IF(N(J450)=0,"",0&amp;"-"&amp;B$5)</f>
        <v/>
      </c>
      <c r="J450" s="52" t="str">
        <f>IF(N(B$5)=0,"",IF(AND(COUNT(H447:H458)=2,COUNT(F447:F458)=2),cubic_spline(F446:F448,H446:H448,B$5),IF(AND(COUNT(H447:H458)=3,COUNT(F447:F458)=3),cubic_spline(F446:F449,H446:H449,B$5),IF(AND(COUNT(H447:H458)=4,COUNT(F447:F458)=4),cubic_spline(F446:F450,H446:H450,B$5),IF(AND(COUNT(H447:H458)=5,COUNT(F447:F458)=5),cubic_spline(F446:F451,H446:H451,B$5),IF(AND(COUNT(H447:H458)=6,COUNT(F447:F458)=6),cubic_spline(F446:F452,H446:H452,B$5),IF(AND(COUNT(H447:H458)=7,COUNT(F447:F458)=7),cubic_spline(F446:F453,H446:H453,B$5),IF(AND(COUNT(H447:H458)=8,COUNT(F447:F458)=8),cubic_spline(F446:F454,H446:H454,B$5),IF(AND(COUNT(H447:H458)=9,COUNT(F447:F458)=9),cubic_spline(F446:F455,H446:H455,B$5),IF(AND(COUNT(H447:H458)=10,COUNT(F447:F458)=10),cubic_spline(F446:F456,H446:H456,B$5),IF(AND(COUNT(H447:H458)=11,COUNT(F447:F458)=11),cubic_spline(F446:F457,H446:H457,B$5),IF(AND(COUNT(H447:H458)=12,COUNT(F447:F458)=12),cubic_spline(F446:F458,H446:H458,B$5),""))))))))))))</f>
        <v/>
      </c>
      <c r="K450" s="52" t="str">
        <f>IF(N(B$5)=0,"",IF(AND(COUNT(A447:A458)=2,COUNT(F447:F458)=2),cubic_spline(F446:F448,A446:A448,B$5),IF(AND(COUNT(A447:A458)=3,COUNT(F447:F458)=3),cubic_spline(F446:F449,A446:A449,B$5),IF(AND(COUNT(A447:A458)=4,COUNT(F447:F458)=4),cubic_spline(F446:F450,A446:A450,B$5),IF(AND(COUNT(A447:A458)=5,COUNT(F447:F458)=5),cubic_spline(F446:F451,A446:A451,B$5),IF(AND(COUNT(A447:A458)=6,COUNT(F447:F458)=6),cubic_spline(F446:F452,A446:A452,B$5),IF(AND(COUNT(A447:A458)=7,COUNT(F447:F458)=7),cubic_spline(F446:F453,A446:A453,B$5),IF(AND(COUNT(A447:A458)=8,COUNT(F447:F458)=8),cubic_spline(F446:F454,A446:A454,B$5),IF(AND(COUNT(A447:A458)=9,COUNT(F447:F458)=9),cubic_spline(F446:F455,A446:A455,B$5),IF(AND(COUNT(A447:A458)=10,COUNT(F447:F458)=10),cubic_spline(F446:F456,A446:A456,B$5),IF(AND(COUNT(A447:A458)=11,COUNT(F447:F458)=11),cubic_spline(F446:F457,A446:A457,B$5),IF(AND(COUNT(A447:A458)=12,COUNT(F447:F458)=12),cubic_spline(F446:F458,A446:A458,B$5),""))))))))))))</f>
        <v/>
      </c>
      <c r="L450" s="27" t="str">
        <f>IF(I450="","",B$4&amp;"-"&amp;B$5)</f>
        <v/>
      </c>
      <c r="M450" s="52" t="str">
        <f>IF(N(J450)=0,"",J450-J449)</f>
        <v/>
      </c>
    </row>
    <row r="451" spans="1:13" x14ac:dyDescent="0.35">
      <c r="A451" s="48"/>
      <c r="B451" s="48"/>
      <c r="C451" s="50"/>
      <c r="D451" s="50"/>
      <c r="E451" s="51" t="str">
        <f t="shared" si="168"/>
        <v/>
      </c>
      <c r="F451" s="71" t="str">
        <f t="shared" si="166"/>
        <v/>
      </c>
      <c r="G451" s="69" t="str">
        <f t="shared" si="169"/>
        <v/>
      </c>
      <c r="H451" s="70" t="str">
        <f t="shared" si="167"/>
        <v/>
      </c>
      <c r="I451" s="27" t="str">
        <f>IF(N(J451)=0,"",0&amp;"-"&amp;B$6)</f>
        <v/>
      </c>
      <c r="J451" s="52" t="str">
        <f>IF(N(B$6)=0,"",IF(AND(COUNT(H447:H458)=2,COUNT(F447:F458)=2),cubic_spline(F446:F448,H446:H448,B$6),IF(AND(COUNT(H447:H458)=3,COUNT(F447:F458)=3),cubic_spline(F446:F449,H446:H449,B$6),IF(AND(COUNT(H447:H458)=4,COUNT(F447:F458)=4),cubic_spline(F446:F450,H446:H450,B$6),IF(AND(COUNT(H447:H458)=5,COUNT(F447:F458)=5),cubic_spline(F446:F451,H446:H451,B$6),IF(AND(COUNT(H447:H458)=6,COUNT(F447:F458)=6),cubic_spline(F446:F452,H446:H452,B$6),IF(AND(COUNT(H447:H458)=7,COUNT(F447:F458)=7),cubic_spline(F446:F453,H446:H453,B$6),IF(AND(COUNT(H447:H458)=8,COUNT(F447:F458)=8),cubic_spline(F446:F454,H446:H454,B$6),IF(AND(COUNT(H447:H458)=9,COUNT(F447:F458)=9),cubic_spline(F446:F455,H446:H455,B$6),IF(AND(COUNT(H447:H458)=10,COUNT(F447:F458)=10),cubic_spline(F446:F456,H446:H456,B$6),IF(AND(COUNT(H447:H458)=11,COUNT(F447:F458)=11),cubic_spline(F446:F457,H446:H457,B$6),IF(AND(COUNT(H447:H458)=12,COUNT(F447:F458)=12),cubic_spline(F446:F458,H446:H458,B$6),""))))))))))))</f>
        <v/>
      </c>
      <c r="K451" s="52" t="str">
        <f>IF(N(B$6)=0,"",IF(AND(COUNT(A447:A458)=2,COUNT(F447:F458)=2),cubic_spline(F446:F448,A446:A448,B$6),IF(AND(COUNT(A447:A458)=3,COUNT(F447:F458)=3),cubic_spline(F446:F449,A446:A449,B$6),IF(AND(COUNT(A447:A458)=4,COUNT(F447:F458)=4),cubic_spline(F446:F450,A446:A450,B$6),IF(AND(COUNT(A447:A458)=5,COUNT(F447:F458)=5),cubic_spline(F446:F451,A446:A451,B$6),IF(AND(COUNT(A447:A458)=6,COUNT(F447:F458)=6),cubic_spline(F446:F452,A446:A452,B$6),IF(AND(COUNT(A447:A458)=7,COUNT(F447:F458)=7),cubic_spline(F446:F453,A446:A453,B$6),IF(AND(COUNT(A447:A458)=8,COUNT(F447:F458)=8),cubic_spline(F446:F454,A446:A454,B$6),IF(AND(COUNT(A447:A458)=9,COUNT(F447:F458)=9),cubic_spline(F446:F455,A446:A455,B$6),IF(AND(COUNT(A447:A458)=10,COUNT(F447:F458)=10),cubic_spline(F446:F456,A446:A456,B$6),IF(AND(COUNT(A447:A458)=11,COUNT(F447:F458)=11),cubic_spline(F446:F457,A446:A457,B$6),IF(AND(COUNT(A447:A458)=12,COUNT(F447:F458)=12),cubic_spline(F446:F458,A446:A458,B$6),""))))))))))))</f>
        <v/>
      </c>
      <c r="L451" s="27" t="str">
        <f>IF(I451="","",B$5&amp;"-"&amp;B$6)</f>
        <v/>
      </c>
      <c r="M451" s="52" t="str">
        <f>IF(N(J451)=0,"",J451-J450)</f>
        <v/>
      </c>
    </row>
    <row r="452" spans="1:13" x14ac:dyDescent="0.35">
      <c r="A452" s="48"/>
      <c r="B452" s="48"/>
      <c r="C452" s="50"/>
      <c r="D452" s="50"/>
      <c r="E452" s="51" t="str">
        <f t="shared" si="168"/>
        <v/>
      </c>
      <c r="F452" s="71" t="str">
        <f t="shared" si="166"/>
        <v/>
      </c>
      <c r="G452" s="69" t="str">
        <f t="shared" si="169"/>
        <v/>
      </c>
      <c r="H452" s="70" t="str">
        <f t="shared" si="167"/>
        <v/>
      </c>
      <c r="I452" s="27" t="str">
        <f>IF(N(J452)=0,"",0&amp;"-"&amp;B$7)</f>
        <v/>
      </c>
      <c r="J452" s="52" t="str">
        <f>IF(N(B$7)=0,"",IF(AND(COUNT(H447:H458)=2,COUNT(F447:F458)=2),cubic_spline(F446:F448,H446:H448,B$7),IF(AND(COUNT(H447:H458)=3,COUNT(F447:F458)=3),cubic_spline(F446:F449,H446:H449,B$7),IF(AND(COUNT(H447:H458)=4,COUNT(F447:F458)=4),cubic_spline(F446:F450,H446:H450,B$7),IF(AND(COUNT(H447:H458)=5,COUNT(F447:F458)=5),cubic_spline(F446:F451,H446:H451,B$7),IF(AND(COUNT(H447:H458)=6,COUNT(F447:F458)=6),cubic_spline(F446:F452,H446:H452,B$7),IF(AND(COUNT(H447:H458)=7,COUNT(F447:F458)=7),cubic_spline(F446:F453,H446:H453,B$7),IF(AND(COUNT(H447:H458)=8,COUNT(F447:F458)=8),cubic_spline(F446:F454,H446:H454,B$7),IF(AND(COUNT(H447:H458)=9,COUNT(F447:F458)=9),cubic_spline(F446:F455,H446:H455,B$7),IF(AND(COUNT(H447:H458)=10,COUNT(F447:F458)=10),cubic_spline(F446:F456,H446:H456,B$7),IF(AND(COUNT(H447:H458)=11,COUNT(F447:F458)=11),cubic_spline(F446:F457,H446:H457,B$7),IF(AND(COUNT(H447:H458)=12,COUNT(F447:F458)=12),cubic_spline(F446:F458,H446:H458,B$7),""))))))))))))</f>
        <v/>
      </c>
      <c r="K452" s="52" t="str">
        <f>IF(N(B$7)=0,"",IF(AND(COUNT(A447:A458)=2,COUNT(F447:F458)=2),cubic_spline(F446:F448,A446:A448,B$7),IF(AND(COUNT(A447:A458)=3,COUNT(F447:F458)=3),cubic_spline(F446:F449,A446:A449,B$7),IF(AND(COUNT(A447:A458)=4,COUNT(F447:F458)=4),cubic_spline(F446:F450,A446:A450,B$7),IF(AND(COUNT(A447:A458)=5,COUNT(F447:F458)=5),cubic_spline(F446:F451,A446:A451,B$7),IF(AND(COUNT(A447:A458)=6,COUNT(F447:F458)=6),cubic_spline(F446:F452,A446:A452,B$7),IF(AND(COUNT(A447:A458)=7,COUNT(F447:F458)=7),cubic_spline(F446:F453,A446:A453,B$7),IF(AND(COUNT(A447:A458)=8,COUNT(F447:F458)=8),cubic_spline(F446:F454,A446:A454,B$7),IF(AND(COUNT(A447:A458)=9,COUNT(F447:F458)=9),cubic_spline(F446:F455,A446:A455,B$7),IF(AND(COUNT(A447:A458)=10,COUNT(F447:F458)=10),cubic_spline(F446:F456,A446:A456,B$7),IF(AND(COUNT(A447:A458)=11,COUNT(F447:F458)=11),cubic_spline(F446:F457,A446:A457,B$7),IF(AND(COUNT(A447:A458)=12,COUNT(F447:F458)=12),cubic_spline(F446:F458,A446:A458,B$7),""))))))))))))</f>
        <v/>
      </c>
      <c r="L452" s="27" t="str">
        <f>IF(I452="","",B$6&amp;"-"&amp;B$7)</f>
        <v/>
      </c>
      <c r="M452" s="52" t="str">
        <f t="shared" ref="M452:M458" si="170">IF(N(J452)=0,"",J452-J451)</f>
        <v/>
      </c>
    </row>
    <row r="453" spans="1:13" x14ac:dyDescent="0.35">
      <c r="A453" s="48"/>
      <c r="B453" s="48"/>
      <c r="C453" s="50"/>
      <c r="D453" s="50"/>
      <c r="E453" s="51" t="str">
        <f t="shared" si="168"/>
        <v/>
      </c>
      <c r="F453" s="71" t="str">
        <f t="shared" si="166"/>
        <v/>
      </c>
      <c r="G453" s="69" t="str">
        <f t="shared" si="169"/>
        <v/>
      </c>
      <c r="H453" s="70" t="str">
        <f t="shared" si="167"/>
        <v/>
      </c>
      <c r="I453" s="27" t="str">
        <f>IF(N(J453)=0,"",0&amp;"-"&amp;B$8)</f>
        <v/>
      </c>
      <c r="J453" s="52" t="str">
        <f>IF(N(B$8)=0,"",IF(AND(COUNT(H447:H458)=2,COUNT(F447:F458)=2),cubic_spline(F446:F448,H446:H448,B$8),IF(AND(COUNT(H447:H458)=3,COUNT(F447:F458)=3),cubic_spline(F446:F449,H446:H449,B$8),IF(AND(COUNT(H447:H458)=4,COUNT(F447:F458)=4),cubic_spline(F446:F450,H446:H450,B$8),IF(AND(COUNT(H447:H458)=5,COUNT(F447:F458)=5),cubic_spline(F446:F451,H446:H451,B$8),IF(AND(COUNT(H447:H458)=6,COUNT(F447:F458)=6),cubic_spline(F446:F452,H446:H452,B$8),IF(AND(COUNT(H447:H458)=7,COUNT(F447:F458)=7),cubic_spline(F446:F453,H446:H453,B$8),IF(AND(COUNT(H447:H458)=8,COUNT(F447:F458)=8),cubic_spline(F446:F454,H446:H454,B$8),IF(AND(COUNT(H447:H458)=9,COUNT(F447:F458)=9),cubic_spline(F446:F455,H446:H455,B$8),IF(AND(COUNT(H447:H458)=10,COUNT(F447:F458)=10),cubic_spline(F446:F456,H446:H456,B$8),IF(AND(COUNT(H447:H458)=11,COUNT(F447:F458)=11),cubic_spline(F446:F457,H446:H457,B$8),IF(AND(COUNT(H447:H458)=12,COUNT(F447:F458)=12),cubic_spline(F446:F458,H446:H458,B$8),""))))))))))))</f>
        <v/>
      </c>
      <c r="K453" s="52" t="str">
        <f>IF(N(B$8)=0,"",IF(AND(COUNT(A447:A458)=2,COUNT(F447:F458)=2),cubic_spline(F446:F448,A446:A448,B$8),IF(AND(COUNT(A447:A458)=3,COUNT(F447:F458)=3),cubic_spline(F446:F449,A446:A449,B$8),IF(AND(COUNT(A447:A458)=4,COUNT(F447:F458)=4),cubic_spline(F446:F450,A446:A450,B$8),IF(AND(COUNT(A447:A458)=5,COUNT(F447:F458)=5),cubic_spline(F446:F451,A446:A451,B$8),IF(AND(COUNT(A447:A458)=6,COUNT(F447:F458)=6),cubic_spline(F446:F452,A446:A452,B$8),IF(AND(COUNT(A447:A458)=7,COUNT(F447:F458)=7),cubic_spline(F446:F453,A446:A453,B$8),IF(AND(COUNT(A447:A458)=8,COUNT(F447:F458)=8),cubic_spline(F446:F454,A446:A454,B$8),IF(AND(COUNT(A447:A458)=9,COUNT(F447:F458)=9),cubic_spline(F446:F455,A446:A455,B$8),IF(AND(COUNT(A447:A458)=10,COUNT(F447:F458)=10),cubic_spline(F446:F456,A446:A456,B$8),IF(AND(COUNT(A447:A458)=11,COUNT(F447:F458)=11),cubic_spline(F446:F457,A446:A457,B$8),IF(AND(COUNT(A447:A458)=12,COUNT(F447:F458)=12),cubic_spline(F446:F458,A446:A458,B$8),""))))))))))))</f>
        <v/>
      </c>
      <c r="L453" s="27" t="str">
        <f>IF(I453="","",B$7&amp;"-"&amp;B$8)</f>
        <v/>
      </c>
      <c r="M453" s="52" t="str">
        <f t="shared" si="170"/>
        <v/>
      </c>
    </row>
    <row r="454" spans="1:13" x14ac:dyDescent="0.35">
      <c r="A454" s="48"/>
      <c r="B454" s="48"/>
      <c r="C454" s="50"/>
      <c r="D454" s="50"/>
      <c r="E454" s="51" t="str">
        <f t="shared" si="168"/>
        <v/>
      </c>
      <c r="F454" s="71" t="str">
        <f t="shared" si="166"/>
        <v/>
      </c>
      <c r="G454" s="69" t="str">
        <f t="shared" si="169"/>
        <v/>
      </c>
      <c r="H454" s="70" t="str">
        <f t="shared" si="167"/>
        <v/>
      </c>
      <c r="I454" s="27" t="str">
        <f>IF(N(J454)=0,"",0&amp;"-"&amp;B$9)</f>
        <v/>
      </c>
      <c r="J454" s="52" t="str">
        <f>IF(N(B$9)=0,"",IF(AND(COUNT(H447:H458)=2,COUNT(F447:F458)=2),cubic_spline(F446:F448,H446:H448,B$9),IF(AND(COUNT(H447:H458)=3,COUNT(F447:F458)=3),cubic_spline(F446:F449,H446:H449,B$9),IF(AND(COUNT(H447:H458)=4,COUNT(F447:F458)=4),cubic_spline(F446:F450,H446:H450,B$9),IF(AND(COUNT(H447:H458)=5,COUNT(F447:F458)=5),cubic_spline(F446:F451,H446:H451,B$9),IF(AND(COUNT(H447:H458)=6,COUNT(F447:F458)=6),cubic_spline(F446:F452,H446:H452,B$9),IF(AND(COUNT(H447:H458)=7,COUNT(F447:F458)=7),cubic_spline(F446:F453,H446:H453,B$9),IF(AND(COUNT(H447:H458)=8,COUNT(F447:F458)=8),cubic_spline(F446:F454,H446:H454,B$9),IF(AND(COUNT(H447:H458)=9,COUNT(F447:F458)=9),cubic_spline(F446:F455,H446:H455,B$9),IF(AND(COUNT(H447:H458)=10,COUNT(F447:F458)=10),cubic_spline(F446:F456,H446:H456,B$9),IF(AND(COUNT(H447:H458)=11,COUNT(F447:F458)=11),cubic_spline(F446:F457,H446:H457,B$9),IF(AND(COUNT(H447:H458)=12,COUNT(F447:F458)=12),cubic_spline(F446:F458,H446:H458,B$9),""))))))))))))</f>
        <v/>
      </c>
      <c r="K454" s="52" t="str">
        <f>IF(N(B$9)=0,"",IF(AND(COUNT(A447:A458)=2,COUNT(F447:F458)=2),cubic_spline(F446:F448,A446:A448,B$9),IF(AND(COUNT(A447:A458)=3,COUNT(F447:F458)=3),cubic_spline(F446:F449,A446:A449,B$9),IF(AND(COUNT(A447:A458)=4,COUNT(F447:F458)=4),cubic_spline(F446:F450,A446:A450,B$9),IF(AND(COUNT(A447:A458)=5,COUNT(F447:F458)=5),cubic_spline(F446:F451,A446:A451,B$9),IF(AND(COUNT(A447:A458)=6,COUNT(F447:F458)=6),cubic_spline(F446:F452,A446:A452,B$9),IF(AND(COUNT(A447:A458)=7,COUNT(F447:F458)=7),cubic_spline(F446:F453,A446:A453,B$9),IF(AND(COUNT(A447:A458)=8,COUNT(F447:F458)=8),cubic_spline(F446:F454,A446:A454,B$9),IF(AND(COUNT(A447:A458)=9,COUNT(F447:F458)=9),cubic_spline(F446:F455,A446:A455,B$9),IF(AND(COUNT(A447:A458)=10,COUNT(F447:F458)=10),cubic_spline(F446:F456,A446:A456,B$9),IF(AND(COUNT(A447:A458)=11,COUNT(F447:F458)=11),cubic_spline(F446:F457,A446:A457,B$9),IF(AND(COUNT(A447:A458)=12,COUNT(F447:F458)=12),cubic_spline(F446:F458,A446:A458,B$9),""))))))))))))</f>
        <v/>
      </c>
      <c r="L454" s="27" t="str">
        <f>IF(I454="","",B$8&amp;"-"&amp;B$9)</f>
        <v/>
      </c>
      <c r="M454" s="52" t="str">
        <f t="shared" si="170"/>
        <v/>
      </c>
    </row>
    <row r="455" spans="1:13" x14ac:dyDescent="0.35">
      <c r="A455" s="48"/>
      <c r="B455" s="48"/>
      <c r="C455" s="50"/>
      <c r="D455" s="50"/>
      <c r="E455" s="51" t="str">
        <f t="shared" si="168"/>
        <v/>
      </c>
      <c r="F455" s="71" t="str">
        <f t="shared" si="166"/>
        <v/>
      </c>
      <c r="G455" s="69" t="str">
        <f t="shared" si="169"/>
        <v/>
      </c>
      <c r="H455" s="70" t="str">
        <f t="shared" si="167"/>
        <v/>
      </c>
      <c r="I455" s="27" t="str">
        <f>IF(N(J455)=0,"",0&amp;"-"&amp;B$10)</f>
        <v/>
      </c>
      <c r="J455" s="52" t="str">
        <f>IF(N(B$10)=0,"",IF(AND(COUNT(H447:H458)=2,COUNT(F447:F458)=2),cubic_spline(F446:F448,H446:H448,B$10),IF(AND(COUNT(H447:H458)=3,COUNT(F447:F458)=3),cubic_spline(F446:F449,H446:H449,B$10),IF(AND(COUNT(H447:H458)=4,COUNT(F447:F458)=4),cubic_spline(F446:F450,H446:H450,B$10),IF(AND(COUNT(H447:H458)=5,COUNT(F447:F458)=5),cubic_spline(F446:F451,H446:H451,B$10),IF(AND(COUNT(H447:H458)=6,COUNT(F447:F458)=6),cubic_spline(F446:F452,H446:H452,B$10),IF(AND(COUNT(H447:H458)=7,COUNT(F447:F458)=7),cubic_spline(F446:F453,H446:H453,B$10),IF(AND(COUNT(H447:H458)=8,COUNT(F447:F458)=8),cubic_spline(F446:F454,H446:H454,B$10),IF(AND(COUNT(H447:H458)=9,COUNT(F447:F458)=9),cubic_spline(F446:F455,H446:H455,B$10),IF(AND(COUNT(H447:H458)=10,COUNT(F447:F458)=10),cubic_spline(F446:F456,H446:H456,B$10),IF(AND(COUNT(H447:H458)=11,COUNT(F447:F458)=11),cubic_spline(F446:F457,H446:H457,B$10),IF(AND(COUNT(H447:H458)=12,COUNT(F447:F458)=12),cubic_spline(F446:F458,H446:H458,B$10),""))))))))))))</f>
        <v/>
      </c>
      <c r="K455" s="52" t="str">
        <f>IF(N(B$10)=0,"",IF(AND(COUNT(A447:A458)=2,COUNT(F447:F458)=2),cubic_spline(F446:F448,A446:A448,B$10),IF(AND(COUNT(A447:A458)=3,COUNT(F447:F458)=3),cubic_spline(F446:F449,A446:A449,B$10),IF(AND(COUNT(A447:A458)=4,COUNT(F447:F458)=4),cubic_spline(F446:F450,A446:A450,B$10),IF(AND(COUNT(A447:A458)=5,COUNT(F447:F458)=5),cubic_spline(F446:F451,A446:A451,B$10),IF(AND(COUNT(A447:A458)=6,COUNT(F447:F458)=6),cubic_spline(F446:F452,A446:A452,B$10),IF(AND(COUNT(A447:A458)=7,COUNT(F447:F458)=7),cubic_spline(F446:F453,A446:A453,B$10),IF(AND(COUNT(A447:A458)=8,COUNT(F447:F458)=8),cubic_spline(F446:F454,A446:A454,B$10),IF(AND(COUNT(A447:A458)=9,COUNT(F447:F458)=9),cubic_spline(F446:F455,A446:A455,B$10),IF(AND(COUNT(A447:A458)=10,COUNT(F447:F458)=10),cubic_spline(F446:F456,A446:A456,B$10),IF(AND(COUNT(A447:A458)=11,COUNT(F447:F458)=11),cubic_spline(F446:F457,A446:A457,B$10),IF(AND(COUNT(A447:A458)=12,COUNT(F447:F458)=12),cubic_spline(F446:F458,A446:A458,B$10),""))))))))))))</f>
        <v/>
      </c>
      <c r="L455" s="27" t="str">
        <f>IF(I455="","",B$9&amp;"-"&amp;B$10)</f>
        <v/>
      </c>
      <c r="M455" s="52" t="str">
        <f t="shared" si="170"/>
        <v/>
      </c>
    </row>
    <row r="456" spans="1:13" x14ac:dyDescent="0.35">
      <c r="A456" s="48"/>
      <c r="B456" s="48"/>
      <c r="C456" s="50"/>
      <c r="D456" s="50"/>
      <c r="E456" s="51" t="str">
        <f t="shared" si="168"/>
        <v/>
      </c>
      <c r="F456" s="71" t="str">
        <f t="shared" si="166"/>
        <v/>
      </c>
      <c r="G456" s="69" t="str">
        <f t="shared" si="169"/>
        <v/>
      </c>
      <c r="H456" s="70" t="str">
        <f t="shared" si="167"/>
        <v/>
      </c>
      <c r="I456" s="27" t="str">
        <f>IF(N(J456)=0,"",0&amp;"-"&amp;B$11)</f>
        <v/>
      </c>
      <c r="J456" s="52" t="str">
        <f>IF(N(B$11)=0,"",IF(AND(COUNT(H447:H458)=2,COUNT(F447:F458)=2),cubic_spline(F446:F448,H446:H448,B$11),IF(AND(COUNT(H447:H458)=3,COUNT(F447:F458)=3),cubic_spline(F446:F449,H446:H449,B$11),IF(AND(COUNT(H447:H458)=4,COUNT(F447:F458)=4),cubic_spline(F446:F450,H446:H450,B$11),IF(AND(COUNT(H447:H458)=5,COUNT(F447:F458)=5),cubic_spline(F446:F451,H446:H451,B$11),IF(AND(COUNT(H447:H458)=6,COUNT(F447:F458)=6),cubic_spline(F446:F452,H446:H452,B$11),IF(AND(COUNT(H447:H458)=7,COUNT(F447:F458)=7),cubic_spline(F446:F453,H446:H453,B$11),IF(AND(COUNT(H447:H458)=8,COUNT(F447:F458)=8),cubic_spline(F446:F454,H446:H454,B$11),IF(AND(COUNT(H447:H458)=9,COUNT(F447:F458)=9),cubic_spline(F446:F455,H446:H455,B$11),IF(AND(COUNT(H447:H458)=10,COUNT(F447:F458)=10),cubic_spline(F446:F456,H446:H456,B$11),IF(AND(COUNT(H447:H458)=11,COUNT(F447:F458)=11),cubic_spline(F446:F457,H446:H457,B$11),IF(AND(COUNT(H447:H458)=12,COUNT(F447:F458)=12),cubic_spline(F446:F458,H446:H458,B$11),""))))))))))))</f>
        <v/>
      </c>
      <c r="K456" s="52" t="str">
        <f>IF(N(B$11)=0,"",IF(AND(COUNT(A447:A458)=2,COUNT(F447:F458)=2),cubic_spline(F446:F448,A446:A448,B$11),IF(AND(COUNT(A447:A458)=3,COUNT(F447:F458)=3),cubic_spline(F446:F449,A446:A449,B$11),IF(AND(COUNT(A447:A458)=4,COUNT(F447:F458)=4),cubic_spline(F446:F450,A446:A450,B$11),IF(AND(COUNT(A447:A458)=5,COUNT(F447:F458)=5),cubic_spline(F446:F451,A446:A451,B$11),IF(AND(COUNT(A447:A458)=6,COUNT(F447:F458)=6),cubic_spline(F446:F452,A446:A452,B$11),IF(AND(COUNT(A447:A458)=7,COUNT(F447:F458)=7),cubic_spline(F446:F453,A446:A453,B$11),IF(AND(COUNT(A447:A458)=8,COUNT(F447:F458)=8),cubic_spline(F446:F454,A446:A454,B$11),IF(AND(COUNT(A447:A458)=9,COUNT(F447:F458)=9),cubic_spline(F446:F455,A446:A455,B$11),IF(AND(COUNT(A447:A458)=10,COUNT(F447:F458)=10),cubic_spline(F446:F456,A446:A456,B$11),IF(AND(COUNT(A447:A458)=11,COUNT(F447:F458)=11),cubic_spline(F446:F457,A446:A457,B$11),IF(AND(COUNT(A447:A458)=12,COUNT(F447:F458)=12),cubic_spline(F446:F458,A446:A458,B$11),""))))))))))))</f>
        <v/>
      </c>
      <c r="L456" s="27" t="str">
        <f>IF(I456="","",B$10&amp;"-"&amp;B$11)</f>
        <v/>
      </c>
      <c r="M456" s="52" t="str">
        <f t="shared" si="170"/>
        <v/>
      </c>
    </row>
    <row r="457" spans="1:13" x14ac:dyDescent="0.35">
      <c r="A457" s="48"/>
      <c r="B457" s="48"/>
      <c r="C457" s="50"/>
      <c r="D457" s="50"/>
      <c r="E457" s="51" t="str">
        <f t="shared" si="168"/>
        <v/>
      </c>
      <c r="F457" s="71" t="str">
        <f t="shared" si="166"/>
        <v/>
      </c>
      <c r="G457" s="69" t="str">
        <f t="shared" si="169"/>
        <v/>
      </c>
      <c r="H457" s="70" t="str">
        <f t="shared" si="167"/>
        <v/>
      </c>
      <c r="I457" s="27" t="str">
        <f>IF(N(J457)=0,"",0&amp;"-"&amp;B$12)</f>
        <v/>
      </c>
      <c r="J457" s="52" t="str">
        <f>IF(N(B$12)=0,"",IF(AND(COUNT(H447:H458)=2,COUNT(F447:F458)=2),cubic_spline(F446:F448,H446:H448,B$12),IF(AND(COUNT(H447:H458)=3,COUNT(F447:F458)=3),cubic_spline(F446:F449,H446:H449,B$12),IF(AND(COUNT(H447:H458)=4,COUNT(F447:F458)=4),cubic_spline(F446:F450,H446:H450,B$12),IF(AND(COUNT(H447:H458)=5,COUNT(F447:F458)=5),cubic_spline(F446:F451,H446:H451,B$12),IF(AND(COUNT(H447:H458)=6,COUNT(F447:F458)=6),cubic_spline(F446:F452,H446:H452,B$12),IF(AND(COUNT(H447:H458)=7,COUNT(F447:F458)=7),cubic_spline(F446:F453,H446:H453,B$12),IF(AND(COUNT(H447:H458)=8,COUNT(F447:F458)=8),cubic_spline(F446:F454,H446:H454,B$12),IF(AND(COUNT(H447:H458)=9,COUNT(F447:F458)=9),cubic_spline(F446:F455,H446:H455,B$12),IF(AND(COUNT(H447:H458)=10,COUNT(F447:F458)=10),cubic_spline(F446:F456,H446:H456,B$12),IF(AND(COUNT(H447:H458)=11,COUNT(F447:F458)=11),cubic_spline(F446:F457,H446:H457,B$12),IF(AND(COUNT(H447:H458)=12,COUNT(F447:F458)=12),cubic_spline(F446:F458,H446:H458,B$12),""))))))))))))</f>
        <v/>
      </c>
      <c r="K457" s="52" t="str">
        <f>IF(N(B$12)=0,"",IF(AND(COUNT(A447:A458)=2,COUNT(F447:F458)=2),cubic_spline(F446:F448,A446:A448,B$12),IF(AND(COUNT(A447:A458)=3,COUNT(F447:F458)=3),cubic_spline(F446:F449,A446:A449,B$12),IF(AND(COUNT(A447:A458)=4,COUNT(F447:F458)=4),cubic_spline(F446:F450,A446:A450,B$12),IF(AND(COUNT(A447:A458)=5,COUNT(F447:F458)=5),cubic_spline(F446:F451,A446:A451,B$12),IF(AND(COUNT(A447:A458)=6,COUNT(F447:F458)=6),cubic_spline(F446:F452,A446:A452,B$12),IF(AND(COUNT(A447:A458)=7,COUNT(F447:F458)=7),cubic_spline(F446:F453,A446:A453,B$12),IF(AND(COUNT(A447:A458)=8,COUNT(F447:F458)=8),cubic_spline(F446:F454,A446:A454,B$12),IF(AND(COUNT(A447:A458)=9,COUNT(F447:F458)=9),cubic_spline(F446:F455,A446:A455,B$12),IF(AND(COUNT(A447:A458)=10,COUNT(F447:F458)=10),cubic_spline(F446:F456,A446:A456,B$12),IF(AND(COUNT(A447:A458)=11,COUNT(F447:F458)=11),cubic_spline(F446:F457,A446:A457,B$12),IF(AND(COUNT(A447:A458)=12,COUNT(F447:F458)=12),cubic_spline(F446:F458,A446:A458,B$12),""))))))))))))</f>
        <v/>
      </c>
      <c r="L457" s="27" t="str">
        <f>IF(I457="","",B$11&amp;"-"&amp;B$12)</f>
        <v/>
      </c>
      <c r="M457" s="52" t="str">
        <f t="shared" si="170"/>
        <v/>
      </c>
    </row>
    <row r="458" spans="1:13" x14ac:dyDescent="0.35">
      <c r="A458" s="48"/>
      <c r="B458" s="48"/>
      <c r="C458" s="50"/>
      <c r="D458" s="50"/>
      <c r="E458" s="51" t="str">
        <f t="shared" si="168"/>
        <v/>
      </c>
      <c r="F458" s="71" t="str">
        <f t="shared" si="166"/>
        <v/>
      </c>
      <c r="G458" s="69" t="str">
        <f t="shared" si="169"/>
        <v/>
      </c>
      <c r="H458" s="70" t="str">
        <f t="shared" si="167"/>
        <v/>
      </c>
      <c r="I458" s="27" t="str">
        <f>IF(N(J458)=0,"",0&amp;"-"&amp;B$13)</f>
        <v/>
      </c>
      <c r="J458" s="52" t="str">
        <f>IF(N(B$13)=0,"",IF(AND(COUNT(H447:H458)=2,COUNT(F447:F458)=2),cubic_spline(F446:F448,H446:H448,B$13),IF(AND(COUNT(H447:H458)=3,COUNT(F447:F458)=3),cubic_spline(F446:F449,H446:H449,B$13),IF(AND(COUNT(H447:H458)=4,COUNT(F447:F458)=4),cubic_spline(F446:F450,H446:H450,B$13),IF(AND(COUNT(H447:H458)=5,COUNT(F447:F458)=5),cubic_spline(F446:F451,H446:H451,B$13),IF(AND(COUNT(H447:H458)=6,COUNT(F447:F458)=6),cubic_spline(F446:F452,H446:H452,B$13),IF(AND(COUNT(H447:H458)=7,COUNT(F447:F458)=7),cubic_spline(F446:F453,H446:H453,B$13),IF(AND(COUNT(H447:H458)=8,COUNT(F447:F458)=8),cubic_spline(F446:F454,H446:H454,B$13),IF(AND(COUNT(H447:H458)=9,COUNT(F447:F458)=9),cubic_spline(F446:F455,H446:H455,B$13),IF(AND(COUNT(H447:H458)=10,COUNT(F447:F458)=10),cubic_spline(F446:F456,H446:H456,B$13),IF(AND(COUNT(H447:H458)=11,COUNT(F447:F458)=11),cubic_spline(F446:F457,H446:H457,B$13),IF(AND(COUNT(H447:H458)=12,COUNT(F447:F458)=12),cubic_spline(F446:F458,H446:H458,B$13),""))))))))))))</f>
        <v/>
      </c>
      <c r="K458" s="52" t="str">
        <f>IF(N(B$13)=0,"",IF(AND(COUNT(A447:A458)=2,COUNT(F447:F458)=2),cubic_spline(F446:F448,A446:A448,B$13),IF(AND(COUNT(A447:A458)=3,COUNT(F447:F458)=3),cubic_spline(F446:F449,A446:A449,B$13),IF(AND(COUNT(A447:A458)=4,COUNT(F447:F458)=4),cubic_spline(F446:F450,A446:A450,B$13),IF(AND(COUNT(A447:A458)=5,COUNT(F447:F458)=5),cubic_spline(F446:F451,A446:A451,B$13),IF(AND(COUNT(A447:A458)=6,COUNT(F447:F458)=6),cubic_spline(F446:F452,A446:A452,B$13),IF(AND(COUNT(A447:A458)=7,COUNT(F447:F458)=7),cubic_spline(F446:F453,A446:A453,B$13),IF(AND(COUNT(A447:A458)=8,COUNT(F447:F458)=8),cubic_spline(F446:F454,A446:A454,B$13),IF(AND(COUNT(A447:A458)=9,COUNT(F447:F458)=9),cubic_spline(F446:F455,A446:A455,B$13),IF(AND(COUNT(A447:A458)=10,COUNT(F447:F458)=10),cubic_spline(F446:F456,A446:A456,B$13),IF(AND(COUNT(A447:A458)=11,COUNT(F447:F458)=11),cubic_spline(F446:F457,A446:A457,B$13),IF(AND(COUNT(A447:A458)=12,COUNT(F447:F458)=12),cubic_spline(F446:F458,A446:A458,B$13),""))))))))))))</f>
        <v/>
      </c>
      <c r="L458" s="27" t="str">
        <f>IF(I458="","",B$12&amp;"-"&amp;B$13)</f>
        <v/>
      </c>
      <c r="M458" s="52" t="str">
        <f t="shared" si="170"/>
        <v/>
      </c>
    </row>
    <row r="459" spans="1:13" ht="5.15" customHeight="1" x14ac:dyDescent="0.35">
      <c r="A459" s="47"/>
      <c r="B459" s="47"/>
      <c r="C459" s="53"/>
      <c r="D459" s="53"/>
      <c r="E459" s="54"/>
      <c r="F459" s="55"/>
      <c r="G459" s="72"/>
      <c r="H459" s="73"/>
      <c r="I459" s="47"/>
      <c r="J459" s="57"/>
      <c r="K459" s="57"/>
      <c r="L459" s="55"/>
      <c r="M459" s="57"/>
    </row>
    <row r="460" spans="1:13" x14ac:dyDescent="0.35">
      <c r="A460" s="48"/>
      <c r="B460" s="48"/>
      <c r="C460" s="50"/>
      <c r="D460" s="50"/>
      <c r="E460" s="51" t="str">
        <f>IF(N(C460)=0,"",(A460-A459)*C460*100)</f>
        <v/>
      </c>
      <c r="F460" s="68" t="str">
        <f t="shared" ref="F460:F471" si="171">IF(N(E460)=0,"",(N(E460)+N(F459)))</f>
        <v/>
      </c>
      <c r="G460" s="69" t="str">
        <f>IF(OR(N(D460)=0,N(E460)=0),"",(E460*D460)/1000)</f>
        <v/>
      </c>
      <c r="H460" s="70" t="str">
        <f t="shared" ref="H460:H471" si="172">IF(N(G460)=0,"",(N(G460)+N(H459)))</f>
        <v/>
      </c>
      <c r="I460" s="27" t="str">
        <f>IF(N(J460)=0,"",0&amp;"-"&amp;B$2)</f>
        <v/>
      </c>
      <c r="J460" s="52" t="str">
        <f>IF(N(B$2)=0,"",IF(AND(COUNT(H460:H471)=2,COUNT(F460:F471)=2),cubic_spline(F459:F461,H459:H461,B$2),IF(AND(COUNT(H460:H471)=3,COUNT(F460:F471)=3),cubic_spline(F459:F462,H459:H462,B$2),IF(AND(COUNT(H460:H471)=4,COUNT(F460:F471)=4),cubic_spline(F459:F463,H459:H463,B$2),IF(AND(COUNT(H460:H471)=5,COUNT(F460:F471)=5),cubic_spline(F459:F464,H459:H464,B$2),IF(AND(COUNT(H460:H471)=6,COUNT(F460:F471)=6),cubic_spline(F459:F465,H459:H465,B$2),IF(AND(COUNT(H460:H471)=7,COUNT(F460:F471)=7),cubic_spline(F459:F466,H459:H466,B$2),IF(AND(COUNT(H460:H471)=8,COUNT(F460:F471)=8),cubic_spline(F459:F467,H459:H467,B$2),IF(AND(COUNT(H460:H471)=9,COUNT(F460:F471)=9),cubic_spline(F459:F468,H459:H468,B$2),IF(AND(COUNT(H460:H471)=10,COUNT(F460:F471)=10),cubic_spline(F459:F469,H459:H469,B$2),IF(AND(COUNT(H460:H471)=11,COUNT(F460:F471)=11),cubic_spline(F459:F470,H459:H470,B$2),IF(AND(COUNT(H460:H471)=12,COUNT(F460:F471)=12),cubic_spline(F459:F471,H459:H471,B$2),""))))))))))))</f>
        <v/>
      </c>
      <c r="K460" s="52" t="str">
        <f>IF(N(B$2)=0,"",IF(AND(COUNT(A460:A471)=2,COUNT(F460:F471)=2),cubic_spline(F459:F461,A459:A461,B$2),IF(AND(COUNT(A460:A471)=3,COUNT(F460:F471)=3),cubic_spline(F459:F462,A459:A462,B$2),IF(AND(COUNT(A460:A471)=4,COUNT(F460:F471)=4),cubic_spline(F459:F463,A459:A463,B$2),IF(AND(COUNT(A460:A471)=5,COUNT(F460:F471)=5),cubic_spline(F459:F464,A459:A464,B$2),IF(AND(COUNT(A460:A471)=6,COUNT(F460:F471)=6),cubic_spline(F459:F465,A459:A465,B$2),IF(AND(COUNT(A460:A471)=7,COUNT(F460:F471)=7),cubic_spline(F459:F466,A459:A466,B$2),IF(AND(COUNT(A460:A471)=8,COUNT(F460:F471)=8),cubic_spline(F459:F467,A459:A467,B$2),IF(AND(COUNT(A460:A471)=9,COUNT(F460:F471)=9),cubic_spline(F459:F468,A459:A468,B$2),IF(AND(COUNT(A460:A471)=10,COUNT(F460:F471)=10),cubic_spline(F459:F469,A459:A469,B$2),IF(AND(COUNT(A460:A471)=11,COUNT(F460:F471)=11),cubic_spline(F459:F470,A459:A470,B$2),IF(AND(COUNT(A460:A471)=12,COUNT(F460:F471)=12),cubic_spline(F459:F471,A459:A471,B$2),""))))))))))))</f>
        <v/>
      </c>
      <c r="L460" s="27" t="str">
        <f>IF(I460="","",0&amp;"-"&amp;B$2)</f>
        <v/>
      </c>
      <c r="M460" s="52" t="str">
        <f>IF(N(J460)=0,"",J460-J459)</f>
        <v/>
      </c>
    </row>
    <row r="461" spans="1:13" x14ac:dyDescent="0.35">
      <c r="A461" s="48"/>
      <c r="B461" s="48"/>
      <c r="C461" s="50"/>
      <c r="D461" s="50"/>
      <c r="E461" s="51" t="str">
        <f t="shared" ref="E461:E471" si="173">IF(N(C461)=0,"",(A461-A460)*C461*100)</f>
        <v/>
      </c>
      <c r="F461" s="68" t="str">
        <f t="shared" si="171"/>
        <v/>
      </c>
      <c r="G461" s="69" t="str">
        <f t="shared" ref="G461:G471" si="174">IF(OR(N(D461)=0,N(E461)=0),"",(E461*D461)/1000)</f>
        <v/>
      </c>
      <c r="H461" s="70" t="str">
        <f t="shared" si="172"/>
        <v/>
      </c>
      <c r="I461" s="27" t="str">
        <f>IF(N(J461)=0,"",0&amp;"-"&amp;B$3)</f>
        <v/>
      </c>
      <c r="J461" s="52" t="str">
        <f>IF(N(B$3)=0,"",IF(AND(COUNT(H460:H471)=2,COUNT(F460:F471)=2),cubic_spline(F459:F461,H459:H461,B$3),IF(AND(COUNT(H460:H471)=3,COUNT(F460:F471)=3),cubic_spline(F459:F462,H459:H462,B$3),IF(AND(COUNT(H460:H471)=4,COUNT(F460:F471)=4),cubic_spline(F459:F463,H459:H463,B$3),IF(AND(COUNT(H460:H471)=5,COUNT(F460:F471)=5),cubic_spline(F459:F464,H459:H464,B$3),IF(AND(COUNT(H460:H471)=6,COUNT(F460:F471)=6),cubic_spline(F459:F465,H459:H465,B$3),IF(AND(COUNT(H460:H471)=7,COUNT(F460:F471)=7),cubic_spline(F459:F466,H459:H466,B$3),IF(AND(COUNT(H460:H471)=8,COUNT(F460:F471)=8),cubic_spline(F459:F467,H459:H467,B$3),IF(AND(COUNT(H460:H471)=9,COUNT(F460:F471)=9),cubic_spline(F459:F468,H459:H468,B$3),IF(AND(COUNT(H460:H471)=10,COUNT(F460:F471)=10),cubic_spline(F459:F469,H459:H469,B$3),IF(AND(COUNT(H460:H471)=11,COUNT(F460:F471)=11),cubic_spline(F459:F470,H459:H470,B$3),IF(AND(COUNT(H460:H471)=12,COUNT(F460:F471)=12),cubic_spline(F459:F471,H459:H471,B$3),""))))))))))))</f>
        <v/>
      </c>
      <c r="K461" s="52" t="str">
        <f>IF(N(B$3)=0,"",IF(AND(COUNT(A460:A471)=2,COUNT(F460:F471)=2),cubic_spline(F459:F461,A459:A461,B$3),IF(AND(COUNT(A460:A471)=3,COUNT(F460:F471)=3),cubic_spline(F459:F462,A459:A462,B$3),IF(AND(COUNT(A460:A471)=4,COUNT(F460:F471)=4),cubic_spline(F459:F463,A459:A463,B$3),IF(AND(COUNT(A460:A471)=5,COUNT(F460:F471)=5),cubic_spline(F459:F464,A459:A464,B$3),IF(AND(COUNT(A460:A471)=6,COUNT(F460:F471)=6),cubic_spline(F459:F465,A459:A465,B$3),IF(AND(COUNT(A460:A471)=7,COUNT(F460:F471)=7),cubic_spline(F459:F466,A459:A466,B$3),IF(AND(COUNT(A460:A471)=8,COUNT(F460:F471)=8),cubic_spline(F459:F467,A459:A467,B$3),IF(AND(COUNT(A460:A471)=9,COUNT(F460:F471)=9),cubic_spline(F459:F468,A459:A468,B$3),IF(AND(COUNT(A460:A471)=10,COUNT(F460:F471)=10),cubic_spline(F459:F469,A459:A469,B$3),IF(AND(COUNT(A460:A471)=11,COUNT(F460:F471)=11),cubic_spline(F459:F470,A459:A470,B$3),IF(AND(COUNT(A460:A471)=12,COUNT(F460:F471)=12),cubic_spline(F459:F471,A459:A471,B$3),""))))))))))))</f>
        <v/>
      </c>
      <c r="L461" s="27" t="str">
        <f>IF(I461="","",B$2&amp;"-"&amp;B$3)</f>
        <v/>
      </c>
      <c r="M461" s="52" t="str">
        <f>IF(N(J461)=0,"",J461-J460)</f>
        <v/>
      </c>
    </row>
    <row r="462" spans="1:13" x14ac:dyDescent="0.35">
      <c r="A462" s="48"/>
      <c r="B462" s="48"/>
      <c r="C462" s="50"/>
      <c r="D462" s="50"/>
      <c r="E462" s="51" t="str">
        <f t="shared" si="173"/>
        <v/>
      </c>
      <c r="F462" s="68" t="str">
        <f t="shared" si="171"/>
        <v/>
      </c>
      <c r="G462" s="69" t="str">
        <f t="shared" si="174"/>
        <v/>
      </c>
      <c r="H462" s="70" t="str">
        <f t="shared" si="172"/>
        <v/>
      </c>
      <c r="I462" s="27" t="str">
        <f>IF(N(J462)=0,"",0&amp;"-"&amp;B$4)</f>
        <v/>
      </c>
      <c r="J462" s="52" t="str">
        <f>IF(N(B$4)=0,"",IF(AND(COUNT(H460:H471)=2,COUNT(F460:F471)=2),cubic_spline(F459:F461,H459:H461,B$4),IF(AND(COUNT(H460:H471)=3,COUNT(F460:F471)=3),cubic_spline(F459:F462,H459:H462,B$4),IF(AND(COUNT(H460:H471)=4,COUNT(F460:F471)=4),cubic_spline(F459:F463,H459:H463,B$4),IF(AND(COUNT(H460:H471)=5,COUNT(F460:F471)=5),cubic_spline(F459:F464,H459:H464,B$4),IF(AND(COUNT(H460:H471)=6,COUNT(F460:F471)=6),cubic_spline(F459:F465,H459:H465,B$4),IF(AND(COUNT(H460:H471)=7,COUNT(F460:F471)=7),cubic_spline(F459:F466,H459:H466,B$4),IF(AND(COUNT(H460:H471)=8,COUNT(F460:F471)=8),cubic_spline(F459:F467,H459:H467,B$4),IF(AND(COUNT(H460:H471)=9,COUNT(F460:F471)=9),cubic_spline(F459:F468,H459:H468,B$4),IF(AND(COUNT(H460:H471)=10,COUNT(F460:F471)=10),cubic_spline(F459:F469,H459:H469,B$4),IF(AND(COUNT(H460:H471)=11,COUNT(F460:F471)=11),cubic_spline(F459:F470,H459:H470,B$4),IF(AND(COUNT(H460:H471)=12,COUNT(F460:F471)=12),cubic_spline(F459:F471,H459:H471,B$4),""))))))))))))</f>
        <v/>
      </c>
      <c r="K462" s="52" t="str">
        <f>IF(N(B$4)=0,"",IF(AND(COUNT(A460:A471)=2,COUNT(F460:F471)=2),cubic_spline(F459:F461,A459:A461,B$4),IF(AND(COUNT(A460:A471)=3,COUNT(F460:F471)=3),cubic_spline(F459:F462,A459:A462,B$4),IF(AND(COUNT(A460:A471)=4,COUNT(F460:F471)=4),cubic_spline(F459:F463,A459:A463,B$4),IF(AND(COUNT(A460:A471)=5,COUNT(F460:F471)=5),cubic_spline(F459:F464,A459:A464,B$4),IF(AND(COUNT(A460:A471)=6,COUNT(F460:F471)=6),cubic_spline(F459:F465,A459:A465,B$4),IF(AND(COUNT(A460:A471)=7,COUNT(F460:F471)=7),cubic_spline(F459:F466,A459:A466,B$4),IF(AND(COUNT(A460:A471)=8,COUNT(F460:F471)=8),cubic_spline(F459:F467,A459:A467,B$4),IF(AND(COUNT(A460:A471)=9,COUNT(F460:F471)=9),cubic_spline(F459:F468,A459:A468,B$4),IF(AND(COUNT(A460:A471)=10,COUNT(F460:F471)=10),cubic_spline(F459:F469,A459:A469,B$4),IF(AND(COUNT(A460:A471)=11,COUNT(F460:F471)=11),cubic_spline(F459:F470,A459:A470,B$4),IF(AND(COUNT(A460:A471)=12,COUNT(F460:F471)=12),cubic_spline(F459:F471,A459:A471,B$4),""))))))))))))</f>
        <v/>
      </c>
      <c r="L462" s="27" t="str">
        <f>IF(I462="","",B$3&amp;"-"&amp;B$4)</f>
        <v/>
      </c>
      <c r="M462" s="52" t="str">
        <f>IF(N(J462)=0,"",J462-J461)</f>
        <v/>
      </c>
    </row>
    <row r="463" spans="1:13" x14ac:dyDescent="0.35">
      <c r="A463" s="48"/>
      <c r="B463" s="48"/>
      <c r="C463" s="50"/>
      <c r="D463" s="50"/>
      <c r="E463" s="51" t="str">
        <f t="shared" si="173"/>
        <v/>
      </c>
      <c r="F463" s="68" t="str">
        <f t="shared" si="171"/>
        <v/>
      </c>
      <c r="G463" s="69" t="str">
        <f t="shared" si="174"/>
        <v/>
      </c>
      <c r="H463" s="70" t="str">
        <f t="shared" si="172"/>
        <v/>
      </c>
      <c r="I463" s="27" t="str">
        <f>IF(N(J463)=0,"",0&amp;"-"&amp;B$5)</f>
        <v/>
      </c>
      <c r="J463" s="52" t="str">
        <f>IF(N(B$5)=0,"",IF(AND(COUNT(H460:H471)=2,COUNT(F460:F471)=2),cubic_spline(F459:F461,H459:H461,B$5),IF(AND(COUNT(H460:H471)=3,COUNT(F460:F471)=3),cubic_spline(F459:F462,H459:H462,B$5),IF(AND(COUNT(H460:H471)=4,COUNT(F460:F471)=4),cubic_spline(F459:F463,H459:H463,B$5),IF(AND(COUNT(H460:H471)=5,COUNT(F460:F471)=5),cubic_spline(F459:F464,H459:H464,B$5),IF(AND(COUNT(H460:H471)=6,COUNT(F460:F471)=6),cubic_spline(F459:F465,H459:H465,B$5),IF(AND(COUNT(H460:H471)=7,COUNT(F460:F471)=7),cubic_spline(F459:F466,H459:H466,B$5),IF(AND(COUNT(H460:H471)=8,COUNT(F460:F471)=8),cubic_spline(F459:F467,H459:H467,B$5),IF(AND(COUNT(H460:H471)=9,COUNT(F460:F471)=9),cubic_spline(F459:F468,H459:H468,B$5),IF(AND(COUNT(H460:H471)=10,COUNT(F460:F471)=10),cubic_spline(F459:F469,H459:H469,B$5),IF(AND(COUNT(H460:H471)=11,COUNT(F460:F471)=11),cubic_spline(F459:F470,H459:H470,B$5),IF(AND(COUNT(H460:H471)=12,COUNT(F460:F471)=12),cubic_spline(F459:F471,H459:H471,B$5),""))))))))))))</f>
        <v/>
      </c>
      <c r="K463" s="52" t="str">
        <f>IF(N(B$5)=0,"",IF(AND(COUNT(A460:A471)=2,COUNT(F460:F471)=2),cubic_spline(F459:F461,A459:A461,B$5),IF(AND(COUNT(A460:A471)=3,COUNT(F460:F471)=3),cubic_spline(F459:F462,A459:A462,B$5),IF(AND(COUNT(A460:A471)=4,COUNT(F460:F471)=4),cubic_spline(F459:F463,A459:A463,B$5),IF(AND(COUNT(A460:A471)=5,COUNT(F460:F471)=5),cubic_spline(F459:F464,A459:A464,B$5),IF(AND(COUNT(A460:A471)=6,COUNT(F460:F471)=6),cubic_spline(F459:F465,A459:A465,B$5),IF(AND(COUNT(A460:A471)=7,COUNT(F460:F471)=7),cubic_spline(F459:F466,A459:A466,B$5),IF(AND(COUNT(A460:A471)=8,COUNT(F460:F471)=8),cubic_spline(F459:F467,A459:A467,B$5),IF(AND(COUNT(A460:A471)=9,COUNT(F460:F471)=9),cubic_spline(F459:F468,A459:A468,B$5),IF(AND(COUNT(A460:A471)=10,COUNT(F460:F471)=10),cubic_spline(F459:F469,A459:A469,B$5),IF(AND(COUNT(A460:A471)=11,COUNT(F460:F471)=11),cubic_spline(F459:F470,A459:A470,B$5),IF(AND(COUNT(A460:A471)=12,COUNT(F460:F471)=12),cubic_spline(F459:F471,A459:A471,B$5),""))))))))))))</f>
        <v/>
      </c>
      <c r="L463" s="27" t="str">
        <f>IF(I463="","",B$4&amp;"-"&amp;B$5)</f>
        <v/>
      </c>
      <c r="M463" s="52" t="str">
        <f>IF(N(J463)=0,"",J463-J462)</f>
        <v/>
      </c>
    </row>
    <row r="464" spans="1:13" x14ac:dyDescent="0.35">
      <c r="A464" s="48"/>
      <c r="B464" s="48"/>
      <c r="C464" s="50"/>
      <c r="D464" s="50"/>
      <c r="E464" s="51" t="str">
        <f t="shared" si="173"/>
        <v/>
      </c>
      <c r="F464" s="71" t="str">
        <f t="shared" si="171"/>
        <v/>
      </c>
      <c r="G464" s="69" t="str">
        <f t="shared" si="174"/>
        <v/>
      </c>
      <c r="H464" s="70" t="str">
        <f t="shared" si="172"/>
        <v/>
      </c>
      <c r="I464" s="27" t="str">
        <f>IF(N(J464)=0,"",0&amp;"-"&amp;B$6)</f>
        <v/>
      </c>
      <c r="J464" s="52" t="str">
        <f>IF(N(B$6)=0,"",IF(AND(COUNT(H460:H471)=2,COUNT(F460:F471)=2),cubic_spline(F459:F461,H459:H461,B$6),IF(AND(COUNT(H460:H471)=3,COUNT(F460:F471)=3),cubic_spline(F459:F462,H459:H462,B$6),IF(AND(COUNT(H460:H471)=4,COUNT(F460:F471)=4),cubic_spline(F459:F463,H459:H463,B$6),IF(AND(COUNT(H460:H471)=5,COUNT(F460:F471)=5),cubic_spline(F459:F464,H459:H464,B$6),IF(AND(COUNT(H460:H471)=6,COUNT(F460:F471)=6),cubic_spline(F459:F465,H459:H465,B$6),IF(AND(COUNT(H460:H471)=7,COUNT(F460:F471)=7),cubic_spline(F459:F466,H459:H466,B$6),IF(AND(COUNT(H460:H471)=8,COUNT(F460:F471)=8),cubic_spline(F459:F467,H459:H467,B$6),IF(AND(COUNT(H460:H471)=9,COUNT(F460:F471)=9),cubic_spline(F459:F468,H459:H468,B$6),IF(AND(COUNT(H460:H471)=10,COUNT(F460:F471)=10),cubic_spline(F459:F469,H459:H469,B$6),IF(AND(COUNT(H460:H471)=11,COUNT(F460:F471)=11),cubic_spline(F459:F470,H459:H470,B$6),IF(AND(COUNT(H460:H471)=12,COUNT(F460:F471)=12),cubic_spline(F459:F471,H459:H471,B$6),""))))))))))))</f>
        <v/>
      </c>
      <c r="K464" s="52" t="str">
        <f>IF(N(B$6)=0,"",IF(AND(COUNT(A460:A471)=2,COUNT(F460:F471)=2),cubic_spline(F459:F461,A459:A461,B$6),IF(AND(COUNT(A460:A471)=3,COUNT(F460:F471)=3),cubic_spline(F459:F462,A459:A462,B$6),IF(AND(COUNT(A460:A471)=4,COUNT(F460:F471)=4),cubic_spline(F459:F463,A459:A463,B$6),IF(AND(COUNT(A460:A471)=5,COUNT(F460:F471)=5),cubic_spline(F459:F464,A459:A464,B$6),IF(AND(COUNT(A460:A471)=6,COUNT(F460:F471)=6),cubic_spline(F459:F465,A459:A465,B$6),IF(AND(COUNT(A460:A471)=7,COUNT(F460:F471)=7),cubic_spline(F459:F466,A459:A466,B$6),IF(AND(COUNT(A460:A471)=8,COUNT(F460:F471)=8),cubic_spline(F459:F467,A459:A467,B$6),IF(AND(COUNT(A460:A471)=9,COUNT(F460:F471)=9),cubic_spline(F459:F468,A459:A468,B$6),IF(AND(COUNT(A460:A471)=10,COUNT(F460:F471)=10),cubic_spline(F459:F469,A459:A469,B$6),IF(AND(COUNT(A460:A471)=11,COUNT(F460:F471)=11),cubic_spline(F459:F470,A459:A470,B$6),IF(AND(COUNT(A460:A471)=12,COUNT(F460:F471)=12),cubic_spline(F459:F471,A459:A471,B$6),""))))))))))))</f>
        <v/>
      </c>
      <c r="L464" s="27" t="str">
        <f>IF(I464="","",B$5&amp;"-"&amp;B$6)</f>
        <v/>
      </c>
      <c r="M464" s="52" t="str">
        <f>IF(N(J464)=0,"",J464-J463)</f>
        <v/>
      </c>
    </row>
    <row r="465" spans="1:13" x14ac:dyDescent="0.35">
      <c r="A465" s="48"/>
      <c r="B465" s="48"/>
      <c r="C465" s="50"/>
      <c r="D465" s="50"/>
      <c r="E465" s="51" t="str">
        <f t="shared" si="173"/>
        <v/>
      </c>
      <c r="F465" s="71" t="str">
        <f t="shared" si="171"/>
        <v/>
      </c>
      <c r="G465" s="69" t="str">
        <f t="shared" si="174"/>
        <v/>
      </c>
      <c r="H465" s="70" t="str">
        <f t="shared" si="172"/>
        <v/>
      </c>
      <c r="I465" s="27" t="str">
        <f>IF(N(J465)=0,"",0&amp;"-"&amp;B$7)</f>
        <v/>
      </c>
      <c r="J465" s="52" t="str">
        <f>IF(N(B$7)=0,"",IF(AND(COUNT(H460:H471)=2,COUNT(F460:F471)=2),cubic_spline(F459:F461,H459:H461,B$7),IF(AND(COUNT(H460:H471)=3,COUNT(F460:F471)=3),cubic_spline(F459:F462,H459:H462,B$7),IF(AND(COUNT(H460:H471)=4,COUNT(F460:F471)=4),cubic_spline(F459:F463,H459:H463,B$7),IF(AND(COUNT(H460:H471)=5,COUNT(F460:F471)=5),cubic_spline(F459:F464,H459:H464,B$7),IF(AND(COUNT(H460:H471)=6,COUNT(F460:F471)=6),cubic_spline(F459:F465,H459:H465,B$7),IF(AND(COUNT(H460:H471)=7,COUNT(F460:F471)=7),cubic_spline(F459:F466,H459:H466,B$7),IF(AND(COUNT(H460:H471)=8,COUNT(F460:F471)=8),cubic_spline(F459:F467,H459:H467,B$7),IF(AND(COUNT(H460:H471)=9,COUNT(F460:F471)=9),cubic_spline(F459:F468,H459:H468,B$7),IF(AND(COUNT(H460:H471)=10,COUNT(F460:F471)=10),cubic_spline(F459:F469,H459:H469,B$7),IF(AND(COUNT(H460:H471)=11,COUNT(F460:F471)=11),cubic_spline(F459:F470,H459:H470,B$7),IF(AND(COUNT(H460:H471)=12,COUNT(F460:F471)=12),cubic_spline(F459:F471,H459:H471,B$7),""))))))))))))</f>
        <v/>
      </c>
      <c r="K465" s="52" t="str">
        <f>IF(N(B$7)=0,"",IF(AND(COUNT(A460:A471)=2,COUNT(F460:F471)=2),cubic_spline(F459:F461,A459:A461,B$7),IF(AND(COUNT(A460:A471)=3,COUNT(F460:F471)=3),cubic_spline(F459:F462,A459:A462,B$7),IF(AND(COUNT(A460:A471)=4,COUNT(F460:F471)=4),cubic_spline(F459:F463,A459:A463,B$7),IF(AND(COUNT(A460:A471)=5,COUNT(F460:F471)=5),cubic_spline(F459:F464,A459:A464,B$7),IF(AND(COUNT(A460:A471)=6,COUNT(F460:F471)=6),cubic_spline(F459:F465,A459:A465,B$7),IF(AND(COUNT(A460:A471)=7,COUNT(F460:F471)=7),cubic_spline(F459:F466,A459:A466,B$7),IF(AND(COUNT(A460:A471)=8,COUNT(F460:F471)=8),cubic_spline(F459:F467,A459:A467,B$7),IF(AND(COUNT(A460:A471)=9,COUNT(F460:F471)=9),cubic_spline(F459:F468,A459:A468,B$7),IF(AND(COUNT(A460:A471)=10,COUNT(F460:F471)=10),cubic_spline(F459:F469,A459:A469,B$7),IF(AND(COUNT(A460:A471)=11,COUNT(F460:F471)=11),cubic_spline(F459:F470,A459:A470,B$7),IF(AND(COUNT(A460:A471)=12,COUNT(F460:F471)=12),cubic_spline(F459:F471,A459:A471,B$7),""))))))))))))</f>
        <v/>
      </c>
      <c r="L465" s="27" t="str">
        <f>IF(I465="","",B$6&amp;"-"&amp;B$7)</f>
        <v/>
      </c>
      <c r="M465" s="52" t="str">
        <f t="shared" ref="M465:M471" si="175">IF(N(J465)=0,"",J465-J464)</f>
        <v/>
      </c>
    </row>
    <row r="466" spans="1:13" x14ac:dyDescent="0.35">
      <c r="A466" s="48"/>
      <c r="B466" s="48"/>
      <c r="C466" s="50"/>
      <c r="D466" s="50"/>
      <c r="E466" s="51" t="str">
        <f t="shared" si="173"/>
        <v/>
      </c>
      <c r="F466" s="71" t="str">
        <f t="shared" si="171"/>
        <v/>
      </c>
      <c r="G466" s="69" t="str">
        <f t="shared" si="174"/>
        <v/>
      </c>
      <c r="H466" s="70" t="str">
        <f t="shared" si="172"/>
        <v/>
      </c>
      <c r="I466" s="27" t="str">
        <f>IF(N(J466)=0,"",0&amp;"-"&amp;B$8)</f>
        <v/>
      </c>
      <c r="J466" s="52" t="str">
        <f>IF(N(B$8)=0,"",IF(AND(COUNT(H460:H471)=2,COUNT(F460:F471)=2),cubic_spline(F459:F461,H459:H461,B$8),IF(AND(COUNT(H460:H471)=3,COUNT(F460:F471)=3),cubic_spline(F459:F462,H459:H462,B$8),IF(AND(COUNT(H460:H471)=4,COUNT(F460:F471)=4),cubic_spline(F459:F463,H459:H463,B$8),IF(AND(COUNT(H460:H471)=5,COUNT(F460:F471)=5),cubic_spline(F459:F464,H459:H464,B$8),IF(AND(COUNT(H460:H471)=6,COUNT(F460:F471)=6),cubic_spline(F459:F465,H459:H465,B$8),IF(AND(COUNT(H460:H471)=7,COUNT(F460:F471)=7),cubic_spline(F459:F466,H459:H466,B$8),IF(AND(COUNT(H460:H471)=8,COUNT(F460:F471)=8),cubic_spline(F459:F467,H459:H467,B$8),IF(AND(COUNT(H460:H471)=9,COUNT(F460:F471)=9),cubic_spline(F459:F468,H459:H468,B$8),IF(AND(COUNT(H460:H471)=10,COUNT(F460:F471)=10),cubic_spline(F459:F469,H459:H469,B$8),IF(AND(COUNT(H460:H471)=11,COUNT(F460:F471)=11),cubic_spline(F459:F470,H459:H470,B$8),IF(AND(COUNT(H460:H471)=12,COUNT(F460:F471)=12),cubic_spline(F459:F471,H459:H471,B$8),""))))))))))))</f>
        <v/>
      </c>
      <c r="K466" s="52" t="str">
        <f>IF(N(B$8)=0,"",IF(AND(COUNT(A460:A471)=2,COUNT(F460:F471)=2),cubic_spline(F459:F461,A459:A461,B$8),IF(AND(COUNT(A460:A471)=3,COUNT(F460:F471)=3),cubic_spline(F459:F462,A459:A462,B$8),IF(AND(COUNT(A460:A471)=4,COUNT(F460:F471)=4),cubic_spline(F459:F463,A459:A463,B$8),IF(AND(COUNT(A460:A471)=5,COUNT(F460:F471)=5),cubic_spline(F459:F464,A459:A464,B$8),IF(AND(COUNT(A460:A471)=6,COUNT(F460:F471)=6),cubic_spline(F459:F465,A459:A465,B$8),IF(AND(COUNT(A460:A471)=7,COUNT(F460:F471)=7),cubic_spline(F459:F466,A459:A466,B$8),IF(AND(COUNT(A460:A471)=8,COUNT(F460:F471)=8),cubic_spline(F459:F467,A459:A467,B$8),IF(AND(COUNT(A460:A471)=9,COUNT(F460:F471)=9),cubic_spline(F459:F468,A459:A468,B$8),IF(AND(COUNT(A460:A471)=10,COUNT(F460:F471)=10),cubic_spline(F459:F469,A459:A469,B$8),IF(AND(COUNT(A460:A471)=11,COUNT(F460:F471)=11),cubic_spline(F459:F470,A459:A470,B$8),IF(AND(COUNT(A460:A471)=12,COUNT(F460:F471)=12),cubic_spline(F459:F471,A459:A471,B$8),""))))))))))))</f>
        <v/>
      </c>
      <c r="L466" s="27" t="str">
        <f>IF(I466="","",B$7&amp;"-"&amp;B$8)</f>
        <v/>
      </c>
      <c r="M466" s="52" t="str">
        <f t="shared" si="175"/>
        <v/>
      </c>
    </row>
    <row r="467" spans="1:13" x14ac:dyDescent="0.35">
      <c r="A467" s="48"/>
      <c r="B467" s="48"/>
      <c r="C467" s="50"/>
      <c r="D467" s="50"/>
      <c r="E467" s="51" t="str">
        <f t="shared" si="173"/>
        <v/>
      </c>
      <c r="F467" s="71" t="str">
        <f t="shared" si="171"/>
        <v/>
      </c>
      <c r="G467" s="69" t="str">
        <f t="shared" si="174"/>
        <v/>
      </c>
      <c r="H467" s="70" t="str">
        <f t="shared" si="172"/>
        <v/>
      </c>
      <c r="I467" s="27" t="str">
        <f>IF(N(J467)=0,"",0&amp;"-"&amp;B$9)</f>
        <v/>
      </c>
      <c r="J467" s="52" t="str">
        <f>IF(N(B$9)=0,"",IF(AND(COUNT(H460:H471)=2,COUNT(F460:F471)=2),cubic_spline(F459:F461,H459:H461,B$9),IF(AND(COUNT(H460:H471)=3,COUNT(F460:F471)=3),cubic_spline(F459:F462,H459:H462,B$9),IF(AND(COUNT(H460:H471)=4,COUNT(F460:F471)=4),cubic_spline(F459:F463,H459:H463,B$9),IF(AND(COUNT(H460:H471)=5,COUNT(F460:F471)=5),cubic_spline(F459:F464,H459:H464,B$9),IF(AND(COUNT(H460:H471)=6,COUNT(F460:F471)=6),cubic_spline(F459:F465,H459:H465,B$9),IF(AND(COUNT(H460:H471)=7,COUNT(F460:F471)=7),cubic_spline(F459:F466,H459:H466,B$9),IF(AND(COUNT(H460:H471)=8,COUNT(F460:F471)=8),cubic_spline(F459:F467,H459:H467,B$9),IF(AND(COUNT(H460:H471)=9,COUNT(F460:F471)=9),cubic_spline(F459:F468,H459:H468,B$9),IF(AND(COUNT(H460:H471)=10,COUNT(F460:F471)=10),cubic_spline(F459:F469,H459:H469,B$9),IF(AND(COUNT(H460:H471)=11,COUNT(F460:F471)=11),cubic_spline(F459:F470,H459:H470,B$9),IF(AND(COUNT(H460:H471)=12,COUNT(F460:F471)=12),cubic_spline(F459:F471,H459:H471,B$9),""))))))))))))</f>
        <v/>
      </c>
      <c r="K467" s="52" t="str">
        <f>IF(N(B$9)=0,"",IF(AND(COUNT(A460:A471)=2,COUNT(F460:F471)=2),cubic_spline(F459:F461,A459:A461,B$9),IF(AND(COUNT(A460:A471)=3,COUNT(F460:F471)=3),cubic_spline(F459:F462,A459:A462,B$9),IF(AND(COUNT(A460:A471)=4,COUNT(F460:F471)=4),cubic_spline(F459:F463,A459:A463,B$9),IF(AND(COUNT(A460:A471)=5,COUNT(F460:F471)=5),cubic_spline(F459:F464,A459:A464,B$9),IF(AND(COUNT(A460:A471)=6,COUNT(F460:F471)=6),cubic_spline(F459:F465,A459:A465,B$9),IF(AND(COUNT(A460:A471)=7,COUNT(F460:F471)=7),cubic_spline(F459:F466,A459:A466,B$9),IF(AND(COUNT(A460:A471)=8,COUNT(F460:F471)=8),cubic_spline(F459:F467,A459:A467,B$9),IF(AND(COUNT(A460:A471)=9,COUNT(F460:F471)=9),cubic_spline(F459:F468,A459:A468,B$9),IF(AND(COUNT(A460:A471)=10,COUNT(F460:F471)=10),cubic_spline(F459:F469,A459:A469,B$9),IF(AND(COUNT(A460:A471)=11,COUNT(F460:F471)=11),cubic_spline(F459:F470,A459:A470,B$9),IF(AND(COUNT(A460:A471)=12,COUNT(F460:F471)=12),cubic_spline(F459:F471,A459:A471,B$9),""))))))))))))</f>
        <v/>
      </c>
      <c r="L467" s="27" t="str">
        <f>IF(I467="","",B$8&amp;"-"&amp;B$9)</f>
        <v/>
      </c>
      <c r="M467" s="52" t="str">
        <f t="shared" si="175"/>
        <v/>
      </c>
    </row>
    <row r="468" spans="1:13" x14ac:dyDescent="0.35">
      <c r="A468" s="48"/>
      <c r="B468" s="48"/>
      <c r="C468" s="50"/>
      <c r="D468" s="50"/>
      <c r="E468" s="51" t="str">
        <f t="shared" si="173"/>
        <v/>
      </c>
      <c r="F468" s="71" t="str">
        <f t="shared" si="171"/>
        <v/>
      </c>
      <c r="G468" s="69" t="str">
        <f t="shared" si="174"/>
        <v/>
      </c>
      <c r="H468" s="70" t="str">
        <f t="shared" si="172"/>
        <v/>
      </c>
      <c r="I468" s="27" t="str">
        <f>IF(N(J468)=0,"",0&amp;"-"&amp;B$10)</f>
        <v/>
      </c>
      <c r="J468" s="52" t="str">
        <f>IF(N(B$10)=0,"",IF(AND(COUNT(H460:H471)=2,COUNT(F460:F471)=2),cubic_spline(F459:F461,H459:H461,B$10),IF(AND(COUNT(H460:H471)=3,COUNT(F460:F471)=3),cubic_spline(F459:F462,H459:H462,B$10),IF(AND(COUNT(H460:H471)=4,COUNT(F460:F471)=4),cubic_spline(F459:F463,H459:H463,B$10),IF(AND(COUNT(H460:H471)=5,COUNT(F460:F471)=5),cubic_spline(F459:F464,H459:H464,B$10),IF(AND(COUNT(H460:H471)=6,COUNT(F460:F471)=6),cubic_spline(F459:F465,H459:H465,B$10),IF(AND(COUNT(H460:H471)=7,COUNT(F460:F471)=7),cubic_spline(F459:F466,H459:H466,B$10),IF(AND(COUNT(H460:H471)=8,COUNT(F460:F471)=8),cubic_spline(F459:F467,H459:H467,B$10),IF(AND(COUNT(H460:H471)=9,COUNT(F460:F471)=9),cubic_spline(F459:F468,H459:H468,B$10),IF(AND(COUNT(H460:H471)=10,COUNT(F460:F471)=10),cubic_spline(F459:F469,H459:H469,B$10),IF(AND(COUNT(H460:H471)=11,COUNT(F460:F471)=11),cubic_spline(F459:F470,H459:H470,B$10),IF(AND(COUNT(H460:H471)=12,COUNT(F460:F471)=12),cubic_spline(F459:F471,H459:H471,B$10),""))))))))))))</f>
        <v/>
      </c>
      <c r="K468" s="52" t="str">
        <f>IF(N(B$10)=0,"",IF(AND(COUNT(A460:A471)=2,COUNT(F460:F471)=2),cubic_spline(F459:F461,A459:A461,B$10),IF(AND(COUNT(A460:A471)=3,COUNT(F460:F471)=3),cubic_spline(F459:F462,A459:A462,B$10),IF(AND(COUNT(A460:A471)=4,COUNT(F460:F471)=4),cubic_spline(F459:F463,A459:A463,B$10),IF(AND(COUNT(A460:A471)=5,COUNT(F460:F471)=5),cubic_spline(F459:F464,A459:A464,B$10),IF(AND(COUNT(A460:A471)=6,COUNT(F460:F471)=6),cubic_spline(F459:F465,A459:A465,B$10),IF(AND(COUNT(A460:A471)=7,COUNT(F460:F471)=7),cubic_spline(F459:F466,A459:A466,B$10),IF(AND(COUNT(A460:A471)=8,COUNT(F460:F471)=8),cubic_spline(F459:F467,A459:A467,B$10),IF(AND(COUNT(A460:A471)=9,COUNT(F460:F471)=9),cubic_spline(F459:F468,A459:A468,B$10),IF(AND(COUNT(A460:A471)=10,COUNT(F460:F471)=10),cubic_spline(F459:F469,A459:A469,B$10),IF(AND(COUNT(A460:A471)=11,COUNT(F460:F471)=11),cubic_spline(F459:F470,A459:A470,B$10),IF(AND(COUNT(A460:A471)=12,COUNT(F460:F471)=12),cubic_spline(F459:F471,A459:A471,B$10),""))))))))))))</f>
        <v/>
      </c>
      <c r="L468" s="27" t="str">
        <f>IF(I468="","",B$9&amp;"-"&amp;B$10)</f>
        <v/>
      </c>
      <c r="M468" s="52" t="str">
        <f t="shared" si="175"/>
        <v/>
      </c>
    </row>
    <row r="469" spans="1:13" x14ac:dyDescent="0.35">
      <c r="A469" s="48"/>
      <c r="B469" s="48"/>
      <c r="C469" s="50"/>
      <c r="D469" s="50"/>
      <c r="E469" s="51" t="str">
        <f t="shared" si="173"/>
        <v/>
      </c>
      <c r="F469" s="71" t="str">
        <f t="shared" si="171"/>
        <v/>
      </c>
      <c r="G469" s="69" t="str">
        <f t="shared" si="174"/>
        <v/>
      </c>
      <c r="H469" s="70" t="str">
        <f t="shared" si="172"/>
        <v/>
      </c>
      <c r="I469" s="27" t="str">
        <f>IF(N(J469)=0,"",0&amp;"-"&amp;B$11)</f>
        <v/>
      </c>
      <c r="J469" s="52" t="str">
        <f>IF(N(B$11)=0,"",IF(AND(COUNT(H460:H471)=2,COUNT(F460:F471)=2),cubic_spline(F459:F461,H459:H461,B$11),IF(AND(COUNT(H460:H471)=3,COUNT(F460:F471)=3),cubic_spline(F459:F462,H459:H462,B$11),IF(AND(COUNT(H460:H471)=4,COUNT(F460:F471)=4),cubic_spline(F459:F463,H459:H463,B$11),IF(AND(COUNT(H460:H471)=5,COUNT(F460:F471)=5),cubic_spline(F459:F464,H459:H464,B$11),IF(AND(COUNT(H460:H471)=6,COUNT(F460:F471)=6),cubic_spline(F459:F465,H459:H465,B$11),IF(AND(COUNT(H460:H471)=7,COUNT(F460:F471)=7),cubic_spline(F459:F466,H459:H466,B$11),IF(AND(COUNT(H460:H471)=8,COUNT(F460:F471)=8),cubic_spline(F459:F467,H459:H467,B$11),IF(AND(COUNT(H460:H471)=9,COUNT(F460:F471)=9),cubic_spline(F459:F468,H459:H468,B$11),IF(AND(COUNT(H460:H471)=10,COUNT(F460:F471)=10),cubic_spline(F459:F469,H459:H469,B$11),IF(AND(COUNT(H460:H471)=11,COUNT(F460:F471)=11),cubic_spline(F459:F470,H459:H470,B$11),IF(AND(COUNT(H460:H471)=12,COUNT(F460:F471)=12),cubic_spline(F459:F471,H459:H471,B$11),""))))))))))))</f>
        <v/>
      </c>
      <c r="K469" s="52" t="str">
        <f>IF(N(B$11)=0,"",IF(AND(COUNT(A460:A471)=2,COUNT(F460:F471)=2),cubic_spline(F459:F461,A459:A461,B$11),IF(AND(COUNT(A460:A471)=3,COUNT(F460:F471)=3),cubic_spline(F459:F462,A459:A462,B$11),IF(AND(COUNT(A460:A471)=4,COUNT(F460:F471)=4),cubic_spline(F459:F463,A459:A463,B$11),IF(AND(COUNT(A460:A471)=5,COUNT(F460:F471)=5),cubic_spline(F459:F464,A459:A464,B$11),IF(AND(COUNT(A460:A471)=6,COUNT(F460:F471)=6),cubic_spline(F459:F465,A459:A465,B$11),IF(AND(COUNT(A460:A471)=7,COUNT(F460:F471)=7),cubic_spline(F459:F466,A459:A466,B$11),IF(AND(COUNT(A460:A471)=8,COUNT(F460:F471)=8),cubic_spline(F459:F467,A459:A467,B$11),IF(AND(COUNT(A460:A471)=9,COUNT(F460:F471)=9),cubic_spline(F459:F468,A459:A468,B$11),IF(AND(COUNT(A460:A471)=10,COUNT(F460:F471)=10),cubic_spline(F459:F469,A459:A469,B$11),IF(AND(COUNT(A460:A471)=11,COUNT(F460:F471)=11),cubic_spline(F459:F470,A459:A470,B$11),IF(AND(COUNT(A460:A471)=12,COUNT(F460:F471)=12),cubic_spline(F459:F471,A459:A471,B$11),""))))))))))))</f>
        <v/>
      </c>
      <c r="L469" s="27" t="str">
        <f>IF(I469="","",B$10&amp;"-"&amp;B$11)</f>
        <v/>
      </c>
      <c r="M469" s="52" t="str">
        <f t="shared" si="175"/>
        <v/>
      </c>
    </row>
    <row r="470" spans="1:13" x14ac:dyDescent="0.35">
      <c r="A470" s="48"/>
      <c r="B470" s="48"/>
      <c r="C470" s="50"/>
      <c r="D470" s="50"/>
      <c r="E470" s="51" t="str">
        <f t="shared" si="173"/>
        <v/>
      </c>
      <c r="F470" s="71" t="str">
        <f t="shared" si="171"/>
        <v/>
      </c>
      <c r="G470" s="69" t="str">
        <f t="shared" si="174"/>
        <v/>
      </c>
      <c r="H470" s="70" t="str">
        <f t="shared" si="172"/>
        <v/>
      </c>
      <c r="I470" s="27" t="str">
        <f>IF(N(J470)=0,"",0&amp;"-"&amp;B$12)</f>
        <v/>
      </c>
      <c r="J470" s="52" t="str">
        <f>IF(N(B$12)=0,"",IF(AND(COUNT(H460:H471)=2,COUNT(F460:F471)=2),cubic_spline(F459:F461,H459:H461,B$12),IF(AND(COUNT(H460:H471)=3,COUNT(F460:F471)=3),cubic_spline(F459:F462,H459:H462,B$12),IF(AND(COUNT(H460:H471)=4,COUNT(F460:F471)=4),cubic_spline(F459:F463,H459:H463,B$12),IF(AND(COUNT(H460:H471)=5,COUNT(F460:F471)=5),cubic_spline(F459:F464,H459:H464,B$12),IF(AND(COUNT(H460:H471)=6,COUNT(F460:F471)=6),cubic_spline(F459:F465,H459:H465,B$12),IF(AND(COUNT(H460:H471)=7,COUNT(F460:F471)=7),cubic_spline(F459:F466,H459:H466,B$12),IF(AND(COUNT(H460:H471)=8,COUNT(F460:F471)=8),cubic_spline(F459:F467,H459:H467,B$12),IF(AND(COUNT(H460:H471)=9,COUNT(F460:F471)=9),cubic_spline(F459:F468,H459:H468,B$12),IF(AND(COUNT(H460:H471)=10,COUNT(F460:F471)=10),cubic_spline(F459:F469,H459:H469,B$12),IF(AND(COUNT(H460:H471)=11,COUNT(F460:F471)=11),cubic_spline(F459:F470,H459:H470,B$12),IF(AND(COUNT(H460:H471)=12,COUNT(F460:F471)=12),cubic_spline(F459:F471,H459:H471,B$12),""))))))))))))</f>
        <v/>
      </c>
      <c r="K470" s="52" t="str">
        <f>IF(N(B$12)=0,"",IF(AND(COUNT(A460:A471)=2,COUNT(F460:F471)=2),cubic_spline(F459:F461,A459:A461,B$12),IF(AND(COUNT(A460:A471)=3,COUNT(F460:F471)=3),cubic_spline(F459:F462,A459:A462,B$12),IF(AND(COUNT(A460:A471)=4,COUNT(F460:F471)=4),cubic_spline(F459:F463,A459:A463,B$12),IF(AND(COUNT(A460:A471)=5,COUNT(F460:F471)=5),cubic_spline(F459:F464,A459:A464,B$12),IF(AND(COUNT(A460:A471)=6,COUNT(F460:F471)=6),cubic_spline(F459:F465,A459:A465,B$12),IF(AND(COUNT(A460:A471)=7,COUNT(F460:F471)=7),cubic_spline(F459:F466,A459:A466,B$12),IF(AND(COUNT(A460:A471)=8,COUNT(F460:F471)=8),cubic_spline(F459:F467,A459:A467,B$12),IF(AND(COUNT(A460:A471)=9,COUNT(F460:F471)=9),cubic_spline(F459:F468,A459:A468,B$12),IF(AND(COUNT(A460:A471)=10,COUNT(F460:F471)=10),cubic_spline(F459:F469,A459:A469,B$12),IF(AND(COUNT(A460:A471)=11,COUNT(F460:F471)=11),cubic_spline(F459:F470,A459:A470,B$12),IF(AND(COUNT(A460:A471)=12,COUNT(F460:F471)=12),cubic_spline(F459:F471,A459:A471,B$12),""))))))))))))</f>
        <v/>
      </c>
      <c r="L470" s="27" t="str">
        <f>IF(I470="","",B$11&amp;"-"&amp;B$12)</f>
        <v/>
      </c>
      <c r="M470" s="52" t="str">
        <f t="shared" si="175"/>
        <v/>
      </c>
    </row>
    <row r="471" spans="1:13" x14ac:dyDescent="0.35">
      <c r="A471" s="48"/>
      <c r="B471" s="48"/>
      <c r="C471" s="50"/>
      <c r="D471" s="50"/>
      <c r="E471" s="51" t="str">
        <f t="shared" si="173"/>
        <v/>
      </c>
      <c r="F471" s="71" t="str">
        <f t="shared" si="171"/>
        <v/>
      </c>
      <c r="G471" s="69" t="str">
        <f t="shared" si="174"/>
        <v/>
      </c>
      <c r="H471" s="70" t="str">
        <f t="shared" si="172"/>
        <v/>
      </c>
      <c r="I471" s="27" t="str">
        <f>IF(N(J471)=0,"",0&amp;"-"&amp;B$13)</f>
        <v/>
      </c>
      <c r="J471" s="52" t="str">
        <f>IF(N(B$13)=0,"",IF(AND(COUNT(H460:H471)=2,COUNT(F460:F471)=2),cubic_spline(F459:F461,H459:H461,B$13),IF(AND(COUNT(H460:H471)=3,COUNT(F460:F471)=3),cubic_spline(F459:F462,H459:H462,B$13),IF(AND(COUNT(H460:H471)=4,COUNT(F460:F471)=4),cubic_spline(F459:F463,H459:H463,B$13),IF(AND(COUNT(H460:H471)=5,COUNT(F460:F471)=5),cubic_spline(F459:F464,H459:H464,B$13),IF(AND(COUNT(H460:H471)=6,COUNT(F460:F471)=6),cubic_spline(F459:F465,H459:H465,B$13),IF(AND(COUNT(H460:H471)=7,COUNT(F460:F471)=7),cubic_spline(F459:F466,H459:H466,B$13),IF(AND(COUNT(H460:H471)=8,COUNT(F460:F471)=8),cubic_spline(F459:F467,H459:H467,B$13),IF(AND(COUNT(H460:H471)=9,COUNT(F460:F471)=9),cubic_spline(F459:F468,H459:H468,B$13),IF(AND(COUNT(H460:H471)=10,COUNT(F460:F471)=10),cubic_spline(F459:F469,H459:H469,B$13),IF(AND(COUNT(H460:H471)=11,COUNT(F460:F471)=11),cubic_spline(F459:F470,H459:H470,B$13),IF(AND(COUNT(H460:H471)=12,COUNT(F460:F471)=12),cubic_spline(F459:F471,H459:H471,B$13),""))))))))))))</f>
        <v/>
      </c>
      <c r="K471" s="52" t="str">
        <f>IF(N(B$13)=0,"",IF(AND(COUNT(A460:A471)=2,COUNT(F460:F471)=2),cubic_spline(F459:F461,A459:A461,B$13),IF(AND(COUNT(A460:A471)=3,COUNT(F460:F471)=3),cubic_spline(F459:F462,A459:A462,B$13),IF(AND(COUNT(A460:A471)=4,COUNT(F460:F471)=4),cubic_spline(F459:F463,A459:A463,B$13),IF(AND(COUNT(A460:A471)=5,COUNT(F460:F471)=5),cubic_spline(F459:F464,A459:A464,B$13),IF(AND(COUNT(A460:A471)=6,COUNT(F460:F471)=6),cubic_spline(F459:F465,A459:A465,B$13),IF(AND(COUNT(A460:A471)=7,COUNT(F460:F471)=7),cubic_spline(F459:F466,A459:A466,B$13),IF(AND(COUNT(A460:A471)=8,COUNT(F460:F471)=8),cubic_spline(F459:F467,A459:A467,B$13),IF(AND(COUNT(A460:A471)=9,COUNT(F460:F471)=9),cubic_spline(F459:F468,A459:A468,B$13),IF(AND(COUNT(A460:A471)=10,COUNT(F460:F471)=10),cubic_spline(F459:F469,A459:A469,B$13),IF(AND(COUNT(A460:A471)=11,COUNT(F460:F471)=11),cubic_spline(F459:F470,A459:A470,B$13),IF(AND(COUNT(A460:A471)=12,COUNT(F460:F471)=12),cubic_spline(F459:F471,A459:A471,B$13),""))))))))))))</f>
        <v/>
      </c>
      <c r="L471" s="27" t="str">
        <f>IF(I471="","",B$12&amp;"-"&amp;B$13)</f>
        <v/>
      </c>
      <c r="M471" s="52" t="str">
        <f t="shared" si="175"/>
        <v/>
      </c>
    </row>
    <row r="472" spans="1:13" ht="5.15" customHeight="1" x14ac:dyDescent="0.35">
      <c r="A472" s="47"/>
      <c r="B472" s="47"/>
      <c r="C472" s="53"/>
      <c r="D472" s="53"/>
      <c r="E472" s="54"/>
      <c r="F472" s="55"/>
      <c r="G472" s="72"/>
      <c r="H472" s="73"/>
      <c r="I472" s="47"/>
      <c r="J472" s="57"/>
      <c r="K472" s="57"/>
      <c r="L472" s="55"/>
      <c r="M472" s="57"/>
    </row>
    <row r="473" spans="1:13" x14ac:dyDescent="0.35">
      <c r="A473" s="48"/>
      <c r="B473" s="48"/>
      <c r="C473" s="50"/>
      <c r="D473" s="50"/>
      <c r="E473" s="51" t="str">
        <f>IF(N(C473)=0,"",(A473-A472)*C473*100)</f>
        <v/>
      </c>
      <c r="F473" s="68" t="str">
        <f t="shared" ref="F473:F484" si="176">IF(N(E473)=0,"",(N(E473)+N(F472)))</f>
        <v/>
      </c>
      <c r="G473" s="69" t="str">
        <f>IF(OR(N(D473)=0,N(E473)=0),"",(E473*D473)/1000)</f>
        <v/>
      </c>
      <c r="H473" s="70" t="str">
        <f t="shared" ref="H473:H484" si="177">IF(N(G473)=0,"",(N(G473)+N(H472)))</f>
        <v/>
      </c>
      <c r="I473" s="27" t="str">
        <f>IF(N(J473)=0,"",0&amp;"-"&amp;B$2)</f>
        <v/>
      </c>
      <c r="J473" s="52" t="str">
        <f>IF(N(B$2)=0,"",IF(AND(COUNT(H473:H484)=2,COUNT(F473:F484)=2),cubic_spline(F472:F474,H472:H474,B$2),IF(AND(COUNT(H473:H484)=3,COUNT(F473:F484)=3),cubic_spline(F472:F475,H472:H475,B$2),IF(AND(COUNT(H473:H484)=4,COUNT(F473:F484)=4),cubic_spline(F472:F476,H472:H476,B$2),IF(AND(COUNT(H473:H484)=5,COUNT(F473:F484)=5),cubic_spline(F472:F477,H472:H477,B$2),IF(AND(COUNT(H473:H484)=6,COUNT(F473:F484)=6),cubic_spline(F472:F478,H472:H478,B$2),IF(AND(COUNT(H473:H484)=7,COUNT(F473:F484)=7),cubic_spline(F472:F479,H472:H479,B$2),IF(AND(COUNT(H473:H484)=8,COUNT(F473:F484)=8),cubic_spline(F472:F480,H472:H480,B$2),IF(AND(COUNT(H473:H484)=9,COUNT(F473:F484)=9),cubic_spline(F472:F481,H472:H481,B$2),IF(AND(COUNT(H473:H484)=10,COUNT(F473:F484)=10),cubic_spline(F472:F482,H472:H482,B$2),IF(AND(COUNT(H473:H484)=11,COUNT(F473:F484)=11),cubic_spline(F472:F483,H472:H483,B$2),IF(AND(COUNT(H473:H484)=12,COUNT(F473:F484)=12),cubic_spline(F472:F484,H472:H484,B$2),""))))))))))))</f>
        <v/>
      </c>
      <c r="K473" s="52" t="str">
        <f>IF(N(B$2)=0,"",IF(AND(COUNT(A473:A484)=2,COUNT(F473:F484)=2),cubic_spline(F472:F474,A472:A474,B$2),IF(AND(COUNT(A473:A484)=3,COUNT(F473:F484)=3),cubic_spline(F472:F475,A472:A475,B$2),IF(AND(COUNT(A473:A484)=4,COUNT(F473:F484)=4),cubic_spline(F472:F476,A472:A476,B$2),IF(AND(COUNT(A473:A484)=5,COUNT(F473:F484)=5),cubic_spline(F472:F477,A472:A477,B$2),IF(AND(COUNT(A473:A484)=6,COUNT(F473:F484)=6),cubic_spline(F472:F478,A472:A478,B$2),IF(AND(COUNT(A473:A484)=7,COUNT(F473:F484)=7),cubic_spline(F472:F479,A472:A479,B$2),IF(AND(COUNT(A473:A484)=8,COUNT(F473:F484)=8),cubic_spline(F472:F480,A472:A480,B$2),IF(AND(COUNT(A473:A484)=9,COUNT(F473:F484)=9),cubic_spline(F472:F481,A472:A481,B$2),IF(AND(COUNT(A473:A484)=10,COUNT(F473:F484)=10),cubic_spline(F472:F482,A472:A482,B$2),IF(AND(COUNT(A473:A484)=11,COUNT(F473:F484)=11),cubic_spline(F472:F483,A472:A483,B$2),IF(AND(COUNT(A473:A484)=12,COUNT(F473:F484)=12),cubic_spline(F472:F484,A472:A484,B$2),""))))))))))))</f>
        <v/>
      </c>
      <c r="L473" s="27" t="str">
        <f>IF(I473="","",0&amp;"-"&amp;B$2)</f>
        <v/>
      </c>
      <c r="M473" s="52" t="str">
        <f>IF(N(J473)=0,"",J473-J472)</f>
        <v/>
      </c>
    </row>
    <row r="474" spans="1:13" x14ac:dyDescent="0.35">
      <c r="A474" s="48"/>
      <c r="B474" s="48"/>
      <c r="C474" s="50"/>
      <c r="D474" s="50"/>
      <c r="E474" s="51" t="str">
        <f t="shared" ref="E474:E484" si="178">IF(N(C474)=0,"",(A474-A473)*C474*100)</f>
        <v/>
      </c>
      <c r="F474" s="68" t="str">
        <f t="shared" si="176"/>
        <v/>
      </c>
      <c r="G474" s="69" t="str">
        <f t="shared" ref="G474:G484" si="179">IF(OR(N(D474)=0,N(E474)=0),"",(E474*D474)/1000)</f>
        <v/>
      </c>
      <c r="H474" s="70" t="str">
        <f t="shared" si="177"/>
        <v/>
      </c>
      <c r="I474" s="27" t="str">
        <f>IF(N(J474)=0,"",0&amp;"-"&amp;B$3)</f>
        <v/>
      </c>
      <c r="J474" s="52" t="str">
        <f>IF(N(B$3)=0,"",IF(AND(COUNT(H473:H484)=2,COUNT(F473:F484)=2),cubic_spline(F472:F474,H472:H474,B$3),IF(AND(COUNT(H473:H484)=3,COUNT(F473:F484)=3),cubic_spline(F472:F475,H472:H475,B$3),IF(AND(COUNT(H473:H484)=4,COUNT(F473:F484)=4),cubic_spline(F472:F476,H472:H476,B$3),IF(AND(COUNT(H473:H484)=5,COUNT(F473:F484)=5),cubic_spline(F472:F477,H472:H477,B$3),IF(AND(COUNT(H473:H484)=6,COUNT(F473:F484)=6),cubic_spline(F472:F478,H472:H478,B$3),IF(AND(COUNT(H473:H484)=7,COUNT(F473:F484)=7),cubic_spline(F472:F479,H472:H479,B$3),IF(AND(COUNT(H473:H484)=8,COUNT(F473:F484)=8),cubic_spline(F472:F480,H472:H480,B$3),IF(AND(COUNT(H473:H484)=9,COUNT(F473:F484)=9),cubic_spline(F472:F481,H472:H481,B$3),IF(AND(COUNT(H473:H484)=10,COUNT(F473:F484)=10),cubic_spline(F472:F482,H472:H482,B$3),IF(AND(COUNT(H473:H484)=11,COUNT(F473:F484)=11),cubic_spline(F472:F483,H472:H483,B$3),IF(AND(COUNT(H473:H484)=12,COUNT(F473:F484)=12),cubic_spline(F472:F484,H472:H484,B$3),""))))))))))))</f>
        <v/>
      </c>
      <c r="K474" s="52" t="str">
        <f>IF(N(B$3)=0,"",IF(AND(COUNT(A473:A484)=2,COUNT(F473:F484)=2),cubic_spline(F472:F474,A472:A474,B$3),IF(AND(COUNT(A473:A484)=3,COUNT(F473:F484)=3),cubic_spline(F472:F475,A472:A475,B$3),IF(AND(COUNT(A473:A484)=4,COUNT(F473:F484)=4),cubic_spline(F472:F476,A472:A476,B$3),IF(AND(COUNT(A473:A484)=5,COUNT(F473:F484)=5),cubic_spline(F472:F477,A472:A477,B$3),IF(AND(COUNT(A473:A484)=6,COUNT(F473:F484)=6),cubic_spline(F472:F478,A472:A478,B$3),IF(AND(COUNT(A473:A484)=7,COUNT(F473:F484)=7),cubic_spline(F472:F479,A472:A479,B$3),IF(AND(COUNT(A473:A484)=8,COUNT(F473:F484)=8),cubic_spline(F472:F480,A472:A480,B$3),IF(AND(COUNT(A473:A484)=9,COUNT(F473:F484)=9),cubic_spline(F472:F481,A472:A481,B$3),IF(AND(COUNT(A473:A484)=10,COUNT(F473:F484)=10),cubic_spline(F472:F482,A472:A482,B$3),IF(AND(COUNT(A473:A484)=11,COUNT(F473:F484)=11),cubic_spline(F472:F483,A472:A483,B$3),IF(AND(COUNT(A473:A484)=12,COUNT(F473:F484)=12),cubic_spline(F472:F484,A472:A484,B$3),""))))))))))))</f>
        <v/>
      </c>
      <c r="L474" s="27" t="str">
        <f>IF(I474="","",B$2&amp;"-"&amp;B$3)</f>
        <v/>
      </c>
      <c r="M474" s="52" t="str">
        <f>IF(N(J474)=0,"",J474-J473)</f>
        <v/>
      </c>
    </row>
    <row r="475" spans="1:13" x14ac:dyDescent="0.35">
      <c r="A475" s="48"/>
      <c r="B475" s="48"/>
      <c r="C475" s="50"/>
      <c r="D475" s="50"/>
      <c r="E475" s="51" t="str">
        <f t="shared" si="178"/>
        <v/>
      </c>
      <c r="F475" s="68" t="str">
        <f t="shared" si="176"/>
        <v/>
      </c>
      <c r="G475" s="69" t="str">
        <f t="shared" si="179"/>
        <v/>
      </c>
      <c r="H475" s="70" t="str">
        <f t="shared" si="177"/>
        <v/>
      </c>
      <c r="I475" s="27" t="str">
        <f>IF(N(J475)=0,"",0&amp;"-"&amp;B$4)</f>
        <v/>
      </c>
      <c r="J475" s="52" t="str">
        <f>IF(N(B$4)=0,"",IF(AND(COUNT(H473:H484)=2,COUNT(F473:F484)=2),cubic_spline(F472:F474,H472:H474,B$4),IF(AND(COUNT(H473:H484)=3,COUNT(F473:F484)=3),cubic_spline(F472:F475,H472:H475,B$4),IF(AND(COUNT(H473:H484)=4,COUNT(F473:F484)=4),cubic_spline(F472:F476,H472:H476,B$4),IF(AND(COUNT(H473:H484)=5,COUNT(F473:F484)=5),cubic_spline(F472:F477,H472:H477,B$4),IF(AND(COUNT(H473:H484)=6,COUNT(F473:F484)=6),cubic_spline(F472:F478,H472:H478,B$4),IF(AND(COUNT(H473:H484)=7,COUNT(F473:F484)=7),cubic_spline(F472:F479,H472:H479,B$4),IF(AND(COUNT(H473:H484)=8,COUNT(F473:F484)=8),cubic_spline(F472:F480,H472:H480,B$4),IF(AND(COUNT(H473:H484)=9,COUNT(F473:F484)=9),cubic_spline(F472:F481,H472:H481,B$4),IF(AND(COUNT(H473:H484)=10,COUNT(F473:F484)=10),cubic_spline(F472:F482,H472:H482,B$4),IF(AND(COUNT(H473:H484)=11,COUNT(F473:F484)=11),cubic_spline(F472:F483,H472:H483,B$4),IF(AND(COUNT(H473:H484)=12,COUNT(F473:F484)=12),cubic_spline(F472:F484,H472:H484,B$4),""))))))))))))</f>
        <v/>
      </c>
      <c r="K475" s="52" t="str">
        <f>IF(N(B$4)=0,"",IF(AND(COUNT(A473:A484)=2,COUNT(F473:F484)=2),cubic_spline(F472:F474,A472:A474,B$4),IF(AND(COUNT(A473:A484)=3,COUNT(F473:F484)=3),cubic_spline(F472:F475,A472:A475,B$4),IF(AND(COUNT(A473:A484)=4,COUNT(F473:F484)=4),cubic_spline(F472:F476,A472:A476,B$4),IF(AND(COUNT(A473:A484)=5,COUNT(F473:F484)=5),cubic_spline(F472:F477,A472:A477,B$4),IF(AND(COUNT(A473:A484)=6,COUNT(F473:F484)=6),cubic_spline(F472:F478,A472:A478,B$4),IF(AND(COUNT(A473:A484)=7,COUNT(F473:F484)=7),cubic_spline(F472:F479,A472:A479,B$4),IF(AND(COUNT(A473:A484)=8,COUNT(F473:F484)=8),cubic_spline(F472:F480,A472:A480,B$4),IF(AND(COUNT(A473:A484)=9,COUNT(F473:F484)=9),cubic_spline(F472:F481,A472:A481,B$4),IF(AND(COUNT(A473:A484)=10,COUNT(F473:F484)=10),cubic_spline(F472:F482,A472:A482,B$4),IF(AND(COUNT(A473:A484)=11,COUNT(F473:F484)=11),cubic_spline(F472:F483,A472:A483,B$4),IF(AND(COUNT(A473:A484)=12,COUNT(F473:F484)=12),cubic_spline(F472:F484,A472:A484,B$4),""))))))))))))</f>
        <v/>
      </c>
      <c r="L475" s="27" t="str">
        <f>IF(I475="","",B$3&amp;"-"&amp;B$4)</f>
        <v/>
      </c>
      <c r="M475" s="52" t="str">
        <f>IF(N(J475)=0,"",J475-J474)</f>
        <v/>
      </c>
    </row>
    <row r="476" spans="1:13" x14ac:dyDescent="0.35">
      <c r="A476" s="48"/>
      <c r="B476" s="48"/>
      <c r="C476" s="50"/>
      <c r="D476" s="50"/>
      <c r="E476" s="51" t="str">
        <f t="shared" si="178"/>
        <v/>
      </c>
      <c r="F476" s="68" t="str">
        <f t="shared" si="176"/>
        <v/>
      </c>
      <c r="G476" s="69" t="str">
        <f t="shared" si="179"/>
        <v/>
      </c>
      <c r="H476" s="70" t="str">
        <f t="shared" si="177"/>
        <v/>
      </c>
      <c r="I476" s="27" t="str">
        <f>IF(N(J476)=0,"",0&amp;"-"&amp;B$5)</f>
        <v/>
      </c>
      <c r="J476" s="52" t="str">
        <f>IF(N(B$5)=0,"",IF(AND(COUNT(H473:H484)=2,COUNT(F473:F484)=2),cubic_spline(F472:F474,H472:H474,B$5),IF(AND(COUNT(H473:H484)=3,COUNT(F473:F484)=3),cubic_spline(F472:F475,H472:H475,B$5),IF(AND(COUNT(H473:H484)=4,COUNT(F473:F484)=4),cubic_spline(F472:F476,H472:H476,B$5),IF(AND(COUNT(H473:H484)=5,COUNT(F473:F484)=5),cubic_spline(F472:F477,H472:H477,B$5),IF(AND(COUNT(H473:H484)=6,COUNT(F473:F484)=6),cubic_spline(F472:F478,H472:H478,B$5),IF(AND(COUNT(H473:H484)=7,COUNT(F473:F484)=7),cubic_spline(F472:F479,H472:H479,B$5),IF(AND(COUNT(H473:H484)=8,COUNT(F473:F484)=8),cubic_spline(F472:F480,H472:H480,B$5),IF(AND(COUNT(H473:H484)=9,COUNT(F473:F484)=9),cubic_spline(F472:F481,H472:H481,B$5),IF(AND(COUNT(H473:H484)=10,COUNT(F473:F484)=10),cubic_spline(F472:F482,H472:H482,B$5),IF(AND(COUNT(H473:H484)=11,COUNT(F473:F484)=11),cubic_spline(F472:F483,H472:H483,B$5),IF(AND(COUNT(H473:H484)=12,COUNT(F473:F484)=12),cubic_spline(F472:F484,H472:H484,B$5),""))))))))))))</f>
        <v/>
      </c>
      <c r="K476" s="52" t="str">
        <f>IF(N(B$5)=0,"",IF(AND(COUNT(A473:A484)=2,COUNT(F473:F484)=2),cubic_spline(F472:F474,A472:A474,B$5),IF(AND(COUNT(A473:A484)=3,COUNT(F473:F484)=3),cubic_spline(F472:F475,A472:A475,B$5),IF(AND(COUNT(A473:A484)=4,COUNT(F473:F484)=4),cubic_spline(F472:F476,A472:A476,B$5),IF(AND(COUNT(A473:A484)=5,COUNT(F473:F484)=5),cubic_spline(F472:F477,A472:A477,B$5),IF(AND(COUNT(A473:A484)=6,COUNT(F473:F484)=6),cubic_spline(F472:F478,A472:A478,B$5),IF(AND(COUNT(A473:A484)=7,COUNT(F473:F484)=7),cubic_spline(F472:F479,A472:A479,B$5),IF(AND(COUNT(A473:A484)=8,COUNT(F473:F484)=8),cubic_spline(F472:F480,A472:A480,B$5),IF(AND(COUNT(A473:A484)=9,COUNT(F473:F484)=9),cubic_spline(F472:F481,A472:A481,B$5),IF(AND(COUNT(A473:A484)=10,COUNT(F473:F484)=10),cubic_spline(F472:F482,A472:A482,B$5),IF(AND(COUNT(A473:A484)=11,COUNT(F473:F484)=11),cubic_spline(F472:F483,A472:A483,B$5),IF(AND(COUNT(A473:A484)=12,COUNT(F473:F484)=12),cubic_spline(F472:F484,A472:A484,B$5),""))))))))))))</f>
        <v/>
      </c>
      <c r="L476" s="27" t="str">
        <f>IF(I476="","",B$4&amp;"-"&amp;B$5)</f>
        <v/>
      </c>
      <c r="M476" s="52" t="str">
        <f>IF(N(J476)=0,"",J476-J475)</f>
        <v/>
      </c>
    </row>
    <row r="477" spans="1:13" x14ac:dyDescent="0.35">
      <c r="A477" s="48"/>
      <c r="B477" s="48"/>
      <c r="C477" s="50"/>
      <c r="D477" s="50"/>
      <c r="E477" s="51" t="str">
        <f t="shared" si="178"/>
        <v/>
      </c>
      <c r="F477" s="71" t="str">
        <f t="shared" si="176"/>
        <v/>
      </c>
      <c r="G477" s="69" t="str">
        <f t="shared" si="179"/>
        <v/>
      </c>
      <c r="H477" s="70" t="str">
        <f t="shared" si="177"/>
        <v/>
      </c>
      <c r="I477" s="27" t="str">
        <f>IF(N(J477)=0,"",0&amp;"-"&amp;B$6)</f>
        <v/>
      </c>
      <c r="J477" s="52" t="str">
        <f>IF(N(B$6)=0,"",IF(AND(COUNT(H473:H484)=2,COUNT(F473:F484)=2),cubic_spline(F472:F474,H472:H474,B$6),IF(AND(COUNT(H473:H484)=3,COUNT(F473:F484)=3),cubic_spline(F472:F475,H472:H475,B$6),IF(AND(COUNT(H473:H484)=4,COUNT(F473:F484)=4),cubic_spline(F472:F476,H472:H476,B$6),IF(AND(COUNT(H473:H484)=5,COUNT(F473:F484)=5),cubic_spline(F472:F477,H472:H477,B$6),IF(AND(COUNT(H473:H484)=6,COUNT(F473:F484)=6),cubic_spline(F472:F478,H472:H478,B$6),IF(AND(COUNT(H473:H484)=7,COUNT(F473:F484)=7),cubic_spline(F472:F479,H472:H479,B$6),IF(AND(COUNT(H473:H484)=8,COUNT(F473:F484)=8),cubic_spline(F472:F480,H472:H480,B$6),IF(AND(COUNT(H473:H484)=9,COUNT(F473:F484)=9),cubic_spline(F472:F481,H472:H481,B$6),IF(AND(COUNT(H473:H484)=10,COUNT(F473:F484)=10),cubic_spline(F472:F482,H472:H482,B$6),IF(AND(COUNT(H473:H484)=11,COUNT(F473:F484)=11),cubic_spline(F472:F483,H472:H483,B$6),IF(AND(COUNT(H473:H484)=12,COUNT(F473:F484)=12),cubic_spline(F472:F484,H472:H484,B$6),""))))))))))))</f>
        <v/>
      </c>
      <c r="K477" s="52" t="str">
        <f>IF(N(B$6)=0,"",IF(AND(COUNT(A473:A484)=2,COUNT(F473:F484)=2),cubic_spline(F472:F474,A472:A474,B$6),IF(AND(COUNT(A473:A484)=3,COUNT(F473:F484)=3),cubic_spline(F472:F475,A472:A475,B$6),IF(AND(COUNT(A473:A484)=4,COUNT(F473:F484)=4),cubic_spline(F472:F476,A472:A476,B$6),IF(AND(COUNT(A473:A484)=5,COUNT(F473:F484)=5),cubic_spline(F472:F477,A472:A477,B$6),IF(AND(COUNT(A473:A484)=6,COUNT(F473:F484)=6),cubic_spline(F472:F478,A472:A478,B$6),IF(AND(COUNT(A473:A484)=7,COUNT(F473:F484)=7),cubic_spline(F472:F479,A472:A479,B$6),IF(AND(COUNT(A473:A484)=8,COUNT(F473:F484)=8),cubic_spline(F472:F480,A472:A480,B$6),IF(AND(COUNT(A473:A484)=9,COUNT(F473:F484)=9),cubic_spline(F472:F481,A472:A481,B$6),IF(AND(COUNT(A473:A484)=10,COUNT(F473:F484)=10),cubic_spline(F472:F482,A472:A482,B$6),IF(AND(COUNT(A473:A484)=11,COUNT(F473:F484)=11),cubic_spline(F472:F483,A472:A483,B$6),IF(AND(COUNT(A473:A484)=12,COUNT(F473:F484)=12),cubic_spline(F472:F484,A472:A484,B$6),""))))))))))))</f>
        <v/>
      </c>
      <c r="L477" s="27" t="str">
        <f>IF(I477="","",B$5&amp;"-"&amp;B$6)</f>
        <v/>
      </c>
      <c r="M477" s="52" t="str">
        <f>IF(N(J477)=0,"",J477-J476)</f>
        <v/>
      </c>
    </row>
    <row r="478" spans="1:13" x14ac:dyDescent="0.35">
      <c r="A478" s="48"/>
      <c r="B478" s="48"/>
      <c r="C478" s="50"/>
      <c r="D478" s="50"/>
      <c r="E478" s="51" t="str">
        <f t="shared" si="178"/>
        <v/>
      </c>
      <c r="F478" s="71" t="str">
        <f t="shared" si="176"/>
        <v/>
      </c>
      <c r="G478" s="69" t="str">
        <f t="shared" si="179"/>
        <v/>
      </c>
      <c r="H478" s="70" t="str">
        <f t="shared" si="177"/>
        <v/>
      </c>
      <c r="I478" s="27" t="str">
        <f>IF(N(J478)=0,"",0&amp;"-"&amp;B$7)</f>
        <v/>
      </c>
      <c r="J478" s="52" t="str">
        <f>IF(N(B$7)=0,"",IF(AND(COUNT(H473:H484)=2,COUNT(F473:F484)=2),cubic_spline(F472:F474,H472:H474,B$7),IF(AND(COUNT(H473:H484)=3,COUNT(F473:F484)=3),cubic_spline(F472:F475,H472:H475,B$7),IF(AND(COUNT(H473:H484)=4,COUNT(F473:F484)=4),cubic_spline(F472:F476,H472:H476,B$7),IF(AND(COUNT(H473:H484)=5,COUNT(F473:F484)=5),cubic_spline(F472:F477,H472:H477,B$7),IF(AND(COUNT(H473:H484)=6,COUNT(F473:F484)=6),cubic_spline(F472:F478,H472:H478,B$7),IF(AND(COUNT(H473:H484)=7,COUNT(F473:F484)=7),cubic_spline(F472:F479,H472:H479,B$7),IF(AND(COUNT(H473:H484)=8,COUNT(F473:F484)=8),cubic_spline(F472:F480,H472:H480,B$7),IF(AND(COUNT(H473:H484)=9,COUNT(F473:F484)=9),cubic_spline(F472:F481,H472:H481,B$7),IF(AND(COUNT(H473:H484)=10,COUNT(F473:F484)=10),cubic_spline(F472:F482,H472:H482,B$7),IF(AND(COUNT(H473:H484)=11,COUNT(F473:F484)=11),cubic_spline(F472:F483,H472:H483,B$7),IF(AND(COUNT(H473:H484)=12,COUNT(F473:F484)=12),cubic_spline(F472:F484,H472:H484,B$7),""))))))))))))</f>
        <v/>
      </c>
      <c r="K478" s="52" t="str">
        <f>IF(N(B$7)=0,"",IF(AND(COUNT(A473:A484)=2,COUNT(F473:F484)=2),cubic_spline(F472:F474,A472:A474,B$7),IF(AND(COUNT(A473:A484)=3,COUNT(F473:F484)=3),cubic_spline(F472:F475,A472:A475,B$7),IF(AND(COUNT(A473:A484)=4,COUNT(F473:F484)=4),cubic_spline(F472:F476,A472:A476,B$7),IF(AND(COUNT(A473:A484)=5,COUNT(F473:F484)=5),cubic_spline(F472:F477,A472:A477,B$7),IF(AND(COUNT(A473:A484)=6,COUNT(F473:F484)=6),cubic_spline(F472:F478,A472:A478,B$7),IF(AND(COUNT(A473:A484)=7,COUNT(F473:F484)=7),cubic_spline(F472:F479,A472:A479,B$7),IF(AND(COUNT(A473:A484)=8,COUNT(F473:F484)=8),cubic_spline(F472:F480,A472:A480,B$7),IF(AND(COUNT(A473:A484)=9,COUNT(F473:F484)=9),cubic_spline(F472:F481,A472:A481,B$7),IF(AND(COUNT(A473:A484)=10,COUNT(F473:F484)=10),cubic_spline(F472:F482,A472:A482,B$7),IF(AND(COUNT(A473:A484)=11,COUNT(F473:F484)=11),cubic_spline(F472:F483,A472:A483,B$7),IF(AND(COUNT(A473:A484)=12,COUNT(F473:F484)=12),cubic_spline(F472:F484,A472:A484,B$7),""))))))))))))</f>
        <v/>
      </c>
      <c r="L478" s="27" t="str">
        <f>IF(I478="","",B$6&amp;"-"&amp;B$7)</f>
        <v/>
      </c>
      <c r="M478" s="52" t="str">
        <f t="shared" ref="M478:M484" si="180">IF(N(J478)=0,"",J478-J477)</f>
        <v/>
      </c>
    </row>
    <row r="479" spans="1:13" x14ac:dyDescent="0.35">
      <c r="A479" s="48"/>
      <c r="B479" s="48"/>
      <c r="C479" s="50"/>
      <c r="D479" s="50"/>
      <c r="E479" s="51" t="str">
        <f t="shared" si="178"/>
        <v/>
      </c>
      <c r="F479" s="71" t="str">
        <f t="shared" si="176"/>
        <v/>
      </c>
      <c r="G479" s="69" t="str">
        <f t="shared" si="179"/>
        <v/>
      </c>
      <c r="H479" s="70" t="str">
        <f t="shared" si="177"/>
        <v/>
      </c>
      <c r="I479" s="27" t="str">
        <f>IF(N(J479)=0,"",0&amp;"-"&amp;B$8)</f>
        <v/>
      </c>
      <c r="J479" s="52" t="str">
        <f>IF(N(B$8)=0,"",IF(AND(COUNT(H473:H484)=2,COUNT(F473:F484)=2),cubic_spline(F472:F474,H472:H474,B$8),IF(AND(COUNT(H473:H484)=3,COUNT(F473:F484)=3),cubic_spline(F472:F475,H472:H475,B$8),IF(AND(COUNT(H473:H484)=4,COUNT(F473:F484)=4),cubic_spline(F472:F476,H472:H476,B$8),IF(AND(COUNT(H473:H484)=5,COUNT(F473:F484)=5),cubic_spline(F472:F477,H472:H477,B$8),IF(AND(COUNT(H473:H484)=6,COUNT(F473:F484)=6),cubic_spline(F472:F478,H472:H478,B$8),IF(AND(COUNT(H473:H484)=7,COUNT(F473:F484)=7),cubic_spline(F472:F479,H472:H479,B$8),IF(AND(COUNT(H473:H484)=8,COUNT(F473:F484)=8),cubic_spline(F472:F480,H472:H480,B$8),IF(AND(COUNT(H473:H484)=9,COUNT(F473:F484)=9),cubic_spline(F472:F481,H472:H481,B$8),IF(AND(COUNT(H473:H484)=10,COUNT(F473:F484)=10),cubic_spline(F472:F482,H472:H482,B$8),IF(AND(COUNT(H473:H484)=11,COUNT(F473:F484)=11),cubic_spline(F472:F483,H472:H483,B$8),IF(AND(COUNT(H473:H484)=12,COUNT(F473:F484)=12),cubic_spline(F472:F484,H472:H484,B$8),""))))))))))))</f>
        <v/>
      </c>
      <c r="K479" s="52" t="str">
        <f>IF(N(B$8)=0,"",IF(AND(COUNT(A473:A484)=2,COUNT(F473:F484)=2),cubic_spline(F472:F474,A472:A474,B$8),IF(AND(COUNT(A473:A484)=3,COUNT(F473:F484)=3),cubic_spline(F472:F475,A472:A475,B$8),IF(AND(COUNT(A473:A484)=4,COUNT(F473:F484)=4),cubic_spline(F472:F476,A472:A476,B$8),IF(AND(COUNT(A473:A484)=5,COUNT(F473:F484)=5),cubic_spline(F472:F477,A472:A477,B$8),IF(AND(COUNT(A473:A484)=6,COUNT(F473:F484)=6),cubic_spline(F472:F478,A472:A478,B$8),IF(AND(COUNT(A473:A484)=7,COUNT(F473:F484)=7),cubic_spline(F472:F479,A472:A479,B$8),IF(AND(COUNT(A473:A484)=8,COUNT(F473:F484)=8),cubic_spline(F472:F480,A472:A480,B$8),IF(AND(COUNT(A473:A484)=9,COUNT(F473:F484)=9),cubic_spline(F472:F481,A472:A481,B$8),IF(AND(COUNT(A473:A484)=10,COUNT(F473:F484)=10),cubic_spline(F472:F482,A472:A482,B$8),IF(AND(COUNT(A473:A484)=11,COUNT(F473:F484)=11),cubic_spline(F472:F483,A472:A483,B$8),IF(AND(COUNT(A473:A484)=12,COUNT(F473:F484)=12),cubic_spline(F472:F484,A472:A484,B$8),""))))))))))))</f>
        <v/>
      </c>
      <c r="L479" s="27" t="str">
        <f>IF(I479="","",B$7&amp;"-"&amp;B$8)</f>
        <v/>
      </c>
      <c r="M479" s="52" t="str">
        <f t="shared" si="180"/>
        <v/>
      </c>
    </row>
    <row r="480" spans="1:13" x14ac:dyDescent="0.35">
      <c r="A480" s="48"/>
      <c r="B480" s="48"/>
      <c r="C480" s="50"/>
      <c r="D480" s="50"/>
      <c r="E480" s="51" t="str">
        <f t="shared" si="178"/>
        <v/>
      </c>
      <c r="F480" s="71" t="str">
        <f t="shared" si="176"/>
        <v/>
      </c>
      <c r="G480" s="69" t="str">
        <f t="shared" si="179"/>
        <v/>
      </c>
      <c r="H480" s="70" t="str">
        <f t="shared" si="177"/>
        <v/>
      </c>
      <c r="I480" s="27" t="str">
        <f>IF(N(J480)=0,"",0&amp;"-"&amp;B$9)</f>
        <v/>
      </c>
      <c r="J480" s="52" t="str">
        <f>IF(N(B$9)=0,"",IF(AND(COUNT(H473:H484)=2,COUNT(F473:F484)=2),cubic_spline(F472:F474,H472:H474,B$9),IF(AND(COUNT(H473:H484)=3,COUNT(F473:F484)=3),cubic_spline(F472:F475,H472:H475,B$9),IF(AND(COUNT(H473:H484)=4,COUNT(F473:F484)=4),cubic_spline(F472:F476,H472:H476,B$9),IF(AND(COUNT(H473:H484)=5,COUNT(F473:F484)=5),cubic_spline(F472:F477,H472:H477,B$9),IF(AND(COUNT(H473:H484)=6,COUNT(F473:F484)=6),cubic_spline(F472:F478,H472:H478,B$9),IF(AND(COUNT(H473:H484)=7,COUNT(F473:F484)=7),cubic_spline(F472:F479,H472:H479,B$9),IF(AND(COUNT(H473:H484)=8,COUNT(F473:F484)=8),cubic_spline(F472:F480,H472:H480,B$9),IF(AND(COUNT(H473:H484)=9,COUNT(F473:F484)=9),cubic_spline(F472:F481,H472:H481,B$9),IF(AND(COUNT(H473:H484)=10,COUNT(F473:F484)=10),cubic_spline(F472:F482,H472:H482,B$9),IF(AND(COUNT(H473:H484)=11,COUNT(F473:F484)=11),cubic_spline(F472:F483,H472:H483,B$9),IF(AND(COUNT(H473:H484)=12,COUNT(F473:F484)=12),cubic_spline(F472:F484,H472:H484,B$9),""))))))))))))</f>
        <v/>
      </c>
      <c r="K480" s="52" t="str">
        <f>IF(N(B$9)=0,"",IF(AND(COUNT(A473:A484)=2,COUNT(F473:F484)=2),cubic_spline(F472:F474,A472:A474,B$9),IF(AND(COUNT(A473:A484)=3,COUNT(F473:F484)=3),cubic_spline(F472:F475,A472:A475,B$9),IF(AND(COUNT(A473:A484)=4,COUNT(F473:F484)=4),cubic_spline(F472:F476,A472:A476,B$9),IF(AND(COUNT(A473:A484)=5,COUNT(F473:F484)=5),cubic_spline(F472:F477,A472:A477,B$9),IF(AND(COUNT(A473:A484)=6,COUNT(F473:F484)=6),cubic_spline(F472:F478,A472:A478,B$9),IF(AND(COUNT(A473:A484)=7,COUNT(F473:F484)=7),cubic_spline(F472:F479,A472:A479,B$9),IF(AND(COUNT(A473:A484)=8,COUNT(F473:F484)=8),cubic_spline(F472:F480,A472:A480,B$9),IF(AND(COUNT(A473:A484)=9,COUNT(F473:F484)=9),cubic_spline(F472:F481,A472:A481,B$9),IF(AND(COUNT(A473:A484)=10,COUNT(F473:F484)=10),cubic_spline(F472:F482,A472:A482,B$9),IF(AND(COUNT(A473:A484)=11,COUNT(F473:F484)=11),cubic_spline(F472:F483,A472:A483,B$9),IF(AND(COUNT(A473:A484)=12,COUNT(F473:F484)=12),cubic_spline(F472:F484,A472:A484,B$9),""))))))))))))</f>
        <v/>
      </c>
      <c r="L480" s="27" t="str">
        <f>IF(I480="","",B$8&amp;"-"&amp;B$9)</f>
        <v/>
      </c>
      <c r="M480" s="52" t="str">
        <f t="shared" si="180"/>
        <v/>
      </c>
    </row>
    <row r="481" spans="1:13" x14ac:dyDescent="0.35">
      <c r="A481" s="48"/>
      <c r="B481" s="48"/>
      <c r="C481" s="50"/>
      <c r="D481" s="50"/>
      <c r="E481" s="51" t="str">
        <f t="shared" si="178"/>
        <v/>
      </c>
      <c r="F481" s="71" t="str">
        <f t="shared" si="176"/>
        <v/>
      </c>
      <c r="G481" s="69" t="str">
        <f t="shared" si="179"/>
        <v/>
      </c>
      <c r="H481" s="70" t="str">
        <f t="shared" si="177"/>
        <v/>
      </c>
      <c r="I481" s="27" t="str">
        <f>IF(N(J481)=0,"",0&amp;"-"&amp;B$10)</f>
        <v/>
      </c>
      <c r="J481" s="52" t="str">
        <f>IF(N(B$10)=0,"",IF(AND(COUNT(H473:H484)=2,COUNT(F473:F484)=2),cubic_spline(F472:F474,H472:H474,B$10),IF(AND(COUNT(H473:H484)=3,COUNT(F473:F484)=3),cubic_spline(F472:F475,H472:H475,B$10),IF(AND(COUNT(H473:H484)=4,COUNT(F473:F484)=4),cubic_spline(F472:F476,H472:H476,B$10),IF(AND(COUNT(H473:H484)=5,COUNT(F473:F484)=5),cubic_spline(F472:F477,H472:H477,B$10),IF(AND(COUNT(H473:H484)=6,COUNT(F473:F484)=6),cubic_spline(F472:F478,H472:H478,B$10),IF(AND(COUNT(H473:H484)=7,COUNT(F473:F484)=7),cubic_spline(F472:F479,H472:H479,B$10),IF(AND(COUNT(H473:H484)=8,COUNT(F473:F484)=8),cubic_spline(F472:F480,H472:H480,B$10),IF(AND(COUNT(H473:H484)=9,COUNT(F473:F484)=9),cubic_spline(F472:F481,H472:H481,B$10),IF(AND(COUNT(H473:H484)=10,COUNT(F473:F484)=10),cubic_spline(F472:F482,H472:H482,B$10),IF(AND(COUNT(H473:H484)=11,COUNT(F473:F484)=11),cubic_spline(F472:F483,H472:H483,B$10),IF(AND(COUNT(H473:H484)=12,COUNT(F473:F484)=12),cubic_spline(F472:F484,H472:H484,B$10),""))))))))))))</f>
        <v/>
      </c>
      <c r="K481" s="52" t="str">
        <f>IF(N(B$10)=0,"",IF(AND(COUNT(A473:A484)=2,COUNT(F473:F484)=2),cubic_spline(F472:F474,A472:A474,B$10),IF(AND(COUNT(A473:A484)=3,COUNT(F473:F484)=3),cubic_spline(F472:F475,A472:A475,B$10),IF(AND(COUNT(A473:A484)=4,COUNT(F473:F484)=4),cubic_spline(F472:F476,A472:A476,B$10),IF(AND(COUNT(A473:A484)=5,COUNT(F473:F484)=5),cubic_spline(F472:F477,A472:A477,B$10),IF(AND(COUNT(A473:A484)=6,COUNT(F473:F484)=6),cubic_spline(F472:F478,A472:A478,B$10),IF(AND(COUNT(A473:A484)=7,COUNT(F473:F484)=7),cubic_spline(F472:F479,A472:A479,B$10),IF(AND(COUNT(A473:A484)=8,COUNT(F473:F484)=8),cubic_spline(F472:F480,A472:A480,B$10),IF(AND(COUNT(A473:A484)=9,COUNT(F473:F484)=9),cubic_spline(F472:F481,A472:A481,B$10),IF(AND(COUNT(A473:A484)=10,COUNT(F473:F484)=10),cubic_spline(F472:F482,A472:A482,B$10),IF(AND(COUNT(A473:A484)=11,COUNT(F473:F484)=11),cubic_spline(F472:F483,A472:A483,B$10),IF(AND(COUNT(A473:A484)=12,COUNT(F473:F484)=12),cubic_spline(F472:F484,A472:A484,B$10),""))))))))))))</f>
        <v/>
      </c>
      <c r="L481" s="27" t="str">
        <f>IF(I481="","",B$9&amp;"-"&amp;B$10)</f>
        <v/>
      </c>
      <c r="M481" s="52" t="str">
        <f t="shared" si="180"/>
        <v/>
      </c>
    </row>
    <row r="482" spans="1:13" x14ac:dyDescent="0.35">
      <c r="A482" s="48"/>
      <c r="B482" s="48"/>
      <c r="C482" s="50"/>
      <c r="D482" s="50"/>
      <c r="E482" s="51" t="str">
        <f t="shared" si="178"/>
        <v/>
      </c>
      <c r="F482" s="71" t="str">
        <f t="shared" si="176"/>
        <v/>
      </c>
      <c r="G482" s="69" t="str">
        <f t="shared" si="179"/>
        <v/>
      </c>
      <c r="H482" s="70" t="str">
        <f t="shared" si="177"/>
        <v/>
      </c>
      <c r="I482" s="27" t="str">
        <f>IF(N(J482)=0,"",0&amp;"-"&amp;B$11)</f>
        <v/>
      </c>
      <c r="J482" s="52" t="str">
        <f>IF(N(B$11)=0,"",IF(AND(COUNT(H473:H484)=2,COUNT(F473:F484)=2),cubic_spline(F472:F474,H472:H474,B$11),IF(AND(COUNT(H473:H484)=3,COUNT(F473:F484)=3),cubic_spline(F472:F475,H472:H475,B$11),IF(AND(COUNT(H473:H484)=4,COUNT(F473:F484)=4),cubic_spline(F472:F476,H472:H476,B$11),IF(AND(COUNT(H473:H484)=5,COUNT(F473:F484)=5),cubic_spline(F472:F477,H472:H477,B$11),IF(AND(COUNT(H473:H484)=6,COUNT(F473:F484)=6),cubic_spline(F472:F478,H472:H478,B$11),IF(AND(COUNT(H473:H484)=7,COUNT(F473:F484)=7),cubic_spline(F472:F479,H472:H479,B$11),IF(AND(COUNT(H473:H484)=8,COUNT(F473:F484)=8),cubic_spline(F472:F480,H472:H480,B$11),IF(AND(COUNT(H473:H484)=9,COUNT(F473:F484)=9),cubic_spline(F472:F481,H472:H481,B$11),IF(AND(COUNT(H473:H484)=10,COUNT(F473:F484)=10),cubic_spline(F472:F482,H472:H482,B$11),IF(AND(COUNT(H473:H484)=11,COUNT(F473:F484)=11),cubic_spline(F472:F483,H472:H483,B$11),IF(AND(COUNT(H473:H484)=12,COUNT(F473:F484)=12),cubic_spline(F472:F484,H472:H484,B$11),""))))))))))))</f>
        <v/>
      </c>
      <c r="K482" s="52" t="str">
        <f>IF(N(B$11)=0,"",IF(AND(COUNT(A473:A484)=2,COUNT(F473:F484)=2),cubic_spline(F472:F474,A472:A474,B$11),IF(AND(COUNT(A473:A484)=3,COUNT(F473:F484)=3),cubic_spline(F472:F475,A472:A475,B$11),IF(AND(COUNT(A473:A484)=4,COUNT(F473:F484)=4),cubic_spline(F472:F476,A472:A476,B$11),IF(AND(COUNT(A473:A484)=5,COUNT(F473:F484)=5),cubic_spline(F472:F477,A472:A477,B$11),IF(AND(COUNT(A473:A484)=6,COUNT(F473:F484)=6),cubic_spline(F472:F478,A472:A478,B$11),IF(AND(COUNT(A473:A484)=7,COUNT(F473:F484)=7),cubic_spline(F472:F479,A472:A479,B$11),IF(AND(COUNT(A473:A484)=8,COUNT(F473:F484)=8),cubic_spline(F472:F480,A472:A480,B$11),IF(AND(COUNT(A473:A484)=9,COUNT(F473:F484)=9),cubic_spline(F472:F481,A472:A481,B$11),IF(AND(COUNT(A473:A484)=10,COUNT(F473:F484)=10),cubic_spline(F472:F482,A472:A482,B$11),IF(AND(COUNT(A473:A484)=11,COUNT(F473:F484)=11),cubic_spline(F472:F483,A472:A483,B$11),IF(AND(COUNT(A473:A484)=12,COUNT(F473:F484)=12),cubic_spline(F472:F484,A472:A484,B$11),""))))))))))))</f>
        <v/>
      </c>
      <c r="L482" s="27" t="str">
        <f>IF(I482="","",B$10&amp;"-"&amp;B$11)</f>
        <v/>
      </c>
      <c r="M482" s="52" t="str">
        <f t="shared" si="180"/>
        <v/>
      </c>
    </row>
    <row r="483" spans="1:13" x14ac:dyDescent="0.35">
      <c r="A483" s="48"/>
      <c r="B483" s="48"/>
      <c r="C483" s="50"/>
      <c r="D483" s="50"/>
      <c r="E483" s="51" t="str">
        <f t="shared" si="178"/>
        <v/>
      </c>
      <c r="F483" s="71" t="str">
        <f t="shared" si="176"/>
        <v/>
      </c>
      <c r="G483" s="69" t="str">
        <f t="shared" si="179"/>
        <v/>
      </c>
      <c r="H483" s="70" t="str">
        <f t="shared" si="177"/>
        <v/>
      </c>
      <c r="I483" s="27" t="str">
        <f>IF(N(J483)=0,"",0&amp;"-"&amp;B$12)</f>
        <v/>
      </c>
      <c r="J483" s="52" t="str">
        <f>IF(N(B$12)=0,"",IF(AND(COUNT(H473:H484)=2,COUNT(F473:F484)=2),cubic_spline(F472:F474,H472:H474,B$12),IF(AND(COUNT(H473:H484)=3,COUNT(F473:F484)=3),cubic_spline(F472:F475,H472:H475,B$12),IF(AND(COUNT(H473:H484)=4,COUNT(F473:F484)=4),cubic_spline(F472:F476,H472:H476,B$12),IF(AND(COUNT(H473:H484)=5,COUNT(F473:F484)=5),cubic_spline(F472:F477,H472:H477,B$12),IF(AND(COUNT(H473:H484)=6,COUNT(F473:F484)=6),cubic_spline(F472:F478,H472:H478,B$12),IF(AND(COUNT(H473:H484)=7,COUNT(F473:F484)=7),cubic_spline(F472:F479,H472:H479,B$12),IF(AND(COUNT(H473:H484)=8,COUNT(F473:F484)=8),cubic_spline(F472:F480,H472:H480,B$12),IF(AND(COUNT(H473:H484)=9,COUNT(F473:F484)=9),cubic_spline(F472:F481,H472:H481,B$12),IF(AND(COUNT(H473:H484)=10,COUNT(F473:F484)=10),cubic_spline(F472:F482,H472:H482,B$12),IF(AND(COUNT(H473:H484)=11,COUNT(F473:F484)=11),cubic_spline(F472:F483,H472:H483,B$12),IF(AND(COUNT(H473:H484)=12,COUNT(F473:F484)=12),cubic_spline(F472:F484,H472:H484,B$12),""))))))))))))</f>
        <v/>
      </c>
      <c r="K483" s="52" t="str">
        <f>IF(N(B$12)=0,"",IF(AND(COUNT(A473:A484)=2,COUNT(F473:F484)=2),cubic_spline(F472:F474,A472:A474,B$12),IF(AND(COUNT(A473:A484)=3,COUNT(F473:F484)=3),cubic_spline(F472:F475,A472:A475,B$12),IF(AND(COUNT(A473:A484)=4,COUNT(F473:F484)=4),cubic_spline(F472:F476,A472:A476,B$12),IF(AND(COUNT(A473:A484)=5,COUNT(F473:F484)=5),cubic_spline(F472:F477,A472:A477,B$12),IF(AND(COUNT(A473:A484)=6,COUNT(F473:F484)=6),cubic_spline(F472:F478,A472:A478,B$12),IF(AND(COUNT(A473:A484)=7,COUNT(F473:F484)=7),cubic_spline(F472:F479,A472:A479,B$12),IF(AND(COUNT(A473:A484)=8,COUNT(F473:F484)=8),cubic_spline(F472:F480,A472:A480,B$12),IF(AND(COUNT(A473:A484)=9,COUNT(F473:F484)=9),cubic_spline(F472:F481,A472:A481,B$12),IF(AND(COUNT(A473:A484)=10,COUNT(F473:F484)=10),cubic_spline(F472:F482,A472:A482,B$12),IF(AND(COUNT(A473:A484)=11,COUNT(F473:F484)=11),cubic_spline(F472:F483,A472:A483,B$12),IF(AND(COUNT(A473:A484)=12,COUNT(F473:F484)=12),cubic_spline(F472:F484,A472:A484,B$12),""))))))))))))</f>
        <v/>
      </c>
      <c r="L483" s="27" t="str">
        <f>IF(I483="","",B$11&amp;"-"&amp;B$12)</f>
        <v/>
      </c>
      <c r="M483" s="52" t="str">
        <f t="shared" si="180"/>
        <v/>
      </c>
    </row>
    <row r="484" spans="1:13" x14ac:dyDescent="0.35">
      <c r="A484" s="48"/>
      <c r="B484" s="48"/>
      <c r="C484" s="50"/>
      <c r="D484" s="50"/>
      <c r="E484" s="51" t="str">
        <f t="shared" si="178"/>
        <v/>
      </c>
      <c r="F484" s="71" t="str">
        <f t="shared" si="176"/>
        <v/>
      </c>
      <c r="G484" s="69" t="str">
        <f t="shared" si="179"/>
        <v/>
      </c>
      <c r="H484" s="70" t="str">
        <f t="shared" si="177"/>
        <v/>
      </c>
      <c r="I484" s="27" t="str">
        <f>IF(N(J484)=0,"",0&amp;"-"&amp;B$13)</f>
        <v/>
      </c>
      <c r="J484" s="52" t="str">
        <f>IF(N(B$13)=0,"",IF(AND(COUNT(H473:H484)=2,COUNT(F473:F484)=2),cubic_spline(F472:F474,H472:H474,B$13),IF(AND(COUNT(H473:H484)=3,COUNT(F473:F484)=3),cubic_spline(F472:F475,H472:H475,B$13),IF(AND(COUNT(H473:H484)=4,COUNT(F473:F484)=4),cubic_spline(F472:F476,H472:H476,B$13),IF(AND(COUNT(H473:H484)=5,COUNT(F473:F484)=5),cubic_spline(F472:F477,H472:H477,B$13),IF(AND(COUNT(H473:H484)=6,COUNT(F473:F484)=6),cubic_spline(F472:F478,H472:H478,B$13),IF(AND(COUNT(H473:H484)=7,COUNT(F473:F484)=7),cubic_spline(F472:F479,H472:H479,B$13),IF(AND(COUNT(H473:H484)=8,COUNT(F473:F484)=8),cubic_spline(F472:F480,H472:H480,B$13),IF(AND(COUNT(H473:H484)=9,COUNT(F473:F484)=9),cubic_spline(F472:F481,H472:H481,B$13),IF(AND(COUNT(H473:H484)=10,COUNT(F473:F484)=10),cubic_spline(F472:F482,H472:H482,B$13),IF(AND(COUNT(H473:H484)=11,COUNT(F473:F484)=11),cubic_spline(F472:F483,H472:H483,B$13),IF(AND(COUNT(H473:H484)=12,COUNT(F473:F484)=12),cubic_spline(F472:F484,H472:H484,B$13),""))))))))))))</f>
        <v/>
      </c>
      <c r="K484" s="52" t="str">
        <f>IF(N(B$13)=0,"",IF(AND(COUNT(A473:A484)=2,COUNT(F473:F484)=2),cubic_spline(F472:F474,A472:A474,B$13),IF(AND(COUNT(A473:A484)=3,COUNT(F473:F484)=3),cubic_spline(F472:F475,A472:A475,B$13),IF(AND(COUNT(A473:A484)=4,COUNT(F473:F484)=4),cubic_spline(F472:F476,A472:A476,B$13),IF(AND(COUNT(A473:A484)=5,COUNT(F473:F484)=5),cubic_spline(F472:F477,A472:A477,B$13),IF(AND(COUNT(A473:A484)=6,COUNT(F473:F484)=6),cubic_spline(F472:F478,A472:A478,B$13),IF(AND(COUNT(A473:A484)=7,COUNT(F473:F484)=7),cubic_spline(F472:F479,A472:A479,B$13),IF(AND(COUNT(A473:A484)=8,COUNT(F473:F484)=8),cubic_spline(F472:F480,A472:A480,B$13),IF(AND(COUNT(A473:A484)=9,COUNT(F473:F484)=9),cubic_spline(F472:F481,A472:A481,B$13),IF(AND(COUNT(A473:A484)=10,COUNT(F473:F484)=10),cubic_spline(F472:F482,A472:A482,B$13),IF(AND(COUNT(A473:A484)=11,COUNT(F473:F484)=11),cubic_spline(F472:F483,A472:A483,B$13),IF(AND(COUNT(A473:A484)=12,COUNT(F473:F484)=12),cubic_spline(F472:F484,A472:A484,B$13),""))))))))))))</f>
        <v/>
      </c>
      <c r="L484" s="27" t="str">
        <f>IF(I484="","",B$12&amp;"-"&amp;B$13)</f>
        <v/>
      </c>
      <c r="M484" s="52" t="str">
        <f t="shared" si="180"/>
        <v/>
      </c>
    </row>
    <row r="485" spans="1:13" ht="5.15" customHeight="1" x14ac:dyDescent="0.35">
      <c r="A485" s="47"/>
      <c r="B485" s="47"/>
      <c r="C485" s="53"/>
      <c r="D485" s="53"/>
      <c r="E485" s="54"/>
      <c r="F485" s="55"/>
      <c r="G485" s="72"/>
      <c r="H485" s="73"/>
      <c r="I485" s="47"/>
      <c r="J485" s="57"/>
      <c r="K485" s="57"/>
      <c r="L485" s="55"/>
      <c r="M485" s="57"/>
    </row>
    <row r="486" spans="1:13" x14ac:dyDescent="0.35">
      <c r="A486" s="48"/>
      <c r="B486" s="48"/>
      <c r="C486" s="50"/>
      <c r="D486" s="50"/>
      <c r="E486" s="51" t="str">
        <f>IF(N(C486)=0,"",(A486-A485)*C486*100)</f>
        <v/>
      </c>
      <c r="F486" s="68" t="str">
        <f t="shared" ref="F486:F497" si="181">IF(N(E486)=0,"",(N(E486)+N(F485)))</f>
        <v/>
      </c>
      <c r="G486" s="69" t="str">
        <f>IF(OR(N(D486)=0,N(E486)=0),"",(E486*D486)/1000)</f>
        <v/>
      </c>
      <c r="H486" s="70" t="str">
        <f t="shared" ref="H486:H497" si="182">IF(N(G486)=0,"",(N(G486)+N(H485)))</f>
        <v/>
      </c>
      <c r="I486" s="27" t="str">
        <f>IF(N(J486)=0,"",0&amp;"-"&amp;B$2)</f>
        <v/>
      </c>
      <c r="J486" s="52" t="str">
        <f>IF(N(B$2)=0,"",IF(AND(COUNT(H486:H497)=2,COUNT(F486:F497)=2),cubic_spline(F485:F487,H485:H487,B$2),IF(AND(COUNT(H486:H497)=3,COUNT(F486:F497)=3),cubic_spline(F485:F488,H485:H488,B$2),IF(AND(COUNT(H486:H497)=4,COUNT(F486:F497)=4),cubic_spline(F485:F489,H485:H489,B$2),IF(AND(COUNT(H486:H497)=5,COUNT(F486:F497)=5),cubic_spline(F485:F490,H485:H490,B$2),IF(AND(COUNT(H486:H497)=6,COUNT(F486:F497)=6),cubic_spline(F485:F491,H485:H491,B$2),IF(AND(COUNT(H486:H497)=7,COUNT(F486:F497)=7),cubic_spline(F485:F492,H485:H492,B$2),IF(AND(COUNT(H486:H497)=8,COUNT(F486:F497)=8),cubic_spline(F485:F493,H485:H493,B$2),IF(AND(COUNT(H486:H497)=9,COUNT(F486:F497)=9),cubic_spline(F485:F494,H485:H494,B$2),IF(AND(COUNT(H486:H497)=10,COUNT(F486:F497)=10),cubic_spline(F485:F495,H485:H495,B$2),IF(AND(COUNT(H486:H497)=11,COUNT(F486:F497)=11),cubic_spline(F485:F496,H485:H496,B$2),IF(AND(COUNT(H486:H497)=12,COUNT(F486:F497)=12),cubic_spline(F485:F497,H485:H497,B$2),""))))))))))))</f>
        <v/>
      </c>
      <c r="K486" s="52" t="str">
        <f>IF(N(B$2)=0,"",IF(AND(COUNT(A486:A497)=2,COUNT(F486:F497)=2),cubic_spline(F485:F487,A485:A487,B$2),IF(AND(COUNT(A486:A497)=3,COUNT(F486:F497)=3),cubic_spline(F485:F488,A485:A488,B$2),IF(AND(COUNT(A486:A497)=4,COUNT(F486:F497)=4),cubic_spline(F485:F489,A485:A489,B$2),IF(AND(COUNT(A486:A497)=5,COUNT(F486:F497)=5),cubic_spline(F485:F490,A485:A490,B$2),IF(AND(COUNT(A486:A497)=6,COUNT(F486:F497)=6),cubic_spline(F485:F491,A485:A491,B$2),IF(AND(COUNT(A486:A497)=7,COUNT(F486:F497)=7),cubic_spline(F485:F492,A485:A492,B$2),IF(AND(COUNT(A486:A497)=8,COUNT(F486:F497)=8),cubic_spline(F485:F493,A485:A493,B$2),IF(AND(COUNT(A486:A497)=9,COUNT(F486:F497)=9),cubic_spline(F485:F494,A485:A494,B$2),IF(AND(COUNT(A486:A497)=10,COUNT(F486:F497)=10),cubic_spline(F485:F495,A485:A495,B$2),IF(AND(COUNT(A486:A497)=11,COUNT(F486:F497)=11),cubic_spline(F485:F496,A485:A496,B$2),IF(AND(COUNT(A486:A497)=12,COUNT(F486:F497)=12),cubic_spline(F485:F497,A485:A497,B$2),""))))))))))))</f>
        <v/>
      </c>
      <c r="L486" s="27" t="str">
        <f>IF(I486="","",0&amp;"-"&amp;B$2)</f>
        <v/>
      </c>
      <c r="M486" s="52" t="str">
        <f>IF(N(J486)=0,"",J486-J485)</f>
        <v/>
      </c>
    </row>
    <row r="487" spans="1:13" x14ac:dyDescent="0.35">
      <c r="A487" s="48"/>
      <c r="B487" s="48"/>
      <c r="C487" s="50"/>
      <c r="D487" s="50"/>
      <c r="E487" s="51" t="str">
        <f t="shared" ref="E487:E497" si="183">IF(N(C487)=0,"",(A487-A486)*C487*100)</f>
        <v/>
      </c>
      <c r="F487" s="68" t="str">
        <f t="shared" si="181"/>
        <v/>
      </c>
      <c r="G487" s="69" t="str">
        <f t="shared" ref="G487:G497" si="184">IF(OR(N(D487)=0,N(E487)=0),"",(E487*D487)/1000)</f>
        <v/>
      </c>
      <c r="H487" s="70" t="str">
        <f t="shared" si="182"/>
        <v/>
      </c>
      <c r="I487" s="27" t="str">
        <f>IF(N(J487)=0,"",0&amp;"-"&amp;B$3)</f>
        <v/>
      </c>
      <c r="J487" s="52" t="str">
        <f>IF(N(B$3)=0,"",IF(AND(COUNT(H486:H497)=2,COUNT(F486:F497)=2),cubic_spline(F485:F487,H485:H487,B$3),IF(AND(COUNT(H486:H497)=3,COUNT(F486:F497)=3),cubic_spline(F485:F488,H485:H488,B$3),IF(AND(COUNT(H486:H497)=4,COUNT(F486:F497)=4),cubic_spline(F485:F489,H485:H489,B$3),IF(AND(COUNT(H486:H497)=5,COUNT(F486:F497)=5),cubic_spline(F485:F490,H485:H490,B$3),IF(AND(COUNT(H486:H497)=6,COUNT(F486:F497)=6),cubic_spline(F485:F491,H485:H491,B$3),IF(AND(COUNT(H486:H497)=7,COUNT(F486:F497)=7),cubic_spline(F485:F492,H485:H492,B$3),IF(AND(COUNT(H486:H497)=8,COUNT(F486:F497)=8),cubic_spline(F485:F493,H485:H493,B$3),IF(AND(COUNT(H486:H497)=9,COUNT(F486:F497)=9),cubic_spline(F485:F494,H485:H494,B$3),IF(AND(COUNT(H486:H497)=10,COUNT(F486:F497)=10),cubic_spline(F485:F495,H485:H495,B$3),IF(AND(COUNT(H486:H497)=11,COUNT(F486:F497)=11),cubic_spline(F485:F496,H485:H496,B$3),IF(AND(COUNT(H486:H497)=12,COUNT(F486:F497)=12),cubic_spline(F485:F497,H485:H497,B$3),""))))))))))))</f>
        <v/>
      </c>
      <c r="K487" s="52" t="str">
        <f>IF(N(B$3)=0,"",IF(AND(COUNT(A486:A497)=2,COUNT(F486:F497)=2),cubic_spline(F485:F487,A485:A487,B$3),IF(AND(COUNT(A486:A497)=3,COUNT(F486:F497)=3),cubic_spline(F485:F488,A485:A488,B$3),IF(AND(COUNT(A486:A497)=4,COUNT(F486:F497)=4),cubic_spline(F485:F489,A485:A489,B$3),IF(AND(COUNT(A486:A497)=5,COUNT(F486:F497)=5),cubic_spline(F485:F490,A485:A490,B$3),IF(AND(COUNT(A486:A497)=6,COUNT(F486:F497)=6),cubic_spline(F485:F491,A485:A491,B$3),IF(AND(COUNT(A486:A497)=7,COUNT(F486:F497)=7),cubic_spline(F485:F492,A485:A492,B$3),IF(AND(COUNT(A486:A497)=8,COUNT(F486:F497)=8),cubic_spline(F485:F493,A485:A493,B$3),IF(AND(COUNT(A486:A497)=9,COUNT(F486:F497)=9),cubic_spline(F485:F494,A485:A494,B$3),IF(AND(COUNT(A486:A497)=10,COUNT(F486:F497)=10),cubic_spline(F485:F495,A485:A495,B$3),IF(AND(COUNT(A486:A497)=11,COUNT(F486:F497)=11),cubic_spline(F485:F496,A485:A496,B$3),IF(AND(COUNT(A486:A497)=12,COUNT(F486:F497)=12),cubic_spline(F485:F497,A485:A497,B$3),""))))))))))))</f>
        <v/>
      </c>
      <c r="L487" s="27" t="str">
        <f>IF(I487="","",B$2&amp;"-"&amp;B$3)</f>
        <v/>
      </c>
      <c r="M487" s="52" t="str">
        <f>IF(N(J487)=0,"",J487-J486)</f>
        <v/>
      </c>
    </row>
    <row r="488" spans="1:13" x14ac:dyDescent="0.35">
      <c r="A488" s="48"/>
      <c r="B488" s="48"/>
      <c r="C488" s="50"/>
      <c r="D488" s="50"/>
      <c r="E488" s="51" t="str">
        <f t="shared" si="183"/>
        <v/>
      </c>
      <c r="F488" s="68" t="str">
        <f t="shared" si="181"/>
        <v/>
      </c>
      <c r="G488" s="69" t="str">
        <f t="shared" si="184"/>
        <v/>
      </c>
      <c r="H488" s="70" t="str">
        <f t="shared" si="182"/>
        <v/>
      </c>
      <c r="I488" s="27" t="str">
        <f>IF(N(J488)=0,"",0&amp;"-"&amp;B$4)</f>
        <v/>
      </c>
      <c r="J488" s="52" t="str">
        <f>IF(N(B$4)=0,"",IF(AND(COUNT(H486:H497)=2,COUNT(F486:F497)=2),cubic_spline(F485:F487,H485:H487,B$4),IF(AND(COUNT(H486:H497)=3,COUNT(F486:F497)=3),cubic_spline(F485:F488,H485:H488,B$4),IF(AND(COUNT(H486:H497)=4,COUNT(F486:F497)=4),cubic_spline(F485:F489,H485:H489,B$4),IF(AND(COUNT(H486:H497)=5,COUNT(F486:F497)=5),cubic_spline(F485:F490,H485:H490,B$4),IF(AND(COUNT(H486:H497)=6,COUNT(F486:F497)=6),cubic_spline(F485:F491,H485:H491,B$4),IF(AND(COUNT(H486:H497)=7,COUNT(F486:F497)=7),cubic_spline(F485:F492,H485:H492,B$4),IF(AND(COUNT(H486:H497)=8,COUNT(F486:F497)=8),cubic_spline(F485:F493,H485:H493,B$4),IF(AND(COUNT(H486:H497)=9,COUNT(F486:F497)=9),cubic_spline(F485:F494,H485:H494,B$4),IF(AND(COUNT(H486:H497)=10,COUNT(F486:F497)=10),cubic_spline(F485:F495,H485:H495,B$4),IF(AND(COUNT(H486:H497)=11,COUNT(F486:F497)=11),cubic_spline(F485:F496,H485:H496,B$4),IF(AND(COUNT(H486:H497)=12,COUNT(F486:F497)=12),cubic_spline(F485:F497,H485:H497,B$4),""))))))))))))</f>
        <v/>
      </c>
      <c r="K488" s="52" t="str">
        <f>IF(N(B$4)=0,"",IF(AND(COUNT(A486:A497)=2,COUNT(F486:F497)=2),cubic_spline(F485:F487,A485:A487,B$4),IF(AND(COUNT(A486:A497)=3,COUNT(F486:F497)=3),cubic_spline(F485:F488,A485:A488,B$4),IF(AND(COUNT(A486:A497)=4,COUNT(F486:F497)=4),cubic_spline(F485:F489,A485:A489,B$4),IF(AND(COUNT(A486:A497)=5,COUNT(F486:F497)=5),cubic_spline(F485:F490,A485:A490,B$4),IF(AND(COUNT(A486:A497)=6,COUNT(F486:F497)=6),cubic_spline(F485:F491,A485:A491,B$4),IF(AND(COUNT(A486:A497)=7,COUNT(F486:F497)=7),cubic_spline(F485:F492,A485:A492,B$4),IF(AND(COUNT(A486:A497)=8,COUNT(F486:F497)=8),cubic_spline(F485:F493,A485:A493,B$4),IF(AND(COUNT(A486:A497)=9,COUNT(F486:F497)=9),cubic_spline(F485:F494,A485:A494,B$4),IF(AND(COUNT(A486:A497)=10,COUNT(F486:F497)=10),cubic_spline(F485:F495,A485:A495,B$4),IF(AND(COUNT(A486:A497)=11,COUNT(F486:F497)=11),cubic_spline(F485:F496,A485:A496,B$4),IF(AND(COUNT(A486:A497)=12,COUNT(F486:F497)=12),cubic_spline(F485:F497,A485:A497,B$4),""))))))))))))</f>
        <v/>
      </c>
      <c r="L488" s="27" t="str">
        <f>IF(I488="","",B$3&amp;"-"&amp;B$4)</f>
        <v/>
      </c>
      <c r="M488" s="52" t="str">
        <f>IF(N(J488)=0,"",J488-J487)</f>
        <v/>
      </c>
    </row>
    <row r="489" spans="1:13" x14ac:dyDescent="0.35">
      <c r="A489" s="48"/>
      <c r="B489" s="48"/>
      <c r="C489" s="50"/>
      <c r="D489" s="50"/>
      <c r="E489" s="51" t="str">
        <f t="shared" si="183"/>
        <v/>
      </c>
      <c r="F489" s="68" t="str">
        <f t="shared" si="181"/>
        <v/>
      </c>
      <c r="G489" s="69" t="str">
        <f t="shared" si="184"/>
        <v/>
      </c>
      <c r="H489" s="70" t="str">
        <f t="shared" si="182"/>
        <v/>
      </c>
      <c r="I489" s="27" t="str">
        <f>IF(N(J489)=0,"",0&amp;"-"&amp;B$5)</f>
        <v/>
      </c>
      <c r="J489" s="52" t="str">
        <f>IF(N(B$5)=0,"",IF(AND(COUNT(H486:H497)=2,COUNT(F486:F497)=2),cubic_spline(F485:F487,H485:H487,B$5),IF(AND(COUNT(H486:H497)=3,COUNT(F486:F497)=3),cubic_spline(F485:F488,H485:H488,B$5),IF(AND(COUNT(H486:H497)=4,COUNT(F486:F497)=4),cubic_spline(F485:F489,H485:H489,B$5),IF(AND(COUNT(H486:H497)=5,COUNT(F486:F497)=5),cubic_spline(F485:F490,H485:H490,B$5),IF(AND(COUNT(H486:H497)=6,COUNT(F486:F497)=6),cubic_spline(F485:F491,H485:H491,B$5),IF(AND(COUNT(H486:H497)=7,COUNT(F486:F497)=7),cubic_spline(F485:F492,H485:H492,B$5),IF(AND(COUNT(H486:H497)=8,COUNT(F486:F497)=8),cubic_spline(F485:F493,H485:H493,B$5),IF(AND(COUNT(H486:H497)=9,COUNT(F486:F497)=9),cubic_spline(F485:F494,H485:H494,B$5),IF(AND(COUNT(H486:H497)=10,COUNT(F486:F497)=10),cubic_spline(F485:F495,H485:H495,B$5),IF(AND(COUNT(H486:H497)=11,COUNT(F486:F497)=11),cubic_spline(F485:F496,H485:H496,B$5),IF(AND(COUNT(H486:H497)=12,COUNT(F486:F497)=12),cubic_spline(F485:F497,H485:H497,B$5),""))))))))))))</f>
        <v/>
      </c>
      <c r="K489" s="52" t="str">
        <f>IF(N(B$5)=0,"",IF(AND(COUNT(A486:A497)=2,COUNT(F486:F497)=2),cubic_spline(F485:F487,A485:A487,B$5),IF(AND(COUNT(A486:A497)=3,COUNT(F486:F497)=3),cubic_spline(F485:F488,A485:A488,B$5),IF(AND(COUNT(A486:A497)=4,COUNT(F486:F497)=4),cubic_spline(F485:F489,A485:A489,B$5),IF(AND(COUNT(A486:A497)=5,COUNT(F486:F497)=5),cubic_spline(F485:F490,A485:A490,B$5),IF(AND(COUNT(A486:A497)=6,COUNT(F486:F497)=6),cubic_spline(F485:F491,A485:A491,B$5),IF(AND(COUNT(A486:A497)=7,COUNT(F486:F497)=7),cubic_spline(F485:F492,A485:A492,B$5),IF(AND(COUNT(A486:A497)=8,COUNT(F486:F497)=8),cubic_spline(F485:F493,A485:A493,B$5),IF(AND(COUNT(A486:A497)=9,COUNT(F486:F497)=9),cubic_spline(F485:F494,A485:A494,B$5),IF(AND(COUNT(A486:A497)=10,COUNT(F486:F497)=10),cubic_spline(F485:F495,A485:A495,B$5),IF(AND(COUNT(A486:A497)=11,COUNT(F486:F497)=11),cubic_spline(F485:F496,A485:A496,B$5),IF(AND(COUNT(A486:A497)=12,COUNT(F486:F497)=12),cubic_spline(F485:F497,A485:A497,B$5),""))))))))))))</f>
        <v/>
      </c>
      <c r="L489" s="27" t="str">
        <f>IF(I489="","",B$4&amp;"-"&amp;B$5)</f>
        <v/>
      </c>
      <c r="M489" s="52" t="str">
        <f>IF(N(J489)=0,"",J489-J488)</f>
        <v/>
      </c>
    </row>
    <row r="490" spans="1:13" x14ac:dyDescent="0.35">
      <c r="A490" s="48"/>
      <c r="B490" s="48"/>
      <c r="C490" s="50"/>
      <c r="D490" s="50"/>
      <c r="E490" s="51" t="str">
        <f t="shared" si="183"/>
        <v/>
      </c>
      <c r="F490" s="71" t="str">
        <f t="shared" si="181"/>
        <v/>
      </c>
      <c r="G490" s="69" t="str">
        <f t="shared" si="184"/>
        <v/>
      </c>
      <c r="H490" s="70" t="str">
        <f t="shared" si="182"/>
        <v/>
      </c>
      <c r="I490" s="27" t="str">
        <f>IF(N(J490)=0,"",0&amp;"-"&amp;B$6)</f>
        <v/>
      </c>
      <c r="J490" s="52" t="str">
        <f>IF(N(B$6)=0,"",IF(AND(COUNT(H486:H497)=2,COUNT(F486:F497)=2),cubic_spline(F485:F487,H485:H487,B$6),IF(AND(COUNT(H486:H497)=3,COUNT(F486:F497)=3),cubic_spline(F485:F488,H485:H488,B$6),IF(AND(COUNT(H486:H497)=4,COUNT(F486:F497)=4),cubic_spline(F485:F489,H485:H489,B$6),IF(AND(COUNT(H486:H497)=5,COUNT(F486:F497)=5),cubic_spline(F485:F490,H485:H490,B$6),IF(AND(COUNT(H486:H497)=6,COUNT(F486:F497)=6),cubic_spline(F485:F491,H485:H491,B$6),IF(AND(COUNT(H486:H497)=7,COUNT(F486:F497)=7),cubic_spline(F485:F492,H485:H492,B$6),IF(AND(COUNT(H486:H497)=8,COUNT(F486:F497)=8),cubic_spline(F485:F493,H485:H493,B$6),IF(AND(COUNT(H486:H497)=9,COUNT(F486:F497)=9),cubic_spline(F485:F494,H485:H494,B$6),IF(AND(COUNT(H486:H497)=10,COUNT(F486:F497)=10),cubic_spline(F485:F495,H485:H495,B$6),IF(AND(COUNT(H486:H497)=11,COUNT(F486:F497)=11),cubic_spline(F485:F496,H485:H496,B$6),IF(AND(COUNT(H486:H497)=12,COUNT(F486:F497)=12),cubic_spline(F485:F497,H485:H497,B$6),""))))))))))))</f>
        <v/>
      </c>
      <c r="K490" s="52" t="str">
        <f>IF(N(B$6)=0,"",IF(AND(COUNT(A486:A497)=2,COUNT(F486:F497)=2),cubic_spline(F485:F487,A485:A487,B$6),IF(AND(COUNT(A486:A497)=3,COUNT(F486:F497)=3),cubic_spline(F485:F488,A485:A488,B$6),IF(AND(COUNT(A486:A497)=4,COUNT(F486:F497)=4),cubic_spline(F485:F489,A485:A489,B$6),IF(AND(COUNT(A486:A497)=5,COUNT(F486:F497)=5),cubic_spline(F485:F490,A485:A490,B$6),IF(AND(COUNT(A486:A497)=6,COUNT(F486:F497)=6),cubic_spline(F485:F491,A485:A491,B$6),IF(AND(COUNT(A486:A497)=7,COUNT(F486:F497)=7),cubic_spline(F485:F492,A485:A492,B$6),IF(AND(COUNT(A486:A497)=8,COUNT(F486:F497)=8),cubic_spline(F485:F493,A485:A493,B$6),IF(AND(COUNT(A486:A497)=9,COUNT(F486:F497)=9),cubic_spline(F485:F494,A485:A494,B$6),IF(AND(COUNT(A486:A497)=10,COUNT(F486:F497)=10),cubic_spline(F485:F495,A485:A495,B$6),IF(AND(COUNT(A486:A497)=11,COUNT(F486:F497)=11),cubic_spline(F485:F496,A485:A496,B$6),IF(AND(COUNT(A486:A497)=12,COUNT(F486:F497)=12),cubic_spline(F485:F497,A485:A497,B$6),""))))))))))))</f>
        <v/>
      </c>
      <c r="L490" s="27" t="str">
        <f>IF(I490="","",B$5&amp;"-"&amp;B$6)</f>
        <v/>
      </c>
      <c r="M490" s="52" t="str">
        <f>IF(N(J490)=0,"",J490-J489)</f>
        <v/>
      </c>
    </row>
    <row r="491" spans="1:13" x14ac:dyDescent="0.35">
      <c r="A491" s="48"/>
      <c r="B491" s="48"/>
      <c r="C491" s="50"/>
      <c r="D491" s="50"/>
      <c r="E491" s="51" t="str">
        <f t="shared" si="183"/>
        <v/>
      </c>
      <c r="F491" s="71" t="str">
        <f t="shared" si="181"/>
        <v/>
      </c>
      <c r="G491" s="69" t="str">
        <f t="shared" si="184"/>
        <v/>
      </c>
      <c r="H491" s="70" t="str">
        <f t="shared" si="182"/>
        <v/>
      </c>
      <c r="I491" s="27" t="str">
        <f>IF(N(J491)=0,"",0&amp;"-"&amp;B$7)</f>
        <v/>
      </c>
      <c r="J491" s="52" t="str">
        <f>IF(N(B$7)=0,"",IF(AND(COUNT(H486:H497)=2,COUNT(F486:F497)=2),cubic_spline(F485:F487,H485:H487,B$7),IF(AND(COUNT(H486:H497)=3,COUNT(F486:F497)=3),cubic_spline(F485:F488,H485:H488,B$7),IF(AND(COUNT(H486:H497)=4,COUNT(F486:F497)=4),cubic_spline(F485:F489,H485:H489,B$7),IF(AND(COUNT(H486:H497)=5,COUNT(F486:F497)=5),cubic_spline(F485:F490,H485:H490,B$7),IF(AND(COUNT(H486:H497)=6,COUNT(F486:F497)=6),cubic_spline(F485:F491,H485:H491,B$7),IF(AND(COUNT(H486:H497)=7,COUNT(F486:F497)=7),cubic_spline(F485:F492,H485:H492,B$7),IF(AND(COUNT(H486:H497)=8,COUNT(F486:F497)=8),cubic_spline(F485:F493,H485:H493,B$7),IF(AND(COUNT(H486:H497)=9,COUNT(F486:F497)=9),cubic_spline(F485:F494,H485:H494,B$7),IF(AND(COUNT(H486:H497)=10,COUNT(F486:F497)=10),cubic_spline(F485:F495,H485:H495,B$7),IF(AND(COUNT(H486:H497)=11,COUNT(F486:F497)=11),cubic_spline(F485:F496,H485:H496,B$7),IF(AND(COUNT(H486:H497)=12,COUNT(F486:F497)=12),cubic_spline(F485:F497,H485:H497,B$7),""))))))))))))</f>
        <v/>
      </c>
      <c r="K491" s="52" t="str">
        <f>IF(N(B$7)=0,"",IF(AND(COUNT(A486:A497)=2,COUNT(F486:F497)=2),cubic_spline(F485:F487,A485:A487,B$7),IF(AND(COUNT(A486:A497)=3,COUNT(F486:F497)=3),cubic_spline(F485:F488,A485:A488,B$7),IF(AND(COUNT(A486:A497)=4,COUNT(F486:F497)=4),cubic_spline(F485:F489,A485:A489,B$7),IF(AND(COUNT(A486:A497)=5,COUNT(F486:F497)=5),cubic_spline(F485:F490,A485:A490,B$7),IF(AND(COUNT(A486:A497)=6,COUNT(F486:F497)=6),cubic_spline(F485:F491,A485:A491,B$7),IF(AND(COUNT(A486:A497)=7,COUNT(F486:F497)=7),cubic_spline(F485:F492,A485:A492,B$7),IF(AND(COUNT(A486:A497)=8,COUNT(F486:F497)=8),cubic_spline(F485:F493,A485:A493,B$7),IF(AND(COUNT(A486:A497)=9,COUNT(F486:F497)=9),cubic_spline(F485:F494,A485:A494,B$7),IF(AND(COUNT(A486:A497)=10,COUNT(F486:F497)=10),cubic_spline(F485:F495,A485:A495,B$7),IF(AND(COUNT(A486:A497)=11,COUNT(F486:F497)=11),cubic_spline(F485:F496,A485:A496,B$7),IF(AND(COUNT(A486:A497)=12,COUNT(F486:F497)=12),cubic_spline(F485:F497,A485:A497,B$7),""))))))))))))</f>
        <v/>
      </c>
      <c r="L491" s="27" t="str">
        <f>IF(I491="","",B$6&amp;"-"&amp;B$7)</f>
        <v/>
      </c>
      <c r="M491" s="52" t="str">
        <f t="shared" ref="M491:M497" si="185">IF(N(J491)=0,"",J491-J490)</f>
        <v/>
      </c>
    </row>
    <row r="492" spans="1:13" x14ac:dyDescent="0.35">
      <c r="A492" s="48"/>
      <c r="B492" s="48"/>
      <c r="C492" s="50"/>
      <c r="D492" s="50"/>
      <c r="E492" s="51" t="str">
        <f t="shared" si="183"/>
        <v/>
      </c>
      <c r="F492" s="71" t="str">
        <f t="shared" si="181"/>
        <v/>
      </c>
      <c r="G492" s="69" t="str">
        <f t="shared" si="184"/>
        <v/>
      </c>
      <c r="H492" s="70" t="str">
        <f t="shared" si="182"/>
        <v/>
      </c>
      <c r="I492" s="27" t="str">
        <f>IF(N(J492)=0,"",0&amp;"-"&amp;B$8)</f>
        <v/>
      </c>
      <c r="J492" s="52" t="str">
        <f>IF(N(B$8)=0,"",IF(AND(COUNT(H486:H497)=2,COUNT(F486:F497)=2),cubic_spline(F485:F487,H485:H487,B$8),IF(AND(COUNT(H486:H497)=3,COUNT(F486:F497)=3),cubic_spline(F485:F488,H485:H488,B$8),IF(AND(COUNT(H486:H497)=4,COUNT(F486:F497)=4),cubic_spline(F485:F489,H485:H489,B$8),IF(AND(COUNT(H486:H497)=5,COUNT(F486:F497)=5),cubic_spline(F485:F490,H485:H490,B$8),IF(AND(COUNT(H486:H497)=6,COUNT(F486:F497)=6),cubic_spline(F485:F491,H485:H491,B$8),IF(AND(COUNT(H486:H497)=7,COUNT(F486:F497)=7),cubic_spline(F485:F492,H485:H492,B$8),IF(AND(COUNT(H486:H497)=8,COUNT(F486:F497)=8),cubic_spline(F485:F493,H485:H493,B$8),IF(AND(COUNT(H486:H497)=9,COUNT(F486:F497)=9),cubic_spline(F485:F494,H485:H494,B$8),IF(AND(COUNT(H486:H497)=10,COUNT(F486:F497)=10),cubic_spline(F485:F495,H485:H495,B$8),IF(AND(COUNT(H486:H497)=11,COUNT(F486:F497)=11),cubic_spline(F485:F496,H485:H496,B$8),IF(AND(COUNT(H486:H497)=12,COUNT(F486:F497)=12),cubic_spline(F485:F497,H485:H497,B$8),""))))))))))))</f>
        <v/>
      </c>
      <c r="K492" s="52" t="str">
        <f>IF(N(B$8)=0,"",IF(AND(COUNT(A486:A497)=2,COUNT(F486:F497)=2),cubic_spline(F485:F487,A485:A487,B$8),IF(AND(COUNT(A486:A497)=3,COUNT(F486:F497)=3),cubic_spline(F485:F488,A485:A488,B$8),IF(AND(COUNT(A486:A497)=4,COUNT(F486:F497)=4),cubic_spline(F485:F489,A485:A489,B$8),IF(AND(COUNT(A486:A497)=5,COUNT(F486:F497)=5),cubic_spline(F485:F490,A485:A490,B$8),IF(AND(COUNT(A486:A497)=6,COUNT(F486:F497)=6),cubic_spline(F485:F491,A485:A491,B$8),IF(AND(COUNT(A486:A497)=7,COUNT(F486:F497)=7),cubic_spline(F485:F492,A485:A492,B$8),IF(AND(COUNT(A486:A497)=8,COUNT(F486:F497)=8),cubic_spline(F485:F493,A485:A493,B$8),IF(AND(COUNT(A486:A497)=9,COUNT(F486:F497)=9),cubic_spline(F485:F494,A485:A494,B$8),IF(AND(COUNT(A486:A497)=10,COUNT(F486:F497)=10),cubic_spline(F485:F495,A485:A495,B$8),IF(AND(COUNT(A486:A497)=11,COUNT(F486:F497)=11),cubic_spline(F485:F496,A485:A496,B$8),IF(AND(COUNT(A486:A497)=12,COUNT(F486:F497)=12),cubic_spline(F485:F497,A485:A497,B$8),""))))))))))))</f>
        <v/>
      </c>
      <c r="L492" s="27" t="str">
        <f>IF(I492="","",B$7&amp;"-"&amp;B$8)</f>
        <v/>
      </c>
      <c r="M492" s="52" t="str">
        <f t="shared" si="185"/>
        <v/>
      </c>
    </row>
    <row r="493" spans="1:13" x14ac:dyDescent="0.35">
      <c r="A493" s="48"/>
      <c r="B493" s="48"/>
      <c r="C493" s="50"/>
      <c r="D493" s="50"/>
      <c r="E493" s="51" t="str">
        <f t="shared" si="183"/>
        <v/>
      </c>
      <c r="F493" s="71" t="str">
        <f t="shared" si="181"/>
        <v/>
      </c>
      <c r="G493" s="69" t="str">
        <f t="shared" si="184"/>
        <v/>
      </c>
      <c r="H493" s="70" t="str">
        <f t="shared" si="182"/>
        <v/>
      </c>
      <c r="I493" s="27" t="str">
        <f>IF(N(J493)=0,"",0&amp;"-"&amp;B$9)</f>
        <v/>
      </c>
      <c r="J493" s="52" t="str">
        <f>IF(N(B$9)=0,"",IF(AND(COUNT(H486:H497)=2,COUNT(F486:F497)=2),cubic_spline(F485:F487,H485:H487,B$9),IF(AND(COUNT(H486:H497)=3,COUNT(F486:F497)=3),cubic_spline(F485:F488,H485:H488,B$9),IF(AND(COUNT(H486:H497)=4,COUNT(F486:F497)=4),cubic_spline(F485:F489,H485:H489,B$9),IF(AND(COUNT(H486:H497)=5,COUNT(F486:F497)=5),cubic_spline(F485:F490,H485:H490,B$9),IF(AND(COUNT(H486:H497)=6,COUNT(F486:F497)=6),cubic_spline(F485:F491,H485:H491,B$9),IF(AND(COUNT(H486:H497)=7,COUNT(F486:F497)=7),cubic_spline(F485:F492,H485:H492,B$9),IF(AND(COUNT(H486:H497)=8,COUNT(F486:F497)=8),cubic_spline(F485:F493,H485:H493,B$9),IF(AND(COUNT(H486:H497)=9,COUNT(F486:F497)=9),cubic_spline(F485:F494,H485:H494,B$9),IF(AND(COUNT(H486:H497)=10,COUNT(F486:F497)=10),cubic_spline(F485:F495,H485:H495,B$9),IF(AND(COUNT(H486:H497)=11,COUNT(F486:F497)=11),cubic_spline(F485:F496,H485:H496,B$9),IF(AND(COUNT(H486:H497)=12,COUNT(F486:F497)=12),cubic_spline(F485:F497,H485:H497,B$9),""))))))))))))</f>
        <v/>
      </c>
      <c r="K493" s="52" t="str">
        <f>IF(N(B$9)=0,"",IF(AND(COUNT(A486:A497)=2,COUNT(F486:F497)=2),cubic_spline(F485:F487,A485:A487,B$9),IF(AND(COUNT(A486:A497)=3,COUNT(F486:F497)=3),cubic_spline(F485:F488,A485:A488,B$9),IF(AND(COUNT(A486:A497)=4,COUNT(F486:F497)=4),cubic_spline(F485:F489,A485:A489,B$9),IF(AND(COUNT(A486:A497)=5,COUNT(F486:F497)=5),cubic_spline(F485:F490,A485:A490,B$9),IF(AND(COUNT(A486:A497)=6,COUNT(F486:F497)=6),cubic_spline(F485:F491,A485:A491,B$9),IF(AND(COUNT(A486:A497)=7,COUNT(F486:F497)=7),cubic_spline(F485:F492,A485:A492,B$9),IF(AND(COUNT(A486:A497)=8,COUNT(F486:F497)=8),cubic_spline(F485:F493,A485:A493,B$9),IF(AND(COUNT(A486:A497)=9,COUNT(F486:F497)=9),cubic_spline(F485:F494,A485:A494,B$9),IF(AND(COUNT(A486:A497)=10,COUNT(F486:F497)=10),cubic_spline(F485:F495,A485:A495,B$9),IF(AND(COUNT(A486:A497)=11,COUNT(F486:F497)=11),cubic_spline(F485:F496,A485:A496,B$9),IF(AND(COUNT(A486:A497)=12,COUNT(F486:F497)=12),cubic_spline(F485:F497,A485:A497,B$9),""))))))))))))</f>
        <v/>
      </c>
      <c r="L493" s="27" t="str">
        <f>IF(I493="","",B$8&amp;"-"&amp;B$9)</f>
        <v/>
      </c>
      <c r="M493" s="52" t="str">
        <f t="shared" si="185"/>
        <v/>
      </c>
    </row>
    <row r="494" spans="1:13" x14ac:dyDescent="0.35">
      <c r="A494" s="48"/>
      <c r="B494" s="48"/>
      <c r="C494" s="50"/>
      <c r="D494" s="50"/>
      <c r="E494" s="51" t="str">
        <f t="shared" si="183"/>
        <v/>
      </c>
      <c r="F494" s="71" t="str">
        <f t="shared" si="181"/>
        <v/>
      </c>
      <c r="G494" s="69" t="str">
        <f t="shared" si="184"/>
        <v/>
      </c>
      <c r="H494" s="70" t="str">
        <f t="shared" si="182"/>
        <v/>
      </c>
      <c r="I494" s="27" t="str">
        <f>IF(N(J494)=0,"",0&amp;"-"&amp;B$10)</f>
        <v/>
      </c>
      <c r="J494" s="52" t="str">
        <f>IF(N(B$10)=0,"",IF(AND(COUNT(H486:H497)=2,COUNT(F486:F497)=2),cubic_spline(F485:F487,H485:H487,B$10),IF(AND(COUNT(H486:H497)=3,COUNT(F486:F497)=3),cubic_spline(F485:F488,H485:H488,B$10),IF(AND(COUNT(H486:H497)=4,COUNT(F486:F497)=4),cubic_spline(F485:F489,H485:H489,B$10),IF(AND(COUNT(H486:H497)=5,COUNT(F486:F497)=5),cubic_spline(F485:F490,H485:H490,B$10),IF(AND(COUNT(H486:H497)=6,COUNT(F486:F497)=6),cubic_spline(F485:F491,H485:H491,B$10),IF(AND(COUNT(H486:H497)=7,COUNT(F486:F497)=7),cubic_spline(F485:F492,H485:H492,B$10),IF(AND(COUNT(H486:H497)=8,COUNT(F486:F497)=8),cubic_spline(F485:F493,H485:H493,B$10),IF(AND(COUNT(H486:H497)=9,COUNT(F486:F497)=9),cubic_spline(F485:F494,H485:H494,B$10),IF(AND(COUNT(H486:H497)=10,COUNT(F486:F497)=10),cubic_spline(F485:F495,H485:H495,B$10),IF(AND(COUNT(H486:H497)=11,COUNT(F486:F497)=11),cubic_spline(F485:F496,H485:H496,B$10),IF(AND(COUNT(H486:H497)=12,COUNT(F486:F497)=12),cubic_spline(F485:F497,H485:H497,B$10),""))))))))))))</f>
        <v/>
      </c>
      <c r="K494" s="52" t="str">
        <f>IF(N(B$10)=0,"",IF(AND(COUNT(A486:A497)=2,COUNT(F486:F497)=2),cubic_spline(F485:F487,A485:A487,B$10),IF(AND(COUNT(A486:A497)=3,COUNT(F486:F497)=3),cubic_spline(F485:F488,A485:A488,B$10),IF(AND(COUNT(A486:A497)=4,COUNT(F486:F497)=4),cubic_spline(F485:F489,A485:A489,B$10),IF(AND(COUNT(A486:A497)=5,COUNT(F486:F497)=5),cubic_spline(F485:F490,A485:A490,B$10),IF(AND(COUNT(A486:A497)=6,COUNT(F486:F497)=6),cubic_spline(F485:F491,A485:A491,B$10),IF(AND(COUNT(A486:A497)=7,COUNT(F486:F497)=7),cubic_spline(F485:F492,A485:A492,B$10),IF(AND(COUNT(A486:A497)=8,COUNT(F486:F497)=8),cubic_spline(F485:F493,A485:A493,B$10),IF(AND(COUNT(A486:A497)=9,COUNT(F486:F497)=9),cubic_spline(F485:F494,A485:A494,B$10),IF(AND(COUNT(A486:A497)=10,COUNT(F486:F497)=10),cubic_spline(F485:F495,A485:A495,B$10),IF(AND(COUNT(A486:A497)=11,COUNT(F486:F497)=11),cubic_spline(F485:F496,A485:A496,B$10),IF(AND(COUNT(A486:A497)=12,COUNT(F486:F497)=12),cubic_spline(F485:F497,A485:A497,B$10),""))))))))))))</f>
        <v/>
      </c>
      <c r="L494" s="27" t="str">
        <f>IF(I494="","",B$9&amp;"-"&amp;B$10)</f>
        <v/>
      </c>
      <c r="M494" s="52" t="str">
        <f t="shared" si="185"/>
        <v/>
      </c>
    </row>
    <row r="495" spans="1:13" x14ac:dyDescent="0.35">
      <c r="A495" s="48"/>
      <c r="B495" s="48"/>
      <c r="C495" s="50"/>
      <c r="D495" s="50"/>
      <c r="E495" s="51" t="str">
        <f t="shared" si="183"/>
        <v/>
      </c>
      <c r="F495" s="71" t="str">
        <f t="shared" si="181"/>
        <v/>
      </c>
      <c r="G495" s="69" t="str">
        <f t="shared" si="184"/>
        <v/>
      </c>
      <c r="H495" s="70" t="str">
        <f t="shared" si="182"/>
        <v/>
      </c>
      <c r="I495" s="27" t="str">
        <f>IF(N(J495)=0,"",0&amp;"-"&amp;B$11)</f>
        <v/>
      </c>
      <c r="J495" s="52" t="str">
        <f>IF(N(B$11)=0,"",IF(AND(COUNT(H486:H497)=2,COUNT(F486:F497)=2),cubic_spline(F485:F487,H485:H487,B$11),IF(AND(COUNT(H486:H497)=3,COUNT(F486:F497)=3),cubic_spline(F485:F488,H485:H488,B$11),IF(AND(COUNT(H486:H497)=4,COUNT(F486:F497)=4),cubic_spline(F485:F489,H485:H489,B$11),IF(AND(COUNT(H486:H497)=5,COUNT(F486:F497)=5),cubic_spline(F485:F490,H485:H490,B$11),IF(AND(COUNT(H486:H497)=6,COUNT(F486:F497)=6),cubic_spline(F485:F491,H485:H491,B$11),IF(AND(COUNT(H486:H497)=7,COUNT(F486:F497)=7),cubic_spline(F485:F492,H485:H492,B$11),IF(AND(COUNT(H486:H497)=8,COUNT(F486:F497)=8),cubic_spline(F485:F493,H485:H493,B$11),IF(AND(COUNT(H486:H497)=9,COUNT(F486:F497)=9),cubic_spline(F485:F494,H485:H494,B$11),IF(AND(COUNT(H486:H497)=10,COUNT(F486:F497)=10),cubic_spline(F485:F495,H485:H495,B$11),IF(AND(COUNT(H486:H497)=11,COUNT(F486:F497)=11),cubic_spline(F485:F496,H485:H496,B$11),IF(AND(COUNT(H486:H497)=12,COUNT(F486:F497)=12),cubic_spline(F485:F497,H485:H497,B$11),""))))))))))))</f>
        <v/>
      </c>
      <c r="K495" s="52" t="str">
        <f>IF(N(B$11)=0,"",IF(AND(COUNT(A486:A497)=2,COUNT(F486:F497)=2),cubic_spline(F485:F487,A485:A487,B$11),IF(AND(COUNT(A486:A497)=3,COUNT(F486:F497)=3),cubic_spline(F485:F488,A485:A488,B$11),IF(AND(COUNT(A486:A497)=4,COUNT(F486:F497)=4),cubic_spline(F485:F489,A485:A489,B$11),IF(AND(COUNT(A486:A497)=5,COUNT(F486:F497)=5),cubic_spline(F485:F490,A485:A490,B$11),IF(AND(COUNT(A486:A497)=6,COUNT(F486:F497)=6),cubic_spline(F485:F491,A485:A491,B$11),IF(AND(COUNT(A486:A497)=7,COUNT(F486:F497)=7),cubic_spline(F485:F492,A485:A492,B$11),IF(AND(COUNT(A486:A497)=8,COUNT(F486:F497)=8),cubic_spline(F485:F493,A485:A493,B$11),IF(AND(COUNT(A486:A497)=9,COUNT(F486:F497)=9),cubic_spline(F485:F494,A485:A494,B$11),IF(AND(COUNT(A486:A497)=10,COUNT(F486:F497)=10),cubic_spline(F485:F495,A485:A495,B$11),IF(AND(COUNT(A486:A497)=11,COUNT(F486:F497)=11),cubic_spline(F485:F496,A485:A496,B$11),IF(AND(COUNT(A486:A497)=12,COUNT(F486:F497)=12),cubic_spline(F485:F497,A485:A497,B$11),""))))))))))))</f>
        <v/>
      </c>
      <c r="L495" s="27" t="str">
        <f>IF(I495="","",B$10&amp;"-"&amp;B$11)</f>
        <v/>
      </c>
      <c r="M495" s="52" t="str">
        <f t="shared" si="185"/>
        <v/>
      </c>
    </row>
    <row r="496" spans="1:13" x14ac:dyDescent="0.35">
      <c r="A496" s="48"/>
      <c r="B496" s="48"/>
      <c r="C496" s="50"/>
      <c r="D496" s="50"/>
      <c r="E496" s="51" t="str">
        <f t="shared" si="183"/>
        <v/>
      </c>
      <c r="F496" s="71" t="str">
        <f t="shared" si="181"/>
        <v/>
      </c>
      <c r="G496" s="69" t="str">
        <f t="shared" si="184"/>
        <v/>
      </c>
      <c r="H496" s="70" t="str">
        <f t="shared" si="182"/>
        <v/>
      </c>
      <c r="I496" s="27" t="str">
        <f>IF(N(J496)=0,"",0&amp;"-"&amp;B$12)</f>
        <v/>
      </c>
      <c r="J496" s="52" t="str">
        <f>IF(N(B$12)=0,"",IF(AND(COUNT(H486:H497)=2,COUNT(F486:F497)=2),cubic_spline(F485:F487,H485:H487,B$12),IF(AND(COUNT(H486:H497)=3,COUNT(F486:F497)=3),cubic_spline(F485:F488,H485:H488,B$12),IF(AND(COUNT(H486:H497)=4,COUNT(F486:F497)=4),cubic_spline(F485:F489,H485:H489,B$12),IF(AND(COUNT(H486:H497)=5,COUNT(F486:F497)=5),cubic_spline(F485:F490,H485:H490,B$12),IF(AND(COUNT(H486:H497)=6,COUNT(F486:F497)=6),cubic_spline(F485:F491,H485:H491,B$12),IF(AND(COUNT(H486:H497)=7,COUNT(F486:F497)=7),cubic_spline(F485:F492,H485:H492,B$12),IF(AND(COUNT(H486:H497)=8,COUNT(F486:F497)=8),cubic_spline(F485:F493,H485:H493,B$12),IF(AND(COUNT(H486:H497)=9,COUNT(F486:F497)=9),cubic_spline(F485:F494,H485:H494,B$12),IF(AND(COUNT(H486:H497)=10,COUNT(F486:F497)=10),cubic_spline(F485:F495,H485:H495,B$12),IF(AND(COUNT(H486:H497)=11,COUNT(F486:F497)=11),cubic_spline(F485:F496,H485:H496,B$12),IF(AND(COUNT(H486:H497)=12,COUNT(F486:F497)=12),cubic_spline(F485:F497,H485:H497,B$12),""))))))))))))</f>
        <v/>
      </c>
      <c r="K496" s="52" t="str">
        <f>IF(N(B$12)=0,"",IF(AND(COUNT(A486:A497)=2,COUNT(F486:F497)=2),cubic_spline(F485:F487,A485:A487,B$12),IF(AND(COUNT(A486:A497)=3,COUNT(F486:F497)=3),cubic_spline(F485:F488,A485:A488,B$12),IF(AND(COUNT(A486:A497)=4,COUNT(F486:F497)=4),cubic_spline(F485:F489,A485:A489,B$12),IF(AND(COUNT(A486:A497)=5,COUNT(F486:F497)=5),cubic_spline(F485:F490,A485:A490,B$12),IF(AND(COUNT(A486:A497)=6,COUNT(F486:F497)=6),cubic_spline(F485:F491,A485:A491,B$12),IF(AND(COUNT(A486:A497)=7,COUNT(F486:F497)=7),cubic_spline(F485:F492,A485:A492,B$12),IF(AND(COUNT(A486:A497)=8,COUNT(F486:F497)=8),cubic_spline(F485:F493,A485:A493,B$12),IF(AND(COUNT(A486:A497)=9,COUNT(F486:F497)=9),cubic_spline(F485:F494,A485:A494,B$12),IF(AND(COUNT(A486:A497)=10,COUNT(F486:F497)=10),cubic_spline(F485:F495,A485:A495,B$12),IF(AND(COUNT(A486:A497)=11,COUNT(F486:F497)=11),cubic_spline(F485:F496,A485:A496,B$12),IF(AND(COUNT(A486:A497)=12,COUNT(F486:F497)=12),cubic_spline(F485:F497,A485:A497,B$12),""))))))))))))</f>
        <v/>
      </c>
      <c r="L496" s="27" t="str">
        <f>IF(I496="","",B$11&amp;"-"&amp;B$12)</f>
        <v/>
      </c>
      <c r="M496" s="52" t="str">
        <f t="shared" si="185"/>
        <v/>
      </c>
    </row>
    <row r="497" spans="1:13" x14ac:dyDescent="0.35">
      <c r="A497" s="48"/>
      <c r="B497" s="48"/>
      <c r="C497" s="50"/>
      <c r="D497" s="50"/>
      <c r="E497" s="51" t="str">
        <f t="shared" si="183"/>
        <v/>
      </c>
      <c r="F497" s="71" t="str">
        <f t="shared" si="181"/>
        <v/>
      </c>
      <c r="G497" s="69" t="str">
        <f t="shared" si="184"/>
        <v/>
      </c>
      <c r="H497" s="70" t="str">
        <f t="shared" si="182"/>
        <v/>
      </c>
      <c r="I497" s="27" t="str">
        <f>IF(N(J497)=0,"",0&amp;"-"&amp;B$13)</f>
        <v/>
      </c>
      <c r="J497" s="52" t="str">
        <f>IF(N(B$13)=0,"",IF(AND(COUNT(H486:H497)=2,COUNT(F486:F497)=2),cubic_spline(F485:F487,H485:H487,B$13),IF(AND(COUNT(H486:H497)=3,COUNT(F486:F497)=3),cubic_spline(F485:F488,H485:H488,B$13),IF(AND(COUNT(H486:H497)=4,COUNT(F486:F497)=4),cubic_spline(F485:F489,H485:H489,B$13),IF(AND(COUNT(H486:H497)=5,COUNT(F486:F497)=5),cubic_spline(F485:F490,H485:H490,B$13),IF(AND(COUNT(H486:H497)=6,COUNT(F486:F497)=6),cubic_spline(F485:F491,H485:H491,B$13),IF(AND(COUNT(H486:H497)=7,COUNT(F486:F497)=7),cubic_spline(F485:F492,H485:H492,B$13),IF(AND(COUNT(H486:H497)=8,COUNT(F486:F497)=8),cubic_spline(F485:F493,H485:H493,B$13),IF(AND(COUNT(H486:H497)=9,COUNT(F486:F497)=9),cubic_spline(F485:F494,H485:H494,B$13),IF(AND(COUNT(H486:H497)=10,COUNT(F486:F497)=10),cubic_spline(F485:F495,H485:H495,B$13),IF(AND(COUNT(H486:H497)=11,COUNT(F486:F497)=11),cubic_spline(F485:F496,H485:H496,B$13),IF(AND(COUNT(H486:H497)=12,COUNT(F486:F497)=12),cubic_spline(F485:F497,H485:H497,B$13),""))))))))))))</f>
        <v/>
      </c>
      <c r="K497" s="52" t="str">
        <f>IF(N(B$13)=0,"",IF(AND(COUNT(A486:A497)=2,COUNT(F486:F497)=2),cubic_spline(F485:F487,A485:A487,B$13),IF(AND(COUNT(A486:A497)=3,COUNT(F486:F497)=3),cubic_spline(F485:F488,A485:A488,B$13),IF(AND(COUNT(A486:A497)=4,COUNT(F486:F497)=4),cubic_spline(F485:F489,A485:A489,B$13),IF(AND(COUNT(A486:A497)=5,COUNT(F486:F497)=5),cubic_spline(F485:F490,A485:A490,B$13),IF(AND(COUNT(A486:A497)=6,COUNT(F486:F497)=6),cubic_spline(F485:F491,A485:A491,B$13),IF(AND(COUNT(A486:A497)=7,COUNT(F486:F497)=7),cubic_spline(F485:F492,A485:A492,B$13),IF(AND(COUNT(A486:A497)=8,COUNT(F486:F497)=8),cubic_spline(F485:F493,A485:A493,B$13),IF(AND(COUNT(A486:A497)=9,COUNT(F486:F497)=9),cubic_spline(F485:F494,A485:A494,B$13),IF(AND(COUNT(A486:A497)=10,COUNT(F486:F497)=10),cubic_spline(F485:F495,A485:A495,B$13),IF(AND(COUNT(A486:A497)=11,COUNT(F486:F497)=11),cubic_spline(F485:F496,A485:A496,B$13),IF(AND(COUNT(A486:A497)=12,COUNT(F486:F497)=12),cubic_spline(F485:F497,A485:A497,B$13),""))))))))))))</f>
        <v/>
      </c>
      <c r="L497" s="27" t="str">
        <f>IF(I497="","",B$12&amp;"-"&amp;B$13)</f>
        <v/>
      </c>
      <c r="M497" s="52" t="str">
        <f t="shared" si="185"/>
        <v/>
      </c>
    </row>
    <row r="498" spans="1:13" ht="5.15" customHeight="1" x14ac:dyDescent="0.35">
      <c r="A498" s="47"/>
      <c r="B498" s="47"/>
      <c r="C498" s="53"/>
      <c r="D498" s="53"/>
      <c r="E498" s="54"/>
      <c r="F498" s="55"/>
      <c r="G498" s="72"/>
      <c r="H498" s="73"/>
      <c r="I498" s="47"/>
      <c r="J498" s="57"/>
      <c r="K498" s="57"/>
      <c r="L498" s="55"/>
      <c r="M498" s="57"/>
    </row>
    <row r="499" spans="1:13" x14ac:dyDescent="0.35">
      <c r="A499" s="48"/>
      <c r="B499" s="48"/>
      <c r="C499" s="50"/>
      <c r="D499" s="50"/>
      <c r="E499" s="51" t="str">
        <f>IF(N(C499)=0,"",(A499-A498)*C499*100)</f>
        <v/>
      </c>
      <c r="F499" s="68" t="str">
        <f t="shared" ref="F499:F510" si="186">IF(N(E499)=0,"",(N(E499)+N(F498)))</f>
        <v/>
      </c>
      <c r="G499" s="69" t="str">
        <f>IF(OR(N(D499)=0,N(E499)=0),"",(E499*D499)/1000)</f>
        <v/>
      </c>
      <c r="H499" s="70" t="str">
        <f t="shared" ref="H499:H510" si="187">IF(N(G499)=0,"",(N(G499)+N(H498)))</f>
        <v/>
      </c>
      <c r="I499" s="27" t="str">
        <f>IF(N(J499)=0,"",0&amp;"-"&amp;B$2)</f>
        <v/>
      </c>
      <c r="J499" s="52" t="str">
        <f>IF(N(B$2)=0,"",IF(AND(COUNT(H499:H510)=2,COUNT(F499:F510)=2),cubic_spline(F498:F500,H498:H500,B$2),IF(AND(COUNT(H499:H510)=3,COUNT(F499:F510)=3),cubic_spline(F498:F501,H498:H501,B$2),IF(AND(COUNT(H499:H510)=4,COUNT(F499:F510)=4),cubic_spline(F498:F502,H498:H502,B$2),IF(AND(COUNT(H499:H510)=5,COUNT(F499:F510)=5),cubic_spline(F498:F503,H498:H503,B$2),IF(AND(COUNT(H499:H510)=6,COUNT(F499:F510)=6),cubic_spline(F498:F504,H498:H504,B$2),IF(AND(COUNT(H499:H510)=7,COUNT(F499:F510)=7),cubic_spline(F498:F505,H498:H505,B$2),IF(AND(COUNT(H499:H510)=8,COUNT(F499:F510)=8),cubic_spline(F498:F506,H498:H506,B$2),IF(AND(COUNT(H499:H510)=9,COUNT(F499:F510)=9),cubic_spline(F498:F507,H498:H507,B$2),IF(AND(COUNT(H499:H510)=10,COUNT(F499:F510)=10),cubic_spline(F498:F508,H498:H508,B$2),IF(AND(COUNT(H499:H510)=11,COUNT(F499:F510)=11),cubic_spline(F498:F509,H498:H509,B$2),IF(AND(COUNT(H499:H510)=12,COUNT(F499:F510)=12),cubic_spline(F498:F510,H498:H510,B$2),""))))))))))))</f>
        <v/>
      </c>
      <c r="K499" s="52" t="str">
        <f>IF(N(B$2)=0,"",IF(AND(COUNT(A499:A510)=2,COUNT(F499:F510)=2),cubic_spline(F498:F500,A498:A500,B$2),IF(AND(COUNT(A499:A510)=3,COUNT(F499:F510)=3),cubic_spline(F498:F501,A498:A501,B$2),IF(AND(COUNT(A499:A510)=4,COUNT(F499:F510)=4),cubic_spline(F498:F502,A498:A502,B$2),IF(AND(COUNT(A499:A510)=5,COUNT(F499:F510)=5),cubic_spline(F498:F503,A498:A503,B$2),IF(AND(COUNT(A499:A510)=6,COUNT(F499:F510)=6),cubic_spline(F498:F504,A498:A504,B$2),IF(AND(COUNT(A499:A510)=7,COUNT(F499:F510)=7),cubic_spline(F498:F505,A498:A505,B$2),IF(AND(COUNT(A499:A510)=8,COUNT(F499:F510)=8),cubic_spline(F498:F506,A498:A506,B$2),IF(AND(COUNT(A499:A510)=9,COUNT(F499:F510)=9),cubic_spline(F498:F507,A498:A507,B$2),IF(AND(COUNT(A499:A510)=10,COUNT(F499:F510)=10),cubic_spline(F498:F508,A498:A508,B$2),IF(AND(COUNT(A499:A510)=11,COUNT(F499:F510)=11),cubic_spline(F498:F509,A498:A509,B$2),IF(AND(COUNT(A499:A510)=12,COUNT(F499:F510)=12),cubic_spline(F498:F510,A498:A510,B$2),""))))))))))))</f>
        <v/>
      </c>
      <c r="L499" s="27" t="str">
        <f>IF(I499="","",0&amp;"-"&amp;B$2)</f>
        <v/>
      </c>
      <c r="M499" s="52" t="str">
        <f>IF(N(J499)=0,"",J499-J498)</f>
        <v/>
      </c>
    </row>
    <row r="500" spans="1:13" x14ac:dyDescent="0.35">
      <c r="A500" s="48"/>
      <c r="B500" s="48"/>
      <c r="C500" s="50"/>
      <c r="D500" s="50"/>
      <c r="E500" s="51" t="str">
        <f t="shared" ref="E500:E510" si="188">IF(N(C500)=0,"",(A500-A499)*C500*100)</f>
        <v/>
      </c>
      <c r="F500" s="68" t="str">
        <f t="shared" si="186"/>
        <v/>
      </c>
      <c r="G500" s="69" t="str">
        <f t="shared" ref="G500:G510" si="189">IF(OR(N(D500)=0,N(E500)=0),"",(E500*D500)/1000)</f>
        <v/>
      </c>
      <c r="H500" s="70" t="str">
        <f t="shared" si="187"/>
        <v/>
      </c>
      <c r="I500" s="27" t="str">
        <f>IF(N(J500)=0,"",0&amp;"-"&amp;B$3)</f>
        <v/>
      </c>
      <c r="J500" s="52" t="str">
        <f>IF(N(B$3)=0,"",IF(AND(COUNT(H499:H510)=2,COUNT(F499:F510)=2),cubic_spline(F498:F500,H498:H500,B$3),IF(AND(COUNT(H499:H510)=3,COUNT(F499:F510)=3),cubic_spline(F498:F501,H498:H501,B$3),IF(AND(COUNT(H499:H510)=4,COUNT(F499:F510)=4),cubic_spline(F498:F502,H498:H502,B$3),IF(AND(COUNT(H499:H510)=5,COUNT(F499:F510)=5),cubic_spline(F498:F503,H498:H503,B$3),IF(AND(COUNT(H499:H510)=6,COUNT(F499:F510)=6),cubic_spline(F498:F504,H498:H504,B$3),IF(AND(COUNT(H499:H510)=7,COUNT(F499:F510)=7),cubic_spline(F498:F505,H498:H505,B$3),IF(AND(COUNT(H499:H510)=8,COUNT(F499:F510)=8),cubic_spline(F498:F506,H498:H506,B$3),IF(AND(COUNT(H499:H510)=9,COUNT(F499:F510)=9),cubic_spline(F498:F507,H498:H507,B$3),IF(AND(COUNT(H499:H510)=10,COUNT(F499:F510)=10),cubic_spline(F498:F508,H498:H508,B$3),IF(AND(COUNT(H499:H510)=11,COUNT(F499:F510)=11),cubic_spline(F498:F509,H498:H509,B$3),IF(AND(COUNT(H499:H510)=12,COUNT(F499:F510)=12),cubic_spline(F498:F510,H498:H510,B$3),""))))))))))))</f>
        <v/>
      </c>
      <c r="K500" s="52" t="str">
        <f>IF(N(B$3)=0,"",IF(AND(COUNT(A499:A510)=2,COUNT(F499:F510)=2),cubic_spline(F498:F500,A498:A500,B$3),IF(AND(COUNT(A499:A510)=3,COUNT(F499:F510)=3),cubic_spline(F498:F501,A498:A501,B$3),IF(AND(COUNT(A499:A510)=4,COUNT(F499:F510)=4),cubic_spline(F498:F502,A498:A502,B$3),IF(AND(COUNT(A499:A510)=5,COUNT(F499:F510)=5),cubic_spline(F498:F503,A498:A503,B$3),IF(AND(COUNT(A499:A510)=6,COUNT(F499:F510)=6),cubic_spline(F498:F504,A498:A504,B$3),IF(AND(COUNT(A499:A510)=7,COUNT(F499:F510)=7),cubic_spline(F498:F505,A498:A505,B$3),IF(AND(COUNT(A499:A510)=8,COUNT(F499:F510)=8),cubic_spline(F498:F506,A498:A506,B$3),IF(AND(COUNT(A499:A510)=9,COUNT(F499:F510)=9),cubic_spline(F498:F507,A498:A507,B$3),IF(AND(COUNT(A499:A510)=10,COUNT(F499:F510)=10),cubic_spline(F498:F508,A498:A508,B$3),IF(AND(COUNT(A499:A510)=11,COUNT(F499:F510)=11),cubic_spline(F498:F509,A498:A509,B$3),IF(AND(COUNT(A499:A510)=12,COUNT(F499:F510)=12),cubic_spline(F498:F510,A498:A510,B$3),""))))))))))))</f>
        <v/>
      </c>
      <c r="L500" s="27" t="str">
        <f>IF(I500="","",B$2&amp;"-"&amp;B$3)</f>
        <v/>
      </c>
      <c r="M500" s="52" t="str">
        <f>IF(N(J500)=0,"",J500-J499)</f>
        <v/>
      </c>
    </row>
    <row r="501" spans="1:13" x14ac:dyDescent="0.35">
      <c r="A501" s="48"/>
      <c r="B501" s="48"/>
      <c r="C501" s="50"/>
      <c r="D501" s="50"/>
      <c r="E501" s="51" t="str">
        <f t="shared" si="188"/>
        <v/>
      </c>
      <c r="F501" s="68" t="str">
        <f t="shared" si="186"/>
        <v/>
      </c>
      <c r="G501" s="69" t="str">
        <f t="shared" si="189"/>
        <v/>
      </c>
      <c r="H501" s="70" t="str">
        <f t="shared" si="187"/>
        <v/>
      </c>
      <c r="I501" s="27" t="str">
        <f>IF(N(J501)=0,"",0&amp;"-"&amp;B$4)</f>
        <v/>
      </c>
      <c r="J501" s="52" t="str">
        <f>IF(N(B$4)=0,"",IF(AND(COUNT(H499:H510)=2,COUNT(F499:F510)=2),cubic_spline(F498:F500,H498:H500,B$4),IF(AND(COUNT(H499:H510)=3,COUNT(F499:F510)=3),cubic_spline(F498:F501,H498:H501,B$4),IF(AND(COUNT(H499:H510)=4,COUNT(F499:F510)=4),cubic_spline(F498:F502,H498:H502,B$4),IF(AND(COUNT(H499:H510)=5,COUNT(F499:F510)=5),cubic_spline(F498:F503,H498:H503,B$4),IF(AND(COUNT(H499:H510)=6,COUNT(F499:F510)=6),cubic_spline(F498:F504,H498:H504,B$4),IF(AND(COUNT(H499:H510)=7,COUNT(F499:F510)=7),cubic_spline(F498:F505,H498:H505,B$4),IF(AND(COUNT(H499:H510)=8,COUNT(F499:F510)=8),cubic_spline(F498:F506,H498:H506,B$4),IF(AND(COUNT(H499:H510)=9,COUNT(F499:F510)=9),cubic_spline(F498:F507,H498:H507,B$4),IF(AND(COUNT(H499:H510)=10,COUNT(F499:F510)=10),cubic_spline(F498:F508,H498:H508,B$4),IF(AND(COUNT(H499:H510)=11,COUNT(F499:F510)=11),cubic_spline(F498:F509,H498:H509,B$4),IF(AND(COUNT(H499:H510)=12,COUNT(F499:F510)=12),cubic_spline(F498:F510,H498:H510,B$4),""))))))))))))</f>
        <v/>
      </c>
      <c r="K501" s="52" t="str">
        <f>IF(N(B$4)=0,"",IF(AND(COUNT(A499:A510)=2,COUNT(F499:F510)=2),cubic_spline(F498:F500,A498:A500,B$4),IF(AND(COUNT(A499:A510)=3,COUNT(F499:F510)=3),cubic_spline(F498:F501,A498:A501,B$4),IF(AND(COUNT(A499:A510)=4,COUNT(F499:F510)=4),cubic_spline(F498:F502,A498:A502,B$4),IF(AND(COUNT(A499:A510)=5,COUNT(F499:F510)=5),cubic_spline(F498:F503,A498:A503,B$4),IF(AND(COUNT(A499:A510)=6,COUNT(F499:F510)=6),cubic_spline(F498:F504,A498:A504,B$4),IF(AND(COUNT(A499:A510)=7,COUNT(F499:F510)=7),cubic_spline(F498:F505,A498:A505,B$4),IF(AND(COUNT(A499:A510)=8,COUNT(F499:F510)=8),cubic_spline(F498:F506,A498:A506,B$4),IF(AND(COUNT(A499:A510)=9,COUNT(F499:F510)=9),cubic_spline(F498:F507,A498:A507,B$4),IF(AND(COUNT(A499:A510)=10,COUNT(F499:F510)=10),cubic_spline(F498:F508,A498:A508,B$4),IF(AND(COUNT(A499:A510)=11,COUNT(F499:F510)=11),cubic_spline(F498:F509,A498:A509,B$4),IF(AND(COUNT(A499:A510)=12,COUNT(F499:F510)=12),cubic_spline(F498:F510,A498:A510,B$4),""))))))))))))</f>
        <v/>
      </c>
      <c r="L501" s="27" t="str">
        <f>IF(I501="","",B$3&amp;"-"&amp;B$4)</f>
        <v/>
      </c>
      <c r="M501" s="52" t="str">
        <f>IF(N(J501)=0,"",J501-J500)</f>
        <v/>
      </c>
    </row>
    <row r="502" spans="1:13" x14ac:dyDescent="0.35">
      <c r="A502" s="48"/>
      <c r="B502" s="48"/>
      <c r="C502" s="50"/>
      <c r="D502" s="50"/>
      <c r="E502" s="51" t="str">
        <f t="shared" si="188"/>
        <v/>
      </c>
      <c r="F502" s="68" t="str">
        <f t="shared" si="186"/>
        <v/>
      </c>
      <c r="G502" s="69" t="str">
        <f t="shared" si="189"/>
        <v/>
      </c>
      <c r="H502" s="70" t="str">
        <f t="shared" si="187"/>
        <v/>
      </c>
      <c r="I502" s="27" t="str">
        <f>IF(N(J502)=0,"",0&amp;"-"&amp;B$5)</f>
        <v/>
      </c>
      <c r="J502" s="52" t="str">
        <f>IF(N(B$5)=0,"",IF(AND(COUNT(H499:H510)=2,COUNT(F499:F510)=2),cubic_spline(F498:F500,H498:H500,B$5),IF(AND(COUNT(H499:H510)=3,COUNT(F499:F510)=3),cubic_spline(F498:F501,H498:H501,B$5),IF(AND(COUNT(H499:H510)=4,COUNT(F499:F510)=4),cubic_spline(F498:F502,H498:H502,B$5),IF(AND(COUNT(H499:H510)=5,COUNT(F499:F510)=5),cubic_spline(F498:F503,H498:H503,B$5),IF(AND(COUNT(H499:H510)=6,COUNT(F499:F510)=6),cubic_spline(F498:F504,H498:H504,B$5),IF(AND(COUNT(H499:H510)=7,COUNT(F499:F510)=7),cubic_spline(F498:F505,H498:H505,B$5),IF(AND(COUNT(H499:H510)=8,COUNT(F499:F510)=8),cubic_spline(F498:F506,H498:H506,B$5),IF(AND(COUNT(H499:H510)=9,COUNT(F499:F510)=9),cubic_spline(F498:F507,H498:H507,B$5),IF(AND(COUNT(H499:H510)=10,COUNT(F499:F510)=10),cubic_spline(F498:F508,H498:H508,B$5),IF(AND(COUNT(H499:H510)=11,COUNT(F499:F510)=11),cubic_spline(F498:F509,H498:H509,B$5),IF(AND(COUNT(H499:H510)=12,COUNT(F499:F510)=12),cubic_spline(F498:F510,H498:H510,B$5),""))))))))))))</f>
        <v/>
      </c>
      <c r="K502" s="52" t="str">
        <f>IF(N(B$5)=0,"",IF(AND(COUNT(A499:A510)=2,COUNT(F499:F510)=2),cubic_spline(F498:F500,A498:A500,B$5),IF(AND(COUNT(A499:A510)=3,COUNT(F499:F510)=3),cubic_spline(F498:F501,A498:A501,B$5),IF(AND(COUNT(A499:A510)=4,COUNT(F499:F510)=4),cubic_spline(F498:F502,A498:A502,B$5),IF(AND(COUNT(A499:A510)=5,COUNT(F499:F510)=5),cubic_spline(F498:F503,A498:A503,B$5),IF(AND(COUNT(A499:A510)=6,COUNT(F499:F510)=6),cubic_spline(F498:F504,A498:A504,B$5),IF(AND(COUNT(A499:A510)=7,COUNT(F499:F510)=7),cubic_spline(F498:F505,A498:A505,B$5),IF(AND(COUNT(A499:A510)=8,COUNT(F499:F510)=8),cubic_spline(F498:F506,A498:A506,B$5),IF(AND(COUNT(A499:A510)=9,COUNT(F499:F510)=9),cubic_spline(F498:F507,A498:A507,B$5),IF(AND(COUNT(A499:A510)=10,COUNT(F499:F510)=10),cubic_spline(F498:F508,A498:A508,B$5),IF(AND(COUNT(A499:A510)=11,COUNT(F499:F510)=11),cubic_spline(F498:F509,A498:A509,B$5),IF(AND(COUNT(A499:A510)=12,COUNT(F499:F510)=12),cubic_spline(F498:F510,A498:A510,B$5),""))))))))))))</f>
        <v/>
      </c>
      <c r="L502" s="27" t="str">
        <f>IF(I502="","",B$4&amp;"-"&amp;B$5)</f>
        <v/>
      </c>
      <c r="M502" s="52" t="str">
        <f>IF(N(J502)=0,"",J502-J501)</f>
        <v/>
      </c>
    </row>
    <row r="503" spans="1:13" x14ac:dyDescent="0.35">
      <c r="A503" s="48"/>
      <c r="B503" s="48"/>
      <c r="C503" s="50"/>
      <c r="D503" s="50"/>
      <c r="E503" s="51" t="str">
        <f t="shared" si="188"/>
        <v/>
      </c>
      <c r="F503" s="71" t="str">
        <f t="shared" si="186"/>
        <v/>
      </c>
      <c r="G503" s="69" t="str">
        <f t="shared" si="189"/>
        <v/>
      </c>
      <c r="H503" s="70" t="str">
        <f t="shared" si="187"/>
        <v/>
      </c>
      <c r="I503" s="27" t="str">
        <f>IF(N(J503)=0,"",0&amp;"-"&amp;B$6)</f>
        <v/>
      </c>
      <c r="J503" s="52" t="str">
        <f>IF(N(B$6)=0,"",IF(AND(COUNT(H499:H510)=2,COUNT(F499:F510)=2),cubic_spline(F498:F500,H498:H500,B$6),IF(AND(COUNT(H499:H510)=3,COUNT(F499:F510)=3),cubic_spline(F498:F501,H498:H501,B$6),IF(AND(COUNT(H499:H510)=4,COUNT(F499:F510)=4),cubic_spline(F498:F502,H498:H502,B$6),IF(AND(COUNT(H499:H510)=5,COUNT(F499:F510)=5),cubic_spline(F498:F503,H498:H503,B$6),IF(AND(COUNT(H499:H510)=6,COUNT(F499:F510)=6),cubic_spline(F498:F504,H498:H504,B$6),IF(AND(COUNT(H499:H510)=7,COUNT(F499:F510)=7),cubic_spline(F498:F505,H498:H505,B$6),IF(AND(COUNT(H499:H510)=8,COUNT(F499:F510)=8),cubic_spline(F498:F506,H498:H506,B$6),IF(AND(COUNT(H499:H510)=9,COUNT(F499:F510)=9),cubic_spline(F498:F507,H498:H507,B$6),IF(AND(COUNT(H499:H510)=10,COUNT(F499:F510)=10),cubic_spline(F498:F508,H498:H508,B$6),IF(AND(COUNT(H499:H510)=11,COUNT(F499:F510)=11),cubic_spline(F498:F509,H498:H509,B$6),IF(AND(COUNT(H499:H510)=12,COUNT(F499:F510)=12),cubic_spline(F498:F510,H498:H510,B$6),""))))))))))))</f>
        <v/>
      </c>
      <c r="K503" s="52" t="str">
        <f>IF(N(B$6)=0,"",IF(AND(COUNT(A499:A510)=2,COUNT(F499:F510)=2),cubic_spline(F498:F500,A498:A500,B$6),IF(AND(COUNT(A499:A510)=3,COUNT(F499:F510)=3),cubic_spline(F498:F501,A498:A501,B$6),IF(AND(COUNT(A499:A510)=4,COUNT(F499:F510)=4),cubic_spline(F498:F502,A498:A502,B$6),IF(AND(COUNT(A499:A510)=5,COUNT(F499:F510)=5),cubic_spline(F498:F503,A498:A503,B$6),IF(AND(COUNT(A499:A510)=6,COUNT(F499:F510)=6),cubic_spline(F498:F504,A498:A504,B$6),IF(AND(COUNT(A499:A510)=7,COUNT(F499:F510)=7),cubic_spline(F498:F505,A498:A505,B$6),IF(AND(COUNT(A499:A510)=8,COUNT(F499:F510)=8),cubic_spline(F498:F506,A498:A506,B$6),IF(AND(COUNT(A499:A510)=9,COUNT(F499:F510)=9),cubic_spline(F498:F507,A498:A507,B$6),IF(AND(COUNT(A499:A510)=10,COUNT(F499:F510)=10),cubic_spline(F498:F508,A498:A508,B$6),IF(AND(COUNT(A499:A510)=11,COUNT(F499:F510)=11),cubic_spline(F498:F509,A498:A509,B$6),IF(AND(COUNT(A499:A510)=12,COUNT(F499:F510)=12),cubic_spline(F498:F510,A498:A510,B$6),""))))))))))))</f>
        <v/>
      </c>
      <c r="L503" s="27" t="str">
        <f>IF(I503="","",B$5&amp;"-"&amp;B$6)</f>
        <v/>
      </c>
      <c r="M503" s="52" t="str">
        <f>IF(N(J503)=0,"",J503-J502)</f>
        <v/>
      </c>
    </row>
    <row r="504" spans="1:13" x14ac:dyDescent="0.35">
      <c r="A504" s="48"/>
      <c r="B504" s="48"/>
      <c r="C504" s="50"/>
      <c r="D504" s="50"/>
      <c r="E504" s="51" t="str">
        <f t="shared" si="188"/>
        <v/>
      </c>
      <c r="F504" s="71" t="str">
        <f t="shared" si="186"/>
        <v/>
      </c>
      <c r="G504" s="69" t="str">
        <f t="shared" si="189"/>
        <v/>
      </c>
      <c r="H504" s="70" t="str">
        <f t="shared" si="187"/>
        <v/>
      </c>
      <c r="I504" s="27" t="str">
        <f>IF(N(J504)=0,"",0&amp;"-"&amp;B$7)</f>
        <v/>
      </c>
      <c r="J504" s="52" t="str">
        <f>IF(N(B$7)=0,"",IF(AND(COUNT(H499:H510)=2,COUNT(F499:F510)=2),cubic_spline(F498:F500,H498:H500,B$7),IF(AND(COUNT(H499:H510)=3,COUNT(F499:F510)=3),cubic_spline(F498:F501,H498:H501,B$7),IF(AND(COUNT(H499:H510)=4,COUNT(F499:F510)=4),cubic_spline(F498:F502,H498:H502,B$7),IF(AND(COUNT(H499:H510)=5,COUNT(F499:F510)=5),cubic_spline(F498:F503,H498:H503,B$7),IF(AND(COUNT(H499:H510)=6,COUNT(F499:F510)=6),cubic_spline(F498:F504,H498:H504,B$7),IF(AND(COUNT(H499:H510)=7,COUNT(F499:F510)=7),cubic_spline(F498:F505,H498:H505,B$7),IF(AND(COUNT(H499:H510)=8,COUNT(F499:F510)=8),cubic_spline(F498:F506,H498:H506,B$7),IF(AND(COUNT(H499:H510)=9,COUNT(F499:F510)=9),cubic_spline(F498:F507,H498:H507,B$7),IF(AND(COUNT(H499:H510)=10,COUNT(F499:F510)=10),cubic_spline(F498:F508,H498:H508,B$7),IF(AND(COUNT(H499:H510)=11,COUNT(F499:F510)=11),cubic_spline(F498:F509,H498:H509,B$7),IF(AND(COUNT(H499:H510)=12,COUNT(F499:F510)=12),cubic_spline(F498:F510,H498:H510,B$7),""))))))))))))</f>
        <v/>
      </c>
      <c r="K504" s="52" t="str">
        <f>IF(N(B$7)=0,"",IF(AND(COUNT(A499:A510)=2,COUNT(F499:F510)=2),cubic_spline(F498:F500,A498:A500,B$7),IF(AND(COUNT(A499:A510)=3,COUNT(F499:F510)=3),cubic_spline(F498:F501,A498:A501,B$7),IF(AND(COUNT(A499:A510)=4,COUNT(F499:F510)=4),cubic_spline(F498:F502,A498:A502,B$7),IF(AND(COUNT(A499:A510)=5,COUNT(F499:F510)=5),cubic_spline(F498:F503,A498:A503,B$7),IF(AND(COUNT(A499:A510)=6,COUNT(F499:F510)=6),cubic_spline(F498:F504,A498:A504,B$7),IF(AND(COUNT(A499:A510)=7,COUNT(F499:F510)=7),cubic_spline(F498:F505,A498:A505,B$7),IF(AND(COUNT(A499:A510)=8,COUNT(F499:F510)=8),cubic_spline(F498:F506,A498:A506,B$7),IF(AND(COUNT(A499:A510)=9,COUNT(F499:F510)=9),cubic_spline(F498:F507,A498:A507,B$7),IF(AND(COUNT(A499:A510)=10,COUNT(F499:F510)=10),cubic_spline(F498:F508,A498:A508,B$7),IF(AND(COUNT(A499:A510)=11,COUNT(F499:F510)=11),cubic_spline(F498:F509,A498:A509,B$7),IF(AND(COUNT(A499:A510)=12,COUNT(F499:F510)=12),cubic_spline(F498:F510,A498:A510,B$7),""))))))))))))</f>
        <v/>
      </c>
      <c r="L504" s="27" t="str">
        <f>IF(I504="","",B$6&amp;"-"&amp;B$7)</f>
        <v/>
      </c>
      <c r="M504" s="52" t="str">
        <f t="shared" ref="M504:M510" si="190">IF(N(J504)=0,"",J504-J503)</f>
        <v/>
      </c>
    </row>
    <row r="505" spans="1:13" x14ac:dyDescent="0.35">
      <c r="A505" s="48"/>
      <c r="B505" s="48"/>
      <c r="C505" s="50"/>
      <c r="D505" s="50"/>
      <c r="E505" s="51" t="str">
        <f t="shared" si="188"/>
        <v/>
      </c>
      <c r="F505" s="71" t="str">
        <f t="shared" si="186"/>
        <v/>
      </c>
      <c r="G505" s="69" t="str">
        <f t="shared" si="189"/>
        <v/>
      </c>
      <c r="H505" s="70" t="str">
        <f t="shared" si="187"/>
        <v/>
      </c>
      <c r="I505" s="27" t="str">
        <f>IF(N(J505)=0,"",0&amp;"-"&amp;B$8)</f>
        <v/>
      </c>
      <c r="J505" s="52" t="str">
        <f>IF(N(B$8)=0,"",IF(AND(COUNT(H499:H510)=2,COUNT(F499:F510)=2),cubic_spline(F498:F500,H498:H500,B$8),IF(AND(COUNT(H499:H510)=3,COUNT(F499:F510)=3),cubic_spline(F498:F501,H498:H501,B$8),IF(AND(COUNT(H499:H510)=4,COUNT(F499:F510)=4),cubic_spline(F498:F502,H498:H502,B$8),IF(AND(COUNT(H499:H510)=5,COUNT(F499:F510)=5),cubic_spline(F498:F503,H498:H503,B$8),IF(AND(COUNT(H499:H510)=6,COUNT(F499:F510)=6),cubic_spline(F498:F504,H498:H504,B$8),IF(AND(COUNT(H499:H510)=7,COUNT(F499:F510)=7),cubic_spline(F498:F505,H498:H505,B$8),IF(AND(COUNT(H499:H510)=8,COUNT(F499:F510)=8),cubic_spline(F498:F506,H498:H506,B$8),IF(AND(COUNT(H499:H510)=9,COUNT(F499:F510)=9),cubic_spline(F498:F507,H498:H507,B$8),IF(AND(COUNT(H499:H510)=10,COUNT(F499:F510)=10),cubic_spline(F498:F508,H498:H508,B$8),IF(AND(COUNT(H499:H510)=11,COUNT(F499:F510)=11),cubic_spline(F498:F509,H498:H509,B$8),IF(AND(COUNT(H499:H510)=12,COUNT(F499:F510)=12),cubic_spline(F498:F510,H498:H510,B$8),""))))))))))))</f>
        <v/>
      </c>
      <c r="K505" s="52" t="str">
        <f>IF(N(B$8)=0,"",IF(AND(COUNT(A499:A510)=2,COUNT(F499:F510)=2),cubic_spline(F498:F500,A498:A500,B$8),IF(AND(COUNT(A499:A510)=3,COUNT(F499:F510)=3),cubic_spline(F498:F501,A498:A501,B$8),IF(AND(COUNT(A499:A510)=4,COUNT(F499:F510)=4),cubic_spline(F498:F502,A498:A502,B$8),IF(AND(COUNT(A499:A510)=5,COUNT(F499:F510)=5),cubic_spline(F498:F503,A498:A503,B$8),IF(AND(COUNT(A499:A510)=6,COUNT(F499:F510)=6),cubic_spline(F498:F504,A498:A504,B$8),IF(AND(COUNT(A499:A510)=7,COUNT(F499:F510)=7),cubic_spline(F498:F505,A498:A505,B$8),IF(AND(COUNT(A499:A510)=8,COUNT(F499:F510)=8),cubic_spline(F498:F506,A498:A506,B$8),IF(AND(COUNT(A499:A510)=9,COUNT(F499:F510)=9),cubic_spline(F498:F507,A498:A507,B$8),IF(AND(COUNT(A499:A510)=10,COUNT(F499:F510)=10),cubic_spline(F498:F508,A498:A508,B$8),IF(AND(COUNT(A499:A510)=11,COUNT(F499:F510)=11),cubic_spline(F498:F509,A498:A509,B$8),IF(AND(COUNT(A499:A510)=12,COUNT(F499:F510)=12),cubic_spline(F498:F510,A498:A510,B$8),""))))))))))))</f>
        <v/>
      </c>
      <c r="L505" s="27" t="str">
        <f>IF(I505="","",B$7&amp;"-"&amp;B$8)</f>
        <v/>
      </c>
      <c r="M505" s="52" t="str">
        <f t="shared" si="190"/>
        <v/>
      </c>
    </row>
    <row r="506" spans="1:13" x14ac:dyDescent="0.35">
      <c r="A506" s="48"/>
      <c r="B506" s="48"/>
      <c r="C506" s="50"/>
      <c r="D506" s="50"/>
      <c r="E506" s="51" t="str">
        <f t="shared" si="188"/>
        <v/>
      </c>
      <c r="F506" s="71" t="str">
        <f t="shared" si="186"/>
        <v/>
      </c>
      <c r="G506" s="69" t="str">
        <f t="shared" si="189"/>
        <v/>
      </c>
      <c r="H506" s="70" t="str">
        <f t="shared" si="187"/>
        <v/>
      </c>
      <c r="I506" s="27" t="str">
        <f>IF(N(J506)=0,"",0&amp;"-"&amp;B$9)</f>
        <v/>
      </c>
      <c r="J506" s="52" t="str">
        <f>IF(N(B$9)=0,"",IF(AND(COUNT(H499:H510)=2,COUNT(F499:F510)=2),cubic_spline(F498:F500,H498:H500,B$9),IF(AND(COUNT(H499:H510)=3,COUNT(F499:F510)=3),cubic_spline(F498:F501,H498:H501,B$9),IF(AND(COUNT(H499:H510)=4,COUNT(F499:F510)=4),cubic_spline(F498:F502,H498:H502,B$9),IF(AND(COUNT(H499:H510)=5,COUNT(F499:F510)=5),cubic_spline(F498:F503,H498:H503,B$9),IF(AND(COUNT(H499:H510)=6,COUNT(F499:F510)=6),cubic_spline(F498:F504,H498:H504,B$9),IF(AND(COUNT(H499:H510)=7,COUNT(F499:F510)=7),cubic_spline(F498:F505,H498:H505,B$9),IF(AND(COUNT(H499:H510)=8,COUNT(F499:F510)=8),cubic_spline(F498:F506,H498:H506,B$9),IF(AND(COUNT(H499:H510)=9,COUNT(F499:F510)=9),cubic_spline(F498:F507,H498:H507,B$9),IF(AND(COUNT(H499:H510)=10,COUNT(F499:F510)=10),cubic_spline(F498:F508,H498:H508,B$9),IF(AND(COUNT(H499:H510)=11,COUNT(F499:F510)=11),cubic_spline(F498:F509,H498:H509,B$9),IF(AND(COUNT(H499:H510)=12,COUNT(F499:F510)=12),cubic_spline(F498:F510,H498:H510,B$9),""))))))))))))</f>
        <v/>
      </c>
      <c r="K506" s="52" t="str">
        <f>IF(N(B$9)=0,"",IF(AND(COUNT(A499:A510)=2,COUNT(F499:F510)=2),cubic_spline(F498:F500,A498:A500,B$9),IF(AND(COUNT(A499:A510)=3,COUNT(F499:F510)=3),cubic_spline(F498:F501,A498:A501,B$9),IF(AND(COUNT(A499:A510)=4,COUNT(F499:F510)=4),cubic_spline(F498:F502,A498:A502,B$9),IF(AND(COUNT(A499:A510)=5,COUNT(F499:F510)=5),cubic_spline(F498:F503,A498:A503,B$9),IF(AND(COUNT(A499:A510)=6,COUNT(F499:F510)=6),cubic_spline(F498:F504,A498:A504,B$9),IF(AND(COUNT(A499:A510)=7,COUNT(F499:F510)=7),cubic_spline(F498:F505,A498:A505,B$9),IF(AND(COUNT(A499:A510)=8,COUNT(F499:F510)=8),cubic_spline(F498:F506,A498:A506,B$9),IF(AND(COUNT(A499:A510)=9,COUNT(F499:F510)=9),cubic_spline(F498:F507,A498:A507,B$9),IF(AND(COUNT(A499:A510)=10,COUNT(F499:F510)=10),cubic_spline(F498:F508,A498:A508,B$9),IF(AND(COUNT(A499:A510)=11,COUNT(F499:F510)=11),cubic_spline(F498:F509,A498:A509,B$9),IF(AND(COUNT(A499:A510)=12,COUNT(F499:F510)=12),cubic_spline(F498:F510,A498:A510,B$9),""))))))))))))</f>
        <v/>
      </c>
      <c r="L506" s="27" t="str">
        <f>IF(I506="","",B$8&amp;"-"&amp;B$9)</f>
        <v/>
      </c>
      <c r="M506" s="52" t="str">
        <f t="shared" si="190"/>
        <v/>
      </c>
    </row>
    <row r="507" spans="1:13" x14ac:dyDescent="0.35">
      <c r="A507" s="48"/>
      <c r="B507" s="48"/>
      <c r="C507" s="50"/>
      <c r="D507" s="50"/>
      <c r="E507" s="51" t="str">
        <f t="shared" si="188"/>
        <v/>
      </c>
      <c r="F507" s="71" t="str">
        <f t="shared" si="186"/>
        <v/>
      </c>
      <c r="G507" s="69" t="str">
        <f t="shared" si="189"/>
        <v/>
      </c>
      <c r="H507" s="70" t="str">
        <f t="shared" si="187"/>
        <v/>
      </c>
      <c r="I507" s="27" t="str">
        <f>IF(N(J507)=0,"",0&amp;"-"&amp;B$10)</f>
        <v/>
      </c>
      <c r="J507" s="52" t="str">
        <f>IF(N(B$10)=0,"",IF(AND(COUNT(H499:H510)=2,COUNT(F499:F510)=2),cubic_spline(F498:F500,H498:H500,B$10),IF(AND(COUNT(H499:H510)=3,COUNT(F499:F510)=3),cubic_spline(F498:F501,H498:H501,B$10),IF(AND(COUNT(H499:H510)=4,COUNT(F499:F510)=4),cubic_spline(F498:F502,H498:H502,B$10),IF(AND(COUNT(H499:H510)=5,COUNT(F499:F510)=5),cubic_spline(F498:F503,H498:H503,B$10),IF(AND(COUNT(H499:H510)=6,COUNT(F499:F510)=6),cubic_spline(F498:F504,H498:H504,B$10),IF(AND(COUNT(H499:H510)=7,COUNT(F499:F510)=7),cubic_spline(F498:F505,H498:H505,B$10),IF(AND(COUNT(H499:H510)=8,COUNT(F499:F510)=8),cubic_spline(F498:F506,H498:H506,B$10),IF(AND(COUNT(H499:H510)=9,COUNT(F499:F510)=9),cubic_spline(F498:F507,H498:H507,B$10),IF(AND(COUNT(H499:H510)=10,COUNT(F499:F510)=10),cubic_spline(F498:F508,H498:H508,B$10),IF(AND(COUNT(H499:H510)=11,COUNT(F499:F510)=11),cubic_spline(F498:F509,H498:H509,B$10),IF(AND(COUNT(H499:H510)=12,COUNT(F499:F510)=12),cubic_spline(F498:F510,H498:H510,B$10),""))))))))))))</f>
        <v/>
      </c>
      <c r="K507" s="52" t="str">
        <f>IF(N(B$10)=0,"",IF(AND(COUNT(A499:A510)=2,COUNT(F499:F510)=2),cubic_spline(F498:F500,A498:A500,B$10),IF(AND(COUNT(A499:A510)=3,COUNT(F499:F510)=3),cubic_spline(F498:F501,A498:A501,B$10),IF(AND(COUNT(A499:A510)=4,COUNT(F499:F510)=4),cubic_spline(F498:F502,A498:A502,B$10),IF(AND(COUNT(A499:A510)=5,COUNT(F499:F510)=5),cubic_spline(F498:F503,A498:A503,B$10),IF(AND(COUNT(A499:A510)=6,COUNT(F499:F510)=6),cubic_spline(F498:F504,A498:A504,B$10),IF(AND(COUNT(A499:A510)=7,COUNT(F499:F510)=7),cubic_spline(F498:F505,A498:A505,B$10),IF(AND(COUNT(A499:A510)=8,COUNT(F499:F510)=8),cubic_spline(F498:F506,A498:A506,B$10),IF(AND(COUNT(A499:A510)=9,COUNT(F499:F510)=9),cubic_spline(F498:F507,A498:A507,B$10),IF(AND(COUNT(A499:A510)=10,COUNT(F499:F510)=10),cubic_spline(F498:F508,A498:A508,B$10),IF(AND(COUNT(A499:A510)=11,COUNT(F499:F510)=11),cubic_spline(F498:F509,A498:A509,B$10),IF(AND(COUNT(A499:A510)=12,COUNT(F499:F510)=12),cubic_spline(F498:F510,A498:A510,B$10),""))))))))))))</f>
        <v/>
      </c>
      <c r="L507" s="27" t="str">
        <f>IF(I507="","",B$9&amp;"-"&amp;B$10)</f>
        <v/>
      </c>
      <c r="M507" s="52" t="str">
        <f t="shared" si="190"/>
        <v/>
      </c>
    </row>
    <row r="508" spans="1:13" x14ac:dyDescent="0.35">
      <c r="A508" s="48"/>
      <c r="B508" s="48"/>
      <c r="C508" s="50"/>
      <c r="D508" s="50"/>
      <c r="E508" s="51" t="str">
        <f t="shared" si="188"/>
        <v/>
      </c>
      <c r="F508" s="71" t="str">
        <f t="shared" si="186"/>
        <v/>
      </c>
      <c r="G508" s="69" t="str">
        <f t="shared" si="189"/>
        <v/>
      </c>
      <c r="H508" s="70" t="str">
        <f t="shared" si="187"/>
        <v/>
      </c>
      <c r="I508" s="27" t="str">
        <f>IF(N(J508)=0,"",0&amp;"-"&amp;B$11)</f>
        <v/>
      </c>
      <c r="J508" s="52" t="str">
        <f>IF(N(B$11)=0,"",IF(AND(COUNT(H499:H510)=2,COUNT(F499:F510)=2),cubic_spline(F498:F500,H498:H500,B$11),IF(AND(COUNT(H499:H510)=3,COUNT(F499:F510)=3),cubic_spline(F498:F501,H498:H501,B$11),IF(AND(COUNT(H499:H510)=4,COUNT(F499:F510)=4),cubic_spline(F498:F502,H498:H502,B$11),IF(AND(COUNT(H499:H510)=5,COUNT(F499:F510)=5),cubic_spline(F498:F503,H498:H503,B$11),IF(AND(COUNT(H499:H510)=6,COUNT(F499:F510)=6),cubic_spline(F498:F504,H498:H504,B$11),IF(AND(COUNT(H499:H510)=7,COUNT(F499:F510)=7),cubic_spline(F498:F505,H498:H505,B$11),IF(AND(COUNT(H499:H510)=8,COUNT(F499:F510)=8),cubic_spline(F498:F506,H498:H506,B$11),IF(AND(COUNT(H499:H510)=9,COUNT(F499:F510)=9),cubic_spline(F498:F507,H498:H507,B$11),IF(AND(COUNT(H499:H510)=10,COUNT(F499:F510)=10),cubic_spline(F498:F508,H498:H508,B$11),IF(AND(COUNT(H499:H510)=11,COUNT(F499:F510)=11),cubic_spline(F498:F509,H498:H509,B$11),IF(AND(COUNT(H499:H510)=12,COUNT(F499:F510)=12),cubic_spline(F498:F510,H498:H510,B$11),""))))))))))))</f>
        <v/>
      </c>
      <c r="K508" s="52" t="str">
        <f>IF(N(B$11)=0,"",IF(AND(COUNT(A499:A510)=2,COUNT(F499:F510)=2),cubic_spline(F498:F500,A498:A500,B$11),IF(AND(COUNT(A499:A510)=3,COUNT(F499:F510)=3),cubic_spline(F498:F501,A498:A501,B$11),IF(AND(COUNT(A499:A510)=4,COUNT(F499:F510)=4),cubic_spline(F498:F502,A498:A502,B$11),IF(AND(COUNT(A499:A510)=5,COUNT(F499:F510)=5),cubic_spline(F498:F503,A498:A503,B$11),IF(AND(COUNT(A499:A510)=6,COUNT(F499:F510)=6),cubic_spline(F498:F504,A498:A504,B$11),IF(AND(COUNT(A499:A510)=7,COUNT(F499:F510)=7),cubic_spline(F498:F505,A498:A505,B$11),IF(AND(COUNT(A499:A510)=8,COUNT(F499:F510)=8),cubic_spline(F498:F506,A498:A506,B$11),IF(AND(COUNT(A499:A510)=9,COUNT(F499:F510)=9),cubic_spline(F498:F507,A498:A507,B$11),IF(AND(COUNT(A499:A510)=10,COUNT(F499:F510)=10),cubic_spline(F498:F508,A498:A508,B$11),IF(AND(COUNT(A499:A510)=11,COUNT(F499:F510)=11),cubic_spline(F498:F509,A498:A509,B$11),IF(AND(COUNT(A499:A510)=12,COUNT(F499:F510)=12),cubic_spline(F498:F510,A498:A510,B$11),""))))))))))))</f>
        <v/>
      </c>
      <c r="L508" s="27" t="str">
        <f>IF(I508="","",B$10&amp;"-"&amp;B$11)</f>
        <v/>
      </c>
      <c r="M508" s="52" t="str">
        <f t="shared" si="190"/>
        <v/>
      </c>
    </row>
    <row r="509" spans="1:13" x14ac:dyDescent="0.35">
      <c r="A509" s="48"/>
      <c r="B509" s="48"/>
      <c r="C509" s="50"/>
      <c r="D509" s="50"/>
      <c r="E509" s="51" t="str">
        <f t="shared" si="188"/>
        <v/>
      </c>
      <c r="F509" s="71" t="str">
        <f t="shared" si="186"/>
        <v/>
      </c>
      <c r="G509" s="69" t="str">
        <f t="shared" si="189"/>
        <v/>
      </c>
      <c r="H509" s="70" t="str">
        <f t="shared" si="187"/>
        <v/>
      </c>
      <c r="I509" s="27" t="str">
        <f>IF(N(J509)=0,"",0&amp;"-"&amp;B$12)</f>
        <v/>
      </c>
      <c r="J509" s="52" t="str">
        <f>IF(N(B$12)=0,"",IF(AND(COUNT(H499:H510)=2,COUNT(F499:F510)=2),cubic_spline(F498:F500,H498:H500,B$12),IF(AND(COUNT(H499:H510)=3,COUNT(F499:F510)=3),cubic_spline(F498:F501,H498:H501,B$12),IF(AND(COUNT(H499:H510)=4,COUNT(F499:F510)=4),cubic_spline(F498:F502,H498:H502,B$12),IF(AND(COUNT(H499:H510)=5,COUNT(F499:F510)=5),cubic_spline(F498:F503,H498:H503,B$12),IF(AND(COUNT(H499:H510)=6,COUNT(F499:F510)=6),cubic_spline(F498:F504,H498:H504,B$12),IF(AND(COUNT(H499:H510)=7,COUNT(F499:F510)=7),cubic_spline(F498:F505,H498:H505,B$12),IF(AND(COUNT(H499:H510)=8,COUNT(F499:F510)=8),cubic_spline(F498:F506,H498:H506,B$12),IF(AND(COUNT(H499:H510)=9,COUNT(F499:F510)=9),cubic_spline(F498:F507,H498:H507,B$12),IF(AND(COUNT(H499:H510)=10,COUNT(F499:F510)=10),cubic_spline(F498:F508,H498:H508,B$12),IF(AND(COUNT(H499:H510)=11,COUNT(F499:F510)=11),cubic_spline(F498:F509,H498:H509,B$12),IF(AND(COUNT(H499:H510)=12,COUNT(F499:F510)=12),cubic_spline(F498:F510,H498:H510,B$12),""))))))))))))</f>
        <v/>
      </c>
      <c r="K509" s="52" t="str">
        <f>IF(N(B$12)=0,"",IF(AND(COUNT(A499:A510)=2,COUNT(F499:F510)=2),cubic_spline(F498:F500,A498:A500,B$12),IF(AND(COUNT(A499:A510)=3,COUNT(F499:F510)=3),cubic_spline(F498:F501,A498:A501,B$12),IF(AND(COUNT(A499:A510)=4,COUNT(F499:F510)=4),cubic_spline(F498:F502,A498:A502,B$12),IF(AND(COUNT(A499:A510)=5,COUNT(F499:F510)=5),cubic_spline(F498:F503,A498:A503,B$12),IF(AND(COUNT(A499:A510)=6,COUNT(F499:F510)=6),cubic_spline(F498:F504,A498:A504,B$12),IF(AND(COUNT(A499:A510)=7,COUNT(F499:F510)=7),cubic_spline(F498:F505,A498:A505,B$12),IF(AND(COUNT(A499:A510)=8,COUNT(F499:F510)=8),cubic_spline(F498:F506,A498:A506,B$12),IF(AND(COUNT(A499:A510)=9,COUNT(F499:F510)=9),cubic_spline(F498:F507,A498:A507,B$12),IF(AND(COUNT(A499:A510)=10,COUNT(F499:F510)=10),cubic_spline(F498:F508,A498:A508,B$12),IF(AND(COUNT(A499:A510)=11,COUNT(F499:F510)=11),cubic_spline(F498:F509,A498:A509,B$12),IF(AND(COUNT(A499:A510)=12,COUNT(F499:F510)=12),cubic_spline(F498:F510,A498:A510,B$12),""))))))))))))</f>
        <v/>
      </c>
      <c r="L509" s="27" t="str">
        <f>IF(I509="","",B$11&amp;"-"&amp;B$12)</f>
        <v/>
      </c>
      <c r="M509" s="52" t="str">
        <f t="shared" si="190"/>
        <v/>
      </c>
    </row>
    <row r="510" spans="1:13" x14ac:dyDescent="0.35">
      <c r="A510" s="48"/>
      <c r="B510" s="48"/>
      <c r="C510" s="50"/>
      <c r="D510" s="50"/>
      <c r="E510" s="51" t="str">
        <f t="shared" si="188"/>
        <v/>
      </c>
      <c r="F510" s="71" t="str">
        <f t="shared" si="186"/>
        <v/>
      </c>
      <c r="G510" s="69" t="str">
        <f t="shared" si="189"/>
        <v/>
      </c>
      <c r="H510" s="70" t="str">
        <f t="shared" si="187"/>
        <v/>
      </c>
      <c r="I510" s="27" t="str">
        <f>IF(N(J510)=0,"",0&amp;"-"&amp;B$13)</f>
        <v/>
      </c>
      <c r="J510" s="52" t="str">
        <f>IF(N(B$13)=0,"",IF(AND(COUNT(H499:H510)=2,COUNT(F499:F510)=2),cubic_spline(F498:F500,H498:H500,B$13),IF(AND(COUNT(H499:H510)=3,COUNT(F499:F510)=3),cubic_spline(F498:F501,H498:H501,B$13),IF(AND(COUNT(H499:H510)=4,COUNT(F499:F510)=4),cubic_spline(F498:F502,H498:H502,B$13),IF(AND(COUNT(H499:H510)=5,COUNT(F499:F510)=5),cubic_spline(F498:F503,H498:H503,B$13),IF(AND(COUNT(H499:H510)=6,COUNT(F499:F510)=6),cubic_spline(F498:F504,H498:H504,B$13),IF(AND(COUNT(H499:H510)=7,COUNT(F499:F510)=7),cubic_spline(F498:F505,H498:H505,B$13),IF(AND(COUNT(H499:H510)=8,COUNT(F499:F510)=8),cubic_spline(F498:F506,H498:H506,B$13),IF(AND(COUNT(H499:H510)=9,COUNT(F499:F510)=9),cubic_spline(F498:F507,H498:H507,B$13),IF(AND(COUNT(H499:H510)=10,COUNT(F499:F510)=10),cubic_spline(F498:F508,H498:H508,B$13),IF(AND(COUNT(H499:H510)=11,COUNT(F499:F510)=11),cubic_spline(F498:F509,H498:H509,B$13),IF(AND(COUNT(H499:H510)=12,COUNT(F499:F510)=12),cubic_spline(F498:F510,H498:H510,B$13),""))))))))))))</f>
        <v/>
      </c>
      <c r="K510" s="52" t="str">
        <f>IF(N(B$13)=0,"",IF(AND(COUNT(A499:A510)=2,COUNT(F499:F510)=2),cubic_spline(F498:F500,A498:A500,B$13),IF(AND(COUNT(A499:A510)=3,COUNT(F499:F510)=3),cubic_spline(F498:F501,A498:A501,B$13),IF(AND(COUNT(A499:A510)=4,COUNT(F499:F510)=4),cubic_spline(F498:F502,A498:A502,B$13),IF(AND(COUNT(A499:A510)=5,COUNT(F499:F510)=5),cubic_spline(F498:F503,A498:A503,B$13),IF(AND(COUNT(A499:A510)=6,COUNT(F499:F510)=6),cubic_spline(F498:F504,A498:A504,B$13),IF(AND(COUNT(A499:A510)=7,COUNT(F499:F510)=7),cubic_spline(F498:F505,A498:A505,B$13),IF(AND(COUNT(A499:A510)=8,COUNT(F499:F510)=8),cubic_spline(F498:F506,A498:A506,B$13),IF(AND(COUNT(A499:A510)=9,COUNT(F499:F510)=9),cubic_spline(F498:F507,A498:A507,B$13),IF(AND(COUNT(A499:A510)=10,COUNT(F499:F510)=10),cubic_spline(F498:F508,A498:A508,B$13),IF(AND(COUNT(A499:A510)=11,COUNT(F499:F510)=11),cubic_spline(F498:F509,A498:A509,B$13),IF(AND(COUNT(A499:A510)=12,COUNT(F499:F510)=12),cubic_spline(F498:F510,A498:A510,B$13),""))))))))))))</f>
        <v/>
      </c>
      <c r="L510" s="27" t="str">
        <f>IF(I510="","",B$12&amp;"-"&amp;B$13)</f>
        <v/>
      </c>
      <c r="M510" s="52" t="str">
        <f t="shared" si="190"/>
        <v/>
      </c>
    </row>
    <row r="511" spans="1:13" ht="5.15" customHeight="1" x14ac:dyDescent="0.35">
      <c r="A511" s="47"/>
      <c r="B511" s="47"/>
      <c r="C511" s="53"/>
      <c r="D511" s="53"/>
      <c r="E511" s="54"/>
      <c r="F511" s="55"/>
      <c r="G511" s="72"/>
      <c r="H511" s="73"/>
      <c r="I511" s="47"/>
      <c r="J511" s="57"/>
      <c r="K511" s="57"/>
      <c r="L511" s="55"/>
      <c r="M511" s="57"/>
    </row>
    <row r="512" spans="1:13" x14ac:dyDescent="0.35">
      <c r="A512" s="48"/>
      <c r="B512" s="48"/>
      <c r="C512" s="50"/>
      <c r="D512" s="50"/>
      <c r="E512" s="51" t="str">
        <f>IF(N(C512)=0,"",(A512-A511)*C512*100)</f>
        <v/>
      </c>
      <c r="F512" s="68" t="str">
        <f t="shared" ref="F512:F523" si="191">IF(N(E512)=0,"",(N(E512)+N(F511)))</f>
        <v/>
      </c>
      <c r="G512" s="69" t="str">
        <f>IF(OR(N(D512)=0,N(E512)=0),"",(E512*D512)/1000)</f>
        <v/>
      </c>
      <c r="H512" s="70" t="str">
        <f t="shared" ref="H512:H523" si="192">IF(N(G512)=0,"",(N(G512)+N(H511)))</f>
        <v/>
      </c>
      <c r="I512" s="27" t="str">
        <f>IF(N(J512)=0,"",0&amp;"-"&amp;B$2)</f>
        <v/>
      </c>
      <c r="J512" s="52" t="str">
        <f>IF(N(B$2)=0,"",IF(AND(COUNT(H512:H523)=2,COUNT(F512:F523)=2),cubic_spline(F511:F513,H511:H513,B$2),IF(AND(COUNT(H512:H523)=3,COUNT(F512:F523)=3),cubic_spline(F511:F514,H511:H514,B$2),IF(AND(COUNT(H512:H523)=4,COUNT(F512:F523)=4),cubic_spline(F511:F515,H511:H515,B$2),IF(AND(COUNT(H512:H523)=5,COUNT(F512:F523)=5),cubic_spline(F511:F516,H511:H516,B$2),IF(AND(COUNT(H512:H523)=6,COUNT(F512:F523)=6),cubic_spline(F511:F517,H511:H517,B$2),IF(AND(COUNT(H512:H523)=7,COUNT(F512:F523)=7),cubic_spline(F511:F518,H511:H518,B$2),IF(AND(COUNT(H512:H523)=8,COUNT(F512:F523)=8),cubic_spline(F511:F519,H511:H519,B$2),IF(AND(COUNT(H512:H523)=9,COUNT(F512:F523)=9),cubic_spline(F511:F520,H511:H520,B$2),IF(AND(COUNT(H512:H523)=10,COUNT(F512:F523)=10),cubic_spline(F511:F521,H511:H521,B$2),IF(AND(COUNT(H512:H523)=11,COUNT(F512:F523)=11),cubic_spline(F511:F522,H511:H522,B$2),IF(AND(COUNT(H512:H523)=12,COUNT(F512:F523)=12),cubic_spline(F511:F523,H511:H523,B$2),""))))))))))))</f>
        <v/>
      </c>
      <c r="K512" s="52" t="str">
        <f>IF(N(B$2)=0,"",IF(AND(COUNT(A512:A523)=2,COUNT(F512:F523)=2),cubic_spline(F511:F513,A511:A513,B$2),IF(AND(COUNT(A512:A523)=3,COUNT(F512:F523)=3),cubic_spline(F511:F514,A511:A514,B$2),IF(AND(COUNT(A512:A523)=4,COUNT(F512:F523)=4),cubic_spline(F511:F515,A511:A515,B$2),IF(AND(COUNT(A512:A523)=5,COUNT(F512:F523)=5),cubic_spline(F511:F516,A511:A516,B$2),IF(AND(COUNT(A512:A523)=6,COUNT(F512:F523)=6),cubic_spline(F511:F517,A511:A517,B$2),IF(AND(COUNT(A512:A523)=7,COUNT(F512:F523)=7),cubic_spline(F511:F518,A511:A518,B$2),IF(AND(COUNT(A512:A523)=8,COUNT(F512:F523)=8),cubic_spline(F511:F519,A511:A519,B$2),IF(AND(COUNT(A512:A523)=9,COUNT(F512:F523)=9),cubic_spline(F511:F520,A511:A520,B$2),IF(AND(COUNT(A512:A523)=10,COUNT(F512:F523)=10),cubic_spline(F511:F521,A511:A521,B$2),IF(AND(COUNT(A512:A523)=11,COUNT(F512:F523)=11),cubic_spline(F511:F522,A511:A522,B$2),IF(AND(COUNT(A512:A523)=12,COUNT(F512:F523)=12),cubic_spline(F511:F523,A511:A523,B$2),""))))))))))))</f>
        <v/>
      </c>
      <c r="L512" s="27" t="str">
        <f>IF(I512="","",0&amp;"-"&amp;B$2)</f>
        <v/>
      </c>
      <c r="M512" s="52" t="str">
        <f>IF(N(J512)=0,"",J512-J511)</f>
        <v/>
      </c>
    </row>
    <row r="513" spans="1:13" x14ac:dyDescent="0.35">
      <c r="A513" s="48"/>
      <c r="B513" s="48"/>
      <c r="C513" s="50"/>
      <c r="D513" s="50"/>
      <c r="E513" s="51" t="str">
        <f t="shared" ref="E513:E523" si="193">IF(N(C513)=0,"",(A513-A512)*C513*100)</f>
        <v/>
      </c>
      <c r="F513" s="68" t="str">
        <f t="shared" si="191"/>
        <v/>
      </c>
      <c r="G513" s="69" t="str">
        <f t="shared" ref="G513:G523" si="194">IF(OR(N(D513)=0,N(E513)=0),"",(E513*D513)/1000)</f>
        <v/>
      </c>
      <c r="H513" s="70" t="str">
        <f t="shared" si="192"/>
        <v/>
      </c>
      <c r="I513" s="27" t="str">
        <f>IF(N(J513)=0,"",0&amp;"-"&amp;B$3)</f>
        <v/>
      </c>
      <c r="J513" s="52" t="str">
        <f>IF(N(B$3)=0,"",IF(AND(COUNT(H512:H523)=2,COUNT(F512:F523)=2),cubic_spline(F511:F513,H511:H513,B$3),IF(AND(COUNT(H512:H523)=3,COUNT(F512:F523)=3),cubic_spline(F511:F514,H511:H514,B$3),IF(AND(COUNT(H512:H523)=4,COUNT(F512:F523)=4),cubic_spline(F511:F515,H511:H515,B$3),IF(AND(COUNT(H512:H523)=5,COUNT(F512:F523)=5),cubic_spline(F511:F516,H511:H516,B$3),IF(AND(COUNT(H512:H523)=6,COUNT(F512:F523)=6),cubic_spline(F511:F517,H511:H517,B$3),IF(AND(COUNT(H512:H523)=7,COUNT(F512:F523)=7),cubic_spline(F511:F518,H511:H518,B$3),IF(AND(COUNT(H512:H523)=8,COUNT(F512:F523)=8),cubic_spline(F511:F519,H511:H519,B$3),IF(AND(COUNT(H512:H523)=9,COUNT(F512:F523)=9),cubic_spline(F511:F520,H511:H520,B$3),IF(AND(COUNT(H512:H523)=10,COUNT(F512:F523)=10),cubic_spline(F511:F521,H511:H521,B$3),IF(AND(COUNT(H512:H523)=11,COUNT(F512:F523)=11),cubic_spline(F511:F522,H511:H522,B$3),IF(AND(COUNT(H512:H523)=12,COUNT(F512:F523)=12),cubic_spline(F511:F523,H511:H523,B$3),""))))))))))))</f>
        <v/>
      </c>
      <c r="K513" s="52" t="str">
        <f>IF(N(B$3)=0,"",IF(AND(COUNT(A512:A523)=2,COUNT(F512:F523)=2),cubic_spline(F511:F513,A511:A513,B$3),IF(AND(COUNT(A512:A523)=3,COUNT(F512:F523)=3),cubic_spline(F511:F514,A511:A514,B$3),IF(AND(COUNT(A512:A523)=4,COUNT(F512:F523)=4),cubic_spline(F511:F515,A511:A515,B$3),IF(AND(COUNT(A512:A523)=5,COUNT(F512:F523)=5),cubic_spline(F511:F516,A511:A516,B$3),IF(AND(COUNT(A512:A523)=6,COUNT(F512:F523)=6),cubic_spline(F511:F517,A511:A517,B$3),IF(AND(COUNT(A512:A523)=7,COUNT(F512:F523)=7),cubic_spline(F511:F518,A511:A518,B$3),IF(AND(COUNT(A512:A523)=8,COUNT(F512:F523)=8),cubic_spline(F511:F519,A511:A519,B$3),IF(AND(COUNT(A512:A523)=9,COUNT(F512:F523)=9),cubic_spline(F511:F520,A511:A520,B$3),IF(AND(COUNT(A512:A523)=10,COUNT(F512:F523)=10),cubic_spline(F511:F521,A511:A521,B$3),IF(AND(COUNT(A512:A523)=11,COUNT(F512:F523)=11),cubic_spline(F511:F522,A511:A522,B$3),IF(AND(COUNT(A512:A523)=12,COUNT(F512:F523)=12),cubic_spline(F511:F523,A511:A523,B$3),""))))))))))))</f>
        <v/>
      </c>
      <c r="L513" s="27" t="str">
        <f>IF(I513="","",B$2&amp;"-"&amp;B$3)</f>
        <v/>
      </c>
      <c r="M513" s="52" t="str">
        <f>IF(N(J513)=0,"",J513-J512)</f>
        <v/>
      </c>
    </row>
    <row r="514" spans="1:13" x14ac:dyDescent="0.35">
      <c r="A514" s="48"/>
      <c r="B514" s="48"/>
      <c r="C514" s="50"/>
      <c r="D514" s="50"/>
      <c r="E514" s="51" t="str">
        <f t="shared" si="193"/>
        <v/>
      </c>
      <c r="F514" s="68" t="str">
        <f t="shared" si="191"/>
        <v/>
      </c>
      <c r="G514" s="69" t="str">
        <f t="shared" si="194"/>
        <v/>
      </c>
      <c r="H514" s="70" t="str">
        <f t="shared" si="192"/>
        <v/>
      </c>
      <c r="I514" s="27" t="str">
        <f>IF(N(J514)=0,"",0&amp;"-"&amp;B$4)</f>
        <v/>
      </c>
      <c r="J514" s="52" t="str">
        <f>IF(N(B$4)=0,"",IF(AND(COUNT(H512:H523)=2,COUNT(F512:F523)=2),cubic_spline(F511:F513,H511:H513,B$4),IF(AND(COUNT(H512:H523)=3,COUNT(F512:F523)=3),cubic_spline(F511:F514,H511:H514,B$4),IF(AND(COUNT(H512:H523)=4,COUNT(F512:F523)=4),cubic_spline(F511:F515,H511:H515,B$4),IF(AND(COUNT(H512:H523)=5,COUNT(F512:F523)=5),cubic_spline(F511:F516,H511:H516,B$4),IF(AND(COUNT(H512:H523)=6,COUNT(F512:F523)=6),cubic_spline(F511:F517,H511:H517,B$4),IF(AND(COUNT(H512:H523)=7,COUNT(F512:F523)=7),cubic_spline(F511:F518,H511:H518,B$4),IF(AND(COUNT(H512:H523)=8,COUNT(F512:F523)=8),cubic_spline(F511:F519,H511:H519,B$4),IF(AND(COUNT(H512:H523)=9,COUNT(F512:F523)=9),cubic_spline(F511:F520,H511:H520,B$4),IF(AND(COUNT(H512:H523)=10,COUNT(F512:F523)=10),cubic_spline(F511:F521,H511:H521,B$4),IF(AND(COUNT(H512:H523)=11,COUNT(F512:F523)=11),cubic_spline(F511:F522,H511:H522,B$4),IF(AND(COUNT(H512:H523)=12,COUNT(F512:F523)=12),cubic_spline(F511:F523,H511:H523,B$4),""))))))))))))</f>
        <v/>
      </c>
      <c r="K514" s="52" t="str">
        <f>IF(N(B$4)=0,"",IF(AND(COUNT(A512:A523)=2,COUNT(F512:F523)=2),cubic_spline(F511:F513,A511:A513,B$4),IF(AND(COUNT(A512:A523)=3,COUNT(F512:F523)=3),cubic_spline(F511:F514,A511:A514,B$4),IF(AND(COUNT(A512:A523)=4,COUNT(F512:F523)=4),cubic_spline(F511:F515,A511:A515,B$4),IF(AND(COUNT(A512:A523)=5,COUNT(F512:F523)=5),cubic_spline(F511:F516,A511:A516,B$4),IF(AND(COUNT(A512:A523)=6,COUNT(F512:F523)=6),cubic_spline(F511:F517,A511:A517,B$4),IF(AND(COUNT(A512:A523)=7,COUNT(F512:F523)=7),cubic_spline(F511:F518,A511:A518,B$4),IF(AND(COUNT(A512:A523)=8,COUNT(F512:F523)=8),cubic_spline(F511:F519,A511:A519,B$4),IF(AND(COUNT(A512:A523)=9,COUNT(F512:F523)=9),cubic_spline(F511:F520,A511:A520,B$4),IF(AND(COUNT(A512:A523)=10,COUNT(F512:F523)=10),cubic_spline(F511:F521,A511:A521,B$4),IF(AND(COUNT(A512:A523)=11,COUNT(F512:F523)=11),cubic_spline(F511:F522,A511:A522,B$4),IF(AND(COUNT(A512:A523)=12,COUNT(F512:F523)=12),cubic_spline(F511:F523,A511:A523,B$4),""))))))))))))</f>
        <v/>
      </c>
      <c r="L514" s="27" t="str">
        <f>IF(I514="","",B$3&amp;"-"&amp;B$4)</f>
        <v/>
      </c>
      <c r="M514" s="52" t="str">
        <f>IF(N(J514)=0,"",J514-J513)</f>
        <v/>
      </c>
    </row>
    <row r="515" spans="1:13" x14ac:dyDescent="0.35">
      <c r="A515" s="48"/>
      <c r="B515" s="48"/>
      <c r="C515" s="50"/>
      <c r="D515" s="50"/>
      <c r="E515" s="51" t="str">
        <f t="shared" si="193"/>
        <v/>
      </c>
      <c r="F515" s="68" t="str">
        <f t="shared" si="191"/>
        <v/>
      </c>
      <c r="G515" s="69" t="str">
        <f t="shared" si="194"/>
        <v/>
      </c>
      <c r="H515" s="70" t="str">
        <f t="shared" si="192"/>
        <v/>
      </c>
      <c r="I515" s="27" t="str">
        <f>IF(N(J515)=0,"",0&amp;"-"&amp;B$5)</f>
        <v/>
      </c>
      <c r="J515" s="52" t="str">
        <f>IF(N(B$5)=0,"",IF(AND(COUNT(H512:H523)=2,COUNT(F512:F523)=2),cubic_spline(F511:F513,H511:H513,B$5),IF(AND(COUNT(H512:H523)=3,COUNT(F512:F523)=3),cubic_spline(F511:F514,H511:H514,B$5),IF(AND(COUNT(H512:H523)=4,COUNT(F512:F523)=4),cubic_spline(F511:F515,H511:H515,B$5),IF(AND(COUNT(H512:H523)=5,COUNT(F512:F523)=5),cubic_spline(F511:F516,H511:H516,B$5),IF(AND(COUNT(H512:H523)=6,COUNT(F512:F523)=6),cubic_spline(F511:F517,H511:H517,B$5),IF(AND(COUNT(H512:H523)=7,COUNT(F512:F523)=7),cubic_spline(F511:F518,H511:H518,B$5),IF(AND(COUNT(H512:H523)=8,COUNT(F512:F523)=8),cubic_spline(F511:F519,H511:H519,B$5),IF(AND(COUNT(H512:H523)=9,COUNT(F512:F523)=9),cubic_spline(F511:F520,H511:H520,B$5),IF(AND(COUNT(H512:H523)=10,COUNT(F512:F523)=10),cubic_spline(F511:F521,H511:H521,B$5),IF(AND(COUNT(H512:H523)=11,COUNT(F512:F523)=11),cubic_spline(F511:F522,H511:H522,B$5),IF(AND(COUNT(H512:H523)=12,COUNT(F512:F523)=12),cubic_spline(F511:F523,H511:H523,B$5),""))))))))))))</f>
        <v/>
      </c>
      <c r="K515" s="52" t="str">
        <f>IF(N(B$5)=0,"",IF(AND(COUNT(A512:A523)=2,COUNT(F512:F523)=2),cubic_spline(F511:F513,A511:A513,B$5),IF(AND(COUNT(A512:A523)=3,COUNT(F512:F523)=3),cubic_spline(F511:F514,A511:A514,B$5),IF(AND(COUNT(A512:A523)=4,COUNT(F512:F523)=4),cubic_spline(F511:F515,A511:A515,B$5),IF(AND(COUNT(A512:A523)=5,COUNT(F512:F523)=5),cubic_spline(F511:F516,A511:A516,B$5),IF(AND(COUNT(A512:A523)=6,COUNT(F512:F523)=6),cubic_spline(F511:F517,A511:A517,B$5),IF(AND(COUNT(A512:A523)=7,COUNT(F512:F523)=7),cubic_spline(F511:F518,A511:A518,B$5),IF(AND(COUNT(A512:A523)=8,COUNT(F512:F523)=8),cubic_spline(F511:F519,A511:A519,B$5),IF(AND(COUNT(A512:A523)=9,COUNT(F512:F523)=9),cubic_spline(F511:F520,A511:A520,B$5),IF(AND(COUNT(A512:A523)=10,COUNT(F512:F523)=10),cubic_spline(F511:F521,A511:A521,B$5),IF(AND(COUNT(A512:A523)=11,COUNT(F512:F523)=11),cubic_spline(F511:F522,A511:A522,B$5),IF(AND(COUNT(A512:A523)=12,COUNT(F512:F523)=12),cubic_spline(F511:F523,A511:A523,B$5),""))))))))))))</f>
        <v/>
      </c>
      <c r="L515" s="27" t="str">
        <f>IF(I515="","",B$4&amp;"-"&amp;B$5)</f>
        <v/>
      </c>
      <c r="M515" s="52" t="str">
        <f>IF(N(J515)=0,"",J515-J514)</f>
        <v/>
      </c>
    </row>
    <row r="516" spans="1:13" x14ac:dyDescent="0.35">
      <c r="A516" s="48"/>
      <c r="B516" s="48"/>
      <c r="C516" s="50"/>
      <c r="D516" s="50"/>
      <c r="E516" s="51" t="str">
        <f t="shared" si="193"/>
        <v/>
      </c>
      <c r="F516" s="71" t="str">
        <f t="shared" si="191"/>
        <v/>
      </c>
      <c r="G516" s="69" t="str">
        <f t="shared" si="194"/>
        <v/>
      </c>
      <c r="H516" s="70" t="str">
        <f t="shared" si="192"/>
        <v/>
      </c>
      <c r="I516" s="27" t="str">
        <f>IF(N(J516)=0,"",0&amp;"-"&amp;B$6)</f>
        <v/>
      </c>
      <c r="J516" s="52" t="str">
        <f>IF(N(B$6)=0,"",IF(AND(COUNT(H512:H523)=2,COUNT(F512:F523)=2),cubic_spline(F511:F513,H511:H513,B$6),IF(AND(COUNT(H512:H523)=3,COUNT(F512:F523)=3),cubic_spline(F511:F514,H511:H514,B$6),IF(AND(COUNT(H512:H523)=4,COUNT(F512:F523)=4),cubic_spline(F511:F515,H511:H515,B$6),IF(AND(COUNT(H512:H523)=5,COUNT(F512:F523)=5),cubic_spline(F511:F516,H511:H516,B$6),IF(AND(COUNT(H512:H523)=6,COUNT(F512:F523)=6),cubic_spline(F511:F517,H511:H517,B$6),IF(AND(COUNT(H512:H523)=7,COUNT(F512:F523)=7),cubic_spline(F511:F518,H511:H518,B$6),IF(AND(COUNT(H512:H523)=8,COUNT(F512:F523)=8),cubic_spline(F511:F519,H511:H519,B$6),IF(AND(COUNT(H512:H523)=9,COUNT(F512:F523)=9),cubic_spline(F511:F520,H511:H520,B$6),IF(AND(COUNT(H512:H523)=10,COUNT(F512:F523)=10),cubic_spline(F511:F521,H511:H521,B$6),IF(AND(COUNT(H512:H523)=11,COUNT(F512:F523)=11),cubic_spline(F511:F522,H511:H522,B$6),IF(AND(COUNT(H512:H523)=12,COUNT(F512:F523)=12),cubic_spline(F511:F523,H511:H523,B$6),""))))))))))))</f>
        <v/>
      </c>
      <c r="K516" s="52" t="str">
        <f>IF(N(B$6)=0,"",IF(AND(COUNT(A512:A523)=2,COUNT(F512:F523)=2),cubic_spline(F511:F513,A511:A513,B$6),IF(AND(COUNT(A512:A523)=3,COUNT(F512:F523)=3),cubic_spline(F511:F514,A511:A514,B$6),IF(AND(COUNT(A512:A523)=4,COUNT(F512:F523)=4),cubic_spline(F511:F515,A511:A515,B$6),IF(AND(COUNT(A512:A523)=5,COUNT(F512:F523)=5),cubic_spline(F511:F516,A511:A516,B$6),IF(AND(COUNT(A512:A523)=6,COUNT(F512:F523)=6),cubic_spline(F511:F517,A511:A517,B$6),IF(AND(COUNT(A512:A523)=7,COUNT(F512:F523)=7),cubic_spline(F511:F518,A511:A518,B$6),IF(AND(COUNT(A512:A523)=8,COUNT(F512:F523)=8),cubic_spline(F511:F519,A511:A519,B$6),IF(AND(COUNT(A512:A523)=9,COUNT(F512:F523)=9),cubic_spline(F511:F520,A511:A520,B$6),IF(AND(COUNT(A512:A523)=10,COUNT(F512:F523)=10),cubic_spline(F511:F521,A511:A521,B$6),IF(AND(COUNT(A512:A523)=11,COUNT(F512:F523)=11),cubic_spline(F511:F522,A511:A522,B$6),IF(AND(COUNT(A512:A523)=12,COUNT(F512:F523)=12),cubic_spline(F511:F523,A511:A523,B$6),""))))))))))))</f>
        <v/>
      </c>
      <c r="L516" s="27" t="str">
        <f>IF(I516="","",B$5&amp;"-"&amp;B$6)</f>
        <v/>
      </c>
      <c r="M516" s="52" t="str">
        <f>IF(N(J516)=0,"",J516-J515)</f>
        <v/>
      </c>
    </row>
    <row r="517" spans="1:13" x14ac:dyDescent="0.35">
      <c r="A517" s="48"/>
      <c r="B517" s="48"/>
      <c r="C517" s="50"/>
      <c r="D517" s="50"/>
      <c r="E517" s="51" t="str">
        <f t="shared" si="193"/>
        <v/>
      </c>
      <c r="F517" s="71" t="str">
        <f t="shared" si="191"/>
        <v/>
      </c>
      <c r="G517" s="69" t="str">
        <f t="shared" si="194"/>
        <v/>
      </c>
      <c r="H517" s="70" t="str">
        <f t="shared" si="192"/>
        <v/>
      </c>
      <c r="I517" s="27" t="str">
        <f>IF(N(J517)=0,"",0&amp;"-"&amp;B$7)</f>
        <v/>
      </c>
      <c r="J517" s="52" t="str">
        <f>IF(N(B$7)=0,"",IF(AND(COUNT(H512:H523)=2,COUNT(F512:F523)=2),cubic_spline(F511:F513,H511:H513,B$7),IF(AND(COUNT(H512:H523)=3,COUNT(F512:F523)=3),cubic_spline(F511:F514,H511:H514,B$7),IF(AND(COUNT(H512:H523)=4,COUNT(F512:F523)=4),cubic_spline(F511:F515,H511:H515,B$7),IF(AND(COUNT(H512:H523)=5,COUNT(F512:F523)=5),cubic_spline(F511:F516,H511:H516,B$7),IF(AND(COUNT(H512:H523)=6,COUNT(F512:F523)=6),cubic_spline(F511:F517,H511:H517,B$7),IF(AND(COUNT(H512:H523)=7,COUNT(F512:F523)=7),cubic_spline(F511:F518,H511:H518,B$7),IF(AND(COUNT(H512:H523)=8,COUNT(F512:F523)=8),cubic_spline(F511:F519,H511:H519,B$7),IF(AND(COUNT(H512:H523)=9,COUNT(F512:F523)=9),cubic_spline(F511:F520,H511:H520,B$7),IF(AND(COUNT(H512:H523)=10,COUNT(F512:F523)=10),cubic_spline(F511:F521,H511:H521,B$7),IF(AND(COUNT(H512:H523)=11,COUNT(F512:F523)=11),cubic_spline(F511:F522,H511:H522,B$7),IF(AND(COUNT(H512:H523)=12,COUNT(F512:F523)=12),cubic_spline(F511:F523,H511:H523,B$7),""))))))))))))</f>
        <v/>
      </c>
      <c r="K517" s="52" t="str">
        <f>IF(N(B$7)=0,"",IF(AND(COUNT(A512:A523)=2,COUNT(F512:F523)=2),cubic_spline(F511:F513,A511:A513,B$7),IF(AND(COUNT(A512:A523)=3,COUNT(F512:F523)=3),cubic_spline(F511:F514,A511:A514,B$7),IF(AND(COUNT(A512:A523)=4,COUNT(F512:F523)=4),cubic_spline(F511:F515,A511:A515,B$7),IF(AND(COUNT(A512:A523)=5,COUNT(F512:F523)=5),cubic_spline(F511:F516,A511:A516,B$7),IF(AND(COUNT(A512:A523)=6,COUNT(F512:F523)=6),cubic_spline(F511:F517,A511:A517,B$7),IF(AND(COUNT(A512:A523)=7,COUNT(F512:F523)=7),cubic_spline(F511:F518,A511:A518,B$7),IF(AND(COUNT(A512:A523)=8,COUNT(F512:F523)=8),cubic_spline(F511:F519,A511:A519,B$7),IF(AND(COUNT(A512:A523)=9,COUNT(F512:F523)=9),cubic_spline(F511:F520,A511:A520,B$7),IF(AND(COUNT(A512:A523)=10,COUNT(F512:F523)=10),cubic_spline(F511:F521,A511:A521,B$7),IF(AND(COUNT(A512:A523)=11,COUNT(F512:F523)=11),cubic_spline(F511:F522,A511:A522,B$7),IF(AND(COUNT(A512:A523)=12,COUNT(F512:F523)=12),cubic_spline(F511:F523,A511:A523,B$7),""))))))))))))</f>
        <v/>
      </c>
      <c r="L517" s="27" t="str">
        <f>IF(I517="","",B$6&amp;"-"&amp;B$7)</f>
        <v/>
      </c>
      <c r="M517" s="52" t="str">
        <f t="shared" ref="M517:M523" si="195">IF(N(J517)=0,"",J517-J516)</f>
        <v/>
      </c>
    </row>
    <row r="518" spans="1:13" x14ac:dyDescent="0.35">
      <c r="A518" s="48"/>
      <c r="B518" s="48"/>
      <c r="C518" s="50"/>
      <c r="D518" s="50"/>
      <c r="E518" s="51" t="str">
        <f t="shared" si="193"/>
        <v/>
      </c>
      <c r="F518" s="71" t="str">
        <f t="shared" si="191"/>
        <v/>
      </c>
      <c r="G518" s="69" t="str">
        <f t="shared" si="194"/>
        <v/>
      </c>
      <c r="H518" s="70" t="str">
        <f t="shared" si="192"/>
        <v/>
      </c>
      <c r="I518" s="27" t="str">
        <f>IF(N(J518)=0,"",0&amp;"-"&amp;B$8)</f>
        <v/>
      </c>
      <c r="J518" s="52" t="str">
        <f>IF(N(B$8)=0,"",IF(AND(COUNT(H512:H523)=2,COUNT(F512:F523)=2),cubic_spline(F511:F513,H511:H513,B$8),IF(AND(COUNT(H512:H523)=3,COUNT(F512:F523)=3),cubic_spline(F511:F514,H511:H514,B$8),IF(AND(COUNT(H512:H523)=4,COUNT(F512:F523)=4),cubic_spline(F511:F515,H511:H515,B$8),IF(AND(COUNT(H512:H523)=5,COUNT(F512:F523)=5),cubic_spline(F511:F516,H511:H516,B$8),IF(AND(COUNT(H512:H523)=6,COUNT(F512:F523)=6),cubic_spline(F511:F517,H511:H517,B$8),IF(AND(COUNT(H512:H523)=7,COUNT(F512:F523)=7),cubic_spline(F511:F518,H511:H518,B$8),IF(AND(COUNT(H512:H523)=8,COUNT(F512:F523)=8),cubic_spline(F511:F519,H511:H519,B$8),IF(AND(COUNT(H512:H523)=9,COUNT(F512:F523)=9),cubic_spline(F511:F520,H511:H520,B$8),IF(AND(COUNT(H512:H523)=10,COUNT(F512:F523)=10),cubic_spline(F511:F521,H511:H521,B$8),IF(AND(COUNT(H512:H523)=11,COUNT(F512:F523)=11),cubic_spline(F511:F522,H511:H522,B$8),IF(AND(COUNT(H512:H523)=12,COUNT(F512:F523)=12),cubic_spline(F511:F523,H511:H523,B$8),""))))))))))))</f>
        <v/>
      </c>
      <c r="K518" s="52" t="str">
        <f>IF(N(B$8)=0,"",IF(AND(COUNT(A512:A523)=2,COUNT(F512:F523)=2),cubic_spline(F511:F513,A511:A513,B$8),IF(AND(COUNT(A512:A523)=3,COUNT(F512:F523)=3),cubic_spline(F511:F514,A511:A514,B$8),IF(AND(COUNT(A512:A523)=4,COUNT(F512:F523)=4),cubic_spline(F511:F515,A511:A515,B$8),IF(AND(COUNT(A512:A523)=5,COUNT(F512:F523)=5),cubic_spline(F511:F516,A511:A516,B$8),IF(AND(COUNT(A512:A523)=6,COUNT(F512:F523)=6),cubic_spline(F511:F517,A511:A517,B$8),IF(AND(COUNT(A512:A523)=7,COUNT(F512:F523)=7),cubic_spline(F511:F518,A511:A518,B$8),IF(AND(COUNT(A512:A523)=8,COUNT(F512:F523)=8),cubic_spline(F511:F519,A511:A519,B$8),IF(AND(COUNT(A512:A523)=9,COUNT(F512:F523)=9),cubic_spline(F511:F520,A511:A520,B$8),IF(AND(COUNT(A512:A523)=10,COUNT(F512:F523)=10),cubic_spline(F511:F521,A511:A521,B$8),IF(AND(COUNT(A512:A523)=11,COUNT(F512:F523)=11),cubic_spline(F511:F522,A511:A522,B$8),IF(AND(COUNT(A512:A523)=12,COUNT(F512:F523)=12),cubic_spline(F511:F523,A511:A523,B$8),""))))))))))))</f>
        <v/>
      </c>
      <c r="L518" s="27" t="str">
        <f>IF(I518="","",B$7&amp;"-"&amp;B$8)</f>
        <v/>
      </c>
      <c r="M518" s="52" t="str">
        <f t="shared" si="195"/>
        <v/>
      </c>
    </row>
    <row r="519" spans="1:13" x14ac:dyDescent="0.35">
      <c r="A519" s="48"/>
      <c r="B519" s="48"/>
      <c r="C519" s="50"/>
      <c r="D519" s="50"/>
      <c r="E519" s="51" t="str">
        <f t="shared" si="193"/>
        <v/>
      </c>
      <c r="F519" s="71" t="str">
        <f t="shared" si="191"/>
        <v/>
      </c>
      <c r="G519" s="69" t="str">
        <f t="shared" si="194"/>
        <v/>
      </c>
      <c r="H519" s="70" t="str">
        <f t="shared" si="192"/>
        <v/>
      </c>
      <c r="I519" s="27" t="str">
        <f>IF(N(J519)=0,"",0&amp;"-"&amp;B$9)</f>
        <v/>
      </c>
      <c r="J519" s="52" t="str">
        <f>IF(N(B$9)=0,"",IF(AND(COUNT(H512:H523)=2,COUNT(F512:F523)=2),cubic_spline(F511:F513,H511:H513,B$9),IF(AND(COUNT(H512:H523)=3,COUNT(F512:F523)=3),cubic_spline(F511:F514,H511:H514,B$9),IF(AND(COUNT(H512:H523)=4,COUNT(F512:F523)=4),cubic_spline(F511:F515,H511:H515,B$9),IF(AND(COUNT(H512:H523)=5,COUNT(F512:F523)=5),cubic_spline(F511:F516,H511:H516,B$9),IF(AND(COUNT(H512:H523)=6,COUNT(F512:F523)=6),cubic_spline(F511:F517,H511:H517,B$9),IF(AND(COUNT(H512:H523)=7,COUNT(F512:F523)=7),cubic_spline(F511:F518,H511:H518,B$9),IF(AND(COUNT(H512:H523)=8,COUNT(F512:F523)=8),cubic_spline(F511:F519,H511:H519,B$9),IF(AND(COUNT(H512:H523)=9,COUNT(F512:F523)=9),cubic_spline(F511:F520,H511:H520,B$9),IF(AND(COUNT(H512:H523)=10,COUNT(F512:F523)=10),cubic_spline(F511:F521,H511:H521,B$9),IF(AND(COUNT(H512:H523)=11,COUNT(F512:F523)=11),cubic_spline(F511:F522,H511:H522,B$9),IF(AND(COUNT(H512:H523)=12,COUNT(F512:F523)=12),cubic_spline(F511:F523,H511:H523,B$9),""))))))))))))</f>
        <v/>
      </c>
      <c r="K519" s="52" t="str">
        <f>IF(N(B$9)=0,"",IF(AND(COUNT(A512:A523)=2,COUNT(F512:F523)=2),cubic_spline(F511:F513,A511:A513,B$9),IF(AND(COUNT(A512:A523)=3,COUNT(F512:F523)=3),cubic_spline(F511:F514,A511:A514,B$9),IF(AND(COUNT(A512:A523)=4,COUNT(F512:F523)=4),cubic_spline(F511:F515,A511:A515,B$9),IF(AND(COUNT(A512:A523)=5,COUNT(F512:F523)=5),cubic_spline(F511:F516,A511:A516,B$9),IF(AND(COUNT(A512:A523)=6,COUNT(F512:F523)=6),cubic_spline(F511:F517,A511:A517,B$9),IF(AND(COUNT(A512:A523)=7,COUNT(F512:F523)=7),cubic_spline(F511:F518,A511:A518,B$9),IF(AND(COUNT(A512:A523)=8,COUNT(F512:F523)=8),cubic_spline(F511:F519,A511:A519,B$9),IF(AND(COUNT(A512:A523)=9,COUNT(F512:F523)=9),cubic_spline(F511:F520,A511:A520,B$9),IF(AND(COUNT(A512:A523)=10,COUNT(F512:F523)=10),cubic_spline(F511:F521,A511:A521,B$9),IF(AND(COUNT(A512:A523)=11,COUNT(F512:F523)=11),cubic_spline(F511:F522,A511:A522,B$9),IF(AND(COUNT(A512:A523)=12,COUNT(F512:F523)=12),cubic_spline(F511:F523,A511:A523,B$9),""))))))))))))</f>
        <v/>
      </c>
      <c r="L519" s="27" t="str">
        <f>IF(I519="","",B$8&amp;"-"&amp;B$9)</f>
        <v/>
      </c>
      <c r="M519" s="52" t="str">
        <f t="shared" si="195"/>
        <v/>
      </c>
    </row>
    <row r="520" spans="1:13" x14ac:dyDescent="0.35">
      <c r="A520" s="48"/>
      <c r="B520" s="48"/>
      <c r="C520" s="50"/>
      <c r="D520" s="50"/>
      <c r="E520" s="51" t="str">
        <f t="shared" si="193"/>
        <v/>
      </c>
      <c r="F520" s="71" t="str">
        <f t="shared" si="191"/>
        <v/>
      </c>
      <c r="G520" s="69" t="str">
        <f t="shared" si="194"/>
        <v/>
      </c>
      <c r="H520" s="70" t="str">
        <f t="shared" si="192"/>
        <v/>
      </c>
      <c r="I520" s="27" t="str">
        <f>IF(N(J520)=0,"",0&amp;"-"&amp;B$10)</f>
        <v/>
      </c>
      <c r="J520" s="52" t="str">
        <f>IF(N(B$10)=0,"",IF(AND(COUNT(H512:H523)=2,COUNT(F512:F523)=2),cubic_spline(F511:F513,H511:H513,B$10),IF(AND(COUNT(H512:H523)=3,COUNT(F512:F523)=3),cubic_spline(F511:F514,H511:H514,B$10),IF(AND(COUNT(H512:H523)=4,COUNT(F512:F523)=4),cubic_spline(F511:F515,H511:H515,B$10),IF(AND(COUNT(H512:H523)=5,COUNT(F512:F523)=5),cubic_spline(F511:F516,H511:H516,B$10),IF(AND(COUNT(H512:H523)=6,COUNT(F512:F523)=6),cubic_spline(F511:F517,H511:H517,B$10),IF(AND(COUNT(H512:H523)=7,COUNT(F512:F523)=7),cubic_spline(F511:F518,H511:H518,B$10),IF(AND(COUNT(H512:H523)=8,COUNT(F512:F523)=8),cubic_spline(F511:F519,H511:H519,B$10),IF(AND(COUNT(H512:H523)=9,COUNT(F512:F523)=9),cubic_spline(F511:F520,H511:H520,B$10),IF(AND(COUNT(H512:H523)=10,COUNT(F512:F523)=10),cubic_spline(F511:F521,H511:H521,B$10),IF(AND(COUNT(H512:H523)=11,COUNT(F512:F523)=11),cubic_spline(F511:F522,H511:H522,B$10),IF(AND(COUNT(H512:H523)=12,COUNT(F512:F523)=12),cubic_spline(F511:F523,H511:H523,B$10),""))))))))))))</f>
        <v/>
      </c>
      <c r="K520" s="52" t="str">
        <f>IF(N(B$10)=0,"",IF(AND(COUNT(A512:A523)=2,COUNT(F512:F523)=2),cubic_spline(F511:F513,A511:A513,B$10),IF(AND(COUNT(A512:A523)=3,COUNT(F512:F523)=3),cubic_spline(F511:F514,A511:A514,B$10),IF(AND(COUNT(A512:A523)=4,COUNT(F512:F523)=4),cubic_spline(F511:F515,A511:A515,B$10),IF(AND(COUNT(A512:A523)=5,COUNT(F512:F523)=5),cubic_spline(F511:F516,A511:A516,B$10),IF(AND(COUNT(A512:A523)=6,COUNT(F512:F523)=6),cubic_spline(F511:F517,A511:A517,B$10),IF(AND(COUNT(A512:A523)=7,COUNT(F512:F523)=7),cubic_spline(F511:F518,A511:A518,B$10),IF(AND(COUNT(A512:A523)=8,COUNT(F512:F523)=8),cubic_spline(F511:F519,A511:A519,B$10),IF(AND(COUNT(A512:A523)=9,COUNT(F512:F523)=9),cubic_spline(F511:F520,A511:A520,B$10),IF(AND(COUNT(A512:A523)=10,COUNT(F512:F523)=10),cubic_spline(F511:F521,A511:A521,B$10),IF(AND(COUNT(A512:A523)=11,COUNT(F512:F523)=11),cubic_spline(F511:F522,A511:A522,B$10),IF(AND(COUNT(A512:A523)=12,COUNT(F512:F523)=12),cubic_spline(F511:F523,A511:A523,B$10),""))))))))))))</f>
        <v/>
      </c>
      <c r="L520" s="27" t="str">
        <f>IF(I520="","",B$9&amp;"-"&amp;B$10)</f>
        <v/>
      </c>
      <c r="M520" s="52" t="str">
        <f t="shared" si="195"/>
        <v/>
      </c>
    </row>
    <row r="521" spans="1:13" x14ac:dyDescent="0.35">
      <c r="A521" s="48"/>
      <c r="B521" s="48"/>
      <c r="C521" s="50"/>
      <c r="D521" s="50"/>
      <c r="E521" s="51" t="str">
        <f t="shared" si="193"/>
        <v/>
      </c>
      <c r="F521" s="71" t="str">
        <f t="shared" si="191"/>
        <v/>
      </c>
      <c r="G521" s="69" t="str">
        <f t="shared" si="194"/>
        <v/>
      </c>
      <c r="H521" s="70" t="str">
        <f t="shared" si="192"/>
        <v/>
      </c>
      <c r="I521" s="27" t="str">
        <f>IF(N(J521)=0,"",0&amp;"-"&amp;B$11)</f>
        <v/>
      </c>
      <c r="J521" s="52" t="str">
        <f>IF(N(B$11)=0,"",IF(AND(COUNT(H512:H523)=2,COUNT(F512:F523)=2),cubic_spline(F511:F513,H511:H513,B$11),IF(AND(COUNT(H512:H523)=3,COUNT(F512:F523)=3),cubic_spline(F511:F514,H511:H514,B$11),IF(AND(COUNT(H512:H523)=4,COUNT(F512:F523)=4),cubic_spline(F511:F515,H511:H515,B$11),IF(AND(COUNT(H512:H523)=5,COUNT(F512:F523)=5),cubic_spline(F511:F516,H511:H516,B$11),IF(AND(COUNT(H512:H523)=6,COUNT(F512:F523)=6),cubic_spline(F511:F517,H511:H517,B$11),IF(AND(COUNT(H512:H523)=7,COUNT(F512:F523)=7),cubic_spline(F511:F518,H511:H518,B$11),IF(AND(COUNT(H512:H523)=8,COUNT(F512:F523)=8),cubic_spline(F511:F519,H511:H519,B$11),IF(AND(COUNT(H512:H523)=9,COUNT(F512:F523)=9),cubic_spline(F511:F520,H511:H520,B$11),IF(AND(COUNT(H512:H523)=10,COUNT(F512:F523)=10),cubic_spline(F511:F521,H511:H521,B$11),IF(AND(COUNT(H512:H523)=11,COUNT(F512:F523)=11),cubic_spline(F511:F522,H511:H522,B$11),IF(AND(COUNT(H512:H523)=12,COUNT(F512:F523)=12),cubic_spline(F511:F523,H511:H523,B$11),""))))))))))))</f>
        <v/>
      </c>
      <c r="K521" s="52" t="str">
        <f>IF(N(B$11)=0,"",IF(AND(COUNT(A512:A523)=2,COUNT(F512:F523)=2),cubic_spline(F511:F513,A511:A513,B$11),IF(AND(COUNT(A512:A523)=3,COUNT(F512:F523)=3),cubic_spline(F511:F514,A511:A514,B$11),IF(AND(COUNT(A512:A523)=4,COUNT(F512:F523)=4),cubic_spline(F511:F515,A511:A515,B$11),IF(AND(COUNT(A512:A523)=5,COUNT(F512:F523)=5),cubic_spline(F511:F516,A511:A516,B$11),IF(AND(COUNT(A512:A523)=6,COUNT(F512:F523)=6),cubic_spline(F511:F517,A511:A517,B$11),IF(AND(COUNT(A512:A523)=7,COUNT(F512:F523)=7),cubic_spline(F511:F518,A511:A518,B$11),IF(AND(COUNT(A512:A523)=8,COUNT(F512:F523)=8),cubic_spline(F511:F519,A511:A519,B$11),IF(AND(COUNT(A512:A523)=9,COUNT(F512:F523)=9),cubic_spline(F511:F520,A511:A520,B$11),IF(AND(COUNT(A512:A523)=10,COUNT(F512:F523)=10),cubic_spline(F511:F521,A511:A521,B$11),IF(AND(COUNT(A512:A523)=11,COUNT(F512:F523)=11),cubic_spline(F511:F522,A511:A522,B$11),IF(AND(COUNT(A512:A523)=12,COUNT(F512:F523)=12),cubic_spline(F511:F523,A511:A523,B$11),""))))))))))))</f>
        <v/>
      </c>
      <c r="L521" s="27" t="str">
        <f>IF(I521="","",B$10&amp;"-"&amp;B$11)</f>
        <v/>
      </c>
      <c r="M521" s="52" t="str">
        <f t="shared" si="195"/>
        <v/>
      </c>
    </row>
    <row r="522" spans="1:13" x14ac:dyDescent="0.35">
      <c r="A522" s="48"/>
      <c r="B522" s="48"/>
      <c r="C522" s="50"/>
      <c r="D522" s="50"/>
      <c r="E522" s="51" t="str">
        <f t="shared" si="193"/>
        <v/>
      </c>
      <c r="F522" s="71" t="str">
        <f t="shared" si="191"/>
        <v/>
      </c>
      <c r="G522" s="69" t="str">
        <f t="shared" si="194"/>
        <v/>
      </c>
      <c r="H522" s="70" t="str">
        <f t="shared" si="192"/>
        <v/>
      </c>
      <c r="I522" s="27" t="str">
        <f>IF(N(J522)=0,"",0&amp;"-"&amp;B$12)</f>
        <v/>
      </c>
      <c r="J522" s="52" t="str">
        <f>IF(N(B$12)=0,"",IF(AND(COUNT(H512:H523)=2,COUNT(F512:F523)=2),cubic_spline(F511:F513,H511:H513,B$12),IF(AND(COUNT(H512:H523)=3,COUNT(F512:F523)=3),cubic_spline(F511:F514,H511:H514,B$12),IF(AND(COUNT(H512:H523)=4,COUNT(F512:F523)=4),cubic_spline(F511:F515,H511:H515,B$12),IF(AND(COUNT(H512:H523)=5,COUNT(F512:F523)=5),cubic_spline(F511:F516,H511:H516,B$12),IF(AND(COUNT(H512:H523)=6,COUNT(F512:F523)=6),cubic_spline(F511:F517,H511:H517,B$12),IF(AND(COUNT(H512:H523)=7,COUNT(F512:F523)=7),cubic_spline(F511:F518,H511:H518,B$12),IF(AND(COUNT(H512:H523)=8,COUNT(F512:F523)=8),cubic_spline(F511:F519,H511:H519,B$12),IF(AND(COUNT(H512:H523)=9,COUNT(F512:F523)=9),cubic_spline(F511:F520,H511:H520,B$12),IF(AND(COUNT(H512:H523)=10,COUNT(F512:F523)=10),cubic_spline(F511:F521,H511:H521,B$12),IF(AND(COUNT(H512:H523)=11,COUNT(F512:F523)=11),cubic_spline(F511:F522,H511:H522,B$12),IF(AND(COUNT(H512:H523)=12,COUNT(F512:F523)=12),cubic_spline(F511:F523,H511:H523,B$12),""))))))))))))</f>
        <v/>
      </c>
      <c r="K522" s="52" t="str">
        <f>IF(N(B$12)=0,"",IF(AND(COUNT(A512:A523)=2,COUNT(F512:F523)=2),cubic_spline(F511:F513,A511:A513,B$12),IF(AND(COUNT(A512:A523)=3,COUNT(F512:F523)=3),cubic_spline(F511:F514,A511:A514,B$12),IF(AND(COUNT(A512:A523)=4,COUNT(F512:F523)=4),cubic_spline(F511:F515,A511:A515,B$12),IF(AND(COUNT(A512:A523)=5,COUNT(F512:F523)=5),cubic_spline(F511:F516,A511:A516,B$12),IF(AND(COUNT(A512:A523)=6,COUNT(F512:F523)=6),cubic_spline(F511:F517,A511:A517,B$12),IF(AND(COUNT(A512:A523)=7,COUNT(F512:F523)=7),cubic_spline(F511:F518,A511:A518,B$12),IF(AND(COUNT(A512:A523)=8,COUNT(F512:F523)=8),cubic_spline(F511:F519,A511:A519,B$12),IF(AND(COUNT(A512:A523)=9,COUNT(F512:F523)=9),cubic_spline(F511:F520,A511:A520,B$12),IF(AND(COUNT(A512:A523)=10,COUNT(F512:F523)=10),cubic_spline(F511:F521,A511:A521,B$12),IF(AND(COUNT(A512:A523)=11,COUNT(F512:F523)=11),cubic_spline(F511:F522,A511:A522,B$12),IF(AND(COUNT(A512:A523)=12,COUNT(F512:F523)=12),cubic_spline(F511:F523,A511:A523,B$12),""))))))))))))</f>
        <v/>
      </c>
      <c r="L522" s="27" t="str">
        <f>IF(I522="","",B$11&amp;"-"&amp;B$12)</f>
        <v/>
      </c>
      <c r="M522" s="52" t="str">
        <f t="shared" si="195"/>
        <v/>
      </c>
    </row>
    <row r="523" spans="1:13" x14ac:dyDescent="0.35">
      <c r="A523" s="48"/>
      <c r="B523" s="48"/>
      <c r="C523" s="50"/>
      <c r="D523" s="50"/>
      <c r="E523" s="51" t="str">
        <f t="shared" si="193"/>
        <v/>
      </c>
      <c r="F523" s="71" t="str">
        <f t="shared" si="191"/>
        <v/>
      </c>
      <c r="G523" s="69" t="str">
        <f t="shared" si="194"/>
        <v/>
      </c>
      <c r="H523" s="70" t="str">
        <f t="shared" si="192"/>
        <v/>
      </c>
      <c r="I523" s="27" t="str">
        <f>IF(N(J523)=0,"",0&amp;"-"&amp;B$13)</f>
        <v/>
      </c>
      <c r="J523" s="52" t="str">
        <f>IF(N(B$13)=0,"",IF(AND(COUNT(H512:H523)=2,COUNT(F512:F523)=2),cubic_spline(F511:F513,H511:H513,B$13),IF(AND(COUNT(H512:H523)=3,COUNT(F512:F523)=3),cubic_spline(F511:F514,H511:H514,B$13),IF(AND(COUNT(H512:H523)=4,COUNT(F512:F523)=4),cubic_spline(F511:F515,H511:H515,B$13),IF(AND(COUNT(H512:H523)=5,COUNT(F512:F523)=5),cubic_spline(F511:F516,H511:H516,B$13),IF(AND(COUNT(H512:H523)=6,COUNT(F512:F523)=6),cubic_spline(F511:F517,H511:H517,B$13),IF(AND(COUNT(H512:H523)=7,COUNT(F512:F523)=7),cubic_spline(F511:F518,H511:H518,B$13),IF(AND(COUNT(H512:H523)=8,COUNT(F512:F523)=8),cubic_spline(F511:F519,H511:H519,B$13),IF(AND(COUNT(H512:H523)=9,COUNT(F512:F523)=9),cubic_spline(F511:F520,H511:H520,B$13),IF(AND(COUNT(H512:H523)=10,COUNT(F512:F523)=10),cubic_spline(F511:F521,H511:H521,B$13),IF(AND(COUNT(H512:H523)=11,COUNT(F512:F523)=11),cubic_spline(F511:F522,H511:H522,B$13),IF(AND(COUNT(H512:H523)=12,COUNT(F512:F523)=12),cubic_spline(F511:F523,H511:H523,B$13),""))))))))))))</f>
        <v/>
      </c>
      <c r="K523" s="52" t="str">
        <f>IF(N(B$13)=0,"",IF(AND(COUNT(A512:A523)=2,COUNT(F512:F523)=2),cubic_spline(F511:F513,A511:A513,B$13),IF(AND(COUNT(A512:A523)=3,COUNT(F512:F523)=3),cubic_spline(F511:F514,A511:A514,B$13),IF(AND(COUNT(A512:A523)=4,COUNT(F512:F523)=4),cubic_spline(F511:F515,A511:A515,B$13),IF(AND(COUNT(A512:A523)=5,COUNT(F512:F523)=5),cubic_spline(F511:F516,A511:A516,B$13),IF(AND(COUNT(A512:A523)=6,COUNT(F512:F523)=6),cubic_spline(F511:F517,A511:A517,B$13),IF(AND(COUNT(A512:A523)=7,COUNT(F512:F523)=7),cubic_spline(F511:F518,A511:A518,B$13),IF(AND(COUNT(A512:A523)=8,COUNT(F512:F523)=8),cubic_spline(F511:F519,A511:A519,B$13),IF(AND(COUNT(A512:A523)=9,COUNT(F512:F523)=9),cubic_spline(F511:F520,A511:A520,B$13),IF(AND(COUNT(A512:A523)=10,COUNT(F512:F523)=10),cubic_spline(F511:F521,A511:A521,B$13),IF(AND(COUNT(A512:A523)=11,COUNT(F512:F523)=11),cubic_spline(F511:F522,A511:A522,B$13),IF(AND(COUNT(A512:A523)=12,COUNT(F512:F523)=12),cubic_spline(F511:F523,A511:A523,B$13),""))))))))))))</f>
        <v/>
      </c>
      <c r="L523" s="27" t="str">
        <f>IF(I523="","",B$12&amp;"-"&amp;B$13)</f>
        <v/>
      </c>
      <c r="M523" s="52" t="str">
        <f t="shared" si="195"/>
        <v/>
      </c>
    </row>
    <row r="524" spans="1:13" ht="5.15" customHeight="1" x14ac:dyDescent="0.35">
      <c r="A524" s="47"/>
      <c r="B524" s="47"/>
      <c r="C524" s="53"/>
      <c r="D524" s="53"/>
      <c r="E524" s="54"/>
      <c r="F524" s="55"/>
      <c r="G524" s="72"/>
      <c r="H524" s="73"/>
      <c r="I524" s="47"/>
      <c r="J524" s="57"/>
      <c r="K524" s="57"/>
      <c r="L524" s="55"/>
      <c r="M524" s="57"/>
    </row>
    <row r="525" spans="1:13" x14ac:dyDescent="0.35">
      <c r="A525" s="48"/>
      <c r="B525" s="48"/>
      <c r="C525" s="50"/>
      <c r="D525" s="50"/>
      <c r="E525" s="51" t="str">
        <f>IF(N(C525)=0,"",(A525-A524)*C525*100)</f>
        <v/>
      </c>
      <c r="F525" s="68" t="str">
        <f t="shared" ref="F525:F536" si="196">IF(N(E525)=0,"",(N(E525)+N(F524)))</f>
        <v/>
      </c>
      <c r="G525" s="69" t="str">
        <f>IF(OR(N(D525)=0,N(E525)=0),"",(E525*D525)/1000)</f>
        <v/>
      </c>
      <c r="H525" s="70" t="str">
        <f t="shared" ref="H525:H536" si="197">IF(N(G525)=0,"",(N(G525)+N(H524)))</f>
        <v/>
      </c>
      <c r="I525" s="27" t="str">
        <f>IF(N(J525)=0,"",0&amp;"-"&amp;B$2)</f>
        <v/>
      </c>
      <c r="J525" s="52" t="str">
        <f>IF(N(B$2)=0,"",IF(AND(COUNT(H525:H536)=2,COUNT(F525:F536)=2),cubic_spline(F524:F526,H524:H526,B$2),IF(AND(COUNT(H525:H536)=3,COUNT(F525:F536)=3),cubic_spline(F524:F527,H524:H527,B$2),IF(AND(COUNT(H525:H536)=4,COUNT(F525:F536)=4),cubic_spline(F524:F528,H524:H528,B$2),IF(AND(COUNT(H525:H536)=5,COUNT(F525:F536)=5),cubic_spline(F524:F529,H524:H529,B$2),IF(AND(COUNT(H525:H536)=6,COUNT(F525:F536)=6),cubic_spline(F524:F530,H524:H530,B$2),IF(AND(COUNT(H525:H536)=7,COUNT(F525:F536)=7),cubic_spline(F524:F531,H524:H531,B$2),IF(AND(COUNT(H525:H536)=8,COUNT(F525:F536)=8),cubic_spline(F524:F532,H524:H532,B$2),IF(AND(COUNT(H525:H536)=9,COUNT(F525:F536)=9),cubic_spline(F524:F533,H524:H533,B$2),IF(AND(COUNT(H525:H536)=10,COUNT(F525:F536)=10),cubic_spline(F524:F534,H524:H534,B$2),IF(AND(COUNT(H525:H536)=11,COUNT(F525:F536)=11),cubic_spline(F524:F535,H524:H535,B$2),IF(AND(COUNT(H525:H536)=12,COUNT(F525:F536)=12),cubic_spline(F524:F536,H524:H536,B$2),""))))))))))))</f>
        <v/>
      </c>
      <c r="K525" s="52" t="str">
        <f>IF(N(B$2)=0,"",IF(AND(COUNT(A525:A536)=2,COUNT(F525:F536)=2),cubic_spline(F524:F526,A524:A526,B$2),IF(AND(COUNT(A525:A536)=3,COUNT(F525:F536)=3),cubic_spline(F524:F527,A524:A527,B$2),IF(AND(COUNT(A525:A536)=4,COUNT(F525:F536)=4),cubic_spline(F524:F528,A524:A528,B$2),IF(AND(COUNT(A525:A536)=5,COUNT(F525:F536)=5),cubic_spline(F524:F529,A524:A529,B$2),IF(AND(COUNT(A525:A536)=6,COUNT(F525:F536)=6),cubic_spline(F524:F530,A524:A530,B$2),IF(AND(COUNT(A525:A536)=7,COUNT(F525:F536)=7),cubic_spline(F524:F531,A524:A531,B$2),IF(AND(COUNT(A525:A536)=8,COUNT(F525:F536)=8),cubic_spline(F524:F532,A524:A532,B$2),IF(AND(COUNT(A525:A536)=9,COUNT(F525:F536)=9),cubic_spline(F524:F533,A524:A533,B$2),IF(AND(COUNT(A525:A536)=10,COUNT(F525:F536)=10),cubic_spline(F524:F534,A524:A534,B$2),IF(AND(COUNT(A525:A536)=11,COUNT(F525:F536)=11),cubic_spline(F524:F535,A524:A535,B$2),IF(AND(COUNT(A525:A536)=12,COUNT(F525:F536)=12),cubic_spline(F524:F536,A524:A536,B$2),""))))))))))))</f>
        <v/>
      </c>
      <c r="L525" s="27" t="str">
        <f>IF(I525="","",0&amp;"-"&amp;B$2)</f>
        <v/>
      </c>
      <c r="M525" s="52" t="str">
        <f>IF(N(J525)=0,"",J525-J524)</f>
        <v/>
      </c>
    </row>
    <row r="526" spans="1:13" x14ac:dyDescent="0.35">
      <c r="A526" s="48"/>
      <c r="B526" s="48"/>
      <c r="C526" s="50"/>
      <c r="D526" s="50"/>
      <c r="E526" s="51" t="str">
        <f t="shared" ref="E526:E536" si="198">IF(N(C526)=0,"",(A526-A525)*C526*100)</f>
        <v/>
      </c>
      <c r="F526" s="68" t="str">
        <f t="shared" si="196"/>
        <v/>
      </c>
      <c r="G526" s="69" t="str">
        <f t="shared" ref="G526:G536" si="199">IF(OR(N(D526)=0,N(E526)=0),"",(E526*D526)/1000)</f>
        <v/>
      </c>
      <c r="H526" s="70" t="str">
        <f t="shared" si="197"/>
        <v/>
      </c>
      <c r="I526" s="27" t="str">
        <f>IF(N(J526)=0,"",0&amp;"-"&amp;B$3)</f>
        <v/>
      </c>
      <c r="J526" s="52" t="str">
        <f>IF(N(B$3)=0,"",IF(AND(COUNT(H525:H536)=2,COUNT(F525:F536)=2),cubic_spline(F524:F526,H524:H526,B$3),IF(AND(COUNT(H525:H536)=3,COUNT(F525:F536)=3),cubic_spline(F524:F527,H524:H527,B$3),IF(AND(COUNT(H525:H536)=4,COUNT(F525:F536)=4),cubic_spline(F524:F528,H524:H528,B$3),IF(AND(COUNT(H525:H536)=5,COUNT(F525:F536)=5),cubic_spline(F524:F529,H524:H529,B$3),IF(AND(COUNT(H525:H536)=6,COUNT(F525:F536)=6),cubic_spline(F524:F530,H524:H530,B$3),IF(AND(COUNT(H525:H536)=7,COUNT(F525:F536)=7),cubic_spline(F524:F531,H524:H531,B$3),IF(AND(COUNT(H525:H536)=8,COUNT(F525:F536)=8),cubic_spline(F524:F532,H524:H532,B$3),IF(AND(COUNT(H525:H536)=9,COUNT(F525:F536)=9),cubic_spline(F524:F533,H524:H533,B$3),IF(AND(COUNT(H525:H536)=10,COUNT(F525:F536)=10),cubic_spline(F524:F534,H524:H534,B$3),IF(AND(COUNT(H525:H536)=11,COUNT(F525:F536)=11),cubic_spline(F524:F535,H524:H535,B$3),IF(AND(COUNT(H525:H536)=12,COUNT(F525:F536)=12),cubic_spline(F524:F536,H524:H536,B$3),""))))))))))))</f>
        <v/>
      </c>
      <c r="K526" s="52" t="str">
        <f>IF(N(B$3)=0,"",IF(AND(COUNT(A525:A536)=2,COUNT(F525:F536)=2),cubic_spline(F524:F526,A524:A526,B$3),IF(AND(COUNT(A525:A536)=3,COUNT(F525:F536)=3),cubic_spline(F524:F527,A524:A527,B$3),IF(AND(COUNT(A525:A536)=4,COUNT(F525:F536)=4),cubic_spline(F524:F528,A524:A528,B$3),IF(AND(COUNT(A525:A536)=5,COUNT(F525:F536)=5),cubic_spline(F524:F529,A524:A529,B$3),IF(AND(COUNT(A525:A536)=6,COUNT(F525:F536)=6),cubic_spline(F524:F530,A524:A530,B$3),IF(AND(COUNT(A525:A536)=7,COUNT(F525:F536)=7),cubic_spline(F524:F531,A524:A531,B$3),IF(AND(COUNT(A525:A536)=8,COUNT(F525:F536)=8),cubic_spline(F524:F532,A524:A532,B$3),IF(AND(COUNT(A525:A536)=9,COUNT(F525:F536)=9),cubic_spline(F524:F533,A524:A533,B$3),IF(AND(COUNT(A525:A536)=10,COUNT(F525:F536)=10),cubic_spline(F524:F534,A524:A534,B$3),IF(AND(COUNT(A525:A536)=11,COUNT(F525:F536)=11),cubic_spline(F524:F535,A524:A535,B$3),IF(AND(COUNT(A525:A536)=12,COUNT(F525:F536)=12),cubic_spline(F524:F536,A524:A536,B$3),""))))))))))))</f>
        <v/>
      </c>
      <c r="L526" s="27" t="str">
        <f>IF(I526="","",B$2&amp;"-"&amp;B$3)</f>
        <v/>
      </c>
      <c r="M526" s="52" t="str">
        <f>IF(N(J526)=0,"",J526-J525)</f>
        <v/>
      </c>
    </row>
    <row r="527" spans="1:13" x14ac:dyDescent="0.35">
      <c r="A527" s="48"/>
      <c r="B527" s="48"/>
      <c r="C527" s="50"/>
      <c r="D527" s="50"/>
      <c r="E527" s="51" t="str">
        <f t="shared" si="198"/>
        <v/>
      </c>
      <c r="F527" s="68" t="str">
        <f t="shared" si="196"/>
        <v/>
      </c>
      <c r="G527" s="69" t="str">
        <f t="shared" si="199"/>
        <v/>
      </c>
      <c r="H527" s="70" t="str">
        <f t="shared" si="197"/>
        <v/>
      </c>
      <c r="I527" s="27" t="str">
        <f>IF(N(J527)=0,"",0&amp;"-"&amp;B$4)</f>
        <v/>
      </c>
      <c r="J527" s="52" t="str">
        <f>IF(N(B$4)=0,"",IF(AND(COUNT(H525:H536)=2,COUNT(F525:F536)=2),cubic_spline(F524:F526,H524:H526,B$4),IF(AND(COUNT(H525:H536)=3,COUNT(F525:F536)=3),cubic_spline(F524:F527,H524:H527,B$4),IF(AND(COUNT(H525:H536)=4,COUNT(F525:F536)=4),cubic_spline(F524:F528,H524:H528,B$4),IF(AND(COUNT(H525:H536)=5,COUNT(F525:F536)=5),cubic_spline(F524:F529,H524:H529,B$4),IF(AND(COUNT(H525:H536)=6,COUNT(F525:F536)=6),cubic_spline(F524:F530,H524:H530,B$4),IF(AND(COUNT(H525:H536)=7,COUNT(F525:F536)=7),cubic_spline(F524:F531,H524:H531,B$4),IF(AND(COUNT(H525:H536)=8,COUNT(F525:F536)=8),cubic_spline(F524:F532,H524:H532,B$4),IF(AND(COUNT(H525:H536)=9,COUNT(F525:F536)=9),cubic_spline(F524:F533,H524:H533,B$4),IF(AND(COUNT(H525:H536)=10,COUNT(F525:F536)=10),cubic_spline(F524:F534,H524:H534,B$4),IF(AND(COUNT(H525:H536)=11,COUNT(F525:F536)=11),cubic_spline(F524:F535,H524:H535,B$4),IF(AND(COUNT(H525:H536)=12,COUNT(F525:F536)=12),cubic_spline(F524:F536,H524:H536,B$4),""))))))))))))</f>
        <v/>
      </c>
      <c r="K527" s="52" t="str">
        <f>IF(N(B$4)=0,"",IF(AND(COUNT(A525:A536)=2,COUNT(F525:F536)=2),cubic_spline(F524:F526,A524:A526,B$4),IF(AND(COUNT(A525:A536)=3,COUNT(F525:F536)=3),cubic_spline(F524:F527,A524:A527,B$4),IF(AND(COUNT(A525:A536)=4,COUNT(F525:F536)=4),cubic_spline(F524:F528,A524:A528,B$4),IF(AND(COUNT(A525:A536)=5,COUNT(F525:F536)=5),cubic_spline(F524:F529,A524:A529,B$4),IF(AND(COUNT(A525:A536)=6,COUNT(F525:F536)=6),cubic_spline(F524:F530,A524:A530,B$4),IF(AND(COUNT(A525:A536)=7,COUNT(F525:F536)=7),cubic_spline(F524:F531,A524:A531,B$4),IF(AND(COUNT(A525:A536)=8,COUNT(F525:F536)=8),cubic_spline(F524:F532,A524:A532,B$4),IF(AND(COUNT(A525:A536)=9,COUNT(F525:F536)=9),cubic_spline(F524:F533,A524:A533,B$4),IF(AND(COUNT(A525:A536)=10,COUNT(F525:F536)=10),cubic_spline(F524:F534,A524:A534,B$4),IF(AND(COUNT(A525:A536)=11,COUNT(F525:F536)=11),cubic_spline(F524:F535,A524:A535,B$4),IF(AND(COUNT(A525:A536)=12,COUNT(F525:F536)=12),cubic_spline(F524:F536,A524:A536,B$4),""))))))))))))</f>
        <v/>
      </c>
      <c r="L527" s="27" t="str">
        <f>IF(I527="","",B$3&amp;"-"&amp;B$4)</f>
        <v/>
      </c>
      <c r="M527" s="52" t="str">
        <f>IF(N(J527)=0,"",J527-J526)</f>
        <v/>
      </c>
    </row>
    <row r="528" spans="1:13" x14ac:dyDescent="0.35">
      <c r="A528" s="48"/>
      <c r="B528" s="48"/>
      <c r="C528" s="50"/>
      <c r="D528" s="50"/>
      <c r="E528" s="51" t="str">
        <f t="shared" si="198"/>
        <v/>
      </c>
      <c r="F528" s="68" t="str">
        <f t="shared" si="196"/>
        <v/>
      </c>
      <c r="G528" s="69" t="str">
        <f t="shared" si="199"/>
        <v/>
      </c>
      <c r="H528" s="70" t="str">
        <f t="shared" si="197"/>
        <v/>
      </c>
      <c r="I528" s="27" t="str">
        <f>IF(N(J528)=0,"",0&amp;"-"&amp;B$5)</f>
        <v/>
      </c>
      <c r="J528" s="52" t="str">
        <f>IF(N(B$5)=0,"",IF(AND(COUNT(H525:H536)=2,COUNT(F525:F536)=2),cubic_spline(F524:F526,H524:H526,B$5),IF(AND(COUNT(H525:H536)=3,COUNT(F525:F536)=3),cubic_spline(F524:F527,H524:H527,B$5),IF(AND(COUNT(H525:H536)=4,COUNT(F525:F536)=4),cubic_spline(F524:F528,H524:H528,B$5),IF(AND(COUNT(H525:H536)=5,COUNT(F525:F536)=5),cubic_spline(F524:F529,H524:H529,B$5),IF(AND(COUNT(H525:H536)=6,COUNT(F525:F536)=6),cubic_spline(F524:F530,H524:H530,B$5),IF(AND(COUNT(H525:H536)=7,COUNT(F525:F536)=7),cubic_spline(F524:F531,H524:H531,B$5),IF(AND(COUNT(H525:H536)=8,COUNT(F525:F536)=8),cubic_spline(F524:F532,H524:H532,B$5),IF(AND(COUNT(H525:H536)=9,COUNT(F525:F536)=9),cubic_spline(F524:F533,H524:H533,B$5),IF(AND(COUNT(H525:H536)=10,COUNT(F525:F536)=10),cubic_spline(F524:F534,H524:H534,B$5),IF(AND(COUNT(H525:H536)=11,COUNT(F525:F536)=11),cubic_spline(F524:F535,H524:H535,B$5),IF(AND(COUNT(H525:H536)=12,COUNT(F525:F536)=12),cubic_spline(F524:F536,H524:H536,B$5),""))))))))))))</f>
        <v/>
      </c>
      <c r="K528" s="52" t="str">
        <f>IF(N(B$5)=0,"",IF(AND(COUNT(A525:A536)=2,COUNT(F525:F536)=2),cubic_spline(F524:F526,A524:A526,B$5),IF(AND(COUNT(A525:A536)=3,COUNT(F525:F536)=3),cubic_spline(F524:F527,A524:A527,B$5),IF(AND(COUNT(A525:A536)=4,COUNT(F525:F536)=4),cubic_spline(F524:F528,A524:A528,B$5),IF(AND(COUNT(A525:A536)=5,COUNT(F525:F536)=5),cubic_spline(F524:F529,A524:A529,B$5),IF(AND(COUNT(A525:A536)=6,COUNT(F525:F536)=6),cubic_spline(F524:F530,A524:A530,B$5),IF(AND(COUNT(A525:A536)=7,COUNT(F525:F536)=7),cubic_spline(F524:F531,A524:A531,B$5),IF(AND(COUNT(A525:A536)=8,COUNT(F525:F536)=8),cubic_spline(F524:F532,A524:A532,B$5),IF(AND(COUNT(A525:A536)=9,COUNT(F525:F536)=9),cubic_spline(F524:F533,A524:A533,B$5),IF(AND(COUNT(A525:A536)=10,COUNT(F525:F536)=10),cubic_spline(F524:F534,A524:A534,B$5),IF(AND(COUNT(A525:A536)=11,COUNT(F525:F536)=11),cubic_spline(F524:F535,A524:A535,B$5),IF(AND(COUNT(A525:A536)=12,COUNT(F525:F536)=12),cubic_spline(F524:F536,A524:A536,B$5),""))))))))))))</f>
        <v/>
      </c>
      <c r="L528" s="27" t="str">
        <f>IF(I528="","",B$4&amp;"-"&amp;B$5)</f>
        <v/>
      </c>
      <c r="M528" s="52" t="str">
        <f>IF(N(J528)=0,"",J528-J527)</f>
        <v/>
      </c>
    </row>
    <row r="529" spans="1:13" x14ac:dyDescent="0.35">
      <c r="A529" s="48"/>
      <c r="B529" s="48"/>
      <c r="C529" s="50"/>
      <c r="D529" s="50"/>
      <c r="E529" s="51" t="str">
        <f t="shared" si="198"/>
        <v/>
      </c>
      <c r="F529" s="71" t="str">
        <f t="shared" si="196"/>
        <v/>
      </c>
      <c r="G529" s="69" t="str">
        <f t="shared" si="199"/>
        <v/>
      </c>
      <c r="H529" s="70" t="str">
        <f t="shared" si="197"/>
        <v/>
      </c>
      <c r="I529" s="27" t="str">
        <f>IF(N(J529)=0,"",0&amp;"-"&amp;B$6)</f>
        <v/>
      </c>
      <c r="J529" s="52" t="str">
        <f>IF(N(B$6)=0,"",IF(AND(COUNT(H525:H536)=2,COUNT(F525:F536)=2),cubic_spline(F524:F526,H524:H526,B$6),IF(AND(COUNT(H525:H536)=3,COUNT(F525:F536)=3),cubic_spline(F524:F527,H524:H527,B$6),IF(AND(COUNT(H525:H536)=4,COUNT(F525:F536)=4),cubic_spline(F524:F528,H524:H528,B$6),IF(AND(COUNT(H525:H536)=5,COUNT(F525:F536)=5),cubic_spline(F524:F529,H524:H529,B$6),IF(AND(COUNT(H525:H536)=6,COUNT(F525:F536)=6),cubic_spline(F524:F530,H524:H530,B$6),IF(AND(COUNT(H525:H536)=7,COUNT(F525:F536)=7),cubic_spline(F524:F531,H524:H531,B$6),IF(AND(COUNT(H525:H536)=8,COUNT(F525:F536)=8),cubic_spline(F524:F532,H524:H532,B$6),IF(AND(COUNT(H525:H536)=9,COUNT(F525:F536)=9),cubic_spline(F524:F533,H524:H533,B$6),IF(AND(COUNT(H525:H536)=10,COUNT(F525:F536)=10),cubic_spline(F524:F534,H524:H534,B$6),IF(AND(COUNT(H525:H536)=11,COUNT(F525:F536)=11),cubic_spline(F524:F535,H524:H535,B$6),IF(AND(COUNT(H525:H536)=12,COUNT(F525:F536)=12),cubic_spline(F524:F536,H524:H536,B$6),""))))))))))))</f>
        <v/>
      </c>
      <c r="K529" s="52" t="str">
        <f>IF(N(B$6)=0,"",IF(AND(COUNT(A525:A536)=2,COUNT(F525:F536)=2),cubic_spline(F524:F526,A524:A526,B$6),IF(AND(COUNT(A525:A536)=3,COUNT(F525:F536)=3),cubic_spline(F524:F527,A524:A527,B$6),IF(AND(COUNT(A525:A536)=4,COUNT(F525:F536)=4),cubic_spline(F524:F528,A524:A528,B$6),IF(AND(COUNT(A525:A536)=5,COUNT(F525:F536)=5),cubic_spline(F524:F529,A524:A529,B$6),IF(AND(COUNT(A525:A536)=6,COUNT(F525:F536)=6),cubic_spline(F524:F530,A524:A530,B$6),IF(AND(COUNT(A525:A536)=7,COUNT(F525:F536)=7),cubic_spline(F524:F531,A524:A531,B$6),IF(AND(COUNT(A525:A536)=8,COUNT(F525:F536)=8),cubic_spline(F524:F532,A524:A532,B$6),IF(AND(COUNT(A525:A536)=9,COUNT(F525:F536)=9),cubic_spline(F524:F533,A524:A533,B$6),IF(AND(COUNT(A525:A536)=10,COUNT(F525:F536)=10),cubic_spline(F524:F534,A524:A534,B$6),IF(AND(COUNT(A525:A536)=11,COUNT(F525:F536)=11),cubic_spline(F524:F535,A524:A535,B$6),IF(AND(COUNT(A525:A536)=12,COUNT(F525:F536)=12),cubic_spline(F524:F536,A524:A536,B$6),""))))))))))))</f>
        <v/>
      </c>
      <c r="L529" s="27" t="str">
        <f>IF(I529="","",B$5&amp;"-"&amp;B$6)</f>
        <v/>
      </c>
      <c r="M529" s="52" t="str">
        <f>IF(N(J529)=0,"",J529-J528)</f>
        <v/>
      </c>
    </row>
    <row r="530" spans="1:13" x14ac:dyDescent="0.35">
      <c r="A530" s="48"/>
      <c r="B530" s="48"/>
      <c r="C530" s="50"/>
      <c r="D530" s="50"/>
      <c r="E530" s="51" t="str">
        <f t="shared" si="198"/>
        <v/>
      </c>
      <c r="F530" s="71" t="str">
        <f t="shared" si="196"/>
        <v/>
      </c>
      <c r="G530" s="69" t="str">
        <f t="shared" si="199"/>
        <v/>
      </c>
      <c r="H530" s="70" t="str">
        <f t="shared" si="197"/>
        <v/>
      </c>
      <c r="I530" s="27" t="str">
        <f>IF(N(J530)=0,"",0&amp;"-"&amp;B$7)</f>
        <v/>
      </c>
      <c r="J530" s="52" t="str">
        <f>IF(N(B$7)=0,"",IF(AND(COUNT(H525:H536)=2,COUNT(F525:F536)=2),cubic_spline(F524:F526,H524:H526,B$7),IF(AND(COUNT(H525:H536)=3,COUNT(F525:F536)=3),cubic_spline(F524:F527,H524:H527,B$7),IF(AND(COUNT(H525:H536)=4,COUNT(F525:F536)=4),cubic_spline(F524:F528,H524:H528,B$7),IF(AND(COUNT(H525:H536)=5,COUNT(F525:F536)=5),cubic_spline(F524:F529,H524:H529,B$7),IF(AND(COUNT(H525:H536)=6,COUNT(F525:F536)=6),cubic_spline(F524:F530,H524:H530,B$7),IF(AND(COUNT(H525:H536)=7,COUNT(F525:F536)=7),cubic_spline(F524:F531,H524:H531,B$7),IF(AND(COUNT(H525:H536)=8,COUNT(F525:F536)=8),cubic_spline(F524:F532,H524:H532,B$7),IF(AND(COUNT(H525:H536)=9,COUNT(F525:F536)=9),cubic_spline(F524:F533,H524:H533,B$7),IF(AND(COUNT(H525:H536)=10,COUNT(F525:F536)=10),cubic_spline(F524:F534,H524:H534,B$7),IF(AND(COUNT(H525:H536)=11,COUNT(F525:F536)=11),cubic_spline(F524:F535,H524:H535,B$7),IF(AND(COUNT(H525:H536)=12,COUNT(F525:F536)=12),cubic_spline(F524:F536,H524:H536,B$7),""))))))))))))</f>
        <v/>
      </c>
      <c r="K530" s="52" t="str">
        <f>IF(N(B$7)=0,"",IF(AND(COUNT(A525:A536)=2,COUNT(F525:F536)=2),cubic_spline(F524:F526,A524:A526,B$7),IF(AND(COUNT(A525:A536)=3,COUNT(F525:F536)=3),cubic_spline(F524:F527,A524:A527,B$7),IF(AND(COUNT(A525:A536)=4,COUNT(F525:F536)=4),cubic_spline(F524:F528,A524:A528,B$7),IF(AND(COUNT(A525:A536)=5,COUNT(F525:F536)=5),cubic_spline(F524:F529,A524:A529,B$7),IF(AND(COUNT(A525:A536)=6,COUNT(F525:F536)=6),cubic_spline(F524:F530,A524:A530,B$7),IF(AND(COUNT(A525:A536)=7,COUNT(F525:F536)=7),cubic_spline(F524:F531,A524:A531,B$7),IF(AND(COUNT(A525:A536)=8,COUNT(F525:F536)=8),cubic_spline(F524:F532,A524:A532,B$7),IF(AND(COUNT(A525:A536)=9,COUNT(F525:F536)=9),cubic_spline(F524:F533,A524:A533,B$7),IF(AND(COUNT(A525:A536)=10,COUNT(F525:F536)=10),cubic_spline(F524:F534,A524:A534,B$7),IF(AND(COUNT(A525:A536)=11,COUNT(F525:F536)=11),cubic_spline(F524:F535,A524:A535,B$7),IF(AND(COUNT(A525:A536)=12,COUNT(F525:F536)=12),cubic_spline(F524:F536,A524:A536,B$7),""))))))))))))</f>
        <v/>
      </c>
      <c r="L530" s="27" t="str">
        <f>IF(I530="","",B$6&amp;"-"&amp;B$7)</f>
        <v/>
      </c>
      <c r="M530" s="52" t="str">
        <f t="shared" ref="M530:M536" si="200">IF(N(J530)=0,"",J530-J529)</f>
        <v/>
      </c>
    </row>
    <row r="531" spans="1:13" x14ac:dyDescent="0.35">
      <c r="A531" s="48"/>
      <c r="B531" s="48"/>
      <c r="C531" s="50"/>
      <c r="D531" s="50"/>
      <c r="E531" s="51" t="str">
        <f t="shared" si="198"/>
        <v/>
      </c>
      <c r="F531" s="71" t="str">
        <f t="shared" si="196"/>
        <v/>
      </c>
      <c r="G531" s="69" t="str">
        <f t="shared" si="199"/>
        <v/>
      </c>
      <c r="H531" s="70" t="str">
        <f t="shared" si="197"/>
        <v/>
      </c>
      <c r="I531" s="27" t="str">
        <f>IF(N(J531)=0,"",0&amp;"-"&amp;B$8)</f>
        <v/>
      </c>
      <c r="J531" s="52" t="str">
        <f>IF(N(B$8)=0,"",IF(AND(COUNT(H525:H536)=2,COUNT(F525:F536)=2),cubic_spline(F524:F526,H524:H526,B$8),IF(AND(COUNT(H525:H536)=3,COUNT(F525:F536)=3),cubic_spline(F524:F527,H524:H527,B$8),IF(AND(COUNT(H525:H536)=4,COUNT(F525:F536)=4),cubic_spline(F524:F528,H524:H528,B$8),IF(AND(COUNT(H525:H536)=5,COUNT(F525:F536)=5),cubic_spline(F524:F529,H524:H529,B$8),IF(AND(COUNT(H525:H536)=6,COUNT(F525:F536)=6),cubic_spline(F524:F530,H524:H530,B$8),IF(AND(COUNT(H525:H536)=7,COUNT(F525:F536)=7),cubic_spline(F524:F531,H524:H531,B$8),IF(AND(COUNT(H525:H536)=8,COUNT(F525:F536)=8),cubic_spline(F524:F532,H524:H532,B$8),IF(AND(COUNT(H525:H536)=9,COUNT(F525:F536)=9),cubic_spline(F524:F533,H524:H533,B$8),IF(AND(COUNT(H525:H536)=10,COUNT(F525:F536)=10),cubic_spline(F524:F534,H524:H534,B$8),IF(AND(COUNT(H525:H536)=11,COUNT(F525:F536)=11),cubic_spline(F524:F535,H524:H535,B$8),IF(AND(COUNT(H525:H536)=12,COUNT(F525:F536)=12),cubic_spline(F524:F536,H524:H536,B$8),""))))))))))))</f>
        <v/>
      </c>
      <c r="K531" s="52" t="str">
        <f>IF(N(B$8)=0,"",IF(AND(COUNT(A525:A536)=2,COUNT(F525:F536)=2),cubic_spline(F524:F526,A524:A526,B$8),IF(AND(COUNT(A525:A536)=3,COUNT(F525:F536)=3),cubic_spline(F524:F527,A524:A527,B$8),IF(AND(COUNT(A525:A536)=4,COUNT(F525:F536)=4),cubic_spline(F524:F528,A524:A528,B$8),IF(AND(COUNT(A525:A536)=5,COUNT(F525:F536)=5),cubic_spline(F524:F529,A524:A529,B$8),IF(AND(COUNT(A525:A536)=6,COUNT(F525:F536)=6),cubic_spline(F524:F530,A524:A530,B$8),IF(AND(COUNT(A525:A536)=7,COUNT(F525:F536)=7),cubic_spline(F524:F531,A524:A531,B$8),IF(AND(COUNT(A525:A536)=8,COUNT(F525:F536)=8),cubic_spline(F524:F532,A524:A532,B$8),IF(AND(COUNT(A525:A536)=9,COUNT(F525:F536)=9),cubic_spline(F524:F533,A524:A533,B$8),IF(AND(COUNT(A525:A536)=10,COUNT(F525:F536)=10),cubic_spline(F524:F534,A524:A534,B$8),IF(AND(COUNT(A525:A536)=11,COUNT(F525:F536)=11),cubic_spline(F524:F535,A524:A535,B$8),IF(AND(COUNT(A525:A536)=12,COUNT(F525:F536)=12),cubic_spline(F524:F536,A524:A536,B$8),""))))))))))))</f>
        <v/>
      </c>
      <c r="L531" s="27" t="str">
        <f>IF(I531="","",B$7&amp;"-"&amp;B$8)</f>
        <v/>
      </c>
      <c r="M531" s="52" t="str">
        <f t="shared" si="200"/>
        <v/>
      </c>
    </row>
    <row r="532" spans="1:13" x14ac:dyDescent="0.35">
      <c r="A532" s="48"/>
      <c r="B532" s="48"/>
      <c r="C532" s="50"/>
      <c r="D532" s="50"/>
      <c r="E532" s="51" t="str">
        <f t="shared" si="198"/>
        <v/>
      </c>
      <c r="F532" s="71" t="str">
        <f t="shared" si="196"/>
        <v/>
      </c>
      <c r="G532" s="69" t="str">
        <f t="shared" si="199"/>
        <v/>
      </c>
      <c r="H532" s="70" t="str">
        <f t="shared" si="197"/>
        <v/>
      </c>
      <c r="I532" s="27" t="str">
        <f>IF(N(J532)=0,"",0&amp;"-"&amp;B$9)</f>
        <v/>
      </c>
      <c r="J532" s="52" t="str">
        <f>IF(N(B$9)=0,"",IF(AND(COUNT(H525:H536)=2,COUNT(F525:F536)=2),cubic_spline(F524:F526,H524:H526,B$9),IF(AND(COUNT(H525:H536)=3,COUNT(F525:F536)=3),cubic_spline(F524:F527,H524:H527,B$9),IF(AND(COUNT(H525:H536)=4,COUNT(F525:F536)=4),cubic_spline(F524:F528,H524:H528,B$9),IF(AND(COUNT(H525:H536)=5,COUNT(F525:F536)=5),cubic_spline(F524:F529,H524:H529,B$9),IF(AND(COUNT(H525:H536)=6,COUNT(F525:F536)=6),cubic_spline(F524:F530,H524:H530,B$9),IF(AND(COUNT(H525:H536)=7,COUNT(F525:F536)=7),cubic_spline(F524:F531,H524:H531,B$9),IF(AND(COUNT(H525:H536)=8,COUNT(F525:F536)=8),cubic_spline(F524:F532,H524:H532,B$9),IF(AND(COUNT(H525:H536)=9,COUNT(F525:F536)=9),cubic_spline(F524:F533,H524:H533,B$9),IF(AND(COUNT(H525:H536)=10,COUNT(F525:F536)=10),cubic_spline(F524:F534,H524:H534,B$9),IF(AND(COUNT(H525:H536)=11,COUNT(F525:F536)=11),cubic_spline(F524:F535,H524:H535,B$9),IF(AND(COUNT(H525:H536)=12,COUNT(F525:F536)=12),cubic_spline(F524:F536,H524:H536,B$9),""))))))))))))</f>
        <v/>
      </c>
      <c r="K532" s="52" t="str">
        <f>IF(N(B$9)=0,"",IF(AND(COUNT(A525:A536)=2,COUNT(F525:F536)=2),cubic_spline(F524:F526,A524:A526,B$9),IF(AND(COUNT(A525:A536)=3,COUNT(F525:F536)=3),cubic_spline(F524:F527,A524:A527,B$9),IF(AND(COUNT(A525:A536)=4,COUNT(F525:F536)=4),cubic_spline(F524:F528,A524:A528,B$9),IF(AND(COUNT(A525:A536)=5,COUNT(F525:F536)=5),cubic_spline(F524:F529,A524:A529,B$9),IF(AND(COUNT(A525:A536)=6,COUNT(F525:F536)=6),cubic_spline(F524:F530,A524:A530,B$9),IF(AND(COUNT(A525:A536)=7,COUNT(F525:F536)=7),cubic_spline(F524:F531,A524:A531,B$9),IF(AND(COUNT(A525:A536)=8,COUNT(F525:F536)=8),cubic_spline(F524:F532,A524:A532,B$9),IF(AND(COUNT(A525:A536)=9,COUNT(F525:F536)=9),cubic_spline(F524:F533,A524:A533,B$9),IF(AND(COUNT(A525:A536)=10,COUNT(F525:F536)=10),cubic_spline(F524:F534,A524:A534,B$9),IF(AND(COUNT(A525:A536)=11,COUNT(F525:F536)=11),cubic_spline(F524:F535,A524:A535,B$9),IF(AND(COUNT(A525:A536)=12,COUNT(F525:F536)=12),cubic_spline(F524:F536,A524:A536,B$9),""))))))))))))</f>
        <v/>
      </c>
      <c r="L532" s="27" t="str">
        <f>IF(I532="","",B$8&amp;"-"&amp;B$9)</f>
        <v/>
      </c>
      <c r="M532" s="52" t="str">
        <f t="shared" si="200"/>
        <v/>
      </c>
    </row>
    <row r="533" spans="1:13" x14ac:dyDescent="0.35">
      <c r="A533" s="48"/>
      <c r="B533" s="48"/>
      <c r="C533" s="50"/>
      <c r="D533" s="50"/>
      <c r="E533" s="51" t="str">
        <f t="shared" si="198"/>
        <v/>
      </c>
      <c r="F533" s="71" t="str">
        <f t="shared" si="196"/>
        <v/>
      </c>
      <c r="G533" s="69" t="str">
        <f t="shared" si="199"/>
        <v/>
      </c>
      <c r="H533" s="70" t="str">
        <f t="shared" si="197"/>
        <v/>
      </c>
      <c r="I533" s="27" t="str">
        <f>IF(N(J533)=0,"",0&amp;"-"&amp;B$10)</f>
        <v/>
      </c>
      <c r="J533" s="52" t="str">
        <f>IF(N(B$10)=0,"",IF(AND(COUNT(H525:H536)=2,COUNT(F525:F536)=2),cubic_spline(F524:F526,H524:H526,B$10),IF(AND(COUNT(H525:H536)=3,COUNT(F525:F536)=3),cubic_spline(F524:F527,H524:H527,B$10),IF(AND(COUNT(H525:H536)=4,COUNT(F525:F536)=4),cubic_spline(F524:F528,H524:H528,B$10),IF(AND(COUNT(H525:H536)=5,COUNT(F525:F536)=5),cubic_spline(F524:F529,H524:H529,B$10),IF(AND(COUNT(H525:H536)=6,COUNT(F525:F536)=6),cubic_spline(F524:F530,H524:H530,B$10),IF(AND(COUNT(H525:H536)=7,COUNT(F525:F536)=7),cubic_spline(F524:F531,H524:H531,B$10),IF(AND(COUNT(H525:H536)=8,COUNT(F525:F536)=8),cubic_spline(F524:F532,H524:H532,B$10),IF(AND(COUNT(H525:H536)=9,COUNT(F525:F536)=9),cubic_spline(F524:F533,H524:H533,B$10),IF(AND(COUNT(H525:H536)=10,COUNT(F525:F536)=10),cubic_spline(F524:F534,H524:H534,B$10),IF(AND(COUNT(H525:H536)=11,COUNT(F525:F536)=11),cubic_spline(F524:F535,H524:H535,B$10),IF(AND(COUNT(H525:H536)=12,COUNT(F525:F536)=12),cubic_spline(F524:F536,H524:H536,B$10),""))))))))))))</f>
        <v/>
      </c>
      <c r="K533" s="52" t="str">
        <f>IF(N(B$10)=0,"",IF(AND(COUNT(A525:A536)=2,COUNT(F525:F536)=2),cubic_spline(F524:F526,A524:A526,B$10),IF(AND(COUNT(A525:A536)=3,COUNT(F525:F536)=3),cubic_spline(F524:F527,A524:A527,B$10),IF(AND(COUNT(A525:A536)=4,COUNT(F525:F536)=4),cubic_spline(F524:F528,A524:A528,B$10),IF(AND(COUNT(A525:A536)=5,COUNT(F525:F536)=5),cubic_spline(F524:F529,A524:A529,B$10),IF(AND(COUNT(A525:A536)=6,COUNT(F525:F536)=6),cubic_spline(F524:F530,A524:A530,B$10),IF(AND(COUNT(A525:A536)=7,COUNT(F525:F536)=7),cubic_spline(F524:F531,A524:A531,B$10),IF(AND(COUNT(A525:A536)=8,COUNT(F525:F536)=8),cubic_spline(F524:F532,A524:A532,B$10),IF(AND(COUNT(A525:A536)=9,COUNT(F525:F536)=9),cubic_spline(F524:F533,A524:A533,B$10),IF(AND(COUNT(A525:A536)=10,COUNT(F525:F536)=10),cubic_spline(F524:F534,A524:A534,B$10),IF(AND(COUNT(A525:A536)=11,COUNT(F525:F536)=11),cubic_spline(F524:F535,A524:A535,B$10),IF(AND(COUNT(A525:A536)=12,COUNT(F525:F536)=12),cubic_spline(F524:F536,A524:A536,B$10),""))))))))))))</f>
        <v/>
      </c>
      <c r="L533" s="27" t="str">
        <f>IF(I533="","",B$9&amp;"-"&amp;B$10)</f>
        <v/>
      </c>
      <c r="M533" s="52" t="str">
        <f t="shared" si="200"/>
        <v/>
      </c>
    </row>
    <row r="534" spans="1:13" x14ac:dyDescent="0.35">
      <c r="A534" s="48"/>
      <c r="B534" s="48"/>
      <c r="C534" s="50"/>
      <c r="D534" s="50"/>
      <c r="E534" s="51" t="str">
        <f t="shared" si="198"/>
        <v/>
      </c>
      <c r="F534" s="71" t="str">
        <f t="shared" si="196"/>
        <v/>
      </c>
      <c r="G534" s="69" t="str">
        <f t="shared" si="199"/>
        <v/>
      </c>
      <c r="H534" s="70" t="str">
        <f t="shared" si="197"/>
        <v/>
      </c>
      <c r="I534" s="27" t="str">
        <f>IF(N(J534)=0,"",0&amp;"-"&amp;B$11)</f>
        <v/>
      </c>
      <c r="J534" s="52" t="str">
        <f>IF(N(B$11)=0,"",IF(AND(COUNT(H525:H536)=2,COUNT(F525:F536)=2),cubic_spline(F524:F526,H524:H526,B$11),IF(AND(COUNT(H525:H536)=3,COUNT(F525:F536)=3),cubic_spline(F524:F527,H524:H527,B$11),IF(AND(COUNT(H525:H536)=4,COUNT(F525:F536)=4),cubic_spline(F524:F528,H524:H528,B$11),IF(AND(COUNT(H525:H536)=5,COUNT(F525:F536)=5),cubic_spline(F524:F529,H524:H529,B$11),IF(AND(COUNT(H525:H536)=6,COUNT(F525:F536)=6),cubic_spline(F524:F530,H524:H530,B$11),IF(AND(COUNT(H525:H536)=7,COUNT(F525:F536)=7),cubic_spline(F524:F531,H524:H531,B$11),IF(AND(COUNT(H525:H536)=8,COUNT(F525:F536)=8),cubic_spline(F524:F532,H524:H532,B$11),IF(AND(COUNT(H525:H536)=9,COUNT(F525:F536)=9),cubic_spline(F524:F533,H524:H533,B$11),IF(AND(COUNT(H525:H536)=10,COUNT(F525:F536)=10),cubic_spline(F524:F534,H524:H534,B$11),IF(AND(COUNT(H525:H536)=11,COUNT(F525:F536)=11),cubic_spline(F524:F535,H524:H535,B$11),IF(AND(COUNT(H525:H536)=12,COUNT(F525:F536)=12),cubic_spline(F524:F536,H524:H536,B$11),""))))))))))))</f>
        <v/>
      </c>
      <c r="K534" s="52" t="str">
        <f>IF(N(B$11)=0,"",IF(AND(COUNT(A525:A536)=2,COUNT(F525:F536)=2),cubic_spline(F524:F526,A524:A526,B$11),IF(AND(COUNT(A525:A536)=3,COUNT(F525:F536)=3),cubic_spline(F524:F527,A524:A527,B$11),IF(AND(COUNT(A525:A536)=4,COUNT(F525:F536)=4),cubic_spline(F524:F528,A524:A528,B$11),IF(AND(COUNT(A525:A536)=5,COUNT(F525:F536)=5),cubic_spline(F524:F529,A524:A529,B$11),IF(AND(COUNT(A525:A536)=6,COUNT(F525:F536)=6),cubic_spline(F524:F530,A524:A530,B$11),IF(AND(COUNT(A525:A536)=7,COUNT(F525:F536)=7),cubic_spline(F524:F531,A524:A531,B$11),IF(AND(COUNT(A525:A536)=8,COUNT(F525:F536)=8),cubic_spline(F524:F532,A524:A532,B$11),IF(AND(COUNT(A525:A536)=9,COUNT(F525:F536)=9),cubic_spline(F524:F533,A524:A533,B$11),IF(AND(COUNT(A525:A536)=10,COUNT(F525:F536)=10),cubic_spline(F524:F534,A524:A534,B$11),IF(AND(COUNT(A525:A536)=11,COUNT(F525:F536)=11),cubic_spline(F524:F535,A524:A535,B$11),IF(AND(COUNT(A525:A536)=12,COUNT(F525:F536)=12),cubic_spline(F524:F536,A524:A536,B$11),""))))))))))))</f>
        <v/>
      </c>
      <c r="L534" s="27" t="str">
        <f>IF(I534="","",B$10&amp;"-"&amp;B$11)</f>
        <v/>
      </c>
      <c r="M534" s="52" t="str">
        <f t="shared" si="200"/>
        <v/>
      </c>
    </row>
    <row r="535" spans="1:13" x14ac:dyDescent="0.35">
      <c r="A535" s="48"/>
      <c r="B535" s="48"/>
      <c r="C535" s="50"/>
      <c r="D535" s="50"/>
      <c r="E535" s="51" t="str">
        <f t="shared" si="198"/>
        <v/>
      </c>
      <c r="F535" s="71" t="str">
        <f t="shared" si="196"/>
        <v/>
      </c>
      <c r="G535" s="69" t="str">
        <f t="shared" si="199"/>
        <v/>
      </c>
      <c r="H535" s="70" t="str">
        <f t="shared" si="197"/>
        <v/>
      </c>
      <c r="I535" s="27" t="str">
        <f>IF(N(J535)=0,"",0&amp;"-"&amp;B$12)</f>
        <v/>
      </c>
      <c r="J535" s="52" t="str">
        <f>IF(N(B$12)=0,"",IF(AND(COUNT(H525:H536)=2,COUNT(F525:F536)=2),cubic_spline(F524:F526,H524:H526,B$12),IF(AND(COUNT(H525:H536)=3,COUNT(F525:F536)=3),cubic_spline(F524:F527,H524:H527,B$12),IF(AND(COUNT(H525:H536)=4,COUNT(F525:F536)=4),cubic_spline(F524:F528,H524:H528,B$12),IF(AND(COUNT(H525:H536)=5,COUNT(F525:F536)=5),cubic_spline(F524:F529,H524:H529,B$12),IF(AND(COUNT(H525:H536)=6,COUNT(F525:F536)=6),cubic_spline(F524:F530,H524:H530,B$12),IF(AND(COUNT(H525:H536)=7,COUNT(F525:F536)=7),cubic_spline(F524:F531,H524:H531,B$12),IF(AND(COUNT(H525:H536)=8,COUNT(F525:F536)=8),cubic_spline(F524:F532,H524:H532,B$12),IF(AND(COUNT(H525:H536)=9,COUNT(F525:F536)=9),cubic_spline(F524:F533,H524:H533,B$12),IF(AND(COUNT(H525:H536)=10,COUNT(F525:F536)=10),cubic_spline(F524:F534,H524:H534,B$12),IF(AND(COUNT(H525:H536)=11,COUNT(F525:F536)=11),cubic_spline(F524:F535,H524:H535,B$12),IF(AND(COUNT(H525:H536)=12,COUNT(F525:F536)=12),cubic_spline(F524:F536,H524:H536,B$12),""))))))))))))</f>
        <v/>
      </c>
      <c r="K535" s="52" t="str">
        <f>IF(N(B$12)=0,"",IF(AND(COUNT(A525:A536)=2,COUNT(F525:F536)=2),cubic_spline(F524:F526,A524:A526,B$12),IF(AND(COUNT(A525:A536)=3,COUNT(F525:F536)=3),cubic_spline(F524:F527,A524:A527,B$12),IF(AND(COUNT(A525:A536)=4,COUNT(F525:F536)=4),cubic_spline(F524:F528,A524:A528,B$12),IF(AND(COUNT(A525:A536)=5,COUNT(F525:F536)=5),cubic_spline(F524:F529,A524:A529,B$12),IF(AND(COUNT(A525:A536)=6,COUNT(F525:F536)=6),cubic_spline(F524:F530,A524:A530,B$12),IF(AND(COUNT(A525:A536)=7,COUNT(F525:F536)=7),cubic_spline(F524:F531,A524:A531,B$12),IF(AND(COUNT(A525:A536)=8,COUNT(F525:F536)=8),cubic_spline(F524:F532,A524:A532,B$12),IF(AND(COUNT(A525:A536)=9,COUNT(F525:F536)=9),cubic_spline(F524:F533,A524:A533,B$12),IF(AND(COUNT(A525:A536)=10,COUNT(F525:F536)=10),cubic_spline(F524:F534,A524:A534,B$12),IF(AND(COUNT(A525:A536)=11,COUNT(F525:F536)=11),cubic_spline(F524:F535,A524:A535,B$12),IF(AND(COUNT(A525:A536)=12,COUNT(F525:F536)=12),cubic_spline(F524:F536,A524:A536,B$12),""))))))))))))</f>
        <v/>
      </c>
      <c r="L535" s="27" t="str">
        <f>IF(I535="","",B$11&amp;"-"&amp;B$12)</f>
        <v/>
      </c>
      <c r="M535" s="52" t="str">
        <f t="shared" si="200"/>
        <v/>
      </c>
    </row>
    <row r="536" spans="1:13" x14ac:dyDescent="0.35">
      <c r="A536" s="48"/>
      <c r="B536" s="48"/>
      <c r="C536" s="50"/>
      <c r="D536" s="50"/>
      <c r="E536" s="51" t="str">
        <f t="shared" si="198"/>
        <v/>
      </c>
      <c r="F536" s="71" t="str">
        <f t="shared" si="196"/>
        <v/>
      </c>
      <c r="G536" s="69" t="str">
        <f t="shared" si="199"/>
        <v/>
      </c>
      <c r="H536" s="70" t="str">
        <f t="shared" si="197"/>
        <v/>
      </c>
      <c r="I536" s="27" t="str">
        <f>IF(N(J536)=0,"",0&amp;"-"&amp;B$13)</f>
        <v/>
      </c>
      <c r="J536" s="52" t="str">
        <f>IF(N(B$13)=0,"",IF(AND(COUNT(H525:H536)=2,COUNT(F525:F536)=2),cubic_spline(F524:F526,H524:H526,B$13),IF(AND(COUNT(H525:H536)=3,COUNT(F525:F536)=3),cubic_spline(F524:F527,H524:H527,B$13),IF(AND(COUNT(H525:H536)=4,COUNT(F525:F536)=4),cubic_spline(F524:F528,H524:H528,B$13),IF(AND(COUNT(H525:H536)=5,COUNT(F525:F536)=5),cubic_spline(F524:F529,H524:H529,B$13),IF(AND(COUNT(H525:H536)=6,COUNT(F525:F536)=6),cubic_spline(F524:F530,H524:H530,B$13),IF(AND(COUNT(H525:H536)=7,COUNT(F525:F536)=7),cubic_spline(F524:F531,H524:H531,B$13),IF(AND(COUNT(H525:H536)=8,COUNT(F525:F536)=8),cubic_spline(F524:F532,H524:H532,B$13),IF(AND(COUNT(H525:H536)=9,COUNT(F525:F536)=9),cubic_spline(F524:F533,H524:H533,B$13),IF(AND(COUNT(H525:H536)=10,COUNT(F525:F536)=10),cubic_spline(F524:F534,H524:H534,B$13),IF(AND(COUNT(H525:H536)=11,COUNT(F525:F536)=11),cubic_spline(F524:F535,H524:H535,B$13),IF(AND(COUNT(H525:H536)=12,COUNT(F525:F536)=12),cubic_spline(F524:F536,H524:H536,B$13),""))))))))))))</f>
        <v/>
      </c>
      <c r="K536" s="52" t="str">
        <f>IF(N(B$13)=0,"",IF(AND(COUNT(A525:A536)=2,COUNT(F525:F536)=2),cubic_spline(F524:F526,A524:A526,B$13),IF(AND(COUNT(A525:A536)=3,COUNT(F525:F536)=3),cubic_spline(F524:F527,A524:A527,B$13),IF(AND(COUNT(A525:A536)=4,COUNT(F525:F536)=4),cubic_spline(F524:F528,A524:A528,B$13),IF(AND(COUNT(A525:A536)=5,COUNT(F525:F536)=5),cubic_spline(F524:F529,A524:A529,B$13),IF(AND(COUNT(A525:A536)=6,COUNT(F525:F536)=6),cubic_spline(F524:F530,A524:A530,B$13),IF(AND(COUNT(A525:A536)=7,COUNT(F525:F536)=7),cubic_spline(F524:F531,A524:A531,B$13),IF(AND(COUNT(A525:A536)=8,COUNT(F525:F536)=8),cubic_spline(F524:F532,A524:A532,B$13),IF(AND(COUNT(A525:A536)=9,COUNT(F525:F536)=9),cubic_spline(F524:F533,A524:A533,B$13),IF(AND(COUNT(A525:A536)=10,COUNT(F525:F536)=10),cubic_spline(F524:F534,A524:A534,B$13),IF(AND(COUNT(A525:A536)=11,COUNT(F525:F536)=11),cubic_spline(F524:F535,A524:A535,B$13),IF(AND(COUNT(A525:A536)=12,COUNT(F525:F536)=12),cubic_spline(F524:F536,A524:A536,B$13),""))))))))))))</f>
        <v/>
      </c>
      <c r="L536" s="27" t="str">
        <f>IF(I536="","",B$12&amp;"-"&amp;B$13)</f>
        <v/>
      </c>
      <c r="M536" s="52" t="str">
        <f t="shared" si="200"/>
        <v/>
      </c>
    </row>
    <row r="537" spans="1:13" ht="5.15" customHeight="1" x14ac:dyDescent="0.35">
      <c r="A537" s="47"/>
      <c r="B537" s="47"/>
      <c r="C537" s="53"/>
      <c r="D537" s="53"/>
      <c r="E537" s="54"/>
      <c r="F537" s="55"/>
      <c r="G537" s="72"/>
      <c r="H537" s="73"/>
      <c r="I537" s="47"/>
      <c r="J537" s="57"/>
      <c r="K537" s="57"/>
      <c r="L537" s="55"/>
      <c r="M537" s="57"/>
    </row>
    <row r="538" spans="1:13" x14ac:dyDescent="0.35">
      <c r="A538" s="48"/>
      <c r="B538" s="48"/>
      <c r="C538" s="50"/>
      <c r="D538" s="50"/>
      <c r="E538" s="51" t="str">
        <f>IF(N(C538)=0,"",(A538-A537)*C538*100)</f>
        <v/>
      </c>
      <c r="F538" s="68" t="str">
        <f t="shared" ref="F538:F549" si="201">IF(N(E538)=0,"",(N(E538)+N(F537)))</f>
        <v/>
      </c>
      <c r="G538" s="69" t="str">
        <f>IF(OR(N(D538)=0,N(E538)=0),"",(E538*D538)/1000)</f>
        <v/>
      </c>
      <c r="H538" s="70" t="str">
        <f t="shared" ref="H538:H549" si="202">IF(N(G538)=0,"",(N(G538)+N(H537)))</f>
        <v/>
      </c>
      <c r="I538" s="27" t="str">
        <f>IF(N(J538)=0,"",0&amp;"-"&amp;B$2)</f>
        <v/>
      </c>
      <c r="J538" s="52" t="str">
        <f>IF(N(B$2)=0,"",IF(AND(COUNT(H538:H549)=2,COUNT(F538:F549)=2),cubic_spline(F537:F539,H537:H539,B$2),IF(AND(COUNT(H538:H549)=3,COUNT(F538:F549)=3),cubic_spline(F537:F540,H537:H540,B$2),IF(AND(COUNT(H538:H549)=4,COUNT(F538:F549)=4),cubic_spline(F537:F541,H537:H541,B$2),IF(AND(COUNT(H538:H549)=5,COUNT(F538:F549)=5),cubic_spline(F537:F542,H537:H542,B$2),IF(AND(COUNT(H538:H549)=6,COUNT(F538:F549)=6),cubic_spline(F537:F543,H537:H543,B$2),IF(AND(COUNT(H538:H549)=7,COUNT(F538:F549)=7),cubic_spline(F537:F544,H537:H544,B$2),IF(AND(COUNT(H538:H549)=8,COUNT(F538:F549)=8),cubic_spline(F537:F545,H537:H545,B$2),IF(AND(COUNT(H538:H549)=9,COUNT(F538:F549)=9),cubic_spline(F537:F546,H537:H546,B$2),IF(AND(COUNT(H538:H549)=10,COUNT(F538:F549)=10),cubic_spline(F537:F547,H537:H547,B$2),IF(AND(COUNT(H538:H549)=11,COUNT(F538:F549)=11),cubic_spline(F537:F548,H537:H548,B$2),IF(AND(COUNT(H538:H549)=12,COUNT(F538:F549)=12),cubic_spline(F537:F549,H537:H549,B$2),""))))))))))))</f>
        <v/>
      </c>
      <c r="K538" s="52" t="str">
        <f>IF(N(B$2)=0,"",IF(AND(COUNT(A538:A549)=2,COUNT(F538:F549)=2),cubic_spline(F537:F539,A537:A539,B$2),IF(AND(COUNT(A538:A549)=3,COUNT(F538:F549)=3),cubic_spline(F537:F540,A537:A540,B$2),IF(AND(COUNT(A538:A549)=4,COUNT(F538:F549)=4),cubic_spline(F537:F541,A537:A541,B$2),IF(AND(COUNT(A538:A549)=5,COUNT(F538:F549)=5),cubic_spline(F537:F542,A537:A542,B$2),IF(AND(COUNT(A538:A549)=6,COUNT(F538:F549)=6),cubic_spline(F537:F543,A537:A543,B$2),IF(AND(COUNT(A538:A549)=7,COUNT(F538:F549)=7),cubic_spline(F537:F544,A537:A544,B$2),IF(AND(COUNT(A538:A549)=8,COUNT(F538:F549)=8),cubic_spline(F537:F545,A537:A545,B$2),IF(AND(COUNT(A538:A549)=9,COUNT(F538:F549)=9),cubic_spline(F537:F546,A537:A546,B$2),IF(AND(COUNT(A538:A549)=10,COUNT(F538:F549)=10),cubic_spline(F537:F547,A537:A547,B$2),IF(AND(COUNT(A538:A549)=11,COUNT(F538:F549)=11),cubic_spline(F537:F548,A537:A548,B$2),IF(AND(COUNT(A538:A549)=12,COUNT(F538:F549)=12),cubic_spline(F537:F549,A537:A549,B$2),""))))))))))))</f>
        <v/>
      </c>
      <c r="L538" s="27" t="str">
        <f>IF(I538="","",0&amp;"-"&amp;B$2)</f>
        <v/>
      </c>
      <c r="M538" s="52" t="str">
        <f>IF(N(J538)=0,"",J538-J537)</f>
        <v/>
      </c>
    </row>
    <row r="539" spans="1:13" x14ac:dyDescent="0.35">
      <c r="A539" s="48"/>
      <c r="B539" s="48"/>
      <c r="C539" s="50"/>
      <c r="D539" s="50"/>
      <c r="E539" s="51" t="str">
        <f t="shared" ref="E539:E549" si="203">IF(N(C539)=0,"",(A539-A538)*C539*100)</f>
        <v/>
      </c>
      <c r="F539" s="68" t="str">
        <f t="shared" si="201"/>
        <v/>
      </c>
      <c r="G539" s="69" t="str">
        <f t="shared" ref="G539:G549" si="204">IF(OR(N(D539)=0,N(E539)=0),"",(E539*D539)/1000)</f>
        <v/>
      </c>
      <c r="H539" s="70" t="str">
        <f t="shared" si="202"/>
        <v/>
      </c>
      <c r="I539" s="27" t="str">
        <f>IF(N(J539)=0,"",0&amp;"-"&amp;B$3)</f>
        <v/>
      </c>
      <c r="J539" s="52" t="str">
        <f>IF(N(B$3)=0,"",IF(AND(COUNT(H538:H549)=2,COUNT(F538:F549)=2),cubic_spline(F537:F539,H537:H539,B$3),IF(AND(COUNT(H538:H549)=3,COUNT(F538:F549)=3),cubic_spline(F537:F540,H537:H540,B$3),IF(AND(COUNT(H538:H549)=4,COUNT(F538:F549)=4),cubic_spline(F537:F541,H537:H541,B$3),IF(AND(COUNT(H538:H549)=5,COUNT(F538:F549)=5),cubic_spline(F537:F542,H537:H542,B$3),IF(AND(COUNT(H538:H549)=6,COUNT(F538:F549)=6),cubic_spline(F537:F543,H537:H543,B$3),IF(AND(COUNT(H538:H549)=7,COUNT(F538:F549)=7),cubic_spline(F537:F544,H537:H544,B$3),IF(AND(COUNT(H538:H549)=8,COUNT(F538:F549)=8),cubic_spline(F537:F545,H537:H545,B$3),IF(AND(COUNT(H538:H549)=9,COUNT(F538:F549)=9),cubic_spline(F537:F546,H537:H546,B$3),IF(AND(COUNT(H538:H549)=10,COUNT(F538:F549)=10),cubic_spline(F537:F547,H537:H547,B$3),IF(AND(COUNT(H538:H549)=11,COUNT(F538:F549)=11),cubic_spline(F537:F548,H537:H548,B$3),IF(AND(COUNT(H538:H549)=12,COUNT(F538:F549)=12),cubic_spline(F537:F549,H537:H549,B$3),""))))))))))))</f>
        <v/>
      </c>
      <c r="K539" s="52" t="str">
        <f>IF(N(B$3)=0,"",IF(AND(COUNT(A538:A549)=2,COUNT(F538:F549)=2),cubic_spline(F537:F539,A537:A539,B$3),IF(AND(COUNT(A538:A549)=3,COUNT(F538:F549)=3),cubic_spline(F537:F540,A537:A540,B$3),IF(AND(COUNT(A538:A549)=4,COUNT(F538:F549)=4),cubic_spline(F537:F541,A537:A541,B$3),IF(AND(COUNT(A538:A549)=5,COUNT(F538:F549)=5),cubic_spline(F537:F542,A537:A542,B$3),IF(AND(COUNT(A538:A549)=6,COUNT(F538:F549)=6),cubic_spline(F537:F543,A537:A543,B$3),IF(AND(COUNT(A538:A549)=7,COUNT(F538:F549)=7),cubic_spline(F537:F544,A537:A544,B$3),IF(AND(COUNT(A538:A549)=8,COUNT(F538:F549)=8),cubic_spline(F537:F545,A537:A545,B$3),IF(AND(COUNT(A538:A549)=9,COUNT(F538:F549)=9),cubic_spline(F537:F546,A537:A546,B$3),IF(AND(COUNT(A538:A549)=10,COUNT(F538:F549)=10),cubic_spline(F537:F547,A537:A547,B$3),IF(AND(COUNT(A538:A549)=11,COUNT(F538:F549)=11),cubic_spline(F537:F548,A537:A548,B$3),IF(AND(COUNT(A538:A549)=12,COUNT(F538:F549)=12),cubic_spline(F537:F549,A537:A549,B$3),""))))))))))))</f>
        <v/>
      </c>
      <c r="L539" s="27" t="str">
        <f>IF(I539="","",B$2&amp;"-"&amp;B$3)</f>
        <v/>
      </c>
      <c r="M539" s="52" t="str">
        <f>IF(N(J539)=0,"",J539-J538)</f>
        <v/>
      </c>
    </row>
    <row r="540" spans="1:13" x14ac:dyDescent="0.35">
      <c r="A540" s="48"/>
      <c r="B540" s="48"/>
      <c r="C540" s="50"/>
      <c r="D540" s="50"/>
      <c r="E540" s="51" t="str">
        <f t="shared" si="203"/>
        <v/>
      </c>
      <c r="F540" s="68" t="str">
        <f t="shared" si="201"/>
        <v/>
      </c>
      <c r="G540" s="69" t="str">
        <f t="shared" si="204"/>
        <v/>
      </c>
      <c r="H540" s="70" t="str">
        <f t="shared" si="202"/>
        <v/>
      </c>
      <c r="I540" s="27" t="str">
        <f>IF(N(J540)=0,"",0&amp;"-"&amp;B$4)</f>
        <v/>
      </c>
      <c r="J540" s="52" t="str">
        <f>IF(N(B$4)=0,"",IF(AND(COUNT(H538:H549)=2,COUNT(F538:F549)=2),cubic_spline(F537:F539,H537:H539,B$4),IF(AND(COUNT(H538:H549)=3,COUNT(F538:F549)=3),cubic_spline(F537:F540,H537:H540,B$4),IF(AND(COUNT(H538:H549)=4,COUNT(F538:F549)=4),cubic_spline(F537:F541,H537:H541,B$4),IF(AND(COUNT(H538:H549)=5,COUNT(F538:F549)=5),cubic_spline(F537:F542,H537:H542,B$4),IF(AND(COUNT(H538:H549)=6,COUNT(F538:F549)=6),cubic_spline(F537:F543,H537:H543,B$4),IF(AND(COUNT(H538:H549)=7,COUNT(F538:F549)=7),cubic_spline(F537:F544,H537:H544,B$4),IF(AND(COUNT(H538:H549)=8,COUNT(F538:F549)=8),cubic_spline(F537:F545,H537:H545,B$4),IF(AND(COUNT(H538:H549)=9,COUNT(F538:F549)=9),cubic_spline(F537:F546,H537:H546,B$4),IF(AND(COUNT(H538:H549)=10,COUNT(F538:F549)=10),cubic_spline(F537:F547,H537:H547,B$4),IF(AND(COUNT(H538:H549)=11,COUNT(F538:F549)=11),cubic_spline(F537:F548,H537:H548,B$4),IF(AND(COUNT(H538:H549)=12,COUNT(F538:F549)=12),cubic_spline(F537:F549,H537:H549,B$4),""))))))))))))</f>
        <v/>
      </c>
      <c r="K540" s="52" t="str">
        <f>IF(N(B$4)=0,"",IF(AND(COUNT(A538:A549)=2,COUNT(F538:F549)=2),cubic_spline(F537:F539,A537:A539,B$4),IF(AND(COUNT(A538:A549)=3,COUNT(F538:F549)=3),cubic_spline(F537:F540,A537:A540,B$4),IF(AND(COUNT(A538:A549)=4,COUNT(F538:F549)=4),cubic_spline(F537:F541,A537:A541,B$4),IF(AND(COUNT(A538:A549)=5,COUNT(F538:F549)=5),cubic_spline(F537:F542,A537:A542,B$4),IF(AND(COUNT(A538:A549)=6,COUNT(F538:F549)=6),cubic_spline(F537:F543,A537:A543,B$4),IF(AND(COUNT(A538:A549)=7,COUNT(F538:F549)=7),cubic_spline(F537:F544,A537:A544,B$4),IF(AND(COUNT(A538:A549)=8,COUNT(F538:F549)=8),cubic_spline(F537:F545,A537:A545,B$4),IF(AND(COUNT(A538:A549)=9,COUNT(F538:F549)=9),cubic_spline(F537:F546,A537:A546,B$4),IF(AND(COUNT(A538:A549)=10,COUNT(F538:F549)=10),cubic_spline(F537:F547,A537:A547,B$4),IF(AND(COUNT(A538:A549)=11,COUNT(F538:F549)=11),cubic_spline(F537:F548,A537:A548,B$4),IF(AND(COUNT(A538:A549)=12,COUNT(F538:F549)=12),cubic_spline(F537:F549,A537:A549,B$4),""))))))))))))</f>
        <v/>
      </c>
      <c r="L540" s="27" t="str">
        <f>IF(I540="","",B$3&amp;"-"&amp;B$4)</f>
        <v/>
      </c>
      <c r="M540" s="52" t="str">
        <f>IF(N(J540)=0,"",J540-J539)</f>
        <v/>
      </c>
    </row>
    <row r="541" spans="1:13" x14ac:dyDescent="0.35">
      <c r="A541" s="48"/>
      <c r="B541" s="48"/>
      <c r="C541" s="50"/>
      <c r="D541" s="50"/>
      <c r="E541" s="51" t="str">
        <f t="shared" si="203"/>
        <v/>
      </c>
      <c r="F541" s="68" t="str">
        <f t="shared" si="201"/>
        <v/>
      </c>
      <c r="G541" s="69" t="str">
        <f t="shared" si="204"/>
        <v/>
      </c>
      <c r="H541" s="70" t="str">
        <f t="shared" si="202"/>
        <v/>
      </c>
      <c r="I541" s="27" t="str">
        <f>IF(N(J541)=0,"",0&amp;"-"&amp;B$5)</f>
        <v/>
      </c>
      <c r="J541" s="52" t="str">
        <f>IF(N(B$5)=0,"",IF(AND(COUNT(H538:H549)=2,COUNT(F538:F549)=2),cubic_spline(F537:F539,H537:H539,B$5),IF(AND(COUNT(H538:H549)=3,COUNT(F538:F549)=3),cubic_spline(F537:F540,H537:H540,B$5),IF(AND(COUNT(H538:H549)=4,COUNT(F538:F549)=4),cubic_spline(F537:F541,H537:H541,B$5),IF(AND(COUNT(H538:H549)=5,COUNT(F538:F549)=5),cubic_spline(F537:F542,H537:H542,B$5),IF(AND(COUNT(H538:H549)=6,COUNT(F538:F549)=6),cubic_spline(F537:F543,H537:H543,B$5),IF(AND(COUNT(H538:H549)=7,COUNT(F538:F549)=7),cubic_spline(F537:F544,H537:H544,B$5),IF(AND(COUNT(H538:H549)=8,COUNT(F538:F549)=8),cubic_spline(F537:F545,H537:H545,B$5),IF(AND(COUNT(H538:H549)=9,COUNT(F538:F549)=9),cubic_spline(F537:F546,H537:H546,B$5),IF(AND(COUNT(H538:H549)=10,COUNT(F538:F549)=10),cubic_spline(F537:F547,H537:H547,B$5),IF(AND(COUNT(H538:H549)=11,COUNT(F538:F549)=11),cubic_spline(F537:F548,H537:H548,B$5),IF(AND(COUNT(H538:H549)=12,COUNT(F538:F549)=12),cubic_spline(F537:F549,H537:H549,B$5),""))))))))))))</f>
        <v/>
      </c>
      <c r="K541" s="52" t="str">
        <f>IF(N(B$5)=0,"",IF(AND(COUNT(A538:A549)=2,COUNT(F538:F549)=2),cubic_spline(F537:F539,A537:A539,B$5),IF(AND(COUNT(A538:A549)=3,COUNT(F538:F549)=3),cubic_spline(F537:F540,A537:A540,B$5),IF(AND(COUNT(A538:A549)=4,COUNT(F538:F549)=4),cubic_spline(F537:F541,A537:A541,B$5),IF(AND(COUNT(A538:A549)=5,COUNT(F538:F549)=5),cubic_spline(F537:F542,A537:A542,B$5),IF(AND(COUNT(A538:A549)=6,COUNT(F538:F549)=6),cubic_spline(F537:F543,A537:A543,B$5),IF(AND(COUNT(A538:A549)=7,COUNT(F538:F549)=7),cubic_spline(F537:F544,A537:A544,B$5),IF(AND(COUNT(A538:A549)=8,COUNT(F538:F549)=8),cubic_spline(F537:F545,A537:A545,B$5),IF(AND(COUNT(A538:A549)=9,COUNT(F538:F549)=9),cubic_spline(F537:F546,A537:A546,B$5),IF(AND(COUNT(A538:A549)=10,COUNT(F538:F549)=10),cubic_spline(F537:F547,A537:A547,B$5),IF(AND(COUNT(A538:A549)=11,COUNT(F538:F549)=11),cubic_spline(F537:F548,A537:A548,B$5),IF(AND(COUNT(A538:A549)=12,COUNT(F538:F549)=12),cubic_spline(F537:F549,A537:A549,B$5),""))))))))))))</f>
        <v/>
      </c>
      <c r="L541" s="27" t="str">
        <f>IF(I541="","",B$4&amp;"-"&amp;B$5)</f>
        <v/>
      </c>
      <c r="M541" s="52" t="str">
        <f>IF(N(J541)=0,"",J541-J540)</f>
        <v/>
      </c>
    </row>
    <row r="542" spans="1:13" x14ac:dyDescent="0.35">
      <c r="A542" s="48"/>
      <c r="B542" s="48"/>
      <c r="C542" s="50"/>
      <c r="D542" s="50"/>
      <c r="E542" s="51" t="str">
        <f t="shared" si="203"/>
        <v/>
      </c>
      <c r="F542" s="71" t="str">
        <f t="shared" si="201"/>
        <v/>
      </c>
      <c r="G542" s="69" t="str">
        <f t="shared" si="204"/>
        <v/>
      </c>
      <c r="H542" s="70" t="str">
        <f t="shared" si="202"/>
        <v/>
      </c>
      <c r="I542" s="27" t="str">
        <f>IF(N(J542)=0,"",0&amp;"-"&amp;B$6)</f>
        <v/>
      </c>
      <c r="J542" s="52" t="str">
        <f>IF(N(B$6)=0,"",IF(AND(COUNT(H538:H549)=2,COUNT(F538:F549)=2),cubic_spline(F537:F539,H537:H539,B$6),IF(AND(COUNT(H538:H549)=3,COUNT(F538:F549)=3),cubic_spline(F537:F540,H537:H540,B$6),IF(AND(COUNT(H538:H549)=4,COUNT(F538:F549)=4),cubic_spline(F537:F541,H537:H541,B$6),IF(AND(COUNT(H538:H549)=5,COUNT(F538:F549)=5),cubic_spline(F537:F542,H537:H542,B$6),IF(AND(COUNT(H538:H549)=6,COUNT(F538:F549)=6),cubic_spline(F537:F543,H537:H543,B$6),IF(AND(COUNT(H538:H549)=7,COUNT(F538:F549)=7),cubic_spline(F537:F544,H537:H544,B$6),IF(AND(COUNT(H538:H549)=8,COUNT(F538:F549)=8),cubic_spline(F537:F545,H537:H545,B$6),IF(AND(COUNT(H538:H549)=9,COUNT(F538:F549)=9),cubic_spline(F537:F546,H537:H546,B$6),IF(AND(COUNT(H538:H549)=10,COUNT(F538:F549)=10),cubic_spline(F537:F547,H537:H547,B$6),IF(AND(COUNT(H538:H549)=11,COUNT(F538:F549)=11),cubic_spline(F537:F548,H537:H548,B$6),IF(AND(COUNT(H538:H549)=12,COUNT(F538:F549)=12),cubic_spline(F537:F549,H537:H549,B$6),""))))))))))))</f>
        <v/>
      </c>
      <c r="K542" s="52" t="str">
        <f>IF(N(B$6)=0,"",IF(AND(COUNT(A538:A549)=2,COUNT(F538:F549)=2),cubic_spline(F537:F539,A537:A539,B$6),IF(AND(COUNT(A538:A549)=3,COUNT(F538:F549)=3),cubic_spline(F537:F540,A537:A540,B$6),IF(AND(COUNT(A538:A549)=4,COUNT(F538:F549)=4),cubic_spline(F537:F541,A537:A541,B$6),IF(AND(COUNT(A538:A549)=5,COUNT(F538:F549)=5),cubic_spline(F537:F542,A537:A542,B$6),IF(AND(COUNT(A538:A549)=6,COUNT(F538:F549)=6),cubic_spline(F537:F543,A537:A543,B$6),IF(AND(COUNT(A538:A549)=7,COUNT(F538:F549)=7),cubic_spline(F537:F544,A537:A544,B$6),IF(AND(COUNT(A538:A549)=8,COUNT(F538:F549)=8),cubic_spline(F537:F545,A537:A545,B$6),IF(AND(COUNT(A538:A549)=9,COUNT(F538:F549)=9),cubic_spline(F537:F546,A537:A546,B$6),IF(AND(COUNT(A538:A549)=10,COUNT(F538:F549)=10),cubic_spline(F537:F547,A537:A547,B$6),IF(AND(COUNT(A538:A549)=11,COUNT(F538:F549)=11),cubic_spline(F537:F548,A537:A548,B$6),IF(AND(COUNT(A538:A549)=12,COUNT(F538:F549)=12),cubic_spline(F537:F549,A537:A549,B$6),""))))))))))))</f>
        <v/>
      </c>
      <c r="L542" s="27" t="str">
        <f>IF(I542="","",B$5&amp;"-"&amp;B$6)</f>
        <v/>
      </c>
      <c r="M542" s="52" t="str">
        <f>IF(N(J542)=0,"",J542-J541)</f>
        <v/>
      </c>
    </row>
    <row r="543" spans="1:13" x14ac:dyDescent="0.35">
      <c r="A543" s="48"/>
      <c r="B543" s="48"/>
      <c r="C543" s="50"/>
      <c r="D543" s="50"/>
      <c r="E543" s="51" t="str">
        <f t="shared" si="203"/>
        <v/>
      </c>
      <c r="F543" s="71" t="str">
        <f t="shared" si="201"/>
        <v/>
      </c>
      <c r="G543" s="69" t="str">
        <f t="shared" si="204"/>
        <v/>
      </c>
      <c r="H543" s="70" t="str">
        <f t="shared" si="202"/>
        <v/>
      </c>
      <c r="I543" s="27" t="str">
        <f>IF(N(J543)=0,"",0&amp;"-"&amp;B$7)</f>
        <v/>
      </c>
      <c r="J543" s="52" t="str">
        <f>IF(N(B$7)=0,"",IF(AND(COUNT(H538:H549)=2,COUNT(F538:F549)=2),cubic_spline(F537:F539,H537:H539,B$7),IF(AND(COUNT(H538:H549)=3,COUNT(F538:F549)=3),cubic_spline(F537:F540,H537:H540,B$7),IF(AND(COUNT(H538:H549)=4,COUNT(F538:F549)=4),cubic_spline(F537:F541,H537:H541,B$7),IF(AND(COUNT(H538:H549)=5,COUNT(F538:F549)=5),cubic_spline(F537:F542,H537:H542,B$7),IF(AND(COUNT(H538:H549)=6,COUNT(F538:F549)=6),cubic_spline(F537:F543,H537:H543,B$7),IF(AND(COUNT(H538:H549)=7,COUNT(F538:F549)=7),cubic_spline(F537:F544,H537:H544,B$7),IF(AND(COUNT(H538:H549)=8,COUNT(F538:F549)=8),cubic_spline(F537:F545,H537:H545,B$7),IF(AND(COUNT(H538:H549)=9,COUNT(F538:F549)=9),cubic_spline(F537:F546,H537:H546,B$7),IF(AND(COUNT(H538:H549)=10,COUNT(F538:F549)=10),cubic_spline(F537:F547,H537:H547,B$7),IF(AND(COUNT(H538:H549)=11,COUNT(F538:F549)=11),cubic_spline(F537:F548,H537:H548,B$7),IF(AND(COUNT(H538:H549)=12,COUNT(F538:F549)=12),cubic_spline(F537:F549,H537:H549,B$7),""))))))))))))</f>
        <v/>
      </c>
      <c r="K543" s="52" t="str">
        <f>IF(N(B$7)=0,"",IF(AND(COUNT(A538:A549)=2,COUNT(F538:F549)=2),cubic_spline(F537:F539,A537:A539,B$7),IF(AND(COUNT(A538:A549)=3,COUNT(F538:F549)=3),cubic_spline(F537:F540,A537:A540,B$7),IF(AND(COUNT(A538:A549)=4,COUNT(F538:F549)=4),cubic_spline(F537:F541,A537:A541,B$7),IF(AND(COUNT(A538:A549)=5,COUNT(F538:F549)=5),cubic_spline(F537:F542,A537:A542,B$7),IF(AND(COUNT(A538:A549)=6,COUNT(F538:F549)=6),cubic_spline(F537:F543,A537:A543,B$7),IF(AND(COUNT(A538:A549)=7,COUNT(F538:F549)=7),cubic_spline(F537:F544,A537:A544,B$7),IF(AND(COUNT(A538:A549)=8,COUNT(F538:F549)=8),cubic_spline(F537:F545,A537:A545,B$7),IF(AND(COUNT(A538:A549)=9,COUNT(F538:F549)=9),cubic_spline(F537:F546,A537:A546,B$7),IF(AND(COUNT(A538:A549)=10,COUNT(F538:F549)=10),cubic_spline(F537:F547,A537:A547,B$7),IF(AND(COUNT(A538:A549)=11,COUNT(F538:F549)=11),cubic_spline(F537:F548,A537:A548,B$7),IF(AND(COUNT(A538:A549)=12,COUNT(F538:F549)=12),cubic_spline(F537:F549,A537:A549,B$7),""))))))))))))</f>
        <v/>
      </c>
      <c r="L543" s="27" t="str">
        <f>IF(I543="","",B$6&amp;"-"&amp;B$7)</f>
        <v/>
      </c>
      <c r="M543" s="52" t="str">
        <f t="shared" ref="M543:M549" si="205">IF(N(J543)=0,"",J543-J542)</f>
        <v/>
      </c>
    </row>
    <row r="544" spans="1:13" x14ac:dyDescent="0.35">
      <c r="A544" s="48"/>
      <c r="B544" s="48"/>
      <c r="C544" s="50"/>
      <c r="D544" s="50"/>
      <c r="E544" s="51" t="str">
        <f t="shared" si="203"/>
        <v/>
      </c>
      <c r="F544" s="71" t="str">
        <f t="shared" si="201"/>
        <v/>
      </c>
      <c r="G544" s="69" t="str">
        <f t="shared" si="204"/>
        <v/>
      </c>
      <c r="H544" s="70" t="str">
        <f t="shared" si="202"/>
        <v/>
      </c>
      <c r="I544" s="27" t="str">
        <f>IF(N(J544)=0,"",0&amp;"-"&amp;B$8)</f>
        <v/>
      </c>
      <c r="J544" s="52" t="str">
        <f>IF(N(B$8)=0,"",IF(AND(COUNT(H538:H549)=2,COUNT(F538:F549)=2),cubic_spline(F537:F539,H537:H539,B$8),IF(AND(COUNT(H538:H549)=3,COUNT(F538:F549)=3),cubic_spline(F537:F540,H537:H540,B$8),IF(AND(COUNT(H538:H549)=4,COUNT(F538:F549)=4),cubic_spline(F537:F541,H537:H541,B$8),IF(AND(COUNT(H538:H549)=5,COUNT(F538:F549)=5),cubic_spline(F537:F542,H537:H542,B$8),IF(AND(COUNT(H538:H549)=6,COUNT(F538:F549)=6),cubic_spline(F537:F543,H537:H543,B$8),IF(AND(COUNT(H538:H549)=7,COUNT(F538:F549)=7),cubic_spline(F537:F544,H537:H544,B$8),IF(AND(COUNT(H538:H549)=8,COUNT(F538:F549)=8),cubic_spline(F537:F545,H537:H545,B$8),IF(AND(COUNT(H538:H549)=9,COUNT(F538:F549)=9),cubic_spline(F537:F546,H537:H546,B$8),IF(AND(COUNT(H538:H549)=10,COUNT(F538:F549)=10),cubic_spline(F537:F547,H537:H547,B$8),IF(AND(COUNT(H538:H549)=11,COUNT(F538:F549)=11),cubic_spline(F537:F548,H537:H548,B$8),IF(AND(COUNT(H538:H549)=12,COUNT(F538:F549)=12),cubic_spline(F537:F549,H537:H549,B$8),""))))))))))))</f>
        <v/>
      </c>
      <c r="K544" s="52" t="str">
        <f>IF(N(B$8)=0,"",IF(AND(COUNT(A538:A549)=2,COUNT(F538:F549)=2),cubic_spline(F537:F539,A537:A539,B$8),IF(AND(COUNT(A538:A549)=3,COUNT(F538:F549)=3),cubic_spline(F537:F540,A537:A540,B$8),IF(AND(COUNT(A538:A549)=4,COUNT(F538:F549)=4),cubic_spline(F537:F541,A537:A541,B$8),IF(AND(COUNT(A538:A549)=5,COUNT(F538:F549)=5),cubic_spline(F537:F542,A537:A542,B$8),IF(AND(COUNT(A538:A549)=6,COUNT(F538:F549)=6),cubic_spline(F537:F543,A537:A543,B$8),IF(AND(COUNT(A538:A549)=7,COUNT(F538:F549)=7),cubic_spline(F537:F544,A537:A544,B$8),IF(AND(COUNT(A538:A549)=8,COUNT(F538:F549)=8),cubic_spline(F537:F545,A537:A545,B$8),IF(AND(COUNT(A538:A549)=9,COUNT(F538:F549)=9),cubic_spline(F537:F546,A537:A546,B$8),IF(AND(COUNT(A538:A549)=10,COUNT(F538:F549)=10),cubic_spline(F537:F547,A537:A547,B$8),IF(AND(COUNT(A538:A549)=11,COUNT(F538:F549)=11),cubic_spline(F537:F548,A537:A548,B$8),IF(AND(COUNT(A538:A549)=12,COUNT(F538:F549)=12),cubic_spline(F537:F549,A537:A549,B$8),""))))))))))))</f>
        <v/>
      </c>
      <c r="L544" s="27" t="str">
        <f>IF(I544="","",B$7&amp;"-"&amp;B$8)</f>
        <v/>
      </c>
      <c r="M544" s="52" t="str">
        <f t="shared" si="205"/>
        <v/>
      </c>
    </row>
    <row r="545" spans="1:13" x14ac:dyDescent="0.35">
      <c r="A545" s="48"/>
      <c r="B545" s="48"/>
      <c r="C545" s="50"/>
      <c r="D545" s="50"/>
      <c r="E545" s="51" t="str">
        <f t="shared" si="203"/>
        <v/>
      </c>
      <c r="F545" s="71" t="str">
        <f t="shared" si="201"/>
        <v/>
      </c>
      <c r="G545" s="69" t="str">
        <f t="shared" si="204"/>
        <v/>
      </c>
      <c r="H545" s="70" t="str">
        <f t="shared" si="202"/>
        <v/>
      </c>
      <c r="I545" s="27" t="str">
        <f>IF(N(J545)=0,"",0&amp;"-"&amp;B$9)</f>
        <v/>
      </c>
      <c r="J545" s="52" t="str">
        <f>IF(N(B$9)=0,"",IF(AND(COUNT(H538:H549)=2,COUNT(F538:F549)=2),cubic_spline(F537:F539,H537:H539,B$9),IF(AND(COUNT(H538:H549)=3,COUNT(F538:F549)=3),cubic_spline(F537:F540,H537:H540,B$9),IF(AND(COUNT(H538:H549)=4,COUNT(F538:F549)=4),cubic_spline(F537:F541,H537:H541,B$9),IF(AND(COUNT(H538:H549)=5,COUNT(F538:F549)=5),cubic_spline(F537:F542,H537:H542,B$9),IF(AND(COUNT(H538:H549)=6,COUNT(F538:F549)=6),cubic_spline(F537:F543,H537:H543,B$9),IF(AND(COUNT(H538:H549)=7,COUNT(F538:F549)=7),cubic_spline(F537:F544,H537:H544,B$9),IF(AND(COUNT(H538:H549)=8,COUNT(F538:F549)=8),cubic_spline(F537:F545,H537:H545,B$9),IF(AND(COUNT(H538:H549)=9,COUNT(F538:F549)=9),cubic_spline(F537:F546,H537:H546,B$9),IF(AND(COUNT(H538:H549)=10,COUNT(F538:F549)=10),cubic_spline(F537:F547,H537:H547,B$9),IF(AND(COUNT(H538:H549)=11,COUNT(F538:F549)=11),cubic_spline(F537:F548,H537:H548,B$9),IF(AND(COUNT(H538:H549)=12,COUNT(F538:F549)=12),cubic_spline(F537:F549,H537:H549,B$9),""))))))))))))</f>
        <v/>
      </c>
      <c r="K545" s="52" t="str">
        <f>IF(N(B$9)=0,"",IF(AND(COUNT(A538:A549)=2,COUNT(F538:F549)=2),cubic_spline(F537:F539,A537:A539,B$9),IF(AND(COUNT(A538:A549)=3,COUNT(F538:F549)=3),cubic_spline(F537:F540,A537:A540,B$9),IF(AND(COUNT(A538:A549)=4,COUNT(F538:F549)=4),cubic_spline(F537:F541,A537:A541,B$9),IF(AND(COUNT(A538:A549)=5,COUNT(F538:F549)=5),cubic_spline(F537:F542,A537:A542,B$9),IF(AND(COUNT(A538:A549)=6,COUNT(F538:F549)=6),cubic_spline(F537:F543,A537:A543,B$9),IF(AND(COUNT(A538:A549)=7,COUNT(F538:F549)=7),cubic_spline(F537:F544,A537:A544,B$9),IF(AND(COUNT(A538:A549)=8,COUNT(F538:F549)=8),cubic_spline(F537:F545,A537:A545,B$9),IF(AND(COUNT(A538:A549)=9,COUNT(F538:F549)=9),cubic_spline(F537:F546,A537:A546,B$9),IF(AND(COUNT(A538:A549)=10,COUNT(F538:F549)=10),cubic_spline(F537:F547,A537:A547,B$9),IF(AND(COUNT(A538:A549)=11,COUNT(F538:F549)=11),cubic_spline(F537:F548,A537:A548,B$9),IF(AND(COUNT(A538:A549)=12,COUNT(F538:F549)=12),cubic_spline(F537:F549,A537:A549,B$9),""))))))))))))</f>
        <v/>
      </c>
      <c r="L545" s="27" t="str">
        <f>IF(I545="","",B$8&amp;"-"&amp;B$9)</f>
        <v/>
      </c>
      <c r="M545" s="52" t="str">
        <f t="shared" si="205"/>
        <v/>
      </c>
    </row>
    <row r="546" spans="1:13" x14ac:dyDescent="0.35">
      <c r="A546" s="48"/>
      <c r="B546" s="48"/>
      <c r="C546" s="50"/>
      <c r="D546" s="50"/>
      <c r="E546" s="51" t="str">
        <f t="shared" si="203"/>
        <v/>
      </c>
      <c r="F546" s="71" t="str">
        <f t="shared" si="201"/>
        <v/>
      </c>
      <c r="G546" s="69" t="str">
        <f t="shared" si="204"/>
        <v/>
      </c>
      <c r="H546" s="70" t="str">
        <f t="shared" si="202"/>
        <v/>
      </c>
      <c r="I546" s="27" t="str">
        <f>IF(N(J546)=0,"",0&amp;"-"&amp;B$10)</f>
        <v/>
      </c>
      <c r="J546" s="52" t="str">
        <f>IF(N(B$10)=0,"",IF(AND(COUNT(H538:H549)=2,COUNT(F538:F549)=2),cubic_spline(F537:F539,H537:H539,B$10),IF(AND(COUNT(H538:H549)=3,COUNT(F538:F549)=3),cubic_spline(F537:F540,H537:H540,B$10),IF(AND(COUNT(H538:H549)=4,COUNT(F538:F549)=4),cubic_spline(F537:F541,H537:H541,B$10),IF(AND(COUNT(H538:H549)=5,COUNT(F538:F549)=5),cubic_spline(F537:F542,H537:H542,B$10),IF(AND(COUNT(H538:H549)=6,COUNT(F538:F549)=6),cubic_spline(F537:F543,H537:H543,B$10),IF(AND(COUNT(H538:H549)=7,COUNT(F538:F549)=7),cubic_spline(F537:F544,H537:H544,B$10),IF(AND(COUNT(H538:H549)=8,COUNT(F538:F549)=8),cubic_spline(F537:F545,H537:H545,B$10),IF(AND(COUNT(H538:H549)=9,COUNT(F538:F549)=9),cubic_spline(F537:F546,H537:H546,B$10),IF(AND(COUNT(H538:H549)=10,COUNT(F538:F549)=10),cubic_spline(F537:F547,H537:H547,B$10),IF(AND(COUNT(H538:H549)=11,COUNT(F538:F549)=11),cubic_spline(F537:F548,H537:H548,B$10),IF(AND(COUNT(H538:H549)=12,COUNT(F538:F549)=12),cubic_spline(F537:F549,H537:H549,B$10),""))))))))))))</f>
        <v/>
      </c>
      <c r="K546" s="52" t="str">
        <f>IF(N(B$10)=0,"",IF(AND(COUNT(A538:A549)=2,COUNT(F538:F549)=2),cubic_spline(F537:F539,A537:A539,B$10),IF(AND(COUNT(A538:A549)=3,COUNT(F538:F549)=3),cubic_spline(F537:F540,A537:A540,B$10),IF(AND(COUNT(A538:A549)=4,COUNT(F538:F549)=4),cubic_spline(F537:F541,A537:A541,B$10),IF(AND(COUNT(A538:A549)=5,COUNT(F538:F549)=5),cubic_spline(F537:F542,A537:A542,B$10),IF(AND(COUNT(A538:A549)=6,COUNT(F538:F549)=6),cubic_spline(F537:F543,A537:A543,B$10),IF(AND(COUNT(A538:A549)=7,COUNT(F538:F549)=7),cubic_spline(F537:F544,A537:A544,B$10),IF(AND(COUNT(A538:A549)=8,COUNT(F538:F549)=8),cubic_spline(F537:F545,A537:A545,B$10),IF(AND(COUNT(A538:A549)=9,COUNT(F538:F549)=9),cubic_spline(F537:F546,A537:A546,B$10),IF(AND(COUNT(A538:A549)=10,COUNT(F538:F549)=10),cubic_spline(F537:F547,A537:A547,B$10),IF(AND(COUNT(A538:A549)=11,COUNT(F538:F549)=11),cubic_spline(F537:F548,A537:A548,B$10),IF(AND(COUNT(A538:A549)=12,COUNT(F538:F549)=12),cubic_spline(F537:F549,A537:A549,B$10),""))))))))))))</f>
        <v/>
      </c>
      <c r="L546" s="27" t="str">
        <f>IF(I546="","",B$9&amp;"-"&amp;B$10)</f>
        <v/>
      </c>
      <c r="M546" s="52" t="str">
        <f t="shared" si="205"/>
        <v/>
      </c>
    </row>
    <row r="547" spans="1:13" x14ac:dyDescent="0.35">
      <c r="A547" s="48"/>
      <c r="B547" s="48"/>
      <c r="C547" s="50"/>
      <c r="D547" s="50"/>
      <c r="E547" s="51" t="str">
        <f t="shared" si="203"/>
        <v/>
      </c>
      <c r="F547" s="71" t="str">
        <f t="shared" si="201"/>
        <v/>
      </c>
      <c r="G547" s="69" t="str">
        <f t="shared" si="204"/>
        <v/>
      </c>
      <c r="H547" s="70" t="str">
        <f t="shared" si="202"/>
        <v/>
      </c>
      <c r="I547" s="27" t="str">
        <f>IF(N(J547)=0,"",0&amp;"-"&amp;B$11)</f>
        <v/>
      </c>
      <c r="J547" s="52" t="str">
        <f>IF(N(B$11)=0,"",IF(AND(COUNT(H538:H549)=2,COUNT(F538:F549)=2),cubic_spline(F537:F539,H537:H539,B$11),IF(AND(COUNT(H538:H549)=3,COUNT(F538:F549)=3),cubic_spline(F537:F540,H537:H540,B$11),IF(AND(COUNT(H538:H549)=4,COUNT(F538:F549)=4),cubic_spline(F537:F541,H537:H541,B$11),IF(AND(COUNT(H538:H549)=5,COUNT(F538:F549)=5),cubic_spline(F537:F542,H537:H542,B$11),IF(AND(COUNT(H538:H549)=6,COUNT(F538:F549)=6),cubic_spline(F537:F543,H537:H543,B$11),IF(AND(COUNT(H538:H549)=7,COUNT(F538:F549)=7),cubic_spline(F537:F544,H537:H544,B$11),IF(AND(COUNT(H538:H549)=8,COUNT(F538:F549)=8),cubic_spline(F537:F545,H537:H545,B$11),IF(AND(COUNT(H538:H549)=9,COUNT(F538:F549)=9),cubic_spline(F537:F546,H537:H546,B$11),IF(AND(COUNT(H538:H549)=10,COUNT(F538:F549)=10),cubic_spline(F537:F547,H537:H547,B$11),IF(AND(COUNT(H538:H549)=11,COUNT(F538:F549)=11),cubic_spline(F537:F548,H537:H548,B$11),IF(AND(COUNT(H538:H549)=12,COUNT(F538:F549)=12),cubic_spline(F537:F549,H537:H549,B$11),""))))))))))))</f>
        <v/>
      </c>
      <c r="K547" s="52" t="str">
        <f>IF(N(B$11)=0,"",IF(AND(COUNT(A538:A549)=2,COUNT(F538:F549)=2),cubic_spline(F537:F539,A537:A539,B$11),IF(AND(COUNT(A538:A549)=3,COUNT(F538:F549)=3),cubic_spline(F537:F540,A537:A540,B$11),IF(AND(COUNT(A538:A549)=4,COUNT(F538:F549)=4),cubic_spline(F537:F541,A537:A541,B$11),IF(AND(COUNT(A538:A549)=5,COUNT(F538:F549)=5),cubic_spline(F537:F542,A537:A542,B$11),IF(AND(COUNT(A538:A549)=6,COUNT(F538:F549)=6),cubic_spline(F537:F543,A537:A543,B$11),IF(AND(COUNT(A538:A549)=7,COUNT(F538:F549)=7),cubic_spline(F537:F544,A537:A544,B$11),IF(AND(COUNT(A538:A549)=8,COUNT(F538:F549)=8),cubic_spline(F537:F545,A537:A545,B$11),IF(AND(COUNT(A538:A549)=9,COUNT(F538:F549)=9),cubic_spline(F537:F546,A537:A546,B$11),IF(AND(COUNT(A538:A549)=10,COUNT(F538:F549)=10),cubic_spline(F537:F547,A537:A547,B$11),IF(AND(COUNT(A538:A549)=11,COUNT(F538:F549)=11),cubic_spline(F537:F548,A537:A548,B$11),IF(AND(COUNT(A538:A549)=12,COUNT(F538:F549)=12),cubic_spline(F537:F549,A537:A549,B$11),""))))))))))))</f>
        <v/>
      </c>
      <c r="L547" s="27" t="str">
        <f>IF(I547="","",B$10&amp;"-"&amp;B$11)</f>
        <v/>
      </c>
      <c r="M547" s="52" t="str">
        <f t="shared" si="205"/>
        <v/>
      </c>
    </row>
    <row r="548" spans="1:13" x14ac:dyDescent="0.35">
      <c r="A548" s="48"/>
      <c r="B548" s="48"/>
      <c r="C548" s="50"/>
      <c r="D548" s="50"/>
      <c r="E548" s="51" t="str">
        <f t="shared" si="203"/>
        <v/>
      </c>
      <c r="F548" s="71" t="str">
        <f t="shared" si="201"/>
        <v/>
      </c>
      <c r="G548" s="69" t="str">
        <f t="shared" si="204"/>
        <v/>
      </c>
      <c r="H548" s="70" t="str">
        <f t="shared" si="202"/>
        <v/>
      </c>
      <c r="I548" s="27" t="str">
        <f>IF(N(J548)=0,"",0&amp;"-"&amp;B$12)</f>
        <v/>
      </c>
      <c r="J548" s="52" t="str">
        <f>IF(N(B$12)=0,"",IF(AND(COUNT(H538:H549)=2,COUNT(F538:F549)=2),cubic_spline(F537:F539,H537:H539,B$12),IF(AND(COUNT(H538:H549)=3,COUNT(F538:F549)=3),cubic_spline(F537:F540,H537:H540,B$12),IF(AND(COUNT(H538:H549)=4,COUNT(F538:F549)=4),cubic_spline(F537:F541,H537:H541,B$12),IF(AND(COUNT(H538:H549)=5,COUNT(F538:F549)=5),cubic_spline(F537:F542,H537:H542,B$12),IF(AND(COUNT(H538:H549)=6,COUNT(F538:F549)=6),cubic_spline(F537:F543,H537:H543,B$12),IF(AND(COUNT(H538:H549)=7,COUNT(F538:F549)=7),cubic_spline(F537:F544,H537:H544,B$12),IF(AND(COUNT(H538:H549)=8,COUNT(F538:F549)=8),cubic_spline(F537:F545,H537:H545,B$12),IF(AND(COUNT(H538:H549)=9,COUNT(F538:F549)=9),cubic_spline(F537:F546,H537:H546,B$12),IF(AND(COUNT(H538:H549)=10,COUNT(F538:F549)=10),cubic_spline(F537:F547,H537:H547,B$12),IF(AND(COUNT(H538:H549)=11,COUNT(F538:F549)=11),cubic_spline(F537:F548,H537:H548,B$12),IF(AND(COUNT(H538:H549)=12,COUNT(F538:F549)=12),cubic_spline(F537:F549,H537:H549,B$12),""))))))))))))</f>
        <v/>
      </c>
      <c r="K548" s="52" t="str">
        <f>IF(N(B$12)=0,"",IF(AND(COUNT(A538:A549)=2,COUNT(F538:F549)=2),cubic_spline(F537:F539,A537:A539,B$12),IF(AND(COUNT(A538:A549)=3,COUNT(F538:F549)=3),cubic_spline(F537:F540,A537:A540,B$12),IF(AND(COUNT(A538:A549)=4,COUNT(F538:F549)=4),cubic_spline(F537:F541,A537:A541,B$12),IF(AND(COUNT(A538:A549)=5,COUNT(F538:F549)=5),cubic_spline(F537:F542,A537:A542,B$12),IF(AND(COUNT(A538:A549)=6,COUNT(F538:F549)=6),cubic_spline(F537:F543,A537:A543,B$12),IF(AND(COUNT(A538:A549)=7,COUNT(F538:F549)=7),cubic_spline(F537:F544,A537:A544,B$12),IF(AND(COUNT(A538:A549)=8,COUNT(F538:F549)=8),cubic_spline(F537:F545,A537:A545,B$12),IF(AND(COUNT(A538:A549)=9,COUNT(F538:F549)=9),cubic_spline(F537:F546,A537:A546,B$12),IF(AND(COUNT(A538:A549)=10,COUNT(F538:F549)=10),cubic_spline(F537:F547,A537:A547,B$12),IF(AND(COUNT(A538:A549)=11,COUNT(F538:F549)=11),cubic_spline(F537:F548,A537:A548,B$12),IF(AND(COUNT(A538:A549)=12,COUNT(F538:F549)=12),cubic_spline(F537:F549,A537:A549,B$12),""))))))))))))</f>
        <v/>
      </c>
      <c r="L548" s="27" t="str">
        <f>IF(I548="","",B$11&amp;"-"&amp;B$12)</f>
        <v/>
      </c>
      <c r="M548" s="52" t="str">
        <f t="shared" si="205"/>
        <v/>
      </c>
    </row>
    <row r="549" spans="1:13" x14ac:dyDescent="0.35">
      <c r="A549" s="48"/>
      <c r="B549" s="48"/>
      <c r="C549" s="50"/>
      <c r="D549" s="50"/>
      <c r="E549" s="51" t="str">
        <f t="shared" si="203"/>
        <v/>
      </c>
      <c r="F549" s="71" t="str">
        <f t="shared" si="201"/>
        <v/>
      </c>
      <c r="G549" s="69" t="str">
        <f t="shared" si="204"/>
        <v/>
      </c>
      <c r="H549" s="70" t="str">
        <f t="shared" si="202"/>
        <v/>
      </c>
      <c r="I549" s="27" t="str">
        <f>IF(N(J549)=0,"",0&amp;"-"&amp;B$13)</f>
        <v/>
      </c>
      <c r="J549" s="52" t="str">
        <f>IF(N(B$13)=0,"",IF(AND(COUNT(H538:H549)=2,COUNT(F538:F549)=2),cubic_spline(F537:F539,H537:H539,B$13),IF(AND(COUNT(H538:H549)=3,COUNT(F538:F549)=3),cubic_spline(F537:F540,H537:H540,B$13),IF(AND(COUNT(H538:H549)=4,COUNT(F538:F549)=4),cubic_spline(F537:F541,H537:H541,B$13),IF(AND(COUNT(H538:H549)=5,COUNT(F538:F549)=5),cubic_spline(F537:F542,H537:H542,B$13),IF(AND(COUNT(H538:H549)=6,COUNT(F538:F549)=6),cubic_spline(F537:F543,H537:H543,B$13),IF(AND(COUNT(H538:H549)=7,COUNT(F538:F549)=7),cubic_spline(F537:F544,H537:H544,B$13),IF(AND(COUNT(H538:H549)=8,COUNT(F538:F549)=8),cubic_spline(F537:F545,H537:H545,B$13),IF(AND(COUNT(H538:H549)=9,COUNT(F538:F549)=9),cubic_spline(F537:F546,H537:H546,B$13),IF(AND(COUNT(H538:H549)=10,COUNT(F538:F549)=10),cubic_spline(F537:F547,H537:H547,B$13),IF(AND(COUNT(H538:H549)=11,COUNT(F538:F549)=11),cubic_spline(F537:F548,H537:H548,B$13),IF(AND(COUNT(H538:H549)=12,COUNT(F538:F549)=12),cubic_spline(F537:F549,H537:H549,B$13),""))))))))))))</f>
        <v/>
      </c>
      <c r="K549" s="52" t="str">
        <f>IF(N(B$13)=0,"",IF(AND(COUNT(A538:A549)=2,COUNT(F538:F549)=2),cubic_spline(F537:F539,A537:A539,B$13),IF(AND(COUNT(A538:A549)=3,COUNT(F538:F549)=3),cubic_spline(F537:F540,A537:A540,B$13),IF(AND(COUNT(A538:A549)=4,COUNT(F538:F549)=4),cubic_spline(F537:F541,A537:A541,B$13),IF(AND(COUNT(A538:A549)=5,COUNT(F538:F549)=5),cubic_spline(F537:F542,A537:A542,B$13),IF(AND(COUNT(A538:A549)=6,COUNT(F538:F549)=6),cubic_spline(F537:F543,A537:A543,B$13),IF(AND(COUNT(A538:A549)=7,COUNT(F538:F549)=7),cubic_spline(F537:F544,A537:A544,B$13),IF(AND(COUNT(A538:A549)=8,COUNT(F538:F549)=8),cubic_spline(F537:F545,A537:A545,B$13),IF(AND(COUNT(A538:A549)=9,COUNT(F538:F549)=9),cubic_spline(F537:F546,A537:A546,B$13),IF(AND(COUNT(A538:A549)=10,COUNT(F538:F549)=10),cubic_spline(F537:F547,A537:A547,B$13),IF(AND(COUNT(A538:A549)=11,COUNT(F538:F549)=11),cubic_spline(F537:F548,A537:A548,B$13),IF(AND(COUNT(A538:A549)=12,COUNT(F538:F549)=12),cubic_spline(F537:F549,A537:A549,B$13),""))))))))))))</f>
        <v/>
      </c>
      <c r="L549" s="27" t="str">
        <f>IF(I549="","",B$12&amp;"-"&amp;B$13)</f>
        <v/>
      </c>
      <c r="M549" s="52" t="str">
        <f t="shared" si="205"/>
        <v/>
      </c>
    </row>
    <row r="550" spans="1:13" ht="5.15" customHeight="1" x14ac:dyDescent="0.35">
      <c r="A550" s="47"/>
      <c r="B550" s="47"/>
      <c r="C550" s="53"/>
      <c r="D550" s="53"/>
      <c r="E550" s="54"/>
      <c r="F550" s="55"/>
      <c r="G550" s="72"/>
      <c r="H550" s="73"/>
      <c r="I550" s="47"/>
      <c r="J550" s="57"/>
      <c r="K550" s="57"/>
      <c r="L550" s="55"/>
      <c r="M550" s="57"/>
    </row>
    <row r="551" spans="1:13" x14ac:dyDescent="0.35">
      <c r="A551" s="48"/>
      <c r="B551" s="48"/>
      <c r="C551" s="50"/>
      <c r="D551" s="50"/>
      <c r="E551" s="51" t="str">
        <f>IF(N(C551)=0,"",(A551-A550)*C551*100)</f>
        <v/>
      </c>
      <c r="F551" s="68" t="str">
        <f t="shared" ref="F551:F562" si="206">IF(N(E551)=0,"",(N(E551)+N(F550)))</f>
        <v/>
      </c>
      <c r="G551" s="69" t="str">
        <f>IF(OR(N(D551)=0,N(E551)=0),"",(E551*D551)/1000)</f>
        <v/>
      </c>
      <c r="H551" s="70" t="str">
        <f t="shared" ref="H551:H562" si="207">IF(N(G551)=0,"",(N(G551)+N(H550)))</f>
        <v/>
      </c>
      <c r="I551" s="27" t="str">
        <f>IF(N(J551)=0,"",0&amp;"-"&amp;B$2)</f>
        <v/>
      </c>
      <c r="J551" s="52" t="str">
        <f>IF(N(B$2)=0,"",IF(AND(COUNT(H551:H562)=2,COUNT(F551:F562)=2),cubic_spline(F550:F552,H550:H552,B$2),IF(AND(COUNT(H551:H562)=3,COUNT(F551:F562)=3),cubic_spline(F550:F553,H550:H553,B$2),IF(AND(COUNT(H551:H562)=4,COUNT(F551:F562)=4),cubic_spline(F550:F554,H550:H554,B$2),IF(AND(COUNT(H551:H562)=5,COUNT(F551:F562)=5),cubic_spline(F550:F555,H550:H555,B$2),IF(AND(COUNT(H551:H562)=6,COUNT(F551:F562)=6),cubic_spline(F550:F556,H550:H556,B$2),IF(AND(COUNT(H551:H562)=7,COUNT(F551:F562)=7),cubic_spline(F550:F557,H550:H557,B$2),IF(AND(COUNT(H551:H562)=8,COUNT(F551:F562)=8),cubic_spline(F550:F558,H550:H558,B$2),IF(AND(COUNT(H551:H562)=9,COUNT(F551:F562)=9),cubic_spline(F550:F559,H550:H559,B$2),IF(AND(COUNT(H551:H562)=10,COUNT(F551:F562)=10),cubic_spline(F550:F560,H550:H560,B$2),IF(AND(COUNT(H551:H562)=11,COUNT(F551:F562)=11),cubic_spline(F550:F561,H550:H561,B$2),IF(AND(COUNT(H551:H562)=12,COUNT(F551:F562)=12),cubic_spline(F550:F562,H550:H562,B$2),""))))))))))))</f>
        <v/>
      </c>
      <c r="K551" s="52" t="str">
        <f>IF(N(B$2)=0,"",IF(AND(COUNT(A551:A562)=2,COUNT(F551:F562)=2),cubic_spline(F550:F552,A550:A552,B$2),IF(AND(COUNT(A551:A562)=3,COUNT(F551:F562)=3),cubic_spline(F550:F553,A550:A553,B$2),IF(AND(COUNT(A551:A562)=4,COUNT(F551:F562)=4),cubic_spline(F550:F554,A550:A554,B$2),IF(AND(COUNT(A551:A562)=5,COUNT(F551:F562)=5),cubic_spline(F550:F555,A550:A555,B$2),IF(AND(COUNT(A551:A562)=6,COUNT(F551:F562)=6),cubic_spline(F550:F556,A550:A556,B$2),IF(AND(COUNT(A551:A562)=7,COUNT(F551:F562)=7),cubic_spline(F550:F557,A550:A557,B$2),IF(AND(COUNT(A551:A562)=8,COUNT(F551:F562)=8),cubic_spline(F550:F558,A550:A558,B$2),IF(AND(COUNT(A551:A562)=9,COUNT(F551:F562)=9),cubic_spline(F550:F559,A550:A559,B$2),IF(AND(COUNT(A551:A562)=10,COUNT(F551:F562)=10),cubic_spline(F550:F560,A550:A560,B$2),IF(AND(COUNT(A551:A562)=11,COUNT(F551:F562)=11),cubic_spline(F550:F561,A550:A561,B$2),IF(AND(COUNT(A551:A562)=12,COUNT(F551:F562)=12),cubic_spline(F550:F562,A550:A562,B$2),""))))))))))))</f>
        <v/>
      </c>
      <c r="L551" s="27" t="str">
        <f>IF(I551="","",0&amp;"-"&amp;B$2)</f>
        <v/>
      </c>
      <c r="M551" s="52" t="str">
        <f>IF(N(J551)=0,"",J551-J550)</f>
        <v/>
      </c>
    </row>
    <row r="552" spans="1:13" x14ac:dyDescent="0.35">
      <c r="A552" s="48"/>
      <c r="B552" s="48"/>
      <c r="C552" s="50"/>
      <c r="D552" s="50"/>
      <c r="E552" s="51" t="str">
        <f t="shared" ref="E552:E562" si="208">IF(N(C552)=0,"",(A552-A551)*C552*100)</f>
        <v/>
      </c>
      <c r="F552" s="68" t="str">
        <f t="shared" si="206"/>
        <v/>
      </c>
      <c r="G552" s="69" t="str">
        <f t="shared" ref="G552:G562" si="209">IF(OR(N(D552)=0,N(E552)=0),"",(E552*D552)/1000)</f>
        <v/>
      </c>
      <c r="H552" s="70" t="str">
        <f t="shared" si="207"/>
        <v/>
      </c>
      <c r="I552" s="27" t="str">
        <f>IF(N(J552)=0,"",0&amp;"-"&amp;B$3)</f>
        <v/>
      </c>
      <c r="J552" s="52" t="str">
        <f>IF(N(B$3)=0,"",IF(AND(COUNT(H551:H562)=2,COUNT(F551:F562)=2),cubic_spline(F550:F552,H550:H552,B$3),IF(AND(COUNT(H551:H562)=3,COUNT(F551:F562)=3),cubic_spline(F550:F553,H550:H553,B$3),IF(AND(COUNT(H551:H562)=4,COUNT(F551:F562)=4),cubic_spline(F550:F554,H550:H554,B$3),IF(AND(COUNT(H551:H562)=5,COUNT(F551:F562)=5),cubic_spline(F550:F555,H550:H555,B$3),IF(AND(COUNT(H551:H562)=6,COUNT(F551:F562)=6),cubic_spline(F550:F556,H550:H556,B$3),IF(AND(COUNT(H551:H562)=7,COUNT(F551:F562)=7),cubic_spline(F550:F557,H550:H557,B$3),IF(AND(COUNT(H551:H562)=8,COUNT(F551:F562)=8),cubic_spline(F550:F558,H550:H558,B$3),IF(AND(COUNT(H551:H562)=9,COUNT(F551:F562)=9),cubic_spline(F550:F559,H550:H559,B$3),IF(AND(COUNT(H551:H562)=10,COUNT(F551:F562)=10),cubic_spline(F550:F560,H550:H560,B$3),IF(AND(COUNT(H551:H562)=11,COUNT(F551:F562)=11),cubic_spline(F550:F561,H550:H561,B$3),IF(AND(COUNT(H551:H562)=12,COUNT(F551:F562)=12),cubic_spline(F550:F562,H550:H562,B$3),""))))))))))))</f>
        <v/>
      </c>
      <c r="K552" s="52" t="str">
        <f>IF(N(B$3)=0,"",IF(AND(COUNT(A551:A562)=2,COUNT(F551:F562)=2),cubic_spline(F550:F552,A550:A552,B$3),IF(AND(COUNT(A551:A562)=3,COUNT(F551:F562)=3),cubic_spline(F550:F553,A550:A553,B$3),IF(AND(COUNT(A551:A562)=4,COUNT(F551:F562)=4),cubic_spline(F550:F554,A550:A554,B$3),IF(AND(COUNT(A551:A562)=5,COUNT(F551:F562)=5),cubic_spline(F550:F555,A550:A555,B$3),IF(AND(COUNT(A551:A562)=6,COUNT(F551:F562)=6),cubic_spline(F550:F556,A550:A556,B$3),IF(AND(COUNT(A551:A562)=7,COUNT(F551:F562)=7),cubic_spline(F550:F557,A550:A557,B$3),IF(AND(COUNT(A551:A562)=8,COUNT(F551:F562)=8),cubic_spline(F550:F558,A550:A558,B$3),IF(AND(COUNT(A551:A562)=9,COUNT(F551:F562)=9),cubic_spline(F550:F559,A550:A559,B$3),IF(AND(COUNT(A551:A562)=10,COUNT(F551:F562)=10),cubic_spline(F550:F560,A550:A560,B$3),IF(AND(COUNT(A551:A562)=11,COUNT(F551:F562)=11),cubic_spline(F550:F561,A550:A561,B$3),IF(AND(COUNT(A551:A562)=12,COUNT(F551:F562)=12),cubic_spline(F550:F562,A550:A562,B$3),""))))))))))))</f>
        <v/>
      </c>
      <c r="L552" s="27" t="str">
        <f>IF(I552="","",B$2&amp;"-"&amp;B$3)</f>
        <v/>
      </c>
      <c r="M552" s="52" t="str">
        <f>IF(N(J552)=0,"",J552-J551)</f>
        <v/>
      </c>
    </row>
    <row r="553" spans="1:13" x14ac:dyDescent="0.35">
      <c r="A553" s="48"/>
      <c r="B553" s="48"/>
      <c r="C553" s="50"/>
      <c r="D553" s="50"/>
      <c r="E553" s="51" t="str">
        <f t="shared" si="208"/>
        <v/>
      </c>
      <c r="F553" s="68" t="str">
        <f t="shared" si="206"/>
        <v/>
      </c>
      <c r="G553" s="69" t="str">
        <f t="shared" si="209"/>
        <v/>
      </c>
      <c r="H553" s="70" t="str">
        <f t="shared" si="207"/>
        <v/>
      </c>
      <c r="I553" s="27" t="str">
        <f>IF(N(J553)=0,"",0&amp;"-"&amp;B$4)</f>
        <v/>
      </c>
      <c r="J553" s="52" t="str">
        <f>IF(N(B$4)=0,"",IF(AND(COUNT(H551:H562)=2,COUNT(F551:F562)=2),cubic_spline(F550:F552,H550:H552,B$4),IF(AND(COUNT(H551:H562)=3,COUNT(F551:F562)=3),cubic_spline(F550:F553,H550:H553,B$4),IF(AND(COUNT(H551:H562)=4,COUNT(F551:F562)=4),cubic_spline(F550:F554,H550:H554,B$4),IF(AND(COUNT(H551:H562)=5,COUNT(F551:F562)=5),cubic_spline(F550:F555,H550:H555,B$4),IF(AND(COUNT(H551:H562)=6,COUNT(F551:F562)=6),cubic_spline(F550:F556,H550:H556,B$4),IF(AND(COUNT(H551:H562)=7,COUNT(F551:F562)=7),cubic_spline(F550:F557,H550:H557,B$4),IF(AND(COUNT(H551:H562)=8,COUNT(F551:F562)=8),cubic_spline(F550:F558,H550:H558,B$4),IF(AND(COUNT(H551:H562)=9,COUNT(F551:F562)=9),cubic_spline(F550:F559,H550:H559,B$4),IF(AND(COUNT(H551:H562)=10,COUNT(F551:F562)=10),cubic_spline(F550:F560,H550:H560,B$4),IF(AND(COUNT(H551:H562)=11,COUNT(F551:F562)=11),cubic_spline(F550:F561,H550:H561,B$4),IF(AND(COUNT(H551:H562)=12,COUNT(F551:F562)=12),cubic_spline(F550:F562,H550:H562,B$4),""))))))))))))</f>
        <v/>
      </c>
      <c r="K553" s="52" t="str">
        <f>IF(N(B$4)=0,"",IF(AND(COUNT(A551:A562)=2,COUNT(F551:F562)=2),cubic_spline(F550:F552,A550:A552,B$4),IF(AND(COUNT(A551:A562)=3,COUNT(F551:F562)=3),cubic_spline(F550:F553,A550:A553,B$4),IF(AND(COUNT(A551:A562)=4,COUNT(F551:F562)=4),cubic_spline(F550:F554,A550:A554,B$4),IF(AND(COUNT(A551:A562)=5,COUNT(F551:F562)=5),cubic_spline(F550:F555,A550:A555,B$4),IF(AND(COUNT(A551:A562)=6,COUNT(F551:F562)=6),cubic_spline(F550:F556,A550:A556,B$4),IF(AND(COUNT(A551:A562)=7,COUNT(F551:F562)=7),cubic_spline(F550:F557,A550:A557,B$4),IF(AND(COUNT(A551:A562)=8,COUNT(F551:F562)=8),cubic_spline(F550:F558,A550:A558,B$4),IF(AND(COUNT(A551:A562)=9,COUNT(F551:F562)=9),cubic_spline(F550:F559,A550:A559,B$4),IF(AND(COUNT(A551:A562)=10,COUNT(F551:F562)=10),cubic_spline(F550:F560,A550:A560,B$4),IF(AND(COUNT(A551:A562)=11,COUNT(F551:F562)=11),cubic_spline(F550:F561,A550:A561,B$4),IF(AND(COUNT(A551:A562)=12,COUNT(F551:F562)=12),cubic_spline(F550:F562,A550:A562,B$4),""))))))))))))</f>
        <v/>
      </c>
      <c r="L553" s="27" t="str">
        <f>IF(I553="","",B$3&amp;"-"&amp;B$4)</f>
        <v/>
      </c>
      <c r="M553" s="52" t="str">
        <f>IF(N(J553)=0,"",J553-J552)</f>
        <v/>
      </c>
    </row>
    <row r="554" spans="1:13" x14ac:dyDescent="0.35">
      <c r="A554" s="48"/>
      <c r="B554" s="48"/>
      <c r="C554" s="50"/>
      <c r="D554" s="50"/>
      <c r="E554" s="51" t="str">
        <f t="shared" si="208"/>
        <v/>
      </c>
      <c r="F554" s="68" t="str">
        <f t="shared" si="206"/>
        <v/>
      </c>
      <c r="G554" s="69" t="str">
        <f t="shared" si="209"/>
        <v/>
      </c>
      <c r="H554" s="70" t="str">
        <f t="shared" si="207"/>
        <v/>
      </c>
      <c r="I554" s="27" t="str">
        <f>IF(N(J554)=0,"",0&amp;"-"&amp;B$5)</f>
        <v/>
      </c>
      <c r="J554" s="52" t="str">
        <f>IF(N(B$5)=0,"",IF(AND(COUNT(H551:H562)=2,COUNT(F551:F562)=2),cubic_spline(F550:F552,H550:H552,B$5),IF(AND(COUNT(H551:H562)=3,COUNT(F551:F562)=3),cubic_spline(F550:F553,H550:H553,B$5),IF(AND(COUNT(H551:H562)=4,COUNT(F551:F562)=4),cubic_spline(F550:F554,H550:H554,B$5),IF(AND(COUNT(H551:H562)=5,COUNT(F551:F562)=5),cubic_spline(F550:F555,H550:H555,B$5),IF(AND(COUNT(H551:H562)=6,COUNT(F551:F562)=6),cubic_spline(F550:F556,H550:H556,B$5),IF(AND(COUNT(H551:H562)=7,COUNT(F551:F562)=7),cubic_spline(F550:F557,H550:H557,B$5),IF(AND(COUNT(H551:H562)=8,COUNT(F551:F562)=8),cubic_spline(F550:F558,H550:H558,B$5),IF(AND(COUNT(H551:H562)=9,COUNT(F551:F562)=9),cubic_spline(F550:F559,H550:H559,B$5),IF(AND(COUNT(H551:H562)=10,COUNT(F551:F562)=10),cubic_spline(F550:F560,H550:H560,B$5),IF(AND(COUNT(H551:H562)=11,COUNT(F551:F562)=11),cubic_spline(F550:F561,H550:H561,B$5),IF(AND(COUNT(H551:H562)=12,COUNT(F551:F562)=12),cubic_spline(F550:F562,H550:H562,B$5),""))))))))))))</f>
        <v/>
      </c>
      <c r="K554" s="52" t="str">
        <f>IF(N(B$5)=0,"",IF(AND(COUNT(A551:A562)=2,COUNT(F551:F562)=2),cubic_spline(F550:F552,A550:A552,B$5),IF(AND(COUNT(A551:A562)=3,COUNT(F551:F562)=3),cubic_spline(F550:F553,A550:A553,B$5),IF(AND(COUNT(A551:A562)=4,COUNT(F551:F562)=4),cubic_spline(F550:F554,A550:A554,B$5),IF(AND(COUNT(A551:A562)=5,COUNT(F551:F562)=5),cubic_spline(F550:F555,A550:A555,B$5),IF(AND(COUNT(A551:A562)=6,COUNT(F551:F562)=6),cubic_spline(F550:F556,A550:A556,B$5),IF(AND(COUNT(A551:A562)=7,COUNT(F551:F562)=7),cubic_spline(F550:F557,A550:A557,B$5),IF(AND(COUNT(A551:A562)=8,COUNT(F551:F562)=8),cubic_spline(F550:F558,A550:A558,B$5),IF(AND(COUNT(A551:A562)=9,COUNT(F551:F562)=9),cubic_spline(F550:F559,A550:A559,B$5),IF(AND(COUNT(A551:A562)=10,COUNT(F551:F562)=10),cubic_spline(F550:F560,A550:A560,B$5),IF(AND(COUNT(A551:A562)=11,COUNT(F551:F562)=11),cubic_spline(F550:F561,A550:A561,B$5),IF(AND(COUNT(A551:A562)=12,COUNT(F551:F562)=12),cubic_spline(F550:F562,A550:A562,B$5),""))))))))))))</f>
        <v/>
      </c>
      <c r="L554" s="27" t="str">
        <f>IF(I554="","",B$4&amp;"-"&amp;B$5)</f>
        <v/>
      </c>
      <c r="M554" s="52" t="str">
        <f>IF(N(J554)=0,"",J554-J553)</f>
        <v/>
      </c>
    </row>
    <row r="555" spans="1:13" x14ac:dyDescent="0.35">
      <c r="A555" s="48"/>
      <c r="B555" s="48"/>
      <c r="C555" s="50"/>
      <c r="D555" s="50"/>
      <c r="E555" s="51" t="str">
        <f t="shared" si="208"/>
        <v/>
      </c>
      <c r="F555" s="71" t="str">
        <f t="shared" si="206"/>
        <v/>
      </c>
      <c r="G555" s="69" t="str">
        <f t="shared" si="209"/>
        <v/>
      </c>
      <c r="H555" s="70" t="str">
        <f t="shared" si="207"/>
        <v/>
      </c>
      <c r="I555" s="27" t="str">
        <f>IF(N(J555)=0,"",0&amp;"-"&amp;B$6)</f>
        <v/>
      </c>
      <c r="J555" s="52" t="str">
        <f>IF(N(B$6)=0,"",IF(AND(COUNT(H551:H562)=2,COUNT(F551:F562)=2),cubic_spline(F550:F552,H550:H552,B$6),IF(AND(COUNT(H551:H562)=3,COUNT(F551:F562)=3),cubic_spline(F550:F553,H550:H553,B$6),IF(AND(COUNT(H551:H562)=4,COUNT(F551:F562)=4),cubic_spline(F550:F554,H550:H554,B$6),IF(AND(COUNT(H551:H562)=5,COUNT(F551:F562)=5),cubic_spline(F550:F555,H550:H555,B$6),IF(AND(COUNT(H551:H562)=6,COUNT(F551:F562)=6),cubic_spline(F550:F556,H550:H556,B$6),IF(AND(COUNT(H551:H562)=7,COUNT(F551:F562)=7),cubic_spline(F550:F557,H550:H557,B$6),IF(AND(COUNT(H551:H562)=8,COUNT(F551:F562)=8),cubic_spline(F550:F558,H550:H558,B$6),IF(AND(COUNT(H551:H562)=9,COUNT(F551:F562)=9),cubic_spline(F550:F559,H550:H559,B$6),IF(AND(COUNT(H551:H562)=10,COUNT(F551:F562)=10),cubic_spline(F550:F560,H550:H560,B$6),IF(AND(COUNT(H551:H562)=11,COUNT(F551:F562)=11),cubic_spline(F550:F561,H550:H561,B$6),IF(AND(COUNT(H551:H562)=12,COUNT(F551:F562)=12),cubic_spline(F550:F562,H550:H562,B$6),""))))))))))))</f>
        <v/>
      </c>
      <c r="K555" s="52" t="str">
        <f>IF(N(B$6)=0,"",IF(AND(COUNT(A551:A562)=2,COUNT(F551:F562)=2),cubic_spline(F550:F552,A550:A552,B$6),IF(AND(COUNT(A551:A562)=3,COUNT(F551:F562)=3),cubic_spline(F550:F553,A550:A553,B$6),IF(AND(COUNT(A551:A562)=4,COUNT(F551:F562)=4),cubic_spline(F550:F554,A550:A554,B$6),IF(AND(COUNT(A551:A562)=5,COUNT(F551:F562)=5),cubic_spline(F550:F555,A550:A555,B$6),IF(AND(COUNT(A551:A562)=6,COUNT(F551:F562)=6),cubic_spline(F550:F556,A550:A556,B$6),IF(AND(COUNT(A551:A562)=7,COUNT(F551:F562)=7),cubic_spline(F550:F557,A550:A557,B$6),IF(AND(COUNT(A551:A562)=8,COUNT(F551:F562)=8),cubic_spline(F550:F558,A550:A558,B$6),IF(AND(COUNT(A551:A562)=9,COUNT(F551:F562)=9),cubic_spline(F550:F559,A550:A559,B$6),IF(AND(COUNT(A551:A562)=10,COUNT(F551:F562)=10),cubic_spline(F550:F560,A550:A560,B$6),IF(AND(COUNT(A551:A562)=11,COUNT(F551:F562)=11),cubic_spline(F550:F561,A550:A561,B$6),IF(AND(COUNT(A551:A562)=12,COUNT(F551:F562)=12),cubic_spline(F550:F562,A550:A562,B$6),""))))))))))))</f>
        <v/>
      </c>
      <c r="L555" s="27" t="str">
        <f>IF(I555="","",B$5&amp;"-"&amp;B$6)</f>
        <v/>
      </c>
      <c r="M555" s="52" t="str">
        <f>IF(N(J555)=0,"",J555-J554)</f>
        <v/>
      </c>
    </row>
    <row r="556" spans="1:13" x14ac:dyDescent="0.35">
      <c r="A556" s="48"/>
      <c r="B556" s="48"/>
      <c r="C556" s="50"/>
      <c r="D556" s="50"/>
      <c r="E556" s="51" t="str">
        <f t="shared" si="208"/>
        <v/>
      </c>
      <c r="F556" s="71" t="str">
        <f t="shared" si="206"/>
        <v/>
      </c>
      <c r="G556" s="69" t="str">
        <f t="shared" si="209"/>
        <v/>
      </c>
      <c r="H556" s="70" t="str">
        <f t="shared" si="207"/>
        <v/>
      </c>
      <c r="I556" s="27" t="str">
        <f>IF(N(J556)=0,"",0&amp;"-"&amp;B$7)</f>
        <v/>
      </c>
      <c r="J556" s="52" t="str">
        <f>IF(N(B$7)=0,"",IF(AND(COUNT(H551:H562)=2,COUNT(F551:F562)=2),cubic_spline(F550:F552,H550:H552,B$7),IF(AND(COUNT(H551:H562)=3,COUNT(F551:F562)=3),cubic_spline(F550:F553,H550:H553,B$7),IF(AND(COUNT(H551:H562)=4,COUNT(F551:F562)=4),cubic_spline(F550:F554,H550:H554,B$7),IF(AND(COUNT(H551:H562)=5,COUNT(F551:F562)=5),cubic_spline(F550:F555,H550:H555,B$7),IF(AND(COUNT(H551:H562)=6,COUNT(F551:F562)=6),cubic_spline(F550:F556,H550:H556,B$7),IF(AND(COUNT(H551:H562)=7,COUNT(F551:F562)=7),cubic_spline(F550:F557,H550:H557,B$7),IF(AND(COUNT(H551:H562)=8,COUNT(F551:F562)=8),cubic_spline(F550:F558,H550:H558,B$7),IF(AND(COUNT(H551:H562)=9,COUNT(F551:F562)=9),cubic_spline(F550:F559,H550:H559,B$7),IF(AND(COUNT(H551:H562)=10,COUNT(F551:F562)=10),cubic_spline(F550:F560,H550:H560,B$7),IF(AND(COUNT(H551:H562)=11,COUNT(F551:F562)=11),cubic_spline(F550:F561,H550:H561,B$7),IF(AND(COUNT(H551:H562)=12,COUNT(F551:F562)=12),cubic_spline(F550:F562,H550:H562,B$7),""))))))))))))</f>
        <v/>
      </c>
      <c r="K556" s="52" t="str">
        <f>IF(N(B$7)=0,"",IF(AND(COUNT(A551:A562)=2,COUNT(F551:F562)=2),cubic_spline(F550:F552,A550:A552,B$7),IF(AND(COUNT(A551:A562)=3,COUNT(F551:F562)=3),cubic_spline(F550:F553,A550:A553,B$7),IF(AND(COUNT(A551:A562)=4,COUNT(F551:F562)=4),cubic_spline(F550:F554,A550:A554,B$7),IF(AND(COUNT(A551:A562)=5,COUNT(F551:F562)=5),cubic_spline(F550:F555,A550:A555,B$7),IF(AND(COUNT(A551:A562)=6,COUNT(F551:F562)=6),cubic_spline(F550:F556,A550:A556,B$7),IF(AND(COUNT(A551:A562)=7,COUNT(F551:F562)=7),cubic_spline(F550:F557,A550:A557,B$7),IF(AND(COUNT(A551:A562)=8,COUNT(F551:F562)=8),cubic_spline(F550:F558,A550:A558,B$7),IF(AND(COUNT(A551:A562)=9,COUNT(F551:F562)=9),cubic_spline(F550:F559,A550:A559,B$7),IF(AND(COUNT(A551:A562)=10,COUNT(F551:F562)=10),cubic_spline(F550:F560,A550:A560,B$7),IF(AND(COUNT(A551:A562)=11,COUNT(F551:F562)=11),cubic_spline(F550:F561,A550:A561,B$7),IF(AND(COUNT(A551:A562)=12,COUNT(F551:F562)=12),cubic_spline(F550:F562,A550:A562,B$7),""))))))))))))</f>
        <v/>
      </c>
      <c r="L556" s="27" t="str">
        <f>IF(I556="","",B$6&amp;"-"&amp;B$7)</f>
        <v/>
      </c>
      <c r="M556" s="52" t="str">
        <f t="shared" ref="M556:M562" si="210">IF(N(J556)=0,"",J556-J555)</f>
        <v/>
      </c>
    </row>
    <row r="557" spans="1:13" x14ac:dyDescent="0.35">
      <c r="A557" s="48"/>
      <c r="B557" s="48"/>
      <c r="C557" s="50"/>
      <c r="D557" s="50"/>
      <c r="E557" s="51" t="str">
        <f t="shared" si="208"/>
        <v/>
      </c>
      <c r="F557" s="71" t="str">
        <f t="shared" si="206"/>
        <v/>
      </c>
      <c r="G557" s="69" t="str">
        <f t="shared" si="209"/>
        <v/>
      </c>
      <c r="H557" s="70" t="str">
        <f t="shared" si="207"/>
        <v/>
      </c>
      <c r="I557" s="27" t="str">
        <f>IF(N(J557)=0,"",0&amp;"-"&amp;B$8)</f>
        <v/>
      </c>
      <c r="J557" s="52" t="str">
        <f>IF(N(B$8)=0,"",IF(AND(COUNT(H551:H562)=2,COUNT(F551:F562)=2),cubic_spline(F550:F552,H550:H552,B$8),IF(AND(COUNT(H551:H562)=3,COUNT(F551:F562)=3),cubic_spline(F550:F553,H550:H553,B$8),IF(AND(COUNT(H551:H562)=4,COUNT(F551:F562)=4),cubic_spline(F550:F554,H550:H554,B$8),IF(AND(COUNT(H551:H562)=5,COUNT(F551:F562)=5),cubic_spline(F550:F555,H550:H555,B$8),IF(AND(COUNT(H551:H562)=6,COUNT(F551:F562)=6),cubic_spline(F550:F556,H550:H556,B$8),IF(AND(COUNT(H551:H562)=7,COUNT(F551:F562)=7),cubic_spline(F550:F557,H550:H557,B$8),IF(AND(COUNT(H551:H562)=8,COUNT(F551:F562)=8),cubic_spline(F550:F558,H550:H558,B$8),IF(AND(COUNT(H551:H562)=9,COUNT(F551:F562)=9),cubic_spline(F550:F559,H550:H559,B$8),IF(AND(COUNT(H551:H562)=10,COUNT(F551:F562)=10),cubic_spline(F550:F560,H550:H560,B$8),IF(AND(COUNT(H551:H562)=11,COUNT(F551:F562)=11),cubic_spline(F550:F561,H550:H561,B$8),IF(AND(COUNT(H551:H562)=12,COUNT(F551:F562)=12),cubic_spline(F550:F562,H550:H562,B$8),""))))))))))))</f>
        <v/>
      </c>
      <c r="K557" s="52" t="str">
        <f>IF(N(B$8)=0,"",IF(AND(COUNT(A551:A562)=2,COUNT(F551:F562)=2),cubic_spline(F550:F552,A550:A552,B$8),IF(AND(COUNT(A551:A562)=3,COUNT(F551:F562)=3),cubic_spline(F550:F553,A550:A553,B$8),IF(AND(COUNT(A551:A562)=4,COUNT(F551:F562)=4),cubic_spline(F550:F554,A550:A554,B$8),IF(AND(COUNT(A551:A562)=5,COUNT(F551:F562)=5),cubic_spline(F550:F555,A550:A555,B$8),IF(AND(COUNT(A551:A562)=6,COUNT(F551:F562)=6),cubic_spline(F550:F556,A550:A556,B$8),IF(AND(COUNT(A551:A562)=7,COUNT(F551:F562)=7),cubic_spline(F550:F557,A550:A557,B$8),IF(AND(COUNT(A551:A562)=8,COUNT(F551:F562)=8),cubic_spline(F550:F558,A550:A558,B$8),IF(AND(COUNT(A551:A562)=9,COUNT(F551:F562)=9),cubic_spline(F550:F559,A550:A559,B$8),IF(AND(COUNT(A551:A562)=10,COUNT(F551:F562)=10),cubic_spline(F550:F560,A550:A560,B$8),IF(AND(COUNT(A551:A562)=11,COUNT(F551:F562)=11),cubic_spline(F550:F561,A550:A561,B$8),IF(AND(COUNT(A551:A562)=12,COUNT(F551:F562)=12),cubic_spline(F550:F562,A550:A562,B$8),""))))))))))))</f>
        <v/>
      </c>
      <c r="L557" s="27" t="str">
        <f>IF(I557="","",B$7&amp;"-"&amp;B$8)</f>
        <v/>
      </c>
      <c r="M557" s="52" t="str">
        <f t="shared" si="210"/>
        <v/>
      </c>
    </row>
    <row r="558" spans="1:13" x14ac:dyDescent="0.35">
      <c r="A558" s="48"/>
      <c r="B558" s="48"/>
      <c r="C558" s="50"/>
      <c r="D558" s="50"/>
      <c r="E558" s="51" t="str">
        <f t="shared" si="208"/>
        <v/>
      </c>
      <c r="F558" s="71" t="str">
        <f t="shared" si="206"/>
        <v/>
      </c>
      <c r="G558" s="69" t="str">
        <f t="shared" si="209"/>
        <v/>
      </c>
      <c r="H558" s="70" t="str">
        <f t="shared" si="207"/>
        <v/>
      </c>
      <c r="I558" s="27" t="str">
        <f>IF(N(J558)=0,"",0&amp;"-"&amp;B$9)</f>
        <v/>
      </c>
      <c r="J558" s="52" t="str">
        <f>IF(N(B$9)=0,"",IF(AND(COUNT(H551:H562)=2,COUNT(F551:F562)=2),cubic_spline(F550:F552,H550:H552,B$9),IF(AND(COUNT(H551:H562)=3,COUNT(F551:F562)=3),cubic_spline(F550:F553,H550:H553,B$9),IF(AND(COUNT(H551:H562)=4,COUNT(F551:F562)=4),cubic_spline(F550:F554,H550:H554,B$9),IF(AND(COUNT(H551:H562)=5,COUNT(F551:F562)=5),cubic_spline(F550:F555,H550:H555,B$9),IF(AND(COUNT(H551:H562)=6,COUNT(F551:F562)=6),cubic_spline(F550:F556,H550:H556,B$9),IF(AND(COUNT(H551:H562)=7,COUNT(F551:F562)=7),cubic_spline(F550:F557,H550:H557,B$9),IF(AND(COUNT(H551:H562)=8,COUNT(F551:F562)=8),cubic_spline(F550:F558,H550:H558,B$9),IF(AND(COUNT(H551:H562)=9,COUNT(F551:F562)=9),cubic_spline(F550:F559,H550:H559,B$9),IF(AND(COUNT(H551:H562)=10,COUNT(F551:F562)=10),cubic_spline(F550:F560,H550:H560,B$9),IF(AND(COUNT(H551:H562)=11,COUNT(F551:F562)=11),cubic_spline(F550:F561,H550:H561,B$9),IF(AND(COUNT(H551:H562)=12,COUNT(F551:F562)=12),cubic_spline(F550:F562,H550:H562,B$9),""))))))))))))</f>
        <v/>
      </c>
      <c r="K558" s="52" t="str">
        <f>IF(N(B$9)=0,"",IF(AND(COUNT(A551:A562)=2,COUNT(F551:F562)=2),cubic_spline(F550:F552,A550:A552,B$9),IF(AND(COUNT(A551:A562)=3,COUNT(F551:F562)=3),cubic_spline(F550:F553,A550:A553,B$9),IF(AND(COUNT(A551:A562)=4,COUNT(F551:F562)=4),cubic_spline(F550:F554,A550:A554,B$9),IF(AND(COUNT(A551:A562)=5,COUNT(F551:F562)=5),cubic_spline(F550:F555,A550:A555,B$9),IF(AND(COUNT(A551:A562)=6,COUNT(F551:F562)=6),cubic_spline(F550:F556,A550:A556,B$9),IF(AND(COUNT(A551:A562)=7,COUNT(F551:F562)=7),cubic_spline(F550:F557,A550:A557,B$9),IF(AND(COUNT(A551:A562)=8,COUNT(F551:F562)=8),cubic_spline(F550:F558,A550:A558,B$9),IF(AND(COUNT(A551:A562)=9,COUNT(F551:F562)=9),cubic_spline(F550:F559,A550:A559,B$9),IF(AND(COUNT(A551:A562)=10,COUNT(F551:F562)=10),cubic_spline(F550:F560,A550:A560,B$9),IF(AND(COUNT(A551:A562)=11,COUNT(F551:F562)=11),cubic_spline(F550:F561,A550:A561,B$9),IF(AND(COUNT(A551:A562)=12,COUNT(F551:F562)=12),cubic_spline(F550:F562,A550:A562,B$9),""))))))))))))</f>
        <v/>
      </c>
      <c r="L558" s="27" t="str">
        <f>IF(I558="","",B$8&amp;"-"&amp;B$9)</f>
        <v/>
      </c>
      <c r="M558" s="52" t="str">
        <f t="shared" si="210"/>
        <v/>
      </c>
    </row>
    <row r="559" spans="1:13" x14ac:dyDescent="0.35">
      <c r="A559" s="48"/>
      <c r="B559" s="48"/>
      <c r="C559" s="50"/>
      <c r="D559" s="50"/>
      <c r="E559" s="51" t="str">
        <f t="shared" si="208"/>
        <v/>
      </c>
      <c r="F559" s="71" t="str">
        <f t="shared" si="206"/>
        <v/>
      </c>
      <c r="G559" s="69" t="str">
        <f t="shared" si="209"/>
        <v/>
      </c>
      <c r="H559" s="70" t="str">
        <f t="shared" si="207"/>
        <v/>
      </c>
      <c r="I559" s="27" t="str">
        <f>IF(N(J559)=0,"",0&amp;"-"&amp;B$10)</f>
        <v/>
      </c>
      <c r="J559" s="52" t="str">
        <f>IF(N(B$10)=0,"",IF(AND(COUNT(H551:H562)=2,COUNT(F551:F562)=2),cubic_spline(F550:F552,H550:H552,B$10),IF(AND(COUNT(H551:H562)=3,COUNT(F551:F562)=3),cubic_spline(F550:F553,H550:H553,B$10),IF(AND(COUNT(H551:H562)=4,COUNT(F551:F562)=4),cubic_spline(F550:F554,H550:H554,B$10),IF(AND(COUNT(H551:H562)=5,COUNT(F551:F562)=5),cubic_spline(F550:F555,H550:H555,B$10),IF(AND(COUNT(H551:H562)=6,COUNT(F551:F562)=6),cubic_spline(F550:F556,H550:H556,B$10),IF(AND(COUNT(H551:H562)=7,COUNT(F551:F562)=7),cubic_spline(F550:F557,H550:H557,B$10),IF(AND(COUNT(H551:H562)=8,COUNT(F551:F562)=8),cubic_spline(F550:F558,H550:H558,B$10),IF(AND(COUNT(H551:H562)=9,COUNT(F551:F562)=9),cubic_spline(F550:F559,H550:H559,B$10),IF(AND(COUNT(H551:H562)=10,COUNT(F551:F562)=10),cubic_spline(F550:F560,H550:H560,B$10),IF(AND(COUNT(H551:H562)=11,COUNT(F551:F562)=11),cubic_spline(F550:F561,H550:H561,B$10),IF(AND(COUNT(H551:H562)=12,COUNT(F551:F562)=12),cubic_spline(F550:F562,H550:H562,B$10),""))))))))))))</f>
        <v/>
      </c>
      <c r="K559" s="52" t="str">
        <f>IF(N(B$10)=0,"",IF(AND(COUNT(A551:A562)=2,COUNT(F551:F562)=2),cubic_spline(F550:F552,A550:A552,B$10),IF(AND(COUNT(A551:A562)=3,COUNT(F551:F562)=3),cubic_spline(F550:F553,A550:A553,B$10),IF(AND(COUNT(A551:A562)=4,COUNT(F551:F562)=4),cubic_spline(F550:F554,A550:A554,B$10),IF(AND(COUNT(A551:A562)=5,COUNT(F551:F562)=5),cubic_spline(F550:F555,A550:A555,B$10),IF(AND(COUNT(A551:A562)=6,COUNT(F551:F562)=6),cubic_spline(F550:F556,A550:A556,B$10),IF(AND(COUNT(A551:A562)=7,COUNT(F551:F562)=7),cubic_spline(F550:F557,A550:A557,B$10),IF(AND(COUNT(A551:A562)=8,COUNT(F551:F562)=8),cubic_spline(F550:F558,A550:A558,B$10),IF(AND(COUNT(A551:A562)=9,COUNT(F551:F562)=9),cubic_spline(F550:F559,A550:A559,B$10),IF(AND(COUNT(A551:A562)=10,COUNT(F551:F562)=10),cubic_spline(F550:F560,A550:A560,B$10),IF(AND(COUNT(A551:A562)=11,COUNT(F551:F562)=11),cubic_spline(F550:F561,A550:A561,B$10),IF(AND(COUNT(A551:A562)=12,COUNT(F551:F562)=12),cubic_spline(F550:F562,A550:A562,B$10),""))))))))))))</f>
        <v/>
      </c>
      <c r="L559" s="27" t="str">
        <f>IF(I559="","",B$9&amp;"-"&amp;B$10)</f>
        <v/>
      </c>
      <c r="M559" s="52" t="str">
        <f t="shared" si="210"/>
        <v/>
      </c>
    </row>
    <row r="560" spans="1:13" x14ac:dyDescent="0.35">
      <c r="A560" s="48"/>
      <c r="B560" s="48"/>
      <c r="C560" s="50"/>
      <c r="D560" s="50"/>
      <c r="E560" s="51" t="str">
        <f t="shared" si="208"/>
        <v/>
      </c>
      <c r="F560" s="71" t="str">
        <f t="shared" si="206"/>
        <v/>
      </c>
      <c r="G560" s="69" t="str">
        <f t="shared" si="209"/>
        <v/>
      </c>
      <c r="H560" s="70" t="str">
        <f t="shared" si="207"/>
        <v/>
      </c>
      <c r="I560" s="27" t="str">
        <f>IF(N(J560)=0,"",0&amp;"-"&amp;B$11)</f>
        <v/>
      </c>
      <c r="J560" s="52" t="str">
        <f>IF(N(B$11)=0,"",IF(AND(COUNT(H551:H562)=2,COUNT(F551:F562)=2),cubic_spline(F550:F552,H550:H552,B$11),IF(AND(COUNT(H551:H562)=3,COUNT(F551:F562)=3),cubic_spline(F550:F553,H550:H553,B$11),IF(AND(COUNT(H551:H562)=4,COUNT(F551:F562)=4),cubic_spline(F550:F554,H550:H554,B$11),IF(AND(COUNT(H551:H562)=5,COUNT(F551:F562)=5),cubic_spline(F550:F555,H550:H555,B$11),IF(AND(COUNT(H551:H562)=6,COUNT(F551:F562)=6),cubic_spline(F550:F556,H550:H556,B$11),IF(AND(COUNT(H551:H562)=7,COUNT(F551:F562)=7),cubic_spline(F550:F557,H550:H557,B$11),IF(AND(COUNT(H551:H562)=8,COUNT(F551:F562)=8),cubic_spline(F550:F558,H550:H558,B$11),IF(AND(COUNT(H551:H562)=9,COUNT(F551:F562)=9),cubic_spline(F550:F559,H550:H559,B$11),IF(AND(COUNT(H551:H562)=10,COUNT(F551:F562)=10),cubic_spline(F550:F560,H550:H560,B$11),IF(AND(COUNT(H551:H562)=11,COUNT(F551:F562)=11),cubic_spline(F550:F561,H550:H561,B$11),IF(AND(COUNT(H551:H562)=12,COUNT(F551:F562)=12),cubic_spline(F550:F562,H550:H562,B$11),""))))))))))))</f>
        <v/>
      </c>
      <c r="K560" s="52" t="str">
        <f>IF(N(B$11)=0,"",IF(AND(COUNT(A551:A562)=2,COUNT(F551:F562)=2),cubic_spline(F550:F552,A550:A552,B$11),IF(AND(COUNT(A551:A562)=3,COUNT(F551:F562)=3),cubic_spline(F550:F553,A550:A553,B$11),IF(AND(COUNT(A551:A562)=4,COUNT(F551:F562)=4),cubic_spline(F550:F554,A550:A554,B$11),IF(AND(COUNT(A551:A562)=5,COUNT(F551:F562)=5),cubic_spline(F550:F555,A550:A555,B$11),IF(AND(COUNT(A551:A562)=6,COUNT(F551:F562)=6),cubic_spline(F550:F556,A550:A556,B$11),IF(AND(COUNT(A551:A562)=7,COUNT(F551:F562)=7),cubic_spline(F550:F557,A550:A557,B$11),IF(AND(COUNT(A551:A562)=8,COUNT(F551:F562)=8),cubic_spline(F550:F558,A550:A558,B$11),IF(AND(COUNT(A551:A562)=9,COUNT(F551:F562)=9),cubic_spline(F550:F559,A550:A559,B$11),IF(AND(COUNT(A551:A562)=10,COUNT(F551:F562)=10),cubic_spline(F550:F560,A550:A560,B$11),IF(AND(COUNT(A551:A562)=11,COUNT(F551:F562)=11),cubic_spline(F550:F561,A550:A561,B$11),IF(AND(COUNT(A551:A562)=12,COUNT(F551:F562)=12),cubic_spline(F550:F562,A550:A562,B$11),""))))))))))))</f>
        <v/>
      </c>
      <c r="L560" s="27" t="str">
        <f>IF(I560="","",B$10&amp;"-"&amp;B$11)</f>
        <v/>
      </c>
      <c r="M560" s="52" t="str">
        <f t="shared" si="210"/>
        <v/>
      </c>
    </row>
    <row r="561" spans="1:13" x14ac:dyDescent="0.35">
      <c r="A561" s="48"/>
      <c r="B561" s="48"/>
      <c r="C561" s="50"/>
      <c r="D561" s="50"/>
      <c r="E561" s="51" t="str">
        <f t="shared" si="208"/>
        <v/>
      </c>
      <c r="F561" s="71" t="str">
        <f t="shared" si="206"/>
        <v/>
      </c>
      <c r="G561" s="69" t="str">
        <f t="shared" si="209"/>
        <v/>
      </c>
      <c r="H561" s="70" t="str">
        <f t="shared" si="207"/>
        <v/>
      </c>
      <c r="I561" s="27" t="str">
        <f>IF(N(J561)=0,"",0&amp;"-"&amp;B$12)</f>
        <v/>
      </c>
      <c r="J561" s="52" t="str">
        <f>IF(N(B$12)=0,"",IF(AND(COUNT(H551:H562)=2,COUNT(F551:F562)=2),cubic_spline(F550:F552,H550:H552,B$12),IF(AND(COUNT(H551:H562)=3,COUNT(F551:F562)=3),cubic_spline(F550:F553,H550:H553,B$12),IF(AND(COUNT(H551:H562)=4,COUNT(F551:F562)=4),cubic_spline(F550:F554,H550:H554,B$12),IF(AND(COUNT(H551:H562)=5,COUNT(F551:F562)=5),cubic_spline(F550:F555,H550:H555,B$12),IF(AND(COUNT(H551:H562)=6,COUNT(F551:F562)=6),cubic_spline(F550:F556,H550:H556,B$12),IF(AND(COUNT(H551:H562)=7,COUNT(F551:F562)=7),cubic_spline(F550:F557,H550:H557,B$12),IF(AND(COUNT(H551:H562)=8,COUNT(F551:F562)=8),cubic_spline(F550:F558,H550:H558,B$12),IF(AND(COUNT(H551:H562)=9,COUNT(F551:F562)=9),cubic_spline(F550:F559,H550:H559,B$12),IF(AND(COUNT(H551:H562)=10,COUNT(F551:F562)=10),cubic_spline(F550:F560,H550:H560,B$12),IF(AND(COUNT(H551:H562)=11,COUNT(F551:F562)=11),cubic_spline(F550:F561,H550:H561,B$12),IF(AND(COUNT(H551:H562)=12,COUNT(F551:F562)=12),cubic_spline(F550:F562,H550:H562,B$12),""))))))))))))</f>
        <v/>
      </c>
      <c r="K561" s="52" t="str">
        <f>IF(N(B$12)=0,"",IF(AND(COUNT(A551:A562)=2,COUNT(F551:F562)=2),cubic_spline(F550:F552,A550:A552,B$12),IF(AND(COUNT(A551:A562)=3,COUNT(F551:F562)=3),cubic_spline(F550:F553,A550:A553,B$12),IF(AND(COUNT(A551:A562)=4,COUNT(F551:F562)=4),cubic_spline(F550:F554,A550:A554,B$12),IF(AND(COUNT(A551:A562)=5,COUNT(F551:F562)=5),cubic_spline(F550:F555,A550:A555,B$12),IF(AND(COUNT(A551:A562)=6,COUNT(F551:F562)=6),cubic_spline(F550:F556,A550:A556,B$12),IF(AND(COUNT(A551:A562)=7,COUNT(F551:F562)=7),cubic_spline(F550:F557,A550:A557,B$12),IF(AND(COUNT(A551:A562)=8,COUNT(F551:F562)=8),cubic_spline(F550:F558,A550:A558,B$12),IF(AND(COUNT(A551:A562)=9,COUNT(F551:F562)=9),cubic_spline(F550:F559,A550:A559,B$12),IF(AND(COUNT(A551:A562)=10,COUNT(F551:F562)=10),cubic_spline(F550:F560,A550:A560,B$12),IF(AND(COUNT(A551:A562)=11,COUNT(F551:F562)=11),cubic_spline(F550:F561,A550:A561,B$12),IF(AND(COUNT(A551:A562)=12,COUNT(F551:F562)=12),cubic_spline(F550:F562,A550:A562,B$12),""))))))))))))</f>
        <v/>
      </c>
      <c r="L561" s="27" t="str">
        <f>IF(I561="","",B$11&amp;"-"&amp;B$12)</f>
        <v/>
      </c>
      <c r="M561" s="52" t="str">
        <f t="shared" si="210"/>
        <v/>
      </c>
    </row>
    <row r="562" spans="1:13" x14ac:dyDescent="0.35">
      <c r="A562" s="48"/>
      <c r="B562" s="48"/>
      <c r="C562" s="50"/>
      <c r="D562" s="50"/>
      <c r="E562" s="51" t="str">
        <f t="shared" si="208"/>
        <v/>
      </c>
      <c r="F562" s="71" t="str">
        <f t="shared" si="206"/>
        <v/>
      </c>
      <c r="G562" s="69" t="str">
        <f t="shared" si="209"/>
        <v/>
      </c>
      <c r="H562" s="70" t="str">
        <f t="shared" si="207"/>
        <v/>
      </c>
      <c r="I562" s="27" t="str">
        <f>IF(N(J562)=0,"",0&amp;"-"&amp;B$13)</f>
        <v/>
      </c>
      <c r="J562" s="52" t="str">
        <f>IF(N(B$13)=0,"",IF(AND(COUNT(H551:H562)=2,COUNT(F551:F562)=2),cubic_spline(F550:F552,H550:H552,B$13),IF(AND(COUNT(H551:H562)=3,COUNT(F551:F562)=3),cubic_spline(F550:F553,H550:H553,B$13),IF(AND(COUNT(H551:H562)=4,COUNT(F551:F562)=4),cubic_spline(F550:F554,H550:H554,B$13),IF(AND(COUNT(H551:H562)=5,COUNT(F551:F562)=5),cubic_spline(F550:F555,H550:H555,B$13),IF(AND(COUNT(H551:H562)=6,COUNT(F551:F562)=6),cubic_spline(F550:F556,H550:H556,B$13),IF(AND(COUNT(H551:H562)=7,COUNT(F551:F562)=7),cubic_spline(F550:F557,H550:H557,B$13),IF(AND(COUNT(H551:H562)=8,COUNT(F551:F562)=8),cubic_spline(F550:F558,H550:H558,B$13),IF(AND(COUNT(H551:H562)=9,COUNT(F551:F562)=9),cubic_spline(F550:F559,H550:H559,B$13),IF(AND(COUNT(H551:H562)=10,COUNT(F551:F562)=10),cubic_spline(F550:F560,H550:H560,B$13),IF(AND(COUNT(H551:H562)=11,COUNT(F551:F562)=11),cubic_spline(F550:F561,H550:H561,B$13),IF(AND(COUNT(H551:H562)=12,COUNT(F551:F562)=12),cubic_spline(F550:F562,H550:H562,B$13),""))))))))))))</f>
        <v/>
      </c>
      <c r="K562" s="52" t="str">
        <f>IF(N(B$13)=0,"",IF(AND(COUNT(A551:A562)=2,COUNT(F551:F562)=2),cubic_spline(F550:F552,A550:A552,B$13),IF(AND(COUNT(A551:A562)=3,COUNT(F551:F562)=3),cubic_spline(F550:F553,A550:A553,B$13),IF(AND(COUNT(A551:A562)=4,COUNT(F551:F562)=4),cubic_spline(F550:F554,A550:A554,B$13),IF(AND(COUNT(A551:A562)=5,COUNT(F551:F562)=5),cubic_spline(F550:F555,A550:A555,B$13),IF(AND(COUNT(A551:A562)=6,COUNT(F551:F562)=6),cubic_spline(F550:F556,A550:A556,B$13),IF(AND(COUNT(A551:A562)=7,COUNT(F551:F562)=7),cubic_spline(F550:F557,A550:A557,B$13),IF(AND(COUNT(A551:A562)=8,COUNT(F551:F562)=8),cubic_spline(F550:F558,A550:A558,B$13),IF(AND(COUNT(A551:A562)=9,COUNT(F551:F562)=9),cubic_spline(F550:F559,A550:A559,B$13),IF(AND(COUNT(A551:A562)=10,COUNT(F551:F562)=10),cubic_spline(F550:F560,A550:A560,B$13),IF(AND(COUNT(A551:A562)=11,COUNT(F551:F562)=11),cubic_spline(F550:F561,A550:A561,B$13),IF(AND(COUNT(A551:A562)=12,COUNT(F551:F562)=12),cubic_spline(F550:F562,A550:A562,B$13),""))))))))))))</f>
        <v/>
      </c>
      <c r="L562" s="27" t="str">
        <f>IF(I562="","",B$12&amp;"-"&amp;B$13)</f>
        <v/>
      </c>
      <c r="M562" s="52" t="str">
        <f t="shared" si="210"/>
        <v/>
      </c>
    </row>
    <row r="563" spans="1:13" ht="5.15" customHeight="1" x14ac:dyDescent="0.35">
      <c r="A563" s="47"/>
      <c r="B563" s="47"/>
      <c r="C563" s="53"/>
      <c r="D563" s="53"/>
      <c r="E563" s="54"/>
      <c r="F563" s="55"/>
      <c r="G563" s="72"/>
      <c r="H563" s="73"/>
      <c r="I563" s="47"/>
      <c r="J563" s="57"/>
      <c r="K563" s="57"/>
      <c r="L563" s="55"/>
      <c r="M563" s="57"/>
    </row>
    <row r="564" spans="1:13" x14ac:dyDescent="0.35">
      <c r="A564" s="48"/>
      <c r="B564" s="48"/>
      <c r="C564" s="50"/>
      <c r="D564" s="50"/>
      <c r="E564" s="51" t="str">
        <f>IF(N(C564)=0,"",(A564-A563)*C564*100)</f>
        <v/>
      </c>
      <c r="F564" s="68" t="str">
        <f t="shared" ref="F564:F575" si="211">IF(N(E564)=0,"",(N(E564)+N(F563)))</f>
        <v/>
      </c>
      <c r="G564" s="69" t="str">
        <f>IF(OR(N(D564)=0,N(E564)=0),"",(E564*D564)/1000)</f>
        <v/>
      </c>
      <c r="H564" s="70" t="str">
        <f t="shared" ref="H564:H575" si="212">IF(N(G564)=0,"",(N(G564)+N(H563)))</f>
        <v/>
      </c>
      <c r="I564" s="27" t="str">
        <f>IF(N(J564)=0,"",0&amp;"-"&amp;B$2)</f>
        <v/>
      </c>
      <c r="J564" s="52" t="str">
        <f>IF(N(B$2)=0,"",IF(AND(COUNT(H564:H575)=2,COUNT(F564:F575)=2),cubic_spline(F563:F565,H563:H565,B$2),IF(AND(COUNT(H564:H575)=3,COUNT(F564:F575)=3),cubic_spline(F563:F566,H563:H566,B$2),IF(AND(COUNT(H564:H575)=4,COUNT(F564:F575)=4),cubic_spline(F563:F567,H563:H567,B$2),IF(AND(COUNT(H564:H575)=5,COUNT(F564:F575)=5),cubic_spline(F563:F568,H563:H568,B$2),IF(AND(COUNT(H564:H575)=6,COUNT(F564:F575)=6),cubic_spline(F563:F569,H563:H569,B$2),IF(AND(COUNT(H564:H575)=7,COUNT(F564:F575)=7),cubic_spline(F563:F570,H563:H570,B$2),IF(AND(COUNT(H564:H575)=8,COUNT(F564:F575)=8),cubic_spline(F563:F571,H563:H571,B$2),IF(AND(COUNT(H564:H575)=9,COUNT(F564:F575)=9),cubic_spline(F563:F572,H563:H572,B$2),IF(AND(COUNT(H564:H575)=10,COUNT(F564:F575)=10),cubic_spline(F563:F573,H563:H573,B$2),IF(AND(COUNT(H564:H575)=11,COUNT(F564:F575)=11),cubic_spline(F563:F574,H563:H574,B$2),IF(AND(COUNT(H564:H575)=12,COUNT(F564:F575)=12),cubic_spline(F563:F575,H563:H575,B$2),""))))))))))))</f>
        <v/>
      </c>
      <c r="K564" s="52" t="str">
        <f>IF(N(B$2)=0,"",IF(AND(COUNT(A564:A575)=2,COUNT(F564:F575)=2),cubic_spline(F563:F565,A563:A565,B$2),IF(AND(COUNT(A564:A575)=3,COUNT(F564:F575)=3),cubic_spline(F563:F566,A563:A566,B$2),IF(AND(COUNT(A564:A575)=4,COUNT(F564:F575)=4),cubic_spline(F563:F567,A563:A567,B$2),IF(AND(COUNT(A564:A575)=5,COUNT(F564:F575)=5),cubic_spline(F563:F568,A563:A568,B$2),IF(AND(COUNT(A564:A575)=6,COUNT(F564:F575)=6),cubic_spline(F563:F569,A563:A569,B$2),IF(AND(COUNT(A564:A575)=7,COUNT(F564:F575)=7),cubic_spline(F563:F570,A563:A570,B$2),IF(AND(COUNT(A564:A575)=8,COUNT(F564:F575)=8),cubic_spline(F563:F571,A563:A571,B$2),IF(AND(COUNT(A564:A575)=9,COUNT(F564:F575)=9),cubic_spline(F563:F572,A563:A572,B$2),IF(AND(COUNT(A564:A575)=10,COUNT(F564:F575)=10),cubic_spline(F563:F573,A563:A573,B$2),IF(AND(COUNT(A564:A575)=11,COUNT(F564:F575)=11),cubic_spline(F563:F574,A563:A574,B$2),IF(AND(COUNT(A564:A575)=12,COUNT(F564:F575)=12),cubic_spline(F563:F575,A563:A575,B$2),""))))))))))))</f>
        <v/>
      </c>
      <c r="L564" s="27" t="str">
        <f>IF(I564="","",0&amp;"-"&amp;B$2)</f>
        <v/>
      </c>
      <c r="M564" s="52" t="str">
        <f>IF(N(J564)=0,"",J564-J563)</f>
        <v/>
      </c>
    </row>
    <row r="565" spans="1:13" x14ac:dyDescent="0.35">
      <c r="A565" s="48"/>
      <c r="B565" s="48"/>
      <c r="C565" s="50"/>
      <c r="D565" s="50"/>
      <c r="E565" s="51" t="str">
        <f t="shared" ref="E565:E575" si="213">IF(N(C565)=0,"",(A565-A564)*C565*100)</f>
        <v/>
      </c>
      <c r="F565" s="68" t="str">
        <f t="shared" si="211"/>
        <v/>
      </c>
      <c r="G565" s="69" t="str">
        <f t="shared" ref="G565:G575" si="214">IF(OR(N(D565)=0,N(E565)=0),"",(E565*D565)/1000)</f>
        <v/>
      </c>
      <c r="H565" s="70" t="str">
        <f t="shared" si="212"/>
        <v/>
      </c>
      <c r="I565" s="27" t="str">
        <f>IF(N(J565)=0,"",0&amp;"-"&amp;B$3)</f>
        <v/>
      </c>
      <c r="J565" s="52" t="str">
        <f>IF(N(B$3)=0,"",IF(AND(COUNT(H564:H575)=2,COUNT(F564:F575)=2),cubic_spline(F563:F565,H563:H565,B$3),IF(AND(COUNT(H564:H575)=3,COUNT(F564:F575)=3),cubic_spline(F563:F566,H563:H566,B$3),IF(AND(COUNT(H564:H575)=4,COUNT(F564:F575)=4),cubic_spline(F563:F567,H563:H567,B$3),IF(AND(COUNT(H564:H575)=5,COUNT(F564:F575)=5),cubic_spline(F563:F568,H563:H568,B$3),IF(AND(COUNT(H564:H575)=6,COUNT(F564:F575)=6),cubic_spline(F563:F569,H563:H569,B$3),IF(AND(COUNT(H564:H575)=7,COUNT(F564:F575)=7),cubic_spline(F563:F570,H563:H570,B$3),IF(AND(COUNT(H564:H575)=8,COUNT(F564:F575)=8),cubic_spline(F563:F571,H563:H571,B$3),IF(AND(COUNT(H564:H575)=9,COUNT(F564:F575)=9),cubic_spline(F563:F572,H563:H572,B$3),IF(AND(COUNT(H564:H575)=10,COUNT(F564:F575)=10),cubic_spline(F563:F573,H563:H573,B$3),IF(AND(COUNT(H564:H575)=11,COUNT(F564:F575)=11),cubic_spline(F563:F574,H563:H574,B$3),IF(AND(COUNT(H564:H575)=12,COUNT(F564:F575)=12),cubic_spline(F563:F575,H563:H575,B$3),""))))))))))))</f>
        <v/>
      </c>
      <c r="K565" s="52" t="str">
        <f>IF(N(B$3)=0,"",IF(AND(COUNT(A564:A575)=2,COUNT(F564:F575)=2),cubic_spline(F563:F565,A563:A565,B$3),IF(AND(COUNT(A564:A575)=3,COUNT(F564:F575)=3),cubic_spline(F563:F566,A563:A566,B$3),IF(AND(COUNT(A564:A575)=4,COUNT(F564:F575)=4),cubic_spline(F563:F567,A563:A567,B$3),IF(AND(COUNT(A564:A575)=5,COUNT(F564:F575)=5),cubic_spline(F563:F568,A563:A568,B$3),IF(AND(COUNT(A564:A575)=6,COUNT(F564:F575)=6),cubic_spline(F563:F569,A563:A569,B$3),IF(AND(COUNT(A564:A575)=7,COUNT(F564:F575)=7),cubic_spline(F563:F570,A563:A570,B$3),IF(AND(COUNT(A564:A575)=8,COUNT(F564:F575)=8),cubic_spline(F563:F571,A563:A571,B$3),IF(AND(COUNT(A564:A575)=9,COUNT(F564:F575)=9),cubic_spline(F563:F572,A563:A572,B$3),IF(AND(COUNT(A564:A575)=10,COUNT(F564:F575)=10),cubic_spline(F563:F573,A563:A573,B$3),IF(AND(COUNT(A564:A575)=11,COUNT(F564:F575)=11),cubic_spline(F563:F574,A563:A574,B$3),IF(AND(COUNT(A564:A575)=12,COUNT(F564:F575)=12),cubic_spline(F563:F575,A563:A575,B$3),""))))))))))))</f>
        <v/>
      </c>
      <c r="L565" s="27" t="str">
        <f>IF(I565="","",B$2&amp;"-"&amp;B$3)</f>
        <v/>
      </c>
      <c r="M565" s="52" t="str">
        <f>IF(N(J565)=0,"",J565-J564)</f>
        <v/>
      </c>
    </row>
    <row r="566" spans="1:13" x14ac:dyDescent="0.35">
      <c r="A566" s="48"/>
      <c r="B566" s="48"/>
      <c r="C566" s="50"/>
      <c r="D566" s="50"/>
      <c r="E566" s="51" t="str">
        <f t="shared" si="213"/>
        <v/>
      </c>
      <c r="F566" s="68" t="str">
        <f t="shared" si="211"/>
        <v/>
      </c>
      <c r="G566" s="69" t="str">
        <f t="shared" si="214"/>
        <v/>
      </c>
      <c r="H566" s="70" t="str">
        <f t="shared" si="212"/>
        <v/>
      </c>
      <c r="I566" s="27" t="str">
        <f>IF(N(J566)=0,"",0&amp;"-"&amp;B$4)</f>
        <v/>
      </c>
      <c r="J566" s="52" t="str">
        <f>IF(N(B$4)=0,"",IF(AND(COUNT(H564:H575)=2,COUNT(F564:F575)=2),cubic_spline(F563:F565,H563:H565,B$4),IF(AND(COUNT(H564:H575)=3,COUNT(F564:F575)=3),cubic_spline(F563:F566,H563:H566,B$4),IF(AND(COUNT(H564:H575)=4,COUNT(F564:F575)=4),cubic_spline(F563:F567,H563:H567,B$4),IF(AND(COUNT(H564:H575)=5,COUNT(F564:F575)=5),cubic_spline(F563:F568,H563:H568,B$4),IF(AND(COUNT(H564:H575)=6,COUNT(F564:F575)=6),cubic_spline(F563:F569,H563:H569,B$4),IF(AND(COUNT(H564:H575)=7,COUNT(F564:F575)=7),cubic_spline(F563:F570,H563:H570,B$4),IF(AND(COUNT(H564:H575)=8,COUNT(F564:F575)=8),cubic_spline(F563:F571,H563:H571,B$4),IF(AND(COUNT(H564:H575)=9,COUNT(F564:F575)=9),cubic_spline(F563:F572,H563:H572,B$4),IF(AND(COUNT(H564:H575)=10,COUNT(F564:F575)=10),cubic_spline(F563:F573,H563:H573,B$4),IF(AND(COUNT(H564:H575)=11,COUNT(F564:F575)=11),cubic_spline(F563:F574,H563:H574,B$4),IF(AND(COUNT(H564:H575)=12,COUNT(F564:F575)=12),cubic_spline(F563:F575,H563:H575,B$4),""))))))))))))</f>
        <v/>
      </c>
      <c r="K566" s="52" t="str">
        <f>IF(N(B$4)=0,"",IF(AND(COUNT(A564:A575)=2,COUNT(F564:F575)=2),cubic_spline(F563:F565,A563:A565,B$4),IF(AND(COUNT(A564:A575)=3,COUNT(F564:F575)=3),cubic_spline(F563:F566,A563:A566,B$4),IF(AND(COUNT(A564:A575)=4,COUNT(F564:F575)=4),cubic_spline(F563:F567,A563:A567,B$4),IF(AND(COUNT(A564:A575)=5,COUNT(F564:F575)=5),cubic_spline(F563:F568,A563:A568,B$4),IF(AND(COUNT(A564:A575)=6,COUNT(F564:F575)=6),cubic_spline(F563:F569,A563:A569,B$4),IF(AND(COUNT(A564:A575)=7,COUNT(F564:F575)=7),cubic_spline(F563:F570,A563:A570,B$4),IF(AND(COUNT(A564:A575)=8,COUNT(F564:F575)=8),cubic_spline(F563:F571,A563:A571,B$4),IF(AND(COUNT(A564:A575)=9,COUNT(F564:F575)=9),cubic_spline(F563:F572,A563:A572,B$4),IF(AND(COUNT(A564:A575)=10,COUNT(F564:F575)=10),cubic_spline(F563:F573,A563:A573,B$4),IF(AND(COUNT(A564:A575)=11,COUNT(F564:F575)=11),cubic_spline(F563:F574,A563:A574,B$4),IF(AND(COUNT(A564:A575)=12,COUNT(F564:F575)=12),cubic_spline(F563:F575,A563:A575,B$4),""))))))))))))</f>
        <v/>
      </c>
      <c r="L566" s="27" t="str">
        <f>IF(I566="","",B$3&amp;"-"&amp;B$4)</f>
        <v/>
      </c>
      <c r="M566" s="52" t="str">
        <f>IF(N(J566)=0,"",J566-J565)</f>
        <v/>
      </c>
    </row>
    <row r="567" spans="1:13" x14ac:dyDescent="0.35">
      <c r="A567" s="48"/>
      <c r="B567" s="48"/>
      <c r="C567" s="50"/>
      <c r="D567" s="50"/>
      <c r="E567" s="51" t="str">
        <f t="shared" si="213"/>
        <v/>
      </c>
      <c r="F567" s="68" t="str">
        <f t="shared" si="211"/>
        <v/>
      </c>
      <c r="G567" s="69" t="str">
        <f t="shared" si="214"/>
        <v/>
      </c>
      <c r="H567" s="70" t="str">
        <f t="shared" si="212"/>
        <v/>
      </c>
      <c r="I567" s="27" t="str">
        <f>IF(N(J567)=0,"",0&amp;"-"&amp;B$5)</f>
        <v/>
      </c>
      <c r="J567" s="52" t="str">
        <f>IF(N(B$5)=0,"",IF(AND(COUNT(H564:H575)=2,COUNT(F564:F575)=2),cubic_spline(F563:F565,H563:H565,B$5),IF(AND(COUNT(H564:H575)=3,COUNT(F564:F575)=3),cubic_spline(F563:F566,H563:H566,B$5),IF(AND(COUNT(H564:H575)=4,COUNT(F564:F575)=4),cubic_spline(F563:F567,H563:H567,B$5),IF(AND(COUNT(H564:H575)=5,COUNT(F564:F575)=5),cubic_spline(F563:F568,H563:H568,B$5),IF(AND(COUNT(H564:H575)=6,COUNT(F564:F575)=6),cubic_spline(F563:F569,H563:H569,B$5),IF(AND(COUNT(H564:H575)=7,COUNT(F564:F575)=7),cubic_spline(F563:F570,H563:H570,B$5),IF(AND(COUNT(H564:H575)=8,COUNT(F564:F575)=8),cubic_spline(F563:F571,H563:H571,B$5),IF(AND(COUNT(H564:H575)=9,COUNT(F564:F575)=9),cubic_spline(F563:F572,H563:H572,B$5),IF(AND(COUNT(H564:H575)=10,COUNT(F564:F575)=10),cubic_spline(F563:F573,H563:H573,B$5),IF(AND(COUNT(H564:H575)=11,COUNT(F564:F575)=11),cubic_spline(F563:F574,H563:H574,B$5),IF(AND(COUNT(H564:H575)=12,COUNT(F564:F575)=12),cubic_spline(F563:F575,H563:H575,B$5),""))))))))))))</f>
        <v/>
      </c>
      <c r="K567" s="52" t="str">
        <f>IF(N(B$5)=0,"",IF(AND(COUNT(A564:A575)=2,COUNT(F564:F575)=2),cubic_spline(F563:F565,A563:A565,B$5),IF(AND(COUNT(A564:A575)=3,COUNT(F564:F575)=3),cubic_spline(F563:F566,A563:A566,B$5),IF(AND(COUNT(A564:A575)=4,COUNT(F564:F575)=4),cubic_spline(F563:F567,A563:A567,B$5),IF(AND(COUNT(A564:A575)=5,COUNT(F564:F575)=5),cubic_spline(F563:F568,A563:A568,B$5),IF(AND(COUNT(A564:A575)=6,COUNT(F564:F575)=6),cubic_spline(F563:F569,A563:A569,B$5),IF(AND(COUNT(A564:A575)=7,COUNT(F564:F575)=7),cubic_spline(F563:F570,A563:A570,B$5),IF(AND(COUNT(A564:A575)=8,COUNT(F564:F575)=8),cubic_spline(F563:F571,A563:A571,B$5),IF(AND(COUNT(A564:A575)=9,COUNT(F564:F575)=9),cubic_spline(F563:F572,A563:A572,B$5),IF(AND(COUNT(A564:A575)=10,COUNT(F564:F575)=10),cubic_spline(F563:F573,A563:A573,B$5),IF(AND(COUNT(A564:A575)=11,COUNT(F564:F575)=11),cubic_spline(F563:F574,A563:A574,B$5),IF(AND(COUNT(A564:A575)=12,COUNT(F564:F575)=12),cubic_spline(F563:F575,A563:A575,B$5),""))))))))))))</f>
        <v/>
      </c>
      <c r="L567" s="27" t="str">
        <f>IF(I567="","",B$4&amp;"-"&amp;B$5)</f>
        <v/>
      </c>
      <c r="M567" s="52" t="str">
        <f>IF(N(J567)=0,"",J567-J566)</f>
        <v/>
      </c>
    </row>
    <row r="568" spans="1:13" x14ac:dyDescent="0.35">
      <c r="A568" s="48"/>
      <c r="B568" s="48"/>
      <c r="C568" s="50"/>
      <c r="D568" s="50"/>
      <c r="E568" s="51" t="str">
        <f t="shared" si="213"/>
        <v/>
      </c>
      <c r="F568" s="71" t="str">
        <f t="shared" si="211"/>
        <v/>
      </c>
      <c r="G568" s="69" t="str">
        <f t="shared" si="214"/>
        <v/>
      </c>
      <c r="H568" s="70" t="str">
        <f t="shared" si="212"/>
        <v/>
      </c>
      <c r="I568" s="27" t="str">
        <f>IF(N(J568)=0,"",0&amp;"-"&amp;B$6)</f>
        <v/>
      </c>
      <c r="J568" s="52" t="str">
        <f>IF(N(B$6)=0,"",IF(AND(COUNT(H564:H575)=2,COUNT(F564:F575)=2),cubic_spline(F563:F565,H563:H565,B$6),IF(AND(COUNT(H564:H575)=3,COUNT(F564:F575)=3),cubic_spline(F563:F566,H563:H566,B$6),IF(AND(COUNT(H564:H575)=4,COUNT(F564:F575)=4),cubic_spline(F563:F567,H563:H567,B$6),IF(AND(COUNT(H564:H575)=5,COUNT(F564:F575)=5),cubic_spline(F563:F568,H563:H568,B$6),IF(AND(COUNT(H564:H575)=6,COUNT(F564:F575)=6),cubic_spline(F563:F569,H563:H569,B$6),IF(AND(COUNT(H564:H575)=7,COUNT(F564:F575)=7),cubic_spline(F563:F570,H563:H570,B$6),IF(AND(COUNT(H564:H575)=8,COUNT(F564:F575)=8),cubic_spline(F563:F571,H563:H571,B$6),IF(AND(COUNT(H564:H575)=9,COUNT(F564:F575)=9),cubic_spline(F563:F572,H563:H572,B$6),IF(AND(COUNT(H564:H575)=10,COUNT(F564:F575)=10),cubic_spline(F563:F573,H563:H573,B$6),IF(AND(COUNT(H564:H575)=11,COUNT(F564:F575)=11),cubic_spline(F563:F574,H563:H574,B$6),IF(AND(COUNT(H564:H575)=12,COUNT(F564:F575)=12),cubic_spline(F563:F575,H563:H575,B$6),""))))))))))))</f>
        <v/>
      </c>
      <c r="K568" s="52" t="str">
        <f>IF(N(B$6)=0,"",IF(AND(COUNT(A564:A575)=2,COUNT(F564:F575)=2),cubic_spline(F563:F565,A563:A565,B$6),IF(AND(COUNT(A564:A575)=3,COUNT(F564:F575)=3),cubic_spline(F563:F566,A563:A566,B$6),IF(AND(COUNT(A564:A575)=4,COUNT(F564:F575)=4),cubic_spline(F563:F567,A563:A567,B$6),IF(AND(COUNT(A564:A575)=5,COUNT(F564:F575)=5),cubic_spline(F563:F568,A563:A568,B$6),IF(AND(COUNT(A564:A575)=6,COUNT(F564:F575)=6),cubic_spline(F563:F569,A563:A569,B$6),IF(AND(COUNT(A564:A575)=7,COUNT(F564:F575)=7),cubic_spline(F563:F570,A563:A570,B$6),IF(AND(COUNT(A564:A575)=8,COUNT(F564:F575)=8),cubic_spline(F563:F571,A563:A571,B$6),IF(AND(COUNT(A564:A575)=9,COUNT(F564:F575)=9),cubic_spline(F563:F572,A563:A572,B$6),IF(AND(COUNT(A564:A575)=10,COUNT(F564:F575)=10),cubic_spline(F563:F573,A563:A573,B$6),IF(AND(COUNT(A564:A575)=11,COUNT(F564:F575)=11),cubic_spline(F563:F574,A563:A574,B$6),IF(AND(COUNT(A564:A575)=12,COUNT(F564:F575)=12),cubic_spline(F563:F575,A563:A575,B$6),""))))))))))))</f>
        <v/>
      </c>
      <c r="L568" s="27" t="str">
        <f>IF(I568="","",B$5&amp;"-"&amp;B$6)</f>
        <v/>
      </c>
      <c r="M568" s="52" t="str">
        <f>IF(N(J568)=0,"",J568-J567)</f>
        <v/>
      </c>
    </row>
    <row r="569" spans="1:13" x14ac:dyDescent="0.35">
      <c r="A569" s="48"/>
      <c r="B569" s="48"/>
      <c r="C569" s="50"/>
      <c r="D569" s="50"/>
      <c r="E569" s="51" t="str">
        <f t="shared" si="213"/>
        <v/>
      </c>
      <c r="F569" s="71" t="str">
        <f t="shared" si="211"/>
        <v/>
      </c>
      <c r="G569" s="69" t="str">
        <f t="shared" si="214"/>
        <v/>
      </c>
      <c r="H569" s="70" t="str">
        <f t="shared" si="212"/>
        <v/>
      </c>
      <c r="I569" s="27" t="str">
        <f>IF(N(J569)=0,"",0&amp;"-"&amp;B$7)</f>
        <v/>
      </c>
      <c r="J569" s="52" t="str">
        <f>IF(N(B$7)=0,"",IF(AND(COUNT(H564:H575)=2,COUNT(F564:F575)=2),cubic_spline(F563:F565,H563:H565,B$7),IF(AND(COUNT(H564:H575)=3,COUNT(F564:F575)=3),cubic_spline(F563:F566,H563:H566,B$7),IF(AND(COUNT(H564:H575)=4,COUNT(F564:F575)=4),cubic_spline(F563:F567,H563:H567,B$7),IF(AND(COUNT(H564:H575)=5,COUNT(F564:F575)=5),cubic_spline(F563:F568,H563:H568,B$7),IF(AND(COUNT(H564:H575)=6,COUNT(F564:F575)=6),cubic_spline(F563:F569,H563:H569,B$7),IF(AND(COUNT(H564:H575)=7,COUNT(F564:F575)=7),cubic_spline(F563:F570,H563:H570,B$7),IF(AND(COUNT(H564:H575)=8,COUNT(F564:F575)=8),cubic_spline(F563:F571,H563:H571,B$7),IF(AND(COUNT(H564:H575)=9,COUNT(F564:F575)=9),cubic_spline(F563:F572,H563:H572,B$7),IF(AND(COUNT(H564:H575)=10,COUNT(F564:F575)=10),cubic_spline(F563:F573,H563:H573,B$7),IF(AND(COUNT(H564:H575)=11,COUNT(F564:F575)=11),cubic_spline(F563:F574,H563:H574,B$7),IF(AND(COUNT(H564:H575)=12,COUNT(F564:F575)=12),cubic_spline(F563:F575,H563:H575,B$7),""))))))))))))</f>
        <v/>
      </c>
      <c r="K569" s="52" t="str">
        <f>IF(N(B$7)=0,"",IF(AND(COUNT(A564:A575)=2,COUNT(F564:F575)=2),cubic_spline(F563:F565,A563:A565,B$7),IF(AND(COUNT(A564:A575)=3,COUNT(F564:F575)=3),cubic_spline(F563:F566,A563:A566,B$7),IF(AND(COUNT(A564:A575)=4,COUNT(F564:F575)=4),cubic_spline(F563:F567,A563:A567,B$7),IF(AND(COUNT(A564:A575)=5,COUNT(F564:F575)=5),cubic_spline(F563:F568,A563:A568,B$7),IF(AND(COUNT(A564:A575)=6,COUNT(F564:F575)=6),cubic_spline(F563:F569,A563:A569,B$7),IF(AND(COUNT(A564:A575)=7,COUNT(F564:F575)=7),cubic_spline(F563:F570,A563:A570,B$7),IF(AND(COUNT(A564:A575)=8,COUNT(F564:F575)=8),cubic_spline(F563:F571,A563:A571,B$7),IF(AND(COUNT(A564:A575)=9,COUNT(F564:F575)=9),cubic_spline(F563:F572,A563:A572,B$7),IF(AND(COUNT(A564:A575)=10,COUNT(F564:F575)=10),cubic_spline(F563:F573,A563:A573,B$7),IF(AND(COUNT(A564:A575)=11,COUNT(F564:F575)=11),cubic_spline(F563:F574,A563:A574,B$7),IF(AND(COUNT(A564:A575)=12,COUNT(F564:F575)=12),cubic_spline(F563:F575,A563:A575,B$7),""))))))))))))</f>
        <v/>
      </c>
      <c r="L569" s="27" t="str">
        <f>IF(I569="","",B$6&amp;"-"&amp;B$7)</f>
        <v/>
      </c>
      <c r="M569" s="52" t="str">
        <f t="shared" ref="M569:M575" si="215">IF(N(J569)=0,"",J569-J568)</f>
        <v/>
      </c>
    </row>
    <row r="570" spans="1:13" x14ac:dyDescent="0.35">
      <c r="A570" s="48"/>
      <c r="B570" s="48"/>
      <c r="C570" s="50"/>
      <c r="D570" s="50"/>
      <c r="E570" s="51" t="str">
        <f t="shared" si="213"/>
        <v/>
      </c>
      <c r="F570" s="71" t="str">
        <f t="shared" si="211"/>
        <v/>
      </c>
      <c r="G570" s="69" t="str">
        <f t="shared" si="214"/>
        <v/>
      </c>
      <c r="H570" s="70" t="str">
        <f t="shared" si="212"/>
        <v/>
      </c>
      <c r="I570" s="27" t="str">
        <f>IF(N(J570)=0,"",0&amp;"-"&amp;B$8)</f>
        <v/>
      </c>
      <c r="J570" s="52" t="str">
        <f>IF(N(B$8)=0,"",IF(AND(COUNT(H564:H575)=2,COUNT(F564:F575)=2),cubic_spline(F563:F565,H563:H565,B$8),IF(AND(COUNT(H564:H575)=3,COUNT(F564:F575)=3),cubic_spline(F563:F566,H563:H566,B$8),IF(AND(COUNT(H564:H575)=4,COUNT(F564:F575)=4),cubic_spline(F563:F567,H563:H567,B$8),IF(AND(COUNT(H564:H575)=5,COUNT(F564:F575)=5),cubic_spline(F563:F568,H563:H568,B$8),IF(AND(COUNT(H564:H575)=6,COUNT(F564:F575)=6),cubic_spline(F563:F569,H563:H569,B$8),IF(AND(COUNT(H564:H575)=7,COUNT(F564:F575)=7),cubic_spline(F563:F570,H563:H570,B$8),IF(AND(COUNT(H564:H575)=8,COUNT(F564:F575)=8),cubic_spline(F563:F571,H563:H571,B$8),IF(AND(COUNT(H564:H575)=9,COUNT(F564:F575)=9),cubic_spline(F563:F572,H563:H572,B$8),IF(AND(COUNT(H564:H575)=10,COUNT(F564:F575)=10),cubic_spline(F563:F573,H563:H573,B$8),IF(AND(COUNT(H564:H575)=11,COUNT(F564:F575)=11),cubic_spline(F563:F574,H563:H574,B$8),IF(AND(COUNT(H564:H575)=12,COUNT(F564:F575)=12),cubic_spline(F563:F575,H563:H575,B$8),""))))))))))))</f>
        <v/>
      </c>
      <c r="K570" s="52" t="str">
        <f>IF(N(B$8)=0,"",IF(AND(COUNT(A564:A575)=2,COUNT(F564:F575)=2),cubic_spline(F563:F565,A563:A565,B$8),IF(AND(COUNT(A564:A575)=3,COUNT(F564:F575)=3),cubic_spline(F563:F566,A563:A566,B$8),IF(AND(COUNT(A564:A575)=4,COUNT(F564:F575)=4),cubic_spline(F563:F567,A563:A567,B$8),IF(AND(COUNT(A564:A575)=5,COUNT(F564:F575)=5),cubic_spline(F563:F568,A563:A568,B$8),IF(AND(COUNT(A564:A575)=6,COUNT(F564:F575)=6),cubic_spline(F563:F569,A563:A569,B$8),IF(AND(COUNT(A564:A575)=7,COUNT(F564:F575)=7),cubic_spline(F563:F570,A563:A570,B$8),IF(AND(COUNT(A564:A575)=8,COUNT(F564:F575)=8),cubic_spline(F563:F571,A563:A571,B$8),IF(AND(COUNT(A564:A575)=9,COUNT(F564:F575)=9),cubic_spline(F563:F572,A563:A572,B$8),IF(AND(COUNT(A564:A575)=10,COUNT(F564:F575)=10),cubic_spline(F563:F573,A563:A573,B$8),IF(AND(COUNT(A564:A575)=11,COUNT(F564:F575)=11),cubic_spline(F563:F574,A563:A574,B$8),IF(AND(COUNT(A564:A575)=12,COUNT(F564:F575)=12),cubic_spline(F563:F575,A563:A575,B$8),""))))))))))))</f>
        <v/>
      </c>
      <c r="L570" s="27" t="str">
        <f>IF(I570="","",B$7&amp;"-"&amp;B$8)</f>
        <v/>
      </c>
      <c r="M570" s="52" t="str">
        <f t="shared" si="215"/>
        <v/>
      </c>
    </row>
    <row r="571" spans="1:13" x14ac:dyDescent="0.35">
      <c r="A571" s="48"/>
      <c r="B571" s="48"/>
      <c r="C571" s="50"/>
      <c r="D571" s="50"/>
      <c r="E571" s="51" t="str">
        <f t="shared" si="213"/>
        <v/>
      </c>
      <c r="F571" s="71" t="str">
        <f t="shared" si="211"/>
        <v/>
      </c>
      <c r="G571" s="69" t="str">
        <f t="shared" si="214"/>
        <v/>
      </c>
      <c r="H571" s="70" t="str">
        <f t="shared" si="212"/>
        <v/>
      </c>
      <c r="I571" s="27" t="str">
        <f>IF(N(J571)=0,"",0&amp;"-"&amp;B$9)</f>
        <v/>
      </c>
      <c r="J571" s="52" t="str">
        <f>IF(N(B$9)=0,"",IF(AND(COUNT(H564:H575)=2,COUNT(F564:F575)=2),cubic_spline(F563:F565,H563:H565,B$9),IF(AND(COUNT(H564:H575)=3,COUNT(F564:F575)=3),cubic_spline(F563:F566,H563:H566,B$9),IF(AND(COUNT(H564:H575)=4,COUNT(F564:F575)=4),cubic_spline(F563:F567,H563:H567,B$9),IF(AND(COUNT(H564:H575)=5,COUNT(F564:F575)=5),cubic_spline(F563:F568,H563:H568,B$9),IF(AND(COUNT(H564:H575)=6,COUNT(F564:F575)=6),cubic_spline(F563:F569,H563:H569,B$9),IF(AND(COUNT(H564:H575)=7,COUNT(F564:F575)=7),cubic_spline(F563:F570,H563:H570,B$9),IF(AND(COUNT(H564:H575)=8,COUNT(F564:F575)=8),cubic_spline(F563:F571,H563:H571,B$9),IF(AND(COUNT(H564:H575)=9,COUNT(F564:F575)=9),cubic_spline(F563:F572,H563:H572,B$9),IF(AND(COUNT(H564:H575)=10,COUNT(F564:F575)=10),cubic_spline(F563:F573,H563:H573,B$9),IF(AND(COUNT(H564:H575)=11,COUNT(F564:F575)=11),cubic_spline(F563:F574,H563:H574,B$9),IF(AND(COUNT(H564:H575)=12,COUNT(F564:F575)=12),cubic_spline(F563:F575,H563:H575,B$9),""))))))))))))</f>
        <v/>
      </c>
      <c r="K571" s="52" t="str">
        <f>IF(N(B$9)=0,"",IF(AND(COUNT(A564:A575)=2,COUNT(F564:F575)=2),cubic_spline(F563:F565,A563:A565,B$9),IF(AND(COUNT(A564:A575)=3,COUNT(F564:F575)=3),cubic_spline(F563:F566,A563:A566,B$9),IF(AND(COUNT(A564:A575)=4,COUNT(F564:F575)=4),cubic_spline(F563:F567,A563:A567,B$9),IF(AND(COUNT(A564:A575)=5,COUNT(F564:F575)=5),cubic_spline(F563:F568,A563:A568,B$9),IF(AND(COUNT(A564:A575)=6,COUNT(F564:F575)=6),cubic_spline(F563:F569,A563:A569,B$9),IF(AND(COUNT(A564:A575)=7,COUNT(F564:F575)=7),cubic_spline(F563:F570,A563:A570,B$9),IF(AND(COUNT(A564:A575)=8,COUNT(F564:F575)=8),cubic_spline(F563:F571,A563:A571,B$9),IF(AND(COUNT(A564:A575)=9,COUNT(F564:F575)=9),cubic_spline(F563:F572,A563:A572,B$9),IF(AND(COUNT(A564:A575)=10,COUNT(F564:F575)=10),cubic_spline(F563:F573,A563:A573,B$9),IF(AND(COUNT(A564:A575)=11,COUNT(F564:F575)=11),cubic_spline(F563:F574,A563:A574,B$9),IF(AND(COUNT(A564:A575)=12,COUNT(F564:F575)=12),cubic_spline(F563:F575,A563:A575,B$9),""))))))))))))</f>
        <v/>
      </c>
      <c r="L571" s="27" t="str">
        <f>IF(I571="","",B$8&amp;"-"&amp;B$9)</f>
        <v/>
      </c>
      <c r="M571" s="52" t="str">
        <f t="shared" si="215"/>
        <v/>
      </c>
    </row>
    <row r="572" spans="1:13" x14ac:dyDescent="0.35">
      <c r="A572" s="48"/>
      <c r="B572" s="48"/>
      <c r="C572" s="50"/>
      <c r="D572" s="50"/>
      <c r="E572" s="51" t="str">
        <f t="shared" si="213"/>
        <v/>
      </c>
      <c r="F572" s="71" t="str">
        <f t="shared" si="211"/>
        <v/>
      </c>
      <c r="G572" s="69" t="str">
        <f t="shared" si="214"/>
        <v/>
      </c>
      <c r="H572" s="70" t="str">
        <f t="shared" si="212"/>
        <v/>
      </c>
      <c r="I572" s="27" t="str">
        <f>IF(N(J572)=0,"",0&amp;"-"&amp;B$10)</f>
        <v/>
      </c>
      <c r="J572" s="52" t="str">
        <f>IF(N(B$10)=0,"",IF(AND(COUNT(H564:H575)=2,COUNT(F564:F575)=2),cubic_spline(F563:F565,H563:H565,B$10),IF(AND(COUNT(H564:H575)=3,COUNT(F564:F575)=3),cubic_spline(F563:F566,H563:H566,B$10),IF(AND(COUNT(H564:H575)=4,COUNT(F564:F575)=4),cubic_spline(F563:F567,H563:H567,B$10),IF(AND(COUNT(H564:H575)=5,COUNT(F564:F575)=5),cubic_spline(F563:F568,H563:H568,B$10),IF(AND(COUNT(H564:H575)=6,COUNT(F564:F575)=6),cubic_spline(F563:F569,H563:H569,B$10),IF(AND(COUNT(H564:H575)=7,COUNT(F564:F575)=7),cubic_spline(F563:F570,H563:H570,B$10),IF(AND(COUNT(H564:H575)=8,COUNT(F564:F575)=8),cubic_spline(F563:F571,H563:H571,B$10),IF(AND(COUNT(H564:H575)=9,COUNT(F564:F575)=9),cubic_spline(F563:F572,H563:H572,B$10),IF(AND(COUNT(H564:H575)=10,COUNT(F564:F575)=10),cubic_spline(F563:F573,H563:H573,B$10),IF(AND(COUNT(H564:H575)=11,COUNT(F564:F575)=11),cubic_spline(F563:F574,H563:H574,B$10),IF(AND(COUNT(H564:H575)=12,COUNT(F564:F575)=12),cubic_spline(F563:F575,H563:H575,B$10),""))))))))))))</f>
        <v/>
      </c>
      <c r="K572" s="52" t="str">
        <f>IF(N(B$10)=0,"",IF(AND(COUNT(A564:A575)=2,COUNT(F564:F575)=2),cubic_spline(F563:F565,A563:A565,B$10),IF(AND(COUNT(A564:A575)=3,COUNT(F564:F575)=3),cubic_spline(F563:F566,A563:A566,B$10),IF(AND(COUNT(A564:A575)=4,COUNT(F564:F575)=4),cubic_spline(F563:F567,A563:A567,B$10),IF(AND(COUNT(A564:A575)=5,COUNT(F564:F575)=5),cubic_spline(F563:F568,A563:A568,B$10),IF(AND(COUNT(A564:A575)=6,COUNT(F564:F575)=6),cubic_spline(F563:F569,A563:A569,B$10),IF(AND(COUNT(A564:A575)=7,COUNT(F564:F575)=7),cubic_spline(F563:F570,A563:A570,B$10),IF(AND(COUNT(A564:A575)=8,COUNT(F564:F575)=8),cubic_spline(F563:F571,A563:A571,B$10),IF(AND(COUNT(A564:A575)=9,COUNT(F564:F575)=9),cubic_spline(F563:F572,A563:A572,B$10),IF(AND(COUNT(A564:A575)=10,COUNT(F564:F575)=10),cubic_spline(F563:F573,A563:A573,B$10),IF(AND(COUNT(A564:A575)=11,COUNT(F564:F575)=11),cubic_spline(F563:F574,A563:A574,B$10),IF(AND(COUNT(A564:A575)=12,COUNT(F564:F575)=12),cubic_spline(F563:F575,A563:A575,B$10),""))))))))))))</f>
        <v/>
      </c>
      <c r="L572" s="27" t="str">
        <f>IF(I572="","",B$9&amp;"-"&amp;B$10)</f>
        <v/>
      </c>
      <c r="M572" s="52" t="str">
        <f t="shared" si="215"/>
        <v/>
      </c>
    </row>
    <row r="573" spans="1:13" x14ac:dyDescent="0.35">
      <c r="A573" s="48"/>
      <c r="B573" s="48"/>
      <c r="C573" s="50"/>
      <c r="D573" s="50"/>
      <c r="E573" s="51" t="str">
        <f t="shared" si="213"/>
        <v/>
      </c>
      <c r="F573" s="71" t="str">
        <f t="shared" si="211"/>
        <v/>
      </c>
      <c r="G573" s="69" t="str">
        <f t="shared" si="214"/>
        <v/>
      </c>
      <c r="H573" s="70" t="str">
        <f t="shared" si="212"/>
        <v/>
      </c>
      <c r="I573" s="27" t="str">
        <f>IF(N(J573)=0,"",0&amp;"-"&amp;B$11)</f>
        <v/>
      </c>
      <c r="J573" s="52" t="str">
        <f>IF(N(B$11)=0,"",IF(AND(COUNT(H564:H575)=2,COUNT(F564:F575)=2),cubic_spline(F563:F565,H563:H565,B$11),IF(AND(COUNT(H564:H575)=3,COUNT(F564:F575)=3),cubic_spline(F563:F566,H563:H566,B$11),IF(AND(COUNT(H564:H575)=4,COUNT(F564:F575)=4),cubic_spline(F563:F567,H563:H567,B$11),IF(AND(COUNT(H564:H575)=5,COUNT(F564:F575)=5),cubic_spline(F563:F568,H563:H568,B$11),IF(AND(COUNT(H564:H575)=6,COUNT(F564:F575)=6),cubic_spline(F563:F569,H563:H569,B$11),IF(AND(COUNT(H564:H575)=7,COUNT(F564:F575)=7),cubic_spline(F563:F570,H563:H570,B$11),IF(AND(COUNT(H564:H575)=8,COUNT(F564:F575)=8),cubic_spline(F563:F571,H563:H571,B$11),IF(AND(COUNT(H564:H575)=9,COUNT(F564:F575)=9),cubic_spline(F563:F572,H563:H572,B$11),IF(AND(COUNT(H564:H575)=10,COUNT(F564:F575)=10),cubic_spline(F563:F573,H563:H573,B$11),IF(AND(COUNT(H564:H575)=11,COUNT(F564:F575)=11),cubic_spline(F563:F574,H563:H574,B$11),IF(AND(COUNT(H564:H575)=12,COUNT(F564:F575)=12),cubic_spline(F563:F575,H563:H575,B$11),""))))))))))))</f>
        <v/>
      </c>
      <c r="K573" s="52" t="str">
        <f>IF(N(B$11)=0,"",IF(AND(COUNT(A564:A575)=2,COUNT(F564:F575)=2),cubic_spline(F563:F565,A563:A565,B$11),IF(AND(COUNT(A564:A575)=3,COUNT(F564:F575)=3),cubic_spline(F563:F566,A563:A566,B$11),IF(AND(COUNT(A564:A575)=4,COUNT(F564:F575)=4),cubic_spline(F563:F567,A563:A567,B$11),IF(AND(COUNT(A564:A575)=5,COUNT(F564:F575)=5),cubic_spline(F563:F568,A563:A568,B$11),IF(AND(COUNT(A564:A575)=6,COUNT(F564:F575)=6),cubic_spline(F563:F569,A563:A569,B$11),IF(AND(COUNT(A564:A575)=7,COUNT(F564:F575)=7),cubic_spline(F563:F570,A563:A570,B$11),IF(AND(COUNT(A564:A575)=8,COUNT(F564:F575)=8),cubic_spline(F563:F571,A563:A571,B$11),IF(AND(COUNT(A564:A575)=9,COUNT(F564:F575)=9),cubic_spline(F563:F572,A563:A572,B$11),IF(AND(COUNT(A564:A575)=10,COUNT(F564:F575)=10),cubic_spline(F563:F573,A563:A573,B$11),IF(AND(COUNT(A564:A575)=11,COUNT(F564:F575)=11),cubic_spline(F563:F574,A563:A574,B$11),IF(AND(COUNT(A564:A575)=12,COUNT(F564:F575)=12),cubic_spline(F563:F575,A563:A575,B$11),""))))))))))))</f>
        <v/>
      </c>
      <c r="L573" s="27" t="str">
        <f>IF(I573="","",B$10&amp;"-"&amp;B$11)</f>
        <v/>
      </c>
      <c r="M573" s="52" t="str">
        <f t="shared" si="215"/>
        <v/>
      </c>
    </row>
    <row r="574" spans="1:13" x14ac:dyDescent="0.35">
      <c r="A574" s="48"/>
      <c r="B574" s="48"/>
      <c r="C574" s="50"/>
      <c r="D574" s="50"/>
      <c r="E574" s="51" t="str">
        <f t="shared" si="213"/>
        <v/>
      </c>
      <c r="F574" s="71" t="str">
        <f t="shared" si="211"/>
        <v/>
      </c>
      <c r="G574" s="69" t="str">
        <f t="shared" si="214"/>
        <v/>
      </c>
      <c r="H574" s="70" t="str">
        <f t="shared" si="212"/>
        <v/>
      </c>
      <c r="I574" s="27" t="str">
        <f>IF(N(J574)=0,"",0&amp;"-"&amp;B$12)</f>
        <v/>
      </c>
      <c r="J574" s="52" t="str">
        <f>IF(N(B$12)=0,"",IF(AND(COUNT(H564:H575)=2,COUNT(F564:F575)=2),cubic_spline(F563:F565,H563:H565,B$12),IF(AND(COUNT(H564:H575)=3,COUNT(F564:F575)=3),cubic_spline(F563:F566,H563:H566,B$12),IF(AND(COUNT(H564:H575)=4,COUNT(F564:F575)=4),cubic_spline(F563:F567,H563:H567,B$12),IF(AND(COUNT(H564:H575)=5,COUNT(F564:F575)=5),cubic_spline(F563:F568,H563:H568,B$12),IF(AND(COUNT(H564:H575)=6,COUNT(F564:F575)=6),cubic_spline(F563:F569,H563:H569,B$12),IF(AND(COUNT(H564:H575)=7,COUNT(F564:F575)=7),cubic_spline(F563:F570,H563:H570,B$12),IF(AND(COUNT(H564:H575)=8,COUNT(F564:F575)=8),cubic_spline(F563:F571,H563:H571,B$12),IF(AND(COUNT(H564:H575)=9,COUNT(F564:F575)=9),cubic_spline(F563:F572,H563:H572,B$12),IF(AND(COUNT(H564:H575)=10,COUNT(F564:F575)=10),cubic_spline(F563:F573,H563:H573,B$12),IF(AND(COUNT(H564:H575)=11,COUNT(F564:F575)=11),cubic_spline(F563:F574,H563:H574,B$12),IF(AND(COUNT(H564:H575)=12,COUNT(F564:F575)=12),cubic_spline(F563:F575,H563:H575,B$12),""))))))))))))</f>
        <v/>
      </c>
      <c r="K574" s="52" t="str">
        <f>IF(N(B$12)=0,"",IF(AND(COUNT(A564:A575)=2,COUNT(F564:F575)=2),cubic_spline(F563:F565,A563:A565,B$12),IF(AND(COUNT(A564:A575)=3,COUNT(F564:F575)=3),cubic_spline(F563:F566,A563:A566,B$12),IF(AND(COUNT(A564:A575)=4,COUNT(F564:F575)=4),cubic_spline(F563:F567,A563:A567,B$12),IF(AND(COUNT(A564:A575)=5,COUNT(F564:F575)=5),cubic_spline(F563:F568,A563:A568,B$12),IF(AND(COUNT(A564:A575)=6,COUNT(F564:F575)=6),cubic_spline(F563:F569,A563:A569,B$12),IF(AND(COUNT(A564:A575)=7,COUNT(F564:F575)=7),cubic_spline(F563:F570,A563:A570,B$12),IF(AND(COUNT(A564:A575)=8,COUNT(F564:F575)=8),cubic_spline(F563:F571,A563:A571,B$12),IF(AND(COUNT(A564:A575)=9,COUNT(F564:F575)=9),cubic_spline(F563:F572,A563:A572,B$12),IF(AND(COUNT(A564:A575)=10,COUNT(F564:F575)=10),cubic_spline(F563:F573,A563:A573,B$12),IF(AND(COUNT(A564:A575)=11,COUNT(F564:F575)=11),cubic_spline(F563:F574,A563:A574,B$12),IF(AND(COUNT(A564:A575)=12,COUNT(F564:F575)=12),cubic_spline(F563:F575,A563:A575,B$12),""))))))))))))</f>
        <v/>
      </c>
      <c r="L574" s="27" t="str">
        <f>IF(I574="","",B$11&amp;"-"&amp;B$12)</f>
        <v/>
      </c>
      <c r="M574" s="52" t="str">
        <f t="shared" si="215"/>
        <v/>
      </c>
    </row>
    <row r="575" spans="1:13" x14ac:dyDescent="0.35">
      <c r="A575" s="48"/>
      <c r="B575" s="48"/>
      <c r="C575" s="50"/>
      <c r="D575" s="50"/>
      <c r="E575" s="51" t="str">
        <f t="shared" si="213"/>
        <v/>
      </c>
      <c r="F575" s="71" t="str">
        <f t="shared" si="211"/>
        <v/>
      </c>
      <c r="G575" s="69" t="str">
        <f t="shared" si="214"/>
        <v/>
      </c>
      <c r="H575" s="70" t="str">
        <f t="shared" si="212"/>
        <v/>
      </c>
      <c r="I575" s="27" t="str">
        <f>IF(N(J575)=0,"",0&amp;"-"&amp;B$13)</f>
        <v/>
      </c>
      <c r="J575" s="52" t="str">
        <f>IF(N(B$13)=0,"",IF(AND(COUNT(H564:H575)=2,COUNT(F564:F575)=2),cubic_spline(F563:F565,H563:H565,B$13),IF(AND(COUNT(H564:H575)=3,COUNT(F564:F575)=3),cubic_spline(F563:F566,H563:H566,B$13),IF(AND(COUNT(H564:H575)=4,COUNT(F564:F575)=4),cubic_spline(F563:F567,H563:H567,B$13),IF(AND(COUNT(H564:H575)=5,COUNT(F564:F575)=5),cubic_spline(F563:F568,H563:H568,B$13),IF(AND(COUNT(H564:H575)=6,COUNT(F564:F575)=6),cubic_spline(F563:F569,H563:H569,B$13),IF(AND(COUNT(H564:H575)=7,COUNT(F564:F575)=7),cubic_spline(F563:F570,H563:H570,B$13),IF(AND(COUNT(H564:H575)=8,COUNT(F564:F575)=8),cubic_spline(F563:F571,H563:H571,B$13),IF(AND(COUNT(H564:H575)=9,COUNT(F564:F575)=9),cubic_spline(F563:F572,H563:H572,B$13),IF(AND(COUNT(H564:H575)=10,COUNT(F564:F575)=10),cubic_spline(F563:F573,H563:H573,B$13),IF(AND(COUNT(H564:H575)=11,COUNT(F564:F575)=11),cubic_spline(F563:F574,H563:H574,B$13),IF(AND(COUNT(H564:H575)=12,COUNT(F564:F575)=12),cubic_spline(F563:F575,H563:H575,B$13),""))))))))))))</f>
        <v/>
      </c>
      <c r="K575" s="52" t="str">
        <f>IF(N(B$13)=0,"",IF(AND(COUNT(A564:A575)=2,COUNT(F564:F575)=2),cubic_spline(F563:F565,A563:A565,B$13),IF(AND(COUNT(A564:A575)=3,COUNT(F564:F575)=3),cubic_spline(F563:F566,A563:A566,B$13),IF(AND(COUNT(A564:A575)=4,COUNT(F564:F575)=4),cubic_spline(F563:F567,A563:A567,B$13),IF(AND(COUNT(A564:A575)=5,COUNT(F564:F575)=5),cubic_spline(F563:F568,A563:A568,B$13),IF(AND(COUNT(A564:A575)=6,COUNT(F564:F575)=6),cubic_spline(F563:F569,A563:A569,B$13),IF(AND(COUNT(A564:A575)=7,COUNT(F564:F575)=7),cubic_spline(F563:F570,A563:A570,B$13),IF(AND(COUNT(A564:A575)=8,COUNT(F564:F575)=8),cubic_spline(F563:F571,A563:A571,B$13),IF(AND(COUNT(A564:A575)=9,COUNT(F564:F575)=9),cubic_spline(F563:F572,A563:A572,B$13),IF(AND(COUNT(A564:A575)=10,COUNT(F564:F575)=10),cubic_spline(F563:F573,A563:A573,B$13),IF(AND(COUNT(A564:A575)=11,COUNT(F564:F575)=11),cubic_spline(F563:F574,A563:A574,B$13),IF(AND(COUNT(A564:A575)=12,COUNT(F564:F575)=12),cubic_spline(F563:F575,A563:A575,B$13),""))))))))))))</f>
        <v/>
      </c>
      <c r="L575" s="27" t="str">
        <f>IF(I575="","",B$12&amp;"-"&amp;B$13)</f>
        <v/>
      </c>
      <c r="M575" s="52" t="str">
        <f t="shared" si="215"/>
        <v/>
      </c>
    </row>
    <row r="576" spans="1:13" ht="5.15" customHeight="1" x14ac:dyDescent="0.35">
      <c r="A576" s="47"/>
      <c r="B576" s="47"/>
      <c r="C576" s="53"/>
      <c r="D576" s="53"/>
      <c r="E576" s="54"/>
      <c r="F576" s="55"/>
      <c r="G576" s="72"/>
      <c r="H576" s="73"/>
      <c r="I576" s="47"/>
      <c r="J576" s="57"/>
      <c r="K576" s="57"/>
      <c r="L576" s="55"/>
      <c r="M576" s="57"/>
    </row>
    <row r="577" spans="1:13" x14ac:dyDescent="0.35">
      <c r="A577" s="48"/>
      <c r="B577" s="48"/>
      <c r="C577" s="50"/>
      <c r="D577" s="50"/>
      <c r="E577" s="51" t="str">
        <f>IF(N(C577)=0,"",(A577-A576)*C577*100)</f>
        <v/>
      </c>
      <c r="F577" s="68" t="str">
        <f t="shared" ref="F577:F588" si="216">IF(N(E577)=0,"",(N(E577)+N(F576)))</f>
        <v/>
      </c>
      <c r="G577" s="69" t="str">
        <f>IF(OR(N(D577)=0,N(E577)=0),"",(E577*D577)/1000)</f>
        <v/>
      </c>
      <c r="H577" s="70" t="str">
        <f t="shared" ref="H577:H588" si="217">IF(N(G577)=0,"",(N(G577)+N(H576)))</f>
        <v/>
      </c>
      <c r="I577" s="27" t="str">
        <f>IF(N(J577)=0,"",0&amp;"-"&amp;B$2)</f>
        <v/>
      </c>
      <c r="J577" s="52" t="str">
        <f>IF(N(B$2)=0,"",IF(AND(COUNT(H577:H588)=2,COUNT(F577:F588)=2),cubic_spline(F576:F578,H576:H578,B$2),IF(AND(COUNT(H577:H588)=3,COUNT(F577:F588)=3),cubic_spline(F576:F579,H576:H579,B$2),IF(AND(COUNT(H577:H588)=4,COUNT(F577:F588)=4),cubic_spline(F576:F580,H576:H580,B$2),IF(AND(COUNT(H577:H588)=5,COUNT(F577:F588)=5),cubic_spline(F576:F581,H576:H581,B$2),IF(AND(COUNT(H577:H588)=6,COUNT(F577:F588)=6),cubic_spline(F576:F582,H576:H582,B$2),IF(AND(COUNT(H577:H588)=7,COUNT(F577:F588)=7),cubic_spline(F576:F583,H576:H583,B$2),IF(AND(COUNT(H577:H588)=8,COUNT(F577:F588)=8),cubic_spline(F576:F584,H576:H584,B$2),IF(AND(COUNT(H577:H588)=9,COUNT(F577:F588)=9),cubic_spline(F576:F585,H576:H585,B$2),IF(AND(COUNT(H577:H588)=10,COUNT(F577:F588)=10),cubic_spline(F576:F586,H576:H586,B$2),IF(AND(COUNT(H577:H588)=11,COUNT(F577:F588)=11),cubic_spline(F576:F587,H576:H587,B$2),IF(AND(COUNT(H577:H588)=12,COUNT(F577:F588)=12),cubic_spline(F576:F588,H576:H588,B$2),""))))))))))))</f>
        <v/>
      </c>
      <c r="K577" s="52" t="str">
        <f>IF(N(B$2)=0,"",IF(AND(COUNT(A577:A588)=2,COUNT(F577:F588)=2),cubic_spline(F576:F578,A576:A578,B$2),IF(AND(COUNT(A577:A588)=3,COUNT(F577:F588)=3),cubic_spline(F576:F579,A576:A579,B$2),IF(AND(COUNT(A577:A588)=4,COUNT(F577:F588)=4),cubic_spline(F576:F580,A576:A580,B$2),IF(AND(COUNT(A577:A588)=5,COUNT(F577:F588)=5),cubic_spline(F576:F581,A576:A581,B$2),IF(AND(COUNT(A577:A588)=6,COUNT(F577:F588)=6),cubic_spline(F576:F582,A576:A582,B$2),IF(AND(COUNT(A577:A588)=7,COUNT(F577:F588)=7),cubic_spline(F576:F583,A576:A583,B$2),IF(AND(COUNT(A577:A588)=8,COUNT(F577:F588)=8),cubic_spline(F576:F584,A576:A584,B$2),IF(AND(COUNT(A577:A588)=9,COUNT(F577:F588)=9),cubic_spline(F576:F585,A576:A585,B$2),IF(AND(COUNT(A577:A588)=10,COUNT(F577:F588)=10),cubic_spline(F576:F586,A576:A586,B$2),IF(AND(COUNT(A577:A588)=11,COUNT(F577:F588)=11),cubic_spline(F576:F587,A576:A587,B$2),IF(AND(COUNT(A577:A588)=12,COUNT(F577:F588)=12),cubic_spline(F576:F588,A576:A588,B$2),""))))))))))))</f>
        <v/>
      </c>
      <c r="L577" s="27" t="str">
        <f>IF(I577="","",0&amp;"-"&amp;B$2)</f>
        <v/>
      </c>
      <c r="M577" s="52" t="str">
        <f>IF(N(J577)=0,"",J577-J576)</f>
        <v/>
      </c>
    </row>
    <row r="578" spans="1:13" x14ac:dyDescent="0.35">
      <c r="A578" s="48"/>
      <c r="B578" s="48"/>
      <c r="C578" s="50"/>
      <c r="D578" s="50"/>
      <c r="E578" s="51" t="str">
        <f t="shared" ref="E578:E588" si="218">IF(N(C578)=0,"",(A578-A577)*C578*100)</f>
        <v/>
      </c>
      <c r="F578" s="68" t="str">
        <f t="shared" si="216"/>
        <v/>
      </c>
      <c r="G578" s="69" t="str">
        <f t="shared" ref="G578:G588" si="219">IF(OR(N(D578)=0,N(E578)=0),"",(E578*D578)/1000)</f>
        <v/>
      </c>
      <c r="H578" s="70" t="str">
        <f t="shared" si="217"/>
        <v/>
      </c>
      <c r="I578" s="27" t="str">
        <f>IF(N(J578)=0,"",0&amp;"-"&amp;B$3)</f>
        <v/>
      </c>
      <c r="J578" s="52" t="str">
        <f>IF(N(B$3)=0,"",IF(AND(COUNT(H577:H588)=2,COUNT(F577:F588)=2),cubic_spline(F576:F578,H576:H578,B$3),IF(AND(COUNT(H577:H588)=3,COUNT(F577:F588)=3),cubic_spline(F576:F579,H576:H579,B$3),IF(AND(COUNT(H577:H588)=4,COUNT(F577:F588)=4),cubic_spline(F576:F580,H576:H580,B$3),IF(AND(COUNT(H577:H588)=5,COUNT(F577:F588)=5),cubic_spline(F576:F581,H576:H581,B$3),IF(AND(COUNT(H577:H588)=6,COUNT(F577:F588)=6),cubic_spline(F576:F582,H576:H582,B$3),IF(AND(COUNT(H577:H588)=7,COUNT(F577:F588)=7),cubic_spline(F576:F583,H576:H583,B$3),IF(AND(COUNT(H577:H588)=8,COUNT(F577:F588)=8),cubic_spline(F576:F584,H576:H584,B$3),IF(AND(COUNT(H577:H588)=9,COUNT(F577:F588)=9),cubic_spline(F576:F585,H576:H585,B$3),IF(AND(COUNT(H577:H588)=10,COUNT(F577:F588)=10),cubic_spline(F576:F586,H576:H586,B$3),IF(AND(COUNT(H577:H588)=11,COUNT(F577:F588)=11),cubic_spline(F576:F587,H576:H587,B$3),IF(AND(COUNT(H577:H588)=12,COUNT(F577:F588)=12),cubic_spline(F576:F588,H576:H588,B$3),""))))))))))))</f>
        <v/>
      </c>
      <c r="K578" s="52" t="str">
        <f>IF(N(B$3)=0,"",IF(AND(COUNT(A577:A588)=2,COUNT(F577:F588)=2),cubic_spline(F576:F578,A576:A578,B$3),IF(AND(COUNT(A577:A588)=3,COUNT(F577:F588)=3),cubic_spline(F576:F579,A576:A579,B$3),IF(AND(COUNT(A577:A588)=4,COUNT(F577:F588)=4),cubic_spline(F576:F580,A576:A580,B$3),IF(AND(COUNT(A577:A588)=5,COUNT(F577:F588)=5),cubic_spline(F576:F581,A576:A581,B$3),IF(AND(COUNT(A577:A588)=6,COUNT(F577:F588)=6),cubic_spline(F576:F582,A576:A582,B$3),IF(AND(COUNT(A577:A588)=7,COUNT(F577:F588)=7),cubic_spline(F576:F583,A576:A583,B$3),IF(AND(COUNT(A577:A588)=8,COUNT(F577:F588)=8),cubic_spline(F576:F584,A576:A584,B$3),IF(AND(COUNT(A577:A588)=9,COUNT(F577:F588)=9),cubic_spline(F576:F585,A576:A585,B$3),IF(AND(COUNT(A577:A588)=10,COUNT(F577:F588)=10),cubic_spline(F576:F586,A576:A586,B$3),IF(AND(COUNT(A577:A588)=11,COUNT(F577:F588)=11),cubic_spline(F576:F587,A576:A587,B$3),IF(AND(COUNT(A577:A588)=12,COUNT(F577:F588)=12),cubic_spline(F576:F588,A576:A588,B$3),""))))))))))))</f>
        <v/>
      </c>
      <c r="L578" s="27" t="str">
        <f>IF(I578="","",B$2&amp;"-"&amp;B$3)</f>
        <v/>
      </c>
      <c r="M578" s="52" t="str">
        <f>IF(N(J578)=0,"",J578-J577)</f>
        <v/>
      </c>
    </row>
    <row r="579" spans="1:13" x14ac:dyDescent="0.35">
      <c r="A579" s="48"/>
      <c r="B579" s="48"/>
      <c r="C579" s="50"/>
      <c r="D579" s="50"/>
      <c r="E579" s="51" t="str">
        <f t="shared" si="218"/>
        <v/>
      </c>
      <c r="F579" s="68" t="str">
        <f t="shared" si="216"/>
        <v/>
      </c>
      <c r="G579" s="69" t="str">
        <f t="shared" si="219"/>
        <v/>
      </c>
      <c r="H579" s="70" t="str">
        <f t="shared" si="217"/>
        <v/>
      </c>
      <c r="I579" s="27" t="str">
        <f>IF(N(J579)=0,"",0&amp;"-"&amp;B$4)</f>
        <v/>
      </c>
      <c r="J579" s="52" t="str">
        <f>IF(N(B$4)=0,"",IF(AND(COUNT(H577:H588)=2,COUNT(F577:F588)=2),cubic_spline(F576:F578,H576:H578,B$4),IF(AND(COUNT(H577:H588)=3,COUNT(F577:F588)=3),cubic_spline(F576:F579,H576:H579,B$4),IF(AND(COUNT(H577:H588)=4,COUNT(F577:F588)=4),cubic_spline(F576:F580,H576:H580,B$4),IF(AND(COUNT(H577:H588)=5,COUNT(F577:F588)=5),cubic_spline(F576:F581,H576:H581,B$4),IF(AND(COUNT(H577:H588)=6,COUNT(F577:F588)=6),cubic_spline(F576:F582,H576:H582,B$4),IF(AND(COUNT(H577:H588)=7,COUNT(F577:F588)=7),cubic_spline(F576:F583,H576:H583,B$4),IF(AND(COUNT(H577:H588)=8,COUNT(F577:F588)=8),cubic_spline(F576:F584,H576:H584,B$4),IF(AND(COUNT(H577:H588)=9,COUNT(F577:F588)=9),cubic_spline(F576:F585,H576:H585,B$4),IF(AND(COUNT(H577:H588)=10,COUNT(F577:F588)=10),cubic_spline(F576:F586,H576:H586,B$4),IF(AND(COUNT(H577:H588)=11,COUNT(F577:F588)=11),cubic_spline(F576:F587,H576:H587,B$4),IF(AND(COUNT(H577:H588)=12,COUNT(F577:F588)=12),cubic_spline(F576:F588,H576:H588,B$4),""))))))))))))</f>
        <v/>
      </c>
      <c r="K579" s="52" t="str">
        <f>IF(N(B$4)=0,"",IF(AND(COUNT(A577:A588)=2,COUNT(F577:F588)=2),cubic_spline(F576:F578,A576:A578,B$4),IF(AND(COUNT(A577:A588)=3,COUNT(F577:F588)=3),cubic_spline(F576:F579,A576:A579,B$4),IF(AND(COUNT(A577:A588)=4,COUNT(F577:F588)=4),cubic_spline(F576:F580,A576:A580,B$4),IF(AND(COUNT(A577:A588)=5,COUNT(F577:F588)=5),cubic_spline(F576:F581,A576:A581,B$4),IF(AND(COUNT(A577:A588)=6,COUNT(F577:F588)=6),cubic_spline(F576:F582,A576:A582,B$4),IF(AND(COUNT(A577:A588)=7,COUNT(F577:F588)=7),cubic_spline(F576:F583,A576:A583,B$4),IF(AND(COUNT(A577:A588)=8,COUNT(F577:F588)=8),cubic_spline(F576:F584,A576:A584,B$4),IF(AND(COUNT(A577:A588)=9,COUNT(F577:F588)=9),cubic_spline(F576:F585,A576:A585,B$4),IF(AND(COUNT(A577:A588)=10,COUNT(F577:F588)=10),cubic_spline(F576:F586,A576:A586,B$4),IF(AND(COUNT(A577:A588)=11,COUNT(F577:F588)=11),cubic_spline(F576:F587,A576:A587,B$4),IF(AND(COUNT(A577:A588)=12,COUNT(F577:F588)=12),cubic_spline(F576:F588,A576:A588,B$4),""))))))))))))</f>
        <v/>
      </c>
      <c r="L579" s="27" t="str">
        <f>IF(I579="","",B$3&amp;"-"&amp;B$4)</f>
        <v/>
      </c>
      <c r="M579" s="52" t="str">
        <f>IF(N(J579)=0,"",J579-J578)</f>
        <v/>
      </c>
    </row>
    <row r="580" spans="1:13" x14ac:dyDescent="0.35">
      <c r="A580" s="48"/>
      <c r="B580" s="48"/>
      <c r="C580" s="50"/>
      <c r="D580" s="50"/>
      <c r="E580" s="51" t="str">
        <f t="shared" si="218"/>
        <v/>
      </c>
      <c r="F580" s="68" t="str">
        <f t="shared" si="216"/>
        <v/>
      </c>
      <c r="G580" s="69" t="str">
        <f t="shared" si="219"/>
        <v/>
      </c>
      <c r="H580" s="70" t="str">
        <f t="shared" si="217"/>
        <v/>
      </c>
      <c r="I580" s="27" t="str">
        <f>IF(N(J580)=0,"",0&amp;"-"&amp;B$5)</f>
        <v/>
      </c>
      <c r="J580" s="52" t="str">
        <f>IF(N(B$5)=0,"",IF(AND(COUNT(H577:H588)=2,COUNT(F577:F588)=2),cubic_spline(F576:F578,H576:H578,B$5),IF(AND(COUNT(H577:H588)=3,COUNT(F577:F588)=3),cubic_spline(F576:F579,H576:H579,B$5),IF(AND(COUNT(H577:H588)=4,COUNT(F577:F588)=4),cubic_spline(F576:F580,H576:H580,B$5),IF(AND(COUNT(H577:H588)=5,COUNT(F577:F588)=5),cubic_spline(F576:F581,H576:H581,B$5),IF(AND(COUNT(H577:H588)=6,COUNT(F577:F588)=6),cubic_spline(F576:F582,H576:H582,B$5),IF(AND(COUNT(H577:H588)=7,COUNT(F577:F588)=7),cubic_spline(F576:F583,H576:H583,B$5),IF(AND(COUNT(H577:H588)=8,COUNT(F577:F588)=8),cubic_spline(F576:F584,H576:H584,B$5),IF(AND(COUNT(H577:H588)=9,COUNT(F577:F588)=9),cubic_spline(F576:F585,H576:H585,B$5),IF(AND(COUNT(H577:H588)=10,COUNT(F577:F588)=10),cubic_spline(F576:F586,H576:H586,B$5),IF(AND(COUNT(H577:H588)=11,COUNT(F577:F588)=11),cubic_spline(F576:F587,H576:H587,B$5),IF(AND(COUNT(H577:H588)=12,COUNT(F577:F588)=12),cubic_spline(F576:F588,H576:H588,B$5),""))))))))))))</f>
        <v/>
      </c>
      <c r="K580" s="52" t="str">
        <f>IF(N(B$5)=0,"",IF(AND(COUNT(A577:A588)=2,COUNT(F577:F588)=2),cubic_spline(F576:F578,A576:A578,B$5),IF(AND(COUNT(A577:A588)=3,COUNT(F577:F588)=3),cubic_spline(F576:F579,A576:A579,B$5),IF(AND(COUNT(A577:A588)=4,COUNT(F577:F588)=4),cubic_spline(F576:F580,A576:A580,B$5),IF(AND(COUNT(A577:A588)=5,COUNT(F577:F588)=5),cubic_spline(F576:F581,A576:A581,B$5),IF(AND(COUNT(A577:A588)=6,COUNT(F577:F588)=6),cubic_spline(F576:F582,A576:A582,B$5),IF(AND(COUNT(A577:A588)=7,COUNT(F577:F588)=7),cubic_spline(F576:F583,A576:A583,B$5),IF(AND(COUNT(A577:A588)=8,COUNT(F577:F588)=8),cubic_spline(F576:F584,A576:A584,B$5),IF(AND(COUNT(A577:A588)=9,COUNT(F577:F588)=9),cubic_spline(F576:F585,A576:A585,B$5),IF(AND(COUNT(A577:A588)=10,COUNT(F577:F588)=10),cubic_spline(F576:F586,A576:A586,B$5),IF(AND(COUNT(A577:A588)=11,COUNT(F577:F588)=11),cubic_spline(F576:F587,A576:A587,B$5),IF(AND(COUNT(A577:A588)=12,COUNT(F577:F588)=12),cubic_spline(F576:F588,A576:A588,B$5),""))))))))))))</f>
        <v/>
      </c>
      <c r="L580" s="27" t="str">
        <f>IF(I580="","",B$4&amp;"-"&amp;B$5)</f>
        <v/>
      </c>
      <c r="M580" s="52" t="str">
        <f>IF(N(J580)=0,"",J580-J579)</f>
        <v/>
      </c>
    </row>
    <row r="581" spans="1:13" x14ac:dyDescent="0.35">
      <c r="A581" s="48"/>
      <c r="B581" s="48"/>
      <c r="C581" s="50"/>
      <c r="D581" s="50"/>
      <c r="E581" s="51" t="str">
        <f t="shared" si="218"/>
        <v/>
      </c>
      <c r="F581" s="71" t="str">
        <f t="shared" si="216"/>
        <v/>
      </c>
      <c r="G581" s="69" t="str">
        <f t="shared" si="219"/>
        <v/>
      </c>
      <c r="H581" s="70" t="str">
        <f t="shared" si="217"/>
        <v/>
      </c>
      <c r="I581" s="27" t="str">
        <f>IF(N(J581)=0,"",0&amp;"-"&amp;B$6)</f>
        <v/>
      </c>
      <c r="J581" s="52" t="str">
        <f>IF(N(B$6)=0,"",IF(AND(COUNT(H577:H588)=2,COUNT(F577:F588)=2),cubic_spline(F576:F578,H576:H578,B$6),IF(AND(COUNT(H577:H588)=3,COUNT(F577:F588)=3),cubic_spline(F576:F579,H576:H579,B$6),IF(AND(COUNT(H577:H588)=4,COUNT(F577:F588)=4),cubic_spline(F576:F580,H576:H580,B$6),IF(AND(COUNT(H577:H588)=5,COUNT(F577:F588)=5),cubic_spline(F576:F581,H576:H581,B$6),IF(AND(COUNT(H577:H588)=6,COUNT(F577:F588)=6),cubic_spline(F576:F582,H576:H582,B$6),IF(AND(COUNT(H577:H588)=7,COUNT(F577:F588)=7),cubic_spline(F576:F583,H576:H583,B$6),IF(AND(COUNT(H577:H588)=8,COUNT(F577:F588)=8),cubic_spline(F576:F584,H576:H584,B$6),IF(AND(COUNT(H577:H588)=9,COUNT(F577:F588)=9),cubic_spline(F576:F585,H576:H585,B$6),IF(AND(COUNT(H577:H588)=10,COUNT(F577:F588)=10),cubic_spline(F576:F586,H576:H586,B$6),IF(AND(COUNT(H577:H588)=11,COUNT(F577:F588)=11),cubic_spline(F576:F587,H576:H587,B$6),IF(AND(COUNT(H577:H588)=12,COUNT(F577:F588)=12),cubic_spline(F576:F588,H576:H588,B$6),""))))))))))))</f>
        <v/>
      </c>
      <c r="K581" s="52" t="str">
        <f>IF(N(B$6)=0,"",IF(AND(COUNT(A577:A588)=2,COUNT(F577:F588)=2),cubic_spline(F576:F578,A576:A578,B$6),IF(AND(COUNT(A577:A588)=3,COUNT(F577:F588)=3),cubic_spline(F576:F579,A576:A579,B$6),IF(AND(COUNT(A577:A588)=4,COUNT(F577:F588)=4),cubic_spline(F576:F580,A576:A580,B$6),IF(AND(COUNT(A577:A588)=5,COUNT(F577:F588)=5),cubic_spline(F576:F581,A576:A581,B$6),IF(AND(COUNT(A577:A588)=6,COUNT(F577:F588)=6),cubic_spline(F576:F582,A576:A582,B$6),IF(AND(COUNT(A577:A588)=7,COUNT(F577:F588)=7),cubic_spline(F576:F583,A576:A583,B$6),IF(AND(COUNT(A577:A588)=8,COUNT(F577:F588)=8),cubic_spline(F576:F584,A576:A584,B$6),IF(AND(COUNT(A577:A588)=9,COUNT(F577:F588)=9),cubic_spline(F576:F585,A576:A585,B$6),IF(AND(COUNT(A577:A588)=10,COUNT(F577:F588)=10),cubic_spline(F576:F586,A576:A586,B$6),IF(AND(COUNT(A577:A588)=11,COUNT(F577:F588)=11),cubic_spline(F576:F587,A576:A587,B$6),IF(AND(COUNT(A577:A588)=12,COUNT(F577:F588)=12),cubic_spline(F576:F588,A576:A588,B$6),""))))))))))))</f>
        <v/>
      </c>
      <c r="L581" s="27" t="str">
        <f>IF(I581="","",B$5&amp;"-"&amp;B$6)</f>
        <v/>
      </c>
      <c r="M581" s="52" t="str">
        <f>IF(N(J581)=0,"",J581-J580)</f>
        <v/>
      </c>
    </row>
    <row r="582" spans="1:13" x14ac:dyDescent="0.35">
      <c r="A582" s="48"/>
      <c r="B582" s="48"/>
      <c r="C582" s="50"/>
      <c r="D582" s="50"/>
      <c r="E582" s="51" t="str">
        <f t="shared" si="218"/>
        <v/>
      </c>
      <c r="F582" s="71" t="str">
        <f t="shared" si="216"/>
        <v/>
      </c>
      <c r="G582" s="69" t="str">
        <f t="shared" si="219"/>
        <v/>
      </c>
      <c r="H582" s="70" t="str">
        <f t="shared" si="217"/>
        <v/>
      </c>
      <c r="I582" s="27" t="str">
        <f>IF(N(J582)=0,"",0&amp;"-"&amp;B$7)</f>
        <v/>
      </c>
      <c r="J582" s="52" t="str">
        <f>IF(N(B$7)=0,"",IF(AND(COUNT(H577:H588)=2,COUNT(F577:F588)=2),cubic_spline(F576:F578,H576:H578,B$7),IF(AND(COUNT(H577:H588)=3,COUNT(F577:F588)=3),cubic_spline(F576:F579,H576:H579,B$7),IF(AND(COUNT(H577:H588)=4,COUNT(F577:F588)=4),cubic_spline(F576:F580,H576:H580,B$7),IF(AND(COUNT(H577:H588)=5,COUNT(F577:F588)=5),cubic_spline(F576:F581,H576:H581,B$7),IF(AND(COUNT(H577:H588)=6,COUNT(F577:F588)=6),cubic_spline(F576:F582,H576:H582,B$7),IF(AND(COUNT(H577:H588)=7,COUNT(F577:F588)=7),cubic_spline(F576:F583,H576:H583,B$7),IF(AND(COUNT(H577:H588)=8,COUNT(F577:F588)=8),cubic_spline(F576:F584,H576:H584,B$7),IF(AND(COUNT(H577:H588)=9,COUNT(F577:F588)=9),cubic_spline(F576:F585,H576:H585,B$7),IF(AND(COUNT(H577:H588)=10,COUNT(F577:F588)=10),cubic_spline(F576:F586,H576:H586,B$7),IF(AND(COUNT(H577:H588)=11,COUNT(F577:F588)=11),cubic_spline(F576:F587,H576:H587,B$7),IF(AND(COUNT(H577:H588)=12,COUNT(F577:F588)=12),cubic_spline(F576:F588,H576:H588,B$7),""))))))))))))</f>
        <v/>
      </c>
      <c r="K582" s="52" t="str">
        <f>IF(N(B$7)=0,"",IF(AND(COUNT(A577:A588)=2,COUNT(F577:F588)=2),cubic_spline(F576:F578,A576:A578,B$7),IF(AND(COUNT(A577:A588)=3,COUNT(F577:F588)=3),cubic_spline(F576:F579,A576:A579,B$7),IF(AND(COUNT(A577:A588)=4,COUNT(F577:F588)=4),cubic_spline(F576:F580,A576:A580,B$7),IF(AND(COUNT(A577:A588)=5,COUNT(F577:F588)=5),cubic_spline(F576:F581,A576:A581,B$7),IF(AND(COUNT(A577:A588)=6,COUNT(F577:F588)=6),cubic_spline(F576:F582,A576:A582,B$7),IF(AND(COUNT(A577:A588)=7,COUNT(F577:F588)=7),cubic_spline(F576:F583,A576:A583,B$7),IF(AND(COUNT(A577:A588)=8,COUNT(F577:F588)=8),cubic_spline(F576:F584,A576:A584,B$7),IF(AND(COUNT(A577:A588)=9,COUNT(F577:F588)=9),cubic_spline(F576:F585,A576:A585,B$7),IF(AND(COUNT(A577:A588)=10,COUNT(F577:F588)=10),cubic_spline(F576:F586,A576:A586,B$7),IF(AND(COUNT(A577:A588)=11,COUNT(F577:F588)=11),cubic_spline(F576:F587,A576:A587,B$7),IF(AND(COUNT(A577:A588)=12,COUNT(F577:F588)=12),cubic_spline(F576:F588,A576:A588,B$7),""))))))))))))</f>
        <v/>
      </c>
      <c r="L582" s="27" t="str">
        <f>IF(I582="","",B$6&amp;"-"&amp;B$7)</f>
        <v/>
      </c>
      <c r="M582" s="52" t="str">
        <f t="shared" ref="M582:M588" si="220">IF(N(J582)=0,"",J582-J581)</f>
        <v/>
      </c>
    </row>
    <row r="583" spans="1:13" x14ac:dyDescent="0.35">
      <c r="A583" s="48"/>
      <c r="B583" s="48"/>
      <c r="C583" s="50"/>
      <c r="D583" s="50"/>
      <c r="E583" s="51" t="str">
        <f t="shared" si="218"/>
        <v/>
      </c>
      <c r="F583" s="71" t="str">
        <f t="shared" si="216"/>
        <v/>
      </c>
      <c r="G583" s="69" t="str">
        <f t="shared" si="219"/>
        <v/>
      </c>
      <c r="H583" s="70" t="str">
        <f t="shared" si="217"/>
        <v/>
      </c>
      <c r="I583" s="27" t="str">
        <f>IF(N(J583)=0,"",0&amp;"-"&amp;B$8)</f>
        <v/>
      </c>
      <c r="J583" s="52" t="str">
        <f>IF(N(B$8)=0,"",IF(AND(COUNT(H577:H588)=2,COUNT(F577:F588)=2),cubic_spline(F576:F578,H576:H578,B$8),IF(AND(COUNT(H577:H588)=3,COUNT(F577:F588)=3),cubic_spline(F576:F579,H576:H579,B$8),IF(AND(COUNT(H577:H588)=4,COUNT(F577:F588)=4),cubic_spline(F576:F580,H576:H580,B$8),IF(AND(COUNT(H577:H588)=5,COUNT(F577:F588)=5),cubic_spline(F576:F581,H576:H581,B$8),IF(AND(COUNT(H577:H588)=6,COUNT(F577:F588)=6),cubic_spline(F576:F582,H576:H582,B$8),IF(AND(COUNT(H577:H588)=7,COUNT(F577:F588)=7),cubic_spline(F576:F583,H576:H583,B$8),IF(AND(COUNT(H577:H588)=8,COUNT(F577:F588)=8),cubic_spline(F576:F584,H576:H584,B$8),IF(AND(COUNT(H577:H588)=9,COUNT(F577:F588)=9),cubic_spline(F576:F585,H576:H585,B$8),IF(AND(COUNT(H577:H588)=10,COUNT(F577:F588)=10),cubic_spline(F576:F586,H576:H586,B$8),IF(AND(COUNT(H577:H588)=11,COUNT(F577:F588)=11),cubic_spline(F576:F587,H576:H587,B$8),IF(AND(COUNT(H577:H588)=12,COUNT(F577:F588)=12),cubic_spline(F576:F588,H576:H588,B$8),""))))))))))))</f>
        <v/>
      </c>
      <c r="K583" s="52" t="str">
        <f>IF(N(B$8)=0,"",IF(AND(COUNT(A577:A588)=2,COUNT(F577:F588)=2),cubic_spline(F576:F578,A576:A578,B$8),IF(AND(COUNT(A577:A588)=3,COUNT(F577:F588)=3),cubic_spline(F576:F579,A576:A579,B$8),IF(AND(COUNT(A577:A588)=4,COUNT(F577:F588)=4),cubic_spline(F576:F580,A576:A580,B$8),IF(AND(COUNT(A577:A588)=5,COUNT(F577:F588)=5),cubic_spline(F576:F581,A576:A581,B$8),IF(AND(COUNT(A577:A588)=6,COUNT(F577:F588)=6),cubic_spline(F576:F582,A576:A582,B$8),IF(AND(COUNT(A577:A588)=7,COUNT(F577:F588)=7),cubic_spline(F576:F583,A576:A583,B$8),IF(AND(COUNT(A577:A588)=8,COUNT(F577:F588)=8),cubic_spline(F576:F584,A576:A584,B$8),IF(AND(COUNT(A577:A588)=9,COUNT(F577:F588)=9),cubic_spline(F576:F585,A576:A585,B$8),IF(AND(COUNT(A577:A588)=10,COUNT(F577:F588)=10),cubic_spline(F576:F586,A576:A586,B$8),IF(AND(COUNT(A577:A588)=11,COUNT(F577:F588)=11),cubic_spline(F576:F587,A576:A587,B$8),IF(AND(COUNT(A577:A588)=12,COUNT(F577:F588)=12),cubic_spline(F576:F588,A576:A588,B$8),""))))))))))))</f>
        <v/>
      </c>
      <c r="L583" s="27" t="str">
        <f>IF(I583="","",B$7&amp;"-"&amp;B$8)</f>
        <v/>
      </c>
      <c r="M583" s="52" t="str">
        <f t="shared" si="220"/>
        <v/>
      </c>
    </row>
    <row r="584" spans="1:13" x14ac:dyDescent="0.35">
      <c r="A584" s="48"/>
      <c r="B584" s="48"/>
      <c r="C584" s="50"/>
      <c r="D584" s="50"/>
      <c r="E584" s="51" t="str">
        <f t="shared" si="218"/>
        <v/>
      </c>
      <c r="F584" s="71" t="str">
        <f t="shared" si="216"/>
        <v/>
      </c>
      <c r="G584" s="69" t="str">
        <f t="shared" si="219"/>
        <v/>
      </c>
      <c r="H584" s="70" t="str">
        <f t="shared" si="217"/>
        <v/>
      </c>
      <c r="I584" s="27" t="str">
        <f>IF(N(J584)=0,"",0&amp;"-"&amp;B$9)</f>
        <v/>
      </c>
      <c r="J584" s="52" t="str">
        <f>IF(N(B$9)=0,"",IF(AND(COUNT(H577:H588)=2,COUNT(F577:F588)=2),cubic_spline(F576:F578,H576:H578,B$9),IF(AND(COUNT(H577:H588)=3,COUNT(F577:F588)=3),cubic_spline(F576:F579,H576:H579,B$9),IF(AND(COUNT(H577:H588)=4,COUNT(F577:F588)=4),cubic_spline(F576:F580,H576:H580,B$9),IF(AND(COUNT(H577:H588)=5,COUNT(F577:F588)=5),cubic_spline(F576:F581,H576:H581,B$9),IF(AND(COUNT(H577:H588)=6,COUNT(F577:F588)=6),cubic_spline(F576:F582,H576:H582,B$9),IF(AND(COUNT(H577:H588)=7,COUNT(F577:F588)=7),cubic_spline(F576:F583,H576:H583,B$9),IF(AND(COUNT(H577:H588)=8,COUNT(F577:F588)=8),cubic_spline(F576:F584,H576:H584,B$9),IF(AND(COUNT(H577:H588)=9,COUNT(F577:F588)=9),cubic_spline(F576:F585,H576:H585,B$9),IF(AND(COUNT(H577:H588)=10,COUNT(F577:F588)=10),cubic_spline(F576:F586,H576:H586,B$9),IF(AND(COUNT(H577:H588)=11,COUNT(F577:F588)=11),cubic_spline(F576:F587,H576:H587,B$9),IF(AND(COUNT(H577:H588)=12,COUNT(F577:F588)=12),cubic_spline(F576:F588,H576:H588,B$9),""))))))))))))</f>
        <v/>
      </c>
      <c r="K584" s="52" t="str">
        <f>IF(N(B$9)=0,"",IF(AND(COUNT(A577:A588)=2,COUNT(F577:F588)=2),cubic_spline(F576:F578,A576:A578,B$9),IF(AND(COUNT(A577:A588)=3,COUNT(F577:F588)=3),cubic_spline(F576:F579,A576:A579,B$9),IF(AND(COUNT(A577:A588)=4,COUNT(F577:F588)=4),cubic_spline(F576:F580,A576:A580,B$9),IF(AND(COUNT(A577:A588)=5,COUNT(F577:F588)=5),cubic_spline(F576:F581,A576:A581,B$9),IF(AND(COUNT(A577:A588)=6,COUNT(F577:F588)=6),cubic_spline(F576:F582,A576:A582,B$9),IF(AND(COUNT(A577:A588)=7,COUNT(F577:F588)=7),cubic_spline(F576:F583,A576:A583,B$9),IF(AND(COUNT(A577:A588)=8,COUNT(F577:F588)=8),cubic_spline(F576:F584,A576:A584,B$9),IF(AND(COUNT(A577:A588)=9,COUNT(F577:F588)=9),cubic_spline(F576:F585,A576:A585,B$9),IF(AND(COUNT(A577:A588)=10,COUNT(F577:F588)=10),cubic_spline(F576:F586,A576:A586,B$9),IF(AND(COUNT(A577:A588)=11,COUNT(F577:F588)=11),cubic_spline(F576:F587,A576:A587,B$9),IF(AND(COUNT(A577:A588)=12,COUNT(F577:F588)=12),cubic_spline(F576:F588,A576:A588,B$9),""))))))))))))</f>
        <v/>
      </c>
      <c r="L584" s="27" t="str">
        <f>IF(I584="","",B$8&amp;"-"&amp;B$9)</f>
        <v/>
      </c>
      <c r="M584" s="52" t="str">
        <f t="shared" si="220"/>
        <v/>
      </c>
    </row>
    <row r="585" spans="1:13" x14ac:dyDescent="0.35">
      <c r="A585" s="48"/>
      <c r="B585" s="48"/>
      <c r="C585" s="50"/>
      <c r="D585" s="50"/>
      <c r="E585" s="51" t="str">
        <f t="shared" si="218"/>
        <v/>
      </c>
      <c r="F585" s="71" t="str">
        <f t="shared" si="216"/>
        <v/>
      </c>
      <c r="G585" s="69" t="str">
        <f t="shared" si="219"/>
        <v/>
      </c>
      <c r="H585" s="70" t="str">
        <f t="shared" si="217"/>
        <v/>
      </c>
      <c r="I585" s="27" t="str">
        <f>IF(N(J585)=0,"",0&amp;"-"&amp;B$10)</f>
        <v/>
      </c>
      <c r="J585" s="52" t="str">
        <f>IF(N(B$10)=0,"",IF(AND(COUNT(H577:H588)=2,COUNT(F577:F588)=2),cubic_spline(F576:F578,H576:H578,B$10),IF(AND(COUNT(H577:H588)=3,COUNT(F577:F588)=3),cubic_spline(F576:F579,H576:H579,B$10),IF(AND(COUNT(H577:H588)=4,COUNT(F577:F588)=4),cubic_spline(F576:F580,H576:H580,B$10),IF(AND(COUNT(H577:H588)=5,COUNT(F577:F588)=5),cubic_spline(F576:F581,H576:H581,B$10),IF(AND(COUNT(H577:H588)=6,COUNT(F577:F588)=6),cubic_spline(F576:F582,H576:H582,B$10),IF(AND(COUNT(H577:H588)=7,COUNT(F577:F588)=7),cubic_spline(F576:F583,H576:H583,B$10),IF(AND(COUNT(H577:H588)=8,COUNT(F577:F588)=8),cubic_spline(F576:F584,H576:H584,B$10),IF(AND(COUNT(H577:H588)=9,COUNT(F577:F588)=9),cubic_spline(F576:F585,H576:H585,B$10),IF(AND(COUNT(H577:H588)=10,COUNT(F577:F588)=10),cubic_spline(F576:F586,H576:H586,B$10),IF(AND(COUNT(H577:H588)=11,COUNT(F577:F588)=11),cubic_spline(F576:F587,H576:H587,B$10),IF(AND(COUNT(H577:H588)=12,COUNT(F577:F588)=12),cubic_spline(F576:F588,H576:H588,B$10),""))))))))))))</f>
        <v/>
      </c>
      <c r="K585" s="52" t="str">
        <f>IF(N(B$10)=0,"",IF(AND(COUNT(A577:A588)=2,COUNT(F577:F588)=2),cubic_spline(F576:F578,A576:A578,B$10),IF(AND(COUNT(A577:A588)=3,COUNT(F577:F588)=3),cubic_spline(F576:F579,A576:A579,B$10),IF(AND(COUNT(A577:A588)=4,COUNT(F577:F588)=4),cubic_spline(F576:F580,A576:A580,B$10),IF(AND(COUNT(A577:A588)=5,COUNT(F577:F588)=5),cubic_spline(F576:F581,A576:A581,B$10),IF(AND(COUNT(A577:A588)=6,COUNT(F577:F588)=6),cubic_spline(F576:F582,A576:A582,B$10),IF(AND(COUNT(A577:A588)=7,COUNT(F577:F588)=7),cubic_spline(F576:F583,A576:A583,B$10),IF(AND(COUNT(A577:A588)=8,COUNT(F577:F588)=8),cubic_spline(F576:F584,A576:A584,B$10),IF(AND(COUNT(A577:A588)=9,COUNT(F577:F588)=9),cubic_spline(F576:F585,A576:A585,B$10),IF(AND(COUNT(A577:A588)=10,COUNT(F577:F588)=10),cubic_spline(F576:F586,A576:A586,B$10),IF(AND(COUNT(A577:A588)=11,COUNT(F577:F588)=11),cubic_spline(F576:F587,A576:A587,B$10),IF(AND(COUNT(A577:A588)=12,COUNT(F577:F588)=12),cubic_spline(F576:F588,A576:A588,B$10),""))))))))))))</f>
        <v/>
      </c>
      <c r="L585" s="27" t="str">
        <f>IF(I585="","",B$9&amp;"-"&amp;B$10)</f>
        <v/>
      </c>
      <c r="M585" s="52" t="str">
        <f t="shared" si="220"/>
        <v/>
      </c>
    </row>
    <row r="586" spans="1:13" x14ac:dyDescent="0.35">
      <c r="A586" s="48"/>
      <c r="B586" s="48"/>
      <c r="C586" s="50"/>
      <c r="D586" s="50"/>
      <c r="E586" s="51" t="str">
        <f t="shared" si="218"/>
        <v/>
      </c>
      <c r="F586" s="71" t="str">
        <f t="shared" si="216"/>
        <v/>
      </c>
      <c r="G586" s="69" t="str">
        <f t="shared" si="219"/>
        <v/>
      </c>
      <c r="H586" s="70" t="str">
        <f t="shared" si="217"/>
        <v/>
      </c>
      <c r="I586" s="27" t="str">
        <f>IF(N(J586)=0,"",0&amp;"-"&amp;B$11)</f>
        <v/>
      </c>
      <c r="J586" s="52" t="str">
        <f>IF(N(B$11)=0,"",IF(AND(COUNT(H577:H588)=2,COUNT(F577:F588)=2),cubic_spline(F576:F578,H576:H578,B$11),IF(AND(COUNT(H577:H588)=3,COUNT(F577:F588)=3),cubic_spline(F576:F579,H576:H579,B$11),IF(AND(COUNT(H577:H588)=4,COUNT(F577:F588)=4),cubic_spline(F576:F580,H576:H580,B$11),IF(AND(COUNT(H577:H588)=5,COUNT(F577:F588)=5),cubic_spline(F576:F581,H576:H581,B$11),IF(AND(COUNT(H577:H588)=6,COUNT(F577:F588)=6),cubic_spline(F576:F582,H576:H582,B$11),IF(AND(COUNT(H577:H588)=7,COUNT(F577:F588)=7),cubic_spline(F576:F583,H576:H583,B$11),IF(AND(COUNT(H577:H588)=8,COUNT(F577:F588)=8),cubic_spline(F576:F584,H576:H584,B$11),IF(AND(COUNT(H577:H588)=9,COUNT(F577:F588)=9),cubic_spline(F576:F585,H576:H585,B$11),IF(AND(COUNT(H577:H588)=10,COUNT(F577:F588)=10),cubic_spline(F576:F586,H576:H586,B$11),IF(AND(COUNT(H577:H588)=11,COUNT(F577:F588)=11),cubic_spline(F576:F587,H576:H587,B$11),IF(AND(COUNT(H577:H588)=12,COUNT(F577:F588)=12),cubic_spline(F576:F588,H576:H588,B$11),""))))))))))))</f>
        <v/>
      </c>
      <c r="K586" s="52" t="str">
        <f>IF(N(B$11)=0,"",IF(AND(COUNT(A577:A588)=2,COUNT(F577:F588)=2),cubic_spline(F576:F578,A576:A578,B$11),IF(AND(COUNT(A577:A588)=3,COUNT(F577:F588)=3),cubic_spline(F576:F579,A576:A579,B$11),IF(AND(COUNT(A577:A588)=4,COUNT(F577:F588)=4),cubic_spline(F576:F580,A576:A580,B$11),IF(AND(COUNT(A577:A588)=5,COUNT(F577:F588)=5),cubic_spline(F576:F581,A576:A581,B$11),IF(AND(COUNT(A577:A588)=6,COUNT(F577:F588)=6),cubic_spline(F576:F582,A576:A582,B$11),IF(AND(COUNT(A577:A588)=7,COUNT(F577:F588)=7),cubic_spline(F576:F583,A576:A583,B$11),IF(AND(COUNT(A577:A588)=8,COUNT(F577:F588)=8),cubic_spline(F576:F584,A576:A584,B$11),IF(AND(COUNT(A577:A588)=9,COUNT(F577:F588)=9),cubic_spline(F576:F585,A576:A585,B$11),IF(AND(COUNT(A577:A588)=10,COUNT(F577:F588)=10),cubic_spline(F576:F586,A576:A586,B$11),IF(AND(COUNT(A577:A588)=11,COUNT(F577:F588)=11),cubic_spline(F576:F587,A576:A587,B$11),IF(AND(COUNT(A577:A588)=12,COUNT(F577:F588)=12),cubic_spline(F576:F588,A576:A588,B$11),""))))))))))))</f>
        <v/>
      </c>
      <c r="L586" s="27" t="str">
        <f>IF(I586="","",B$10&amp;"-"&amp;B$11)</f>
        <v/>
      </c>
      <c r="M586" s="52" t="str">
        <f t="shared" si="220"/>
        <v/>
      </c>
    </row>
    <row r="587" spans="1:13" x14ac:dyDescent="0.35">
      <c r="A587" s="48"/>
      <c r="B587" s="48"/>
      <c r="C587" s="50"/>
      <c r="D587" s="50"/>
      <c r="E587" s="51" t="str">
        <f t="shared" si="218"/>
        <v/>
      </c>
      <c r="F587" s="71" t="str">
        <f t="shared" si="216"/>
        <v/>
      </c>
      <c r="G587" s="69" t="str">
        <f t="shared" si="219"/>
        <v/>
      </c>
      <c r="H587" s="70" t="str">
        <f t="shared" si="217"/>
        <v/>
      </c>
      <c r="I587" s="27" t="str">
        <f>IF(N(J587)=0,"",0&amp;"-"&amp;B$12)</f>
        <v/>
      </c>
      <c r="J587" s="52" t="str">
        <f>IF(N(B$12)=0,"",IF(AND(COUNT(H577:H588)=2,COUNT(F577:F588)=2),cubic_spline(F576:F578,H576:H578,B$12),IF(AND(COUNT(H577:H588)=3,COUNT(F577:F588)=3),cubic_spline(F576:F579,H576:H579,B$12),IF(AND(COUNT(H577:H588)=4,COUNT(F577:F588)=4),cubic_spline(F576:F580,H576:H580,B$12),IF(AND(COUNT(H577:H588)=5,COUNT(F577:F588)=5),cubic_spline(F576:F581,H576:H581,B$12),IF(AND(COUNT(H577:H588)=6,COUNT(F577:F588)=6),cubic_spline(F576:F582,H576:H582,B$12),IF(AND(COUNT(H577:H588)=7,COUNT(F577:F588)=7),cubic_spline(F576:F583,H576:H583,B$12),IF(AND(COUNT(H577:H588)=8,COUNT(F577:F588)=8),cubic_spline(F576:F584,H576:H584,B$12),IF(AND(COUNT(H577:H588)=9,COUNT(F577:F588)=9),cubic_spline(F576:F585,H576:H585,B$12),IF(AND(COUNT(H577:H588)=10,COUNT(F577:F588)=10),cubic_spline(F576:F586,H576:H586,B$12),IF(AND(COUNT(H577:H588)=11,COUNT(F577:F588)=11),cubic_spline(F576:F587,H576:H587,B$12),IF(AND(COUNT(H577:H588)=12,COUNT(F577:F588)=12),cubic_spline(F576:F588,H576:H588,B$12),""))))))))))))</f>
        <v/>
      </c>
      <c r="K587" s="52" t="str">
        <f>IF(N(B$12)=0,"",IF(AND(COUNT(A577:A588)=2,COUNT(F577:F588)=2),cubic_spline(F576:F578,A576:A578,B$12),IF(AND(COUNT(A577:A588)=3,COUNT(F577:F588)=3),cubic_spline(F576:F579,A576:A579,B$12),IF(AND(COUNT(A577:A588)=4,COUNT(F577:F588)=4),cubic_spline(F576:F580,A576:A580,B$12),IF(AND(COUNT(A577:A588)=5,COUNT(F577:F588)=5),cubic_spline(F576:F581,A576:A581,B$12),IF(AND(COUNT(A577:A588)=6,COUNT(F577:F588)=6),cubic_spline(F576:F582,A576:A582,B$12),IF(AND(COUNT(A577:A588)=7,COUNT(F577:F588)=7),cubic_spline(F576:F583,A576:A583,B$12),IF(AND(COUNT(A577:A588)=8,COUNT(F577:F588)=8),cubic_spline(F576:F584,A576:A584,B$12),IF(AND(COUNT(A577:A588)=9,COUNT(F577:F588)=9),cubic_spline(F576:F585,A576:A585,B$12),IF(AND(COUNT(A577:A588)=10,COUNT(F577:F588)=10),cubic_spline(F576:F586,A576:A586,B$12),IF(AND(COUNT(A577:A588)=11,COUNT(F577:F588)=11),cubic_spline(F576:F587,A576:A587,B$12),IF(AND(COUNT(A577:A588)=12,COUNT(F577:F588)=12),cubic_spline(F576:F588,A576:A588,B$12),""))))))))))))</f>
        <v/>
      </c>
      <c r="L587" s="27" t="str">
        <f>IF(I587="","",B$11&amp;"-"&amp;B$12)</f>
        <v/>
      </c>
      <c r="M587" s="52" t="str">
        <f t="shared" si="220"/>
        <v/>
      </c>
    </row>
    <row r="588" spans="1:13" x14ac:dyDescent="0.35">
      <c r="A588" s="48"/>
      <c r="B588" s="48"/>
      <c r="C588" s="50"/>
      <c r="D588" s="50"/>
      <c r="E588" s="51" t="str">
        <f t="shared" si="218"/>
        <v/>
      </c>
      <c r="F588" s="71" t="str">
        <f t="shared" si="216"/>
        <v/>
      </c>
      <c r="G588" s="69" t="str">
        <f t="shared" si="219"/>
        <v/>
      </c>
      <c r="H588" s="70" t="str">
        <f t="shared" si="217"/>
        <v/>
      </c>
      <c r="I588" s="27" t="str">
        <f>IF(N(J588)=0,"",0&amp;"-"&amp;B$13)</f>
        <v/>
      </c>
      <c r="J588" s="52" t="str">
        <f>IF(N(B$13)=0,"",IF(AND(COUNT(H577:H588)=2,COUNT(F577:F588)=2),cubic_spline(F576:F578,H576:H578,B$13),IF(AND(COUNT(H577:H588)=3,COUNT(F577:F588)=3),cubic_spline(F576:F579,H576:H579,B$13),IF(AND(COUNT(H577:H588)=4,COUNT(F577:F588)=4),cubic_spline(F576:F580,H576:H580,B$13),IF(AND(COUNT(H577:H588)=5,COUNT(F577:F588)=5),cubic_spline(F576:F581,H576:H581,B$13),IF(AND(COUNT(H577:H588)=6,COUNT(F577:F588)=6),cubic_spline(F576:F582,H576:H582,B$13),IF(AND(COUNT(H577:H588)=7,COUNT(F577:F588)=7),cubic_spline(F576:F583,H576:H583,B$13),IF(AND(COUNT(H577:H588)=8,COUNT(F577:F588)=8),cubic_spline(F576:F584,H576:H584,B$13),IF(AND(COUNT(H577:H588)=9,COUNT(F577:F588)=9),cubic_spline(F576:F585,H576:H585,B$13),IF(AND(COUNT(H577:H588)=10,COUNT(F577:F588)=10),cubic_spline(F576:F586,H576:H586,B$13),IF(AND(COUNT(H577:H588)=11,COUNT(F577:F588)=11),cubic_spline(F576:F587,H576:H587,B$13),IF(AND(COUNT(H577:H588)=12,COUNT(F577:F588)=12),cubic_spline(F576:F588,H576:H588,B$13),""))))))))))))</f>
        <v/>
      </c>
      <c r="K588" s="52" t="str">
        <f>IF(N(B$13)=0,"",IF(AND(COUNT(A577:A588)=2,COUNT(F577:F588)=2),cubic_spline(F576:F578,A576:A578,B$13),IF(AND(COUNT(A577:A588)=3,COUNT(F577:F588)=3),cubic_spline(F576:F579,A576:A579,B$13),IF(AND(COUNT(A577:A588)=4,COUNT(F577:F588)=4),cubic_spline(F576:F580,A576:A580,B$13),IF(AND(COUNT(A577:A588)=5,COUNT(F577:F588)=5),cubic_spline(F576:F581,A576:A581,B$13),IF(AND(COUNT(A577:A588)=6,COUNT(F577:F588)=6),cubic_spline(F576:F582,A576:A582,B$13),IF(AND(COUNT(A577:A588)=7,COUNT(F577:F588)=7),cubic_spline(F576:F583,A576:A583,B$13),IF(AND(COUNT(A577:A588)=8,COUNT(F577:F588)=8),cubic_spline(F576:F584,A576:A584,B$13),IF(AND(COUNT(A577:A588)=9,COUNT(F577:F588)=9),cubic_spline(F576:F585,A576:A585,B$13),IF(AND(COUNT(A577:A588)=10,COUNT(F577:F588)=10),cubic_spline(F576:F586,A576:A586,B$13),IF(AND(COUNT(A577:A588)=11,COUNT(F577:F588)=11),cubic_spline(F576:F587,A576:A587,B$13),IF(AND(COUNT(A577:A588)=12,COUNT(F577:F588)=12),cubic_spline(F576:F588,A576:A588,B$13),""))))))))))))</f>
        <v/>
      </c>
      <c r="L588" s="27" t="str">
        <f>IF(I588="","",B$12&amp;"-"&amp;B$13)</f>
        <v/>
      </c>
      <c r="M588" s="52" t="str">
        <f t="shared" si="220"/>
        <v/>
      </c>
    </row>
    <row r="589" spans="1:13" ht="5.15" customHeight="1" x14ac:dyDescent="0.35">
      <c r="A589" s="47"/>
      <c r="B589" s="47"/>
      <c r="C589" s="53"/>
      <c r="D589" s="53"/>
      <c r="E589" s="54"/>
      <c r="F589" s="55"/>
      <c r="G589" s="72"/>
      <c r="H589" s="73"/>
      <c r="I589" s="47"/>
      <c r="J589" s="57"/>
      <c r="K589" s="57"/>
      <c r="L589" s="55"/>
      <c r="M589" s="57"/>
    </row>
    <row r="590" spans="1:13" x14ac:dyDescent="0.35">
      <c r="A590" s="48"/>
      <c r="B590" s="48"/>
      <c r="C590" s="50"/>
      <c r="D590" s="50"/>
      <c r="E590" s="51" t="str">
        <f>IF(N(C590)=0,"",(A590-A589)*C590*100)</f>
        <v/>
      </c>
      <c r="F590" s="68" t="str">
        <f t="shared" ref="F590:F601" si="221">IF(N(E590)=0,"",(N(E590)+N(F589)))</f>
        <v/>
      </c>
      <c r="G590" s="69" t="str">
        <f>IF(OR(N(D590)=0,N(E590)=0),"",(E590*D590)/1000)</f>
        <v/>
      </c>
      <c r="H590" s="70" t="str">
        <f t="shared" ref="H590:H601" si="222">IF(N(G590)=0,"",(N(G590)+N(H589)))</f>
        <v/>
      </c>
      <c r="I590" s="27" t="str">
        <f>IF(N(J590)=0,"",0&amp;"-"&amp;B$2)</f>
        <v/>
      </c>
      <c r="J590" s="52" t="str">
        <f>IF(N(B$2)=0,"",IF(AND(COUNT(H590:H601)=2,COUNT(F590:F601)=2),cubic_spline(F589:F591,H589:H591,B$2),IF(AND(COUNT(H590:H601)=3,COUNT(F590:F601)=3),cubic_spline(F589:F592,H589:H592,B$2),IF(AND(COUNT(H590:H601)=4,COUNT(F590:F601)=4),cubic_spline(F589:F593,H589:H593,B$2),IF(AND(COUNT(H590:H601)=5,COUNT(F590:F601)=5),cubic_spline(F589:F594,H589:H594,B$2),IF(AND(COUNT(H590:H601)=6,COUNT(F590:F601)=6),cubic_spline(F589:F595,H589:H595,B$2),IF(AND(COUNT(H590:H601)=7,COUNT(F590:F601)=7),cubic_spline(F589:F596,H589:H596,B$2),IF(AND(COUNT(H590:H601)=8,COUNT(F590:F601)=8),cubic_spline(F589:F597,H589:H597,B$2),IF(AND(COUNT(H590:H601)=9,COUNT(F590:F601)=9),cubic_spline(F589:F598,H589:H598,B$2),IF(AND(COUNT(H590:H601)=10,COUNT(F590:F601)=10),cubic_spline(F589:F599,H589:H599,B$2),IF(AND(COUNT(H590:H601)=11,COUNT(F590:F601)=11),cubic_spline(F589:F600,H589:H600,B$2),IF(AND(COUNT(H590:H601)=12,COUNT(F590:F601)=12),cubic_spline(F589:F601,H589:H601,B$2),""))))))))))))</f>
        <v/>
      </c>
      <c r="K590" s="52" t="str">
        <f>IF(N(B$2)=0,"",IF(AND(COUNT(A590:A601)=2,COUNT(F590:F601)=2),cubic_spline(F589:F591,A589:A591,B$2),IF(AND(COUNT(A590:A601)=3,COUNT(F590:F601)=3),cubic_spline(F589:F592,A589:A592,B$2),IF(AND(COUNT(A590:A601)=4,COUNT(F590:F601)=4),cubic_spline(F589:F593,A589:A593,B$2),IF(AND(COUNT(A590:A601)=5,COUNT(F590:F601)=5),cubic_spline(F589:F594,A589:A594,B$2),IF(AND(COUNT(A590:A601)=6,COUNT(F590:F601)=6),cubic_spline(F589:F595,A589:A595,B$2),IF(AND(COUNT(A590:A601)=7,COUNT(F590:F601)=7),cubic_spline(F589:F596,A589:A596,B$2),IF(AND(COUNT(A590:A601)=8,COUNT(F590:F601)=8),cubic_spline(F589:F597,A589:A597,B$2),IF(AND(COUNT(A590:A601)=9,COUNT(F590:F601)=9),cubic_spline(F589:F598,A589:A598,B$2),IF(AND(COUNT(A590:A601)=10,COUNT(F590:F601)=10),cubic_spline(F589:F599,A589:A599,B$2),IF(AND(COUNT(A590:A601)=11,COUNT(F590:F601)=11),cubic_spline(F589:F600,A589:A600,B$2),IF(AND(COUNT(A590:A601)=12,COUNT(F590:F601)=12),cubic_spline(F589:F601,A589:A601,B$2),""))))))))))))</f>
        <v/>
      </c>
      <c r="L590" s="27" t="str">
        <f>IF(I590="","",0&amp;"-"&amp;B$2)</f>
        <v/>
      </c>
      <c r="M590" s="52" t="str">
        <f>IF(N(J590)=0,"",J590-J589)</f>
        <v/>
      </c>
    </row>
    <row r="591" spans="1:13" x14ac:dyDescent="0.35">
      <c r="A591" s="48"/>
      <c r="B591" s="48"/>
      <c r="C591" s="50"/>
      <c r="D591" s="50"/>
      <c r="E591" s="51" t="str">
        <f t="shared" ref="E591:E601" si="223">IF(N(C591)=0,"",(A591-A590)*C591*100)</f>
        <v/>
      </c>
      <c r="F591" s="68" t="str">
        <f t="shared" si="221"/>
        <v/>
      </c>
      <c r="G591" s="69" t="str">
        <f t="shared" ref="G591:G601" si="224">IF(OR(N(D591)=0,N(E591)=0),"",(E591*D591)/1000)</f>
        <v/>
      </c>
      <c r="H591" s="70" t="str">
        <f t="shared" si="222"/>
        <v/>
      </c>
      <c r="I591" s="27" t="str">
        <f>IF(N(J591)=0,"",0&amp;"-"&amp;B$3)</f>
        <v/>
      </c>
      <c r="J591" s="52" t="str">
        <f>IF(N(B$3)=0,"",IF(AND(COUNT(H590:H601)=2,COUNT(F590:F601)=2),cubic_spline(F589:F591,H589:H591,B$3),IF(AND(COUNT(H590:H601)=3,COUNT(F590:F601)=3),cubic_spline(F589:F592,H589:H592,B$3),IF(AND(COUNT(H590:H601)=4,COUNT(F590:F601)=4),cubic_spline(F589:F593,H589:H593,B$3),IF(AND(COUNT(H590:H601)=5,COUNT(F590:F601)=5),cubic_spline(F589:F594,H589:H594,B$3),IF(AND(COUNT(H590:H601)=6,COUNT(F590:F601)=6),cubic_spline(F589:F595,H589:H595,B$3),IF(AND(COUNT(H590:H601)=7,COUNT(F590:F601)=7),cubic_spline(F589:F596,H589:H596,B$3),IF(AND(COUNT(H590:H601)=8,COUNT(F590:F601)=8),cubic_spline(F589:F597,H589:H597,B$3),IF(AND(COUNT(H590:H601)=9,COUNT(F590:F601)=9),cubic_spline(F589:F598,H589:H598,B$3),IF(AND(COUNT(H590:H601)=10,COUNT(F590:F601)=10),cubic_spline(F589:F599,H589:H599,B$3),IF(AND(COUNT(H590:H601)=11,COUNT(F590:F601)=11),cubic_spline(F589:F600,H589:H600,B$3),IF(AND(COUNT(H590:H601)=12,COUNT(F590:F601)=12),cubic_spline(F589:F601,H589:H601,B$3),""))))))))))))</f>
        <v/>
      </c>
      <c r="K591" s="52" t="str">
        <f>IF(N(B$3)=0,"",IF(AND(COUNT(A590:A601)=2,COUNT(F590:F601)=2),cubic_spline(F589:F591,A589:A591,B$3),IF(AND(COUNT(A590:A601)=3,COUNT(F590:F601)=3),cubic_spline(F589:F592,A589:A592,B$3),IF(AND(COUNT(A590:A601)=4,COUNT(F590:F601)=4),cubic_spline(F589:F593,A589:A593,B$3),IF(AND(COUNT(A590:A601)=5,COUNT(F590:F601)=5),cubic_spline(F589:F594,A589:A594,B$3),IF(AND(COUNT(A590:A601)=6,COUNT(F590:F601)=6),cubic_spline(F589:F595,A589:A595,B$3),IF(AND(COUNT(A590:A601)=7,COUNT(F590:F601)=7),cubic_spline(F589:F596,A589:A596,B$3),IF(AND(COUNT(A590:A601)=8,COUNT(F590:F601)=8),cubic_spline(F589:F597,A589:A597,B$3),IF(AND(COUNT(A590:A601)=9,COUNT(F590:F601)=9),cubic_spline(F589:F598,A589:A598,B$3),IF(AND(COUNT(A590:A601)=10,COUNT(F590:F601)=10),cubic_spline(F589:F599,A589:A599,B$3),IF(AND(COUNT(A590:A601)=11,COUNT(F590:F601)=11),cubic_spline(F589:F600,A589:A600,B$3),IF(AND(COUNT(A590:A601)=12,COUNT(F590:F601)=12),cubic_spline(F589:F601,A589:A601,B$3),""))))))))))))</f>
        <v/>
      </c>
      <c r="L591" s="27" t="str">
        <f>IF(I591="","",B$2&amp;"-"&amp;B$3)</f>
        <v/>
      </c>
      <c r="M591" s="52" t="str">
        <f>IF(N(J591)=0,"",J591-J590)</f>
        <v/>
      </c>
    </row>
    <row r="592" spans="1:13" x14ac:dyDescent="0.35">
      <c r="A592" s="48"/>
      <c r="B592" s="48"/>
      <c r="C592" s="50"/>
      <c r="D592" s="50"/>
      <c r="E592" s="51" t="str">
        <f t="shared" si="223"/>
        <v/>
      </c>
      <c r="F592" s="68" t="str">
        <f t="shared" si="221"/>
        <v/>
      </c>
      <c r="G592" s="69" t="str">
        <f t="shared" si="224"/>
        <v/>
      </c>
      <c r="H592" s="70" t="str">
        <f t="shared" si="222"/>
        <v/>
      </c>
      <c r="I592" s="27" t="str">
        <f>IF(N(J592)=0,"",0&amp;"-"&amp;B$4)</f>
        <v/>
      </c>
      <c r="J592" s="52" t="str">
        <f>IF(N(B$4)=0,"",IF(AND(COUNT(H590:H601)=2,COUNT(F590:F601)=2),cubic_spline(F589:F591,H589:H591,B$4),IF(AND(COUNT(H590:H601)=3,COUNT(F590:F601)=3),cubic_spline(F589:F592,H589:H592,B$4),IF(AND(COUNT(H590:H601)=4,COUNT(F590:F601)=4),cubic_spline(F589:F593,H589:H593,B$4),IF(AND(COUNT(H590:H601)=5,COUNT(F590:F601)=5),cubic_spline(F589:F594,H589:H594,B$4),IF(AND(COUNT(H590:H601)=6,COUNT(F590:F601)=6),cubic_spline(F589:F595,H589:H595,B$4),IF(AND(COUNT(H590:H601)=7,COUNT(F590:F601)=7),cubic_spline(F589:F596,H589:H596,B$4),IF(AND(COUNT(H590:H601)=8,COUNT(F590:F601)=8),cubic_spline(F589:F597,H589:H597,B$4),IF(AND(COUNT(H590:H601)=9,COUNT(F590:F601)=9),cubic_spline(F589:F598,H589:H598,B$4),IF(AND(COUNT(H590:H601)=10,COUNT(F590:F601)=10),cubic_spline(F589:F599,H589:H599,B$4),IF(AND(COUNT(H590:H601)=11,COUNT(F590:F601)=11),cubic_spline(F589:F600,H589:H600,B$4),IF(AND(COUNT(H590:H601)=12,COUNT(F590:F601)=12),cubic_spline(F589:F601,H589:H601,B$4),""))))))))))))</f>
        <v/>
      </c>
      <c r="K592" s="52" t="str">
        <f>IF(N(B$4)=0,"",IF(AND(COUNT(A590:A601)=2,COUNT(F590:F601)=2),cubic_spline(F589:F591,A589:A591,B$4),IF(AND(COUNT(A590:A601)=3,COUNT(F590:F601)=3),cubic_spline(F589:F592,A589:A592,B$4),IF(AND(COUNT(A590:A601)=4,COUNT(F590:F601)=4),cubic_spline(F589:F593,A589:A593,B$4),IF(AND(COUNT(A590:A601)=5,COUNT(F590:F601)=5),cubic_spline(F589:F594,A589:A594,B$4),IF(AND(COUNT(A590:A601)=6,COUNT(F590:F601)=6),cubic_spline(F589:F595,A589:A595,B$4),IF(AND(COUNT(A590:A601)=7,COUNT(F590:F601)=7),cubic_spline(F589:F596,A589:A596,B$4),IF(AND(COUNT(A590:A601)=8,COUNT(F590:F601)=8),cubic_spline(F589:F597,A589:A597,B$4),IF(AND(COUNT(A590:A601)=9,COUNT(F590:F601)=9),cubic_spline(F589:F598,A589:A598,B$4),IF(AND(COUNT(A590:A601)=10,COUNT(F590:F601)=10),cubic_spline(F589:F599,A589:A599,B$4),IF(AND(COUNT(A590:A601)=11,COUNT(F590:F601)=11),cubic_spline(F589:F600,A589:A600,B$4),IF(AND(COUNT(A590:A601)=12,COUNT(F590:F601)=12),cubic_spline(F589:F601,A589:A601,B$4),""))))))))))))</f>
        <v/>
      </c>
      <c r="L592" s="27" t="str">
        <f>IF(I592="","",B$3&amp;"-"&amp;B$4)</f>
        <v/>
      </c>
      <c r="M592" s="52" t="str">
        <f>IF(N(J592)=0,"",J592-J591)</f>
        <v/>
      </c>
    </row>
    <row r="593" spans="1:13" x14ac:dyDescent="0.35">
      <c r="A593" s="48"/>
      <c r="B593" s="48"/>
      <c r="C593" s="50"/>
      <c r="D593" s="50"/>
      <c r="E593" s="51" t="str">
        <f t="shared" si="223"/>
        <v/>
      </c>
      <c r="F593" s="68" t="str">
        <f t="shared" si="221"/>
        <v/>
      </c>
      <c r="G593" s="69" t="str">
        <f t="shared" si="224"/>
        <v/>
      </c>
      <c r="H593" s="70" t="str">
        <f t="shared" si="222"/>
        <v/>
      </c>
      <c r="I593" s="27" t="str">
        <f>IF(N(J593)=0,"",0&amp;"-"&amp;B$5)</f>
        <v/>
      </c>
      <c r="J593" s="52" t="str">
        <f>IF(N(B$5)=0,"",IF(AND(COUNT(H590:H601)=2,COUNT(F590:F601)=2),cubic_spline(F589:F591,H589:H591,B$5),IF(AND(COUNT(H590:H601)=3,COUNT(F590:F601)=3),cubic_spline(F589:F592,H589:H592,B$5),IF(AND(COUNT(H590:H601)=4,COUNT(F590:F601)=4),cubic_spline(F589:F593,H589:H593,B$5),IF(AND(COUNT(H590:H601)=5,COUNT(F590:F601)=5),cubic_spline(F589:F594,H589:H594,B$5),IF(AND(COUNT(H590:H601)=6,COUNT(F590:F601)=6),cubic_spline(F589:F595,H589:H595,B$5),IF(AND(COUNT(H590:H601)=7,COUNT(F590:F601)=7),cubic_spline(F589:F596,H589:H596,B$5),IF(AND(COUNT(H590:H601)=8,COUNT(F590:F601)=8),cubic_spline(F589:F597,H589:H597,B$5),IF(AND(COUNT(H590:H601)=9,COUNT(F590:F601)=9),cubic_spline(F589:F598,H589:H598,B$5),IF(AND(COUNT(H590:H601)=10,COUNT(F590:F601)=10),cubic_spline(F589:F599,H589:H599,B$5),IF(AND(COUNT(H590:H601)=11,COUNT(F590:F601)=11),cubic_spline(F589:F600,H589:H600,B$5),IF(AND(COUNT(H590:H601)=12,COUNT(F590:F601)=12),cubic_spline(F589:F601,H589:H601,B$5),""))))))))))))</f>
        <v/>
      </c>
      <c r="K593" s="52" t="str">
        <f>IF(N(B$5)=0,"",IF(AND(COUNT(A590:A601)=2,COUNT(F590:F601)=2),cubic_spline(F589:F591,A589:A591,B$5),IF(AND(COUNT(A590:A601)=3,COUNT(F590:F601)=3),cubic_spline(F589:F592,A589:A592,B$5),IF(AND(COUNT(A590:A601)=4,COUNT(F590:F601)=4),cubic_spline(F589:F593,A589:A593,B$5),IF(AND(COUNT(A590:A601)=5,COUNT(F590:F601)=5),cubic_spline(F589:F594,A589:A594,B$5),IF(AND(COUNT(A590:A601)=6,COUNT(F590:F601)=6),cubic_spline(F589:F595,A589:A595,B$5),IF(AND(COUNT(A590:A601)=7,COUNT(F590:F601)=7),cubic_spline(F589:F596,A589:A596,B$5),IF(AND(COUNT(A590:A601)=8,COUNT(F590:F601)=8),cubic_spline(F589:F597,A589:A597,B$5),IF(AND(COUNT(A590:A601)=9,COUNT(F590:F601)=9),cubic_spline(F589:F598,A589:A598,B$5),IF(AND(COUNT(A590:A601)=10,COUNT(F590:F601)=10),cubic_spline(F589:F599,A589:A599,B$5),IF(AND(COUNT(A590:A601)=11,COUNT(F590:F601)=11),cubic_spline(F589:F600,A589:A600,B$5),IF(AND(COUNT(A590:A601)=12,COUNT(F590:F601)=12),cubic_spline(F589:F601,A589:A601,B$5),""))))))))))))</f>
        <v/>
      </c>
      <c r="L593" s="27" t="str">
        <f>IF(I593="","",B$4&amp;"-"&amp;B$5)</f>
        <v/>
      </c>
      <c r="M593" s="52" t="str">
        <f>IF(N(J593)=0,"",J593-J592)</f>
        <v/>
      </c>
    </row>
    <row r="594" spans="1:13" x14ac:dyDescent="0.35">
      <c r="A594" s="48"/>
      <c r="B594" s="48"/>
      <c r="C594" s="50"/>
      <c r="D594" s="50"/>
      <c r="E594" s="51" t="str">
        <f t="shared" si="223"/>
        <v/>
      </c>
      <c r="F594" s="71" t="str">
        <f t="shared" si="221"/>
        <v/>
      </c>
      <c r="G594" s="69" t="str">
        <f t="shared" si="224"/>
        <v/>
      </c>
      <c r="H594" s="70" t="str">
        <f t="shared" si="222"/>
        <v/>
      </c>
      <c r="I594" s="27" t="str">
        <f>IF(N(J594)=0,"",0&amp;"-"&amp;B$6)</f>
        <v/>
      </c>
      <c r="J594" s="52" t="str">
        <f>IF(N(B$6)=0,"",IF(AND(COUNT(H590:H601)=2,COUNT(F590:F601)=2),cubic_spline(F589:F591,H589:H591,B$6),IF(AND(COUNT(H590:H601)=3,COUNT(F590:F601)=3),cubic_spline(F589:F592,H589:H592,B$6),IF(AND(COUNT(H590:H601)=4,COUNT(F590:F601)=4),cubic_spline(F589:F593,H589:H593,B$6),IF(AND(COUNT(H590:H601)=5,COUNT(F590:F601)=5),cubic_spline(F589:F594,H589:H594,B$6),IF(AND(COUNT(H590:H601)=6,COUNT(F590:F601)=6),cubic_spline(F589:F595,H589:H595,B$6),IF(AND(COUNT(H590:H601)=7,COUNT(F590:F601)=7),cubic_spline(F589:F596,H589:H596,B$6),IF(AND(COUNT(H590:H601)=8,COUNT(F590:F601)=8),cubic_spline(F589:F597,H589:H597,B$6),IF(AND(COUNT(H590:H601)=9,COUNT(F590:F601)=9),cubic_spline(F589:F598,H589:H598,B$6),IF(AND(COUNT(H590:H601)=10,COUNT(F590:F601)=10),cubic_spline(F589:F599,H589:H599,B$6),IF(AND(COUNT(H590:H601)=11,COUNT(F590:F601)=11),cubic_spline(F589:F600,H589:H600,B$6),IF(AND(COUNT(H590:H601)=12,COUNT(F590:F601)=12),cubic_spline(F589:F601,H589:H601,B$6),""))))))))))))</f>
        <v/>
      </c>
      <c r="K594" s="52" t="str">
        <f>IF(N(B$6)=0,"",IF(AND(COUNT(A590:A601)=2,COUNT(F590:F601)=2),cubic_spline(F589:F591,A589:A591,B$6),IF(AND(COUNT(A590:A601)=3,COUNT(F590:F601)=3),cubic_spline(F589:F592,A589:A592,B$6),IF(AND(COUNT(A590:A601)=4,COUNT(F590:F601)=4),cubic_spline(F589:F593,A589:A593,B$6),IF(AND(COUNT(A590:A601)=5,COUNT(F590:F601)=5),cubic_spline(F589:F594,A589:A594,B$6),IF(AND(COUNT(A590:A601)=6,COUNT(F590:F601)=6),cubic_spline(F589:F595,A589:A595,B$6),IF(AND(COUNT(A590:A601)=7,COUNT(F590:F601)=7),cubic_spline(F589:F596,A589:A596,B$6),IF(AND(COUNT(A590:A601)=8,COUNT(F590:F601)=8),cubic_spline(F589:F597,A589:A597,B$6),IF(AND(COUNT(A590:A601)=9,COUNT(F590:F601)=9),cubic_spline(F589:F598,A589:A598,B$6),IF(AND(COUNT(A590:A601)=10,COUNT(F590:F601)=10),cubic_spline(F589:F599,A589:A599,B$6),IF(AND(COUNT(A590:A601)=11,COUNT(F590:F601)=11),cubic_spline(F589:F600,A589:A600,B$6),IF(AND(COUNT(A590:A601)=12,COUNT(F590:F601)=12),cubic_spline(F589:F601,A589:A601,B$6),""))))))))))))</f>
        <v/>
      </c>
      <c r="L594" s="27" t="str">
        <f>IF(I594="","",B$5&amp;"-"&amp;B$6)</f>
        <v/>
      </c>
      <c r="M594" s="52" t="str">
        <f>IF(N(J594)=0,"",J594-J593)</f>
        <v/>
      </c>
    </row>
    <row r="595" spans="1:13" x14ac:dyDescent="0.35">
      <c r="A595" s="48"/>
      <c r="B595" s="48"/>
      <c r="C595" s="50"/>
      <c r="D595" s="50"/>
      <c r="E595" s="51" t="str">
        <f t="shared" si="223"/>
        <v/>
      </c>
      <c r="F595" s="71" t="str">
        <f t="shared" si="221"/>
        <v/>
      </c>
      <c r="G595" s="69" t="str">
        <f t="shared" si="224"/>
        <v/>
      </c>
      <c r="H595" s="70" t="str">
        <f t="shared" si="222"/>
        <v/>
      </c>
      <c r="I595" s="27" t="str">
        <f>IF(N(J595)=0,"",0&amp;"-"&amp;B$7)</f>
        <v/>
      </c>
      <c r="J595" s="52" t="str">
        <f>IF(N(B$7)=0,"",IF(AND(COUNT(H590:H601)=2,COUNT(F590:F601)=2),cubic_spline(F589:F591,H589:H591,B$7),IF(AND(COUNT(H590:H601)=3,COUNT(F590:F601)=3),cubic_spline(F589:F592,H589:H592,B$7),IF(AND(COUNT(H590:H601)=4,COUNT(F590:F601)=4),cubic_spline(F589:F593,H589:H593,B$7),IF(AND(COUNT(H590:H601)=5,COUNT(F590:F601)=5),cubic_spline(F589:F594,H589:H594,B$7),IF(AND(COUNT(H590:H601)=6,COUNT(F590:F601)=6),cubic_spline(F589:F595,H589:H595,B$7),IF(AND(COUNT(H590:H601)=7,COUNT(F590:F601)=7),cubic_spline(F589:F596,H589:H596,B$7),IF(AND(COUNT(H590:H601)=8,COUNT(F590:F601)=8),cubic_spline(F589:F597,H589:H597,B$7),IF(AND(COUNT(H590:H601)=9,COUNT(F590:F601)=9),cubic_spline(F589:F598,H589:H598,B$7),IF(AND(COUNT(H590:H601)=10,COUNT(F590:F601)=10),cubic_spline(F589:F599,H589:H599,B$7),IF(AND(COUNT(H590:H601)=11,COUNT(F590:F601)=11),cubic_spline(F589:F600,H589:H600,B$7),IF(AND(COUNT(H590:H601)=12,COUNT(F590:F601)=12),cubic_spline(F589:F601,H589:H601,B$7),""))))))))))))</f>
        <v/>
      </c>
      <c r="K595" s="52" t="str">
        <f>IF(N(B$7)=0,"",IF(AND(COUNT(A590:A601)=2,COUNT(F590:F601)=2),cubic_spline(F589:F591,A589:A591,B$7),IF(AND(COUNT(A590:A601)=3,COUNT(F590:F601)=3),cubic_spline(F589:F592,A589:A592,B$7),IF(AND(COUNT(A590:A601)=4,COUNT(F590:F601)=4),cubic_spline(F589:F593,A589:A593,B$7),IF(AND(COUNT(A590:A601)=5,COUNT(F590:F601)=5),cubic_spline(F589:F594,A589:A594,B$7),IF(AND(COUNT(A590:A601)=6,COUNT(F590:F601)=6),cubic_spline(F589:F595,A589:A595,B$7),IF(AND(COUNT(A590:A601)=7,COUNT(F590:F601)=7),cubic_spline(F589:F596,A589:A596,B$7),IF(AND(COUNT(A590:A601)=8,COUNT(F590:F601)=8),cubic_spline(F589:F597,A589:A597,B$7),IF(AND(COUNT(A590:A601)=9,COUNT(F590:F601)=9),cubic_spline(F589:F598,A589:A598,B$7),IF(AND(COUNT(A590:A601)=10,COUNT(F590:F601)=10),cubic_spline(F589:F599,A589:A599,B$7),IF(AND(COUNT(A590:A601)=11,COUNT(F590:F601)=11),cubic_spline(F589:F600,A589:A600,B$7),IF(AND(COUNT(A590:A601)=12,COUNT(F590:F601)=12),cubic_spline(F589:F601,A589:A601,B$7),""))))))))))))</f>
        <v/>
      </c>
      <c r="L595" s="27" t="str">
        <f>IF(I595="","",B$6&amp;"-"&amp;B$7)</f>
        <v/>
      </c>
      <c r="M595" s="52" t="str">
        <f t="shared" ref="M595:M601" si="225">IF(N(J595)=0,"",J595-J594)</f>
        <v/>
      </c>
    </row>
    <row r="596" spans="1:13" x14ac:dyDescent="0.35">
      <c r="A596" s="48"/>
      <c r="B596" s="48"/>
      <c r="C596" s="50"/>
      <c r="D596" s="50"/>
      <c r="E596" s="51" t="str">
        <f t="shared" si="223"/>
        <v/>
      </c>
      <c r="F596" s="71" t="str">
        <f t="shared" si="221"/>
        <v/>
      </c>
      <c r="G596" s="69" t="str">
        <f t="shared" si="224"/>
        <v/>
      </c>
      <c r="H596" s="70" t="str">
        <f t="shared" si="222"/>
        <v/>
      </c>
      <c r="I596" s="27" t="str">
        <f>IF(N(J596)=0,"",0&amp;"-"&amp;B$8)</f>
        <v/>
      </c>
      <c r="J596" s="52" t="str">
        <f>IF(N(B$8)=0,"",IF(AND(COUNT(H590:H601)=2,COUNT(F590:F601)=2),cubic_spline(F589:F591,H589:H591,B$8),IF(AND(COUNT(H590:H601)=3,COUNT(F590:F601)=3),cubic_spline(F589:F592,H589:H592,B$8),IF(AND(COUNT(H590:H601)=4,COUNT(F590:F601)=4),cubic_spline(F589:F593,H589:H593,B$8),IF(AND(COUNT(H590:H601)=5,COUNT(F590:F601)=5),cubic_spline(F589:F594,H589:H594,B$8),IF(AND(COUNT(H590:H601)=6,COUNT(F590:F601)=6),cubic_spline(F589:F595,H589:H595,B$8),IF(AND(COUNT(H590:H601)=7,COUNT(F590:F601)=7),cubic_spline(F589:F596,H589:H596,B$8),IF(AND(COUNT(H590:H601)=8,COUNT(F590:F601)=8),cubic_spline(F589:F597,H589:H597,B$8),IF(AND(COUNT(H590:H601)=9,COUNT(F590:F601)=9),cubic_spline(F589:F598,H589:H598,B$8),IF(AND(COUNT(H590:H601)=10,COUNT(F590:F601)=10),cubic_spline(F589:F599,H589:H599,B$8),IF(AND(COUNT(H590:H601)=11,COUNT(F590:F601)=11),cubic_spline(F589:F600,H589:H600,B$8),IF(AND(COUNT(H590:H601)=12,COUNT(F590:F601)=12),cubic_spline(F589:F601,H589:H601,B$8),""))))))))))))</f>
        <v/>
      </c>
      <c r="K596" s="52" t="str">
        <f>IF(N(B$8)=0,"",IF(AND(COUNT(A590:A601)=2,COUNT(F590:F601)=2),cubic_spline(F589:F591,A589:A591,B$8),IF(AND(COUNT(A590:A601)=3,COUNT(F590:F601)=3),cubic_spline(F589:F592,A589:A592,B$8),IF(AND(COUNT(A590:A601)=4,COUNT(F590:F601)=4),cubic_spline(F589:F593,A589:A593,B$8),IF(AND(COUNT(A590:A601)=5,COUNT(F590:F601)=5),cubic_spline(F589:F594,A589:A594,B$8),IF(AND(COUNT(A590:A601)=6,COUNT(F590:F601)=6),cubic_spline(F589:F595,A589:A595,B$8),IF(AND(COUNT(A590:A601)=7,COUNT(F590:F601)=7),cubic_spline(F589:F596,A589:A596,B$8),IF(AND(COUNT(A590:A601)=8,COUNT(F590:F601)=8),cubic_spline(F589:F597,A589:A597,B$8),IF(AND(COUNT(A590:A601)=9,COUNT(F590:F601)=9),cubic_spline(F589:F598,A589:A598,B$8),IF(AND(COUNT(A590:A601)=10,COUNT(F590:F601)=10),cubic_spline(F589:F599,A589:A599,B$8),IF(AND(COUNT(A590:A601)=11,COUNT(F590:F601)=11),cubic_spline(F589:F600,A589:A600,B$8),IF(AND(COUNT(A590:A601)=12,COUNT(F590:F601)=12),cubic_spline(F589:F601,A589:A601,B$8),""))))))))))))</f>
        <v/>
      </c>
      <c r="L596" s="27" t="str">
        <f>IF(I596="","",B$7&amp;"-"&amp;B$8)</f>
        <v/>
      </c>
      <c r="M596" s="52" t="str">
        <f t="shared" si="225"/>
        <v/>
      </c>
    </row>
    <row r="597" spans="1:13" x14ac:dyDescent="0.35">
      <c r="A597" s="48"/>
      <c r="B597" s="48"/>
      <c r="C597" s="50"/>
      <c r="D597" s="50"/>
      <c r="E597" s="51" t="str">
        <f t="shared" si="223"/>
        <v/>
      </c>
      <c r="F597" s="71" t="str">
        <f t="shared" si="221"/>
        <v/>
      </c>
      <c r="G597" s="69" t="str">
        <f t="shared" si="224"/>
        <v/>
      </c>
      <c r="H597" s="70" t="str">
        <f t="shared" si="222"/>
        <v/>
      </c>
      <c r="I597" s="27" t="str">
        <f>IF(N(J597)=0,"",0&amp;"-"&amp;B$9)</f>
        <v/>
      </c>
      <c r="J597" s="52" t="str">
        <f>IF(N(B$9)=0,"",IF(AND(COUNT(H590:H601)=2,COUNT(F590:F601)=2),cubic_spline(F589:F591,H589:H591,B$9),IF(AND(COUNT(H590:H601)=3,COUNT(F590:F601)=3),cubic_spline(F589:F592,H589:H592,B$9),IF(AND(COUNT(H590:H601)=4,COUNT(F590:F601)=4),cubic_spline(F589:F593,H589:H593,B$9),IF(AND(COUNT(H590:H601)=5,COUNT(F590:F601)=5),cubic_spline(F589:F594,H589:H594,B$9),IF(AND(COUNT(H590:H601)=6,COUNT(F590:F601)=6),cubic_spline(F589:F595,H589:H595,B$9),IF(AND(COUNT(H590:H601)=7,COUNT(F590:F601)=7),cubic_spline(F589:F596,H589:H596,B$9),IF(AND(COUNT(H590:H601)=8,COUNT(F590:F601)=8),cubic_spline(F589:F597,H589:H597,B$9),IF(AND(COUNT(H590:H601)=9,COUNT(F590:F601)=9),cubic_spline(F589:F598,H589:H598,B$9),IF(AND(COUNT(H590:H601)=10,COUNT(F590:F601)=10),cubic_spline(F589:F599,H589:H599,B$9),IF(AND(COUNT(H590:H601)=11,COUNT(F590:F601)=11),cubic_spline(F589:F600,H589:H600,B$9),IF(AND(COUNT(H590:H601)=12,COUNT(F590:F601)=12),cubic_spline(F589:F601,H589:H601,B$9),""))))))))))))</f>
        <v/>
      </c>
      <c r="K597" s="52" t="str">
        <f>IF(N(B$9)=0,"",IF(AND(COUNT(A590:A601)=2,COUNT(F590:F601)=2),cubic_spline(F589:F591,A589:A591,B$9),IF(AND(COUNT(A590:A601)=3,COUNT(F590:F601)=3),cubic_spline(F589:F592,A589:A592,B$9),IF(AND(COUNT(A590:A601)=4,COUNT(F590:F601)=4),cubic_spline(F589:F593,A589:A593,B$9),IF(AND(COUNT(A590:A601)=5,COUNT(F590:F601)=5),cubic_spline(F589:F594,A589:A594,B$9),IF(AND(COUNT(A590:A601)=6,COUNT(F590:F601)=6),cubic_spline(F589:F595,A589:A595,B$9),IF(AND(COUNT(A590:A601)=7,COUNT(F590:F601)=7),cubic_spline(F589:F596,A589:A596,B$9),IF(AND(COUNT(A590:A601)=8,COUNT(F590:F601)=8),cubic_spline(F589:F597,A589:A597,B$9),IF(AND(COUNT(A590:A601)=9,COUNT(F590:F601)=9),cubic_spline(F589:F598,A589:A598,B$9),IF(AND(COUNT(A590:A601)=10,COUNT(F590:F601)=10),cubic_spline(F589:F599,A589:A599,B$9),IF(AND(COUNT(A590:A601)=11,COUNT(F590:F601)=11),cubic_spline(F589:F600,A589:A600,B$9),IF(AND(COUNT(A590:A601)=12,COUNT(F590:F601)=12),cubic_spline(F589:F601,A589:A601,B$9),""))))))))))))</f>
        <v/>
      </c>
      <c r="L597" s="27" t="str">
        <f>IF(I597="","",B$8&amp;"-"&amp;B$9)</f>
        <v/>
      </c>
      <c r="M597" s="52" t="str">
        <f t="shared" si="225"/>
        <v/>
      </c>
    </row>
    <row r="598" spans="1:13" x14ac:dyDescent="0.35">
      <c r="A598" s="48"/>
      <c r="B598" s="48"/>
      <c r="C598" s="50"/>
      <c r="D598" s="50"/>
      <c r="E598" s="51" t="str">
        <f t="shared" si="223"/>
        <v/>
      </c>
      <c r="F598" s="71" t="str">
        <f t="shared" si="221"/>
        <v/>
      </c>
      <c r="G598" s="69" t="str">
        <f t="shared" si="224"/>
        <v/>
      </c>
      <c r="H598" s="70" t="str">
        <f t="shared" si="222"/>
        <v/>
      </c>
      <c r="I598" s="27" t="str">
        <f>IF(N(J598)=0,"",0&amp;"-"&amp;B$10)</f>
        <v/>
      </c>
      <c r="J598" s="52" t="str">
        <f>IF(N(B$10)=0,"",IF(AND(COUNT(H590:H601)=2,COUNT(F590:F601)=2),cubic_spline(F589:F591,H589:H591,B$10),IF(AND(COUNT(H590:H601)=3,COUNT(F590:F601)=3),cubic_spline(F589:F592,H589:H592,B$10),IF(AND(COUNT(H590:H601)=4,COUNT(F590:F601)=4),cubic_spline(F589:F593,H589:H593,B$10),IF(AND(COUNT(H590:H601)=5,COUNT(F590:F601)=5),cubic_spline(F589:F594,H589:H594,B$10),IF(AND(COUNT(H590:H601)=6,COUNT(F590:F601)=6),cubic_spline(F589:F595,H589:H595,B$10),IF(AND(COUNT(H590:H601)=7,COUNT(F590:F601)=7),cubic_spline(F589:F596,H589:H596,B$10),IF(AND(COUNT(H590:H601)=8,COUNT(F590:F601)=8),cubic_spline(F589:F597,H589:H597,B$10),IF(AND(COUNT(H590:H601)=9,COUNT(F590:F601)=9),cubic_spline(F589:F598,H589:H598,B$10),IF(AND(COUNT(H590:H601)=10,COUNT(F590:F601)=10),cubic_spline(F589:F599,H589:H599,B$10),IF(AND(COUNT(H590:H601)=11,COUNT(F590:F601)=11),cubic_spline(F589:F600,H589:H600,B$10),IF(AND(COUNT(H590:H601)=12,COUNT(F590:F601)=12),cubic_spline(F589:F601,H589:H601,B$10),""))))))))))))</f>
        <v/>
      </c>
      <c r="K598" s="52" t="str">
        <f>IF(N(B$10)=0,"",IF(AND(COUNT(A590:A601)=2,COUNT(F590:F601)=2),cubic_spline(F589:F591,A589:A591,B$10),IF(AND(COUNT(A590:A601)=3,COUNT(F590:F601)=3),cubic_spline(F589:F592,A589:A592,B$10),IF(AND(COUNT(A590:A601)=4,COUNT(F590:F601)=4),cubic_spline(F589:F593,A589:A593,B$10),IF(AND(COUNT(A590:A601)=5,COUNT(F590:F601)=5),cubic_spline(F589:F594,A589:A594,B$10),IF(AND(COUNT(A590:A601)=6,COUNT(F590:F601)=6),cubic_spline(F589:F595,A589:A595,B$10),IF(AND(COUNT(A590:A601)=7,COUNT(F590:F601)=7),cubic_spline(F589:F596,A589:A596,B$10),IF(AND(COUNT(A590:A601)=8,COUNT(F590:F601)=8),cubic_spline(F589:F597,A589:A597,B$10),IF(AND(COUNT(A590:A601)=9,COUNT(F590:F601)=9),cubic_spline(F589:F598,A589:A598,B$10),IF(AND(COUNT(A590:A601)=10,COUNT(F590:F601)=10),cubic_spline(F589:F599,A589:A599,B$10),IF(AND(COUNT(A590:A601)=11,COUNT(F590:F601)=11),cubic_spline(F589:F600,A589:A600,B$10),IF(AND(COUNT(A590:A601)=12,COUNT(F590:F601)=12),cubic_spline(F589:F601,A589:A601,B$10),""))))))))))))</f>
        <v/>
      </c>
      <c r="L598" s="27" t="str">
        <f>IF(I598="","",B$9&amp;"-"&amp;B$10)</f>
        <v/>
      </c>
      <c r="M598" s="52" t="str">
        <f t="shared" si="225"/>
        <v/>
      </c>
    </row>
    <row r="599" spans="1:13" x14ac:dyDescent="0.35">
      <c r="A599" s="48"/>
      <c r="B599" s="48"/>
      <c r="C599" s="50"/>
      <c r="D599" s="50"/>
      <c r="E599" s="51" t="str">
        <f t="shared" si="223"/>
        <v/>
      </c>
      <c r="F599" s="71" t="str">
        <f t="shared" si="221"/>
        <v/>
      </c>
      <c r="G599" s="69" t="str">
        <f t="shared" si="224"/>
        <v/>
      </c>
      <c r="H599" s="70" t="str">
        <f t="shared" si="222"/>
        <v/>
      </c>
      <c r="I599" s="27" t="str">
        <f>IF(N(J599)=0,"",0&amp;"-"&amp;B$11)</f>
        <v/>
      </c>
      <c r="J599" s="52" t="str">
        <f>IF(N(B$11)=0,"",IF(AND(COUNT(H590:H601)=2,COUNT(F590:F601)=2),cubic_spline(F589:F591,H589:H591,B$11),IF(AND(COUNT(H590:H601)=3,COUNT(F590:F601)=3),cubic_spline(F589:F592,H589:H592,B$11),IF(AND(COUNT(H590:H601)=4,COUNT(F590:F601)=4),cubic_spline(F589:F593,H589:H593,B$11),IF(AND(COUNT(H590:H601)=5,COUNT(F590:F601)=5),cubic_spline(F589:F594,H589:H594,B$11),IF(AND(COUNT(H590:H601)=6,COUNT(F590:F601)=6),cubic_spline(F589:F595,H589:H595,B$11),IF(AND(COUNT(H590:H601)=7,COUNT(F590:F601)=7),cubic_spline(F589:F596,H589:H596,B$11),IF(AND(COUNT(H590:H601)=8,COUNT(F590:F601)=8),cubic_spline(F589:F597,H589:H597,B$11),IF(AND(COUNT(H590:H601)=9,COUNT(F590:F601)=9),cubic_spline(F589:F598,H589:H598,B$11),IF(AND(COUNT(H590:H601)=10,COUNT(F590:F601)=10),cubic_spline(F589:F599,H589:H599,B$11),IF(AND(COUNT(H590:H601)=11,COUNT(F590:F601)=11),cubic_spline(F589:F600,H589:H600,B$11),IF(AND(COUNT(H590:H601)=12,COUNT(F590:F601)=12),cubic_spline(F589:F601,H589:H601,B$11),""))))))))))))</f>
        <v/>
      </c>
      <c r="K599" s="52" t="str">
        <f>IF(N(B$11)=0,"",IF(AND(COUNT(A590:A601)=2,COUNT(F590:F601)=2),cubic_spline(F589:F591,A589:A591,B$11),IF(AND(COUNT(A590:A601)=3,COUNT(F590:F601)=3),cubic_spline(F589:F592,A589:A592,B$11),IF(AND(COUNT(A590:A601)=4,COUNT(F590:F601)=4),cubic_spline(F589:F593,A589:A593,B$11),IF(AND(COUNT(A590:A601)=5,COUNT(F590:F601)=5),cubic_spline(F589:F594,A589:A594,B$11),IF(AND(COUNT(A590:A601)=6,COUNT(F590:F601)=6),cubic_spline(F589:F595,A589:A595,B$11),IF(AND(COUNT(A590:A601)=7,COUNT(F590:F601)=7),cubic_spline(F589:F596,A589:A596,B$11),IF(AND(COUNT(A590:A601)=8,COUNT(F590:F601)=8),cubic_spline(F589:F597,A589:A597,B$11),IF(AND(COUNT(A590:A601)=9,COUNT(F590:F601)=9),cubic_spline(F589:F598,A589:A598,B$11),IF(AND(COUNT(A590:A601)=10,COUNT(F590:F601)=10),cubic_spline(F589:F599,A589:A599,B$11),IF(AND(COUNT(A590:A601)=11,COUNT(F590:F601)=11),cubic_spline(F589:F600,A589:A600,B$11),IF(AND(COUNT(A590:A601)=12,COUNT(F590:F601)=12),cubic_spline(F589:F601,A589:A601,B$11),""))))))))))))</f>
        <v/>
      </c>
      <c r="L599" s="27" t="str">
        <f>IF(I599="","",B$10&amp;"-"&amp;B$11)</f>
        <v/>
      </c>
      <c r="M599" s="52" t="str">
        <f t="shared" si="225"/>
        <v/>
      </c>
    </row>
    <row r="600" spans="1:13" x14ac:dyDescent="0.35">
      <c r="A600" s="48"/>
      <c r="B600" s="48"/>
      <c r="C600" s="50"/>
      <c r="D600" s="50"/>
      <c r="E600" s="51" t="str">
        <f t="shared" si="223"/>
        <v/>
      </c>
      <c r="F600" s="71" t="str">
        <f t="shared" si="221"/>
        <v/>
      </c>
      <c r="G600" s="69" t="str">
        <f t="shared" si="224"/>
        <v/>
      </c>
      <c r="H600" s="70" t="str">
        <f t="shared" si="222"/>
        <v/>
      </c>
      <c r="I600" s="27" t="str">
        <f>IF(N(J600)=0,"",0&amp;"-"&amp;B$12)</f>
        <v/>
      </c>
      <c r="J600" s="52" t="str">
        <f>IF(N(B$12)=0,"",IF(AND(COUNT(H590:H601)=2,COUNT(F590:F601)=2),cubic_spline(F589:F591,H589:H591,B$12),IF(AND(COUNT(H590:H601)=3,COUNT(F590:F601)=3),cubic_spline(F589:F592,H589:H592,B$12),IF(AND(COUNT(H590:H601)=4,COUNT(F590:F601)=4),cubic_spline(F589:F593,H589:H593,B$12),IF(AND(COUNT(H590:H601)=5,COUNT(F590:F601)=5),cubic_spline(F589:F594,H589:H594,B$12),IF(AND(COUNT(H590:H601)=6,COUNT(F590:F601)=6),cubic_spline(F589:F595,H589:H595,B$12),IF(AND(COUNT(H590:H601)=7,COUNT(F590:F601)=7),cubic_spline(F589:F596,H589:H596,B$12),IF(AND(COUNT(H590:H601)=8,COUNT(F590:F601)=8),cubic_spline(F589:F597,H589:H597,B$12),IF(AND(COUNT(H590:H601)=9,COUNT(F590:F601)=9),cubic_spline(F589:F598,H589:H598,B$12),IF(AND(COUNT(H590:H601)=10,COUNT(F590:F601)=10),cubic_spline(F589:F599,H589:H599,B$12),IF(AND(COUNT(H590:H601)=11,COUNT(F590:F601)=11),cubic_spline(F589:F600,H589:H600,B$12),IF(AND(COUNT(H590:H601)=12,COUNT(F590:F601)=12),cubic_spline(F589:F601,H589:H601,B$12),""))))))))))))</f>
        <v/>
      </c>
      <c r="K600" s="52" t="str">
        <f>IF(N(B$12)=0,"",IF(AND(COUNT(A590:A601)=2,COUNT(F590:F601)=2),cubic_spline(F589:F591,A589:A591,B$12),IF(AND(COUNT(A590:A601)=3,COUNT(F590:F601)=3),cubic_spline(F589:F592,A589:A592,B$12),IF(AND(COUNT(A590:A601)=4,COUNT(F590:F601)=4),cubic_spline(F589:F593,A589:A593,B$12),IF(AND(COUNT(A590:A601)=5,COUNT(F590:F601)=5),cubic_spline(F589:F594,A589:A594,B$12),IF(AND(COUNT(A590:A601)=6,COUNT(F590:F601)=6),cubic_spline(F589:F595,A589:A595,B$12),IF(AND(COUNT(A590:A601)=7,COUNT(F590:F601)=7),cubic_spline(F589:F596,A589:A596,B$12),IF(AND(COUNT(A590:A601)=8,COUNT(F590:F601)=8),cubic_spline(F589:F597,A589:A597,B$12),IF(AND(COUNT(A590:A601)=9,COUNT(F590:F601)=9),cubic_spline(F589:F598,A589:A598,B$12),IF(AND(COUNT(A590:A601)=10,COUNT(F590:F601)=10),cubic_spline(F589:F599,A589:A599,B$12),IF(AND(COUNT(A590:A601)=11,COUNT(F590:F601)=11),cubic_spline(F589:F600,A589:A600,B$12),IF(AND(COUNT(A590:A601)=12,COUNT(F590:F601)=12),cubic_spline(F589:F601,A589:A601,B$12),""))))))))))))</f>
        <v/>
      </c>
      <c r="L600" s="27" t="str">
        <f>IF(I600="","",B$11&amp;"-"&amp;B$12)</f>
        <v/>
      </c>
      <c r="M600" s="52" t="str">
        <f t="shared" si="225"/>
        <v/>
      </c>
    </row>
    <row r="601" spans="1:13" x14ac:dyDescent="0.35">
      <c r="A601" s="48"/>
      <c r="B601" s="48"/>
      <c r="C601" s="50"/>
      <c r="D601" s="50"/>
      <c r="E601" s="51" t="str">
        <f t="shared" si="223"/>
        <v/>
      </c>
      <c r="F601" s="71" t="str">
        <f t="shared" si="221"/>
        <v/>
      </c>
      <c r="G601" s="69" t="str">
        <f t="shared" si="224"/>
        <v/>
      </c>
      <c r="H601" s="70" t="str">
        <f t="shared" si="222"/>
        <v/>
      </c>
      <c r="I601" s="27" t="str">
        <f>IF(N(J601)=0,"",0&amp;"-"&amp;B$13)</f>
        <v/>
      </c>
      <c r="J601" s="52" t="str">
        <f>IF(N(B$13)=0,"",IF(AND(COUNT(H590:H601)=2,COUNT(F590:F601)=2),cubic_spline(F589:F591,H589:H591,B$13),IF(AND(COUNT(H590:H601)=3,COUNT(F590:F601)=3),cubic_spline(F589:F592,H589:H592,B$13),IF(AND(COUNT(H590:H601)=4,COUNT(F590:F601)=4),cubic_spline(F589:F593,H589:H593,B$13),IF(AND(COUNT(H590:H601)=5,COUNT(F590:F601)=5),cubic_spline(F589:F594,H589:H594,B$13),IF(AND(COUNT(H590:H601)=6,COUNT(F590:F601)=6),cubic_spline(F589:F595,H589:H595,B$13),IF(AND(COUNT(H590:H601)=7,COUNT(F590:F601)=7),cubic_spline(F589:F596,H589:H596,B$13),IF(AND(COUNT(H590:H601)=8,COUNT(F590:F601)=8),cubic_spline(F589:F597,H589:H597,B$13),IF(AND(COUNT(H590:H601)=9,COUNT(F590:F601)=9),cubic_spline(F589:F598,H589:H598,B$13),IF(AND(COUNT(H590:H601)=10,COUNT(F590:F601)=10),cubic_spline(F589:F599,H589:H599,B$13),IF(AND(COUNT(H590:H601)=11,COUNT(F590:F601)=11),cubic_spline(F589:F600,H589:H600,B$13),IF(AND(COUNT(H590:H601)=12,COUNT(F590:F601)=12),cubic_spline(F589:F601,H589:H601,B$13),""))))))))))))</f>
        <v/>
      </c>
      <c r="K601" s="52" t="str">
        <f>IF(N(B$13)=0,"",IF(AND(COUNT(A590:A601)=2,COUNT(F590:F601)=2),cubic_spline(F589:F591,A589:A591,B$13),IF(AND(COUNT(A590:A601)=3,COUNT(F590:F601)=3),cubic_spline(F589:F592,A589:A592,B$13),IF(AND(COUNT(A590:A601)=4,COUNT(F590:F601)=4),cubic_spline(F589:F593,A589:A593,B$13),IF(AND(COUNT(A590:A601)=5,COUNT(F590:F601)=5),cubic_spline(F589:F594,A589:A594,B$13),IF(AND(COUNT(A590:A601)=6,COUNT(F590:F601)=6),cubic_spline(F589:F595,A589:A595,B$13),IF(AND(COUNT(A590:A601)=7,COUNT(F590:F601)=7),cubic_spline(F589:F596,A589:A596,B$13),IF(AND(COUNT(A590:A601)=8,COUNT(F590:F601)=8),cubic_spline(F589:F597,A589:A597,B$13),IF(AND(COUNT(A590:A601)=9,COUNT(F590:F601)=9),cubic_spline(F589:F598,A589:A598,B$13),IF(AND(COUNT(A590:A601)=10,COUNT(F590:F601)=10),cubic_spline(F589:F599,A589:A599,B$13),IF(AND(COUNT(A590:A601)=11,COUNT(F590:F601)=11),cubic_spline(F589:F600,A589:A600,B$13),IF(AND(COUNT(A590:A601)=12,COUNT(F590:F601)=12),cubic_spline(F589:F601,A589:A601,B$13),""))))))))))))</f>
        <v/>
      </c>
      <c r="L601" s="27" t="str">
        <f>IF(I601="","",B$12&amp;"-"&amp;B$13)</f>
        <v/>
      </c>
      <c r="M601" s="52" t="str">
        <f t="shared" si="225"/>
        <v/>
      </c>
    </row>
    <row r="602" spans="1:13" ht="5.15" customHeight="1" x14ac:dyDescent="0.35">
      <c r="A602" s="47"/>
      <c r="B602" s="47"/>
      <c r="C602" s="53"/>
      <c r="D602" s="53"/>
      <c r="E602" s="54"/>
      <c r="F602" s="55"/>
      <c r="G602" s="72"/>
      <c r="H602" s="73"/>
      <c r="I602" s="47"/>
      <c r="J602" s="57"/>
      <c r="K602" s="57"/>
      <c r="L602" s="55"/>
      <c r="M602" s="57"/>
    </row>
    <row r="603" spans="1:13" x14ac:dyDescent="0.35">
      <c r="A603" s="48"/>
      <c r="B603" s="48"/>
      <c r="C603" s="50"/>
      <c r="D603" s="50"/>
      <c r="E603" s="51" t="str">
        <f>IF(N(C603)=0,"",(A603-A602)*C603*100)</f>
        <v/>
      </c>
      <c r="F603" s="68" t="str">
        <f t="shared" ref="F603:F614" si="226">IF(N(E603)=0,"",(N(E603)+N(F602)))</f>
        <v/>
      </c>
      <c r="G603" s="69" t="str">
        <f>IF(OR(N(D603)=0,N(E603)=0),"",(E603*D603)/1000)</f>
        <v/>
      </c>
      <c r="H603" s="70" t="str">
        <f t="shared" ref="H603:H614" si="227">IF(N(G603)=0,"",(N(G603)+N(H602)))</f>
        <v/>
      </c>
      <c r="I603" s="27" t="str">
        <f>IF(N(J603)=0,"",0&amp;"-"&amp;B$2)</f>
        <v/>
      </c>
      <c r="J603" s="52" t="str">
        <f>IF(N(B$2)=0,"",IF(AND(COUNT(H603:H614)=2,COUNT(F603:F614)=2),cubic_spline(F602:F604,H602:H604,B$2),IF(AND(COUNT(H603:H614)=3,COUNT(F603:F614)=3),cubic_spline(F602:F605,H602:H605,B$2),IF(AND(COUNT(H603:H614)=4,COUNT(F603:F614)=4),cubic_spline(F602:F606,H602:H606,B$2),IF(AND(COUNT(H603:H614)=5,COUNT(F603:F614)=5),cubic_spline(F602:F607,H602:H607,B$2),IF(AND(COUNT(H603:H614)=6,COUNT(F603:F614)=6),cubic_spline(F602:F608,H602:H608,B$2),IF(AND(COUNT(H603:H614)=7,COUNT(F603:F614)=7),cubic_spline(F602:F609,H602:H609,B$2),IF(AND(COUNT(H603:H614)=8,COUNT(F603:F614)=8),cubic_spline(F602:F610,H602:H610,B$2),IF(AND(COUNT(H603:H614)=9,COUNT(F603:F614)=9),cubic_spline(F602:F611,H602:H611,B$2),IF(AND(COUNT(H603:H614)=10,COUNT(F603:F614)=10),cubic_spline(F602:F612,H602:H612,B$2),IF(AND(COUNT(H603:H614)=11,COUNT(F603:F614)=11),cubic_spline(F602:F613,H602:H613,B$2),IF(AND(COUNT(H603:H614)=12,COUNT(F603:F614)=12),cubic_spline(F602:F614,H602:H614,B$2),""))))))))))))</f>
        <v/>
      </c>
      <c r="K603" s="52" t="str">
        <f>IF(N(B$2)=0,"",IF(AND(COUNT(A603:A614)=2,COUNT(F603:F614)=2),cubic_spline(F602:F604,A602:A604,B$2),IF(AND(COUNT(A603:A614)=3,COUNT(F603:F614)=3),cubic_spline(F602:F605,A602:A605,B$2),IF(AND(COUNT(A603:A614)=4,COUNT(F603:F614)=4),cubic_spline(F602:F606,A602:A606,B$2),IF(AND(COUNT(A603:A614)=5,COUNT(F603:F614)=5),cubic_spline(F602:F607,A602:A607,B$2),IF(AND(COUNT(A603:A614)=6,COUNT(F603:F614)=6),cubic_spline(F602:F608,A602:A608,B$2),IF(AND(COUNT(A603:A614)=7,COUNT(F603:F614)=7),cubic_spline(F602:F609,A602:A609,B$2),IF(AND(COUNT(A603:A614)=8,COUNT(F603:F614)=8),cubic_spline(F602:F610,A602:A610,B$2),IF(AND(COUNT(A603:A614)=9,COUNT(F603:F614)=9),cubic_spline(F602:F611,A602:A611,B$2),IF(AND(COUNT(A603:A614)=10,COUNT(F603:F614)=10),cubic_spline(F602:F612,A602:A612,B$2),IF(AND(COUNT(A603:A614)=11,COUNT(F603:F614)=11),cubic_spline(F602:F613,A602:A613,B$2),IF(AND(COUNT(A603:A614)=12,COUNT(F603:F614)=12),cubic_spline(F602:F614,A602:A614,B$2),""))))))))))))</f>
        <v/>
      </c>
      <c r="L603" s="27" t="str">
        <f>IF(I603="","",0&amp;"-"&amp;B$2)</f>
        <v/>
      </c>
      <c r="M603" s="52" t="str">
        <f>IF(N(J603)=0,"",J603-J602)</f>
        <v/>
      </c>
    </row>
    <row r="604" spans="1:13" x14ac:dyDescent="0.35">
      <c r="A604" s="48"/>
      <c r="B604" s="48"/>
      <c r="C604" s="50"/>
      <c r="D604" s="50"/>
      <c r="E604" s="51" t="str">
        <f t="shared" ref="E604:E614" si="228">IF(N(C604)=0,"",(A604-A603)*C604*100)</f>
        <v/>
      </c>
      <c r="F604" s="68" t="str">
        <f t="shared" si="226"/>
        <v/>
      </c>
      <c r="G604" s="69" t="str">
        <f t="shared" ref="G604:G614" si="229">IF(OR(N(D604)=0,N(E604)=0),"",(E604*D604)/1000)</f>
        <v/>
      </c>
      <c r="H604" s="70" t="str">
        <f t="shared" si="227"/>
        <v/>
      </c>
      <c r="I604" s="27" t="str">
        <f>IF(N(J604)=0,"",0&amp;"-"&amp;B$3)</f>
        <v/>
      </c>
      <c r="J604" s="52" t="str">
        <f>IF(N(B$3)=0,"",IF(AND(COUNT(H603:H614)=2,COUNT(F603:F614)=2),cubic_spline(F602:F604,H602:H604,B$3),IF(AND(COUNT(H603:H614)=3,COUNT(F603:F614)=3),cubic_spline(F602:F605,H602:H605,B$3),IF(AND(COUNT(H603:H614)=4,COUNT(F603:F614)=4),cubic_spline(F602:F606,H602:H606,B$3),IF(AND(COUNT(H603:H614)=5,COUNT(F603:F614)=5),cubic_spline(F602:F607,H602:H607,B$3),IF(AND(COUNT(H603:H614)=6,COUNT(F603:F614)=6),cubic_spline(F602:F608,H602:H608,B$3),IF(AND(COUNT(H603:H614)=7,COUNT(F603:F614)=7),cubic_spline(F602:F609,H602:H609,B$3),IF(AND(COUNT(H603:H614)=8,COUNT(F603:F614)=8),cubic_spline(F602:F610,H602:H610,B$3),IF(AND(COUNT(H603:H614)=9,COUNT(F603:F614)=9),cubic_spline(F602:F611,H602:H611,B$3),IF(AND(COUNT(H603:H614)=10,COUNT(F603:F614)=10),cubic_spline(F602:F612,H602:H612,B$3),IF(AND(COUNT(H603:H614)=11,COUNT(F603:F614)=11),cubic_spline(F602:F613,H602:H613,B$3),IF(AND(COUNT(H603:H614)=12,COUNT(F603:F614)=12),cubic_spline(F602:F614,H602:H614,B$3),""))))))))))))</f>
        <v/>
      </c>
      <c r="K604" s="52" t="str">
        <f>IF(N(B$3)=0,"",IF(AND(COUNT(A603:A614)=2,COUNT(F603:F614)=2),cubic_spline(F602:F604,A602:A604,B$3),IF(AND(COUNT(A603:A614)=3,COUNT(F603:F614)=3),cubic_spline(F602:F605,A602:A605,B$3),IF(AND(COUNT(A603:A614)=4,COUNT(F603:F614)=4),cubic_spline(F602:F606,A602:A606,B$3),IF(AND(COUNT(A603:A614)=5,COUNT(F603:F614)=5),cubic_spline(F602:F607,A602:A607,B$3),IF(AND(COUNT(A603:A614)=6,COUNT(F603:F614)=6),cubic_spline(F602:F608,A602:A608,B$3),IF(AND(COUNT(A603:A614)=7,COUNT(F603:F614)=7),cubic_spline(F602:F609,A602:A609,B$3),IF(AND(COUNT(A603:A614)=8,COUNT(F603:F614)=8),cubic_spline(F602:F610,A602:A610,B$3),IF(AND(COUNT(A603:A614)=9,COUNT(F603:F614)=9),cubic_spline(F602:F611,A602:A611,B$3),IF(AND(COUNT(A603:A614)=10,COUNT(F603:F614)=10),cubic_spline(F602:F612,A602:A612,B$3),IF(AND(COUNT(A603:A614)=11,COUNT(F603:F614)=11),cubic_spline(F602:F613,A602:A613,B$3),IF(AND(COUNT(A603:A614)=12,COUNT(F603:F614)=12),cubic_spline(F602:F614,A602:A614,B$3),""))))))))))))</f>
        <v/>
      </c>
      <c r="L604" s="27" t="str">
        <f>IF(I604="","",B$2&amp;"-"&amp;B$3)</f>
        <v/>
      </c>
      <c r="M604" s="52" t="str">
        <f>IF(N(J604)=0,"",J604-J603)</f>
        <v/>
      </c>
    </row>
    <row r="605" spans="1:13" x14ac:dyDescent="0.35">
      <c r="A605" s="48"/>
      <c r="B605" s="48"/>
      <c r="C605" s="50"/>
      <c r="D605" s="50"/>
      <c r="E605" s="51" t="str">
        <f t="shared" si="228"/>
        <v/>
      </c>
      <c r="F605" s="68" t="str">
        <f t="shared" si="226"/>
        <v/>
      </c>
      <c r="G605" s="69" t="str">
        <f t="shared" si="229"/>
        <v/>
      </c>
      <c r="H605" s="70" t="str">
        <f t="shared" si="227"/>
        <v/>
      </c>
      <c r="I605" s="27" t="str">
        <f>IF(N(J605)=0,"",0&amp;"-"&amp;B$4)</f>
        <v/>
      </c>
      <c r="J605" s="52" t="str">
        <f>IF(N(B$4)=0,"",IF(AND(COUNT(H603:H614)=2,COUNT(F603:F614)=2),cubic_spline(F602:F604,H602:H604,B$4),IF(AND(COUNT(H603:H614)=3,COUNT(F603:F614)=3),cubic_spline(F602:F605,H602:H605,B$4),IF(AND(COUNT(H603:H614)=4,COUNT(F603:F614)=4),cubic_spline(F602:F606,H602:H606,B$4),IF(AND(COUNT(H603:H614)=5,COUNT(F603:F614)=5),cubic_spline(F602:F607,H602:H607,B$4),IF(AND(COUNT(H603:H614)=6,COUNT(F603:F614)=6),cubic_spline(F602:F608,H602:H608,B$4),IF(AND(COUNT(H603:H614)=7,COUNT(F603:F614)=7),cubic_spline(F602:F609,H602:H609,B$4),IF(AND(COUNT(H603:H614)=8,COUNT(F603:F614)=8),cubic_spline(F602:F610,H602:H610,B$4),IF(AND(COUNT(H603:H614)=9,COUNT(F603:F614)=9),cubic_spline(F602:F611,H602:H611,B$4),IF(AND(COUNT(H603:H614)=10,COUNT(F603:F614)=10),cubic_spline(F602:F612,H602:H612,B$4),IF(AND(COUNT(H603:H614)=11,COUNT(F603:F614)=11),cubic_spline(F602:F613,H602:H613,B$4),IF(AND(COUNT(H603:H614)=12,COUNT(F603:F614)=12),cubic_spline(F602:F614,H602:H614,B$4),""))))))))))))</f>
        <v/>
      </c>
      <c r="K605" s="52" t="str">
        <f>IF(N(B$4)=0,"",IF(AND(COUNT(A603:A614)=2,COUNT(F603:F614)=2),cubic_spline(F602:F604,A602:A604,B$4),IF(AND(COUNT(A603:A614)=3,COUNT(F603:F614)=3),cubic_spline(F602:F605,A602:A605,B$4),IF(AND(COUNT(A603:A614)=4,COUNT(F603:F614)=4),cubic_spline(F602:F606,A602:A606,B$4),IF(AND(COUNT(A603:A614)=5,COUNT(F603:F614)=5),cubic_spline(F602:F607,A602:A607,B$4),IF(AND(COUNT(A603:A614)=6,COUNT(F603:F614)=6),cubic_spline(F602:F608,A602:A608,B$4),IF(AND(COUNT(A603:A614)=7,COUNT(F603:F614)=7),cubic_spline(F602:F609,A602:A609,B$4),IF(AND(COUNT(A603:A614)=8,COUNT(F603:F614)=8),cubic_spline(F602:F610,A602:A610,B$4),IF(AND(COUNT(A603:A614)=9,COUNT(F603:F614)=9),cubic_spline(F602:F611,A602:A611,B$4),IF(AND(COUNT(A603:A614)=10,COUNT(F603:F614)=10),cubic_spline(F602:F612,A602:A612,B$4),IF(AND(COUNT(A603:A614)=11,COUNT(F603:F614)=11),cubic_spline(F602:F613,A602:A613,B$4),IF(AND(COUNT(A603:A614)=12,COUNT(F603:F614)=12),cubic_spline(F602:F614,A602:A614,B$4),""))))))))))))</f>
        <v/>
      </c>
      <c r="L605" s="27" t="str">
        <f>IF(I605="","",B$3&amp;"-"&amp;B$4)</f>
        <v/>
      </c>
      <c r="M605" s="52" t="str">
        <f>IF(N(J605)=0,"",J605-J604)</f>
        <v/>
      </c>
    </row>
    <row r="606" spans="1:13" x14ac:dyDescent="0.35">
      <c r="A606" s="48"/>
      <c r="B606" s="48"/>
      <c r="C606" s="50"/>
      <c r="D606" s="50"/>
      <c r="E606" s="51" t="str">
        <f t="shared" si="228"/>
        <v/>
      </c>
      <c r="F606" s="68" t="str">
        <f t="shared" si="226"/>
        <v/>
      </c>
      <c r="G606" s="69" t="str">
        <f t="shared" si="229"/>
        <v/>
      </c>
      <c r="H606" s="70" t="str">
        <f t="shared" si="227"/>
        <v/>
      </c>
      <c r="I606" s="27" t="str">
        <f>IF(N(J606)=0,"",0&amp;"-"&amp;B$5)</f>
        <v/>
      </c>
      <c r="J606" s="52" t="str">
        <f>IF(N(B$5)=0,"",IF(AND(COUNT(H603:H614)=2,COUNT(F603:F614)=2),cubic_spline(F602:F604,H602:H604,B$5),IF(AND(COUNT(H603:H614)=3,COUNT(F603:F614)=3),cubic_spline(F602:F605,H602:H605,B$5),IF(AND(COUNT(H603:H614)=4,COUNT(F603:F614)=4),cubic_spline(F602:F606,H602:H606,B$5),IF(AND(COUNT(H603:H614)=5,COUNT(F603:F614)=5),cubic_spline(F602:F607,H602:H607,B$5),IF(AND(COUNT(H603:H614)=6,COUNT(F603:F614)=6),cubic_spline(F602:F608,H602:H608,B$5),IF(AND(COUNT(H603:H614)=7,COUNT(F603:F614)=7),cubic_spline(F602:F609,H602:H609,B$5),IF(AND(COUNT(H603:H614)=8,COUNT(F603:F614)=8),cubic_spline(F602:F610,H602:H610,B$5),IF(AND(COUNT(H603:H614)=9,COUNT(F603:F614)=9),cubic_spline(F602:F611,H602:H611,B$5),IF(AND(COUNT(H603:H614)=10,COUNT(F603:F614)=10),cubic_spline(F602:F612,H602:H612,B$5),IF(AND(COUNT(H603:H614)=11,COUNT(F603:F614)=11),cubic_spline(F602:F613,H602:H613,B$5),IF(AND(COUNT(H603:H614)=12,COUNT(F603:F614)=12),cubic_spline(F602:F614,H602:H614,B$5),""))))))))))))</f>
        <v/>
      </c>
      <c r="K606" s="52" t="str">
        <f>IF(N(B$5)=0,"",IF(AND(COUNT(A603:A614)=2,COUNT(F603:F614)=2),cubic_spline(F602:F604,A602:A604,B$5),IF(AND(COUNT(A603:A614)=3,COUNT(F603:F614)=3),cubic_spline(F602:F605,A602:A605,B$5),IF(AND(COUNT(A603:A614)=4,COUNT(F603:F614)=4),cubic_spline(F602:F606,A602:A606,B$5),IF(AND(COUNT(A603:A614)=5,COUNT(F603:F614)=5),cubic_spline(F602:F607,A602:A607,B$5),IF(AND(COUNT(A603:A614)=6,COUNT(F603:F614)=6),cubic_spline(F602:F608,A602:A608,B$5),IF(AND(COUNT(A603:A614)=7,COUNT(F603:F614)=7),cubic_spline(F602:F609,A602:A609,B$5),IF(AND(COUNT(A603:A614)=8,COUNT(F603:F614)=8),cubic_spline(F602:F610,A602:A610,B$5),IF(AND(COUNT(A603:A614)=9,COUNT(F603:F614)=9),cubic_spline(F602:F611,A602:A611,B$5),IF(AND(COUNT(A603:A614)=10,COUNT(F603:F614)=10),cubic_spline(F602:F612,A602:A612,B$5),IF(AND(COUNT(A603:A614)=11,COUNT(F603:F614)=11),cubic_spline(F602:F613,A602:A613,B$5),IF(AND(COUNT(A603:A614)=12,COUNT(F603:F614)=12),cubic_spline(F602:F614,A602:A614,B$5),""))))))))))))</f>
        <v/>
      </c>
      <c r="L606" s="27" t="str">
        <f>IF(I606="","",B$4&amp;"-"&amp;B$5)</f>
        <v/>
      </c>
      <c r="M606" s="52" t="str">
        <f>IF(N(J606)=0,"",J606-J605)</f>
        <v/>
      </c>
    </row>
    <row r="607" spans="1:13" x14ac:dyDescent="0.35">
      <c r="A607" s="48"/>
      <c r="B607" s="48"/>
      <c r="C607" s="50"/>
      <c r="D607" s="50"/>
      <c r="E607" s="51" t="str">
        <f t="shared" si="228"/>
        <v/>
      </c>
      <c r="F607" s="71" t="str">
        <f t="shared" si="226"/>
        <v/>
      </c>
      <c r="G607" s="69" t="str">
        <f t="shared" si="229"/>
        <v/>
      </c>
      <c r="H607" s="70" t="str">
        <f t="shared" si="227"/>
        <v/>
      </c>
      <c r="I607" s="27" t="str">
        <f>IF(N(J607)=0,"",0&amp;"-"&amp;B$6)</f>
        <v/>
      </c>
      <c r="J607" s="52" t="str">
        <f>IF(N(B$6)=0,"",IF(AND(COUNT(H603:H614)=2,COUNT(F603:F614)=2),cubic_spline(F602:F604,H602:H604,B$6),IF(AND(COUNT(H603:H614)=3,COUNT(F603:F614)=3),cubic_spline(F602:F605,H602:H605,B$6),IF(AND(COUNT(H603:H614)=4,COUNT(F603:F614)=4),cubic_spline(F602:F606,H602:H606,B$6),IF(AND(COUNT(H603:H614)=5,COUNT(F603:F614)=5),cubic_spline(F602:F607,H602:H607,B$6),IF(AND(COUNT(H603:H614)=6,COUNT(F603:F614)=6),cubic_spline(F602:F608,H602:H608,B$6),IF(AND(COUNT(H603:H614)=7,COUNT(F603:F614)=7),cubic_spline(F602:F609,H602:H609,B$6),IF(AND(COUNT(H603:H614)=8,COUNT(F603:F614)=8),cubic_spline(F602:F610,H602:H610,B$6),IF(AND(COUNT(H603:H614)=9,COUNT(F603:F614)=9),cubic_spline(F602:F611,H602:H611,B$6),IF(AND(COUNT(H603:H614)=10,COUNT(F603:F614)=10),cubic_spline(F602:F612,H602:H612,B$6),IF(AND(COUNT(H603:H614)=11,COUNT(F603:F614)=11),cubic_spline(F602:F613,H602:H613,B$6),IF(AND(COUNT(H603:H614)=12,COUNT(F603:F614)=12),cubic_spline(F602:F614,H602:H614,B$6),""))))))))))))</f>
        <v/>
      </c>
      <c r="K607" s="52" t="str">
        <f>IF(N(B$6)=0,"",IF(AND(COUNT(A603:A614)=2,COUNT(F603:F614)=2),cubic_spline(F602:F604,A602:A604,B$6),IF(AND(COUNT(A603:A614)=3,COUNT(F603:F614)=3),cubic_spline(F602:F605,A602:A605,B$6),IF(AND(COUNT(A603:A614)=4,COUNT(F603:F614)=4),cubic_spline(F602:F606,A602:A606,B$6),IF(AND(COUNT(A603:A614)=5,COUNT(F603:F614)=5),cubic_spline(F602:F607,A602:A607,B$6),IF(AND(COUNT(A603:A614)=6,COUNT(F603:F614)=6),cubic_spline(F602:F608,A602:A608,B$6),IF(AND(COUNT(A603:A614)=7,COUNT(F603:F614)=7),cubic_spline(F602:F609,A602:A609,B$6),IF(AND(COUNT(A603:A614)=8,COUNT(F603:F614)=8),cubic_spline(F602:F610,A602:A610,B$6),IF(AND(COUNT(A603:A614)=9,COUNT(F603:F614)=9),cubic_spline(F602:F611,A602:A611,B$6),IF(AND(COUNT(A603:A614)=10,COUNT(F603:F614)=10),cubic_spline(F602:F612,A602:A612,B$6),IF(AND(COUNT(A603:A614)=11,COUNT(F603:F614)=11),cubic_spline(F602:F613,A602:A613,B$6),IF(AND(COUNT(A603:A614)=12,COUNT(F603:F614)=12),cubic_spline(F602:F614,A602:A614,B$6),""))))))))))))</f>
        <v/>
      </c>
      <c r="L607" s="27" t="str">
        <f>IF(I607="","",B$5&amp;"-"&amp;B$6)</f>
        <v/>
      </c>
      <c r="M607" s="52" t="str">
        <f>IF(N(J607)=0,"",J607-J606)</f>
        <v/>
      </c>
    </row>
    <row r="608" spans="1:13" x14ac:dyDescent="0.35">
      <c r="A608" s="48"/>
      <c r="B608" s="48"/>
      <c r="C608" s="50"/>
      <c r="D608" s="50"/>
      <c r="E608" s="51" t="str">
        <f t="shared" si="228"/>
        <v/>
      </c>
      <c r="F608" s="71" t="str">
        <f t="shared" si="226"/>
        <v/>
      </c>
      <c r="G608" s="69" t="str">
        <f t="shared" si="229"/>
        <v/>
      </c>
      <c r="H608" s="70" t="str">
        <f t="shared" si="227"/>
        <v/>
      </c>
      <c r="I608" s="27" t="str">
        <f>IF(N(J608)=0,"",0&amp;"-"&amp;B$7)</f>
        <v/>
      </c>
      <c r="J608" s="52" t="str">
        <f>IF(N(B$7)=0,"",IF(AND(COUNT(H603:H614)=2,COUNT(F603:F614)=2),cubic_spline(F602:F604,H602:H604,B$7),IF(AND(COUNT(H603:H614)=3,COUNT(F603:F614)=3),cubic_spline(F602:F605,H602:H605,B$7),IF(AND(COUNT(H603:H614)=4,COUNT(F603:F614)=4),cubic_spline(F602:F606,H602:H606,B$7),IF(AND(COUNT(H603:H614)=5,COUNT(F603:F614)=5),cubic_spline(F602:F607,H602:H607,B$7),IF(AND(COUNT(H603:H614)=6,COUNT(F603:F614)=6),cubic_spline(F602:F608,H602:H608,B$7),IF(AND(COUNT(H603:H614)=7,COUNT(F603:F614)=7),cubic_spline(F602:F609,H602:H609,B$7),IF(AND(COUNT(H603:H614)=8,COUNT(F603:F614)=8),cubic_spline(F602:F610,H602:H610,B$7),IF(AND(COUNT(H603:H614)=9,COUNT(F603:F614)=9),cubic_spline(F602:F611,H602:H611,B$7),IF(AND(COUNT(H603:H614)=10,COUNT(F603:F614)=10),cubic_spline(F602:F612,H602:H612,B$7),IF(AND(COUNT(H603:H614)=11,COUNT(F603:F614)=11),cubic_spline(F602:F613,H602:H613,B$7),IF(AND(COUNT(H603:H614)=12,COUNT(F603:F614)=12),cubic_spline(F602:F614,H602:H614,B$7),""))))))))))))</f>
        <v/>
      </c>
      <c r="K608" s="52" t="str">
        <f>IF(N(B$7)=0,"",IF(AND(COUNT(A603:A614)=2,COUNT(F603:F614)=2),cubic_spline(F602:F604,A602:A604,B$7),IF(AND(COUNT(A603:A614)=3,COUNT(F603:F614)=3),cubic_spline(F602:F605,A602:A605,B$7),IF(AND(COUNT(A603:A614)=4,COUNT(F603:F614)=4),cubic_spline(F602:F606,A602:A606,B$7),IF(AND(COUNT(A603:A614)=5,COUNT(F603:F614)=5),cubic_spline(F602:F607,A602:A607,B$7),IF(AND(COUNT(A603:A614)=6,COUNT(F603:F614)=6),cubic_spline(F602:F608,A602:A608,B$7),IF(AND(COUNT(A603:A614)=7,COUNT(F603:F614)=7),cubic_spline(F602:F609,A602:A609,B$7),IF(AND(COUNT(A603:A614)=8,COUNT(F603:F614)=8),cubic_spline(F602:F610,A602:A610,B$7),IF(AND(COUNT(A603:A614)=9,COUNT(F603:F614)=9),cubic_spline(F602:F611,A602:A611,B$7),IF(AND(COUNT(A603:A614)=10,COUNT(F603:F614)=10),cubic_spline(F602:F612,A602:A612,B$7),IF(AND(COUNT(A603:A614)=11,COUNT(F603:F614)=11),cubic_spline(F602:F613,A602:A613,B$7),IF(AND(COUNT(A603:A614)=12,COUNT(F603:F614)=12),cubic_spline(F602:F614,A602:A614,B$7),""))))))))))))</f>
        <v/>
      </c>
      <c r="L608" s="27" t="str">
        <f>IF(I608="","",B$6&amp;"-"&amp;B$7)</f>
        <v/>
      </c>
      <c r="M608" s="52" t="str">
        <f t="shared" ref="M608:M614" si="230">IF(N(J608)=0,"",J608-J607)</f>
        <v/>
      </c>
    </row>
    <row r="609" spans="1:13" x14ac:dyDescent="0.35">
      <c r="A609" s="48"/>
      <c r="B609" s="48"/>
      <c r="C609" s="50"/>
      <c r="D609" s="50"/>
      <c r="E609" s="51" t="str">
        <f t="shared" si="228"/>
        <v/>
      </c>
      <c r="F609" s="71" t="str">
        <f t="shared" si="226"/>
        <v/>
      </c>
      <c r="G609" s="69" t="str">
        <f t="shared" si="229"/>
        <v/>
      </c>
      <c r="H609" s="70" t="str">
        <f t="shared" si="227"/>
        <v/>
      </c>
      <c r="I609" s="27" t="str">
        <f>IF(N(J609)=0,"",0&amp;"-"&amp;B$8)</f>
        <v/>
      </c>
      <c r="J609" s="52" t="str">
        <f>IF(N(B$8)=0,"",IF(AND(COUNT(H603:H614)=2,COUNT(F603:F614)=2),cubic_spline(F602:F604,H602:H604,B$8),IF(AND(COUNT(H603:H614)=3,COUNT(F603:F614)=3),cubic_spline(F602:F605,H602:H605,B$8),IF(AND(COUNT(H603:H614)=4,COUNT(F603:F614)=4),cubic_spline(F602:F606,H602:H606,B$8),IF(AND(COUNT(H603:H614)=5,COUNT(F603:F614)=5),cubic_spline(F602:F607,H602:H607,B$8),IF(AND(COUNT(H603:H614)=6,COUNT(F603:F614)=6),cubic_spline(F602:F608,H602:H608,B$8),IF(AND(COUNT(H603:H614)=7,COUNT(F603:F614)=7),cubic_spline(F602:F609,H602:H609,B$8),IF(AND(COUNT(H603:H614)=8,COUNT(F603:F614)=8),cubic_spline(F602:F610,H602:H610,B$8),IF(AND(COUNT(H603:H614)=9,COUNT(F603:F614)=9),cubic_spline(F602:F611,H602:H611,B$8),IF(AND(COUNT(H603:H614)=10,COUNT(F603:F614)=10),cubic_spline(F602:F612,H602:H612,B$8),IF(AND(COUNT(H603:H614)=11,COUNT(F603:F614)=11),cubic_spline(F602:F613,H602:H613,B$8),IF(AND(COUNT(H603:H614)=12,COUNT(F603:F614)=12),cubic_spline(F602:F614,H602:H614,B$8),""))))))))))))</f>
        <v/>
      </c>
      <c r="K609" s="52" t="str">
        <f>IF(N(B$8)=0,"",IF(AND(COUNT(A603:A614)=2,COUNT(F603:F614)=2),cubic_spline(F602:F604,A602:A604,B$8),IF(AND(COUNT(A603:A614)=3,COUNT(F603:F614)=3),cubic_spline(F602:F605,A602:A605,B$8),IF(AND(COUNT(A603:A614)=4,COUNT(F603:F614)=4),cubic_spline(F602:F606,A602:A606,B$8),IF(AND(COUNT(A603:A614)=5,COUNT(F603:F614)=5),cubic_spline(F602:F607,A602:A607,B$8),IF(AND(COUNT(A603:A614)=6,COUNT(F603:F614)=6),cubic_spline(F602:F608,A602:A608,B$8),IF(AND(COUNT(A603:A614)=7,COUNT(F603:F614)=7),cubic_spline(F602:F609,A602:A609,B$8),IF(AND(COUNT(A603:A614)=8,COUNT(F603:F614)=8),cubic_spline(F602:F610,A602:A610,B$8),IF(AND(COUNT(A603:A614)=9,COUNT(F603:F614)=9),cubic_spline(F602:F611,A602:A611,B$8),IF(AND(COUNT(A603:A614)=10,COUNT(F603:F614)=10),cubic_spline(F602:F612,A602:A612,B$8),IF(AND(COUNT(A603:A614)=11,COUNT(F603:F614)=11),cubic_spline(F602:F613,A602:A613,B$8),IF(AND(COUNT(A603:A614)=12,COUNT(F603:F614)=12),cubic_spline(F602:F614,A602:A614,B$8),""))))))))))))</f>
        <v/>
      </c>
      <c r="L609" s="27" t="str">
        <f>IF(I609="","",B$7&amp;"-"&amp;B$8)</f>
        <v/>
      </c>
      <c r="M609" s="52" t="str">
        <f t="shared" si="230"/>
        <v/>
      </c>
    </row>
    <row r="610" spans="1:13" x14ac:dyDescent="0.35">
      <c r="A610" s="48"/>
      <c r="B610" s="48"/>
      <c r="C610" s="50"/>
      <c r="D610" s="50"/>
      <c r="E610" s="51" t="str">
        <f t="shared" si="228"/>
        <v/>
      </c>
      <c r="F610" s="71" t="str">
        <f t="shared" si="226"/>
        <v/>
      </c>
      <c r="G610" s="69" t="str">
        <f t="shared" si="229"/>
        <v/>
      </c>
      <c r="H610" s="70" t="str">
        <f t="shared" si="227"/>
        <v/>
      </c>
      <c r="I610" s="27" t="str">
        <f>IF(N(J610)=0,"",0&amp;"-"&amp;B$9)</f>
        <v/>
      </c>
      <c r="J610" s="52" t="str">
        <f>IF(N(B$9)=0,"",IF(AND(COUNT(H603:H614)=2,COUNT(F603:F614)=2),cubic_spline(F602:F604,H602:H604,B$9),IF(AND(COUNT(H603:H614)=3,COUNT(F603:F614)=3),cubic_spline(F602:F605,H602:H605,B$9),IF(AND(COUNT(H603:H614)=4,COUNT(F603:F614)=4),cubic_spline(F602:F606,H602:H606,B$9),IF(AND(COUNT(H603:H614)=5,COUNT(F603:F614)=5),cubic_spline(F602:F607,H602:H607,B$9),IF(AND(COUNT(H603:H614)=6,COUNT(F603:F614)=6),cubic_spline(F602:F608,H602:H608,B$9),IF(AND(COUNT(H603:H614)=7,COUNT(F603:F614)=7),cubic_spline(F602:F609,H602:H609,B$9),IF(AND(COUNT(H603:H614)=8,COUNT(F603:F614)=8),cubic_spline(F602:F610,H602:H610,B$9),IF(AND(COUNT(H603:H614)=9,COUNT(F603:F614)=9),cubic_spline(F602:F611,H602:H611,B$9),IF(AND(COUNT(H603:H614)=10,COUNT(F603:F614)=10),cubic_spline(F602:F612,H602:H612,B$9),IF(AND(COUNT(H603:H614)=11,COUNT(F603:F614)=11),cubic_spline(F602:F613,H602:H613,B$9),IF(AND(COUNT(H603:H614)=12,COUNT(F603:F614)=12),cubic_spline(F602:F614,H602:H614,B$9),""))))))))))))</f>
        <v/>
      </c>
      <c r="K610" s="52" t="str">
        <f>IF(N(B$9)=0,"",IF(AND(COUNT(A603:A614)=2,COUNT(F603:F614)=2),cubic_spline(F602:F604,A602:A604,B$9),IF(AND(COUNT(A603:A614)=3,COUNT(F603:F614)=3),cubic_spline(F602:F605,A602:A605,B$9),IF(AND(COUNT(A603:A614)=4,COUNT(F603:F614)=4),cubic_spline(F602:F606,A602:A606,B$9),IF(AND(COUNT(A603:A614)=5,COUNT(F603:F614)=5),cubic_spline(F602:F607,A602:A607,B$9),IF(AND(COUNT(A603:A614)=6,COUNT(F603:F614)=6),cubic_spline(F602:F608,A602:A608,B$9),IF(AND(COUNT(A603:A614)=7,COUNT(F603:F614)=7),cubic_spline(F602:F609,A602:A609,B$9),IF(AND(COUNT(A603:A614)=8,COUNT(F603:F614)=8),cubic_spline(F602:F610,A602:A610,B$9),IF(AND(COUNT(A603:A614)=9,COUNT(F603:F614)=9),cubic_spline(F602:F611,A602:A611,B$9),IF(AND(COUNT(A603:A614)=10,COUNT(F603:F614)=10),cubic_spline(F602:F612,A602:A612,B$9),IF(AND(COUNT(A603:A614)=11,COUNT(F603:F614)=11),cubic_spline(F602:F613,A602:A613,B$9),IF(AND(COUNT(A603:A614)=12,COUNT(F603:F614)=12),cubic_spline(F602:F614,A602:A614,B$9),""))))))))))))</f>
        <v/>
      </c>
      <c r="L610" s="27" t="str">
        <f>IF(I610="","",B$8&amp;"-"&amp;B$9)</f>
        <v/>
      </c>
      <c r="M610" s="52" t="str">
        <f t="shared" si="230"/>
        <v/>
      </c>
    </row>
    <row r="611" spans="1:13" x14ac:dyDescent="0.35">
      <c r="A611" s="48"/>
      <c r="B611" s="48"/>
      <c r="C611" s="50"/>
      <c r="D611" s="50"/>
      <c r="E611" s="51" t="str">
        <f t="shared" si="228"/>
        <v/>
      </c>
      <c r="F611" s="71" t="str">
        <f t="shared" si="226"/>
        <v/>
      </c>
      <c r="G611" s="69" t="str">
        <f t="shared" si="229"/>
        <v/>
      </c>
      <c r="H611" s="70" t="str">
        <f t="shared" si="227"/>
        <v/>
      </c>
      <c r="I611" s="27" t="str">
        <f>IF(N(J611)=0,"",0&amp;"-"&amp;B$10)</f>
        <v/>
      </c>
      <c r="J611" s="52" t="str">
        <f>IF(N(B$10)=0,"",IF(AND(COUNT(H603:H614)=2,COUNT(F603:F614)=2),cubic_spline(F602:F604,H602:H604,B$10),IF(AND(COUNT(H603:H614)=3,COUNT(F603:F614)=3),cubic_spline(F602:F605,H602:H605,B$10),IF(AND(COUNT(H603:H614)=4,COUNT(F603:F614)=4),cubic_spline(F602:F606,H602:H606,B$10),IF(AND(COUNT(H603:H614)=5,COUNT(F603:F614)=5),cubic_spline(F602:F607,H602:H607,B$10),IF(AND(COUNT(H603:H614)=6,COUNT(F603:F614)=6),cubic_spline(F602:F608,H602:H608,B$10),IF(AND(COUNT(H603:H614)=7,COUNT(F603:F614)=7),cubic_spline(F602:F609,H602:H609,B$10),IF(AND(COUNT(H603:H614)=8,COUNT(F603:F614)=8),cubic_spline(F602:F610,H602:H610,B$10),IF(AND(COUNT(H603:H614)=9,COUNT(F603:F614)=9),cubic_spline(F602:F611,H602:H611,B$10),IF(AND(COUNT(H603:H614)=10,COUNT(F603:F614)=10),cubic_spline(F602:F612,H602:H612,B$10),IF(AND(COUNT(H603:H614)=11,COUNT(F603:F614)=11),cubic_spline(F602:F613,H602:H613,B$10),IF(AND(COUNT(H603:H614)=12,COUNT(F603:F614)=12),cubic_spline(F602:F614,H602:H614,B$10),""))))))))))))</f>
        <v/>
      </c>
      <c r="K611" s="52" t="str">
        <f>IF(N(B$10)=0,"",IF(AND(COUNT(A603:A614)=2,COUNT(F603:F614)=2),cubic_spline(F602:F604,A602:A604,B$10),IF(AND(COUNT(A603:A614)=3,COUNT(F603:F614)=3),cubic_spline(F602:F605,A602:A605,B$10),IF(AND(COUNT(A603:A614)=4,COUNT(F603:F614)=4),cubic_spline(F602:F606,A602:A606,B$10),IF(AND(COUNT(A603:A614)=5,COUNT(F603:F614)=5),cubic_spline(F602:F607,A602:A607,B$10),IF(AND(COUNT(A603:A614)=6,COUNT(F603:F614)=6),cubic_spline(F602:F608,A602:A608,B$10),IF(AND(COUNT(A603:A614)=7,COUNT(F603:F614)=7),cubic_spline(F602:F609,A602:A609,B$10),IF(AND(COUNT(A603:A614)=8,COUNT(F603:F614)=8),cubic_spline(F602:F610,A602:A610,B$10),IF(AND(COUNT(A603:A614)=9,COUNT(F603:F614)=9),cubic_spline(F602:F611,A602:A611,B$10),IF(AND(COUNT(A603:A614)=10,COUNT(F603:F614)=10),cubic_spline(F602:F612,A602:A612,B$10),IF(AND(COUNT(A603:A614)=11,COUNT(F603:F614)=11),cubic_spline(F602:F613,A602:A613,B$10),IF(AND(COUNT(A603:A614)=12,COUNT(F603:F614)=12),cubic_spline(F602:F614,A602:A614,B$10),""))))))))))))</f>
        <v/>
      </c>
      <c r="L611" s="27" t="str">
        <f>IF(I611="","",B$9&amp;"-"&amp;B$10)</f>
        <v/>
      </c>
      <c r="M611" s="52" t="str">
        <f t="shared" si="230"/>
        <v/>
      </c>
    </row>
    <row r="612" spans="1:13" x14ac:dyDescent="0.35">
      <c r="A612" s="48"/>
      <c r="B612" s="48"/>
      <c r="C612" s="50"/>
      <c r="D612" s="50"/>
      <c r="E612" s="51" t="str">
        <f t="shared" si="228"/>
        <v/>
      </c>
      <c r="F612" s="71" t="str">
        <f t="shared" si="226"/>
        <v/>
      </c>
      <c r="G612" s="69" t="str">
        <f t="shared" si="229"/>
        <v/>
      </c>
      <c r="H612" s="70" t="str">
        <f t="shared" si="227"/>
        <v/>
      </c>
      <c r="I612" s="27" t="str">
        <f>IF(N(J612)=0,"",0&amp;"-"&amp;B$11)</f>
        <v/>
      </c>
      <c r="J612" s="52" t="str">
        <f>IF(N(B$11)=0,"",IF(AND(COUNT(H603:H614)=2,COUNT(F603:F614)=2),cubic_spline(F602:F604,H602:H604,B$11),IF(AND(COUNT(H603:H614)=3,COUNT(F603:F614)=3),cubic_spline(F602:F605,H602:H605,B$11),IF(AND(COUNT(H603:H614)=4,COUNT(F603:F614)=4),cubic_spline(F602:F606,H602:H606,B$11),IF(AND(COUNT(H603:H614)=5,COUNT(F603:F614)=5),cubic_spline(F602:F607,H602:H607,B$11),IF(AND(COUNT(H603:H614)=6,COUNT(F603:F614)=6),cubic_spline(F602:F608,H602:H608,B$11),IF(AND(COUNT(H603:H614)=7,COUNT(F603:F614)=7),cubic_spline(F602:F609,H602:H609,B$11),IF(AND(COUNT(H603:H614)=8,COUNT(F603:F614)=8),cubic_spline(F602:F610,H602:H610,B$11),IF(AND(COUNT(H603:H614)=9,COUNT(F603:F614)=9),cubic_spline(F602:F611,H602:H611,B$11),IF(AND(COUNT(H603:H614)=10,COUNT(F603:F614)=10),cubic_spline(F602:F612,H602:H612,B$11),IF(AND(COUNT(H603:H614)=11,COUNT(F603:F614)=11),cubic_spline(F602:F613,H602:H613,B$11),IF(AND(COUNT(H603:H614)=12,COUNT(F603:F614)=12),cubic_spline(F602:F614,H602:H614,B$11),""))))))))))))</f>
        <v/>
      </c>
      <c r="K612" s="52" t="str">
        <f>IF(N(B$11)=0,"",IF(AND(COUNT(A603:A614)=2,COUNT(F603:F614)=2),cubic_spline(F602:F604,A602:A604,B$11),IF(AND(COUNT(A603:A614)=3,COUNT(F603:F614)=3),cubic_spline(F602:F605,A602:A605,B$11),IF(AND(COUNT(A603:A614)=4,COUNT(F603:F614)=4),cubic_spline(F602:F606,A602:A606,B$11),IF(AND(COUNT(A603:A614)=5,COUNT(F603:F614)=5),cubic_spline(F602:F607,A602:A607,B$11),IF(AND(COUNT(A603:A614)=6,COUNT(F603:F614)=6),cubic_spline(F602:F608,A602:A608,B$11),IF(AND(COUNT(A603:A614)=7,COUNT(F603:F614)=7),cubic_spline(F602:F609,A602:A609,B$11),IF(AND(COUNT(A603:A614)=8,COUNT(F603:F614)=8),cubic_spline(F602:F610,A602:A610,B$11),IF(AND(COUNT(A603:A614)=9,COUNT(F603:F614)=9),cubic_spline(F602:F611,A602:A611,B$11),IF(AND(COUNT(A603:A614)=10,COUNT(F603:F614)=10),cubic_spline(F602:F612,A602:A612,B$11),IF(AND(COUNT(A603:A614)=11,COUNT(F603:F614)=11),cubic_spline(F602:F613,A602:A613,B$11),IF(AND(COUNT(A603:A614)=12,COUNT(F603:F614)=12),cubic_spline(F602:F614,A602:A614,B$11),""))))))))))))</f>
        <v/>
      </c>
      <c r="L612" s="27" t="str">
        <f>IF(I612="","",B$10&amp;"-"&amp;B$11)</f>
        <v/>
      </c>
      <c r="M612" s="52" t="str">
        <f t="shared" si="230"/>
        <v/>
      </c>
    </row>
    <row r="613" spans="1:13" x14ac:dyDescent="0.35">
      <c r="A613" s="48"/>
      <c r="B613" s="48"/>
      <c r="C613" s="50"/>
      <c r="D613" s="50"/>
      <c r="E613" s="51" t="str">
        <f t="shared" si="228"/>
        <v/>
      </c>
      <c r="F613" s="71" t="str">
        <f t="shared" si="226"/>
        <v/>
      </c>
      <c r="G613" s="69" t="str">
        <f t="shared" si="229"/>
        <v/>
      </c>
      <c r="H613" s="70" t="str">
        <f t="shared" si="227"/>
        <v/>
      </c>
      <c r="I613" s="27" t="str">
        <f>IF(N(J613)=0,"",0&amp;"-"&amp;B$12)</f>
        <v/>
      </c>
      <c r="J613" s="52" t="str">
        <f>IF(N(B$12)=0,"",IF(AND(COUNT(H603:H614)=2,COUNT(F603:F614)=2),cubic_spline(F602:F604,H602:H604,B$12),IF(AND(COUNT(H603:H614)=3,COUNT(F603:F614)=3),cubic_spline(F602:F605,H602:H605,B$12),IF(AND(COUNT(H603:H614)=4,COUNT(F603:F614)=4),cubic_spline(F602:F606,H602:H606,B$12),IF(AND(COUNT(H603:H614)=5,COUNT(F603:F614)=5),cubic_spline(F602:F607,H602:H607,B$12),IF(AND(COUNT(H603:H614)=6,COUNT(F603:F614)=6),cubic_spline(F602:F608,H602:H608,B$12),IF(AND(COUNT(H603:H614)=7,COUNT(F603:F614)=7),cubic_spline(F602:F609,H602:H609,B$12),IF(AND(COUNT(H603:H614)=8,COUNT(F603:F614)=8),cubic_spline(F602:F610,H602:H610,B$12),IF(AND(COUNT(H603:H614)=9,COUNT(F603:F614)=9),cubic_spline(F602:F611,H602:H611,B$12),IF(AND(COUNT(H603:H614)=10,COUNT(F603:F614)=10),cubic_spline(F602:F612,H602:H612,B$12),IF(AND(COUNT(H603:H614)=11,COUNT(F603:F614)=11),cubic_spline(F602:F613,H602:H613,B$12),IF(AND(COUNT(H603:H614)=12,COUNT(F603:F614)=12),cubic_spline(F602:F614,H602:H614,B$12),""))))))))))))</f>
        <v/>
      </c>
      <c r="K613" s="52" t="str">
        <f>IF(N(B$12)=0,"",IF(AND(COUNT(A603:A614)=2,COUNT(F603:F614)=2),cubic_spline(F602:F604,A602:A604,B$12),IF(AND(COUNT(A603:A614)=3,COUNT(F603:F614)=3),cubic_spline(F602:F605,A602:A605,B$12),IF(AND(COUNT(A603:A614)=4,COUNT(F603:F614)=4),cubic_spline(F602:F606,A602:A606,B$12),IF(AND(COUNT(A603:A614)=5,COUNT(F603:F614)=5),cubic_spline(F602:F607,A602:A607,B$12),IF(AND(COUNT(A603:A614)=6,COUNT(F603:F614)=6),cubic_spline(F602:F608,A602:A608,B$12),IF(AND(COUNT(A603:A614)=7,COUNT(F603:F614)=7),cubic_spline(F602:F609,A602:A609,B$12),IF(AND(COUNT(A603:A614)=8,COUNT(F603:F614)=8),cubic_spline(F602:F610,A602:A610,B$12),IF(AND(COUNT(A603:A614)=9,COUNT(F603:F614)=9),cubic_spline(F602:F611,A602:A611,B$12),IF(AND(COUNT(A603:A614)=10,COUNT(F603:F614)=10),cubic_spline(F602:F612,A602:A612,B$12),IF(AND(COUNT(A603:A614)=11,COUNT(F603:F614)=11),cubic_spline(F602:F613,A602:A613,B$12),IF(AND(COUNT(A603:A614)=12,COUNT(F603:F614)=12),cubic_spline(F602:F614,A602:A614,B$12),""))))))))))))</f>
        <v/>
      </c>
      <c r="L613" s="27" t="str">
        <f>IF(I613="","",B$11&amp;"-"&amp;B$12)</f>
        <v/>
      </c>
      <c r="M613" s="52" t="str">
        <f t="shared" si="230"/>
        <v/>
      </c>
    </row>
    <row r="614" spans="1:13" x14ac:dyDescent="0.35">
      <c r="A614" s="48"/>
      <c r="B614" s="48"/>
      <c r="C614" s="50"/>
      <c r="D614" s="50"/>
      <c r="E614" s="51" t="str">
        <f t="shared" si="228"/>
        <v/>
      </c>
      <c r="F614" s="71" t="str">
        <f t="shared" si="226"/>
        <v/>
      </c>
      <c r="G614" s="69" t="str">
        <f t="shared" si="229"/>
        <v/>
      </c>
      <c r="H614" s="70" t="str">
        <f t="shared" si="227"/>
        <v/>
      </c>
      <c r="I614" s="27" t="str">
        <f>IF(N(J614)=0,"",0&amp;"-"&amp;B$13)</f>
        <v/>
      </c>
      <c r="J614" s="52" t="str">
        <f>IF(N(B$13)=0,"",IF(AND(COUNT(H603:H614)=2,COUNT(F603:F614)=2),cubic_spline(F602:F604,H602:H604,B$13),IF(AND(COUNT(H603:H614)=3,COUNT(F603:F614)=3),cubic_spline(F602:F605,H602:H605,B$13),IF(AND(COUNT(H603:H614)=4,COUNT(F603:F614)=4),cubic_spline(F602:F606,H602:H606,B$13),IF(AND(COUNT(H603:H614)=5,COUNT(F603:F614)=5),cubic_spline(F602:F607,H602:H607,B$13),IF(AND(COUNT(H603:H614)=6,COUNT(F603:F614)=6),cubic_spline(F602:F608,H602:H608,B$13),IF(AND(COUNT(H603:H614)=7,COUNT(F603:F614)=7),cubic_spline(F602:F609,H602:H609,B$13),IF(AND(COUNT(H603:H614)=8,COUNT(F603:F614)=8),cubic_spline(F602:F610,H602:H610,B$13),IF(AND(COUNT(H603:H614)=9,COUNT(F603:F614)=9),cubic_spline(F602:F611,H602:H611,B$13),IF(AND(COUNT(H603:H614)=10,COUNT(F603:F614)=10),cubic_spline(F602:F612,H602:H612,B$13),IF(AND(COUNT(H603:H614)=11,COUNT(F603:F614)=11),cubic_spline(F602:F613,H602:H613,B$13),IF(AND(COUNT(H603:H614)=12,COUNT(F603:F614)=12),cubic_spline(F602:F614,H602:H614,B$13),""))))))))))))</f>
        <v/>
      </c>
      <c r="K614" s="52" t="str">
        <f>IF(N(B$13)=0,"",IF(AND(COUNT(A603:A614)=2,COUNT(F603:F614)=2),cubic_spline(F602:F604,A602:A604,B$13),IF(AND(COUNT(A603:A614)=3,COUNT(F603:F614)=3),cubic_spline(F602:F605,A602:A605,B$13),IF(AND(COUNT(A603:A614)=4,COUNT(F603:F614)=4),cubic_spline(F602:F606,A602:A606,B$13),IF(AND(COUNT(A603:A614)=5,COUNT(F603:F614)=5),cubic_spline(F602:F607,A602:A607,B$13),IF(AND(COUNT(A603:A614)=6,COUNT(F603:F614)=6),cubic_spline(F602:F608,A602:A608,B$13),IF(AND(COUNT(A603:A614)=7,COUNT(F603:F614)=7),cubic_spline(F602:F609,A602:A609,B$13),IF(AND(COUNT(A603:A614)=8,COUNT(F603:F614)=8),cubic_spline(F602:F610,A602:A610,B$13),IF(AND(COUNT(A603:A614)=9,COUNT(F603:F614)=9),cubic_spline(F602:F611,A602:A611,B$13),IF(AND(COUNT(A603:A614)=10,COUNT(F603:F614)=10),cubic_spline(F602:F612,A602:A612,B$13),IF(AND(COUNT(A603:A614)=11,COUNT(F603:F614)=11),cubic_spline(F602:F613,A602:A613,B$13),IF(AND(COUNT(A603:A614)=12,COUNT(F603:F614)=12),cubic_spline(F602:F614,A602:A614,B$13),""))))))))))))</f>
        <v/>
      </c>
      <c r="L614" s="27" t="str">
        <f>IF(I614="","",B$12&amp;"-"&amp;B$13)</f>
        <v/>
      </c>
      <c r="M614" s="52" t="str">
        <f t="shared" si="230"/>
        <v/>
      </c>
    </row>
    <row r="615" spans="1:13" ht="5.15" customHeight="1" x14ac:dyDescent="0.35">
      <c r="A615" s="47"/>
      <c r="B615" s="47"/>
      <c r="C615" s="53"/>
      <c r="D615" s="53"/>
      <c r="E615" s="54"/>
      <c r="F615" s="55"/>
      <c r="G615" s="72"/>
      <c r="H615" s="73"/>
      <c r="I615" s="47"/>
      <c r="J615" s="57"/>
      <c r="K615" s="57"/>
      <c r="L615" s="55"/>
      <c r="M615" s="57"/>
    </row>
    <row r="616" spans="1:13" x14ac:dyDescent="0.35">
      <c r="A616" s="48"/>
      <c r="B616" s="48"/>
      <c r="C616" s="50"/>
      <c r="D616" s="50"/>
      <c r="E616" s="51" t="str">
        <f>IF(N(C616)=0,"",(A616-A615)*C616*100)</f>
        <v/>
      </c>
      <c r="F616" s="68" t="str">
        <f t="shared" ref="F616:F627" si="231">IF(N(E616)=0,"",(N(E616)+N(F615)))</f>
        <v/>
      </c>
      <c r="G616" s="69" t="str">
        <f>IF(OR(N(D616)=0,N(E616)=0),"",(E616*D616)/1000)</f>
        <v/>
      </c>
      <c r="H616" s="70" t="str">
        <f t="shared" ref="H616:H627" si="232">IF(N(G616)=0,"",(N(G616)+N(H615)))</f>
        <v/>
      </c>
      <c r="I616" s="27" t="str">
        <f>IF(N(J616)=0,"",0&amp;"-"&amp;B$2)</f>
        <v/>
      </c>
      <c r="J616" s="52" t="str">
        <f>IF(N(B$2)=0,"",IF(AND(COUNT(H616:H627)=2,COUNT(F616:F627)=2),cubic_spline(F615:F617,H615:H617,B$2),IF(AND(COUNT(H616:H627)=3,COUNT(F616:F627)=3),cubic_spline(F615:F618,H615:H618,B$2),IF(AND(COUNT(H616:H627)=4,COUNT(F616:F627)=4),cubic_spline(F615:F619,H615:H619,B$2),IF(AND(COUNT(H616:H627)=5,COUNT(F616:F627)=5),cubic_spline(F615:F620,H615:H620,B$2),IF(AND(COUNT(H616:H627)=6,COUNT(F616:F627)=6),cubic_spline(F615:F621,H615:H621,B$2),IF(AND(COUNT(H616:H627)=7,COUNT(F616:F627)=7),cubic_spline(F615:F622,H615:H622,B$2),IF(AND(COUNT(H616:H627)=8,COUNT(F616:F627)=8),cubic_spline(F615:F623,H615:H623,B$2),IF(AND(COUNT(H616:H627)=9,COUNT(F616:F627)=9),cubic_spline(F615:F624,H615:H624,B$2),IF(AND(COUNT(H616:H627)=10,COUNT(F616:F627)=10),cubic_spline(F615:F625,H615:H625,B$2),IF(AND(COUNT(H616:H627)=11,COUNT(F616:F627)=11),cubic_spline(F615:F626,H615:H626,B$2),IF(AND(COUNT(H616:H627)=12,COUNT(F616:F627)=12),cubic_spline(F615:F627,H615:H627,B$2),""))))))))))))</f>
        <v/>
      </c>
      <c r="K616" s="52" t="str">
        <f>IF(N(B$2)=0,"",IF(AND(COUNT(A616:A627)=2,COUNT(F616:F627)=2),cubic_spline(F615:F617,A615:A617,B$2),IF(AND(COUNT(A616:A627)=3,COUNT(F616:F627)=3),cubic_spline(F615:F618,A615:A618,B$2),IF(AND(COUNT(A616:A627)=4,COUNT(F616:F627)=4),cubic_spline(F615:F619,A615:A619,B$2),IF(AND(COUNT(A616:A627)=5,COUNT(F616:F627)=5),cubic_spline(F615:F620,A615:A620,B$2),IF(AND(COUNT(A616:A627)=6,COUNT(F616:F627)=6),cubic_spline(F615:F621,A615:A621,B$2),IF(AND(COUNT(A616:A627)=7,COUNT(F616:F627)=7),cubic_spline(F615:F622,A615:A622,B$2),IF(AND(COUNT(A616:A627)=8,COUNT(F616:F627)=8),cubic_spline(F615:F623,A615:A623,B$2),IF(AND(COUNT(A616:A627)=9,COUNT(F616:F627)=9),cubic_spline(F615:F624,A615:A624,B$2),IF(AND(COUNT(A616:A627)=10,COUNT(F616:F627)=10),cubic_spline(F615:F625,A615:A625,B$2),IF(AND(COUNT(A616:A627)=11,COUNT(F616:F627)=11),cubic_spline(F615:F626,A615:A626,B$2),IF(AND(COUNT(A616:A627)=12,COUNT(F616:F627)=12),cubic_spline(F615:F627,A615:A627,B$2),""))))))))))))</f>
        <v/>
      </c>
      <c r="L616" s="27" t="str">
        <f>IF(I616="","",0&amp;"-"&amp;B$2)</f>
        <v/>
      </c>
      <c r="M616" s="52" t="str">
        <f>IF(N(J616)=0,"",J616-J615)</f>
        <v/>
      </c>
    </row>
    <row r="617" spans="1:13" x14ac:dyDescent="0.35">
      <c r="A617" s="48"/>
      <c r="B617" s="48"/>
      <c r="C617" s="50"/>
      <c r="D617" s="50"/>
      <c r="E617" s="51" t="str">
        <f t="shared" ref="E617:E627" si="233">IF(N(C617)=0,"",(A617-A616)*C617*100)</f>
        <v/>
      </c>
      <c r="F617" s="68" t="str">
        <f t="shared" si="231"/>
        <v/>
      </c>
      <c r="G617" s="69" t="str">
        <f t="shared" ref="G617:G627" si="234">IF(OR(N(D617)=0,N(E617)=0),"",(E617*D617)/1000)</f>
        <v/>
      </c>
      <c r="H617" s="70" t="str">
        <f t="shared" si="232"/>
        <v/>
      </c>
      <c r="I617" s="27" t="str">
        <f>IF(N(J617)=0,"",0&amp;"-"&amp;B$3)</f>
        <v/>
      </c>
      <c r="J617" s="52" t="str">
        <f>IF(N(B$3)=0,"",IF(AND(COUNT(H616:H627)=2,COUNT(F616:F627)=2),cubic_spline(F615:F617,H615:H617,B$3),IF(AND(COUNT(H616:H627)=3,COUNT(F616:F627)=3),cubic_spline(F615:F618,H615:H618,B$3),IF(AND(COUNT(H616:H627)=4,COUNT(F616:F627)=4),cubic_spline(F615:F619,H615:H619,B$3),IF(AND(COUNT(H616:H627)=5,COUNT(F616:F627)=5),cubic_spline(F615:F620,H615:H620,B$3),IF(AND(COUNT(H616:H627)=6,COUNT(F616:F627)=6),cubic_spline(F615:F621,H615:H621,B$3),IF(AND(COUNT(H616:H627)=7,COUNT(F616:F627)=7),cubic_spline(F615:F622,H615:H622,B$3),IF(AND(COUNT(H616:H627)=8,COUNT(F616:F627)=8),cubic_spline(F615:F623,H615:H623,B$3),IF(AND(COUNT(H616:H627)=9,COUNT(F616:F627)=9),cubic_spline(F615:F624,H615:H624,B$3),IF(AND(COUNT(H616:H627)=10,COUNT(F616:F627)=10),cubic_spline(F615:F625,H615:H625,B$3),IF(AND(COUNT(H616:H627)=11,COUNT(F616:F627)=11),cubic_spline(F615:F626,H615:H626,B$3),IF(AND(COUNT(H616:H627)=12,COUNT(F616:F627)=12),cubic_spline(F615:F627,H615:H627,B$3),""))))))))))))</f>
        <v/>
      </c>
      <c r="K617" s="52" t="str">
        <f>IF(N(B$3)=0,"",IF(AND(COUNT(A616:A627)=2,COUNT(F616:F627)=2),cubic_spline(F615:F617,A615:A617,B$3),IF(AND(COUNT(A616:A627)=3,COUNT(F616:F627)=3),cubic_spline(F615:F618,A615:A618,B$3),IF(AND(COUNT(A616:A627)=4,COUNT(F616:F627)=4),cubic_spline(F615:F619,A615:A619,B$3),IF(AND(COUNT(A616:A627)=5,COUNT(F616:F627)=5),cubic_spline(F615:F620,A615:A620,B$3),IF(AND(COUNT(A616:A627)=6,COUNT(F616:F627)=6),cubic_spline(F615:F621,A615:A621,B$3),IF(AND(COUNT(A616:A627)=7,COUNT(F616:F627)=7),cubic_spline(F615:F622,A615:A622,B$3),IF(AND(COUNT(A616:A627)=8,COUNT(F616:F627)=8),cubic_spline(F615:F623,A615:A623,B$3),IF(AND(COUNT(A616:A627)=9,COUNT(F616:F627)=9),cubic_spline(F615:F624,A615:A624,B$3),IF(AND(COUNT(A616:A627)=10,COUNT(F616:F627)=10),cubic_spline(F615:F625,A615:A625,B$3),IF(AND(COUNT(A616:A627)=11,COUNT(F616:F627)=11),cubic_spline(F615:F626,A615:A626,B$3),IF(AND(COUNT(A616:A627)=12,COUNT(F616:F627)=12),cubic_spline(F615:F627,A615:A627,B$3),""))))))))))))</f>
        <v/>
      </c>
      <c r="L617" s="27" t="str">
        <f>IF(I617="","",B$2&amp;"-"&amp;B$3)</f>
        <v/>
      </c>
      <c r="M617" s="52" t="str">
        <f>IF(N(J617)=0,"",J617-J616)</f>
        <v/>
      </c>
    </row>
    <row r="618" spans="1:13" x14ac:dyDescent="0.35">
      <c r="A618" s="48"/>
      <c r="B618" s="48"/>
      <c r="C618" s="50"/>
      <c r="D618" s="50"/>
      <c r="E618" s="51" t="str">
        <f t="shared" si="233"/>
        <v/>
      </c>
      <c r="F618" s="68" t="str">
        <f t="shared" si="231"/>
        <v/>
      </c>
      <c r="G618" s="69" t="str">
        <f t="shared" si="234"/>
        <v/>
      </c>
      <c r="H618" s="70" t="str">
        <f t="shared" si="232"/>
        <v/>
      </c>
      <c r="I618" s="27" t="str">
        <f>IF(N(J618)=0,"",0&amp;"-"&amp;B$4)</f>
        <v/>
      </c>
      <c r="J618" s="52" t="str">
        <f>IF(N(B$4)=0,"",IF(AND(COUNT(H616:H627)=2,COUNT(F616:F627)=2),cubic_spline(F615:F617,H615:H617,B$4),IF(AND(COUNT(H616:H627)=3,COUNT(F616:F627)=3),cubic_spline(F615:F618,H615:H618,B$4),IF(AND(COUNT(H616:H627)=4,COUNT(F616:F627)=4),cubic_spline(F615:F619,H615:H619,B$4),IF(AND(COUNT(H616:H627)=5,COUNT(F616:F627)=5),cubic_spline(F615:F620,H615:H620,B$4),IF(AND(COUNT(H616:H627)=6,COUNT(F616:F627)=6),cubic_spline(F615:F621,H615:H621,B$4),IF(AND(COUNT(H616:H627)=7,COUNT(F616:F627)=7),cubic_spline(F615:F622,H615:H622,B$4),IF(AND(COUNT(H616:H627)=8,COUNT(F616:F627)=8),cubic_spline(F615:F623,H615:H623,B$4),IF(AND(COUNT(H616:H627)=9,COUNT(F616:F627)=9),cubic_spline(F615:F624,H615:H624,B$4),IF(AND(COUNT(H616:H627)=10,COUNT(F616:F627)=10),cubic_spline(F615:F625,H615:H625,B$4),IF(AND(COUNT(H616:H627)=11,COUNT(F616:F627)=11),cubic_spline(F615:F626,H615:H626,B$4),IF(AND(COUNT(H616:H627)=12,COUNT(F616:F627)=12),cubic_spline(F615:F627,H615:H627,B$4),""))))))))))))</f>
        <v/>
      </c>
      <c r="K618" s="52" t="str">
        <f>IF(N(B$4)=0,"",IF(AND(COUNT(A616:A627)=2,COUNT(F616:F627)=2),cubic_spline(F615:F617,A615:A617,B$4),IF(AND(COUNT(A616:A627)=3,COUNT(F616:F627)=3),cubic_spline(F615:F618,A615:A618,B$4),IF(AND(COUNT(A616:A627)=4,COUNT(F616:F627)=4),cubic_spline(F615:F619,A615:A619,B$4),IF(AND(COUNT(A616:A627)=5,COUNT(F616:F627)=5),cubic_spline(F615:F620,A615:A620,B$4),IF(AND(COUNT(A616:A627)=6,COUNT(F616:F627)=6),cubic_spline(F615:F621,A615:A621,B$4),IF(AND(COUNT(A616:A627)=7,COUNT(F616:F627)=7),cubic_spline(F615:F622,A615:A622,B$4),IF(AND(COUNT(A616:A627)=8,COUNT(F616:F627)=8),cubic_spline(F615:F623,A615:A623,B$4),IF(AND(COUNT(A616:A627)=9,COUNT(F616:F627)=9),cubic_spline(F615:F624,A615:A624,B$4),IF(AND(COUNT(A616:A627)=10,COUNT(F616:F627)=10),cubic_spline(F615:F625,A615:A625,B$4),IF(AND(COUNT(A616:A627)=11,COUNT(F616:F627)=11),cubic_spline(F615:F626,A615:A626,B$4),IF(AND(COUNT(A616:A627)=12,COUNT(F616:F627)=12),cubic_spline(F615:F627,A615:A627,B$4),""))))))))))))</f>
        <v/>
      </c>
      <c r="L618" s="27" t="str">
        <f>IF(I618="","",B$3&amp;"-"&amp;B$4)</f>
        <v/>
      </c>
      <c r="M618" s="52" t="str">
        <f>IF(N(J618)=0,"",J618-J617)</f>
        <v/>
      </c>
    </row>
    <row r="619" spans="1:13" x14ac:dyDescent="0.35">
      <c r="A619" s="48"/>
      <c r="B619" s="48"/>
      <c r="C619" s="50"/>
      <c r="D619" s="50"/>
      <c r="E619" s="51" t="str">
        <f t="shared" si="233"/>
        <v/>
      </c>
      <c r="F619" s="68" t="str">
        <f t="shared" si="231"/>
        <v/>
      </c>
      <c r="G619" s="69" t="str">
        <f t="shared" si="234"/>
        <v/>
      </c>
      <c r="H619" s="70" t="str">
        <f t="shared" si="232"/>
        <v/>
      </c>
      <c r="I619" s="27" t="str">
        <f>IF(N(J619)=0,"",0&amp;"-"&amp;B$5)</f>
        <v/>
      </c>
      <c r="J619" s="52" t="str">
        <f>IF(N(B$5)=0,"",IF(AND(COUNT(H616:H627)=2,COUNT(F616:F627)=2),cubic_spline(F615:F617,H615:H617,B$5),IF(AND(COUNT(H616:H627)=3,COUNT(F616:F627)=3),cubic_spline(F615:F618,H615:H618,B$5),IF(AND(COUNT(H616:H627)=4,COUNT(F616:F627)=4),cubic_spline(F615:F619,H615:H619,B$5),IF(AND(COUNT(H616:H627)=5,COUNT(F616:F627)=5),cubic_spline(F615:F620,H615:H620,B$5),IF(AND(COUNT(H616:H627)=6,COUNT(F616:F627)=6),cubic_spline(F615:F621,H615:H621,B$5),IF(AND(COUNT(H616:H627)=7,COUNT(F616:F627)=7),cubic_spline(F615:F622,H615:H622,B$5),IF(AND(COUNT(H616:H627)=8,COUNT(F616:F627)=8),cubic_spline(F615:F623,H615:H623,B$5),IF(AND(COUNT(H616:H627)=9,COUNT(F616:F627)=9),cubic_spline(F615:F624,H615:H624,B$5),IF(AND(COUNT(H616:H627)=10,COUNT(F616:F627)=10),cubic_spline(F615:F625,H615:H625,B$5),IF(AND(COUNT(H616:H627)=11,COUNT(F616:F627)=11),cubic_spline(F615:F626,H615:H626,B$5),IF(AND(COUNT(H616:H627)=12,COUNT(F616:F627)=12),cubic_spline(F615:F627,H615:H627,B$5),""))))))))))))</f>
        <v/>
      </c>
      <c r="K619" s="52" t="str">
        <f>IF(N(B$5)=0,"",IF(AND(COUNT(A616:A627)=2,COUNT(F616:F627)=2),cubic_spline(F615:F617,A615:A617,B$5),IF(AND(COUNT(A616:A627)=3,COUNT(F616:F627)=3),cubic_spline(F615:F618,A615:A618,B$5),IF(AND(COUNT(A616:A627)=4,COUNT(F616:F627)=4),cubic_spline(F615:F619,A615:A619,B$5),IF(AND(COUNT(A616:A627)=5,COUNT(F616:F627)=5),cubic_spline(F615:F620,A615:A620,B$5),IF(AND(COUNT(A616:A627)=6,COUNT(F616:F627)=6),cubic_spline(F615:F621,A615:A621,B$5),IF(AND(COUNT(A616:A627)=7,COUNT(F616:F627)=7),cubic_spline(F615:F622,A615:A622,B$5),IF(AND(COUNT(A616:A627)=8,COUNT(F616:F627)=8),cubic_spline(F615:F623,A615:A623,B$5),IF(AND(COUNT(A616:A627)=9,COUNT(F616:F627)=9),cubic_spline(F615:F624,A615:A624,B$5),IF(AND(COUNT(A616:A627)=10,COUNT(F616:F627)=10),cubic_spline(F615:F625,A615:A625,B$5),IF(AND(COUNT(A616:A627)=11,COUNT(F616:F627)=11),cubic_spline(F615:F626,A615:A626,B$5),IF(AND(COUNT(A616:A627)=12,COUNT(F616:F627)=12),cubic_spline(F615:F627,A615:A627,B$5),""))))))))))))</f>
        <v/>
      </c>
      <c r="L619" s="27" t="str">
        <f>IF(I619="","",B$4&amp;"-"&amp;B$5)</f>
        <v/>
      </c>
      <c r="M619" s="52" t="str">
        <f>IF(N(J619)=0,"",J619-J618)</f>
        <v/>
      </c>
    </row>
    <row r="620" spans="1:13" x14ac:dyDescent="0.35">
      <c r="A620" s="48"/>
      <c r="B620" s="48"/>
      <c r="C620" s="50"/>
      <c r="D620" s="50"/>
      <c r="E620" s="51" t="str">
        <f t="shared" si="233"/>
        <v/>
      </c>
      <c r="F620" s="71" t="str">
        <f t="shared" si="231"/>
        <v/>
      </c>
      <c r="G620" s="69" t="str">
        <f t="shared" si="234"/>
        <v/>
      </c>
      <c r="H620" s="70" t="str">
        <f t="shared" si="232"/>
        <v/>
      </c>
      <c r="I620" s="27" t="str">
        <f>IF(N(J620)=0,"",0&amp;"-"&amp;B$6)</f>
        <v/>
      </c>
      <c r="J620" s="52" t="str">
        <f>IF(N(B$6)=0,"",IF(AND(COUNT(H616:H627)=2,COUNT(F616:F627)=2),cubic_spline(F615:F617,H615:H617,B$6),IF(AND(COUNT(H616:H627)=3,COUNT(F616:F627)=3),cubic_spline(F615:F618,H615:H618,B$6),IF(AND(COUNT(H616:H627)=4,COUNT(F616:F627)=4),cubic_spline(F615:F619,H615:H619,B$6),IF(AND(COUNT(H616:H627)=5,COUNT(F616:F627)=5),cubic_spline(F615:F620,H615:H620,B$6),IF(AND(COUNT(H616:H627)=6,COUNT(F616:F627)=6),cubic_spline(F615:F621,H615:H621,B$6),IF(AND(COUNT(H616:H627)=7,COUNT(F616:F627)=7),cubic_spline(F615:F622,H615:H622,B$6),IF(AND(COUNT(H616:H627)=8,COUNT(F616:F627)=8),cubic_spline(F615:F623,H615:H623,B$6),IF(AND(COUNT(H616:H627)=9,COUNT(F616:F627)=9),cubic_spline(F615:F624,H615:H624,B$6),IF(AND(COUNT(H616:H627)=10,COUNT(F616:F627)=10),cubic_spline(F615:F625,H615:H625,B$6),IF(AND(COUNT(H616:H627)=11,COUNT(F616:F627)=11),cubic_spline(F615:F626,H615:H626,B$6),IF(AND(COUNT(H616:H627)=12,COUNT(F616:F627)=12),cubic_spline(F615:F627,H615:H627,B$6),""))))))))))))</f>
        <v/>
      </c>
      <c r="K620" s="52" t="str">
        <f>IF(N(B$6)=0,"",IF(AND(COUNT(A616:A627)=2,COUNT(F616:F627)=2),cubic_spline(F615:F617,A615:A617,B$6),IF(AND(COUNT(A616:A627)=3,COUNT(F616:F627)=3),cubic_spline(F615:F618,A615:A618,B$6),IF(AND(COUNT(A616:A627)=4,COUNT(F616:F627)=4),cubic_spline(F615:F619,A615:A619,B$6),IF(AND(COUNT(A616:A627)=5,COUNT(F616:F627)=5),cubic_spline(F615:F620,A615:A620,B$6),IF(AND(COUNT(A616:A627)=6,COUNT(F616:F627)=6),cubic_spline(F615:F621,A615:A621,B$6),IF(AND(COUNT(A616:A627)=7,COUNT(F616:F627)=7),cubic_spline(F615:F622,A615:A622,B$6),IF(AND(COUNT(A616:A627)=8,COUNT(F616:F627)=8),cubic_spline(F615:F623,A615:A623,B$6),IF(AND(COUNT(A616:A627)=9,COUNT(F616:F627)=9),cubic_spline(F615:F624,A615:A624,B$6),IF(AND(COUNT(A616:A627)=10,COUNT(F616:F627)=10),cubic_spline(F615:F625,A615:A625,B$6),IF(AND(COUNT(A616:A627)=11,COUNT(F616:F627)=11),cubic_spline(F615:F626,A615:A626,B$6),IF(AND(COUNT(A616:A627)=12,COUNT(F616:F627)=12),cubic_spline(F615:F627,A615:A627,B$6),""))))))))))))</f>
        <v/>
      </c>
      <c r="L620" s="27" t="str">
        <f>IF(I620="","",B$5&amp;"-"&amp;B$6)</f>
        <v/>
      </c>
      <c r="M620" s="52" t="str">
        <f>IF(N(J620)=0,"",J620-J619)</f>
        <v/>
      </c>
    </row>
    <row r="621" spans="1:13" x14ac:dyDescent="0.35">
      <c r="A621" s="48"/>
      <c r="B621" s="48"/>
      <c r="C621" s="50"/>
      <c r="D621" s="50"/>
      <c r="E621" s="51" t="str">
        <f t="shared" si="233"/>
        <v/>
      </c>
      <c r="F621" s="71" t="str">
        <f t="shared" si="231"/>
        <v/>
      </c>
      <c r="G621" s="69" t="str">
        <f t="shared" si="234"/>
        <v/>
      </c>
      <c r="H621" s="70" t="str">
        <f t="shared" si="232"/>
        <v/>
      </c>
      <c r="I621" s="27" t="str">
        <f>IF(N(J621)=0,"",0&amp;"-"&amp;B$7)</f>
        <v/>
      </c>
      <c r="J621" s="52" t="str">
        <f>IF(N(B$7)=0,"",IF(AND(COUNT(H616:H627)=2,COUNT(F616:F627)=2),cubic_spline(F615:F617,H615:H617,B$7),IF(AND(COUNT(H616:H627)=3,COUNT(F616:F627)=3),cubic_spline(F615:F618,H615:H618,B$7),IF(AND(COUNT(H616:H627)=4,COUNT(F616:F627)=4),cubic_spline(F615:F619,H615:H619,B$7),IF(AND(COUNT(H616:H627)=5,COUNT(F616:F627)=5),cubic_spline(F615:F620,H615:H620,B$7),IF(AND(COUNT(H616:H627)=6,COUNT(F616:F627)=6),cubic_spline(F615:F621,H615:H621,B$7),IF(AND(COUNT(H616:H627)=7,COUNT(F616:F627)=7),cubic_spline(F615:F622,H615:H622,B$7),IF(AND(COUNT(H616:H627)=8,COUNT(F616:F627)=8),cubic_spline(F615:F623,H615:H623,B$7),IF(AND(COUNT(H616:H627)=9,COUNT(F616:F627)=9),cubic_spline(F615:F624,H615:H624,B$7),IF(AND(COUNT(H616:H627)=10,COUNT(F616:F627)=10),cubic_spline(F615:F625,H615:H625,B$7),IF(AND(COUNT(H616:H627)=11,COUNT(F616:F627)=11),cubic_spline(F615:F626,H615:H626,B$7),IF(AND(COUNT(H616:H627)=12,COUNT(F616:F627)=12),cubic_spline(F615:F627,H615:H627,B$7),""))))))))))))</f>
        <v/>
      </c>
      <c r="K621" s="52" t="str">
        <f>IF(N(B$7)=0,"",IF(AND(COUNT(A616:A627)=2,COUNT(F616:F627)=2),cubic_spline(F615:F617,A615:A617,B$7),IF(AND(COUNT(A616:A627)=3,COUNT(F616:F627)=3),cubic_spline(F615:F618,A615:A618,B$7),IF(AND(COUNT(A616:A627)=4,COUNT(F616:F627)=4),cubic_spline(F615:F619,A615:A619,B$7),IF(AND(COUNT(A616:A627)=5,COUNT(F616:F627)=5),cubic_spline(F615:F620,A615:A620,B$7),IF(AND(COUNT(A616:A627)=6,COUNT(F616:F627)=6),cubic_spline(F615:F621,A615:A621,B$7),IF(AND(COUNT(A616:A627)=7,COUNT(F616:F627)=7),cubic_spline(F615:F622,A615:A622,B$7),IF(AND(COUNT(A616:A627)=8,COUNT(F616:F627)=8),cubic_spline(F615:F623,A615:A623,B$7),IF(AND(COUNT(A616:A627)=9,COUNT(F616:F627)=9),cubic_spline(F615:F624,A615:A624,B$7),IF(AND(COUNT(A616:A627)=10,COUNT(F616:F627)=10),cubic_spline(F615:F625,A615:A625,B$7),IF(AND(COUNT(A616:A627)=11,COUNT(F616:F627)=11),cubic_spline(F615:F626,A615:A626,B$7),IF(AND(COUNT(A616:A627)=12,COUNT(F616:F627)=12),cubic_spline(F615:F627,A615:A627,B$7),""))))))))))))</f>
        <v/>
      </c>
      <c r="L621" s="27" t="str">
        <f>IF(I621="","",B$6&amp;"-"&amp;B$7)</f>
        <v/>
      </c>
      <c r="M621" s="52" t="str">
        <f t="shared" ref="M621:M627" si="235">IF(N(J621)=0,"",J621-J620)</f>
        <v/>
      </c>
    </row>
    <row r="622" spans="1:13" x14ac:dyDescent="0.35">
      <c r="A622" s="48"/>
      <c r="B622" s="48"/>
      <c r="C622" s="50"/>
      <c r="D622" s="50"/>
      <c r="E622" s="51" t="str">
        <f t="shared" si="233"/>
        <v/>
      </c>
      <c r="F622" s="71" t="str">
        <f t="shared" si="231"/>
        <v/>
      </c>
      <c r="G622" s="69" t="str">
        <f t="shared" si="234"/>
        <v/>
      </c>
      <c r="H622" s="70" t="str">
        <f t="shared" si="232"/>
        <v/>
      </c>
      <c r="I622" s="27" t="str">
        <f>IF(N(J622)=0,"",0&amp;"-"&amp;B$8)</f>
        <v/>
      </c>
      <c r="J622" s="52" t="str">
        <f>IF(N(B$8)=0,"",IF(AND(COUNT(H616:H627)=2,COUNT(F616:F627)=2),cubic_spline(F615:F617,H615:H617,B$8),IF(AND(COUNT(H616:H627)=3,COUNT(F616:F627)=3),cubic_spline(F615:F618,H615:H618,B$8),IF(AND(COUNT(H616:H627)=4,COUNT(F616:F627)=4),cubic_spline(F615:F619,H615:H619,B$8),IF(AND(COUNT(H616:H627)=5,COUNT(F616:F627)=5),cubic_spline(F615:F620,H615:H620,B$8),IF(AND(COUNT(H616:H627)=6,COUNT(F616:F627)=6),cubic_spline(F615:F621,H615:H621,B$8),IF(AND(COUNT(H616:H627)=7,COUNT(F616:F627)=7),cubic_spline(F615:F622,H615:H622,B$8),IF(AND(COUNT(H616:H627)=8,COUNT(F616:F627)=8),cubic_spline(F615:F623,H615:H623,B$8),IF(AND(COUNT(H616:H627)=9,COUNT(F616:F627)=9),cubic_spline(F615:F624,H615:H624,B$8),IF(AND(COUNT(H616:H627)=10,COUNT(F616:F627)=10),cubic_spline(F615:F625,H615:H625,B$8),IF(AND(COUNT(H616:H627)=11,COUNT(F616:F627)=11),cubic_spline(F615:F626,H615:H626,B$8),IF(AND(COUNT(H616:H627)=12,COUNT(F616:F627)=12),cubic_spline(F615:F627,H615:H627,B$8),""))))))))))))</f>
        <v/>
      </c>
      <c r="K622" s="52" t="str">
        <f>IF(N(B$8)=0,"",IF(AND(COUNT(A616:A627)=2,COUNT(F616:F627)=2),cubic_spline(F615:F617,A615:A617,B$8),IF(AND(COUNT(A616:A627)=3,COUNT(F616:F627)=3),cubic_spline(F615:F618,A615:A618,B$8),IF(AND(COUNT(A616:A627)=4,COUNT(F616:F627)=4),cubic_spline(F615:F619,A615:A619,B$8),IF(AND(COUNT(A616:A627)=5,COUNT(F616:F627)=5),cubic_spline(F615:F620,A615:A620,B$8),IF(AND(COUNT(A616:A627)=6,COUNT(F616:F627)=6),cubic_spline(F615:F621,A615:A621,B$8),IF(AND(COUNT(A616:A627)=7,COUNT(F616:F627)=7),cubic_spline(F615:F622,A615:A622,B$8),IF(AND(COUNT(A616:A627)=8,COUNT(F616:F627)=8),cubic_spline(F615:F623,A615:A623,B$8),IF(AND(COUNT(A616:A627)=9,COUNT(F616:F627)=9),cubic_spline(F615:F624,A615:A624,B$8),IF(AND(COUNT(A616:A627)=10,COUNT(F616:F627)=10),cubic_spline(F615:F625,A615:A625,B$8),IF(AND(COUNT(A616:A627)=11,COUNT(F616:F627)=11),cubic_spline(F615:F626,A615:A626,B$8),IF(AND(COUNT(A616:A627)=12,COUNT(F616:F627)=12),cubic_spline(F615:F627,A615:A627,B$8),""))))))))))))</f>
        <v/>
      </c>
      <c r="L622" s="27" t="str">
        <f>IF(I622="","",B$7&amp;"-"&amp;B$8)</f>
        <v/>
      </c>
      <c r="M622" s="52" t="str">
        <f t="shared" si="235"/>
        <v/>
      </c>
    </row>
    <row r="623" spans="1:13" x14ac:dyDescent="0.35">
      <c r="A623" s="48"/>
      <c r="B623" s="48"/>
      <c r="C623" s="50"/>
      <c r="D623" s="50"/>
      <c r="E623" s="51" t="str">
        <f t="shared" si="233"/>
        <v/>
      </c>
      <c r="F623" s="71" t="str">
        <f t="shared" si="231"/>
        <v/>
      </c>
      <c r="G623" s="69" t="str">
        <f t="shared" si="234"/>
        <v/>
      </c>
      <c r="H623" s="70" t="str">
        <f t="shared" si="232"/>
        <v/>
      </c>
      <c r="I623" s="27" t="str">
        <f>IF(N(J623)=0,"",0&amp;"-"&amp;B$9)</f>
        <v/>
      </c>
      <c r="J623" s="52" t="str">
        <f>IF(N(B$9)=0,"",IF(AND(COUNT(H616:H627)=2,COUNT(F616:F627)=2),cubic_spline(F615:F617,H615:H617,B$9),IF(AND(COUNT(H616:H627)=3,COUNT(F616:F627)=3),cubic_spline(F615:F618,H615:H618,B$9),IF(AND(COUNT(H616:H627)=4,COUNT(F616:F627)=4),cubic_spline(F615:F619,H615:H619,B$9),IF(AND(COUNT(H616:H627)=5,COUNT(F616:F627)=5),cubic_spline(F615:F620,H615:H620,B$9),IF(AND(COUNT(H616:H627)=6,COUNT(F616:F627)=6),cubic_spline(F615:F621,H615:H621,B$9),IF(AND(COUNT(H616:H627)=7,COUNT(F616:F627)=7),cubic_spline(F615:F622,H615:H622,B$9),IF(AND(COUNT(H616:H627)=8,COUNT(F616:F627)=8),cubic_spline(F615:F623,H615:H623,B$9),IF(AND(COUNT(H616:H627)=9,COUNT(F616:F627)=9),cubic_spline(F615:F624,H615:H624,B$9),IF(AND(COUNT(H616:H627)=10,COUNT(F616:F627)=10),cubic_spline(F615:F625,H615:H625,B$9),IF(AND(COUNT(H616:H627)=11,COUNT(F616:F627)=11),cubic_spline(F615:F626,H615:H626,B$9),IF(AND(COUNT(H616:H627)=12,COUNT(F616:F627)=12),cubic_spline(F615:F627,H615:H627,B$9),""))))))))))))</f>
        <v/>
      </c>
      <c r="K623" s="52" t="str">
        <f>IF(N(B$9)=0,"",IF(AND(COUNT(A616:A627)=2,COUNT(F616:F627)=2),cubic_spline(F615:F617,A615:A617,B$9),IF(AND(COUNT(A616:A627)=3,COUNT(F616:F627)=3),cubic_spline(F615:F618,A615:A618,B$9),IF(AND(COUNT(A616:A627)=4,COUNT(F616:F627)=4),cubic_spline(F615:F619,A615:A619,B$9),IF(AND(COUNT(A616:A627)=5,COUNT(F616:F627)=5),cubic_spline(F615:F620,A615:A620,B$9),IF(AND(COUNT(A616:A627)=6,COUNT(F616:F627)=6),cubic_spline(F615:F621,A615:A621,B$9),IF(AND(COUNT(A616:A627)=7,COUNT(F616:F627)=7),cubic_spline(F615:F622,A615:A622,B$9),IF(AND(COUNT(A616:A627)=8,COUNT(F616:F627)=8),cubic_spline(F615:F623,A615:A623,B$9),IF(AND(COUNT(A616:A627)=9,COUNT(F616:F627)=9),cubic_spline(F615:F624,A615:A624,B$9),IF(AND(COUNT(A616:A627)=10,COUNT(F616:F627)=10),cubic_spline(F615:F625,A615:A625,B$9),IF(AND(COUNT(A616:A627)=11,COUNT(F616:F627)=11),cubic_spline(F615:F626,A615:A626,B$9),IF(AND(COUNT(A616:A627)=12,COUNT(F616:F627)=12),cubic_spline(F615:F627,A615:A627,B$9),""))))))))))))</f>
        <v/>
      </c>
      <c r="L623" s="27" t="str">
        <f>IF(I623="","",B$8&amp;"-"&amp;B$9)</f>
        <v/>
      </c>
      <c r="M623" s="52" t="str">
        <f t="shared" si="235"/>
        <v/>
      </c>
    </row>
    <row r="624" spans="1:13" x14ac:dyDescent="0.35">
      <c r="A624" s="48"/>
      <c r="B624" s="48"/>
      <c r="C624" s="50"/>
      <c r="D624" s="50"/>
      <c r="E624" s="51" t="str">
        <f t="shared" si="233"/>
        <v/>
      </c>
      <c r="F624" s="71" t="str">
        <f t="shared" si="231"/>
        <v/>
      </c>
      <c r="G624" s="69" t="str">
        <f t="shared" si="234"/>
        <v/>
      </c>
      <c r="H624" s="70" t="str">
        <f t="shared" si="232"/>
        <v/>
      </c>
      <c r="I624" s="27" t="str">
        <f>IF(N(J624)=0,"",0&amp;"-"&amp;B$10)</f>
        <v/>
      </c>
      <c r="J624" s="52" t="str">
        <f>IF(N(B$10)=0,"",IF(AND(COUNT(H616:H627)=2,COUNT(F616:F627)=2),cubic_spline(F615:F617,H615:H617,B$10),IF(AND(COUNT(H616:H627)=3,COUNT(F616:F627)=3),cubic_spline(F615:F618,H615:H618,B$10),IF(AND(COUNT(H616:H627)=4,COUNT(F616:F627)=4),cubic_spline(F615:F619,H615:H619,B$10),IF(AND(COUNT(H616:H627)=5,COUNT(F616:F627)=5),cubic_spline(F615:F620,H615:H620,B$10),IF(AND(COUNT(H616:H627)=6,COUNT(F616:F627)=6),cubic_spline(F615:F621,H615:H621,B$10),IF(AND(COUNT(H616:H627)=7,COUNT(F616:F627)=7),cubic_spline(F615:F622,H615:H622,B$10),IF(AND(COUNT(H616:H627)=8,COUNT(F616:F627)=8),cubic_spline(F615:F623,H615:H623,B$10),IF(AND(COUNT(H616:H627)=9,COUNT(F616:F627)=9),cubic_spline(F615:F624,H615:H624,B$10),IF(AND(COUNT(H616:H627)=10,COUNT(F616:F627)=10),cubic_spline(F615:F625,H615:H625,B$10),IF(AND(COUNT(H616:H627)=11,COUNT(F616:F627)=11),cubic_spline(F615:F626,H615:H626,B$10),IF(AND(COUNT(H616:H627)=12,COUNT(F616:F627)=12),cubic_spline(F615:F627,H615:H627,B$10),""))))))))))))</f>
        <v/>
      </c>
      <c r="K624" s="52" t="str">
        <f>IF(N(B$10)=0,"",IF(AND(COUNT(A616:A627)=2,COUNT(F616:F627)=2),cubic_spline(F615:F617,A615:A617,B$10),IF(AND(COUNT(A616:A627)=3,COUNT(F616:F627)=3),cubic_spline(F615:F618,A615:A618,B$10),IF(AND(COUNT(A616:A627)=4,COUNT(F616:F627)=4),cubic_spline(F615:F619,A615:A619,B$10),IF(AND(COUNT(A616:A627)=5,COUNT(F616:F627)=5),cubic_spline(F615:F620,A615:A620,B$10),IF(AND(COUNT(A616:A627)=6,COUNT(F616:F627)=6),cubic_spline(F615:F621,A615:A621,B$10),IF(AND(COUNT(A616:A627)=7,COUNT(F616:F627)=7),cubic_spline(F615:F622,A615:A622,B$10),IF(AND(COUNT(A616:A627)=8,COUNT(F616:F627)=8),cubic_spline(F615:F623,A615:A623,B$10),IF(AND(COUNT(A616:A627)=9,COUNT(F616:F627)=9),cubic_spline(F615:F624,A615:A624,B$10),IF(AND(COUNT(A616:A627)=10,COUNT(F616:F627)=10),cubic_spline(F615:F625,A615:A625,B$10),IF(AND(COUNT(A616:A627)=11,COUNT(F616:F627)=11),cubic_spline(F615:F626,A615:A626,B$10),IF(AND(COUNT(A616:A627)=12,COUNT(F616:F627)=12),cubic_spline(F615:F627,A615:A627,B$10),""))))))))))))</f>
        <v/>
      </c>
      <c r="L624" s="27" t="str">
        <f>IF(I624="","",B$9&amp;"-"&amp;B$10)</f>
        <v/>
      </c>
      <c r="M624" s="52" t="str">
        <f t="shared" si="235"/>
        <v/>
      </c>
    </row>
    <row r="625" spans="1:13" x14ac:dyDescent="0.35">
      <c r="A625" s="48"/>
      <c r="B625" s="48"/>
      <c r="C625" s="50"/>
      <c r="D625" s="50"/>
      <c r="E625" s="51" t="str">
        <f t="shared" si="233"/>
        <v/>
      </c>
      <c r="F625" s="71" t="str">
        <f t="shared" si="231"/>
        <v/>
      </c>
      <c r="G625" s="69" t="str">
        <f t="shared" si="234"/>
        <v/>
      </c>
      <c r="H625" s="70" t="str">
        <f t="shared" si="232"/>
        <v/>
      </c>
      <c r="I625" s="27" t="str">
        <f>IF(N(J625)=0,"",0&amp;"-"&amp;B$11)</f>
        <v/>
      </c>
      <c r="J625" s="52" t="str">
        <f>IF(N(B$11)=0,"",IF(AND(COUNT(H616:H627)=2,COUNT(F616:F627)=2),cubic_spline(F615:F617,H615:H617,B$11),IF(AND(COUNT(H616:H627)=3,COUNT(F616:F627)=3),cubic_spline(F615:F618,H615:H618,B$11),IF(AND(COUNT(H616:H627)=4,COUNT(F616:F627)=4),cubic_spline(F615:F619,H615:H619,B$11),IF(AND(COUNT(H616:H627)=5,COUNT(F616:F627)=5),cubic_spline(F615:F620,H615:H620,B$11),IF(AND(COUNT(H616:H627)=6,COUNT(F616:F627)=6),cubic_spline(F615:F621,H615:H621,B$11),IF(AND(COUNT(H616:H627)=7,COUNT(F616:F627)=7),cubic_spline(F615:F622,H615:H622,B$11),IF(AND(COUNT(H616:H627)=8,COUNT(F616:F627)=8),cubic_spline(F615:F623,H615:H623,B$11),IF(AND(COUNT(H616:H627)=9,COUNT(F616:F627)=9),cubic_spline(F615:F624,H615:H624,B$11),IF(AND(COUNT(H616:H627)=10,COUNT(F616:F627)=10),cubic_spline(F615:F625,H615:H625,B$11),IF(AND(COUNT(H616:H627)=11,COUNT(F616:F627)=11),cubic_spline(F615:F626,H615:H626,B$11),IF(AND(COUNT(H616:H627)=12,COUNT(F616:F627)=12),cubic_spline(F615:F627,H615:H627,B$11),""))))))))))))</f>
        <v/>
      </c>
      <c r="K625" s="52" t="str">
        <f>IF(N(B$11)=0,"",IF(AND(COUNT(A616:A627)=2,COUNT(F616:F627)=2),cubic_spline(F615:F617,A615:A617,B$11),IF(AND(COUNT(A616:A627)=3,COUNT(F616:F627)=3),cubic_spline(F615:F618,A615:A618,B$11),IF(AND(COUNT(A616:A627)=4,COUNT(F616:F627)=4),cubic_spline(F615:F619,A615:A619,B$11),IF(AND(COUNT(A616:A627)=5,COUNT(F616:F627)=5),cubic_spline(F615:F620,A615:A620,B$11),IF(AND(COUNT(A616:A627)=6,COUNT(F616:F627)=6),cubic_spline(F615:F621,A615:A621,B$11),IF(AND(COUNT(A616:A627)=7,COUNT(F616:F627)=7),cubic_spline(F615:F622,A615:A622,B$11),IF(AND(COUNT(A616:A627)=8,COUNT(F616:F627)=8),cubic_spline(F615:F623,A615:A623,B$11),IF(AND(COUNT(A616:A627)=9,COUNT(F616:F627)=9),cubic_spline(F615:F624,A615:A624,B$11),IF(AND(COUNT(A616:A627)=10,COUNT(F616:F627)=10),cubic_spline(F615:F625,A615:A625,B$11),IF(AND(COUNT(A616:A627)=11,COUNT(F616:F627)=11),cubic_spline(F615:F626,A615:A626,B$11),IF(AND(COUNT(A616:A627)=12,COUNT(F616:F627)=12),cubic_spline(F615:F627,A615:A627,B$11),""))))))))))))</f>
        <v/>
      </c>
      <c r="L625" s="27" t="str">
        <f>IF(I625="","",B$10&amp;"-"&amp;B$11)</f>
        <v/>
      </c>
      <c r="M625" s="52" t="str">
        <f t="shared" si="235"/>
        <v/>
      </c>
    </row>
    <row r="626" spans="1:13" x14ac:dyDescent="0.35">
      <c r="A626" s="48"/>
      <c r="B626" s="48"/>
      <c r="C626" s="50"/>
      <c r="D626" s="50"/>
      <c r="E626" s="51" t="str">
        <f t="shared" si="233"/>
        <v/>
      </c>
      <c r="F626" s="71" t="str">
        <f t="shared" si="231"/>
        <v/>
      </c>
      <c r="G626" s="69" t="str">
        <f t="shared" si="234"/>
        <v/>
      </c>
      <c r="H626" s="70" t="str">
        <f t="shared" si="232"/>
        <v/>
      </c>
      <c r="I626" s="27" t="str">
        <f>IF(N(J626)=0,"",0&amp;"-"&amp;B$12)</f>
        <v/>
      </c>
      <c r="J626" s="52" t="str">
        <f>IF(N(B$12)=0,"",IF(AND(COUNT(H616:H627)=2,COUNT(F616:F627)=2),cubic_spline(F615:F617,H615:H617,B$12),IF(AND(COUNT(H616:H627)=3,COUNT(F616:F627)=3),cubic_spline(F615:F618,H615:H618,B$12),IF(AND(COUNT(H616:H627)=4,COUNT(F616:F627)=4),cubic_spline(F615:F619,H615:H619,B$12),IF(AND(COUNT(H616:H627)=5,COUNT(F616:F627)=5),cubic_spline(F615:F620,H615:H620,B$12),IF(AND(COUNT(H616:H627)=6,COUNT(F616:F627)=6),cubic_spline(F615:F621,H615:H621,B$12),IF(AND(COUNT(H616:H627)=7,COUNT(F616:F627)=7),cubic_spline(F615:F622,H615:H622,B$12),IF(AND(COUNT(H616:H627)=8,COUNT(F616:F627)=8),cubic_spline(F615:F623,H615:H623,B$12),IF(AND(COUNT(H616:H627)=9,COUNT(F616:F627)=9),cubic_spline(F615:F624,H615:H624,B$12),IF(AND(COUNT(H616:H627)=10,COUNT(F616:F627)=10),cubic_spline(F615:F625,H615:H625,B$12),IF(AND(COUNT(H616:H627)=11,COUNT(F616:F627)=11),cubic_spline(F615:F626,H615:H626,B$12),IF(AND(COUNT(H616:H627)=12,COUNT(F616:F627)=12),cubic_spline(F615:F627,H615:H627,B$12),""))))))))))))</f>
        <v/>
      </c>
      <c r="K626" s="52" t="str">
        <f>IF(N(B$12)=0,"",IF(AND(COUNT(A616:A627)=2,COUNT(F616:F627)=2),cubic_spline(F615:F617,A615:A617,B$12),IF(AND(COUNT(A616:A627)=3,COUNT(F616:F627)=3),cubic_spline(F615:F618,A615:A618,B$12),IF(AND(COUNT(A616:A627)=4,COUNT(F616:F627)=4),cubic_spline(F615:F619,A615:A619,B$12),IF(AND(COUNT(A616:A627)=5,COUNT(F616:F627)=5),cubic_spline(F615:F620,A615:A620,B$12),IF(AND(COUNT(A616:A627)=6,COUNT(F616:F627)=6),cubic_spline(F615:F621,A615:A621,B$12),IF(AND(COUNT(A616:A627)=7,COUNT(F616:F627)=7),cubic_spline(F615:F622,A615:A622,B$12),IF(AND(COUNT(A616:A627)=8,COUNT(F616:F627)=8),cubic_spline(F615:F623,A615:A623,B$12),IF(AND(COUNT(A616:A627)=9,COUNT(F616:F627)=9),cubic_spline(F615:F624,A615:A624,B$12),IF(AND(COUNT(A616:A627)=10,COUNT(F616:F627)=10),cubic_spline(F615:F625,A615:A625,B$12),IF(AND(COUNT(A616:A627)=11,COUNT(F616:F627)=11),cubic_spline(F615:F626,A615:A626,B$12),IF(AND(COUNT(A616:A627)=12,COUNT(F616:F627)=12),cubic_spline(F615:F627,A615:A627,B$12),""))))))))))))</f>
        <v/>
      </c>
      <c r="L626" s="27" t="str">
        <f>IF(I626="","",B$11&amp;"-"&amp;B$12)</f>
        <v/>
      </c>
      <c r="M626" s="52" t="str">
        <f t="shared" si="235"/>
        <v/>
      </c>
    </row>
    <row r="627" spans="1:13" x14ac:dyDescent="0.35">
      <c r="A627" s="48"/>
      <c r="B627" s="48"/>
      <c r="C627" s="50"/>
      <c r="D627" s="50"/>
      <c r="E627" s="51" t="str">
        <f t="shared" si="233"/>
        <v/>
      </c>
      <c r="F627" s="71" t="str">
        <f t="shared" si="231"/>
        <v/>
      </c>
      <c r="G627" s="69" t="str">
        <f t="shared" si="234"/>
        <v/>
      </c>
      <c r="H627" s="70" t="str">
        <f t="shared" si="232"/>
        <v/>
      </c>
      <c r="I627" s="27" t="str">
        <f>IF(N(J627)=0,"",0&amp;"-"&amp;B$13)</f>
        <v/>
      </c>
      <c r="J627" s="52" t="str">
        <f>IF(N(B$13)=0,"",IF(AND(COUNT(H616:H627)=2,COUNT(F616:F627)=2),cubic_spline(F615:F617,H615:H617,B$13),IF(AND(COUNT(H616:H627)=3,COUNT(F616:F627)=3),cubic_spline(F615:F618,H615:H618,B$13),IF(AND(COUNT(H616:H627)=4,COUNT(F616:F627)=4),cubic_spline(F615:F619,H615:H619,B$13),IF(AND(COUNT(H616:H627)=5,COUNT(F616:F627)=5),cubic_spline(F615:F620,H615:H620,B$13),IF(AND(COUNT(H616:H627)=6,COUNT(F616:F627)=6),cubic_spline(F615:F621,H615:H621,B$13),IF(AND(COUNT(H616:H627)=7,COUNT(F616:F627)=7),cubic_spline(F615:F622,H615:H622,B$13),IF(AND(COUNT(H616:H627)=8,COUNT(F616:F627)=8),cubic_spline(F615:F623,H615:H623,B$13),IF(AND(COUNT(H616:H627)=9,COUNT(F616:F627)=9),cubic_spline(F615:F624,H615:H624,B$13),IF(AND(COUNT(H616:H627)=10,COUNT(F616:F627)=10),cubic_spline(F615:F625,H615:H625,B$13),IF(AND(COUNT(H616:H627)=11,COUNT(F616:F627)=11),cubic_spline(F615:F626,H615:H626,B$13),IF(AND(COUNT(H616:H627)=12,COUNT(F616:F627)=12),cubic_spline(F615:F627,H615:H627,B$13),""))))))))))))</f>
        <v/>
      </c>
      <c r="K627" s="52" t="str">
        <f>IF(N(B$13)=0,"",IF(AND(COUNT(A616:A627)=2,COUNT(F616:F627)=2),cubic_spline(F615:F617,A615:A617,B$13),IF(AND(COUNT(A616:A627)=3,COUNT(F616:F627)=3),cubic_spline(F615:F618,A615:A618,B$13),IF(AND(COUNT(A616:A627)=4,COUNT(F616:F627)=4),cubic_spline(F615:F619,A615:A619,B$13),IF(AND(COUNT(A616:A627)=5,COUNT(F616:F627)=5),cubic_spline(F615:F620,A615:A620,B$13),IF(AND(COUNT(A616:A627)=6,COUNT(F616:F627)=6),cubic_spline(F615:F621,A615:A621,B$13),IF(AND(COUNT(A616:A627)=7,COUNT(F616:F627)=7),cubic_spline(F615:F622,A615:A622,B$13),IF(AND(COUNT(A616:A627)=8,COUNT(F616:F627)=8),cubic_spline(F615:F623,A615:A623,B$13),IF(AND(COUNT(A616:A627)=9,COUNT(F616:F627)=9),cubic_spline(F615:F624,A615:A624,B$13),IF(AND(COUNT(A616:A627)=10,COUNT(F616:F627)=10),cubic_spline(F615:F625,A615:A625,B$13),IF(AND(COUNT(A616:A627)=11,COUNT(F616:F627)=11),cubic_spline(F615:F626,A615:A626,B$13),IF(AND(COUNT(A616:A627)=12,COUNT(F616:F627)=12),cubic_spline(F615:F627,A615:A627,B$13),""))))))))))))</f>
        <v/>
      </c>
      <c r="L627" s="27" t="str">
        <f>IF(I627="","",B$12&amp;"-"&amp;B$13)</f>
        <v/>
      </c>
      <c r="M627" s="52" t="str">
        <f t="shared" si="235"/>
        <v/>
      </c>
    </row>
    <row r="628" spans="1:13" ht="5.15" customHeight="1" x14ac:dyDescent="0.35">
      <c r="A628" s="47"/>
      <c r="B628" s="47"/>
      <c r="C628" s="53"/>
      <c r="D628" s="53"/>
      <c r="E628" s="54"/>
      <c r="F628" s="55"/>
      <c r="G628" s="72"/>
      <c r="H628" s="73"/>
      <c r="I628" s="47"/>
      <c r="J628" s="57"/>
      <c r="K628" s="57"/>
      <c r="L628" s="55"/>
      <c r="M628" s="57"/>
    </row>
    <row r="629" spans="1:13" x14ac:dyDescent="0.35">
      <c r="A629" s="48"/>
      <c r="B629" s="48"/>
      <c r="C629" s="50"/>
      <c r="D629" s="50"/>
      <c r="E629" s="51" t="str">
        <f>IF(N(C629)=0,"",(A629-A628)*C629*100)</f>
        <v/>
      </c>
      <c r="F629" s="68" t="str">
        <f t="shared" ref="F629:F640" si="236">IF(N(E629)=0,"",(N(E629)+N(F628)))</f>
        <v/>
      </c>
      <c r="G629" s="69" t="str">
        <f>IF(OR(N(D629)=0,N(E629)=0),"",(E629*D629)/1000)</f>
        <v/>
      </c>
      <c r="H629" s="70" t="str">
        <f t="shared" ref="H629:H640" si="237">IF(N(G629)=0,"",(N(G629)+N(H628)))</f>
        <v/>
      </c>
      <c r="I629" s="27" t="str">
        <f>IF(N(J629)=0,"",0&amp;"-"&amp;B$2)</f>
        <v/>
      </c>
      <c r="J629" s="52" t="str">
        <f>IF(N(B$2)=0,"",IF(AND(COUNT(H629:H640)=2,COUNT(F629:F640)=2),cubic_spline(F628:F630,H628:H630,B$2),IF(AND(COUNT(H629:H640)=3,COUNT(F629:F640)=3),cubic_spline(F628:F631,H628:H631,B$2),IF(AND(COUNT(H629:H640)=4,COUNT(F629:F640)=4),cubic_spline(F628:F632,H628:H632,B$2),IF(AND(COUNT(H629:H640)=5,COUNT(F629:F640)=5),cubic_spline(F628:F633,H628:H633,B$2),IF(AND(COUNT(H629:H640)=6,COUNT(F629:F640)=6),cubic_spline(F628:F634,H628:H634,B$2),IF(AND(COUNT(H629:H640)=7,COUNT(F629:F640)=7),cubic_spline(F628:F635,H628:H635,B$2),IF(AND(COUNT(H629:H640)=8,COUNT(F629:F640)=8),cubic_spline(F628:F636,H628:H636,B$2),IF(AND(COUNT(H629:H640)=9,COUNT(F629:F640)=9),cubic_spline(F628:F637,H628:H637,B$2),IF(AND(COUNT(H629:H640)=10,COUNT(F629:F640)=10),cubic_spline(F628:F638,H628:H638,B$2),IF(AND(COUNT(H629:H640)=11,COUNT(F629:F640)=11),cubic_spline(F628:F639,H628:H639,B$2),IF(AND(COUNT(H629:H640)=12,COUNT(F629:F640)=12),cubic_spline(F628:F640,H628:H640,B$2),""))))))))))))</f>
        <v/>
      </c>
      <c r="K629" s="52" t="str">
        <f>IF(N(B$2)=0,"",IF(AND(COUNT(A629:A640)=2,COUNT(F629:F640)=2),cubic_spline(F628:F630,A628:A630,B$2),IF(AND(COUNT(A629:A640)=3,COUNT(F629:F640)=3),cubic_spline(F628:F631,A628:A631,B$2),IF(AND(COUNT(A629:A640)=4,COUNT(F629:F640)=4),cubic_spline(F628:F632,A628:A632,B$2),IF(AND(COUNT(A629:A640)=5,COUNT(F629:F640)=5),cubic_spline(F628:F633,A628:A633,B$2),IF(AND(COUNT(A629:A640)=6,COUNT(F629:F640)=6),cubic_spline(F628:F634,A628:A634,B$2),IF(AND(COUNT(A629:A640)=7,COUNT(F629:F640)=7),cubic_spline(F628:F635,A628:A635,B$2),IF(AND(COUNT(A629:A640)=8,COUNT(F629:F640)=8),cubic_spline(F628:F636,A628:A636,B$2),IF(AND(COUNT(A629:A640)=9,COUNT(F629:F640)=9),cubic_spline(F628:F637,A628:A637,B$2),IF(AND(COUNT(A629:A640)=10,COUNT(F629:F640)=10),cubic_spline(F628:F638,A628:A638,B$2),IF(AND(COUNT(A629:A640)=11,COUNT(F629:F640)=11),cubic_spline(F628:F639,A628:A639,B$2),IF(AND(COUNT(A629:A640)=12,COUNT(F629:F640)=12),cubic_spline(F628:F640,A628:A640,B$2),""))))))))))))</f>
        <v/>
      </c>
      <c r="L629" s="27" t="str">
        <f>IF(I629="","",0&amp;"-"&amp;B$2)</f>
        <v/>
      </c>
      <c r="M629" s="52" t="str">
        <f>IF(N(J629)=0,"",J629-J628)</f>
        <v/>
      </c>
    </row>
    <row r="630" spans="1:13" x14ac:dyDescent="0.35">
      <c r="A630" s="48"/>
      <c r="B630" s="48"/>
      <c r="C630" s="50"/>
      <c r="D630" s="50"/>
      <c r="E630" s="51" t="str">
        <f t="shared" ref="E630:E640" si="238">IF(N(C630)=0,"",(A630-A629)*C630*100)</f>
        <v/>
      </c>
      <c r="F630" s="68" t="str">
        <f t="shared" si="236"/>
        <v/>
      </c>
      <c r="G630" s="69" t="str">
        <f t="shared" ref="G630:G640" si="239">IF(OR(N(D630)=0,N(E630)=0),"",(E630*D630)/1000)</f>
        <v/>
      </c>
      <c r="H630" s="70" t="str">
        <f t="shared" si="237"/>
        <v/>
      </c>
      <c r="I630" s="27" t="str">
        <f>IF(N(J630)=0,"",0&amp;"-"&amp;B$3)</f>
        <v/>
      </c>
      <c r="J630" s="52" t="str">
        <f>IF(N(B$3)=0,"",IF(AND(COUNT(H629:H640)=2,COUNT(F629:F640)=2),cubic_spline(F628:F630,H628:H630,B$3),IF(AND(COUNT(H629:H640)=3,COUNT(F629:F640)=3),cubic_spline(F628:F631,H628:H631,B$3),IF(AND(COUNT(H629:H640)=4,COUNT(F629:F640)=4),cubic_spline(F628:F632,H628:H632,B$3),IF(AND(COUNT(H629:H640)=5,COUNT(F629:F640)=5),cubic_spline(F628:F633,H628:H633,B$3),IF(AND(COUNT(H629:H640)=6,COUNT(F629:F640)=6),cubic_spline(F628:F634,H628:H634,B$3),IF(AND(COUNT(H629:H640)=7,COUNT(F629:F640)=7),cubic_spline(F628:F635,H628:H635,B$3),IF(AND(COUNT(H629:H640)=8,COUNT(F629:F640)=8),cubic_spline(F628:F636,H628:H636,B$3),IF(AND(COUNT(H629:H640)=9,COUNT(F629:F640)=9),cubic_spline(F628:F637,H628:H637,B$3),IF(AND(COUNT(H629:H640)=10,COUNT(F629:F640)=10),cubic_spline(F628:F638,H628:H638,B$3),IF(AND(COUNT(H629:H640)=11,COUNT(F629:F640)=11),cubic_spline(F628:F639,H628:H639,B$3),IF(AND(COUNT(H629:H640)=12,COUNT(F629:F640)=12),cubic_spline(F628:F640,H628:H640,B$3),""))))))))))))</f>
        <v/>
      </c>
      <c r="K630" s="52" t="str">
        <f>IF(N(B$3)=0,"",IF(AND(COUNT(A629:A640)=2,COUNT(F629:F640)=2),cubic_spline(F628:F630,A628:A630,B$3),IF(AND(COUNT(A629:A640)=3,COUNT(F629:F640)=3),cubic_spline(F628:F631,A628:A631,B$3),IF(AND(COUNT(A629:A640)=4,COUNT(F629:F640)=4),cubic_spline(F628:F632,A628:A632,B$3),IF(AND(COUNT(A629:A640)=5,COUNT(F629:F640)=5),cubic_spline(F628:F633,A628:A633,B$3),IF(AND(COUNT(A629:A640)=6,COUNT(F629:F640)=6),cubic_spline(F628:F634,A628:A634,B$3),IF(AND(COUNT(A629:A640)=7,COUNT(F629:F640)=7),cubic_spline(F628:F635,A628:A635,B$3),IF(AND(COUNT(A629:A640)=8,COUNT(F629:F640)=8),cubic_spline(F628:F636,A628:A636,B$3),IF(AND(COUNT(A629:A640)=9,COUNT(F629:F640)=9),cubic_spline(F628:F637,A628:A637,B$3),IF(AND(COUNT(A629:A640)=10,COUNT(F629:F640)=10),cubic_spline(F628:F638,A628:A638,B$3),IF(AND(COUNT(A629:A640)=11,COUNT(F629:F640)=11),cubic_spline(F628:F639,A628:A639,B$3),IF(AND(COUNT(A629:A640)=12,COUNT(F629:F640)=12),cubic_spline(F628:F640,A628:A640,B$3),""))))))))))))</f>
        <v/>
      </c>
      <c r="L630" s="27" t="str">
        <f>IF(I630="","",B$2&amp;"-"&amp;B$3)</f>
        <v/>
      </c>
      <c r="M630" s="52" t="str">
        <f>IF(N(J630)=0,"",J630-J629)</f>
        <v/>
      </c>
    </row>
    <row r="631" spans="1:13" x14ac:dyDescent="0.35">
      <c r="A631" s="48"/>
      <c r="B631" s="48"/>
      <c r="C631" s="50"/>
      <c r="D631" s="50"/>
      <c r="E631" s="51" t="str">
        <f t="shared" si="238"/>
        <v/>
      </c>
      <c r="F631" s="68" t="str">
        <f t="shared" si="236"/>
        <v/>
      </c>
      <c r="G631" s="69" t="str">
        <f t="shared" si="239"/>
        <v/>
      </c>
      <c r="H631" s="70" t="str">
        <f t="shared" si="237"/>
        <v/>
      </c>
      <c r="I631" s="27" t="str">
        <f>IF(N(J631)=0,"",0&amp;"-"&amp;B$4)</f>
        <v/>
      </c>
      <c r="J631" s="52" t="str">
        <f>IF(N(B$4)=0,"",IF(AND(COUNT(H629:H640)=2,COUNT(F629:F640)=2),cubic_spline(F628:F630,H628:H630,B$4),IF(AND(COUNT(H629:H640)=3,COUNT(F629:F640)=3),cubic_spline(F628:F631,H628:H631,B$4),IF(AND(COUNT(H629:H640)=4,COUNT(F629:F640)=4),cubic_spline(F628:F632,H628:H632,B$4),IF(AND(COUNT(H629:H640)=5,COUNT(F629:F640)=5),cubic_spline(F628:F633,H628:H633,B$4),IF(AND(COUNT(H629:H640)=6,COUNT(F629:F640)=6),cubic_spline(F628:F634,H628:H634,B$4),IF(AND(COUNT(H629:H640)=7,COUNT(F629:F640)=7),cubic_spline(F628:F635,H628:H635,B$4),IF(AND(COUNT(H629:H640)=8,COUNT(F629:F640)=8),cubic_spline(F628:F636,H628:H636,B$4),IF(AND(COUNT(H629:H640)=9,COUNT(F629:F640)=9),cubic_spline(F628:F637,H628:H637,B$4),IF(AND(COUNT(H629:H640)=10,COUNT(F629:F640)=10),cubic_spline(F628:F638,H628:H638,B$4),IF(AND(COUNT(H629:H640)=11,COUNT(F629:F640)=11),cubic_spline(F628:F639,H628:H639,B$4),IF(AND(COUNT(H629:H640)=12,COUNT(F629:F640)=12),cubic_spline(F628:F640,H628:H640,B$4),""))))))))))))</f>
        <v/>
      </c>
      <c r="K631" s="52" t="str">
        <f>IF(N(B$4)=0,"",IF(AND(COUNT(A629:A640)=2,COUNT(F629:F640)=2),cubic_spline(F628:F630,A628:A630,B$4),IF(AND(COUNT(A629:A640)=3,COUNT(F629:F640)=3),cubic_spline(F628:F631,A628:A631,B$4),IF(AND(COUNT(A629:A640)=4,COUNT(F629:F640)=4),cubic_spline(F628:F632,A628:A632,B$4),IF(AND(COUNT(A629:A640)=5,COUNT(F629:F640)=5),cubic_spline(F628:F633,A628:A633,B$4),IF(AND(COUNT(A629:A640)=6,COUNT(F629:F640)=6),cubic_spline(F628:F634,A628:A634,B$4),IF(AND(COUNT(A629:A640)=7,COUNT(F629:F640)=7),cubic_spline(F628:F635,A628:A635,B$4),IF(AND(COUNT(A629:A640)=8,COUNT(F629:F640)=8),cubic_spline(F628:F636,A628:A636,B$4),IF(AND(COUNT(A629:A640)=9,COUNT(F629:F640)=9),cubic_spline(F628:F637,A628:A637,B$4),IF(AND(COUNT(A629:A640)=10,COUNT(F629:F640)=10),cubic_spline(F628:F638,A628:A638,B$4),IF(AND(COUNT(A629:A640)=11,COUNT(F629:F640)=11),cubic_spline(F628:F639,A628:A639,B$4),IF(AND(COUNT(A629:A640)=12,COUNT(F629:F640)=12),cubic_spline(F628:F640,A628:A640,B$4),""))))))))))))</f>
        <v/>
      </c>
      <c r="L631" s="27" t="str">
        <f>IF(I631="","",B$3&amp;"-"&amp;B$4)</f>
        <v/>
      </c>
      <c r="M631" s="52" t="str">
        <f>IF(N(J631)=0,"",J631-J630)</f>
        <v/>
      </c>
    </row>
    <row r="632" spans="1:13" x14ac:dyDescent="0.35">
      <c r="A632" s="48"/>
      <c r="B632" s="48"/>
      <c r="C632" s="50"/>
      <c r="D632" s="50"/>
      <c r="E632" s="51" t="str">
        <f t="shared" si="238"/>
        <v/>
      </c>
      <c r="F632" s="68" t="str">
        <f t="shared" si="236"/>
        <v/>
      </c>
      <c r="G632" s="69" t="str">
        <f t="shared" si="239"/>
        <v/>
      </c>
      <c r="H632" s="70" t="str">
        <f t="shared" si="237"/>
        <v/>
      </c>
      <c r="I632" s="27" t="str">
        <f>IF(N(J632)=0,"",0&amp;"-"&amp;B$5)</f>
        <v/>
      </c>
      <c r="J632" s="52" t="str">
        <f>IF(N(B$5)=0,"",IF(AND(COUNT(H629:H640)=2,COUNT(F629:F640)=2),cubic_spline(F628:F630,H628:H630,B$5),IF(AND(COUNT(H629:H640)=3,COUNT(F629:F640)=3),cubic_spline(F628:F631,H628:H631,B$5),IF(AND(COUNT(H629:H640)=4,COUNT(F629:F640)=4),cubic_spline(F628:F632,H628:H632,B$5),IF(AND(COUNT(H629:H640)=5,COUNT(F629:F640)=5),cubic_spline(F628:F633,H628:H633,B$5),IF(AND(COUNT(H629:H640)=6,COUNT(F629:F640)=6),cubic_spline(F628:F634,H628:H634,B$5),IF(AND(COUNT(H629:H640)=7,COUNT(F629:F640)=7),cubic_spline(F628:F635,H628:H635,B$5),IF(AND(COUNT(H629:H640)=8,COUNT(F629:F640)=8),cubic_spline(F628:F636,H628:H636,B$5),IF(AND(COUNT(H629:H640)=9,COUNT(F629:F640)=9),cubic_spline(F628:F637,H628:H637,B$5),IF(AND(COUNT(H629:H640)=10,COUNT(F629:F640)=10),cubic_spline(F628:F638,H628:H638,B$5),IF(AND(COUNT(H629:H640)=11,COUNT(F629:F640)=11),cubic_spline(F628:F639,H628:H639,B$5),IF(AND(COUNT(H629:H640)=12,COUNT(F629:F640)=12),cubic_spline(F628:F640,H628:H640,B$5),""))))))))))))</f>
        <v/>
      </c>
      <c r="K632" s="52" t="str">
        <f>IF(N(B$5)=0,"",IF(AND(COUNT(A629:A640)=2,COUNT(F629:F640)=2),cubic_spline(F628:F630,A628:A630,B$5),IF(AND(COUNT(A629:A640)=3,COUNT(F629:F640)=3),cubic_spline(F628:F631,A628:A631,B$5),IF(AND(COUNT(A629:A640)=4,COUNT(F629:F640)=4),cubic_spline(F628:F632,A628:A632,B$5),IF(AND(COUNT(A629:A640)=5,COUNT(F629:F640)=5),cubic_spline(F628:F633,A628:A633,B$5),IF(AND(COUNT(A629:A640)=6,COUNT(F629:F640)=6),cubic_spline(F628:F634,A628:A634,B$5),IF(AND(COUNT(A629:A640)=7,COUNT(F629:F640)=7),cubic_spline(F628:F635,A628:A635,B$5),IF(AND(COUNT(A629:A640)=8,COUNT(F629:F640)=8),cubic_spline(F628:F636,A628:A636,B$5),IF(AND(COUNT(A629:A640)=9,COUNT(F629:F640)=9),cubic_spline(F628:F637,A628:A637,B$5),IF(AND(COUNT(A629:A640)=10,COUNT(F629:F640)=10),cubic_spline(F628:F638,A628:A638,B$5),IF(AND(COUNT(A629:A640)=11,COUNT(F629:F640)=11),cubic_spline(F628:F639,A628:A639,B$5),IF(AND(COUNT(A629:A640)=12,COUNT(F629:F640)=12),cubic_spline(F628:F640,A628:A640,B$5),""))))))))))))</f>
        <v/>
      </c>
      <c r="L632" s="27" t="str">
        <f>IF(I632="","",B$4&amp;"-"&amp;B$5)</f>
        <v/>
      </c>
      <c r="M632" s="52" t="str">
        <f>IF(N(J632)=0,"",J632-J631)</f>
        <v/>
      </c>
    </row>
    <row r="633" spans="1:13" x14ac:dyDescent="0.35">
      <c r="A633" s="48"/>
      <c r="B633" s="48"/>
      <c r="C633" s="50"/>
      <c r="D633" s="50"/>
      <c r="E633" s="51" t="str">
        <f t="shared" si="238"/>
        <v/>
      </c>
      <c r="F633" s="71" t="str">
        <f t="shared" si="236"/>
        <v/>
      </c>
      <c r="G633" s="69" t="str">
        <f t="shared" si="239"/>
        <v/>
      </c>
      <c r="H633" s="70" t="str">
        <f t="shared" si="237"/>
        <v/>
      </c>
      <c r="I633" s="27" t="str">
        <f>IF(N(J633)=0,"",0&amp;"-"&amp;B$6)</f>
        <v/>
      </c>
      <c r="J633" s="52" t="str">
        <f>IF(N(B$6)=0,"",IF(AND(COUNT(H629:H640)=2,COUNT(F629:F640)=2),cubic_spline(F628:F630,H628:H630,B$6),IF(AND(COUNT(H629:H640)=3,COUNT(F629:F640)=3),cubic_spline(F628:F631,H628:H631,B$6),IF(AND(COUNT(H629:H640)=4,COUNT(F629:F640)=4),cubic_spline(F628:F632,H628:H632,B$6),IF(AND(COUNT(H629:H640)=5,COUNT(F629:F640)=5),cubic_spline(F628:F633,H628:H633,B$6),IF(AND(COUNT(H629:H640)=6,COUNT(F629:F640)=6),cubic_spline(F628:F634,H628:H634,B$6),IF(AND(COUNT(H629:H640)=7,COUNT(F629:F640)=7),cubic_spline(F628:F635,H628:H635,B$6),IF(AND(COUNT(H629:H640)=8,COUNT(F629:F640)=8),cubic_spline(F628:F636,H628:H636,B$6),IF(AND(COUNT(H629:H640)=9,COUNT(F629:F640)=9),cubic_spline(F628:F637,H628:H637,B$6),IF(AND(COUNT(H629:H640)=10,COUNT(F629:F640)=10),cubic_spline(F628:F638,H628:H638,B$6),IF(AND(COUNT(H629:H640)=11,COUNT(F629:F640)=11),cubic_spline(F628:F639,H628:H639,B$6),IF(AND(COUNT(H629:H640)=12,COUNT(F629:F640)=12),cubic_spline(F628:F640,H628:H640,B$6),""))))))))))))</f>
        <v/>
      </c>
      <c r="K633" s="52" t="str">
        <f>IF(N(B$6)=0,"",IF(AND(COUNT(A629:A640)=2,COUNT(F629:F640)=2),cubic_spline(F628:F630,A628:A630,B$6),IF(AND(COUNT(A629:A640)=3,COUNT(F629:F640)=3),cubic_spline(F628:F631,A628:A631,B$6),IF(AND(COUNT(A629:A640)=4,COUNT(F629:F640)=4),cubic_spline(F628:F632,A628:A632,B$6),IF(AND(COUNT(A629:A640)=5,COUNT(F629:F640)=5),cubic_spline(F628:F633,A628:A633,B$6),IF(AND(COUNT(A629:A640)=6,COUNT(F629:F640)=6),cubic_spline(F628:F634,A628:A634,B$6),IF(AND(COUNT(A629:A640)=7,COUNT(F629:F640)=7),cubic_spline(F628:F635,A628:A635,B$6),IF(AND(COUNT(A629:A640)=8,COUNT(F629:F640)=8),cubic_spline(F628:F636,A628:A636,B$6),IF(AND(COUNT(A629:A640)=9,COUNT(F629:F640)=9),cubic_spline(F628:F637,A628:A637,B$6),IF(AND(COUNT(A629:A640)=10,COUNT(F629:F640)=10),cubic_spline(F628:F638,A628:A638,B$6),IF(AND(COUNT(A629:A640)=11,COUNT(F629:F640)=11),cubic_spline(F628:F639,A628:A639,B$6),IF(AND(COUNT(A629:A640)=12,COUNT(F629:F640)=12),cubic_spline(F628:F640,A628:A640,B$6),""))))))))))))</f>
        <v/>
      </c>
      <c r="L633" s="27" t="str">
        <f>IF(I633="","",B$5&amp;"-"&amp;B$6)</f>
        <v/>
      </c>
      <c r="M633" s="52" t="str">
        <f>IF(N(J633)=0,"",J633-J632)</f>
        <v/>
      </c>
    </row>
    <row r="634" spans="1:13" x14ac:dyDescent="0.35">
      <c r="A634" s="48"/>
      <c r="B634" s="48"/>
      <c r="C634" s="50"/>
      <c r="D634" s="50"/>
      <c r="E634" s="51" t="str">
        <f t="shared" si="238"/>
        <v/>
      </c>
      <c r="F634" s="71" t="str">
        <f t="shared" si="236"/>
        <v/>
      </c>
      <c r="G634" s="69" t="str">
        <f t="shared" si="239"/>
        <v/>
      </c>
      <c r="H634" s="70" t="str">
        <f t="shared" si="237"/>
        <v/>
      </c>
      <c r="I634" s="27" t="str">
        <f>IF(N(J634)=0,"",0&amp;"-"&amp;B$7)</f>
        <v/>
      </c>
      <c r="J634" s="52" t="str">
        <f>IF(N(B$7)=0,"",IF(AND(COUNT(H629:H640)=2,COUNT(F629:F640)=2),cubic_spline(F628:F630,H628:H630,B$7),IF(AND(COUNT(H629:H640)=3,COUNT(F629:F640)=3),cubic_spline(F628:F631,H628:H631,B$7),IF(AND(COUNT(H629:H640)=4,COUNT(F629:F640)=4),cubic_spline(F628:F632,H628:H632,B$7),IF(AND(COUNT(H629:H640)=5,COUNT(F629:F640)=5),cubic_spline(F628:F633,H628:H633,B$7),IF(AND(COUNT(H629:H640)=6,COUNT(F629:F640)=6),cubic_spline(F628:F634,H628:H634,B$7),IF(AND(COUNT(H629:H640)=7,COUNT(F629:F640)=7),cubic_spline(F628:F635,H628:H635,B$7),IF(AND(COUNT(H629:H640)=8,COUNT(F629:F640)=8),cubic_spline(F628:F636,H628:H636,B$7),IF(AND(COUNT(H629:H640)=9,COUNT(F629:F640)=9),cubic_spline(F628:F637,H628:H637,B$7),IF(AND(COUNT(H629:H640)=10,COUNT(F629:F640)=10),cubic_spline(F628:F638,H628:H638,B$7),IF(AND(COUNT(H629:H640)=11,COUNT(F629:F640)=11),cubic_spline(F628:F639,H628:H639,B$7),IF(AND(COUNT(H629:H640)=12,COUNT(F629:F640)=12),cubic_spline(F628:F640,H628:H640,B$7),""))))))))))))</f>
        <v/>
      </c>
      <c r="K634" s="52" t="str">
        <f>IF(N(B$7)=0,"",IF(AND(COUNT(A629:A640)=2,COUNT(F629:F640)=2),cubic_spline(F628:F630,A628:A630,B$7),IF(AND(COUNT(A629:A640)=3,COUNT(F629:F640)=3),cubic_spline(F628:F631,A628:A631,B$7),IF(AND(COUNT(A629:A640)=4,COUNT(F629:F640)=4),cubic_spline(F628:F632,A628:A632,B$7),IF(AND(COUNT(A629:A640)=5,COUNT(F629:F640)=5),cubic_spline(F628:F633,A628:A633,B$7),IF(AND(COUNT(A629:A640)=6,COUNT(F629:F640)=6),cubic_spline(F628:F634,A628:A634,B$7),IF(AND(COUNT(A629:A640)=7,COUNT(F629:F640)=7),cubic_spline(F628:F635,A628:A635,B$7),IF(AND(COUNT(A629:A640)=8,COUNT(F629:F640)=8),cubic_spline(F628:F636,A628:A636,B$7),IF(AND(COUNT(A629:A640)=9,COUNT(F629:F640)=9),cubic_spline(F628:F637,A628:A637,B$7),IF(AND(COUNT(A629:A640)=10,COUNT(F629:F640)=10),cubic_spline(F628:F638,A628:A638,B$7),IF(AND(COUNT(A629:A640)=11,COUNT(F629:F640)=11),cubic_spline(F628:F639,A628:A639,B$7),IF(AND(COUNT(A629:A640)=12,COUNT(F629:F640)=12),cubic_spline(F628:F640,A628:A640,B$7),""))))))))))))</f>
        <v/>
      </c>
      <c r="L634" s="27" t="str">
        <f>IF(I634="","",B$6&amp;"-"&amp;B$7)</f>
        <v/>
      </c>
      <c r="M634" s="52" t="str">
        <f t="shared" ref="M634:M640" si="240">IF(N(J634)=0,"",J634-J633)</f>
        <v/>
      </c>
    </row>
    <row r="635" spans="1:13" x14ac:dyDescent="0.35">
      <c r="A635" s="48"/>
      <c r="B635" s="48"/>
      <c r="C635" s="50"/>
      <c r="D635" s="50"/>
      <c r="E635" s="51" t="str">
        <f t="shared" si="238"/>
        <v/>
      </c>
      <c r="F635" s="71" t="str">
        <f t="shared" si="236"/>
        <v/>
      </c>
      <c r="G635" s="69" t="str">
        <f t="shared" si="239"/>
        <v/>
      </c>
      <c r="H635" s="70" t="str">
        <f t="shared" si="237"/>
        <v/>
      </c>
      <c r="I635" s="27" t="str">
        <f>IF(N(J635)=0,"",0&amp;"-"&amp;B$8)</f>
        <v/>
      </c>
      <c r="J635" s="52" t="str">
        <f>IF(N(B$8)=0,"",IF(AND(COUNT(H629:H640)=2,COUNT(F629:F640)=2),cubic_spline(F628:F630,H628:H630,B$8),IF(AND(COUNT(H629:H640)=3,COUNT(F629:F640)=3),cubic_spline(F628:F631,H628:H631,B$8),IF(AND(COUNT(H629:H640)=4,COUNT(F629:F640)=4),cubic_spline(F628:F632,H628:H632,B$8),IF(AND(COUNT(H629:H640)=5,COUNT(F629:F640)=5),cubic_spline(F628:F633,H628:H633,B$8),IF(AND(COUNT(H629:H640)=6,COUNT(F629:F640)=6),cubic_spline(F628:F634,H628:H634,B$8),IF(AND(COUNT(H629:H640)=7,COUNT(F629:F640)=7),cubic_spline(F628:F635,H628:H635,B$8),IF(AND(COUNT(H629:H640)=8,COUNT(F629:F640)=8),cubic_spline(F628:F636,H628:H636,B$8),IF(AND(COUNT(H629:H640)=9,COUNT(F629:F640)=9),cubic_spline(F628:F637,H628:H637,B$8),IF(AND(COUNT(H629:H640)=10,COUNT(F629:F640)=10),cubic_spline(F628:F638,H628:H638,B$8),IF(AND(COUNT(H629:H640)=11,COUNT(F629:F640)=11),cubic_spline(F628:F639,H628:H639,B$8),IF(AND(COUNT(H629:H640)=12,COUNT(F629:F640)=12),cubic_spline(F628:F640,H628:H640,B$8),""))))))))))))</f>
        <v/>
      </c>
      <c r="K635" s="52" t="str">
        <f>IF(N(B$8)=0,"",IF(AND(COUNT(A629:A640)=2,COUNT(F629:F640)=2),cubic_spline(F628:F630,A628:A630,B$8),IF(AND(COUNT(A629:A640)=3,COUNT(F629:F640)=3),cubic_spline(F628:F631,A628:A631,B$8),IF(AND(COUNT(A629:A640)=4,COUNT(F629:F640)=4),cubic_spline(F628:F632,A628:A632,B$8),IF(AND(COUNT(A629:A640)=5,COUNT(F629:F640)=5),cubic_spline(F628:F633,A628:A633,B$8),IF(AND(COUNT(A629:A640)=6,COUNT(F629:F640)=6),cubic_spline(F628:F634,A628:A634,B$8),IF(AND(COUNT(A629:A640)=7,COUNT(F629:F640)=7),cubic_spline(F628:F635,A628:A635,B$8),IF(AND(COUNT(A629:A640)=8,COUNT(F629:F640)=8),cubic_spline(F628:F636,A628:A636,B$8),IF(AND(COUNT(A629:A640)=9,COUNT(F629:F640)=9),cubic_spline(F628:F637,A628:A637,B$8),IF(AND(COUNT(A629:A640)=10,COUNT(F629:F640)=10),cubic_spline(F628:F638,A628:A638,B$8),IF(AND(COUNT(A629:A640)=11,COUNT(F629:F640)=11),cubic_spline(F628:F639,A628:A639,B$8),IF(AND(COUNT(A629:A640)=12,COUNT(F629:F640)=12),cubic_spline(F628:F640,A628:A640,B$8),""))))))))))))</f>
        <v/>
      </c>
      <c r="L635" s="27" t="str">
        <f>IF(I635="","",B$7&amp;"-"&amp;B$8)</f>
        <v/>
      </c>
      <c r="M635" s="52" t="str">
        <f t="shared" si="240"/>
        <v/>
      </c>
    </row>
    <row r="636" spans="1:13" x14ac:dyDescent="0.35">
      <c r="A636" s="48"/>
      <c r="B636" s="48"/>
      <c r="C636" s="50"/>
      <c r="D636" s="50"/>
      <c r="E636" s="51" t="str">
        <f t="shared" si="238"/>
        <v/>
      </c>
      <c r="F636" s="71" t="str">
        <f t="shared" si="236"/>
        <v/>
      </c>
      <c r="G636" s="69" t="str">
        <f t="shared" si="239"/>
        <v/>
      </c>
      <c r="H636" s="70" t="str">
        <f t="shared" si="237"/>
        <v/>
      </c>
      <c r="I636" s="27" t="str">
        <f>IF(N(J636)=0,"",0&amp;"-"&amp;B$9)</f>
        <v/>
      </c>
      <c r="J636" s="52" t="str">
        <f>IF(N(B$9)=0,"",IF(AND(COUNT(H629:H640)=2,COUNT(F629:F640)=2),cubic_spline(F628:F630,H628:H630,B$9),IF(AND(COUNT(H629:H640)=3,COUNT(F629:F640)=3),cubic_spline(F628:F631,H628:H631,B$9),IF(AND(COUNT(H629:H640)=4,COUNT(F629:F640)=4),cubic_spline(F628:F632,H628:H632,B$9),IF(AND(COUNT(H629:H640)=5,COUNT(F629:F640)=5),cubic_spline(F628:F633,H628:H633,B$9),IF(AND(COUNT(H629:H640)=6,COUNT(F629:F640)=6),cubic_spline(F628:F634,H628:H634,B$9),IF(AND(COUNT(H629:H640)=7,COUNT(F629:F640)=7),cubic_spline(F628:F635,H628:H635,B$9),IF(AND(COUNT(H629:H640)=8,COUNT(F629:F640)=8),cubic_spline(F628:F636,H628:H636,B$9),IF(AND(COUNT(H629:H640)=9,COUNT(F629:F640)=9),cubic_spline(F628:F637,H628:H637,B$9),IF(AND(COUNT(H629:H640)=10,COUNT(F629:F640)=10),cubic_spline(F628:F638,H628:H638,B$9),IF(AND(COUNT(H629:H640)=11,COUNT(F629:F640)=11),cubic_spline(F628:F639,H628:H639,B$9),IF(AND(COUNT(H629:H640)=12,COUNT(F629:F640)=12),cubic_spline(F628:F640,H628:H640,B$9),""))))))))))))</f>
        <v/>
      </c>
      <c r="K636" s="52" t="str">
        <f>IF(N(B$9)=0,"",IF(AND(COUNT(A629:A640)=2,COUNT(F629:F640)=2),cubic_spline(F628:F630,A628:A630,B$9),IF(AND(COUNT(A629:A640)=3,COUNT(F629:F640)=3),cubic_spline(F628:F631,A628:A631,B$9),IF(AND(COUNT(A629:A640)=4,COUNT(F629:F640)=4),cubic_spline(F628:F632,A628:A632,B$9),IF(AND(COUNT(A629:A640)=5,COUNT(F629:F640)=5),cubic_spline(F628:F633,A628:A633,B$9),IF(AND(COUNT(A629:A640)=6,COUNT(F629:F640)=6),cubic_spline(F628:F634,A628:A634,B$9),IF(AND(COUNT(A629:A640)=7,COUNT(F629:F640)=7),cubic_spline(F628:F635,A628:A635,B$9),IF(AND(COUNT(A629:A640)=8,COUNT(F629:F640)=8),cubic_spline(F628:F636,A628:A636,B$9),IF(AND(COUNT(A629:A640)=9,COUNT(F629:F640)=9),cubic_spline(F628:F637,A628:A637,B$9),IF(AND(COUNT(A629:A640)=10,COUNT(F629:F640)=10),cubic_spline(F628:F638,A628:A638,B$9),IF(AND(COUNT(A629:A640)=11,COUNT(F629:F640)=11),cubic_spline(F628:F639,A628:A639,B$9),IF(AND(COUNT(A629:A640)=12,COUNT(F629:F640)=12),cubic_spline(F628:F640,A628:A640,B$9),""))))))))))))</f>
        <v/>
      </c>
      <c r="L636" s="27" t="str">
        <f>IF(I636="","",B$8&amp;"-"&amp;B$9)</f>
        <v/>
      </c>
      <c r="M636" s="52" t="str">
        <f t="shared" si="240"/>
        <v/>
      </c>
    </row>
    <row r="637" spans="1:13" x14ac:dyDescent="0.35">
      <c r="A637" s="48"/>
      <c r="B637" s="48"/>
      <c r="C637" s="50"/>
      <c r="D637" s="50"/>
      <c r="E637" s="51" t="str">
        <f t="shared" si="238"/>
        <v/>
      </c>
      <c r="F637" s="71" t="str">
        <f t="shared" si="236"/>
        <v/>
      </c>
      <c r="G637" s="69" t="str">
        <f t="shared" si="239"/>
        <v/>
      </c>
      <c r="H637" s="70" t="str">
        <f t="shared" si="237"/>
        <v/>
      </c>
      <c r="I637" s="27" t="str">
        <f>IF(N(J637)=0,"",0&amp;"-"&amp;B$10)</f>
        <v/>
      </c>
      <c r="J637" s="52" t="str">
        <f>IF(N(B$10)=0,"",IF(AND(COUNT(H629:H640)=2,COUNT(F629:F640)=2),cubic_spline(F628:F630,H628:H630,B$10),IF(AND(COUNT(H629:H640)=3,COUNT(F629:F640)=3),cubic_spline(F628:F631,H628:H631,B$10),IF(AND(COUNT(H629:H640)=4,COUNT(F629:F640)=4),cubic_spline(F628:F632,H628:H632,B$10),IF(AND(COUNT(H629:H640)=5,COUNT(F629:F640)=5),cubic_spline(F628:F633,H628:H633,B$10),IF(AND(COUNT(H629:H640)=6,COUNT(F629:F640)=6),cubic_spline(F628:F634,H628:H634,B$10),IF(AND(COUNT(H629:H640)=7,COUNT(F629:F640)=7),cubic_spline(F628:F635,H628:H635,B$10),IF(AND(COUNT(H629:H640)=8,COUNT(F629:F640)=8),cubic_spline(F628:F636,H628:H636,B$10),IF(AND(COUNT(H629:H640)=9,COUNT(F629:F640)=9),cubic_spline(F628:F637,H628:H637,B$10),IF(AND(COUNT(H629:H640)=10,COUNT(F629:F640)=10),cubic_spline(F628:F638,H628:H638,B$10),IF(AND(COUNT(H629:H640)=11,COUNT(F629:F640)=11),cubic_spline(F628:F639,H628:H639,B$10),IF(AND(COUNT(H629:H640)=12,COUNT(F629:F640)=12),cubic_spline(F628:F640,H628:H640,B$10),""))))))))))))</f>
        <v/>
      </c>
      <c r="K637" s="52" t="str">
        <f>IF(N(B$10)=0,"",IF(AND(COUNT(A629:A640)=2,COUNT(F629:F640)=2),cubic_spline(F628:F630,A628:A630,B$10),IF(AND(COUNT(A629:A640)=3,COUNT(F629:F640)=3),cubic_spline(F628:F631,A628:A631,B$10),IF(AND(COUNT(A629:A640)=4,COUNT(F629:F640)=4),cubic_spline(F628:F632,A628:A632,B$10),IF(AND(COUNT(A629:A640)=5,COUNT(F629:F640)=5),cubic_spline(F628:F633,A628:A633,B$10),IF(AND(COUNT(A629:A640)=6,COUNT(F629:F640)=6),cubic_spline(F628:F634,A628:A634,B$10),IF(AND(COUNT(A629:A640)=7,COUNT(F629:F640)=7),cubic_spline(F628:F635,A628:A635,B$10),IF(AND(COUNT(A629:A640)=8,COUNT(F629:F640)=8),cubic_spline(F628:F636,A628:A636,B$10),IF(AND(COUNT(A629:A640)=9,COUNT(F629:F640)=9),cubic_spline(F628:F637,A628:A637,B$10),IF(AND(COUNT(A629:A640)=10,COUNT(F629:F640)=10),cubic_spline(F628:F638,A628:A638,B$10),IF(AND(COUNT(A629:A640)=11,COUNT(F629:F640)=11),cubic_spline(F628:F639,A628:A639,B$10),IF(AND(COUNT(A629:A640)=12,COUNT(F629:F640)=12),cubic_spline(F628:F640,A628:A640,B$10),""))))))))))))</f>
        <v/>
      </c>
      <c r="L637" s="27" t="str">
        <f>IF(I637="","",B$9&amp;"-"&amp;B$10)</f>
        <v/>
      </c>
      <c r="M637" s="52" t="str">
        <f t="shared" si="240"/>
        <v/>
      </c>
    </row>
    <row r="638" spans="1:13" x14ac:dyDescent="0.35">
      <c r="A638" s="48"/>
      <c r="B638" s="48"/>
      <c r="C638" s="50"/>
      <c r="D638" s="50"/>
      <c r="E638" s="51" t="str">
        <f t="shared" si="238"/>
        <v/>
      </c>
      <c r="F638" s="71" t="str">
        <f t="shared" si="236"/>
        <v/>
      </c>
      <c r="G638" s="69" t="str">
        <f t="shared" si="239"/>
        <v/>
      </c>
      <c r="H638" s="70" t="str">
        <f t="shared" si="237"/>
        <v/>
      </c>
      <c r="I638" s="27" t="str">
        <f>IF(N(J638)=0,"",0&amp;"-"&amp;B$11)</f>
        <v/>
      </c>
      <c r="J638" s="52" t="str">
        <f>IF(N(B$11)=0,"",IF(AND(COUNT(H629:H640)=2,COUNT(F629:F640)=2),cubic_spline(F628:F630,H628:H630,B$11),IF(AND(COUNT(H629:H640)=3,COUNT(F629:F640)=3),cubic_spline(F628:F631,H628:H631,B$11),IF(AND(COUNT(H629:H640)=4,COUNT(F629:F640)=4),cubic_spline(F628:F632,H628:H632,B$11),IF(AND(COUNT(H629:H640)=5,COUNT(F629:F640)=5),cubic_spline(F628:F633,H628:H633,B$11),IF(AND(COUNT(H629:H640)=6,COUNT(F629:F640)=6),cubic_spline(F628:F634,H628:H634,B$11),IF(AND(COUNT(H629:H640)=7,COUNT(F629:F640)=7),cubic_spline(F628:F635,H628:H635,B$11),IF(AND(COUNT(H629:H640)=8,COUNT(F629:F640)=8),cubic_spline(F628:F636,H628:H636,B$11),IF(AND(COUNT(H629:H640)=9,COUNT(F629:F640)=9),cubic_spline(F628:F637,H628:H637,B$11),IF(AND(COUNT(H629:H640)=10,COUNT(F629:F640)=10),cubic_spline(F628:F638,H628:H638,B$11),IF(AND(COUNT(H629:H640)=11,COUNT(F629:F640)=11),cubic_spline(F628:F639,H628:H639,B$11),IF(AND(COUNT(H629:H640)=12,COUNT(F629:F640)=12),cubic_spline(F628:F640,H628:H640,B$11),""))))))))))))</f>
        <v/>
      </c>
      <c r="K638" s="52" t="str">
        <f>IF(N(B$11)=0,"",IF(AND(COUNT(A629:A640)=2,COUNT(F629:F640)=2),cubic_spline(F628:F630,A628:A630,B$11),IF(AND(COUNT(A629:A640)=3,COUNT(F629:F640)=3),cubic_spline(F628:F631,A628:A631,B$11),IF(AND(COUNT(A629:A640)=4,COUNT(F629:F640)=4),cubic_spline(F628:F632,A628:A632,B$11),IF(AND(COUNT(A629:A640)=5,COUNT(F629:F640)=5),cubic_spline(F628:F633,A628:A633,B$11),IF(AND(COUNT(A629:A640)=6,COUNT(F629:F640)=6),cubic_spline(F628:F634,A628:A634,B$11),IF(AND(COUNT(A629:A640)=7,COUNT(F629:F640)=7),cubic_spline(F628:F635,A628:A635,B$11),IF(AND(COUNT(A629:A640)=8,COUNT(F629:F640)=8),cubic_spline(F628:F636,A628:A636,B$11),IF(AND(COUNT(A629:A640)=9,COUNT(F629:F640)=9),cubic_spline(F628:F637,A628:A637,B$11),IF(AND(COUNT(A629:A640)=10,COUNT(F629:F640)=10),cubic_spline(F628:F638,A628:A638,B$11),IF(AND(COUNT(A629:A640)=11,COUNT(F629:F640)=11),cubic_spline(F628:F639,A628:A639,B$11),IF(AND(COUNT(A629:A640)=12,COUNT(F629:F640)=12),cubic_spline(F628:F640,A628:A640,B$11),""))))))))))))</f>
        <v/>
      </c>
      <c r="L638" s="27" t="str">
        <f>IF(I638="","",B$10&amp;"-"&amp;B$11)</f>
        <v/>
      </c>
      <c r="M638" s="52" t="str">
        <f t="shared" si="240"/>
        <v/>
      </c>
    </row>
    <row r="639" spans="1:13" x14ac:dyDescent="0.35">
      <c r="A639" s="48"/>
      <c r="B639" s="48"/>
      <c r="C639" s="50"/>
      <c r="D639" s="50"/>
      <c r="E639" s="51" t="str">
        <f t="shared" si="238"/>
        <v/>
      </c>
      <c r="F639" s="71" t="str">
        <f t="shared" si="236"/>
        <v/>
      </c>
      <c r="G639" s="69" t="str">
        <f t="shared" si="239"/>
        <v/>
      </c>
      <c r="H639" s="70" t="str">
        <f t="shared" si="237"/>
        <v/>
      </c>
      <c r="I639" s="27" t="str">
        <f>IF(N(J639)=0,"",0&amp;"-"&amp;B$12)</f>
        <v/>
      </c>
      <c r="J639" s="52" t="str">
        <f>IF(N(B$12)=0,"",IF(AND(COUNT(H629:H640)=2,COUNT(F629:F640)=2),cubic_spline(F628:F630,H628:H630,B$12),IF(AND(COUNT(H629:H640)=3,COUNT(F629:F640)=3),cubic_spline(F628:F631,H628:H631,B$12),IF(AND(COUNT(H629:H640)=4,COUNT(F629:F640)=4),cubic_spline(F628:F632,H628:H632,B$12),IF(AND(COUNT(H629:H640)=5,COUNT(F629:F640)=5),cubic_spline(F628:F633,H628:H633,B$12),IF(AND(COUNT(H629:H640)=6,COUNT(F629:F640)=6),cubic_spline(F628:F634,H628:H634,B$12),IF(AND(COUNT(H629:H640)=7,COUNT(F629:F640)=7),cubic_spline(F628:F635,H628:H635,B$12),IF(AND(COUNT(H629:H640)=8,COUNT(F629:F640)=8),cubic_spline(F628:F636,H628:H636,B$12),IF(AND(COUNT(H629:H640)=9,COUNT(F629:F640)=9),cubic_spline(F628:F637,H628:H637,B$12),IF(AND(COUNT(H629:H640)=10,COUNT(F629:F640)=10),cubic_spline(F628:F638,H628:H638,B$12),IF(AND(COUNT(H629:H640)=11,COUNT(F629:F640)=11),cubic_spline(F628:F639,H628:H639,B$12),IF(AND(COUNT(H629:H640)=12,COUNT(F629:F640)=12),cubic_spline(F628:F640,H628:H640,B$12),""))))))))))))</f>
        <v/>
      </c>
      <c r="K639" s="52" t="str">
        <f>IF(N(B$12)=0,"",IF(AND(COUNT(A629:A640)=2,COUNT(F629:F640)=2),cubic_spline(F628:F630,A628:A630,B$12),IF(AND(COUNT(A629:A640)=3,COUNT(F629:F640)=3),cubic_spline(F628:F631,A628:A631,B$12),IF(AND(COUNT(A629:A640)=4,COUNT(F629:F640)=4),cubic_spline(F628:F632,A628:A632,B$12),IF(AND(COUNT(A629:A640)=5,COUNT(F629:F640)=5),cubic_spline(F628:F633,A628:A633,B$12),IF(AND(COUNT(A629:A640)=6,COUNT(F629:F640)=6),cubic_spline(F628:F634,A628:A634,B$12),IF(AND(COUNT(A629:A640)=7,COUNT(F629:F640)=7),cubic_spline(F628:F635,A628:A635,B$12),IF(AND(COUNT(A629:A640)=8,COUNT(F629:F640)=8),cubic_spline(F628:F636,A628:A636,B$12),IF(AND(COUNT(A629:A640)=9,COUNT(F629:F640)=9),cubic_spline(F628:F637,A628:A637,B$12),IF(AND(COUNT(A629:A640)=10,COUNT(F629:F640)=10),cubic_spline(F628:F638,A628:A638,B$12),IF(AND(COUNT(A629:A640)=11,COUNT(F629:F640)=11),cubic_spline(F628:F639,A628:A639,B$12),IF(AND(COUNT(A629:A640)=12,COUNT(F629:F640)=12),cubic_spline(F628:F640,A628:A640,B$12),""))))))))))))</f>
        <v/>
      </c>
      <c r="L639" s="27" t="str">
        <f>IF(I639="","",B$11&amp;"-"&amp;B$12)</f>
        <v/>
      </c>
      <c r="M639" s="52" t="str">
        <f t="shared" si="240"/>
        <v/>
      </c>
    </row>
    <row r="640" spans="1:13" x14ac:dyDescent="0.35">
      <c r="A640" s="48"/>
      <c r="B640" s="48"/>
      <c r="C640" s="50"/>
      <c r="D640" s="50"/>
      <c r="E640" s="51" t="str">
        <f t="shared" si="238"/>
        <v/>
      </c>
      <c r="F640" s="71" t="str">
        <f t="shared" si="236"/>
        <v/>
      </c>
      <c r="G640" s="69" t="str">
        <f t="shared" si="239"/>
        <v/>
      </c>
      <c r="H640" s="70" t="str">
        <f t="shared" si="237"/>
        <v/>
      </c>
      <c r="I640" s="27" t="str">
        <f>IF(N(J640)=0,"",0&amp;"-"&amp;B$13)</f>
        <v/>
      </c>
      <c r="J640" s="52" t="str">
        <f>IF(N(B$13)=0,"",IF(AND(COUNT(H629:H640)=2,COUNT(F629:F640)=2),cubic_spline(F628:F630,H628:H630,B$13),IF(AND(COUNT(H629:H640)=3,COUNT(F629:F640)=3),cubic_spline(F628:F631,H628:H631,B$13),IF(AND(COUNT(H629:H640)=4,COUNT(F629:F640)=4),cubic_spline(F628:F632,H628:H632,B$13),IF(AND(COUNT(H629:H640)=5,COUNT(F629:F640)=5),cubic_spline(F628:F633,H628:H633,B$13),IF(AND(COUNT(H629:H640)=6,COUNT(F629:F640)=6),cubic_spline(F628:F634,H628:H634,B$13),IF(AND(COUNT(H629:H640)=7,COUNT(F629:F640)=7),cubic_spline(F628:F635,H628:H635,B$13),IF(AND(COUNT(H629:H640)=8,COUNT(F629:F640)=8),cubic_spline(F628:F636,H628:H636,B$13),IF(AND(COUNT(H629:H640)=9,COUNT(F629:F640)=9),cubic_spline(F628:F637,H628:H637,B$13),IF(AND(COUNT(H629:H640)=10,COUNT(F629:F640)=10),cubic_spline(F628:F638,H628:H638,B$13),IF(AND(COUNT(H629:H640)=11,COUNT(F629:F640)=11),cubic_spline(F628:F639,H628:H639,B$13),IF(AND(COUNT(H629:H640)=12,COUNT(F629:F640)=12),cubic_spline(F628:F640,H628:H640,B$13),""))))))))))))</f>
        <v/>
      </c>
      <c r="K640" s="52" t="str">
        <f>IF(N(B$13)=0,"",IF(AND(COUNT(A629:A640)=2,COUNT(F629:F640)=2),cubic_spline(F628:F630,A628:A630,B$13),IF(AND(COUNT(A629:A640)=3,COUNT(F629:F640)=3),cubic_spline(F628:F631,A628:A631,B$13),IF(AND(COUNT(A629:A640)=4,COUNT(F629:F640)=4),cubic_spline(F628:F632,A628:A632,B$13),IF(AND(COUNT(A629:A640)=5,COUNT(F629:F640)=5),cubic_spline(F628:F633,A628:A633,B$13),IF(AND(COUNT(A629:A640)=6,COUNT(F629:F640)=6),cubic_spline(F628:F634,A628:A634,B$13),IF(AND(COUNT(A629:A640)=7,COUNT(F629:F640)=7),cubic_spline(F628:F635,A628:A635,B$13),IF(AND(COUNT(A629:A640)=8,COUNT(F629:F640)=8),cubic_spline(F628:F636,A628:A636,B$13),IF(AND(COUNT(A629:A640)=9,COUNT(F629:F640)=9),cubic_spline(F628:F637,A628:A637,B$13),IF(AND(COUNT(A629:A640)=10,COUNT(F629:F640)=10),cubic_spline(F628:F638,A628:A638,B$13),IF(AND(COUNT(A629:A640)=11,COUNT(F629:F640)=11),cubic_spline(F628:F639,A628:A639,B$13),IF(AND(COUNT(A629:A640)=12,COUNT(F629:F640)=12),cubic_spline(F628:F640,A628:A640,B$13),""))))))))))))</f>
        <v/>
      </c>
      <c r="L640" s="27" t="str">
        <f>IF(I640="","",B$12&amp;"-"&amp;B$13)</f>
        <v/>
      </c>
      <c r="M640" s="52" t="str">
        <f t="shared" si="240"/>
        <v/>
      </c>
    </row>
    <row r="641" spans="1:13" ht="5.15" customHeight="1" x14ac:dyDescent="0.35">
      <c r="A641" s="47"/>
      <c r="B641" s="47"/>
      <c r="C641" s="53"/>
      <c r="D641" s="53"/>
      <c r="E641" s="54"/>
      <c r="F641" s="55"/>
      <c r="G641" s="72"/>
      <c r="H641" s="73"/>
      <c r="I641" s="47"/>
      <c r="J641" s="57"/>
      <c r="K641" s="57"/>
      <c r="L641" s="55"/>
      <c r="M641" s="57"/>
    </row>
    <row r="642" spans="1:13" x14ac:dyDescent="0.35">
      <c r="A642" s="48"/>
      <c r="B642" s="48"/>
      <c r="C642" s="50"/>
      <c r="D642" s="50"/>
      <c r="E642" s="51" t="str">
        <f>IF(N(C642)=0,"",(A642-A641)*C642*100)</f>
        <v/>
      </c>
      <c r="F642" s="68" t="str">
        <f t="shared" ref="F642:F653" si="241">IF(N(E642)=0,"",(N(E642)+N(F641)))</f>
        <v/>
      </c>
      <c r="G642" s="69" t="str">
        <f>IF(OR(N(D642)=0,N(E642)=0),"",(E642*D642)/1000)</f>
        <v/>
      </c>
      <c r="H642" s="70" t="str">
        <f t="shared" ref="H642:H653" si="242">IF(N(G642)=0,"",(N(G642)+N(H641)))</f>
        <v/>
      </c>
      <c r="I642" s="27" t="str">
        <f>IF(N(J642)=0,"",0&amp;"-"&amp;B$2)</f>
        <v/>
      </c>
      <c r="J642" s="52" t="str">
        <f>IF(N(B$2)=0,"",IF(AND(COUNT(H642:H653)=2,COUNT(F642:F653)=2),cubic_spline(F641:F643,H641:H643,B$2),IF(AND(COUNT(H642:H653)=3,COUNT(F642:F653)=3),cubic_spline(F641:F644,H641:H644,B$2),IF(AND(COUNT(H642:H653)=4,COUNT(F642:F653)=4),cubic_spline(F641:F645,H641:H645,B$2),IF(AND(COUNT(H642:H653)=5,COUNT(F642:F653)=5),cubic_spline(F641:F646,H641:H646,B$2),IF(AND(COUNT(H642:H653)=6,COUNT(F642:F653)=6),cubic_spline(F641:F647,H641:H647,B$2),IF(AND(COUNT(H642:H653)=7,COUNT(F642:F653)=7),cubic_spline(F641:F648,H641:H648,B$2),IF(AND(COUNT(H642:H653)=8,COUNT(F642:F653)=8),cubic_spline(F641:F649,H641:H649,B$2),IF(AND(COUNT(H642:H653)=9,COUNT(F642:F653)=9),cubic_spline(F641:F650,H641:H650,B$2),IF(AND(COUNT(H642:H653)=10,COUNT(F642:F653)=10),cubic_spline(F641:F651,H641:H651,B$2),IF(AND(COUNT(H642:H653)=11,COUNT(F642:F653)=11),cubic_spline(F641:F652,H641:H652,B$2),IF(AND(COUNT(H642:H653)=12,COUNT(F642:F653)=12),cubic_spline(F641:F653,H641:H653,B$2),""))))))))))))</f>
        <v/>
      </c>
      <c r="K642" s="52" t="str">
        <f>IF(N(B$2)=0,"",IF(AND(COUNT(A642:A653)=2,COUNT(F642:F653)=2),cubic_spline(F641:F643,A641:A643,B$2),IF(AND(COUNT(A642:A653)=3,COUNT(F642:F653)=3),cubic_spline(F641:F644,A641:A644,B$2),IF(AND(COUNT(A642:A653)=4,COUNT(F642:F653)=4),cubic_spline(F641:F645,A641:A645,B$2),IF(AND(COUNT(A642:A653)=5,COUNT(F642:F653)=5),cubic_spline(F641:F646,A641:A646,B$2),IF(AND(COUNT(A642:A653)=6,COUNT(F642:F653)=6),cubic_spline(F641:F647,A641:A647,B$2),IF(AND(COUNT(A642:A653)=7,COUNT(F642:F653)=7),cubic_spline(F641:F648,A641:A648,B$2),IF(AND(COUNT(A642:A653)=8,COUNT(F642:F653)=8),cubic_spline(F641:F649,A641:A649,B$2),IF(AND(COUNT(A642:A653)=9,COUNT(F642:F653)=9),cubic_spline(F641:F650,A641:A650,B$2),IF(AND(COUNT(A642:A653)=10,COUNT(F642:F653)=10),cubic_spline(F641:F651,A641:A651,B$2),IF(AND(COUNT(A642:A653)=11,COUNT(F642:F653)=11),cubic_spline(F641:F652,A641:A652,B$2),IF(AND(COUNT(A642:A653)=12,COUNT(F642:F653)=12),cubic_spline(F641:F653,A641:A653,B$2),""))))))))))))</f>
        <v/>
      </c>
      <c r="L642" s="27" t="str">
        <f>IF(I642="","",0&amp;"-"&amp;B$2)</f>
        <v/>
      </c>
      <c r="M642" s="52" t="str">
        <f>IF(N(J642)=0,"",J642-J641)</f>
        <v/>
      </c>
    </row>
    <row r="643" spans="1:13" x14ac:dyDescent="0.35">
      <c r="A643" s="48"/>
      <c r="B643" s="48"/>
      <c r="C643" s="50"/>
      <c r="D643" s="50"/>
      <c r="E643" s="51" t="str">
        <f t="shared" ref="E643:E653" si="243">IF(N(C643)=0,"",(A643-A642)*C643*100)</f>
        <v/>
      </c>
      <c r="F643" s="68" t="str">
        <f t="shared" si="241"/>
        <v/>
      </c>
      <c r="G643" s="69" t="str">
        <f t="shared" ref="G643:G653" si="244">IF(OR(N(D643)=0,N(E643)=0),"",(E643*D643)/1000)</f>
        <v/>
      </c>
      <c r="H643" s="70" t="str">
        <f t="shared" si="242"/>
        <v/>
      </c>
      <c r="I643" s="27" t="str">
        <f>IF(N(J643)=0,"",0&amp;"-"&amp;B$3)</f>
        <v/>
      </c>
      <c r="J643" s="52" t="str">
        <f>IF(N(B$3)=0,"",IF(AND(COUNT(H642:H653)=2,COUNT(F642:F653)=2),cubic_spline(F641:F643,H641:H643,B$3),IF(AND(COUNT(H642:H653)=3,COUNT(F642:F653)=3),cubic_spline(F641:F644,H641:H644,B$3),IF(AND(COUNT(H642:H653)=4,COUNT(F642:F653)=4),cubic_spline(F641:F645,H641:H645,B$3),IF(AND(COUNT(H642:H653)=5,COUNT(F642:F653)=5),cubic_spline(F641:F646,H641:H646,B$3),IF(AND(COUNT(H642:H653)=6,COUNT(F642:F653)=6),cubic_spline(F641:F647,H641:H647,B$3),IF(AND(COUNT(H642:H653)=7,COUNT(F642:F653)=7),cubic_spline(F641:F648,H641:H648,B$3),IF(AND(COUNT(H642:H653)=8,COUNT(F642:F653)=8),cubic_spline(F641:F649,H641:H649,B$3),IF(AND(COUNT(H642:H653)=9,COUNT(F642:F653)=9),cubic_spline(F641:F650,H641:H650,B$3),IF(AND(COUNT(H642:H653)=10,COUNT(F642:F653)=10),cubic_spline(F641:F651,H641:H651,B$3),IF(AND(COUNT(H642:H653)=11,COUNT(F642:F653)=11),cubic_spline(F641:F652,H641:H652,B$3),IF(AND(COUNT(H642:H653)=12,COUNT(F642:F653)=12),cubic_spline(F641:F653,H641:H653,B$3),""))))))))))))</f>
        <v/>
      </c>
      <c r="K643" s="52" t="str">
        <f>IF(N(B$3)=0,"",IF(AND(COUNT(A642:A653)=2,COUNT(F642:F653)=2),cubic_spline(F641:F643,A641:A643,B$3),IF(AND(COUNT(A642:A653)=3,COUNT(F642:F653)=3),cubic_spline(F641:F644,A641:A644,B$3),IF(AND(COUNT(A642:A653)=4,COUNT(F642:F653)=4),cubic_spline(F641:F645,A641:A645,B$3),IF(AND(COUNT(A642:A653)=5,COUNT(F642:F653)=5),cubic_spline(F641:F646,A641:A646,B$3),IF(AND(COUNT(A642:A653)=6,COUNT(F642:F653)=6),cubic_spline(F641:F647,A641:A647,B$3),IF(AND(COUNT(A642:A653)=7,COUNT(F642:F653)=7),cubic_spline(F641:F648,A641:A648,B$3),IF(AND(COUNT(A642:A653)=8,COUNT(F642:F653)=8),cubic_spline(F641:F649,A641:A649,B$3),IF(AND(COUNT(A642:A653)=9,COUNT(F642:F653)=9),cubic_spline(F641:F650,A641:A650,B$3),IF(AND(COUNT(A642:A653)=10,COUNT(F642:F653)=10),cubic_spline(F641:F651,A641:A651,B$3),IF(AND(COUNT(A642:A653)=11,COUNT(F642:F653)=11),cubic_spline(F641:F652,A641:A652,B$3),IF(AND(COUNT(A642:A653)=12,COUNT(F642:F653)=12),cubic_spline(F641:F653,A641:A653,B$3),""))))))))))))</f>
        <v/>
      </c>
      <c r="L643" s="27" t="str">
        <f>IF(I643="","",B$2&amp;"-"&amp;B$3)</f>
        <v/>
      </c>
      <c r="M643" s="52" t="str">
        <f>IF(N(J643)=0,"",J643-J642)</f>
        <v/>
      </c>
    </row>
    <row r="644" spans="1:13" x14ac:dyDescent="0.35">
      <c r="A644" s="48"/>
      <c r="B644" s="48"/>
      <c r="C644" s="50"/>
      <c r="D644" s="50"/>
      <c r="E644" s="51" t="str">
        <f t="shared" si="243"/>
        <v/>
      </c>
      <c r="F644" s="68" t="str">
        <f t="shared" si="241"/>
        <v/>
      </c>
      <c r="G644" s="69" t="str">
        <f t="shared" si="244"/>
        <v/>
      </c>
      <c r="H644" s="70" t="str">
        <f t="shared" si="242"/>
        <v/>
      </c>
      <c r="I644" s="27" t="str">
        <f>IF(N(J644)=0,"",0&amp;"-"&amp;B$4)</f>
        <v/>
      </c>
      <c r="J644" s="52" t="str">
        <f>IF(N(B$4)=0,"",IF(AND(COUNT(H642:H653)=2,COUNT(F642:F653)=2),cubic_spline(F641:F643,H641:H643,B$4),IF(AND(COUNT(H642:H653)=3,COUNT(F642:F653)=3),cubic_spline(F641:F644,H641:H644,B$4),IF(AND(COUNT(H642:H653)=4,COUNT(F642:F653)=4),cubic_spline(F641:F645,H641:H645,B$4),IF(AND(COUNT(H642:H653)=5,COUNT(F642:F653)=5),cubic_spline(F641:F646,H641:H646,B$4),IF(AND(COUNT(H642:H653)=6,COUNT(F642:F653)=6),cubic_spline(F641:F647,H641:H647,B$4),IF(AND(COUNT(H642:H653)=7,COUNT(F642:F653)=7),cubic_spline(F641:F648,H641:H648,B$4),IF(AND(COUNT(H642:H653)=8,COUNT(F642:F653)=8),cubic_spline(F641:F649,H641:H649,B$4),IF(AND(COUNT(H642:H653)=9,COUNT(F642:F653)=9),cubic_spline(F641:F650,H641:H650,B$4),IF(AND(COUNT(H642:H653)=10,COUNT(F642:F653)=10),cubic_spline(F641:F651,H641:H651,B$4),IF(AND(COUNT(H642:H653)=11,COUNT(F642:F653)=11),cubic_spline(F641:F652,H641:H652,B$4),IF(AND(COUNT(H642:H653)=12,COUNT(F642:F653)=12),cubic_spline(F641:F653,H641:H653,B$4),""))))))))))))</f>
        <v/>
      </c>
      <c r="K644" s="52" t="str">
        <f>IF(N(B$4)=0,"",IF(AND(COUNT(A642:A653)=2,COUNT(F642:F653)=2),cubic_spline(F641:F643,A641:A643,B$4),IF(AND(COUNT(A642:A653)=3,COUNT(F642:F653)=3),cubic_spline(F641:F644,A641:A644,B$4),IF(AND(COUNT(A642:A653)=4,COUNT(F642:F653)=4),cubic_spline(F641:F645,A641:A645,B$4),IF(AND(COUNT(A642:A653)=5,COUNT(F642:F653)=5),cubic_spline(F641:F646,A641:A646,B$4),IF(AND(COUNT(A642:A653)=6,COUNT(F642:F653)=6),cubic_spline(F641:F647,A641:A647,B$4),IF(AND(COUNT(A642:A653)=7,COUNT(F642:F653)=7),cubic_spline(F641:F648,A641:A648,B$4),IF(AND(COUNT(A642:A653)=8,COUNT(F642:F653)=8),cubic_spline(F641:F649,A641:A649,B$4),IF(AND(COUNT(A642:A653)=9,COUNT(F642:F653)=9),cubic_spline(F641:F650,A641:A650,B$4),IF(AND(COUNT(A642:A653)=10,COUNT(F642:F653)=10),cubic_spline(F641:F651,A641:A651,B$4),IF(AND(COUNT(A642:A653)=11,COUNT(F642:F653)=11),cubic_spline(F641:F652,A641:A652,B$4),IF(AND(COUNT(A642:A653)=12,COUNT(F642:F653)=12),cubic_spline(F641:F653,A641:A653,B$4),""))))))))))))</f>
        <v/>
      </c>
      <c r="L644" s="27" t="str">
        <f>IF(I644="","",B$3&amp;"-"&amp;B$4)</f>
        <v/>
      </c>
      <c r="M644" s="52" t="str">
        <f>IF(N(J644)=0,"",J644-J643)</f>
        <v/>
      </c>
    </row>
    <row r="645" spans="1:13" x14ac:dyDescent="0.35">
      <c r="A645" s="48"/>
      <c r="B645" s="48"/>
      <c r="C645" s="50"/>
      <c r="D645" s="50"/>
      <c r="E645" s="51" t="str">
        <f t="shared" si="243"/>
        <v/>
      </c>
      <c r="F645" s="68" t="str">
        <f t="shared" si="241"/>
        <v/>
      </c>
      <c r="G645" s="69" t="str">
        <f t="shared" si="244"/>
        <v/>
      </c>
      <c r="H645" s="70" t="str">
        <f t="shared" si="242"/>
        <v/>
      </c>
      <c r="I645" s="27" t="str">
        <f>IF(N(J645)=0,"",0&amp;"-"&amp;B$5)</f>
        <v/>
      </c>
      <c r="J645" s="52" t="str">
        <f>IF(N(B$5)=0,"",IF(AND(COUNT(H642:H653)=2,COUNT(F642:F653)=2),cubic_spline(F641:F643,H641:H643,B$5),IF(AND(COUNT(H642:H653)=3,COUNT(F642:F653)=3),cubic_spline(F641:F644,H641:H644,B$5),IF(AND(COUNT(H642:H653)=4,COUNT(F642:F653)=4),cubic_spline(F641:F645,H641:H645,B$5),IF(AND(COUNT(H642:H653)=5,COUNT(F642:F653)=5),cubic_spline(F641:F646,H641:H646,B$5),IF(AND(COUNT(H642:H653)=6,COUNT(F642:F653)=6),cubic_spline(F641:F647,H641:H647,B$5),IF(AND(COUNT(H642:H653)=7,COUNT(F642:F653)=7),cubic_spline(F641:F648,H641:H648,B$5),IF(AND(COUNT(H642:H653)=8,COUNT(F642:F653)=8),cubic_spline(F641:F649,H641:H649,B$5),IF(AND(COUNT(H642:H653)=9,COUNT(F642:F653)=9),cubic_spline(F641:F650,H641:H650,B$5),IF(AND(COUNT(H642:H653)=10,COUNT(F642:F653)=10),cubic_spline(F641:F651,H641:H651,B$5),IF(AND(COUNT(H642:H653)=11,COUNT(F642:F653)=11),cubic_spline(F641:F652,H641:H652,B$5),IF(AND(COUNT(H642:H653)=12,COUNT(F642:F653)=12),cubic_spline(F641:F653,H641:H653,B$5),""))))))))))))</f>
        <v/>
      </c>
      <c r="K645" s="52" t="str">
        <f>IF(N(B$5)=0,"",IF(AND(COUNT(A642:A653)=2,COUNT(F642:F653)=2),cubic_spline(F641:F643,A641:A643,B$5),IF(AND(COUNT(A642:A653)=3,COUNT(F642:F653)=3),cubic_spline(F641:F644,A641:A644,B$5),IF(AND(COUNT(A642:A653)=4,COUNT(F642:F653)=4),cubic_spline(F641:F645,A641:A645,B$5),IF(AND(COUNT(A642:A653)=5,COUNT(F642:F653)=5),cubic_spline(F641:F646,A641:A646,B$5),IF(AND(COUNT(A642:A653)=6,COUNT(F642:F653)=6),cubic_spline(F641:F647,A641:A647,B$5),IF(AND(COUNT(A642:A653)=7,COUNT(F642:F653)=7),cubic_spline(F641:F648,A641:A648,B$5),IF(AND(COUNT(A642:A653)=8,COUNT(F642:F653)=8),cubic_spline(F641:F649,A641:A649,B$5),IF(AND(COUNT(A642:A653)=9,COUNT(F642:F653)=9),cubic_spline(F641:F650,A641:A650,B$5),IF(AND(COUNT(A642:A653)=10,COUNT(F642:F653)=10),cubic_spline(F641:F651,A641:A651,B$5),IF(AND(COUNT(A642:A653)=11,COUNT(F642:F653)=11),cubic_spline(F641:F652,A641:A652,B$5),IF(AND(COUNT(A642:A653)=12,COUNT(F642:F653)=12),cubic_spline(F641:F653,A641:A653,B$5),""))))))))))))</f>
        <v/>
      </c>
      <c r="L645" s="27" t="str">
        <f>IF(I645="","",B$4&amp;"-"&amp;B$5)</f>
        <v/>
      </c>
      <c r="M645" s="52" t="str">
        <f>IF(N(J645)=0,"",J645-J644)</f>
        <v/>
      </c>
    </row>
    <row r="646" spans="1:13" x14ac:dyDescent="0.35">
      <c r="A646" s="48"/>
      <c r="B646" s="48"/>
      <c r="C646" s="50"/>
      <c r="D646" s="50"/>
      <c r="E646" s="51" t="str">
        <f t="shared" si="243"/>
        <v/>
      </c>
      <c r="F646" s="71" t="str">
        <f t="shared" si="241"/>
        <v/>
      </c>
      <c r="G646" s="69" t="str">
        <f t="shared" si="244"/>
        <v/>
      </c>
      <c r="H646" s="70" t="str">
        <f t="shared" si="242"/>
        <v/>
      </c>
      <c r="I646" s="27" t="str">
        <f>IF(N(J646)=0,"",0&amp;"-"&amp;B$6)</f>
        <v/>
      </c>
      <c r="J646" s="52" t="str">
        <f>IF(N(B$6)=0,"",IF(AND(COUNT(H642:H653)=2,COUNT(F642:F653)=2),cubic_spline(F641:F643,H641:H643,B$6),IF(AND(COUNT(H642:H653)=3,COUNT(F642:F653)=3),cubic_spline(F641:F644,H641:H644,B$6),IF(AND(COUNT(H642:H653)=4,COUNT(F642:F653)=4),cubic_spline(F641:F645,H641:H645,B$6),IF(AND(COUNT(H642:H653)=5,COUNT(F642:F653)=5),cubic_spline(F641:F646,H641:H646,B$6),IF(AND(COUNT(H642:H653)=6,COUNT(F642:F653)=6),cubic_spline(F641:F647,H641:H647,B$6),IF(AND(COUNT(H642:H653)=7,COUNT(F642:F653)=7),cubic_spline(F641:F648,H641:H648,B$6),IF(AND(COUNT(H642:H653)=8,COUNT(F642:F653)=8),cubic_spline(F641:F649,H641:H649,B$6),IF(AND(COUNT(H642:H653)=9,COUNT(F642:F653)=9),cubic_spline(F641:F650,H641:H650,B$6),IF(AND(COUNT(H642:H653)=10,COUNT(F642:F653)=10),cubic_spline(F641:F651,H641:H651,B$6),IF(AND(COUNT(H642:H653)=11,COUNT(F642:F653)=11),cubic_spline(F641:F652,H641:H652,B$6),IF(AND(COUNT(H642:H653)=12,COUNT(F642:F653)=12),cubic_spline(F641:F653,H641:H653,B$6),""))))))))))))</f>
        <v/>
      </c>
      <c r="K646" s="52" t="str">
        <f>IF(N(B$6)=0,"",IF(AND(COUNT(A642:A653)=2,COUNT(F642:F653)=2),cubic_spline(F641:F643,A641:A643,B$6),IF(AND(COUNT(A642:A653)=3,COUNT(F642:F653)=3),cubic_spline(F641:F644,A641:A644,B$6),IF(AND(COUNT(A642:A653)=4,COUNT(F642:F653)=4),cubic_spline(F641:F645,A641:A645,B$6),IF(AND(COUNT(A642:A653)=5,COUNT(F642:F653)=5),cubic_spline(F641:F646,A641:A646,B$6),IF(AND(COUNT(A642:A653)=6,COUNT(F642:F653)=6),cubic_spline(F641:F647,A641:A647,B$6),IF(AND(COUNT(A642:A653)=7,COUNT(F642:F653)=7),cubic_spline(F641:F648,A641:A648,B$6),IF(AND(COUNT(A642:A653)=8,COUNT(F642:F653)=8),cubic_spline(F641:F649,A641:A649,B$6),IF(AND(COUNT(A642:A653)=9,COUNT(F642:F653)=9),cubic_spline(F641:F650,A641:A650,B$6),IF(AND(COUNT(A642:A653)=10,COUNT(F642:F653)=10),cubic_spline(F641:F651,A641:A651,B$6),IF(AND(COUNT(A642:A653)=11,COUNT(F642:F653)=11),cubic_spline(F641:F652,A641:A652,B$6),IF(AND(COUNT(A642:A653)=12,COUNT(F642:F653)=12),cubic_spline(F641:F653,A641:A653,B$6),""))))))))))))</f>
        <v/>
      </c>
      <c r="L646" s="27" t="str">
        <f>IF(I646="","",B$5&amp;"-"&amp;B$6)</f>
        <v/>
      </c>
      <c r="M646" s="52" t="str">
        <f>IF(N(J646)=0,"",J646-J645)</f>
        <v/>
      </c>
    </row>
    <row r="647" spans="1:13" x14ac:dyDescent="0.35">
      <c r="A647" s="48"/>
      <c r="B647" s="48"/>
      <c r="C647" s="50"/>
      <c r="D647" s="50"/>
      <c r="E647" s="51" t="str">
        <f t="shared" si="243"/>
        <v/>
      </c>
      <c r="F647" s="71" t="str">
        <f t="shared" si="241"/>
        <v/>
      </c>
      <c r="G647" s="69" t="str">
        <f t="shared" si="244"/>
        <v/>
      </c>
      <c r="H647" s="70" t="str">
        <f t="shared" si="242"/>
        <v/>
      </c>
      <c r="I647" s="27" t="str">
        <f>IF(N(J647)=0,"",0&amp;"-"&amp;B$7)</f>
        <v/>
      </c>
      <c r="J647" s="52" t="str">
        <f>IF(N(B$7)=0,"",IF(AND(COUNT(H642:H653)=2,COUNT(F642:F653)=2),cubic_spline(F641:F643,H641:H643,B$7),IF(AND(COUNT(H642:H653)=3,COUNT(F642:F653)=3),cubic_spline(F641:F644,H641:H644,B$7),IF(AND(COUNT(H642:H653)=4,COUNT(F642:F653)=4),cubic_spline(F641:F645,H641:H645,B$7),IF(AND(COUNT(H642:H653)=5,COUNT(F642:F653)=5),cubic_spline(F641:F646,H641:H646,B$7),IF(AND(COUNT(H642:H653)=6,COUNT(F642:F653)=6),cubic_spline(F641:F647,H641:H647,B$7),IF(AND(COUNT(H642:H653)=7,COUNT(F642:F653)=7),cubic_spline(F641:F648,H641:H648,B$7),IF(AND(COUNT(H642:H653)=8,COUNT(F642:F653)=8),cubic_spline(F641:F649,H641:H649,B$7),IF(AND(COUNT(H642:H653)=9,COUNT(F642:F653)=9),cubic_spline(F641:F650,H641:H650,B$7),IF(AND(COUNT(H642:H653)=10,COUNT(F642:F653)=10),cubic_spline(F641:F651,H641:H651,B$7),IF(AND(COUNT(H642:H653)=11,COUNT(F642:F653)=11),cubic_spline(F641:F652,H641:H652,B$7),IF(AND(COUNT(H642:H653)=12,COUNT(F642:F653)=12),cubic_spline(F641:F653,H641:H653,B$7),""))))))))))))</f>
        <v/>
      </c>
      <c r="K647" s="52" t="str">
        <f>IF(N(B$7)=0,"",IF(AND(COUNT(A642:A653)=2,COUNT(F642:F653)=2),cubic_spline(F641:F643,A641:A643,B$7),IF(AND(COUNT(A642:A653)=3,COUNT(F642:F653)=3),cubic_spline(F641:F644,A641:A644,B$7),IF(AND(COUNT(A642:A653)=4,COUNT(F642:F653)=4),cubic_spline(F641:F645,A641:A645,B$7),IF(AND(COUNT(A642:A653)=5,COUNT(F642:F653)=5),cubic_spline(F641:F646,A641:A646,B$7),IF(AND(COUNT(A642:A653)=6,COUNT(F642:F653)=6),cubic_spline(F641:F647,A641:A647,B$7),IF(AND(COUNT(A642:A653)=7,COUNT(F642:F653)=7),cubic_spline(F641:F648,A641:A648,B$7),IF(AND(COUNT(A642:A653)=8,COUNT(F642:F653)=8),cubic_spline(F641:F649,A641:A649,B$7),IF(AND(COUNT(A642:A653)=9,COUNT(F642:F653)=9),cubic_spline(F641:F650,A641:A650,B$7),IF(AND(COUNT(A642:A653)=10,COUNT(F642:F653)=10),cubic_spline(F641:F651,A641:A651,B$7),IF(AND(COUNT(A642:A653)=11,COUNT(F642:F653)=11),cubic_spline(F641:F652,A641:A652,B$7),IF(AND(COUNT(A642:A653)=12,COUNT(F642:F653)=12),cubic_spline(F641:F653,A641:A653,B$7),""))))))))))))</f>
        <v/>
      </c>
      <c r="L647" s="27" t="str">
        <f>IF(I647="","",B$6&amp;"-"&amp;B$7)</f>
        <v/>
      </c>
      <c r="M647" s="52" t="str">
        <f t="shared" ref="M647:M653" si="245">IF(N(J647)=0,"",J647-J646)</f>
        <v/>
      </c>
    </row>
    <row r="648" spans="1:13" x14ac:dyDescent="0.35">
      <c r="A648" s="48"/>
      <c r="B648" s="48"/>
      <c r="C648" s="50"/>
      <c r="D648" s="50"/>
      <c r="E648" s="51" t="str">
        <f t="shared" si="243"/>
        <v/>
      </c>
      <c r="F648" s="71" t="str">
        <f t="shared" si="241"/>
        <v/>
      </c>
      <c r="G648" s="69" t="str">
        <f t="shared" si="244"/>
        <v/>
      </c>
      <c r="H648" s="70" t="str">
        <f t="shared" si="242"/>
        <v/>
      </c>
      <c r="I648" s="27" t="str">
        <f>IF(N(J648)=0,"",0&amp;"-"&amp;B$8)</f>
        <v/>
      </c>
      <c r="J648" s="52" t="str">
        <f>IF(N(B$8)=0,"",IF(AND(COUNT(H642:H653)=2,COUNT(F642:F653)=2),cubic_spline(F641:F643,H641:H643,B$8),IF(AND(COUNT(H642:H653)=3,COUNT(F642:F653)=3),cubic_spline(F641:F644,H641:H644,B$8),IF(AND(COUNT(H642:H653)=4,COUNT(F642:F653)=4),cubic_spline(F641:F645,H641:H645,B$8),IF(AND(COUNT(H642:H653)=5,COUNT(F642:F653)=5),cubic_spline(F641:F646,H641:H646,B$8),IF(AND(COUNT(H642:H653)=6,COUNT(F642:F653)=6),cubic_spline(F641:F647,H641:H647,B$8),IF(AND(COUNT(H642:H653)=7,COUNT(F642:F653)=7),cubic_spline(F641:F648,H641:H648,B$8),IF(AND(COUNT(H642:H653)=8,COUNT(F642:F653)=8),cubic_spline(F641:F649,H641:H649,B$8),IF(AND(COUNT(H642:H653)=9,COUNT(F642:F653)=9),cubic_spline(F641:F650,H641:H650,B$8),IF(AND(COUNT(H642:H653)=10,COUNT(F642:F653)=10),cubic_spline(F641:F651,H641:H651,B$8),IF(AND(COUNT(H642:H653)=11,COUNT(F642:F653)=11),cubic_spline(F641:F652,H641:H652,B$8),IF(AND(COUNT(H642:H653)=12,COUNT(F642:F653)=12),cubic_spline(F641:F653,H641:H653,B$8),""))))))))))))</f>
        <v/>
      </c>
      <c r="K648" s="52" t="str">
        <f>IF(N(B$8)=0,"",IF(AND(COUNT(A642:A653)=2,COUNT(F642:F653)=2),cubic_spline(F641:F643,A641:A643,B$8),IF(AND(COUNT(A642:A653)=3,COUNT(F642:F653)=3),cubic_spline(F641:F644,A641:A644,B$8),IF(AND(COUNT(A642:A653)=4,COUNT(F642:F653)=4),cubic_spline(F641:F645,A641:A645,B$8),IF(AND(COUNT(A642:A653)=5,COUNT(F642:F653)=5),cubic_spline(F641:F646,A641:A646,B$8),IF(AND(COUNT(A642:A653)=6,COUNT(F642:F653)=6),cubic_spline(F641:F647,A641:A647,B$8),IF(AND(COUNT(A642:A653)=7,COUNT(F642:F653)=7),cubic_spline(F641:F648,A641:A648,B$8),IF(AND(COUNT(A642:A653)=8,COUNT(F642:F653)=8),cubic_spline(F641:F649,A641:A649,B$8),IF(AND(COUNT(A642:A653)=9,COUNT(F642:F653)=9),cubic_spline(F641:F650,A641:A650,B$8),IF(AND(COUNT(A642:A653)=10,COUNT(F642:F653)=10),cubic_spline(F641:F651,A641:A651,B$8),IF(AND(COUNT(A642:A653)=11,COUNT(F642:F653)=11),cubic_spline(F641:F652,A641:A652,B$8),IF(AND(COUNT(A642:A653)=12,COUNT(F642:F653)=12),cubic_spline(F641:F653,A641:A653,B$8),""))))))))))))</f>
        <v/>
      </c>
      <c r="L648" s="27" t="str">
        <f>IF(I648="","",B$7&amp;"-"&amp;B$8)</f>
        <v/>
      </c>
      <c r="M648" s="52" t="str">
        <f t="shared" si="245"/>
        <v/>
      </c>
    </row>
    <row r="649" spans="1:13" x14ac:dyDescent="0.35">
      <c r="A649" s="48"/>
      <c r="B649" s="48"/>
      <c r="C649" s="50"/>
      <c r="D649" s="50"/>
      <c r="E649" s="51" t="str">
        <f t="shared" si="243"/>
        <v/>
      </c>
      <c r="F649" s="71" t="str">
        <f t="shared" si="241"/>
        <v/>
      </c>
      <c r="G649" s="69" t="str">
        <f t="shared" si="244"/>
        <v/>
      </c>
      <c r="H649" s="70" t="str">
        <f t="shared" si="242"/>
        <v/>
      </c>
      <c r="I649" s="27" t="str">
        <f>IF(N(J649)=0,"",0&amp;"-"&amp;B$9)</f>
        <v/>
      </c>
      <c r="J649" s="52" t="str">
        <f>IF(N(B$9)=0,"",IF(AND(COUNT(H642:H653)=2,COUNT(F642:F653)=2),cubic_spline(F641:F643,H641:H643,B$9),IF(AND(COUNT(H642:H653)=3,COUNT(F642:F653)=3),cubic_spline(F641:F644,H641:H644,B$9),IF(AND(COUNT(H642:H653)=4,COUNT(F642:F653)=4),cubic_spline(F641:F645,H641:H645,B$9),IF(AND(COUNT(H642:H653)=5,COUNT(F642:F653)=5),cubic_spline(F641:F646,H641:H646,B$9),IF(AND(COUNT(H642:H653)=6,COUNT(F642:F653)=6),cubic_spline(F641:F647,H641:H647,B$9),IF(AND(COUNT(H642:H653)=7,COUNT(F642:F653)=7),cubic_spline(F641:F648,H641:H648,B$9),IF(AND(COUNT(H642:H653)=8,COUNT(F642:F653)=8),cubic_spline(F641:F649,H641:H649,B$9),IF(AND(COUNT(H642:H653)=9,COUNT(F642:F653)=9),cubic_spline(F641:F650,H641:H650,B$9),IF(AND(COUNT(H642:H653)=10,COUNT(F642:F653)=10),cubic_spline(F641:F651,H641:H651,B$9),IF(AND(COUNT(H642:H653)=11,COUNT(F642:F653)=11),cubic_spline(F641:F652,H641:H652,B$9),IF(AND(COUNT(H642:H653)=12,COUNT(F642:F653)=12),cubic_spline(F641:F653,H641:H653,B$9),""))))))))))))</f>
        <v/>
      </c>
      <c r="K649" s="52" t="str">
        <f>IF(N(B$9)=0,"",IF(AND(COUNT(A642:A653)=2,COUNT(F642:F653)=2),cubic_spline(F641:F643,A641:A643,B$9),IF(AND(COUNT(A642:A653)=3,COUNT(F642:F653)=3),cubic_spline(F641:F644,A641:A644,B$9),IF(AND(COUNT(A642:A653)=4,COUNT(F642:F653)=4),cubic_spline(F641:F645,A641:A645,B$9),IF(AND(COUNT(A642:A653)=5,COUNT(F642:F653)=5),cubic_spline(F641:F646,A641:A646,B$9),IF(AND(COUNT(A642:A653)=6,COUNT(F642:F653)=6),cubic_spline(F641:F647,A641:A647,B$9),IF(AND(COUNT(A642:A653)=7,COUNT(F642:F653)=7),cubic_spline(F641:F648,A641:A648,B$9),IF(AND(COUNT(A642:A653)=8,COUNT(F642:F653)=8),cubic_spline(F641:F649,A641:A649,B$9),IF(AND(COUNT(A642:A653)=9,COUNT(F642:F653)=9),cubic_spline(F641:F650,A641:A650,B$9),IF(AND(COUNT(A642:A653)=10,COUNT(F642:F653)=10),cubic_spline(F641:F651,A641:A651,B$9),IF(AND(COUNT(A642:A653)=11,COUNT(F642:F653)=11),cubic_spline(F641:F652,A641:A652,B$9),IF(AND(COUNT(A642:A653)=12,COUNT(F642:F653)=12),cubic_spline(F641:F653,A641:A653,B$9),""))))))))))))</f>
        <v/>
      </c>
      <c r="L649" s="27" t="str">
        <f>IF(I649="","",B$8&amp;"-"&amp;B$9)</f>
        <v/>
      </c>
      <c r="M649" s="52" t="str">
        <f t="shared" si="245"/>
        <v/>
      </c>
    </row>
    <row r="650" spans="1:13" x14ac:dyDescent="0.35">
      <c r="A650" s="48"/>
      <c r="B650" s="48"/>
      <c r="C650" s="50"/>
      <c r="D650" s="50"/>
      <c r="E650" s="51" t="str">
        <f t="shared" si="243"/>
        <v/>
      </c>
      <c r="F650" s="71" t="str">
        <f t="shared" si="241"/>
        <v/>
      </c>
      <c r="G650" s="69" t="str">
        <f t="shared" si="244"/>
        <v/>
      </c>
      <c r="H650" s="70" t="str">
        <f t="shared" si="242"/>
        <v/>
      </c>
      <c r="I650" s="27" t="str">
        <f>IF(N(J650)=0,"",0&amp;"-"&amp;B$10)</f>
        <v/>
      </c>
      <c r="J650" s="52" t="str">
        <f>IF(N(B$10)=0,"",IF(AND(COUNT(H642:H653)=2,COUNT(F642:F653)=2),cubic_spline(F641:F643,H641:H643,B$10),IF(AND(COUNT(H642:H653)=3,COUNT(F642:F653)=3),cubic_spline(F641:F644,H641:H644,B$10),IF(AND(COUNT(H642:H653)=4,COUNT(F642:F653)=4),cubic_spline(F641:F645,H641:H645,B$10),IF(AND(COUNT(H642:H653)=5,COUNT(F642:F653)=5),cubic_spline(F641:F646,H641:H646,B$10),IF(AND(COUNT(H642:H653)=6,COUNT(F642:F653)=6),cubic_spline(F641:F647,H641:H647,B$10),IF(AND(COUNT(H642:H653)=7,COUNT(F642:F653)=7),cubic_spline(F641:F648,H641:H648,B$10),IF(AND(COUNT(H642:H653)=8,COUNT(F642:F653)=8),cubic_spline(F641:F649,H641:H649,B$10),IF(AND(COUNT(H642:H653)=9,COUNT(F642:F653)=9),cubic_spline(F641:F650,H641:H650,B$10),IF(AND(COUNT(H642:H653)=10,COUNT(F642:F653)=10),cubic_spline(F641:F651,H641:H651,B$10),IF(AND(COUNT(H642:H653)=11,COUNT(F642:F653)=11),cubic_spline(F641:F652,H641:H652,B$10),IF(AND(COUNT(H642:H653)=12,COUNT(F642:F653)=12),cubic_spline(F641:F653,H641:H653,B$10),""))))))))))))</f>
        <v/>
      </c>
      <c r="K650" s="52" t="str">
        <f>IF(N(B$10)=0,"",IF(AND(COUNT(A642:A653)=2,COUNT(F642:F653)=2),cubic_spline(F641:F643,A641:A643,B$10),IF(AND(COUNT(A642:A653)=3,COUNT(F642:F653)=3),cubic_spline(F641:F644,A641:A644,B$10),IF(AND(COUNT(A642:A653)=4,COUNT(F642:F653)=4),cubic_spline(F641:F645,A641:A645,B$10),IF(AND(COUNT(A642:A653)=5,COUNT(F642:F653)=5),cubic_spline(F641:F646,A641:A646,B$10),IF(AND(COUNT(A642:A653)=6,COUNT(F642:F653)=6),cubic_spline(F641:F647,A641:A647,B$10),IF(AND(COUNT(A642:A653)=7,COUNT(F642:F653)=7),cubic_spline(F641:F648,A641:A648,B$10),IF(AND(COUNT(A642:A653)=8,COUNT(F642:F653)=8),cubic_spline(F641:F649,A641:A649,B$10),IF(AND(COUNT(A642:A653)=9,COUNT(F642:F653)=9),cubic_spline(F641:F650,A641:A650,B$10),IF(AND(COUNT(A642:A653)=10,COUNT(F642:F653)=10),cubic_spline(F641:F651,A641:A651,B$10),IF(AND(COUNT(A642:A653)=11,COUNT(F642:F653)=11),cubic_spline(F641:F652,A641:A652,B$10),IF(AND(COUNT(A642:A653)=12,COUNT(F642:F653)=12),cubic_spline(F641:F653,A641:A653,B$10),""))))))))))))</f>
        <v/>
      </c>
      <c r="L650" s="27" t="str">
        <f>IF(I650="","",B$9&amp;"-"&amp;B$10)</f>
        <v/>
      </c>
      <c r="M650" s="52" t="str">
        <f t="shared" si="245"/>
        <v/>
      </c>
    </row>
    <row r="651" spans="1:13" x14ac:dyDescent="0.35">
      <c r="A651" s="48"/>
      <c r="B651" s="48"/>
      <c r="C651" s="50"/>
      <c r="D651" s="50"/>
      <c r="E651" s="51" t="str">
        <f t="shared" si="243"/>
        <v/>
      </c>
      <c r="F651" s="71" t="str">
        <f t="shared" si="241"/>
        <v/>
      </c>
      <c r="G651" s="69" t="str">
        <f t="shared" si="244"/>
        <v/>
      </c>
      <c r="H651" s="70" t="str">
        <f t="shared" si="242"/>
        <v/>
      </c>
      <c r="I651" s="27" t="str">
        <f>IF(N(J651)=0,"",0&amp;"-"&amp;B$11)</f>
        <v/>
      </c>
      <c r="J651" s="52" t="str">
        <f>IF(N(B$11)=0,"",IF(AND(COUNT(H642:H653)=2,COUNT(F642:F653)=2),cubic_spline(F641:F643,H641:H643,B$11),IF(AND(COUNT(H642:H653)=3,COUNT(F642:F653)=3),cubic_spline(F641:F644,H641:H644,B$11),IF(AND(COUNT(H642:H653)=4,COUNT(F642:F653)=4),cubic_spline(F641:F645,H641:H645,B$11),IF(AND(COUNT(H642:H653)=5,COUNT(F642:F653)=5),cubic_spline(F641:F646,H641:H646,B$11),IF(AND(COUNT(H642:H653)=6,COUNT(F642:F653)=6),cubic_spline(F641:F647,H641:H647,B$11),IF(AND(COUNT(H642:H653)=7,COUNT(F642:F653)=7),cubic_spline(F641:F648,H641:H648,B$11),IF(AND(COUNT(H642:H653)=8,COUNT(F642:F653)=8),cubic_spline(F641:F649,H641:H649,B$11),IF(AND(COUNT(H642:H653)=9,COUNT(F642:F653)=9),cubic_spline(F641:F650,H641:H650,B$11),IF(AND(COUNT(H642:H653)=10,COUNT(F642:F653)=10),cubic_spline(F641:F651,H641:H651,B$11),IF(AND(COUNT(H642:H653)=11,COUNT(F642:F653)=11),cubic_spline(F641:F652,H641:H652,B$11),IF(AND(COUNT(H642:H653)=12,COUNT(F642:F653)=12),cubic_spline(F641:F653,H641:H653,B$11),""))))))))))))</f>
        <v/>
      </c>
      <c r="K651" s="52" t="str">
        <f>IF(N(B$11)=0,"",IF(AND(COUNT(A642:A653)=2,COUNT(F642:F653)=2),cubic_spline(F641:F643,A641:A643,B$11),IF(AND(COUNT(A642:A653)=3,COUNT(F642:F653)=3),cubic_spline(F641:F644,A641:A644,B$11),IF(AND(COUNT(A642:A653)=4,COUNT(F642:F653)=4),cubic_spline(F641:F645,A641:A645,B$11),IF(AND(COUNT(A642:A653)=5,COUNT(F642:F653)=5),cubic_spline(F641:F646,A641:A646,B$11),IF(AND(COUNT(A642:A653)=6,COUNT(F642:F653)=6),cubic_spline(F641:F647,A641:A647,B$11),IF(AND(COUNT(A642:A653)=7,COUNT(F642:F653)=7),cubic_spline(F641:F648,A641:A648,B$11),IF(AND(COUNT(A642:A653)=8,COUNT(F642:F653)=8),cubic_spline(F641:F649,A641:A649,B$11),IF(AND(COUNT(A642:A653)=9,COUNT(F642:F653)=9),cubic_spline(F641:F650,A641:A650,B$11),IF(AND(COUNT(A642:A653)=10,COUNT(F642:F653)=10),cubic_spline(F641:F651,A641:A651,B$11),IF(AND(COUNT(A642:A653)=11,COUNT(F642:F653)=11),cubic_spline(F641:F652,A641:A652,B$11),IF(AND(COUNT(A642:A653)=12,COUNT(F642:F653)=12),cubic_spline(F641:F653,A641:A653,B$11),""))))))))))))</f>
        <v/>
      </c>
      <c r="L651" s="27" t="str">
        <f>IF(I651="","",B$10&amp;"-"&amp;B$11)</f>
        <v/>
      </c>
      <c r="M651" s="52" t="str">
        <f t="shared" si="245"/>
        <v/>
      </c>
    </row>
    <row r="652" spans="1:13" x14ac:dyDescent="0.35">
      <c r="A652" s="48"/>
      <c r="B652" s="48"/>
      <c r="C652" s="50"/>
      <c r="D652" s="50"/>
      <c r="E652" s="51" t="str">
        <f t="shared" si="243"/>
        <v/>
      </c>
      <c r="F652" s="71" t="str">
        <f t="shared" si="241"/>
        <v/>
      </c>
      <c r="G652" s="69" t="str">
        <f t="shared" si="244"/>
        <v/>
      </c>
      <c r="H652" s="70" t="str">
        <f t="shared" si="242"/>
        <v/>
      </c>
      <c r="I652" s="27" t="str">
        <f>IF(N(J652)=0,"",0&amp;"-"&amp;B$12)</f>
        <v/>
      </c>
      <c r="J652" s="52" t="str">
        <f>IF(N(B$12)=0,"",IF(AND(COUNT(H642:H653)=2,COUNT(F642:F653)=2),cubic_spline(F641:F643,H641:H643,B$12),IF(AND(COUNT(H642:H653)=3,COUNT(F642:F653)=3),cubic_spline(F641:F644,H641:H644,B$12),IF(AND(COUNT(H642:H653)=4,COUNT(F642:F653)=4),cubic_spline(F641:F645,H641:H645,B$12),IF(AND(COUNT(H642:H653)=5,COUNT(F642:F653)=5),cubic_spline(F641:F646,H641:H646,B$12),IF(AND(COUNT(H642:H653)=6,COUNT(F642:F653)=6),cubic_spline(F641:F647,H641:H647,B$12),IF(AND(COUNT(H642:H653)=7,COUNT(F642:F653)=7),cubic_spline(F641:F648,H641:H648,B$12),IF(AND(COUNT(H642:H653)=8,COUNT(F642:F653)=8),cubic_spline(F641:F649,H641:H649,B$12),IF(AND(COUNT(H642:H653)=9,COUNT(F642:F653)=9),cubic_spline(F641:F650,H641:H650,B$12),IF(AND(COUNT(H642:H653)=10,COUNT(F642:F653)=10),cubic_spline(F641:F651,H641:H651,B$12),IF(AND(COUNT(H642:H653)=11,COUNT(F642:F653)=11),cubic_spline(F641:F652,H641:H652,B$12),IF(AND(COUNT(H642:H653)=12,COUNT(F642:F653)=12),cubic_spline(F641:F653,H641:H653,B$12),""))))))))))))</f>
        <v/>
      </c>
      <c r="K652" s="52" t="str">
        <f>IF(N(B$12)=0,"",IF(AND(COUNT(A642:A653)=2,COUNT(F642:F653)=2),cubic_spline(F641:F643,A641:A643,B$12),IF(AND(COUNT(A642:A653)=3,COUNT(F642:F653)=3),cubic_spline(F641:F644,A641:A644,B$12),IF(AND(COUNT(A642:A653)=4,COUNT(F642:F653)=4),cubic_spline(F641:F645,A641:A645,B$12),IF(AND(COUNT(A642:A653)=5,COUNT(F642:F653)=5),cubic_spline(F641:F646,A641:A646,B$12),IF(AND(COUNT(A642:A653)=6,COUNT(F642:F653)=6),cubic_spline(F641:F647,A641:A647,B$12),IF(AND(COUNT(A642:A653)=7,COUNT(F642:F653)=7),cubic_spline(F641:F648,A641:A648,B$12),IF(AND(COUNT(A642:A653)=8,COUNT(F642:F653)=8),cubic_spline(F641:F649,A641:A649,B$12),IF(AND(COUNT(A642:A653)=9,COUNT(F642:F653)=9),cubic_spline(F641:F650,A641:A650,B$12),IF(AND(COUNT(A642:A653)=10,COUNT(F642:F653)=10),cubic_spline(F641:F651,A641:A651,B$12),IF(AND(COUNT(A642:A653)=11,COUNT(F642:F653)=11),cubic_spline(F641:F652,A641:A652,B$12),IF(AND(COUNT(A642:A653)=12,COUNT(F642:F653)=12),cubic_spline(F641:F653,A641:A653,B$12),""))))))))))))</f>
        <v/>
      </c>
      <c r="L652" s="27" t="str">
        <f>IF(I652="","",B$11&amp;"-"&amp;B$12)</f>
        <v/>
      </c>
      <c r="M652" s="52" t="str">
        <f t="shared" si="245"/>
        <v/>
      </c>
    </row>
    <row r="653" spans="1:13" x14ac:dyDescent="0.35">
      <c r="A653" s="48"/>
      <c r="B653" s="48"/>
      <c r="C653" s="50"/>
      <c r="D653" s="50"/>
      <c r="E653" s="51" t="str">
        <f t="shared" si="243"/>
        <v/>
      </c>
      <c r="F653" s="71" t="str">
        <f t="shared" si="241"/>
        <v/>
      </c>
      <c r="G653" s="69" t="str">
        <f t="shared" si="244"/>
        <v/>
      </c>
      <c r="H653" s="70" t="str">
        <f t="shared" si="242"/>
        <v/>
      </c>
      <c r="I653" s="27" t="str">
        <f>IF(N(J653)=0,"",0&amp;"-"&amp;B$13)</f>
        <v/>
      </c>
      <c r="J653" s="52" t="str">
        <f>IF(N(B$13)=0,"",IF(AND(COUNT(H642:H653)=2,COUNT(F642:F653)=2),cubic_spline(F641:F643,H641:H643,B$13),IF(AND(COUNT(H642:H653)=3,COUNT(F642:F653)=3),cubic_spline(F641:F644,H641:H644,B$13),IF(AND(COUNT(H642:H653)=4,COUNT(F642:F653)=4),cubic_spline(F641:F645,H641:H645,B$13),IF(AND(COUNT(H642:H653)=5,COUNT(F642:F653)=5),cubic_spline(F641:F646,H641:H646,B$13),IF(AND(COUNT(H642:H653)=6,COUNT(F642:F653)=6),cubic_spline(F641:F647,H641:H647,B$13),IF(AND(COUNT(H642:H653)=7,COUNT(F642:F653)=7),cubic_spline(F641:F648,H641:H648,B$13),IF(AND(COUNT(H642:H653)=8,COUNT(F642:F653)=8),cubic_spline(F641:F649,H641:H649,B$13),IF(AND(COUNT(H642:H653)=9,COUNT(F642:F653)=9),cubic_spline(F641:F650,H641:H650,B$13),IF(AND(COUNT(H642:H653)=10,COUNT(F642:F653)=10),cubic_spline(F641:F651,H641:H651,B$13),IF(AND(COUNT(H642:H653)=11,COUNT(F642:F653)=11),cubic_spline(F641:F652,H641:H652,B$13),IF(AND(COUNT(H642:H653)=12,COUNT(F642:F653)=12),cubic_spline(F641:F653,H641:H653,B$13),""))))))))))))</f>
        <v/>
      </c>
      <c r="K653" s="52" t="str">
        <f>IF(N(B$13)=0,"",IF(AND(COUNT(A642:A653)=2,COUNT(F642:F653)=2),cubic_spline(F641:F643,A641:A643,B$13),IF(AND(COUNT(A642:A653)=3,COUNT(F642:F653)=3),cubic_spline(F641:F644,A641:A644,B$13),IF(AND(COUNT(A642:A653)=4,COUNT(F642:F653)=4),cubic_spline(F641:F645,A641:A645,B$13),IF(AND(COUNT(A642:A653)=5,COUNT(F642:F653)=5),cubic_spline(F641:F646,A641:A646,B$13),IF(AND(COUNT(A642:A653)=6,COUNT(F642:F653)=6),cubic_spline(F641:F647,A641:A647,B$13),IF(AND(COUNT(A642:A653)=7,COUNT(F642:F653)=7),cubic_spline(F641:F648,A641:A648,B$13),IF(AND(COUNT(A642:A653)=8,COUNT(F642:F653)=8),cubic_spline(F641:F649,A641:A649,B$13),IF(AND(COUNT(A642:A653)=9,COUNT(F642:F653)=9),cubic_spline(F641:F650,A641:A650,B$13),IF(AND(COUNT(A642:A653)=10,COUNT(F642:F653)=10),cubic_spline(F641:F651,A641:A651,B$13),IF(AND(COUNT(A642:A653)=11,COUNT(F642:F653)=11),cubic_spline(F641:F652,A641:A652,B$13),IF(AND(COUNT(A642:A653)=12,COUNT(F642:F653)=12),cubic_spline(F641:F653,A641:A653,B$13),""))))))))))))</f>
        <v/>
      </c>
      <c r="L653" s="27" t="str">
        <f>IF(I653="","",B$12&amp;"-"&amp;B$13)</f>
        <v/>
      </c>
      <c r="M653" s="52" t="str">
        <f t="shared" si="245"/>
        <v/>
      </c>
    </row>
    <row r="654" spans="1:13" ht="5.15" customHeight="1" x14ac:dyDescent="0.35">
      <c r="A654" s="47"/>
      <c r="B654" s="47"/>
      <c r="C654" s="53"/>
      <c r="D654" s="53"/>
      <c r="E654" s="54"/>
      <c r="F654" s="55"/>
      <c r="G654" s="72"/>
      <c r="H654" s="73"/>
      <c r="I654" s="47"/>
      <c r="J654" s="57"/>
      <c r="K654" s="57"/>
      <c r="L654" s="55"/>
      <c r="M654" s="57"/>
    </row>
    <row r="655" spans="1:13" x14ac:dyDescent="0.35">
      <c r="A655" s="48"/>
      <c r="B655" s="48"/>
      <c r="C655" s="50"/>
      <c r="D655" s="50"/>
      <c r="E655" s="51" t="str">
        <f>IF(N(C655)=0,"",(A655-A654)*C655*100)</f>
        <v/>
      </c>
      <c r="F655" s="68" t="str">
        <f t="shared" ref="F655:F666" si="246">IF(N(E655)=0,"",(N(E655)+N(F654)))</f>
        <v/>
      </c>
      <c r="G655" s="69" t="str">
        <f>IF(OR(N(D655)=0,N(E655)=0),"",(E655*D655)/1000)</f>
        <v/>
      </c>
      <c r="H655" s="70" t="str">
        <f t="shared" ref="H655:H666" si="247">IF(N(G655)=0,"",(N(G655)+N(H654)))</f>
        <v/>
      </c>
      <c r="I655" s="27" t="str">
        <f>IF(N(J655)=0,"",0&amp;"-"&amp;B$2)</f>
        <v/>
      </c>
      <c r="J655" s="52" t="str">
        <f>IF(N(B$2)=0,"",IF(AND(COUNT(H655:H666)=2,COUNT(F655:F666)=2),cubic_spline(F654:F656,H654:H656,B$2),IF(AND(COUNT(H655:H666)=3,COUNT(F655:F666)=3),cubic_spline(F654:F657,H654:H657,B$2),IF(AND(COUNT(H655:H666)=4,COUNT(F655:F666)=4),cubic_spline(F654:F658,H654:H658,B$2),IF(AND(COUNT(H655:H666)=5,COUNT(F655:F666)=5),cubic_spline(F654:F659,H654:H659,B$2),IF(AND(COUNT(H655:H666)=6,COUNT(F655:F666)=6),cubic_spline(F654:F660,H654:H660,B$2),IF(AND(COUNT(H655:H666)=7,COUNT(F655:F666)=7),cubic_spline(F654:F661,H654:H661,B$2),IF(AND(COUNT(H655:H666)=8,COUNT(F655:F666)=8),cubic_spline(F654:F662,H654:H662,B$2),IF(AND(COUNT(H655:H666)=9,COUNT(F655:F666)=9),cubic_spline(F654:F663,H654:H663,B$2),IF(AND(COUNT(H655:H666)=10,COUNT(F655:F666)=10),cubic_spline(F654:F664,H654:H664,B$2),IF(AND(COUNT(H655:H666)=11,COUNT(F655:F666)=11),cubic_spline(F654:F665,H654:H665,B$2),IF(AND(COUNT(H655:H666)=12,COUNT(F655:F666)=12),cubic_spline(F654:F666,H654:H666,B$2),""))))))))))))</f>
        <v/>
      </c>
      <c r="K655" s="52" t="str">
        <f>IF(N(B$2)=0,"",IF(AND(COUNT(A655:A666)=2,COUNT(F655:F666)=2),cubic_spline(F654:F656,A654:A656,B$2),IF(AND(COUNT(A655:A666)=3,COUNT(F655:F666)=3),cubic_spline(F654:F657,A654:A657,B$2),IF(AND(COUNT(A655:A666)=4,COUNT(F655:F666)=4),cubic_spline(F654:F658,A654:A658,B$2),IF(AND(COUNT(A655:A666)=5,COUNT(F655:F666)=5),cubic_spline(F654:F659,A654:A659,B$2),IF(AND(COUNT(A655:A666)=6,COUNT(F655:F666)=6),cubic_spline(F654:F660,A654:A660,B$2),IF(AND(COUNT(A655:A666)=7,COUNT(F655:F666)=7),cubic_spline(F654:F661,A654:A661,B$2),IF(AND(COUNT(A655:A666)=8,COUNT(F655:F666)=8),cubic_spline(F654:F662,A654:A662,B$2),IF(AND(COUNT(A655:A666)=9,COUNT(F655:F666)=9),cubic_spline(F654:F663,A654:A663,B$2),IF(AND(COUNT(A655:A666)=10,COUNT(F655:F666)=10),cubic_spline(F654:F664,A654:A664,B$2),IF(AND(COUNT(A655:A666)=11,COUNT(F655:F666)=11),cubic_spline(F654:F665,A654:A665,B$2),IF(AND(COUNT(A655:A666)=12,COUNT(F655:F666)=12),cubic_spline(F654:F666,A654:A666,B$2),""))))))))))))</f>
        <v/>
      </c>
      <c r="L655" s="27" t="str">
        <f>IF(I655="","",0&amp;"-"&amp;B$2)</f>
        <v/>
      </c>
      <c r="M655" s="52" t="str">
        <f>IF(N(J655)=0,"",J655-J654)</f>
        <v/>
      </c>
    </row>
    <row r="656" spans="1:13" x14ac:dyDescent="0.35">
      <c r="A656" s="48"/>
      <c r="B656" s="48"/>
      <c r="C656" s="50"/>
      <c r="D656" s="50"/>
      <c r="E656" s="51" t="str">
        <f t="shared" ref="E656:E666" si="248">IF(N(C656)=0,"",(A656-A655)*C656*100)</f>
        <v/>
      </c>
      <c r="F656" s="68" t="str">
        <f t="shared" si="246"/>
        <v/>
      </c>
      <c r="G656" s="69" t="str">
        <f t="shared" ref="G656:G666" si="249">IF(OR(N(D656)=0,N(E656)=0),"",(E656*D656)/1000)</f>
        <v/>
      </c>
      <c r="H656" s="70" t="str">
        <f t="shared" si="247"/>
        <v/>
      </c>
      <c r="I656" s="27" t="str">
        <f>IF(N(J656)=0,"",0&amp;"-"&amp;B$3)</f>
        <v/>
      </c>
      <c r="J656" s="52" t="str">
        <f>IF(N(B$3)=0,"",IF(AND(COUNT(H655:H666)=2,COUNT(F655:F666)=2),cubic_spline(F654:F656,H654:H656,B$3),IF(AND(COUNT(H655:H666)=3,COUNT(F655:F666)=3),cubic_spline(F654:F657,H654:H657,B$3),IF(AND(COUNT(H655:H666)=4,COUNT(F655:F666)=4),cubic_spline(F654:F658,H654:H658,B$3),IF(AND(COUNT(H655:H666)=5,COUNT(F655:F666)=5),cubic_spline(F654:F659,H654:H659,B$3),IF(AND(COUNT(H655:H666)=6,COUNT(F655:F666)=6),cubic_spline(F654:F660,H654:H660,B$3),IF(AND(COUNT(H655:H666)=7,COUNT(F655:F666)=7),cubic_spline(F654:F661,H654:H661,B$3),IF(AND(COUNT(H655:H666)=8,COUNT(F655:F666)=8),cubic_spline(F654:F662,H654:H662,B$3),IF(AND(COUNT(H655:H666)=9,COUNT(F655:F666)=9),cubic_spline(F654:F663,H654:H663,B$3),IF(AND(COUNT(H655:H666)=10,COUNT(F655:F666)=10),cubic_spline(F654:F664,H654:H664,B$3),IF(AND(COUNT(H655:H666)=11,COUNT(F655:F666)=11),cubic_spline(F654:F665,H654:H665,B$3),IF(AND(COUNT(H655:H666)=12,COUNT(F655:F666)=12),cubic_spline(F654:F666,H654:H666,B$3),""))))))))))))</f>
        <v/>
      </c>
      <c r="K656" s="52" t="str">
        <f>IF(N(B$3)=0,"",IF(AND(COUNT(A655:A666)=2,COUNT(F655:F666)=2),cubic_spline(F654:F656,A654:A656,B$3),IF(AND(COUNT(A655:A666)=3,COUNT(F655:F666)=3),cubic_spline(F654:F657,A654:A657,B$3),IF(AND(COUNT(A655:A666)=4,COUNT(F655:F666)=4),cubic_spline(F654:F658,A654:A658,B$3),IF(AND(COUNT(A655:A666)=5,COUNT(F655:F666)=5),cubic_spline(F654:F659,A654:A659,B$3),IF(AND(COUNT(A655:A666)=6,COUNT(F655:F666)=6),cubic_spline(F654:F660,A654:A660,B$3),IF(AND(COUNT(A655:A666)=7,COUNT(F655:F666)=7),cubic_spline(F654:F661,A654:A661,B$3),IF(AND(COUNT(A655:A666)=8,COUNT(F655:F666)=8),cubic_spline(F654:F662,A654:A662,B$3),IF(AND(COUNT(A655:A666)=9,COUNT(F655:F666)=9),cubic_spline(F654:F663,A654:A663,B$3),IF(AND(COUNT(A655:A666)=10,COUNT(F655:F666)=10),cubic_spline(F654:F664,A654:A664,B$3),IF(AND(COUNT(A655:A666)=11,COUNT(F655:F666)=11),cubic_spline(F654:F665,A654:A665,B$3),IF(AND(COUNT(A655:A666)=12,COUNT(F655:F666)=12),cubic_spline(F654:F666,A654:A666,B$3),""))))))))))))</f>
        <v/>
      </c>
      <c r="L656" s="27" t="str">
        <f>IF(I656="","",B$2&amp;"-"&amp;B$3)</f>
        <v/>
      </c>
      <c r="M656" s="52" t="str">
        <f>IF(N(J656)=0,"",J656-J655)</f>
        <v/>
      </c>
    </row>
    <row r="657" spans="1:13" x14ac:dyDescent="0.35">
      <c r="A657" s="48"/>
      <c r="B657" s="48"/>
      <c r="C657" s="50"/>
      <c r="D657" s="50"/>
      <c r="E657" s="51" t="str">
        <f t="shared" si="248"/>
        <v/>
      </c>
      <c r="F657" s="68" t="str">
        <f t="shared" si="246"/>
        <v/>
      </c>
      <c r="G657" s="69" t="str">
        <f t="shared" si="249"/>
        <v/>
      </c>
      <c r="H657" s="70" t="str">
        <f t="shared" si="247"/>
        <v/>
      </c>
      <c r="I657" s="27" t="str">
        <f>IF(N(J657)=0,"",0&amp;"-"&amp;B$4)</f>
        <v/>
      </c>
      <c r="J657" s="52" t="str">
        <f>IF(N(B$4)=0,"",IF(AND(COUNT(H655:H666)=2,COUNT(F655:F666)=2),cubic_spline(F654:F656,H654:H656,B$4),IF(AND(COUNT(H655:H666)=3,COUNT(F655:F666)=3),cubic_spline(F654:F657,H654:H657,B$4),IF(AND(COUNT(H655:H666)=4,COUNT(F655:F666)=4),cubic_spline(F654:F658,H654:H658,B$4),IF(AND(COUNT(H655:H666)=5,COUNT(F655:F666)=5),cubic_spline(F654:F659,H654:H659,B$4),IF(AND(COUNT(H655:H666)=6,COUNT(F655:F666)=6),cubic_spline(F654:F660,H654:H660,B$4),IF(AND(COUNT(H655:H666)=7,COUNT(F655:F666)=7),cubic_spline(F654:F661,H654:H661,B$4),IF(AND(COUNT(H655:H666)=8,COUNT(F655:F666)=8),cubic_spline(F654:F662,H654:H662,B$4),IF(AND(COUNT(H655:H666)=9,COUNT(F655:F666)=9),cubic_spline(F654:F663,H654:H663,B$4),IF(AND(COUNT(H655:H666)=10,COUNT(F655:F666)=10),cubic_spline(F654:F664,H654:H664,B$4),IF(AND(COUNT(H655:H666)=11,COUNT(F655:F666)=11),cubic_spline(F654:F665,H654:H665,B$4),IF(AND(COUNT(H655:H666)=12,COUNT(F655:F666)=12),cubic_spline(F654:F666,H654:H666,B$4),""))))))))))))</f>
        <v/>
      </c>
      <c r="K657" s="52" t="str">
        <f>IF(N(B$4)=0,"",IF(AND(COUNT(A655:A666)=2,COUNT(F655:F666)=2),cubic_spline(F654:F656,A654:A656,B$4),IF(AND(COUNT(A655:A666)=3,COUNT(F655:F666)=3),cubic_spline(F654:F657,A654:A657,B$4),IF(AND(COUNT(A655:A666)=4,COUNT(F655:F666)=4),cubic_spline(F654:F658,A654:A658,B$4),IF(AND(COUNT(A655:A666)=5,COUNT(F655:F666)=5),cubic_spline(F654:F659,A654:A659,B$4),IF(AND(COUNT(A655:A666)=6,COUNT(F655:F666)=6),cubic_spline(F654:F660,A654:A660,B$4),IF(AND(COUNT(A655:A666)=7,COUNT(F655:F666)=7),cubic_spline(F654:F661,A654:A661,B$4),IF(AND(COUNT(A655:A666)=8,COUNT(F655:F666)=8),cubic_spline(F654:F662,A654:A662,B$4),IF(AND(COUNT(A655:A666)=9,COUNT(F655:F666)=9),cubic_spline(F654:F663,A654:A663,B$4),IF(AND(COUNT(A655:A666)=10,COUNT(F655:F666)=10),cubic_spline(F654:F664,A654:A664,B$4),IF(AND(COUNT(A655:A666)=11,COUNT(F655:F666)=11),cubic_spline(F654:F665,A654:A665,B$4),IF(AND(COUNT(A655:A666)=12,COUNT(F655:F666)=12),cubic_spline(F654:F666,A654:A666,B$4),""))))))))))))</f>
        <v/>
      </c>
      <c r="L657" s="27" t="str">
        <f>IF(I657="","",B$3&amp;"-"&amp;B$4)</f>
        <v/>
      </c>
      <c r="M657" s="52" t="str">
        <f>IF(N(J657)=0,"",J657-J656)</f>
        <v/>
      </c>
    </row>
    <row r="658" spans="1:13" x14ac:dyDescent="0.35">
      <c r="A658" s="48"/>
      <c r="B658" s="48"/>
      <c r="C658" s="50"/>
      <c r="D658" s="50"/>
      <c r="E658" s="51" t="str">
        <f t="shared" si="248"/>
        <v/>
      </c>
      <c r="F658" s="68" t="str">
        <f t="shared" si="246"/>
        <v/>
      </c>
      <c r="G658" s="69" t="str">
        <f t="shared" si="249"/>
        <v/>
      </c>
      <c r="H658" s="70" t="str">
        <f t="shared" si="247"/>
        <v/>
      </c>
      <c r="I658" s="27" t="str">
        <f>IF(N(J658)=0,"",0&amp;"-"&amp;B$5)</f>
        <v/>
      </c>
      <c r="J658" s="52" t="str">
        <f>IF(N(B$5)=0,"",IF(AND(COUNT(H655:H666)=2,COUNT(F655:F666)=2),cubic_spline(F654:F656,H654:H656,B$5),IF(AND(COUNT(H655:H666)=3,COUNT(F655:F666)=3),cubic_spline(F654:F657,H654:H657,B$5),IF(AND(COUNT(H655:H666)=4,COUNT(F655:F666)=4),cubic_spline(F654:F658,H654:H658,B$5),IF(AND(COUNT(H655:H666)=5,COUNT(F655:F666)=5),cubic_spline(F654:F659,H654:H659,B$5),IF(AND(COUNT(H655:H666)=6,COUNT(F655:F666)=6),cubic_spline(F654:F660,H654:H660,B$5),IF(AND(COUNT(H655:H666)=7,COUNT(F655:F666)=7),cubic_spline(F654:F661,H654:H661,B$5),IF(AND(COUNT(H655:H666)=8,COUNT(F655:F666)=8),cubic_spline(F654:F662,H654:H662,B$5),IF(AND(COUNT(H655:H666)=9,COUNT(F655:F666)=9),cubic_spline(F654:F663,H654:H663,B$5),IF(AND(COUNT(H655:H666)=10,COUNT(F655:F666)=10),cubic_spline(F654:F664,H654:H664,B$5),IF(AND(COUNT(H655:H666)=11,COUNT(F655:F666)=11),cubic_spline(F654:F665,H654:H665,B$5),IF(AND(COUNT(H655:H666)=12,COUNT(F655:F666)=12),cubic_spline(F654:F666,H654:H666,B$5),""))))))))))))</f>
        <v/>
      </c>
      <c r="K658" s="52" t="str">
        <f>IF(N(B$5)=0,"",IF(AND(COUNT(A655:A666)=2,COUNT(F655:F666)=2),cubic_spline(F654:F656,A654:A656,B$5),IF(AND(COUNT(A655:A666)=3,COUNT(F655:F666)=3),cubic_spline(F654:F657,A654:A657,B$5),IF(AND(COUNT(A655:A666)=4,COUNT(F655:F666)=4),cubic_spline(F654:F658,A654:A658,B$5),IF(AND(COUNT(A655:A666)=5,COUNT(F655:F666)=5),cubic_spline(F654:F659,A654:A659,B$5),IF(AND(COUNT(A655:A666)=6,COUNT(F655:F666)=6),cubic_spline(F654:F660,A654:A660,B$5),IF(AND(COUNT(A655:A666)=7,COUNT(F655:F666)=7),cubic_spline(F654:F661,A654:A661,B$5),IF(AND(COUNT(A655:A666)=8,COUNT(F655:F666)=8),cubic_spline(F654:F662,A654:A662,B$5),IF(AND(COUNT(A655:A666)=9,COUNT(F655:F666)=9),cubic_spline(F654:F663,A654:A663,B$5),IF(AND(COUNT(A655:A666)=10,COUNT(F655:F666)=10),cubic_spline(F654:F664,A654:A664,B$5),IF(AND(COUNT(A655:A666)=11,COUNT(F655:F666)=11),cubic_spline(F654:F665,A654:A665,B$5),IF(AND(COUNT(A655:A666)=12,COUNT(F655:F666)=12),cubic_spline(F654:F666,A654:A666,B$5),""))))))))))))</f>
        <v/>
      </c>
      <c r="L658" s="27" t="str">
        <f>IF(I658="","",B$4&amp;"-"&amp;B$5)</f>
        <v/>
      </c>
      <c r="M658" s="52" t="str">
        <f>IF(N(J658)=0,"",J658-J657)</f>
        <v/>
      </c>
    </row>
    <row r="659" spans="1:13" x14ac:dyDescent="0.35">
      <c r="A659" s="48"/>
      <c r="B659" s="48"/>
      <c r="C659" s="50"/>
      <c r="D659" s="50"/>
      <c r="E659" s="51" t="str">
        <f t="shared" si="248"/>
        <v/>
      </c>
      <c r="F659" s="71" t="str">
        <f t="shared" si="246"/>
        <v/>
      </c>
      <c r="G659" s="69" t="str">
        <f t="shared" si="249"/>
        <v/>
      </c>
      <c r="H659" s="70" t="str">
        <f t="shared" si="247"/>
        <v/>
      </c>
      <c r="I659" s="27" t="str">
        <f>IF(N(J659)=0,"",0&amp;"-"&amp;B$6)</f>
        <v/>
      </c>
      <c r="J659" s="52" t="str">
        <f>IF(N(B$6)=0,"",IF(AND(COUNT(H655:H666)=2,COUNT(F655:F666)=2),cubic_spline(F654:F656,H654:H656,B$6),IF(AND(COUNT(H655:H666)=3,COUNT(F655:F666)=3),cubic_spline(F654:F657,H654:H657,B$6),IF(AND(COUNT(H655:H666)=4,COUNT(F655:F666)=4),cubic_spline(F654:F658,H654:H658,B$6),IF(AND(COUNT(H655:H666)=5,COUNT(F655:F666)=5),cubic_spline(F654:F659,H654:H659,B$6),IF(AND(COUNT(H655:H666)=6,COUNT(F655:F666)=6),cubic_spline(F654:F660,H654:H660,B$6),IF(AND(COUNT(H655:H666)=7,COUNT(F655:F666)=7),cubic_spline(F654:F661,H654:H661,B$6),IF(AND(COUNT(H655:H666)=8,COUNT(F655:F666)=8),cubic_spline(F654:F662,H654:H662,B$6),IF(AND(COUNT(H655:H666)=9,COUNT(F655:F666)=9),cubic_spline(F654:F663,H654:H663,B$6),IF(AND(COUNT(H655:H666)=10,COUNT(F655:F666)=10),cubic_spline(F654:F664,H654:H664,B$6),IF(AND(COUNT(H655:H666)=11,COUNT(F655:F666)=11),cubic_spline(F654:F665,H654:H665,B$6),IF(AND(COUNT(H655:H666)=12,COUNT(F655:F666)=12),cubic_spline(F654:F666,H654:H666,B$6),""))))))))))))</f>
        <v/>
      </c>
      <c r="K659" s="52" t="str">
        <f>IF(N(B$6)=0,"",IF(AND(COUNT(A655:A666)=2,COUNT(F655:F666)=2),cubic_spline(F654:F656,A654:A656,B$6),IF(AND(COUNT(A655:A666)=3,COUNT(F655:F666)=3),cubic_spline(F654:F657,A654:A657,B$6),IF(AND(COUNT(A655:A666)=4,COUNT(F655:F666)=4),cubic_spline(F654:F658,A654:A658,B$6),IF(AND(COUNT(A655:A666)=5,COUNT(F655:F666)=5),cubic_spline(F654:F659,A654:A659,B$6),IF(AND(COUNT(A655:A666)=6,COUNT(F655:F666)=6),cubic_spline(F654:F660,A654:A660,B$6),IF(AND(COUNT(A655:A666)=7,COUNT(F655:F666)=7),cubic_spline(F654:F661,A654:A661,B$6),IF(AND(COUNT(A655:A666)=8,COUNT(F655:F666)=8),cubic_spline(F654:F662,A654:A662,B$6),IF(AND(COUNT(A655:A666)=9,COUNT(F655:F666)=9),cubic_spline(F654:F663,A654:A663,B$6),IF(AND(COUNT(A655:A666)=10,COUNT(F655:F666)=10),cubic_spline(F654:F664,A654:A664,B$6),IF(AND(COUNT(A655:A666)=11,COUNT(F655:F666)=11),cubic_spline(F654:F665,A654:A665,B$6),IF(AND(COUNT(A655:A666)=12,COUNT(F655:F666)=12),cubic_spline(F654:F666,A654:A666,B$6),""))))))))))))</f>
        <v/>
      </c>
      <c r="L659" s="27" t="str">
        <f>IF(I659="","",B$5&amp;"-"&amp;B$6)</f>
        <v/>
      </c>
      <c r="M659" s="52" t="str">
        <f>IF(N(J659)=0,"",J659-J658)</f>
        <v/>
      </c>
    </row>
    <row r="660" spans="1:13" x14ac:dyDescent="0.35">
      <c r="A660" s="48"/>
      <c r="B660" s="48"/>
      <c r="C660" s="50"/>
      <c r="D660" s="50"/>
      <c r="E660" s="51" t="str">
        <f t="shared" si="248"/>
        <v/>
      </c>
      <c r="F660" s="71" t="str">
        <f t="shared" si="246"/>
        <v/>
      </c>
      <c r="G660" s="69" t="str">
        <f t="shared" si="249"/>
        <v/>
      </c>
      <c r="H660" s="70" t="str">
        <f t="shared" si="247"/>
        <v/>
      </c>
      <c r="I660" s="27" t="str">
        <f>IF(N(J660)=0,"",0&amp;"-"&amp;B$7)</f>
        <v/>
      </c>
      <c r="J660" s="52" t="str">
        <f>IF(N(B$7)=0,"",IF(AND(COUNT(H655:H666)=2,COUNT(F655:F666)=2),cubic_spline(F654:F656,H654:H656,B$7),IF(AND(COUNT(H655:H666)=3,COUNT(F655:F666)=3),cubic_spline(F654:F657,H654:H657,B$7),IF(AND(COUNT(H655:H666)=4,COUNT(F655:F666)=4),cubic_spline(F654:F658,H654:H658,B$7),IF(AND(COUNT(H655:H666)=5,COUNT(F655:F666)=5),cubic_spline(F654:F659,H654:H659,B$7),IF(AND(COUNT(H655:H666)=6,COUNT(F655:F666)=6),cubic_spline(F654:F660,H654:H660,B$7),IF(AND(COUNT(H655:H666)=7,COUNT(F655:F666)=7),cubic_spline(F654:F661,H654:H661,B$7),IF(AND(COUNT(H655:H666)=8,COUNT(F655:F666)=8),cubic_spline(F654:F662,H654:H662,B$7),IF(AND(COUNT(H655:H666)=9,COUNT(F655:F666)=9),cubic_spline(F654:F663,H654:H663,B$7),IF(AND(COUNT(H655:H666)=10,COUNT(F655:F666)=10),cubic_spline(F654:F664,H654:H664,B$7),IF(AND(COUNT(H655:H666)=11,COUNT(F655:F666)=11),cubic_spline(F654:F665,H654:H665,B$7),IF(AND(COUNT(H655:H666)=12,COUNT(F655:F666)=12),cubic_spline(F654:F666,H654:H666,B$7),""))))))))))))</f>
        <v/>
      </c>
      <c r="K660" s="52" t="str">
        <f>IF(N(B$7)=0,"",IF(AND(COUNT(A655:A666)=2,COUNT(F655:F666)=2),cubic_spline(F654:F656,A654:A656,B$7),IF(AND(COUNT(A655:A666)=3,COUNT(F655:F666)=3),cubic_spline(F654:F657,A654:A657,B$7),IF(AND(COUNT(A655:A666)=4,COUNT(F655:F666)=4),cubic_spline(F654:F658,A654:A658,B$7),IF(AND(COUNT(A655:A666)=5,COUNT(F655:F666)=5),cubic_spline(F654:F659,A654:A659,B$7),IF(AND(COUNT(A655:A666)=6,COUNT(F655:F666)=6),cubic_spline(F654:F660,A654:A660,B$7),IF(AND(COUNT(A655:A666)=7,COUNT(F655:F666)=7),cubic_spline(F654:F661,A654:A661,B$7),IF(AND(COUNT(A655:A666)=8,COUNT(F655:F666)=8),cubic_spline(F654:F662,A654:A662,B$7),IF(AND(COUNT(A655:A666)=9,COUNT(F655:F666)=9),cubic_spline(F654:F663,A654:A663,B$7),IF(AND(COUNT(A655:A666)=10,COUNT(F655:F666)=10),cubic_spline(F654:F664,A654:A664,B$7),IF(AND(COUNT(A655:A666)=11,COUNT(F655:F666)=11),cubic_spline(F654:F665,A654:A665,B$7),IF(AND(COUNT(A655:A666)=12,COUNT(F655:F666)=12),cubic_spline(F654:F666,A654:A666,B$7),""))))))))))))</f>
        <v/>
      </c>
      <c r="L660" s="27" t="str">
        <f>IF(I660="","",B$6&amp;"-"&amp;B$7)</f>
        <v/>
      </c>
      <c r="M660" s="52" t="str">
        <f t="shared" ref="M660:M666" si="250">IF(N(J660)=0,"",J660-J659)</f>
        <v/>
      </c>
    </row>
    <row r="661" spans="1:13" x14ac:dyDescent="0.35">
      <c r="A661" s="48"/>
      <c r="B661" s="48"/>
      <c r="C661" s="50"/>
      <c r="D661" s="50"/>
      <c r="E661" s="51" t="str">
        <f t="shared" si="248"/>
        <v/>
      </c>
      <c r="F661" s="71" t="str">
        <f t="shared" si="246"/>
        <v/>
      </c>
      <c r="G661" s="69" t="str">
        <f t="shared" si="249"/>
        <v/>
      </c>
      <c r="H661" s="70" t="str">
        <f t="shared" si="247"/>
        <v/>
      </c>
      <c r="I661" s="27" t="str">
        <f>IF(N(J661)=0,"",0&amp;"-"&amp;B$8)</f>
        <v/>
      </c>
      <c r="J661" s="52" t="str">
        <f>IF(N(B$8)=0,"",IF(AND(COUNT(H655:H666)=2,COUNT(F655:F666)=2),cubic_spline(F654:F656,H654:H656,B$8),IF(AND(COUNT(H655:H666)=3,COUNT(F655:F666)=3),cubic_spline(F654:F657,H654:H657,B$8),IF(AND(COUNT(H655:H666)=4,COUNT(F655:F666)=4),cubic_spline(F654:F658,H654:H658,B$8),IF(AND(COUNT(H655:H666)=5,COUNT(F655:F666)=5),cubic_spline(F654:F659,H654:H659,B$8),IF(AND(COUNT(H655:H666)=6,COUNT(F655:F666)=6),cubic_spline(F654:F660,H654:H660,B$8),IF(AND(COUNT(H655:H666)=7,COUNT(F655:F666)=7),cubic_spline(F654:F661,H654:H661,B$8),IF(AND(COUNT(H655:H666)=8,COUNT(F655:F666)=8),cubic_spline(F654:F662,H654:H662,B$8),IF(AND(COUNT(H655:H666)=9,COUNT(F655:F666)=9),cubic_spline(F654:F663,H654:H663,B$8),IF(AND(COUNT(H655:H666)=10,COUNT(F655:F666)=10),cubic_spline(F654:F664,H654:H664,B$8),IF(AND(COUNT(H655:H666)=11,COUNT(F655:F666)=11),cubic_spline(F654:F665,H654:H665,B$8),IF(AND(COUNT(H655:H666)=12,COUNT(F655:F666)=12),cubic_spline(F654:F666,H654:H666,B$8),""))))))))))))</f>
        <v/>
      </c>
      <c r="K661" s="52" t="str">
        <f>IF(N(B$8)=0,"",IF(AND(COUNT(A655:A666)=2,COUNT(F655:F666)=2),cubic_spline(F654:F656,A654:A656,B$8),IF(AND(COUNT(A655:A666)=3,COUNT(F655:F666)=3),cubic_spline(F654:F657,A654:A657,B$8),IF(AND(COUNT(A655:A666)=4,COUNT(F655:F666)=4),cubic_spline(F654:F658,A654:A658,B$8),IF(AND(COUNT(A655:A666)=5,COUNT(F655:F666)=5),cubic_spline(F654:F659,A654:A659,B$8),IF(AND(COUNT(A655:A666)=6,COUNT(F655:F666)=6),cubic_spline(F654:F660,A654:A660,B$8),IF(AND(COUNT(A655:A666)=7,COUNT(F655:F666)=7),cubic_spline(F654:F661,A654:A661,B$8),IF(AND(COUNT(A655:A666)=8,COUNT(F655:F666)=8),cubic_spline(F654:F662,A654:A662,B$8),IF(AND(COUNT(A655:A666)=9,COUNT(F655:F666)=9),cubic_spline(F654:F663,A654:A663,B$8),IF(AND(COUNT(A655:A666)=10,COUNT(F655:F666)=10),cubic_spline(F654:F664,A654:A664,B$8),IF(AND(COUNT(A655:A666)=11,COUNT(F655:F666)=11),cubic_spline(F654:F665,A654:A665,B$8),IF(AND(COUNT(A655:A666)=12,COUNT(F655:F666)=12),cubic_spline(F654:F666,A654:A666,B$8),""))))))))))))</f>
        <v/>
      </c>
      <c r="L661" s="27" t="str">
        <f>IF(I661="","",B$7&amp;"-"&amp;B$8)</f>
        <v/>
      </c>
      <c r="M661" s="52" t="str">
        <f t="shared" si="250"/>
        <v/>
      </c>
    </row>
    <row r="662" spans="1:13" x14ac:dyDescent="0.35">
      <c r="A662" s="48"/>
      <c r="B662" s="48"/>
      <c r="C662" s="50"/>
      <c r="D662" s="50"/>
      <c r="E662" s="51" t="str">
        <f t="shared" si="248"/>
        <v/>
      </c>
      <c r="F662" s="71" t="str">
        <f t="shared" si="246"/>
        <v/>
      </c>
      <c r="G662" s="69" t="str">
        <f t="shared" si="249"/>
        <v/>
      </c>
      <c r="H662" s="70" t="str">
        <f t="shared" si="247"/>
        <v/>
      </c>
      <c r="I662" s="27" t="str">
        <f>IF(N(J662)=0,"",0&amp;"-"&amp;B$9)</f>
        <v/>
      </c>
      <c r="J662" s="52" t="str">
        <f>IF(N(B$9)=0,"",IF(AND(COUNT(H655:H666)=2,COUNT(F655:F666)=2),cubic_spline(F654:F656,H654:H656,B$9),IF(AND(COUNT(H655:H666)=3,COUNT(F655:F666)=3),cubic_spline(F654:F657,H654:H657,B$9),IF(AND(COUNT(H655:H666)=4,COUNT(F655:F666)=4),cubic_spline(F654:F658,H654:H658,B$9),IF(AND(COUNT(H655:H666)=5,COUNT(F655:F666)=5),cubic_spline(F654:F659,H654:H659,B$9),IF(AND(COUNT(H655:H666)=6,COUNT(F655:F666)=6),cubic_spline(F654:F660,H654:H660,B$9),IF(AND(COUNT(H655:H666)=7,COUNT(F655:F666)=7),cubic_spline(F654:F661,H654:H661,B$9),IF(AND(COUNT(H655:H666)=8,COUNT(F655:F666)=8),cubic_spline(F654:F662,H654:H662,B$9),IF(AND(COUNT(H655:H666)=9,COUNT(F655:F666)=9),cubic_spline(F654:F663,H654:H663,B$9),IF(AND(COUNT(H655:H666)=10,COUNT(F655:F666)=10),cubic_spline(F654:F664,H654:H664,B$9),IF(AND(COUNT(H655:H666)=11,COUNT(F655:F666)=11),cubic_spline(F654:F665,H654:H665,B$9),IF(AND(COUNT(H655:H666)=12,COUNT(F655:F666)=12),cubic_spline(F654:F666,H654:H666,B$9),""))))))))))))</f>
        <v/>
      </c>
      <c r="K662" s="52" t="str">
        <f>IF(N(B$9)=0,"",IF(AND(COUNT(A655:A666)=2,COUNT(F655:F666)=2),cubic_spline(F654:F656,A654:A656,B$9),IF(AND(COUNT(A655:A666)=3,COUNT(F655:F666)=3),cubic_spline(F654:F657,A654:A657,B$9),IF(AND(COUNT(A655:A666)=4,COUNT(F655:F666)=4),cubic_spline(F654:F658,A654:A658,B$9),IF(AND(COUNT(A655:A666)=5,COUNT(F655:F666)=5),cubic_spline(F654:F659,A654:A659,B$9),IF(AND(COUNT(A655:A666)=6,COUNT(F655:F666)=6),cubic_spline(F654:F660,A654:A660,B$9),IF(AND(COUNT(A655:A666)=7,COUNT(F655:F666)=7),cubic_spline(F654:F661,A654:A661,B$9),IF(AND(COUNT(A655:A666)=8,COUNT(F655:F666)=8),cubic_spline(F654:F662,A654:A662,B$9),IF(AND(COUNT(A655:A666)=9,COUNT(F655:F666)=9),cubic_spline(F654:F663,A654:A663,B$9),IF(AND(COUNT(A655:A666)=10,COUNT(F655:F666)=10),cubic_spline(F654:F664,A654:A664,B$9),IF(AND(COUNT(A655:A666)=11,COUNT(F655:F666)=11),cubic_spline(F654:F665,A654:A665,B$9),IF(AND(COUNT(A655:A666)=12,COUNT(F655:F666)=12),cubic_spline(F654:F666,A654:A666,B$9),""))))))))))))</f>
        <v/>
      </c>
      <c r="L662" s="27" t="str">
        <f>IF(I662="","",B$8&amp;"-"&amp;B$9)</f>
        <v/>
      </c>
      <c r="M662" s="52" t="str">
        <f t="shared" si="250"/>
        <v/>
      </c>
    </row>
    <row r="663" spans="1:13" x14ac:dyDescent="0.35">
      <c r="A663" s="48"/>
      <c r="B663" s="48"/>
      <c r="C663" s="50"/>
      <c r="D663" s="50"/>
      <c r="E663" s="51" t="str">
        <f t="shared" si="248"/>
        <v/>
      </c>
      <c r="F663" s="71" t="str">
        <f t="shared" si="246"/>
        <v/>
      </c>
      <c r="G663" s="69" t="str">
        <f t="shared" si="249"/>
        <v/>
      </c>
      <c r="H663" s="70" t="str">
        <f t="shared" si="247"/>
        <v/>
      </c>
      <c r="I663" s="27" t="str">
        <f>IF(N(J663)=0,"",0&amp;"-"&amp;B$10)</f>
        <v/>
      </c>
      <c r="J663" s="52" t="str">
        <f>IF(N(B$10)=0,"",IF(AND(COUNT(H655:H666)=2,COUNT(F655:F666)=2),cubic_spline(F654:F656,H654:H656,B$10),IF(AND(COUNT(H655:H666)=3,COUNT(F655:F666)=3),cubic_spline(F654:F657,H654:H657,B$10),IF(AND(COUNT(H655:H666)=4,COUNT(F655:F666)=4),cubic_spline(F654:F658,H654:H658,B$10),IF(AND(COUNT(H655:H666)=5,COUNT(F655:F666)=5),cubic_spline(F654:F659,H654:H659,B$10),IF(AND(COUNT(H655:H666)=6,COUNT(F655:F666)=6),cubic_spline(F654:F660,H654:H660,B$10),IF(AND(COUNT(H655:H666)=7,COUNT(F655:F666)=7),cubic_spline(F654:F661,H654:H661,B$10),IF(AND(COUNT(H655:H666)=8,COUNT(F655:F666)=8),cubic_spline(F654:F662,H654:H662,B$10),IF(AND(COUNT(H655:H666)=9,COUNT(F655:F666)=9),cubic_spline(F654:F663,H654:H663,B$10),IF(AND(COUNT(H655:H666)=10,COUNT(F655:F666)=10),cubic_spline(F654:F664,H654:H664,B$10),IF(AND(COUNT(H655:H666)=11,COUNT(F655:F666)=11),cubic_spline(F654:F665,H654:H665,B$10),IF(AND(COUNT(H655:H666)=12,COUNT(F655:F666)=12),cubic_spline(F654:F666,H654:H666,B$10),""))))))))))))</f>
        <v/>
      </c>
      <c r="K663" s="52" t="str">
        <f>IF(N(B$10)=0,"",IF(AND(COUNT(A655:A666)=2,COUNT(F655:F666)=2),cubic_spline(F654:F656,A654:A656,B$10),IF(AND(COUNT(A655:A666)=3,COUNT(F655:F666)=3),cubic_spline(F654:F657,A654:A657,B$10),IF(AND(COUNT(A655:A666)=4,COUNT(F655:F666)=4),cubic_spline(F654:F658,A654:A658,B$10),IF(AND(COUNT(A655:A666)=5,COUNT(F655:F666)=5),cubic_spline(F654:F659,A654:A659,B$10),IF(AND(COUNT(A655:A666)=6,COUNT(F655:F666)=6),cubic_spline(F654:F660,A654:A660,B$10),IF(AND(COUNT(A655:A666)=7,COUNT(F655:F666)=7),cubic_spline(F654:F661,A654:A661,B$10),IF(AND(COUNT(A655:A666)=8,COUNT(F655:F666)=8),cubic_spline(F654:F662,A654:A662,B$10),IF(AND(COUNT(A655:A666)=9,COUNT(F655:F666)=9),cubic_spline(F654:F663,A654:A663,B$10),IF(AND(COUNT(A655:A666)=10,COUNT(F655:F666)=10),cubic_spline(F654:F664,A654:A664,B$10),IF(AND(COUNT(A655:A666)=11,COUNT(F655:F666)=11),cubic_spline(F654:F665,A654:A665,B$10),IF(AND(COUNT(A655:A666)=12,COUNT(F655:F666)=12),cubic_spline(F654:F666,A654:A666,B$10),""))))))))))))</f>
        <v/>
      </c>
      <c r="L663" s="27" t="str">
        <f>IF(I663="","",B$9&amp;"-"&amp;B$10)</f>
        <v/>
      </c>
      <c r="M663" s="52" t="str">
        <f t="shared" si="250"/>
        <v/>
      </c>
    </row>
    <row r="664" spans="1:13" x14ac:dyDescent="0.35">
      <c r="A664" s="48"/>
      <c r="B664" s="48"/>
      <c r="C664" s="50"/>
      <c r="D664" s="50"/>
      <c r="E664" s="51" t="str">
        <f t="shared" si="248"/>
        <v/>
      </c>
      <c r="F664" s="71" t="str">
        <f t="shared" si="246"/>
        <v/>
      </c>
      <c r="G664" s="69" t="str">
        <f t="shared" si="249"/>
        <v/>
      </c>
      <c r="H664" s="70" t="str">
        <f t="shared" si="247"/>
        <v/>
      </c>
      <c r="I664" s="27" t="str">
        <f>IF(N(J664)=0,"",0&amp;"-"&amp;B$11)</f>
        <v/>
      </c>
      <c r="J664" s="52" t="str">
        <f>IF(N(B$11)=0,"",IF(AND(COUNT(H655:H666)=2,COUNT(F655:F666)=2),cubic_spline(F654:F656,H654:H656,B$11),IF(AND(COUNT(H655:H666)=3,COUNT(F655:F666)=3),cubic_spline(F654:F657,H654:H657,B$11),IF(AND(COUNT(H655:H666)=4,COUNT(F655:F666)=4),cubic_spline(F654:F658,H654:H658,B$11),IF(AND(COUNT(H655:H666)=5,COUNT(F655:F666)=5),cubic_spline(F654:F659,H654:H659,B$11),IF(AND(COUNT(H655:H666)=6,COUNT(F655:F666)=6),cubic_spline(F654:F660,H654:H660,B$11),IF(AND(COUNT(H655:H666)=7,COUNT(F655:F666)=7),cubic_spline(F654:F661,H654:H661,B$11),IF(AND(COUNT(H655:H666)=8,COUNT(F655:F666)=8),cubic_spline(F654:F662,H654:H662,B$11),IF(AND(COUNT(H655:H666)=9,COUNT(F655:F666)=9),cubic_spline(F654:F663,H654:H663,B$11),IF(AND(COUNT(H655:H666)=10,COUNT(F655:F666)=10),cubic_spline(F654:F664,H654:H664,B$11),IF(AND(COUNT(H655:H666)=11,COUNT(F655:F666)=11),cubic_spline(F654:F665,H654:H665,B$11),IF(AND(COUNT(H655:H666)=12,COUNT(F655:F666)=12),cubic_spline(F654:F666,H654:H666,B$11),""))))))))))))</f>
        <v/>
      </c>
      <c r="K664" s="52" t="str">
        <f>IF(N(B$11)=0,"",IF(AND(COUNT(A655:A666)=2,COUNT(F655:F666)=2),cubic_spline(F654:F656,A654:A656,B$11),IF(AND(COUNT(A655:A666)=3,COUNT(F655:F666)=3),cubic_spline(F654:F657,A654:A657,B$11),IF(AND(COUNT(A655:A666)=4,COUNT(F655:F666)=4),cubic_spline(F654:F658,A654:A658,B$11),IF(AND(COUNT(A655:A666)=5,COUNT(F655:F666)=5),cubic_spline(F654:F659,A654:A659,B$11),IF(AND(COUNT(A655:A666)=6,COUNT(F655:F666)=6),cubic_spline(F654:F660,A654:A660,B$11),IF(AND(COUNT(A655:A666)=7,COUNT(F655:F666)=7),cubic_spline(F654:F661,A654:A661,B$11),IF(AND(COUNT(A655:A666)=8,COUNT(F655:F666)=8),cubic_spline(F654:F662,A654:A662,B$11),IF(AND(COUNT(A655:A666)=9,COUNT(F655:F666)=9),cubic_spline(F654:F663,A654:A663,B$11),IF(AND(COUNT(A655:A666)=10,COUNT(F655:F666)=10),cubic_spline(F654:F664,A654:A664,B$11),IF(AND(COUNT(A655:A666)=11,COUNT(F655:F666)=11),cubic_spline(F654:F665,A654:A665,B$11),IF(AND(COUNT(A655:A666)=12,COUNT(F655:F666)=12),cubic_spline(F654:F666,A654:A666,B$11),""))))))))))))</f>
        <v/>
      </c>
      <c r="L664" s="27" t="str">
        <f>IF(I664="","",B$10&amp;"-"&amp;B$11)</f>
        <v/>
      </c>
      <c r="M664" s="52" t="str">
        <f t="shared" si="250"/>
        <v/>
      </c>
    </row>
    <row r="665" spans="1:13" x14ac:dyDescent="0.35">
      <c r="A665" s="48"/>
      <c r="B665" s="48"/>
      <c r="C665" s="50"/>
      <c r="D665" s="50"/>
      <c r="E665" s="51" t="str">
        <f t="shared" si="248"/>
        <v/>
      </c>
      <c r="F665" s="71" t="str">
        <f t="shared" si="246"/>
        <v/>
      </c>
      <c r="G665" s="69" t="str">
        <f t="shared" si="249"/>
        <v/>
      </c>
      <c r="H665" s="70" t="str">
        <f t="shared" si="247"/>
        <v/>
      </c>
      <c r="I665" s="27" t="str">
        <f>IF(N(J665)=0,"",0&amp;"-"&amp;B$12)</f>
        <v/>
      </c>
      <c r="J665" s="52" t="str">
        <f>IF(N(B$12)=0,"",IF(AND(COUNT(H655:H666)=2,COUNT(F655:F666)=2),cubic_spline(F654:F656,H654:H656,B$12),IF(AND(COUNT(H655:H666)=3,COUNT(F655:F666)=3),cubic_spline(F654:F657,H654:H657,B$12),IF(AND(COUNT(H655:H666)=4,COUNT(F655:F666)=4),cubic_spline(F654:F658,H654:H658,B$12),IF(AND(COUNT(H655:H666)=5,COUNT(F655:F666)=5),cubic_spline(F654:F659,H654:H659,B$12),IF(AND(COUNT(H655:H666)=6,COUNT(F655:F666)=6),cubic_spline(F654:F660,H654:H660,B$12),IF(AND(COUNT(H655:H666)=7,COUNT(F655:F666)=7),cubic_spline(F654:F661,H654:H661,B$12),IF(AND(COUNT(H655:H666)=8,COUNT(F655:F666)=8),cubic_spline(F654:F662,H654:H662,B$12),IF(AND(COUNT(H655:H666)=9,COUNT(F655:F666)=9),cubic_spline(F654:F663,H654:H663,B$12),IF(AND(COUNT(H655:H666)=10,COUNT(F655:F666)=10),cubic_spline(F654:F664,H654:H664,B$12),IF(AND(COUNT(H655:H666)=11,COUNT(F655:F666)=11),cubic_spline(F654:F665,H654:H665,B$12),IF(AND(COUNT(H655:H666)=12,COUNT(F655:F666)=12),cubic_spline(F654:F666,H654:H666,B$12),""))))))))))))</f>
        <v/>
      </c>
      <c r="K665" s="52" t="str">
        <f>IF(N(B$12)=0,"",IF(AND(COUNT(A655:A666)=2,COUNT(F655:F666)=2),cubic_spline(F654:F656,A654:A656,B$12),IF(AND(COUNT(A655:A666)=3,COUNT(F655:F666)=3),cubic_spline(F654:F657,A654:A657,B$12),IF(AND(COUNT(A655:A666)=4,COUNT(F655:F666)=4),cubic_spline(F654:F658,A654:A658,B$12),IF(AND(COUNT(A655:A666)=5,COUNT(F655:F666)=5),cubic_spline(F654:F659,A654:A659,B$12),IF(AND(COUNT(A655:A666)=6,COUNT(F655:F666)=6),cubic_spline(F654:F660,A654:A660,B$12),IF(AND(COUNT(A655:A666)=7,COUNT(F655:F666)=7),cubic_spline(F654:F661,A654:A661,B$12),IF(AND(COUNT(A655:A666)=8,COUNT(F655:F666)=8),cubic_spline(F654:F662,A654:A662,B$12),IF(AND(COUNT(A655:A666)=9,COUNT(F655:F666)=9),cubic_spline(F654:F663,A654:A663,B$12),IF(AND(COUNT(A655:A666)=10,COUNT(F655:F666)=10),cubic_spline(F654:F664,A654:A664,B$12),IF(AND(COUNT(A655:A666)=11,COUNT(F655:F666)=11),cubic_spline(F654:F665,A654:A665,B$12),IF(AND(COUNT(A655:A666)=12,COUNT(F655:F666)=12),cubic_spline(F654:F666,A654:A666,B$12),""))))))))))))</f>
        <v/>
      </c>
      <c r="L665" s="27" t="str">
        <f>IF(I665="","",B$11&amp;"-"&amp;B$12)</f>
        <v/>
      </c>
      <c r="M665" s="52" t="str">
        <f t="shared" si="250"/>
        <v/>
      </c>
    </row>
    <row r="666" spans="1:13" x14ac:dyDescent="0.35">
      <c r="A666" s="48"/>
      <c r="B666" s="48"/>
      <c r="C666" s="50"/>
      <c r="D666" s="50"/>
      <c r="E666" s="51" t="str">
        <f t="shared" si="248"/>
        <v/>
      </c>
      <c r="F666" s="71" t="str">
        <f t="shared" si="246"/>
        <v/>
      </c>
      <c r="G666" s="69" t="str">
        <f t="shared" si="249"/>
        <v/>
      </c>
      <c r="H666" s="70" t="str">
        <f t="shared" si="247"/>
        <v/>
      </c>
      <c r="I666" s="27" t="str">
        <f>IF(N(J666)=0,"",0&amp;"-"&amp;B$13)</f>
        <v/>
      </c>
      <c r="J666" s="52" t="str">
        <f>IF(N(B$13)=0,"",IF(AND(COUNT(H655:H666)=2,COUNT(F655:F666)=2),cubic_spline(F654:F656,H654:H656,B$13),IF(AND(COUNT(H655:H666)=3,COUNT(F655:F666)=3),cubic_spline(F654:F657,H654:H657,B$13),IF(AND(COUNT(H655:H666)=4,COUNT(F655:F666)=4),cubic_spline(F654:F658,H654:H658,B$13),IF(AND(COUNT(H655:H666)=5,COUNT(F655:F666)=5),cubic_spline(F654:F659,H654:H659,B$13),IF(AND(COUNT(H655:H666)=6,COUNT(F655:F666)=6),cubic_spline(F654:F660,H654:H660,B$13),IF(AND(COUNT(H655:H666)=7,COUNT(F655:F666)=7),cubic_spline(F654:F661,H654:H661,B$13),IF(AND(COUNT(H655:H666)=8,COUNT(F655:F666)=8),cubic_spline(F654:F662,H654:H662,B$13),IF(AND(COUNT(H655:H666)=9,COUNT(F655:F666)=9),cubic_spline(F654:F663,H654:H663,B$13),IF(AND(COUNT(H655:H666)=10,COUNT(F655:F666)=10),cubic_spline(F654:F664,H654:H664,B$13),IF(AND(COUNT(H655:H666)=11,COUNT(F655:F666)=11),cubic_spline(F654:F665,H654:H665,B$13),IF(AND(COUNT(H655:H666)=12,COUNT(F655:F666)=12),cubic_spline(F654:F666,H654:H666,B$13),""))))))))))))</f>
        <v/>
      </c>
      <c r="K666" s="52" t="str">
        <f>IF(N(B$13)=0,"",IF(AND(COUNT(A655:A666)=2,COUNT(F655:F666)=2),cubic_spline(F654:F656,A654:A656,B$13),IF(AND(COUNT(A655:A666)=3,COUNT(F655:F666)=3),cubic_spline(F654:F657,A654:A657,B$13),IF(AND(COUNT(A655:A666)=4,COUNT(F655:F666)=4),cubic_spline(F654:F658,A654:A658,B$13),IF(AND(COUNT(A655:A666)=5,COUNT(F655:F666)=5),cubic_spline(F654:F659,A654:A659,B$13),IF(AND(COUNT(A655:A666)=6,COUNT(F655:F666)=6),cubic_spline(F654:F660,A654:A660,B$13),IF(AND(COUNT(A655:A666)=7,COUNT(F655:F666)=7),cubic_spline(F654:F661,A654:A661,B$13),IF(AND(COUNT(A655:A666)=8,COUNT(F655:F666)=8),cubic_spline(F654:F662,A654:A662,B$13),IF(AND(COUNT(A655:A666)=9,COUNT(F655:F666)=9),cubic_spline(F654:F663,A654:A663,B$13),IF(AND(COUNT(A655:A666)=10,COUNT(F655:F666)=10),cubic_spline(F654:F664,A654:A664,B$13),IF(AND(COUNT(A655:A666)=11,COUNT(F655:F666)=11),cubic_spline(F654:F665,A654:A665,B$13),IF(AND(COUNT(A655:A666)=12,COUNT(F655:F666)=12),cubic_spline(F654:F666,A654:A666,B$13),""))))))))))))</f>
        <v/>
      </c>
      <c r="L666" s="27" t="str">
        <f>IF(I666="","",B$12&amp;"-"&amp;B$13)</f>
        <v/>
      </c>
      <c r="M666" s="52" t="str">
        <f t="shared" si="250"/>
        <v/>
      </c>
    </row>
    <row r="667" spans="1:13" ht="5.15" customHeight="1" x14ac:dyDescent="0.35">
      <c r="A667" s="47"/>
      <c r="B667" s="47"/>
      <c r="C667" s="53"/>
      <c r="D667" s="53"/>
      <c r="E667" s="54"/>
      <c r="F667" s="55"/>
      <c r="G667" s="72"/>
      <c r="H667" s="73"/>
      <c r="I667" s="47"/>
      <c r="J667" s="57"/>
      <c r="K667" s="57"/>
      <c r="L667" s="55"/>
      <c r="M667" s="57"/>
    </row>
    <row r="668" spans="1:13" x14ac:dyDescent="0.35">
      <c r="A668" s="48"/>
      <c r="B668" s="48"/>
      <c r="C668" s="50"/>
      <c r="D668" s="50"/>
      <c r="E668" s="51" t="str">
        <f>IF(N(C668)=0,"",(A668-A667)*C668*100)</f>
        <v/>
      </c>
      <c r="F668" s="68" t="str">
        <f t="shared" ref="F668:F679" si="251">IF(N(E668)=0,"",(N(E668)+N(F667)))</f>
        <v/>
      </c>
      <c r="G668" s="69" t="str">
        <f>IF(OR(N(D668)=0,N(E668)=0),"",(E668*D668)/1000)</f>
        <v/>
      </c>
      <c r="H668" s="70" t="str">
        <f t="shared" ref="H668:H679" si="252">IF(N(G668)=0,"",(N(G668)+N(H667)))</f>
        <v/>
      </c>
      <c r="I668" s="27" t="str">
        <f>IF(N(J668)=0,"",0&amp;"-"&amp;B$2)</f>
        <v/>
      </c>
      <c r="J668" s="52" t="str">
        <f>IF(N(B$2)=0,"",IF(AND(COUNT(H668:H679)=2,COUNT(F668:F679)=2),cubic_spline(F667:F669,H667:H669,B$2),IF(AND(COUNT(H668:H679)=3,COUNT(F668:F679)=3),cubic_spline(F667:F670,H667:H670,B$2),IF(AND(COUNT(H668:H679)=4,COUNT(F668:F679)=4),cubic_spline(F667:F671,H667:H671,B$2),IF(AND(COUNT(H668:H679)=5,COUNT(F668:F679)=5),cubic_spline(F667:F672,H667:H672,B$2),IF(AND(COUNT(H668:H679)=6,COUNT(F668:F679)=6),cubic_spline(F667:F673,H667:H673,B$2),IF(AND(COUNT(H668:H679)=7,COUNT(F668:F679)=7),cubic_spline(F667:F674,H667:H674,B$2),IF(AND(COUNT(H668:H679)=8,COUNT(F668:F679)=8),cubic_spline(F667:F675,H667:H675,B$2),IF(AND(COUNT(H668:H679)=9,COUNT(F668:F679)=9),cubic_spline(F667:F676,H667:H676,B$2),IF(AND(COUNT(H668:H679)=10,COUNT(F668:F679)=10),cubic_spline(F667:F677,H667:H677,B$2),IF(AND(COUNT(H668:H679)=11,COUNT(F668:F679)=11),cubic_spline(F667:F678,H667:H678,B$2),IF(AND(COUNT(H668:H679)=12,COUNT(F668:F679)=12),cubic_spline(F667:F679,H667:H679,B$2),""))))))))))))</f>
        <v/>
      </c>
      <c r="K668" s="52" t="str">
        <f>IF(N(B$2)=0,"",IF(AND(COUNT(A668:A679)=2,COUNT(F668:F679)=2),cubic_spline(F667:F669,A667:A669,B$2),IF(AND(COUNT(A668:A679)=3,COUNT(F668:F679)=3),cubic_spline(F667:F670,A667:A670,B$2),IF(AND(COUNT(A668:A679)=4,COUNT(F668:F679)=4),cubic_spline(F667:F671,A667:A671,B$2),IF(AND(COUNT(A668:A679)=5,COUNT(F668:F679)=5),cubic_spline(F667:F672,A667:A672,B$2),IF(AND(COUNT(A668:A679)=6,COUNT(F668:F679)=6),cubic_spline(F667:F673,A667:A673,B$2),IF(AND(COUNT(A668:A679)=7,COUNT(F668:F679)=7),cubic_spline(F667:F674,A667:A674,B$2),IF(AND(COUNT(A668:A679)=8,COUNT(F668:F679)=8),cubic_spline(F667:F675,A667:A675,B$2),IF(AND(COUNT(A668:A679)=9,COUNT(F668:F679)=9),cubic_spline(F667:F676,A667:A676,B$2),IF(AND(COUNT(A668:A679)=10,COUNT(F668:F679)=10),cubic_spline(F667:F677,A667:A677,B$2),IF(AND(COUNT(A668:A679)=11,COUNT(F668:F679)=11),cubic_spline(F667:F678,A667:A678,B$2),IF(AND(COUNT(A668:A679)=12,COUNT(F668:F679)=12),cubic_spline(F667:F679,A667:A679,B$2),""))))))))))))</f>
        <v/>
      </c>
      <c r="L668" s="27" t="str">
        <f>IF(I668="","",0&amp;"-"&amp;B$2)</f>
        <v/>
      </c>
      <c r="M668" s="52" t="str">
        <f>IF(N(J668)=0,"",J668-J667)</f>
        <v/>
      </c>
    </row>
    <row r="669" spans="1:13" x14ac:dyDescent="0.35">
      <c r="A669" s="48"/>
      <c r="B669" s="48"/>
      <c r="C669" s="50"/>
      <c r="D669" s="50"/>
      <c r="E669" s="51" t="str">
        <f t="shared" ref="E669:E679" si="253">IF(N(C669)=0,"",(A669-A668)*C669*100)</f>
        <v/>
      </c>
      <c r="F669" s="68" t="str">
        <f t="shared" si="251"/>
        <v/>
      </c>
      <c r="G669" s="69" t="str">
        <f t="shared" ref="G669:G679" si="254">IF(OR(N(D669)=0,N(E669)=0),"",(E669*D669)/1000)</f>
        <v/>
      </c>
      <c r="H669" s="70" t="str">
        <f t="shared" si="252"/>
        <v/>
      </c>
      <c r="I669" s="27" t="str">
        <f>IF(N(J669)=0,"",0&amp;"-"&amp;B$3)</f>
        <v/>
      </c>
      <c r="J669" s="52" t="str">
        <f>IF(N(B$3)=0,"",IF(AND(COUNT(H668:H679)=2,COUNT(F668:F679)=2),cubic_spline(F667:F669,H667:H669,B$3),IF(AND(COUNT(H668:H679)=3,COUNT(F668:F679)=3),cubic_spline(F667:F670,H667:H670,B$3),IF(AND(COUNT(H668:H679)=4,COUNT(F668:F679)=4),cubic_spline(F667:F671,H667:H671,B$3),IF(AND(COUNT(H668:H679)=5,COUNT(F668:F679)=5),cubic_spline(F667:F672,H667:H672,B$3),IF(AND(COUNT(H668:H679)=6,COUNT(F668:F679)=6),cubic_spline(F667:F673,H667:H673,B$3),IF(AND(COUNT(H668:H679)=7,COUNT(F668:F679)=7),cubic_spline(F667:F674,H667:H674,B$3),IF(AND(COUNT(H668:H679)=8,COUNT(F668:F679)=8),cubic_spline(F667:F675,H667:H675,B$3),IF(AND(COUNT(H668:H679)=9,COUNT(F668:F679)=9),cubic_spline(F667:F676,H667:H676,B$3),IF(AND(COUNT(H668:H679)=10,COUNT(F668:F679)=10),cubic_spline(F667:F677,H667:H677,B$3),IF(AND(COUNT(H668:H679)=11,COUNT(F668:F679)=11),cubic_spline(F667:F678,H667:H678,B$3),IF(AND(COUNT(H668:H679)=12,COUNT(F668:F679)=12),cubic_spline(F667:F679,H667:H679,B$3),""))))))))))))</f>
        <v/>
      </c>
      <c r="K669" s="52" t="str">
        <f>IF(N(B$3)=0,"",IF(AND(COUNT(A668:A679)=2,COUNT(F668:F679)=2),cubic_spline(F667:F669,A667:A669,B$3),IF(AND(COUNT(A668:A679)=3,COUNT(F668:F679)=3),cubic_spline(F667:F670,A667:A670,B$3),IF(AND(COUNT(A668:A679)=4,COUNT(F668:F679)=4),cubic_spline(F667:F671,A667:A671,B$3),IF(AND(COUNT(A668:A679)=5,COUNT(F668:F679)=5),cubic_spline(F667:F672,A667:A672,B$3),IF(AND(COUNT(A668:A679)=6,COUNT(F668:F679)=6),cubic_spline(F667:F673,A667:A673,B$3),IF(AND(COUNT(A668:A679)=7,COUNT(F668:F679)=7),cubic_spline(F667:F674,A667:A674,B$3),IF(AND(COUNT(A668:A679)=8,COUNT(F668:F679)=8),cubic_spline(F667:F675,A667:A675,B$3),IF(AND(COUNT(A668:A679)=9,COUNT(F668:F679)=9),cubic_spline(F667:F676,A667:A676,B$3),IF(AND(COUNT(A668:A679)=10,COUNT(F668:F679)=10),cubic_spline(F667:F677,A667:A677,B$3),IF(AND(COUNT(A668:A679)=11,COUNT(F668:F679)=11),cubic_spline(F667:F678,A667:A678,B$3),IF(AND(COUNT(A668:A679)=12,COUNT(F668:F679)=12),cubic_spline(F667:F679,A667:A679,B$3),""))))))))))))</f>
        <v/>
      </c>
      <c r="L669" s="27" t="str">
        <f>IF(I669="","",B$2&amp;"-"&amp;B$3)</f>
        <v/>
      </c>
      <c r="M669" s="52" t="str">
        <f>IF(N(J669)=0,"",J669-J668)</f>
        <v/>
      </c>
    </row>
    <row r="670" spans="1:13" x14ac:dyDescent="0.35">
      <c r="A670" s="48"/>
      <c r="B670" s="48"/>
      <c r="C670" s="50"/>
      <c r="D670" s="50"/>
      <c r="E670" s="51" t="str">
        <f t="shared" si="253"/>
        <v/>
      </c>
      <c r="F670" s="68" t="str">
        <f t="shared" si="251"/>
        <v/>
      </c>
      <c r="G670" s="69" t="str">
        <f t="shared" si="254"/>
        <v/>
      </c>
      <c r="H670" s="70" t="str">
        <f t="shared" si="252"/>
        <v/>
      </c>
      <c r="I670" s="27" t="str">
        <f>IF(N(J670)=0,"",0&amp;"-"&amp;B$4)</f>
        <v/>
      </c>
      <c r="J670" s="52" t="str">
        <f>IF(N(B$4)=0,"",IF(AND(COUNT(H668:H679)=2,COUNT(F668:F679)=2),cubic_spline(F667:F669,H667:H669,B$4),IF(AND(COUNT(H668:H679)=3,COUNT(F668:F679)=3),cubic_spline(F667:F670,H667:H670,B$4),IF(AND(COUNT(H668:H679)=4,COUNT(F668:F679)=4),cubic_spline(F667:F671,H667:H671,B$4),IF(AND(COUNT(H668:H679)=5,COUNT(F668:F679)=5),cubic_spline(F667:F672,H667:H672,B$4),IF(AND(COUNT(H668:H679)=6,COUNT(F668:F679)=6),cubic_spline(F667:F673,H667:H673,B$4),IF(AND(COUNT(H668:H679)=7,COUNT(F668:F679)=7),cubic_spline(F667:F674,H667:H674,B$4),IF(AND(COUNT(H668:H679)=8,COUNT(F668:F679)=8),cubic_spline(F667:F675,H667:H675,B$4),IF(AND(COUNT(H668:H679)=9,COUNT(F668:F679)=9),cubic_spline(F667:F676,H667:H676,B$4),IF(AND(COUNT(H668:H679)=10,COUNT(F668:F679)=10),cubic_spline(F667:F677,H667:H677,B$4),IF(AND(COUNT(H668:H679)=11,COUNT(F668:F679)=11),cubic_spline(F667:F678,H667:H678,B$4),IF(AND(COUNT(H668:H679)=12,COUNT(F668:F679)=12),cubic_spline(F667:F679,H667:H679,B$4),""))))))))))))</f>
        <v/>
      </c>
      <c r="K670" s="52" t="str">
        <f>IF(N(B$4)=0,"",IF(AND(COUNT(A668:A679)=2,COUNT(F668:F679)=2),cubic_spline(F667:F669,A667:A669,B$4),IF(AND(COUNT(A668:A679)=3,COUNT(F668:F679)=3),cubic_spline(F667:F670,A667:A670,B$4),IF(AND(COUNT(A668:A679)=4,COUNT(F668:F679)=4),cubic_spline(F667:F671,A667:A671,B$4),IF(AND(COUNT(A668:A679)=5,COUNT(F668:F679)=5),cubic_spline(F667:F672,A667:A672,B$4),IF(AND(COUNT(A668:A679)=6,COUNT(F668:F679)=6),cubic_spline(F667:F673,A667:A673,B$4),IF(AND(COUNT(A668:A679)=7,COUNT(F668:F679)=7),cubic_spline(F667:F674,A667:A674,B$4),IF(AND(COUNT(A668:A679)=8,COUNT(F668:F679)=8),cubic_spline(F667:F675,A667:A675,B$4),IF(AND(COUNT(A668:A679)=9,COUNT(F668:F679)=9),cubic_spline(F667:F676,A667:A676,B$4),IF(AND(COUNT(A668:A679)=10,COUNT(F668:F679)=10),cubic_spline(F667:F677,A667:A677,B$4),IF(AND(COUNT(A668:A679)=11,COUNT(F668:F679)=11),cubic_spline(F667:F678,A667:A678,B$4),IF(AND(COUNT(A668:A679)=12,COUNT(F668:F679)=12),cubic_spline(F667:F679,A667:A679,B$4),""))))))))))))</f>
        <v/>
      </c>
      <c r="L670" s="27" t="str">
        <f>IF(I670="","",B$3&amp;"-"&amp;B$4)</f>
        <v/>
      </c>
      <c r="M670" s="52" t="str">
        <f>IF(N(J670)=0,"",J670-J669)</f>
        <v/>
      </c>
    </row>
    <row r="671" spans="1:13" x14ac:dyDescent="0.35">
      <c r="A671" s="48"/>
      <c r="B671" s="48"/>
      <c r="C671" s="50"/>
      <c r="D671" s="50"/>
      <c r="E671" s="51" t="str">
        <f t="shared" si="253"/>
        <v/>
      </c>
      <c r="F671" s="68" t="str">
        <f t="shared" si="251"/>
        <v/>
      </c>
      <c r="G671" s="69" t="str">
        <f t="shared" si="254"/>
        <v/>
      </c>
      <c r="H671" s="70" t="str">
        <f t="shared" si="252"/>
        <v/>
      </c>
      <c r="I671" s="27" t="str">
        <f>IF(N(J671)=0,"",0&amp;"-"&amp;B$5)</f>
        <v/>
      </c>
      <c r="J671" s="52" t="str">
        <f>IF(N(B$5)=0,"",IF(AND(COUNT(H668:H679)=2,COUNT(F668:F679)=2),cubic_spline(F667:F669,H667:H669,B$5),IF(AND(COUNT(H668:H679)=3,COUNT(F668:F679)=3),cubic_spline(F667:F670,H667:H670,B$5),IF(AND(COUNT(H668:H679)=4,COUNT(F668:F679)=4),cubic_spline(F667:F671,H667:H671,B$5),IF(AND(COUNT(H668:H679)=5,COUNT(F668:F679)=5),cubic_spline(F667:F672,H667:H672,B$5),IF(AND(COUNT(H668:H679)=6,COUNT(F668:F679)=6),cubic_spline(F667:F673,H667:H673,B$5),IF(AND(COUNT(H668:H679)=7,COUNT(F668:F679)=7),cubic_spline(F667:F674,H667:H674,B$5),IF(AND(COUNT(H668:H679)=8,COUNT(F668:F679)=8),cubic_spline(F667:F675,H667:H675,B$5),IF(AND(COUNT(H668:H679)=9,COUNT(F668:F679)=9),cubic_spline(F667:F676,H667:H676,B$5),IF(AND(COUNT(H668:H679)=10,COUNT(F668:F679)=10),cubic_spline(F667:F677,H667:H677,B$5),IF(AND(COUNT(H668:H679)=11,COUNT(F668:F679)=11),cubic_spline(F667:F678,H667:H678,B$5),IF(AND(COUNT(H668:H679)=12,COUNT(F668:F679)=12),cubic_spline(F667:F679,H667:H679,B$5),""))))))))))))</f>
        <v/>
      </c>
      <c r="K671" s="52" t="str">
        <f>IF(N(B$5)=0,"",IF(AND(COUNT(A668:A679)=2,COUNT(F668:F679)=2),cubic_spline(F667:F669,A667:A669,B$5),IF(AND(COUNT(A668:A679)=3,COUNT(F668:F679)=3),cubic_spline(F667:F670,A667:A670,B$5),IF(AND(COUNT(A668:A679)=4,COUNT(F668:F679)=4),cubic_spline(F667:F671,A667:A671,B$5),IF(AND(COUNT(A668:A679)=5,COUNT(F668:F679)=5),cubic_spline(F667:F672,A667:A672,B$5),IF(AND(COUNT(A668:A679)=6,COUNT(F668:F679)=6),cubic_spline(F667:F673,A667:A673,B$5),IF(AND(COUNT(A668:A679)=7,COUNT(F668:F679)=7),cubic_spline(F667:F674,A667:A674,B$5),IF(AND(COUNT(A668:A679)=8,COUNT(F668:F679)=8),cubic_spline(F667:F675,A667:A675,B$5),IF(AND(COUNT(A668:A679)=9,COUNT(F668:F679)=9),cubic_spline(F667:F676,A667:A676,B$5),IF(AND(COUNT(A668:A679)=10,COUNT(F668:F679)=10),cubic_spline(F667:F677,A667:A677,B$5),IF(AND(COUNT(A668:A679)=11,COUNT(F668:F679)=11),cubic_spline(F667:F678,A667:A678,B$5),IF(AND(COUNT(A668:A679)=12,COUNT(F668:F679)=12),cubic_spline(F667:F679,A667:A679,B$5),""))))))))))))</f>
        <v/>
      </c>
      <c r="L671" s="27" t="str">
        <f>IF(I671="","",B$4&amp;"-"&amp;B$5)</f>
        <v/>
      </c>
      <c r="M671" s="52" t="str">
        <f>IF(N(J671)=0,"",J671-J670)</f>
        <v/>
      </c>
    </row>
    <row r="672" spans="1:13" x14ac:dyDescent="0.35">
      <c r="A672" s="48"/>
      <c r="B672" s="48"/>
      <c r="C672" s="50"/>
      <c r="D672" s="50"/>
      <c r="E672" s="51" t="str">
        <f t="shared" si="253"/>
        <v/>
      </c>
      <c r="F672" s="71" t="str">
        <f t="shared" si="251"/>
        <v/>
      </c>
      <c r="G672" s="69" t="str">
        <f t="shared" si="254"/>
        <v/>
      </c>
      <c r="H672" s="70" t="str">
        <f t="shared" si="252"/>
        <v/>
      </c>
      <c r="I672" s="27" t="str">
        <f>IF(N(J672)=0,"",0&amp;"-"&amp;B$6)</f>
        <v/>
      </c>
      <c r="J672" s="52" t="str">
        <f>IF(N(B$6)=0,"",IF(AND(COUNT(H668:H679)=2,COUNT(F668:F679)=2),cubic_spline(F667:F669,H667:H669,B$6),IF(AND(COUNT(H668:H679)=3,COUNT(F668:F679)=3),cubic_spline(F667:F670,H667:H670,B$6),IF(AND(COUNT(H668:H679)=4,COUNT(F668:F679)=4),cubic_spline(F667:F671,H667:H671,B$6),IF(AND(COUNT(H668:H679)=5,COUNT(F668:F679)=5),cubic_spline(F667:F672,H667:H672,B$6),IF(AND(COUNT(H668:H679)=6,COUNT(F668:F679)=6),cubic_spline(F667:F673,H667:H673,B$6),IF(AND(COUNT(H668:H679)=7,COUNT(F668:F679)=7),cubic_spline(F667:F674,H667:H674,B$6),IF(AND(COUNT(H668:H679)=8,COUNT(F668:F679)=8),cubic_spline(F667:F675,H667:H675,B$6),IF(AND(COUNT(H668:H679)=9,COUNT(F668:F679)=9),cubic_spline(F667:F676,H667:H676,B$6),IF(AND(COUNT(H668:H679)=10,COUNT(F668:F679)=10),cubic_spline(F667:F677,H667:H677,B$6),IF(AND(COUNT(H668:H679)=11,COUNT(F668:F679)=11),cubic_spline(F667:F678,H667:H678,B$6),IF(AND(COUNT(H668:H679)=12,COUNT(F668:F679)=12),cubic_spline(F667:F679,H667:H679,B$6),""))))))))))))</f>
        <v/>
      </c>
      <c r="K672" s="52" t="str">
        <f>IF(N(B$6)=0,"",IF(AND(COUNT(A668:A679)=2,COUNT(F668:F679)=2),cubic_spline(F667:F669,A667:A669,B$6),IF(AND(COUNT(A668:A679)=3,COUNT(F668:F679)=3),cubic_spline(F667:F670,A667:A670,B$6),IF(AND(COUNT(A668:A679)=4,COUNT(F668:F679)=4),cubic_spline(F667:F671,A667:A671,B$6),IF(AND(COUNT(A668:A679)=5,COUNT(F668:F679)=5),cubic_spline(F667:F672,A667:A672,B$6),IF(AND(COUNT(A668:A679)=6,COUNT(F668:F679)=6),cubic_spline(F667:F673,A667:A673,B$6),IF(AND(COUNT(A668:A679)=7,COUNT(F668:F679)=7),cubic_spline(F667:F674,A667:A674,B$6),IF(AND(COUNT(A668:A679)=8,COUNT(F668:F679)=8),cubic_spline(F667:F675,A667:A675,B$6),IF(AND(COUNT(A668:A679)=9,COUNT(F668:F679)=9),cubic_spline(F667:F676,A667:A676,B$6),IF(AND(COUNT(A668:A679)=10,COUNT(F668:F679)=10),cubic_spline(F667:F677,A667:A677,B$6),IF(AND(COUNT(A668:A679)=11,COUNT(F668:F679)=11),cubic_spline(F667:F678,A667:A678,B$6),IF(AND(COUNT(A668:A679)=12,COUNT(F668:F679)=12),cubic_spline(F667:F679,A667:A679,B$6),""))))))))))))</f>
        <v/>
      </c>
      <c r="L672" s="27" t="str">
        <f>IF(I672="","",B$5&amp;"-"&amp;B$6)</f>
        <v/>
      </c>
      <c r="M672" s="52" t="str">
        <f>IF(N(J672)=0,"",J672-J671)</f>
        <v/>
      </c>
    </row>
    <row r="673" spans="1:13" x14ac:dyDescent="0.35">
      <c r="A673" s="48"/>
      <c r="B673" s="48"/>
      <c r="C673" s="50"/>
      <c r="D673" s="50"/>
      <c r="E673" s="51" t="str">
        <f t="shared" si="253"/>
        <v/>
      </c>
      <c r="F673" s="71" t="str">
        <f t="shared" si="251"/>
        <v/>
      </c>
      <c r="G673" s="69" t="str">
        <f t="shared" si="254"/>
        <v/>
      </c>
      <c r="H673" s="70" t="str">
        <f t="shared" si="252"/>
        <v/>
      </c>
      <c r="I673" s="27" t="str">
        <f>IF(N(J673)=0,"",0&amp;"-"&amp;B$7)</f>
        <v/>
      </c>
      <c r="J673" s="52" t="str">
        <f>IF(N(B$7)=0,"",IF(AND(COUNT(H668:H679)=2,COUNT(F668:F679)=2),cubic_spline(F667:F669,H667:H669,B$7),IF(AND(COUNT(H668:H679)=3,COUNT(F668:F679)=3),cubic_spline(F667:F670,H667:H670,B$7),IF(AND(COUNT(H668:H679)=4,COUNT(F668:F679)=4),cubic_spline(F667:F671,H667:H671,B$7),IF(AND(COUNT(H668:H679)=5,COUNT(F668:F679)=5),cubic_spline(F667:F672,H667:H672,B$7),IF(AND(COUNT(H668:H679)=6,COUNT(F668:F679)=6),cubic_spline(F667:F673,H667:H673,B$7),IF(AND(COUNT(H668:H679)=7,COUNT(F668:F679)=7),cubic_spline(F667:F674,H667:H674,B$7),IF(AND(COUNT(H668:H679)=8,COUNT(F668:F679)=8),cubic_spline(F667:F675,H667:H675,B$7),IF(AND(COUNT(H668:H679)=9,COUNT(F668:F679)=9),cubic_spline(F667:F676,H667:H676,B$7),IF(AND(COUNT(H668:H679)=10,COUNT(F668:F679)=10),cubic_spline(F667:F677,H667:H677,B$7),IF(AND(COUNT(H668:H679)=11,COUNT(F668:F679)=11),cubic_spline(F667:F678,H667:H678,B$7),IF(AND(COUNT(H668:H679)=12,COUNT(F668:F679)=12),cubic_spline(F667:F679,H667:H679,B$7),""))))))))))))</f>
        <v/>
      </c>
      <c r="K673" s="52" t="str">
        <f>IF(N(B$7)=0,"",IF(AND(COUNT(A668:A679)=2,COUNT(F668:F679)=2),cubic_spline(F667:F669,A667:A669,B$7),IF(AND(COUNT(A668:A679)=3,COUNT(F668:F679)=3),cubic_spline(F667:F670,A667:A670,B$7),IF(AND(COUNT(A668:A679)=4,COUNT(F668:F679)=4),cubic_spline(F667:F671,A667:A671,B$7),IF(AND(COUNT(A668:A679)=5,COUNT(F668:F679)=5),cubic_spline(F667:F672,A667:A672,B$7),IF(AND(COUNT(A668:A679)=6,COUNT(F668:F679)=6),cubic_spline(F667:F673,A667:A673,B$7),IF(AND(COUNT(A668:A679)=7,COUNT(F668:F679)=7),cubic_spline(F667:F674,A667:A674,B$7),IF(AND(COUNT(A668:A679)=8,COUNT(F668:F679)=8),cubic_spline(F667:F675,A667:A675,B$7),IF(AND(COUNT(A668:A679)=9,COUNT(F668:F679)=9),cubic_spline(F667:F676,A667:A676,B$7),IF(AND(COUNT(A668:A679)=10,COUNT(F668:F679)=10),cubic_spline(F667:F677,A667:A677,B$7),IF(AND(COUNT(A668:A679)=11,COUNT(F668:F679)=11),cubic_spline(F667:F678,A667:A678,B$7),IF(AND(COUNT(A668:A679)=12,COUNT(F668:F679)=12),cubic_spline(F667:F679,A667:A679,B$7),""))))))))))))</f>
        <v/>
      </c>
      <c r="L673" s="27" t="str">
        <f>IF(I673="","",B$6&amp;"-"&amp;B$7)</f>
        <v/>
      </c>
      <c r="M673" s="52" t="str">
        <f t="shared" ref="M673:M679" si="255">IF(N(J673)=0,"",J673-J672)</f>
        <v/>
      </c>
    </row>
    <row r="674" spans="1:13" x14ac:dyDescent="0.35">
      <c r="A674" s="48"/>
      <c r="B674" s="48"/>
      <c r="C674" s="50"/>
      <c r="D674" s="50"/>
      <c r="E674" s="51" t="str">
        <f t="shared" si="253"/>
        <v/>
      </c>
      <c r="F674" s="71" t="str">
        <f t="shared" si="251"/>
        <v/>
      </c>
      <c r="G674" s="69" t="str">
        <f t="shared" si="254"/>
        <v/>
      </c>
      <c r="H674" s="70" t="str">
        <f t="shared" si="252"/>
        <v/>
      </c>
      <c r="I674" s="27" t="str">
        <f>IF(N(J674)=0,"",0&amp;"-"&amp;B$8)</f>
        <v/>
      </c>
      <c r="J674" s="52" t="str">
        <f>IF(N(B$8)=0,"",IF(AND(COUNT(H668:H679)=2,COUNT(F668:F679)=2),cubic_spline(F667:F669,H667:H669,B$8),IF(AND(COUNT(H668:H679)=3,COUNT(F668:F679)=3),cubic_spline(F667:F670,H667:H670,B$8),IF(AND(COUNT(H668:H679)=4,COUNT(F668:F679)=4),cubic_spline(F667:F671,H667:H671,B$8),IF(AND(COUNT(H668:H679)=5,COUNT(F668:F679)=5),cubic_spline(F667:F672,H667:H672,B$8),IF(AND(COUNT(H668:H679)=6,COUNT(F668:F679)=6),cubic_spline(F667:F673,H667:H673,B$8),IF(AND(COUNT(H668:H679)=7,COUNT(F668:F679)=7),cubic_spline(F667:F674,H667:H674,B$8),IF(AND(COUNT(H668:H679)=8,COUNT(F668:F679)=8),cubic_spline(F667:F675,H667:H675,B$8),IF(AND(COUNT(H668:H679)=9,COUNT(F668:F679)=9),cubic_spline(F667:F676,H667:H676,B$8),IF(AND(COUNT(H668:H679)=10,COUNT(F668:F679)=10),cubic_spline(F667:F677,H667:H677,B$8),IF(AND(COUNT(H668:H679)=11,COUNT(F668:F679)=11),cubic_spline(F667:F678,H667:H678,B$8),IF(AND(COUNT(H668:H679)=12,COUNT(F668:F679)=12),cubic_spline(F667:F679,H667:H679,B$8),""))))))))))))</f>
        <v/>
      </c>
      <c r="K674" s="52" t="str">
        <f>IF(N(B$8)=0,"",IF(AND(COUNT(A668:A679)=2,COUNT(F668:F679)=2),cubic_spline(F667:F669,A667:A669,B$8),IF(AND(COUNT(A668:A679)=3,COUNT(F668:F679)=3),cubic_spline(F667:F670,A667:A670,B$8),IF(AND(COUNT(A668:A679)=4,COUNT(F668:F679)=4),cubic_spline(F667:F671,A667:A671,B$8),IF(AND(COUNT(A668:A679)=5,COUNT(F668:F679)=5),cubic_spline(F667:F672,A667:A672,B$8),IF(AND(COUNT(A668:A679)=6,COUNT(F668:F679)=6),cubic_spline(F667:F673,A667:A673,B$8),IF(AND(COUNT(A668:A679)=7,COUNT(F668:F679)=7),cubic_spline(F667:F674,A667:A674,B$8),IF(AND(COUNT(A668:A679)=8,COUNT(F668:F679)=8),cubic_spline(F667:F675,A667:A675,B$8),IF(AND(COUNT(A668:A679)=9,COUNT(F668:F679)=9),cubic_spline(F667:F676,A667:A676,B$8),IF(AND(COUNT(A668:A679)=10,COUNT(F668:F679)=10),cubic_spline(F667:F677,A667:A677,B$8),IF(AND(COUNT(A668:A679)=11,COUNT(F668:F679)=11),cubic_spline(F667:F678,A667:A678,B$8),IF(AND(COUNT(A668:A679)=12,COUNT(F668:F679)=12),cubic_spline(F667:F679,A667:A679,B$8),""))))))))))))</f>
        <v/>
      </c>
      <c r="L674" s="27" t="str">
        <f>IF(I674="","",B$7&amp;"-"&amp;B$8)</f>
        <v/>
      </c>
      <c r="M674" s="52" t="str">
        <f t="shared" si="255"/>
        <v/>
      </c>
    </row>
    <row r="675" spans="1:13" x14ac:dyDescent="0.35">
      <c r="A675" s="48"/>
      <c r="B675" s="48"/>
      <c r="C675" s="50"/>
      <c r="D675" s="50"/>
      <c r="E675" s="51" t="str">
        <f t="shared" si="253"/>
        <v/>
      </c>
      <c r="F675" s="71" t="str">
        <f t="shared" si="251"/>
        <v/>
      </c>
      <c r="G675" s="69" t="str">
        <f t="shared" si="254"/>
        <v/>
      </c>
      <c r="H675" s="70" t="str">
        <f t="shared" si="252"/>
        <v/>
      </c>
      <c r="I675" s="27" t="str">
        <f>IF(N(J675)=0,"",0&amp;"-"&amp;B$9)</f>
        <v/>
      </c>
      <c r="J675" s="52" t="str">
        <f>IF(N(B$9)=0,"",IF(AND(COUNT(H668:H679)=2,COUNT(F668:F679)=2),cubic_spline(F667:F669,H667:H669,B$9),IF(AND(COUNT(H668:H679)=3,COUNT(F668:F679)=3),cubic_spline(F667:F670,H667:H670,B$9),IF(AND(COUNT(H668:H679)=4,COUNT(F668:F679)=4),cubic_spline(F667:F671,H667:H671,B$9),IF(AND(COUNT(H668:H679)=5,COUNT(F668:F679)=5),cubic_spline(F667:F672,H667:H672,B$9),IF(AND(COUNT(H668:H679)=6,COUNT(F668:F679)=6),cubic_spline(F667:F673,H667:H673,B$9),IF(AND(COUNT(H668:H679)=7,COUNT(F668:F679)=7),cubic_spline(F667:F674,H667:H674,B$9),IF(AND(COUNT(H668:H679)=8,COUNT(F668:F679)=8),cubic_spline(F667:F675,H667:H675,B$9),IF(AND(COUNT(H668:H679)=9,COUNT(F668:F679)=9),cubic_spline(F667:F676,H667:H676,B$9),IF(AND(COUNT(H668:H679)=10,COUNT(F668:F679)=10),cubic_spline(F667:F677,H667:H677,B$9),IF(AND(COUNT(H668:H679)=11,COUNT(F668:F679)=11),cubic_spline(F667:F678,H667:H678,B$9),IF(AND(COUNT(H668:H679)=12,COUNT(F668:F679)=12),cubic_spline(F667:F679,H667:H679,B$9),""))))))))))))</f>
        <v/>
      </c>
      <c r="K675" s="52" t="str">
        <f>IF(N(B$9)=0,"",IF(AND(COUNT(A668:A679)=2,COUNT(F668:F679)=2),cubic_spline(F667:F669,A667:A669,B$9),IF(AND(COUNT(A668:A679)=3,COUNT(F668:F679)=3),cubic_spline(F667:F670,A667:A670,B$9),IF(AND(COUNT(A668:A679)=4,COUNT(F668:F679)=4),cubic_spline(F667:F671,A667:A671,B$9),IF(AND(COUNT(A668:A679)=5,COUNT(F668:F679)=5),cubic_spline(F667:F672,A667:A672,B$9),IF(AND(COUNT(A668:A679)=6,COUNT(F668:F679)=6),cubic_spline(F667:F673,A667:A673,B$9),IF(AND(COUNT(A668:A679)=7,COUNT(F668:F679)=7),cubic_spline(F667:F674,A667:A674,B$9),IF(AND(COUNT(A668:A679)=8,COUNT(F668:F679)=8),cubic_spline(F667:F675,A667:A675,B$9),IF(AND(COUNT(A668:A679)=9,COUNT(F668:F679)=9),cubic_spline(F667:F676,A667:A676,B$9),IF(AND(COUNT(A668:A679)=10,COUNT(F668:F679)=10),cubic_spline(F667:F677,A667:A677,B$9),IF(AND(COUNT(A668:A679)=11,COUNT(F668:F679)=11),cubic_spline(F667:F678,A667:A678,B$9),IF(AND(COUNT(A668:A679)=12,COUNT(F668:F679)=12),cubic_spline(F667:F679,A667:A679,B$9),""))))))))))))</f>
        <v/>
      </c>
      <c r="L675" s="27" t="str">
        <f>IF(I675="","",B$8&amp;"-"&amp;B$9)</f>
        <v/>
      </c>
      <c r="M675" s="52" t="str">
        <f t="shared" si="255"/>
        <v/>
      </c>
    </row>
    <row r="676" spans="1:13" x14ac:dyDescent="0.35">
      <c r="A676" s="48"/>
      <c r="B676" s="48"/>
      <c r="C676" s="50"/>
      <c r="D676" s="50"/>
      <c r="E676" s="51" t="str">
        <f t="shared" si="253"/>
        <v/>
      </c>
      <c r="F676" s="71" t="str">
        <f t="shared" si="251"/>
        <v/>
      </c>
      <c r="G676" s="69" t="str">
        <f t="shared" si="254"/>
        <v/>
      </c>
      <c r="H676" s="70" t="str">
        <f t="shared" si="252"/>
        <v/>
      </c>
      <c r="I676" s="27" t="str">
        <f>IF(N(J676)=0,"",0&amp;"-"&amp;B$10)</f>
        <v/>
      </c>
      <c r="J676" s="52" t="str">
        <f>IF(N(B$10)=0,"",IF(AND(COUNT(H668:H679)=2,COUNT(F668:F679)=2),cubic_spline(F667:F669,H667:H669,B$10),IF(AND(COUNT(H668:H679)=3,COUNT(F668:F679)=3),cubic_spline(F667:F670,H667:H670,B$10),IF(AND(COUNT(H668:H679)=4,COUNT(F668:F679)=4),cubic_spline(F667:F671,H667:H671,B$10),IF(AND(COUNT(H668:H679)=5,COUNT(F668:F679)=5),cubic_spline(F667:F672,H667:H672,B$10),IF(AND(COUNT(H668:H679)=6,COUNT(F668:F679)=6),cubic_spline(F667:F673,H667:H673,B$10),IF(AND(COUNT(H668:H679)=7,COUNT(F668:F679)=7),cubic_spline(F667:F674,H667:H674,B$10),IF(AND(COUNT(H668:H679)=8,COUNT(F668:F679)=8),cubic_spline(F667:F675,H667:H675,B$10),IF(AND(COUNT(H668:H679)=9,COUNT(F668:F679)=9),cubic_spline(F667:F676,H667:H676,B$10),IF(AND(COUNT(H668:H679)=10,COUNT(F668:F679)=10),cubic_spline(F667:F677,H667:H677,B$10),IF(AND(COUNT(H668:H679)=11,COUNT(F668:F679)=11),cubic_spline(F667:F678,H667:H678,B$10),IF(AND(COUNT(H668:H679)=12,COUNT(F668:F679)=12),cubic_spline(F667:F679,H667:H679,B$10),""))))))))))))</f>
        <v/>
      </c>
      <c r="K676" s="52" t="str">
        <f>IF(N(B$10)=0,"",IF(AND(COUNT(A668:A679)=2,COUNT(F668:F679)=2),cubic_spline(F667:F669,A667:A669,B$10),IF(AND(COUNT(A668:A679)=3,COUNT(F668:F679)=3),cubic_spline(F667:F670,A667:A670,B$10),IF(AND(COUNT(A668:A679)=4,COUNT(F668:F679)=4),cubic_spline(F667:F671,A667:A671,B$10),IF(AND(COUNT(A668:A679)=5,COUNT(F668:F679)=5),cubic_spline(F667:F672,A667:A672,B$10),IF(AND(COUNT(A668:A679)=6,COUNT(F668:F679)=6),cubic_spline(F667:F673,A667:A673,B$10),IF(AND(COUNT(A668:A679)=7,COUNT(F668:F679)=7),cubic_spline(F667:F674,A667:A674,B$10),IF(AND(COUNT(A668:A679)=8,COUNT(F668:F679)=8),cubic_spline(F667:F675,A667:A675,B$10),IF(AND(COUNT(A668:A679)=9,COUNT(F668:F679)=9),cubic_spline(F667:F676,A667:A676,B$10),IF(AND(COUNT(A668:A679)=10,COUNT(F668:F679)=10),cubic_spline(F667:F677,A667:A677,B$10),IF(AND(COUNT(A668:A679)=11,COUNT(F668:F679)=11),cubic_spline(F667:F678,A667:A678,B$10),IF(AND(COUNT(A668:A679)=12,COUNT(F668:F679)=12),cubic_spline(F667:F679,A667:A679,B$10),""))))))))))))</f>
        <v/>
      </c>
      <c r="L676" s="27" t="str">
        <f>IF(I676="","",B$9&amp;"-"&amp;B$10)</f>
        <v/>
      </c>
      <c r="M676" s="52" t="str">
        <f t="shared" si="255"/>
        <v/>
      </c>
    </row>
    <row r="677" spans="1:13" x14ac:dyDescent="0.35">
      <c r="A677" s="48"/>
      <c r="B677" s="48"/>
      <c r="C677" s="50"/>
      <c r="D677" s="50"/>
      <c r="E677" s="51" t="str">
        <f t="shared" si="253"/>
        <v/>
      </c>
      <c r="F677" s="71" t="str">
        <f t="shared" si="251"/>
        <v/>
      </c>
      <c r="G677" s="69" t="str">
        <f t="shared" si="254"/>
        <v/>
      </c>
      <c r="H677" s="70" t="str">
        <f t="shared" si="252"/>
        <v/>
      </c>
      <c r="I677" s="27" t="str">
        <f>IF(N(J677)=0,"",0&amp;"-"&amp;B$11)</f>
        <v/>
      </c>
      <c r="J677" s="52" t="str">
        <f>IF(N(B$11)=0,"",IF(AND(COUNT(H668:H679)=2,COUNT(F668:F679)=2),cubic_spline(F667:F669,H667:H669,B$11),IF(AND(COUNT(H668:H679)=3,COUNT(F668:F679)=3),cubic_spline(F667:F670,H667:H670,B$11),IF(AND(COUNT(H668:H679)=4,COUNT(F668:F679)=4),cubic_spline(F667:F671,H667:H671,B$11),IF(AND(COUNT(H668:H679)=5,COUNT(F668:F679)=5),cubic_spline(F667:F672,H667:H672,B$11),IF(AND(COUNT(H668:H679)=6,COUNT(F668:F679)=6),cubic_spline(F667:F673,H667:H673,B$11),IF(AND(COUNT(H668:H679)=7,COUNT(F668:F679)=7),cubic_spline(F667:F674,H667:H674,B$11),IF(AND(COUNT(H668:H679)=8,COUNT(F668:F679)=8),cubic_spline(F667:F675,H667:H675,B$11),IF(AND(COUNT(H668:H679)=9,COUNT(F668:F679)=9),cubic_spline(F667:F676,H667:H676,B$11),IF(AND(COUNT(H668:H679)=10,COUNT(F668:F679)=10),cubic_spline(F667:F677,H667:H677,B$11),IF(AND(COUNT(H668:H679)=11,COUNT(F668:F679)=11),cubic_spline(F667:F678,H667:H678,B$11),IF(AND(COUNT(H668:H679)=12,COUNT(F668:F679)=12),cubic_spline(F667:F679,H667:H679,B$11),""))))))))))))</f>
        <v/>
      </c>
      <c r="K677" s="52" t="str">
        <f>IF(N(B$11)=0,"",IF(AND(COUNT(A668:A679)=2,COUNT(F668:F679)=2),cubic_spline(F667:F669,A667:A669,B$11),IF(AND(COUNT(A668:A679)=3,COUNT(F668:F679)=3),cubic_spline(F667:F670,A667:A670,B$11),IF(AND(COUNT(A668:A679)=4,COUNT(F668:F679)=4),cubic_spline(F667:F671,A667:A671,B$11),IF(AND(COUNT(A668:A679)=5,COUNT(F668:F679)=5),cubic_spline(F667:F672,A667:A672,B$11),IF(AND(COUNT(A668:A679)=6,COUNT(F668:F679)=6),cubic_spline(F667:F673,A667:A673,B$11),IF(AND(COUNT(A668:A679)=7,COUNT(F668:F679)=7),cubic_spline(F667:F674,A667:A674,B$11),IF(AND(COUNT(A668:A679)=8,COUNT(F668:F679)=8),cubic_spline(F667:F675,A667:A675,B$11),IF(AND(COUNT(A668:A679)=9,COUNT(F668:F679)=9),cubic_spline(F667:F676,A667:A676,B$11),IF(AND(COUNT(A668:A679)=10,COUNT(F668:F679)=10),cubic_spline(F667:F677,A667:A677,B$11),IF(AND(COUNT(A668:A679)=11,COUNT(F668:F679)=11),cubic_spline(F667:F678,A667:A678,B$11),IF(AND(COUNT(A668:A679)=12,COUNT(F668:F679)=12),cubic_spline(F667:F679,A667:A679,B$11),""))))))))))))</f>
        <v/>
      </c>
      <c r="L677" s="27" t="str">
        <f>IF(I677="","",B$10&amp;"-"&amp;B$11)</f>
        <v/>
      </c>
      <c r="M677" s="52" t="str">
        <f t="shared" si="255"/>
        <v/>
      </c>
    </row>
    <row r="678" spans="1:13" x14ac:dyDescent="0.35">
      <c r="A678" s="48"/>
      <c r="B678" s="48"/>
      <c r="C678" s="50"/>
      <c r="D678" s="50"/>
      <c r="E678" s="51" t="str">
        <f t="shared" si="253"/>
        <v/>
      </c>
      <c r="F678" s="71" t="str">
        <f t="shared" si="251"/>
        <v/>
      </c>
      <c r="G678" s="69" t="str">
        <f t="shared" si="254"/>
        <v/>
      </c>
      <c r="H678" s="70" t="str">
        <f t="shared" si="252"/>
        <v/>
      </c>
      <c r="I678" s="27" t="str">
        <f>IF(N(J678)=0,"",0&amp;"-"&amp;B$12)</f>
        <v/>
      </c>
      <c r="J678" s="52" t="str">
        <f>IF(N(B$12)=0,"",IF(AND(COUNT(H668:H679)=2,COUNT(F668:F679)=2),cubic_spline(F667:F669,H667:H669,B$12),IF(AND(COUNT(H668:H679)=3,COUNT(F668:F679)=3),cubic_spline(F667:F670,H667:H670,B$12),IF(AND(COUNT(H668:H679)=4,COUNT(F668:F679)=4),cubic_spline(F667:F671,H667:H671,B$12),IF(AND(COUNT(H668:H679)=5,COUNT(F668:F679)=5),cubic_spline(F667:F672,H667:H672,B$12),IF(AND(COUNT(H668:H679)=6,COUNT(F668:F679)=6),cubic_spline(F667:F673,H667:H673,B$12),IF(AND(COUNT(H668:H679)=7,COUNT(F668:F679)=7),cubic_spline(F667:F674,H667:H674,B$12),IF(AND(COUNT(H668:H679)=8,COUNT(F668:F679)=8),cubic_spline(F667:F675,H667:H675,B$12),IF(AND(COUNT(H668:H679)=9,COUNT(F668:F679)=9),cubic_spline(F667:F676,H667:H676,B$12),IF(AND(COUNT(H668:H679)=10,COUNT(F668:F679)=10),cubic_spline(F667:F677,H667:H677,B$12),IF(AND(COUNT(H668:H679)=11,COUNT(F668:F679)=11),cubic_spline(F667:F678,H667:H678,B$12),IF(AND(COUNT(H668:H679)=12,COUNT(F668:F679)=12),cubic_spline(F667:F679,H667:H679,B$12),""))))))))))))</f>
        <v/>
      </c>
      <c r="K678" s="52" t="str">
        <f>IF(N(B$12)=0,"",IF(AND(COUNT(A668:A679)=2,COUNT(F668:F679)=2),cubic_spline(F667:F669,A667:A669,B$12),IF(AND(COUNT(A668:A679)=3,COUNT(F668:F679)=3),cubic_spline(F667:F670,A667:A670,B$12),IF(AND(COUNT(A668:A679)=4,COUNT(F668:F679)=4),cubic_spline(F667:F671,A667:A671,B$12),IF(AND(COUNT(A668:A679)=5,COUNT(F668:F679)=5),cubic_spline(F667:F672,A667:A672,B$12),IF(AND(COUNT(A668:A679)=6,COUNT(F668:F679)=6),cubic_spline(F667:F673,A667:A673,B$12),IF(AND(COUNT(A668:A679)=7,COUNT(F668:F679)=7),cubic_spline(F667:F674,A667:A674,B$12),IF(AND(COUNT(A668:A679)=8,COUNT(F668:F679)=8),cubic_spline(F667:F675,A667:A675,B$12),IF(AND(COUNT(A668:A679)=9,COUNT(F668:F679)=9),cubic_spline(F667:F676,A667:A676,B$12),IF(AND(COUNT(A668:A679)=10,COUNT(F668:F679)=10),cubic_spline(F667:F677,A667:A677,B$12),IF(AND(COUNT(A668:A679)=11,COUNT(F668:F679)=11),cubic_spline(F667:F678,A667:A678,B$12),IF(AND(COUNT(A668:A679)=12,COUNT(F668:F679)=12),cubic_spline(F667:F679,A667:A679,B$12),""))))))))))))</f>
        <v/>
      </c>
      <c r="L678" s="27" t="str">
        <f>IF(I678="","",B$11&amp;"-"&amp;B$12)</f>
        <v/>
      </c>
      <c r="M678" s="52" t="str">
        <f t="shared" si="255"/>
        <v/>
      </c>
    </row>
    <row r="679" spans="1:13" x14ac:dyDescent="0.35">
      <c r="A679" s="48"/>
      <c r="B679" s="48"/>
      <c r="C679" s="50"/>
      <c r="D679" s="50"/>
      <c r="E679" s="51" t="str">
        <f t="shared" si="253"/>
        <v/>
      </c>
      <c r="F679" s="71" t="str">
        <f t="shared" si="251"/>
        <v/>
      </c>
      <c r="G679" s="69" t="str">
        <f t="shared" si="254"/>
        <v/>
      </c>
      <c r="H679" s="70" t="str">
        <f t="shared" si="252"/>
        <v/>
      </c>
      <c r="I679" s="27" t="str">
        <f>IF(N(J679)=0,"",0&amp;"-"&amp;B$13)</f>
        <v/>
      </c>
      <c r="J679" s="52" t="str">
        <f>IF(N(B$13)=0,"",IF(AND(COUNT(H668:H679)=2,COUNT(F668:F679)=2),cubic_spline(F667:F669,H667:H669,B$13),IF(AND(COUNT(H668:H679)=3,COUNT(F668:F679)=3),cubic_spline(F667:F670,H667:H670,B$13),IF(AND(COUNT(H668:H679)=4,COUNT(F668:F679)=4),cubic_spline(F667:F671,H667:H671,B$13),IF(AND(COUNT(H668:H679)=5,COUNT(F668:F679)=5),cubic_spline(F667:F672,H667:H672,B$13),IF(AND(COUNT(H668:H679)=6,COUNT(F668:F679)=6),cubic_spline(F667:F673,H667:H673,B$13),IF(AND(COUNT(H668:H679)=7,COUNT(F668:F679)=7),cubic_spline(F667:F674,H667:H674,B$13),IF(AND(COUNT(H668:H679)=8,COUNT(F668:F679)=8),cubic_spline(F667:F675,H667:H675,B$13),IF(AND(COUNT(H668:H679)=9,COUNT(F668:F679)=9),cubic_spline(F667:F676,H667:H676,B$13),IF(AND(COUNT(H668:H679)=10,COUNT(F668:F679)=10),cubic_spline(F667:F677,H667:H677,B$13),IF(AND(COUNT(H668:H679)=11,COUNT(F668:F679)=11),cubic_spline(F667:F678,H667:H678,B$13),IF(AND(COUNT(H668:H679)=12,COUNT(F668:F679)=12),cubic_spline(F667:F679,H667:H679,B$13),""))))))))))))</f>
        <v/>
      </c>
      <c r="K679" s="52" t="str">
        <f>IF(N(B$13)=0,"",IF(AND(COUNT(A668:A679)=2,COUNT(F668:F679)=2),cubic_spline(F667:F669,A667:A669,B$13),IF(AND(COUNT(A668:A679)=3,COUNT(F668:F679)=3),cubic_spline(F667:F670,A667:A670,B$13),IF(AND(COUNT(A668:A679)=4,COUNT(F668:F679)=4),cubic_spline(F667:F671,A667:A671,B$13),IF(AND(COUNT(A668:A679)=5,COUNT(F668:F679)=5),cubic_spline(F667:F672,A667:A672,B$13),IF(AND(COUNT(A668:A679)=6,COUNT(F668:F679)=6),cubic_spline(F667:F673,A667:A673,B$13),IF(AND(COUNT(A668:A679)=7,COUNT(F668:F679)=7),cubic_spline(F667:F674,A667:A674,B$13),IF(AND(COUNT(A668:A679)=8,COUNT(F668:F679)=8),cubic_spline(F667:F675,A667:A675,B$13),IF(AND(COUNT(A668:A679)=9,COUNT(F668:F679)=9),cubic_spline(F667:F676,A667:A676,B$13),IF(AND(COUNT(A668:A679)=10,COUNT(F668:F679)=10),cubic_spline(F667:F677,A667:A677,B$13),IF(AND(COUNT(A668:A679)=11,COUNT(F668:F679)=11),cubic_spline(F667:F678,A667:A678,B$13),IF(AND(COUNT(A668:A679)=12,COUNT(F668:F679)=12),cubic_spline(F667:F679,A667:A679,B$13),""))))))))))))</f>
        <v/>
      </c>
      <c r="L679" s="27" t="str">
        <f>IF(I679="","",B$12&amp;"-"&amp;B$13)</f>
        <v/>
      </c>
      <c r="M679" s="52" t="str">
        <f t="shared" si="255"/>
        <v/>
      </c>
    </row>
    <row r="680" spans="1:13" ht="5.15" customHeight="1" x14ac:dyDescent="0.35">
      <c r="A680" s="47"/>
      <c r="B680" s="47"/>
      <c r="C680" s="53"/>
      <c r="D680" s="53"/>
      <c r="E680" s="54"/>
      <c r="F680" s="55"/>
      <c r="G680" s="72"/>
      <c r="H680" s="73"/>
      <c r="I680" s="47"/>
      <c r="J680" s="57"/>
      <c r="K680" s="57"/>
      <c r="L680" s="55"/>
      <c r="M680" s="57"/>
    </row>
    <row r="681" spans="1:13" x14ac:dyDescent="0.35">
      <c r="A681" s="48"/>
      <c r="B681" s="48"/>
      <c r="C681" s="50"/>
      <c r="D681" s="50"/>
      <c r="E681" s="51" t="str">
        <f>IF(N(C681)=0,"",(A681-A680)*C681*100)</f>
        <v/>
      </c>
      <c r="F681" s="68" t="str">
        <f t="shared" ref="F681:F692" si="256">IF(N(E681)=0,"",(N(E681)+N(F680)))</f>
        <v/>
      </c>
      <c r="G681" s="69" t="str">
        <f>IF(OR(N(D681)=0,N(E681)=0),"",(E681*D681)/1000)</f>
        <v/>
      </c>
      <c r="H681" s="70" t="str">
        <f t="shared" ref="H681:H692" si="257">IF(N(G681)=0,"",(N(G681)+N(H680)))</f>
        <v/>
      </c>
      <c r="I681" s="27" t="str">
        <f>IF(N(J681)=0,"",0&amp;"-"&amp;B$2)</f>
        <v/>
      </c>
      <c r="J681" s="52" t="str">
        <f>IF(N(B$2)=0,"",IF(AND(COUNT(H681:H692)=2,COUNT(F681:F692)=2),cubic_spline(F680:F682,H680:H682,B$2),IF(AND(COUNT(H681:H692)=3,COUNT(F681:F692)=3),cubic_spline(F680:F683,H680:H683,B$2),IF(AND(COUNT(H681:H692)=4,COUNT(F681:F692)=4),cubic_spline(F680:F684,H680:H684,B$2),IF(AND(COUNT(H681:H692)=5,COUNT(F681:F692)=5),cubic_spline(F680:F685,H680:H685,B$2),IF(AND(COUNT(H681:H692)=6,COUNT(F681:F692)=6),cubic_spline(F680:F686,H680:H686,B$2),IF(AND(COUNT(H681:H692)=7,COUNT(F681:F692)=7),cubic_spline(F680:F687,H680:H687,B$2),IF(AND(COUNT(H681:H692)=8,COUNT(F681:F692)=8),cubic_spline(F680:F688,H680:H688,B$2),IF(AND(COUNT(H681:H692)=9,COUNT(F681:F692)=9),cubic_spline(F680:F689,H680:H689,B$2),IF(AND(COUNT(H681:H692)=10,COUNT(F681:F692)=10),cubic_spline(F680:F690,H680:H690,B$2),IF(AND(COUNT(H681:H692)=11,COUNT(F681:F692)=11),cubic_spline(F680:F691,H680:H691,B$2),IF(AND(COUNT(H681:H692)=12,COUNT(F681:F692)=12),cubic_spline(F680:F692,H680:H692,B$2),""))))))))))))</f>
        <v/>
      </c>
      <c r="K681" s="52" t="str">
        <f>IF(N(B$2)=0,"",IF(AND(COUNT(A681:A692)=2,COUNT(F681:F692)=2),cubic_spline(F680:F682,A680:A682,B$2),IF(AND(COUNT(A681:A692)=3,COUNT(F681:F692)=3),cubic_spline(F680:F683,A680:A683,B$2),IF(AND(COUNT(A681:A692)=4,COUNT(F681:F692)=4),cubic_spline(F680:F684,A680:A684,B$2),IF(AND(COUNT(A681:A692)=5,COUNT(F681:F692)=5),cubic_spline(F680:F685,A680:A685,B$2),IF(AND(COUNT(A681:A692)=6,COUNT(F681:F692)=6),cubic_spline(F680:F686,A680:A686,B$2),IF(AND(COUNT(A681:A692)=7,COUNT(F681:F692)=7),cubic_spline(F680:F687,A680:A687,B$2),IF(AND(COUNT(A681:A692)=8,COUNT(F681:F692)=8),cubic_spline(F680:F688,A680:A688,B$2),IF(AND(COUNT(A681:A692)=9,COUNT(F681:F692)=9),cubic_spline(F680:F689,A680:A689,B$2),IF(AND(COUNT(A681:A692)=10,COUNT(F681:F692)=10),cubic_spline(F680:F690,A680:A690,B$2),IF(AND(COUNT(A681:A692)=11,COUNT(F681:F692)=11),cubic_spline(F680:F691,A680:A691,B$2),IF(AND(COUNT(A681:A692)=12,COUNT(F681:F692)=12),cubic_spline(F680:F692,A680:A692,B$2),""))))))))))))</f>
        <v/>
      </c>
      <c r="L681" s="27" t="str">
        <f>IF(I681="","",0&amp;"-"&amp;B$2)</f>
        <v/>
      </c>
      <c r="M681" s="52" t="str">
        <f>IF(N(J681)=0,"",J681-J680)</f>
        <v/>
      </c>
    </row>
    <row r="682" spans="1:13" x14ac:dyDescent="0.35">
      <c r="A682" s="48"/>
      <c r="B682" s="48"/>
      <c r="C682" s="50"/>
      <c r="D682" s="50"/>
      <c r="E682" s="51" t="str">
        <f t="shared" ref="E682:E692" si="258">IF(N(C682)=0,"",(A682-A681)*C682*100)</f>
        <v/>
      </c>
      <c r="F682" s="68" t="str">
        <f t="shared" si="256"/>
        <v/>
      </c>
      <c r="G682" s="69" t="str">
        <f t="shared" ref="G682:G692" si="259">IF(OR(N(D682)=0,N(E682)=0),"",(E682*D682)/1000)</f>
        <v/>
      </c>
      <c r="H682" s="70" t="str">
        <f t="shared" si="257"/>
        <v/>
      </c>
      <c r="I682" s="27" t="str">
        <f>IF(N(J682)=0,"",0&amp;"-"&amp;B$3)</f>
        <v/>
      </c>
      <c r="J682" s="52" t="str">
        <f>IF(N(B$3)=0,"",IF(AND(COUNT(H681:H692)=2,COUNT(F681:F692)=2),cubic_spline(F680:F682,H680:H682,B$3),IF(AND(COUNT(H681:H692)=3,COUNT(F681:F692)=3),cubic_spline(F680:F683,H680:H683,B$3),IF(AND(COUNT(H681:H692)=4,COUNT(F681:F692)=4),cubic_spline(F680:F684,H680:H684,B$3),IF(AND(COUNT(H681:H692)=5,COUNT(F681:F692)=5),cubic_spline(F680:F685,H680:H685,B$3),IF(AND(COUNT(H681:H692)=6,COUNT(F681:F692)=6),cubic_spline(F680:F686,H680:H686,B$3),IF(AND(COUNT(H681:H692)=7,COUNT(F681:F692)=7),cubic_spline(F680:F687,H680:H687,B$3),IF(AND(COUNT(H681:H692)=8,COUNT(F681:F692)=8),cubic_spline(F680:F688,H680:H688,B$3),IF(AND(COUNT(H681:H692)=9,COUNT(F681:F692)=9),cubic_spline(F680:F689,H680:H689,B$3),IF(AND(COUNT(H681:H692)=10,COUNT(F681:F692)=10),cubic_spline(F680:F690,H680:H690,B$3),IF(AND(COUNT(H681:H692)=11,COUNT(F681:F692)=11),cubic_spline(F680:F691,H680:H691,B$3),IF(AND(COUNT(H681:H692)=12,COUNT(F681:F692)=12),cubic_spline(F680:F692,H680:H692,B$3),""))))))))))))</f>
        <v/>
      </c>
      <c r="K682" s="52" t="str">
        <f>IF(N(B$3)=0,"",IF(AND(COUNT(A681:A692)=2,COUNT(F681:F692)=2),cubic_spline(F680:F682,A680:A682,B$3),IF(AND(COUNT(A681:A692)=3,COUNT(F681:F692)=3),cubic_spline(F680:F683,A680:A683,B$3),IF(AND(COUNT(A681:A692)=4,COUNT(F681:F692)=4),cubic_spline(F680:F684,A680:A684,B$3),IF(AND(COUNT(A681:A692)=5,COUNT(F681:F692)=5),cubic_spline(F680:F685,A680:A685,B$3),IF(AND(COUNT(A681:A692)=6,COUNT(F681:F692)=6),cubic_spline(F680:F686,A680:A686,B$3),IF(AND(COUNT(A681:A692)=7,COUNT(F681:F692)=7),cubic_spline(F680:F687,A680:A687,B$3),IF(AND(COUNT(A681:A692)=8,COUNT(F681:F692)=8),cubic_spline(F680:F688,A680:A688,B$3),IF(AND(COUNT(A681:A692)=9,COUNT(F681:F692)=9),cubic_spline(F680:F689,A680:A689,B$3),IF(AND(COUNT(A681:A692)=10,COUNT(F681:F692)=10),cubic_spline(F680:F690,A680:A690,B$3),IF(AND(COUNT(A681:A692)=11,COUNT(F681:F692)=11),cubic_spline(F680:F691,A680:A691,B$3),IF(AND(COUNT(A681:A692)=12,COUNT(F681:F692)=12),cubic_spline(F680:F692,A680:A692,B$3),""))))))))))))</f>
        <v/>
      </c>
      <c r="L682" s="27" t="str">
        <f>IF(I682="","",B$2&amp;"-"&amp;B$3)</f>
        <v/>
      </c>
      <c r="M682" s="52" t="str">
        <f>IF(N(J682)=0,"",J682-J681)</f>
        <v/>
      </c>
    </row>
    <row r="683" spans="1:13" x14ac:dyDescent="0.35">
      <c r="A683" s="48"/>
      <c r="B683" s="48"/>
      <c r="C683" s="50"/>
      <c r="D683" s="50"/>
      <c r="E683" s="51" t="str">
        <f t="shared" si="258"/>
        <v/>
      </c>
      <c r="F683" s="68" t="str">
        <f t="shared" si="256"/>
        <v/>
      </c>
      <c r="G683" s="69" t="str">
        <f t="shared" si="259"/>
        <v/>
      </c>
      <c r="H683" s="70" t="str">
        <f t="shared" si="257"/>
        <v/>
      </c>
      <c r="I683" s="27" t="str">
        <f>IF(N(J683)=0,"",0&amp;"-"&amp;B$4)</f>
        <v/>
      </c>
      <c r="J683" s="52" t="str">
        <f>IF(N(B$4)=0,"",IF(AND(COUNT(H681:H692)=2,COUNT(F681:F692)=2),cubic_spline(F680:F682,H680:H682,B$4),IF(AND(COUNT(H681:H692)=3,COUNT(F681:F692)=3),cubic_spline(F680:F683,H680:H683,B$4),IF(AND(COUNT(H681:H692)=4,COUNT(F681:F692)=4),cubic_spline(F680:F684,H680:H684,B$4),IF(AND(COUNT(H681:H692)=5,COUNT(F681:F692)=5),cubic_spline(F680:F685,H680:H685,B$4),IF(AND(COUNT(H681:H692)=6,COUNT(F681:F692)=6),cubic_spline(F680:F686,H680:H686,B$4),IF(AND(COUNT(H681:H692)=7,COUNT(F681:F692)=7),cubic_spline(F680:F687,H680:H687,B$4),IF(AND(COUNT(H681:H692)=8,COUNT(F681:F692)=8),cubic_spline(F680:F688,H680:H688,B$4),IF(AND(COUNT(H681:H692)=9,COUNT(F681:F692)=9),cubic_spline(F680:F689,H680:H689,B$4),IF(AND(COUNT(H681:H692)=10,COUNT(F681:F692)=10),cubic_spline(F680:F690,H680:H690,B$4),IF(AND(COUNT(H681:H692)=11,COUNT(F681:F692)=11),cubic_spline(F680:F691,H680:H691,B$4),IF(AND(COUNT(H681:H692)=12,COUNT(F681:F692)=12),cubic_spline(F680:F692,H680:H692,B$4),""))))))))))))</f>
        <v/>
      </c>
      <c r="K683" s="52" t="str">
        <f>IF(N(B$4)=0,"",IF(AND(COUNT(A681:A692)=2,COUNT(F681:F692)=2),cubic_spline(F680:F682,A680:A682,B$4),IF(AND(COUNT(A681:A692)=3,COUNT(F681:F692)=3),cubic_spline(F680:F683,A680:A683,B$4),IF(AND(COUNT(A681:A692)=4,COUNT(F681:F692)=4),cubic_spline(F680:F684,A680:A684,B$4),IF(AND(COUNT(A681:A692)=5,COUNT(F681:F692)=5),cubic_spline(F680:F685,A680:A685,B$4),IF(AND(COUNT(A681:A692)=6,COUNT(F681:F692)=6),cubic_spline(F680:F686,A680:A686,B$4),IF(AND(COUNT(A681:A692)=7,COUNT(F681:F692)=7),cubic_spline(F680:F687,A680:A687,B$4),IF(AND(COUNT(A681:A692)=8,COUNT(F681:F692)=8),cubic_spline(F680:F688,A680:A688,B$4),IF(AND(COUNT(A681:A692)=9,COUNT(F681:F692)=9),cubic_spline(F680:F689,A680:A689,B$4),IF(AND(COUNT(A681:A692)=10,COUNT(F681:F692)=10),cubic_spline(F680:F690,A680:A690,B$4),IF(AND(COUNT(A681:A692)=11,COUNT(F681:F692)=11),cubic_spline(F680:F691,A680:A691,B$4),IF(AND(COUNT(A681:A692)=12,COUNT(F681:F692)=12),cubic_spline(F680:F692,A680:A692,B$4),""))))))))))))</f>
        <v/>
      </c>
      <c r="L683" s="27" t="str">
        <f>IF(I683="","",B$3&amp;"-"&amp;B$4)</f>
        <v/>
      </c>
      <c r="M683" s="52" t="str">
        <f>IF(N(J683)=0,"",J683-J682)</f>
        <v/>
      </c>
    </row>
    <row r="684" spans="1:13" x14ac:dyDescent="0.35">
      <c r="A684" s="48"/>
      <c r="B684" s="48"/>
      <c r="C684" s="50"/>
      <c r="D684" s="50"/>
      <c r="E684" s="51" t="str">
        <f t="shared" si="258"/>
        <v/>
      </c>
      <c r="F684" s="68" t="str">
        <f t="shared" si="256"/>
        <v/>
      </c>
      <c r="G684" s="69" t="str">
        <f t="shared" si="259"/>
        <v/>
      </c>
      <c r="H684" s="70" t="str">
        <f t="shared" si="257"/>
        <v/>
      </c>
      <c r="I684" s="27" t="str">
        <f>IF(N(J684)=0,"",0&amp;"-"&amp;B$5)</f>
        <v/>
      </c>
      <c r="J684" s="52" t="str">
        <f>IF(N(B$5)=0,"",IF(AND(COUNT(H681:H692)=2,COUNT(F681:F692)=2),cubic_spline(F680:F682,H680:H682,B$5),IF(AND(COUNT(H681:H692)=3,COUNT(F681:F692)=3),cubic_spline(F680:F683,H680:H683,B$5),IF(AND(COUNT(H681:H692)=4,COUNT(F681:F692)=4),cubic_spline(F680:F684,H680:H684,B$5),IF(AND(COUNT(H681:H692)=5,COUNT(F681:F692)=5),cubic_spline(F680:F685,H680:H685,B$5),IF(AND(COUNT(H681:H692)=6,COUNT(F681:F692)=6),cubic_spline(F680:F686,H680:H686,B$5),IF(AND(COUNT(H681:H692)=7,COUNT(F681:F692)=7),cubic_spline(F680:F687,H680:H687,B$5),IF(AND(COUNT(H681:H692)=8,COUNT(F681:F692)=8),cubic_spline(F680:F688,H680:H688,B$5),IF(AND(COUNT(H681:H692)=9,COUNT(F681:F692)=9),cubic_spline(F680:F689,H680:H689,B$5),IF(AND(COUNT(H681:H692)=10,COUNT(F681:F692)=10),cubic_spline(F680:F690,H680:H690,B$5),IF(AND(COUNT(H681:H692)=11,COUNT(F681:F692)=11),cubic_spline(F680:F691,H680:H691,B$5),IF(AND(COUNT(H681:H692)=12,COUNT(F681:F692)=12),cubic_spline(F680:F692,H680:H692,B$5),""))))))))))))</f>
        <v/>
      </c>
      <c r="K684" s="52" t="str">
        <f>IF(N(B$5)=0,"",IF(AND(COUNT(A681:A692)=2,COUNT(F681:F692)=2),cubic_spline(F680:F682,A680:A682,B$5),IF(AND(COUNT(A681:A692)=3,COUNT(F681:F692)=3),cubic_spline(F680:F683,A680:A683,B$5),IF(AND(COUNT(A681:A692)=4,COUNT(F681:F692)=4),cubic_spline(F680:F684,A680:A684,B$5),IF(AND(COUNT(A681:A692)=5,COUNT(F681:F692)=5),cubic_spline(F680:F685,A680:A685,B$5),IF(AND(COUNT(A681:A692)=6,COUNT(F681:F692)=6),cubic_spline(F680:F686,A680:A686,B$5),IF(AND(COUNT(A681:A692)=7,COUNT(F681:F692)=7),cubic_spline(F680:F687,A680:A687,B$5),IF(AND(COUNT(A681:A692)=8,COUNT(F681:F692)=8),cubic_spline(F680:F688,A680:A688,B$5),IF(AND(COUNT(A681:A692)=9,COUNT(F681:F692)=9),cubic_spline(F680:F689,A680:A689,B$5),IF(AND(COUNT(A681:A692)=10,COUNT(F681:F692)=10),cubic_spline(F680:F690,A680:A690,B$5),IF(AND(COUNT(A681:A692)=11,COUNT(F681:F692)=11),cubic_spline(F680:F691,A680:A691,B$5),IF(AND(COUNT(A681:A692)=12,COUNT(F681:F692)=12),cubic_spline(F680:F692,A680:A692,B$5),""))))))))))))</f>
        <v/>
      </c>
      <c r="L684" s="27" t="str">
        <f>IF(I684="","",B$4&amp;"-"&amp;B$5)</f>
        <v/>
      </c>
      <c r="M684" s="52" t="str">
        <f>IF(N(J684)=0,"",J684-J683)</f>
        <v/>
      </c>
    </row>
    <row r="685" spans="1:13" x14ac:dyDescent="0.35">
      <c r="A685" s="48"/>
      <c r="B685" s="48"/>
      <c r="C685" s="50"/>
      <c r="D685" s="50"/>
      <c r="E685" s="51" t="str">
        <f t="shared" si="258"/>
        <v/>
      </c>
      <c r="F685" s="71" t="str">
        <f t="shared" si="256"/>
        <v/>
      </c>
      <c r="G685" s="69" t="str">
        <f t="shared" si="259"/>
        <v/>
      </c>
      <c r="H685" s="70" t="str">
        <f t="shared" si="257"/>
        <v/>
      </c>
      <c r="I685" s="27" t="str">
        <f>IF(N(J685)=0,"",0&amp;"-"&amp;B$6)</f>
        <v/>
      </c>
      <c r="J685" s="52" t="str">
        <f>IF(N(B$6)=0,"",IF(AND(COUNT(H681:H692)=2,COUNT(F681:F692)=2),cubic_spline(F680:F682,H680:H682,B$6),IF(AND(COUNT(H681:H692)=3,COUNT(F681:F692)=3),cubic_spline(F680:F683,H680:H683,B$6),IF(AND(COUNT(H681:H692)=4,COUNT(F681:F692)=4),cubic_spline(F680:F684,H680:H684,B$6),IF(AND(COUNT(H681:H692)=5,COUNT(F681:F692)=5),cubic_spline(F680:F685,H680:H685,B$6),IF(AND(COUNT(H681:H692)=6,COUNT(F681:F692)=6),cubic_spline(F680:F686,H680:H686,B$6),IF(AND(COUNT(H681:H692)=7,COUNT(F681:F692)=7),cubic_spline(F680:F687,H680:H687,B$6),IF(AND(COUNT(H681:H692)=8,COUNT(F681:F692)=8),cubic_spline(F680:F688,H680:H688,B$6),IF(AND(COUNT(H681:H692)=9,COUNT(F681:F692)=9),cubic_spline(F680:F689,H680:H689,B$6),IF(AND(COUNT(H681:H692)=10,COUNT(F681:F692)=10),cubic_spline(F680:F690,H680:H690,B$6),IF(AND(COUNT(H681:H692)=11,COUNT(F681:F692)=11),cubic_spline(F680:F691,H680:H691,B$6),IF(AND(COUNT(H681:H692)=12,COUNT(F681:F692)=12),cubic_spline(F680:F692,H680:H692,B$6),""))))))))))))</f>
        <v/>
      </c>
      <c r="K685" s="52" t="str">
        <f>IF(N(B$6)=0,"",IF(AND(COUNT(A681:A692)=2,COUNT(F681:F692)=2),cubic_spline(F680:F682,A680:A682,B$6),IF(AND(COUNT(A681:A692)=3,COUNT(F681:F692)=3),cubic_spline(F680:F683,A680:A683,B$6),IF(AND(COUNT(A681:A692)=4,COUNT(F681:F692)=4),cubic_spline(F680:F684,A680:A684,B$6),IF(AND(COUNT(A681:A692)=5,COUNT(F681:F692)=5),cubic_spline(F680:F685,A680:A685,B$6),IF(AND(COUNT(A681:A692)=6,COUNT(F681:F692)=6),cubic_spline(F680:F686,A680:A686,B$6),IF(AND(COUNT(A681:A692)=7,COUNT(F681:F692)=7),cubic_spline(F680:F687,A680:A687,B$6),IF(AND(COUNT(A681:A692)=8,COUNT(F681:F692)=8),cubic_spline(F680:F688,A680:A688,B$6),IF(AND(COUNT(A681:A692)=9,COUNT(F681:F692)=9),cubic_spline(F680:F689,A680:A689,B$6),IF(AND(COUNT(A681:A692)=10,COUNT(F681:F692)=10),cubic_spline(F680:F690,A680:A690,B$6),IF(AND(COUNT(A681:A692)=11,COUNT(F681:F692)=11),cubic_spline(F680:F691,A680:A691,B$6),IF(AND(COUNT(A681:A692)=12,COUNT(F681:F692)=12),cubic_spline(F680:F692,A680:A692,B$6),""))))))))))))</f>
        <v/>
      </c>
      <c r="L685" s="27" t="str">
        <f>IF(I685="","",B$5&amp;"-"&amp;B$6)</f>
        <v/>
      </c>
      <c r="M685" s="52" t="str">
        <f>IF(N(J685)=0,"",J685-J684)</f>
        <v/>
      </c>
    </row>
    <row r="686" spans="1:13" x14ac:dyDescent="0.35">
      <c r="A686" s="48"/>
      <c r="B686" s="48"/>
      <c r="C686" s="50"/>
      <c r="D686" s="50"/>
      <c r="E686" s="51" t="str">
        <f t="shared" si="258"/>
        <v/>
      </c>
      <c r="F686" s="71" t="str">
        <f t="shared" si="256"/>
        <v/>
      </c>
      <c r="G686" s="69" t="str">
        <f t="shared" si="259"/>
        <v/>
      </c>
      <c r="H686" s="70" t="str">
        <f t="shared" si="257"/>
        <v/>
      </c>
      <c r="I686" s="27" t="str">
        <f>IF(N(J686)=0,"",0&amp;"-"&amp;B$7)</f>
        <v/>
      </c>
      <c r="J686" s="52" t="str">
        <f>IF(N(B$7)=0,"",IF(AND(COUNT(H681:H692)=2,COUNT(F681:F692)=2),cubic_spline(F680:F682,H680:H682,B$7),IF(AND(COUNT(H681:H692)=3,COUNT(F681:F692)=3),cubic_spline(F680:F683,H680:H683,B$7),IF(AND(COUNT(H681:H692)=4,COUNT(F681:F692)=4),cubic_spline(F680:F684,H680:H684,B$7),IF(AND(COUNT(H681:H692)=5,COUNT(F681:F692)=5),cubic_spline(F680:F685,H680:H685,B$7),IF(AND(COUNT(H681:H692)=6,COUNT(F681:F692)=6),cubic_spline(F680:F686,H680:H686,B$7),IF(AND(COUNT(H681:H692)=7,COUNT(F681:F692)=7),cubic_spline(F680:F687,H680:H687,B$7),IF(AND(COUNT(H681:H692)=8,COUNT(F681:F692)=8),cubic_spline(F680:F688,H680:H688,B$7),IF(AND(COUNT(H681:H692)=9,COUNT(F681:F692)=9),cubic_spline(F680:F689,H680:H689,B$7),IF(AND(COUNT(H681:H692)=10,COUNT(F681:F692)=10),cubic_spline(F680:F690,H680:H690,B$7),IF(AND(COUNT(H681:H692)=11,COUNT(F681:F692)=11),cubic_spline(F680:F691,H680:H691,B$7),IF(AND(COUNT(H681:H692)=12,COUNT(F681:F692)=12),cubic_spline(F680:F692,H680:H692,B$7),""))))))))))))</f>
        <v/>
      </c>
      <c r="K686" s="52" t="str">
        <f>IF(N(B$7)=0,"",IF(AND(COUNT(A681:A692)=2,COUNT(F681:F692)=2),cubic_spline(F680:F682,A680:A682,B$7),IF(AND(COUNT(A681:A692)=3,COUNT(F681:F692)=3),cubic_spline(F680:F683,A680:A683,B$7),IF(AND(COUNT(A681:A692)=4,COUNT(F681:F692)=4),cubic_spline(F680:F684,A680:A684,B$7),IF(AND(COUNT(A681:A692)=5,COUNT(F681:F692)=5),cubic_spline(F680:F685,A680:A685,B$7),IF(AND(COUNT(A681:A692)=6,COUNT(F681:F692)=6),cubic_spline(F680:F686,A680:A686,B$7),IF(AND(COUNT(A681:A692)=7,COUNT(F681:F692)=7),cubic_spline(F680:F687,A680:A687,B$7),IF(AND(COUNT(A681:A692)=8,COUNT(F681:F692)=8),cubic_spline(F680:F688,A680:A688,B$7),IF(AND(COUNT(A681:A692)=9,COUNT(F681:F692)=9),cubic_spline(F680:F689,A680:A689,B$7),IF(AND(COUNT(A681:A692)=10,COUNT(F681:F692)=10),cubic_spline(F680:F690,A680:A690,B$7),IF(AND(COUNT(A681:A692)=11,COUNT(F681:F692)=11),cubic_spline(F680:F691,A680:A691,B$7),IF(AND(COUNT(A681:A692)=12,COUNT(F681:F692)=12),cubic_spline(F680:F692,A680:A692,B$7),""))))))))))))</f>
        <v/>
      </c>
      <c r="L686" s="27" t="str">
        <f>IF(I686="","",B$6&amp;"-"&amp;B$7)</f>
        <v/>
      </c>
      <c r="M686" s="52" t="str">
        <f t="shared" ref="M686:M692" si="260">IF(N(J686)=0,"",J686-J685)</f>
        <v/>
      </c>
    </row>
    <row r="687" spans="1:13" x14ac:dyDescent="0.35">
      <c r="A687" s="48"/>
      <c r="B687" s="48"/>
      <c r="C687" s="50"/>
      <c r="D687" s="50"/>
      <c r="E687" s="51" t="str">
        <f t="shared" si="258"/>
        <v/>
      </c>
      <c r="F687" s="71" t="str">
        <f t="shared" si="256"/>
        <v/>
      </c>
      <c r="G687" s="69" t="str">
        <f t="shared" si="259"/>
        <v/>
      </c>
      <c r="H687" s="70" t="str">
        <f t="shared" si="257"/>
        <v/>
      </c>
      <c r="I687" s="27" t="str">
        <f>IF(N(J687)=0,"",0&amp;"-"&amp;B$8)</f>
        <v/>
      </c>
      <c r="J687" s="52" t="str">
        <f>IF(N(B$8)=0,"",IF(AND(COUNT(H681:H692)=2,COUNT(F681:F692)=2),cubic_spline(F680:F682,H680:H682,B$8),IF(AND(COUNT(H681:H692)=3,COUNT(F681:F692)=3),cubic_spline(F680:F683,H680:H683,B$8),IF(AND(COUNT(H681:H692)=4,COUNT(F681:F692)=4),cubic_spline(F680:F684,H680:H684,B$8),IF(AND(COUNT(H681:H692)=5,COUNT(F681:F692)=5),cubic_spline(F680:F685,H680:H685,B$8),IF(AND(COUNT(H681:H692)=6,COUNT(F681:F692)=6),cubic_spline(F680:F686,H680:H686,B$8),IF(AND(COUNT(H681:H692)=7,COUNT(F681:F692)=7),cubic_spline(F680:F687,H680:H687,B$8),IF(AND(COUNT(H681:H692)=8,COUNT(F681:F692)=8),cubic_spline(F680:F688,H680:H688,B$8),IF(AND(COUNT(H681:H692)=9,COUNT(F681:F692)=9),cubic_spline(F680:F689,H680:H689,B$8),IF(AND(COUNT(H681:H692)=10,COUNT(F681:F692)=10),cubic_spline(F680:F690,H680:H690,B$8),IF(AND(COUNT(H681:H692)=11,COUNT(F681:F692)=11),cubic_spline(F680:F691,H680:H691,B$8),IF(AND(COUNT(H681:H692)=12,COUNT(F681:F692)=12),cubic_spline(F680:F692,H680:H692,B$8),""))))))))))))</f>
        <v/>
      </c>
      <c r="K687" s="52" t="str">
        <f>IF(N(B$8)=0,"",IF(AND(COUNT(A681:A692)=2,COUNT(F681:F692)=2),cubic_spline(F680:F682,A680:A682,B$8),IF(AND(COUNT(A681:A692)=3,COUNT(F681:F692)=3),cubic_spline(F680:F683,A680:A683,B$8),IF(AND(COUNT(A681:A692)=4,COUNT(F681:F692)=4),cubic_spline(F680:F684,A680:A684,B$8),IF(AND(COUNT(A681:A692)=5,COUNT(F681:F692)=5),cubic_spline(F680:F685,A680:A685,B$8),IF(AND(COUNT(A681:A692)=6,COUNT(F681:F692)=6),cubic_spline(F680:F686,A680:A686,B$8),IF(AND(COUNT(A681:A692)=7,COUNT(F681:F692)=7),cubic_spline(F680:F687,A680:A687,B$8),IF(AND(COUNT(A681:A692)=8,COUNT(F681:F692)=8),cubic_spline(F680:F688,A680:A688,B$8),IF(AND(COUNT(A681:A692)=9,COUNT(F681:F692)=9),cubic_spline(F680:F689,A680:A689,B$8),IF(AND(COUNT(A681:A692)=10,COUNT(F681:F692)=10),cubic_spline(F680:F690,A680:A690,B$8),IF(AND(COUNT(A681:A692)=11,COUNT(F681:F692)=11),cubic_spline(F680:F691,A680:A691,B$8),IF(AND(COUNT(A681:A692)=12,COUNT(F681:F692)=12),cubic_spline(F680:F692,A680:A692,B$8),""))))))))))))</f>
        <v/>
      </c>
      <c r="L687" s="27" t="str">
        <f>IF(I687="","",B$7&amp;"-"&amp;B$8)</f>
        <v/>
      </c>
      <c r="M687" s="52" t="str">
        <f t="shared" si="260"/>
        <v/>
      </c>
    </row>
    <row r="688" spans="1:13" x14ac:dyDescent="0.35">
      <c r="A688" s="48"/>
      <c r="B688" s="48"/>
      <c r="C688" s="50"/>
      <c r="D688" s="50"/>
      <c r="E688" s="51" t="str">
        <f t="shared" si="258"/>
        <v/>
      </c>
      <c r="F688" s="71" t="str">
        <f t="shared" si="256"/>
        <v/>
      </c>
      <c r="G688" s="69" t="str">
        <f t="shared" si="259"/>
        <v/>
      </c>
      <c r="H688" s="70" t="str">
        <f t="shared" si="257"/>
        <v/>
      </c>
      <c r="I688" s="27" t="str">
        <f>IF(N(J688)=0,"",0&amp;"-"&amp;B$9)</f>
        <v/>
      </c>
      <c r="J688" s="52" t="str">
        <f>IF(N(B$9)=0,"",IF(AND(COUNT(H681:H692)=2,COUNT(F681:F692)=2),cubic_spline(F680:F682,H680:H682,B$9),IF(AND(COUNT(H681:H692)=3,COUNT(F681:F692)=3),cubic_spline(F680:F683,H680:H683,B$9),IF(AND(COUNT(H681:H692)=4,COUNT(F681:F692)=4),cubic_spline(F680:F684,H680:H684,B$9),IF(AND(COUNT(H681:H692)=5,COUNT(F681:F692)=5),cubic_spline(F680:F685,H680:H685,B$9),IF(AND(COUNT(H681:H692)=6,COUNT(F681:F692)=6),cubic_spline(F680:F686,H680:H686,B$9),IF(AND(COUNT(H681:H692)=7,COUNT(F681:F692)=7),cubic_spline(F680:F687,H680:H687,B$9),IF(AND(COUNT(H681:H692)=8,COUNT(F681:F692)=8),cubic_spline(F680:F688,H680:H688,B$9),IF(AND(COUNT(H681:H692)=9,COUNT(F681:F692)=9),cubic_spline(F680:F689,H680:H689,B$9),IF(AND(COUNT(H681:H692)=10,COUNT(F681:F692)=10),cubic_spline(F680:F690,H680:H690,B$9),IF(AND(COUNT(H681:H692)=11,COUNT(F681:F692)=11),cubic_spline(F680:F691,H680:H691,B$9),IF(AND(COUNT(H681:H692)=12,COUNT(F681:F692)=12),cubic_spline(F680:F692,H680:H692,B$9),""))))))))))))</f>
        <v/>
      </c>
      <c r="K688" s="52" t="str">
        <f>IF(N(B$9)=0,"",IF(AND(COUNT(A681:A692)=2,COUNT(F681:F692)=2),cubic_spline(F680:F682,A680:A682,B$9),IF(AND(COUNT(A681:A692)=3,COUNT(F681:F692)=3),cubic_spline(F680:F683,A680:A683,B$9),IF(AND(COUNT(A681:A692)=4,COUNT(F681:F692)=4),cubic_spline(F680:F684,A680:A684,B$9),IF(AND(COUNT(A681:A692)=5,COUNT(F681:F692)=5),cubic_spline(F680:F685,A680:A685,B$9),IF(AND(COUNT(A681:A692)=6,COUNT(F681:F692)=6),cubic_spline(F680:F686,A680:A686,B$9),IF(AND(COUNT(A681:A692)=7,COUNT(F681:F692)=7),cubic_spline(F680:F687,A680:A687,B$9),IF(AND(COUNT(A681:A692)=8,COUNT(F681:F692)=8),cubic_spline(F680:F688,A680:A688,B$9),IF(AND(COUNT(A681:A692)=9,COUNT(F681:F692)=9),cubic_spline(F680:F689,A680:A689,B$9),IF(AND(COUNT(A681:A692)=10,COUNT(F681:F692)=10),cubic_spline(F680:F690,A680:A690,B$9),IF(AND(COUNT(A681:A692)=11,COUNT(F681:F692)=11),cubic_spline(F680:F691,A680:A691,B$9),IF(AND(COUNT(A681:A692)=12,COUNT(F681:F692)=12),cubic_spline(F680:F692,A680:A692,B$9),""))))))))))))</f>
        <v/>
      </c>
      <c r="L688" s="27" t="str">
        <f>IF(I688="","",B$8&amp;"-"&amp;B$9)</f>
        <v/>
      </c>
      <c r="M688" s="52" t="str">
        <f t="shared" si="260"/>
        <v/>
      </c>
    </row>
    <row r="689" spans="1:13" x14ac:dyDescent="0.35">
      <c r="A689" s="48"/>
      <c r="B689" s="48"/>
      <c r="C689" s="50"/>
      <c r="D689" s="50"/>
      <c r="E689" s="51" t="str">
        <f t="shared" si="258"/>
        <v/>
      </c>
      <c r="F689" s="71" t="str">
        <f t="shared" si="256"/>
        <v/>
      </c>
      <c r="G689" s="69" t="str">
        <f t="shared" si="259"/>
        <v/>
      </c>
      <c r="H689" s="70" t="str">
        <f t="shared" si="257"/>
        <v/>
      </c>
      <c r="I689" s="27" t="str">
        <f>IF(N(J689)=0,"",0&amp;"-"&amp;B$10)</f>
        <v/>
      </c>
      <c r="J689" s="52" t="str">
        <f>IF(N(B$10)=0,"",IF(AND(COUNT(H681:H692)=2,COUNT(F681:F692)=2),cubic_spline(F680:F682,H680:H682,B$10),IF(AND(COUNT(H681:H692)=3,COUNT(F681:F692)=3),cubic_spline(F680:F683,H680:H683,B$10),IF(AND(COUNT(H681:H692)=4,COUNT(F681:F692)=4),cubic_spline(F680:F684,H680:H684,B$10),IF(AND(COUNT(H681:H692)=5,COUNT(F681:F692)=5),cubic_spline(F680:F685,H680:H685,B$10),IF(AND(COUNT(H681:H692)=6,COUNT(F681:F692)=6),cubic_spline(F680:F686,H680:H686,B$10),IF(AND(COUNT(H681:H692)=7,COUNT(F681:F692)=7),cubic_spline(F680:F687,H680:H687,B$10),IF(AND(COUNT(H681:H692)=8,COUNT(F681:F692)=8),cubic_spline(F680:F688,H680:H688,B$10),IF(AND(COUNT(H681:H692)=9,COUNT(F681:F692)=9),cubic_spline(F680:F689,H680:H689,B$10),IF(AND(COUNT(H681:H692)=10,COUNT(F681:F692)=10),cubic_spline(F680:F690,H680:H690,B$10),IF(AND(COUNT(H681:H692)=11,COUNT(F681:F692)=11),cubic_spline(F680:F691,H680:H691,B$10),IF(AND(COUNT(H681:H692)=12,COUNT(F681:F692)=12),cubic_spline(F680:F692,H680:H692,B$10),""))))))))))))</f>
        <v/>
      </c>
      <c r="K689" s="52" t="str">
        <f>IF(N(B$10)=0,"",IF(AND(COUNT(A681:A692)=2,COUNT(F681:F692)=2),cubic_spline(F680:F682,A680:A682,B$10),IF(AND(COUNT(A681:A692)=3,COUNT(F681:F692)=3),cubic_spline(F680:F683,A680:A683,B$10),IF(AND(COUNT(A681:A692)=4,COUNT(F681:F692)=4),cubic_spline(F680:F684,A680:A684,B$10),IF(AND(COUNT(A681:A692)=5,COUNT(F681:F692)=5),cubic_spline(F680:F685,A680:A685,B$10),IF(AND(COUNT(A681:A692)=6,COUNT(F681:F692)=6),cubic_spline(F680:F686,A680:A686,B$10),IF(AND(COUNT(A681:A692)=7,COUNT(F681:F692)=7),cubic_spline(F680:F687,A680:A687,B$10),IF(AND(COUNT(A681:A692)=8,COUNT(F681:F692)=8),cubic_spline(F680:F688,A680:A688,B$10),IF(AND(COUNT(A681:A692)=9,COUNT(F681:F692)=9),cubic_spline(F680:F689,A680:A689,B$10),IF(AND(COUNT(A681:A692)=10,COUNT(F681:F692)=10),cubic_spline(F680:F690,A680:A690,B$10),IF(AND(COUNT(A681:A692)=11,COUNT(F681:F692)=11),cubic_spline(F680:F691,A680:A691,B$10),IF(AND(COUNT(A681:A692)=12,COUNT(F681:F692)=12),cubic_spline(F680:F692,A680:A692,B$10),""))))))))))))</f>
        <v/>
      </c>
      <c r="L689" s="27" t="str">
        <f>IF(I689="","",B$9&amp;"-"&amp;B$10)</f>
        <v/>
      </c>
      <c r="M689" s="52" t="str">
        <f t="shared" si="260"/>
        <v/>
      </c>
    </row>
    <row r="690" spans="1:13" x14ac:dyDescent="0.35">
      <c r="A690" s="48"/>
      <c r="B690" s="48"/>
      <c r="C690" s="50"/>
      <c r="D690" s="50"/>
      <c r="E690" s="51" t="str">
        <f t="shared" si="258"/>
        <v/>
      </c>
      <c r="F690" s="71" t="str">
        <f t="shared" si="256"/>
        <v/>
      </c>
      <c r="G690" s="69" t="str">
        <f t="shared" si="259"/>
        <v/>
      </c>
      <c r="H690" s="70" t="str">
        <f t="shared" si="257"/>
        <v/>
      </c>
      <c r="I690" s="27" t="str">
        <f>IF(N(J690)=0,"",0&amp;"-"&amp;B$11)</f>
        <v/>
      </c>
      <c r="J690" s="52" t="str">
        <f>IF(N(B$11)=0,"",IF(AND(COUNT(H681:H692)=2,COUNT(F681:F692)=2),cubic_spline(F680:F682,H680:H682,B$11),IF(AND(COUNT(H681:H692)=3,COUNT(F681:F692)=3),cubic_spline(F680:F683,H680:H683,B$11),IF(AND(COUNT(H681:H692)=4,COUNT(F681:F692)=4),cubic_spline(F680:F684,H680:H684,B$11),IF(AND(COUNT(H681:H692)=5,COUNT(F681:F692)=5),cubic_spline(F680:F685,H680:H685,B$11),IF(AND(COUNT(H681:H692)=6,COUNT(F681:F692)=6),cubic_spline(F680:F686,H680:H686,B$11),IF(AND(COUNT(H681:H692)=7,COUNT(F681:F692)=7),cubic_spline(F680:F687,H680:H687,B$11),IF(AND(COUNT(H681:H692)=8,COUNT(F681:F692)=8),cubic_spline(F680:F688,H680:H688,B$11),IF(AND(COUNT(H681:H692)=9,COUNT(F681:F692)=9),cubic_spline(F680:F689,H680:H689,B$11),IF(AND(COUNT(H681:H692)=10,COUNT(F681:F692)=10),cubic_spline(F680:F690,H680:H690,B$11),IF(AND(COUNT(H681:H692)=11,COUNT(F681:F692)=11),cubic_spline(F680:F691,H680:H691,B$11),IF(AND(COUNT(H681:H692)=12,COUNT(F681:F692)=12),cubic_spline(F680:F692,H680:H692,B$11),""))))))))))))</f>
        <v/>
      </c>
      <c r="K690" s="52" t="str">
        <f>IF(N(B$11)=0,"",IF(AND(COUNT(A681:A692)=2,COUNT(F681:F692)=2),cubic_spline(F680:F682,A680:A682,B$11),IF(AND(COUNT(A681:A692)=3,COUNT(F681:F692)=3),cubic_spline(F680:F683,A680:A683,B$11),IF(AND(COUNT(A681:A692)=4,COUNT(F681:F692)=4),cubic_spline(F680:F684,A680:A684,B$11),IF(AND(COUNT(A681:A692)=5,COUNT(F681:F692)=5),cubic_spline(F680:F685,A680:A685,B$11),IF(AND(COUNT(A681:A692)=6,COUNT(F681:F692)=6),cubic_spline(F680:F686,A680:A686,B$11),IF(AND(COUNT(A681:A692)=7,COUNT(F681:F692)=7),cubic_spline(F680:F687,A680:A687,B$11),IF(AND(COUNT(A681:A692)=8,COUNT(F681:F692)=8),cubic_spline(F680:F688,A680:A688,B$11),IF(AND(COUNT(A681:A692)=9,COUNT(F681:F692)=9),cubic_spline(F680:F689,A680:A689,B$11),IF(AND(COUNT(A681:A692)=10,COUNT(F681:F692)=10),cubic_spline(F680:F690,A680:A690,B$11),IF(AND(COUNT(A681:A692)=11,COUNT(F681:F692)=11),cubic_spline(F680:F691,A680:A691,B$11),IF(AND(COUNT(A681:A692)=12,COUNT(F681:F692)=12),cubic_spline(F680:F692,A680:A692,B$11),""))))))))))))</f>
        <v/>
      </c>
      <c r="L690" s="27" t="str">
        <f>IF(I690="","",B$10&amp;"-"&amp;B$11)</f>
        <v/>
      </c>
      <c r="M690" s="52" t="str">
        <f t="shared" si="260"/>
        <v/>
      </c>
    </row>
    <row r="691" spans="1:13" x14ac:dyDescent="0.35">
      <c r="A691" s="48"/>
      <c r="B691" s="48"/>
      <c r="C691" s="50"/>
      <c r="D691" s="50"/>
      <c r="E691" s="51" t="str">
        <f t="shared" si="258"/>
        <v/>
      </c>
      <c r="F691" s="71" t="str">
        <f t="shared" si="256"/>
        <v/>
      </c>
      <c r="G691" s="69" t="str">
        <f t="shared" si="259"/>
        <v/>
      </c>
      <c r="H691" s="70" t="str">
        <f t="shared" si="257"/>
        <v/>
      </c>
      <c r="I691" s="27" t="str">
        <f>IF(N(J691)=0,"",0&amp;"-"&amp;B$12)</f>
        <v/>
      </c>
      <c r="J691" s="52" t="str">
        <f>IF(N(B$12)=0,"",IF(AND(COUNT(H681:H692)=2,COUNT(F681:F692)=2),cubic_spline(F680:F682,H680:H682,B$12),IF(AND(COUNT(H681:H692)=3,COUNT(F681:F692)=3),cubic_spline(F680:F683,H680:H683,B$12),IF(AND(COUNT(H681:H692)=4,COUNT(F681:F692)=4),cubic_spline(F680:F684,H680:H684,B$12),IF(AND(COUNT(H681:H692)=5,COUNT(F681:F692)=5),cubic_spline(F680:F685,H680:H685,B$12),IF(AND(COUNT(H681:H692)=6,COUNT(F681:F692)=6),cubic_spline(F680:F686,H680:H686,B$12),IF(AND(COUNT(H681:H692)=7,COUNT(F681:F692)=7),cubic_spline(F680:F687,H680:H687,B$12),IF(AND(COUNT(H681:H692)=8,COUNT(F681:F692)=8),cubic_spline(F680:F688,H680:H688,B$12),IF(AND(COUNT(H681:H692)=9,COUNT(F681:F692)=9),cubic_spline(F680:F689,H680:H689,B$12),IF(AND(COUNT(H681:H692)=10,COUNT(F681:F692)=10),cubic_spline(F680:F690,H680:H690,B$12),IF(AND(COUNT(H681:H692)=11,COUNT(F681:F692)=11),cubic_spline(F680:F691,H680:H691,B$12),IF(AND(COUNT(H681:H692)=12,COUNT(F681:F692)=12),cubic_spline(F680:F692,H680:H692,B$12),""))))))))))))</f>
        <v/>
      </c>
      <c r="K691" s="52" t="str">
        <f>IF(N(B$12)=0,"",IF(AND(COUNT(A681:A692)=2,COUNT(F681:F692)=2),cubic_spline(F680:F682,A680:A682,B$12),IF(AND(COUNT(A681:A692)=3,COUNT(F681:F692)=3),cubic_spline(F680:F683,A680:A683,B$12),IF(AND(COUNT(A681:A692)=4,COUNT(F681:F692)=4),cubic_spline(F680:F684,A680:A684,B$12),IF(AND(COUNT(A681:A692)=5,COUNT(F681:F692)=5),cubic_spline(F680:F685,A680:A685,B$12),IF(AND(COUNT(A681:A692)=6,COUNT(F681:F692)=6),cubic_spline(F680:F686,A680:A686,B$12),IF(AND(COUNT(A681:A692)=7,COUNT(F681:F692)=7),cubic_spline(F680:F687,A680:A687,B$12),IF(AND(COUNT(A681:A692)=8,COUNT(F681:F692)=8),cubic_spline(F680:F688,A680:A688,B$12),IF(AND(COUNT(A681:A692)=9,COUNT(F681:F692)=9),cubic_spline(F680:F689,A680:A689,B$12),IF(AND(COUNT(A681:A692)=10,COUNT(F681:F692)=10),cubic_spline(F680:F690,A680:A690,B$12),IF(AND(COUNT(A681:A692)=11,COUNT(F681:F692)=11),cubic_spline(F680:F691,A680:A691,B$12),IF(AND(COUNT(A681:A692)=12,COUNT(F681:F692)=12),cubic_spline(F680:F692,A680:A692,B$12),""))))))))))))</f>
        <v/>
      </c>
      <c r="L691" s="27" t="str">
        <f>IF(I691="","",B$11&amp;"-"&amp;B$12)</f>
        <v/>
      </c>
      <c r="M691" s="52" t="str">
        <f t="shared" si="260"/>
        <v/>
      </c>
    </row>
    <row r="692" spans="1:13" x14ac:dyDescent="0.35">
      <c r="A692" s="48"/>
      <c r="B692" s="48"/>
      <c r="C692" s="50"/>
      <c r="D692" s="50"/>
      <c r="E692" s="51" t="str">
        <f t="shared" si="258"/>
        <v/>
      </c>
      <c r="F692" s="71" t="str">
        <f t="shared" si="256"/>
        <v/>
      </c>
      <c r="G692" s="69" t="str">
        <f t="shared" si="259"/>
        <v/>
      </c>
      <c r="H692" s="70" t="str">
        <f t="shared" si="257"/>
        <v/>
      </c>
      <c r="I692" s="27" t="str">
        <f>IF(N(J692)=0,"",0&amp;"-"&amp;B$13)</f>
        <v/>
      </c>
      <c r="J692" s="52" t="str">
        <f>IF(N(B$13)=0,"",IF(AND(COUNT(H681:H692)=2,COUNT(F681:F692)=2),cubic_spline(F680:F682,H680:H682,B$13),IF(AND(COUNT(H681:H692)=3,COUNT(F681:F692)=3),cubic_spline(F680:F683,H680:H683,B$13),IF(AND(COUNT(H681:H692)=4,COUNT(F681:F692)=4),cubic_spline(F680:F684,H680:H684,B$13),IF(AND(COUNT(H681:H692)=5,COUNT(F681:F692)=5),cubic_spline(F680:F685,H680:H685,B$13),IF(AND(COUNT(H681:H692)=6,COUNT(F681:F692)=6),cubic_spline(F680:F686,H680:H686,B$13),IF(AND(COUNT(H681:H692)=7,COUNT(F681:F692)=7),cubic_spline(F680:F687,H680:H687,B$13),IF(AND(COUNT(H681:H692)=8,COUNT(F681:F692)=8),cubic_spline(F680:F688,H680:H688,B$13),IF(AND(COUNT(H681:H692)=9,COUNT(F681:F692)=9),cubic_spline(F680:F689,H680:H689,B$13),IF(AND(COUNT(H681:H692)=10,COUNT(F681:F692)=10),cubic_spline(F680:F690,H680:H690,B$13),IF(AND(COUNT(H681:H692)=11,COUNT(F681:F692)=11),cubic_spline(F680:F691,H680:H691,B$13),IF(AND(COUNT(H681:H692)=12,COUNT(F681:F692)=12),cubic_spline(F680:F692,H680:H692,B$13),""))))))))))))</f>
        <v/>
      </c>
      <c r="K692" s="52" t="str">
        <f>IF(N(B$13)=0,"",IF(AND(COUNT(A681:A692)=2,COUNT(F681:F692)=2),cubic_spline(F680:F682,A680:A682,B$13),IF(AND(COUNT(A681:A692)=3,COUNT(F681:F692)=3),cubic_spline(F680:F683,A680:A683,B$13),IF(AND(COUNT(A681:A692)=4,COUNT(F681:F692)=4),cubic_spline(F680:F684,A680:A684,B$13),IF(AND(COUNT(A681:A692)=5,COUNT(F681:F692)=5),cubic_spline(F680:F685,A680:A685,B$13),IF(AND(COUNT(A681:A692)=6,COUNT(F681:F692)=6),cubic_spline(F680:F686,A680:A686,B$13),IF(AND(COUNT(A681:A692)=7,COUNT(F681:F692)=7),cubic_spline(F680:F687,A680:A687,B$13),IF(AND(COUNT(A681:A692)=8,COUNT(F681:F692)=8),cubic_spline(F680:F688,A680:A688,B$13),IF(AND(COUNT(A681:A692)=9,COUNT(F681:F692)=9),cubic_spline(F680:F689,A680:A689,B$13),IF(AND(COUNT(A681:A692)=10,COUNT(F681:F692)=10),cubic_spline(F680:F690,A680:A690,B$13),IF(AND(COUNT(A681:A692)=11,COUNT(F681:F692)=11),cubic_spline(F680:F691,A680:A691,B$13),IF(AND(COUNT(A681:A692)=12,COUNT(F681:F692)=12),cubic_spline(F680:F692,A680:A692,B$13),""))))))))))))</f>
        <v/>
      </c>
      <c r="L692" s="27" t="str">
        <f>IF(I692="","",B$12&amp;"-"&amp;B$13)</f>
        <v/>
      </c>
      <c r="M692" s="52" t="str">
        <f t="shared" si="260"/>
        <v/>
      </c>
    </row>
    <row r="693" spans="1:13" ht="5.15" customHeight="1" x14ac:dyDescent="0.35">
      <c r="A693" s="47"/>
      <c r="B693" s="47"/>
      <c r="C693" s="53"/>
      <c r="D693" s="53"/>
      <c r="E693" s="54"/>
      <c r="F693" s="55"/>
      <c r="G693" s="72"/>
      <c r="H693" s="73"/>
      <c r="I693" s="47"/>
      <c r="J693" s="57"/>
      <c r="K693" s="57"/>
      <c r="L693" s="55"/>
      <c r="M693" s="57"/>
    </row>
    <row r="694" spans="1:13" x14ac:dyDescent="0.35">
      <c r="A694" s="48"/>
      <c r="B694" s="48"/>
      <c r="C694" s="50"/>
      <c r="D694" s="50"/>
      <c r="E694" s="51" t="str">
        <f>IF(N(C694)=0,"",(A694-A693)*C694*100)</f>
        <v/>
      </c>
      <c r="F694" s="68" t="str">
        <f t="shared" ref="F694:F705" si="261">IF(N(E694)=0,"",(N(E694)+N(F693)))</f>
        <v/>
      </c>
      <c r="G694" s="69" t="str">
        <f>IF(OR(N(D694)=0,N(E694)=0),"",(E694*D694)/1000)</f>
        <v/>
      </c>
      <c r="H694" s="70" t="str">
        <f t="shared" ref="H694:H705" si="262">IF(N(G694)=0,"",(N(G694)+N(H693)))</f>
        <v/>
      </c>
      <c r="I694" s="27" t="str">
        <f>IF(N(J694)=0,"",0&amp;"-"&amp;B$2)</f>
        <v/>
      </c>
      <c r="J694" s="52" t="str">
        <f>IF(N(B$2)=0,"",IF(AND(COUNT(H694:H705)=2,COUNT(F694:F705)=2),cubic_spline(F693:F695,H693:H695,B$2),IF(AND(COUNT(H694:H705)=3,COUNT(F694:F705)=3),cubic_spline(F693:F696,H693:H696,B$2),IF(AND(COUNT(H694:H705)=4,COUNT(F694:F705)=4),cubic_spline(F693:F697,H693:H697,B$2),IF(AND(COUNT(H694:H705)=5,COUNT(F694:F705)=5),cubic_spline(F693:F698,H693:H698,B$2),IF(AND(COUNT(H694:H705)=6,COUNT(F694:F705)=6),cubic_spline(F693:F699,H693:H699,B$2),IF(AND(COUNT(H694:H705)=7,COUNT(F694:F705)=7),cubic_spline(F693:F700,H693:H700,B$2),IF(AND(COUNT(H694:H705)=8,COUNT(F694:F705)=8),cubic_spline(F693:F701,H693:H701,B$2),IF(AND(COUNT(H694:H705)=9,COUNT(F694:F705)=9),cubic_spline(F693:F702,H693:H702,B$2),IF(AND(COUNT(H694:H705)=10,COUNT(F694:F705)=10),cubic_spline(F693:F703,H693:H703,B$2),IF(AND(COUNT(H694:H705)=11,COUNT(F694:F705)=11),cubic_spline(F693:F704,H693:H704,B$2),IF(AND(COUNT(H694:H705)=12,COUNT(F694:F705)=12),cubic_spline(F693:F705,H693:H705,B$2),""))))))))))))</f>
        <v/>
      </c>
      <c r="K694" s="52" t="str">
        <f>IF(N(B$2)=0,"",IF(AND(COUNT(A694:A705)=2,COUNT(F694:F705)=2),cubic_spline(F693:F695,A693:A695,B$2),IF(AND(COUNT(A694:A705)=3,COUNT(F694:F705)=3),cubic_spline(F693:F696,A693:A696,B$2),IF(AND(COUNT(A694:A705)=4,COUNT(F694:F705)=4),cubic_spline(F693:F697,A693:A697,B$2),IF(AND(COUNT(A694:A705)=5,COUNT(F694:F705)=5),cubic_spline(F693:F698,A693:A698,B$2),IF(AND(COUNT(A694:A705)=6,COUNT(F694:F705)=6),cubic_spline(F693:F699,A693:A699,B$2),IF(AND(COUNT(A694:A705)=7,COUNT(F694:F705)=7),cubic_spline(F693:F700,A693:A700,B$2),IF(AND(COUNT(A694:A705)=8,COUNT(F694:F705)=8),cubic_spline(F693:F701,A693:A701,B$2),IF(AND(COUNT(A694:A705)=9,COUNT(F694:F705)=9),cubic_spline(F693:F702,A693:A702,B$2),IF(AND(COUNT(A694:A705)=10,COUNT(F694:F705)=10),cubic_spline(F693:F703,A693:A703,B$2),IF(AND(COUNT(A694:A705)=11,COUNT(F694:F705)=11),cubic_spline(F693:F704,A693:A704,B$2),IF(AND(COUNT(A694:A705)=12,COUNT(F694:F705)=12),cubic_spline(F693:F705,A693:A705,B$2),""))))))))))))</f>
        <v/>
      </c>
      <c r="L694" s="27" t="str">
        <f>IF(I694="","",0&amp;"-"&amp;B$2)</f>
        <v/>
      </c>
      <c r="M694" s="52" t="str">
        <f>IF(N(J694)=0,"",J694-J693)</f>
        <v/>
      </c>
    </row>
    <row r="695" spans="1:13" x14ac:dyDescent="0.35">
      <c r="A695" s="48"/>
      <c r="B695" s="48"/>
      <c r="C695" s="50"/>
      <c r="D695" s="50"/>
      <c r="E695" s="51" t="str">
        <f t="shared" ref="E695:E705" si="263">IF(N(C695)=0,"",(A695-A694)*C695*100)</f>
        <v/>
      </c>
      <c r="F695" s="68" t="str">
        <f t="shared" si="261"/>
        <v/>
      </c>
      <c r="G695" s="69" t="str">
        <f t="shared" ref="G695:G705" si="264">IF(OR(N(D695)=0,N(E695)=0),"",(E695*D695)/1000)</f>
        <v/>
      </c>
      <c r="H695" s="70" t="str">
        <f t="shared" si="262"/>
        <v/>
      </c>
      <c r="I695" s="27" t="str">
        <f>IF(N(J695)=0,"",0&amp;"-"&amp;B$3)</f>
        <v/>
      </c>
      <c r="J695" s="52" t="str">
        <f>IF(N(B$3)=0,"",IF(AND(COUNT(H694:H705)=2,COUNT(F694:F705)=2),cubic_spline(F693:F695,H693:H695,B$3),IF(AND(COUNT(H694:H705)=3,COUNT(F694:F705)=3),cubic_spline(F693:F696,H693:H696,B$3),IF(AND(COUNT(H694:H705)=4,COUNT(F694:F705)=4),cubic_spline(F693:F697,H693:H697,B$3),IF(AND(COUNT(H694:H705)=5,COUNT(F694:F705)=5),cubic_spline(F693:F698,H693:H698,B$3),IF(AND(COUNT(H694:H705)=6,COUNT(F694:F705)=6),cubic_spline(F693:F699,H693:H699,B$3),IF(AND(COUNT(H694:H705)=7,COUNT(F694:F705)=7),cubic_spline(F693:F700,H693:H700,B$3),IF(AND(COUNT(H694:H705)=8,COUNT(F694:F705)=8),cubic_spline(F693:F701,H693:H701,B$3),IF(AND(COUNT(H694:H705)=9,COUNT(F694:F705)=9),cubic_spline(F693:F702,H693:H702,B$3),IF(AND(COUNT(H694:H705)=10,COUNT(F694:F705)=10),cubic_spline(F693:F703,H693:H703,B$3),IF(AND(COUNT(H694:H705)=11,COUNT(F694:F705)=11),cubic_spline(F693:F704,H693:H704,B$3),IF(AND(COUNT(H694:H705)=12,COUNT(F694:F705)=12),cubic_spline(F693:F705,H693:H705,B$3),""))))))))))))</f>
        <v/>
      </c>
      <c r="K695" s="52" t="str">
        <f>IF(N(B$3)=0,"",IF(AND(COUNT(A694:A705)=2,COUNT(F694:F705)=2),cubic_spline(F693:F695,A693:A695,B$3),IF(AND(COUNT(A694:A705)=3,COUNT(F694:F705)=3),cubic_spline(F693:F696,A693:A696,B$3),IF(AND(COUNT(A694:A705)=4,COUNT(F694:F705)=4),cubic_spline(F693:F697,A693:A697,B$3),IF(AND(COUNT(A694:A705)=5,COUNT(F694:F705)=5),cubic_spline(F693:F698,A693:A698,B$3),IF(AND(COUNT(A694:A705)=6,COUNT(F694:F705)=6),cubic_spline(F693:F699,A693:A699,B$3),IF(AND(COUNT(A694:A705)=7,COUNT(F694:F705)=7),cubic_spline(F693:F700,A693:A700,B$3),IF(AND(COUNT(A694:A705)=8,COUNT(F694:F705)=8),cubic_spline(F693:F701,A693:A701,B$3),IF(AND(COUNT(A694:A705)=9,COUNT(F694:F705)=9),cubic_spline(F693:F702,A693:A702,B$3),IF(AND(COUNT(A694:A705)=10,COUNT(F694:F705)=10),cubic_spline(F693:F703,A693:A703,B$3),IF(AND(COUNT(A694:A705)=11,COUNT(F694:F705)=11),cubic_spline(F693:F704,A693:A704,B$3),IF(AND(COUNT(A694:A705)=12,COUNT(F694:F705)=12),cubic_spline(F693:F705,A693:A705,B$3),""))))))))))))</f>
        <v/>
      </c>
      <c r="L695" s="27" t="str">
        <f>IF(I695="","",B$2&amp;"-"&amp;B$3)</f>
        <v/>
      </c>
      <c r="M695" s="52" t="str">
        <f>IF(N(J695)=0,"",J695-J694)</f>
        <v/>
      </c>
    </row>
    <row r="696" spans="1:13" x14ac:dyDescent="0.35">
      <c r="A696" s="48"/>
      <c r="B696" s="48"/>
      <c r="C696" s="50"/>
      <c r="D696" s="50"/>
      <c r="E696" s="51" t="str">
        <f t="shared" si="263"/>
        <v/>
      </c>
      <c r="F696" s="68" t="str">
        <f t="shared" si="261"/>
        <v/>
      </c>
      <c r="G696" s="69" t="str">
        <f t="shared" si="264"/>
        <v/>
      </c>
      <c r="H696" s="70" t="str">
        <f t="shared" si="262"/>
        <v/>
      </c>
      <c r="I696" s="27" t="str">
        <f>IF(N(J696)=0,"",0&amp;"-"&amp;B$4)</f>
        <v/>
      </c>
      <c r="J696" s="52" t="str">
        <f>IF(N(B$4)=0,"",IF(AND(COUNT(H694:H705)=2,COUNT(F694:F705)=2),cubic_spline(F693:F695,H693:H695,B$4),IF(AND(COUNT(H694:H705)=3,COUNT(F694:F705)=3),cubic_spline(F693:F696,H693:H696,B$4),IF(AND(COUNT(H694:H705)=4,COUNT(F694:F705)=4),cubic_spline(F693:F697,H693:H697,B$4),IF(AND(COUNT(H694:H705)=5,COUNT(F694:F705)=5),cubic_spline(F693:F698,H693:H698,B$4),IF(AND(COUNT(H694:H705)=6,COUNT(F694:F705)=6),cubic_spline(F693:F699,H693:H699,B$4),IF(AND(COUNT(H694:H705)=7,COUNT(F694:F705)=7),cubic_spline(F693:F700,H693:H700,B$4),IF(AND(COUNT(H694:H705)=8,COUNT(F694:F705)=8),cubic_spline(F693:F701,H693:H701,B$4),IF(AND(COUNT(H694:H705)=9,COUNT(F694:F705)=9),cubic_spline(F693:F702,H693:H702,B$4),IF(AND(COUNT(H694:H705)=10,COUNT(F694:F705)=10),cubic_spline(F693:F703,H693:H703,B$4),IF(AND(COUNT(H694:H705)=11,COUNT(F694:F705)=11),cubic_spline(F693:F704,H693:H704,B$4),IF(AND(COUNT(H694:H705)=12,COUNT(F694:F705)=12),cubic_spline(F693:F705,H693:H705,B$4),""))))))))))))</f>
        <v/>
      </c>
      <c r="K696" s="52" t="str">
        <f>IF(N(B$4)=0,"",IF(AND(COUNT(A694:A705)=2,COUNT(F694:F705)=2),cubic_spline(F693:F695,A693:A695,B$4),IF(AND(COUNT(A694:A705)=3,COUNT(F694:F705)=3),cubic_spline(F693:F696,A693:A696,B$4),IF(AND(COUNT(A694:A705)=4,COUNT(F694:F705)=4),cubic_spline(F693:F697,A693:A697,B$4),IF(AND(COUNT(A694:A705)=5,COUNT(F694:F705)=5),cubic_spline(F693:F698,A693:A698,B$4),IF(AND(COUNT(A694:A705)=6,COUNT(F694:F705)=6),cubic_spline(F693:F699,A693:A699,B$4),IF(AND(COUNT(A694:A705)=7,COUNT(F694:F705)=7),cubic_spline(F693:F700,A693:A700,B$4),IF(AND(COUNT(A694:A705)=8,COUNT(F694:F705)=8),cubic_spline(F693:F701,A693:A701,B$4),IF(AND(COUNT(A694:A705)=9,COUNT(F694:F705)=9),cubic_spline(F693:F702,A693:A702,B$4),IF(AND(COUNT(A694:A705)=10,COUNT(F694:F705)=10),cubic_spline(F693:F703,A693:A703,B$4),IF(AND(COUNT(A694:A705)=11,COUNT(F694:F705)=11),cubic_spline(F693:F704,A693:A704,B$4),IF(AND(COUNT(A694:A705)=12,COUNT(F694:F705)=12),cubic_spline(F693:F705,A693:A705,B$4),""))))))))))))</f>
        <v/>
      </c>
      <c r="L696" s="27" t="str">
        <f>IF(I696="","",B$3&amp;"-"&amp;B$4)</f>
        <v/>
      </c>
      <c r="M696" s="52" t="str">
        <f>IF(N(J696)=0,"",J696-J695)</f>
        <v/>
      </c>
    </row>
    <row r="697" spans="1:13" x14ac:dyDescent="0.35">
      <c r="A697" s="48"/>
      <c r="B697" s="48"/>
      <c r="C697" s="50"/>
      <c r="D697" s="50"/>
      <c r="E697" s="51" t="str">
        <f t="shared" si="263"/>
        <v/>
      </c>
      <c r="F697" s="68" t="str">
        <f t="shared" si="261"/>
        <v/>
      </c>
      <c r="G697" s="69" t="str">
        <f t="shared" si="264"/>
        <v/>
      </c>
      <c r="H697" s="70" t="str">
        <f t="shared" si="262"/>
        <v/>
      </c>
      <c r="I697" s="27" t="str">
        <f>IF(N(J697)=0,"",0&amp;"-"&amp;B$5)</f>
        <v/>
      </c>
      <c r="J697" s="52" t="str">
        <f>IF(N(B$5)=0,"",IF(AND(COUNT(H694:H705)=2,COUNT(F694:F705)=2),cubic_spline(F693:F695,H693:H695,B$5),IF(AND(COUNT(H694:H705)=3,COUNT(F694:F705)=3),cubic_spline(F693:F696,H693:H696,B$5),IF(AND(COUNT(H694:H705)=4,COUNT(F694:F705)=4),cubic_spline(F693:F697,H693:H697,B$5),IF(AND(COUNT(H694:H705)=5,COUNT(F694:F705)=5),cubic_spline(F693:F698,H693:H698,B$5),IF(AND(COUNT(H694:H705)=6,COUNT(F694:F705)=6),cubic_spline(F693:F699,H693:H699,B$5),IF(AND(COUNT(H694:H705)=7,COUNT(F694:F705)=7),cubic_spline(F693:F700,H693:H700,B$5),IF(AND(COUNT(H694:H705)=8,COUNT(F694:F705)=8),cubic_spline(F693:F701,H693:H701,B$5),IF(AND(COUNT(H694:H705)=9,COUNT(F694:F705)=9),cubic_spline(F693:F702,H693:H702,B$5),IF(AND(COUNT(H694:H705)=10,COUNT(F694:F705)=10),cubic_spline(F693:F703,H693:H703,B$5),IF(AND(COUNT(H694:H705)=11,COUNT(F694:F705)=11),cubic_spline(F693:F704,H693:H704,B$5),IF(AND(COUNT(H694:H705)=12,COUNT(F694:F705)=12),cubic_spline(F693:F705,H693:H705,B$5),""))))))))))))</f>
        <v/>
      </c>
      <c r="K697" s="52" t="str">
        <f>IF(N(B$5)=0,"",IF(AND(COUNT(A694:A705)=2,COUNT(F694:F705)=2),cubic_spline(F693:F695,A693:A695,B$5),IF(AND(COUNT(A694:A705)=3,COUNT(F694:F705)=3),cubic_spline(F693:F696,A693:A696,B$5),IF(AND(COUNT(A694:A705)=4,COUNT(F694:F705)=4),cubic_spline(F693:F697,A693:A697,B$5),IF(AND(COUNT(A694:A705)=5,COUNT(F694:F705)=5),cubic_spline(F693:F698,A693:A698,B$5),IF(AND(COUNT(A694:A705)=6,COUNT(F694:F705)=6),cubic_spline(F693:F699,A693:A699,B$5),IF(AND(COUNT(A694:A705)=7,COUNT(F694:F705)=7),cubic_spline(F693:F700,A693:A700,B$5),IF(AND(COUNT(A694:A705)=8,COUNT(F694:F705)=8),cubic_spline(F693:F701,A693:A701,B$5),IF(AND(COUNT(A694:A705)=9,COUNT(F694:F705)=9),cubic_spline(F693:F702,A693:A702,B$5),IF(AND(COUNT(A694:A705)=10,COUNT(F694:F705)=10),cubic_spline(F693:F703,A693:A703,B$5),IF(AND(COUNT(A694:A705)=11,COUNT(F694:F705)=11),cubic_spline(F693:F704,A693:A704,B$5),IF(AND(COUNT(A694:A705)=12,COUNT(F694:F705)=12),cubic_spline(F693:F705,A693:A705,B$5),""))))))))))))</f>
        <v/>
      </c>
      <c r="L697" s="27" t="str">
        <f>IF(I697="","",B$4&amp;"-"&amp;B$5)</f>
        <v/>
      </c>
      <c r="M697" s="52" t="str">
        <f>IF(N(J697)=0,"",J697-J696)</f>
        <v/>
      </c>
    </row>
    <row r="698" spans="1:13" x14ac:dyDescent="0.35">
      <c r="A698" s="48"/>
      <c r="B698" s="48"/>
      <c r="C698" s="50"/>
      <c r="D698" s="50"/>
      <c r="E698" s="51" t="str">
        <f t="shared" si="263"/>
        <v/>
      </c>
      <c r="F698" s="71" t="str">
        <f t="shared" si="261"/>
        <v/>
      </c>
      <c r="G698" s="69" t="str">
        <f t="shared" si="264"/>
        <v/>
      </c>
      <c r="H698" s="70" t="str">
        <f t="shared" si="262"/>
        <v/>
      </c>
      <c r="I698" s="27" t="str">
        <f>IF(N(J698)=0,"",0&amp;"-"&amp;B$6)</f>
        <v/>
      </c>
      <c r="J698" s="52" t="str">
        <f>IF(N(B$6)=0,"",IF(AND(COUNT(H694:H705)=2,COUNT(F694:F705)=2),cubic_spline(F693:F695,H693:H695,B$6),IF(AND(COUNT(H694:H705)=3,COUNT(F694:F705)=3),cubic_spline(F693:F696,H693:H696,B$6),IF(AND(COUNT(H694:H705)=4,COUNT(F694:F705)=4),cubic_spline(F693:F697,H693:H697,B$6),IF(AND(COUNT(H694:H705)=5,COUNT(F694:F705)=5),cubic_spline(F693:F698,H693:H698,B$6),IF(AND(COUNT(H694:H705)=6,COUNT(F694:F705)=6),cubic_spline(F693:F699,H693:H699,B$6),IF(AND(COUNT(H694:H705)=7,COUNT(F694:F705)=7),cubic_spline(F693:F700,H693:H700,B$6),IF(AND(COUNT(H694:H705)=8,COUNT(F694:F705)=8),cubic_spline(F693:F701,H693:H701,B$6),IF(AND(COUNT(H694:H705)=9,COUNT(F694:F705)=9),cubic_spline(F693:F702,H693:H702,B$6),IF(AND(COUNT(H694:H705)=10,COUNT(F694:F705)=10),cubic_spline(F693:F703,H693:H703,B$6),IF(AND(COUNT(H694:H705)=11,COUNT(F694:F705)=11),cubic_spline(F693:F704,H693:H704,B$6),IF(AND(COUNT(H694:H705)=12,COUNT(F694:F705)=12),cubic_spline(F693:F705,H693:H705,B$6),""))))))))))))</f>
        <v/>
      </c>
      <c r="K698" s="52" t="str">
        <f>IF(N(B$6)=0,"",IF(AND(COUNT(A694:A705)=2,COUNT(F694:F705)=2),cubic_spline(F693:F695,A693:A695,B$6),IF(AND(COUNT(A694:A705)=3,COUNT(F694:F705)=3),cubic_spline(F693:F696,A693:A696,B$6),IF(AND(COUNT(A694:A705)=4,COUNT(F694:F705)=4),cubic_spline(F693:F697,A693:A697,B$6),IF(AND(COUNT(A694:A705)=5,COUNT(F694:F705)=5),cubic_spline(F693:F698,A693:A698,B$6),IF(AND(COUNT(A694:A705)=6,COUNT(F694:F705)=6),cubic_spline(F693:F699,A693:A699,B$6),IF(AND(COUNT(A694:A705)=7,COUNT(F694:F705)=7),cubic_spline(F693:F700,A693:A700,B$6),IF(AND(COUNT(A694:A705)=8,COUNT(F694:F705)=8),cubic_spline(F693:F701,A693:A701,B$6),IF(AND(COUNT(A694:A705)=9,COUNT(F694:F705)=9),cubic_spline(F693:F702,A693:A702,B$6),IF(AND(COUNT(A694:A705)=10,COUNT(F694:F705)=10),cubic_spline(F693:F703,A693:A703,B$6),IF(AND(COUNT(A694:A705)=11,COUNT(F694:F705)=11),cubic_spline(F693:F704,A693:A704,B$6),IF(AND(COUNT(A694:A705)=12,COUNT(F694:F705)=12),cubic_spline(F693:F705,A693:A705,B$6),""))))))))))))</f>
        <v/>
      </c>
      <c r="L698" s="27" t="str">
        <f>IF(I698="","",B$5&amp;"-"&amp;B$6)</f>
        <v/>
      </c>
      <c r="M698" s="52" t="str">
        <f>IF(N(J698)=0,"",J698-J697)</f>
        <v/>
      </c>
    </row>
    <row r="699" spans="1:13" x14ac:dyDescent="0.35">
      <c r="A699" s="48"/>
      <c r="B699" s="48"/>
      <c r="C699" s="50"/>
      <c r="D699" s="50"/>
      <c r="E699" s="51" t="str">
        <f t="shared" si="263"/>
        <v/>
      </c>
      <c r="F699" s="71" t="str">
        <f t="shared" si="261"/>
        <v/>
      </c>
      <c r="G699" s="69" t="str">
        <f t="shared" si="264"/>
        <v/>
      </c>
      <c r="H699" s="70" t="str">
        <f t="shared" si="262"/>
        <v/>
      </c>
      <c r="I699" s="27" t="str">
        <f>IF(N(J699)=0,"",0&amp;"-"&amp;B$7)</f>
        <v/>
      </c>
      <c r="J699" s="52" t="str">
        <f>IF(N(B$7)=0,"",IF(AND(COUNT(H694:H705)=2,COUNT(F694:F705)=2),cubic_spline(F693:F695,H693:H695,B$7),IF(AND(COUNT(H694:H705)=3,COUNT(F694:F705)=3),cubic_spline(F693:F696,H693:H696,B$7),IF(AND(COUNT(H694:H705)=4,COUNT(F694:F705)=4),cubic_spline(F693:F697,H693:H697,B$7),IF(AND(COUNT(H694:H705)=5,COUNT(F694:F705)=5),cubic_spline(F693:F698,H693:H698,B$7),IF(AND(COUNT(H694:H705)=6,COUNT(F694:F705)=6),cubic_spline(F693:F699,H693:H699,B$7),IF(AND(COUNT(H694:H705)=7,COUNT(F694:F705)=7),cubic_spline(F693:F700,H693:H700,B$7),IF(AND(COUNT(H694:H705)=8,COUNT(F694:F705)=8),cubic_spline(F693:F701,H693:H701,B$7),IF(AND(COUNT(H694:H705)=9,COUNT(F694:F705)=9),cubic_spline(F693:F702,H693:H702,B$7),IF(AND(COUNT(H694:H705)=10,COUNT(F694:F705)=10),cubic_spline(F693:F703,H693:H703,B$7),IF(AND(COUNT(H694:H705)=11,COUNT(F694:F705)=11),cubic_spline(F693:F704,H693:H704,B$7),IF(AND(COUNT(H694:H705)=12,COUNT(F694:F705)=12),cubic_spline(F693:F705,H693:H705,B$7),""))))))))))))</f>
        <v/>
      </c>
      <c r="K699" s="52" t="str">
        <f>IF(N(B$7)=0,"",IF(AND(COUNT(A694:A705)=2,COUNT(F694:F705)=2),cubic_spline(F693:F695,A693:A695,B$7),IF(AND(COUNT(A694:A705)=3,COUNT(F694:F705)=3),cubic_spline(F693:F696,A693:A696,B$7),IF(AND(COUNT(A694:A705)=4,COUNT(F694:F705)=4),cubic_spline(F693:F697,A693:A697,B$7),IF(AND(COUNT(A694:A705)=5,COUNT(F694:F705)=5),cubic_spline(F693:F698,A693:A698,B$7),IF(AND(COUNT(A694:A705)=6,COUNT(F694:F705)=6),cubic_spline(F693:F699,A693:A699,B$7),IF(AND(COUNT(A694:A705)=7,COUNT(F694:F705)=7),cubic_spline(F693:F700,A693:A700,B$7),IF(AND(COUNT(A694:A705)=8,COUNT(F694:F705)=8),cubic_spline(F693:F701,A693:A701,B$7),IF(AND(COUNT(A694:A705)=9,COUNT(F694:F705)=9),cubic_spline(F693:F702,A693:A702,B$7),IF(AND(COUNT(A694:A705)=10,COUNT(F694:F705)=10),cubic_spline(F693:F703,A693:A703,B$7),IF(AND(COUNT(A694:A705)=11,COUNT(F694:F705)=11),cubic_spline(F693:F704,A693:A704,B$7),IF(AND(COUNT(A694:A705)=12,COUNT(F694:F705)=12),cubic_spline(F693:F705,A693:A705,B$7),""))))))))))))</f>
        <v/>
      </c>
      <c r="L699" s="27" t="str">
        <f>IF(I699="","",B$6&amp;"-"&amp;B$7)</f>
        <v/>
      </c>
      <c r="M699" s="52" t="str">
        <f t="shared" ref="M699:M705" si="265">IF(N(J699)=0,"",J699-J698)</f>
        <v/>
      </c>
    </row>
    <row r="700" spans="1:13" x14ac:dyDescent="0.35">
      <c r="A700" s="48"/>
      <c r="B700" s="48"/>
      <c r="C700" s="50"/>
      <c r="D700" s="50"/>
      <c r="E700" s="51" t="str">
        <f t="shared" si="263"/>
        <v/>
      </c>
      <c r="F700" s="71" t="str">
        <f t="shared" si="261"/>
        <v/>
      </c>
      <c r="G700" s="69" t="str">
        <f t="shared" si="264"/>
        <v/>
      </c>
      <c r="H700" s="70" t="str">
        <f t="shared" si="262"/>
        <v/>
      </c>
      <c r="I700" s="27" t="str">
        <f>IF(N(J700)=0,"",0&amp;"-"&amp;B$8)</f>
        <v/>
      </c>
      <c r="J700" s="52" t="str">
        <f>IF(N(B$8)=0,"",IF(AND(COUNT(H694:H705)=2,COUNT(F694:F705)=2),cubic_spline(F693:F695,H693:H695,B$8),IF(AND(COUNT(H694:H705)=3,COUNT(F694:F705)=3),cubic_spline(F693:F696,H693:H696,B$8),IF(AND(COUNT(H694:H705)=4,COUNT(F694:F705)=4),cubic_spline(F693:F697,H693:H697,B$8),IF(AND(COUNT(H694:H705)=5,COUNT(F694:F705)=5),cubic_spline(F693:F698,H693:H698,B$8),IF(AND(COUNT(H694:H705)=6,COUNT(F694:F705)=6),cubic_spline(F693:F699,H693:H699,B$8),IF(AND(COUNT(H694:H705)=7,COUNT(F694:F705)=7),cubic_spline(F693:F700,H693:H700,B$8),IF(AND(COUNT(H694:H705)=8,COUNT(F694:F705)=8),cubic_spline(F693:F701,H693:H701,B$8),IF(AND(COUNT(H694:H705)=9,COUNT(F694:F705)=9),cubic_spline(F693:F702,H693:H702,B$8),IF(AND(COUNT(H694:H705)=10,COUNT(F694:F705)=10),cubic_spline(F693:F703,H693:H703,B$8),IF(AND(COUNT(H694:H705)=11,COUNT(F694:F705)=11),cubic_spline(F693:F704,H693:H704,B$8),IF(AND(COUNT(H694:H705)=12,COUNT(F694:F705)=12),cubic_spline(F693:F705,H693:H705,B$8),""))))))))))))</f>
        <v/>
      </c>
      <c r="K700" s="52" t="str">
        <f>IF(N(B$8)=0,"",IF(AND(COUNT(A694:A705)=2,COUNT(F694:F705)=2),cubic_spline(F693:F695,A693:A695,B$8),IF(AND(COUNT(A694:A705)=3,COUNT(F694:F705)=3),cubic_spline(F693:F696,A693:A696,B$8),IF(AND(COUNT(A694:A705)=4,COUNT(F694:F705)=4),cubic_spline(F693:F697,A693:A697,B$8),IF(AND(COUNT(A694:A705)=5,COUNT(F694:F705)=5),cubic_spline(F693:F698,A693:A698,B$8),IF(AND(COUNT(A694:A705)=6,COUNT(F694:F705)=6),cubic_spline(F693:F699,A693:A699,B$8),IF(AND(COUNT(A694:A705)=7,COUNT(F694:F705)=7),cubic_spline(F693:F700,A693:A700,B$8),IF(AND(COUNT(A694:A705)=8,COUNT(F694:F705)=8),cubic_spline(F693:F701,A693:A701,B$8),IF(AND(COUNT(A694:A705)=9,COUNT(F694:F705)=9),cubic_spline(F693:F702,A693:A702,B$8),IF(AND(COUNT(A694:A705)=10,COUNT(F694:F705)=10),cubic_spline(F693:F703,A693:A703,B$8),IF(AND(COUNT(A694:A705)=11,COUNT(F694:F705)=11),cubic_spline(F693:F704,A693:A704,B$8),IF(AND(COUNT(A694:A705)=12,COUNT(F694:F705)=12),cubic_spline(F693:F705,A693:A705,B$8),""))))))))))))</f>
        <v/>
      </c>
      <c r="L700" s="27" t="str">
        <f>IF(I700="","",B$7&amp;"-"&amp;B$8)</f>
        <v/>
      </c>
      <c r="M700" s="52" t="str">
        <f t="shared" si="265"/>
        <v/>
      </c>
    </row>
    <row r="701" spans="1:13" x14ac:dyDescent="0.35">
      <c r="A701" s="48"/>
      <c r="B701" s="48"/>
      <c r="C701" s="50"/>
      <c r="D701" s="50"/>
      <c r="E701" s="51" t="str">
        <f t="shared" si="263"/>
        <v/>
      </c>
      <c r="F701" s="71" t="str">
        <f t="shared" si="261"/>
        <v/>
      </c>
      <c r="G701" s="69" t="str">
        <f t="shared" si="264"/>
        <v/>
      </c>
      <c r="H701" s="70" t="str">
        <f t="shared" si="262"/>
        <v/>
      </c>
      <c r="I701" s="27" t="str">
        <f>IF(N(J701)=0,"",0&amp;"-"&amp;B$9)</f>
        <v/>
      </c>
      <c r="J701" s="52" t="str">
        <f>IF(N(B$9)=0,"",IF(AND(COUNT(H694:H705)=2,COUNT(F694:F705)=2),cubic_spline(F693:F695,H693:H695,B$9),IF(AND(COUNT(H694:H705)=3,COUNT(F694:F705)=3),cubic_spline(F693:F696,H693:H696,B$9),IF(AND(COUNT(H694:H705)=4,COUNT(F694:F705)=4),cubic_spline(F693:F697,H693:H697,B$9),IF(AND(COUNT(H694:H705)=5,COUNT(F694:F705)=5),cubic_spline(F693:F698,H693:H698,B$9),IF(AND(COUNT(H694:H705)=6,COUNT(F694:F705)=6),cubic_spline(F693:F699,H693:H699,B$9),IF(AND(COUNT(H694:H705)=7,COUNT(F694:F705)=7),cubic_spline(F693:F700,H693:H700,B$9),IF(AND(COUNT(H694:H705)=8,COUNT(F694:F705)=8),cubic_spline(F693:F701,H693:H701,B$9),IF(AND(COUNT(H694:H705)=9,COUNT(F694:F705)=9),cubic_spline(F693:F702,H693:H702,B$9),IF(AND(COUNT(H694:H705)=10,COUNT(F694:F705)=10),cubic_spline(F693:F703,H693:H703,B$9),IF(AND(COUNT(H694:H705)=11,COUNT(F694:F705)=11),cubic_spline(F693:F704,H693:H704,B$9),IF(AND(COUNT(H694:H705)=12,COUNT(F694:F705)=12),cubic_spline(F693:F705,H693:H705,B$9),""))))))))))))</f>
        <v/>
      </c>
      <c r="K701" s="52" t="str">
        <f>IF(N(B$9)=0,"",IF(AND(COUNT(A694:A705)=2,COUNT(F694:F705)=2),cubic_spline(F693:F695,A693:A695,B$9),IF(AND(COUNT(A694:A705)=3,COUNT(F694:F705)=3),cubic_spline(F693:F696,A693:A696,B$9),IF(AND(COUNT(A694:A705)=4,COUNT(F694:F705)=4),cubic_spline(F693:F697,A693:A697,B$9),IF(AND(COUNT(A694:A705)=5,COUNT(F694:F705)=5),cubic_spline(F693:F698,A693:A698,B$9),IF(AND(COUNT(A694:A705)=6,COUNT(F694:F705)=6),cubic_spline(F693:F699,A693:A699,B$9),IF(AND(COUNT(A694:A705)=7,COUNT(F694:F705)=7),cubic_spline(F693:F700,A693:A700,B$9),IF(AND(COUNT(A694:A705)=8,COUNT(F694:F705)=8),cubic_spline(F693:F701,A693:A701,B$9),IF(AND(COUNT(A694:A705)=9,COUNT(F694:F705)=9),cubic_spline(F693:F702,A693:A702,B$9),IF(AND(COUNT(A694:A705)=10,COUNT(F694:F705)=10),cubic_spline(F693:F703,A693:A703,B$9),IF(AND(COUNT(A694:A705)=11,COUNT(F694:F705)=11),cubic_spline(F693:F704,A693:A704,B$9),IF(AND(COUNT(A694:A705)=12,COUNT(F694:F705)=12),cubic_spline(F693:F705,A693:A705,B$9),""))))))))))))</f>
        <v/>
      </c>
      <c r="L701" s="27" t="str">
        <f>IF(I701="","",B$8&amp;"-"&amp;B$9)</f>
        <v/>
      </c>
      <c r="M701" s="52" t="str">
        <f t="shared" si="265"/>
        <v/>
      </c>
    </row>
    <row r="702" spans="1:13" x14ac:dyDescent="0.35">
      <c r="A702" s="48"/>
      <c r="B702" s="48"/>
      <c r="C702" s="50"/>
      <c r="D702" s="50"/>
      <c r="E702" s="51" t="str">
        <f t="shared" si="263"/>
        <v/>
      </c>
      <c r="F702" s="71" t="str">
        <f t="shared" si="261"/>
        <v/>
      </c>
      <c r="G702" s="69" t="str">
        <f t="shared" si="264"/>
        <v/>
      </c>
      <c r="H702" s="70" t="str">
        <f t="shared" si="262"/>
        <v/>
      </c>
      <c r="I702" s="27" t="str">
        <f>IF(N(J702)=0,"",0&amp;"-"&amp;B$10)</f>
        <v/>
      </c>
      <c r="J702" s="52" t="str">
        <f>IF(N(B$10)=0,"",IF(AND(COUNT(H694:H705)=2,COUNT(F694:F705)=2),cubic_spline(F693:F695,H693:H695,B$10),IF(AND(COUNT(H694:H705)=3,COUNT(F694:F705)=3),cubic_spline(F693:F696,H693:H696,B$10),IF(AND(COUNT(H694:H705)=4,COUNT(F694:F705)=4),cubic_spline(F693:F697,H693:H697,B$10),IF(AND(COUNT(H694:H705)=5,COUNT(F694:F705)=5),cubic_spline(F693:F698,H693:H698,B$10),IF(AND(COUNT(H694:H705)=6,COUNT(F694:F705)=6),cubic_spline(F693:F699,H693:H699,B$10),IF(AND(COUNT(H694:H705)=7,COUNT(F694:F705)=7),cubic_spline(F693:F700,H693:H700,B$10),IF(AND(COUNT(H694:H705)=8,COUNT(F694:F705)=8),cubic_spline(F693:F701,H693:H701,B$10),IF(AND(COUNT(H694:H705)=9,COUNT(F694:F705)=9),cubic_spline(F693:F702,H693:H702,B$10),IF(AND(COUNT(H694:H705)=10,COUNT(F694:F705)=10),cubic_spline(F693:F703,H693:H703,B$10),IF(AND(COUNT(H694:H705)=11,COUNT(F694:F705)=11),cubic_spline(F693:F704,H693:H704,B$10),IF(AND(COUNT(H694:H705)=12,COUNT(F694:F705)=12),cubic_spline(F693:F705,H693:H705,B$10),""))))))))))))</f>
        <v/>
      </c>
      <c r="K702" s="52" t="str">
        <f>IF(N(B$10)=0,"",IF(AND(COUNT(A694:A705)=2,COUNT(F694:F705)=2),cubic_spline(F693:F695,A693:A695,B$10),IF(AND(COUNT(A694:A705)=3,COUNT(F694:F705)=3),cubic_spline(F693:F696,A693:A696,B$10),IF(AND(COUNT(A694:A705)=4,COUNT(F694:F705)=4),cubic_spline(F693:F697,A693:A697,B$10),IF(AND(COUNT(A694:A705)=5,COUNT(F694:F705)=5),cubic_spline(F693:F698,A693:A698,B$10),IF(AND(COUNT(A694:A705)=6,COUNT(F694:F705)=6),cubic_spline(F693:F699,A693:A699,B$10),IF(AND(COUNT(A694:A705)=7,COUNT(F694:F705)=7),cubic_spline(F693:F700,A693:A700,B$10),IF(AND(COUNT(A694:A705)=8,COUNT(F694:F705)=8),cubic_spline(F693:F701,A693:A701,B$10),IF(AND(COUNT(A694:A705)=9,COUNT(F694:F705)=9),cubic_spline(F693:F702,A693:A702,B$10),IF(AND(COUNT(A694:A705)=10,COUNT(F694:F705)=10),cubic_spline(F693:F703,A693:A703,B$10),IF(AND(COUNT(A694:A705)=11,COUNT(F694:F705)=11),cubic_spline(F693:F704,A693:A704,B$10),IF(AND(COUNT(A694:A705)=12,COUNT(F694:F705)=12),cubic_spline(F693:F705,A693:A705,B$10),""))))))))))))</f>
        <v/>
      </c>
      <c r="L702" s="27" t="str">
        <f>IF(I702="","",B$9&amp;"-"&amp;B$10)</f>
        <v/>
      </c>
      <c r="M702" s="52" t="str">
        <f t="shared" si="265"/>
        <v/>
      </c>
    </row>
    <row r="703" spans="1:13" x14ac:dyDescent="0.35">
      <c r="A703" s="48"/>
      <c r="B703" s="48"/>
      <c r="C703" s="50"/>
      <c r="D703" s="50"/>
      <c r="E703" s="51" t="str">
        <f t="shared" si="263"/>
        <v/>
      </c>
      <c r="F703" s="71" t="str">
        <f t="shared" si="261"/>
        <v/>
      </c>
      <c r="G703" s="69" t="str">
        <f t="shared" si="264"/>
        <v/>
      </c>
      <c r="H703" s="70" t="str">
        <f t="shared" si="262"/>
        <v/>
      </c>
      <c r="I703" s="27" t="str">
        <f>IF(N(J703)=0,"",0&amp;"-"&amp;B$11)</f>
        <v/>
      </c>
      <c r="J703" s="52" t="str">
        <f>IF(N(B$11)=0,"",IF(AND(COUNT(H694:H705)=2,COUNT(F694:F705)=2),cubic_spline(F693:F695,H693:H695,B$11),IF(AND(COUNT(H694:H705)=3,COUNT(F694:F705)=3),cubic_spline(F693:F696,H693:H696,B$11),IF(AND(COUNT(H694:H705)=4,COUNT(F694:F705)=4),cubic_spline(F693:F697,H693:H697,B$11),IF(AND(COUNT(H694:H705)=5,COUNT(F694:F705)=5),cubic_spline(F693:F698,H693:H698,B$11),IF(AND(COUNT(H694:H705)=6,COUNT(F694:F705)=6),cubic_spline(F693:F699,H693:H699,B$11),IF(AND(COUNT(H694:H705)=7,COUNT(F694:F705)=7),cubic_spline(F693:F700,H693:H700,B$11),IF(AND(COUNT(H694:H705)=8,COUNT(F694:F705)=8),cubic_spline(F693:F701,H693:H701,B$11),IF(AND(COUNT(H694:H705)=9,COUNT(F694:F705)=9),cubic_spline(F693:F702,H693:H702,B$11),IF(AND(COUNT(H694:H705)=10,COUNT(F694:F705)=10),cubic_spline(F693:F703,H693:H703,B$11),IF(AND(COUNT(H694:H705)=11,COUNT(F694:F705)=11),cubic_spline(F693:F704,H693:H704,B$11),IF(AND(COUNT(H694:H705)=12,COUNT(F694:F705)=12),cubic_spline(F693:F705,H693:H705,B$11),""))))))))))))</f>
        <v/>
      </c>
      <c r="K703" s="52" t="str">
        <f>IF(N(B$11)=0,"",IF(AND(COUNT(A694:A705)=2,COUNT(F694:F705)=2),cubic_spline(F693:F695,A693:A695,B$11),IF(AND(COUNT(A694:A705)=3,COUNT(F694:F705)=3),cubic_spline(F693:F696,A693:A696,B$11),IF(AND(COUNT(A694:A705)=4,COUNT(F694:F705)=4),cubic_spline(F693:F697,A693:A697,B$11),IF(AND(COUNT(A694:A705)=5,COUNT(F694:F705)=5),cubic_spline(F693:F698,A693:A698,B$11),IF(AND(COUNT(A694:A705)=6,COUNT(F694:F705)=6),cubic_spline(F693:F699,A693:A699,B$11),IF(AND(COUNT(A694:A705)=7,COUNT(F694:F705)=7),cubic_spline(F693:F700,A693:A700,B$11),IF(AND(COUNT(A694:A705)=8,COUNT(F694:F705)=8),cubic_spline(F693:F701,A693:A701,B$11),IF(AND(COUNT(A694:A705)=9,COUNT(F694:F705)=9),cubic_spline(F693:F702,A693:A702,B$11),IF(AND(COUNT(A694:A705)=10,COUNT(F694:F705)=10),cubic_spline(F693:F703,A693:A703,B$11),IF(AND(COUNT(A694:A705)=11,COUNT(F694:F705)=11),cubic_spline(F693:F704,A693:A704,B$11),IF(AND(COUNT(A694:A705)=12,COUNT(F694:F705)=12),cubic_spline(F693:F705,A693:A705,B$11),""))))))))))))</f>
        <v/>
      </c>
      <c r="L703" s="27" t="str">
        <f>IF(I703="","",B$10&amp;"-"&amp;B$11)</f>
        <v/>
      </c>
      <c r="M703" s="52" t="str">
        <f t="shared" si="265"/>
        <v/>
      </c>
    </row>
    <row r="704" spans="1:13" x14ac:dyDescent="0.35">
      <c r="A704" s="48"/>
      <c r="B704" s="48"/>
      <c r="C704" s="50"/>
      <c r="D704" s="50"/>
      <c r="E704" s="51" t="str">
        <f t="shared" si="263"/>
        <v/>
      </c>
      <c r="F704" s="71" t="str">
        <f t="shared" si="261"/>
        <v/>
      </c>
      <c r="G704" s="69" t="str">
        <f t="shared" si="264"/>
        <v/>
      </c>
      <c r="H704" s="70" t="str">
        <f t="shared" si="262"/>
        <v/>
      </c>
      <c r="I704" s="27" t="str">
        <f>IF(N(J704)=0,"",0&amp;"-"&amp;B$12)</f>
        <v/>
      </c>
      <c r="J704" s="52" t="str">
        <f>IF(N(B$12)=0,"",IF(AND(COUNT(H694:H705)=2,COUNT(F694:F705)=2),cubic_spline(F693:F695,H693:H695,B$12),IF(AND(COUNT(H694:H705)=3,COUNT(F694:F705)=3),cubic_spline(F693:F696,H693:H696,B$12),IF(AND(COUNT(H694:H705)=4,COUNT(F694:F705)=4),cubic_spline(F693:F697,H693:H697,B$12),IF(AND(COUNT(H694:H705)=5,COUNT(F694:F705)=5),cubic_spline(F693:F698,H693:H698,B$12),IF(AND(COUNT(H694:H705)=6,COUNT(F694:F705)=6),cubic_spline(F693:F699,H693:H699,B$12),IF(AND(COUNT(H694:H705)=7,COUNT(F694:F705)=7),cubic_spline(F693:F700,H693:H700,B$12),IF(AND(COUNT(H694:H705)=8,COUNT(F694:F705)=8),cubic_spline(F693:F701,H693:H701,B$12),IF(AND(COUNT(H694:H705)=9,COUNT(F694:F705)=9),cubic_spline(F693:F702,H693:H702,B$12),IF(AND(COUNT(H694:H705)=10,COUNT(F694:F705)=10),cubic_spline(F693:F703,H693:H703,B$12),IF(AND(COUNT(H694:H705)=11,COUNT(F694:F705)=11),cubic_spline(F693:F704,H693:H704,B$12),IF(AND(COUNT(H694:H705)=12,COUNT(F694:F705)=12),cubic_spline(F693:F705,H693:H705,B$12),""))))))))))))</f>
        <v/>
      </c>
      <c r="K704" s="52" t="str">
        <f>IF(N(B$12)=0,"",IF(AND(COUNT(A694:A705)=2,COUNT(F694:F705)=2),cubic_spline(F693:F695,A693:A695,B$12),IF(AND(COUNT(A694:A705)=3,COUNT(F694:F705)=3),cubic_spline(F693:F696,A693:A696,B$12),IF(AND(COUNT(A694:A705)=4,COUNT(F694:F705)=4),cubic_spline(F693:F697,A693:A697,B$12),IF(AND(COUNT(A694:A705)=5,COUNT(F694:F705)=5),cubic_spline(F693:F698,A693:A698,B$12),IF(AND(COUNT(A694:A705)=6,COUNT(F694:F705)=6),cubic_spline(F693:F699,A693:A699,B$12),IF(AND(COUNT(A694:A705)=7,COUNT(F694:F705)=7),cubic_spline(F693:F700,A693:A700,B$12),IF(AND(COUNT(A694:A705)=8,COUNT(F694:F705)=8),cubic_spline(F693:F701,A693:A701,B$12),IF(AND(COUNT(A694:A705)=9,COUNT(F694:F705)=9),cubic_spline(F693:F702,A693:A702,B$12),IF(AND(COUNT(A694:A705)=10,COUNT(F694:F705)=10),cubic_spline(F693:F703,A693:A703,B$12),IF(AND(COUNT(A694:A705)=11,COUNT(F694:F705)=11),cubic_spline(F693:F704,A693:A704,B$12),IF(AND(COUNT(A694:A705)=12,COUNT(F694:F705)=12),cubic_spline(F693:F705,A693:A705,B$12),""))))))))))))</f>
        <v/>
      </c>
      <c r="L704" s="27" t="str">
        <f>IF(I704="","",B$11&amp;"-"&amp;B$12)</f>
        <v/>
      </c>
      <c r="M704" s="52" t="str">
        <f t="shared" si="265"/>
        <v/>
      </c>
    </row>
    <row r="705" spans="1:13" x14ac:dyDescent="0.35">
      <c r="A705" s="48"/>
      <c r="B705" s="48"/>
      <c r="C705" s="50"/>
      <c r="D705" s="50"/>
      <c r="E705" s="51" t="str">
        <f t="shared" si="263"/>
        <v/>
      </c>
      <c r="F705" s="71" t="str">
        <f t="shared" si="261"/>
        <v/>
      </c>
      <c r="G705" s="69" t="str">
        <f t="shared" si="264"/>
        <v/>
      </c>
      <c r="H705" s="70" t="str">
        <f t="shared" si="262"/>
        <v/>
      </c>
      <c r="I705" s="27" t="str">
        <f>IF(N(J705)=0,"",0&amp;"-"&amp;B$13)</f>
        <v/>
      </c>
      <c r="J705" s="52" t="str">
        <f>IF(N(B$13)=0,"",IF(AND(COUNT(H694:H705)=2,COUNT(F694:F705)=2),cubic_spline(F693:F695,H693:H695,B$13),IF(AND(COUNT(H694:H705)=3,COUNT(F694:F705)=3),cubic_spline(F693:F696,H693:H696,B$13),IF(AND(COUNT(H694:H705)=4,COUNT(F694:F705)=4),cubic_spline(F693:F697,H693:H697,B$13),IF(AND(COUNT(H694:H705)=5,COUNT(F694:F705)=5),cubic_spline(F693:F698,H693:H698,B$13),IF(AND(COUNT(H694:H705)=6,COUNT(F694:F705)=6),cubic_spline(F693:F699,H693:H699,B$13),IF(AND(COUNT(H694:H705)=7,COUNT(F694:F705)=7),cubic_spline(F693:F700,H693:H700,B$13),IF(AND(COUNT(H694:H705)=8,COUNT(F694:F705)=8),cubic_spline(F693:F701,H693:H701,B$13),IF(AND(COUNT(H694:H705)=9,COUNT(F694:F705)=9),cubic_spline(F693:F702,H693:H702,B$13),IF(AND(COUNT(H694:H705)=10,COUNT(F694:F705)=10),cubic_spline(F693:F703,H693:H703,B$13),IF(AND(COUNT(H694:H705)=11,COUNT(F694:F705)=11),cubic_spline(F693:F704,H693:H704,B$13),IF(AND(COUNT(H694:H705)=12,COUNT(F694:F705)=12),cubic_spline(F693:F705,H693:H705,B$13),""))))))))))))</f>
        <v/>
      </c>
      <c r="K705" s="52" t="str">
        <f>IF(N(B$13)=0,"",IF(AND(COUNT(A694:A705)=2,COUNT(F694:F705)=2),cubic_spline(F693:F695,A693:A695,B$13),IF(AND(COUNT(A694:A705)=3,COUNT(F694:F705)=3),cubic_spline(F693:F696,A693:A696,B$13),IF(AND(COUNT(A694:A705)=4,COUNT(F694:F705)=4),cubic_spline(F693:F697,A693:A697,B$13),IF(AND(COUNT(A694:A705)=5,COUNT(F694:F705)=5),cubic_spline(F693:F698,A693:A698,B$13),IF(AND(COUNT(A694:A705)=6,COUNT(F694:F705)=6),cubic_spline(F693:F699,A693:A699,B$13),IF(AND(COUNT(A694:A705)=7,COUNT(F694:F705)=7),cubic_spline(F693:F700,A693:A700,B$13),IF(AND(COUNT(A694:A705)=8,COUNT(F694:F705)=8),cubic_spline(F693:F701,A693:A701,B$13),IF(AND(COUNT(A694:A705)=9,COUNT(F694:F705)=9),cubic_spline(F693:F702,A693:A702,B$13),IF(AND(COUNT(A694:A705)=10,COUNT(F694:F705)=10),cubic_spline(F693:F703,A693:A703,B$13),IF(AND(COUNT(A694:A705)=11,COUNT(F694:F705)=11),cubic_spline(F693:F704,A693:A704,B$13),IF(AND(COUNT(A694:A705)=12,COUNT(F694:F705)=12),cubic_spline(F693:F705,A693:A705,B$13),""))))))))))))</f>
        <v/>
      </c>
      <c r="L705" s="27" t="str">
        <f>IF(I705="","",B$12&amp;"-"&amp;B$13)</f>
        <v/>
      </c>
      <c r="M705" s="52" t="str">
        <f t="shared" si="265"/>
        <v/>
      </c>
    </row>
    <row r="706" spans="1:13" ht="5.15" customHeight="1" x14ac:dyDescent="0.35">
      <c r="A706" s="47"/>
      <c r="B706" s="47"/>
      <c r="C706" s="53"/>
      <c r="D706" s="53"/>
      <c r="E706" s="54"/>
      <c r="F706" s="55"/>
      <c r="G706" s="72"/>
      <c r="H706" s="73"/>
      <c r="I706" s="47"/>
      <c r="J706" s="57"/>
      <c r="K706" s="57"/>
      <c r="L706" s="55"/>
      <c r="M706" s="57"/>
    </row>
    <row r="707" spans="1:13" x14ac:dyDescent="0.35">
      <c r="A707" s="48"/>
      <c r="B707" s="48"/>
      <c r="C707" s="50"/>
      <c r="D707" s="50"/>
      <c r="E707" s="51" t="str">
        <f>IF(N(C707)=0,"",(A707-A706)*C707*100)</f>
        <v/>
      </c>
      <c r="F707" s="68" t="str">
        <f t="shared" ref="F707:F718" si="266">IF(N(E707)=0,"",(N(E707)+N(F706)))</f>
        <v/>
      </c>
      <c r="G707" s="69" t="str">
        <f>IF(OR(N(D707)=0,N(E707)=0),"",(E707*D707)/1000)</f>
        <v/>
      </c>
      <c r="H707" s="70" t="str">
        <f t="shared" ref="H707:H718" si="267">IF(N(G707)=0,"",(N(G707)+N(H706)))</f>
        <v/>
      </c>
      <c r="I707" s="27" t="str">
        <f>IF(N(J707)=0,"",0&amp;"-"&amp;B$2)</f>
        <v/>
      </c>
      <c r="J707" s="52" t="str">
        <f>IF(N(B$2)=0,"",IF(AND(COUNT(H707:H718)=2,COUNT(F707:F718)=2),cubic_spline(F706:F708,H706:H708,B$2),IF(AND(COUNT(H707:H718)=3,COUNT(F707:F718)=3),cubic_spline(F706:F709,H706:H709,B$2),IF(AND(COUNT(H707:H718)=4,COUNT(F707:F718)=4),cubic_spline(F706:F710,H706:H710,B$2),IF(AND(COUNT(H707:H718)=5,COUNT(F707:F718)=5),cubic_spline(F706:F711,H706:H711,B$2),IF(AND(COUNT(H707:H718)=6,COUNT(F707:F718)=6),cubic_spline(F706:F712,H706:H712,B$2),IF(AND(COUNT(H707:H718)=7,COUNT(F707:F718)=7),cubic_spline(F706:F713,H706:H713,B$2),IF(AND(COUNT(H707:H718)=8,COUNT(F707:F718)=8),cubic_spline(F706:F714,H706:H714,B$2),IF(AND(COUNT(H707:H718)=9,COUNT(F707:F718)=9),cubic_spline(F706:F715,H706:H715,B$2),IF(AND(COUNT(H707:H718)=10,COUNT(F707:F718)=10),cubic_spline(F706:F716,H706:H716,B$2),IF(AND(COUNT(H707:H718)=11,COUNT(F707:F718)=11),cubic_spline(F706:F717,H706:H717,B$2),IF(AND(COUNT(H707:H718)=12,COUNT(F707:F718)=12),cubic_spline(F706:F718,H706:H718,B$2),""))))))))))))</f>
        <v/>
      </c>
      <c r="K707" s="52" t="str">
        <f>IF(N(B$2)=0,"",IF(AND(COUNT(A707:A718)=2,COUNT(F707:F718)=2),cubic_spline(F706:F708,A706:A708,B$2),IF(AND(COUNT(A707:A718)=3,COUNT(F707:F718)=3),cubic_spline(F706:F709,A706:A709,B$2),IF(AND(COUNT(A707:A718)=4,COUNT(F707:F718)=4),cubic_spline(F706:F710,A706:A710,B$2),IF(AND(COUNT(A707:A718)=5,COUNT(F707:F718)=5),cubic_spline(F706:F711,A706:A711,B$2),IF(AND(COUNT(A707:A718)=6,COUNT(F707:F718)=6),cubic_spline(F706:F712,A706:A712,B$2),IF(AND(COUNT(A707:A718)=7,COUNT(F707:F718)=7),cubic_spline(F706:F713,A706:A713,B$2),IF(AND(COUNT(A707:A718)=8,COUNT(F707:F718)=8),cubic_spline(F706:F714,A706:A714,B$2),IF(AND(COUNT(A707:A718)=9,COUNT(F707:F718)=9),cubic_spline(F706:F715,A706:A715,B$2),IF(AND(COUNT(A707:A718)=10,COUNT(F707:F718)=10),cubic_spline(F706:F716,A706:A716,B$2),IF(AND(COUNT(A707:A718)=11,COUNT(F707:F718)=11),cubic_spline(F706:F717,A706:A717,B$2),IF(AND(COUNT(A707:A718)=12,COUNT(F707:F718)=12),cubic_spline(F706:F718,A706:A718,B$2),""))))))))))))</f>
        <v/>
      </c>
      <c r="L707" s="27" t="str">
        <f>IF(I707="","",0&amp;"-"&amp;B$2)</f>
        <v/>
      </c>
      <c r="M707" s="52" t="str">
        <f>IF(N(J707)=0,"",J707-J706)</f>
        <v/>
      </c>
    </row>
    <row r="708" spans="1:13" x14ac:dyDescent="0.35">
      <c r="A708" s="48"/>
      <c r="B708" s="48"/>
      <c r="C708" s="50"/>
      <c r="D708" s="50"/>
      <c r="E708" s="51" t="str">
        <f t="shared" ref="E708:E718" si="268">IF(N(C708)=0,"",(A708-A707)*C708*100)</f>
        <v/>
      </c>
      <c r="F708" s="68" t="str">
        <f t="shared" si="266"/>
        <v/>
      </c>
      <c r="G708" s="69" t="str">
        <f t="shared" ref="G708:G718" si="269">IF(OR(N(D708)=0,N(E708)=0),"",(E708*D708)/1000)</f>
        <v/>
      </c>
      <c r="H708" s="70" t="str">
        <f t="shared" si="267"/>
        <v/>
      </c>
      <c r="I708" s="27" t="str">
        <f>IF(N(J708)=0,"",0&amp;"-"&amp;B$3)</f>
        <v/>
      </c>
      <c r="J708" s="52" t="str">
        <f>IF(N(B$3)=0,"",IF(AND(COUNT(H707:H718)=2,COUNT(F707:F718)=2),cubic_spline(F706:F708,H706:H708,B$3),IF(AND(COUNT(H707:H718)=3,COUNT(F707:F718)=3),cubic_spline(F706:F709,H706:H709,B$3),IF(AND(COUNT(H707:H718)=4,COUNT(F707:F718)=4),cubic_spline(F706:F710,H706:H710,B$3),IF(AND(COUNT(H707:H718)=5,COUNT(F707:F718)=5),cubic_spline(F706:F711,H706:H711,B$3),IF(AND(COUNT(H707:H718)=6,COUNT(F707:F718)=6),cubic_spline(F706:F712,H706:H712,B$3),IF(AND(COUNT(H707:H718)=7,COUNT(F707:F718)=7),cubic_spline(F706:F713,H706:H713,B$3),IF(AND(COUNT(H707:H718)=8,COUNT(F707:F718)=8),cubic_spline(F706:F714,H706:H714,B$3),IF(AND(COUNT(H707:H718)=9,COUNT(F707:F718)=9),cubic_spline(F706:F715,H706:H715,B$3),IF(AND(COUNT(H707:H718)=10,COUNT(F707:F718)=10),cubic_spline(F706:F716,H706:H716,B$3),IF(AND(COUNT(H707:H718)=11,COUNT(F707:F718)=11),cubic_spline(F706:F717,H706:H717,B$3),IF(AND(COUNT(H707:H718)=12,COUNT(F707:F718)=12),cubic_spline(F706:F718,H706:H718,B$3),""))))))))))))</f>
        <v/>
      </c>
      <c r="K708" s="52" t="str">
        <f>IF(N(B$3)=0,"",IF(AND(COUNT(A707:A718)=2,COUNT(F707:F718)=2),cubic_spline(F706:F708,A706:A708,B$3),IF(AND(COUNT(A707:A718)=3,COUNT(F707:F718)=3),cubic_spline(F706:F709,A706:A709,B$3),IF(AND(COUNT(A707:A718)=4,COUNT(F707:F718)=4),cubic_spline(F706:F710,A706:A710,B$3),IF(AND(COUNT(A707:A718)=5,COUNT(F707:F718)=5),cubic_spline(F706:F711,A706:A711,B$3),IF(AND(COUNT(A707:A718)=6,COUNT(F707:F718)=6),cubic_spline(F706:F712,A706:A712,B$3),IF(AND(COUNT(A707:A718)=7,COUNT(F707:F718)=7),cubic_spline(F706:F713,A706:A713,B$3),IF(AND(COUNT(A707:A718)=8,COUNT(F707:F718)=8),cubic_spline(F706:F714,A706:A714,B$3),IF(AND(COUNT(A707:A718)=9,COUNT(F707:F718)=9),cubic_spline(F706:F715,A706:A715,B$3),IF(AND(COUNT(A707:A718)=10,COUNT(F707:F718)=10),cubic_spline(F706:F716,A706:A716,B$3),IF(AND(COUNT(A707:A718)=11,COUNT(F707:F718)=11),cubic_spline(F706:F717,A706:A717,B$3),IF(AND(COUNT(A707:A718)=12,COUNT(F707:F718)=12),cubic_spline(F706:F718,A706:A718,B$3),""))))))))))))</f>
        <v/>
      </c>
      <c r="L708" s="27" t="str">
        <f>IF(I708="","",B$2&amp;"-"&amp;B$3)</f>
        <v/>
      </c>
      <c r="M708" s="52" t="str">
        <f>IF(N(J708)=0,"",J708-J707)</f>
        <v/>
      </c>
    </row>
    <row r="709" spans="1:13" x14ac:dyDescent="0.35">
      <c r="A709" s="48"/>
      <c r="B709" s="48"/>
      <c r="C709" s="50"/>
      <c r="D709" s="50"/>
      <c r="E709" s="51" t="str">
        <f t="shared" si="268"/>
        <v/>
      </c>
      <c r="F709" s="68" t="str">
        <f t="shared" si="266"/>
        <v/>
      </c>
      <c r="G709" s="69" t="str">
        <f t="shared" si="269"/>
        <v/>
      </c>
      <c r="H709" s="70" t="str">
        <f t="shared" si="267"/>
        <v/>
      </c>
      <c r="I709" s="27" t="str">
        <f>IF(N(J709)=0,"",0&amp;"-"&amp;B$4)</f>
        <v/>
      </c>
      <c r="J709" s="52" t="str">
        <f>IF(N(B$4)=0,"",IF(AND(COUNT(H707:H718)=2,COUNT(F707:F718)=2),cubic_spline(F706:F708,H706:H708,B$4),IF(AND(COUNT(H707:H718)=3,COUNT(F707:F718)=3),cubic_spline(F706:F709,H706:H709,B$4),IF(AND(COUNT(H707:H718)=4,COUNT(F707:F718)=4),cubic_spline(F706:F710,H706:H710,B$4),IF(AND(COUNT(H707:H718)=5,COUNT(F707:F718)=5),cubic_spline(F706:F711,H706:H711,B$4),IF(AND(COUNT(H707:H718)=6,COUNT(F707:F718)=6),cubic_spline(F706:F712,H706:H712,B$4),IF(AND(COUNT(H707:H718)=7,COUNT(F707:F718)=7),cubic_spline(F706:F713,H706:H713,B$4),IF(AND(COUNT(H707:H718)=8,COUNT(F707:F718)=8),cubic_spline(F706:F714,H706:H714,B$4),IF(AND(COUNT(H707:H718)=9,COUNT(F707:F718)=9),cubic_spline(F706:F715,H706:H715,B$4),IF(AND(COUNT(H707:H718)=10,COUNT(F707:F718)=10),cubic_spline(F706:F716,H706:H716,B$4),IF(AND(COUNT(H707:H718)=11,COUNT(F707:F718)=11),cubic_spline(F706:F717,H706:H717,B$4),IF(AND(COUNT(H707:H718)=12,COUNT(F707:F718)=12),cubic_spline(F706:F718,H706:H718,B$4),""))))))))))))</f>
        <v/>
      </c>
      <c r="K709" s="52" t="str">
        <f>IF(N(B$4)=0,"",IF(AND(COUNT(A707:A718)=2,COUNT(F707:F718)=2),cubic_spline(F706:F708,A706:A708,B$4),IF(AND(COUNT(A707:A718)=3,COUNT(F707:F718)=3),cubic_spline(F706:F709,A706:A709,B$4),IF(AND(COUNT(A707:A718)=4,COUNT(F707:F718)=4),cubic_spline(F706:F710,A706:A710,B$4),IF(AND(COUNT(A707:A718)=5,COUNT(F707:F718)=5),cubic_spline(F706:F711,A706:A711,B$4),IF(AND(COUNT(A707:A718)=6,COUNT(F707:F718)=6),cubic_spline(F706:F712,A706:A712,B$4),IF(AND(COUNT(A707:A718)=7,COUNT(F707:F718)=7),cubic_spline(F706:F713,A706:A713,B$4),IF(AND(COUNT(A707:A718)=8,COUNT(F707:F718)=8),cubic_spline(F706:F714,A706:A714,B$4),IF(AND(COUNT(A707:A718)=9,COUNT(F707:F718)=9),cubic_spline(F706:F715,A706:A715,B$4),IF(AND(COUNT(A707:A718)=10,COUNT(F707:F718)=10),cubic_spline(F706:F716,A706:A716,B$4),IF(AND(COUNT(A707:A718)=11,COUNT(F707:F718)=11),cubic_spline(F706:F717,A706:A717,B$4),IF(AND(COUNT(A707:A718)=12,COUNT(F707:F718)=12),cubic_spline(F706:F718,A706:A718,B$4),""))))))))))))</f>
        <v/>
      </c>
      <c r="L709" s="27" t="str">
        <f>IF(I709="","",B$3&amp;"-"&amp;B$4)</f>
        <v/>
      </c>
      <c r="M709" s="52" t="str">
        <f>IF(N(J709)=0,"",J709-J708)</f>
        <v/>
      </c>
    </row>
    <row r="710" spans="1:13" x14ac:dyDescent="0.35">
      <c r="A710" s="48"/>
      <c r="B710" s="48"/>
      <c r="C710" s="50"/>
      <c r="D710" s="50"/>
      <c r="E710" s="51" t="str">
        <f t="shared" si="268"/>
        <v/>
      </c>
      <c r="F710" s="68" t="str">
        <f t="shared" si="266"/>
        <v/>
      </c>
      <c r="G710" s="69" t="str">
        <f t="shared" si="269"/>
        <v/>
      </c>
      <c r="H710" s="70" t="str">
        <f t="shared" si="267"/>
        <v/>
      </c>
      <c r="I710" s="27" t="str">
        <f>IF(N(J710)=0,"",0&amp;"-"&amp;B$5)</f>
        <v/>
      </c>
      <c r="J710" s="52" t="str">
        <f>IF(N(B$5)=0,"",IF(AND(COUNT(H707:H718)=2,COUNT(F707:F718)=2),cubic_spline(F706:F708,H706:H708,B$5),IF(AND(COUNT(H707:H718)=3,COUNT(F707:F718)=3),cubic_spline(F706:F709,H706:H709,B$5),IF(AND(COUNT(H707:H718)=4,COUNT(F707:F718)=4),cubic_spline(F706:F710,H706:H710,B$5),IF(AND(COUNT(H707:H718)=5,COUNT(F707:F718)=5),cubic_spline(F706:F711,H706:H711,B$5),IF(AND(COUNT(H707:H718)=6,COUNT(F707:F718)=6),cubic_spline(F706:F712,H706:H712,B$5),IF(AND(COUNT(H707:H718)=7,COUNT(F707:F718)=7),cubic_spline(F706:F713,H706:H713,B$5),IF(AND(COUNT(H707:H718)=8,COUNT(F707:F718)=8),cubic_spline(F706:F714,H706:H714,B$5),IF(AND(COUNT(H707:H718)=9,COUNT(F707:F718)=9),cubic_spline(F706:F715,H706:H715,B$5),IF(AND(COUNT(H707:H718)=10,COUNT(F707:F718)=10),cubic_spline(F706:F716,H706:H716,B$5),IF(AND(COUNT(H707:H718)=11,COUNT(F707:F718)=11),cubic_spline(F706:F717,H706:H717,B$5),IF(AND(COUNT(H707:H718)=12,COUNT(F707:F718)=12),cubic_spline(F706:F718,H706:H718,B$5),""))))))))))))</f>
        <v/>
      </c>
      <c r="K710" s="52" t="str">
        <f>IF(N(B$5)=0,"",IF(AND(COUNT(A707:A718)=2,COUNT(F707:F718)=2),cubic_spline(F706:F708,A706:A708,B$5),IF(AND(COUNT(A707:A718)=3,COUNT(F707:F718)=3),cubic_spline(F706:F709,A706:A709,B$5),IF(AND(COUNT(A707:A718)=4,COUNT(F707:F718)=4),cubic_spline(F706:F710,A706:A710,B$5),IF(AND(COUNT(A707:A718)=5,COUNT(F707:F718)=5),cubic_spline(F706:F711,A706:A711,B$5),IF(AND(COUNT(A707:A718)=6,COUNT(F707:F718)=6),cubic_spline(F706:F712,A706:A712,B$5),IF(AND(COUNT(A707:A718)=7,COUNT(F707:F718)=7),cubic_spline(F706:F713,A706:A713,B$5),IF(AND(COUNT(A707:A718)=8,COUNT(F707:F718)=8),cubic_spline(F706:F714,A706:A714,B$5),IF(AND(COUNT(A707:A718)=9,COUNT(F707:F718)=9),cubic_spline(F706:F715,A706:A715,B$5),IF(AND(COUNT(A707:A718)=10,COUNT(F707:F718)=10),cubic_spline(F706:F716,A706:A716,B$5),IF(AND(COUNT(A707:A718)=11,COUNT(F707:F718)=11),cubic_spline(F706:F717,A706:A717,B$5),IF(AND(COUNT(A707:A718)=12,COUNT(F707:F718)=12),cubic_spline(F706:F718,A706:A718,B$5),""))))))))))))</f>
        <v/>
      </c>
      <c r="L710" s="27" t="str">
        <f>IF(I710="","",B$4&amp;"-"&amp;B$5)</f>
        <v/>
      </c>
      <c r="M710" s="52" t="str">
        <f>IF(N(J710)=0,"",J710-J709)</f>
        <v/>
      </c>
    </row>
    <row r="711" spans="1:13" x14ac:dyDescent="0.35">
      <c r="A711" s="48"/>
      <c r="B711" s="48"/>
      <c r="C711" s="50"/>
      <c r="D711" s="50"/>
      <c r="E711" s="51" t="str">
        <f t="shared" si="268"/>
        <v/>
      </c>
      <c r="F711" s="71" t="str">
        <f t="shared" si="266"/>
        <v/>
      </c>
      <c r="G711" s="69" t="str">
        <f t="shared" si="269"/>
        <v/>
      </c>
      <c r="H711" s="70" t="str">
        <f t="shared" si="267"/>
        <v/>
      </c>
      <c r="I711" s="27" t="str">
        <f>IF(N(J711)=0,"",0&amp;"-"&amp;B$6)</f>
        <v/>
      </c>
      <c r="J711" s="52" t="str">
        <f>IF(N(B$6)=0,"",IF(AND(COUNT(H707:H718)=2,COUNT(F707:F718)=2),cubic_spline(F706:F708,H706:H708,B$6),IF(AND(COUNT(H707:H718)=3,COUNT(F707:F718)=3),cubic_spline(F706:F709,H706:H709,B$6),IF(AND(COUNT(H707:H718)=4,COUNT(F707:F718)=4),cubic_spline(F706:F710,H706:H710,B$6),IF(AND(COUNT(H707:H718)=5,COUNT(F707:F718)=5),cubic_spline(F706:F711,H706:H711,B$6),IF(AND(COUNT(H707:H718)=6,COUNT(F707:F718)=6),cubic_spline(F706:F712,H706:H712,B$6),IF(AND(COUNT(H707:H718)=7,COUNT(F707:F718)=7),cubic_spline(F706:F713,H706:H713,B$6),IF(AND(COUNT(H707:H718)=8,COUNT(F707:F718)=8),cubic_spline(F706:F714,H706:H714,B$6),IF(AND(COUNT(H707:H718)=9,COUNT(F707:F718)=9),cubic_spline(F706:F715,H706:H715,B$6),IF(AND(COUNT(H707:H718)=10,COUNT(F707:F718)=10),cubic_spline(F706:F716,H706:H716,B$6),IF(AND(COUNT(H707:H718)=11,COUNT(F707:F718)=11),cubic_spline(F706:F717,H706:H717,B$6),IF(AND(COUNT(H707:H718)=12,COUNT(F707:F718)=12),cubic_spline(F706:F718,H706:H718,B$6),""))))))))))))</f>
        <v/>
      </c>
      <c r="K711" s="52" t="str">
        <f>IF(N(B$6)=0,"",IF(AND(COUNT(A707:A718)=2,COUNT(F707:F718)=2),cubic_spline(F706:F708,A706:A708,B$6),IF(AND(COUNT(A707:A718)=3,COUNT(F707:F718)=3),cubic_spline(F706:F709,A706:A709,B$6),IF(AND(COUNT(A707:A718)=4,COUNT(F707:F718)=4),cubic_spline(F706:F710,A706:A710,B$6),IF(AND(COUNT(A707:A718)=5,COUNT(F707:F718)=5),cubic_spline(F706:F711,A706:A711,B$6),IF(AND(COUNT(A707:A718)=6,COUNT(F707:F718)=6),cubic_spline(F706:F712,A706:A712,B$6),IF(AND(COUNT(A707:A718)=7,COUNT(F707:F718)=7),cubic_spline(F706:F713,A706:A713,B$6),IF(AND(COUNT(A707:A718)=8,COUNT(F707:F718)=8),cubic_spline(F706:F714,A706:A714,B$6),IF(AND(COUNT(A707:A718)=9,COUNT(F707:F718)=9),cubic_spline(F706:F715,A706:A715,B$6),IF(AND(COUNT(A707:A718)=10,COUNT(F707:F718)=10),cubic_spline(F706:F716,A706:A716,B$6),IF(AND(COUNT(A707:A718)=11,COUNT(F707:F718)=11),cubic_spline(F706:F717,A706:A717,B$6),IF(AND(COUNT(A707:A718)=12,COUNT(F707:F718)=12),cubic_spline(F706:F718,A706:A718,B$6),""))))))))))))</f>
        <v/>
      </c>
      <c r="L711" s="27" t="str">
        <f>IF(I711="","",B$5&amp;"-"&amp;B$6)</f>
        <v/>
      </c>
      <c r="M711" s="52" t="str">
        <f>IF(N(J711)=0,"",J711-J710)</f>
        <v/>
      </c>
    </row>
    <row r="712" spans="1:13" x14ac:dyDescent="0.35">
      <c r="A712" s="48"/>
      <c r="B712" s="48"/>
      <c r="C712" s="50"/>
      <c r="D712" s="50"/>
      <c r="E712" s="51" t="str">
        <f t="shared" si="268"/>
        <v/>
      </c>
      <c r="F712" s="71" t="str">
        <f t="shared" si="266"/>
        <v/>
      </c>
      <c r="G712" s="69" t="str">
        <f t="shared" si="269"/>
        <v/>
      </c>
      <c r="H712" s="70" t="str">
        <f t="shared" si="267"/>
        <v/>
      </c>
      <c r="I712" s="27" t="str">
        <f>IF(N(J712)=0,"",0&amp;"-"&amp;B$7)</f>
        <v/>
      </c>
      <c r="J712" s="52" t="str">
        <f>IF(N(B$7)=0,"",IF(AND(COUNT(H707:H718)=2,COUNT(F707:F718)=2),cubic_spline(F706:F708,H706:H708,B$7),IF(AND(COUNT(H707:H718)=3,COUNT(F707:F718)=3),cubic_spline(F706:F709,H706:H709,B$7),IF(AND(COUNT(H707:H718)=4,COUNT(F707:F718)=4),cubic_spline(F706:F710,H706:H710,B$7),IF(AND(COUNT(H707:H718)=5,COUNT(F707:F718)=5),cubic_spline(F706:F711,H706:H711,B$7),IF(AND(COUNT(H707:H718)=6,COUNT(F707:F718)=6),cubic_spline(F706:F712,H706:H712,B$7),IF(AND(COUNT(H707:H718)=7,COUNT(F707:F718)=7),cubic_spline(F706:F713,H706:H713,B$7),IF(AND(COUNT(H707:H718)=8,COUNT(F707:F718)=8),cubic_spline(F706:F714,H706:H714,B$7),IF(AND(COUNT(H707:H718)=9,COUNT(F707:F718)=9),cubic_spline(F706:F715,H706:H715,B$7),IF(AND(COUNT(H707:H718)=10,COUNT(F707:F718)=10),cubic_spline(F706:F716,H706:H716,B$7),IF(AND(COUNT(H707:H718)=11,COUNT(F707:F718)=11),cubic_spline(F706:F717,H706:H717,B$7),IF(AND(COUNT(H707:H718)=12,COUNT(F707:F718)=12),cubic_spline(F706:F718,H706:H718,B$7),""))))))))))))</f>
        <v/>
      </c>
      <c r="K712" s="52" t="str">
        <f>IF(N(B$7)=0,"",IF(AND(COUNT(A707:A718)=2,COUNT(F707:F718)=2),cubic_spline(F706:F708,A706:A708,B$7),IF(AND(COUNT(A707:A718)=3,COUNT(F707:F718)=3),cubic_spline(F706:F709,A706:A709,B$7),IF(AND(COUNT(A707:A718)=4,COUNT(F707:F718)=4),cubic_spline(F706:F710,A706:A710,B$7),IF(AND(COUNT(A707:A718)=5,COUNT(F707:F718)=5),cubic_spline(F706:F711,A706:A711,B$7),IF(AND(COUNT(A707:A718)=6,COUNT(F707:F718)=6),cubic_spline(F706:F712,A706:A712,B$7),IF(AND(COUNT(A707:A718)=7,COUNT(F707:F718)=7),cubic_spline(F706:F713,A706:A713,B$7),IF(AND(COUNT(A707:A718)=8,COUNT(F707:F718)=8),cubic_spline(F706:F714,A706:A714,B$7),IF(AND(COUNT(A707:A718)=9,COUNT(F707:F718)=9),cubic_spline(F706:F715,A706:A715,B$7),IF(AND(COUNT(A707:A718)=10,COUNT(F707:F718)=10),cubic_spline(F706:F716,A706:A716,B$7),IF(AND(COUNT(A707:A718)=11,COUNT(F707:F718)=11),cubic_spline(F706:F717,A706:A717,B$7),IF(AND(COUNT(A707:A718)=12,COUNT(F707:F718)=12),cubic_spline(F706:F718,A706:A718,B$7),""))))))))))))</f>
        <v/>
      </c>
      <c r="L712" s="27" t="str">
        <f>IF(I712="","",B$6&amp;"-"&amp;B$7)</f>
        <v/>
      </c>
      <c r="M712" s="52" t="str">
        <f t="shared" ref="M712:M718" si="270">IF(N(J712)=0,"",J712-J711)</f>
        <v/>
      </c>
    </row>
    <row r="713" spans="1:13" x14ac:dyDescent="0.35">
      <c r="A713" s="48"/>
      <c r="B713" s="48"/>
      <c r="C713" s="50"/>
      <c r="D713" s="50"/>
      <c r="E713" s="51" t="str">
        <f t="shared" si="268"/>
        <v/>
      </c>
      <c r="F713" s="71" t="str">
        <f t="shared" si="266"/>
        <v/>
      </c>
      <c r="G713" s="69" t="str">
        <f t="shared" si="269"/>
        <v/>
      </c>
      <c r="H713" s="70" t="str">
        <f t="shared" si="267"/>
        <v/>
      </c>
      <c r="I713" s="27" t="str">
        <f>IF(N(J713)=0,"",0&amp;"-"&amp;B$8)</f>
        <v/>
      </c>
      <c r="J713" s="52" t="str">
        <f>IF(N(B$8)=0,"",IF(AND(COUNT(H707:H718)=2,COUNT(F707:F718)=2),cubic_spline(F706:F708,H706:H708,B$8),IF(AND(COUNT(H707:H718)=3,COUNT(F707:F718)=3),cubic_spline(F706:F709,H706:H709,B$8),IF(AND(COUNT(H707:H718)=4,COUNT(F707:F718)=4),cubic_spline(F706:F710,H706:H710,B$8),IF(AND(COUNT(H707:H718)=5,COUNT(F707:F718)=5),cubic_spline(F706:F711,H706:H711,B$8),IF(AND(COUNT(H707:H718)=6,COUNT(F707:F718)=6),cubic_spline(F706:F712,H706:H712,B$8),IF(AND(COUNT(H707:H718)=7,COUNT(F707:F718)=7),cubic_spline(F706:F713,H706:H713,B$8),IF(AND(COUNT(H707:H718)=8,COUNT(F707:F718)=8),cubic_spline(F706:F714,H706:H714,B$8),IF(AND(COUNT(H707:H718)=9,COUNT(F707:F718)=9),cubic_spline(F706:F715,H706:H715,B$8),IF(AND(COUNT(H707:H718)=10,COUNT(F707:F718)=10),cubic_spline(F706:F716,H706:H716,B$8),IF(AND(COUNT(H707:H718)=11,COUNT(F707:F718)=11),cubic_spline(F706:F717,H706:H717,B$8),IF(AND(COUNT(H707:H718)=12,COUNT(F707:F718)=12),cubic_spline(F706:F718,H706:H718,B$8),""))))))))))))</f>
        <v/>
      </c>
      <c r="K713" s="52" t="str">
        <f>IF(N(B$8)=0,"",IF(AND(COUNT(A707:A718)=2,COUNT(F707:F718)=2),cubic_spline(F706:F708,A706:A708,B$8),IF(AND(COUNT(A707:A718)=3,COUNT(F707:F718)=3),cubic_spline(F706:F709,A706:A709,B$8),IF(AND(COUNT(A707:A718)=4,COUNT(F707:F718)=4),cubic_spline(F706:F710,A706:A710,B$8),IF(AND(COUNT(A707:A718)=5,COUNT(F707:F718)=5),cubic_spline(F706:F711,A706:A711,B$8),IF(AND(COUNT(A707:A718)=6,COUNT(F707:F718)=6),cubic_spline(F706:F712,A706:A712,B$8),IF(AND(COUNT(A707:A718)=7,COUNT(F707:F718)=7),cubic_spline(F706:F713,A706:A713,B$8),IF(AND(COUNT(A707:A718)=8,COUNT(F707:F718)=8),cubic_spline(F706:F714,A706:A714,B$8),IF(AND(COUNT(A707:A718)=9,COUNT(F707:F718)=9),cubic_spline(F706:F715,A706:A715,B$8),IF(AND(COUNT(A707:A718)=10,COUNT(F707:F718)=10),cubic_spline(F706:F716,A706:A716,B$8),IF(AND(COUNT(A707:A718)=11,COUNT(F707:F718)=11),cubic_spline(F706:F717,A706:A717,B$8),IF(AND(COUNT(A707:A718)=12,COUNT(F707:F718)=12),cubic_spline(F706:F718,A706:A718,B$8),""))))))))))))</f>
        <v/>
      </c>
      <c r="L713" s="27" t="str">
        <f>IF(I713="","",B$7&amp;"-"&amp;B$8)</f>
        <v/>
      </c>
      <c r="M713" s="52" t="str">
        <f t="shared" si="270"/>
        <v/>
      </c>
    </row>
    <row r="714" spans="1:13" x14ac:dyDescent="0.35">
      <c r="A714" s="48"/>
      <c r="B714" s="48"/>
      <c r="C714" s="50"/>
      <c r="D714" s="50"/>
      <c r="E714" s="51" t="str">
        <f t="shared" si="268"/>
        <v/>
      </c>
      <c r="F714" s="71" t="str">
        <f t="shared" si="266"/>
        <v/>
      </c>
      <c r="G714" s="69" t="str">
        <f t="shared" si="269"/>
        <v/>
      </c>
      <c r="H714" s="70" t="str">
        <f t="shared" si="267"/>
        <v/>
      </c>
      <c r="I714" s="27" t="str">
        <f>IF(N(J714)=0,"",0&amp;"-"&amp;B$9)</f>
        <v/>
      </c>
      <c r="J714" s="52" t="str">
        <f>IF(N(B$9)=0,"",IF(AND(COUNT(H707:H718)=2,COUNT(F707:F718)=2),cubic_spline(F706:F708,H706:H708,B$9),IF(AND(COUNT(H707:H718)=3,COUNT(F707:F718)=3),cubic_spline(F706:F709,H706:H709,B$9),IF(AND(COUNT(H707:H718)=4,COUNT(F707:F718)=4),cubic_spline(F706:F710,H706:H710,B$9),IF(AND(COUNT(H707:H718)=5,COUNT(F707:F718)=5),cubic_spline(F706:F711,H706:H711,B$9),IF(AND(COUNT(H707:H718)=6,COUNT(F707:F718)=6),cubic_spline(F706:F712,H706:H712,B$9),IF(AND(COUNT(H707:H718)=7,COUNT(F707:F718)=7),cubic_spline(F706:F713,H706:H713,B$9),IF(AND(COUNT(H707:H718)=8,COUNT(F707:F718)=8),cubic_spline(F706:F714,H706:H714,B$9),IF(AND(COUNT(H707:H718)=9,COUNT(F707:F718)=9),cubic_spline(F706:F715,H706:H715,B$9),IF(AND(COUNT(H707:H718)=10,COUNT(F707:F718)=10),cubic_spline(F706:F716,H706:H716,B$9),IF(AND(COUNT(H707:H718)=11,COUNT(F707:F718)=11),cubic_spline(F706:F717,H706:H717,B$9),IF(AND(COUNT(H707:H718)=12,COUNT(F707:F718)=12),cubic_spline(F706:F718,H706:H718,B$9),""))))))))))))</f>
        <v/>
      </c>
      <c r="K714" s="52" t="str">
        <f>IF(N(B$9)=0,"",IF(AND(COUNT(A707:A718)=2,COUNT(F707:F718)=2),cubic_spline(F706:F708,A706:A708,B$9),IF(AND(COUNT(A707:A718)=3,COUNT(F707:F718)=3),cubic_spline(F706:F709,A706:A709,B$9),IF(AND(COUNT(A707:A718)=4,COUNT(F707:F718)=4),cubic_spline(F706:F710,A706:A710,B$9),IF(AND(COUNT(A707:A718)=5,COUNT(F707:F718)=5),cubic_spline(F706:F711,A706:A711,B$9),IF(AND(COUNT(A707:A718)=6,COUNT(F707:F718)=6),cubic_spline(F706:F712,A706:A712,B$9),IF(AND(COUNT(A707:A718)=7,COUNT(F707:F718)=7),cubic_spline(F706:F713,A706:A713,B$9),IF(AND(COUNT(A707:A718)=8,COUNT(F707:F718)=8),cubic_spline(F706:F714,A706:A714,B$9),IF(AND(COUNT(A707:A718)=9,COUNT(F707:F718)=9),cubic_spline(F706:F715,A706:A715,B$9),IF(AND(COUNT(A707:A718)=10,COUNT(F707:F718)=10),cubic_spline(F706:F716,A706:A716,B$9),IF(AND(COUNT(A707:A718)=11,COUNT(F707:F718)=11),cubic_spline(F706:F717,A706:A717,B$9),IF(AND(COUNT(A707:A718)=12,COUNT(F707:F718)=12),cubic_spline(F706:F718,A706:A718,B$9),""))))))))))))</f>
        <v/>
      </c>
      <c r="L714" s="27" t="str">
        <f>IF(I714="","",B$8&amp;"-"&amp;B$9)</f>
        <v/>
      </c>
      <c r="M714" s="52" t="str">
        <f t="shared" si="270"/>
        <v/>
      </c>
    </row>
    <row r="715" spans="1:13" x14ac:dyDescent="0.35">
      <c r="A715" s="48"/>
      <c r="B715" s="48"/>
      <c r="C715" s="50"/>
      <c r="D715" s="50"/>
      <c r="E715" s="51" t="str">
        <f t="shared" si="268"/>
        <v/>
      </c>
      <c r="F715" s="71" t="str">
        <f t="shared" si="266"/>
        <v/>
      </c>
      <c r="G715" s="69" t="str">
        <f t="shared" si="269"/>
        <v/>
      </c>
      <c r="H715" s="70" t="str">
        <f t="shared" si="267"/>
        <v/>
      </c>
      <c r="I715" s="27" t="str">
        <f>IF(N(J715)=0,"",0&amp;"-"&amp;B$10)</f>
        <v/>
      </c>
      <c r="J715" s="52" t="str">
        <f>IF(N(B$10)=0,"",IF(AND(COUNT(H707:H718)=2,COUNT(F707:F718)=2),cubic_spline(F706:F708,H706:H708,B$10),IF(AND(COUNT(H707:H718)=3,COUNT(F707:F718)=3),cubic_spline(F706:F709,H706:H709,B$10),IF(AND(COUNT(H707:H718)=4,COUNT(F707:F718)=4),cubic_spline(F706:F710,H706:H710,B$10),IF(AND(COUNT(H707:H718)=5,COUNT(F707:F718)=5),cubic_spline(F706:F711,H706:H711,B$10),IF(AND(COUNT(H707:H718)=6,COUNT(F707:F718)=6),cubic_spline(F706:F712,H706:H712,B$10),IF(AND(COUNT(H707:H718)=7,COUNT(F707:F718)=7),cubic_spline(F706:F713,H706:H713,B$10),IF(AND(COUNT(H707:H718)=8,COUNT(F707:F718)=8),cubic_spline(F706:F714,H706:H714,B$10),IF(AND(COUNT(H707:H718)=9,COUNT(F707:F718)=9),cubic_spline(F706:F715,H706:H715,B$10),IF(AND(COUNT(H707:H718)=10,COUNT(F707:F718)=10),cubic_spline(F706:F716,H706:H716,B$10),IF(AND(COUNT(H707:H718)=11,COUNT(F707:F718)=11),cubic_spline(F706:F717,H706:H717,B$10),IF(AND(COUNT(H707:H718)=12,COUNT(F707:F718)=12),cubic_spline(F706:F718,H706:H718,B$10),""))))))))))))</f>
        <v/>
      </c>
      <c r="K715" s="52" t="str">
        <f>IF(N(B$10)=0,"",IF(AND(COUNT(A707:A718)=2,COUNT(F707:F718)=2),cubic_spline(F706:F708,A706:A708,B$10),IF(AND(COUNT(A707:A718)=3,COUNT(F707:F718)=3),cubic_spline(F706:F709,A706:A709,B$10),IF(AND(COUNT(A707:A718)=4,COUNT(F707:F718)=4),cubic_spline(F706:F710,A706:A710,B$10),IF(AND(COUNT(A707:A718)=5,COUNT(F707:F718)=5),cubic_spline(F706:F711,A706:A711,B$10),IF(AND(COUNT(A707:A718)=6,COUNT(F707:F718)=6),cubic_spline(F706:F712,A706:A712,B$10),IF(AND(COUNT(A707:A718)=7,COUNT(F707:F718)=7),cubic_spline(F706:F713,A706:A713,B$10),IF(AND(COUNT(A707:A718)=8,COUNT(F707:F718)=8),cubic_spline(F706:F714,A706:A714,B$10),IF(AND(COUNT(A707:A718)=9,COUNT(F707:F718)=9),cubic_spline(F706:F715,A706:A715,B$10),IF(AND(COUNT(A707:A718)=10,COUNT(F707:F718)=10),cubic_spline(F706:F716,A706:A716,B$10),IF(AND(COUNT(A707:A718)=11,COUNT(F707:F718)=11),cubic_spline(F706:F717,A706:A717,B$10),IF(AND(COUNT(A707:A718)=12,COUNT(F707:F718)=12),cubic_spline(F706:F718,A706:A718,B$10),""))))))))))))</f>
        <v/>
      </c>
      <c r="L715" s="27" t="str">
        <f>IF(I715="","",B$9&amp;"-"&amp;B$10)</f>
        <v/>
      </c>
      <c r="M715" s="52" t="str">
        <f t="shared" si="270"/>
        <v/>
      </c>
    </row>
    <row r="716" spans="1:13" x14ac:dyDescent="0.35">
      <c r="A716" s="48"/>
      <c r="B716" s="48"/>
      <c r="C716" s="50"/>
      <c r="D716" s="50"/>
      <c r="E716" s="51" t="str">
        <f t="shared" si="268"/>
        <v/>
      </c>
      <c r="F716" s="71" t="str">
        <f t="shared" si="266"/>
        <v/>
      </c>
      <c r="G716" s="69" t="str">
        <f t="shared" si="269"/>
        <v/>
      </c>
      <c r="H716" s="70" t="str">
        <f t="shared" si="267"/>
        <v/>
      </c>
      <c r="I716" s="27" t="str">
        <f>IF(N(J716)=0,"",0&amp;"-"&amp;B$11)</f>
        <v/>
      </c>
      <c r="J716" s="52" t="str">
        <f>IF(N(B$11)=0,"",IF(AND(COUNT(H707:H718)=2,COUNT(F707:F718)=2),cubic_spline(F706:F708,H706:H708,B$11),IF(AND(COUNT(H707:H718)=3,COUNT(F707:F718)=3),cubic_spline(F706:F709,H706:H709,B$11),IF(AND(COUNT(H707:H718)=4,COUNT(F707:F718)=4),cubic_spline(F706:F710,H706:H710,B$11),IF(AND(COUNT(H707:H718)=5,COUNT(F707:F718)=5),cubic_spline(F706:F711,H706:H711,B$11),IF(AND(COUNT(H707:H718)=6,COUNT(F707:F718)=6),cubic_spline(F706:F712,H706:H712,B$11),IF(AND(COUNT(H707:H718)=7,COUNT(F707:F718)=7),cubic_spline(F706:F713,H706:H713,B$11),IF(AND(COUNT(H707:H718)=8,COUNT(F707:F718)=8),cubic_spline(F706:F714,H706:H714,B$11),IF(AND(COUNT(H707:H718)=9,COUNT(F707:F718)=9),cubic_spline(F706:F715,H706:H715,B$11),IF(AND(COUNT(H707:H718)=10,COUNT(F707:F718)=10),cubic_spline(F706:F716,H706:H716,B$11),IF(AND(COUNT(H707:H718)=11,COUNT(F707:F718)=11),cubic_spline(F706:F717,H706:H717,B$11),IF(AND(COUNT(H707:H718)=12,COUNT(F707:F718)=12),cubic_spline(F706:F718,H706:H718,B$11),""))))))))))))</f>
        <v/>
      </c>
      <c r="K716" s="52" t="str">
        <f>IF(N(B$11)=0,"",IF(AND(COUNT(A707:A718)=2,COUNT(F707:F718)=2),cubic_spline(F706:F708,A706:A708,B$11),IF(AND(COUNT(A707:A718)=3,COUNT(F707:F718)=3),cubic_spline(F706:F709,A706:A709,B$11),IF(AND(COUNT(A707:A718)=4,COUNT(F707:F718)=4),cubic_spline(F706:F710,A706:A710,B$11),IF(AND(COUNT(A707:A718)=5,COUNT(F707:F718)=5),cubic_spline(F706:F711,A706:A711,B$11),IF(AND(COUNT(A707:A718)=6,COUNT(F707:F718)=6),cubic_spline(F706:F712,A706:A712,B$11),IF(AND(COUNT(A707:A718)=7,COUNT(F707:F718)=7),cubic_spline(F706:F713,A706:A713,B$11),IF(AND(COUNT(A707:A718)=8,COUNT(F707:F718)=8),cubic_spline(F706:F714,A706:A714,B$11),IF(AND(COUNT(A707:A718)=9,COUNT(F707:F718)=9),cubic_spline(F706:F715,A706:A715,B$11),IF(AND(COUNT(A707:A718)=10,COUNT(F707:F718)=10),cubic_spline(F706:F716,A706:A716,B$11),IF(AND(COUNT(A707:A718)=11,COUNT(F707:F718)=11),cubic_spline(F706:F717,A706:A717,B$11),IF(AND(COUNT(A707:A718)=12,COUNT(F707:F718)=12),cubic_spline(F706:F718,A706:A718,B$11),""))))))))))))</f>
        <v/>
      </c>
      <c r="L716" s="27" t="str">
        <f>IF(I716="","",B$10&amp;"-"&amp;B$11)</f>
        <v/>
      </c>
      <c r="M716" s="52" t="str">
        <f t="shared" si="270"/>
        <v/>
      </c>
    </row>
    <row r="717" spans="1:13" x14ac:dyDescent="0.35">
      <c r="A717" s="48"/>
      <c r="B717" s="48"/>
      <c r="C717" s="50"/>
      <c r="D717" s="50"/>
      <c r="E717" s="51" t="str">
        <f t="shared" si="268"/>
        <v/>
      </c>
      <c r="F717" s="71" t="str">
        <f t="shared" si="266"/>
        <v/>
      </c>
      <c r="G717" s="69" t="str">
        <f t="shared" si="269"/>
        <v/>
      </c>
      <c r="H717" s="70" t="str">
        <f t="shared" si="267"/>
        <v/>
      </c>
      <c r="I717" s="27" t="str">
        <f>IF(N(J717)=0,"",0&amp;"-"&amp;B$12)</f>
        <v/>
      </c>
      <c r="J717" s="52" t="str">
        <f>IF(N(B$12)=0,"",IF(AND(COUNT(H707:H718)=2,COUNT(F707:F718)=2),cubic_spline(F706:F708,H706:H708,B$12),IF(AND(COUNT(H707:H718)=3,COUNT(F707:F718)=3),cubic_spline(F706:F709,H706:H709,B$12),IF(AND(COUNT(H707:H718)=4,COUNT(F707:F718)=4),cubic_spline(F706:F710,H706:H710,B$12),IF(AND(COUNT(H707:H718)=5,COUNT(F707:F718)=5),cubic_spline(F706:F711,H706:H711,B$12),IF(AND(COUNT(H707:H718)=6,COUNT(F707:F718)=6),cubic_spline(F706:F712,H706:H712,B$12),IF(AND(COUNT(H707:H718)=7,COUNT(F707:F718)=7),cubic_spline(F706:F713,H706:H713,B$12),IF(AND(COUNT(H707:H718)=8,COUNT(F707:F718)=8),cubic_spline(F706:F714,H706:H714,B$12),IF(AND(COUNT(H707:H718)=9,COUNT(F707:F718)=9),cubic_spline(F706:F715,H706:H715,B$12),IF(AND(COUNT(H707:H718)=10,COUNT(F707:F718)=10),cubic_spline(F706:F716,H706:H716,B$12),IF(AND(COUNT(H707:H718)=11,COUNT(F707:F718)=11),cubic_spline(F706:F717,H706:H717,B$12),IF(AND(COUNT(H707:H718)=12,COUNT(F707:F718)=12),cubic_spline(F706:F718,H706:H718,B$12),""))))))))))))</f>
        <v/>
      </c>
      <c r="K717" s="52" t="str">
        <f>IF(N(B$12)=0,"",IF(AND(COUNT(A707:A718)=2,COUNT(F707:F718)=2),cubic_spline(F706:F708,A706:A708,B$12),IF(AND(COUNT(A707:A718)=3,COUNT(F707:F718)=3),cubic_spline(F706:F709,A706:A709,B$12),IF(AND(COUNT(A707:A718)=4,COUNT(F707:F718)=4),cubic_spline(F706:F710,A706:A710,B$12),IF(AND(COUNT(A707:A718)=5,COUNT(F707:F718)=5),cubic_spline(F706:F711,A706:A711,B$12),IF(AND(COUNT(A707:A718)=6,COUNT(F707:F718)=6),cubic_spline(F706:F712,A706:A712,B$12),IF(AND(COUNT(A707:A718)=7,COUNT(F707:F718)=7),cubic_spline(F706:F713,A706:A713,B$12),IF(AND(COUNT(A707:A718)=8,COUNT(F707:F718)=8),cubic_spline(F706:F714,A706:A714,B$12),IF(AND(COUNT(A707:A718)=9,COUNT(F707:F718)=9),cubic_spline(F706:F715,A706:A715,B$12),IF(AND(COUNT(A707:A718)=10,COUNT(F707:F718)=10),cubic_spline(F706:F716,A706:A716,B$12),IF(AND(COUNT(A707:A718)=11,COUNT(F707:F718)=11),cubic_spline(F706:F717,A706:A717,B$12),IF(AND(COUNT(A707:A718)=12,COUNT(F707:F718)=12),cubic_spline(F706:F718,A706:A718,B$12),""))))))))))))</f>
        <v/>
      </c>
      <c r="L717" s="27" t="str">
        <f>IF(I717="","",B$11&amp;"-"&amp;B$12)</f>
        <v/>
      </c>
      <c r="M717" s="52" t="str">
        <f t="shared" si="270"/>
        <v/>
      </c>
    </row>
    <row r="718" spans="1:13" x14ac:dyDescent="0.35">
      <c r="A718" s="48"/>
      <c r="B718" s="48"/>
      <c r="C718" s="50"/>
      <c r="D718" s="50"/>
      <c r="E718" s="51" t="str">
        <f t="shared" si="268"/>
        <v/>
      </c>
      <c r="F718" s="71" t="str">
        <f t="shared" si="266"/>
        <v/>
      </c>
      <c r="G718" s="69" t="str">
        <f t="shared" si="269"/>
        <v/>
      </c>
      <c r="H718" s="70" t="str">
        <f t="shared" si="267"/>
        <v/>
      </c>
      <c r="I718" s="27" t="str">
        <f>IF(N(J718)=0,"",0&amp;"-"&amp;B$13)</f>
        <v/>
      </c>
      <c r="J718" s="52" t="str">
        <f>IF(N(B$13)=0,"",IF(AND(COUNT(H707:H718)=2,COUNT(F707:F718)=2),cubic_spline(F706:F708,H706:H708,B$13),IF(AND(COUNT(H707:H718)=3,COUNT(F707:F718)=3),cubic_spline(F706:F709,H706:H709,B$13),IF(AND(COUNT(H707:H718)=4,COUNT(F707:F718)=4),cubic_spline(F706:F710,H706:H710,B$13),IF(AND(COUNT(H707:H718)=5,COUNT(F707:F718)=5),cubic_spline(F706:F711,H706:H711,B$13),IF(AND(COUNT(H707:H718)=6,COUNT(F707:F718)=6),cubic_spline(F706:F712,H706:H712,B$13),IF(AND(COUNT(H707:H718)=7,COUNT(F707:F718)=7),cubic_spline(F706:F713,H706:H713,B$13),IF(AND(COUNT(H707:H718)=8,COUNT(F707:F718)=8),cubic_spline(F706:F714,H706:H714,B$13),IF(AND(COUNT(H707:H718)=9,COUNT(F707:F718)=9),cubic_spline(F706:F715,H706:H715,B$13),IF(AND(COUNT(H707:H718)=10,COUNT(F707:F718)=10),cubic_spline(F706:F716,H706:H716,B$13),IF(AND(COUNT(H707:H718)=11,COUNT(F707:F718)=11),cubic_spline(F706:F717,H706:H717,B$13),IF(AND(COUNT(H707:H718)=12,COUNT(F707:F718)=12),cubic_spline(F706:F718,H706:H718,B$13),""))))))))))))</f>
        <v/>
      </c>
      <c r="K718" s="52" t="str">
        <f>IF(N(B$13)=0,"",IF(AND(COUNT(A707:A718)=2,COUNT(F707:F718)=2),cubic_spline(F706:F708,A706:A708,B$13),IF(AND(COUNT(A707:A718)=3,COUNT(F707:F718)=3),cubic_spline(F706:F709,A706:A709,B$13),IF(AND(COUNT(A707:A718)=4,COUNT(F707:F718)=4),cubic_spline(F706:F710,A706:A710,B$13),IF(AND(COUNT(A707:A718)=5,COUNT(F707:F718)=5),cubic_spline(F706:F711,A706:A711,B$13),IF(AND(COUNT(A707:A718)=6,COUNT(F707:F718)=6),cubic_spline(F706:F712,A706:A712,B$13),IF(AND(COUNT(A707:A718)=7,COUNT(F707:F718)=7),cubic_spline(F706:F713,A706:A713,B$13),IF(AND(COUNT(A707:A718)=8,COUNT(F707:F718)=8),cubic_spline(F706:F714,A706:A714,B$13),IF(AND(COUNT(A707:A718)=9,COUNT(F707:F718)=9),cubic_spline(F706:F715,A706:A715,B$13),IF(AND(COUNT(A707:A718)=10,COUNT(F707:F718)=10),cubic_spline(F706:F716,A706:A716,B$13),IF(AND(COUNT(A707:A718)=11,COUNT(F707:F718)=11),cubic_spline(F706:F717,A706:A717,B$13),IF(AND(COUNT(A707:A718)=12,COUNT(F707:F718)=12),cubic_spline(F706:F718,A706:A718,B$13),""))))))))))))</f>
        <v/>
      </c>
      <c r="L718" s="27" t="str">
        <f>IF(I718="","",B$12&amp;"-"&amp;B$13)</f>
        <v/>
      </c>
      <c r="M718" s="52" t="str">
        <f t="shared" si="270"/>
        <v/>
      </c>
    </row>
    <row r="719" spans="1:13" ht="5.15" customHeight="1" x14ac:dyDescent="0.35">
      <c r="A719" s="47"/>
      <c r="B719" s="47"/>
      <c r="C719" s="53"/>
      <c r="D719" s="53"/>
      <c r="E719" s="54"/>
      <c r="F719" s="55"/>
      <c r="G719" s="72"/>
      <c r="H719" s="73"/>
      <c r="I719" s="47"/>
      <c r="J719" s="57"/>
      <c r="K719" s="57"/>
      <c r="L719" s="55"/>
      <c r="M719" s="57"/>
    </row>
    <row r="720" spans="1:13" x14ac:dyDescent="0.35">
      <c r="A720" s="48"/>
      <c r="B720" s="48"/>
      <c r="C720" s="50"/>
      <c r="D720" s="50"/>
      <c r="E720" s="51" t="str">
        <f>IF(N(C720)=0,"",(A720-A719)*C720*100)</f>
        <v/>
      </c>
      <c r="F720" s="68" t="str">
        <f t="shared" ref="F720:F731" si="271">IF(N(E720)=0,"",(N(E720)+N(F719)))</f>
        <v/>
      </c>
      <c r="G720" s="69" t="str">
        <f>IF(OR(N(D720)=0,N(E720)=0),"",(E720*D720)/1000)</f>
        <v/>
      </c>
      <c r="H720" s="70" t="str">
        <f t="shared" ref="H720:H731" si="272">IF(N(G720)=0,"",(N(G720)+N(H719)))</f>
        <v/>
      </c>
      <c r="I720" s="27" t="str">
        <f>IF(N(J720)=0,"",0&amp;"-"&amp;B$2)</f>
        <v/>
      </c>
      <c r="J720" s="52" t="str">
        <f>IF(N(B$2)=0,"",IF(AND(COUNT(H720:H731)=2,COUNT(F720:F731)=2),cubic_spline(F719:F721,H719:H721,B$2),IF(AND(COUNT(H720:H731)=3,COUNT(F720:F731)=3),cubic_spline(F719:F722,H719:H722,B$2),IF(AND(COUNT(H720:H731)=4,COUNT(F720:F731)=4),cubic_spline(F719:F723,H719:H723,B$2),IF(AND(COUNT(H720:H731)=5,COUNT(F720:F731)=5),cubic_spline(F719:F724,H719:H724,B$2),IF(AND(COUNT(H720:H731)=6,COUNT(F720:F731)=6),cubic_spline(F719:F725,H719:H725,B$2),IF(AND(COUNT(H720:H731)=7,COUNT(F720:F731)=7),cubic_spline(F719:F726,H719:H726,B$2),IF(AND(COUNT(H720:H731)=8,COUNT(F720:F731)=8),cubic_spline(F719:F727,H719:H727,B$2),IF(AND(COUNT(H720:H731)=9,COUNT(F720:F731)=9),cubic_spline(F719:F728,H719:H728,B$2),IF(AND(COUNT(H720:H731)=10,COUNT(F720:F731)=10),cubic_spline(F719:F729,H719:H729,B$2),IF(AND(COUNT(H720:H731)=11,COUNT(F720:F731)=11),cubic_spline(F719:F730,H719:H730,B$2),IF(AND(COUNT(H720:H731)=12,COUNT(F720:F731)=12),cubic_spline(F719:F731,H719:H731,B$2),""))))))))))))</f>
        <v/>
      </c>
      <c r="K720" s="52" t="str">
        <f>IF(N(B$2)=0,"",IF(AND(COUNT(A720:A731)=2,COUNT(F720:F731)=2),cubic_spline(F719:F721,A719:A721,B$2),IF(AND(COUNT(A720:A731)=3,COUNT(F720:F731)=3),cubic_spline(F719:F722,A719:A722,B$2),IF(AND(COUNT(A720:A731)=4,COUNT(F720:F731)=4),cubic_spline(F719:F723,A719:A723,B$2),IF(AND(COUNT(A720:A731)=5,COUNT(F720:F731)=5),cubic_spline(F719:F724,A719:A724,B$2),IF(AND(COUNT(A720:A731)=6,COUNT(F720:F731)=6),cubic_spline(F719:F725,A719:A725,B$2),IF(AND(COUNT(A720:A731)=7,COUNT(F720:F731)=7),cubic_spline(F719:F726,A719:A726,B$2),IF(AND(COUNT(A720:A731)=8,COUNT(F720:F731)=8),cubic_spline(F719:F727,A719:A727,B$2),IF(AND(COUNT(A720:A731)=9,COUNT(F720:F731)=9),cubic_spline(F719:F728,A719:A728,B$2),IF(AND(COUNT(A720:A731)=10,COUNT(F720:F731)=10),cubic_spline(F719:F729,A719:A729,B$2),IF(AND(COUNT(A720:A731)=11,COUNT(F720:F731)=11),cubic_spline(F719:F730,A719:A730,B$2),IF(AND(COUNT(A720:A731)=12,COUNT(F720:F731)=12),cubic_spline(F719:F731,A719:A731,B$2),""))))))))))))</f>
        <v/>
      </c>
      <c r="L720" s="27" t="str">
        <f>IF(I720="","",0&amp;"-"&amp;B$2)</f>
        <v/>
      </c>
      <c r="M720" s="52" t="str">
        <f>IF(N(J720)=0,"",J720-J719)</f>
        <v/>
      </c>
    </row>
    <row r="721" spans="1:13" x14ac:dyDescent="0.35">
      <c r="A721" s="48"/>
      <c r="B721" s="48"/>
      <c r="C721" s="50"/>
      <c r="D721" s="50"/>
      <c r="E721" s="51" t="str">
        <f t="shared" ref="E721:E731" si="273">IF(N(C721)=0,"",(A721-A720)*C721*100)</f>
        <v/>
      </c>
      <c r="F721" s="68" t="str">
        <f t="shared" si="271"/>
        <v/>
      </c>
      <c r="G721" s="69" t="str">
        <f t="shared" ref="G721:G731" si="274">IF(OR(N(D721)=0,N(E721)=0),"",(E721*D721)/1000)</f>
        <v/>
      </c>
      <c r="H721" s="70" t="str">
        <f t="shared" si="272"/>
        <v/>
      </c>
      <c r="I721" s="27" t="str">
        <f>IF(N(J721)=0,"",0&amp;"-"&amp;B$3)</f>
        <v/>
      </c>
      <c r="J721" s="52" t="str">
        <f>IF(N(B$3)=0,"",IF(AND(COUNT(H720:H731)=2,COUNT(F720:F731)=2),cubic_spline(F719:F721,H719:H721,B$3),IF(AND(COUNT(H720:H731)=3,COUNT(F720:F731)=3),cubic_spline(F719:F722,H719:H722,B$3),IF(AND(COUNT(H720:H731)=4,COUNT(F720:F731)=4),cubic_spline(F719:F723,H719:H723,B$3),IF(AND(COUNT(H720:H731)=5,COUNT(F720:F731)=5),cubic_spline(F719:F724,H719:H724,B$3),IF(AND(COUNT(H720:H731)=6,COUNT(F720:F731)=6),cubic_spline(F719:F725,H719:H725,B$3),IF(AND(COUNT(H720:H731)=7,COUNT(F720:F731)=7),cubic_spline(F719:F726,H719:H726,B$3),IF(AND(COUNT(H720:H731)=8,COUNT(F720:F731)=8),cubic_spline(F719:F727,H719:H727,B$3),IF(AND(COUNT(H720:H731)=9,COUNT(F720:F731)=9),cubic_spline(F719:F728,H719:H728,B$3),IF(AND(COUNT(H720:H731)=10,COUNT(F720:F731)=10),cubic_spline(F719:F729,H719:H729,B$3),IF(AND(COUNT(H720:H731)=11,COUNT(F720:F731)=11),cubic_spline(F719:F730,H719:H730,B$3),IF(AND(COUNT(H720:H731)=12,COUNT(F720:F731)=12),cubic_spline(F719:F731,H719:H731,B$3),""))))))))))))</f>
        <v/>
      </c>
      <c r="K721" s="52" t="str">
        <f>IF(N(B$3)=0,"",IF(AND(COUNT(A720:A731)=2,COUNT(F720:F731)=2),cubic_spline(F719:F721,A719:A721,B$3),IF(AND(COUNT(A720:A731)=3,COUNT(F720:F731)=3),cubic_spline(F719:F722,A719:A722,B$3),IF(AND(COUNT(A720:A731)=4,COUNT(F720:F731)=4),cubic_spline(F719:F723,A719:A723,B$3),IF(AND(COUNT(A720:A731)=5,COUNT(F720:F731)=5),cubic_spline(F719:F724,A719:A724,B$3),IF(AND(COUNT(A720:A731)=6,COUNT(F720:F731)=6),cubic_spline(F719:F725,A719:A725,B$3),IF(AND(COUNT(A720:A731)=7,COUNT(F720:F731)=7),cubic_spline(F719:F726,A719:A726,B$3),IF(AND(COUNT(A720:A731)=8,COUNT(F720:F731)=8),cubic_spline(F719:F727,A719:A727,B$3),IF(AND(COUNT(A720:A731)=9,COUNT(F720:F731)=9),cubic_spline(F719:F728,A719:A728,B$3),IF(AND(COUNT(A720:A731)=10,COUNT(F720:F731)=10),cubic_spline(F719:F729,A719:A729,B$3),IF(AND(COUNT(A720:A731)=11,COUNT(F720:F731)=11),cubic_spline(F719:F730,A719:A730,B$3),IF(AND(COUNT(A720:A731)=12,COUNT(F720:F731)=12),cubic_spline(F719:F731,A719:A731,B$3),""))))))))))))</f>
        <v/>
      </c>
      <c r="L721" s="27" t="str">
        <f>IF(I721="","",B$2&amp;"-"&amp;B$3)</f>
        <v/>
      </c>
      <c r="M721" s="52" t="str">
        <f>IF(N(J721)=0,"",J721-J720)</f>
        <v/>
      </c>
    </row>
    <row r="722" spans="1:13" x14ac:dyDescent="0.35">
      <c r="A722" s="48"/>
      <c r="B722" s="48"/>
      <c r="C722" s="50"/>
      <c r="D722" s="50"/>
      <c r="E722" s="51" t="str">
        <f t="shared" si="273"/>
        <v/>
      </c>
      <c r="F722" s="68" t="str">
        <f t="shared" si="271"/>
        <v/>
      </c>
      <c r="G722" s="69" t="str">
        <f t="shared" si="274"/>
        <v/>
      </c>
      <c r="H722" s="70" t="str">
        <f t="shared" si="272"/>
        <v/>
      </c>
      <c r="I722" s="27" t="str">
        <f>IF(N(J722)=0,"",0&amp;"-"&amp;B$4)</f>
        <v/>
      </c>
      <c r="J722" s="52" t="str">
        <f>IF(N(B$4)=0,"",IF(AND(COUNT(H720:H731)=2,COUNT(F720:F731)=2),cubic_spline(F719:F721,H719:H721,B$4),IF(AND(COUNT(H720:H731)=3,COUNT(F720:F731)=3),cubic_spline(F719:F722,H719:H722,B$4),IF(AND(COUNT(H720:H731)=4,COUNT(F720:F731)=4),cubic_spline(F719:F723,H719:H723,B$4),IF(AND(COUNT(H720:H731)=5,COUNT(F720:F731)=5),cubic_spline(F719:F724,H719:H724,B$4),IF(AND(COUNT(H720:H731)=6,COUNT(F720:F731)=6),cubic_spline(F719:F725,H719:H725,B$4),IF(AND(COUNT(H720:H731)=7,COUNT(F720:F731)=7),cubic_spline(F719:F726,H719:H726,B$4),IF(AND(COUNT(H720:H731)=8,COUNT(F720:F731)=8),cubic_spline(F719:F727,H719:H727,B$4),IF(AND(COUNT(H720:H731)=9,COUNT(F720:F731)=9),cubic_spline(F719:F728,H719:H728,B$4),IF(AND(COUNT(H720:H731)=10,COUNT(F720:F731)=10),cubic_spline(F719:F729,H719:H729,B$4),IF(AND(COUNT(H720:H731)=11,COUNT(F720:F731)=11),cubic_spline(F719:F730,H719:H730,B$4),IF(AND(COUNT(H720:H731)=12,COUNT(F720:F731)=12),cubic_spline(F719:F731,H719:H731,B$4),""))))))))))))</f>
        <v/>
      </c>
      <c r="K722" s="52" t="str">
        <f>IF(N(B$4)=0,"",IF(AND(COUNT(A720:A731)=2,COUNT(F720:F731)=2),cubic_spline(F719:F721,A719:A721,B$4),IF(AND(COUNT(A720:A731)=3,COUNT(F720:F731)=3),cubic_spline(F719:F722,A719:A722,B$4),IF(AND(COUNT(A720:A731)=4,COUNT(F720:F731)=4),cubic_spline(F719:F723,A719:A723,B$4),IF(AND(COUNT(A720:A731)=5,COUNT(F720:F731)=5),cubic_spline(F719:F724,A719:A724,B$4),IF(AND(COUNT(A720:A731)=6,COUNT(F720:F731)=6),cubic_spline(F719:F725,A719:A725,B$4),IF(AND(COUNT(A720:A731)=7,COUNT(F720:F731)=7),cubic_spline(F719:F726,A719:A726,B$4),IF(AND(COUNT(A720:A731)=8,COUNT(F720:F731)=8),cubic_spline(F719:F727,A719:A727,B$4),IF(AND(COUNT(A720:A731)=9,COUNT(F720:F731)=9),cubic_spline(F719:F728,A719:A728,B$4),IF(AND(COUNT(A720:A731)=10,COUNT(F720:F731)=10),cubic_spline(F719:F729,A719:A729,B$4),IF(AND(COUNT(A720:A731)=11,COUNT(F720:F731)=11),cubic_spline(F719:F730,A719:A730,B$4),IF(AND(COUNT(A720:A731)=12,COUNT(F720:F731)=12),cubic_spline(F719:F731,A719:A731,B$4),""))))))))))))</f>
        <v/>
      </c>
      <c r="L722" s="27" t="str">
        <f>IF(I722="","",B$3&amp;"-"&amp;B$4)</f>
        <v/>
      </c>
      <c r="M722" s="52" t="str">
        <f>IF(N(J722)=0,"",J722-J721)</f>
        <v/>
      </c>
    </row>
    <row r="723" spans="1:13" x14ac:dyDescent="0.35">
      <c r="A723" s="48"/>
      <c r="B723" s="48"/>
      <c r="C723" s="50"/>
      <c r="D723" s="50"/>
      <c r="E723" s="51" t="str">
        <f t="shared" si="273"/>
        <v/>
      </c>
      <c r="F723" s="68" t="str">
        <f t="shared" si="271"/>
        <v/>
      </c>
      <c r="G723" s="69" t="str">
        <f t="shared" si="274"/>
        <v/>
      </c>
      <c r="H723" s="70" t="str">
        <f t="shared" si="272"/>
        <v/>
      </c>
      <c r="I723" s="27" t="str">
        <f>IF(N(J723)=0,"",0&amp;"-"&amp;B$5)</f>
        <v/>
      </c>
      <c r="J723" s="52" t="str">
        <f>IF(N(B$5)=0,"",IF(AND(COUNT(H720:H731)=2,COUNT(F720:F731)=2),cubic_spline(F719:F721,H719:H721,B$5),IF(AND(COUNT(H720:H731)=3,COUNT(F720:F731)=3),cubic_spline(F719:F722,H719:H722,B$5),IF(AND(COUNT(H720:H731)=4,COUNT(F720:F731)=4),cubic_spline(F719:F723,H719:H723,B$5),IF(AND(COUNT(H720:H731)=5,COUNT(F720:F731)=5),cubic_spline(F719:F724,H719:H724,B$5),IF(AND(COUNT(H720:H731)=6,COUNT(F720:F731)=6),cubic_spline(F719:F725,H719:H725,B$5),IF(AND(COUNT(H720:H731)=7,COUNT(F720:F731)=7),cubic_spline(F719:F726,H719:H726,B$5),IF(AND(COUNT(H720:H731)=8,COUNT(F720:F731)=8),cubic_spline(F719:F727,H719:H727,B$5),IF(AND(COUNT(H720:H731)=9,COUNT(F720:F731)=9),cubic_spline(F719:F728,H719:H728,B$5),IF(AND(COUNT(H720:H731)=10,COUNT(F720:F731)=10),cubic_spline(F719:F729,H719:H729,B$5),IF(AND(COUNT(H720:H731)=11,COUNT(F720:F731)=11),cubic_spline(F719:F730,H719:H730,B$5),IF(AND(COUNT(H720:H731)=12,COUNT(F720:F731)=12),cubic_spline(F719:F731,H719:H731,B$5),""))))))))))))</f>
        <v/>
      </c>
      <c r="K723" s="52" t="str">
        <f>IF(N(B$5)=0,"",IF(AND(COUNT(A720:A731)=2,COUNT(F720:F731)=2),cubic_spline(F719:F721,A719:A721,B$5),IF(AND(COUNT(A720:A731)=3,COUNT(F720:F731)=3),cubic_spline(F719:F722,A719:A722,B$5),IF(AND(COUNT(A720:A731)=4,COUNT(F720:F731)=4),cubic_spline(F719:F723,A719:A723,B$5),IF(AND(COUNT(A720:A731)=5,COUNT(F720:F731)=5),cubic_spline(F719:F724,A719:A724,B$5),IF(AND(COUNT(A720:A731)=6,COUNT(F720:F731)=6),cubic_spline(F719:F725,A719:A725,B$5),IF(AND(COUNT(A720:A731)=7,COUNT(F720:F731)=7),cubic_spline(F719:F726,A719:A726,B$5),IF(AND(COUNT(A720:A731)=8,COUNT(F720:F731)=8),cubic_spline(F719:F727,A719:A727,B$5),IF(AND(COUNT(A720:A731)=9,COUNT(F720:F731)=9),cubic_spline(F719:F728,A719:A728,B$5),IF(AND(COUNT(A720:A731)=10,COUNT(F720:F731)=10),cubic_spline(F719:F729,A719:A729,B$5),IF(AND(COUNT(A720:A731)=11,COUNT(F720:F731)=11),cubic_spline(F719:F730,A719:A730,B$5),IF(AND(COUNT(A720:A731)=12,COUNT(F720:F731)=12),cubic_spline(F719:F731,A719:A731,B$5),""))))))))))))</f>
        <v/>
      </c>
      <c r="L723" s="27" t="str">
        <f>IF(I723="","",B$4&amp;"-"&amp;B$5)</f>
        <v/>
      </c>
      <c r="M723" s="52" t="str">
        <f>IF(N(J723)=0,"",J723-J722)</f>
        <v/>
      </c>
    </row>
    <row r="724" spans="1:13" x14ac:dyDescent="0.35">
      <c r="A724" s="48"/>
      <c r="B724" s="48"/>
      <c r="C724" s="50"/>
      <c r="D724" s="50"/>
      <c r="E724" s="51" t="str">
        <f t="shared" si="273"/>
        <v/>
      </c>
      <c r="F724" s="71" t="str">
        <f t="shared" si="271"/>
        <v/>
      </c>
      <c r="G724" s="69" t="str">
        <f t="shared" si="274"/>
        <v/>
      </c>
      <c r="H724" s="70" t="str">
        <f t="shared" si="272"/>
        <v/>
      </c>
      <c r="I724" s="27" t="str">
        <f>IF(N(J724)=0,"",0&amp;"-"&amp;B$6)</f>
        <v/>
      </c>
      <c r="J724" s="52" t="str">
        <f>IF(N(B$6)=0,"",IF(AND(COUNT(H720:H731)=2,COUNT(F720:F731)=2),cubic_spline(F719:F721,H719:H721,B$6),IF(AND(COUNT(H720:H731)=3,COUNT(F720:F731)=3),cubic_spline(F719:F722,H719:H722,B$6),IF(AND(COUNT(H720:H731)=4,COUNT(F720:F731)=4),cubic_spline(F719:F723,H719:H723,B$6),IF(AND(COUNT(H720:H731)=5,COUNT(F720:F731)=5),cubic_spline(F719:F724,H719:H724,B$6),IF(AND(COUNT(H720:H731)=6,COUNT(F720:F731)=6),cubic_spline(F719:F725,H719:H725,B$6),IF(AND(COUNT(H720:H731)=7,COUNT(F720:F731)=7),cubic_spline(F719:F726,H719:H726,B$6),IF(AND(COUNT(H720:H731)=8,COUNT(F720:F731)=8),cubic_spline(F719:F727,H719:H727,B$6),IF(AND(COUNT(H720:H731)=9,COUNT(F720:F731)=9),cubic_spline(F719:F728,H719:H728,B$6),IF(AND(COUNT(H720:H731)=10,COUNT(F720:F731)=10),cubic_spline(F719:F729,H719:H729,B$6),IF(AND(COUNT(H720:H731)=11,COUNT(F720:F731)=11),cubic_spline(F719:F730,H719:H730,B$6),IF(AND(COUNT(H720:H731)=12,COUNT(F720:F731)=12),cubic_spline(F719:F731,H719:H731,B$6),""))))))))))))</f>
        <v/>
      </c>
      <c r="K724" s="52" t="str">
        <f>IF(N(B$6)=0,"",IF(AND(COUNT(A720:A731)=2,COUNT(F720:F731)=2),cubic_spline(F719:F721,A719:A721,B$6),IF(AND(COUNT(A720:A731)=3,COUNT(F720:F731)=3),cubic_spline(F719:F722,A719:A722,B$6),IF(AND(COUNT(A720:A731)=4,COUNT(F720:F731)=4),cubic_spline(F719:F723,A719:A723,B$6),IF(AND(COUNT(A720:A731)=5,COUNT(F720:F731)=5),cubic_spline(F719:F724,A719:A724,B$6),IF(AND(COUNT(A720:A731)=6,COUNT(F720:F731)=6),cubic_spline(F719:F725,A719:A725,B$6),IF(AND(COUNT(A720:A731)=7,COUNT(F720:F731)=7),cubic_spline(F719:F726,A719:A726,B$6),IF(AND(COUNT(A720:A731)=8,COUNT(F720:F731)=8),cubic_spline(F719:F727,A719:A727,B$6),IF(AND(COUNT(A720:A731)=9,COUNT(F720:F731)=9),cubic_spline(F719:F728,A719:A728,B$6),IF(AND(COUNT(A720:A731)=10,COUNT(F720:F731)=10),cubic_spline(F719:F729,A719:A729,B$6),IF(AND(COUNT(A720:A731)=11,COUNT(F720:F731)=11),cubic_spline(F719:F730,A719:A730,B$6),IF(AND(COUNT(A720:A731)=12,COUNT(F720:F731)=12),cubic_spline(F719:F731,A719:A731,B$6),""))))))))))))</f>
        <v/>
      </c>
      <c r="L724" s="27" t="str">
        <f>IF(I724="","",B$5&amp;"-"&amp;B$6)</f>
        <v/>
      </c>
      <c r="M724" s="52" t="str">
        <f>IF(N(J724)=0,"",J724-J723)</f>
        <v/>
      </c>
    </row>
    <row r="725" spans="1:13" x14ac:dyDescent="0.35">
      <c r="A725" s="48"/>
      <c r="B725" s="48"/>
      <c r="C725" s="50"/>
      <c r="D725" s="50"/>
      <c r="E725" s="51" t="str">
        <f t="shared" si="273"/>
        <v/>
      </c>
      <c r="F725" s="71" t="str">
        <f t="shared" si="271"/>
        <v/>
      </c>
      <c r="G725" s="69" t="str">
        <f t="shared" si="274"/>
        <v/>
      </c>
      <c r="H725" s="70" t="str">
        <f t="shared" si="272"/>
        <v/>
      </c>
      <c r="I725" s="27" t="str">
        <f>IF(N(J725)=0,"",0&amp;"-"&amp;B$7)</f>
        <v/>
      </c>
      <c r="J725" s="52" t="str">
        <f>IF(N(B$7)=0,"",IF(AND(COUNT(H720:H731)=2,COUNT(F720:F731)=2),cubic_spline(F719:F721,H719:H721,B$7),IF(AND(COUNT(H720:H731)=3,COUNT(F720:F731)=3),cubic_spline(F719:F722,H719:H722,B$7),IF(AND(COUNT(H720:H731)=4,COUNT(F720:F731)=4),cubic_spline(F719:F723,H719:H723,B$7),IF(AND(COUNT(H720:H731)=5,COUNT(F720:F731)=5),cubic_spline(F719:F724,H719:H724,B$7),IF(AND(COUNT(H720:H731)=6,COUNT(F720:F731)=6),cubic_spline(F719:F725,H719:H725,B$7),IF(AND(COUNT(H720:H731)=7,COUNT(F720:F731)=7),cubic_spline(F719:F726,H719:H726,B$7),IF(AND(COUNT(H720:H731)=8,COUNT(F720:F731)=8),cubic_spline(F719:F727,H719:H727,B$7),IF(AND(COUNT(H720:H731)=9,COUNT(F720:F731)=9),cubic_spline(F719:F728,H719:H728,B$7),IF(AND(COUNT(H720:H731)=10,COUNT(F720:F731)=10),cubic_spline(F719:F729,H719:H729,B$7),IF(AND(COUNT(H720:H731)=11,COUNT(F720:F731)=11),cubic_spline(F719:F730,H719:H730,B$7),IF(AND(COUNT(H720:H731)=12,COUNT(F720:F731)=12),cubic_spline(F719:F731,H719:H731,B$7),""))))))))))))</f>
        <v/>
      </c>
      <c r="K725" s="52" t="str">
        <f>IF(N(B$7)=0,"",IF(AND(COUNT(A720:A731)=2,COUNT(F720:F731)=2),cubic_spline(F719:F721,A719:A721,B$7),IF(AND(COUNT(A720:A731)=3,COUNT(F720:F731)=3),cubic_spline(F719:F722,A719:A722,B$7),IF(AND(COUNT(A720:A731)=4,COUNT(F720:F731)=4),cubic_spline(F719:F723,A719:A723,B$7),IF(AND(COUNT(A720:A731)=5,COUNT(F720:F731)=5),cubic_spline(F719:F724,A719:A724,B$7),IF(AND(COUNT(A720:A731)=6,COUNT(F720:F731)=6),cubic_spline(F719:F725,A719:A725,B$7),IF(AND(COUNT(A720:A731)=7,COUNT(F720:F731)=7),cubic_spline(F719:F726,A719:A726,B$7),IF(AND(COUNT(A720:A731)=8,COUNT(F720:F731)=8),cubic_spline(F719:F727,A719:A727,B$7),IF(AND(COUNT(A720:A731)=9,COUNT(F720:F731)=9),cubic_spline(F719:F728,A719:A728,B$7),IF(AND(COUNT(A720:A731)=10,COUNT(F720:F731)=10),cubic_spline(F719:F729,A719:A729,B$7),IF(AND(COUNT(A720:A731)=11,COUNT(F720:F731)=11),cubic_spline(F719:F730,A719:A730,B$7),IF(AND(COUNT(A720:A731)=12,COUNT(F720:F731)=12),cubic_spline(F719:F731,A719:A731,B$7),""))))))))))))</f>
        <v/>
      </c>
      <c r="L725" s="27" t="str">
        <f>IF(I725="","",B$6&amp;"-"&amp;B$7)</f>
        <v/>
      </c>
      <c r="M725" s="52" t="str">
        <f t="shared" ref="M725:M731" si="275">IF(N(J725)=0,"",J725-J724)</f>
        <v/>
      </c>
    </row>
    <row r="726" spans="1:13" x14ac:dyDescent="0.35">
      <c r="A726" s="48"/>
      <c r="B726" s="48"/>
      <c r="C726" s="50"/>
      <c r="D726" s="50"/>
      <c r="E726" s="51" t="str">
        <f t="shared" si="273"/>
        <v/>
      </c>
      <c r="F726" s="71" t="str">
        <f t="shared" si="271"/>
        <v/>
      </c>
      <c r="G726" s="69" t="str">
        <f t="shared" si="274"/>
        <v/>
      </c>
      <c r="H726" s="70" t="str">
        <f t="shared" si="272"/>
        <v/>
      </c>
      <c r="I726" s="27" t="str">
        <f>IF(N(J726)=0,"",0&amp;"-"&amp;B$8)</f>
        <v/>
      </c>
      <c r="J726" s="52" t="str">
        <f>IF(N(B$8)=0,"",IF(AND(COUNT(H720:H731)=2,COUNT(F720:F731)=2),cubic_spline(F719:F721,H719:H721,B$8),IF(AND(COUNT(H720:H731)=3,COUNT(F720:F731)=3),cubic_spline(F719:F722,H719:H722,B$8),IF(AND(COUNT(H720:H731)=4,COUNT(F720:F731)=4),cubic_spline(F719:F723,H719:H723,B$8),IF(AND(COUNT(H720:H731)=5,COUNT(F720:F731)=5),cubic_spline(F719:F724,H719:H724,B$8),IF(AND(COUNT(H720:H731)=6,COUNT(F720:F731)=6),cubic_spline(F719:F725,H719:H725,B$8),IF(AND(COUNT(H720:H731)=7,COUNT(F720:F731)=7),cubic_spline(F719:F726,H719:H726,B$8),IF(AND(COUNT(H720:H731)=8,COUNT(F720:F731)=8),cubic_spline(F719:F727,H719:H727,B$8),IF(AND(COUNT(H720:H731)=9,COUNT(F720:F731)=9),cubic_spline(F719:F728,H719:H728,B$8),IF(AND(COUNT(H720:H731)=10,COUNT(F720:F731)=10),cubic_spline(F719:F729,H719:H729,B$8),IF(AND(COUNT(H720:H731)=11,COUNT(F720:F731)=11),cubic_spline(F719:F730,H719:H730,B$8),IF(AND(COUNT(H720:H731)=12,COUNT(F720:F731)=12),cubic_spline(F719:F731,H719:H731,B$8),""))))))))))))</f>
        <v/>
      </c>
      <c r="K726" s="52" t="str">
        <f>IF(N(B$8)=0,"",IF(AND(COUNT(A720:A731)=2,COUNT(F720:F731)=2),cubic_spline(F719:F721,A719:A721,B$8),IF(AND(COUNT(A720:A731)=3,COUNT(F720:F731)=3),cubic_spline(F719:F722,A719:A722,B$8),IF(AND(COUNT(A720:A731)=4,COUNT(F720:F731)=4),cubic_spline(F719:F723,A719:A723,B$8),IF(AND(COUNT(A720:A731)=5,COUNT(F720:F731)=5),cubic_spline(F719:F724,A719:A724,B$8),IF(AND(COUNT(A720:A731)=6,COUNT(F720:F731)=6),cubic_spline(F719:F725,A719:A725,B$8),IF(AND(COUNT(A720:A731)=7,COUNT(F720:F731)=7),cubic_spline(F719:F726,A719:A726,B$8),IF(AND(COUNT(A720:A731)=8,COUNT(F720:F731)=8),cubic_spline(F719:F727,A719:A727,B$8),IF(AND(COUNT(A720:A731)=9,COUNT(F720:F731)=9),cubic_spline(F719:F728,A719:A728,B$8),IF(AND(COUNT(A720:A731)=10,COUNT(F720:F731)=10),cubic_spline(F719:F729,A719:A729,B$8),IF(AND(COUNT(A720:A731)=11,COUNT(F720:F731)=11),cubic_spline(F719:F730,A719:A730,B$8),IF(AND(COUNT(A720:A731)=12,COUNT(F720:F731)=12),cubic_spline(F719:F731,A719:A731,B$8),""))))))))))))</f>
        <v/>
      </c>
      <c r="L726" s="27" t="str">
        <f>IF(I726="","",B$7&amp;"-"&amp;B$8)</f>
        <v/>
      </c>
      <c r="M726" s="52" t="str">
        <f t="shared" si="275"/>
        <v/>
      </c>
    </row>
    <row r="727" spans="1:13" x14ac:dyDescent="0.35">
      <c r="A727" s="48"/>
      <c r="B727" s="48"/>
      <c r="C727" s="50"/>
      <c r="D727" s="50"/>
      <c r="E727" s="51" t="str">
        <f t="shared" si="273"/>
        <v/>
      </c>
      <c r="F727" s="71" t="str">
        <f t="shared" si="271"/>
        <v/>
      </c>
      <c r="G727" s="69" t="str">
        <f t="shared" si="274"/>
        <v/>
      </c>
      <c r="H727" s="70" t="str">
        <f t="shared" si="272"/>
        <v/>
      </c>
      <c r="I727" s="27" t="str">
        <f>IF(N(J727)=0,"",0&amp;"-"&amp;B$9)</f>
        <v/>
      </c>
      <c r="J727" s="52" t="str">
        <f>IF(N(B$9)=0,"",IF(AND(COUNT(H720:H731)=2,COUNT(F720:F731)=2),cubic_spline(F719:F721,H719:H721,B$9),IF(AND(COUNT(H720:H731)=3,COUNT(F720:F731)=3),cubic_spline(F719:F722,H719:H722,B$9),IF(AND(COUNT(H720:H731)=4,COUNT(F720:F731)=4),cubic_spline(F719:F723,H719:H723,B$9),IF(AND(COUNT(H720:H731)=5,COUNT(F720:F731)=5),cubic_spline(F719:F724,H719:H724,B$9),IF(AND(COUNT(H720:H731)=6,COUNT(F720:F731)=6),cubic_spline(F719:F725,H719:H725,B$9),IF(AND(COUNT(H720:H731)=7,COUNT(F720:F731)=7),cubic_spline(F719:F726,H719:H726,B$9),IF(AND(COUNT(H720:H731)=8,COUNT(F720:F731)=8),cubic_spline(F719:F727,H719:H727,B$9),IF(AND(COUNT(H720:H731)=9,COUNT(F720:F731)=9),cubic_spline(F719:F728,H719:H728,B$9),IF(AND(COUNT(H720:H731)=10,COUNT(F720:F731)=10),cubic_spline(F719:F729,H719:H729,B$9),IF(AND(COUNT(H720:H731)=11,COUNT(F720:F731)=11),cubic_spline(F719:F730,H719:H730,B$9),IF(AND(COUNT(H720:H731)=12,COUNT(F720:F731)=12),cubic_spline(F719:F731,H719:H731,B$9),""))))))))))))</f>
        <v/>
      </c>
      <c r="K727" s="52" t="str">
        <f>IF(N(B$9)=0,"",IF(AND(COUNT(A720:A731)=2,COUNT(F720:F731)=2),cubic_spline(F719:F721,A719:A721,B$9),IF(AND(COUNT(A720:A731)=3,COUNT(F720:F731)=3),cubic_spline(F719:F722,A719:A722,B$9),IF(AND(COUNT(A720:A731)=4,COUNT(F720:F731)=4),cubic_spline(F719:F723,A719:A723,B$9),IF(AND(COUNT(A720:A731)=5,COUNT(F720:F731)=5),cubic_spline(F719:F724,A719:A724,B$9),IF(AND(COUNT(A720:A731)=6,COUNT(F720:F731)=6),cubic_spline(F719:F725,A719:A725,B$9),IF(AND(COUNT(A720:A731)=7,COUNT(F720:F731)=7),cubic_spline(F719:F726,A719:A726,B$9),IF(AND(COUNT(A720:A731)=8,COUNT(F720:F731)=8),cubic_spline(F719:F727,A719:A727,B$9),IF(AND(COUNT(A720:A731)=9,COUNT(F720:F731)=9),cubic_spline(F719:F728,A719:A728,B$9),IF(AND(COUNT(A720:A731)=10,COUNT(F720:F731)=10),cubic_spline(F719:F729,A719:A729,B$9),IF(AND(COUNT(A720:A731)=11,COUNT(F720:F731)=11),cubic_spline(F719:F730,A719:A730,B$9),IF(AND(COUNT(A720:A731)=12,COUNT(F720:F731)=12),cubic_spline(F719:F731,A719:A731,B$9),""))))))))))))</f>
        <v/>
      </c>
      <c r="L727" s="27" t="str">
        <f>IF(I727="","",B$8&amp;"-"&amp;B$9)</f>
        <v/>
      </c>
      <c r="M727" s="52" t="str">
        <f t="shared" si="275"/>
        <v/>
      </c>
    </row>
    <row r="728" spans="1:13" x14ac:dyDescent="0.35">
      <c r="A728" s="48"/>
      <c r="B728" s="48"/>
      <c r="C728" s="50"/>
      <c r="D728" s="50"/>
      <c r="E728" s="51" t="str">
        <f t="shared" si="273"/>
        <v/>
      </c>
      <c r="F728" s="71" t="str">
        <f t="shared" si="271"/>
        <v/>
      </c>
      <c r="G728" s="69" t="str">
        <f t="shared" si="274"/>
        <v/>
      </c>
      <c r="H728" s="70" t="str">
        <f t="shared" si="272"/>
        <v/>
      </c>
      <c r="I728" s="27" t="str">
        <f>IF(N(J728)=0,"",0&amp;"-"&amp;B$10)</f>
        <v/>
      </c>
      <c r="J728" s="52" t="str">
        <f>IF(N(B$10)=0,"",IF(AND(COUNT(H720:H731)=2,COUNT(F720:F731)=2),cubic_spline(F719:F721,H719:H721,B$10),IF(AND(COUNT(H720:H731)=3,COUNT(F720:F731)=3),cubic_spline(F719:F722,H719:H722,B$10),IF(AND(COUNT(H720:H731)=4,COUNT(F720:F731)=4),cubic_spline(F719:F723,H719:H723,B$10),IF(AND(COUNT(H720:H731)=5,COUNT(F720:F731)=5),cubic_spline(F719:F724,H719:H724,B$10),IF(AND(COUNT(H720:H731)=6,COUNT(F720:F731)=6),cubic_spline(F719:F725,H719:H725,B$10),IF(AND(COUNT(H720:H731)=7,COUNT(F720:F731)=7),cubic_spline(F719:F726,H719:H726,B$10),IF(AND(COUNT(H720:H731)=8,COUNT(F720:F731)=8),cubic_spline(F719:F727,H719:H727,B$10),IF(AND(COUNT(H720:H731)=9,COUNT(F720:F731)=9),cubic_spline(F719:F728,H719:H728,B$10),IF(AND(COUNT(H720:H731)=10,COUNT(F720:F731)=10),cubic_spline(F719:F729,H719:H729,B$10),IF(AND(COUNT(H720:H731)=11,COUNT(F720:F731)=11),cubic_spline(F719:F730,H719:H730,B$10),IF(AND(COUNT(H720:H731)=12,COUNT(F720:F731)=12),cubic_spline(F719:F731,H719:H731,B$10),""))))))))))))</f>
        <v/>
      </c>
      <c r="K728" s="52" t="str">
        <f>IF(N(B$10)=0,"",IF(AND(COUNT(A720:A731)=2,COUNT(F720:F731)=2),cubic_spline(F719:F721,A719:A721,B$10),IF(AND(COUNT(A720:A731)=3,COUNT(F720:F731)=3),cubic_spline(F719:F722,A719:A722,B$10),IF(AND(COUNT(A720:A731)=4,COUNT(F720:F731)=4),cubic_spline(F719:F723,A719:A723,B$10),IF(AND(COUNT(A720:A731)=5,COUNT(F720:F731)=5),cubic_spline(F719:F724,A719:A724,B$10),IF(AND(COUNT(A720:A731)=6,COUNT(F720:F731)=6),cubic_spline(F719:F725,A719:A725,B$10),IF(AND(COUNT(A720:A731)=7,COUNT(F720:F731)=7),cubic_spline(F719:F726,A719:A726,B$10),IF(AND(COUNT(A720:A731)=8,COUNT(F720:F731)=8),cubic_spline(F719:F727,A719:A727,B$10),IF(AND(COUNT(A720:A731)=9,COUNT(F720:F731)=9),cubic_spline(F719:F728,A719:A728,B$10),IF(AND(COUNT(A720:A731)=10,COUNT(F720:F731)=10),cubic_spline(F719:F729,A719:A729,B$10),IF(AND(COUNT(A720:A731)=11,COUNT(F720:F731)=11),cubic_spline(F719:F730,A719:A730,B$10),IF(AND(COUNT(A720:A731)=12,COUNT(F720:F731)=12),cubic_spline(F719:F731,A719:A731,B$10),""))))))))))))</f>
        <v/>
      </c>
      <c r="L728" s="27" t="str">
        <f>IF(I728="","",B$9&amp;"-"&amp;B$10)</f>
        <v/>
      </c>
      <c r="M728" s="52" t="str">
        <f t="shared" si="275"/>
        <v/>
      </c>
    </row>
    <row r="729" spans="1:13" x14ac:dyDescent="0.35">
      <c r="A729" s="48"/>
      <c r="B729" s="48"/>
      <c r="C729" s="50"/>
      <c r="D729" s="50"/>
      <c r="E729" s="51" t="str">
        <f t="shared" si="273"/>
        <v/>
      </c>
      <c r="F729" s="71" t="str">
        <f t="shared" si="271"/>
        <v/>
      </c>
      <c r="G729" s="69" t="str">
        <f t="shared" si="274"/>
        <v/>
      </c>
      <c r="H729" s="70" t="str">
        <f t="shared" si="272"/>
        <v/>
      </c>
      <c r="I729" s="27" t="str">
        <f>IF(N(J729)=0,"",0&amp;"-"&amp;B$11)</f>
        <v/>
      </c>
      <c r="J729" s="52" t="str">
        <f>IF(N(B$11)=0,"",IF(AND(COUNT(H720:H731)=2,COUNT(F720:F731)=2),cubic_spline(F719:F721,H719:H721,B$11),IF(AND(COUNT(H720:H731)=3,COUNT(F720:F731)=3),cubic_spline(F719:F722,H719:H722,B$11),IF(AND(COUNT(H720:H731)=4,COUNT(F720:F731)=4),cubic_spline(F719:F723,H719:H723,B$11),IF(AND(COUNT(H720:H731)=5,COUNT(F720:F731)=5),cubic_spline(F719:F724,H719:H724,B$11),IF(AND(COUNT(H720:H731)=6,COUNT(F720:F731)=6),cubic_spline(F719:F725,H719:H725,B$11),IF(AND(COUNT(H720:H731)=7,COUNT(F720:F731)=7),cubic_spline(F719:F726,H719:H726,B$11),IF(AND(COUNT(H720:H731)=8,COUNT(F720:F731)=8),cubic_spline(F719:F727,H719:H727,B$11),IF(AND(COUNT(H720:H731)=9,COUNT(F720:F731)=9),cubic_spline(F719:F728,H719:H728,B$11),IF(AND(COUNT(H720:H731)=10,COUNT(F720:F731)=10),cubic_spline(F719:F729,H719:H729,B$11),IF(AND(COUNT(H720:H731)=11,COUNT(F720:F731)=11),cubic_spline(F719:F730,H719:H730,B$11),IF(AND(COUNT(H720:H731)=12,COUNT(F720:F731)=12),cubic_spline(F719:F731,H719:H731,B$11),""))))))))))))</f>
        <v/>
      </c>
      <c r="K729" s="52" t="str">
        <f>IF(N(B$11)=0,"",IF(AND(COUNT(A720:A731)=2,COUNT(F720:F731)=2),cubic_spline(F719:F721,A719:A721,B$11),IF(AND(COUNT(A720:A731)=3,COUNT(F720:F731)=3),cubic_spline(F719:F722,A719:A722,B$11),IF(AND(COUNT(A720:A731)=4,COUNT(F720:F731)=4),cubic_spline(F719:F723,A719:A723,B$11),IF(AND(COUNT(A720:A731)=5,COUNT(F720:F731)=5),cubic_spline(F719:F724,A719:A724,B$11),IF(AND(COUNT(A720:A731)=6,COUNT(F720:F731)=6),cubic_spline(F719:F725,A719:A725,B$11),IF(AND(COUNT(A720:A731)=7,COUNT(F720:F731)=7),cubic_spline(F719:F726,A719:A726,B$11),IF(AND(COUNT(A720:A731)=8,COUNT(F720:F731)=8),cubic_spline(F719:F727,A719:A727,B$11),IF(AND(COUNT(A720:A731)=9,COUNT(F720:F731)=9),cubic_spline(F719:F728,A719:A728,B$11),IF(AND(COUNT(A720:A731)=10,COUNT(F720:F731)=10),cubic_spline(F719:F729,A719:A729,B$11),IF(AND(COUNT(A720:A731)=11,COUNT(F720:F731)=11),cubic_spline(F719:F730,A719:A730,B$11),IF(AND(COUNT(A720:A731)=12,COUNT(F720:F731)=12),cubic_spline(F719:F731,A719:A731,B$11),""))))))))))))</f>
        <v/>
      </c>
      <c r="L729" s="27" t="str">
        <f>IF(I729="","",B$10&amp;"-"&amp;B$11)</f>
        <v/>
      </c>
      <c r="M729" s="52" t="str">
        <f t="shared" si="275"/>
        <v/>
      </c>
    </row>
    <row r="730" spans="1:13" x14ac:dyDescent="0.35">
      <c r="A730" s="48"/>
      <c r="B730" s="48"/>
      <c r="C730" s="50"/>
      <c r="D730" s="50"/>
      <c r="E730" s="51" t="str">
        <f t="shared" si="273"/>
        <v/>
      </c>
      <c r="F730" s="71" t="str">
        <f t="shared" si="271"/>
        <v/>
      </c>
      <c r="G730" s="69" t="str">
        <f t="shared" si="274"/>
        <v/>
      </c>
      <c r="H730" s="70" t="str">
        <f t="shared" si="272"/>
        <v/>
      </c>
      <c r="I730" s="27" t="str">
        <f>IF(N(J730)=0,"",0&amp;"-"&amp;B$12)</f>
        <v/>
      </c>
      <c r="J730" s="52" t="str">
        <f>IF(N(B$12)=0,"",IF(AND(COUNT(H720:H731)=2,COUNT(F720:F731)=2),cubic_spline(F719:F721,H719:H721,B$12),IF(AND(COUNT(H720:H731)=3,COUNT(F720:F731)=3),cubic_spline(F719:F722,H719:H722,B$12),IF(AND(COUNT(H720:H731)=4,COUNT(F720:F731)=4),cubic_spline(F719:F723,H719:H723,B$12),IF(AND(COUNT(H720:H731)=5,COUNT(F720:F731)=5),cubic_spline(F719:F724,H719:H724,B$12),IF(AND(COUNT(H720:H731)=6,COUNT(F720:F731)=6),cubic_spline(F719:F725,H719:H725,B$12),IF(AND(COUNT(H720:H731)=7,COUNT(F720:F731)=7),cubic_spline(F719:F726,H719:H726,B$12),IF(AND(COUNT(H720:H731)=8,COUNT(F720:F731)=8),cubic_spline(F719:F727,H719:H727,B$12),IF(AND(COUNT(H720:H731)=9,COUNT(F720:F731)=9),cubic_spline(F719:F728,H719:H728,B$12),IF(AND(COUNT(H720:H731)=10,COUNT(F720:F731)=10),cubic_spline(F719:F729,H719:H729,B$12),IF(AND(COUNT(H720:H731)=11,COUNT(F720:F731)=11),cubic_spline(F719:F730,H719:H730,B$12),IF(AND(COUNT(H720:H731)=12,COUNT(F720:F731)=12),cubic_spline(F719:F731,H719:H731,B$12),""))))))))))))</f>
        <v/>
      </c>
      <c r="K730" s="52" t="str">
        <f>IF(N(B$12)=0,"",IF(AND(COUNT(A720:A731)=2,COUNT(F720:F731)=2),cubic_spline(F719:F721,A719:A721,B$12),IF(AND(COUNT(A720:A731)=3,COUNT(F720:F731)=3),cubic_spline(F719:F722,A719:A722,B$12),IF(AND(COUNT(A720:A731)=4,COUNT(F720:F731)=4),cubic_spline(F719:F723,A719:A723,B$12),IF(AND(COUNT(A720:A731)=5,COUNT(F720:F731)=5),cubic_spline(F719:F724,A719:A724,B$12),IF(AND(COUNT(A720:A731)=6,COUNT(F720:F731)=6),cubic_spline(F719:F725,A719:A725,B$12),IF(AND(COUNT(A720:A731)=7,COUNT(F720:F731)=7),cubic_spline(F719:F726,A719:A726,B$12),IF(AND(COUNT(A720:A731)=8,COUNT(F720:F731)=8),cubic_spline(F719:F727,A719:A727,B$12),IF(AND(COUNT(A720:A731)=9,COUNT(F720:F731)=9),cubic_spline(F719:F728,A719:A728,B$12),IF(AND(COUNT(A720:A731)=10,COUNT(F720:F731)=10),cubic_spline(F719:F729,A719:A729,B$12),IF(AND(COUNT(A720:A731)=11,COUNT(F720:F731)=11),cubic_spline(F719:F730,A719:A730,B$12),IF(AND(COUNT(A720:A731)=12,COUNT(F720:F731)=12),cubic_spline(F719:F731,A719:A731,B$12),""))))))))))))</f>
        <v/>
      </c>
      <c r="L730" s="27" t="str">
        <f>IF(I730="","",B$11&amp;"-"&amp;B$12)</f>
        <v/>
      </c>
      <c r="M730" s="52" t="str">
        <f t="shared" si="275"/>
        <v/>
      </c>
    </row>
    <row r="731" spans="1:13" x14ac:dyDescent="0.35">
      <c r="A731" s="48"/>
      <c r="B731" s="48"/>
      <c r="C731" s="50"/>
      <c r="D731" s="50"/>
      <c r="E731" s="51" t="str">
        <f t="shared" si="273"/>
        <v/>
      </c>
      <c r="F731" s="71" t="str">
        <f t="shared" si="271"/>
        <v/>
      </c>
      <c r="G731" s="69" t="str">
        <f t="shared" si="274"/>
        <v/>
      </c>
      <c r="H731" s="70" t="str">
        <f t="shared" si="272"/>
        <v/>
      </c>
      <c r="I731" s="27" t="str">
        <f>IF(N(J731)=0,"",0&amp;"-"&amp;B$13)</f>
        <v/>
      </c>
      <c r="J731" s="52" t="str">
        <f>IF(N(B$13)=0,"",IF(AND(COUNT(H720:H731)=2,COUNT(F720:F731)=2),cubic_spline(F719:F721,H719:H721,B$13),IF(AND(COUNT(H720:H731)=3,COUNT(F720:F731)=3),cubic_spline(F719:F722,H719:H722,B$13),IF(AND(COUNT(H720:H731)=4,COUNT(F720:F731)=4),cubic_spline(F719:F723,H719:H723,B$13),IF(AND(COUNT(H720:H731)=5,COUNT(F720:F731)=5),cubic_spline(F719:F724,H719:H724,B$13),IF(AND(COUNT(H720:H731)=6,COUNT(F720:F731)=6),cubic_spline(F719:F725,H719:H725,B$13),IF(AND(COUNT(H720:H731)=7,COUNT(F720:F731)=7),cubic_spline(F719:F726,H719:H726,B$13),IF(AND(COUNT(H720:H731)=8,COUNT(F720:F731)=8),cubic_spline(F719:F727,H719:H727,B$13),IF(AND(COUNT(H720:H731)=9,COUNT(F720:F731)=9),cubic_spline(F719:F728,H719:H728,B$13),IF(AND(COUNT(H720:H731)=10,COUNT(F720:F731)=10),cubic_spline(F719:F729,H719:H729,B$13),IF(AND(COUNT(H720:H731)=11,COUNT(F720:F731)=11),cubic_spline(F719:F730,H719:H730,B$13),IF(AND(COUNT(H720:H731)=12,COUNT(F720:F731)=12),cubic_spline(F719:F731,H719:H731,B$13),""))))))))))))</f>
        <v/>
      </c>
      <c r="K731" s="52" t="str">
        <f>IF(N(B$13)=0,"",IF(AND(COUNT(A720:A731)=2,COUNT(F720:F731)=2),cubic_spline(F719:F721,A719:A721,B$13),IF(AND(COUNT(A720:A731)=3,COUNT(F720:F731)=3),cubic_spline(F719:F722,A719:A722,B$13),IF(AND(COUNT(A720:A731)=4,COUNT(F720:F731)=4),cubic_spline(F719:F723,A719:A723,B$13),IF(AND(COUNT(A720:A731)=5,COUNT(F720:F731)=5),cubic_spline(F719:F724,A719:A724,B$13),IF(AND(COUNT(A720:A731)=6,COUNT(F720:F731)=6),cubic_spline(F719:F725,A719:A725,B$13),IF(AND(COUNT(A720:A731)=7,COUNT(F720:F731)=7),cubic_spline(F719:F726,A719:A726,B$13),IF(AND(COUNT(A720:A731)=8,COUNT(F720:F731)=8),cubic_spline(F719:F727,A719:A727,B$13),IF(AND(COUNT(A720:A731)=9,COUNT(F720:F731)=9),cubic_spline(F719:F728,A719:A728,B$13),IF(AND(COUNT(A720:A731)=10,COUNT(F720:F731)=10),cubic_spline(F719:F729,A719:A729,B$13),IF(AND(COUNT(A720:A731)=11,COUNT(F720:F731)=11),cubic_spline(F719:F730,A719:A730,B$13),IF(AND(COUNT(A720:A731)=12,COUNT(F720:F731)=12),cubic_spline(F719:F731,A719:A731,B$13),""))))))))))))</f>
        <v/>
      </c>
      <c r="L731" s="27" t="str">
        <f>IF(I731="","",B$12&amp;"-"&amp;B$13)</f>
        <v/>
      </c>
      <c r="M731" s="52" t="str">
        <f t="shared" si="275"/>
        <v/>
      </c>
    </row>
    <row r="732" spans="1:13" ht="5.15" customHeight="1" x14ac:dyDescent="0.35">
      <c r="A732" s="47"/>
      <c r="B732" s="47"/>
      <c r="C732" s="53"/>
      <c r="D732" s="53"/>
      <c r="E732" s="54"/>
      <c r="F732" s="55"/>
      <c r="G732" s="72"/>
      <c r="H732" s="73"/>
      <c r="I732" s="47"/>
      <c r="J732" s="57"/>
      <c r="K732" s="57"/>
      <c r="L732" s="55"/>
      <c r="M732" s="57"/>
    </row>
    <row r="733" spans="1:13" x14ac:dyDescent="0.35">
      <c r="A733" s="48"/>
      <c r="B733" s="48"/>
      <c r="C733" s="50"/>
      <c r="D733" s="50"/>
      <c r="E733" s="51" t="str">
        <f>IF(N(C733)=0,"",(A733-A732)*C733*100)</f>
        <v/>
      </c>
      <c r="F733" s="68" t="str">
        <f t="shared" ref="F733:F744" si="276">IF(N(E733)=0,"",(N(E733)+N(F732)))</f>
        <v/>
      </c>
      <c r="G733" s="69" t="str">
        <f>IF(OR(N(D733)=0,N(E733)=0),"",(E733*D733)/1000)</f>
        <v/>
      </c>
      <c r="H733" s="70" t="str">
        <f t="shared" ref="H733:H744" si="277">IF(N(G733)=0,"",(N(G733)+N(H732)))</f>
        <v/>
      </c>
      <c r="I733" s="27" t="str">
        <f>IF(N(J733)=0,"",0&amp;"-"&amp;B$2)</f>
        <v/>
      </c>
      <c r="J733" s="52" t="str">
        <f>IF(N(B$2)=0,"",IF(AND(COUNT(H733:H744)=2,COUNT(F733:F744)=2),cubic_spline(F732:F734,H732:H734,B$2),IF(AND(COUNT(H733:H744)=3,COUNT(F733:F744)=3),cubic_spline(F732:F735,H732:H735,B$2),IF(AND(COUNT(H733:H744)=4,COUNT(F733:F744)=4),cubic_spline(F732:F736,H732:H736,B$2),IF(AND(COUNT(H733:H744)=5,COUNT(F733:F744)=5),cubic_spline(F732:F737,H732:H737,B$2),IF(AND(COUNT(H733:H744)=6,COUNT(F733:F744)=6),cubic_spline(F732:F738,H732:H738,B$2),IF(AND(COUNT(H733:H744)=7,COUNT(F733:F744)=7),cubic_spline(F732:F739,H732:H739,B$2),IF(AND(COUNT(H733:H744)=8,COUNT(F733:F744)=8),cubic_spline(F732:F740,H732:H740,B$2),IF(AND(COUNT(H733:H744)=9,COUNT(F733:F744)=9),cubic_spline(F732:F741,H732:H741,B$2),IF(AND(COUNT(H733:H744)=10,COUNT(F733:F744)=10),cubic_spline(F732:F742,H732:H742,B$2),IF(AND(COUNT(H733:H744)=11,COUNT(F733:F744)=11),cubic_spline(F732:F743,H732:H743,B$2),IF(AND(COUNT(H733:H744)=12,COUNT(F733:F744)=12),cubic_spline(F732:F744,H732:H744,B$2),""))))))))))))</f>
        <v/>
      </c>
      <c r="K733" s="52" t="str">
        <f>IF(N(B$2)=0,"",IF(AND(COUNT(A733:A744)=2,COUNT(F733:F744)=2),cubic_spline(F732:F734,A732:A734,B$2),IF(AND(COUNT(A733:A744)=3,COUNT(F733:F744)=3),cubic_spline(F732:F735,A732:A735,B$2),IF(AND(COUNT(A733:A744)=4,COUNT(F733:F744)=4),cubic_spline(F732:F736,A732:A736,B$2),IF(AND(COUNT(A733:A744)=5,COUNT(F733:F744)=5),cubic_spline(F732:F737,A732:A737,B$2),IF(AND(COUNT(A733:A744)=6,COUNT(F733:F744)=6),cubic_spline(F732:F738,A732:A738,B$2),IF(AND(COUNT(A733:A744)=7,COUNT(F733:F744)=7),cubic_spline(F732:F739,A732:A739,B$2),IF(AND(COUNT(A733:A744)=8,COUNT(F733:F744)=8),cubic_spline(F732:F740,A732:A740,B$2),IF(AND(COUNT(A733:A744)=9,COUNT(F733:F744)=9),cubic_spline(F732:F741,A732:A741,B$2),IF(AND(COUNT(A733:A744)=10,COUNT(F733:F744)=10),cubic_spline(F732:F742,A732:A742,B$2),IF(AND(COUNT(A733:A744)=11,COUNT(F733:F744)=11),cubic_spline(F732:F743,A732:A743,B$2),IF(AND(COUNT(A733:A744)=12,COUNT(F733:F744)=12),cubic_spline(F732:F744,A732:A744,B$2),""))))))))))))</f>
        <v/>
      </c>
      <c r="L733" s="27" t="str">
        <f>IF(I733="","",0&amp;"-"&amp;B$2)</f>
        <v/>
      </c>
      <c r="M733" s="52" t="str">
        <f>IF(N(J733)=0,"",J733-J732)</f>
        <v/>
      </c>
    </row>
    <row r="734" spans="1:13" x14ac:dyDescent="0.35">
      <c r="A734" s="48"/>
      <c r="B734" s="48"/>
      <c r="C734" s="50"/>
      <c r="D734" s="50"/>
      <c r="E734" s="51" t="str">
        <f t="shared" ref="E734:E744" si="278">IF(N(C734)=0,"",(A734-A733)*C734*100)</f>
        <v/>
      </c>
      <c r="F734" s="68" t="str">
        <f t="shared" si="276"/>
        <v/>
      </c>
      <c r="G734" s="69" t="str">
        <f t="shared" ref="G734:G744" si="279">IF(OR(N(D734)=0,N(E734)=0),"",(E734*D734)/1000)</f>
        <v/>
      </c>
      <c r="H734" s="70" t="str">
        <f t="shared" si="277"/>
        <v/>
      </c>
      <c r="I734" s="27" t="str">
        <f>IF(N(J734)=0,"",0&amp;"-"&amp;B$3)</f>
        <v/>
      </c>
      <c r="J734" s="52" t="str">
        <f>IF(N(B$3)=0,"",IF(AND(COUNT(H733:H744)=2,COUNT(F733:F744)=2),cubic_spline(F732:F734,H732:H734,B$3),IF(AND(COUNT(H733:H744)=3,COUNT(F733:F744)=3),cubic_spline(F732:F735,H732:H735,B$3),IF(AND(COUNT(H733:H744)=4,COUNT(F733:F744)=4),cubic_spline(F732:F736,H732:H736,B$3),IF(AND(COUNT(H733:H744)=5,COUNT(F733:F744)=5),cubic_spline(F732:F737,H732:H737,B$3),IF(AND(COUNT(H733:H744)=6,COUNT(F733:F744)=6),cubic_spline(F732:F738,H732:H738,B$3),IF(AND(COUNT(H733:H744)=7,COUNT(F733:F744)=7),cubic_spline(F732:F739,H732:H739,B$3),IF(AND(COUNT(H733:H744)=8,COUNT(F733:F744)=8),cubic_spline(F732:F740,H732:H740,B$3),IF(AND(COUNT(H733:H744)=9,COUNT(F733:F744)=9),cubic_spline(F732:F741,H732:H741,B$3),IF(AND(COUNT(H733:H744)=10,COUNT(F733:F744)=10),cubic_spline(F732:F742,H732:H742,B$3),IF(AND(COUNT(H733:H744)=11,COUNT(F733:F744)=11),cubic_spline(F732:F743,H732:H743,B$3),IF(AND(COUNT(H733:H744)=12,COUNT(F733:F744)=12),cubic_spline(F732:F744,H732:H744,B$3),""))))))))))))</f>
        <v/>
      </c>
      <c r="K734" s="52" t="str">
        <f>IF(N(B$3)=0,"",IF(AND(COUNT(A733:A744)=2,COUNT(F733:F744)=2),cubic_spline(F732:F734,A732:A734,B$3),IF(AND(COUNT(A733:A744)=3,COUNT(F733:F744)=3),cubic_spline(F732:F735,A732:A735,B$3),IF(AND(COUNT(A733:A744)=4,COUNT(F733:F744)=4),cubic_spline(F732:F736,A732:A736,B$3),IF(AND(COUNT(A733:A744)=5,COUNT(F733:F744)=5),cubic_spline(F732:F737,A732:A737,B$3),IF(AND(COUNT(A733:A744)=6,COUNT(F733:F744)=6),cubic_spline(F732:F738,A732:A738,B$3),IF(AND(COUNT(A733:A744)=7,COUNT(F733:F744)=7),cubic_spline(F732:F739,A732:A739,B$3),IF(AND(COUNT(A733:A744)=8,COUNT(F733:F744)=8),cubic_spline(F732:F740,A732:A740,B$3),IF(AND(COUNT(A733:A744)=9,COUNT(F733:F744)=9),cubic_spline(F732:F741,A732:A741,B$3),IF(AND(COUNT(A733:A744)=10,COUNT(F733:F744)=10),cubic_spline(F732:F742,A732:A742,B$3),IF(AND(COUNT(A733:A744)=11,COUNT(F733:F744)=11),cubic_spline(F732:F743,A732:A743,B$3),IF(AND(COUNT(A733:A744)=12,COUNT(F733:F744)=12),cubic_spline(F732:F744,A732:A744,B$3),""))))))))))))</f>
        <v/>
      </c>
      <c r="L734" s="27" t="str">
        <f>IF(I734="","",B$2&amp;"-"&amp;B$3)</f>
        <v/>
      </c>
      <c r="M734" s="52" t="str">
        <f>IF(N(J734)=0,"",J734-J733)</f>
        <v/>
      </c>
    </row>
    <row r="735" spans="1:13" x14ac:dyDescent="0.35">
      <c r="A735" s="48"/>
      <c r="B735" s="48"/>
      <c r="C735" s="50"/>
      <c r="D735" s="50"/>
      <c r="E735" s="51" t="str">
        <f t="shared" si="278"/>
        <v/>
      </c>
      <c r="F735" s="68" t="str">
        <f t="shared" si="276"/>
        <v/>
      </c>
      <c r="G735" s="69" t="str">
        <f t="shared" si="279"/>
        <v/>
      </c>
      <c r="H735" s="70" t="str">
        <f t="shared" si="277"/>
        <v/>
      </c>
      <c r="I735" s="27" t="str">
        <f>IF(N(J735)=0,"",0&amp;"-"&amp;B$4)</f>
        <v/>
      </c>
      <c r="J735" s="52" t="str">
        <f>IF(N(B$4)=0,"",IF(AND(COUNT(H733:H744)=2,COUNT(F733:F744)=2),cubic_spline(F732:F734,H732:H734,B$4),IF(AND(COUNT(H733:H744)=3,COUNT(F733:F744)=3),cubic_spline(F732:F735,H732:H735,B$4),IF(AND(COUNT(H733:H744)=4,COUNT(F733:F744)=4),cubic_spline(F732:F736,H732:H736,B$4),IF(AND(COUNT(H733:H744)=5,COUNT(F733:F744)=5),cubic_spline(F732:F737,H732:H737,B$4),IF(AND(COUNT(H733:H744)=6,COUNT(F733:F744)=6),cubic_spline(F732:F738,H732:H738,B$4),IF(AND(COUNT(H733:H744)=7,COUNT(F733:F744)=7),cubic_spline(F732:F739,H732:H739,B$4),IF(AND(COUNT(H733:H744)=8,COUNT(F733:F744)=8),cubic_spline(F732:F740,H732:H740,B$4),IF(AND(COUNT(H733:H744)=9,COUNT(F733:F744)=9),cubic_spline(F732:F741,H732:H741,B$4),IF(AND(COUNT(H733:H744)=10,COUNT(F733:F744)=10),cubic_spline(F732:F742,H732:H742,B$4),IF(AND(COUNT(H733:H744)=11,COUNT(F733:F744)=11),cubic_spline(F732:F743,H732:H743,B$4),IF(AND(COUNT(H733:H744)=12,COUNT(F733:F744)=12),cubic_spline(F732:F744,H732:H744,B$4),""))))))))))))</f>
        <v/>
      </c>
      <c r="K735" s="52" t="str">
        <f>IF(N(B$4)=0,"",IF(AND(COUNT(A733:A744)=2,COUNT(F733:F744)=2),cubic_spline(F732:F734,A732:A734,B$4),IF(AND(COUNT(A733:A744)=3,COUNT(F733:F744)=3),cubic_spline(F732:F735,A732:A735,B$4),IF(AND(COUNT(A733:A744)=4,COUNT(F733:F744)=4),cubic_spline(F732:F736,A732:A736,B$4),IF(AND(COUNT(A733:A744)=5,COUNT(F733:F744)=5),cubic_spline(F732:F737,A732:A737,B$4),IF(AND(COUNT(A733:A744)=6,COUNT(F733:F744)=6),cubic_spline(F732:F738,A732:A738,B$4),IF(AND(COUNT(A733:A744)=7,COUNT(F733:F744)=7),cubic_spline(F732:F739,A732:A739,B$4),IF(AND(COUNT(A733:A744)=8,COUNT(F733:F744)=8),cubic_spline(F732:F740,A732:A740,B$4),IF(AND(COUNT(A733:A744)=9,COUNT(F733:F744)=9),cubic_spline(F732:F741,A732:A741,B$4),IF(AND(COUNT(A733:A744)=10,COUNT(F733:F744)=10),cubic_spline(F732:F742,A732:A742,B$4),IF(AND(COUNT(A733:A744)=11,COUNT(F733:F744)=11),cubic_spline(F732:F743,A732:A743,B$4),IF(AND(COUNT(A733:A744)=12,COUNT(F733:F744)=12),cubic_spline(F732:F744,A732:A744,B$4),""))))))))))))</f>
        <v/>
      </c>
      <c r="L735" s="27" t="str">
        <f>IF(I735="","",B$3&amp;"-"&amp;B$4)</f>
        <v/>
      </c>
      <c r="M735" s="52" t="str">
        <f>IF(N(J735)=0,"",J735-J734)</f>
        <v/>
      </c>
    </row>
    <row r="736" spans="1:13" x14ac:dyDescent="0.35">
      <c r="A736" s="48"/>
      <c r="B736" s="48"/>
      <c r="C736" s="50"/>
      <c r="D736" s="50"/>
      <c r="E736" s="51" t="str">
        <f t="shared" si="278"/>
        <v/>
      </c>
      <c r="F736" s="68" t="str">
        <f t="shared" si="276"/>
        <v/>
      </c>
      <c r="G736" s="69" t="str">
        <f t="shared" si="279"/>
        <v/>
      </c>
      <c r="H736" s="70" t="str">
        <f t="shared" si="277"/>
        <v/>
      </c>
      <c r="I736" s="27" t="str">
        <f>IF(N(J736)=0,"",0&amp;"-"&amp;B$5)</f>
        <v/>
      </c>
      <c r="J736" s="52" t="str">
        <f>IF(N(B$5)=0,"",IF(AND(COUNT(H733:H744)=2,COUNT(F733:F744)=2),cubic_spline(F732:F734,H732:H734,B$5),IF(AND(COUNT(H733:H744)=3,COUNT(F733:F744)=3),cubic_spline(F732:F735,H732:H735,B$5),IF(AND(COUNT(H733:H744)=4,COUNT(F733:F744)=4),cubic_spline(F732:F736,H732:H736,B$5),IF(AND(COUNT(H733:H744)=5,COUNT(F733:F744)=5),cubic_spline(F732:F737,H732:H737,B$5),IF(AND(COUNT(H733:H744)=6,COUNT(F733:F744)=6),cubic_spline(F732:F738,H732:H738,B$5),IF(AND(COUNT(H733:H744)=7,COUNT(F733:F744)=7),cubic_spline(F732:F739,H732:H739,B$5),IF(AND(COUNT(H733:H744)=8,COUNT(F733:F744)=8),cubic_spline(F732:F740,H732:H740,B$5),IF(AND(COUNT(H733:H744)=9,COUNT(F733:F744)=9),cubic_spline(F732:F741,H732:H741,B$5),IF(AND(COUNT(H733:H744)=10,COUNT(F733:F744)=10),cubic_spline(F732:F742,H732:H742,B$5),IF(AND(COUNT(H733:H744)=11,COUNT(F733:F744)=11),cubic_spline(F732:F743,H732:H743,B$5),IF(AND(COUNT(H733:H744)=12,COUNT(F733:F744)=12),cubic_spline(F732:F744,H732:H744,B$5),""))))))))))))</f>
        <v/>
      </c>
      <c r="K736" s="52" t="str">
        <f>IF(N(B$5)=0,"",IF(AND(COUNT(A733:A744)=2,COUNT(F733:F744)=2),cubic_spline(F732:F734,A732:A734,B$5),IF(AND(COUNT(A733:A744)=3,COUNT(F733:F744)=3),cubic_spline(F732:F735,A732:A735,B$5),IF(AND(COUNT(A733:A744)=4,COUNT(F733:F744)=4),cubic_spline(F732:F736,A732:A736,B$5),IF(AND(COUNT(A733:A744)=5,COUNT(F733:F744)=5),cubic_spline(F732:F737,A732:A737,B$5),IF(AND(COUNT(A733:A744)=6,COUNT(F733:F744)=6),cubic_spline(F732:F738,A732:A738,B$5),IF(AND(COUNT(A733:A744)=7,COUNT(F733:F744)=7),cubic_spline(F732:F739,A732:A739,B$5),IF(AND(COUNT(A733:A744)=8,COUNT(F733:F744)=8),cubic_spline(F732:F740,A732:A740,B$5),IF(AND(COUNT(A733:A744)=9,COUNT(F733:F744)=9),cubic_spline(F732:F741,A732:A741,B$5),IF(AND(COUNT(A733:A744)=10,COUNT(F733:F744)=10),cubic_spline(F732:F742,A732:A742,B$5),IF(AND(COUNT(A733:A744)=11,COUNT(F733:F744)=11),cubic_spline(F732:F743,A732:A743,B$5),IF(AND(COUNT(A733:A744)=12,COUNT(F733:F744)=12),cubic_spline(F732:F744,A732:A744,B$5),""))))))))))))</f>
        <v/>
      </c>
      <c r="L736" s="27" t="str">
        <f>IF(I736="","",B$4&amp;"-"&amp;B$5)</f>
        <v/>
      </c>
      <c r="M736" s="52" t="str">
        <f>IF(N(J736)=0,"",J736-J735)</f>
        <v/>
      </c>
    </row>
    <row r="737" spans="1:13" x14ac:dyDescent="0.35">
      <c r="A737" s="48"/>
      <c r="B737" s="48"/>
      <c r="C737" s="50"/>
      <c r="D737" s="50"/>
      <c r="E737" s="51" t="str">
        <f t="shared" si="278"/>
        <v/>
      </c>
      <c r="F737" s="71" t="str">
        <f t="shared" si="276"/>
        <v/>
      </c>
      <c r="G737" s="69" t="str">
        <f t="shared" si="279"/>
        <v/>
      </c>
      <c r="H737" s="70" t="str">
        <f t="shared" si="277"/>
        <v/>
      </c>
      <c r="I737" s="27" t="str">
        <f>IF(N(J737)=0,"",0&amp;"-"&amp;B$6)</f>
        <v/>
      </c>
      <c r="J737" s="52" t="str">
        <f>IF(N(B$6)=0,"",IF(AND(COUNT(H733:H744)=2,COUNT(F733:F744)=2),cubic_spline(F732:F734,H732:H734,B$6),IF(AND(COUNT(H733:H744)=3,COUNT(F733:F744)=3),cubic_spline(F732:F735,H732:H735,B$6),IF(AND(COUNT(H733:H744)=4,COUNT(F733:F744)=4),cubic_spline(F732:F736,H732:H736,B$6),IF(AND(COUNT(H733:H744)=5,COUNT(F733:F744)=5),cubic_spline(F732:F737,H732:H737,B$6),IF(AND(COUNT(H733:H744)=6,COUNT(F733:F744)=6),cubic_spline(F732:F738,H732:H738,B$6),IF(AND(COUNT(H733:H744)=7,COUNT(F733:F744)=7),cubic_spline(F732:F739,H732:H739,B$6),IF(AND(COUNT(H733:H744)=8,COUNT(F733:F744)=8),cubic_spline(F732:F740,H732:H740,B$6),IF(AND(COUNT(H733:H744)=9,COUNT(F733:F744)=9),cubic_spline(F732:F741,H732:H741,B$6),IF(AND(COUNT(H733:H744)=10,COUNT(F733:F744)=10),cubic_spline(F732:F742,H732:H742,B$6),IF(AND(COUNT(H733:H744)=11,COUNT(F733:F744)=11),cubic_spline(F732:F743,H732:H743,B$6),IF(AND(COUNT(H733:H744)=12,COUNT(F733:F744)=12),cubic_spline(F732:F744,H732:H744,B$6),""))))))))))))</f>
        <v/>
      </c>
      <c r="K737" s="52" t="str">
        <f>IF(N(B$6)=0,"",IF(AND(COUNT(A733:A744)=2,COUNT(F733:F744)=2),cubic_spline(F732:F734,A732:A734,B$6),IF(AND(COUNT(A733:A744)=3,COUNT(F733:F744)=3),cubic_spline(F732:F735,A732:A735,B$6),IF(AND(COUNT(A733:A744)=4,COUNT(F733:F744)=4),cubic_spline(F732:F736,A732:A736,B$6),IF(AND(COUNT(A733:A744)=5,COUNT(F733:F744)=5),cubic_spline(F732:F737,A732:A737,B$6),IF(AND(COUNT(A733:A744)=6,COUNT(F733:F744)=6),cubic_spline(F732:F738,A732:A738,B$6),IF(AND(COUNT(A733:A744)=7,COUNT(F733:F744)=7),cubic_spline(F732:F739,A732:A739,B$6),IF(AND(COUNT(A733:A744)=8,COUNT(F733:F744)=8),cubic_spline(F732:F740,A732:A740,B$6),IF(AND(COUNT(A733:A744)=9,COUNT(F733:F744)=9),cubic_spline(F732:F741,A732:A741,B$6),IF(AND(COUNT(A733:A744)=10,COUNT(F733:F744)=10),cubic_spline(F732:F742,A732:A742,B$6),IF(AND(COUNT(A733:A744)=11,COUNT(F733:F744)=11),cubic_spline(F732:F743,A732:A743,B$6),IF(AND(COUNT(A733:A744)=12,COUNT(F733:F744)=12),cubic_spline(F732:F744,A732:A744,B$6),""))))))))))))</f>
        <v/>
      </c>
      <c r="L737" s="27" t="str">
        <f>IF(I737="","",B$5&amp;"-"&amp;B$6)</f>
        <v/>
      </c>
      <c r="M737" s="52" t="str">
        <f>IF(N(J737)=0,"",J737-J736)</f>
        <v/>
      </c>
    </row>
    <row r="738" spans="1:13" x14ac:dyDescent="0.35">
      <c r="A738" s="48"/>
      <c r="B738" s="48"/>
      <c r="C738" s="50"/>
      <c r="D738" s="50"/>
      <c r="E738" s="51" t="str">
        <f t="shared" si="278"/>
        <v/>
      </c>
      <c r="F738" s="71" t="str">
        <f t="shared" si="276"/>
        <v/>
      </c>
      <c r="G738" s="69" t="str">
        <f t="shared" si="279"/>
        <v/>
      </c>
      <c r="H738" s="70" t="str">
        <f t="shared" si="277"/>
        <v/>
      </c>
      <c r="I738" s="27" t="str">
        <f>IF(N(J738)=0,"",0&amp;"-"&amp;B$7)</f>
        <v/>
      </c>
      <c r="J738" s="52" t="str">
        <f>IF(N(B$7)=0,"",IF(AND(COUNT(H733:H744)=2,COUNT(F733:F744)=2),cubic_spline(F732:F734,H732:H734,B$7),IF(AND(COUNT(H733:H744)=3,COUNT(F733:F744)=3),cubic_spline(F732:F735,H732:H735,B$7),IF(AND(COUNT(H733:H744)=4,COUNT(F733:F744)=4),cubic_spline(F732:F736,H732:H736,B$7),IF(AND(COUNT(H733:H744)=5,COUNT(F733:F744)=5),cubic_spline(F732:F737,H732:H737,B$7),IF(AND(COUNT(H733:H744)=6,COUNT(F733:F744)=6),cubic_spline(F732:F738,H732:H738,B$7),IF(AND(COUNT(H733:H744)=7,COUNT(F733:F744)=7),cubic_spline(F732:F739,H732:H739,B$7),IF(AND(COUNT(H733:H744)=8,COUNT(F733:F744)=8),cubic_spline(F732:F740,H732:H740,B$7),IF(AND(COUNT(H733:H744)=9,COUNT(F733:F744)=9),cubic_spline(F732:F741,H732:H741,B$7),IF(AND(COUNT(H733:H744)=10,COUNT(F733:F744)=10),cubic_spline(F732:F742,H732:H742,B$7),IF(AND(COUNT(H733:H744)=11,COUNT(F733:F744)=11),cubic_spline(F732:F743,H732:H743,B$7),IF(AND(COUNT(H733:H744)=12,COUNT(F733:F744)=12),cubic_spline(F732:F744,H732:H744,B$7),""))))))))))))</f>
        <v/>
      </c>
      <c r="K738" s="52" t="str">
        <f>IF(N(B$7)=0,"",IF(AND(COUNT(A733:A744)=2,COUNT(F733:F744)=2),cubic_spline(F732:F734,A732:A734,B$7),IF(AND(COUNT(A733:A744)=3,COUNT(F733:F744)=3),cubic_spline(F732:F735,A732:A735,B$7),IF(AND(COUNT(A733:A744)=4,COUNT(F733:F744)=4),cubic_spline(F732:F736,A732:A736,B$7),IF(AND(COUNT(A733:A744)=5,COUNT(F733:F744)=5),cubic_spline(F732:F737,A732:A737,B$7),IF(AND(COUNT(A733:A744)=6,COUNT(F733:F744)=6),cubic_spline(F732:F738,A732:A738,B$7),IF(AND(COUNT(A733:A744)=7,COUNT(F733:F744)=7),cubic_spline(F732:F739,A732:A739,B$7),IF(AND(COUNT(A733:A744)=8,COUNT(F733:F744)=8),cubic_spline(F732:F740,A732:A740,B$7),IF(AND(COUNT(A733:A744)=9,COUNT(F733:F744)=9),cubic_spline(F732:F741,A732:A741,B$7),IF(AND(COUNT(A733:A744)=10,COUNT(F733:F744)=10),cubic_spline(F732:F742,A732:A742,B$7),IF(AND(COUNT(A733:A744)=11,COUNT(F733:F744)=11),cubic_spline(F732:F743,A732:A743,B$7),IF(AND(COUNT(A733:A744)=12,COUNT(F733:F744)=12),cubic_spline(F732:F744,A732:A744,B$7),""))))))))))))</f>
        <v/>
      </c>
      <c r="L738" s="27" t="str">
        <f>IF(I738="","",B$6&amp;"-"&amp;B$7)</f>
        <v/>
      </c>
      <c r="M738" s="52" t="str">
        <f t="shared" ref="M738:M744" si="280">IF(N(J738)=0,"",J738-J737)</f>
        <v/>
      </c>
    </row>
    <row r="739" spans="1:13" x14ac:dyDescent="0.35">
      <c r="A739" s="48"/>
      <c r="B739" s="48"/>
      <c r="C739" s="50"/>
      <c r="D739" s="50"/>
      <c r="E739" s="51" t="str">
        <f t="shared" si="278"/>
        <v/>
      </c>
      <c r="F739" s="71" t="str">
        <f t="shared" si="276"/>
        <v/>
      </c>
      <c r="G739" s="69" t="str">
        <f t="shared" si="279"/>
        <v/>
      </c>
      <c r="H739" s="70" t="str">
        <f t="shared" si="277"/>
        <v/>
      </c>
      <c r="I739" s="27" t="str">
        <f>IF(N(J739)=0,"",0&amp;"-"&amp;B$8)</f>
        <v/>
      </c>
      <c r="J739" s="52" t="str">
        <f>IF(N(B$8)=0,"",IF(AND(COUNT(H733:H744)=2,COUNT(F733:F744)=2),cubic_spline(F732:F734,H732:H734,B$8),IF(AND(COUNT(H733:H744)=3,COUNT(F733:F744)=3),cubic_spline(F732:F735,H732:H735,B$8),IF(AND(COUNT(H733:H744)=4,COUNT(F733:F744)=4),cubic_spline(F732:F736,H732:H736,B$8),IF(AND(COUNT(H733:H744)=5,COUNT(F733:F744)=5),cubic_spline(F732:F737,H732:H737,B$8),IF(AND(COUNT(H733:H744)=6,COUNT(F733:F744)=6),cubic_spline(F732:F738,H732:H738,B$8),IF(AND(COUNT(H733:H744)=7,COUNT(F733:F744)=7),cubic_spline(F732:F739,H732:H739,B$8),IF(AND(COUNT(H733:H744)=8,COUNT(F733:F744)=8),cubic_spline(F732:F740,H732:H740,B$8),IF(AND(COUNT(H733:H744)=9,COUNT(F733:F744)=9),cubic_spline(F732:F741,H732:H741,B$8),IF(AND(COUNT(H733:H744)=10,COUNT(F733:F744)=10),cubic_spline(F732:F742,H732:H742,B$8),IF(AND(COUNT(H733:H744)=11,COUNT(F733:F744)=11),cubic_spline(F732:F743,H732:H743,B$8),IF(AND(COUNT(H733:H744)=12,COUNT(F733:F744)=12),cubic_spline(F732:F744,H732:H744,B$8),""))))))))))))</f>
        <v/>
      </c>
      <c r="K739" s="52" t="str">
        <f>IF(N(B$8)=0,"",IF(AND(COUNT(A733:A744)=2,COUNT(F733:F744)=2),cubic_spline(F732:F734,A732:A734,B$8),IF(AND(COUNT(A733:A744)=3,COUNT(F733:F744)=3),cubic_spline(F732:F735,A732:A735,B$8),IF(AND(COUNT(A733:A744)=4,COUNT(F733:F744)=4),cubic_spline(F732:F736,A732:A736,B$8),IF(AND(COUNT(A733:A744)=5,COUNT(F733:F744)=5),cubic_spline(F732:F737,A732:A737,B$8),IF(AND(COUNT(A733:A744)=6,COUNT(F733:F744)=6),cubic_spline(F732:F738,A732:A738,B$8),IF(AND(COUNT(A733:A744)=7,COUNT(F733:F744)=7),cubic_spline(F732:F739,A732:A739,B$8),IF(AND(COUNT(A733:A744)=8,COUNT(F733:F744)=8),cubic_spline(F732:F740,A732:A740,B$8),IF(AND(COUNT(A733:A744)=9,COUNT(F733:F744)=9),cubic_spline(F732:F741,A732:A741,B$8),IF(AND(COUNT(A733:A744)=10,COUNT(F733:F744)=10),cubic_spline(F732:F742,A732:A742,B$8),IF(AND(COUNT(A733:A744)=11,COUNT(F733:F744)=11),cubic_spline(F732:F743,A732:A743,B$8),IF(AND(COUNT(A733:A744)=12,COUNT(F733:F744)=12),cubic_spline(F732:F744,A732:A744,B$8),""))))))))))))</f>
        <v/>
      </c>
      <c r="L739" s="27" t="str">
        <f>IF(I739="","",B$7&amp;"-"&amp;B$8)</f>
        <v/>
      </c>
      <c r="M739" s="52" t="str">
        <f t="shared" si="280"/>
        <v/>
      </c>
    </row>
    <row r="740" spans="1:13" x14ac:dyDescent="0.35">
      <c r="A740" s="48"/>
      <c r="B740" s="48"/>
      <c r="C740" s="50"/>
      <c r="D740" s="50"/>
      <c r="E740" s="51" t="str">
        <f t="shared" si="278"/>
        <v/>
      </c>
      <c r="F740" s="71" t="str">
        <f t="shared" si="276"/>
        <v/>
      </c>
      <c r="G740" s="69" t="str">
        <f t="shared" si="279"/>
        <v/>
      </c>
      <c r="H740" s="70" t="str">
        <f t="shared" si="277"/>
        <v/>
      </c>
      <c r="I740" s="27" t="str">
        <f>IF(N(J740)=0,"",0&amp;"-"&amp;B$9)</f>
        <v/>
      </c>
      <c r="J740" s="52" t="str">
        <f>IF(N(B$9)=0,"",IF(AND(COUNT(H733:H744)=2,COUNT(F733:F744)=2),cubic_spline(F732:F734,H732:H734,B$9),IF(AND(COUNT(H733:H744)=3,COUNT(F733:F744)=3),cubic_spline(F732:F735,H732:H735,B$9),IF(AND(COUNT(H733:H744)=4,COUNT(F733:F744)=4),cubic_spline(F732:F736,H732:H736,B$9),IF(AND(COUNT(H733:H744)=5,COUNT(F733:F744)=5),cubic_spline(F732:F737,H732:H737,B$9),IF(AND(COUNT(H733:H744)=6,COUNT(F733:F744)=6),cubic_spline(F732:F738,H732:H738,B$9),IF(AND(COUNT(H733:H744)=7,COUNT(F733:F744)=7),cubic_spline(F732:F739,H732:H739,B$9),IF(AND(COUNT(H733:H744)=8,COUNT(F733:F744)=8),cubic_spline(F732:F740,H732:H740,B$9),IF(AND(COUNT(H733:H744)=9,COUNT(F733:F744)=9),cubic_spline(F732:F741,H732:H741,B$9),IF(AND(COUNT(H733:H744)=10,COUNT(F733:F744)=10),cubic_spline(F732:F742,H732:H742,B$9),IF(AND(COUNT(H733:H744)=11,COUNT(F733:F744)=11),cubic_spline(F732:F743,H732:H743,B$9),IF(AND(COUNT(H733:H744)=12,COUNT(F733:F744)=12),cubic_spline(F732:F744,H732:H744,B$9),""))))))))))))</f>
        <v/>
      </c>
      <c r="K740" s="52" t="str">
        <f>IF(N(B$9)=0,"",IF(AND(COUNT(A733:A744)=2,COUNT(F733:F744)=2),cubic_spline(F732:F734,A732:A734,B$9),IF(AND(COUNT(A733:A744)=3,COUNT(F733:F744)=3),cubic_spline(F732:F735,A732:A735,B$9),IF(AND(COUNT(A733:A744)=4,COUNT(F733:F744)=4),cubic_spline(F732:F736,A732:A736,B$9),IF(AND(COUNT(A733:A744)=5,COUNT(F733:F744)=5),cubic_spline(F732:F737,A732:A737,B$9),IF(AND(COUNT(A733:A744)=6,COUNT(F733:F744)=6),cubic_spline(F732:F738,A732:A738,B$9),IF(AND(COUNT(A733:A744)=7,COUNT(F733:F744)=7),cubic_spline(F732:F739,A732:A739,B$9),IF(AND(COUNT(A733:A744)=8,COUNT(F733:F744)=8),cubic_spline(F732:F740,A732:A740,B$9),IF(AND(COUNT(A733:A744)=9,COUNT(F733:F744)=9),cubic_spline(F732:F741,A732:A741,B$9),IF(AND(COUNT(A733:A744)=10,COUNT(F733:F744)=10),cubic_spline(F732:F742,A732:A742,B$9),IF(AND(COUNT(A733:A744)=11,COUNT(F733:F744)=11),cubic_spline(F732:F743,A732:A743,B$9),IF(AND(COUNT(A733:A744)=12,COUNT(F733:F744)=12),cubic_spline(F732:F744,A732:A744,B$9),""))))))))))))</f>
        <v/>
      </c>
      <c r="L740" s="27" t="str">
        <f>IF(I740="","",B$8&amp;"-"&amp;B$9)</f>
        <v/>
      </c>
      <c r="M740" s="52" t="str">
        <f t="shared" si="280"/>
        <v/>
      </c>
    </row>
    <row r="741" spans="1:13" x14ac:dyDescent="0.35">
      <c r="A741" s="48"/>
      <c r="B741" s="48"/>
      <c r="C741" s="50"/>
      <c r="D741" s="50"/>
      <c r="E741" s="51" t="str">
        <f t="shared" si="278"/>
        <v/>
      </c>
      <c r="F741" s="71" t="str">
        <f t="shared" si="276"/>
        <v/>
      </c>
      <c r="G741" s="69" t="str">
        <f t="shared" si="279"/>
        <v/>
      </c>
      <c r="H741" s="70" t="str">
        <f t="shared" si="277"/>
        <v/>
      </c>
      <c r="I741" s="27" t="str">
        <f>IF(N(J741)=0,"",0&amp;"-"&amp;B$10)</f>
        <v/>
      </c>
      <c r="J741" s="52" t="str">
        <f>IF(N(B$10)=0,"",IF(AND(COUNT(H733:H744)=2,COUNT(F733:F744)=2),cubic_spline(F732:F734,H732:H734,B$10),IF(AND(COUNT(H733:H744)=3,COUNT(F733:F744)=3),cubic_spline(F732:F735,H732:H735,B$10),IF(AND(COUNT(H733:H744)=4,COUNT(F733:F744)=4),cubic_spline(F732:F736,H732:H736,B$10),IF(AND(COUNT(H733:H744)=5,COUNT(F733:F744)=5),cubic_spline(F732:F737,H732:H737,B$10),IF(AND(COUNT(H733:H744)=6,COUNT(F733:F744)=6),cubic_spline(F732:F738,H732:H738,B$10),IF(AND(COUNT(H733:H744)=7,COUNT(F733:F744)=7),cubic_spline(F732:F739,H732:H739,B$10),IF(AND(COUNT(H733:H744)=8,COUNT(F733:F744)=8),cubic_spline(F732:F740,H732:H740,B$10),IF(AND(COUNT(H733:H744)=9,COUNT(F733:F744)=9),cubic_spline(F732:F741,H732:H741,B$10),IF(AND(COUNT(H733:H744)=10,COUNT(F733:F744)=10),cubic_spline(F732:F742,H732:H742,B$10),IF(AND(COUNT(H733:H744)=11,COUNT(F733:F744)=11),cubic_spline(F732:F743,H732:H743,B$10),IF(AND(COUNT(H733:H744)=12,COUNT(F733:F744)=12),cubic_spline(F732:F744,H732:H744,B$10),""))))))))))))</f>
        <v/>
      </c>
      <c r="K741" s="52" t="str">
        <f>IF(N(B$10)=0,"",IF(AND(COUNT(A733:A744)=2,COUNT(F733:F744)=2),cubic_spline(F732:F734,A732:A734,B$10),IF(AND(COUNT(A733:A744)=3,COUNT(F733:F744)=3),cubic_spline(F732:F735,A732:A735,B$10),IF(AND(COUNT(A733:A744)=4,COUNT(F733:F744)=4),cubic_spline(F732:F736,A732:A736,B$10),IF(AND(COUNT(A733:A744)=5,COUNT(F733:F744)=5),cubic_spline(F732:F737,A732:A737,B$10),IF(AND(COUNT(A733:A744)=6,COUNT(F733:F744)=6),cubic_spline(F732:F738,A732:A738,B$10),IF(AND(COUNT(A733:A744)=7,COUNT(F733:F744)=7),cubic_spline(F732:F739,A732:A739,B$10),IF(AND(COUNT(A733:A744)=8,COUNT(F733:F744)=8),cubic_spline(F732:F740,A732:A740,B$10),IF(AND(COUNT(A733:A744)=9,COUNT(F733:F744)=9),cubic_spline(F732:F741,A732:A741,B$10),IF(AND(COUNT(A733:A744)=10,COUNT(F733:F744)=10),cubic_spline(F732:F742,A732:A742,B$10),IF(AND(COUNT(A733:A744)=11,COUNT(F733:F744)=11),cubic_spline(F732:F743,A732:A743,B$10),IF(AND(COUNT(A733:A744)=12,COUNT(F733:F744)=12),cubic_spline(F732:F744,A732:A744,B$10),""))))))))))))</f>
        <v/>
      </c>
      <c r="L741" s="27" t="str">
        <f>IF(I741="","",B$9&amp;"-"&amp;B$10)</f>
        <v/>
      </c>
      <c r="M741" s="52" t="str">
        <f t="shared" si="280"/>
        <v/>
      </c>
    </row>
    <row r="742" spans="1:13" x14ac:dyDescent="0.35">
      <c r="A742" s="48"/>
      <c r="B742" s="48"/>
      <c r="C742" s="50"/>
      <c r="D742" s="50"/>
      <c r="E742" s="51" t="str">
        <f t="shared" si="278"/>
        <v/>
      </c>
      <c r="F742" s="71" t="str">
        <f t="shared" si="276"/>
        <v/>
      </c>
      <c r="G742" s="69" t="str">
        <f t="shared" si="279"/>
        <v/>
      </c>
      <c r="H742" s="70" t="str">
        <f t="shared" si="277"/>
        <v/>
      </c>
      <c r="I742" s="27" t="str">
        <f>IF(N(J742)=0,"",0&amp;"-"&amp;B$11)</f>
        <v/>
      </c>
      <c r="J742" s="52" t="str">
        <f>IF(N(B$11)=0,"",IF(AND(COUNT(H733:H744)=2,COUNT(F733:F744)=2),cubic_spline(F732:F734,H732:H734,B$11),IF(AND(COUNT(H733:H744)=3,COUNT(F733:F744)=3),cubic_spline(F732:F735,H732:H735,B$11),IF(AND(COUNT(H733:H744)=4,COUNT(F733:F744)=4),cubic_spline(F732:F736,H732:H736,B$11),IF(AND(COUNT(H733:H744)=5,COUNT(F733:F744)=5),cubic_spline(F732:F737,H732:H737,B$11),IF(AND(COUNT(H733:H744)=6,COUNT(F733:F744)=6),cubic_spline(F732:F738,H732:H738,B$11),IF(AND(COUNT(H733:H744)=7,COUNT(F733:F744)=7),cubic_spline(F732:F739,H732:H739,B$11),IF(AND(COUNT(H733:H744)=8,COUNT(F733:F744)=8),cubic_spline(F732:F740,H732:H740,B$11),IF(AND(COUNT(H733:H744)=9,COUNT(F733:F744)=9),cubic_spline(F732:F741,H732:H741,B$11),IF(AND(COUNT(H733:H744)=10,COUNT(F733:F744)=10),cubic_spline(F732:F742,H732:H742,B$11),IF(AND(COUNT(H733:H744)=11,COUNT(F733:F744)=11),cubic_spline(F732:F743,H732:H743,B$11),IF(AND(COUNT(H733:H744)=12,COUNT(F733:F744)=12),cubic_spline(F732:F744,H732:H744,B$11),""))))))))))))</f>
        <v/>
      </c>
      <c r="K742" s="52" t="str">
        <f>IF(N(B$11)=0,"",IF(AND(COUNT(A733:A744)=2,COUNT(F733:F744)=2),cubic_spline(F732:F734,A732:A734,B$11),IF(AND(COUNT(A733:A744)=3,COUNT(F733:F744)=3),cubic_spline(F732:F735,A732:A735,B$11),IF(AND(COUNT(A733:A744)=4,COUNT(F733:F744)=4),cubic_spline(F732:F736,A732:A736,B$11),IF(AND(COUNT(A733:A744)=5,COUNT(F733:F744)=5),cubic_spline(F732:F737,A732:A737,B$11),IF(AND(COUNT(A733:A744)=6,COUNT(F733:F744)=6),cubic_spline(F732:F738,A732:A738,B$11),IF(AND(COUNT(A733:A744)=7,COUNT(F733:F744)=7),cubic_spline(F732:F739,A732:A739,B$11),IF(AND(COUNT(A733:A744)=8,COUNT(F733:F744)=8),cubic_spline(F732:F740,A732:A740,B$11),IF(AND(COUNT(A733:A744)=9,COUNT(F733:F744)=9),cubic_spline(F732:F741,A732:A741,B$11),IF(AND(COUNT(A733:A744)=10,COUNT(F733:F744)=10),cubic_spline(F732:F742,A732:A742,B$11),IF(AND(COUNT(A733:A744)=11,COUNT(F733:F744)=11),cubic_spline(F732:F743,A732:A743,B$11),IF(AND(COUNT(A733:A744)=12,COUNT(F733:F744)=12),cubic_spline(F732:F744,A732:A744,B$11),""))))))))))))</f>
        <v/>
      </c>
      <c r="L742" s="27" t="str">
        <f>IF(I742="","",B$10&amp;"-"&amp;B$11)</f>
        <v/>
      </c>
      <c r="M742" s="52" t="str">
        <f t="shared" si="280"/>
        <v/>
      </c>
    </row>
    <row r="743" spans="1:13" x14ac:dyDescent="0.35">
      <c r="A743" s="48"/>
      <c r="B743" s="48"/>
      <c r="C743" s="50"/>
      <c r="D743" s="50"/>
      <c r="E743" s="51" t="str">
        <f t="shared" si="278"/>
        <v/>
      </c>
      <c r="F743" s="71" t="str">
        <f t="shared" si="276"/>
        <v/>
      </c>
      <c r="G743" s="69" t="str">
        <f t="shared" si="279"/>
        <v/>
      </c>
      <c r="H743" s="70" t="str">
        <f t="shared" si="277"/>
        <v/>
      </c>
      <c r="I743" s="27" t="str">
        <f>IF(N(J743)=0,"",0&amp;"-"&amp;B$12)</f>
        <v/>
      </c>
      <c r="J743" s="52" t="str">
        <f>IF(N(B$12)=0,"",IF(AND(COUNT(H733:H744)=2,COUNT(F733:F744)=2),cubic_spline(F732:F734,H732:H734,B$12),IF(AND(COUNT(H733:H744)=3,COUNT(F733:F744)=3),cubic_spline(F732:F735,H732:H735,B$12),IF(AND(COUNT(H733:H744)=4,COUNT(F733:F744)=4),cubic_spline(F732:F736,H732:H736,B$12),IF(AND(COUNT(H733:H744)=5,COUNT(F733:F744)=5),cubic_spline(F732:F737,H732:H737,B$12),IF(AND(COUNT(H733:H744)=6,COUNT(F733:F744)=6),cubic_spline(F732:F738,H732:H738,B$12),IF(AND(COUNT(H733:H744)=7,COUNT(F733:F744)=7),cubic_spline(F732:F739,H732:H739,B$12),IF(AND(COUNT(H733:H744)=8,COUNT(F733:F744)=8),cubic_spline(F732:F740,H732:H740,B$12),IF(AND(COUNT(H733:H744)=9,COUNT(F733:F744)=9),cubic_spline(F732:F741,H732:H741,B$12),IF(AND(COUNT(H733:H744)=10,COUNT(F733:F744)=10),cubic_spline(F732:F742,H732:H742,B$12),IF(AND(COUNT(H733:H744)=11,COUNT(F733:F744)=11),cubic_spline(F732:F743,H732:H743,B$12),IF(AND(COUNT(H733:H744)=12,COUNT(F733:F744)=12),cubic_spline(F732:F744,H732:H744,B$12),""))))))))))))</f>
        <v/>
      </c>
      <c r="K743" s="52" t="str">
        <f>IF(N(B$12)=0,"",IF(AND(COUNT(A733:A744)=2,COUNT(F733:F744)=2),cubic_spline(F732:F734,A732:A734,B$12),IF(AND(COUNT(A733:A744)=3,COUNT(F733:F744)=3),cubic_spline(F732:F735,A732:A735,B$12),IF(AND(COUNT(A733:A744)=4,COUNT(F733:F744)=4),cubic_spline(F732:F736,A732:A736,B$12),IF(AND(COUNT(A733:A744)=5,COUNT(F733:F744)=5),cubic_spline(F732:F737,A732:A737,B$12),IF(AND(COUNT(A733:A744)=6,COUNT(F733:F744)=6),cubic_spline(F732:F738,A732:A738,B$12),IF(AND(COUNT(A733:A744)=7,COUNT(F733:F744)=7),cubic_spline(F732:F739,A732:A739,B$12),IF(AND(COUNT(A733:A744)=8,COUNT(F733:F744)=8),cubic_spline(F732:F740,A732:A740,B$12),IF(AND(COUNT(A733:A744)=9,COUNT(F733:F744)=9),cubic_spline(F732:F741,A732:A741,B$12),IF(AND(COUNT(A733:A744)=10,COUNT(F733:F744)=10),cubic_spline(F732:F742,A732:A742,B$12),IF(AND(COUNT(A733:A744)=11,COUNT(F733:F744)=11),cubic_spline(F732:F743,A732:A743,B$12),IF(AND(COUNT(A733:A744)=12,COUNT(F733:F744)=12),cubic_spline(F732:F744,A732:A744,B$12),""))))))))))))</f>
        <v/>
      </c>
      <c r="L743" s="27" t="str">
        <f>IF(I743="","",B$11&amp;"-"&amp;B$12)</f>
        <v/>
      </c>
      <c r="M743" s="52" t="str">
        <f t="shared" si="280"/>
        <v/>
      </c>
    </row>
    <row r="744" spans="1:13" x14ac:dyDescent="0.35">
      <c r="A744" s="48"/>
      <c r="B744" s="48"/>
      <c r="C744" s="50"/>
      <c r="D744" s="50"/>
      <c r="E744" s="51" t="str">
        <f t="shared" si="278"/>
        <v/>
      </c>
      <c r="F744" s="71" t="str">
        <f t="shared" si="276"/>
        <v/>
      </c>
      <c r="G744" s="69" t="str">
        <f t="shared" si="279"/>
        <v/>
      </c>
      <c r="H744" s="70" t="str">
        <f t="shared" si="277"/>
        <v/>
      </c>
      <c r="I744" s="27" t="str">
        <f>IF(N(J744)=0,"",0&amp;"-"&amp;B$13)</f>
        <v/>
      </c>
      <c r="J744" s="52" t="str">
        <f>IF(N(B$13)=0,"",IF(AND(COUNT(H733:H744)=2,COUNT(F733:F744)=2),cubic_spline(F732:F734,H732:H734,B$13),IF(AND(COUNT(H733:H744)=3,COUNT(F733:F744)=3),cubic_spline(F732:F735,H732:H735,B$13),IF(AND(COUNT(H733:H744)=4,COUNT(F733:F744)=4),cubic_spline(F732:F736,H732:H736,B$13),IF(AND(COUNT(H733:H744)=5,COUNT(F733:F744)=5),cubic_spline(F732:F737,H732:H737,B$13),IF(AND(COUNT(H733:H744)=6,COUNT(F733:F744)=6),cubic_spline(F732:F738,H732:H738,B$13),IF(AND(COUNT(H733:H744)=7,COUNT(F733:F744)=7),cubic_spline(F732:F739,H732:H739,B$13),IF(AND(COUNT(H733:H744)=8,COUNT(F733:F744)=8),cubic_spline(F732:F740,H732:H740,B$13),IF(AND(COUNT(H733:H744)=9,COUNT(F733:F744)=9),cubic_spline(F732:F741,H732:H741,B$13),IF(AND(COUNT(H733:H744)=10,COUNT(F733:F744)=10),cubic_spline(F732:F742,H732:H742,B$13),IF(AND(COUNT(H733:H744)=11,COUNT(F733:F744)=11),cubic_spline(F732:F743,H732:H743,B$13),IF(AND(COUNT(H733:H744)=12,COUNT(F733:F744)=12),cubic_spline(F732:F744,H732:H744,B$13),""))))))))))))</f>
        <v/>
      </c>
      <c r="K744" s="52" t="str">
        <f>IF(N(B$13)=0,"",IF(AND(COUNT(A733:A744)=2,COUNT(F733:F744)=2),cubic_spline(F732:F734,A732:A734,B$13),IF(AND(COUNT(A733:A744)=3,COUNT(F733:F744)=3),cubic_spline(F732:F735,A732:A735,B$13),IF(AND(COUNT(A733:A744)=4,COUNT(F733:F744)=4),cubic_spline(F732:F736,A732:A736,B$13),IF(AND(COUNT(A733:A744)=5,COUNT(F733:F744)=5),cubic_spline(F732:F737,A732:A737,B$13),IF(AND(COUNT(A733:A744)=6,COUNT(F733:F744)=6),cubic_spline(F732:F738,A732:A738,B$13),IF(AND(COUNT(A733:A744)=7,COUNT(F733:F744)=7),cubic_spline(F732:F739,A732:A739,B$13),IF(AND(COUNT(A733:A744)=8,COUNT(F733:F744)=8),cubic_spline(F732:F740,A732:A740,B$13),IF(AND(COUNT(A733:A744)=9,COUNT(F733:F744)=9),cubic_spline(F732:F741,A732:A741,B$13),IF(AND(COUNT(A733:A744)=10,COUNT(F733:F744)=10),cubic_spline(F732:F742,A732:A742,B$13),IF(AND(COUNT(A733:A744)=11,COUNT(F733:F744)=11),cubic_spline(F732:F743,A732:A743,B$13),IF(AND(COUNT(A733:A744)=12,COUNT(F733:F744)=12),cubic_spline(F732:F744,A732:A744,B$13),""))))))))))))</f>
        <v/>
      </c>
      <c r="L744" s="27" t="str">
        <f>IF(I744="","",B$12&amp;"-"&amp;B$13)</f>
        <v/>
      </c>
      <c r="M744" s="52" t="str">
        <f t="shared" si="280"/>
        <v/>
      </c>
    </row>
    <row r="745" spans="1:13" ht="5.15" customHeight="1" x14ac:dyDescent="0.35">
      <c r="A745" s="47"/>
      <c r="B745" s="47"/>
      <c r="C745" s="53"/>
      <c r="D745" s="53"/>
      <c r="E745" s="54"/>
      <c r="F745" s="55"/>
      <c r="G745" s="72"/>
      <c r="H745" s="73"/>
      <c r="I745" s="47"/>
      <c r="J745" s="57"/>
      <c r="K745" s="57"/>
      <c r="L745" s="55"/>
      <c r="M745" s="57"/>
    </row>
    <row r="746" spans="1:13" x14ac:dyDescent="0.35">
      <c r="A746" s="48"/>
      <c r="B746" s="48"/>
      <c r="C746" s="50"/>
      <c r="D746" s="50"/>
      <c r="E746" s="51" t="str">
        <f>IF(N(C746)=0,"",(A746-A745)*C746*100)</f>
        <v/>
      </c>
      <c r="F746" s="68" t="str">
        <f t="shared" ref="F746:F757" si="281">IF(N(E746)=0,"",(N(E746)+N(F745)))</f>
        <v/>
      </c>
      <c r="G746" s="69" t="str">
        <f>IF(OR(N(D746)=0,N(E746)=0),"",(E746*D746)/1000)</f>
        <v/>
      </c>
      <c r="H746" s="70" t="str">
        <f t="shared" ref="H746:H757" si="282">IF(N(G746)=0,"",(N(G746)+N(H745)))</f>
        <v/>
      </c>
      <c r="I746" s="27" t="str">
        <f>IF(N(J746)=0,"",0&amp;"-"&amp;B$2)</f>
        <v/>
      </c>
      <c r="J746" s="52" t="str">
        <f>IF(N(B$2)=0,"",IF(AND(COUNT(H746:H757)=2,COUNT(F746:F757)=2),cubic_spline(F745:F747,H745:H747,B$2),IF(AND(COUNT(H746:H757)=3,COUNT(F746:F757)=3),cubic_spline(F745:F748,H745:H748,B$2),IF(AND(COUNT(H746:H757)=4,COUNT(F746:F757)=4),cubic_spline(F745:F749,H745:H749,B$2),IF(AND(COUNT(H746:H757)=5,COUNT(F746:F757)=5),cubic_spline(F745:F750,H745:H750,B$2),IF(AND(COUNT(H746:H757)=6,COUNT(F746:F757)=6),cubic_spline(F745:F751,H745:H751,B$2),IF(AND(COUNT(H746:H757)=7,COUNT(F746:F757)=7),cubic_spline(F745:F752,H745:H752,B$2),IF(AND(COUNT(H746:H757)=8,COUNT(F746:F757)=8),cubic_spline(F745:F753,H745:H753,B$2),IF(AND(COUNT(H746:H757)=9,COUNT(F746:F757)=9),cubic_spline(F745:F754,H745:H754,B$2),IF(AND(COUNT(H746:H757)=10,COUNT(F746:F757)=10),cubic_spline(F745:F755,H745:H755,B$2),IF(AND(COUNT(H746:H757)=11,COUNT(F746:F757)=11),cubic_spline(F745:F756,H745:H756,B$2),IF(AND(COUNT(H746:H757)=12,COUNT(F746:F757)=12),cubic_spline(F745:F757,H745:H757,B$2),""))))))))))))</f>
        <v/>
      </c>
      <c r="K746" s="52" t="str">
        <f>IF(N(B$2)=0,"",IF(AND(COUNT(A746:A757)=2,COUNT(F746:F757)=2),cubic_spline(F745:F747,A745:A747,B$2),IF(AND(COUNT(A746:A757)=3,COUNT(F746:F757)=3),cubic_spline(F745:F748,A745:A748,B$2),IF(AND(COUNT(A746:A757)=4,COUNT(F746:F757)=4),cubic_spline(F745:F749,A745:A749,B$2),IF(AND(COUNT(A746:A757)=5,COUNT(F746:F757)=5),cubic_spline(F745:F750,A745:A750,B$2),IF(AND(COUNT(A746:A757)=6,COUNT(F746:F757)=6),cubic_spline(F745:F751,A745:A751,B$2),IF(AND(COUNT(A746:A757)=7,COUNT(F746:F757)=7),cubic_spline(F745:F752,A745:A752,B$2),IF(AND(COUNT(A746:A757)=8,COUNT(F746:F757)=8),cubic_spline(F745:F753,A745:A753,B$2),IF(AND(COUNT(A746:A757)=9,COUNT(F746:F757)=9),cubic_spline(F745:F754,A745:A754,B$2),IF(AND(COUNT(A746:A757)=10,COUNT(F746:F757)=10),cubic_spline(F745:F755,A745:A755,B$2),IF(AND(COUNT(A746:A757)=11,COUNT(F746:F757)=11),cubic_spline(F745:F756,A745:A756,B$2),IF(AND(COUNT(A746:A757)=12,COUNT(F746:F757)=12),cubic_spline(F745:F757,A745:A757,B$2),""))))))))))))</f>
        <v/>
      </c>
      <c r="L746" s="27" t="str">
        <f>IF(I746="","",0&amp;"-"&amp;B$2)</f>
        <v/>
      </c>
      <c r="M746" s="52" t="str">
        <f>IF(N(J746)=0,"",J746-J745)</f>
        <v/>
      </c>
    </row>
    <row r="747" spans="1:13" x14ac:dyDescent="0.35">
      <c r="A747" s="48"/>
      <c r="B747" s="48"/>
      <c r="C747" s="50"/>
      <c r="D747" s="50"/>
      <c r="E747" s="51" t="str">
        <f t="shared" ref="E747:E757" si="283">IF(N(C747)=0,"",(A747-A746)*C747*100)</f>
        <v/>
      </c>
      <c r="F747" s="68" t="str">
        <f t="shared" si="281"/>
        <v/>
      </c>
      <c r="G747" s="69" t="str">
        <f t="shared" ref="G747:G757" si="284">IF(OR(N(D747)=0,N(E747)=0),"",(E747*D747)/1000)</f>
        <v/>
      </c>
      <c r="H747" s="70" t="str">
        <f t="shared" si="282"/>
        <v/>
      </c>
      <c r="I747" s="27" t="str">
        <f>IF(N(J747)=0,"",0&amp;"-"&amp;B$3)</f>
        <v/>
      </c>
      <c r="J747" s="52" t="str">
        <f>IF(N(B$3)=0,"",IF(AND(COUNT(H746:H757)=2,COUNT(F746:F757)=2),cubic_spline(F745:F747,H745:H747,B$3),IF(AND(COUNT(H746:H757)=3,COUNT(F746:F757)=3),cubic_spline(F745:F748,H745:H748,B$3),IF(AND(COUNT(H746:H757)=4,COUNT(F746:F757)=4),cubic_spline(F745:F749,H745:H749,B$3),IF(AND(COUNT(H746:H757)=5,COUNT(F746:F757)=5),cubic_spline(F745:F750,H745:H750,B$3),IF(AND(COUNT(H746:H757)=6,COUNT(F746:F757)=6),cubic_spline(F745:F751,H745:H751,B$3),IF(AND(COUNT(H746:H757)=7,COUNT(F746:F757)=7),cubic_spline(F745:F752,H745:H752,B$3),IF(AND(COUNT(H746:H757)=8,COUNT(F746:F757)=8),cubic_spline(F745:F753,H745:H753,B$3),IF(AND(COUNT(H746:H757)=9,COUNT(F746:F757)=9),cubic_spline(F745:F754,H745:H754,B$3),IF(AND(COUNT(H746:H757)=10,COUNT(F746:F757)=10),cubic_spline(F745:F755,H745:H755,B$3),IF(AND(COUNT(H746:H757)=11,COUNT(F746:F757)=11),cubic_spline(F745:F756,H745:H756,B$3),IF(AND(COUNT(H746:H757)=12,COUNT(F746:F757)=12),cubic_spline(F745:F757,H745:H757,B$3),""))))))))))))</f>
        <v/>
      </c>
      <c r="K747" s="52" t="str">
        <f>IF(N(B$3)=0,"",IF(AND(COUNT(A746:A757)=2,COUNT(F746:F757)=2),cubic_spline(F745:F747,A745:A747,B$3),IF(AND(COUNT(A746:A757)=3,COUNT(F746:F757)=3),cubic_spline(F745:F748,A745:A748,B$3),IF(AND(COUNT(A746:A757)=4,COUNT(F746:F757)=4),cubic_spline(F745:F749,A745:A749,B$3),IF(AND(COUNT(A746:A757)=5,COUNT(F746:F757)=5),cubic_spline(F745:F750,A745:A750,B$3),IF(AND(COUNT(A746:A757)=6,COUNT(F746:F757)=6),cubic_spline(F745:F751,A745:A751,B$3),IF(AND(COUNT(A746:A757)=7,COUNT(F746:F757)=7),cubic_spline(F745:F752,A745:A752,B$3),IF(AND(COUNT(A746:A757)=8,COUNT(F746:F757)=8),cubic_spline(F745:F753,A745:A753,B$3),IF(AND(COUNT(A746:A757)=9,COUNT(F746:F757)=9),cubic_spline(F745:F754,A745:A754,B$3),IF(AND(COUNT(A746:A757)=10,COUNT(F746:F757)=10),cubic_spline(F745:F755,A745:A755,B$3),IF(AND(COUNT(A746:A757)=11,COUNT(F746:F757)=11),cubic_spline(F745:F756,A745:A756,B$3),IF(AND(COUNT(A746:A757)=12,COUNT(F746:F757)=12),cubic_spline(F745:F757,A745:A757,B$3),""))))))))))))</f>
        <v/>
      </c>
      <c r="L747" s="27" t="str">
        <f>IF(I747="","",B$2&amp;"-"&amp;B$3)</f>
        <v/>
      </c>
      <c r="M747" s="52" t="str">
        <f>IF(N(J747)=0,"",J747-J746)</f>
        <v/>
      </c>
    </row>
    <row r="748" spans="1:13" x14ac:dyDescent="0.35">
      <c r="A748" s="48"/>
      <c r="B748" s="48"/>
      <c r="C748" s="50"/>
      <c r="D748" s="50"/>
      <c r="E748" s="51" t="str">
        <f t="shared" si="283"/>
        <v/>
      </c>
      <c r="F748" s="68" t="str">
        <f t="shared" si="281"/>
        <v/>
      </c>
      <c r="G748" s="69" t="str">
        <f t="shared" si="284"/>
        <v/>
      </c>
      <c r="H748" s="70" t="str">
        <f t="shared" si="282"/>
        <v/>
      </c>
      <c r="I748" s="27" t="str">
        <f>IF(N(J748)=0,"",0&amp;"-"&amp;B$4)</f>
        <v/>
      </c>
      <c r="J748" s="52" t="str">
        <f>IF(N(B$4)=0,"",IF(AND(COUNT(H746:H757)=2,COUNT(F746:F757)=2),cubic_spline(F745:F747,H745:H747,B$4),IF(AND(COUNT(H746:H757)=3,COUNT(F746:F757)=3),cubic_spline(F745:F748,H745:H748,B$4),IF(AND(COUNT(H746:H757)=4,COUNT(F746:F757)=4),cubic_spline(F745:F749,H745:H749,B$4),IF(AND(COUNT(H746:H757)=5,COUNT(F746:F757)=5),cubic_spline(F745:F750,H745:H750,B$4),IF(AND(COUNT(H746:H757)=6,COUNT(F746:F757)=6),cubic_spline(F745:F751,H745:H751,B$4),IF(AND(COUNT(H746:H757)=7,COUNT(F746:F757)=7),cubic_spline(F745:F752,H745:H752,B$4),IF(AND(COUNT(H746:H757)=8,COUNT(F746:F757)=8),cubic_spline(F745:F753,H745:H753,B$4),IF(AND(COUNT(H746:H757)=9,COUNT(F746:F757)=9),cubic_spline(F745:F754,H745:H754,B$4),IF(AND(COUNT(H746:H757)=10,COUNT(F746:F757)=10),cubic_spline(F745:F755,H745:H755,B$4),IF(AND(COUNT(H746:H757)=11,COUNT(F746:F757)=11),cubic_spline(F745:F756,H745:H756,B$4),IF(AND(COUNT(H746:H757)=12,COUNT(F746:F757)=12),cubic_spline(F745:F757,H745:H757,B$4),""))))))))))))</f>
        <v/>
      </c>
      <c r="K748" s="52" t="str">
        <f>IF(N(B$4)=0,"",IF(AND(COUNT(A746:A757)=2,COUNT(F746:F757)=2),cubic_spline(F745:F747,A745:A747,B$4),IF(AND(COUNT(A746:A757)=3,COUNT(F746:F757)=3),cubic_spline(F745:F748,A745:A748,B$4),IF(AND(COUNT(A746:A757)=4,COUNT(F746:F757)=4),cubic_spline(F745:F749,A745:A749,B$4),IF(AND(COUNT(A746:A757)=5,COUNT(F746:F757)=5),cubic_spline(F745:F750,A745:A750,B$4),IF(AND(COUNT(A746:A757)=6,COUNT(F746:F757)=6),cubic_spline(F745:F751,A745:A751,B$4),IF(AND(COUNT(A746:A757)=7,COUNT(F746:F757)=7),cubic_spline(F745:F752,A745:A752,B$4),IF(AND(COUNT(A746:A757)=8,COUNT(F746:F757)=8),cubic_spline(F745:F753,A745:A753,B$4),IF(AND(COUNT(A746:A757)=9,COUNT(F746:F757)=9),cubic_spline(F745:F754,A745:A754,B$4),IF(AND(COUNT(A746:A757)=10,COUNT(F746:F757)=10),cubic_spline(F745:F755,A745:A755,B$4),IF(AND(COUNT(A746:A757)=11,COUNT(F746:F757)=11),cubic_spline(F745:F756,A745:A756,B$4),IF(AND(COUNT(A746:A757)=12,COUNT(F746:F757)=12),cubic_spline(F745:F757,A745:A757,B$4),""))))))))))))</f>
        <v/>
      </c>
      <c r="L748" s="27" t="str">
        <f>IF(I748="","",B$3&amp;"-"&amp;B$4)</f>
        <v/>
      </c>
      <c r="M748" s="52" t="str">
        <f>IF(N(J748)=0,"",J748-J747)</f>
        <v/>
      </c>
    </row>
    <row r="749" spans="1:13" x14ac:dyDescent="0.35">
      <c r="A749" s="48"/>
      <c r="B749" s="48"/>
      <c r="C749" s="50"/>
      <c r="D749" s="50"/>
      <c r="E749" s="51" t="str">
        <f t="shared" si="283"/>
        <v/>
      </c>
      <c r="F749" s="68" t="str">
        <f t="shared" si="281"/>
        <v/>
      </c>
      <c r="G749" s="69" t="str">
        <f t="shared" si="284"/>
        <v/>
      </c>
      <c r="H749" s="70" t="str">
        <f t="shared" si="282"/>
        <v/>
      </c>
      <c r="I749" s="27" t="str">
        <f>IF(N(J749)=0,"",0&amp;"-"&amp;B$5)</f>
        <v/>
      </c>
      <c r="J749" s="52" t="str">
        <f>IF(N(B$5)=0,"",IF(AND(COUNT(H746:H757)=2,COUNT(F746:F757)=2),cubic_spline(F745:F747,H745:H747,B$5),IF(AND(COUNT(H746:H757)=3,COUNT(F746:F757)=3),cubic_spline(F745:F748,H745:H748,B$5),IF(AND(COUNT(H746:H757)=4,COUNT(F746:F757)=4),cubic_spline(F745:F749,H745:H749,B$5),IF(AND(COUNT(H746:H757)=5,COUNT(F746:F757)=5),cubic_spline(F745:F750,H745:H750,B$5),IF(AND(COUNT(H746:H757)=6,COUNT(F746:F757)=6),cubic_spline(F745:F751,H745:H751,B$5),IF(AND(COUNT(H746:H757)=7,COUNT(F746:F757)=7),cubic_spline(F745:F752,H745:H752,B$5),IF(AND(COUNT(H746:H757)=8,COUNT(F746:F757)=8),cubic_spline(F745:F753,H745:H753,B$5),IF(AND(COUNT(H746:H757)=9,COUNT(F746:F757)=9),cubic_spline(F745:F754,H745:H754,B$5),IF(AND(COUNT(H746:H757)=10,COUNT(F746:F757)=10),cubic_spline(F745:F755,H745:H755,B$5),IF(AND(COUNT(H746:H757)=11,COUNT(F746:F757)=11),cubic_spline(F745:F756,H745:H756,B$5),IF(AND(COUNT(H746:H757)=12,COUNT(F746:F757)=12),cubic_spline(F745:F757,H745:H757,B$5),""))))))))))))</f>
        <v/>
      </c>
      <c r="K749" s="52" t="str">
        <f>IF(N(B$5)=0,"",IF(AND(COUNT(A746:A757)=2,COUNT(F746:F757)=2),cubic_spline(F745:F747,A745:A747,B$5),IF(AND(COUNT(A746:A757)=3,COUNT(F746:F757)=3),cubic_spline(F745:F748,A745:A748,B$5),IF(AND(COUNT(A746:A757)=4,COUNT(F746:F757)=4),cubic_spline(F745:F749,A745:A749,B$5),IF(AND(COUNT(A746:A757)=5,COUNT(F746:F757)=5),cubic_spline(F745:F750,A745:A750,B$5),IF(AND(COUNT(A746:A757)=6,COUNT(F746:F757)=6),cubic_spline(F745:F751,A745:A751,B$5),IF(AND(COUNT(A746:A757)=7,COUNT(F746:F757)=7),cubic_spline(F745:F752,A745:A752,B$5),IF(AND(COUNT(A746:A757)=8,COUNT(F746:F757)=8),cubic_spline(F745:F753,A745:A753,B$5),IF(AND(COUNT(A746:A757)=9,COUNT(F746:F757)=9),cubic_spline(F745:F754,A745:A754,B$5),IF(AND(COUNT(A746:A757)=10,COUNT(F746:F757)=10),cubic_spline(F745:F755,A745:A755,B$5),IF(AND(COUNT(A746:A757)=11,COUNT(F746:F757)=11),cubic_spline(F745:F756,A745:A756,B$5),IF(AND(COUNT(A746:A757)=12,COUNT(F746:F757)=12),cubic_spline(F745:F757,A745:A757,B$5),""))))))))))))</f>
        <v/>
      </c>
      <c r="L749" s="27" t="str">
        <f>IF(I749="","",B$4&amp;"-"&amp;B$5)</f>
        <v/>
      </c>
      <c r="M749" s="52" t="str">
        <f>IF(N(J749)=0,"",J749-J748)</f>
        <v/>
      </c>
    </row>
    <row r="750" spans="1:13" x14ac:dyDescent="0.35">
      <c r="A750" s="48"/>
      <c r="B750" s="48"/>
      <c r="C750" s="50"/>
      <c r="D750" s="50"/>
      <c r="E750" s="51" t="str">
        <f t="shared" si="283"/>
        <v/>
      </c>
      <c r="F750" s="71" t="str">
        <f t="shared" si="281"/>
        <v/>
      </c>
      <c r="G750" s="69" t="str">
        <f t="shared" si="284"/>
        <v/>
      </c>
      <c r="H750" s="70" t="str">
        <f t="shared" si="282"/>
        <v/>
      </c>
      <c r="I750" s="27" t="str">
        <f>IF(N(J750)=0,"",0&amp;"-"&amp;B$6)</f>
        <v/>
      </c>
      <c r="J750" s="52" t="str">
        <f>IF(N(B$6)=0,"",IF(AND(COUNT(H746:H757)=2,COUNT(F746:F757)=2),cubic_spline(F745:F747,H745:H747,B$6),IF(AND(COUNT(H746:H757)=3,COUNT(F746:F757)=3),cubic_spline(F745:F748,H745:H748,B$6),IF(AND(COUNT(H746:H757)=4,COUNT(F746:F757)=4),cubic_spline(F745:F749,H745:H749,B$6),IF(AND(COUNT(H746:H757)=5,COUNT(F746:F757)=5),cubic_spline(F745:F750,H745:H750,B$6),IF(AND(COUNT(H746:H757)=6,COUNT(F746:F757)=6),cubic_spline(F745:F751,H745:H751,B$6),IF(AND(COUNT(H746:H757)=7,COUNT(F746:F757)=7),cubic_spline(F745:F752,H745:H752,B$6),IF(AND(COUNT(H746:H757)=8,COUNT(F746:F757)=8),cubic_spline(F745:F753,H745:H753,B$6),IF(AND(COUNT(H746:H757)=9,COUNT(F746:F757)=9),cubic_spline(F745:F754,H745:H754,B$6),IF(AND(COUNT(H746:H757)=10,COUNT(F746:F757)=10),cubic_spline(F745:F755,H745:H755,B$6),IF(AND(COUNT(H746:H757)=11,COUNT(F746:F757)=11),cubic_spline(F745:F756,H745:H756,B$6),IF(AND(COUNT(H746:H757)=12,COUNT(F746:F757)=12),cubic_spline(F745:F757,H745:H757,B$6),""))))))))))))</f>
        <v/>
      </c>
      <c r="K750" s="52" t="str">
        <f>IF(N(B$6)=0,"",IF(AND(COUNT(A746:A757)=2,COUNT(F746:F757)=2),cubic_spline(F745:F747,A745:A747,B$6),IF(AND(COUNT(A746:A757)=3,COUNT(F746:F757)=3),cubic_spline(F745:F748,A745:A748,B$6),IF(AND(COUNT(A746:A757)=4,COUNT(F746:F757)=4),cubic_spline(F745:F749,A745:A749,B$6),IF(AND(COUNT(A746:A757)=5,COUNT(F746:F757)=5),cubic_spline(F745:F750,A745:A750,B$6),IF(AND(COUNT(A746:A757)=6,COUNT(F746:F757)=6),cubic_spline(F745:F751,A745:A751,B$6),IF(AND(COUNT(A746:A757)=7,COUNT(F746:F757)=7),cubic_spline(F745:F752,A745:A752,B$6),IF(AND(COUNT(A746:A757)=8,COUNT(F746:F757)=8),cubic_spline(F745:F753,A745:A753,B$6),IF(AND(COUNT(A746:A757)=9,COUNT(F746:F757)=9),cubic_spline(F745:F754,A745:A754,B$6),IF(AND(COUNT(A746:A757)=10,COUNT(F746:F757)=10),cubic_spline(F745:F755,A745:A755,B$6),IF(AND(COUNT(A746:A757)=11,COUNT(F746:F757)=11),cubic_spline(F745:F756,A745:A756,B$6),IF(AND(COUNT(A746:A757)=12,COUNT(F746:F757)=12),cubic_spline(F745:F757,A745:A757,B$6),""))))))))))))</f>
        <v/>
      </c>
      <c r="L750" s="27" t="str">
        <f>IF(I750="","",B$5&amp;"-"&amp;B$6)</f>
        <v/>
      </c>
      <c r="M750" s="52" t="str">
        <f>IF(N(J750)=0,"",J750-J749)</f>
        <v/>
      </c>
    </row>
    <row r="751" spans="1:13" x14ac:dyDescent="0.35">
      <c r="A751" s="48"/>
      <c r="B751" s="48"/>
      <c r="C751" s="50"/>
      <c r="D751" s="50"/>
      <c r="E751" s="51" t="str">
        <f t="shared" si="283"/>
        <v/>
      </c>
      <c r="F751" s="71" t="str">
        <f t="shared" si="281"/>
        <v/>
      </c>
      <c r="G751" s="69" t="str">
        <f t="shared" si="284"/>
        <v/>
      </c>
      <c r="H751" s="70" t="str">
        <f t="shared" si="282"/>
        <v/>
      </c>
      <c r="I751" s="27" t="str">
        <f>IF(N(J751)=0,"",0&amp;"-"&amp;B$7)</f>
        <v/>
      </c>
      <c r="J751" s="52" t="str">
        <f>IF(N(B$7)=0,"",IF(AND(COUNT(H746:H757)=2,COUNT(F746:F757)=2),cubic_spline(F745:F747,H745:H747,B$7),IF(AND(COUNT(H746:H757)=3,COUNT(F746:F757)=3),cubic_spline(F745:F748,H745:H748,B$7),IF(AND(COUNT(H746:H757)=4,COUNT(F746:F757)=4),cubic_spline(F745:F749,H745:H749,B$7),IF(AND(COUNT(H746:H757)=5,COUNT(F746:F757)=5),cubic_spline(F745:F750,H745:H750,B$7),IF(AND(COUNT(H746:H757)=6,COUNT(F746:F757)=6),cubic_spline(F745:F751,H745:H751,B$7),IF(AND(COUNT(H746:H757)=7,COUNT(F746:F757)=7),cubic_spline(F745:F752,H745:H752,B$7),IF(AND(COUNT(H746:H757)=8,COUNT(F746:F757)=8),cubic_spline(F745:F753,H745:H753,B$7),IF(AND(COUNT(H746:H757)=9,COUNT(F746:F757)=9),cubic_spline(F745:F754,H745:H754,B$7),IF(AND(COUNT(H746:H757)=10,COUNT(F746:F757)=10),cubic_spline(F745:F755,H745:H755,B$7),IF(AND(COUNT(H746:H757)=11,COUNT(F746:F757)=11),cubic_spline(F745:F756,H745:H756,B$7),IF(AND(COUNT(H746:H757)=12,COUNT(F746:F757)=12),cubic_spline(F745:F757,H745:H757,B$7),""))))))))))))</f>
        <v/>
      </c>
      <c r="K751" s="52" t="str">
        <f>IF(N(B$7)=0,"",IF(AND(COUNT(A746:A757)=2,COUNT(F746:F757)=2),cubic_spline(F745:F747,A745:A747,B$7),IF(AND(COUNT(A746:A757)=3,COUNT(F746:F757)=3),cubic_spline(F745:F748,A745:A748,B$7),IF(AND(COUNT(A746:A757)=4,COUNT(F746:F757)=4),cubic_spline(F745:F749,A745:A749,B$7),IF(AND(COUNT(A746:A757)=5,COUNT(F746:F757)=5),cubic_spline(F745:F750,A745:A750,B$7),IF(AND(COUNT(A746:A757)=6,COUNT(F746:F757)=6),cubic_spline(F745:F751,A745:A751,B$7),IF(AND(COUNT(A746:A757)=7,COUNT(F746:F757)=7),cubic_spline(F745:F752,A745:A752,B$7),IF(AND(COUNT(A746:A757)=8,COUNT(F746:F757)=8),cubic_spline(F745:F753,A745:A753,B$7),IF(AND(COUNT(A746:A757)=9,COUNT(F746:F757)=9),cubic_spline(F745:F754,A745:A754,B$7),IF(AND(COUNT(A746:A757)=10,COUNT(F746:F757)=10),cubic_spline(F745:F755,A745:A755,B$7),IF(AND(COUNT(A746:A757)=11,COUNT(F746:F757)=11),cubic_spline(F745:F756,A745:A756,B$7),IF(AND(COUNT(A746:A757)=12,COUNT(F746:F757)=12),cubic_spline(F745:F757,A745:A757,B$7),""))))))))))))</f>
        <v/>
      </c>
      <c r="L751" s="27" t="str">
        <f>IF(I751="","",B$6&amp;"-"&amp;B$7)</f>
        <v/>
      </c>
      <c r="M751" s="52" t="str">
        <f t="shared" ref="M751:M757" si="285">IF(N(J751)=0,"",J751-J750)</f>
        <v/>
      </c>
    </row>
    <row r="752" spans="1:13" x14ac:dyDescent="0.35">
      <c r="A752" s="48"/>
      <c r="B752" s="48"/>
      <c r="C752" s="50"/>
      <c r="D752" s="50"/>
      <c r="E752" s="51" t="str">
        <f t="shared" si="283"/>
        <v/>
      </c>
      <c r="F752" s="71" t="str">
        <f t="shared" si="281"/>
        <v/>
      </c>
      <c r="G752" s="69" t="str">
        <f t="shared" si="284"/>
        <v/>
      </c>
      <c r="H752" s="70" t="str">
        <f t="shared" si="282"/>
        <v/>
      </c>
      <c r="I752" s="27" t="str">
        <f>IF(N(J752)=0,"",0&amp;"-"&amp;B$8)</f>
        <v/>
      </c>
      <c r="J752" s="52" t="str">
        <f>IF(N(B$8)=0,"",IF(AND(COUNT(H746:H757)=2,COUNT(F746:F757)=2),cubic_spline(F745:F747,H745:H747,B$8),IF(AND(COUNT(H746:H757)=3,COUNT(F746:F757)=3),cubic_spline(F745:F748,H745:H748,B$8),IF(AND(COUNT(H746:H757)=4,COUNT(F746:F757)=4),cubic_spline(F745:F749,H745:H749,B$8),IF(AND(COUNT(H746:H757)=5,COUNT(F746:F757)=5),cubic_spline(F745:F750,H745:H750,B$8),IF(AND(COUNT(H746:H757)=6,COUNT(F746:F757)=6),cubic_spline(F745:F751,H745:H751,B$8),IF(AND(COUNT(H746:H757)=7,COUNT(F746:F757)=7),cubic_spline(F745:F752,H745:H752,B$8),IF(AND(COUNT(H746:H757)=8,COUNT(F746:F757)=8),cubic_spline(F745:F753,H745:H753,B$8),IF(AND(COUNT(H746:H757)=9,COUNT(F746:F757)=9),cubic_spline(F745:F754,H745:H754,B$8),IF(AND(COUNT(H746:H757)=10,COUNT(F746:F757)=10),cubic_spline(F745:F755,H745:H755,B$8),IF(AND(COUNT(H746:H757)=11,COUNT(F746:F757)=11),cubic_spline(F745:F756,H745:H756,B$8),IF(AND(COUNT(H746:H757)=12,COUNT(F746:F757)=12),cubic_spline(F745:F757,H745:H757,B$8),""))))))))))))</f>
        <v/>
      </c>
      <c r="K752" s="52" t="str">
        <f>IF(N(B$8)=0,"",IF(AND(COUNT(A746:A757)=2,COUNT(F746:F757)=2),cubic_spline(F745:F747,A745:A747,B$8),IF(AND(COUNT(A746:A757)=3,COUNT(F746:F757)=3),cubic_spline(F745:F748,A745:A748,B$8),IF(AND(COUNT(A746:A757)=4,COUNT(F746:F757)=4),cubic_spline(F745:F749,A745:A749,B$8),IF(AND(COUNT(A746:A757)=5,COUNT(F746:F757)=5),cubic_spline(F745:F750,A745:A750,B$8),IF(AND(COUNT(A746:A757)=6,COUNT(F746:F757)=6),cubic_spline(F745:F751,A745:A751,B$8),IF(AND(COUNT(A746:A757)=7,COUNT(F746:F757)=7),cubic_spline(F745:F752,A745:A752,B$8),IF(AND(COUNT(A746:A757)=8,COUNT(F746:F757)=8),cubic_spline(F745:F753,A745:A753,B$8),IF(AND(COUNT(A746:A757)=9,COUNT(F746:F757)=9),cubic_spline(F745:F754,A745:A754,B$8),IF(AND(COUNT(A746:A757)=10,COUNT(F746:F757)=10),cubic_spline(F745:F755,A745:A755,B$8),IF(AND(COUNT(A746:A757)=11,COUNT(F746:F757)=11),cubic_spline(F745:F756,A745:A756,B$8),IF(AND(COUNT(A746:A757)=12,COUNT(F746:F757)=12),cubic_spline(F745:F757,A745:A757,B$8),""))))))))))))</f>
        <v/>
      </c>
      <c r="L752" s="27" t="str">
        <f>IF(I752="","",B$7&amp;"-"&amp;B$8)</f>
        <v/>
      </c>
      <c r="M752" s="52" t="str">
        <f t="shared" si="285"/>
        <v/>
      </c>
    </row>
    <row r="753" spans="1:13" x14ac:dyDescent="0.35">
      <c r="A753" s="48"/>
      <c r="B753" s="48"/>
      <c r="C753" s="50"/>
      <c r="D753" s="50"/>
      <c r="E753" s="51" t="str">
        <f t="shared" si="283"/>
        <v/>
      </c>
      <c r="F753" s="71" t="str">
        <f t="shared" si="281"/>
        <v/>
      </c>
      <c r="G753" s="69" t="str">
        <f t="shared" si="284"/>
        <v/>
      </c>
      <c r="H753" s="70" t="str">
        <f t="shared" si="282"/>
        <v/>
      </c>
      <c r="I753" s="27" t="str">
        <f>IF(N(J753)=0,"",0&amp;"-"&amp;B$9)</f>
        <v/>
      </c>
      <c r="J753" s="52" t="str">
        <f>IF(N(B$9)=0,"",IF(AND(COUNT(H746:H757)=2,COUNT(F746:F757)=2),cubic_spline(F745:F747,H745:H747,B$9),IF(AND(COUNT(H746:H757)=3,COUNT(F746:F757)=3),cubic_spline(F745:F748,H745:H748,B$9),IF(AND(COUNT(H746:H757)=4,COUNT(F746:F757)=4),cubic_spline(F745:F749,H745:H749,B$9),IF(AND(COUNT(H746:H757)=5,COUNT(F746:F757)=5),cubic_spline(F745:F750,H745:H750,B$9),IF(AND(COUNT(H746:H757)=6,COUNT(F746:F757)=6),cubic_spline(F745:F751,H745:H751,B$9),IF(AND(COUNT(H746:H757)=7,COUNT(F746:F757)=7),cubic_spline(F745:F752,H745:H752,B$9),IF(AND(COUNT(H746:H757)=8,COUNT(F746:F757)=8),cubic_spline(F745:F753,H745:H753,B$9),IF(AND(COUNT(H746:H757)=9,COUNT(F746:F757)=9),cubic_spline(F745:F754,H745:H754,B$9),IF(AND(COUNT(H746:H757)=10,COUNT(F746:F757)=10),cubic_spline(F745:F755,H745:H755,B$9),IF(AND(COUNT(H746:H757)=11,COUNT(F746:F757)=11),cubic_spline(F745:F756,H745:H756,B$9),IF(AND(COUNT(H746:H757)=12,COUNT(F746:F757)=12),cubic_spline(F745:F757,H745:H757,B$9),""))))))))))))</f>
        <v/>
      </c>
      <c r="K753" s="52" t="str">
        <f>IF(N(B$9)=0,"",IF(AND(COUNT(A746:A757)=2,COUNT(F746:F757)=2),cubic_spline(F745:F747,A745:A747,B$9),IF(AND(COUNT(A746:A757)=3,COUNT(F746:F757)=3),cubic_spline(F745:F748,A745:A748,B$9),IF(AND(COUNT(A746:A757)=4,COUNT(F746:F757)=4),cubic_spline(F745:F749,A745:A749,B$9),IF(AND(COUNT(A746:A757)=5,COUNT(F746:F757)=5),cubic_spline(F745:F750,A745:A750,B$9),IF(AND(COUNT(A746:A757)=6,COUNT(F746:F757)=6),cubic_spline(F745:F751,A745:A751,B$9),IF(AND(COUNT(A746:A757)=7,COUNT(F746:F757)=7),cubic_spline(F745:F752,A745:A752,B$9),IF(AND(COUNT(A746:A757)=8,COUNT(F746:F757)=8),cubic_spline(F745:F753,A745:A753,B$9),IF(AND(COUNT(A746:A757)=9,COUNT(F746:F757)=9),cubic_spline(F745:F754,A745:A754,B$9),IF(AND(COUNT(A746:A757)=10,COUNT(F746:F757)=10),cubic_spline(F745:F755,A745:A755,B$9),IF(AND(COUNT(A746:A757)=11,COUNT(F746:F757)=11),cubic_spline(F745:F756,A745:A756,B$9),IF(AND(COUNT(A746:A757)=12,COUNT(F746:F757)=12),cubic_spline(F745:F757,A745:A757,B$9),""))))))))))))</f>
        <v/>
      </c>
      <c r="L753" s="27" t="str">
        <f>IF(I753="","",B$8&amp;"-"&amp;B$9)</f>
        <v/>
      </c>
      <c r="M753" s="52" t="str">
        <f t="shared" si="285"/>
        <v/>
      </c>
    </row>
    <row r="754" spans="1:13" x14ac:dyDescent="0.35">
      <c r="A754" s="48"/>
      <c r="B754" s="48"/>
      <c r="C754" s="50"/>
      <c r="D754" s="50"/>
      <c r="E754" s="51" t="str">
        <f t="shared" si="283"/>
        <v/>
      </c>
      <c r="F754" s="71" t="str">
        <f t="shared" si="281"/>
        <v/>
      </c>
      <c r="G754" s="69" t="str">
        <f t="shared" si="284"/>
        <v/>
      </c>
      <c r="H754" s="70" t="str">
        <f t="shared" si="282"/>
        <v/>
      </c>
      <c r="I754" s="27" t="str">
        <f>IF(N(J754)=0,"",0&amp;"-"&amp;B$10)</f>
        <v/>
      </c>
      <c r="J754" s="52" t="str">
        <f>IF(N(B$10)=0,"",IF(AND(COUNT(H746:H757)=2,COUNT(F746:F757)=2),cubic_spline(F745:F747,H745:H747,B$10),IF(AND(COUNT(H746:H757)=3,COUNT(F746:F757)=3),cubic_spline(F745:F748,H745:H748,B$10),IF(AND(COUNT(H746:H757)=4,COUNT(F746:F757)=4),cubic_spline(F745:F749,H745:H749,B$10),IF(AND(COUNT(H746:H757)=5,COUNT(F746:F757)=5),cubic_spline(F745:F750,H745:H750,B$10),IF(AND(COUNT(H746:H757)=6,COUNT(F746:F757)=6),cubic_spline(F745:F751,H745:H751,B$10),IF(AND(COUNT(H746:H757)=7,COUNT(F746:F757)=7),cubic_spline(F745:F752,H745:H752,B$10),IF(AND(COUNT(H746:H757)=8,COUNT(F746:F757)=8),cubic_spline(F745:F753,H745:H753,B$10),IF(AND(COUNT(H746:H757)=9,COUNT(F746:F757)=9),cubic_spline(F745:F754,H745:H754,B$10),IF(AND(COUNT(H746:H757)=10,COUNT(F746:F757)=10),cubic_spline(F745:F755,H745:H755,B$10),IF(AND(COUNT(H746:H757)=11,COUNT(F746:F757)=11),cubic_spline(F745:F756,H745:H756,B$10),IF(AND(COUNT(H746:H757)=12,COUNT(F746:F757)=12),cubic_spline(F745:F757,H745:H757,B$10),""))))))))))))</f>
        <v/>
      </c>
      <c r="K754" s="52" t="str">
        <f>IF(N(B$10)=0,"",IF(AND(COUNT(A746:A757)=2,COUNT(F746:F757)=2),cubic_spline(F745:F747,A745:A747,B$10),IF(AND(COUNT(A746:A757)=3,COUNT(F746:F757)=3),cubic_spline(F745:F748,A745:A748,B$10),IF(AND(COUNT(A746:A757)=4,COUNT(F746:F757)=4),cubic_spline(F745:F749,A745:A749,B$10),IF(AND(COUNT(A746:A757)=5,COUNT(F746:F757)=5),cubic_spline(F745:F750,A745:A750,B$10),IF(AND(COUNT(A746:A757)=6,COUNT(F746:F757)=6),cubic_spline(F745:F751,A745:A751,B$10),IF(AND(COUNT(A746:A757)=7,COUNT(F746:F757)=7),cubic_spline(F745:F752,A745:A752,B$10),IF(AND(COUNT(A746:A757)=8,COUNT(F746:F757)=8),cubic_spline(F745:F753,A745:A753,B$10),IF(AND(COUNT(A746:A757)=9,COUNT(F746:F757)=9),cubic_spline(F745:F754,A745:A754,B$10),IF(AND(COUNT(A746:A757)=10,COUNT(F746:F757)=10),cubic_spline(F745:F755,A745:A755,B$10),IF(AND(COUNT(A746:A757)=11,COUNT(F746:F757)=11),cubic_spline(F745:F756,A745:A756,B$10),IF(AND(COUNT(A746:A757)=12,COUNT(F746:F757)=12),cubic_spline(F745:F757,A745:A757,B$10),""))))))))))))</f>
        <v/>
      </c>
      <c r="L754" s="27" t="str">
        <f>IF(I754="","",B$9&amp;"-"&amp;B$10)</f>
        <v/>
      </c>
      <c r="M754" s="52" t="str">
        <f t="shared" si="285"/>
        <v/>
      </c>
    </row>
    <row r="755" spans="1:13" x14ac:dyDescent="0.35">
      <c r="A755" s="48"/>
      <c r="B755" s="48"/>
      <c r="C755" s="50"/>
      <c r="D755" s="50"/>
      <c r="E755" s="51" t="str">
        <f t="shared" si="283"/>
        <v/>
      </c>
      <c r="F755" s="71" t="str">
        <f t="shared" si="281"/>
        <v/>
      </c>
      <c r="G755" s="69" t="str">
        <f t="shared" si="284"/>
        <v/>
      </c>
      <c r="H755" s="70" t="str">
        <f t="shared" si="282"/>
        <v/>
      </c>
      <c r="I755" s="27" t="str">
        <f>IF(N(J755)=0,"",0&amp;"-"&amp;B$11)</f>
        <v/>
      </c>
      <c r="J755" s="52" t="str">
        <f>IF(N(B$11)=0,"",IF(AND(COUNT(H746:H757)=2,COUNT(F746:F757)=2),cubic_spline(F745:F747,H745:H747,B$11),IF(AND(COUNT(H746:H757)=3,COUNT(F746:F757)=3),cubic_spline(F745:F748,H745:H748,B$11),IF(AND(COUNT(H746:H757)=4,COUNT(F746:F757)=4),cubic_spline(F745:F749,H745:H749,B$11),IF(AND(COUNT(H746:H757)=5,COUNT(F746:F757)=5),cubic_spline(F745:F750,H745:H750,B$11),IF(AND(COUNT(H746:H757)=6,COUNT(F746:F757)=6),cubic_spline(F745:F751,H745:H751,B$11),IF(AND(COUNT(H746:H757)=7,COUNT(F746:F757)=7),cubic_spline(F745:F752,H745:H752,B$11),IF(AND(COUNT(H746:H757)=8,COUNT(F746:F757)=8),cubic_spline(F745:F753,H745:H753,B$11),IF(AND(COUNT(H746:H757)=9,COUNT(F746:F757)=9),cubic_spline(F745:F754,H745:H754,B$11),IF(AND(COUNT(H746:H757)=10,COUNT(F746:F757)=10),cubic_spline(F745:F755,H745:H755,B$11),IF(AND(COUNT(H746:H757)=11,COUNT(F746:F757)=11),cubic_spline(F745:F756,H745:H756,B$11),IF(AND(COUNT(H746:H757)=12,COUNT(F746:F757)=12),cubic_spline(F745:F757,H745:H757,B$11),""))))))))))))</f>
        <v/>
      </c>
      <c r="K755" s="52" t="str">
        <f>IF(N(B$11)=0,"",IF(AND(COUNT(A746:A757)=2,COUNT(F746:F757)=2),cubic_spline(F745:F747,A745:A747,B$11),IF(AND(COUNT(A746:A757)=3,COUNT(F746:F757)=3),cubic_spline(F745:F748,A745:A748,B$11),IF(AND(COUNT(A746:A757)=4,COUNT(F746:F757)=4),cubic_spline(F745:F749,A745:A749,B$11),IF(AND(COUNT(A746:A757)=5,COUNT(F746:F757)=5),cubic_spline(F745:F750,A745:A750,B$11),IF(AND(COUNT(A746:A757)=6,COUNT(F746:F757)=6),cubic_spline(F745:F751,A745:A751,B$11),IF(AND(COUNT(A746:A757)=7,COUNT(F746:F757)=7),cubic_spline(F745:F752,A745:A752,B$11),IF(AND(COUNT(A746:A757)=8,COUNT(F746:F757)=8),cubic_spline(F745:F753,A745:A753,B$11),IF(AND(COUNT(A746:A757)=9,COUNT(F746:F757)=9),cubic_spline(F745:F754,A745:A754,B$11),IF(AND(COUNT(A746:A757)=10,COUNT(F746:F757)=10),cubic_spline(F745:F755,A745:A755,B$11),IF(AND(COUNT(A746:A757)=11,COUNT(F746:F757)=11),cubic_spline(F745:F756,A745:A756,B$11),IF(AND(COUNT(A746:A757)=12,COUNT(F746:F757)=12),cubic_spline(F745:F757,A745:A757,B$11),""))))))))))))</f>
        <v/>
      </c>
      <c r="L755" s="27" t="str">
        <f>IF(I755="","",B$10&amp;"-"&amp;B$11)</f>
        <v/>
      </c>
      <c r="M755" s="52" t="str">
        <f t="shared" si="285"/>
        <v/>
      </c>
    </row>
    <row r="756" spans="1:13" x14ac:dyDescent="0.35">
      <c r="A756" s="48"/>
      <c r="B756" s="48"/>
      <c r="C756" s="50"/>
      <c r="D756" s="50"/>
      <c r="E756" s="51" t="str">
        <f t="shared" si="283"/>
        <v/>
      </c>
      <c r="F756" s="71" t="str">
        <f t="shared" si="281"/>
        <v/>
      </c>
      <c r="G756" s="69" t="str">
        <f t="shared" si="284"/>
        <v/>
      </c>
      <c r="H756" s="70" t="str">
        <f t="shared" si="282"/>
        <v/>
      </c>
      <c r="I756" s="27" t="str">
        <f>IF(N(J756)=0,"",0&amp;"-"&amp;B$12)</f>
        <v/>
      </c>
      <c r="J756" s="52" t="str">
        <f>IF(N(B$12)=0,"",IF(AND(COUNT(H746:H757)=2,COUNT(F746:F757)=2),cubic_spline(F745:F747,H745:H747,B$12),IF(AND(COUNT(H746:H757)=3,COUNT(F746:F757)=3),cubic_spline(F745:F748,H745:H748,B$12),IF(AND(COUNT(H746:H757)=4,COUNT(F746:F757)=4),cubic_spline(F745:F749,H745:H749,B$12),IF(AND(COUNT(H746:H757)=5,COUNT(F746:F757)=5),cubic_spline(F745:F750,H745:H750,B$12),IF(AND(COUNT(H746:H757)=6,COUNT(F746:F757)=6),cubic_spline(F745:F751,H745:H751,B$12),IF(AND(COUNT(H746:H757)=7,COUNT(F746:F757)=7),cubic_spline(F745:F752,H745:H752,B$12),IF(AND(COUNT(H746:H757)=8,COUNT(F746:F757)=8),cubic_spline(F745:F753,H745:H753,B$12),IF(AND(COUNT(H746:H757)=9,COUNT(F746:F757)=9),cubic_spline(F745:F754,H745:H754,B$12),IF(AND(COUNT(H746:H757)=10,COUNT(F746:F757)=10),cubic_spline(F745:F755,H745:H755,B$12),IF(AND(COUNT(H746:H757)=11,COUNT(F746:F757)=11),cubic_spline(F745:F756,H745:H756,B$12),IF(AND(COUNT(H746:H757)=12,COUNT(F746:F757)=12),cubic_spline(F745:F757,H745:H757,B$12),""))))))))))))</f>
        <v/>
      </c>
      <c r="K756" s="52" t="str">
        <f>IF(N(B$12)=0,"",IF(AND(COUNT(A746:A757)=2,COUNT(F746:F757)=2),cubic_spline(F745:F747,A745:A747,B$12),IF(AND(COUNT(A746:A757)=3,COUNT(F746:F757)=3),cubic_spline(F745:F748,A745:A748,B$12),IF(AND(COUNT(A746:A757)=4,COUNT(F746:F757)=4),cubic_spline(F745:F749,A745:A749,B$12),IF(AND(COUNT(A746:A757)=5,COUNT(F746:F757)=5),cubic_spline(F745:F750,A745:A750,B$12),IF(AND(COUNT(A746:A757)=6,COUNT(F746:F757)=6),cubic_spline(F745:F751,A745:A751,B$12),IF(AND(COUNT(A746:A757)=7,COUNT(F746:F757)=7),cubic_spline(F745:F752,A745:A752,B$12),IF(AND(COUNT(A746:A757)=8,COUNT(F746:F757)=8),cubic_spline(F745:F753,A745:A753,B$12),IF(AND(COUNT(A746:A757)=9,COUNT(F746:F757)=9),cubic_spline(F745:F754,A745:A754,B$12),IF(AND(COUNT(A746:A757)=10,COUNT(F746:F757)=10),cubic_spline(F745:F755,A745:A755,B$12),IF(AND(COUNT(A746:A757)=11,COUNT(F746:F757)=11),cubic_spline(F745:F756,A745:A756,B$12),IF(AND(COUNT(A746:A757)=12,COUNT(F746:F757)=12),cubic_spline(F745:F757,A745:A757,B$12),""))))))))))))</f>
        <v/>
      </c>
      <c r="L756" s="27" t="str">
        <f>IF(I756="","",B$11&amp;"-"&amp;B$12)</f>
        <v/>
      </c>
      <c r="M756" s="52" t="str">
        <f t="shared" si="285"/>
        <v/>
      </c>
    </row>
    <row r="757" spans="1:13" x14ac:dyDescent="0.35">
      <c r="A757" s="48"/>
      <c r="B757" s="48"/>
      <c r="C757" s="50"/>
      <c r="D757" s="50"/>
      <c r="E757" s="51" t="str">
        <f t="shared" si="283"/>
        <v/>
      </c>
      <c r="F757" s="71" t="str">
        <f t="shared" si="281"/>
        <v/>
      </c>
      <c r="G757" s="69" t="str">
        <f t="shared" si="284"/>
        <v/>
      </c>
      <c r="H757" s="70" t="str">
        <f t="shared" si="282"/>
        <v/>
      </c>
      <c r="I757" s="27" t="str">
        <f>IF(N(J757)=0,"",0&amp;"-"&amp;B$13)</f>
        <v/>
      </c>
      <c r="J757" s="52" t="str">
        <f>IF(N(B$13)=0,"",IF(AND(COUNT(H746:H757)=2,COUNT(F746:F757)=2),cubic_spline(F745:F747,H745:H747,B$13),IF(AND(COUNT(H746:H757)=3,COUNT(F746:F757)=3),cubic_spline(F745:F748,H745:H748,B$13),IF(AND(COUNT(H746:H757)=4,COUNT(F746:F757)=4),cubic_spline(F745:F749,H745:H749,B$13),IF(AND(COUNT(H746:H757)=5,COUNT(F746:F757)=5),cubic_spline(F745:F750,H745:H750,B$13),IF(AND(COUNT(H746:H757)=6,COUNT(F746:F757)=6),cubic_spline(F745:F751,H745:H751,B$13),IF(AND(COUNT(H746:H757)=7,COUNT(F746:F757)=7),cubic_spline(F745:F752,H745:H752,B$13),IF(AND(COUNT(H746:H757)=8,COUNT(F746:F757)=8),cubic_spline(F745:F753,H745:H753,B$13),IF(AND(COUNT(H746:H757)=9,COUNT(F746:F757)=9),cubic_spline(F745:F754,H745:H754,B$13),IF(AND(COUNT(H746:H757)=10,COUNT(F746:F757)=10),cubic_spline(F745:F755,H745:H755,B$13),IF(AND(COUNT(H746:H757)=11,COUNT(F746:F757)=11),cubic_spline(F745:F756,H745:H756,B$13),IF(AND(COUNT(H746:H757)=12,COUNT(F746:F757)=12),cubic_spline(F745:F757,H745:H757,B$13),""))))))))))))</f>
        <v/>
      </c>
      <c r="K757" s="52" t="str">
        <f>IF(N(B$13)=0,"",IF(AND(COUNT(A746:A757)=2,COUNT(F746:F757)=2),cubic_spline(F745:F747,A745:A747,B$13),IF(AND(COUNT(A746:A757)=3,COUNT(F746:F757)=3),cubic_spline(F745:F748,A745:A748,B$13),IF(AND(COUNT(A746:A757)=4,COUNT(F746:F757)=4),cubic_spline(F745:F749,A745:A749,B$13),IF(AND(COUNT(A746:A757)=5,COUNT(F746:F757)=5),cubic_spline(F745:F750,A745:A750,B$13),IF(AND(COUNT(A746:A757)=6,COUNT(F746:F757)=6),cubic_spline(F745:F751,A745:A751,B$13),IF(AND(COUNT(A746:A757)=7,COUNT(F746:F757)=7),cubic_spline(F745:F752,A745:A752,B$13),IF(AND(COUNT(A746:A757)=8,COUNT(F746:F757)=8),cubic_spline(F745:F753,A745:A753,B$13),IF(AND(COUNT(A746:A757)=9,COUNT(F746:F757)=9),cubic_spline(F745:F754,A745:A754,B$13),IF(AND(COUNT(A746:A757)=10,COUNT(F746:F757)=10),cubic_spline(F745:F755,A745:A755,B$13),IF(AND(COUNT(A746:A757)=11,COUNT(F746:F757)=11),cubic_spline(F745:F756,A745:A756,B$13),IF(AND(COUNT(A746:A757)=12,COUNT(F746:F757)=12),cubic_spline(F745:F757,A745:A757,B$13),""))))))))))))</f>
        <v/>
      </c>
      <c r="L757" s="27" t="str">
        <f>IF(I757="","",B$12&amp;"-"&amp;B$13)</f>
        <v/>
      </c>
      <c r="M757" s="52" t="str">
        <f t="shared" si="285"/>
        <v/>
      </c>
    </row>
    <row r="758" spans="1:13" ht="5.15" customHeight="1" x14ac:dyDescent="0.35">
      <c r="A758" s="47"/>
      <c r="B758" s="47"/>
      <c r="C758" s="53"/>
      <c r="D758" s="53"/>
      <c r="E758" s="54"/>
      <c r="F758" s="55"/>
      <c r="G758" s="72"/>
      <c r="H758" s="73"/>
      <c r="I758" s="47"/>
      <c r="J758" s="57"/>
      <c r="K758" s="57"/>
      <c r="L758" s="55"/>
      <c r="M758" s="57"/>
    </row>
    <row r="759" spans="1:13" x14ac:dyDescent="0.35">
      <c r="A759" s="48"/>
      <c r="B759" s="48"/>
      <c r="C759" s="50"/>
      <c r="D759" s="50"/>
      <c r="E759" s="51" t="str">
        <f>IF(N(C759)=0,"",(A759-A758)*C759*100)</f>
        <v/>
      </c>
      <c r="F759" s="68" t="str">
        <f t="shared" ref="F759:F770" si="286">IF(N(E759)=0,"",(N(E759)+N(F758)))</f>
        <v/>
      </c>
      <c r="G759" s="69" t="str">
        <f>IF(OR(N(D759)=0,N(E759)=0),"",(E759*D759)/1000)</f>
        <v/>
      </c>
      <c r="H759" s="70" t="str">
        <f t="shared" ref="H759:H770" si="287">IF(N(G759)=0,"",(N(G759)+N(H758)))</f>
        <v/>
      </c>
      <c r="I759" s="27" t="str">
        <f>IF(N(J759)=0,"",0&amp;"-"&amp;B$2)</f>
        <v/>
      </c>
      <c r="J759" s="52" t="str">
        <f>IF(N(B$2)=0,"",IF(AND(COUNT(H759:H770)=2,COUNT(F759:F770)=2),cubic_spline(F758:F760,H758:H760,B$2),IF(AND(COUNT(H759:H770)=3,COUNT(F759:F770)=3),cubic_spline(F758:F761,H758:H761,B$2),IF(AND(COUNT(H759:H770)=4,COUNT(F759:F770)=4),cubic_spline(F758:F762,H758:H762,B$2),IF(AND(COUNT(H759:H770)=5,COUNT(F759:F770)=5),cubic_spline(F758:F763,H758:H763,B$2),IF(AND(COUNT(H759:H770)=6,COUNT(F759:F770)=6),cubic_spline(F758:F764,H758:H764,B$2),IF(AND(COUNT(H759:H770)=7,COUNT(F759:F770)=7),cubic_spline(F758:F765,H758:H765,B$2),IF(AND(COUNT(H759:H770)=8,COUNT(F759:F770)=8),cubic_spline(F758:F766,H758:H766,B$2),IF(AND(COUNT(H759:H770)=9,COUNT(F759:F770)=9),cubic_spline(F758:F767,H758:H767,B$2),IF(AND(COUNT(H759:H770)=10,COUNT(F759:F770)=10),cubic_spline(F758:F768,H758:H768,B$2),IF(AND(COUNT(H759:H770)=11,COUNT(F759:F770)=11),cubic_spline(F758:F769,H758:H769,B$2),IF(AND(COUNT(H759:H770)=12,COUNT(F759:F770)=12),cubic_spline(F758:F770,H758:H770,B$2),""))))))))))))</f>
        <v/>
      </c>
      <c r="K759" s="52" t="str">
        <f>IF(N(B$2)=0,"",IF(AND(COUNT(A759:A770)=2,COUNT(F759:F770)=2),cubic_spline(F758:F760,A758:A760,B$2),IF(AND(COUNT(A759:A770)=3,COUNT(F759:F770)=3),cubic_spline(F758:F761,A758:A761,B$2),IF(AND(COUNT(A759:A770)=4,COUNT(F759:F770)=4),cubic_spline(F758:F762,A758:A762,B$2),IF(AND(COUNT(A759:A770)=5,COUNT(F759:F770)=5),cubic_spline(F758:F763,A758:A763,B$2),IF(AND(COUNT(A759:A770)=6,COUNT(F759:F770)=6),cubic_spline(F758:F764,A758:A764,B$2),IF(AND(COUNT(A759:A770)=7,COUNT(F759:F770)=7),cubic_spline(F758:F765,A758:A765,B$2),IF(AND(COUNT(A759:A770)=8,COUNT(F759:F770)=8),cubic_spline(F758:F766,A758:A766,B$2),IF(AND(COUNT(A759:A770)=9,COUNT(F759:F770)=9),cubic_spline(F758:F767,A758:A767,B$2),IF(AND(COUNT(A759:A770)=10,COUNT(F759:F770)=10),cubic_spline(F758:F768,A758:A768,B$2),IF(AND(COUNT(A759:A770)=11,COUNT(F759:F770)=11),cubic_spline(F758:F769,A758:A769,B$2),IF(AND(COUNT(A759:A770)=12,COUNT(F759:F770)=12),cubic_spline(F758:F770,A758:A770,B$2),""))))))))))))</f>
        <v/>
      </c>
      <c r="L759" s="27" t="str">
        <f>IF(I759="","",0&amp;"-"&amp;B$2)</f>
        <v/>
      </c>
      <c r="M759" s="52" t="str">
        <f>IF(N(J759)=0,"",J759-J758)</f>
        <v/>
      </c>
    </row>
    <row r="760" spans="1:13" x14ac:dyDescent="0.35">
      <c r="A760" s="48"/>
      <c r="B760" s="48"/>
      <c r="C760" s="50"/>
      <c r="D760" s="50"/>
      <c r="E760" s="51" t="str">
        <f t="shared" ref="E760:E770" si="288">IF(N(C760)=0,"",(A760-A759)*C760*100)</f>
        <v/>
      </c>
      <c r="F760" s="68" t="str">
        <f t="shared" si="286"/>
        <v/>
      </c>
      <c r="G760" s="69" t="str">
        <f t="shared" ref="G760:G770" si="289">IF(OR(N(D760)=0,N(E760)=0),"",(E760*D760)/1000)</f>
        <v/>
      </c>
      <c r="H760" s="70" t="str">
        <f t="shared" si="287"/>
        <v/>
      </c>
      <c r="I760" s="27" t="str">
        <f>IF(N(J760)=0,"",0&amp;"-"&amp;B$3)</f>
        <v/>
      </c>
      <c r="J760" s="52" t="str">
        <f>IF(N(B$3)=0,"",IF(AND(COUNT(H759:H770)=2,COUNT(F759:F770)=2),cubic_spline(F758:F760,H758:H760,B$3),IF(AND(COUNT(H759:H770)=3,COUNT(F759:F770)=3),cubic_spline(F758:F761,H758:H761,B$3),IF(AND(COUNT(H759:H770)=4,COUNT(F759:F770)=4),cubic_spline(F758:F762,H758:H762,B$3),IF(AND(COUNT(H759:H770)=5,COUNT(F759:F770)=5),cubic_spline(F758:F763,H758:H763,B$3),IF(AND(COUNT(H759:H770)=6,COUNT(F759:F770)=6),cubic_spline(F758:F764,H758:H764,B$3),IF(AND(COUNT(H759:H770)=7,COUNT(F759:F770)=7),cubic_spline(F758:F765,H758:H765,B$3),IF(AND(COUNT(H759:H770)=8,COUNT(F759:F770)=8),cubic_spline(F758:F766,H758:H766,B$3),IF(AND(COUNT(H759:H770)=9,COUNT(F759:F770)=9),cubic_spline(F758:F767,H758:H767,B$3),IF(AND(COUNT(H759:H770)=10,COUNT(F759:F770)=10),cubic_spline(F758:F768,H758:H768,B$3),IF(AND(COUNT(H759:H770)=11,COUNT(F759:F770)=11),cubic_spline(F758:F769,H758:H769,B$3),IF(AND(COUNT(H759:H770)=12,COUNT(F759:F770)=12),cubic_spline(F758:F770,H758:H770,B$3),""))))))))))))</f>
        <v/>
      </c>
      <c r="K760" s="52" t="str">
        <f>IF(N(B$3)=0,"",IF(AND(COUNT(A759:A770)=2,COUNT(F759:F770)=2),cubic_spline(F758:F760,A758:A760,B$3),IF(AND(COUNT(A759:A770)=3,COUNT(F759:F770)=3),cubic_spline(F758:F761,A758:A761,B$3),IF(AND(COUNT(A759:A770)=4,COUNT(F759:F770)=4),cubic_spline(F758:F762,A758:A762,B$3),IF(AND(COUNT(A759:A770)=5,COUNT(F759:F770)=5),cubic_spline(F758:F763,A758:A763,B$3),IF(AND(COUNT(A759:A770)=6,COUNT(F759:F770)=6),cubic_spline(F758:F764,A758:A764,B$3),IF(AND(COUNT(A759:A770)=7,COUNT(F759:F770)=7),cubic_spline(F758:F765,A758:A765,B$3),IF(AND(COUNT(A759:A770)=8,COUNT(F759:F770)=8),cubic_spline(F758:F766,A758:A766,B$3),IF(AND(COUNT(A759:A770)=9,COUNT(F759:F770)=9),cubic_spline(F758:F767,A758:A767,B$3),IF(AND(COUNT(A759:A770)=10,COUNT(F759:F770)=10),cubic_spline(F758:F768,A758:A768,B$3),IF(AND(COUNT(A759:A770)=11,COUNT(F759:F770)=11),cubic_spline(F758:F769,A758:A769,B$3),IF(AND(COUNT(A759:A770)=12,COUNT(F759:F770)=12),cubic_spline(F758:F770,A758:A770,B$3),""))))))))))))</f>
        <v/>
      </c>
      <c r="L760" s="27" t="str">
        <f>IF(I760="","",B$2&amp;"-"&amp;B$3)</f>
        <v/>
      </c>
      <c r="M760" s="52" t="str">
        <f>IF(N(J760)=0,"",J760-J759)</f>
        <v/>
      </c>
    </row>
    <row r="761" spans="1:13" x14ac:dyDescent="0.35">
      <c r="A761" s="48"/>
      <c r="B761" s="48"/>
      <c r="C761" s="50"/>
      <c r="D761" s="50"/>
      <c r="E761" s="51" t="str">
        <f t="shared" si="288"/>
        <v/>
      </c>
      <c r="F761" s="68" t="str">
        <f t="shared" si="286"/>
        <v/>
      </c>
      <c r="G761" s="69" t="str">
        <f t="shared" si="289"/>
        <v/>
      </c>
      <c r="H761" s="70" t="str">
        <f t="shared" si="287"/>
        <v/>
      </c>
      <c r="I761" s="27" t="str">
        <f>IF(N(J761)=0,"",0&amp;"-"&amp;B$4)</f>
        <v/>
      </c>
      <c r="J761" s="52" t="str">
        <f>IF(N(B$4)=0,"",IF(AND(COUNT(H759:H770)=2,COUNT(F759:F770)=2),cubic_spline(F758:F760,H758:H760,B$4),IF(AND(COUNT(H759:H770)=3,COUNT(F759:F770)=3),cubic_spline(F758:F761,H758:H761,B$4),IF(AND(COUNT(H759:H770)=4,COUNT(F759:F770)=4),cubic_spline(F758:F762,H758:H762,B$4),IF(AND(COUNT(H759:H770)=5,COUNT(F759:F770)=5),cubic_spline(F758:F763,H758:H763,B$4),IF(AND(COUNT(H759:H770)=6,COUNT(F759:F770)=6),cubic_spline(F758:F764,H758:H764,B$4),IF(AND(COUNT(H759:H770)=7,COUNT(F759:F770)=7),cubic_spline(F758:F765,H758:H765,B$4),IF(AND(COUNT(H759:H770)=8,COUNT(F759:F770)=8),cubic_spline(F758:F766,H758:H766,B$4),IF(AND(COUNT(H759:H770)=9,COUNT(F759:F770)=9),cubic_spline(F758:F767,H758:H767,B$4),IF(AND(COUNT(H759:H770)=10,COUNT(F759:F770)=10),cubic_spline(F758:F768,H758:H768,B$4),IF(AND(COUNT(H759:H770)=11,COUNT(F759:F770)=11),cubic_spline(F758:F769,H758:H769,B$4),IF(AND(COUNT(H759:H770)=12,COUNT(F759:F770)=12),cubic_spline(F758:F770,H758:H770,B$4),""))))))))))))</f>
        <v/>
      </c>
      <c r="K761" s="52" t="str">
        <f>IF(N(B$4)=0,"",IF(AND(COUNT(A759:A770)=2,COUNT(F759:F770)=2),cubic_spline(F758:F760,A758:A760,B$4),IF(AND(COUNT(A759:A770)=3,COUNT(F759:F770)=3),cubic_spline(F758:F761,A758:A761,B$4),IF(AND(COUNT(A759:A770)=4,COUNT(F759:F770)=4),cubic_spline(F758:F762,A758:A762,B$4),IF(AND(COUNT(A759:A770)=5,COUNT(F759:F770)=5),cubic_spline(F758:F763,A758:A763,B$4),IF(AND(COUNT(A759:A770)=6,COUNT(F759:F770)=6),cubic_spline(F758:F764,A758:A764,B$4),IF(AND(COUNT(A759:A770)=7,COUNT(F759:F770)=7),cubic_spline(F758:F765,A758:A765,B$4),IF(AND(COUNT(A759:A770)=8,COUNT(F759:F770)=8),cubic_spline(F758:F766,A758:A766,B$4),IF(AND(COUNT(A759:A770)=9,COUNT(F759:F770)=9),cubic_spline(F758:F767,A758:A767,B$4),IF(AND(COUNT(A759:A770)=10,COUNT(F759:F770)=10),cubic_spline(F758:F768,A758:A768,B$4),IF(AND(COUNT(A759:A770)=11,COUNT(F759:F770)=11),cubic_spline(F758:F769,A758:A769,B$4),IF(AND(COUNT(A759:A770)=12,COUNT(F759:F770)=12),cubic_spline(F758:F770,A758:A770,B$4),""))))))))))))</f>
        <v/>
      </c>
      <c r="L761" s="27" t="str">
        <f>IF(I761="","",B$3&amp;"-"&amp;B$4)</f>
        <v/>
      </c>
      <c r="M761" s="52" t="str">
        <f>IF(N(J761)=0,"",J761-J760)</f>
        <v/>
      </c>
    </row>
    <row r="762" spans="1:13" x14ac:dyDescent="0.35">
      <c r="A762" s="48"/>
      <c r="B762" s="48"/>
      <c r="C762" s="50"/>
      <c r="D762" s="50"/>
      <c r="E762" s="51" t="str">
        <f t="shared" si="288"/>
        <v/>
      </c>
      <c r="F762" s="68" t="str">
        <f t="shared" si="286"/>
        <v/>
      </c>
      <c r="G762" s="69" t="str">
        <f t="shared" si="289"/>
        <v/>
      </c>
      <c r="H762" s="70" t="str">
        <f t="shared" si="287"/>
        <v/>
      </c>
      <c r="I762" s="27" t="str">
        <f>IF(N(J762)=0,"",0&amp;"-"&amp;B$5)</f>
        <v/>
      </c>
      <c r="J762" s="52" t="str">
        <f>IF(N(B$5)=0,"",IF(AND(COUNT(H759:H770)=2,COUNT(F759:F770)=2),cubic_spline(F758:F760,H758:H760,B$5),IF(AND(COUNT(H759:H770)=3,COUNT(F759:F770)=3),cubic_spline(F758:F761,H758:H761,B$5),IF(AND(COUNT(H759:H770)=4,COUNT(F759:F770)=4),cubic_spline(F758:F762,H758:H762,B$5),IF(AND(COUNT(H759:H770)=5,COUNT(F759:F770)=5),cubic_spline(F758:F763,H758:H763,B$5),IF(AND(COUNT(H759:H770)=6,COUNT(F759:F770)=6),cubic_spline(F758:F764,H758:H764,B$5),IF(AND(COUNT(H759:H770)=7,COUNT(F759:F770)=7),cubic_spline(F758:F765,H758:H765,B$5),IF(AND(COUNT(H759:H770)=8,COUNT(F759:F770)=8),cubic_spline(F758:F766,H758:H766,B$5),IF(AND(COUNT(H759:H770)=9,COUNT(F759:F770)=9),cubic_spline(F758:F767,H758:H767,B$5),IF(AND(COUNT(H759:H770)=10,COUNT(F759:F770)=10),cubic_spline(F758:F768,H758:H768,B$5),IF(AND(COUNT(H759:H770)=11,COUNT(F759:F770)=11),cubic_spline(F758:F769,H758:H769,B$5),IF(AND(COUNT(H759:H770)=12,COUNT(F759:F770)=12),cubic_spline(F758:F770,H758:H770,B$5),""))))))))))))</f>
        <v/>
      </c>
      <c r="K762" s="52" t="str">
        <f>IF(N(B$5)=0,"",IF(AND(COUNT(A759:A770)=2,COUNT(F759:F770)=2),cubic_spline(F758:F760,A758:A760,B$5),IF(AND(COUNT(A759:A770)=3,COUNT(F759:F770)=3),cubic_spline(F758:F761,A758:A761,B$5),IF(AND(COUNT(A759:A770)=4,COUNT(F759:F770)=4),cubic_spline(F758:F762,A758:A762,B$5),IF(AND(COUNT(A759:A770)=5,COUNT(F759:F770)=5),cubic_spline(F758:F763,A758:A763,B$5),IF(AND(COUNT(A759:A770)=6,COUNT(F759:F770)=6),cubic_spline(F758:F764,A758:A764,B$5),IF(AND(COUNT(A759:A770)=7,COUNT(F759:F770)=7),cubic_spline(F758:F765,A758:A765,B$5),IF(AND(COUNT(A759:A770)=8,COUNT(F759:F770)=8),cubic_spline(F758:F766,A758:A766,B$5),IF(AND(COUNT(A759:A770)=9,COUNT(F759:F770)=9),cubic_spline(F758:F767,A758:A767,B$5),IF(AND(COUNT(A759:A770)=10,COUNT(F759:F770)=10),cubic_spline(F758:F768,A758:A768,B$5),IF(AND(COUNT(A759:A770)=11,COUNT(F759:F770)=11),cubic_spline(F758:F769,A758:A769,B$5),IF(AND(COUNT(A759:A770)=12,COUNT(F759:F770)=12),cubic_spline(F758:F770,A758:A770,B$5),""))))))))))))</f>
        <v/>
      </c>
      <c r="L762" s="27" t="str">
        <f>IF(I762="","",B$4&amp;"-"&amp;B$5)</f>
        <v/>
      </c>
      <c r="M762" s="52" t="str">
        <f>IF(N(J762)=0,"",J762-J761)</f>
        <v/>
      </c>
    </row>
    <row r="763" spans="1:13" x14ac:dyDescent="0.35">
      <c r="A763" s="48"/>
      <c r="B763" s="48"/>
      <c r="C763" s="50"/>
      <c r="D763" s="50"/>
      <c r="E763" s="51" t="str">
        <f t="shared" si="288"/>
        <v/>
      </c>
      <c r="F763" s="71" t="str">
        <f t="shared" si="286"/>
        <v/>
      </c>
      <c r="G763" s="69" t="str">
        <f t="shared" si="289"/>
        <v/>
      </c>
      <c r="H763" s="70" t="str">
        <f t="shared" si="287"/>
        <v/>
      </c>
      <c r="I763" s="27" t="str">
        <f>IF(N(J763)=0,"",0&amp;"-"&amp;B$6)</f>
        <v/>
      </c>
      <c r="J763" s="52" t="str">
        <f>IF(N(B$6)=0,"",IF(AND(COUNT(H759:H770)=2,COUNT(F759:F770)=2),cubic_spline(F758:F760,H758:H760,B$6),IF(AND(COUNT(H759:H770)=3,COUNT(F759:F770)=3),cubic_spline(F758:F761,H758:H761,B$6),IF(AND(COUNT(H759:H770)=4,COUNT(F759:F770)=4),cubic_spline(F758:F762,H758:H762,B$6),IF(AND(COUNT(H759:H770)=5,COUNT(F759:F770)=5),cubic_spline(F758:F763,H758:H763,B$6),IF(AND(COUNT(H759:H770)=6,COUNT(F759:F770)=6),cubic_spline(F758:F764,H758:H764,B$6),IF(AND(COUNT(H759:H770)=7,COUNT(F759:F770)=7),cubic_spline(F758:F765,H758:H765,B$6),IF(AND(COUNT(H759:H770)=8,COUNT(F759:F770)=8),cubic_spline(F758:F766,H758:H766,B$6),IF(AND(COUNT(H759:H770)=9,COUNT(F759:F770)=9),cubic_spline(F758:F767,H758:H767,B$6),IF(AND(COUNT(H759:H770)=10,COUNT(F759:F770)=10),cubic_spline(F758:F768,H758:H768,B$6),IF(AND(COUNT(H759:H770)=11,COUNT(F759:F770)=11),cubic_spline(F758:F769,H758:H769,B$6),IF(AND(COUNT(H759:H770)=12,COUNT(F759:F770)=12),cubic_spline(F758:F770,H758:H770,B$6),""))))))))))))</f>
        <v/>
      </c>
      <c r="K763" s="52" t="str">
        <f>IF(N(B$6)=0,"",IF(AND(COUNT(A759:A770)=2,COUNT(F759:F770)=2),cubic_spline(F758:F760,A758:A760,B$6),IF(AND(COUNT(A759:A770)=3,COUNT(F759:F770)=3),cubic_spline(F758:F761,A758:A761,B$6),IF(AND(COUNT(A759:A770)=4,COUNT(F759:F770)=4),cubic_spline(F758:F762,A758:A762,B$6),IF(AND(COUNT(A759:A770)=5,COUNT(F759:F770)=5),cubic_spline(F758:F763,A758:A763,B$6),IF(AND(COUNT(A759:A770)=6,COUNT(F759:F770)=6),cubic_spline(F758:F764,A758:A764,B$6),IF(AND(COUNT(A759:A770)=7,COUNT(F759:F770)=7),cubic_spline(F758:F765,A758:A765,B$6),IF(AND(COUNT(A759:A770)=8,COUNT(F759:F770)=8),cubic_spline(F758:F766,A758:A766,B$6),IF(AND(COUNT(A759:A770)=9,COUNT(F759:F770)=9),cubic_spline(F758:F767,A758:A767,B$6),IF(AND(COUNT(A759:A770)=10,COUNT(F759:F770)=10),cubic_spline(F758:F768,A758:A768,B$6),IF(AND(COUNT(A759:A770)=11,COUNT(F759:F770)=11),cubic_spline(F758:F769,A758:A769,B$6),IF(AND(COUNT(A759:A770)=12,COUNT(F759:F770)=12),cubic_spline(F758:F770,A758:A770,B$6),""))))))))))))</f>
        <v/>
      </c>
      <c r="L763" s="27" t="str">
        <f>IF(I763="","",B$5&amp;"-"&amp;B$6)</f>
        <v/>
      </c>
      <c r="M763" s="52" t="str">
        <f>IF(N(J763)=0,"",J763-J762)</f>
        <v/>
      </c>
    </row>
    <row r="764" spans="1:13" x14ac:dyDescent="0.35">
      <c r="A764" s="48"/>
      <c r="B764" s="48"/>
      <c r="C764" s="50"/>
      <c r="D764" s="50"/>
      <c r="E764" s="51" t="str">
        <f t="shared" si="288"/>
        <v/>
      </c>
      <c r="F764" s="71" t="str">
        <f t="shared" si="286"/>
        <v/>
      </c>
      <c r="G764" s="69" t="str">
        <f t="shared" si="289"/>
        <v/>
      </c>
      <c r="H764" s="70" t="str">
        <f t="shared" si="287"/>
        <v/>
      </c>
      <c r="I764" s="27" t="str">
        <f>IF(N(J764)=0,"",0&amp;"-"&amp;B$7)</f>
        <v/>
      </c>
      <c r="J764" s="52" t="str">
        <f>IF(N(B$7)=0,"",IF(AND(COUNT(H759:H770)=2,COUNT(F759:F770)=2),cubic_spline(F758:F760,H758:H760,B$7),IF(AND(COUNT(H759:H770)=3,COUNT(F759:F770)=3),cubic_spline(F758:F761,H758:H761,B$7),IF(AND(COUNT(H759:H770)=4,COUNT(F759:F770)=4),cubic_spline(F758:F762,H758:H762,B$7),IF(AND(COUNT(H759:H770)=5,COUNT(F759:F770)=5),cubic_spline(F758:F763,H758:H763,B$7),IF(AND(COUNT(H759:H770)=6,COUNT(F759:F770)=6),cubic_spline(F758:F764,H758:H764,B$7),IF(AND(COUNT(H759:H770)=7,COUNT(F759:F770)=7),cubic_spline(F758:F765,H758:H765,B$7),IF(AND(COUNT(H759:H770)=8,COUNT(F759:F770)=8),cubic_spline(F758:F766,H758:H766,B$7),IF(AND(COUNT(H759:H770)=9,COUNT(F759:F770)=9),cubic_spline(F758:F767,H758:H767,B$7),IF(AND(COUNT(H759:H770)=10,COUNT(F759:F770)=10),cubic_spline(F758:F768,H758:H768,B$7),IF(AND(COUNT(H759:H770)=11,COUNT(F759:F770)=11),cubic_spline(F758:F769,H758:H769,B$7),IF(AND(COUNT(H759:H770)=12,COUNT(F759:F770)=12),cubic_spline(F758:F770,H758:H770,B$7),""))))))))))))</f>
        <v/>
      </c>
      <c r="K764" s="52" t="str">
        <f>IF(N(B$7)=0,"",IF(AND(COUNT(A759:A770)=2,COUNT(F759:F770)=2),cubic_spline(F758:F760,A758:A760,B$7),IF(AND(COUNT(A759:A770)=3,COUNT(F759:F770)=3),cubic_spline(F758:F761,A758:A761,B$7),IF(AND(COUNT(A759:A770)=4,COUNT(F759:F770)=4),cubic_spline(F758:F762,A758:A762,B$7),IF(AND(COUNT(A759:A770)=5,COUNT(F759:F770)=5),cubic_spline(F758:F763,A758:A763,B$7),IF(AND(COUNT(A759:A770)=6,COUNT(F759:F770)=6),cubic_spline(F758:F764,A758:A764,B$7),IF(AND(COUNT(A759:A770)=7,COUNT(F759:F770)=7),cubic_spline(F758:F765,A758:A765,B$7),IF(AND(COUNT(A759:A770)=8,COUNT(F759:F770)=8),cubic_spline(F758:F766,A758:A766,B$7),IF(AND(COUNT(A759:A770)=9,COUNT(F759:F770)=9),cubic_spline(F758:F767,A758:A767,B$7),IF(AND(COUNT(A759:A770)=10,COUNT(F759:F770)=10),cubic_spline(F758:F768,A758:A768,B$7),IF(AND(COUNT(A759:A770)=11,COUNT(F759:F770)=11),cubic_spline(F758:F769,A758:A769,B$7),IF(AND(COUNT(A759:A770)=12,COUNT(F759:F770)=12),cubic_spline(F758:F770,A758:A770,B$7),""))))))))))))</f>
        <v/>
      </c>
      <c r="L764" s="27" t="str">
        <f>IF(I764="","",B$6&amp;"-"&amp;B$7)</f>
        <v/>
      </c>
      <c r="M764" s="52" t="str">
        <f t="shared" ref="M764:M770" si="290">IF(N(J764)=0,"",J764-J763)</f>
        <v/>
      </c>
    </row>
    <row r="765" spans="1:13" x14ac:dyDescent="0.35">
      <c r="A765" s="48"/>
      <c r="B765" s="48"/>
      <c r="C765" s="50"/>
      <c r="D765" s="50"/>
      <c r="E765" s="51" t="str">
        <f t="shared" si="288"/>
        <v/>
      </c>
      <c r="F765" s="71" t="str">
        <f t="shared" si="286"/>
        <v/>
      </c>
      <c r="G765" s="69" t="str">
        <f t="shared" si="289"/>
        <v/>
      </c>
      <c r="H765" s="70" t="str">
        <f t="shared" si="287"/>
        <v/>
      </c>
      <c r="I765" s="27" t="str">
        <f>IF(N(J765)=0,"",0&amp;"-"&amp;B$8)</f>
        <v/>
      </c>
      <c r="J765" s="52" t="str">
        <f>IF(N(B$8)=0,"",IF(AND(COUNT(H759:H770)=2,COUNT(F759:F770)=2),cubic_spline(F758:F760,H758:H760,B$8),IF(AND(COUNT(H759:H770)=3,COUNT(F759:F770)=3),cubic_spline(F758:F761,H758:H761,B$8),IF(AND(COUNT(H759:H770)=4,COUNT(F759:F770)=4),cubic_spline(F758:F762,H758:H762,B$8),IF(AND(COUNT(H759:H770)=5,COUNT(F759:F770)=5),cubic_spline(F758:F763,H758:H763,B$8),IF(AND(COUNT(H759:H770)=6,COUNT(F759:F770)=6),cubic_spline(F758:F764,H758:H764,B$8),IF(AND(COUNT(H759:H770)=7,COUNT(F759:F770)=7),cubic_spline(F758:F765,H758:H765,B$8),IF(AND(COUNT(H759:H770)=8,COUNT(F759:F770)=8),cubic_spline(F758:F766,H758:H766,B$8),IF(AND(COUNT(H759:H770)=9,COUNT(F759:F770)=9),cubic_spline(F758:F767,H758:H767,B$8),IF(AND(COUNT(H759:H770)=10,COUNT(F759:F770)=10),cubic_spline(F758:F768,H758:H768,B$8),IF(AND(COUNT(H759:H770)=11,COUNT(F759:F770)=11),cubic_spline(F758:F769,H758:H769,B$8),IF(AND(COUNT(H759:H770)=12,COUNT(F759:F770)=12),cubic_spline(F758:F770,H758:H770,B$8),""))))))))))))</f>
        <v/>
      </c>
      <c r="K765" s="52" t="str">
        <f>IF(N(B$8)=0,"",IF(AND(COUNT(A759:A770)=2,COUNT(F759:F770)=2),cubic_spline(F758:F760,A758:A760,B$8),IF(AND(COUNT(A759:A770)=3,COUNT(F759:F770)=3),cubic_spline(F758:F761,A758:A761,B$8),IF(AND(COUNT(A759:A770)=4,COUNT(F759:F770)=4),cubic_spline(F758:F762,A758:A762,B$8),IF(AND(COUNT(A759:A770)=5,COUNT(F759:F770)=5),cubic_spline(F758:F763,A758:A763,B$8),IF(AND(COUNT(A759:A770)=6,COUNT(F759:F770)=6),cubic_spline(F758:F764,A758:A764,B$8),IF(AND(COUNT(A759:A770)=7,COUNT(F759:F770)=7),cubic_spline(F758:F765,A758:A765,B$8),IF(AND(COUNT(A759:A770)=8,COUNT(F759:F770)=8),cubic_spline(F758:F766,A758:A766,B$8),IF(AND(COUNT(A759:A770)=9,COUNT(F759:F770)=9),cubic_spline(F758:F767,A758:A767,B$8),IF(AND(COUNT(A759:A770)=10,COUNT(F759:F770)=10),cubic_spline(F758:F768,A758:A768,B$8),IF(AND(COUNT(A759:A770)=11,COUNT(F759:F770)=11),cubic_spline(F758:F769,A758:A769,B$8),IF(AND(COUNT(A759:A770)=12,COUNT(F759:F770)=12),cubic_spline(F758:F770,A758:A770,B$8),""))))))))))))</f>
        <v/>
      </c>
      <c r="L765" s="27" t="str">
        <f>IF(I765="","",B$7&amp;"-"&amp;B$8)</f>
        <v/>
      </c>
      <c r="M765" s="52" t="str">
        <f t="shared" si="290"/>
        <v/>
      </c>
    </row>
    <row r="766" spans="1:13" x14ac:dyDescent="0.35">
      <c r="A766" s="48"/>
      <c r="B766" s="48"/>
      <c r="C766" s="50"/>
      <c r="D766" s="50"/>
      <c r="E766" s="51" t="str">
        <f t="shared" si="288"/>
        <v/>
      </c>
      <c r="F766" s="71" t="str">
        <f t="shared" si="286"/>
        <v/>
      </c>
      <c r="G766" s="69" t="str">
        <f t="shared" si="289"/>
        <v/>
      </c>
      <c r="H766" s="70" t="str">
        <f t="shared" si="287"/>
        <v/>
      </c>
      <c r="I766" s="27" t="str">
        <f>IF(N(J766)=0,"",0&amp;"-"&amp;B$9)</f>
        <v/>
      </c>
      <c r="J766" s="52" t="str">
        <f>IF(N(B$9)=0,"",IF(AND(COUNT(H759:H770)=2,COUNT(F759:F770)=2),cubic_spline(F758:F760,H758:H760,B$9),IF(AND(COUNT(H759:H770)=3,COUNT(F759:F770)=3),cubic_spline(F758:F761,H758:H761,B$9),IF(AND(COUNT(H759:H770)=4,COUNT(F759:F770)=4),cubic_spline(F758:F762,H758:H762,B$9),IF(AND(COUNT(H759:H770)=5,COUNT(F759:F770)=5),cubic_spline(F758:F763,H758:H763,B$9),IF(AND(COUNT(H759:H770)=6,COUNT(F759:F770)=6),cubic_spline(F758:F764,H758:H764,B$9),IF(AND(COUNT(H759:H770)=7,COUNT(F759:F770)=7),cubic_spline(F758:F765,H758:H765,B$9),IF(AND(COUNT(H759:H770)=8,COUNT(F759:F770)=8),cubic_spline(F758:F766,H758:H766,B$9),IF(AND(COUNT(H759:H770)=9,COUNT(F759:F770)=9),cubic_spline(F758:F767,H758:H767,B$9),IF(AND(COUNT(H759:H770)=10,COUNT(F759:F770)=10),cubic_spline(F758:F768,H758:H768,B$9),IF(AND(COUNT(H759:H770)=11,COUNT(F759:F770)=11),cubic_spline(F758:F769,H758:H769,B$9),IF(AND(COUNT(H759:H770)=12,COUNT(F759:F770)=12),cubic_spline(F758:F770,H758:H770,B$9),""))))))))))))</f>
        <v/>
      </c>
      <c r="K766" s="52" t="str">
        <f>IF(N(B$9)=0,"",IF(AND(COUNT(A759:A770)=2,COUNT(F759:F770)=2),cubic_spline(F758:F760,A758:A760,B$9),IF(AND(COUNT(A759:A770)=3,COUNT(F759:F770)=3),cubic_spline(F758:F761,A758:A761,B$9),IF(AND(COUNT(A759:A770)=4,COUNT(F759:F770)=4),cubic_spline(F758:F762,A758:A762,B$9),IF(AND(COUNT(A759:A770)=5,COUNT(F759:F770)=5),cubic_spline(F758:F763,A758:A763,B$9),IF(AND(COUNT(A759:A770)=6,COUNT(F759:F770)=6),cubic_spline(F758:F764,A758:A764,B$9),IF(AND(COUNT(A759:A770)=7,COUNT(F759:F770)=7),cubic_spline(F758:F765,A758:A765,B$9),IF(AND(COUNT(A759:A770)=8,COUNT(F759:F770)=8),cubic_spline(F758:F766,A758:A766,B$9),IF(AND(COUNT(A759:A770)=9,COUNT(F759:F770)=9),cubic_spline(F758:F767,A758:A767,B$9),IF(AND(COUNT(A759:A770)=10,COUNT(F759:F770)=10),cubic_spline(F758:F768,A758:A768,B$9),IF(AND(COUNT(A759:A770)=11,COUNT(F759:F770)=11),cubic_spline(F758:F769,A758:A769,B$9),IF(AND(COUNT(A759:A770)=12,COUNT(F759:F770)=12),cubic_spline(F758:F770,A758:A770,B$9),""))))))))))))</f>
        <v/>
      </c>
      <c r="L766" s="27" t="str">
        <f>IF(I766="","",B$8&amp;"-"&amp;B$9)</f>
        <v/>
      </c>
      <c r="M766" s="52" t="str">
        <f t="shared" si="290"/>
        <v/>
      </c>
    </row>
    <row r="767" spans="1:13" x14ac:dyDescent="0.35">
      <c r="A767" s="48"/>
      <c r="B767" s="48"/>
      <c r="C767" s="50"/>
      <c r="D767" s="50"/>
      <c r="E767" s="51" t="str">
        <f t="shared" si="288"/>
        <v/>
      </c>
      <c r="F767" s="71" t="str">
        <f t="shared" si="286"/>
        <v/>
      </c>
      <c r="G767" s="69" t="str">
        <f t="shared" si="289"/>
        <v/>
      </c>
      <c r="H767" s="70" t="str">
        <f t="shared" si="287"/>
        <v/>
      </c>
      <c r="I767" s="27" t="str">
        <f>IF(N(J767)=0,"",0&amp;"-"&amp;B$10)</f>
        <v/>
      </c>
      <c r="J767" s="52" t="str">
        <f>IF(N(B$10)=0,"",IF(AND(COUNT(H759:H770)=2,COUNT(F759:F770)=2),cubic_spline(F758:F760,H758:H760,B$10),IF(AND(COUNT(H759:H770)=3,COUNT(F759:F770)=3),cubic_spline(F758:F761,H758:H761,B$10),IF(AND(COUNT(H759:H770)=4,COUNT(F759:F770)=4),cubic_spline(F758:F762,H758:H762,B$10),IF(AND(COUNT(H759:H770)=5,COUNT(F759:F770)=5),cubic_spline(F758:F763,H758:H763,B$10),IF(AND(COUNT(H759:H770)=6,COUNT(F759:F770)=6),cubic_spline(F758:F764,H758:H764,B$10),IF(AND(COUNT(H759:H770)=7,COUNT(F759:F770)=7),cubic_spline(F758:F765,H758:H765,B$10),IF(AND(COUNT(H759:H770)=8,COUNT(F759:F770)=8),cubic_spline(F758:F766,H758:H766,B$10),IF(AND(COUNT(H759:H770)=9,COUNT(F759:F770)=9),cubic_spline(F758:F767,H758:H767,B$10),IF(AND(COUNT(H759:H770)=10,COUNT(F759:F770)=10),cubic_spline(F758:F768,H758:H768,B$10),IF(AND(COUNT(H759:H770)=11,COUNT(F759:F770)=11),cubic_spline(F758:F769,H758:H769,B$10),IF(AND(COUNT(H759:H770)=12,COUNT(F759:F770)=12),cubic_spline(F758:F770,H758:H770,B$10),""))))))))))))</f>
        <v/>
      </c>
      <c r="K767" s="52" t="str">
        <f>IF(N(B$10)=0,"",IF(AND(COUNT(A759:A770)=2,COUNT(F759:F770)=2),cubic_spline(F758:F760,A758:A760,B$10),IF(AND(COUNT(A759:A770)=3,COUNT(F759:F770)=3),cubic_spline(F758:F761,A758:A761,B$10),IF(AND(COUNT(A759:A770)=4,COUNT(F759:F770)=4),cubic_spline(F758:F762,A758:A762,B$10),IF(AND(COUNT(A759:A770)=5,COUNT(F759:F770)=5),cubic_spline(F758:F763,A758:A763,B$10),IF(AND(COUNT(A759:A770)=6,COUNT(F759:F770)=6),cubic_spline(F758:F764,A758:A764,B$10),IF(AND(COUNT(A759:A770)=7,COUNT(F759:F770)=7),cubic_spline(F758:F765,A758:A765,B$10),IF(AND(COUNT(A759:A770)=8,COUNT(F759:F770)=8),cubic_spline(F758:F766,A758:A766,B$10),IF(AND(COUNT(A759:A770)=9,COUNT(F759:F770)=9),cubic_spline(F758:F767,A758:A767,B$10),IF(AND(COUNT(A759:A770)=10,COUNT(F759:F770)=10),cubic_spline(F758:F768,A758:A768,B$10),IF(AND(COUNT(A759:A770)=11,COUNT(F759:F770)=11),cubic_spline(F758:F769,A758:A769,B$10),IF(AND(COUNT(A759:A770)=12,COUNT(F759:F770)=12),cubic_spline(F758:F770,A758:A770,B$10),""))))))))))))</f>
        <v/>
      </c>
      <c r="L767" s="27" t="str">
        <f>IF(I767="","",B$9&amp;"-"&amp;B$10)</f>
        <v/>
      </c>
      <c r="M767" s="52" t="str">
        <f t="shared" si="290"/>
        <v/>
      </c>
    </row>
    <row r="768" spans="1:13" x14ac:dyDescent="0.35">
      <c r="A768" s="48"/>
      <c r="B768" s="48"/>
      <c r="C768" s="50"/>
      <c r="D768" s="50"/>
      <c r="E768" s="51" t="str">
        <f t="shared" si="288"/>
        <v/>
      </c>
      <c r="F768" s="71" t="str">
        <f t="shared" si="286"/>
        <v/>
      </c>
      <c r="G768" s="69" t="str">
        <f t="shared" si="289"/>
        <v/>
      </c>
      <c r="H768" s="70" t="str">
        <f t="shared" si="287"/>
        <v/>
      </c>
      <c r="I768" s="27" t="str">
        <f>IF(N(J768)=0,"",0&amp;"-"&amp;B$11)</f>
        <v/>
      </c>
      <c r="J768" s="52" t="str">
        <f>IF(N(B$11)=0,"",IF(AND(COUNT(H759:H770)=2,COUNT(F759:F770)=2),cubic_spline(F758:F760,H758:H760,B$11),IF(AND(COUNT(H759:H770)=3,COUNT(F759:F770)=3),cubic_spline(F758:F761,H758:H761,B$11),IF(AND(COUNT(H759:H770)=4,COUNT(F759:F770)=4),cubic_spline(F758:F762,H758:H762,B$11),IF(AND(COUNT(H759:H770)=5,COUNT(F759:F770)=5),cubic_spline(F758:F763,H758:H763,B$11),IF(AND(COUNT(H759:H770)=6,COUNT(F759:F770)=6),cubic_spline(F758:F764,H758:H764,B$11),IF(AND(COUNT(H759:H770)=7,COUNT(F759:F770)=7),cubic_spline(F758:F765,H758:H765,B$11),IF(AND(COUNT(H759:H770)=8,COUNT(F759:F770)=8),cubic_spline(F758:F766,H758:H766,B$11),IF(AND(COUNT(H759:H770)=9,COUNT(F759:F770)=9),cubic_spline(F758:F767,H758:H767,B$11),IF(AND(COUNT(H759:H770)=10,COUNT(F759:F770)=10),cubic_spline(F758:F768,H758:H768,B$11),IF(AND(COUNT(H759:H770)=11,COUNT(F759:F770)=11),cubic_spline(F758:F769,H758:H769,B$11),IF(AND(COUNT(H759:H770)=12,COUNT(F759:F770)=12),cubic_spline(F758:F770,H758:H770,B$11),""))))))))))))</f>
        <v/>
      </c>
      <c r="K768" s="52" t="str">
        <f>IF(N(B$11)=0,"",IF(AND(COUNT(A759:A770)=2,COUNT(F759:F770)=2),cubic_spline(F758:F760,A758:A760,B$11),IF(AND(COUNT(A759:A770)=3,COUNT(F759:F770)=3),cubic_spline(F758:F761,A758:A761,B$11),IF(AND(COUNT(A759:A770)=4,COUNT(F759:F770)=4),cubic_spline(F758:F762,A758:A762,B$11),IF(AND(COUNT(A759:A770)=5,COUNT(F759:F770)=5),cubic_spline(F758:F763,A758:A763,B$11),IF(AND(COUNT(A759:A770)=6,COUNT(F759:F770)=6),cubic_spline(F758:F764,A758:A764,B$11),IF(AND(COUNT(A759:A770)=7,COUNT(F759:F770)=7),cubic_spline(F758:F765,A758:A765,B$11),IF(AND(COUNT(A759:A770)=8,COUNT(F759:F770)=8),cubic_spline(F758:F766,A758:A766,B$11),IF(AND(COUNT(A759:A770)=9,COUNT(F759:F770)=9),cubic_spline(F758:F767,A758:A767,B$11),IF(AND(COUNT(A759:A770)=10,COUNT(F759:F770)=10),cubic_spline(F758:F768,A758:A768,B$11),IF(AND(COUNT(A759:A770)=11,COUNT(F759:F770)=11),cubic_spline(F758:F769,A758:A769,B$11),IF(AND(COUNT(A759:A770)=12,COUNT(F759:F770)=12),cubic_spline(F758:F770,A758:A770,B$11),""))))))))))))</f>
        <v/>
      </c>
      <c r="L768" s="27" t="str">
        <f>IF(I768="","",B$10&amp;"-"&amp;B$11)</f>
        <v/>
      </c>
      <c r="M768" s="52" t="str">
        <f t="shared" si="290"/>
        <v/>
      </c>
    </row>
    <row r="769" spans="1:13" x14ac:dyDescent="0.35">
      <c r="A769" s="48"/>
      <c r="B769" s="48"/>
      <c r="C769" s="50"/>
      <c r="D769" s="50"/>
      <c r="E769" s="51" t="str">
        <f t="shared" si="288"/>
        <v/>
      </c>
      <c r="F769" s="71" t="str">
        <f t="shared" si="286"/>
        <v/>
      </c>
      <c r="G769" s="69" t="str">
        <f t="shared" si="289"/>
        <v/>
      </c>
      <c r="H769" s="70" t="str">
        <f t="shared" si="287"/>
        <v/>
      </c>
      <c r="I769" s="27" t="str">
        <f>IF(N(J769)=0,"",0&amp;"-"&amp;B$12)</f>
        <v/>
      </c>
      <c r="J769" s="52" t="str">
        <f>IF(N(B$12)=0,"",IF(AND(COUNT(H759:H770)=2,COUNT(F759:F770)=2),cubic_spline(F758:F760,H758:H760,B$12),IF(AND(COUNT(H759:H770)=3,COUNT(F759:F770)=3),cubic_spline(F758:F761,H758:H761,B$12),IF(AND(COUNT(H759:H770)=4,COUNT(F759:F770)=4),cubic_spline(F758:F762,H758:H762,B$12),IF(AND(COUNT(H759:H770)=5,COUNT(F759:F770)=5),cubic_spline(F758:F763,H758:H763,B$12),IF(AND(COUNT(H759:H770)=6,COUNT(F759:F770)=6),cubic_spline(F758:F764,H758:H764,B$12),IF(AND(COUNT(H759:H770)=7,COUNT(F759:F770)=7),cubic_spline(F758:F765,H758:H765,B$12),IF(AND(COUNT(H759:H770)=8,COUNT(F759:F770)=8),cubic_spline(F758:F766,H758:H766,B$12),IF(AND(COUNT(H759:H770)=9,COUNT(F759:F770)=9),cubic_spline(F758:F767,H758:H767,B$12),IF(AND(COUNT(H759:H770)=10,COUNT(F759:F770)=10),cubic_spline(F758:F768,H758:H768,B$12),IF(AND(COUNT(H759:H770)=11,COUNT(F759:F770)=11),cubic_spline(F758:F769,H758:H769,B$12),IF(AND(COUNT(H759:H770)=12,COUNT(F759:F770)=12),cubic_spline(F758:F770,H758:H770,B$12),""))))))))))))</f>
        <v/>
      </c>
      <c r="K769" s="52" t="str">
        <f>IF(N(B$12)=0,"",IF(AND(COUNT(A759:A770)=2,COUNT(F759:F770)=2),cubic_spline(F758:F760,A758:A760,B$12),IF(AND(COUNT(A759:A770)=3,COUNT(F759:F770)=3),cubic_spline(F758:F761,A758:A761,B$12),IF(AND(COUNT(A759:A770)=4,COUNT(F759:F770)=4),cubic_spline(F758:F762,A758:A762,B$12),IF(AND(COUNT(A759:A770)=5,COUNT(F759:F770)=5),cubic_spline(F758:F763,A758:A763,B$12),IF(AND(COUNT(A759:A770)=6,COUNT(F759:F770)=6),cubic_spline(F758:F764,A758:A764,B$12),IF(AND(COUNT(A759:A770)=7,COUNT(F759:F770)=7),cubic_spline(F758:F765,A758:A765,B$12),IF(AND(COUNT(A759:A770)=8,COUNT(F759:F770)=8),cubic_spline(F758:F766,A758:A766,B$12),IF(AND(COUNT(A759:A770)=9,COUNT(F759:F770)=9),cubic_spline(F758:F767,A758:A767,B$12),IF(AND(COUNT(A759:A770)=10,COUNT(F759:F770)=10),cubic_spline(F758:F768,A758:A768,B$12),IF(AND(COUNT(A759:A770)=11,COUNT(F759:F770)=11),cubic_spline(F758:F769,A758:A769,B$12),IF(AND(COUNT(A759:A770)=12,COUNT(F759:F770)=12),cubic_spline(F758:F770,A758:A770,B$12),""))))))))))))</f>
        <v/>
      </c>
      <c r="L769" s="27" t="str">
        <f>IF(I769="","",B$11&amp;"-"&amp;B$12)</f>
        <v/>
      </c>
      <c r="M769" s="52" t="str">
        <f t="shared" si="290"/>
        <v/>
      </c>
    </row>
    <row r="770" spans="1:13" x14ac:dyDescent="0.35">
      <c r="A770" s="48"/>
      <c r="B770" s="48"/>
      <c r="C770" s="50"/>
      <c r="D770" s="50"/>
      <c r="E770" s="51" t="str">
        <f t="shared" si="288"/>
        <v/>
      </c>
      <c r="F770" s="71" t="str">
        <f t="shared" si="286"/>
        <v/>
      </c>
      <c r="G770" s="69" t="str">
        <f t="shared" si="289"/>
        <v/>
      </c>
      <c r="H770" s="70" t="str">
        <f t="shared" si="287"/>
        <v/>
      </c>
      <c r="I770" s="27" t="str">
        <f>IF(N(J770)=0,"",0&amp;"-"&amp;B$13)</f>
        <v/>
      </c>
      <c r="J770" s="52" t="str">
        <f>IF(N(B$13)=0,"",IF(AND(COUNT(H759:H770)=2,COUNT(F759:F770)=2),cubic_spline(F758:F760,H758:H760,B$13),IF(AND(COUNT(H759:H770)=3,COUNT(F759:F770)=3),cubic_spline(F758:F761,H758:H761,B$13),IF(AND(COUNT(H759:H770)=4,COUNT(F759:F770)=4),cubic_spline(F758:F762,H758:H762,B$13),IF(AND(COUNT(H759:H770)=5,COUNT(F759:F770)=5),cubic_spline(F758:F763,H758:H763,B$13),IF(AND(COUNT(H759:H770)=6,COUNT(F759:F770)=6),cubic_spline(F758:F764,H758:H764,B$13),IF(AND(COUNT(H759:H770)=7,COUNT(F759:F770)=7),cubic_spline(F758:F765,H758:H765,B$13),IF(AND(COUNT(H759:H770)=8,COUNT(F759:F770)=8),cubic_spline(F758:F766,H758:H766,B$13),IF(AND(COUNT(H759:H770)=9,COUNT(F759:F770)=9),cubic_spline(F758:F767,H758:H767,B$13),IF(AND(COUNT(H759:H770)=10,COUNT(F759:F770)=10),cubic_spline(F758:F768,H758:H768,B$13),IF(AND(COUNT(H759:H770)=11,COUNT(F759:F770)=11),cubic_spline(F758:F769,H758:H769,B$13),IF(AND(COUNT(H759:H770)=12,COUNT(F759:F770)=12),cubic_spline(F758:F770,H758:H770,B$13),""))))))))))))</f>
        <v/>
      </c>
      <c r="K770" s="52" t="str">
        <f>IF(N(B$13)=0,"",IF(AND(COUNT(A759:A770)=2,COUNT(F759:F770)=2),cubic_spline(F758:F760,A758:A760,B$13),IF(AND(COUNT(A759:A770)=3,COUNT(F759:F770)=3),cubic_spline(F758:F761,A758:A761,B$13),IF(AND(COUNT(A759:A770)=4,COUNT(F759:F770)=4),cubic_spline(F758:F762,A758:A762,B$13),IF(AND(COUNT(A759:A770)=5,COUNT(F759:F770)=5),cubic_spline(F758:F763,A758:A763,B$13),IF(AND(COUNT(A759:A770)=6,COUNT(F759:F770)=6),cubic_spline(F758:F764,A758:A764,B$13),IF(AND(COUNT(A759:A770)=7,COUNT(F759:F770)=7),cubic_spline(F758:F765,A758:A765,B$13),IF(AND(COUNT(A759:A770)=8,COUNT(F759:F770)=8),cubic_spline(F758:F766,A758:A766,B$13),IF(AND(COUNT(A759:A770)=9,COUNT(F759:F770)=9),cubic_spline(F758:F767,A758:A767,B$13),IF(AND(COUNT(A759:A770)=10,COUNT(F759:F770)=10),cubic_spline(F758:F768,A758:A768,B$13),IF(AND(COUNT(A759:A770)=11,COUNT(F759:F770)=11),cubic_spline(F758:F769,A758:A769,B$13),IF(AND(COUNT(A759:A770)=12,COUNT(F759:F770)=12),cubic_spline(F758:F770,A758:A770,B$13),""))))))))))))</f>
        <v/>
      </c>
      <c r="L770" s="27" t="str">
        <f>IF(I770="","",B$12&amp;"-"&amp;B$13)</f>
        <v/>
      </c>
      <c r="M770" s="52" t="str">
        <f t="shared" si="290"/>
        <v/>
      </c>
    </row>
    <row r="771" spans="1:13" ht="5.15" customHeight="1" x14ac:dyDescent="0.35">
      <c r="A771" s="47"/>
      <c r="B771" s="47"/>
      <c r="C771" s="53"/>
      <c r="D771" s="53"/>
      <c r="E771" s="54"/>
      <c r="F771" s="55"/>
      <c r="G771" s="72"/>
      <c r="H771" s="73"/>
      <c r="I771" s="47"/>
      <c r="J771" s="57"/>
      <c r="K771" s="57"/>
      <c r="L771" s="55"/>
      <c r="M771" s="57"/>
    </row>
    <row r="772" spans="1:13" x14ac:dyDescent="0.35">
      <c r="A772" s="48"/>
      <c r="B772" s="48"/>
      <c r="C772" s="50"/>
      <c r="D772" s="50"/>
      <c r="E772" s="51" t="str">
        <f>IF(N(C772)=0,"",(A772-A771)*C772*100)</f>
        <v/>
      </c>
      <c r="F772" s="68" t="str">
        <f t="shared" ref="F772:F783" si="291">IF(N(E772)=0,"",(N(E772)+N(F771)))</f>
        <v/>
      </c>
      <c r="G772" s="69" t="str">
        <f>IF(OR(N(D772)=0,N(E772)=0),"",(E772*D772)/1000)</f>
        <v/>
      </c>
      <c r="H772" s="70" t="str">
        <f t="shared" ref="H772:H783" si="292">IF(N(G772)=0,"",(N(G772)+N(H771)))</f>
        <v/>
      </c>
      <c r="I772" s="27" t="str">
        <f>IF(N(J772)=0,"",0&amp;"-"&amp;B$2)</f>
        <v/>
      </c>
      <c r="J772" s="52" t="str">
        <f>IF(N(B$2)=0,"",IF(AND(COUNT(H772:H783)=2,COUNT(F772:F783)=2),cubic_spline(F771:F773,H771:H773,B$2),IF(AND(COUNT(H772:H783)=3,COUNT(F772:F783)=3),cubic_spline(F771:F774,H771:H774,B$2),IF(AND(COUNT(H772:H783)=4,COUNT(F772:F783)=4),cubic_spline(F771:F775,H771:H775,B$2),IF(AND(COUNT(H772:H783)=5,COUNT(F772:F783)=5),cubic_spline(F771:F776,H771:H776,B$2),IF(AND(COUNT(H772:H783)=6,COUNT(F772:F783)=6),cubic_spline(F771:F777,H771:H777,B$2),IF(AND(COUNT(H772:H783)=7,COUNT(F772:F783)=7),cubic_spline(F771:F778,H771:H778,B$2),IF(AND(COUNT(H772:H783)=8,COUNT(F772:F783)=8),cubic_spline(F771:F779,H771:H779,B$2),IF(AND(COUNT(H772:H783)=9,COUNT(F772:F783)=9),cubic_spline(F771:F780,H771:H780,B$2),IF(AND(COUNT(H772:H783)=10,COUNT(F772:F783)=10),cubic_spline(F771:F781,H771:H781,B$2),IF(AND(COUNT(H772:H783)=11,COUNT(F772:F783)=11),cubic_spline(F771:F782,H771:H782,B$2),IF(AND(COUNT(H772:H783)=12,COUNT(F772:F783)=12),cubic_spline(F771:F783,H771:H783,B$2),""))))))))))))</f>
        <v/>
      </c>
      <c r="K772" s="52" t="str">
        <f>IF(N(B$2)=0,"",IF(AND(COUNT(A772:A783)=2,COUNT(F772:F783)=2),cubic_spline(F771:F773,A771:A773,B$2),IF(AND(COUNT(A772:A783)=3,COUNT(F772:F783)=3),cubic_spline(F771:F774,A771:A774,B$2),IF(AND(COUNT(A772:A783)=4,COUNT(F772:F783)=4),cubic_spline(F771:F775,A771:A775,B$2),IF(AND(COUNT(A772:A783)=5,COUNT(F772:F783)=5),cubic_spline(F771:F776,A771:A776,B$2),IF(AND(COUNT(A772:A783)=6,COUNT(F772:F783)=6),cubic_spline(F771:F777,A771:A777,B$2),IF(AND(COUNT(A772:A783)=7,COUNT(F772:F783)=7),cubic_spline(F771:F778,A771:A778,B$2),IF(AND(COUNT(A772:A783)=8,COUNT(F772:F783)=8),cubic_spline(F771:F779,A771:A779,B$2),IF(AND(COUNT(A772:A783)=9,COUNT(F772:F783)=9),cubic_spline(F771:F780,A771:A780,B$2),IF(AND(COUNT(A772:A783)=10,COUNT(F772:F783)=10),cubic_spline(F771:F781,A771:A781,B$2),IF(AND(COUNT(A772:A783)=11,COUNT(F772:F783)=11),cubic_spline(F771:F782,A771:A782,B$2),IF(AND(COUNT(A772:A783)=12,COUNT(F772:F783)=12),cubic_spline(F771:F783,A771:A783,B$2),""))))))))))))</f>
        <v/>
      </c>
      <c r="L772" s="27" t="str">
        <f>IF(I772="","",0&amp;"-"&amp;B$2)</f>
        <v/>
      </c>
      <c r="M772" s="52" t="str">
        <f>IF(N(J772)=0,"",J772-J771)</f>
        <v/>
      </c>
    </row>
    <row r="773" spans="1:13" x14ac:dyDescent="0.35">
      <c r="A773" s="48"/>
      <c r="B773" s="48"/>
      <c r="C773" s="50"/>
      <c r="D773" s="50"/>
      <c r="E773" s="51" t="str">
        <f t="shared" ref="E773:E783" si="293">IF(N(C773)=0,"",(A773-A772)*C773*100)</f>
        <v/>
      </c>
      <c r="F773" s="68" t="str">
        <f t="shared" si="291"/>
        <v/>
      </c>
      <c r="G773" s="69" t="str">
        <f t="shared" ref="G773:G783" si="294">IF(OR(N(D773)=0,N(E773)=0),"",(E773*D773)/1000)</f>
        <v/>
      </c>
      <c r="H773" s="70" t="str">
        <f t="shared" si="292"/>
        <v/>
      </c>
      <c r="I773" s="27" t="str">
        <f>IF(N(J773)=0,"",0&amp;"-"&amp;B$3)</f>
        <v/>
      </c>
      <c r="J773" s="52" t="str">
        <f>IF(N(B$3)=0,"",IF(AND(COUNT(H772:H783)=2,COUNT(F772:F783)=2),cubic_spline(F771:F773,H771:H773,B$3),IF(AND(COUNT(H772:H783)=3,COUNT(F772:F783)=3),cubic_spline(F771:F774,H771:H774,B$3),IF(AND(COUNT(H772:H783)=4,COUNT(F772:F783)=4),cubic_spline(F771:F775,H771:H775,B$3),IF(AND(COUNT(H772:H783)=5,COUNT(F772:F783)=5),cubic_spline(F771:F776,H771:H776,B$3),IF(AND(COUNT(H772:H783)=6,COUNT(F772:F783)=6),cubic_spline(F771:F777,H771:H777,B$3),IF(AND(COUNT(H772:H783)=7,COUNT(F772:F783)=7),cubic_spline(F771:F778,H771:H778,B$3),IF(AND(COUNT(H772:H783)=8,COUNT(F772:F783)=8),cubic_spline(F771:F779,H771:H779,B$3),IF(AND(COUNT(H772:H783)=9,COUNT(F772:F783)=9),cubic_spline(F771:F780,H771:H780,B$3),IF(AND(COUNT(H772:H783)=10,COUNT(F772:F783)=10),cubic_spline(F771:F781,H771:H781,B$3),IF(AND(COUNT(H772:H783)=11,COUNT(F772:F783)=11),cubic_spline(F771:F782,H771:H782,B$3),IF(AND(COUNT(H772:H783)=12,COUNT(F772:F783)=12),cubic_spline(F771:F783,H771:H783,B$3),""))))))))))))</f>
        <v/>
      </c>
      <c r="K773" s="52" t="str">
        <f>IF(N(B$3)=0,"",IF(AND(COUNT(A772:A783)=2,COUNT(F772:F783)=2),cubic_spline(F771:F773,A771:A773,B$3),IF(AND(COUNT(A772:A783)=3,COUNT(F772:F783)=3),cubic_spline(F771:F774,A771:A774,B$3),IF(AND(COUNT(A772:A783)=4,COUNT(F772:F783)=4),cubic_spline(F771:F775,A771:A775,B$3),IF(AND(COUNT(A772:A783)=5,COUNT(F772:F783)=5),cubic_spline(F771:F776,A771:A776,B$3),IF(AND(COUNT(A772:A783)=6,COUNT(F772:F783)=6),cubic_spline(F771:F777,A771:A777,B$3),IF(AND(COUNT(A772:A783)=7,COUNT(F772:F783)=7),cubic_spline(F771:F778,A771:A778,B$3),IF(AND(COUNT(A772:A783)=8,COUNT(F772:F783)=8),cubic_spline(F771:F779,A771:A779,B$3),IF(AND(COUNT(A772:A783)=9,COUNT(F772:F783)=9),cubic_spline(F771:F780,A771:A780,B$3),IF(AND(COUNT(A772:A783)=10,COUNT(F772:F783)=10),cubic_spline(F771:F781,A771:A781,B$3),IF(AND(COUNT(A772:A783)=11,COUNT(F772:F783)=11),cubic_spline(F771:F782,A771:A782,B$3),IF(AND(COUNT(A772:A783)=12,COUNT(F772:F783)=12),cubic_spline(F771:F783,A771:A783,B$3),""))))))))))))</f>
        <v/>
      </c>
      <c r="L773" s="27" t="str">
        <f>IF(I773="","",B$2&amp;"-"&amp;B$3)</f>
        <v/>
      </c>
      <c r="M773" s="52" t="str">
        <f>IF(N(J773)=0,"",J773-J772)</f>
        <v/>
      </c>
    </row>
    <row r="774" spans="1:13" x14ac:dyDescent="0.35">
      <c r="A774" s="48"/>
      <c r="B774" s="48"/>
      <c r="C774" s="50"/>
      <c r="D774" s="50"/>
      <c r="E774" s="51" t="str">
        <f t="shared" si="293"/>
        <v/>
      </c>
      <c r="F774" s="68" t="str">
        <f t="shared" si="291"/>
        <v/>
      </c>
      <c r="G774" s="69" t="str">
        <f t="shared" si="294"/>
        <v/>
      </c>
      <c r="H774" s="70" t="str">
        <f t="shared" si="292"/>
        <v/>
      </c>
      <c r="I774" s="27" t="str">
        <f>IF(N(J774)=0,"",0&amp;"-"&amp;B$4)</f>
        <v/>
      </c>
      <c r="J774" s="52" t="str">
        <f>IF(N(B$4)=0,"",IF(AND(COUNT(H772:H783)=2,COUNT(F772:F783)=2),cubic_spline(F771:F773,H771:H773,B$4),IF(AND(COUNT(H772:H783)=3,COUNT(F772:F783)=3),cubic_spline(F771:F774,H771:H774,B$4),IF(AND(COUNT(H772:H783)=4,COUNT(F772:F783)=4),cubic_spline(F771:F775,H771:H775,B$4),IF(AND(COUNT(H772:H783)=5,COUNT(F772:F783)=5),cubic_spline(F771:F776,H771:H776,B$4),IF(AND(COUNT(H772:H783)=6,COUNT(F772:F783)=6),cubic_spline(F771:F777,H771:H777,B$4),IF(AND(COUNT(H772:H783)=7,COUNT(F772:F783)=7),cubic_spline(F771:F778,H771:H778,B$4),IF(AND(COUNT(H772:H783)=8,COUNT(F772:F783)=8),cubic_spline(F771:F779,H771:H779,B$4),IF(AND(COUNT(H772:H783)=9,COUNT(F772:F783)=9),cubic_spline(F771:F780,H771:H780,B$4),IF(AND(COUNT(H772:H783)=10,COUNT(F772:F783)=10),cubic_spline(F771:F781,H771:H781,B$4),IF(AND(COUNT(H772:H783)=11,COUNT(F772:F783)=11),cubic_spline(F771:F782,H771:H782,B$4),IF(AND(COUNT(H772:H783)=12,COUNT(F772:F783)=12),cubic_spline(F771:F783,H771:H783,B$4),""))))))))))))</f>
        <v/>
      </c>
      <c r="K774" s="52" t="str">
        <f>IF(N(B$4)=0,"",IF(AND(COUNT(A772:A783)=2,COUNT(F772:F783)=2),cubic_spline(F771:F773,A771:A773,B$4),IF(AND(COUNT(A772:A783)=3,COUNT(F772:F783)=3),cubic_spline(F771:F774,A771:A774,B$4),IF(AND(COUNT(A772:A783)=4,COUNT(F772:F783)=4),cubic_spline(F771:F775,A771:A775,B$4),IF(AND(COUNT(A772:A783)=5,COUNT(F772:F783)=5),cubic_spline(F771:F776,A771:A776,B$4),IF(AND(COUNT(A772:A783)=6,COUNT(F772:F783)=6),cubic_spline(F771:F777,A771:A777,B$4),IF(AND(COUNT(A772:A783)=7,COUNT(F772:F783)=7),cubic_spline(F771:F778,A771:A778,B$4),IF(AND(COUNT(A772:A783)=8,COUNT(F772:F783)=8),cubic_spline(F771:F779,A771:A779,B$4),IF(AND(COUNT(A772:A783)=9,COUNT(F772:F783)=9),cubic_spline(F771:F780,A771:A780,B$4),IF(AND(COUNT(A772:A783)=10,COUNT(F772:F783)=10),cubic_spline(F771:F781,A771:A781,B$4),IF(AND(COUNT(A772:A783)=11,COUNT(F772:F783)=11),cubic_spline(F771:F782,A771:A782,B$4),IF(AND(COUNT(A772:A783)=12,COUNT(F772:F783)=12),cubic_spline(F771:F783,A771:A783,B$4),""))))))))))))</f>
        <v/>
      </c>
      <c r="L774" s="27" t="str">
        <f>IF(I774="","",B$3&amp;"-"&amp;B$4)</f>
        <v/>
      </c>
      <c r="M774" s="52" t="str">
        <f>IF(N(J774)=0,"",J774-J773)</f>
        <v/>
      </c>
    </row>
    <row r="775" spans="1:13" x14ac:dyDescent="0.35">
      <c r="A775" s="48"/>
      <c r="B775" s="48"/>
      <c r="C775" s="50"/>
      <c r="D775" s="50"/>
      <c r="E775" s="51" t="str">
        <f t="shared" si="293"/>
        <v/>
      </c>
      <c r="F775" s="68" t="str">
        <f t="shared" si="291"/>
        <v/>
      </c>
      <c r="G775" s="69" t="str">
        <f t="shared" si="294"/>
        <v/>
      </c>
      <c r="H775" s="70" t="str">
        <f t="shared" si="292"/>
        <v/>
      </c>
      <c r="I775" s="27" t="str">
        <f>IF(N(J775)=0,"",0&amp;"-"&amp;B$5)</f>
        <v/>
      </c>
      <c r="J775" s="52" t="str">
        <f>IF(N(B$5)=0,"",IF(AND(COUNT(H772:H783)=2,COUNT(F772:F783)=2),cubic_spline(F771:F773,H771:H773,B$5),IF(AND(COUNT(H772:H783)=3,COUNT(F772:F783)=3),cubic_spline(F771:F774,H771:H774,B$5),IF(AND(COUNT(H772:H783)=4,COUNT(F772:F783)=4),cubic_spline(F771:F775,H771:H775,B$5),IF(AND(COUNT(H772:H783)=5,COUNT(F772:F783)=5),cubic_spline(F771:F776,H771:H776,B$5),IF(AND(COUNT(H772:H783)=6,COUNT(F772:F783)=6),cubic_spline(F771:F777,H771:H777,B$5),IF(AND(COUNT(H772:H783)=7,COUNT(F772:F783)=7),cubic_spline(F771:F778,H771:H778,B$5),IF(AND(COUNT(H772:H783)=8,COUNT(F772:F783)=8),cubic_spline(F771:F779,H771:H779,B$5),IF(AND(COUNT(H772:H783)=9,COUNT(F772:F783)=9),cubic_spline(F771:F780,H771:H780,B$5),IF(AND(COUNT(H772:H783)=10,COUNT(F772:F783)=10),cubic_spline(F771:F781,H771:H781,B$5),IF(AND(COUNT(H772:H783)=11,COUNT(F772:F783)=11),cubic_spline(F771:F782,H771:H782,B$5),IF(AND(COUNT(H772:H783)=12,COUNT(F772:F783)=12),cubic_spline(F771:F783,H771:H783,B$5),""))))))))))))</f>
        <v/>
      </c>
      <c r="K775" s="52" t="str">
        <f>IF(N(B$5)=0,"",IF(AND(COUNT(A772:A783)=2,COUNT(F772:F783)=2),cubic_spline(F771:F773,A771:A773,B$5),IF(AND(COUNT(A772:A783)=3,COUNT(F772:F783)=3),cubic_spline(F771:F774,A771:A774,B$5),IF(AND(COUNT(A772:A783)=4,COUNT(F772:F783)=4),cubic_spline(F771:F775,A771:A775,B$5),IF(AND(COUNT(A772:A783)=5,COUNT(F772:F783)=5),cubic_spline(F771:F776,A771:A776,B$5),IF(AND(COUNT(A772:A783)=6,COUNT(F772:F783)=6),cubic_spline(F771:F777,A771:A777,B$5),IF(AND(COUNT(A772:A783)=7,COUNT(F772:F783)=7),cubic_spline(F771:F778,A771:A778,B$5),IF(AND(COUNT(A772:A783)=8,COUNT(F772:F783)=8),cubic_spline(F771:F779,A771:A779,B$5),IF(AND(COUNT(A772:A783)=9,COUNT(F772:F783)=9),cubic_spline(F771:F780,A771:A780,B$5),IF(AND(COUNT(A772:A783)=10,COUNT(F772:F783)=10),cubic_spline(F771:F781,A771:A781,B$5),IF(AND(COUNT(A772:A783)=11,COUNT(F772:F783)=11),cubic_spline(F771:F782,A771:A782,B$5),IF(AND(COUNT(A772:A783)=12,COUNT(F772:F783)=12),cubic_spline(F771:F783,A771:A783,B$5),""))))))))))))</f>
        <v/>
      </c>
      <c r="L775" s="27" t="str">
        <f>IF(I775="","",B$4&amp;"-"&amp;B$5)</f>
        <v/>
      </c>
      <c r="M775" s="52" t="str">
        <f>IF(N(J775)=0,"",J775-J774)</f>
        <v/>
      </c>
    </row>
    <row r="776" spans="1:13" x14ac:dyDescent="0.35">
      <c r="A776" s="48"/>
      <c r="B776" s="48"/>
      <c r="C776" s="50"/>
      <c r="D776" s="50"/>
      <c r="E776" s="51" t="str">
        <f t="shared" si="293"/>
        <v/>
      </c>
      <c r="F776" s="71" t="str">
        <f t="shared" si="291"/>
        <v/>
      </c>
      <c r="G776" s="69" t="str">
        <f t="shared" si="294"/>
        <v/>
      </c>
      <c r="H776" s="70" t="str">
        <f t="shared" si="292"/>
        <v/>
      </c>
      <c r="I776" s="27" t="str">
        <f>IF(N(J776)=0,"",0&amp;"-"&amp;B$6)</f>
        <v/>
      </c>
      <c r="J776" s="52" t="str">
        <f>IF(N(B$6)=0,"",IF(AND(COUNT(H772:H783)=2,COUNT(F772:F783)=2),cubic_spline(F771:F773,H771:H773,B$6),IF(AND(COUNT(H772:H783)=3,COUNT(F772:F783)=3),cubic_spline(F771:F774,H771:H774,B$6),IF(AND(COUNT(H772:H783)=4,COUNT(F772:F783)=4),cubic_spline(F771:F775,H771:H775,B$6),IF(AND(COUNT(H772:H783)=5,COUNT(F772:F783)=5),cubic_spline(F771:F776,H771:H776,B$6),IF(AND(COUNT(H772:H783)=6,COUNT(F772:F783)=6),cubic_spline(F771:F777,H771:H777,B$6),IF(AND(COUNT(H772:H783)=7,COUNT(F772:F783)=7),cubic_spline(F771:F778,H771:H778,B$6),IF(AND(COUNT(H772:H783)=8,COUNT(F772:F783)=8),cubic_spline(F771:F779,H771:H779,B$6),IF(AND(COUNT(H772:H783)=9,COUNT(F772:F783)=9),cubic_spline(F771:F780,H771:H780,B$6),IF(AND(COUNT(H772:H783)=10,COUNT(F772:F783)=10),cubic_spline(F771:F781,H771:H781,B$6),IF(AND(COUNT(H772:H783)=11,COUNT(F772:F783)=11),cubic_spline(F771:F782,H771:H782,B$6),IF(AND(COUNT(H772:H783)=12,COUNT(F772:F783)=12),cubic_spline(F771:F783,H771:H783,B$6),""))))))))))))</f>
        <v/>
      </c>
      <c r="K776" s="52" t="str">
        <f>IF(N(B$6)=0,"",IF(AND(COUNT(A772:A783)=2,COUNT(F772:F783)=2),cubic_spline(F771:F773,A771:A773,B$6),IF(AND(COUNT(A772:A783)=3,COUNT(F772:F783)=3),cubic_spline(F771:F774,A771:A774,B$6),IF(AND(COUNT(A772:A783)=4,COUNT(F772:F783)=4),cubic_spline(F771:F775,A771:A775,B$6),IF(AND(COUNT(A772:A783)=5,COUNT(F772:F783)=5),cubic_spline(F771:F776,A771:A776,B$6),IF(AND(COUNT(A772:A783)=6,COUNT(F772:F783)=6),cubic_spline(F771:F777,A771:A777,B$6),IF(AND(COUNT(A772:A783)=7,COUNT(F772:F783)=7),cubic_spline(F771:F778,A771:A778,B$6),IF(AND(COUNT(A772:A783)=8,COUNT(F772:F783)=8),cubic_spline(F771:F779,A771:A779,B$6),IF(AND(COUNT(A772:A783)=9,COUNT(F772:F783)=9),cubic_spline(F771:F780,A771:A780,B$6),IF(AND(COUNT(A772:A783)=10,COUNT(F772:F783)=10),cubic_spline(F771:F781,A771:A781,B$6),IF(AND(COUNT(A772:A783)=11,COUNT(F772:F783)=11),cubic_spline(F771:F782,A771:A782,B$6),IF(AND(COUNT(A772:A783)=12,COUNT(F772:F783)=12),cubic_spline(F771:F783,A771:A783,B$6),""))))))))))))</f>
        <v/>
      </c>
      <c r="L776" s="27" t="str">
        <f>IF(I776="","",B$5&amp;"-"&amp;B$6)</f>
        <v/>
      </c>
      <c r="M776" s="52" t="str">
        <f>IF(N(J776)=0,"",J776-J775)</f>
        <v/>
      </c>
    </row>
    <row r="777" spans="1:13" x14ac:dyDescent="0.35">
      <c r="A777" s="48"/>
      <c r="B777" s="48"/>
      <c r="C777" s="50"/>
      <c r="D777" s="50"/>
      <c r="E777" s="51" t="str">
        <f t="shared" si="293"/>
        <v/>
      </c>
      <c r="F777" s="71" t="str">
        <f t="shared" si="291"/>
        <v/>
      </c>
      <c r="G777" s="69" t="str">
        <f t="shared" si="294"/>
        <v/>
      </c>
      <c r="H777" s="70" t="str">
        <f t="shared" si="292"/>
        <v/>
      </c>
      <c r="I777" s="27" t="str">
        <f>IF(N(J777)=0,"",0&amp;"-"&amp;B$7)</f>
        <v/>
      </c>
      <c r="J777" s="52" t="str">
        <f>IF(N(B$7)=0,"",IF(AND(COUNT(H772:H783)=2,COUNT(F772:F783)=2),cubic_spline(F771:F773,H771:H773,B$7),IF(AND(COUNT(H772:H783)=3,COUNT(F772:F783)=3),cubic_spline(F771:F774,H771:H774,B$7),IF(AND(COUNT(H772:H783)=4,COUNT(F772:F783)=4),cubic_spline(F771:F775,H771:H775,B$7),IF(AND(COUNT(H772:H783)=5,COUNT(F772:F783)=5),cubic_spline(F771:F776,H771:H776,B$7),IF(AND(COUNT(H772:H783)=6,COUNT(F772:F783)=6),cubic_spline(F771:F777,H771:H777,B$7),IF(AND(COUNT(H772:H783)=7,COUNT(F772:F783)=7),cubic_spline(F771:F778,H771:H778,B$7),IF(AND(COUNT(H772:H783)=8,COUNT(F772:F783)=8),cubic_spline(F771:F779,H771:H779,B$7),IF(AND(COUNT(H772:H783)=9,COUNT(F772:F783)=9),cubic_spline(F771:F780,H771:H780,B$7),IF(AND(COUNT(H772:H783)=10,COUNT(F772:F783)=10),cubic_spline(F771:F781,H771:H781,B$7),IF(AND(COUNT(H772:H783)=11,COUNT(F772:F783)=11),cubic_spline(F771:F782,H771:H782,B$7),IF(AND(COUNT(H772:H783)=12,COUNT(F772:F783)=12),cubic_spline(F771:F783,H771:H783,B$7),""))))))))))))</f>
        <v/>
      </c>
      <c r="K777" s="52" t="str">
        <f>IF(N(B$7)=0,"",IF(AND(COUNT(A772:A783)=2,COUNT(F772:F783)=2),cubic_spline(F771:F773,A771:A773,B$7),IF(AND(COUNT(A772:A783)=3,COUNT(F772:F783)=3),cubic_spline(F771:F774,A771:A774,B$7),IF(AND(COUNT(A772:A783)=4,COUNT(F772:F783)=4),cubic_spline(F771:F775,A771:A775,B$7),IF(AND(COUNT(A772:A783)=5,COUNT(F772:F783)=5),cubic_spline(F771:F776,A771:A776,B$7),IF(AND(COUNT(A772:A783)=6,COUNT(F772:F783)=6),cubic_spline(F771:F777,A771:A777,B$7),IF(AND(COUNT(A772:A783)=7,COUNT(F772:F783)=7),cubic_spline(F771:F778,A771:A778,B$7),IF(AND(COUNT(A772:A783)=8,COUNT(F772:F783)=8),cubic_spline(F771:F779,A771:A779,B$7),IF(AND(COUNT(A772:A783)=9,COUNT(F772:F783)=9),cubic_spline(F771:F780,A771:A780,B$7),IF(AND(COUNT(A772:A783)=10,COUNT(F772:F783)=10),cubic_spline(F771:F781,A771:A781,B$7),IF(AND(COUNT(A772:A783)=11,COUNT(F772:F783)=11),cubic_spline(F771:F782,A771:A782,B$7),IF(AND(COUNT(A772:A783)=12,COUNT(F772:F783)=12),cubic_spline(F771:F783,A771:A783,B$7),""))))))))))))</f>
        <v/>
      </c>
      <c r="L777" s="27" t="str">
        <f>IF(I777="","",B$6&amp;"-"&amp;B$7)</f>
        <v/>
      </c>
      <c r="M777" s="52" t="str">
        <f t="shared" ref="M777:M783" si="295">IF(N(J777)=0,"",J777-J776)</f>
        <v/>
      </c>
    </row>
    <row r="778" spans="1:13" x14ac:dyDescent="0.35">
      <c r="A778" s="48"/>
      <c r="B778" s="48"/>
      <c r="C778" s="50"/>
      <c r="D778" s="50"/>
      <c r="E778" s="51" t="str">
        <f t="shared" si="293"/>
        <v/>
      </c>
      <c r="F778" s="71" t="str">
        <f t="shared" si="291"/>
        <v/>
      </c>
      <c r="G778" s="69" t="str">
        <f t="shared" si="294"/>
        <v/>
      </c>
      <c r="H778" s="70" t="str">
        <f t="shared" si="292"/>
        <v/>
      </c>
      <c r="I778" s="27" t="str">
        <f>IF(N(J778)=0,"",0&amp;"-"&amp;B$8)</f>
        <v/>
      </c>
      <c r="J778" s="52" t="str">
        <f>IF(N(B$8)=0,"",IF(AND(COUNT(H772:H783)=2,COUNT(F772:F783)=2),cubic_spline(F771:F773,H771:H773,B$8),IF(AND(COUNT(H772:H783)=3,COUNT(F772:F783)=3),cubic_spline(F771:F774,H771:H774,B$8),IF(AND(COUNT(H772:H783)=4,COUNT(F772:F783)=4),cubic_spline(F771:F775,H771:H775,B$8),IF(AND(COUNT(H772:H783)=5,COUNT(F772:F783)=5),cubic_spline(F771:F776,H771:H776,B$8),IF(AND(COUNT(H772:H783)=6,COUNT(F772:F783)=6),cubic_spline(F771:F777,H771:H777,B$8),IF(AND(COUNT(H772:H783)=7,COUNT(F772:F783)=7),cubic_spline(F771:F778,H771:H778,B$8),IF(AND(COUNT(H772:H783)=8,COUNT(F772:F783)=8),cubic_spline(F771:F779,H771:H779,B$8),IF(AND(COUNT(H772:H783)=9,COUNT(F772:F783)=9),cubic_spline(F771:F780,H771:H780,B$8),IF(AND(COUNT(H772:H783)=10,COUNT(F772:F783)=10),cubic_spline(F771:F781,H771:H781,B$8),IF(AND(COUNT(H772:H783)=11,COUNT(F772:F783)=11),cubic_spline(F771:F782,H771:H782,B$8),IF(AND(COUNT(H772:H783)=12,COUNT(F772:F783)=12),cubic_spline(F771:F783,H771:H783,B$8),""))))))))))))</f>
        <v/>
      </c>
      <c r="K778" s="52" t="str">
        <f>IF(N(B$8)=0,"",IF(AND(COUNT(A772:A783)=2,COUNT(F772:F783)=2),cubic_spline(F771:F773,A771:A773,B$8),IF(AND(COUNT(A772:A783)=3,COUNT(F772:F783)=3),cubic_spline(F771:F774,A771:A774,B$8),IF(AND(COUNT(A772:A783)=4,COUNT(F772:F783)=4),cubic_spline(F771:F775,A771:A775,B$8),IF(AND(COUNT(A772:A783)=5,COUNT(F772:F783)=5),cubic_spline(F771:F776,A771:A776,B$8),IF(AND(COUNT(A772:A783)=6,COUNT(F772:F783)=6),cubic_spline(F771:F777,A771:A777,B$8),IF(AND(COUNT(A772:A783)=7,COUNT(F772:F783)=7),cubic_spline(F771:F778,A771:A778,B$8),IF(AND(COUNT(A772:A783)=8,COUNT(F772:F783)=8),cubic_spline(F771:F779,A771:A779,B$8),IF(AND(COUNT(A772:A783)=9,COUNT(F772:F783)=9),cubic_spline(F771:F780,A771:A780,B$8),IF(AND(COUNT(A772:A783)=10,COUNT(F772:F783)=10),cubic_spline(F771:F781,A771:A781,B$8),IF(AND(COUNT(A772:A783)=11,COUNT(F772:F783)=11),cubic_spline(F771:F782,A771:A782,B$8),IF(AND(COUNT(A772:A783)=12,COUNT(F772:F783)=12),cubic_spline(F771:F783,A771:A783,B$8),""))))))))))))</f>
        <v/>
      </c>
      <c r="L778" s="27" t="str">
        <f>IF(I778="","",B$7&amp;"-"&amp;B$8)</f>
        <v/>
      </c>
      <c r="M778" s="52" t="str">
        <f t="shared" si="295"/>
        <v/>
      </c>
    </row>
    <row r="779" spans="1:13" x14ac:dyDescent="0.35">
      <c r="A779" s="48"/>
      <c r="B779" s="48"/>
      <c r="C779" s="50"/>
      <c r="D779" s="50"/>
      <c r="E779" s="51" t="str">
        <f t="shared" si="293"/>
        <v/>
      </c>
      <c r="F779" s="71" t="str">
        <f t="shared" si="291"/>
        <v/>
      </c>
      <c r="G779" s="69" t="str">
        <f t="shared" si="294"/>
        <v/>
      </c>
      <c r="H779" s="70" t="str">
        <f t="shared" si="292"/>
        <v/>
      </c>
      <c r="I779" s="27" t="str">
        <f>IF(N(J779)=0,"",0&amp;"-"&amp;B$9)</f>
        <v/>
      </c>
      <c r="J779" s="52" t="str">
        <f>IF(N(B$9)=0,"",IF(AND(COUNT(H772:H783)=2,COUNT(F772:F783)=2),cubic_spline(F771:F773,H771:H773,B$9),IF(AND(COUNT(H772:H783)=3,COUNT(F772:F783)=3),cubic_spline(F771:F774,H771:H774,B$9),IF(AND(COUNT(H772:H783)=4,COUNT(F772:F783)=4),cubic_spline(F771:F775,H771:H775,B$9),IF(AND(COUNT(H772:H783)=5,COUNT(F772:F783)=5),cubic_spline(F771:F776,H771:H776,B$9),IF(AND(COUNT(H772:H783)=6,COUNT(F772:F783)=6),cubic_spline(F771:F777,H771:H777,B$9),IF(AND(COUNT(H772:H783)=7,COUNT(F772:F783)=7),cubic_spline(F771:F778,H771:H778,B$9),IF(AND(COUNT(H772:H783)=8,COUNT(F772:F783)=8),cubic_spline(F771:F779,H771:H779,B$9),IF(AND(COUNT(H772:H783)=9,COUNT(F772:F783)=9),cubic_spline(F771:F780,H771:H780,B$9),IF(AND(COUNT(H772:H783)=10,COUNT(F772:F783)=10),cubic_spline(F771:F781,H771:H781,B$9),IF(AND(COUNT(H772:H783)=11,COUNT(F772:F783)=11),cubic_spline(F771:F782,H771:H782,B$9),IF(AND(COUNT(H772:H783)=12,COUNT(F772:F783)=12),cubic_spline(F771:F783,H771:H783,B$9),""))))))))))))</f>
        <v/>
      </c>
      <c r="K779" s="52" t="str">
        <f>IF(N(B$9)=0,"",IF(AND(COUNT(A772:A783)=2,COUNT(F772:F783)=2),cubic_spline(F771:F773,A771:A773,B$9),IF(AND(COUNT(A772:A783)=3,COUNT(F772:F783)=3),cubic_spline(F771:F774,A771:A774,B$9),IF(AND(COUNT(A772:A783)=4,COUNT(F772:F783)=4),cubic_spline(F771:F775,A771:A775,B$9),IF(AND(COUNT(A772:A783)=5,COUNT(F772:F783)=5),cubic_spline(F771:F776,A771:A776,B$9),IF(AND(COUNT(A772:A783)=6,COUNT(F772:F783)=6),cubic_spline(F771:F777,A771:A777,B$9),IF(AND(COUNT(A772:A783)=7,COUNT(F772:F783)=7),cubic_spline(F771:F778,A771:A778,B$9),IF(AND(COUNT(A772:A783)=8,COUNT(F772:F783)=8),cubic_spline(F771:F779,A771:A779,B$9),IF(AND(COUNT(A772:A783)=9,COUNT(F772:F783)=9),cubic_spline(F771:F780,A771:A780,B$9),IF(AND(COUNT(A772:A783)=10,COUNT(F772:F783)=10),cubic_spline(F771:F781,A771:A781,B$9),IF(AND(COUNT(A772:A783)=11,COUNT(F772:F783)=11),cubic_spline(F771:F782,A771:A782,B$9),IF(AND(COUNT(A772:A783)=12,COUNT(F772:F783)=12),cubic_spline(F771:F783,A771:A783,B$9),""))))))))))))</f>
        <v/>
      </c>
      <c r="L779" s="27" t="str">
        <f>IF(I779="","",B$8&amp;"-"&amp;B$9)</f>
        <v/>
      </c>
      <c r="M779" s="52" t="str">
        <f t="shared" si="295"/>
        <v/>
      </c>
    </row>
    <row r="780" spans="1:13" x14ac:dyDescent="0.35">
      <c r="A780" s="48"/>
      <c r="B780" s="48"/>
      <c r="C780" s="50"/>
      <c r="D780" s="50"/>
      <c r="E780" s="51" t="str">
        <f t="shared" si="293"/>
        <v/>
      </c>
      <c r="F780" s="71" t="str">
        <f t="shared" si="291"/>
        <v/>
      </c>
      <c r="G780" s="69" t="str">
        <f t="shared" si="294"/>
        <v/>
      </c>
      <c r="H780" s="70" t="str">
        <f t="shared" si="292"/>
        <v/>
      </c>
      <c r="I780" s="27" t="str">
        <f>IF(N(J780)=0,"",0&amp;"-"&amp;B$10)</f>
        <v/>
      </c>
      <c r="J780" s="52" t="str">
        <f>IF(N(B$10)=0,"",IF(AND(COUNT(H772:H783)=2,COUNT(F772:F783)=2),cubic_spline(F771:F773,H771:H773,B$10),IF(AND(COUNT(H772:H783)=3,COUNT(F772:F783)=3),cubic_spline(F771:F774,H771:H774,B$10),IF(AND(COUNT(H772:H783)=4,COUNT(F772:F783)=4),cubic_spline(F771:F775,H771:H775,B$10),IF(AND(COUNT(H772:H783)=5,COUNT(F772:F783)=5),cubic_spline(F771:F776,H771:H776,B$10),IF(AND(COUNT(H772:H783)=6,COUNT(F772:F783)=6),cubic_spline(F771:F777,H771:H777,B$10),IF(AND(COUNT(H772:H783)=7,COUNT(F772:F783)=7),cubic_spline(F771:F778,H771:H778,B$10),IF(AND(COUNT(H772:H783)=8,COUNT(F772:F783)=8),cubic_spline(F771:F779,H771:H779,B$10),IF(AND(COUNT(H772:H783)=9,COUNT(F772:F783)=9),cubic_spline(F771:F780,H771:H780,B$10),IF(AND(COUNT(H772:H783)=10,COUNT(F772:F783)=10),cubic_spline(F771:F781,H771:H781,B$10),IF(AND(COUNT(H772:H783)=11,COUNT(F772:F783)=11),cubic_spline(F771:F782,H771:H782,B$10),IF(AND(COUNT(H772:H783)=12,COUNT(F772:F783)=12),cubic_spline(F771:F783,H771:H783,B$10),""))))))))))))</f>
        <v/>
      </c>
      <c r="K780" s="52" t="str">
        <f>IF(N(B$10)=0,"",IF(AND(COUNT(A772:A783)=2,COUNT(F772:F783)=2),cubic_spline(F771:F773,A771:A773,B$10),IF(AND(COUNT(A772:A783)=3,COUNT(F772:F783)=3),cubic_spline(F771:F774,A771:A774,B$10),IF(AND(COUNT(A772:A783)=4,COUNT(F772:F783)=4),cubic_spline(F771:F775,A771:A775,B$10),IF(AND(COUNT(A772:A783)=5,COUNT(F772:F783)=5),cubic_spline(F771:F776,A771:A776,B$10),IF(AND(COUNT(A772:A783)=6,COUNT(F772:F783)=6),cubic_spline(F771:F777,A771:A777,B$10),IF(AND(COUNT(A772:A783)=7,COUNT(F772:F783)=7),cubic_spline(F771:F778,A771:A778,B$10),IF(AND(COUNT(A772:A783)=8,COUNT(F772:F783)=8),cubic_spline(F771:F779,A771:A779,B$10),IF(AND(COUNT(A772:A783)=9,COUNT(F772:F783)=9),cubic_spline(F771:F780,A771:A780,B$10),IF(AND(COUNT(A772:A783)=10,COUNT(F772:F783)=10),cubic_spline(F771:F781,A771:A781,B$10),IF(AND(COUNT(A772:A783)=11,COUNT(F772:F783)=11),cubic_spline(F771:F782,A771:A782,B$10),IF(AND(COUNT(A772:A783)=12,COUNT(F772:F783)=12),cubic_spline(F771:F783,A771:A783,B$10),""))))))))))))</f>
        <v/>
      </c>
      <c r="L780" s="27" t="str">
        <f>IF(I780="","",B$9&amp;"-"&amp;B$10)</f>
        <v/>
      </c>
      <c r="M780" s="52" t="str">
        <f t="shared" si="295"/>
        <v/>
      </c>
    </row>
    <row r="781" spans="1:13" x14ac:dyDescent="0.35">
      <c r="A781" s="48"/>
      <c r="B781" s="48"/>
      <c r="C781" s="50"/>
      <c r="D781" s="50"/>
      <c r="E781" s="51" t="str">
        <f t="shared" si="293"/>
        <v/>
      </c>
      <c r="F781" s="71" t="str">
        <f t="shared" si="291"/>
        <v/>
      </c>
      <c r="G781" s="69" t="str">
        <f t="shared" si="294"/>
        <v/>
      </c>
      <c r="H781" s="70" t="str">
        <f t="shared" si="292"/>
        <v/>
      </c>
      <c r="I781" s="27" t="str">
        <f>IF(N(J781)=0,"",0&amp;"-"&amp;B$11)</f>
        <v/>
      </c>
      <c r="J781" s="52" t="str">
        <f>IF(N(B$11)=0,"",IF(AND(COUNT(H772:H783)=2,COUNT(F772:F783)=2),cubic_spline(F771:F773,H771:H773,B$11),IF(AND(COUNT(H772:H783)=3,COUNT(F772:F783)=3),cubic_spline(F771:F774,H771:H774,B$11),IF(AND(COUNT(H772:H783)=4,COUNT(F772:F783)=4),cubic_spline(F771:F775,H771:H775,B$11),IF(AND(COUNT(H772:H783)=5,COUNT(F772:F783)=5),cubic_spline(F771:F776,H771:H776,B$11),IF(AND(COUNT(H772:H783)=6,COUNT(F772:F783)=6),cubic_spline(F771:F777,H771:H777,B$11),IF(AND(COUNT(H772:H783)=7,COUNT(F772:F783)=7),cubic_spline(F771:F778,H771:H778,B$11),IF(AND(COUNT(H772:H783)=8,COUNT(F772:F783)=8),cubic_spline(F771:F779,H771:H779,B$11),IF(AND(COUNT(H772:H783)=9,COUNT(F772:F783)=9),cubic_spline(F771:F780,H771:H780,B$11),IF(AND(COUNT(H772:H783)=10,COUNT(F772:F783)=10),cubic_spline(F771:F781,H771:H781,B$11),IF(AND(COUNT(H772:H783)=11,COUNT(F772:F783)=11),cubic_spline(F771:F782,H771:H782,B$11),IF(AND(COUNT(H772:H783)=12,COUNT(F772:F783)=12),cubic_spline(F771:F783,H771:H783,B$11),""))))))))))))</f>
        <v/>
      </c>
      <c r="K781" s="52" t="str">
        <f>IF(N(B$11)=0,"",IF(AND(COUNT(A772:A783)=2,COUNT(F772:F783)=2),cubic_spline(F771:F773,A771:A773,B$11),IF(AND(COUNT(A772:A783)=3,COUNT(F772:F783)=3),cubic_spline(F771:F774,A771:A774,B$11),IF(AND(COUNT(A772:A783)=4,COUNT(F772:F783)=4),cubic_spline(F771:F775,A771:A775,B$11),IF(AND(COUNT(A772:A783)=5,COUNT(F772:F783)=5),cubic_spline(F771:F776,A771:A776,B$11),IF(AND(COUNT(A772:A783)=6,COUNT(F772:F783)=6),cubic_spline(F771:F777,A771:A777,B$11),IF(AND(COUNT(A772:A783)=7,COUNT(F772:F783)=7),cubic_spline(F771:F778,A771:A778,B$11),IF(AND(COUNT(A772:A783)=8,COUNT(F772:F783)=8),cubic_spline(F771:F779,A771:A779,B$11),IF(AND(COUNT(A772:A783)=9,COUNT(F772:F783)=9),cubic_spline(F771:F780,A771:A780,B$11),IF(AND(COUNT(A772:A783)=10,COUNT(F772:F783)=10),cubic_spline(F771:F781,A771:A781,B$11),IF(AND(COUNT(A772:A783)=11,COUNT(F772:F783)=11),cubic_spline(F771:F782,A771:A782,B$11),IF(AND(COUNT(A772:A783)=12,COUNT(F772:F783)=12),cubic_spline(F771:F783,A771:A783,B$11),""))))))))))))</f>
        <v/>
      </c>
      <c r="L781" s="27" t="str">
        <f>IF(I781="","",B$10&amp;"-"&amp;B$11)</f>
        <v/>
      </c>
      <c r="M781" s="52" t="str">
        <f t="shared" si="295"/>
        <v/>
      </c>
    </row>
    <row r="782" spans="1:13" x14ac:dyDescent="0.35">
      <c r="A782" s="48"/>
      <c r="B782" s="48"/>
      <c r="C782" s="50"/>
      <c r="D782" s="50"/>
      <c r="E782" s="51" t="str">
        <f t="shared" si="293"/>
        <v/>
      </c>
      <c r="F782" s="71" t="str">
        <f t="shared" si="291"/>
        <v/>
      </c>
      <c r="G782" s="69" t="str">
        <f t="shared" si="294"/>
        <v/>
      </c>
      <c r="H782" s="70" t="str">
        <f t="shared" si="292"/>
        <v/>
      </c>
      <c r="I782" s="27" t="str">
        <f>IF(N(J782)=0,"",0&amp;"-"&amp;B$12)</f>
        <v/>
      </c>
      <c r="J782" s="52" t="str">
        <f>IF(N(B$12)=0,"",IF(AND(COUNT(H772:H783)=2,COUNT(F772:F783)=2),cubic_spline(F771:F773,H771:H773,B$12),IF(AND(COUNT(H772:H783)=3,COUNT(F772:F783)=3),cubic_spline(F771:F774,H771:H774,B$12),IF(AND(COUNT(H772:H783)=4,COUNT(F772:F783)=4),cubic_spline(F771:F775,H771:H775,B$12),IF(AND(COUNT(H772:H783)=5,COUNT(F772:F783)=5),cubic_spline(F771:F776,H771:H776,B$12),IF(AND(COUNT(H772:H783)=6,COUNT(F772:F783)=6),cubic_spline(F771:F777,H771:H777,B$12),IF(AND(COUNT(H772:H783)=7,COUNT(F772:F783)=7),cubic_spline(F771:F778,H771:H778,B$12),IF(AND(COUNT(H772:H783)=8,COUNT(F772:F783)=8),cubic_spline(F771:F779,H771:H779,B$12),IF(AND(COUNT(H772:H783)=9,COUNT(F772:F783)=9),cubic_spline(F771:F780,H771:H780,B$12),IF(AND(COUNT(H772:H783)=10,COUNT(F772:F783)=10),cubic_spline(F771:F781,H771:H781,B$12),IF(AND(COUNT(H772:H783)=11,COUNT(F772:F783)=11),cubic_spline(F771:F782,H771:H782,B$12),IF(AND(COUNT(H772:H783)=12,COUNT(F772:F783)=12),cubic_spline(F771:F783,H771:H783,B$12),""))))))))))))</f>
        <v/>
      </c>
      <c r="K782" s="52" t="str">
        <f>IF(N(B$12)=0,"",IF(AND(COUNT(A772:A783)=2,COUNT(F772:F783)=2),cubic_spline(F771:F773,A771:A773,B$12),IF(AND(COUNT(A772:A783)=3,COUNT(F772:F783)=3),cubic_spline(F771:F774,A771:A774,B$12),IF(AND(COUNT(A772:A783)=4,COUNT(F772:F783)=4),cubic_spline(F771:F775,A771:A775,B$12),IF(AND(COUNT(A772:A783)=5,COUNT(F772:F783)=5),cubic_spline(F771:F776,A771:A776,B$12),IF(AND(COUNT(A772:A783)=6,COUNT(F772:F783)=6),cubic_spline(F771:F777,A771:A777,B$12),IF(AND(COUNT(A772:A783)=7,COUNT(F772:F783)=7),cubic_spline(F771:F778,A771:A778,B$12),IF(AND(COUNT(A772:A783)=8,COUNT(F772:F783)=8),cubic_spline(F771:F779,A771:A779,B$12),IF(AND(COUNT(A772:A783)=9,COUNT(F772:F783)=9),cubic_spline(F771:F780,A771:A780,B$12),IF(AND(COUNT(A772:A783)=10,COUNT(F772:F783)=10),cubic_spline(F771:F781,A771:A781,B$12),IF(AND(COUNT(A772:A783)=11,COUNT(F772:F783)=11),cubic_spline(F771:F782,A771:A782,B$12),IF(AND(COUNT(A772:A783)=12,COUNT(F772:F783)=12),cubic_spline(F771:F783,A771:A783,B$12),""))))))))))))</f>
        <v/>
      </c>
      <c r="L782" s="27" t="str">
        <f>IF(I782="","",B$11&amp;"-"&amp;B$12)</f>
        <v/>
      </c>
      <c r="M782" s="52" t="str">
        <f t="shared" si="295"/>
        <v/>
      </c>
    </row>
    <row r="783" spans="1:13" x14ac:dyDescent="0.35">
      <c r="A783" s="48"/>
      <c r="B783" s="48"/>
      <c r="C783" s="50"/>
      <c r="D783" s="50"/>
      <c r="E783" s="51" t="str">
        <f t="shared" si="293"/>
        <v/>
      </c>
      <c r="F783" s="71" t="str">
        <f t="shared" si="291"/>
        <v/>
      </c>
      <c r="G783" s="69" t="str">
        <f t="shared" si="294"/>
        <v/>
      </c>
      <c r="H783" s="70" t="str">
        <f t="shared" si="292"/>
        <v/>
      </c>
      <c r="I783" s="27" t="str">
        <f>IF(N(J783)=0,"",0&amp;"-"&amp;B$13)</f>
        <v/>
      </c>
      <c r="J783" s="52" t="str">
        <f>IF(N(B$13)=0,"",IF(AND(COUNT(H772:H783)=2,COUNT(F772:F783)=2),cubic_spline(F771:F773,H771:H773,B$13),IF(AND(COUNT(H772:H783)=3,COUNT(F772:F783)=3),cubic_spline(F771:F774,H771:H774,B$13),IF(AND(COUNT(H772:H783)=4,COUNT(F772:F783)=4),cubic_spline(F771:F775,H771:H775,B$13),IF(AND(COUNT(H772:H783)=5,COUNT(F772:F783)=5),cubic_spline(F771:F776,H771:H776,B$13),IF(AND(COUNT(H772:H783)=6,COUNT(F772:F783)=6),cubic_spline(F771:F777,H771:H777,B$13),IF(AND(COUNT(H772:H783)=7,COUNT(F772:F783)=7),cubic_spline(F771:F778,H771:H778,B$13),IF(AND(COUNT(H772:H783)=8,COUNT(F772:F783)=8),cubic_spline(F771:F779,H771:H779,B$13),IF(AND(COUNT(H772:H783)=9,COUNT(F772:F783)=9),cubic_spline(F771:F780,H771:H780,B$13),IF(AND(COUNT(H772:H783)=10,COUNT(F772:F783)=10),cubic_spline(F771:F781,H771:H781,B$13),IF(AND(COUNT(H772:H783)=11,COUNT(F772:F783)=11),cubic_spline(F771:F782,H771:H782,B$13),IF(AND(COUNT(H772:H783)=12,COUNT(F772:F783)=12),cubic_spline(F771:F783,H771:H783,B$13),""))))))))))))</f>
        <v/>
      </c>
      <c r="K783" s="52" t="str">
        <f>IF(N(B$13)=0,"",IF(AND(COUNT(A772:A783)=2,COUNT(F772:F783)=2),cubic_spline(F771:F773,A771:A773,B$13),IF(AND(COUNT(A772:A783)=3,COUNT(F772:F783)=3),cubic_spline(F771:F774,A771:A774,B$13),IF(AND(COUNT(A772:A783)=4,COUNT(F772:F783)=4),cubic_spline(F771:F775,A771:A775,B$13),IF(AND(COUNT(A772:A783)=5,COUNT(F772:F783)=5),cubic_spline(F771:F776,A771:A776,B$13),IF(AND(COUNT(A772:A783)=6,COUNT(F772:F783)=6),cubic_spline(F771:F777,A771:A777,B$13),IF(AND(COUNT(A772:A783)=7,COUNT(F772:F783)=7),cubic_spline(F771:F778,A771:A778,B$13),IF(AND(COUNT(A772:A783)=8,COUNT(F772:F783)=8),cubic_spline(F771:F779,A771:A779,B$13),IF(AND(COUNT(A772:A783)=9,COUNT(F772:F783)=9),cubic_spline(F771:F780,A771:A780,B$13),IF(AND(COUNT(A772:A783)=10,COUNT(F772:F783)=10),cubic_spline(F771:F781,A771:A781,B$13),IF(AND(COUNT(A772:A783)=11,COUNT(F772:F783)=11),cubic_spline(F771:F782,A771:A782,B$13),IF(AND(COUNT(A772:A783)=12,COUNT(F772:F783)=12),cubic_spline(F771:F783,A771:A783,B$13),""))))))))))))</f>
        <v/>
      </c>
      <c r="L783" s="27" t="str">
        <f>IF(I783="","",B$12&amp;"-"&amp;B$13)</f>
        <v/>
      </c>
      <c r="M783" s="52" t="str">
        <f t="shared" si="295"/>
        <v/>
      </c>
    </row>
    <row r="784" spans="1:13" ht="5.15" customHeight="1" x14ac:dyDescent="0.35">
      <c r="A784" s="47"/>
      <c r="B784" s="47"/>
      <c r="C784" s="53"/>
      <c r="D784" s="53"/>
      <c r="E784" s="54"/>
      <c r="F784" s="55"/>
      <c r="G784" s="72"/>
      <c r="H784" s="73"/>
      <c r="I784" s="47"/>
      <c r="J784" s="57"/>
      <c r="K784" s="57"/>
      <c r="L784" s="55"/>
      <c r="M784" s="57"/>
    </row>
    <row r="785" spans="1:13" x14ac:dyDescent="0.35">
      <c r="A785" s="48"/>
      <c r="B785" s="48"/>
      <c r="C785" s="50"/>
      <c r="D785" s="50"/>
      <c r="E785" s="51" t="str">
        <f>IF(N(C785)=0,"",(A785-A784)*C785*100)</f>
        <v/>
      </c>
      <c r="F785" s="68" t="str">
        <f t="shared" ref="F785:F796" si="296">IF(N(E785)=0,"",(N(E785)+N(F784)))</f>
        <v/>
      </c>
      <c r="G785" s="69" t="str">
        <f>IF(OR(N(D785)=0,N(E785)=0),"",(E785*D785)/1000)</f>
        <v/>
      </c>
      <c r="H785" s="70" t="str">
        <f t="shared" ref="H785:H796" si="297">IF(N(G785)=0,"",(N(G785)+N(H784)))</f>
        <v/>
      </c>
      <c r="I785" s="27" t="str">
        <f>IF(N(J785)=0,"",0&amp;"-"&amp;B$2)</f>
        <v/>
      </c>
      <c r="J785" s="52" t="str">
        <f>IF(N(B$2)=0,"",IF(AND(COUNT(H785:H796)=2,COUNT(F785:F796)=2),cubic_spline(F784:F786,H784:H786,B$2),IF(AND(COUNT(H785:H796)=3,COUNT(F785:F796)=3),cubic_spline(F784:F787,H784:H787,B$2),IF(AND(COUNT(H785:H796)=4,COUNT(F785:F796)=4),cubic_spline(F784:F788,H784:H788,B$2),IF(AND(COUNT(H785:H796)=5,COUNT(F785:F796)=5),cubic_spline(F784:F789,H784:H789,B$2),IF(AND(COUNT(H785:H796)=6,COUNT(F785:F796)=6),cubic_spline(F784:F790,H784:H790,B$2),IF(AND(COUNT(H785:H796)=7,COUNT(F785:F796)=7),cubic_spline(F784:F791,H784:H791,B$2),IF(AND(COUNT(H785:H796)=8,COUNT(F785:F796)=8),cubic_spline(F784:F792,H784:H792,B$2),IF(AND(COUNT(H785:H796)=9,COUNT(F785:F796)=9),cubic_spline(F784:F793,H784:H793,B$2),IF(AND(COUNT(H785:H796)=10,COUNT(F785:F796)=10),cubic_spline(F784:F794,H784:H794,B$2),IF(AND(COUNT(H785:H796)=11,COUNT(F785:F796)=11),cubic_spline(F784:F795,H784:H795,B$2),IF(AND(COUNT(H785:H796)=12,COUNT(F785:F796)=12),cubic_spline(F784:F796,H784:H796,B$2),""))))))))))))</f>
        <v/>
      </c>
      <c r="K785" s="52" t="str">
        <f>IF(N(B$2)=0,"",IF(AND(COUNT(A785:A796)=2,COUNT(F785:F796)=2),cubic_spline(F784:F786,A784:A786,B$2),IF(AND(COUNT(A785:A796)=3,COUNT(F785:F796)=3),cubic_spline(F784:F787,A784:A787,B$2),IF(AND(COUNT(A785:A796)=4,COUNT(F785:F796)=4),cubic_spline(F784:F788,A784:A788,B$2),IF(AND(COUNT(A785:A796)=5,COUNT(F785:F796)=5),cubic_spline(F784:F789,A784:A789,B$2),IF(AND(COUNT(A785:A796)=6,COUNT(F785:F796)=6),cubic_spline(F784:F790,A784:A790,B$2),IF(AND(COUNT(A785:A796)=7,COUNT(F785:F796)=7),cubic_spline(F784:F791,A784:A791,B$2),IF(AND(COUNT(A785:A796)=8,COUNT(F785:F796)=8),cubic_spline(F784:F792,A784:A792,B$2),IF(AND(COUNT(A785:A796)=9,COUNT(F785:F796)=9),cubic_spline(F784:F793,A784:A793,B$2),IF(AND(COUNT(A785:A796)=10,COUNT(F785:F796)=10),cubic_spline(F784:F794,A784:A794,B$2),IF(AND(COUNT(A785:A796)=11,COUNT(F785:F796)=11),cubic_spline(F784:F795,A784:A795,B$2),IF(AND(COUNT(A785:A796)=12,COUNT(F785:F796)=12),cubic_spline(F784:F796,A784:A796,B$2),""))))))))))))</f>
        <v/>
      </c>
      <c r="L785" s="27" t="str">
        <f>IF(I785="","",0&amp;"-"&amp;B$2)</f>
        <v/>
      </c>
      <c r="M785" s="52" t="str">
        <f>IF(N(J785)=0,"",J785-J784)</f>
        <v/>
      </c>
    </row>
    <row r="786" spans="1:13" x14ac:dyDescent="0.35">
      <c r="A786" s="48"/>
      <c r="B786" s="48"/>
      <c r="C786" s="50"/>
      <c r="D786" s="50"/>
      <c r="E786" s="51" t="str">
        <f t="shared" ref="E786:E796" si="298">IF(N(C786)=0,"",(A786-A785)*C786*100)</f>
        <v/>
      </c>
      <c r="F786" s="68" t="str">
        <f t="shared" si="296"/>
        <v/>
      </c>
      <c r="G786" s="69" t="str">
        <f t="shared" ref="G786:G796" si="299">IF(OR(N(D786)=0,N(E786)=0),"",(E786*D786)/1000)</f>
        <v/>
      </c>
      <c r="H786" s="70" t="str">
        <f t="shared" si="297"/>
        <v/>
      </c>
      <c r="I786" s="27" t="str">
        <f>IF(N(J786)=0,"",0&amp;"-"&amp;B$3)</f>
        <v/>
      </c>
      <c r="J786" s="52" t="str">
        <f>IF(N(B$3)=0,"",IF(AND(COUNT(H785:H796)=2,COUNT(F785:F796)=2),cubic_spline(F784:F786,H784:H786,B$3),IF(AND(COUNT(H785:H796)=3,COUNT(F785:F796)=3),cubic_spline(F784:F787,H784:H787,B$3),IF(AND(COUNT(H785:H796)=4,COUNT(F785:F796)=4),cubic_spline(F784:F788,H784:H788,B$3),IF(AND(COUNT(H785:H796)=5,COUNT(F785:F796)=5),cubic_spline(F784:F789,H784:H789,B$3),IF(AND(COUNT(H785:H796)=6,COUNT(F785:F796)=6),cubic_spline(F784:F790,H784:H790,B$3),IF(AND(COUNT(H785:H796)=7,COUNT(F785:F796)=7),cubic_spline(F784:F791,H784:H791,B$3),IF(AND(COUNT(H785:H796)=8,COUNT(F785:F796)=8),cubic_spline(F784:F792,H784:H792,B$3),IF(AND(COUNT(H785:H796)=9,COUNT(F785:F796)=9),cubic_spline(F784:F793,H784:H793,B$3),IF(AND(COUNT(H785:H796)=10,COUNT(F785:F796)=10),cubic_spline(F784:F794,H784:H794,B$3),IF(AND(COUNT(H785:H796)=11,COUNT(F785:F796)=11),cubic_spline(F784:F795,H784:H795,B$3),IF(AND(COUNT(H785:H796)=12,COUNT(F785:F796)=12),cubic_spline(F784:F796,H784:H796,B$3),""))))))))))))</f>
        <v/>
      </c>
      <c r="K786" s="52" t="str">
        <f>IF(N(B$3)=0,"",IF(AND(COUNT(A785:A796)=2,COUNT(F785:F796)=2),cubic_spline(F784:F786,A784:A786,B$3),IF(AND(COUNT(A785:A796)=3,COUNT(F785:F796)=3),cubic_spline(F784:F787,A784:A787,B$3),IF(AND(COUNT(A785:A796)=4,COUNT(F785:F796)=4),cubic_spline(F784:F788,A784:A788,B$3),IF(AND(COUNT(A785:A796)=5,COUNT(F785:F796)=5),cubic_spline(F784:F789,A784:A789,B$3),IF(AND(COUNT(A785:A796)=6,COUNT(F785:F796)=6),cubic_spline(F784:F790,A784:A790,B$3),IF(AND(COUNT(A785:A796)=7,COUNT(F785:F796)=7),cubic_spline(F784:F791,A784:A791,B$3),IF(AND(COUNT(A785:A796)=8,COUNT(F785:F796)=8),cubic_spline(F784:F792,A784:A792,B$3),IF(AND(COUNT(A785:A796)=9,COUNT(F785:F796)=9),cubic_spline(F784:F793,A784:A793,B$3),IF(AND(COUNT(A785:A796)=10,COUNT(F785:F796)=10),cubic_spline(F784:F794,A784:A794,B$3),IF(AND(COUNT(A785:A796)=11,COUNT(F785:F796)=11),cubic_spline(F784:F795,A784:A795,B$3),IF(AND(COUNT(A785:A796)=12,COUNT(F785:F796)=12),cubic_spline(F784:F796,A784:A796,B$3),""))))))))))))</f>
        <v/>
      </c>
      <c r="L786" s="27" t="str">
        <f>IF(I786="","",B$2&amp;"-"&amp;B$3)</f>
        <v/>
      </c>
      <c r="M786" s="52" t="str">
        <f>IF(N(J786)=0,"",J786-J785)</f>
        <v/>
      </c>
    </row>
    <row r="787" spans="1:13" x14ac:dyDescent="0.35">
      <c r="A787" s="48"/>
      <c r="B787" s="48"/>
      <c r="C787" s="50"/>
      <c r="D787" s="50"/>
      <c r="E787" s="51" t="str">
        <f t="shared" si="298"/>
        <v/>
      </c>
      <c r="F787" s="68" t="str">
        <f t="shared" si="296"/>
        <v/>
      </c>
      <c r="G787" s="69" t="str">
        <f t="shared" si="299"/>
        <v/>
      </c>
      <c r="H787" s="70" t="str">
        <f t="shared" si="297"/>
        <v/>
      </c>
      <c r="I787" s="27" t="str">
        <f>IF(N(J787)=0,"",0&amp;"-"&amp;B$4)</f>
        <v/>
      </c>
      <c r="J787" s="52" t="str">
        <f>IF(N(B$4)=0,"",IF(AND(COUNT(H785:H796)=2,COUNT(F785:F796)=2),cubic_spline(F784:F786,H784:H786,B$4),IF(AND(COUNT(H785:H796)=3,COUNT(F785:F796)=3),cubic_spline(F784:F787,H784:H787,B$4),IF(AND(COUNT(H785:H796)=4,COUNT(F785:F796)=4),cubic_spline(F784:F788,H784:H788,B$4),IF(AND(COUNT(H785:H796)=5,COUNT(F785:F796)=5),cubic_spline(F784:F789,H784:H789,B$4),IF(AND(COUNT(H785:H796)=6,COUNT(F785:F796)=6),cubic_spline(F784:F790,H784:H790,B$4),IF(AND(COUNT(H785:H796)=7,COUNT(F785:F796)=7),cubic_spline(F784:F791,H784:H791,B$4),IF(AND(COUNT(H785:H796)=8,COUNT(F785:F796)=8),cubic_spline(F784:F792,H784:H792,B$4),IF(AND(COUNT(H785:H796)=9,COUNT(F785:F796)=9),cubic_spline(F784:F793,H784:H793,B$4),IF(AND(COUNT(H785:H796)=10,COUNT(F785:F796)=10),cubic_spline(F784:F794,H784:H794,B$4),IF(AND(COUNT(H785:H796)=11,COUNT(F785:F796)=11),cubic_spline(F784:F795,H784:H795,B$4),IF(AND(COUNT(H785:H796)=12,COUNT(F785:F796)=12),cubic_spline(F784:F796,H784:H796,B$4),""))))))))))))</f>
        <v/>
      </c>
      <c r="K787" s="52" t="str">
        <f>IF(N(B$4)=0,"",IF(AND(COUNT(A785:A796)=2,COUNT(F785:F796)=2),cubic_spline(F784:F786,A784:A786,B$4),IF(AND(COUNT(A785:A796)=3,COUNT(F785:F796)=3),cubic_spline(F784:F787,A784:A787,B$4),IF(AND(COUNT(A785:A796)=4,COUNT(F785:F796)=4),cubic_spline(F784:F788,A784:A788,B$4),IF(AND(COUNT(A785:A796)=5,COUNT(F785:F796)=5),cubic_spline(F784:F789,A784:A789,B$4),IF(AND(COUNT(A785:A796)=6,COUNT(F785:F796)=6),cubic_spline(F784:F790,A784:A790,B$4),IF(AND(COUNT(A785:A796)=7,COUNT(F785:F796)=7),cubic_spline(F784:F791,A784:A791,B$4),IF(AND(COUNT(A785:A796)=8,COUNT(F785:F796)=8),cubic_spline(F784:F792,A784:A792,B$4),IF(AND(COUNT(A785:A796)=9,COUNT(F785:F796)=9),cubic_spline(F784:F793,A784:A793,B$4),IF(AND(COUNT(A785:A796)=10,COUNT(F785:F796)=10),cubic_spline(F784:F794,A784:A794,B$4),IF(AND(COUNT(A785:A796)=11,COUNT(F785:F796)=11),cubic_spline(F784:F795,A784:A795,B$4),IF(AND(COUNT(A785:A796)=12,COUNT(F785:F796)=12),cubic_spline(F784:F796,A784:A796,B$4),""))))))))))))</f>
        <v/>
      </c>
      <c r="L787" s="27" t="str">
        <f>IF(I787="","",B$3&amp;"-"&amp;B$4)</f>
        <v/>
      </c>
      <c r="M787" s="52" t="str">
        <f>IF(N(J787)=0,"",J787-J786)</f>
        <v/>
      </c>
    </row>
    <row r="788" spans="1:13" x14ac:dyDescent="0.35">
      <c r="A788" s="48"/>
      <c r="B788" s="48"/>
      <c r="C788" s="50"/>
      <c r="D788" s="50"/>
      <c r="E788" s="51" t="str">
        <f t="shared" si="298"/>
        <v/>
      </c>
      <c r="F788" s="68" t="str">
        <f t="shared" si="296"/>
        <v/>
      </c>
      <c r="G788" s="69" t="str">
        <f t="shared" si="299"/>
        <v/>
      </c>
      <c r="H788" s="70" t="str">
        <f t="shared" si="297"/>
        <v/>
      </c>
      <c r="I788" s="27" t="str">
        <f>IF(N(J788)=0,"",0&amp;"-"&amp;B$5)</f>
        <v/>
      </c>
      <c r="J788" s="52" t="str">
        <f>IF(N(B$5)=0,"",IF(AND(COUNT(H785:H796)=2,COUNT(F785:F796)=2),cubic_spline(F784:F786,H784:H786,B$5),IF(AND(COUNT(H785:H796)=3,COUNT(F785:F796)=3),cubic_spline(F784:F787,H784:H787,B$5),IF(AND(COUNT(H785:H796)=4,COUNT(F785:F796)=4),cubic_spline(F784:F788,H784:H788,B$5),IF(AND(COUNT(H785:H796)=5,COUNT(F785:F796)=5),cubic_spline(F784:F789,H784:H789,B$5),IF(AND(COUNT(H785:H796)=6,COUNT(F785:F796)=6),cubic_spline(F784:F790,H784:H790,B$5),IF(AND(COUNT(H785:H796)=7,COUNT(F785:F796)=7),cubic_spline(F784:F791,H784:H791,B$5),IF(AND(COUNT(H785:H796)=8,COUNT(F785:F796)=8),cubic_spline(F784:F792,H784:H792,B$5),IF(AND(COUNT(H785:H796)=9,COUNT(F785:F796)=9),cubic_spline(F784:F793,H784:H793,B$5),IF(AND(COUNT(H785:H796)=10,COUNT(F785:F796)=10),cubic_spline(F784:F794,H784:H794,B$5),IF(AND(COUNT(H785:H796)=11,COUNT(F785:F796)=11),cubic_spline(F784:F795,H784:H795,B$5),IF(AND(COUNT(H785:H796)=12,COUNT(F785:F796)=12),cubic_spline(F784:F796,H784:H796,B$5),""))))))))))))</f>
        <v/>
      </c>
      <c r="K788" s="52" t="str">
        <f>IF(N(B$5)=0,"",IF(AND(COUNT(A785:A796)=2,COUNT(F785:F796)=2),cubic_spline(F784:F786,A784:A786,B$5),IF(AND(COUNT(A785:A796)=3,COUNT(F785:F796)=3),cubic_spline(F784:F787,A784:A787,B$5),IF(AND(COUNT(A785:A796)=4,COUNT(F785:F796)=4),cubic_spline(F784:F788,A784:A788,B$5),IF(AND(COUNT(A785:A796)=5,COUNT(F785:F796)=5),cubic_spline(F784:F789,A784:A789,B$5),IF(AND(COUNT(A785:A796)=6,COUNT(F785:F796)=6),cubic_spline(F784:F790,A784:A790,B$5),IF(AND(COUNT(A785:A796)=7,COUNT(F785:F796)=7),cubic_spline(F784:F791,A784:A791,B$5),IF(AND(COUNT(A785:A796)=8,COUNT(F785:F796)=8),cubic_spline(F784:F792,A784:A792,B$5),IF(AND(COUNT(A785:A796)=9,COUNT(F785:F796)=9),cubic_spline(F784:F793,A784:A793,B$5),IF(AND(COUNT(A785:A796)=10,COUNT(F785:F796)=10),cubic_spline(F784:F794,A784:A794,B$5),IF(AND(COUNT(A785:A796)=11,COUNT(F785:F796)=11),cubic_spline(F784:F795,A784:A795,B$5),IF(AND(COUNT(A785:A796)=12,COUNT(F785:F796)=12),cubic_spline(F784:F796,A784:A796,B$5),""))))))))))))</f>
        <v/>
      </c>
      <c r="L788" s="27" t="str">
        <f>IF(I788="","",B$4&amp;"-"&amp;B$5)</f>
        <v/>
      </c>
      <c r="M788" s="52" t="str">
        <f>IF(N(J788)=0,"",J788-J787)</f>
        <v/>
      </c>
    </row>
    <row r="789" spans="1:13" x14ac:dyDescent="0.35">
      <c r="A789" s="48"/>
      <c r="B789" s="48"/>
      <c r="C789" s="50"/>
      <c r="D789" s="50"/>
      <c r="E789" s="51" t="str">
        <f t="shared" si="298"/>
        <v/>
      </c>
      <c r="F789" s="71" t="str">
        <f t="shared" si="296"/>
        <v/>
      </c>
      <c r="G789" s="69" t="str">
        <f t="shared" si="299"/>
        <v/>
      </c>
      <c r="H789" s="70" t="str">
        <f t="shared" si="297"/>
        <v/>
      </c>
      <c r="I789" s="27" t="str">
        <f>IF(N(J789)=0,"",0&amp;"-"&amp;B$6)</f>
        <v/>
      </c>
      <c r="J789" s="52" t="str">
        <f>IF(N(B$6)=0,"",IF(AND(COUNT(H785:H796)=2,COUNT(F785:F796)=2),cubic_spline(F784:F786,H784:H786,B$6),IF(AND(COUNT(H785:H796)=3,COUNT(F785:F796)=3),cubic_spline(F784:F787,H784:H787,B$6),IF(AND(COUNT(H785:H796)=4,COUNT(F785:F796)=4),cubic_spline(F784:F788,H784:H788,B$6),IF(AND(COUNT(H785:H796)=5,COUNT(F785:F796)=5),cubic_spline(F784:F789,H784:H789,B$6),IF(AND(COUNT(H785:H796)=6,COUNT(F785:F796)=6),cubic_spline(F784:F790,H784:H790,B$6),IF(AND(COUNT(H785:H796)=7,COUNT(F785:F796)=7),cubic_spline(F784:F791,H784:H791,B$6),IF(AND(COUNT(H785:H796)=8,COUNT(F785:F796)=8),cubic_spline(F784:F792,H784:H792,B$6),IF(AND(COUNT(H785:H796)=9,COUNT(F785:F796)=9),cubic_spline(F784:F793,H784:H793,B$6),IF(AND(COUNT(H785:H796)=10,COUNT(F785:F796)=10),cubic_spline(F784:F794,H784:H794,B$6),IF(AND(COUNT(H785:H796)=11,COUNT(F785:F796)=11),cubic_spline(F784:F795,H784:H795,B$6),IF(AND(COUNT(H785:H796)=12,COUNT(F785:F796)=12),cubic_spline(F784:F796,H784:H796,B$6),""))))))))))))</f>
        <v/>
      </c>
      <c r="K789" s="52" t="str">
        <f>IF(N(B$6)=0,"",IF(AND(COUNT(A785:A796)=2,COUNT(F785:F796)=2),cubic_spline(F784:F786,A784:A786,B$6),IF(AND(COUNT(A785:A796)=3,COUNT(F785:F796)=3),cubic_spline(F784:F787,A784:A787,B$6),IF(AND(COUNT(A785:A796)=4,COUNT(F785:F796)=4),cubic_spline(F784:F788,A784:A788,B$6),IF(AND(COUNT(A785:A796)=5,COUNT(F785:F796)=5),cubic_spline(F784:F789,A784:A789,B$6),IF(AND(COUNT(A785:A796)=6,COUNT(F785:F796)=6),cubic_spline(F784:F790,A784:A790,B$6),IF(AND(COUNT(A785:A796)=7,COUNT(F785:F796)=7),cubic_spline(F784:F791,A784:A791,B$6),IF(AND(COUNT(A785:A796)=8,COUNT(F785:F796)=8),cubic_spline(F784:F792,A784:A792,B$6),IF(AND(COUNT(A785:A796)=9,COUNT(F785:F796)=9),cubic_spline(F784:F793,A784:A793,B$6),IF(AND(COUNT(A785:A796)=10,COUNT(F785:F796)=10),cubic_spline(F784:F794,A784:A794,B$6),IF(AND(COUNT(A785:A796)=11,COUNT(F785:F796)=11),cubic_spline(F784:F795,A784:A795,B$6),IF(AND(COUNT(A785:A796)=12,COUNT(F785:F796)=12),cubic_spline(F784:F796,A784:A796,B$6),""))))))))))))</f>
        <v/>
      </c>
      <c r="L789" s="27" t="str">
        <f>IF(I789="","",B$5&amp;"-"&amp;B$6)</f>
        <v/>
      </c>
      <c r="M789" s="52" t="str">
        <f>IF(N(J789)=0,"",J789-J788)</f>
        <v/>
      </c>
    </row>
    <row r="790" spans="1:13" x14ac:dyDescent="0.35">
      <c r="A790" s="48"/>
      <c r="B790" s="48"/>
      <c r="C790" s="50"/>
      <c r="D790" s="50"/>
      <c r="E790" s="51" t="str">
        <f t="shared" si="298"/>
        <v/>
      </c>
      <c r="F790" s="71" t="str">
        <f t="shared" si="296"/>
        <v/>
      </c>
      <c r="G790" s="69" t="str">
        <f t="shared" si="299"/>
        <v/>
      </c>
      <c r="H790" s="70" t="str">
        <f t="shared" si="297"/>
        <v/>
      </c>
      <c r="I790" s="27" t="str">
        <f>IF(N(J790)=0,"",0&amp;"-"&amp;B$7)</f>
        <v/>
      </c>
      <c r="J790" s="52" t="str">
        <f>IF(N(B$7)=0,"",IF(AND(COUNT(H785:H796)=2,COUNT(F785:F796)=2),cubic_spline(F784:F786,H784:H786,B$7),IF(AND(COUNT(H785:H796)=3,COUNT(F785:F796)=3),cubic_spline(F784:F787,H784:H787,B$7),IF(AND(COUNT(H785:H796)=4,COUNT(F785:F796)=4),cubic_spline(F784:F788,H784:H788,B$7),IF(AND(COUNT(H785:H796)=5,COUNT(F785:F796)=5),cubic_spline(F784:F789,H784:H789,B$7),IF(AND(COUNT(H785:H796)=6,COUNT(F785:F796)=6),cubic_spline(F784:F790,H784:H790,B$7),IF(AND(COUNT(H785:H796)=7,COUNT(F785:F796)=7),cubic_spline(F784:F791,H784:H791,B$7),IF(AND(COUNT(H785:H796)=8,COUNT(F785:F796)=8),cubic_spline(F784:F792,H784:H792,B$7),IF(AND(COUNT(H785:H796)=9,COUNT(F785:F796)=9),cubic_spline(F784:F793,H784:H793,B$7),IF(AND(COUNT(H785:H796)=10,COUNT(F785:F796)=10),cubic_spline(F784:F794,H784:H794,B$7),IF(AND(COUNT(H785:H796)=11,COUNT(F785:F796)=11),cubic_spline(F784:F795,H784:H795,B$7),IF(AND(COUNT(H785:H796)=12,COUNT(F785:F796)=12),cubic_spline(F784:F796,H784:H796,B$7),""))))))))))))</f>
        <v/>
      </c>
      <c r="K790" s="52" t="str">
        <f>IF(N(B$7)=0,"",IF(AND(COUNT(A785:A796)=2,COUNT(F785:F796)=2),cubic_spline(F784:F786,A784:A786,B$7),IF(AND(COUNT(A785:A796)=3,COUNT(F785:F796)=3),cubic_spline(F784:F787,A784:A787,B$7),IF(AND(COUNT(A785:A796)=4,COUNT(F785:F796)=4),cubic_spline(F784:F788,A784:A788,B$7),IF(AND(COUNT(A785:A796)=5,COUNT(F785:F796)=5),cubic_spline(F784:F789,A784:A789,B$7),IF(AND(COUNT(A785:A796)=6,COUNT(F785:F796)=6),cubic_spline(F784:F790,A784:A790,B$7),IF(AND(COUNT(A785:A796)=7,COUNT(F785:F796)=7),cubic_spline(F784:F791,A784:A791,B$7),IF(AND(COUNT(A785:A796)=8,COUNT(F785:F796)=8),cubic_spline(F784:F792,A784:A792,B$7),IF(AND(COUNT(A785:A796)=9,COUNT(F785:F796)=9),cubic_spline(F784:F793,A784:A793,B$7),IF(AND(COUNT(A785:A796)=10,COUNT(F785:F796)=10),cubic_spline(F784:F794,A784:A794,B$7),IF(AND(COUNT(A785:A796)=11,COUNT(F785:F796)=11),cubic_spline(F784:F795,A784:A795,B$7),IF(AND(COUNT(A785:A796)=12,COUNT(F785:F796)=12),cubic_spline(F784:F796,A784:A796,B$7),""))))))))))))</f>
        <v/>
      </c>
      <c r="L790" s="27" t="str">
        <f>IF(I790="","",B$6&amp;"-"&amp;B$7)</f>
        <v/>
      </c>
      <c r="M790" s="52" t="str">
        <f t="shared" ref="M790:M796" si="300">IF(N(J790)=0,"",J790-J789)</f>
        <v/>
      </c>
    </row>
    <row r="791" spans="1:13" x14ac:dyDescent="0.35">
      <c r="A791" s="48"/>
      <c r="B791" s="48"/>
      <c r="C791" s="50"/>
      <c r="D791" s="50"/>
      <c r="E791" s="51" t="str">
        <f t="shared" si="298"/>
        <v/>
      </c>
      <c r="F791" s="71" t="str">
        <f t="shared" si="296"/>
        <v/>
      </c>
      <c r="G791" s="69" t="str">
        <f t="shared" si="299"/>
        <v/>
      </c>
      <c r="H791" s="70" t="str">
        <f t="shared" si="297"/>
        <v/>
      </c>
      <c r="I791" s="27" t="str">
        <f>IF(N(J791)=0,"",0&amp;"-"&amp;B$8)</f>
        <v/>
      </c>
      <c r="J791" s="52" t="str">
        <f>IF(N(B$8)=0,"",IF(AND(COUNT(H785:H796)=2,COUNT(F785:F796)=2),cubic_spline(F784:F786,H784:H786,B$8),IF(AND(COUNT(H785:H796)=3,COUNT(F785:F796)=3),cubic_spline(F784:F787,H784:H787,B$8),IF(AND(COUNT(H785:H796)=4,COUNT(F785:F796)=4),cubic_spline(F784:F788,H784:H788,B$8),IF(AND(COUNT(H785:H796)=5,COUNT(F785:F796)=5),cubic_spline(F784:F789,H784:H789,B$8),IF(AND(COUNT(H785:H796)=6,COUNT(F785:F796)=6),cubic_spline(F784:F790,H784:H790,B$8),IF(AND(COUNT(H785:H796)=7,COUNT(F785:F796)=7),cubic_spline(F784:F791,H784:H791,B$8),IF(AND(COUNT(H785:H796)=8,COUNT(F785:F796)=8),cubic_spline(F784:F792,H784:H792,B$8),IF(AND(COUNT(H785:H796)=9,COUNT(F785:F796)=9),cubic_spline(F784:F793,H784:H793,B$8),IF(AND(COUNT(H785:H796)=10,COUNT(F785:F796)=10),cubic_spline(F784:F794,H784:H794,B$8),IF(AND(COUNT(H785:H796)=11,COUNT(F785:F796)=11),cubic_spline(F784:F795,H784:H795,B$8),IF(AND(COUNT(H785:H796)=12,COUNT(F785:F796)=12),cubic_spline(F784:F796,H784:H796,B$8),""))))))))))))</f>
        <v/>
      </c>
      <c r="K791" s="52" t="str">
        <f>IF(N(B$8)=0,"",IF(AND(COUNT(A785:A796)=2,COUNT(F785:F796)=2),cubic_spline(F784:F786,A784:A786,B$8),IF(AND(COUNT(A785:A796)=3,COUNT(F785:F796)=3),cubic_spline(F784:F787,A784:A787,B$8),IF(AND(COUNT(A785:A796)=4,COUNT(F785:F796)=4),cubic_spline(F784:F788,A784:A788,B$8),IF(AND(COUNT(A785:A796)=5,COUNT(F785:F796)=5),cubic_spline(F784:F789,A784:A789,B$8),IF(AND(COUNT(A785:A796)=6,COUNT(F785:F796)=6),cubic_spline(F784:F790,A784:A790,B$8),IF(AND(COUNT(A785:A796)=7,COUNT(F785:F796)=7),cubic_spline(F784:F791,A784:A791,B$8),IF(AND(COUNT(A785:A796)=8,COUNT(F785:F796)=8),cubic_spline(F784:F792,A784:A792,B$8),IF(AND(COUNT(A785:A796)=9,COUNT(F785:F796)=9),cubic_spline(F784:F793,A784:A793,B$8),IF(AND(COUNT(A785:A796)=10,COUNT(F785:F796)=10),cubic_spline(F784:F794,A784:A794,B$8),IF(AND(COUNT(A785:A796)=11,COUNT(F785:F796)=11),cubic_spline(F784:F795,A784:A795,B$8),IF(AND(COUNT(A785:A796)=12,COUNT(F785:F796)=12),cubic_spline(F784:F796,A784:A796,B$8),""))))))))))))</f>
        <v/>
      </c>
      <c r="L791" s="27" t="str">
        <f>IF(I791="","",B$7&amp;"-"&amp;B$8)</f>
        <v/>
      </c>
      <c r="M791" s="52" t="str">
        <f t="shared" si="300"/>
        <v/>
      </c>
    </row>
    <row r="792" spans="1:13" x14ac:dyDescent="0.35">
      <c r="A792" s="48"/>
      <c r="B792" s="48"/>
      <c r="C792" s="50"/>
      <c r="D792" s="50"/>
      <c r="E792" s="51" t="str">
        <f t="shared" si="298"/>
        <v/>
      </c>
      <c r="F792" s="71" t="str">
        <f t="shared" si="296"/>
        <v/>
      </c>
      <c r="G792" s="69" t="str">
        <f t="shared" si="299"/>
        <v/>
      </c>
      <c r="H792" s="70" t="str">
        <f t="shared" si="297"/>
        <v/>
      </c>
      <c r="I792" s="27" t="str">
        <f>IF(N(J792)=0,"",0&amp;"-"&amp;B$9)</f>
        <v/>
      </c>
      <c r="J792" s="52" t="str">
        <f>IF(N(B$9)=0,"",IF(AND(COUNT(H785:H796)=2,COUNT(F785:F796)=2),cubic_spline(F784:F786,H784:H786,B$9),IF(AND(COUNT(H785:H796)=3,COUNT(F785:F796)=3),cubic_spline(F784:F787,H784:H787,B$9),IF(AND(COUNT(H785:H796)=4,COUNT(F785:F796)=4),cubic_spline(F784:F788,H784:H788,B$9),IF(AND(COUNT(H785:H796)=5,COUNT(F785:F796)=5),cubic_spline(F784:F789,H784:H789,B$9),IF(AND(COUNT(H785:H796)=6,COUNT(F785:F796)=6),cubic_spline(F784:F790,H784:H790,B$9),IF(AND(COUNT(H785:H796)=7,COUNT(F785:F796)=7),cubic_spline(F784:F791,H784:H791,B$9),IF(AND(COUNT(H785:H796)=8,COUNT(F785:F796)=8),cubic_spline(F784:F792,H784:H792,B$9),IF(AND(COUNT(H785:H796)=9,COUNT(F785:F796)=9),cubic_spline(F784:F793,H784:H793,B$9),IF(AND(COUNT(H785:H796)=10,COUNT(F785:F796)=10),cubic_spline(F784:F794,H784:H794,B$9),IF(AND(COUNT(H785:H796)=11,COUNT(F785:F796)=11),cubic_spline(F784:F795,H784:H795,B$9),IF(AND(COUNT(H785:H796)=12,COUNT(F785:F796)=12),cubic_spline(F784:F796,H784:H796,B$9),""))))))))))))</f>
        <v/>
      </c>
      <c r="K792" s="52" t="str">
        <f>IF(N(B$9)=0,"",IF(AND(COUNT(A785:A796)=2,COUNT(F785:F796)=2),cubic_spline(F784:F786,A784:A786,B$9),IF(AND(COUNT(A785:A796)=3,COUNT(F785:F796)=3),cubic_spline(F784:F787,A784:A787,B$9),IF(AND(COUNT(A785:A796)=4,COUNT(F785:F796)=4),cubic_spline(F784:F788,A784:A788,B$9),IF(AND(COUNT(A785:A796)=5,COUNT(F785:F796)=5),cubic_spline(F784:F789,A784:A789,B$9),IF(AND(COUNT(A785:A796)=6,COUNT(F785:F796)=6),cubic_spline(F784:F790,A784:A790,B$9),IF(AND(COUNT(A785:A796)=7,COUNT(F785:F796)=7),cubic_spline(F784:F791,A784:A791,B$9),IF(AND(COUNT(A785:A796)=8,COUNT(F785:F796)=8),cubic_spline(F784:F792,A784:A792,B$9),IF(AND(COUNT(A785:A796)=9,COUNT(F785:F796)=9),cubic_spline(F784:F793,A784:A793,B$9),IF(AND(COUNT(A785:A796)=10,COUNT(F785:F796)=10),cubic_spline(F784:F794,A784:A794,B$9),IF(AND(COUNT(A785:A796)=11,COUNT(F785:F796)=11),cubic_spline(F784:F795,A784:A795,B$9),IF(AND(COUNT(A785:A796)=12,COUNT(F785:F796)=12),cubic_spline(F784:F796,A784:A796,B$9),""))))))))))))</f>
        <v/>
      </c>
      <c r="L792" s="27" t="str">
        <f>IF(I792="","",B$8&amp;"-"&amp;B$9)</f>
        <v/>
      </c>
      <c r="M792" s="52" t="str">
        <f t="shared" si="300"/>
        <v/>
      </c>
    </row>
    <row r="793" spans="1:13" x14ac:dyDescent="0.35">
      <c r="A793" s="48"/>
      <c r="B793" s="48"/>
      <c r="C793" s="50"/>
      <c r="D793" s="50"/>
      <c r="E793" s="51" t="str">
        <f t="shared" si="298"/>
        <v/>
      </c>
      <c r="F793" s="71" t="str">
        <f t="shared" si="296"/>
        <v/>
      </c>
      <c r="G793" s="69" t="str">
        <f t="shared" si="299"/>
        <v/>
      </c>
      <c r="H793" s="70" t="str">
        <f t="shared" si="297"/>
        <v/>
      </c>
      <c r="I793" s="27" t="str">
        <f>IF(N(J793)=0,"",0&amp;"-"&amp;B$10)</f>
        <v/>
      </c>
      <c r="J793" s="52" t="str">
        <f>IF(N(B$10)=0,"",IF(AND(COUNT(H785:H796)=2,COUNT(F785:F796)=2),cubic_spline(F784:F786,H784:H786,B$10),IF(AND(COUNT(H785:H796)=3,COUNT(F785:F796)=3),cubic_spline(F784:F787,H784:H787,B$10),IF(AND(COUNT(H785:H796)=4,COUNT(F785:F796)=4),cubic_spline(F784:F788,H784:H788,B$10),IF(AND(COUNT(H785:H796)=5,COUNT(F785:F796)=5),cubic_spline(F784:F789,H784:H789,B$10),IF(AND(COUNT(H785:H796)=6,COUNT(F785:F796)=6),cubic_spline(F784:F790,H784:H790,B$10),IF(AND(COUNT(H785:H796)=7,COUNT(F785:F796)=7),cubic_spline(F784:F791,H784:H791,B$10),IF(AND(COUNT(H785:H796)=8,COUNT(F785:F796)=8),cubic_spline(F784:F792,H784:H792,B$10),IF(AND(COUNT(H785:H796)=9,COUNT(F785:F796)=9),cubic_spline(F784:F793,H784:H793,B$10),IF(AND(COUNT(H785:H796)=10,COUNT(F785:F796)=10),cubic_spline(F784:F794,H784:H794,B$10),IF(AND(COUNT(H785:H796)=11,COUNT(F785:F796)=11),cubic_spline(F784:F795,H784:H795,B$10),IF(AND(COUNT(H785:H796)=12,COUNT(F785:F796)=12),cubic_spline(F784:F796,H784:H796,B$10),""))))))))))))</f>
        <v/>
      </c>
      <c r="K793" s="52" t="str">
        <f>IF(N(B$10)=0,"",IF(AND(COUNT(A785:A796)=2,COUNT(F785:F796)=2),cubic_spline(F784:F786,A784:A786,B$10),IF(AND(COUNT(A785:A796)=3,COUNT(F785:F796)=3),cubic_spline(F784:F787,A784:A787,B$10),IF(AND(COUNT(A785:A796)=4,COUNT(F785:F796)=4),cubic_spline(F784:F788,A784:A788,B$10),IF(AND(COUNT(A785:A796)=5,COUNT(F785:F796)=5),cubic_spline(F784:F789,A784:A789,B$10),IF(AND(COUNT(A785:A796)=6,COUNT(F785:F796)=6),cubic_spline(F784:F790,A784:A790,B$10),IF(AND(COUNT(A785:A796)=7,COUNT(F785:F796)=7),cubic_spline(F784:F791,A784:A791,B$10),IF(AND(COUNT(A785:A796)=8,COUNT(F785:F796)=8),cubic_spline(F784:F792,A784:A792,B$10),IF(AND(COUNT(A785:A796)=9,COUNT(F785:F796)=9),cubic_spline(F784:F793,A784:A793,B$10),IF(AND(COUNT(A785:A796)=10,COUNT(F785:F796)=10),cubic_spline(F784:F794,A784:A794,B$10),IF(AND(COUNT(A785:A796)=11,COUNT(F785:F796)=11),cubic_spline(F784:F795,A784:A795,B$10),IF(AND(COUNT(A785:A796)=12,COUNT(F785:F796)=12),cubic_spline(F784:F796,A784:A796,B$10),""))))))))))))</f>
        <v/>
      </c>
      <c r="L793" s="27" t="str">
        <f>IF(I793="","",B$9&amp;"-"&amp;B$10)</f>
        <v/>
      </c>
      <c r="M793" s="52" t="str">
        <f t="shared" si="300"/>
        <v/>
      </c>
    </row>
    <row r="794" spans="1:13" x14ac:dyDescent="0.35">
      <c r="A794" s="48"/>
      <c r="B794" s="48"/>
      <c r="C794" s="50"/>
      <c r="D794" s="50"/>
      <c r="E794" s="51" t="str">
        <f t="shared" si="298"/>
        <v/>
      </c>
      <c r="F794" s="71" t="str">
        <f t="shared" si="296"/>
        <v/>
      </c>
      <c r="G794" s="69" t="str">
        <f t="shared" si="299"/>
        <v/>
      </c>
      <c r="H794" s="70" t="str">
        <f t="shared" si="297"/>
        <v/>
      </c>
      <c r="I794" s="27" t="str">
        <f>IF(N(J794)=0,"",0&amp;"-"&amp;B$11)</f>
        <v/>
      </c>
      <c r="J794" s="52" t="str">
        <f>IF(N(B$11)=0,"",IF(AND(COUNT(H785:H796)=2,COUNT(F785:F796)=2),cubic_spline(F784:F786,H784:H786,B$11),IF(AND(COUNT(H785:H796)=3,COUNT(F785:F796)=3),cubic_spline(F784:F787,H784:H787,B$11),IF(AND(COUNT(H785:H796)=4,COUNT(F785:F796)=4),cubic_spline(F784:F788,H784:H788,B$11),IF(AND(COUNT(H785:H796)=5,COUNT(F785:F796)=5),cubic_spline(F784:F789,H784:H789,B$11),IF(AND(COUNT(H785:H796)=6,COUNT(F785:F796)=6),cubic_spline(F784:F790,H784:H790,B$11),IF(AND(COUNT(H785:H796)=7,COUNT(F785:F796)=7),cubic_spline(F784:F791,H784:H791,B$11),IF(AND(COUNT(H785:H796)=8,COUNT(F785:F796)=8),cubic_spline(F784:F792,H784:H792,B$11),IF(AND(COUNT(H785:H796)=9,COUNT(F785:F796)=9),cubic_spline(F784:F793,H784:H793,B$11),IF(AND(COUNT(H785:H796)=10,COUNT(F785:F796)=10),cubic_spline(F784:F794,H784:H794,B$11),IF(AND(COUNT(H785:H796)=11,COUNT(F785:F796)=11),cubic_spline(F784:F795,H784:H795,B$11),IF(AND(COUNT(H785:H796)=12,COUNT(F785:F796)=12),cubic_spline(F784:F796,H784:H796,B$11),""))))))))))))</f>
        <v/>
      </c>
      <c r="K794" s="52" t="str">
        <f>IF(N(B$11)=0,"",IF(AND(COUNT(A785:A796)=2,COUNT(F785:F796)=2),cubic_spline(F784:F786,A784:A786,B$11),IF(AND(COUNT(A785:A796)=3,COUNT(F785:F796)=3),cubic_spline(F784:F787,A784:A787,B$11),IF(AND(COUNT(A785:A796)=4,COUNT(F785:F796)=4),cubic_spline(F784:F788,A784:A788,B$11),IF(AND(COUNT(A785:A796)=5,COUNT(F785:F796)=5),cubic_spline(F784:F789,A784:A789,B$11),IF(AND(COUNT(A785:A796)=6,COUNT(F785:F796)=6),cubic_spline(F784:F790,A784:A790,B$11),IF(AND(COUNT(A785:A796)=7,COUNT(F785:F796)=7),cubic_spline(F784:F791,A784:A791,B$11),IF(AND(COUNT(A785:A796)=8,COUNT(F785:F796)=8),cubic_spline(F784:F792,A784:A792,B$11),IF(AND(COUNT(A785:A796)=9,COUNT(F785:F796)=9),cubic_spline(F784:F793,A784:A793,B$11),IF(AND(COUNT(A785:A796)=10,COUNT(F785:F796)=10),cubic_spline(F784:F794,A784:A794,B$11),IF(AND(COUNT(A785:A796)=11,COUNT(F785:F796)=11),cubic_spline(F784:F795,A784:A795,B$11),IF(AND(COUNT(A785:A796)=12,COUNT(F785:F796)=12),cubic_spline(F784:F796,A784:A796,B$11),""))))))))))))</f>
        <v/>
      </c>
      <c r="L794" s="27" t="str">
        <f>IF(I794="","",B$10&amp;"-"&amp;B$11)</f>
        <v/>
      </c>
      <c r="M794" s="52" t="str">
        <f t="shared" si="300"/>
        <v/>
      </c>
    </row>
    <row r="795" spans="1:13" x14ac:dyDescent="0.35">
      <c r="A795" s="48"/>
      <c r="B795" s="48"/>
      <c r="C795" s="50"/>
      <c r="D795" s="50"/>
      <c r="E795" s="51" t="str">
        <f t="shared" si="298"/>
        <v/>
      </c>
      <c r="F795" s="71" t="str">
        <f t="shared" si="296"/>
        <v/>
      </c>
      <c r="G795" s="69" t="str">
        <f t="shared" si="299"/>
        <v/>
      </c>
      <c r="H795" s="70" t="str">
        <f t="shared" si="297"/>
        <v/>
      </c>
      <c r="I795" s="27" t="str">
        <f>IF(N(J795)=0,"",0&amp;"-"&amp;B$12)</f>
        <v/>
      </c>
      <c r="J795" s="52" t="str">
        <f>IF(N(B$12)=0,"",IF(AND(COUNT(H785:H796)=2,COUNT(F785:F796)=2),cubic_spline(F784:F786,H784:H786,B$12),IF(AND(COUNT(H785:H796)=3,COUNT(F785:F796)=3),cubic_spline(F784:F787,H784:H787,B$12),IF(AND(COUNT(H785:H796)=4,COUNT(F785:F796)=4),cubic_spline(F784:F788,H784:H788,B$12),IF(AND(COUNT(H785:H796)=5,COUNT(F785:F796)=5),cubic_spline(F784:F789,H784:H789,B$12),IF(AND(COUNT(H785:H796)=6,COUNT(F785:F796)=6),cubic_spline(F784:F790,H784:H790,B$12),IF(AND(COUNT(H785:H796)=7,COUNT(F785:F796)=7),cubic_spline(F784:F791,H784:H791,B$12),IF(AND(COUNT(H785:H796)=8,COUNT(F785:F796)=8),cubic_spline(F784:F792,H784:H792,B$12),IF(AND(COUNT(H785:H796)=9,COUNT(F785:F796)=9),cubic_spline(F784:F793,H784:H793,B$12),IF(AND(COUNT(H785:H796)=10,COUNT(F785:F796)=10),cubic_spline(F784:F794,H784:H794,B$12),IF(AND(COUNT(H785:H796)=11,COUNT(F785:F796)=11),cubic_spline(F784:F795,H784:H795,B$12),IF(AND(COUNT(H785:H796)=12,COUNT(F785:F796)=12),cubic_spline(F784:F796,H784:H796,B$12),""))))))))))))</f>
        <v/>
      </c>
      <c r="K795" s="52" t="str">
        <f>IF(N(B$12)=0,"",IF(AND(COUNT(A785:A796)=2,COUNT(F785:F796)=2),cubic_spline(F784:F786,A784:A786,B$12),IF(AND(COUNT(A785:A796)=3,COUNT(F785:F796)=3),cubic_spline(F784:F787,A784:A787,B$12),IF(AND(COUNT(A785:A796)=4,COUNT(F785:F796)=4),cubic_spline(F784:F788,A784:A788,B$12),IF(AND(COUNT(A785:A796)=5,COUNT(F785:F796)=5),cubic_spline(F784:F789,A784:A789,B$12),IF(AND(COUNT(A785:A796)=6,COUNT(F785:F796)=6),cubic_spline(F784:F790,A784:A790,B$12),IF(AND(COUNT(A785:A796)=7,COUNT(F785:F796)=7),cubic_spline(F784:F791,A784:A791,B$12),IF(AND(COUNT(A785:A796)=8,COUNT(F785:F796)=8),cubic_spline(F784:F792,A784:A792,B$12),IF(AND(COUNT(A785:A796)=9,COUNT(F785:F796)=9),cubic_spline(F784:F793,A784:A793,B$12),IF(AND(COUNT(A785:A796)=10,COUNT(F785:F796)=10),cubic_spline(F784:F794,A784:A794,B$12),IF(AND(COUNT(A785:A796)=11,COUNT(F785:F796)=11),cubic_spline(F784:F795,A784:A795,B$12),IF(AND(COUNT(A785:A796)=12,COUNT(F785:F796)=12),cubic_spline(F784:F796,A784:A796,B$12),""))))))))))))</f>
        <v/>
      </c>
      <c r="L795" s="27" t="str">
        <f>IF(I795="","",B$11&amp;"-"&amp;B$12)</f>
        <v/>
      </c>
      <c r="M795" s="52" t="str">
        <f t="shared" si="300"/>
        <v/>
      </c>
    </row>
    <row r="796" spans="1:13" x14ac:dyDescent="0.35">
      <c r="A796" s="48"/>
      <c r="B796" s="48"/>
      <c r="C796" s="50"/>
      <c r="D796" s="50"/>
      <c r="E796" s="51" t="str">
        <f t="shared" si="298"/>
        <v/>
      </c>
      <c r="F796" s="71" t="str">
        <f t="shared" si="296"/>
        <v/>
      </c>
      <c r="G796" s="69" t="str">
        <f t="shared" si="299"/>
        <v/>
      </c>
      <c r="H796" s="70" t="str">
        <f t="shared" si="297"/>
        <v/>
      </c>
      <c r="I796" s="27" t="str">
        <f>IF(N(J796)=0,"",0&amp;"-"&amp;B$13)</f>
        <v/>
      </c>
      <c r="J796" s="52" t="str">
        <f>IF(N(B$13)=0,"",IF(AND(COUNT(H785:H796)=2,COUNT(F785:F796)=2),cubic_spline(F784:F786,H784:H786,B$13),IF(AND(COUNT(H785:H796)=3,COUNT(F785:F796)=3),cubic_spline(F784:F787,H784:H787,B$13),IF(AND(COUNT(H785:H796)=4,COUNT(F785:F796)=4),cubic_spline(F784:F788,H784:H788,B$13),IF(AND(COUNT(H785:H796)=5,COUNT(F785:F796)=5),cubic_spline(F784:F789,H784:H789,B$13),IF(AND(COUNT(H785:H796)=6,COUNT(F785:F796)=6),cubic_spline(F784:F790,H784:H790,B$13),IF(AND(COUNT(H785:H796)=7,COUNT(F785:F796)=7),cubic_spline(F784:F791,H784:H791,B$13),IF(AND(COUNT(H785:H796)=8,COUNT(F785:F796)=8),cubic_spline(F784:F792,H784:H792,B$13),IF(AND(COUNT(H785:H796)=9,COUNT(F785:F796)=9),cubic_spline(F784:F793,H784:H793,B$13),IF(AND(COUNT(H785:H796)=10,COUNT(F785:F796)=10),cubic_spline(F784:F794,H784:H794,B$13),IF(AND(COUNT(H785:H796)=11,COUNT(F785:F796)=11),cubic_spline(F784:F795,H784:H795,B$13),IF(AND(COUNT(H785:H796)=12,COUNT(F785:F796)=12),cubic_spline(F784:F796,H784:H796,B$13),""))))))))))))</f>
        <v/>
      </c>
      <c r="K796" s="52" t="str">
        <f>IF(N(B$13)=0,"",IF(AND(COUNT(A785:A796)=2,COUNT(F785:F796)=2),cubic_spline(F784:F786,A784:A786,B$13),IF(AND(COUNT(A785:A796)=3,COUNT(F785:F796)=3),cubic_spline(F784:F787,A784:A787,B$13),IF(AND(COUNT(A785:A796)=4,COUNT(F785:F796)=4),cubic_spline(F784:F788,A784:A788,B$13),IF(AND(COUNT(A785:A796)=5,COUNT(F785:F796)=5),cubic_spline(F784:F789,A784:A789,B$13),IF(AND(COUNT(A785:A796)=6,COUNT(F785:F796)=6),cubic_spline(F784:F790,A784:A790,B$13),IF(AND(COUNT(A785:A796)=7,COUNT(F785:F796)=7),cubic_spline(F784:F791,A784:A791,B$13),IF(AND(COUNT(A785:A796)=8,COUNT(F785:F796)=8),cubic_spline(F784:F792,A784:A792,B$13),IF(AND(COUNT(A785:A796)=9,COUNT(F785:F796)=9),cubic_spline(F784:F793,A784:A793,B$13),IF(AND(COUNT(A785:A796)=10,COUNT(F785:F796)=10),cubic_spline(F784:F794,A784:A794,B$13),IF(AND(COUNT(A785:A796)=11,COUNT(F785:F796)=11),cubic_spline(F784:F795,A784:A795,B$13),IF(AND(COUNT(A785:A796)=12,COUNT(F785:F796)=12),cubic_spline(F784:F796,A784:A796,B$13),""))))))))))))</f>
        <v/>
      </c>
      <c r="L796" s="27" t="str">
        <f>IF(I796="","",B$12&amp;"-"&amp;B$13)</f>
        <v/>
      </c>
      <c r="M796" s="52" t="str">
        <f t="shared" si="300"/>
        <v/>
      </c>
    </row>
    <row r="797" spans="1:13" ht="5.15" customHeight="1" x14ac:dyDescent="0.35">
      <c r="A797" s="47"/>
      <c r="B797" s="47"/>
      <c r="C797" s="53"/>
      <c r="D797" s="53"/>
      <c r="E797" s="54"/>
      <c r="F797" s="55"/>
      <c r="G797" s="72"/>
      <c r="H797" s="73"/>
      <c r="I797" s="47"/>
      <c r="J797" s="57"/>
      <c r="K797" s="57"/>
      <c r="L797" s="55"/>
      <c r="M797" s="57"/>
    </row>
    <row r="798" spans="1:13" x14ac:dyDescent="0.35">
      <c r="A798" s="48"/>
      <c r="B798" s="48"/>
      <c r="C798" s="50"/>
      <c r="D798" s="50"/>
      <c r="E798" s="51" t="str">
        <f>IF(N(C798)=0,"",(A798-A797)*C798*100)</f>
        <v/>
      </c>
      <c r="F798" s="68" t="str">
        <f t="shared" ref="F798:F809" si="301">IF(N(E798)=0,"",(N(E798)+N(F797)))</f>
        <v/>
      </c>
      <c r="G798" s="69" t="str">
        <f>IF(OR(N(D798)=0,N(E798)=0),"",(E798*D798)/1000)</f>
        <v/>
      </c>
      <c r="H798" s="70" t="str">
        <f t="shared" ref="H798:H809" si="302">IF(N(G798)=0,"",(N(G798)+N(H797)))</f>
        <v/>
      </c>
      <c r="I798" s="27" t="str">
        <f>IF(N(J798)=0,"",0&amp;"-"&amp;B$2)</f>
        <v/>
      </c>
      <c r="J798" s="52" t="str">
        <f>IF(N(B$2)=0,"",IF(AND(COUNT(H798:H809)=2,COUNT(F798:F809)=2),cubic_spline(F797:F799,H797:H799,B$2),IF(AND(COUNT(H798:H809)=3,COUNT(F798:F809)=3),cubic_spline(F797:F800,H797:H800,B$2),IF(AND(COUNT(H798:H809)=4,COUNT(F798:F809)=4),cubic_spline(F797:F801,H797:H801,B$2),IF(AND(COUNT(H798:H809)=5,COUNT(F798:F809)=5),cubic_spline(F797:F802,H797:H802,B$2),IF(AND(COUNT(H798:H809)=6,COUNT(F798:F809)=6),cubic_spline(F797:F803,H797:H803,B$2),IF(AND(COUNT(H798:H809)=7,COUNT(F798:F809)=7),cubic_spline(F797:F804,H797:H804,B$2),IF(AND(COUNT(H798:H809)=8,COUNT(F798:F809)=8),cubic_spline(F797:F805,H797:H805,B$2),IF(AND(COUNT(H798:H809)=9,COUNT(F798:F809)=9),cubic_spline(F797:F806,H797:H806,B$2),IF(AND(COUNT(H798:H809)=10,COUNT(F798:F809)=10),cubic_spline(F797:F807,H797:H807,B$2),IF(AND(COUNT(H798:H809)=11,COUNT(F798:F809)=11),cubic_spline(F797:F808,H797:H808,B$2),IF(AND(COUNT(H798:H809)=12,COUNT(F798:F809)=12),cubic_spline(F797:F809,H797:H809,B$2),""))))))))))))</f>
        <v/>
      </c>
      <c r="K798" s="52" t="str">
        <f>IF(N(B$2)=0,"",IF(AND(COUNT(A798:A809)=2,COUNT(F798:F809)=2),cubic_spline(F797:F799,A797:A799,B$2),IF(AND(COUNT(A798:A809)=3,COUNT(F798:F809)=3),cubic_spline(F797:F800,A797:A800,B$2),IF(AND(COUNT(A798:A809)=4,COUNT(F798:F809)=4),cubic_spline(F797:F801,A797:A801,B$2),IF(AND(COUNT(A798:A809)=5,COUNT(F798:F809)=5),cubic_spline(F797:F802,A797:A802,B$2),IF(AND(COUNT(A798:A809)=6,COUNT(F798:F809)=6),cubic_spline(F797:F803,A797:A803,B$2),IF(AND(COUNT(A798:A809)=7,COUNT(F798:F809)=7),cubic_spline(F797:F804,A797:A804,B$2),IF(AND(COUNT(A798:A809)=8,COUNT(F798:F809)=8),cubic_spline(F797:F805,A797:A805,B$2),IF(AND(COUNT(A798:A809)=9,COUNT(F798:F809)=9),cubic_spline(F797:F806,A797:A806,B$2),IF(AND(COUNT(A798:A809)=10,COUNT(F798:F809)=10),cubic_spline(F797:F807,A797:A807,B$2),IF(AND(COUNT(A798:A809)=11,COUNT(F798:F809)=11),cubic_spline(F797:F808,A797:A808,B$2),IF(AND(COUNT(A798:A809)=12,COUNT(F798:F809)=12),cubic_spline(F797:F809,A797:A809,B$2),""))))))))))))</f>
        <v/>
      </c>
      <c r="L798" s="27" t="str">
        <f>IF(I798="","",0&amp;"-"&amp;B$2)</f>
        <v/>
      </c>
      <c r="M798" s="52" t="str">
        <f>IF(N(J798)=0,"",J798-J797)</f>
        <v/>
      </c>
    </row>
    <row r="799" spans="1:13" x14ac:dyDescent="0.35">
      <c r="A799" s="48"/>
      <c r="B799" s="48"/>
      <c r="C799" s="50"/>
      <c r="D799" s="50"/>
      <c r="E799" s="51" t="str">
        <f t="shared" ref="E799:E809" si="303">IF(N(C799)=0,"",(A799-A798)*C799*100)</f>
        <v/>
      </c>
      <c r="F799" s="68" t="str">
        <f t="shared" si="301"/>
        <v/>
      </c>
      <c r="G799" s="69" t="str">
        <f t="shared" ref="G799:G809" si="304">IF(OR(N(D799)=0,N(E799)=0),"",(E799*D799)/1000)</f>
        <v/>
      </c>
      <c r="H799" s="70" t="str">
        <f t="shared" si="302"/>
        <v/>
      </c>
      <c r="I799" s="27" t="str">
        <f>IF(N(J799)=0,"",0&amp;"-"&amp;B$3)</f>
        <v/>
      </c>
      <c r="J799" s="52" t="str">
        <f>IF(N(B$3)=0,"",IF(AND(COUNT(H798:H809)=2,COUNT(F798:F809)=2),cubic_spline(F797:F799,H797:H799,B$3),IF(AND(COUNT(H798:H809)=3,COUNT(F798:F809)=3),cubic_spline(F797:F800,H797:H800,B$3),IF(AND(COUNT(H798:H809)=4,COUNT(F798:F809)=4),cubic_spline(F797:F801,H797:H801,B$3),IF(AND(COUNT(H798:H809)=5,COUNT(F798:F809)=5),cubic_spline(F797:F802,H797:H802,B$3),IF(AND(COUNT(H798:H809)=6,COUNT(F798:F809)=6),cubic_spline(F797:F803,H797:H803,B$3),IF(AND(COUNT(H798:H809)=7,COUNT(F798:F809)=7),cubic_spline(F797:F804,H797:H804,B$3),IF(AND(COUNT(H798:H809)=8,COUNT(F798:F809)=8),cubic_spline(F797:F805,H797:H805,B$3),IF(AND(COUNT(H798:H809)=9,COUNT(F798:F809)=9),cubic_spline(F797:F806,H797:H806,B$3),IF(AND(COUNT(H798:H809)=10,COUNT(F798:F809)=10),cubic_spline(F797:F807,H797:H807,B$3),IF(AND(COUNT(H798:H809)=11,COUNT(F798:F809)=11),cubic_spline(F797:F808,H797:H808,B$3),IF(AND(COUNT(H798:H809)=12,COUNT(F798:F809)=12),cubic_spline(F797:F809,H797:H809,B$3),""))))))))))))</f>
        <v/>
      </c>
      <c r="K799" s="52" t="str">
        <f>IF(N(B$3)=0,"",IF(AND(COUNT(A798:A809)=2,COUNT(F798:F809)=2),cubic_spline(F797:F799,A797:A799,B$3),IF(AND(COUNT(A798:A809)=3,COUNT(F798:F809)=3),cubic_spline(F797:F800,A797:A800,B$3),IF(AND(COUNT(A798:A809)=4,COUNT(F798:F809)=4),cubic_spline(F797:F801,A797:A801,B$3),IF(AND(COUNT(A798:A809)=5,COUNT(F798:F809)=5),cubic_spline(F797:F802,A797:A802,B$3),IF(AND(COUNT(A798:A809)=6,COUNT(F798:F809)=6),cubic_spline(F797:F803,A797:A803,B$3),IF(AND(COUNT(A798:A809)=7,COUNT(F798:F809)=7),cubic_spline(F797:F804,A797:A804,B$3),IF(AND(COUNT(A798:A809)=8,COUNT(F798:F809)=8),cubic_spline(F797:F805,A797:A805,B$3),IF(AND(COUNT(A798:A809)=9,COUNT(F798:F809)=9),cubic_spline(F797:F806,A797:A806,B$3),IF(AND(COUNT(A798:A809)=10,COUNT(F798:F809)=10),cubic_spline(F797:F807,A797:A807,B$3),IF(AND(COUNT(A798:A809)=11,COUNT(F798:F809)=11),cubic_spline(F797:F808,A797:A808,B$3),IF(AND(COUNT(A798:A809)=12,COUNT(F798:F809)=12),cubic_spline(F797:F809,A797:A809,B$3),""))))))))))))</f>
        <v/>
      </c>
      <c r="L799" s="27" t="str">
        <f>IF(I799="","",B$2&amp;"-"&amp;B$3)</f>
        <v/>
      </c>
      <c r="M799" s="52" t="str">
        <f>IF(N(J799)=0,"",J799-J798)</f>
        <v/>
      </c>
    </row>
    <row r="800" spans="1:13" x14ac:dyDescent="0.35">
      <c r="A800" s="48"/>
      <c r="B800" s="48"/>
      <c r="C800" s="50"/>
      <c r="D800" s="50"/>
      <c r="E800" s="51" t="str">
        <f t="shared" si="303"/>
        <v/>
      </c>
      <c r="F800" s="68" t="str">
        <f t="shared" si="301"/>
        <v/>
      </c>
      <c r="G800" s="69" t="str">
        <f t="shared" si="304"/>
        <v/>
      </c>
      <c r="H800" s="70" t="str">
        <f t="shared" si="302"/>
        <v/>
      </c>
      <c r="I800" s="27" t="str">
        <f>IF(N(J800)=0,"",0&amp;"-"&amp;B$4)</f>
        <v/>
      </c>
      <c r="J800" s="52" t="str">
        <f>IF(N(B$4)=0,"",IF(AND(COUNT(H798:H809)=2,COUNT(F798:F809)=2),cubic_spline(F797:F799,H797:H799,B$4),IF(AND(COUNT(H798:H809)=3,COUNT(F798:F809)=3),cubic_spline(F797:F800,H797:H800,B$4),IF(AND(COUNT(H798:H809)=4,COUNT(F798:F809)=4),cubic_spline(F797:F801,H797:H801,B$4),IF(AND(COUNT(H798:H809)=5,COUNT(F798:F809)=5),cubic_spline(F797:F802,H797:H802,B$4),IF(AND(COUNT(H798:H809)=6,COUNT(F798:F809)=6),cubic_spline(F797:F803,H797:H803,B$4),IF(AND(COUNT(H798:H809)=7,COUNT(F798:F809)=7),cubic_spline(F797:F804,H797:H804,B$4),IF(AND(COUNT(H798:H809)=8,COUNT(F798:F809)=8),cubic_spline(F797:F805,H797:H805,B$4),IF(AND(COUNT(H798:H809)=9,COUNT(F798:F809)=9),cubic_spline(F797:F806,H797:H806,B$4),IF(AND(COUNT(H798:H809)=10,COUNT(F798:F809)=10),cubic_spline(F797:F807,H797:H807,B$4),IF(AND(COUNT(H798:H809)=11,COUNT(F798:F809)=11),cubic_spline(F797:F808,H797:H808,B$4),IF(AND(COUNT(H798:H809)=12,COUNT(F798:F809)=12),cubic_spline(F797:F809,H797:H809,B$4),""))))))))))))</f>
        <v/>
      </c>
      <c r="K800" s="52" t="str">
        <f>IF(N(B$4)=0,"",IF(AND(COUNT(A798:A809)=2,COUNT(F798:F809)=2),cubic_spline(F797:F799,A797:A799,B$4),IF(AND(COUNT(A798:A809)=3,COUNT(F798:F809)=3),cubic_spline(F797:F800,A797:A800,B$4),IF(AND(COUNT(A798:A809)=4,COUNT(F798:F809)=4),cubic_spline(F797:F801,A797:A801,B$4),IF(AND(COUNT(A798:A809)=5,COUNT(F798:F809)=5),cubic_spline(F797:F802,A797:A802,B$4),IF(AND(COUNT(A798:A809)=6,COUNT(F798:F809)=6),cubic_spline(F797:F803,A797:A803,B$4),IF(AND(COUNT(A798:A809)=7,COUNT(F798:F809)=7),cubic_spline(F797:F804,A797:A804,B$4),IF(AND(COUNT(A798:A809)=8,COUNT(F798:F809)=8),cubic_spline(F797:F805,A797:A805,B$4),IF(AND(COUNT(A798:A809)=9,COUNT(F798:F809)=9),cubic_spline(F797:F806,A797:A806,B$4),IF(AND(COUNT(A798:A809)=10,COUNT(F798:F809)=10),cubic_spline(F797:F807,A797:A807,B$4),IF(AND(COUNT(A798:A809)=11,COUNT(F798:F809)=11),cubic_spline(F797:F808,A797:A808,B$4),IF(AND(COUNT(A798:A809)=12,COUNT(F798:F809)=12),cubic_spline(F797:F809,A797:A809,B$4),""))))))))))))</f>
        <v/>
      </c>
      <c r="L800" s="27" t="str">
        <f>IF(I800="","",B$3&amp;"-"&amp;B$4)</f>
        <v/>
      </c>
      <c r="M800" s="52" t="str">
        <f>IF(N(J800)=0,"",J800-J799)</f>
        <v/>
      </c>
    </row>
    <row r="801" spans="1:13" x14ac:dyDescent="0.35">
      <c r="A801" s="48"/>
      <c r="B801" s="48"/>
      <c r="C801" s="50"/>
      <c r="D801" s="50"/>
      <c r="E801" s="51" t="str">
        <f t="shared" si="303"/>
        <v/>
      </c>
      <c r="F801" s="68" t="str">
        <f t="shared" si="301"/>
        <v/>
      </c>
      <c r="G801" s="69" t="str">
        <f t="shared" si="304"/>
        <v/>
      </c>
      <c r="H801" s="70" t="str">
        <f t="shared" si="302"/>
        <v/>
      </c>
      <c r="I801" s="27" t="str">
        <f>IF(N(J801)=0,"",0&amp;"-"&amp;B$5)</f>
        <v/>
      </c>
      <c r="J801" s="52" t="str">
        <f>IF(N(B$5)=0,"",IF(AND(COUNT(H798:H809)=2,COUNT(F798:F809)=2),cubic_spline(F797:F799,H797:H799,B$5),IF(AND(COUNT(H798:H809)=3,COUNT(F798:F809)=3),cubic_spline(F797:F800,H797:H800,B$5),IF(AND(COUNT(H798:H809)=4,COUNT(F798:F809)=4),cubic_spline(F797:F801,H797:H801,B$5),IF(AND(COUNT(H798:H809)=5,COUNT(F798:F809)=5),cubic_spline(F797:F802,H797:H802,B$5),IF(AND(COUNT(H798:H809)=6,COUNT(F798:F809)=6),cubic_spline(F797:F803,H797:H803,B$5),IF(AND(COUNT(H798:H809)=7,COUNT(F798:F809)=7),cubic_spline(F797:F804,H797:H804,B$5),IF(AND(COUNT(H798:H809)=8,COUNT(F798:F809)=8),cubic_spline(F797:F805,H797:H805,B$5),IF(AND(COUNT(H798:H809)=9,COUNT(F798:F809)=9),cubic_spline(F797:F806,H797:H806,B$5),IF(AND(COUNT(H798:H809)=10,COUNT(F798:F809)=10),cubic_spline(F797:F807,H797:H807,B$5),IF(AND(COUNT(H798:H809)=11,COUNT(F798:F809)=11),cubic_spline(F797:F808,H797:H808,B$5),IF(AND(COUNT(H798:H809)=12,COUNT(F798:F809)=12),cubic_spline(F797:F809,H797:H809,B$5),""))))))))))))</f>
        <v/>
      </c>
      <c r="K801" s="52" t="str">
        <f>IF(N(B$5)=0,"",IF(AND(COUNT(A798:A809)=2,COUNT(F798:F809)=2),cubic_spline(F797:F799,A797:A799,B$5),IF(AND(COUNT(A798:A809)=3,COUNT(F798:F809)=3),cubic_spline(F797:F800,A797:A800,B$5),IF(AND(COUNT(A798:A809)=4,COUNT(F798:F809)=4),cubic_spline(F797:F801,A797:A801,B$5),IF(AND(COUNT(A798:A809)=5,COUNT(F798:F809)=5),cubic_spline(F797:F802,A797:A802,B$5),IF(AND(COUNT(A798:A809)=6,COUNT(F798:F809)=6),cubic_spline(F797:F803,A797:A803,B$5),IF(AND(COUNT(A798:A809)=7,COUNT(F798:F809)=7),cubic_spline(F797:F804,A797:A804,B$5),IF(AND(COUNT(A798:A809)=8,COUNT(F798:F809)=8),cubic_spline(F797:F805,A797:A805,B$5),IF(AND(COUNT(A798:A809)=9,COUNT(F798:F809)=9),cubic_spline(F797:F806,A797:A806,B$5),IF(AND(COUNT(A798:A809)=10,COUNT(F798:F809)=10),cubic_spline(F797:F807,A797:A807,B$5),IF(AND(COUNT(A798:A809)=11,COUNT(F798:F809)=11),cubic_spline(F797:F808,A797:A808,B$5),IF(AND(COUNT(A798:A809)=12,COUNT(F798:F809)=12),cubic_spline(F797:F809,A797:A809,B$5),""))))))))))))</f>
        <v/>
      </c>
      <c r="L801" s="27" t="str">
        <f>IF(I801="","",B$4&amp;"-"&amp;B$5)</f>
        <v/>
      </c>
      <c r="M801" s="52" t="str">
        <f>IF(N(J801)=0,"",J801-J800)</f>
        <v/>
      </c>
    </row>
    <row r="802" spans="1:13" x14ac:dyDescent="0.35">
      <c r="A802" s="48"/>
      <c r="B802" s="48"/>
      <c r="C802" s="50"/>
      <c r="D802" s="50"/>
      <c r="E802" s="51" t="str">
        <f t="shared" si="303"/>
        <v/>
      </c>
      <c r="F802" s="71" t="str">
        <f t="shared" si="301"/>
        <v/>
      </c>
      <c r="G802" s="69" t="str">
        <f t="shared" si="304"/>
        <v/>
      </c>
      <c r="H802" s="70" t="str">
        <f t="shared" si="302"/>
        <v/>
      </c>
      <c r="I802" s="27" t="str">
        <f>IF(N(J802)=0,"",0&amp;"-"&amp;B$6)</f>
        <v/>
      </c>
      <c r="J802" s="52" t="str">
        <f>IF(N(B$6)=0,"",IF(AND(COUNT(H798:H809)=2,COUNT(F798:F809)=2),cubic_spline(F797:F799,H797:H799,B$6),IF(AND(COUNT(H798:H809)=3,COUNT(F798:F809)=3),cubic_spline(F797:F800,H797:H800,B$6),IF(AND(COUNT(H798:H809)=4,COUNT(F798:F809)=4),cubic_spline(F797:F801,H797:H801,B$6),IF(AND(COUNT(H798:H809)=5,COUNT(F798:F809)=5),cubic_spline(F797:F802,H797:H802,B$6),IF(AND(COUNT(H798:H809)=6,COUNT(F798:F809)=6),cubic_spline(F797:F803,H797:H803,B$6),IF(AND(COUNT(H798:H809)=7,COUNT(F798:F809)=7),cubic_spline(F797:F804,H797:H804,B$6),IF(AND(COUNT(H798:H809)=8,COUNT(F798:F809)=8),cubic_spline(F797:F805,H797:H805,B$6),IF(AND(COUNT(H798:H809)=9,COUNT(F798:F809)=9),cubic_spline(F797:F806,H797:H806,B$6),IF(AND(COUNT(H798:H809)=10,COUNT(F798:F809)=10),cubic_spline(F797:F807,H797:H807,B$6),IF(AND(COUNT(H798:H809)=11,COUNT(F798:F809)=11),cubic_spline(F797:F808,H797:H808,B$6),IF(AND(COUNT(H798:H809)=12,COUNT(F798:F809)=12),cubic_spline(F797:F809,H797:H809,B$6),""))))))))))))</f>
        <v/>
      </c>
      <c r="K802" s="52" t="str">
        <f>IF(N(B$6)=0,"",IF(AND(COUNT(A798:A809)=2,COUNT(F798:F809)=2),cubic_spline(F797:F799,A797:A799,B$6),IF(AND(COUNT(A798:A809)=3,COUNT(F798:F809)=3),cubic_spline(F797:F800,A797:A800,B$6),IF(AND(COUNT(A798:A809)=4,COUNT(F798:F809)=4),cubic_spline(F797:F801,A797:A801,B$6),IF(AND(COUNT(A798:A809)=5,COUNT(F798:F809)=5),cubic_spline(F797:F802,A797:A802,B$6),IF(AND(COUNT(A798:A809)=6,COUNT(F798:F809)=6),cubic_spline(F797:F803,A797:A803,B$6),IF(AND(COUNT(A798:A809)=7,COUNT(F798:F809)=7),cubic_spline(F797:F804,A797:A804,B$6),IF(AND(COUNT(A798:A809)=8,COUNT(F798:F809)=8),cubic_spline(F797:F805,A797:A805,B$6),IF(AND(COUNT(A798:A809)=9,COUNT(F798:F809)=9),cubic_spline(F797:F806,A797:A806,B$6),IF(AND(COUNT(A798:A809)=10,COUNT(F798:F809)=10),cubic_spline(F797:F807,A797:A807,B$6),IF(AND(COUNT(A798:A809)=11,COUNT(F798:F809)=11),cubic_spline(F797:F808,A797:A808,B$6),IF(AND(COUNT(A798:A809)=12,COUNT(F798:F809)=12),cubic_spline(F797:F809,A797:A809,B$6),""))))))))))))</f>
        <v/>
      </c>
      <c r="L802" s="27" t="str">
        <f>IF(I802="","",B$5&amp;"-"&amp;B$6)</f>
        <v/>
      </c>
      <c r="M802" s="52" t="str">
        <f>IF(N(J802)=0,"",J802-J801)</f>
        <v/>
      </c>
    </row>
    <row r="803" spans="1:13" x14ac:dyDescent="0.35">
      <c r="A803" s="48"/>
      <c r="B803" s="48"/>
      <c r="C803" s="50"/>
      <c r="D803" s="50"/>
      <c r="E803" s="51" t="str">
        <f t="shared" si="303"/>
        <v/>
      </c>
      <c r="F803" s="71" t="str">
        <f t="shared" si="301"/>
        <v/>
      </c>
      <c r="G803" s="69" t="str">
        <f t="shared" si="304"/>
        <v/>
      </c>
      <c r="H803" s="70" t="str">
        <f t="shared" si="302"/>
        <v/>
      </c>
      <c r="I803" s="27" t="str">
        <f>IF(N(J803)=0,"",0&amp;"-"&amp;B$7)</f>
        <v/>
      </c>
      <c r="J803" s="52" t="str">
        <f>IF(N(B$7)=0,"",IF(AND(COUNT(H798:H809)=2,COUNT(F798:F809)=2),cubic_spline(F797:F799,H797:H799,B$7),IF(AND(COUNT(H798:H809)=3,COUNT(F798:F809)=3),cubic_spline(F797:F800,H797:H800,B$7),IF(AND(COUNT(H798:H809)=4,COUNT(F798:F809)=4),cubic_spline(F797:F801,H797:H801,B$7),IF(AND(COUNT(H798:H809)=5,COUNT(F798:F809)=5),cubic_spline(F797:F802,H797:H802,B$7),IF(AND(COUNT(H798:H809)=6,COUNT(F798:F809)=6),cubic_spline(F797:F803,H797:H803,B$7),IF(AND(COUNT(H798:H809)=7,COUNT(F798:F809)=7),cubic_spline(F797:F804,H797:H804,B$7),IF(AND(COUNT(H798:H809)=8,COUNT(F798:F809)=8),cubic_spline(F797:F805,H797:H805,B$7),IF(AND(COUNT(H798:H809)=9,COUNT(F798:F809)=9),cubic_spline(F797:F806,H797:H806,B$7),IF(AND(COUNT(H798:H809)=10,COUNT(F798:F809)=10),cubic_spline(F797:F807,H797:H807,B$7),IF(AND(COUNT(H798:H809)=11,COUNT(F798:F809)=11),cubic_spline(F797:F808,H797:H808,B$7),IF(AND(COUNT(H798:H809)=12,COUNT(F798:F809)=12),cubic_spline(F797:F809,H797:H809,B$7),""))))))))))))</f>
        <v/>
      </c>
      <c r="K803" s="52" t="str">
        <f>IF(N(B$7)=0,"",IF(AND(COUNT(A798:A809)=2,COUNT(F798:F809)=2),cubic_spline(F797:F799,A797:A799,B$7),IF(AND(COUNT(A798:A809)=3,COUNT(F798:F809)=3),cubic_spline(F797:F800,A797:A800,B$7),IF(AND(COUNT(A798:A809)=4,COUNT(F798:F809)=4),cubic_spline(F797:F801,A797:A801,B$7),IF(AND(COUNT(A798:A809)=5,COUNT(F798:F809)=5),cubic_spline(F797:F802,A797:A802,B$7),IF(AND(COUNT(A798:A809)=6,COUNT(F798:F809)=6),cubic_spline(F797:F803,A797:A803,B$7),IF(AND(COUNT(A798:A809)=7,COUNT(F798:F809)=7),cubic_spline(F797:F804,A797:A804,B$7),IF(AND(COUNT(A798:A809)=8,COUNT(F798:F809)=8),cubic_spline(F797:F805,A797:A805,B$7),IF(AND(COUNT(A798:A809)=9,COUNT(F798:F809)=9),cubic_spline(F797:F806,A797:A806,B$7),IF(AND(COUNT(A798:A809)=10,COUNT(F798:F809)=10),cubic_spline(F797:F807,A797:A807,B$7),IF(AND(COUNT(A798:A809)=11,COUNT(F798:F809)=11),cubic_spline(F797:F808,A797:A808,B$7),IF(AND(COUNT(A798:A809)=12,COUNT(F798:F809)=12),cubic_spline(F797:F809,A797:A809,B$7),""))))))))))))</f>
        <v/>
      </c>
      <c r="L803" s="27" t="str">
        <f>IF(I803="","",B$6&amp;"-"&amp;B$7)</f>
        <v/>
      </c>
      <c r="M803" s="52" t="str">
        <f t="shared" ref="M803:M809" si="305">IF(N(J803)=0,"",J803-J802)</f>
        <v/>
      </c>
    </row>
    <row r="804" spans="1:13" x14ac:dyDescent="0.35">
      <c r="A804" s="48"/>
      <c r="B804" s="48"/>
      <c r="C804" s="50"/>
      <c r="D804" s="50"/>
      <c r="E804" s="51" t="str">
        <f t="shared" si="303"/>
        <v/>
      </c>
      <c r="F804" s="71" t="str">
        <f t="shared" si="301"/>
        <v/>
      </c>
      <c r="G804" s="69" t="str">
        <f t="shared" si="304"/>
        <v/>
      </c>
      <c r="H804" s="70" t="str">
        <f t="shared" si="302"/>
        <v/>
      </c>
      <c r="I804" s="27" t="str">
        <f>IF(N(J804)=0,"",0&amp;"-"&amp;B$8)</f>
        <v/>
      </c>
      <c r="J804" s="52" t="str">
        <f>IF(N(B$8)=0,"",IF(AND(COUNT(H798:H809)=2,COUNT(F798:F809)=2),cubic_spline(F797:F799,H797:H799,B$8),IF(AND(COUNT(H798:H809)=3,COUNT(F798:F809)=3),cubic_spline(F797:F800,H797:H800,B$8),IF(AND(COUNT(H798:H809)=4,COUNT(F798:F809)=4),cubic_spline(F797:F801,H797:H801,B$8),IF(AND(COUNT(H798:H809)=5,COUNT(F798:F809)=5),cubic_spline(F797:F802,H797:H802,B$8),IF(AND(COUNT(H798:H809)=6,COUNT(F798:F809)=6),cubic_spline(F797:F803,H797:H803,B$8),IF(AND(COUNT(H798:H809)=7,COUNT(F798:F809)=7),cubic_spline(F797:F804,H797:H804,B$8),IF(AND(COUNT(H798:H809)=8,COUNT(F798:F809)=8),cubic_spline(F797:F805,H797:H805,B$8),IF(AND(COUNT(H798:H809)=9,COUNT(F798:F809)=9),cubic_spline(F797:F806,H797:H806,B$8),IF(AND(COUNT(H798:H809)=10,COUNT(F798:F809)=10),cubic_spline(F797:F807,H797:H807,B$8),IF(AND(COUNT(H798:H809)=11,COUNT(F798:F809)=11),cubic_spline(F797:F808,H797:H808,B$8),IF(AND(COUNT(H798:H809)=12,COUNT(F798:F809)=12),cubic_spline(F797:F809,H797:H809,B$8),""))))))))))))</f>
        <v/>
      </c>
      <c r="K804" s="52" t="str">
        <f>IF(N(B$8)=0,"",IF(AND(COUNT(A798:A809)=2,COUNT(F798:F809)=2),cubic_spline(F797:F799,A797:A799,B$8),IF(AND(COUNT(A798:A809)=3,COUNT(F798:F809)=3),cubic_spline(F797:F800,A797:A800,B$8),IF(AND(COUNT(A798:A809)=4,COUNT(F798:F809)=4),cubic_spline(F797:F801,A797:A801,B$8),IF(AND(COUNT(A798:A809)=5,COUNT(F798:F809)=5),cubic_spline(F797:F802,A797:A802,B$8),IF(AND(COUNT(A798:A809)=6,COUNT(F798:F809)=6),cubic_spline(F797:F803,A797:A803,B$8),IF(AND(COUNT(A798:A809)=7,COUNT(F798:F809)=7),cubic_spline(F797:F804,A797:A804,B$8),IF(AND(COUNT(A798:A809)=8,COUNT(F798:F809)=8),cubic_spline(F797:F805,A797:A805,B$8),IF(AND(COUNT(A798:A809)=9,COUNT(F798:F809)=9),cubic_spline(F797:F806,A797:A806,B$8),IF(AND(COUNT(A798:A809)=10,COUNT(F798:F809)=10),cubic_spline(F797:F807,A797:A807,B$8),IF(AND(COUNT(A798:A809)=11,COUNT(F798:F809)=11),cubic_spline(F797:F808,A797:A808,B$8),IF(AND(COUNT(A798:A809)=12,COUNT(F798:F809)=12),cubic_spline(F797:F809,A797:A809,B$8),""))))))))))))</f>
        <v/>
      </c>
      <c r="L804" s="27" t="str">
        <f>IF(I804="","",B$7&amp;"-"&amp;B$8)</f>
        <v/>
      </c>
      <c r="M804" s="52" t="str">
        <f t="shared" si="305"/>
        <v/>
      </c>
    </row>
    <row r="805" spans="1:13" x14ac:dyDescent="0.35">
      <c r="A805" s="48"/>
      <c r="B805" s="48"/>
      <c r="C805" s="50"/>
      <c r="D805" s="50"/>
      <c r="E805" s="51" t="str">
        <f t="shared" si="303"/>
        <v/>
      </c>
      <c r="F805" s="71" t="str">
        <f t="shared" si="301"/>
        <v/>
      </c>
      <c r="G805" s="69" t="str">
        <f t="shared" si="304"/>
        <v/>
      </c>
      <c r="H805" s="70" t="str">
        <f t="shared" si="302"/>
        <v/>
      </c>
      <c r="I805" s="27" t="str">
        <f>IF(N(J805)=0,"",0&amp;"-"&amp;B$9)</f>
        <v/>
      </c>
      <c r="J805" s="52" t="str">
        <f>IF(N(B$9)=0,"",IF(AND(COUNT(H798:H809)=2,COUNT(F798:F809)=2),cubic_spline(F797:F799,H797:H799,B$9),IF(AND(COUNT(H798:H809)=3,COUNT(F798:F809)=3),cubic_spline(F797:F800,H797:H800,B$9),IF(AND(COUNT(H798:H809)=4,COUNT(F798:F809)=4),cubic_spline(F797:F801,H797:H801,B$9),IF(AND(COUNT(H798:H809)=5,COUNT(F798:F809)=5),cubic_spline(F797:F802,H797:H802,B$9),IF(AND(COUNT(H798:H809)=6,COUNT(F798:F809)=6),cubic_spline(F797:F803,H797:H803,B$9),IF(AND(COUNT(H798:H809)=7,COUNT(F798:F809)=7),cubic_spline(F797:F804,H797:H804,B$9),IF(AND(COUNT(H798:H809)=8,COUNT(F798:F809)=8),cubic_spline(F797:F805,H797:H805,B$9),IF(AND(COUNT(H798:H809)=9,COUNT(F798:F809)=9),cubic_spline(F797:F806,H797:H806,B$9),IF(AND(COUNT(H798:H809)=10,COUNT(F798:F809)=10),cubic_spline(F797:F807,H797:H807,B$9),IF(AND(COUNT(H798:H809)=11,COUNT(F798:F809)=11),cubic_spline(F797:F808,H797:H808,B$9),IF(AND(COUNT(H798:H809)=12,COUNT(F798:F809)=12),cubic_spline(F797:F809,H797:H809,B$9),""))))))))))))</f>
        <v/>
      </c>
      <c r="K805" s="52" t="str">
        <f>IF(N(B$9)=0,"",IF(AND(COUNT(A798:A809)=2,COUNT(F798:F809)=2),cubic_spline(F797:F799,A797:A799,B$9),IF(AND(COUNT(A798:A809)=3,COUNT(F798:F809)=3),cubic_spline(F797:F800,A797:A800,B$9),IF(AND(COUNT(A798:A809)=4,COUNT(F798:F809)=4),cubic_spline(F797:F801,A797:A801,B$9),IF(AND(COUNT(A798:A809)=5,COUNT(F798:F809)=5),cubic_spline(F797:F802,A797:A802,B$9),IF(AND(COUNT(A798:A809)=6,COUNT(F798:F809)=6),cubic_spline(F797:F803,A797:A803,B$9),IF(AND(COUNT(A798:A809)=7,COUNT(F798:F809)=7),cubic_spline(F797:F804,A797:A804,B$9),IF(AND(COUNT(A798:A809)=8,COUNT(F798:F809)=8),cubic_spline(F797:F805,A797:A805,B$9),IF(AND(COUNT(A798:A809)=9,COUNT(F798:F809)=9),cubic_spline(F797:F806,A797:A806,B$9),IF(AND(COUNT(A798:A809)=10,COUNT(F798:F809)=10),cubic_spline(F797:F807,A797:A807,B$9),IF(AND(COUNT(A798:A809)=11,COUNT(F798:F809)=11),cubic_spline(F797:F808,A797:A808,B$9),IF(AND(COUNT(A798:A809)=12,COUNT(F798:F809)=12),cubic_spline(F797:F809,A797:A809,B$9),""))))))))))))</f>
        <v/>
      </c>
      <c r="L805" s="27" t="str">
        <f>IF(I805="","",B$8&amp;"-"&amp;B$9)</f>
        <v/>
      </c>
      <c r="M805" s="52" t="str">
        <f t="shared" si="305"/>
        <v/>
      </c>
    </row>
    <row r="806" spans="1:13" x14ac:dyDescent="0.35">
      <c r="A806" s="48"/>
      <c r="B806" s="48"/>
      <c r="C806" s="50"/>
      <c r="D806" s="50"/>
      <c r="E806" s="51" t="str">
        <f t="shared" si="303"/>
        <v/>
      </c>
      <c r="F806" s="71" t="str">
        <f t="shared" si="301"/>
        <v/>
      </c>
      <c r="G806" s="69" t="str">
        <f t="shared" si="304"/>
        <v/>
      </c>
      <c r="H806" s="70" t="str">
        <f t="shared" si="302"/>
        <v/>
      </c>
      <c r="I806" s="27" t="str">
        <f>IF(N(J806)=0,"",0&amp;"-"&amp;B$10)</f>
        <v/>
      </c>
      <c r="J806" s="52" t="str">
        <f>IF(N(B$10)=0,"",IF(AND(COUNT(H798:H809)=2,COUNT(F798:F809)=2),cubic_spline(F797:F799,H797:H799,B$10),IF(AND(COUNT(H798:H809)=3,COUNT(F798:F809)=3),cubic_spline(F797:F800,H797:H800,B$10),IF(AND(COUNT(H798:H809)=4,COUNT(F798:F809)=4),cubic_spline(F797:F801,H797:H801,B$10),IF(AND(COUNT(H798:H809)=5,COUNT(F798:F809)=5),cubic_spline(F797:F802,H797:H802,B$10),IF(AND(COUNT(H798:H809)=6,COUNT(F798:F809)=6),cubic_spline(F797:F803,H797:H803,B$10),IF(AND(COUNT(H798:H809)=7,COUNT(F798:F809)=7),cubic_spline(F797:F804,H797:H804,B$10),IF(AND(COUNT(H798:H809)=8,COUNT(F798:F809)=8),cubic_spline(F797:F805,H797:H805,B$10),IF(AND(COUNT(H798:H809)=9,COUNT(F798:F809)=9),cubic_spline(F797:F806,H797:H806,B$10),IF(AND(COUNT(H798:H809)=10,COUNT(F798:F809)=10),cubic_spline(F797:F807,H797:H807,B$10),IF(AND(COUNT(H798:H809)=11,COUNT(F798:F809)=11),cubic_spline(F797:F808,H797:H808,B$10),IF(AND(COUNT(H798:H809)=12,COUNT(F798:F809)=12),cubic_spline(F797:F809,H797:H809,B$10),""))))))))))))</f>
        <v/>
      </c>
      <c r="K806" s="52" t="str">
        <f>IF(N(B$10)=0,"",IF(AND(COUNT(A798:A809)=2,COUNT(F798:F809)=2),cubic_spline(F797:F799,A797:A799,B$10),IF(AND(COUNT(A798:A809)=3,COUNT(F798:F809)=3),cubic_spline(F797:F800,A797:A800,B$10),IF(AND(COUNT(A798:A809)=4,COUNT(F798:F809)=4),cubic_spline(F797:F801,A797:A801,B$10),IF(AND(COUNT(A798:A809)=5,COUNT(F798:F809)=5),cubic_spline(F797:F802,A797:A802,B$10),IF(AND(COUNT(A798:A809)=6,COUNT(F798:F809)=6),cubic_spline(F797:F803,A797:A803,B$10),IF(AND(COUNT(A798:A809)=7,COUNT(F798:F809)=7),cubic_spline(F797:F804,A797:A804,B$10),IF(AND(COUNT(A798:A809)=8,COUNT(F798:F809)=8),cubic_spline(F797:F805,A797:A805,B$10),IF(AND(COUNT(A798:A809)=9,COUNT(F798:F809)=9),cubic_spline(F797:F806,A797:A806,B$10),IF(AND(COUNT(A798:A809)=10,COUNT(F798:F809)=10),cubic_spline(F797:F807,A797:A807,B$10),IF(AND(COUNT(A798:A809)=11,COUNT(F798:F809)=11),cubic_spline(F797:F808,A797:A808,B$10),IF(AND(COUNT(A798:A809)=12,COUNT(F798:F809)=12),cubic_spline(F797:F809,A797:A809,B$10),""))))))))))))</f>
        <v/>
      </c>
      <c r="L806" s="27" t="str">
        <f>IF(I806="","",B$9&amp;"-"&amp;B$10)</f>
        <v/>
      </c>
      <c r="M806" s="52" t="str">
        <f t="shared" si="305"/>
        <v/>
      </c>
    </row>
    <row r="807" spans="1:13" x14ac:dyDescent="0.35">
      <c r="A807" s="48"/>
      <c r="B807" s="48"/>
      <c r="C807" s="50"/>
      <c r="D807" s="50"/>
      <c r="E807" s="51" t="str">
        <f t="shared" si="303"/>
        <v/>
      </c>
      <c r="F807" s="71" t="str">
        <f t="shared" si="301"/>
        <v/>
      </c>
      <c r="G807" s="69" t="str">
        <f t="shared" si="304"/>
        <v/>
      </c>
      <c r="H807" s="70" t="str">
        <f t="shared" si="302"/>
        <v/>
      </c>
      <c r="I807" s="27" t="str">
        <f>IF(N(J807)=0,"",0&amp;"-"&amp;B$11)</f>
        <v/>
      </c>
      <c r="J807" s="52" t="str">
        <f>IF(N(B$11)=0,"",IF(AND(COUNT(H798:H809)=2,COUNT(F798:F809)=2),cubic_spline(F797:F799,H797:H799,B$11),IF(AND(COUNT(H798:H809)=3,COUNT(F798:F809)=3),cubic_spline(F797:F800,H797:H800,B$11),IF(AND(COUNT(H798:H809)=4,COUNT(F798:F809)=4),cubic_spline(F797:F801,H797:H801,B$11),IF(AND(COUNT(H798:H809)=5,COUNT(F798:F809)=5),cubic_spline(F797:F802,H797:H802,B$11),IF(AND(COUNT(H798:H809)=6,COUNT(F798:F809)=6),cubic_spline(F797:F803,H797:H803,B$11),IF(AND(COUNT(H798:H809)=7,COUNT(F798:F809)=7),cubic_spline(F797:F804,H797:H804,B$11),IF(AND(COUNT(H798:H809)=8,COUNT(F798:F809)=8),cubic_spline(F797:F805,H797:H805,B$11),IF(AND(COUNT(H798:H809)=9,COUNT(F798:F809)=9),cubic_spline(F797:F806,H797:H806,B$11),IF(AND(COUNT(H798:H809)=10,COUNT(F798:F809)=10),cubic_spline(F797:F807,H797:H807,B$11),IF(AND(COUNT(H798:H809)=11,COUNT(F798:F809)=11),cubic_spline(F797:F808,H797:H808,B$11),IF(AND(COUNT(H798:H809)=12,COUNT(F798:F809)=12),cubic_spline(F797:F809,H797:H809,B$11),""))))))))))))</f>
        <v/>
      </c>
      <c r="K807" s="52" t="str">
        <f>IF(N(B$11)=0,"",IF(AND(COUNT(A798:A809)=2,COUNT(F798:F809)=2),cubic_spline(F797:F799,A797:A799,B$11),IF(AND(COUNT(A798:A809)=3,COUNT(F798:F809)=3),cubic_spline(F797:F800,A797:A800,B$11),IF(AND(COUNT(A798:A809)=4,COUNT(F798:F809)=4),cubic_spline(F797:F801,A797:A801,B$11),IF(AND(COUNT(A798:A809)=5,COUNT(F798:F809)=5),cubic_spline(F797:F802,A797:A802,B$11),IF(AND(COUNT(A798:A809)=6,COUNT(F798:F809)=6),cubic_spline(F797:F803,A797:A803,B$11),IF(AND(COUNT(A798:A809)=7,COUNT(F798:F809)=7),cubic_spline(F797:F804,A797:A804,B$11),IF(AND(COUNT(A798:A809)=8,COUNT(F798:F809)=8),cubic_spline(F797:F805,A797:A805,B$11),IF(AND(COUNT(A798:A809)=9,COUNT(F798:F809)=9),cubic_spline(F797:F806,A797:A806,B$11),IF(AND(COUNT(A798:A809)=10,COUNT(F798:F809)=10),cubic_spline(F797:F807,A797:A807,B$11),IF(AND(COUNT(A798:A809)=11,COUNT(F798:F809)=11),cubic_spline(F797:F808,A797:A808,B$11),IF(AND(COUNT(A798:A809)=12,COUNT(F798:F809)=12),cubic_spline(F797:F809,A797:A809,B$11),""))))))))))))</f>
        <v/>
      </c>
      <c r="L807" s="27" t="str">
        <f>IF(I807="","",B$10&amp;"-"&amp;B$11)</f>
        <v/>
      </c>
      <c r="M807" s="52" t="str">
        <f t="shared" si="305"/>
        <v/>
      </c>
    </row>
    <row r="808" spans="1:13" x14ac:dyDescent="0.35">
      <c r="A808" s="48"/>
      <c r="B808" s="48"/>
      <c r="C808" s="50"/>
      <c r="D808" s="50"/>
      <c r="E808" s="51" t="str">
        <f t="shared" si="303"/>
        <v/>
      </c>
      <c r="F808" s="71" t="str">
        <f t="shared" si="301"/>
        <v/>
      </c>
      <c r="G808" s="69" t="str">
        <f t="shared" si="304"/>
        <v/>
      </c>
      <c r="H808" s="70" t="str">
        <f t="shared" si="302"/>
        <v/>
      </c>
      <c r="I808" s="27" t="str">
        <f>IF(N(J808)=0,"",0&amp;"-"&amp;B$12)</f>
        <v/>
      </c>
      <c r="J808" s="52" t="str">
        <f>IF(N(B$12)=0,"",IF(AND(COUNT(H798:H809)=2,COUNT(F798:F809)=2),cubic_spline(F797:F799,H797:H799,B$12),IF(AND(COUNT(H798:H809)=3,COUNT(F798:F809)=3),cubic_spline(F797:F800,H797:H800,B$12),IF(AND(COUNT(H798:H809)=4,COUNT(F798:F809)=4),cubic_spline(F797:F801,H797:H801,B$12),IF(AND(COUNT(H798:H809)=5,COUNT(F798:F809)=5),cubic_spline(F797:F802,H797:H802,B$12),IF(AND(COUNT(H798:H809)=6,COUNT(F798:F809)=6),cubic_spline(F797:F803,H797:H803,B$12),IF(AND(COUNT(H798:H809)=7,COUNT(F798:F809)=7),cubic_spline(F797:F804,H797:H804,B$12),IF(AND(COUNT(H798:H809)=8,COUNT(F798:F809)=8),cubic_spline(F797:F805,H797:H805,B$12),IF(AND(COUNT(H798:H809)=9,COUNT(F798:F809)=9),cubic_spline(F797:F806,H797:H806,B$12),IF(AND(COUNT(H798:H809)=10,COUNT(F798:F809)=10),cubic_spline(F797:F807,H797:H807,B$12),IF(AND(COUNT(H798:H809)=11,COUNT(F798:F809)=11),cubic_spline(F797:F808,H797:H808,B$12),IF(AND(COUNT(H798:H809)=12,COUNT(F798:F809)=12),cubic_spline(F797:F809,H797:H809,B$12),""))))))))))))</f>
        <v/>
      </c>
      <c r="K808" s="52" t="str">
        <f>IF(N(B$12)=0,"",IF(AND(COUNT(A798:A809)=2,COUNT(F798:F809)=2),cubic_spline(F797:F799,A797:A799,B$12),IF(AND(COUNT(A798:A809)=3,COUNT(F798:F809)=3),cubic_spline(F797:F800,A797:A800,B$12),IF(AND(COUNT(A798:A809)=4,COUNT(F798:F809)=4),cubic_spline(F797:F801,A797:A801,B$12),IF(AND(COUNT(A798:A809)=5,COUNT(F798:F809)=5),cubic_spline(F797:F802,A797:A802,B$12),IF(AND(COUNT(A798:A809)=6,COUNT(F798:F809)=6),cubic_spline(F797:F803,A797:A803,B$12),IF(AND(COUNT(A798:A809)=7,COUNT(F798:F809)=7),cubic_spline(F797:F804,A797:A804,B$12),IF(AND(COUNT(A798:A809)=8,COUNT(F798:F809)=8),cubic_spline(F797:F805,A797:A805,B$12),IF(AND(COUNT(A798:A809)=9,COUNT(F798:F809)=9),cubic_spline(F797:F806,A797:A806,B$12),IF(AND(COUNT(A798:A809)=10,COUNT(F798:F809)=10),cubic_spline(F797:F807,A797:A807,B$12),IF(AND(COUNT(A798:A809)=11,COUNT(F798:F809)=11),cubic_spline(F797:F808,A797:A808,B$12),IF(AND(COUNT(A798:A809)=12,COUNT(F798:F809)=12),cubic_spline(F797:F809,A797:A809,B$12),""))))))))))))</f>
        <v/>
      </c>
      <c r="L808" s="27" t="str">
        <f>IF(I808="","",B$11&amp;"-"&amp;B$12)</f>
        <v/>
      </c>
      <c r="M808" s="52" t="str">
        <f t="shared" si="305"/>
        <v/>
      </c>
    </row>
    <row r="809" spans="1:13" x14ac:dyDescent="0.35">
      <c r="A809" s="48"/>
      <c r="B809" s="48"/>
      <c r="C809" s="50"/>
      <c r="D809" s="50"/>
      <c r="E809" s="51" t="str">
        <f t="shared" si="303"/>
        <v/>
      </c>
      <c r="F809" s="71" t="str">
        <f t="shared" si="301"/>
        <v/>
      </c>
      <c r="G809" s="69" t="str">
        <f t="shared" si="304"/>
        <v/>
      </c>
      <c r="H809" s="70" t="str">
        <f t="shared" si="302"/>
        <v/>
      </c>
      <c r="I809" s="27" t="str">
        <f>IF(N(J809)=0,"",0&amp;"-"&amp;B$13)</f>
        <v/>
      </c>
      <c r="J809" s="52" t="str">
        <f>IF(N(B$13)=0,"",IF(AND(COUNT(H798:H809)=2,COUNT(F798:F809)=2),cubic_spline(F797:F799,H797:H799,B$13),IF(AND(COUNT(H798:H809)=3,COUNT(F798:F809)=3),cubic_spline(F797:F800,H797:H800,B$13),IF(AND(COUNT(H798:H809)=4,COUNT(F798:F809)=4),cubic_spline(F797:F801,H797:H801,B$13),IF(AND(COUNT(H798:H809)=5,COUNT(F798:F809)=5),cubic_spline(F797:F802,H797:H802,B$13),IF(AND(COUNT(H798:H809)=6,COUNT(F798:F809)=6),cubic_spline(F797:F803,H797:H803,B$13),IF(AND(COUNT(H798:H809)=7,COUNT(F798:F809)=7),cubic_spline(F797:F804,H797:H804,B$13),IF(AND(COUNT(H798:H809)=8,COUNT(F798:F809)=8),cubic_spline(F797:F805,H797:H805,B$13),IF(AND(COUNT(H798:H809)=9,COUNT(F798:F809)=9),cubic_spline(F797:F806,H797:H806,B$13),IF(AND(COUNT(H798:H809)=10,COUNT(F798:F809)=10),cubic_spline(F797:F807,H797:H807,B$13),IF(AND(COUNT(H798:H809)=11,COUNT(F798:F809)=11),cubic_spline(F797:F808,H797:H808,B$13),IF(AND(COUNT(H798:H809)=12,COUNT(F798:F809)=12),cubic_spline(F797:F809,H797:H809,B$13),""))))))))))))</f>
        <v/>
      </c>
      <c r="K809" s="52" t="str">
        <f>IF(N(B$13)=0,"",IF(AND(COUNT(A798:A809)=2,COUNT(F798:F809)=2),cubic_spline(F797:F799,A797:A799,B$13),IF(AND(COUNT(A798:A809)=3,COUNT(F798:F809)=3),cubic_spline(F797:F800,A797:A800,B$13),IF(AND(COUNT(A798:A809)=4,COUNT(F798:F809)=4),cubic_spline(F797:F801,A797:A801,B$13),IF(AND(COUNT(A798:A809)=5,COUNT(F798:F809)=5),cubic_spline(F797:F802,A797:A802,B$13),IF(AND(COUNT(A798:A809)=6,COUNT(F798:F809)=6),cubic_spline(F797:F803,A797:A803,B$13),IF(AND(COUNT(A798:A809)=7,COUNT(F798:F809)=7),cubic_spline(F797:F804,A797:A804,B$13),IF(AND(COUNT(A798:A809)=8,COUNT(F798:F809)=8),cubic_spline(F797:F805,A797:A805,B$13),IF(AND(COUNT(A798:A809)=9,COUNT(F798:F809)=9),cubic_spline(F797:F806,A797:A806,B$13),IF(AND(COUNT(A798:A809)=10,COUNT(F798:F809)=10),cubic_spline(F797:F807,A797:A807,B$13),IF(AND(COUNT(A798:A809)=11,COUNT(F798:F809)=11),cubic_spline(F797:F808,A797:A808,B$13),IF(AND(COUNT(A798:A809)=12,COUNT(F798:F809)=12),cubic_spline(F797:F809,A797:A809,B$13),""))))))))))))</f>
        <v/>
      </c>
      <c r="L809" s="27" t="str">
        <f>IF(I809="","",B$12&amp;"-"&amp;B$13)</f>
        <v/>
      </c>
      <c r="M809" s="52" t="str">
        <f t="shared" si="305"/>
        <v/>
      </c>
    </row>
    <row r="810" spans="1:13" ht="5.15" customHeight="1" x14ac:dyDescent="0.35">
      <c r="A810" s="47"/>
      <c r="B810" s="47"/>
      <c r="C810" s="53"/>
      <c r="D810" s="53"/>
      <c r="E810" s="54"/>
      <c r="F810" s="55"/>
      <c r="G810" s="72"/>
      <c r="H810" s="73"/>
      <c r="I810" s="47"/>
      <c r="J810" s="57"/>
      <c r="K810" s="57"/>
      <c r="L810" s="55"/>
      <c r="M810" s="57"/>
    </row>
    <row r="811" spans="1:13" x14ac:dyDescent="0.35">
      <c r="A811" s="48"/>
      <c r="B811" s="48"/>
      <c r="C811" s="50"/>
      <c r="D811" s="50"/>
      <c r="E811" s="51" t="str">
        <f>IF(N(C811)=0,"",(A811-A810)*C811*100)</f>
        <v/>
      </c>
      <c r="F811" s="68" t="str">
        <f t="shared" ref="F811:F822" si="306">IF(N(E811)=0,"",(N(E811)+N(F810)))</f>
        <v/>
      </c>
      <c r="G811" s="69" t="str">
        <f>IF(OR(N(D811)=0,N(E811)=0),"",(E811*D811)/1000)</f>
        <v/>
      </c>
      <c r="H811" s="70" t="str">
        <f t="shared" ref="H811:H822" si="307">IF(N(G811)=0,"",(N(G811)+N(H810)))</f>
        <v/>
      </c>
      <c r="I811" s="27" t="str">
        <f>IF(N(J811)=0,"",0&amp;"-"&amp;B$2)</f>
        <v/>
      </c>
      <c r="J811" s="52" t="str">
        <f>IF(N(B$2)=0,"",IF(AND(COUNT(H811:H822)=2,COUNT(F811:F822)=2),cubic_spline(F810:F812,H810:H812,B$2),IF(AND(COUNT(H811:H822)=3,COUNT(F811:F822)=3),cubic_spline(F810:F813,H810:H813,B$2),IF(AND(COUNT(H811:H822)=4,COUNT(F811:F822)=4),cubic_spline(F810:F814,H810:H814,B$2),IF(AND(COUNT(H811:H822)=5,COUNT(F811:F822)=5),cubic_spline(F810:F815,H810:H815,B$2),IF(AND(COUNT(H811:H822)=6,COUNT(F811:F822)=6),cubic_spline(F810:F816,H810:H816,B$2),IF(AND(COUNT(H811:H822)=7,COUNT(F811:F822)=7),cubic_spline(F810:F817,H810:H817,B$2),IF(AND(COUNT(H811:H822)=8,COUNT(F811:F822)=8),cubic_spline(F810:F818,H810:H818,B$2),IF(AND(COUNT(H811:H822)=9,COUNT(F811:F822)=9),cubic_spline(F810:F819,H810:H819,B$2),IF(AND(COUNT(H811:H822)=10,COUNT(F811:F822)=10),cubic_spline(F810:F820,H810:H820,B$2),IF(AND(COUNT(H811:H822)=11,COUNT(F811:F822)=11),cubic_spline(F810:F821,H810:H821,B$2),IF(AND(COUNT(H811:H822)=12,COUNT(F811:F822)=12),cubic_spline(F810:F822,H810:H822,B$2),""))))))))))))</f>
        <v/>
      </c>
      <c r="K811" s="52" t="str">
        <f>IF(N(B$2)=0,"",IF(AND(COUNT(A811:A822)=2,COUNT(F811:F822)=2),cubic_spline(F810:F812,A810:A812,B$2),IF(AND(COUNT(A811:A822)=3,COUNT(F811:F822)=3),cubic_spline(F810:F813,A810:A813,B$2),IF(AND(COUNT(A811:A822)=4,COUNT(F811:F822)=4),cubic_spline(F810:F814,A810:A814,B$2),IF(AND(COUNT(A811:A822)=5,COUNT(F811:F822)=5),cubic_spline(F810:F815,A810:A815,B$2),IF(AND(COUNT(A811:A822)=6,COUNT(F811:F822)=6),cubic_spline(F810:F816,A810:A816,B$2),IF(AND(COUNT(A811:A822)=7,COUNT(F811:F822)=7),cubic_spline(F810:F817,A810:A817,B$2),IF(AND(COUNT(A811:A822)=8,COUNT(F811:F822)=8),cubic_spline(F810:F818,A810:A818,B$2),IF(AND(COUNT(A811:A822)=9,COUNT(F811:F822)=9),cubic_spline(F810:F819,A810:A819,B$2),IF(AND(COUNT(A811:A822)=10,COUNT(F811:F822)=10),cubic_spline(F810:F820,A810:A820,B$2),IF(AND(COUNT(A811:A822)=11,COUNT(F811:F822)=11),cubic_spline(F810:F821,A810:A821,B$2),IF(AND(COUNT(A811:A822)=12,COUNT(F811:F822)=12),cubic_spline(F810:F822,A810:A822,B$2),""))))))))))))</f>
        <v/>
      </c>
      <c r="L811" s="27" t="str">
        <f>IF(I811="","",0&amp;"-"&amp;B$2)</f>
        <v/>
      </c>
      <c r="M811" s="52" t="str">
        <f>IF(N(J811)=0,"",J811-J810)</f>
        <v/>
      </c>
    </row>
    <row r="812" spans="1:13" x14ac:dyDescent="0.35">
      <c r="A812" s="48"/>
      <c r="B812" s="48"/>
      <c r="C812" s="50"/>
      <c r="D812" s="50"/>
      <c r="E812" s="51" t="str">
        <f t="shared" ref="E812:E822" si="308">IF(N(C812)=0,"",(A812-A811)*C812*100)</f>
        <v/>
      </c>
      <c r="F812" s="68" t="str">
        <f t="shared" si="306"/>
        <v/>
      </c>
      <c r="G812" s="69" t="str">
        <f t="shared" ref="G812:G822" si="309">IF(OR(N(D812)=0,N(E812)=0),"",(E812*D812)/1000)</f>
        <v/>
      </c>
      <c r="H812" s="70" t="str">
        <f t="shared" si="307"/>
        <v/>
      </c>
      <c r="I812" s="27" t="str">
        <f>IF(N(J812)=0,"",0&amp;"-"&amp;B$3)</f>
        <v/>
      </c>
      <c r="J812" s="52" t="str">
        <f>IF(N(B$3)=0,"",IF(AND(COUNT(H811:H822)=2,COUNT(F811:F822)=2),cubic_spline(F810:F812,H810:H812,B$3),IF(AND(COUNT(H811:H822)=3,COUNT(F811:F822)=3),cubic_spline(F810:F813,H810:H813,B$3),IF(AND(COUNT(H811:H822)=4,COUNT(F811:F822)=4),cubic_spline(F810:F814,H810:H814,B$3),IF(AND(COUNT(H811:H822)=5,COUNT(F811:F822)=5),cubic_spline(F810:F815,H810:H815,B$3),IF(AND(COUNT(H811:H822)=6,COUNT(F811:F822)=6),cubic_spline(F810:F816,H810:H816,B$3),IF(AND(COUNT(H811:H822)=7,COUNT(F811:F822)=7),cubic_spline(F810:F817,H810:H817,B$3),IF(AND(COUNT(H811:H822)=8,COUNT(F811:F822)=8),cubic_spline(F810:F818,H810:H818,B$3),IF(AND(COUNT(H811:H822)=9,COUNT(F811:F822)=9),cubic_spline(F810:F819,H810:H819,B$3),IF(AND(COUNT(H811:H822)=10,COUNT(F811:F822)=10),cubic_spline(F810:F820,H810:H820,B$3),IF(AND(COUNT(H811:H822)=11,COUNT(F811:F822)=11),cubic_spline(F810:F821,H810:H821,B$3),IF(AND(COUNT(H811:H822)=12,COUNT(F811:F822)=12),cubic_spline(F810:F822,H810:H822,B$3),""))))))))))))</f>
        <v/>
      </c>
      <c r="K812" s="52" t="str">
        <f>IF(N(B$3)=0,"",IF(AND(COUNT(A811:A822)=2,COUNT(F811:F822)=2),cubic_spline(F810:F812,A810:A812,B$3),IF(AND(COUNT(A811:A822)=3,COUNT(F811:F822)=3),cubic_spline(F810:F813,A810:A813,B$3),IF(AND(COUNT(A811:A822)=4,COUNT(F811:F822)=4),cubic_spline(F810:F814,A810:A814,B$3),IF(AND(COUNT(A811:A822)=5,COUNT(F811:F822)=5),cubic_spline(F810:F815,A810:A815,B$3),IF(AND(COUNT(A811:A822)=6,COUNT(F811:F822)=6),cubic_spline(F810:F816,A810:A816,B$3),IF(AND(COUNT(A811:A822)=7,COUNT(F811:F822)=7),cubic_spline(F810:F817,A810:A817,B$3),IF(AND(COUNT(A811:A822)=8,COUNT(F811:F822)=8),cubic_spline(F810:F818,A810:A818,B$3),IF(AND(COUNT(A811:A822)=9,COUNT(F811:F822)=9),cubic_spline(F810:F819,A810:A819,B$3),IF(AND(COUNT(A811:A822)=10,COUNT(F811:F822)=10),cubic_spline(F810:F820,A810:A820,B$3),IF(AND(COUNT(A811:A822)=11,COUNT(F811:F822)=11),cubic_spline(F810:F821,A810:A821,B$3),IF(AND(COUNT(A811:A822)=12,COUNT(F811:F822)=12),cubic_spline(F810:F822,A810:A822,B$3),""))))))))))))</f>
        <v/>
      </c>
      <c r="L812" s="27" t="str">
        <f>IF(I812="","",B$2&amp;"-"&amp;B$3)</f>
        <v/>
      </c>
      <c r="M812" s="52" t="str">
        <f>IF(N(J812)=0,"",J812-J811)</f>
        <v/>
      </c>
    </row>
    <row r="813" spans="1:13" x14ac:dyDescent="0.35">
      <c r="A813" s="48"/>
      <c r="B813" s="48"/>
      <c r="C813" s="50"/>
      <c r="D813" s="50"/>
      <c r="E813" s="51" t="str">
        <f t="shared" si="308"/>
        <v/>
      </c>
      <c r="F813" s="68" t="str">
        <f t="shared" si="306"/>
        <v/>
      </c>
      <c r="G813" s="69" t="str">
        <f t="shared" si="309"/>
        <v/>
      </c>
      <c r="H813" s="70" t="str">
        <f t="shared" si="307"/>
        <v/>
      </c>
      <c r="I813" s="27" t="str">
        <f>IF(N(J813)=0,"",0&amp;"-"&amp;B$4)</f>
        <v/>
      </c>
      <c r="J813" s="52" t="str">
        <f>IF(N(B$4)=0,"",IF(AND(COUNT(H811:H822)=2,COUNT(F811:F822)=2),cubic_spline(F810:F812,H810:H812,B$4),IF(AND(COUNT(H811:H822)=3,COUNT(F811:F822)=3),cubic_spline(F810:F813,H810:H813,B$4),IF(AND(COUNT(H811:H822)=4,COUNT(F811:F822)=4),cubic_spline(F810:F814,H810:H814,B$4),IF(AND(COUNT(H811:H822)=5,COUNT(F811:F822)=5),cubic_spline(F810:F815,H810:H815,B$4),IF(AND(COUNT(H811:H822)=6,COUNT(F811:F822)=6),cubic_spline(F810:F816,H810:H816,B$4),IF(AND(COUNT(H811:H822)=7,COUNT(F811:F822)=7),cubic_spline(F810:F817,H810:H817,B$4),IF(AND(COUNT(H811:H822)=8,COUNT(F811:F822)=8),cubic_spline(F810:F818,H810:H818,B$4),IF(AND(COUNT(H811:H822)=9,COUNT(F811:F822)=9),cubic_spline(F810:F819,H810:H819,B$4),IF(AND(COUNT(H811:H822)=10,COUNT(F811:F822)=10),cubic_spline(F810:F820,H810:H820,B$4),IF(AND(COUNT(H811:H822)=11,COUNT(F811:F822)=11),cubic_spline(F810:F821,H810:H821,B$4),IF(AND(COUNT(H811:H822)=12,COUNT(F811:F822)=12),cubic_spline(F810:F822,H810:H822,B$4),""))))))))))))</f>
        <v/>
      </c>
      <c r="K813" s="52" t="str">
        <f>IF(N(B$4)=0,"",IF(AND(COUNT(A811:A822)=2,COUNT(F811:F822)=2),cubic_spline(F810:F812,A810:A812,B$4),IF(AND(COUNT(A811:A822)=3,COUNT(F811:F822)=3),cubic_spline(F810:F813,A810:A813,B$4),IF(AND(COUNT(A811:A822)=4,COUNT(F811:F822)=4),cubic_spline(F810:F814,A810:A814,B$4),IF(AND(COUNT(A811:A822)=5,COUNT(F811:F822)=5),cubic_spline(F810:F815,A810:A815,B$4),IF(AND(COUNT(A811:A822)=6,COUNT(F811:F822)=6),cubic_spline(F810:F816,A810:A816,B$4),IF(AND(COUNT(A811:A822)=7,COUNT(F811:F822)=7),cubic_spline(F810:F817,A810:A817,B$4),IF(AND(COUNT(A811:A822)=8,COUNT(F811:F822)=8),cubic_spline(F810:F818,A810:A818,B$4),IF(AND(COUNT(A811:A822)=9,COUNT(F811:F822)=9),cubic_spline(F810:F819,A810:A819,B$4),IF(AND(COUNT(A811:A822)=10,COUNT(F811:F822)=10),cubic_spline(F810:F820,A810:A820,B$4),IF(AND(COUNT(A811:A822)=11,COUNT(F811:F822)=11),cubic_spline(F810:F821,A810:A821,B$4),IF(AND(COUNT(A811:A822)=12,COUNT(F811:F822)=12),cubic_spline(F810:F822,A810:A822,B$4),""))))))))))))</f>
        <v/>
      </c>
      <c r="L813" s="27" t="str">
        <f>IF(I813="","",B$3&amp;"-"&amp;B$4)</f>
        <v/>
      </c>
      <c r="M813" s="52" t="str">
        <f>IF(N(J813)=0,"",J813-J812)</f>
        <v/>
      </c>
    </row>
    <row r="814" spans="1:13" x14ac:dyDescent="0.35">
      <c r="A814" s="48"/>
      <c r="B814" s="48"/>
      <c r="C814" s="50"/>
      <c r="D814" s="50"/>
      <c r="E814" s="51" t="str">
        <f t="shared" si="308"/>
        <v/>
      </c>
      <c r="F814" s="68" t="str">
        <f t="shared" si="306"/>
        <v/>
      </c>
      <c r="G814" s="69" t="str">
        <f t="shared" si="309"/>
        <v/>
      </c>
      <c r="H814" s="70" t="str">
        <f t="shared" si="307"/>
        <v/>
      </c>
      <c r="I814" s="27" t="str">
        <f>IF(N(J814)=0,"",0&amp;"-"&amp;B$5)</f>
        <v/>
      </c>
      <c r="J814" s="52" t="str">
        <f>IF(N(B$5)=0,"",IF(AND(COUNT(H811:H822)=2,COUNT(F811:F822)=2),cubic_spline(F810:F812,H810:H812,B$5),IF(AND(COUNT(H811:H822)=3,COUNT(F811:F822)=3),cubic_spline(F810:F813,H810:H813,B$5),IF(AND(COUNT(H811:H822)=4,COUNT(F811:F822)=4),cubic_spline(F810:F814,H810:H814,B$5),IF(AND(COUNT(H811:H822)=5,COUNT(F811:F822)=5),cubic_spline(F810:F815,H810:H815,B$5),IF(AND(COUNT(H811:H822)=6,COUNT(F811:F822)=6),cubic_spline(F810:F816,H810:H816,B$5),IF(AND(COUNT(H811:H822)=7,COUNT(F811:F822)=7),cubic_spline(F810:F817,H810:H817,B$5),IF(AND(COUNT(H811:H822)=8,COUNT(F811:F822)=8),cubic_spline(F810:F818,H810:H818,B$5),IF(AND(COUNT(H811:H822)=9,COUNT(F811:F822)=9),cubic_spline(F810:F819,H810:H819,B$5),IF(AND(COUNT(H811:H822)=10,COUNT(F811:F822)=10),cubic_spline(F810:F820,H810:H820,B$5),IF(AND(COUNT(H811:H822)=11,COUNT(F811:F822)=11),cubic_spline(F810:F821,H810:H821,B$5),IF(AND(COUNT(H811:H822)=12,COUNT(F811:F822)=12),cubic_spline(F810:F822,H810:H822,B$5),""))))))))))))</f>
        <v/>
      </c>
      <c r="K814" s="52" t="str">
        <f>IF(N(B$5)=0,"",IF(AND(COUNT(A811:A822)=2,COUNT(F811:F822)=2),cubic_spline(F810:F812,A810:A812,B$5),IF(AND(COUNT(A811:A822)=3,COUNT(F811:F822)=3),cubic_spline(F810:F813,A810:A813,B$5),IF(AND(COUNT(A811:A822)=4,COUNT(F811:F822)=4),cubic_spline(F810:F814,A810:A814,B$5),IF(AND(COUNT(A811:A822)=5,COUNT(F811:F822)=5),cubic_spline(F810:F815,A810:A815,B$5),IF(AND(COUNT(A811:A822)=6,COUNT(F811:F822)=6),cubic_spline(F810:F816,A810:A816,B$5),IF(AND(COUNT(A811:A822)=7,COUNT(F811:F822)=7),cubic_spline(F810:F817,A810:A817,B$5),IF(AND(COUNT(A811:A822)=8,COUNT(F811:F822)=8),cubic_spline(F810:F818,A810:A818,B$5),IF(AND(COUNT(A811:A822)=9,COUNT(F811:F822)=9),cubic_spline(F810:F819,A810:A819,B$5),IF(AND(COUNT(A811:A822)=10,COUNT(F811:F822)=10),cubic_spline(F810:F820,A810:A820,B$5),IF(AND(COUNT(A811:A822)=11,COUNT(F811:F822)=11),cubic_spline(F810:F821,A810:A821,B$5),IF(AND(COUNT(A811:A822)=12,COUNT(F811:F822)=12),cubic_spline(F810:F822,A810:A822,B$5),""))))))))))))</f>
        <v/>
      </c>
      <c r="L814" s="27" t="str">
        <f>IF(I814="","",B$4&amp;"-"&amp;B$5)</f>
        <v/>
      </c>
      <c r="M814" s="52" t="str">
        <f>IF(N(J814)=0,"",J814-J813)</f>
        <v/>
      </c>
    </row>
    <row r="815" spans="1:13" x14ac:dyDescent="0.35">
      <c r="A815" s="48"/>
      <c r="B815" s="48"/>
      <c r="C815" s="50"/>
      <c r="D815" s="50"/>
      <c r="E815" s="51" t="str">
        <f t="shared" si="308"/>
        <v/>
      </c>
      <c r="F815" s="71" t="str">
        <f t="shared" si="306"/>
        <v/>
      </c>
      <c r="G815" s="69" t="str">
        <f t="shared" si="309"/>
        <v/>
      </c>
      <c r="H815" s="70" t="str">
        <f t="shared" si="307"/>
        <v/>
      </c>
      <c r="I815" s="27" t="str">
        <f>IF(N(J815)=0,"",0&amp;"-"&amp;B$6)</f>
        <v/>
      </c>
      <c r="J815" s="52" t="str">
        <f>IF(N(B$6)=0,"",IF(AND(COUNT(H811:H822)=2,COUNT(F811:F822)=2),cubic_spline(F810:F812,H810:H812,B$6),IF(AND(COUNT(H811:H822)=3,COUNT(F811:F822)=3),cubic_spline(F810:F813,H810:H813,B$6),IF(AND(COUNT(H811:H822)=4,COUNT(F811:F822)=4),cubic_spline(F810:F814,H810:H814,B$6),IF(AND(COUNT(H811:H822)=5,COUNT(F811:F822)=5),cubic_spline(F810:F815,H810:H815,B$6),IF(AND(COUNT(H811:H822)=6,COUNT(F811:F822)=6),cubic_spline(F810:F816,H810:H816,B$6),IF(AND(COUNT(H811:H822)=7,COUNT(F811:F822)=7),cubic_spline(F810:F817,H810:H817,B$6),IF(AND(COUNT(H811:H822)=8,COUNT(F811:F822)=8),cubic_spline(F810:F818,H810:H818,B$6),IF(AND(COUNT(H811:H822)=9,COUNT(F811:F822)=9),cubic_spline(F810:F819,H810:H819,B$6),IF(AND(COUNT(H811:H822)=10,COUNT(F811:F822)=10),cubic_spline(F810:F820,H810:H820,B$6),IF(AND(COUNT(H811:H822)=11,COUNT(F811:F822)=11),cubic_spline(F810:F821,H810:H821,B$6),IF(AND(COUNT(H811:H822)=12,COUNT(F811:F822)=12),cubic_spline(F810:F822,H810:H822,B$6),""))))))))))))</f>
        <v/>
      </c>
      <c r="K815" s="52" t="str">
        <f>IF(N(B$6)=0,"",IF(AND(COUNT(A811:A822)=2,COUNT(F811:F822)=2),cubic_spline(F810:F812,A810:A812,B$6),IF(AND(COUNT(A811:A822)=3,COUNT(F811:F822)=3),cubic_spline(F810:F813,A810:A813,B$6),IF(AND(COUNT(A811:A822)=4,COUNT(F811:F822)=4),cubic_spline(F810:F814,A810:A814,B$6),IF(AND(COUNT(A811:A822)=5,COUNT(F811:F822)=5),cubic_spline(F810:F815,A810:A815,B$6),IF(AND(COUNT(A811:A822)=6,COUNT(F811:F822)=6),cubic_spline(F810:F816,A810:A816,B$6),IF(AND(COUNT(A811:A822)=7,COUNT(F811:F822)=7),cubic_spline(F810:F817,A810:A817,B$6),IF(AND(COUNT(A811:A822)=8,COUNT(F811:F822)=8),cubic_spline(F810:F818,A810:A818,B$6),IF(AND(COUNT(A811:A822)=9,COUNT(F811:F822)=9),cubic_spline(F810:F819,A810:A819,B$6),IF(AND(COUNT(A811:A822)=10,COUNT(F811:F822)=10),cubic_spline(F810:F820,A810:A820,B$6),IF(AND(COUNT(A811:A822)=11,COUNT(F811:F822)=11),cubic_spline(F810:F821,A810:A821,B$6),IF(AND(COUNT(A811:A822)=12,COUNT(F811:F822)=12),cubic_spline(F810:F822,A810:A822,B$6),""))))))))))))</f>
        <v/>
      </c>
      <c r="L815" s="27" t="str">
        <f>IF(I815="","",B$5&amp;"-"&amp;B$6)</f>
        <v/>
      </c>
      <c r="M815" s="52" t="str">
        <f>IF(N(J815)=0,"",J815-J814)</f>
        <v/>
      </c>
    </row>
    <row r="816" spans="1:13" x14ac:dyDescent="0.35">
      <c r="A816" s="48"/>
      <c r="B816" s="48"/>
      <c r="C816" s="50"/>
      <c r="D816" s="50"/>
      <c r="E816" s="51" t="str">
        <f t="shared" si="308"/>
        <v/>
      </c>
      <c r="F816" s="71" t="str">
        <f t="shared" si="306"/>
        <v/>
      </c>
      <c r="G816" s="69" t="str">
        <f t="shared" si="309"/>
        <v/>
      </c>
      <c r="H816" s="70" t="str">
        <f t="shared" si="307"/>
        <v/>
      </c>
      <c r="I816" s="27" t="str">
        <f>IF(N(J816)=0,"",0&amp;"-"&amp;B$7)</f>
        <v/>
      </c>
      <c r="J816" s="52" t="str">
        <f>IF(N(B$7)=0,"",IF(AND(COUNT(H811:H822)=2,COUNT(F811:F822)=2),cubic_spline(F810:F812,H810:H812,B$7),IF(AND(COUNT(H811:H822)=3,COUNT(F811:F822)=3),cubic_spline(F810:F813,H810:H813,B$7),IF(AND(COUNT(H811:H822)=4,COUNT(F811:F822)=4),cubic_spline(F810:F814,H810:H814,B$7),IF(AND(COUNT(H811:H822)=5,COUNT(F811:F822)=5),cubic_spline(F810:F815,H810:H815,B$7),IF(AND(COUNT(H811:H822)=6,COUNT(F811:F822)=6),cubic_spline(F810:F816,H810:H816,B$7),IF(AND(COUNT(H811:H822)=7,COUNT(F811:F822)=7),cubic_spline(F810:F817,H810:H817,B$7),IF(AND(COUNT(H811:H822)=8,COUNT(F811:F822)=8),cubic_spline(F810:F818,H810:H818,B$7),IF(AND(COUNT(H811:H822)=9,COUNT(F811:F822)=9),cubic_spline(F810:F819,H810:H819,B$7),IF(AND(COUNT(H811:H822)=10,COUNT(F811:F822)=10),cubic_spline(F810:F820,H810:H820,B$7),IF(AND(COUNT(H811:H822)=11,COUNT(F811:F822)=11),cubic_spline(F810:F821,H810:H821,B$7),IF(AND(COUNT(H811:H822)=12,COUNT(F811:F822)=12),cubic_spline(F810:F822,H810:H822,B$7),""))))))))))))</f>
        <v/>
      </c>
      <c r="K816" s="52" t="str">
        <f>IF(N(B$7)=0,"",IF(AND(COUNT(A811:A822)=2,COUNT(F811:F822)=2),cubic_spline(F810:F812,A810:A812,B$7),IF(AND(COUNT(A811:A822)=3,COUNT(F811:F822)=3),cubic_spline(F810:F813,A810:A813,B$7),IF(AND(COUNT(A811:A822)=4,COUNT(F811:F822)=4),cubic_spline(F810:F814,A810:A814,B$7),IF(AND(COUNT(A811:A822)=5,COUNT(F811:F822)=5),cubic_spline(F810:F815,A810:A815,B$7),IF(AND(COUNT(A811:A822)=6,COUNT(F811:F822)=6),cubic_spline(F810:F816,A810:A816,B$7),IF(AND(COUNT(A811:A822)=7,COUNT(F811:F822)=7),cubic_spline(F810:F817,A810:A817,B$7),IF(AND(COUNT(A811:A822)=8,COUNT(F811:F822)=8),cubic_spline(F810:F818,A810:A818,B$7),IF(AND(COUNT(A811:A822)=9,COUNT(F811:F822)=9),cubic_spline(F810:F819,A810:A819,B$7),IF(AND(COUNT(A811:A822)=10,COUNT(F811:F822)=10),cubic_spline(F810:F820,A810:A820,B$7),IF(AND(COUNT(A811:A822)=11,COUNT(F811:F822)=11),cubic_spline(F810:F821,A810:A821,B$7),IF(AND(COUNT(A811:A822)=12,COUNT(F811:F822)=12),cubic_spline(F810:F822,A810:A822,B$7),""))))))))))))</f>
        <v/>
      </c>
      <c r="L816" s="27" t="str">
        <f>IF(I816="","",B$6&amp;"-"&amp;B$7)</f>
        <v/>
      </c>
      <c r="M816" s="52" t="str">
        <f t="shared" ref="M816:M822" si="310">IF(N(J816)=0,"",J816-J815)</f>
        <v/>
      </c>
    </row>
    <row r="817" spans="1:13" x14ac:dyDescent="0.35">
      <c r="A817" s="48"/>
      <c r="B817" s="48"/>
      <c r="C817" s="50"/>
      <c r="D817" s="50"/>
      <c r="E817" s="51" t="str">
        <f t="shared" si="308"/>
        <v/>
      </c>
      <c r="F817" s="71" t="str">
        <f t="shared" si="306"/>
        <v/>
      </c>
      <c r="G817" s="69" t="str">
        <f t="shared" si="309"/>
        <v/>
      </c>
      <c r="H817" s="70" t="str">
        <f t="shared" si="307"/>
        <v/>
      </c>
      <c r="I817" s="27" t="str">
        <f>IF(N(J817)=0,"",0&amp;"-"&amp;B$8)</f>
        <v/>
      </c>
      <c r="J817" s="52" t="str">
        <f>IF(N(B$8)=0,"",IF(AND(COUNT(H811:H822)=2,COUNT(F811:F822)=2),cubic_spline(F810:F812,H810:H812,B$8),IF(AND(COUNT(H811:H822)=3,COUNT(F811:F822)=3),cubic_spline(F810:F813,H810:H813,B$8),IF(AND(COUNT(H811:H822)=4,COUNT(F811:F822)=4),cubic_spline(F810:F814,H810:H814,B$8),IF(AND(COUNT(H811:H822)=5,COUNT(F811:F822)=5),cubic_spline(F810:F815,H810:H815,B$8),IF(AND(COUNT(H811:H822)=6,COUNT(F811:F822)=6),cubic_spline(F810:F816,H810:H816,B$8),IF(AND(COUNT(H811:H822)=7,COUNT(F811:F822)=7),cubic_spline(F810:F817,H810:H817,B$8),IF(AND(COUNT(H811:H822)=8,COUNT(F811:F822)=8),cubic_spline(F810:F818,H810:H818,B$8),IF(AND(COUNT(H811:H822)=9,COUNT(F811:F822)=9),cubic_spline(F810:F819,H810:H819,B$8),IF(AND(COUNT(H811:H822)=10,COUNT(F811:F822)=10),cubic_spline(F810:F820,H810:H820,B$8),IF(AND(COUNT(H811:H822)=11,COUNT(F811:F822)=11),cubic_spline(F810:F821,H810:H821,B$8),IF(AND(COUNT(H811:H822)=12,COUNT(F811:F822)=12),cubic_spline(F810:F822,H810:H822,B$8),""))))))))))))</f>
        <v/>
      </c>
      <c r="K817" s="52" t="str">
        <f>IF(N(B$8)=0,"",IF(AND(COUNT(A811:A822)=2,COUNT(F811:F822)=2),cubic_spline(F810:F812,A810:A812,B$8),IF(AND(COUNT(A811:A822)=3,COUNT(F811:F822)=3),cubic_spline(F810:F813,A810:A813,B$8),IF(AND(COUNT(A811:A822)=4,COUNT(F811:F822)=4),cubic_spline(F810:F814,A810:A814,B$8),IF(AND(COUNT(A811:A822)=5,COUNT(F811:F822)=5),cubic_spline(F810:F815,A810:A815,B$8),IF(AND(COUNT(A811:A822)=6,COUNT(F811:F822)=6),cubic_spline(F810:F816,A810:A816,B$8),IF(AND(COUNT(A811:A822)=7,COUNT(F811:F822)=7),cubic_spline(F810:F817,A810:A817,B$8),IF(AND(COUNT(A811:A822)=8,COUNT(F811:F822)=8),cubic_spline(F810:F818,A810:A818,B$8),IF(AND(COUNT(A811:A822)=9,COUNT(F811:F822)=9),cubic_spline(F810:F819,A810:A819,B$8),IF(AND(COUNT(A811:A822)=10,COUNT(F811:F822)=10),cubic_spline(F810:F820,A810:A820,B$8),IF(AND(COUNT(A811:A822)=11,COUNT(F811:F822)=11),cubic_spline(F810:F821,A810:A821,B$8),IF(AND(COUNT(A811:A822)=12,COUNT(F811:F822)=12),cubic_spline(F810:F822,A810:A822,B$8),""))))))))))))</f>
        <v/>
      </c>
      <c r="L817" s="27" t="str">
        <f>IF(I817="","",B$7&amp;"-"&amp;B$8)</f>
        <v/>
      </c>
      <c r="M817" s="52" t="str">
        <f t="shared" si="310"/>
        <v/>
      </c>
    </row>
    <row r="818" spans="1:13" x14ac:dyDescent="0.35">
      <c r="A818" s="48"/>
      <c r="B818" s="48"/>
      <c r="C818" s="50"/>
      <c r="D818" s="50"/>
      <c r="E818" s="51" t="str">
        <f t="shared" si="308"/>
        <v/>
      </c>
      <c r="F818" s="71" t="str">
        <f t="shared" si="306"/>
        <v/>
      </c>
      <c r="G818" s="69" t="str">
        <f t="shared" si="309"/>
        <v/>
      </c>
      <c r="H818" s="70" t="str">
        <f t="shared" si="307"/>
        <v/>
      </c>
      <c r="I818" s="27" t="str">
        <f>IF(N(J818)=0,"",0&amp;"-"&amp;B$9)</f>
        <v/>
      </c>
      <c r="J818" s="52" t="str">
        <f>IF(N(B$9)=0,"",IF(AND(COUNT(H811:H822)=2,COUNT(F811:F822)=2),cubic_spline(F810:F812,H810:H812,B$9),IF(AND(COUNT(H811:H822)=3,COUNT(F811:F822)=3),cubic_spline(F810:F813,H810:H813,B$9),IF(AND(COUNT(H811:H822)=4,COUNT(F811:F822)=4),cubic_spline(F810:F814,H810:H814,B$9),IF(AND(COUNT(H811:H822)=5,COUNT(F811:F822)=5),cubic_spline(F810:F815,H810:H815,B$9),IF(AND(COUNT(H811:H822)=6,COUNT(F811:F822)=6),cubic_spline(F810:F816,H810:H816,B$9),IF(AND(COUNT(H811:H822)=7,COUNT(F811:F822)=7),cubic_spline(F810:F817,H810:H817,B$9),IF(AND(COUNT(H811:H822)=8,COUNT(F811:F822)=8),cubic_spline(F810:F818,H810:H818,B$9),IF(AND(COUNT(H811:H822)=9,COUNT(F811:F822)=9),cubic_spline(F810:F819,H810:H819,B$9),IF(AND(COUNT(H811:H822)=10,COUNT(F811:F822)=10),cubic_spline(F810:F820,H810:H820,B$9),IF(AND(COUNT(H811:H822)=11,COUNT(F811:F822)=11),cubic_spline(F810:F821,H810:H821,B$9),IF(AND(COUNT(H811:H822)=12,COUNT(F811:F822)=12),cubic_spline(F810:F822,H810:H822,B$9),""))))))))))))</f>
        <v/>
      </c>
      <c r="K818" s="52" t="str">
        <f>IF(N(B$9)=0,"",IF(AND(COUNT(A811:A822)=2,COUNT(F811:F822)=2),cubic_spline(F810:F812,A810:A812,B$9),IF(AND(COUNT(A811:A822)=3,COUNT(F811:F822)=3),cubic_spline(F810:F813,A810:A813,B$9),IF(AND(COUNT(A811:A822)=4,COUNT(F811:F822)=4),cubic_spline(F810:F814,A810:A814,B$9),IF(AND(COUNT(A811:A822)=5,COUNT(F811:F822)=5),cubic_spline(F810:F815,A810:A815,B$9),IF(AND(COUNT(A811:A822)=6,COUNT(F811:F822)=6),cubic_spline(F810:F816,A810:A816,B$9),IF(AND(COUNT(A811:A822)=7,COUNT(F811:F822)=7),cubic_spline(F810:F817,A810:A817,B$9),IF(AND(COUNT(A811:A822)=8,COUNT(F811:F822)=8),cubic_spline(F810:F818,A810:A818,B$9),IF(AND(COUNT(A811:A822)=9,COUNT(F811:F822)=9),cubic_spline(F810:F819,A810:A819,B$9),IF(AND(COUNT(A811:A822)=10,COUNT(F811:F822)=10),cubic_spline(F810:F820,A810:A820,B$9),IF(AND(COUNT(A811:A822)=11,COUNT(F811:F822)=11),cubic_spline(F810:F821,A810:A821,B$9),IF(AND(COUNT(A811:A822)=12,COUNT(F811:F822)=12),cubic_spline(F810:F822,A810:A822,B$9),""))))))))))))</f>
        <v/>
      </c>
      <c r="L818" s="27" t="str">
        <f>IF(I818="","",B$8&amp;"-"&amp;B$9)</f>
        <v/>
      </c>
      <c r="M818" s="52" t="str">
        <f t="shared" si="310"/>
        <v/>
      </c>
    </row>
    <row r="819" spans="1:13" x14ac:dyDescent="0.35">
      <c r="A819" s="48"/>
      <c r="B819" s="48"/>
      <c r="C819" s="50"/>
      <c r="D819" s="50"/>
      <c r="E819" s="51" t="str">
        <f t="shared" si="308"/>
        <v/>
      </c>
      <c r="F819" s="71" t="str">
        <f t="shared" si="306"/>
        <v/>
      </c>
      <c r="G819" s="69" t="str">
        <f t="shared" si="309"/>
        <v/>
      </c>
      <c r="H819" s="70" t="str">
        <f t="shared" si="307"/>
        <v/>
      </c>
      <c r="I819" s="27" t="str">
        <f>IF(N(J819)=0,"",0&amp;"-"&amp;B$10)</f>
        <v/>
      </c>
      <c r="J819" s="52" t="str">
        <f>IF(N(B$10)=0,"",IF(AND(COUNT(H811:H822)=2,COUNT(F811:F822)=2),cubic_spline(F810:F812,H810:H812,B$10),IF(AND(COUNT(H811:H822)=3,COUNT(F811:F822)=3),cubic_spline(F810:F813,H810:H813,B$10),IF(AND(COUNT(H811:H822)=4,COUNT(F811:F822)=4),cubic_spline(F810:F814,H810:H814,B$10),IF(AND(COUNT(H811:H822)=5,COUNT(F811:F822)=5),cubic_spline(F810:F815,H810:H815,B$10),IF(AND(COUNT(H811:H822)=6,COUNT(F811:F822)=6),cubic_spline(F810:F816,H810:H816,B$10),IF(AND(COUNT(H811:H822)=7,COUNT(F811:F822)=7),cubic_spline(F810:F817,H810:H817,B$10),IF(AND(COUNT(H811:H822)=8,COUNT(F811:F822)=8),cubic_spline(F810:F818,H810:H818,B$10),IF(AND(COUNT(H811:H822)=9,COUNT(F811:F822)=9),cubic_spline(F810:F819,H810:H819,B$10),IF(AND(COUNT(H811:H822)=10,COUNT(F811:F822)=10),cubic_spline(F810:F820,H810:H820,B$10),IF(AND(COUNT(H811:H822)=11,COUNT(F811:F822)=11),cubic_spline(F810:F821,H810:H821,B$10),IF(AND(COUNT(H811:H822)=12,COUNT(F811:F822)=12),cubic_spline(F810:F822,H810:H822,B$10),""))))))))))))</f>
        <v/>
      </c>
      <c r="K819" s="52" t="str">
        <f>IF(N(B$10)=0,"",IF(AND(COUNT(A811:A822)=2,COUNT(F811:F822)=2),cubic_spline(F810:F812,A810:A812,B$10),IF(AND(COUNT(A811:A822)=3,COUNT(F811:F822)=3),cubic_spline(F810:F813,A810:A813,B$10),IF(AND(COUNT(A811:A822)=4,COUNT(F811:F822)=4),cubic_spline(F810:F814,A810:A814,B$10),IF(AND(COUNT(A811:A822)=5,COUNT(F811:F822)=5),cubic_spline(F810:F815,A810:A815,B$10),IF(AND(COUNT(A811:A822)=6,COUNT(F811:F822)=6),cubic_spline(F810:F816,A810:A816,B$10),IF(AND(COUNT(A811:A822)=7,COUNT(F811:F822)=7),cubic_spline(F810:F817,A810:A817,B$10),IF(AND(COUNT(A811:A822)=8,COUNT(F811:F822)=8),cubic_spline(F810:F818,A810:A818,B$10),IF(AND(COUNT(A811:A822)=9,COUNT(F811:F822)=9),cubic_spline(F810:F819,A810:A819,B$10),IF(AND(COUNT(A811:A822)=10,COUNT(F811:F822)=10),cubic_spline(F810:F820,A810:A820,B$10),IF(AND(COUNT(A811:A822)=11,COUNT(F811:F822)=11),cubic_spline(F810:F821,A810:A821,B$10),IF(AND(COUNT(A811:A822)=12,COUNT(F811:F822)=12),cubic_spline(F810:F822,A810:A822,B$10),""))))))))))))</f>
        <v/>
      </c>
      <c r="L819" s="27" t="str">
        <f>IF(I819="","",B$9&amp;"-"&amp;B$10)</f>
        <v/>
      </c>
      <c r="M819" s="52" t="str">
        <f t="shared" si="310"/>
        <v/>
      </c>
    </row>
    <row r="820" spans="1:13" x14ac:dyDescent="0.35">
      <c r="A820" s="48"/>
      <c r="B820" s="48"/>
      <c r="C820" s="50"/>
      <c r="D820" s="50"/>
      <c r="E820" s="51" t="str">
        <f t="shared" si="308"/>
        <v/>
      </c>
      <c r="F820" s="71" t="str">
        <f t="shared" si="306"/>
        <v/>
      </c>
      <c r="G820" s="69" t="str">
        <f t="shared" si="309"/>
        <v/>
      </c>
      <c r="H820" s="70" t="str">
        <f t="shared" si="307"/>
        <v/>
      </c>
      <c r="I820" s="27" t="str">
        <f>IF(N(J820)=0,"",0&amp;"-"&amp;B$11)</f>
        <v/>
      </c>
      <c r="J820" s="52" t="str">
        <f>IF(N(B$11)=0,"",IF(AND(COUNT(H811:H822)=2,COUNT(F811:F822)=2),cubic_spline(F810:F812,H810:H812,B$11),IF(AND(COUNT(H811:H822)=3,COUNT(F811:F822)=3),cubic_spline(F810:F813,H810:H813,B$11),IF(AND(COUNT(H811:H822)=4,COUNT(F811:F822)=4),cubic_spline(F810:F814,H810:H814,B$11),IF(AND(COUNT(H811:H822)=5,COUNT(F811:F822)=5),cubic_spline(F810:F815,H810:H815,B$11),IF(AND(COUNT(H811:H822)=6,COUNT(F811:F822)=6),cubic_spline(F810:F816,H810:H816,B$11),IF(AND(COUNT(H811:H822)=7,COUNT(F811:F822)=7),cubic_spline(F810:F817,H810:H817,B$11),IF(AND(COUNT(H811:H822)=8,COUNT(F811:F822)=8),cubic_spline(F810:F818,H810:H818,B$11),IF(AND(COUNT(H811:H822)=9,COUNT(F811:F822)=9),cubic_spline(F810:F819,H810:H819,B$11),IF(AND(COUNT(H811:H822)=10,COUNT(F811:F822)=10),cubic_spline(F810:F820,H810:H820,B$11),IF(AND(COUNT(H811:H822)=11,COUNT(F811:F822)=11),cubic_spline(F810:F821,H810:H821,B$11),IF(AND(COUNT(H811:H822)=12,COUNT(F811:F822)=12),cubic_spline(F810:F822,H810:H822,B$11),""))))))))))))</f>
        <v/>
      </c>
      <c r="K820" s="52" t="str">
        <f>IF(N(B$11)=0,"",IF(AND(COUNT(A811:A822)=2,COUNT(F811:F822)=2),cubic_spline(F810:F812,A810:A812,B$11),IF(AND(COUNT(A811:A822)=3,COUNT(F811:F822)=3),cubic_spline(F810:F813,A810:A813,B$11),IF(AND(COUNT(A811:A822)=4,COUNT(F811:F822)=4),cubic_spline(F810:F814,A810:A814,B$11),IF(AND(COUNT(A811:A822)=5,COUNT(F811:F822)=5),cubic_spline(F810:F815,A810:A815,B$11),IF(AND(COUNT(A811:A822)=6,COUNT(F811:F822)=6),cubic_spline(F810:F816,A810:A816,B$11),IF(AND(COUNT(A811:A822)=7,COUNT(F811:F822)=7),cubic_spline(F810:F817,A810:A817,B$11),IF(AND(COUNT(A811:A822)=8,COUNT(F811:F822)=8),cubic_spline(F810:F818,A810:A818,B$11),IF(AND(COUNT(A811:A822)=9,COUNT(F811:F822)=9),cubic_spline(F810:F819,A810:A819,B$11),IF(AND(COUNT(A811:A822)=10,COUNT(F811:F822)=10),cubic_spline(F810:F820,A810:A820,B$11),IF(AND(COUNT(A811:A822)=11,COUNT(F811:F822)=11),cubic_spline(F810:F821,A810:A821,B$11),IF(AND(COUNT(A811:A822)=12,COUNT(F811:F822)=12),cubic_spline(F810:F822,A810:A822,B$11),""))))))))))))</f>
        <v/>
      </c>
      <c r="L820" s="27" t="str">
        <f>IF(I820="","",B$10&amp;"-"&amp;B$11)</f>
        <v/>
      </c>
      <c r="M820" s="52" t="str">
        <f t="shared" si="310"/>
        <v/>
      </c>
    </row>
    <row r="821" spans="1:13" x14ac:dyDescent="0.35">
      <c r="A821" s="48"/>
      <c r="B821" s="48"/>
      <c r="C821" s="50"/>
      <c r="D821" s="50"/>
      <c r="E821" s="51" t="str">
        <f t="shared" si="308"/>
        <v/>
      </c>
      <c r="F821" s="71" t="str">
        <f t="shared" si="306"/>
        <v/>
      </c>
      <c r="G821" s="69" t="str">
        <f t="shared" si="309"/>
        <v/>
      </c>
      <c r="H821" s="70" t="str">
        <f t="shared" si="307"/>
        <v/>
      </c>
      <c r="I821" s="27" t="str">
        <f>IF(N(J821)=0,"",0&amp;"-"&amp;B$12)</f>
        <v/>
      </c>
      <c r="J821" s="52" t="str">
        <f>IF(N(B$12)=0,"",IF(AND(COUNT(H811:H822)=2,COUNT(F811:F822)=2),cubic_spline(F810:F812,H810:H812,B$12),IF(AND(COUNT(H811:H822)=3,COUNT(F811:F822)=3),cubic_spline(F810:F813,H810:H813,B$12),IF(AND(COUNT(H811:H822)=4,COUNT(F811:F822)=4),cubic_spline(F810:F814,H810:H814,B$12),IF(AND(COUNT(H811:H822)=5,COUNT(F811:F822)=5),cubic_spline(F810:F815,H810:H815,B$12),IF(AND(COUNT(H811:H822)=6,COUNT(F811:F822)=6),cubic_spline(F810:F816,H810:H816,B$12),IF(AND(COUNT(H811:H822)=7,COUNT(F811:F822)=7),cubic_spline(F810:F817,H810:H817,B$12),IF(AND(COUNT(H811:H822)=8,COUNT(F811:F822)=8),cubic_spline(F810:F818,H810:H818,B$12),IF(AND(COUNT(H811:H822)=9,COUNT(F811:F822)=9),cubic_spline(F810:F819,H810:H819,B$12),IF(AND(COUNT(H811:H822)=10,COUNT(F811:F822)=10),cubic_spline(F810:F820,H810:H820,B$12),IF(AND(COUNT(H811:H822)=11,COUNT(F811:F822)=11),cubic_spline(F810:F821,H810:H821,B$12),IF(AND(COUNT(H811:H822)=12,COUNT(F811:F822)=12),cubic_spline(F810:F822,H810:H822,B$12),""))))))))))))</f>
        <v/>
      </c>
      <c r="K821" s="52" t="str">
        <f>IF(N(B$12)=0,"",IF(AND(COUNT(A811:A822)=2,COUNT(F811:F822)=2),cubic_spline(F810:F812,A810:A812,B$12),IF(AND(COUNT(A811:A822)=3,COUNT(F811:F822)=3),cubic_spline(F810:F813,A810:A813,B$12),IF(AND(COUNT(A811:A822)=4,COUNT(F811:F822)=4),cubic_spline(F810:F814,A810:A814,B$12),IF(AND(COUNT(A811:A822)=5,COUNT(F811:F822)=5),cubic_spline(F810:F815,A810:A815,B$12),IF(AND(COUNT(A811:A822)=6,COUNT(F811:F822)=6),cubic_spline(F810:F816,A810:A816,B$12),IF(AND(COUNT(A811:A822)=7,COUNT(F811:F822)=7),cubic_spline(F810:F817,A810:A817,B$12),IF(AND(COUNT(A811:A822)=8,COUNT(F811:F822)=8),cubic_spline(F810:F818,A810:A818,B$12),IF(AND(COUNT(A811:A822)=9,COUNT(F811:F822)=9),cubic_spline(F810:F819,A810:A819,B$12),IF(AND(COUNT(A811:A822)=10,COUNT(F811:F822)=10),cubic_spline(F810:F820,A810:A820,B$12),IF(AND(COUNT(A811:A822)=11,COUNT(F811:F822)=11),cubic_spline(F810:F821,A810:A821,B$12),IF(AND(COUNT(A811:A822)=12,COUNT(F811:F822)=12),cubic_spline(F810:F822,A810:A822,B$12),""))))))))))))</f>
        <v/>
      </c>
      <c r="L821" s="27" t="str">
        <f>IF(I821="","",B$11&amp;"-"&amp;B$12)</f>
        <v/>
      </c>
      <c r="M821" s="52" t="str">
        <f t="shared" si="310"/>
        <v/>
      </c>
    </row>
    <row r="822" spans="1:13" x14ac:dyDescent="0.35">
      <c r="A822" s="48"/>
      <c r="B822" s="48"/>
      <c r="C822" s="50"/>
      <c r="D822" s="50"/>
      <c r="E822" s="51" t="str">
        <f t="shared" si="308"/>
        <v/>
      </c>
      <c r="F822" s="71" t="str">
        <f t="shared" si="306"/>
        <v/>
      </c>
      <c r="G822" s="69" t="str">
        <f t="shared" si="309"/>
        <v/>
      </c>
      <c r="H822" s="70" t="str">
        <f t="shared" si="307"/>
        <v/>
      </c>
      <c r="I822" s="27" t="str">
        <f>IF(N(J822)=0,"",0&amp;"-"&amp;B$13)</f>
        <v/>
      </c>
      <c r="J822" s="52" t="str">
        <f>IF(N(B$13)=0,"",IF(AND(COUNT(H811:H822)=2,COUNT(F811:F822)=2),cubic_spline(F810:F812,H810:H812,B$13),IF(AND(COUNT(H811:H822)=3,COUNT(F811:F822)=3),cubic_spline(F810:F813,H810:H813,B$13),IF(AND(COUNT(H811:H822)=4,COUNT(F811:F822)=4),cubic_spline(F810:F814,H810:H814,B$13),IF(AND(COUNT(H811:H822)=5,COUNT(F811:F822)=5),cubic_spline(F810:F815,H810:H815,B$13),IF(AND(COUNT(H811:H822)=6,COUNT(F811:F822)=6),cubic_spline(F810:F816,H810:H816,B$13),IF(AND(COUNT(H811:H822)=7,COUNT(F811:F822)=7),cubic_spline(F810:F817,H810:H817,B$13),IF(AND(COUNT(H811:H822)=8,COUNT(F811:F822)=8),cubic_spline(F810:F818,H810:H818,B$13),IF(AND(COUNT(H811:H822)=9,COUNT(F811:F822)=9),cubic_spline(F810:F819,H810:H819,B$13),IF(AND(COUNT(H811:H822)=10,COUNT(F811:F822)=10),cubic_spline(F810:F820,H810:H820,B$13),IF(AND(COUNT(H811:H822)=11,COUNT(F811:F822)=11),cubic_spline(F810:F821,H810:H821,B$13),IF(AND(COUNT(H811:H822)=12,COUNT(F811:F822)=12),cubic_spline(F810:F822,H810:H822,B$13),""))))))))))))</f>
        <v/>
      </c>
      <c r="K822" s="52" t="str">
        <f>IF(N(B$13)=0,"",IF(AND(COUNT(A811:A822)=2,COUNT(F811:F822)=2),cubic_spline(F810:F812,A810:A812,B$13),IF(AND(COUNT(A811:A822)=3,COUNT(F811:F822)=3),cubic_spline(F810:F813,A810:A813,B$13),IF(AND(COUNT(A811:A822)=4,COUNT(F811:F822)=4),cubic_spline(F810:F814,A810:A814,B$13),IF(AND(COUNT(A811:A822)=5,COUNT(F811:F822)=5),cubic_spline(F810:F815,A810:A815,B$13),IF(AND(COUNT(A811:A822)=6,COUNT(F811:F822)=6),cubic_spline(F810:F816,A810:A816,B$13),IF(AND(COUNT(A811:A822)=7,COUNT(F811:F822)=7),cubic_spline(F810:F817,A810:A817,B$13),IF(AND(COUNT(A811:A822)=8,COUNT(F811:F822)=8),cubic_spline(F810:F818,A810:A818,B$13),IF(AND(COUNT(A811:A822)=9,COUNT(F811:F822)=9),cubic_spline(F810:F819,A810:A819,B$13),IF(AND(COUNT(A811:A822)=10,COUNT(F811:F822)=10),cubic_spline(F810:F820,A810:A820,B$13),IF(AND(COUNT(A811:A822)=11,COUNT(F811:F822)=11),cubic_spline(F810:F821,A810:A821,B$13),IF(AND(COUNT(A811:A822)=12,COUNT(F811:F822)=12),cubic_spline(F810:F822,A810:A822,B$13),""))))))))))))</f>
        <v/>
      </c>
      <c r="L822" s="27" t="str">
        <f>IF(I822="","",B$12&amp;"-"&amp;B$13)</f>
        <v/>
      </c>
      <c r="M822" s="52" t="str">
        <f t="shared" si="310"/>
        <v/>
      </c>
    </row>
    <row r="823" spans="1:13" ht="5.15" customHeight="1" x14ac:dyDescent="0.35">
      <c r="A823" s="47"/>
      <c r="B823" s="47"/>
      <c r="C823" s="53"/>
      <c r="D823" s="53"/>
      <c r="E823" s="54"/>
      <c r="F823" s="55"/>
      <c r="G823" s="72"/>
      <c r="H823" s="73"/>
      <c r="I823" s="47"/>
      <c r="J823" s="57"/>
      <c r="K823" s="57"/>
      <c r="L823" s="55"/>
      <c r="M823" s="57"/>
    </row>
    <row r="824" spans="1:13" x14ac:dyDescent="0.35">
      <c r="A824" s="48"/>
      <c r="B824" s="48"/>
      <c r="C824" s="50"/>
      <c r="D824" s="50"/>
      <c r="E824" s="51" t="str">
        <f>IF(N(C824)=0,"",(A824-A823)*C824*100)</f>
        <v/>
      </c>
      <c r="F824" s="68" t="str">
        <f t="shared" ref="F824:F835" si="311">IF(N(E824)=0,"",(N(E824)+N(F823)))</f>
        <v/>
      </c>
      <c r="G824" s="69" t="str">
        <f>IF(OR(N(D824)=0,N(E824)=0),"",(E824*D824)/1000)</f>
        <v/>
      </c>
      <c r="H824" s="70" t="str">
        <f t="shared" ref="H824:H835" si="312">IF(N(G824)=0,"",(N(G824)+N(H823)))</f>
        <v/>
      </c>
      <c r="I824" s="27" t="str">
        <f>IF(N(J824)=0,"",0&amp;"-"&amp;B$2)</f>
        <v/>
      </c>
      <c r="J824" s="52" t="str">
        <f>IF(N(B$2)=0,"",IF(AND(COUNT(H824:H835)=2,COUNT(F824:F835)=2),cubic_spline(F823:F825,H823:H825,B$2),IF(AND(COUNT(H824:H835)=3,COUNT(F824:F835)=3),cubic_spline(F823:F826,H823:H826,B$2),IF(AND(COUNT(H824:H835)=4,COUNT(F824:F835)=4),cubic_spline(F823:F827,H823:H827,B$2),IF(AND(COUNT(H824:H835)=5,COUNT(F824:F835)=5),cubic_spline(F823:F828,H823:H828,B$2),IF(AND(COUNT(H824:H835)=6,COUNT(F824:F835)=6),cubic_spline(F823:F829,H823:H829,B$2),IF(AND(COUNT(H824:H835)=7,COUNT(F824:F835)=7),cubic_spline(F823:F830,H823:H830,B$2),IF(AND(COUNT(H824:H835)=8,COUNT(F824:F835)=8),cubic_spline(F823:F831,H823:H831,B$2),IF(AND(COUNT(H824:H835)=9,COUNT(F824:F835)=9),cubic_spline(F823:F832,H823:H832,B$2),IF(AND(COUNT(H824:H835)=10,COUNT(F824:F835)=10),cubic_spline(F823:F833,H823:H833,B$2),IF(AND(COUNT(H824:H835)=11,COUNT(F824:F835)=11),cubic_spline(F823:F834,H823:H834,B$2),IF(AND(COUNT(H824:H835)=12,COUNT(F824:F835)=12),cubic_spline(F823:F835,H823:H835,B$2),""))))))))))))</f>
        <v/>
      </c>
      <c r="K824" s="52" t="str">
        <f>IF(N(B$2)=0,"",IF(AND(COUNT(A824:A835)=2,COUNT(F824:F835)=2),cubic_spline(F823:F825,A823:A825,B$2),IF(AND(COUNT(A824:A835)=3,COUNT(F824:F835)=3),cubic_spline(F823:F826,A823:A826,B$2),IF(AND(COUNT(A824:A835)=4,COUNT(F824:F835)=4),cubic_spline(F823:F827,A823:A827,B$2),IF(AND(COUNT(A824:A835)=5,COUNT(F824:F835)=5),cubic_spline(F823:F828,A823:A828,B$2),IF(AND(COUNT(A824:A835)=6,COUNT(F824:F835)=6),cubic_spline(F823:F829,A823:A829,B$2),IF(AND(COUNT(A824:A835)=7,COUNT(F824:F835)=7),cubic_spline(F823:F830,A823:A830,B$2),IF(AND(COUNT(A824:A835)=8,COUNT(F824:F835)=8),cubic_spline(F823:F831,A823:A831,B$2),IF(AND(COUNT(A824:A835)=9,COUNT(F824:F835)=9),cubic_spline(F823:F832,A823:A832,B$2),IF(AND(COUNT(A824:A835)=10,COUNT(F824:F835)=10),cubic_spline(F823:F833,A823:A833,B$2),IF(AND(COUNT(A824:A835)=11,COUNT(F824:F835)=11),cubic_spline(F823:F834,A823:A834,B$2),IF(AND(COUNT(A824:A835)=12,COUNT(F824:F835)=12),cubic_spline(F823:F835,A823:A835,B$2),""))))))))))))</f>
        <v/>
      </c>
      <c r="L824" s="27" t="str">
        <f>IF(I824="","",0&amp;"-"&amp;B$2)</f>
        <v/>
      </c>
      <c r="M824" s="52" t="str">
        <f>IF(N(J824)=0,"",J824-J823)</f>
        <v/>
      </c>
    </row>
    <row r="825" spans="1:13" x14ac:dyDescent="0.35">
      <c r="A825" s="48"/>
      <c r="B825" s="48"/>
      <c r="C825" s="50"/>
      <c r="D825" s="50"/>
      <c r="E825" s="51" t="str">
        <f t="shared" ref="E825:E835" si="313">IF(N(C825)=0,"",(A825-A824)*C825*100)</f>
        <v/>
      </c>
      <c r="F825" s="68" t="str">
        <f t="shared" si="311"/>
        <v/>
      </c>
      <c r="G825" s="69" t="str">
        <f t="shared" ref="G825:G835" si="314">IF(OR(N(D825)=0,N(E825)=0),"",(E825*D825)/1000)</f>
        <v/>
      </c>
      <c r="H825" s="70" t="str">
        <f t="shared" si="312"/>
        <v/>
      </c>
      <c r="I825" s="27" t="str">
        <f>IF(N(J825)=0,"",0&amp;"-"&amp;B$3)</f>
        <v/>
      </c>
      <c r="J825" s="52" t="str">
        <f>IF(N(B$3)=0,"",IF(AND(COUNT(H824:H835)=2,COUNT(F824:F835)=2),cubic_spline(F823:F825,H823:H825,B$3),IF(AND(COUNT(H824:H835)=3,COUNT(F824:F835)=3),cubic_spline(F823:F826,H823:H826,B$3),IF(AND(COUNT(H824:H835)=4,COUNT(F824:F835)=4),cubic_spline(F823:F827,H823:H827,B$3),IF(AND(COUNT(H824:H835)=5,COUNT(F824:F835)=5),cubic_spline(F823:F828,H823:H828,B$3),IF(AND(COUNT(H824:H835)=6,COUNT(F824:F835)=6),cubic_spline(F823:F829,H823:H829,B$3),IF(AND(COUNT(H824:H835)=7,COUNT(F824:F835)=7),cubic_spline(F823:F830,H823:H830,B$3),IF(AND(COUNT(H824:H835)=8,COUNT(F824:F835)=8),cubic_spline(F823:F831,H823:H831,B$3),IF(AND(COUNT(H824:H835)=9,COUNT(F824:F835)=9),cubic_spline(F823:F832,H823:H832,B$3),IF(AND(COUNT(H824:H835)=10,COUNT(F824:F835)=10),cubic_spline(F823:F833,H823:H833,B$3),IF(AND(COUNT(H824:H835)=11,COUNT(F824:F835)=11),cubic_spline(F823:F834,H823:H834,B$3),IF(AND(COUNT(H824:H835)=12,COUNT(F824:F835)=12),cubic_spline(F823:F835,H823:H835,B$3),""))))))))))))</f>
        <v/>
      </c>
      <c r="K825" s="52" t="str">
        <f>IF(N(B$3)=0,"",IF(AND(COUNT(A824:A835)=2,COUNT(F824:F835)=2),cubic_spline(F823:F825,A823:A825,B$3),IF(AND(COUNT(A824:A835)=3,COUNT(F824:F835)=3),cubic_spline(F823:F826,A823:A826,B$3),IF(AND(COUNT(A824:A835)=4,COUNT(F824:F835)=4),cubic_spline(F823:F827,A823:A827,B$3),IF(AND(COUNT(A824:A835)=5,COUNT(F824:F835)=5),cubic_spline(F823:F828,A823:A828,B$3),IF(AND(COUNT(A824:A835)=6,COUNT(F824:F835)=6),cubic_spline(F823:F829,A823:A829,B$3),IF(AND(COUNT(A824:A835)=7,COUNT(F824:F835)=7),cubic_spline(F823:F830,A823:A830,B$3),IF(AND(COUNT(A824:A835)=8,COUNT(F824:F835)=8),cubic_spline(F823:F831,A823:A831,B$3),IF(AND(COUNT(A824:A835)=9,COUNT(F824:F835)=9),cubic_spline(F823:F832,A823:A832,B$3),IF(AND(COUNT(A824:A835)=10,COUNT(F824:F835)=10),cubic_spline(F823:F833,A823:A833,B$3),IF(AND(COUNT(A824:A835)=11,COUNT(F824:F835)=11),cubic_spline(F823:F834,A823:A834,B$3),IF(AND(COUNT(A824:A835)=12,COUNT(F824:F835)=12),cubic_spline(F823:F835,A823:A835,B$3),""))))))))))))</f>
        <v/>
      </c>
      <c r="L825" s="27" t="str">
        <f>IF(I825="","",B$2&amp;"-"&amp;B$3)</f>
        <v/>
      </c>
      <c r="M825" s="52" t="str">
        <f>IF(N(J825)=0,"",J825-J824)</f>
        <v/>
      </c>
    </row>
    <row r="826" spans="1:13" x14ac:dyDescent="0.35">
      <c r="A826" s="48"/>
      <c r="B826" s="48"/>
      <c r="C826" s="50"/>
      <c r="D826" s="50"/>
      <c r="E826" s="51" t="str">
        <f t="shared" si="313"/>
        <v/>
      </c>
      <c r="F826" s="68" t="str">
        <f t="shared" si="311"/>
        <v/>
      </c>
      <c r="G826" s="69" t="str">
        <f t="shared" si="314"/>
        <v/>
      </c>
      <c r="H826" s="70" t="str">
        <f t="shared" si="312"/>
        <v/>
      </c>
      <c r="I826" s="27" t="str">
        <f>IF(N(J826)=0,"",0&amp;"-"&amp;B$4)</f>
        <v/>
      </c>
      <c r="J826" s="52" t="str">
        <f>IF(N(B$4)=0,"",IF(AND(COUNT(H824:H835)=2,COUNT(F824:F835)=2),cubic_spline(F823:F825,H823:H825,B$4),IF(AND(COUNT(H824:H835)=3,COUNT(F824:F835)=3),cubic_spline(F823:F826,H823:H826,B$4),IF(AND(COUNT(H824:H835)=4,COUNT(F824:F835)=4),cubic_spline(F823:F827,H823:H827,B$4),IF(AND(COUNT(H824:H835)=5,COUNT(F824:F835)=5),cubic_spline(F823:F828,H823:H828,B$4),IF(AND(COUNT(H824:H835)=6,COUNT(F824:F835)=6),cubic_spline(F823:F829,H823:H829,B$4),IF(AND(COUNT(H824:H835)=7,COUNT(F824:F835)=7),cubic_spline(F823:F830,H823:H830,B$4),IF(AND(COUNT(H824:H835)=8,COUNT(F824:F835)=8),cubic_spline(F823:F831,H823:H831,B$4),IF(AND(COUNT(H824:H835)=9,COUNT(F824:F835)=9),cubic_spline(F823:F832,H823:H832,B$4),IF(AND(COUNT(H824:H835)=10,COUNT(F824:F835)=10),cubic_spline(F823:F833,H823:H833,B$4),IF(AND(COUNT(H824:H835)=11,COUNT(F824:F835)=11),cubic_spline(F823:F834,H823:H834,B$4),IF(AND(COUNT(H824:H835)=12,COUNT(F824:F835)=12),cubic_spline(F823:F835,H823:H835,B$4),""))))))))))))</f>
        <v/>
      </c>
      <c r="K826" s="52" t="str">
        <f>IF(N(B$4)=0,"",IF(AND(COUNT(A824:A835)=2,COUNT(F824:F835)=2),cubic_spline(F823:F825,A823:A825,B$4),IF(AND(COUNT(A824:A835)=3,COUNT(F824:F835)=3),cubic_spline(F823:F826,A823:A826,B$4),IF(AND(COUNT(A824:A835)=4,COUNT(F824:F835)=4),cubic_spline(F823:F827,A823:A827,B$4),IF(AND(COUNT(A824:A835)=5,COUNT(F824:F835)=5),cubic_spline(F823:F828,A823:A828,B$4),IF(AND(COUNT(A824:A835)=6,COUNT(F824:F835)=6),cubic_spline(F823:F829,A823:A829,B$4),IF(AND(COUNT(A824:A835)=7,COUNT(F824:F835)=7),cubic_spline(F823:F830,A823:A830,B$4),IF(AND(COUNT(A824:A835)=8,COUNT(F824:F835)=8),cubic_spline(F823:F831,A823:A831,B$4),IF(AND(COUNT(A824:A835)=9,COUNT(F824:F835)=9),cubic_spline(F823:F832,A823:A832,B$4),IF(AND(COUNT(A824:A835)=10,COUNT(F824:F835)=10),cubic_spline(F823:F833,A823:A833,B$4),IF(AND(COUNT(A824:A835)=11,COUNT(F824:F835)=11),cubic_spline(F823:F834,A823:A834,B$4),IF(AND(COUNT(A824:A835)=12,COUNT(F824:F835)=12),cubic_spline(F823:F835,A823:A835,B$4),""))))))))))))</f>
        <v/>
      </c>
      <c r="L826" s="27" t="str">
        <f>IF(I826="","",B$3&amp;"-"&amp;B$4)</f>
        <v/>
      </c>
      <c r="M826" s="52" t="str">
        <f>IF(N(J826)=0,"",J826-J825)</f>
        <v/>
      </c>
    </row>
    <row r="827" spans="1:13" x14ac:dyDescent="0.35">
      <c r="A827" s="48"/>
      <c r="B827" s="48"/>
      <c r="C827" s="50"/>
      <c r="D827" s="50"/>
      <c r="E827" s="51" t="str">
        <f t="shared" si="313"/>
        <v/>
      </c>
      <c r="F827" s="68" t="str">
        <f t="shared" si="311"/>
        <v/>
      </c>
      <c r="G827" s="69" t="str">
        <f t="shared" si="314"/>
        <v/>
      </c>
      <c r="H827" s="70" t="str">
        <f t="shared" si="312"/>
        <v/>
      </c>
      <c r="I827" s="27" t="str">
        <f>IF(N(J827)=0,"",0&amp;"-"&amp;B$5)</f>
        <v/>
      </c>
      <c r="J827" s="52" t="str">
        <f>IF(N(B$5)=0,"",IF(AND(COUNT(H824:H835)=2,COUNT(F824:F835)=2),cubic_spline(F823:F825,H823:H825,B$5),IF(AND(COUNT(H824:H835)=3,COUNT(F824:F835)=3),cubic_spline(F823:F826,H823:H826,B$5),IF(AND(COUNT(H824:H835)=4,COUNT(F824:F835)=4),cubic_spline(F823:F827,H823:H827,B$5),IF(AND(COUNT(H824:H835)=5,COUNT(F824:F835)=5),cubic_spline(F823:F828,H823:H828,B$5),IF(AND(COUNT(H824:H835)=6,COUNT(F824:F835)=6),cubic_spline(F823:F829,H823:H829,B$5),IF(AND(COUNT(H824:H835)=7,COUNT(F824:F835)=7),cubic_spline(F823:F830,H823:H830,B$5),IF(AND(COUNT(H824:H835)=8,COUNT(F824:F835)=8),cubic_spline(F823:F831,H823:H831,B$5),IF(AND(COUNT(H824:H835)=9,COUNT(F824:F835)=9),cubic_spline(F823:F832,H823:H832,B$5),IF(AND(COUNT(H824:H835)=10,COUNT(F824:F835)=10),cubic_spline(F823:F833,H823:H833,B$5),IF(AND(COUNT(H824:H835)=11,COUNT(F824:F835)=11),cubic_spline(F823:F834,H823:H834,B$5),IF(AND(COUNT(H824:H835)=12,COUNT(F824:F835)=12),cubic_spline(F823:F835,H823:H835,B$5),""))))))))))))</f>
        <v/>
      </c>
      <c r="K827" s="52" t="str">
        <f>IF(N(B$5)=0,"",IF(AND(COUNT(A824:A835)=2,COUNT(F824:F835)=2),cubic_spline(F823:F825,A823:A825,B$5),IF(AND(COUNT(A824:A835)=3,COUNT(F824:F835)=3),cubic_spline(F823:F826,A823:A826,B$5),IF(AND(COUNT(A824:A835)=4,COUNT(F824:F835)=4),cubic_spline(F823:F827,A823:A827,B$5),IF(AND(COUNT(A824:A835)=5,COUNT(F824:F835)=5),cubic_spline(F823:F828,A823:A828,B$5),IF(AND(COUNT(A824:A835)=6,COUNT(F824:F835)=6),cubic_spline(F823:F829,A823:A829,B$5),IF(AND(COUNT(A824:A835)=7,COUNT(F824:F835)=7),cubic_spline(F823:F830,A823:A830,B$5),IF(AND(COUNT(A824:A835)=8,COUNT(F824:F835)=8),cubic_spline(F823:F831,A823:A831,B$5),IF(AND(COUNT(A824:A835)=9,COUNT(F824:F835)=9),cubic_spline(F823:F832,A823:A832,B$5),IF(AND(COUNT(A824:A835)=10,COUNT(F824:F835)=10),cubic_spline(F823:F833,A823:A833,B$5),IF(AND(COUNT(A824:A835)=11,COUNT(F824:F835)=11),cubic_spline(F823:F834,A823:A834,B$5),IF(AND(COUNT(A824:A835)=12,COUNT(F824:F835)=12),cubic_spline(F823:F835,A823:A835,B$5),""))))))))))))</f>
        <v/>
      </c>
      <c r="L827" s="27" t="str">
        <f>IF(I827="","",B$4&amp;"-"&amp;B$5)</f>
        <v/>
      </c>
      <c r="M827" s="52" t="str">
        <f>IF(N(J827)=0,"",J827-J826)</f>
        <v/>
      </c>
    </row>
    <row r="828" spans="1:13" x14ac:dyDescent="0.35">
      <c r="A828" s="48"/>
      <c r="B828" s="48"/>
      <c r="C828" s="50"/>
      <c r="D828" s="50"/>
      <c r="E828" s="51" t="str">
        <f t="shared" si="313"/>
        <v/>
      </c>
      <c r="F828" s="71" t="str">
        <f t="shared" si="311"/>
        <v/>
      </c>
      <c r="G828" s="69" t="str">
        <f t="shared" si="314"/>
        <v/>
      </c>
      <c r="H828" s="70" t="str">
        <f t="shared" si="312"/>
        <v/>
      </c>
      <c r="I828" s="27" t="str">
        <f>IF(N(J828)=0,"",0&amp;"-"&amp;B$6)</f>
        <v/>
      </c>
      <c r="J828" s="52" t="str">
        <f>IF(N(B$6)=0,"",IF(AND(COUNT(H824:H835)=2,COUNT(F824:F835)=2),cubic_spline(F823:F825,H823:H825,B$6),IF(AND(COUNT(H824:H835)=3,COUNT(F824:F835)=3),cubic_spline(F823:F826,H823:H826,B$6),IF(AND(COUNT(H824:H835)=4,COUNT(F824:F835)=4),cubic_spline(F823:F827,H823:H827,B$6),IF(AND(COUNT(H824:H835)=5,COUNT(F824:F835)=5),cubic_spline(F823:F828,H823:H828,B$6),IF(AND(COUNT(H824:H835)=6,COUNT(F824:F835)=6),cubic_spline(F823:F829,H823:H829,B$6),IF(AND(COUNT(H824:H835)=7,COUNT(F824:F835)=7),cubic_spline(F823:F830,H823:H830,B$6),IF(AND(COUNT(H824:H835)=8,COUNT(F824:F835)=8),cubic_spline(F823:F831,H823:H831,B$6),IF(AND(COUNT(H824:H835)=9,COUNT(F824:F835)=9),cubic_spline(F823:F832,H823:H832,B$6),IF(AND(COUNT(H824:H835)=10,COUNT(F824:F835)=10),cubic_spline(F823:F833,H823:H833,B$6),IF(AND(COUNT(H824:H835)=11,COUNT(F824:F835)=11),cubic_spline(F823:F834,H823:H834,B$6),IF(AND(COUNT(H824:H835)=12,COUNT(F824:F835)=12),cubic_spline(F823:F835,H823:H835,B$6),""))))))))))))</f>
        <v/>
      </c>
      <c r="K828" s="52" t="str">
        <f>IF(N(B$6)=0,"",IF(AND(COUNT(A824:A835)=2,COUNT(F824:F835)=2),cubic_spline(F823:F825,A823:A825,B$6),IF(AND(COUNT(A824:A835)=3,COUNT(F824:F835)=3),cubic_spline(F823:F826,A823:A826,B$6),IF(AND(COUNT(A824:A835)=4,COUNT(F824:F835)=4),cubic_spline(F823:F827,A823:A827,B$6),IF(AND(COUNT(A824:A835)=5,COUNT(F824:F835)=5),cubic_spline(F823:F828,A823:A828,B$6),IF(AND(COUNT(A824:A835)=6,COUNT(F824:F835)=6),cubic_spline(F823:F829,A823:A829,B$6),IF(AND(COUNT(A824:A835)=7,COUNT(F824:F835)=7),cubic_spline(F823:F830,A823:A830,B$6),IF(AND(COUNT(A824:A835)=8,COUNT(F824:F835)=8),cubic_spline(F823:F831,A823:A831,B$6),IF(AND(COUNT(A824:A835)=9,COUNT(F824:F835)=9),cubic_spline(F823:F832,A823:A832,B$6),IF(AND(COUNT(A824:A835)=10,COUNT(F824:F835)=10),cubic_spline(F823:F833,A823:A833,B$6),IF(AND(COUNT(A824:A835)=11,COUNT(F824:F835)=11),cubic_spline(F823:F834,A823:A834,B$6),IF(AND(COUNT(A824:A835)=12,COUNT(F824:F835)=12),cubic_spline(F823:F835,A823:A835,B$6),""))))))))))))</f>
        <v/>
      </c>
      <c r="L828" s="27" t="str">
        <f>IF(I828="","",B$5&amp;"-"&amp;B$6)</f>
        <v/>
      </c>
      <c r="M828" s="52" t="str">
        <f>IF(N(J828)=0,"",J828-J827)</f>
        <v/>
      </c>
    </row>
    <row r="829" spans="1:13" x14ac:dyDescent="0.35">
      <c r="A829" s="48"/>
      <c r="B829" s="48"/>
      <c r="C829" s="50"/>
      <c r="D829" s="50"/>
      <c r="E829" s="51" t="str">
        <f t="shared" si="313"/>
        <v/>
      </c>
      <c r="F829" s="71" t="str">
        <f t="shared" si="311"/>
        <v/>
      </c>
      <c r="G829" s="69" t="str">
        <f t="shared" si="314"/>
        <v/>
      </c>
      <c r="H829" s="70" t="str">
        <f t="shared" si="312"/>
        <v/>
      </c>
      <c r="I829" s="27" t="str">
        <f>IF(N(J829)=0,"",0&amp;"-"&amp;B$7)</f>
        <v/>
      </c>
      <c r="J829" s="52" t="str">
        <f>IF(N(B$7)=0,"",IF(AND(COUNT(H824:H835)=2,COUNT(F824:F835)=2),cubic_spline(F823:F825,H823:H825,B$7),IF(AND(COUNT(H824:H835)=3,COUNT(F824:F835)=3),cubic_spline(F823:F826,H823:H826,B$7),IF(AND(COUNT(H824:H835)=4,COUNT(F824:F835)=4),cubic_spline(F823:F827,H823:H827,B$7),IF(AND(COUNT(H824:H835)=5,COUNT(F824:F835)=5),cubic_spline(F823:F828,H823:H828,B$7),IF(AND(COUNT(H824:H835)=6,COUNT(F824:F835)=6),cubic_spline(F823:F829,H823:H829,B$7),IF(AND(COUNT(H824:H835)=7,COUNT(F824:F835)=7),cubic_spline(F823:F830,H823:H830,B$7),IF(AND(COUNT(H824:H835)=8,COUNT(F824:F835)=8),cubic_spline(F823:F831,H823:H831,B$7),IF(AND(COUNT(H824:H835)=9,COUNT(F824:F835)=9),cubic_spline(F823:F832,H823:H832,B$7),IF(AND(COUNT(H824:H835)=10,COUNT(F824:F835)=10),cubic_spline(F823:F833,H823:H833,B$7),IF(AND(COUNT(H824:H835)=11,COUNT(F824:F835)=11),cubic_spline(F823:F834,H823:H834,B$7),IF(AND(COUNT(H824:H835)=12,COUNT(F824:F835)=12),cubic_spline(F823:F835,H823:H835,B$7),""))))))))))))</f>
        <v/>
      </c>
      <c r="K829" s="52" t="str">
        <f>IF(N(B$7)=0,"",IF(AND(COUNT(A824:A835)=2,COUNT(F824:F835)=2),cubic_spline(F823:F825,A823:A825,B$7),IF(AND(COUNT(A824:A835)=3,COUNT(F824:F835)=3),cubic_spline(F823:F826,A823:A826,B$7),IF(AND(COUNT(A824:A835)=4,COUNT(F824:F835)=4),cubic_spline(F823:F827,A823:A827,B$7),IF(AND(COUNT(A824:A835)=5,COUNT(F824:F835)=5),cubic_spline(F823:F828,A823:A828,B$7),IF(AND(COUNT(A824:A835)=6,COUNT(F824:F835)=6),cubic_spline(F823:F829,A823:A829,B$7),IF(AND(COUNT(A824:A835)=7,COUNT(F824:F835)=7),cubic_spline(F823:F830,A823:A830,B$7),IF(AND(COUNT(A824:A835)=8,COUNT(F824:F835)=8),cubic_spline(F823:F831,A823:A831,B$7),IF(AND(COUNT(A824:A835)=9,COUNT(F824:F835)=9),cubic_spline(F823:F832,A823:A832,B$7),IF(AND(COUNT(A824:A835)=10,COUNT(F824:F835)=10),cubic_spline(F823:F833,A823:A833,B$7),IF(AND(COUNT(A824:A835)=11,COUNT(F824:F835)=11),cubic_spline(F823:F834,A823:A834,B$7),IF(AND(COUNT(A824:A835)=12,COUNT(F824:F835)=12),cubic_spline(F823:F835,A823:A835,B$7),""))))))))))))</f>
        <v/>
      </c>
      <c r="L829" s="27" t="str">
        <f>IF(I829="","",B$6&amp;"-"&amp;B$7)</f>
        <v/>
      </c>
      <c r="M829" s="52" t="str">
        <f t="shared" ref="M829:M835" si="315">IF(N(J829)=0,"",J829-J828)</f>
        <v/>
      </c>
    </row>
    <row r="830" spans="1:13" x14ac:dyDescent="0.35">
      <c r="A830" s="48"/>
      <c r="B830" s="48"/>
      <c r="C830" s="50"/>
      <c r="D830" s="50"/>
      <c r="E830" s="51" t="str">
        <f t="shared" si="313"/>
        <v/>
      </c>
      <c r="F830" s="71" t="str">
        <f t="shared" si="311"/>
        <v/>
      </c>
      <c r="G830" s="69" t="str">
        <f t="shared" si="314"/>
        <v/>
      </c>
      <c r="H830" s="70" t="str">
        <f t="shared" si="312"/>
        <v/>
      </c>
      <c r="I830" s="27" t="str">
        <f>IF(N(J830)=0,"",0&amp;"-"&amp;B$8)</f>
        <v/>
      </c>
      <c r="J830" s="52" t="str">
        <f>IF(N(B$8)=0,"",IF(AND(COUNT(H824:H835)=2,COUNT(F824:F835)=2),cubic_spline(F823:F825,H823:H825,B$8),IF(AND(COUNT(H824:H835)=3,COUNT(F824:F835)=3),cubic_spline(F823:F826,H823:H826,B$8),IF(AND(COUNT(H824:H835)=4,COUNT(F824:F835)=4),cubic_spline(F823:F827,H823:H827,B$8),IF(AND(COUNT(H824:H835)=5,COUNT(F824:F835)=5),cubic_spline(F823:F828,H823:H828,B$8),IF(AND(COUNT(H824:H835)=6,COUNT(F824:F835)=6),cubic_spline(F823:F829,H823:H829,B$8),IF(AND(COUNT(H824:H835)=7,COUNT(F824:F835)=7),cubic_spline(F823:F830,H823:H830,B$8),IF(AND(COUNT(H824:H835)=8,COUNT(F824:F835)=8),cubic_spline(F823:F831,H823:H831,B$8),IF(AND(COUNT(H824:H835)=9,COUNT(F824:F835)=9),cubic_spline(F823:F832,H823:H832,B$8),IF(AND(COUNT(H824:H835)=10,COUNT(F824:F835)=10),cubic_spline(F823:F833,H823:H833,B$8),IF(AND(COUNT(H824:H835)=11,COUNT(F824:F835)=11),cubic_spline(F823:F834,H823:H834,B$8),IF(AND(COUNT(H824:H835)=12,COUNT(F824:F835)=12),cubic_spline(F823:F835,H823:H835,B$8),""))))))))))))</f>
        <v/>
      </c>
      <c r="K830" s="52" t="str">
        <f>IF(N(B$8)=0,"",IF(AND(COUNT(A824:A835)=2,COUNT(F824:F835)=2),cubic_spline(F823:F825,A823:A825,B$8),IF(AND(COUNT(A824:A835)=3,COUNT(F824:F835)=3),cubic_spline(F823:F826,A823:A826,B$8),IF(AND(COUNT(A824:A835)=4,COUNT(F824:F835)=4),cubic_spline(F823:F827,A823:A827,B$8),IF(AND(COUNT(A824:A835)=5,COUNT(F824:F835)=5),cubic_spline(F823:F828,A823:A828,B$8),IF(AND(COUNT(A824:A835)=6,COUNT(F824:F835)=6),cubic_spline(F823:F829,A823:A829,B$8),IF(AND(COUNT(A824:A835)=7,COUNT(F824:F835)=7),cubic_spline(F823:F830,A823:A830,B$8),IF(AND(COUNT(A824:A835)=8,COUNT(F824:F835)=8),cubic_spline(F823:F831,A823:A831,B$8),IF(AND(COUNT(A824:A835)=9,COUNT(F824:F835)=9),cubic_spline(F823:F832,A823:A832,B$8),IF(AND(COUNT(A824:A835)=10,COUNT(F824:F835)=10),cubic_spline(F823:F833,A823:A833,B$8),IF(AND(COUNT(A824:A835)=11,COUNT(F824:F835)=11),cubic_spline(F823:F834,A823:A834,B$8),IF(AND(COUNT(A824:A835)=12,COUNT(F824:F835)=12),cubic_spline(F823:F835,A823:A835,B$8),""))))))))))))</f>
        <v/>
      </c>
      <c r="L830" s="27" t="str">
        <f>IF(I830="","",B$7&amp;"-"&amp;B$8)</f>
        <v/>
      </c>
      <c r="M830" s="52" t="str">
        <f t="shared" si="315"/>
        <v/>
      </c>
    </row>
    <row r="831" spans="1:13" x14ac:dyDescent="0.35">
      <c r="A831" s="48"/>
      <c r="B831" s="48"/>
      <c r="C831" s="50"/>
      <c r="D831" s="50"/>
      <c r="E831" s="51" t="str">
        <f t="shared" si="313"/>
        <v/>
      </c>
      <c r="F831" s="71" t="str">
        <f t="shared" si="311"/>
        <v/>
      </c>
      <c r="G831" s="69" t="str">
        <f t="shared" si="314"/>
        <v/>
      </c>
      <c r="H831" s="70" t="str">
        <f t="shared" si="312"/>
        <v/>
      </c>
      <c r="I831" s="27" t="str">
        <f>IF(N(J831)=0,"",0&amp;"-"&amp;B$9)</f>
        <v/>
      </c>
      <c r="J831" s="52" t="str">
        <f>IF(N(B$9)=0,"",IF(AND(COUNT(H824:H835)=2,COUNT(F824:F835)=2),cubic_spline(F823:F825,H823:H825,B$9),IF(AND(COUNT(H824:H835)=3,COUNT(F824:F835)=3),cubic_spline(F823:F826,H823:H826,B$9),IF(AND(COUNT(H824:H835)=4,COUNT(F824:F835)=4),cubic_spline(F823:F827,H823:H827,B$9),IF(AND(COUNT(H824:H835)=5,COUNT(F824:F835)=5),cubic_spline(F823:F828,H823:H828,B$9),IF(AND(COUNT(H824:H835)=6,COUNT(F824:F835)=6),cubic_spline(F823:F829,H823:H829,B$9),IF(AND(COUNT(H824:H835)=7,COUNT(F824:F835)=7),cubic_spline(F823:F830,H823:H830,B$9),IF(AND(COUNT(H824:H835)=8,COUNT(F824:F835)=8),cubic_spline(F823:F831,H823:H831,B$9),IF(AND(COUNT(H824:H835)=9,COUNT(F824:F835)=9),cubic_spline(F823:F832,H823:H832,B$9),IF(AND(COUNT(H824:H835)=10,COUNT(F824:F835)=10),cubic_spline(F823:F833,H823:H833,B$9),IF(AND(COUNT(H824:H835)=11,COUNT(F824:F835)=11),cubic_spline(F823:F834,H823:H834,B$9),IF(AND(COUNT(H824:H835)=12,COUNT(F824:F835)=12),cubic_spline(F823:F835,H823:H835,B$9),""))))))))))))</f>
        <v/>
      </c>
      <c r="K831" s="52" t="str">
        <f>IF(N(B$9)=0,"",IF(AND(COUNT(A824:A835)=2,COUNT(F824:F835)=2),cubic_spline(F823:F825,A823:A825,B$9),IF(AND(COUNT(A824:A835)=3,COUNT(F824:F835)=3),cubic_spline(F823:F826,A823:A826,B$9),IF(AND(COUNT(A824:A835)=4,COUNT(F824:F835)=4),cubic_spline(F823:F827,A823:A827,B$9),IF(AND(COUNT(A824:A835)=5,COUNT(F824:F835)=5),cubic_spline(F823:F828,A823:A828,B$9),IF(AND(COUNT(A824:A835)=6,COUNT(F824:F835)=6),cubic_spline(F823:F829,A823:A829,B$9),IF(AND(COUNT(A824:A835)=7,COUNT(F824:F835)=7),cubic_spline(F823:F830,A823:A830,B$9),IF(AND(COUNT(A824:A835)=8,COUNT(F824:F835)=8),cubic_spline(F823:F831,A823:A831,B$9),IF(AND(COUNT(A824:A835)=9,COUNT(F824:F835)=9),cubic_spline(F823:F832,A823:A832,B$9),IF(AND(COUNT(A824:A835)=10,COUNT(F824:F835)=10),cubic_spline(F823:F833,A823:A833,B$9),IF(AND(COUNT(A824:A835)=11,COUNT(F824:F835)=11),cubic_spline(F823:F834,A823:A834,B$9),IF(AND(COUNT(A824:A835)=12,COUNT(F824:F835)=12),cubic_spline(F823:F835,A823:A835,B$9),""))))))))))))</f>
        <v/>
      </c>
      <c r="L831" s="27" t="str">
        <f>IF(I831="","",B$8&amp;"-"&amp;B$9)</f>
        <v/>
      </c>
      <c r="M831" s="52" t="str">
        <f t="shared" si="315"/>
        <v/>
      </c>
    </row>
    <row r="832" spans="1:13" x14ac:dyDescent="0.35">
      <c r="A832" s="48"/>
      <c r="B832" s="48"/>
      <c r="C832" s="50"/>
      <c r="D832" s="50"/>
      <c r="E832" s="51" t="str">
        <f t="shared" si="313"/>
        <v/>
      </c>
      <c r="F832" s="71" t="str">
        <f t="shared" si="311"/>
        <v/>
      </c>
      <c r="G832" s="69" t="str">
        <f t="shared" si="314"/>
        <v/>
      </c>
      <c r="H832" s="70" t="str">
        <f t="shared" si="312"/>
        <v/>
      </c>
      <c r="I832" s="27" t="str">
        <f>IF(N(J832)=0,"",0&amp;"-"&amp;B$10)</f>
        <v/>
      </c>
      <c r="J832" s="52" t="str">
        <f>IF(N(B$10)=0,"",IF(AND(COUNT(H824:H835)=2,COUNT(F824:F835)=2),cubic_spline(F823:F825,H823:H825,B$10),IF(AND(COUNT(H824:H835)=3,COUNT(F824:F835)=3),cubic_spline(F823:F826,H823:H826,B$10),IF(AND(COUNT(H824:H835)=4,COUNT(F824:F835)=4),cubic_spline(F823:F827,H823:H827,B$10),IF(AND(COUNT(H824:H835)=5,COUNT(F824:F835)=5),cubic_spline(F823:F828,H823:H828,B$10),IF(AND(COUNT(H824:H835)=6,COUNT(F824:F835)=6),cubic_spline(F823:F829,H823:H829,B$10),IF(AND(COUNT(H824:H835)=7,COUNT(F824:F835)=7),cubic_spline(F823:F830,H823:H830,B$10),IF(AND(COUNT(H824:H835)=8,COUNT(F824:F835)=8),cubic_spline(F823:F831,H823:H831,B$10),IF(AND(COUNT(H824:H835)=9,COUNT(F824:F835)=9),cubic_spline(F823:F832,H823:H832,B$10),IF(AND(COUNT(H824:H835)=10,COUNT(F824:F835)=10),cubic_spline(F823:F833,H823:H833,B$10),IF(AND(COUNT(H824:H835)=11,COUNT(F824:F835)=11),cubic_spline(F823:F834,H823:H834,B$10),IF(AND(COUNT(H824:H835)=12,COUNT(F824:F835)=12),cubic_spline(F823:F835,H823:H835,B$10),""))))))))))))</f>
        <v/>
      </c>
      <c r="K832" s="52" t="str">
        <f>IF(N(B$10)=0,"",IF(AND(COUNT(A824:A835)=2,COUNT(F824:F835)=2),cubic_spline(F823:F825,A823:A825,B$10),IF(AND(COUNT(A824:A835)=3,COUNT(F824:F835)=3),cubic_spline(F823:F826,A823:A826,B$10),IF(AND(COUNT(A824:A835)=4,COUNT(F824:F835)=4),cubic_spline(F823:F827,A823:A827,B$10),IF(AND(COUNT(A824:A835)=5,COUNT(F824:F835)=5),cubic_spline(F823:F828,A823:A828,B$10),IF(AND(COUNT(A824:A835)=6,COUNT(F824:F835)=6),cubic_spline(F823:F829,A823:A829,B$10),IF(AND(COUNT(A824:A835)=7,COUNT(F824:F835)=7),cubic_spline(F823:F830,A823:A830,B$10),IF(AND(COUNT(A824:A835)=8,COUNT(F824:F835)=8),cubic_spline(F823:F831,A823:A831,B$10),IF(AND(COUNT(A824:A835)=9,COUNT(F824:F835)=9),cubic_spline(F823:F832,A823:A832,B$10),IF(AND(COUNT(A824:A835)=10,COUNT(F824:F835)=10),cubic_spline(F823:F833,A823:A833,B$10),IF(AND(COUNT(A824:A835)=11,COUNT(F824:F835)=11),cubic_spline(F823:F834,A823:A834,B$10),IF(AND(COUNT(A824:A835)=12,COUNT(F824:F835)=12),cubic_spline(F823:F835,A823:A835,B$10),""))))))))))))</f>
        <v/>
      </c>
      <c r="L832" s="27" t="str">
        <f>IF(I832="","",B$9&amp;"-"&amp;B$10)</f>
        <v/>
      </c>
      <c r="M832" s="52" t="str">
        <f t="shared" si="315"/>
        <v/>
      </c>
    </row>
    <row r="833" spans="1:13" x14ac:dyDescent="0.35">
      <c r="A833" s="48"/>
      <c r="B833" s="48"/>
      <c r="C833" s="50"/>
      <c r="D833" s="50"/>
      <c r="E833" s="51" t="str">
        <f t="shared" si="313"/>
        <v/>
      </c>
      <c r="F833" s="71" t="str">
        <f t="shared" si="311"/>
        <v/>
      </c>
      <c r="G833" s="69" t="str">
        <f t="shared" si="314"/>
        <v/>
      </c>
      <c r="H833" s="70" t="str">
        <f t="shared" si="312"/>
        <v/>
      </c>
      <c r="I833" s="27" t="str">
        <f>IF(N(J833)=0,"",0&amp;"-"&amp;B$11)</f>
        <v/>
      </c>
      <c r="J833" s="52" t="str">
        <f>IF(N(B$11)=0,"",IF(AND(COUNT(H824:H835)=2,COUNT(F824:F835)=2),cubic_spline(F823:F825,H823:H825,B$11),IF(AND(COUNT(H824:H835)=3,COUNT(F824:F835)=3),cubic_spline(F823:F826,H823:H826,B$11),IF(AND(COUNT(H824:H835)=4,COUNT(F824:F835)=4),cubic_spline(F823:F827,H823:H827,B$11),IF(AND(COUNT(H824:H835)=5,COUNT(F824:F835)=5),cubic_spline(F823:F828,H823:H828,B$11),IF(AND(COUNT(H824:H835)=6,COUNT(F824:F835)=6),cubic_spline(F823:F829,H823:H829,B$11),IF(AND(COUNT(H824:H835)=7,COUNT(F824:F835)=7),cubic_spline(F823:F830,H823:H830,B$11),IF(AND(COUNT(H824:H835)=8,COUNT(F824:F835)=8),cubic_spline(F823:F831,H823:H831,B$11),IF(AND(COUNT(H824:H835)=9,COUNT(F824:F835)=9),cubic_spline(F823:F832,H823:H832,B$11),IF(AND(COUNT(H824:H835)=10,COUNT(F824:F835)=10),cubic_spline(F823:F833,H823:H833,B$11),IF(AND(COUNT(H824:H835)=11,COUNT(F824:F835)=11),cubic_spline(F823:F834,H823:H834,B$11),IF(AND(COUNT(H824:H835)=12,COUNT(F824:F835)=12),cubic_spline(F823:F835,H823:H835,B$11),""))))))))))))</f>
        <v/>
      </c>
      <c r="K833" s="52" t="str">
        <f>IF(N(B$11)=0,"",IF(AND(COUNT(A824:A835)=2,COUNT(F824:F835)=2),cubic_spline(F823:F825,A823:A825,B$11),IF(AND(COUNT(A824:A835)=3,COUNT(F824:F835)=3),cubic_spline(F823:F826,A823:A826,B$11),IF(AND(COUNT(A824:A835)=4,COUNT(F824:F835)=4),cubic_spline(F823:F827,A823:A827,B$11),IF(AND(COUNT(A824:A835)=5,COUNT(F824:F835)=5),cubic_spline(F823:F828,A823:A828,B$11),IF(AND(COUNT(A824:A835)=6,COUNT(F824:F835)=6),cubic_spline(F823:F829,A823:A829,B$11),IF(AND(COUNT(A824:A835)=7,COUNT(F824:F835)=7),cubic_spline(F823:F830,A823:A830,B$11),IF(AND(COUNT(A824:A835)=8,COUNT(F824:F835)=8),cubic_spline(F823:F831,A823:A831,B$11),IF(AND(COUNT(A824:A835)=9,COUNT(F824:F835)=9),cubic_spline(F823:F832,A823:A832,B$11),IF(AND(COUNT(A824:A835)=10,COUNT(F824:F835)=10),cubic_spline(F823:F833,A823:A833,B$11),IF(AND(COUNT(A824:A835)=11,COUNT(F824:F835)=11),cubic_spline(F823:F834,A823:A834,B$11),IF(AND(COUNT(A824:A835)=12,COUNT(F824:F835)=12),cubic_spline(F823:F835,A823:A835,B$11),""))))))))))))</f>
        <v/>
      </c>
      <c r="L833" s="27" t="str">
        <f>IF(I833="","",B$10&amp;"-"&amp;B$11)</f>
        <v/>
      </c>
      <c r="M833" s="52" t="str">
        <f t="shared" si="315"/>
        <v/>
      </c>
    </row>
    <row r="834" spans="1:13" x14ac:dyDescent="0.35">
      <c r="A834" s="48"/>
      <c r="B834" s="48"/>
      <c r="C834" s="50"/>
      <c r="D834" s="50"/>
      <c r="E834" s="51" t="str">
        <f t="shared" si="313"/>
        <v/>
      </c>
      <c r="F834" s="71" t="str">
        <f t="shared" si="311"/>
        <v/>
      </c>
      <c r="G834" s="69" t="str">
        <f t="shared" si="314"/>
        <v/>
      </c>
      <c r="H834" s="70" t="str">
        <f t="shared" si="312"/>
        <v/>
      </c>
      <c r="I834" s="27" t="str">
        <f>IF(N(J834)=0,"",0&amp;"-"&amp;B$12)</f>
        <v/>
      </c>
      <c r="J834" s="52" t="str">
        <f>IF(N(B$12)=0,"",IF(AND(COUNT(H824:H835)=2,COUNT(F824:F835)=2),cubic_spline(F823:F825,H823:H825,B$12),IF(AND(COUNT(H824:H835)=3,COUNT(F824:F835)=3),cubic_spline(F823:F826,H823:H826,B$12),IF(AND(COUNT(H824:H835)=4,COUNT(F824:F835)=4),cubic_spline(F823:F827,H823:H827,B$12),IF(AND(COUNT(H824:H835)=5,COUNT(F824:F835)=5),cubic_spline(F823:F828,H823:H828,B$12),IF(AND(COUNT(H824:H835)=6,COUNT(F824:F835)=6),cubic_spline(F823:F829,H823:H829,B$12),IF(AND(COUNT(H824:H835)=7,COUNT(F824:F835)=7),cubic_spline(F823:F830,H823:H830,B$12),IF(AND(COUNT(H824:H835)=8,COUNT(F824:F835)=8),cubic_spline(F823:F831,H823:H831,B$12),IF(AND(COUNT(H824:H835)=9,COUNT(F824:F835)=9),cubic_spline(F823:F832,H823:H832,B$12),IF(AND(COUNT(H824:H835)=10,COUNT(F824:F835)=10),cubic_spline(F823:F833,H823:H833,B$12),IF(AND(COUNT(H824:H835)=11,COUNT(F824:F835)=11),cubic_spline(F823:F834,H823:H834,B$12),IF(AND(COUNT(H824:H835)=12,COUNT(F824:F835)=12),cubic_spline(F823:F835,H823:H835,B$12),""))))))))))))</f>
        <v/>
      </c>
      <c r="K834" s="52" t="str">
        <f>IF(N(B$12)=0,"",IF(AND(COUNT(A824:A835)=2,COUNT(F824:F835)=2),cubic_spline(F823:F825,A823:A825,B$12),IF(AND(COUNT(A824:A835)=3,COUNT(F824:F835)=3),cubic_spline(F823:F826,A823:A826,B$12),IF(AND(COUNT(A824:A835)=4,COUNT(F824:F835)=4),cubic_spline(F823:F827,A823:A827,B$12),IF(AND(COUNT(A824:A835)=5,COUNT(F824:F835)=5),cubic_spline(F823:F828,A823:A828,B$12),IF(AND(COUNT(A824:A835)=6,COUNT(F824:F835)=6),cubic_spline(F823:F829,A823:A829,B$12),IF(AND(COUNT(A824:A835)=7,COUNT(F824:F835)=7),cubic_spline(F823:F830,A823:A830,B$12),IF(AND(COUNT(A824:A835)=8,COUNT(F824:F835)=8),cubic_spline(F823:F831,A823:A831,B$12),IF(AND(COUNT(A824:A835)=9,COUNT(F824:F835)=9),cubic_spline(F823:F832,A823:A832,B$12),IF(AND(COUNT(A824:A835)=10,COUNT(F824:F835)=10),cubic_spline(F823:F833,A823:A833,B$12),IF(AND(COUNT(A824:A835)=11,COUNT(F824:F835)=11),cubic_spline(F823:F834,A823:A834,B$12),IF(AND(COUNT(A824:A835)=12,COUNT(F824:F835)=12),cubic_spline(F823:F835,A823:A835,B$12),""))))))))))))</f>
        <v/>
      </c>
      <c r="L834" s="27" t="str">
        <f>IF(I834="","",B$11&amp;"-"&amp;B$12)</f>
        <v/>
      </c>
      <c r="M834" s="52" t="str">
        <f t="shared" si="315"/>
        <v/>
      </c>
    </row>
    <row r="835" spans="1:13" x14ac:dyDescent="0.35">
      <c r="A835" s="48"/>
      <c r="B835" s="48"/>
      <c r="C835" s="50"/>
      <c r="D835" s="50"/>
      <c r="E835" s="51" t="str">
        <f t="shared" si="313"/>
        <v/>
      </c>
      <c r="F835" s="71" t="str">
        <f t="shared" si="311"/>
        <v/>
      </c>
      <c r="G835" s="69" t="str">
        <f t="shared" si="314"/>
        <v/>
      </c>
      <c r="H835" s="70" t="str">
        <f t="shared" si="312"/>
        <v/>
      </c>
      <c r="I835" s="27" t="str">
        <f>IF(N(J835)=0,"",0&amp;"-"&amp;B$13)</f>
        <v/>
      </c>
      <c r="J835" s="52" t="str">
        <f>IF(N(B$13)=0,"",IF(AND(COUNT(H824:H835)=2,COUNT(F824:F835)=2),cubic_spline(F823:F825,H823:H825,B$13),IF(AND(COUNT(H824:H835)=3,COUNT(F824:F835)=3),cubic_spline(F823:F826,H823:H826,B$13),IF(AND(COUNT(H824:H835)=4,COUNT(F824:F835)=4),cubic_spline(F823:F827,H823:H827,B$13),IF(AND(COUNT(H824:H835)=5,COUNT(F824:F835)=5),cubic_spline(F823:F828,H823:H828,B$13),IF(AND(COUNT(H824:H835)=6,COUNT(F824:F835)=6),cubic_spline(F823:F829,H823:H829,B$13),IF(AND(COUNT(H824:H835)=7,COUNT(F824:F835)=7),cubic_spline(F823:F830,H823:H830,B$13),IF(AND(COUNT(H824:H835)=8,COUNT(F824:F835)=8),cubic_spline(F823:F831,H823:H831,B$13),IF(AND(COUNT(H824:H835)=9,COUNT(F824:F835)=9),cubic_spline(F823:F832,H823:H832,B$13),IF(AND(COUNT(H824:H835)=10,COUNT(F824:F835)=10),cubic_spline(F823:F833,H823:H833,B$13),IF(AND(COUNT(H824:H835)=11,COUNT(F824:F835)=11),cubic_spline(F823:F834,H823:H834,B$13),IF(AND(COUNT(H824:H835)=12,COUNT(F824:F835)=12),cubic_spline(F823:F835,H823:H835,B$13),""))))))))))))</f>
        <v/>
      </c>
      <c r="K835" s="52" t="str">
        <f>IF(N(B$13)=0,"",IF(AND(COUNT(A824:A835)=2,COUNT(F824:F835)=2),cubic_spline(F823:F825,A823:A825,B$13),IF(AND(COUNT(A824:A835)=3,COUNT(F824:F835)=3),cubic_spline(F823:F826,A823:A826,B$13),IF(AND(COUNT(A824:A835)=4,COUNT(F824:F835)=4),cubic_spline(F823:F827,A823:A827,B$13),IF(AND(COUNT(A824:A835)=5,COUNT(F824:F835)=5),cubic_spline(F823:F828,A823:A828,B$13),IF(AND(COUNT(A824:A835)=6,COUNT(F824:F835)=6),cubic_spline(F823:F829,A823:A829,B$13),IF(AND(COUNT(A824:A835)=7,COUNT(F824:F835)=7),cubic_spline(F823:F830,A823:A830,B$13),IF(AND(COUNT(A824:A835)=8,COUNT(F824:F835)=8),cubic_spline(F823:F831,A823:A831,B$13),IF(AND(COUNT(A824:A835)=9,COUNT(F824:F835)=9),cubic_spline(F823:F832,A823:A832,B$13),IF(AND(COUNT(A824:A835)=10,COUNT(F824:F835)=10),cubic_spline(F823:F833,A823:A833,B$13),IF(AND(COUNT(A824:A835)=11,COUNT(F824:F835)=11),cubic_spline(F823:F834,A823:A834,B$13),IF(AND(COUNT(A824:A835)=12,COUNT(F824:F835)=12),cubic_spline(F823:F835,A823:A835,B$13),""))))))))))))</f>
        <v/>
      </c>
      <c r="L835" s="27" t="str">
        <f>IF(I835="","",B$12&amp;"-"&amp;B$13)</f>
        <v/>
      </c>
      <c r="M835" s="52" t="str">
        <f t="shared" si="315"/>
        <v/>
      </c>
    </row>
    <row r="836" spans="1:13" ht="5.15" customHeight="1" x14ac:dyDescent="0.35">
      <c r="A836" s="47"/>
      <c r="B836" s="47"/>
      <c r="C836" s="53"/>
      <c r="D836" s="53"/>
      <c r="E836" s="54"/>
      <c r="F836" s="55"/>
      <c r="G836" s="72"/>
      <c r="H836" s="73"/>
      <c r="I836" s="47"/>
      <c r="J836" s="57"/>
      <c r="K836" s="57"/>
      <c r="L836" s="55"/>
      <c r="M836" s="57"/>
    </row>
    <row r="837" spans="1:13" x14ac:dyDescent="0.35">
      <c r="A837" s="48"/>
      <c r="B837" s="48"/>
      <c r="C837" s="50"/>
      <c r="D837" s="50"/>
      <c r="E837" s="51" t="str">
        <f>IF(N(C837)=0,"",(A837-A836)*C837*100)</f>
        <v/>
      </c>
      <c r="F837" s="68" t="str">
        <f t="shared" ref="F837:F848" si="316">IF(N(E837)=0,"",(N(E837)+N(F836)))</f>
        <v/>
      </c>
      <c r="G837" s="69" t="str">
        <f>IF(OR(N(D837)=0,N(E837)=0),"",(E837*D837)/1000)</f>
        <v/>
      </c>
      <c r="H837" s="70" t="str">
        <f t="shared" ref="H837:H848" si="317">IF(N(G837)=0,"",(N(G837)+N(H836)))</f>
        <v/>
      </c>
      <c r="I837" s="27" t="str">
        <f>IF(N(J837)=0,"",0&amp;"-"&amp;B$2)</f>
        <v/>
      </c>
      <c r="J837" s="52" t="str">
        <f>IF(N(B$2)=0,"",IF(AND(COUNT(H837:H848)=2,COUNT(F837:F848)=2),cubic_spline(F836:F838,H836:H838,B$2),IF(AND(COUNT(H837:H848)=3,COUNT(F837:F848)=3),cubic_spline(F836:F839,H836:H839,B$2),IF(AND(COUNT(H837:H848)=4,COUNT(F837:F848)=4),cubic_spline(F836:F840,H836:H840,B$2),IF(AND(COUNT(H837:H848)=5,COUNT(F837:F848)=5),cubic_spline(F836:F841,H836:H841,B$2),IF(AND(COUNT(H837:H848)=6,COUNT(F837:F848)=6),cubic_spline(F836:F842,H836:H842,B$2),IF(AND(COUNT(H837:H848)=7,COUNT(F837:F848)=7),cubic_spline(F836:F843,H836:H843,B$2),IF(AND(COUNT(H837:H848)=8,COUNT(F837:F848)=8),cubic_spline(F836:F844,H836:H844,B$2),IF(AND(COUNT(H837:H848)=9,COUNT(F837:F848)=9),cubic_spline(F836:F845,H836:H845,B$2),IF(AND(COUNT(H837:H848)=10,COUNT(F837:F848)=10),cubic_spline(F836:F846,H836:H846,B$2),IF(AND(COUNT(H837:H848)=11,COUNT(F837:F848)=11),cubic_spline(F836:F847,H836:H847,B$2),IF(AND(COUNT(H837:H848)=12,COUNT(F837:F848)=12),cubic_spline(F836:F848,H836:H848,B$2),""))))))))))))</f>
        <v/>
      </c>
      <c r="K837" s="52" t="str">
        <f>IF(N(B$2)=0,"",IF(AND(COUNT(A837:A848)=2,COUNT(F837:F848)=2),cubic_spline(F836:F838,A836:A838,B$2),IF(AND(COUNT(A837:A848)=3,COUNT(F837:F848)=3),cubic_spline(F836:F839,A836:A839,B$2),IF(AND(COUNT(A837:A848)=4,COUNT(F837:F848)=4),cubic_spline(F836:F840,A836:A840,B$2),IF(AND(COUNT(A837:A848)=5,COUNT(F837:F848)=5),cubic_spline(F836:F841,A836:A841,B$2),IF(AND(COUNT(A837:A848)=6,COUNT(F837:F848)=6),cubic_spline(F836:F842,A836:A842,B$2),IF(AND(COUNT(A837:A848)=7,COUNT(F837:F848)=7),cubic_spline(F836:F843,A836:A843,B$2),IF(AND(COUNT(A837:A848)=8,COUNT(F837:F848)=8),cubic_spline(F836:F844,A836:A844,B$2),IF(AND(COUNT(A837:A848)=9,COUNT(F837:F848)=9),cubic_spline(F836:F845,A836:A845,B$2),IF(AND(COUNT(A837:A848)=10,COUNT(F837:F848)=10),cubic_spline(F836:F846,A836:A846,B$2),IF(AND(COUNT(A837:A848)=11,COUNT(F837:F848)=11),cubic_spline(F836:F847,A836:A847,B$2),IF(AND(COUNT(A837:A848)=12,COUNT(F837:F848)=12),cubic_spline(F836:F848,A836:A848,B$2),""))))))))))))</f>
        <v/>
      </c>
      <c r="L837" s="27" t="str">
        <f>IF(I837="","",0&amp;"-"&amp;B$2)</f>
        <v/>
      </c>
      <c r="M837" s="52" t="str">
        <f>IF(N(J837)=0,"",J837-J836)</f>
        <v/>
      </c>
    </row>
    <row r="838" spans="1:13" x14ac:dyDescent="0.35">
      <c r="A838" s="48"/>
      <c r="B838" s="48"/>
      <c r="C838" s="50"/>
      <c r="D838" s="50"/>
      <c r="E838" s="51" t="str">
        <f t="shared" ref="E838:E848" si="318">IF(N(C838)=0,"",(A838-A837)*C838*100)</f>
        <v/>
      </c>
      <c r="F838" s="68" t="str">
        <f t="shared" si="316"/>
        <v/>
      </c>
      <c r="G838" s="69" t="str">
        <f t="shared" ref="G838:G848" si="319">IF(OR(N(D838)=0,N(E838)=0),"",(E838*D838)/1000)</f>
        <v/>
      </c>
      <c r="H838" s="70" t="str">
        <f t="shared" si="317"/>
        <v/>
      </c>
      <c r="I838" s="27" t="str">
        <f>IF(N(J838)=0,"",0&amp;"-"&amp;B$3)</f>
        <v/>
      </c>
      <c r="J838" s="52" t="str">
        <f>IF(N(B$3)=0,"",IF(AND(COUNT(H837:H848)=2,COUNT(F837:F848)=2),cubic_spline(F836:F838,H836:H838,B$3),IF(AND(COUNT(H837:H848)=3,COUNT(F837:F848)=3),cubic_spline(F836:F839,H836:H839,B$3),IF(AND(COUNT(H837:H848)=4,COUNT(F837:F848)=4),cubic_spline(F836:F840,H836:H840,B$3),IF(AND(COUNT(H837:H848)=5,COUNT(F837:F848)=5),cubic_spline(F836:F841,H836:H841,B$3),IF(AND(COUNT(H837:H848)=6,COUNT(F837:F848)=6),cubic_spline(F836:F842,H836:H842,B$3),IF(AND(COUNT(H837:H848)=7,COUNT(F837:F848)=7),cubic_spline(F836:F843,H836:H843,B$3),IF(AND(COUNT(H837:H848)=8,COUNT(F837:F848)=8),cubic_spline(F836:F844,H836:H844,B$3),IF(AND(COUNT(H837:H848)=9,COUNT(F837:F848)=9),cubic_spline(F836:F845,H836:H845,B$3),IF(AND(COUNT(H837:H848)=10,COUNT(F837:F848)=10),cubic_spline(F836:F846,H836:H846,B$3),IF(AND(COUNT(H837:H848)=11,COUNT(F837:F848)=11),cubic_spline(F836:F847,H836:H847,B$3),IF(AND(COUNT(H837:H848)=12,COUNT(F837:F848)=12),cubic_spline(F836:F848,H836:H848,B$3),""))))))))))))</f>
        <v/>
      </c>
      <c r="K838" s="52" t="str">
        <f>IF(N(B$3)=0,"",IF(AND(COUNT(A837:A848)=2,COUNT(F837:F848)=2),cubic_spline(F836:F838,A836:A838,B$3),IF(AND(COUNT(A837:A848)=3,COUNT(F837:F848)=3),cubic_spline(F836:F839,A836:A839,B$3),IF(AND(COUNT(A837:A848)=4,COUNT(F837:F848)=4),cubic_spline(F836:F840,A836:A840,B$3),IF(AND(COUNT(A837:A848)=5,COUNT(F837:F848)=5),cubic_spline(F836:F841,A836:A841,B$3),IF(AND(COUNT(A837:A848)=6,COUNT(F837:F848)=6),cubic_spline(F836:F842,A836:A842,B$3),IF(AND(COUNT(A837:A848)=7,COUNT(F837:F848)=7),cubic_spline(F836:F843,A836:A843,B$3),IF(AND(COUNT(A837:A848)=8,COUNT(F837:F848)=8),cubic_spline(F836:F844,A836:A844,B$3),IF(AND(COUNT(A837:A848)=9,COUNT(F837:F848)=9),cubic_spline(F836:F845,A836:A845,B$3),IF(AND(COUNT(A837:A848)=10,COUNT(F837:F848)=10),cubic_spline(F836:F846,A836:A846,B$3),IF(AND(COUNT(A837:A848)=11,COUNT(F837:F848)=11),cubic_spline(F836:F847,A836:A847,B$3),IF(AND(COUNT(A837:A848)=12,COUNT(F837:F848)=12),cubic_spline(F836:F848,A836:A848,B$3),""))))))))))))</f>
        <v/>
      </c>
      <c r="L838" s="27" t="str">
        <f>IF(I838="","",B$2&amp;"-"&amp;B$3)</f>
        <v/>
      </c>
      <c r="M838" s="52" t="str">
        <f>IF(N(J838)=0,"",J838-J837)</f>
        <v/>
      </c>
    </row>
    <row r="839" spans="1:13" x14ac:dyDescent="0.35">
      <c r="A839" s="48"/>
      <c r="B839" s="48"/>
      <c r="C839" s="50"/>
      <c r="D839" s="50"/>
      <c r="E839" s="51" t="str">
        <f t="shared" si="318"/>
        <v/>
      </c>
      <c r="F839" s="68" t="str">
        <f t="shared" si="316"/>
        <v/>
      </c>
      <c r="G839" s="69" t="str">
        <f t="shared" si="319"/>
        <v/>
      </c>
      <c r="H839" s="70" t="str">
        <f t="shared" si="317"/>
        <v/>
      </c>
      <c r="I839" s="27" t="str">
        <f>IF(N(J839)=0,"",0&amp;"-"&amp;B$4)</f>
        <v/>
      </c>
      <c r="J839" s="52" t="str">
        <f>IF(N(B$4)=0,"",IF(AND(COUNT(H837:H848)=2,COUNT(F837:F848)=2),cubic_spline(F836:F838,H836:H838,B$4),IF(AND(COUNT(H837:H848)=3,COUNT(F837:F848)=3),cubic_spline(F836:F839,H836:H839,B$4),IF(AND(COUNT(H837:H848)=4,COUNT(F837:F848)=4),cubic_spline(F836:F840,H836:H840,B$4),IF(AND(COUNT(H837:H848)=5,COUNT(F837:F848)=5),cubic_spline(F836:F841,H836:H841,B$4),IF(AND(COUNT(H837:H848)=6,COUNT(F837:F848)=6),cubic_spline(F836:F842,H836:H842,B$4),IF(AND(COUNT(H837:H848)=7,COUNT(F837:F848)=7),cubic_spline(F836:F843,H836:H843,B$4),IF(AND(COUNT(H837:H848)=8,COUNT(F837:F848)=8),cubic_spline(F836:F844,H836:H844,B$4),IF(AND(COUNT(H837:H848)=9,COUNT(F837:F848)=9),cubic_spline(F836:F845,H836:H845,B$4),IF(AND(COUNT(H837:H848)=10,COUNT(F837:F848)=10),cubic_spline(F836:F846,H836:H846,B$4),IF(AND(COUNT(H837:H848)=11,COUNT(F837:F848)=11),cubic_spline(F836:F847,H836:H847,B$4),IF(AND(COUNT(H837:H848)=12,COUNT(F837:F848)=12),cubic_spline(F836:F848,H836:H848,B$4),""))))))))))))</f>
        <v/>
      </c>
      <c r="K839" s="52" t="str">
        <f>IF(N(B$4)=0,"",IF(AND(COUNT(A837:A848)=2,COUNT(F837:F848)=2),cubic_spline(F836:F838,A836:A838,B$4),IF(AND(COUNT(A837:A848)=3,COUNT(F837:F848)=3),cubic_spline(F836:F839,A836:A839,B$4),IF(AND(COUNT(A837:A848)=4,COUNT(F837:F848)=4),cubic_spline(F836:F840,A836:A840,B$4),IF(AND(COUNT(A837:A848)=5,COUNT(F837:F848)=5),cubic_spline(F836:F841,A836:A841,B$4),IF(AND(COUNT(A837:A848)=6,COUNT(F837:F848)=6),cubic_spline(F836:F842,A836:A842,B$4),IF(AND(COUNT(A837:A848)=7,COUNT(F837:F848)=7),cubic_spline(F836:F843,A836:A843,B$4),IF(AND(COUNT(A837:A848)=8,COUNT(F837:F848)=8),cubic_spline(F836:F844,A836:A844,B$4),IF(AND(COUNT(A837:A848)=9,COUNT(F837:F848)=9),cubic_spline(F836:F845,A836:A845,B$4),IF(AND(COUNT(A837:A848)=10,COUNT(F837:F848)=10),cubic_spline(F836:F846,A836:A846,B$4),IF(AND(COUNT(A837:A848)=11,COUNT(F837:F848)=11),cubic_spline(F836:F847,A836:A847,B$4),IF(AND(COUNT(A837:A848)=12,COUNT(F837:F848)=12),cubic_spline(F836:F848,A836:A848,B$4),""))))))))))))</f>
        <v/>
      </c>
      <c r="L839" s="27" t="str">
        <f>IF(I839="","",B$3&amp;"-"&amp;B$4)</f>
        <v/>
      </c>
      <c r="M839" s="52" t="str">
        <f>IF(N(J839)=0,"",J839-J838)</f>
        <v/>
      </c>
    </row>
    <row r="840" spans="1:13" x14ac:dyDescent="0.35">
      <c r="A840" s="48"/>
      <c r="B840" s="48"/>
      <c r="C840" s="50"/>
      <c r="D840" s="50"/>
      <c r="E840" s="51" t="str">
        <f t="shared" si="318"/>
        <v/>
      </c>
      <c r="F840" s="68" t="str">
        <f t="shared" si="316"/>
        <v/>
      </c>
      <c r="G840" s="69" t="str">
        <f t="shared" si="319"/>
        <v/>
      </c>
      <c r="H840" s="70" t="str">
        <f t="shared" si="317"/>
        <v/>
      </c>
      <c r="I840" s="27" t="str">
        <f>IF(N(J840)=0,"",0&amp;"-"&amp;B$5)</f>
        <v/>
      </c>
      <c r="J840" s="52" t="str">
        <f>IF(N(B$5)=0,"",IF(AND(COUNT(H837:H848)=2,COUNT(F837:F848)=2),cubic_spline(F836:F838,H836:H838,B$5),IF(AND(COUNT(H837:H848)=3,COUNT(F837:F848)=3),cubic_spline(F836:F839,H836:H839,B$5),IF(AND(COUNT(H837:H848)=4,COUNT(F837:F848)=4),cubic_spline(F836:F840,H836:H840,B$5),IF(AND(COUNT(H837:H848)=5,COUNT(F837:F848)=5),cubic_spline(F836:F841,H836:H841,B$5),IF(AND(COUNT(H837:H848)=6,COUNT(F837:F848)=6),cubic_spline(F836:F842,H836:H842,B$5),IF(AND(COUNT(H837:H848)=7,COUNT(F837:F848)=7),cubic_spline(F836:F843,H836:H843,B$5),IF(AND(COUNT(H837:H848)=8,COUNT(F837:F848)=8),cubic_spline(F836:F844,H836:H844,B$5),IF(AND(COUNT(H837:H848)=9,COUNT(F837:F848)=9),cubic_spline(F836:F845,H836:H845,B$5),IF(AND(COUNT(H837:H848)=10,COUNT(F837:F848)=10),cubic_spline(F836:F846,H836:H846,B$5),IF(AND(COUNT(H837:H848)=11,COUNT(F837:F848)=11),cubic_spline(F836:F847,H836:H847,B$5),IF(AND(COUNT(H837:H848)=12,COUNT(F837:F848)=12),cubic_spline(F836:F848,H836:H848,B$5),""))))))))))))</f>
        <v/>
      </c>
      <c r="K840" s="52" t="str">
        <f>IF(N(B$5)=0,"",IF(AND(COUNT(A837:A848)=2,COUNT(F837:F848)=2),cubic_spline(F836:F838,A836:A838,B$5),IF(AND(COUNT(A837:A848)=3,COUNT(F837:F848)=3),cubic_spline(F836:F839,A836:A839,B$5),IF(AND(COUNT(A837:A848)=4,COUNT(F837:F848)=4),cubic_spline(F836:F840,A836:A840,B$5),IF(AND(COUNT(A837:A848)=5,COUNT(F837:F848)=5),cubic_spline(F836:F841,A836:A841,B$5),IF(AND(COUNT(A837:A848)=6,COUNT(F837:F848)=6),cubic_spline(F836:F842,A836:A842,B$5),IF(AND(COUNT(A837:A848)=7,COUNT(F837:F848)=7),cubic_spline(F836:F843,A836:A843,B$5),IF(AND(COUNT(A837:A848)=8,COUNT(F837:F848)=8),cubic_spline(F836:F844,A836:A844,B$5),IF(AND(COUNT(A837:A848)=9,COUNT(F837:F848)=9),cubic_spline(F836:F845,A836:A845,B$5),IF(AND(COUNT(A837:A848)=10,COUNT(F837:F848)=10),cubic_spline(F836:F846,A836:A846,B$5),IF(AND(COUNT(A837:A848)=11,COUNT(F837:F848)=11),cubic_spline(F836:F847,A836:A847,B$5),IF(AND(COUNT(A837:A848)=12,COUNT(F837:F848)=12),cubic_spline(F836:F848,A836:A848,B$5),""))))))))))))</f>
        <v/>
      </c>
      <c r="L840" s="27" t="str">
        <f>IF(I840="","",B$4&amp;"-"&amp;B$5)</f>
        <v/>
      </c>
      <c r="M840" s="52" t="str">
        <f>IF(N(J840)=0,"",J840-J839)</f>
        <v/>
      </c>
    </row>
    <row r="841" spans="1:13" x14ac:dyDescent="0.35">
      <c r="A841" s="48"/>
      <c r="B841" s="48"/>
      <c r="C841" s="50"/>
      <c r="D841" s="50"/>
      <c r="E841" s="51" t="str">
        <f t="shared" si="318"/>
        <v/>
      </c>
      <c r="F841" s="71" t="str">
        <f t="shared" si="316"/>
        <v/>
      </c>
      <c r="G841" s="69" t="str">
        <f t="shared" si="319"/>
        <v/>
      </c>
      <c r="H841" s="70" t="str">
        <f t="shared" si="317"/>
        <v/>
      </c>
      <c r="I841" s="27" t="str">
        <f>IF(N(J841)=0,"",0&amp;"-"&amp;B$6)</f>
        <v/>
      </c>
      <c r="J841" s="52" t="str">
        <f>IF(N(B$6)=0,"",IF(AND(COUNT(H837:H848)=2,COUNT(F837:F848)=2),cubic_spline(F836:F838,H836:H838,B$6),IF(AND(COUNT(H837:H848)=3,COUNT(F837:F848)=3),cubic_spline(F836:F839,H836:H839,B$6),IF(AND(COUNT(H837:H848)=4,COUNT(F837:F848)=4),cubic_spline(F836:F840,H836:H840,B$6),IF(AND(COUNT(H837:H848)=5,COUNT(F837:F848)=5),cubic_spline(F836:F841,H836:H841,B$6),IF(AND(COUNT(H837:H848)=6,COUNT(F837:F848)=6),cubic_spline(F836:F842,H836:H842,B$6),IF(AND(COUNT(H837:H848)=7,COUNT(F837:F848)=7),cubic_spline(F836:F843,H836:H843,B$6),IF(AND(COUNT(H837:H848)=8,COUNT(F837:F848)=8),cubic_spline(F836:F844,H836:H844,B$6),IF(AND(COUNT(H837:H848)=9,COUNT(F837:F848)=9),cubic_spline(F836:F845,H836:H845,B$6),IF(AND(COUNT(H837:H848)=10,COUNT(F837:F848)=10),cubic_spline(F836:F846,H836:H846,B$6),IF(AND(COUNT(H837:H848)=11,COUNT(F837:F848)=11),cubic_spline(F836:F847,H836:H847,B$6),IF(AND(COUNT(H837:H848)=12,COUNT(F837:F848)=12),cubic_spline(F836:F848,H836:H848,B$6),""))))))))))))</f>
        <v/>
      </c>
      <c r="K841" s="52" t="str">
        <f>IF(N(B$6)=0,"",IF(AND(COUNT(A837:A848)=2,COUNT(F837:F848)=2),cubic_spline(F836:F838,A836:A838,B$6),IF(AND(COUNT(A837:A848)=3,COUNT(F837:F848)=3),cubic_spline(F836:F839,A836:A839,B$6),IF(AND(COUNT(A837:A848)=4,COUNT(F837:F848)=4),cubic_spline(F836:F840,A836:A840,B$6),IF(AND(COUNT(A837:A848)=5,COUNT(F837:F848)=5),cubic_spline(F836:F841,A836:A841,B$6),IF(AND(COUNT(A837:A848)=6,COUNT(F837:F848)=6),cubic_spline(F836:F842,A836:A842,B$6),IF(AND(COUNT(A837:A848)=7,COUNT(F837:F848)=7),cubic_spline(F836:F843,A836:A843,B$6),IF(AND(COUNT(A837:A848)=8,COUNT(F837:F848)=8),cubic_spline(F836:F844,A836:A844,B$6),IF(AND(COUNT(A837:A848)=9,COUNT(F837:F848)=9),cubic_spline(F836:F845,A836:A845,B$6),IF(AND(COUNT(A837:A848)=10,COUNT(F837:F848)=10),cubic_spline(F836:F846,A836:A846,B$6),IF(AND(COUNT(A837:A848)=11,COUNT(F837:F848)=11),cubic_spline(F836:F847,A836:A847,B$6),IF(AND(COUNT(A837:A848)=12,COUNT(F837:F848)=12),cubic_spline(F836:F848,A836:A848,B$6),""))))))))))))</f>
        <v/>
      </c>
      <c r="L841" s="27" t="str">
        <f>IF(I841="","",B$5&amp;"-"&amp;B$6)</f>
        <v/>
      </c>
      <c r="M841" s="52" t="str">
        <f>IF(N(J841)=0,"",J841-J840)</f>
        <v/>
      </c>
    </row>
    <row r="842" spans="1:13" x14ac:dyDescent="0.35">
      <c r="A842" s="48"/>
      <c r="B842" s="48"/>
      <c r="C842" s="50"/>
      <c r="D842" s="50"/>
      <c r="E842" s="51" t="str">
        <f t="shared" si="318"/>
        <v/>
      </c>
      <c r="F842" s="71" t="str">
        <f t="shared" si="316"/>
        <v/>
      </c>
      <c r="G842" s="69" t="str">
        <f t="shared" si="319"/>
        <v/>
      </c>
      <c r="H842" s="70" t="str">
        <f t="shared" si="317"/>
        <v/>
      </c>
      <c r="I842" s="27" t="str">
        <f>IF(N(J842)=0,"",0&amp;"-"&amp;B$7)</f>
        <v/>
      </c>
      <c r="J842" s="52" t="str">
        <f>IF(N(B$7)=0,"",IF(AND(COUNT(H837:H848)=2,COUNT(F837:F848)=2),cubic_spline(F836:F838,H836:H838,B$7),IF(AND(COUNT(H837:H848)=3,COUNT(F837:F848)=3),cubic_spline(F836:F839,H836:H839,B$7),IF(AND(COUNT(H837:H848)=4,COUNT(F837:F848)=4),cubic_spline(F836:F840,H836:H840,B$7),IF(AND(COUNT(H837:H848)=5,COUNT(F837:F848)=5),cubic_spline(F836:F841,H836:H841,B$7),IF(AND(COUNT(H837:H848)=6,COUNT(F837:F848)=6),cubic_spline(F836:F842,H836:H842,B$7),IF(AND(COUNT(H837:H848)=7,COUNT(F837:F848)=7),cubic_spline(F836:F843,H836:H843,B$7),IF(AND(COUNT(H837:H848)=8,COUNT(F837:F848)=8),cubic_spline(F836:F844,H836:H844,B$7),IF(AND(COUNT(H837:H848)=9,COUNT(F837:F848)=9),cubic_spline(F836:F845,H836:H845,B$7),IF(AND(COUNT(H837:H848)=10,COUNT(F837:F848)=10),cubic_spline(F836:F846,H836:H846,B$7),IF(AND(COUNT(H837:H848)=11,COUNT(F837:F848)=11),cubic_spline(F836:F847,H836:H847,B$7),IF(AND(COUNT(H837:H848)=12,COUNT(F837:F848)=12),cubic_spline(F836:F848,H836:H848,B$7),""))))))))))))</f>
        <v/>
      </c>
      <c r="K842" s="52" t="str">
        <f>IF(N(B$7)=0,"",IF(AND(COUNT(A837:A848)=2,COUNT(F837:F848)=2),cubic_spline(F836:F838,A836:A838,B$7),IF(AND(COUNT(A837:A848)=3,COUNT(F837:F848)=3),cubic_spline(F836:F839,A836:A839,B$7),IF(AND(COUNT(A837:A848)=4,COUNT(F837:F848)=4),cubic_spline(F836:F840,A836:A840,B$7),IF(AND(COUNT(A837:A848)=5,COUNT(F837:F848)=5),cubic_spline(F836:F841,A836:A841,B$7),IF(AND(COUNT(A837:A848)=6,COUNT(F837:F848)=6),cubic_spline(F836:F842,A836:A842,B$7),IF(AND(COUNT(A837:A848)=7,COUNT(F837:F848)=7),cubic_spline(F836:F843,A836:A843,B$7),IF(AND(COUNT(A837:A848)=8,COUNT(F837:F848)=8),cubic_spline(F836:F844,A836:A844,B$7),IF(AND(COUNT(A837:A848)=9,COUNT(F837:F848)=9),cubic_spline(F836:F845,A836:A845,B$7),IF(AND(COUNT(A837:A848)=10,COUNT(F837:F848)=10),cubic_spline(F836:F846,A836:A846,B$7),IF(AND(COUNT(A837:A848)=11,COUNT(F837:F848)=11),cubic_spline(F836:F847,A836:A847,B$7),IF(AND(COUNT(A837:A848)=12,COUNT(F837:F848)=12),cubic_spline(F836:F848,A836:A848,B$7),""))))))))))))</f>
        <v/>
      </c>
      <c r="L842" s="27" t="str">
        <f>IF(I842="","",B$6&amp;"-"&amp;B$7)</f>
        <v/>
      </c>
      <c r="M842" s="52" t="str">
        <f t="shared" ref="M842:M848" si="320">IF(N(J842)=0,"",J842-J841)</f>
        <v/>
      </c>
    </row>
    <row r="843" spans="1:13" x14ac:dyDescent="0.35">
      <c r="A843" s="48"/>
      <c r="B843" s="48"/>
      <c r="C843" s="50"/>
      <c r="D843" s="50"/>
      <c r="E843" s="51" t="str">
        <f t="shared" si="318"/>
        <v/>
      </c>
      <c r="F843" s="71" t="str">
        <f t="shared" si="316"/>
        <v/>
      </c>
      <c r="G843" s="69" t="str">
        <f t="shared" si="319"/>
        <v/>
      </c>
      <c r="H843" s="70" t="str">
        <f t="shared" si="317"/>
        <v/>
      </c>
      <c r="I843" s="27" t="str">
        <f>IF(N(J843)=0,"",0&amp;"-"&amp;B$8)</f>
        <v/>
      </c>
      <c r="J843" s="52" t="str">
        <f>IF(N(B$8)=0,"",IF(AND(COUNT(H837:H848)=2,COUNT(F837:F848)=2),cubic_spline(F836:F838,H836:H838,B$8),IF(AND(COUNT(H837:H848)=3,COUNT(F837:F848)=3),cubic_spline(F836:F839,H836:H839,B$8),IF(AND(COUNT(H837:H848)=4,COUNT(F837:F848)=4),cubic_spline(F836:F840,H836:H840,B$8),IF(AND(COUNT(H837:H848)=5,COUNT(F837:F848)=5),cubic_spline(F836:F841,H836:H841,B$8),IF(AND(COUNT(H837:H848)=6,COUNT(F837:F848)=6),cubic_spline(F836:F842,H836:H842,B$8),IF(AND(COUNT(H837:H848)=7,COUNT(F837:F848)=7),cubic_spline(F836:F843,H836:H843,B$8),IF(AND(COUNT(H837:H848)=8,COUNT(F837:F848)=8),cubic_spline(F836:F844,H836:H844,B$8),IF(AND(COUNT(H837:H848)=9,COUNT(F837:F848)=9),cubic_spline(F836:F845,H836:H845,B$8),IF(AND(COUNT(H837:H848)=10,COUNT(F837:F848)=10),cubic_spline(F836:F846,H836:H846,B$8),IF(AND(COUNT(H837:H848)=11,COUNT(F837:F848)=11),cubic_spline(F836:F847,H836:H847,B$8),IF(AND(COUNT(H837:H848)=12,COUNT(F837:F848)=12),cubic_spline(F836:F848,H836:H848,B$8),""))))))))))))</f>
        <v/>
      </c>
      <c r="K843" s="52" t="str">
        <f>IF(N(B$8)=0,"",IF(AND(COUNT(A837:A848)=2,COUNT(F837:F848)=2),cubic_spline(F836:F838,A836:A838,B$8),IF(AND(COUNT(A837:A848)=3,COUNT(F837:F848)=3),cubic_spline(F836:F839,A836:A839,B$8),IF(AND(COUNT(A837:A848)=4,COUNT(F837:F848)=4),cubic_spline(F836:F840,A836:A840,B$8),IF(AND(COUNT(A837:A848)=5,COUNT(F837:F848)=5),cubic_spline(F836:F841,A836:A841,B$8),IF(AND(COUNT(A837:A848)=6,COUNT(F837:F848)=6),cubic_spline(F836:F842,A836:A842,B$8),IF(AND(COUNT(A837:A848)=7,COUNT(F837:F848)=7),cubic_spline(F836:F843,A836:A843,B$8),IF(AND(COUNT(A837:A848)=8,COUNT(F837:F848)=8),cubic_spline(F836:F844,A836:A844,B$8),IF(AND(COUNT(A837:A848)=9,COUNT(F837:F848)=9),cubic_spline(F836:F845,A836:A845,B$8),IF(AND(COUNT(A837:A848)=10,COUNT(F837:F848)=10),cubic_spline(F836:F846,A836:A846,B$8),IF(AND(COUNT(A837:A848)=11,COUNT(F837:F848)=11),cubic_spline(F836:F847,A836:A847,B$8),IF(AND(COUNT(A837:A848)=12,COUNT(F837:F848)=12),cubic_spline(F836:F848,A836:A848,B$8),""))))))))))))</f>
        <v/>
      </c>
      <c r="L843" s="27" t="str">
        <f>IF(I843="","",B$7&amp;"-"&amp;B$8)</f>
        <v/>
      </c>
      <c r="M843" s="52" t="str">
        <f t="shared" si="320"/>
        <v/>
      </c>
    </row>
    <row r="844" spans="1:13" x14ac:dyDescent="0.35">
      <c r="A844" s="48"/>
      <c r="B844" s="48"/>
      <c r="C844" s="50"/>
      <c r="D844" s="50"/>
      <c r="E844" s="51" t="str">
        <f t="shared" si="318"/>
        <v/>
      </c>
      <c r="F844" s="71" t="str">
        <f t="shared" si="316"/>
        <v/>
      </c>
      <c r="G844" s="69" t="str">
        <f t="shared" si="319"/>
        <v/>
      </c>
      <c r="H844" s="70" t="str">
        <f t="shared" si="317"/>
        <v/>
      </c>
      <c r="I844" s="27" t="str">
        <f>IF(N(J844)=0,"",0&amp;"-"&amp;B$9)</f>
        <v/>
      </c>
      <c r="J844" s="52" t="str">
        <f>IF(N(B$9)=0,"",IF(AND(COUNT(H837:H848)=2,COUNT(F837:F848)=2),cubic_spline(F836:F838,H836:H838,B$9),IF(AND(COUNT(H837:H848)=3,COUNT(F837:F848)=3),cubic_spline(F836:F839,H836:H839,B$9),IF(AND(COUNT(H837:H848)=4,COUNT(F837:F848)=4),cubic_spline(F836:F840,H836:H840,B$9),IF(AND(COUNT(H837:H848)=5,COUNT(F837:F848)=5),cubic_spline(F836:F841,H836:H841,B$9),IF(AND(COUNT(H837:H848)=6,COUNT(F837:F848)=6),cubic_spline(F836:F842,H836:H842,B$9),IF(AND(COUNT(H837:H848)=7,COUNT(F837:F848)=7),cubic_spline(F836:F843,H836:H843,B$9),IF(AND(COUNT(H837:H848)=8,COUNT(F837:F848)=8),cubic_spline(F836:F844,H836:H844,B$9),IF(AND(COUNT(H837:H848)=9,COUNT(F837:F848)=9),cubic_spline(F836:F845,H836:H845,B$9),IF(AND(COUNT(H837:H848)=10,COUNT(F837:F848)=10),cubic_spline(F836:F846,H836:H846,B$9),IF(AND(COUNT(H837:H848)=11,COUNT(F837:F848)=11),cubic_spline(F836:F847,H836:H847,B$9),IF(AND(COUNT(H837:H848)=12,COUNT(F837:F848)=12),cubic_spline(F836:F848,H836:H848,B$9),""))))))))))))</f>
        <v/>
      </c>
      <c r="K844" s="52" t="str">
        <f>IF(N(B$9)=0,"",IF(AND(COUNT(A837:A848)=2,COUNT(F837:F848)=2),cubic_spline(F836:F838,A836:A838,B$9),IF(AND(COUNT(A837:A848)=3,COUNT(F837:F848)=3),cubic_spline(F836:F839,A836:A839,B$9),IF(AND(COUNT(A837:A848)=4,COUNT(F837:F848)=4),cubic_spline(F836:F840,A836:A840,B$9),IF(AND(COUNT(A837:A848)=5,COUNT(F837:F848)=5),cubic_spline(F836:F841,A836:A841,B$9),IF(AND(COUNT(A837:A848)=6,COUNT(F837:F848)=6),cubic_spline(F836:F842,A836:A842,B$9),IF(AND(COUNT(A837:A848)=7,COUNT(F837:F848)=7),cubic_spline(F836:F843,A836:A843,B$9),IF(AND(COUNT(A837:A848)=8,COUNT(F837:F848)=8),cubic_spline(F836:F844,A836:A844,B$9),IF(AND(COUNT(A837:A848)=9,COUNT(F837:F848)=9),cubic_spline(F836:F845,A836:A845,B$9),IF(AND(COUNT(A837:A848)=10,COUNT(F837:F848)=10),cubic_spline(F836:F846,A836:A846,B$9),IF(AND(COUNT(A837:A848)=11,COUNT(F837:F848)=11),cubic_spline(F836:F847,A836:A847,B$9),IF(AND(COUNT(A837:A848)=12,COUNT(F837:F848)=12),cubic_spline(F836:F848,A836:A848,B$9),""))))))))))))</f>
        <v/>
      </c>
      <c r="L844" s="27" t="str">
        <f>IF(I844="","",B$8&amp;"-"&amp;B$9)</f>
        <v/>
      </c>
      <c r="M844" s="52" t="str">
        <f t="shared" si="320"/>
        <v/>
      </c>
    </row>
    <row r="845" spans="1:13" x14ac:dyDescent="0.35">
      <c r="A845" s="48"/>
      <c r="B845" s="48"/>
      <c r="C845" s="50"/>
      <c r="D845" s="50"/>
      <c r="E845" s="51" t="str">
        <f t="shared" si="318"/>
        <v/>
      </c>
      <c r="F845" s="71" t="str">
        <f t="shared" si="316"/>
        <v/>
      </c>
      <c r="G845" s="69" t="str">
        <f t="shared" si="319"/>
        <v/>
      </c>
      <c r="H845" s="70" t="str">
        <f t="shared" si="317"/>
        <v/>
      </c>
      <c r="I845" s="27" t="str">
        <f>IF(N(J845)=0,"",0&amp;"-"&amp;B$10)</f>
        <v/>
      </c>
      <c r="J845" s="52" t="str">
        <f>IF(N(B$10)=0,"",IF(AND(COUNT(H837:H848)=2,COUNT(F837:F848)=2),cubic_spline(F836:F838,H836:H838,B$10),IF(AND(COUNT(H837:H848)=3,COUNT(F837:F848)=3),cubic_spline(F836:F839,H836:H839,B$10),IF(AND(COUNT(H837:H848)=4,COUNT(F837:F848)=4),cubic_spline(F836:F840,H836:H840,B$10),IF(AND(COUNT(H837:H848)=5,COUNT(F837:F848)=5),cubic_spline(F836:F841,H836:H841,B$10),IF(AND(COUNT(H837:H848)=6,COUNT(F837:F848)=6),cubic_spline(F836:F842,H836:H842,B$10),IF(AND(COUNT(H837:H848)=7,COUNT(F837:F848)=7),cubic_spline(F836:F843,H836:H843,B$10),IF(AND(COUNT(H837:H848)=8,COUNT(F837:F848)=8),cubic_spline(F836:F844,H836:H844,B$10),IF(AND(COUNT(H837:H848)=9,COUNT(F837:F848)=9),cubic_spline(F836:F845,H836:H845,B$10),IF(AND(COUNT(H837:H848)=10,COUNT(F837:F848)=10),cubic_spline(F836:F846,H836:H846,B$10),IF(AND(COUNT(H837:H848)=11,COUNT(F837:F848)=11),cubic_spline(F836:F847,H836:H847,B$10),IF(AND(COUNT(H837:H848)=12,COUNT(F837:F848)=12),cubic_spline(F836:F848,H836:H848,B$10),""))))))))))))</f>
        <v/>
      </c>
      <c r="K845" s="52" t="str">
        <f>IF(N(B$10)=0,"",IF(AND(COUNT(A837:A848)=2,COUNT(F837:F848)=2),cubic_spline(F836:F838,A836:A838,B$10),IF(AND(COUNT(A837:A848)=3,COUNT(F837:F848)=3),cubic_spline(F836:F839,A836:A839,B$10),IF(AND(COUNT(A837:A848)=4,COUNT(F837:F848)=4),cubic_spline(F836:F840,A836:A840,B$10),IF(AND(COUNT(A837:A848)=5,COUNT(F837:F848)=5),cubic_spline(F836:F841,A836:A841,B$10),IF(AND(COUNT(A837:A848)=6,COUNT(F837:F848)=6),cubic_spline(F836:F842,A836:A842,B$10),IF(AND(COUNT(A837:A848)=7,COUNT(F837:F848)=7),cubic_spline(F836:F843,A836:A843,B$10),IF(AND(COUNT(A837:A848)=8,COUNT(F837:F848)=8),cubic_spline(F836:F844,A836:A844,B$10),IF(AND(COUNT(A837:A848)=9,COUNT(F837:F848)=9),cubic_spline(F836:F845,A836:A845,B$10),IF(AND(COUNT(A837:A848)=10,COUNT(F837:F848)=10),cubic_spline(F836:F846,A836:A846,B$10),IF(AND(COUNT(A837:A848)=11,COUNT(F837:F848)=11),cubic_spline(F836:F847,A836:A847,B$10),IF(AND(COUNT(A837:A848)=12,COUNT(F837:F848)=12),cubic_spline(F836:F848,A836:A848,B$10),""))))))))))))</f>
        <v/>
      </c>
      <c r="L845" s="27" t="str">
        <f>IF(I845="","",B$9&amp;"-"&amp;B$10)</f>
        <v/>
      </c>
      <c r="M845" s="52" t="str">
        <f t="shared" si="320"/>
        <v/>
      </c>
    </row>
    <row r="846" spans="1:13" x14ac:dyDescent="0.35">
      <c r="A846" s="48"/>
      <c r="B846" s="48"/>
      <c r="C846" s="50"/>
      <c r="D846" s="50"/>
      <c r="E846" s="51" t="str">
        <f t="shared" si="318"/>
        <v/>
      </c>
      <c r="F846" s="71" t="str">
        <f t="shared" si="316"/>
        <v/>
      </c>
      <c r="G846" s="69" t="str">
        <f t="shared" si="319"/>
        <v/>
      </c>
      <c r="H846" s="70" t="str">
        <f t="shared" si="317"/>
        <v/>
      </c>
      <c r="I846" s="27" t="str">
        <f>IF(N(J846)=0,"",0&amp;"-"&amp;B$11)</f>
        <v/>
      </c>
      <c r="J846" s="52" t="str">
        <f>IF(N(B$11)=0,"",IF(AND(COUNT(H837:H848)=2,COUNT(F837:F848)=2),cubic_spline(F836:F838,H836:H838,B$11),IF(AND(COUNT(H837:H848)=3,COUNT(F837:F848)=3),cubic_spline(F836:F839,H836:H839,B$11),IF(AND(COUNT(H837:H848)=4,COUNT(F837:F848)=4),cubic_spline(F836:F840,H836:H840,B$11),IF(AND(COUNT(H837:H848)=5,COUNT(F837:F848)=5),cubic_spline(F836:F841,H836:H841,B$11),IF(AND(COUNT(H837:H848)=6,COUNT(F837:F848)=6),cubic_spline(F836:F842,H836:H842,B$11),IF(AND(COUNT(H837:H848)=7,COUNT(F837:F848)=7),cubic_spline(F836:F843,H836:H843,B$11),IF(AND(COUNT(H837:H848)=8,COUNT(F837:F848)=8),cubic_spline(F836:F844,H836:H844,B$11),IF(AND(COUNT(H837:H848)=9,COUNT(F837:F848)=9),cubic_spline(F836:F845,H836:H845,B$11),IF(AND(COUNT(H837:H848)=10,COUNT(F837:F848)=10),cubic_spline(F836:F846,H836:H846,B$11),IF(AND(COUNT(H837:H848)=11,COUNT(F837:F848)=11),cubic_spline(F836:F847,H836:H847,B$11),IF(AND(COUNT(H837:H848)=12,COUNT(F837:F848)=12),cubic_spline(F836:F848,H836:H848,B$11),""))))))))))))</f>
        <v/>
      </c>
      <c r="K846" s="52" t="str">
        <f>IF(N(B$11)=0,"",IF(AND(COUNT(A837:A848)=2,COUNT(F837:F848)=2),cubic_spline(F836:F838,A836:A838,B$11),IF(AND(COUNT(A837:A848)=3,COUNT(F837:F848)=3),cubic_spline(F836:F839,A836:A839,B$11),IF(AND(COUNT(A837:A848)=4,COUNT(F837:F848)=4),cubic_spline(F836:F840,A836:A840,B$11),IF(AND(COUNT(A837:A848)=5,COUNT(F837:F848)=5),cubic_spline(F836:F841,A836:A841,B$11),IF(AND(COUNT(A837:A848)=6,COUNT(F837:F848)=6),cubic_spline(F836:F842,A836:A842,B$11),IF(AND(COUNT(A837:A848)=7,COUNT(F837:F848)=7),cubic_spline(F836:F843,A836:A843,B$11),IF(AND(COUNT(A837:A848)=8,COUNT(F837:F848)=8),cubic_spline(F836:F844,A836:A844,B$11),IF(AND(COUNT(A837:A848)=9,COUNT(F837:F848)=9),cubic_spline(F836:F845,A836:A845,B$11),IF(AND(COUNT(A837:A848)=10,COUNT(F837:F848)=10),cubic_spline(F836:F846,A836:A846,B$11),IF(AND(COUNT(A837:A848)=11,COUNT(F837:F848)=11),cubic_spline(F836:F847,A836:A847,B$11),IF(AND(COUNT(A837:A848)=12,COUNT(F837:F848)=12),cubic_spline(F836:F848,A836:A848,B$11),""))))))))))))</f>
        <v/>
      </c>
      <c r="L846" s="27" t="str">
        <f>IF(I846="","",B$10&amp;"-"&amp;B$11)</f>
        <v/>
      </c>
      <c r="M846" s="52" t="str">
        <f t="shared" si="320"/>
        <v/>
      </c>
    </row>
    <row r="847" spans="1:13" x14ac:dyDescent="0.35">
      <c r="A847" s="48"/>
      <c r="B847" s="48"/>
      <c r="C847" s="50"/>
      <c r="D847" s="50"/>
      <c r="E847" s="51" t="str">
        <f t="shared" si="318"/>
        <v/>
      </c>
      <c r="F847" s="71" t="str">
        <f t="shared" si="316"/>
        <v/>
      </c>
      <c r="G847" s="69" t="str">
        <f t="shared" si="319"/>
        <v/>
      </c>
      <c r="H847" s="70" t="str">
        <f t="shared" si="317"/>
        <v/>
      </c>
      <c r="I847" s="27" t="str">
        <f>IF(N(J847)=0,"",0&amp;"-"&amp;B$12)</f>
        <v/>
      </c>
      <c r="J847" s="52" t="str">
        <f>IF(N(B$12)=0,"",IF(AND(COUNT(H837:H848)=2,COUNT(F837:F848)=2),cubic_spline(F836:F838,H836:H838,B$12),IF(AND(COUNT(H837:H848)=3,COUNT(F837:F848)=3),cubic_spline(F836:F839,H836:H839,B$12),IF(AND(COUNT(H837:H848)=4,COUNT(F837:F848)=4),cubic_spline(F836:F840,H836:H840,B$12),IF(AND(COUNT(H837:H848)=5,COUNT(F837:F848)=5),cubic_spline(F836:F841,H836:H841,B$12),IF(AND(COUNT(H837:H848)=6,COUNT(F837:F848)=6),cubic_spline(F836:F842,H836:H842,B$12),IF(AND(COUNT(H837:H848)=7,COUNT(F837:F848)=7),cubic_spline(F836:F843,H836:H843,B$12),IF(AND(COUNT(H837:H848)=8,COUNT(F837:F848)=8),cubic_spline(F836:F844,H836:H844,B$12),IF(AND(COUNT(H837:H848)=9,COUNT(F837:F848)=9),cubic_spline(F836:F845,H836:H845,B$12),IF(AND(COUNT(H837:H848)=10,COUNT(F837:F848)=10),cubic_spline(F836:F846,H836:H846,B$12),IF(AND(COUNT(H837:H848)=11,COUNT(F837:F848)=11),cubic_spline(F836:F847,H836:H847,B$12),IF(AND(COUNT(H837:H848)=12,COUNT(F837:F848)=12),cubic_spline(F836:F848,H836:H848,B$12),""))))))))))))</f>
        <v/>
      </c>
      <c r="K847" s="52" t="str">
        <f>IF(N(B$12)=0,"",IF(AND(COUNT(A837:A848)=2,COUNT(F837:F848)=2),cubic_spline(F836:F838,A836:A838,B$12),IF(AND(COUNT(A837:A848)=3,COUNT(F837:F848)=3),cubic_spline(F836:F839,A836:A839,B$12),IF(AND(COUNT(A837:A848)=4,COUNT(F837:F848)=4),cubic_spline(F836:F840,A836:A840,B$12),IF(AND(COUNT(A837:A848)=5,COUNT(F837:F848)=5),cubic_spline(F836:F841,A836:A841,B$12),IF(AND(COUNT(A837:A848)=6,COUNT(F837:F848)=6),cubic_spline(F836:F842,A836:A842,B$12),IF(AND(COUNT(A837:A848)=7,COUNT(F837:F848)=7),cubic_spline(F836:F843,A836:A843,B$12),IF(AND(COUNT(A837:A848)=8,COUNT(F837:F848)=8),cubic_spline(F836:F844,A836:A844,B$12),IF(AND(COUNT(A837:A848)=9,COUNT(F837:F848)=9),cubic_spline(F836:F845,A836:A845,B$12),IF(AND(COUNT(A837:A848)=10,COUNT(F837:F848)=10),cubic_spline(F836:F846,A836:A846,B$12),IF(AND(COUNT(A837:A848)=11,COUNT(F837:F848)=11),cubic_spline(F836:F847,A836:A847,B$12),IF(AND(COUNT(A837:A848)=12,COUNT(F837:F848)=12),cubic_spline(F836:F848,A836:A848,B$12),""))))))))))))</f>
        <v/>
      </c>
      <c r="L847" s="27" t="str">
        <f>IF(I847="","",B$11&amp;"-"&amp;B$12)</f>
        <v/>
      </c>
      <c r="M847" s="52" t="str">
        <f t="shared" si="320"/>
        <v/>
      </c>
    </row>
    <row r="848" spans="1:13" x14ac:dyDescent="0.35">
      <c r="A848" s="48"/>
      <c r="B848" s="48"/>
      <c r="C848" s="50"/>
      <c r="D848" s="50"/>
      <c r="E848" s="51" t="str">
        <f t="shared" si="318"/>
        <v/>
      </c>
      <c r="F848" s="71" t="str">
        <f t="shared" si="316"/>
        <v/>
      </c>
      <c r="G848" s="69" t="str">
        <f t="shared" si="319"/>
        <v/>
      </c>
      <c r="H848" s="70" t="str">
        <f t="shared" si="317"/>
        <v/>
      </c>
      <c r="I848" s="27" t="str">
        <f>IF(N(J848)=0,"",0&amp;"-"&amp;B$13)</f>
        <v/>
      </c>
      <c r="J848" s="52" t="str">
        <f>IF(N(B$13)=0,"",IF(AND(COUNT(H837:H848)=2,COUNT(F837:F848)=2),cubic_spline(F836:F838,H836:H838,B$13),IF(AND(COUNT(H837:H848)=3,COUNT(F837:F848)=3),cubic_spline(F836:F839,H836:H839,B$13),IF(AND(COUNT(H837:H848)=4,COUNT(F837:F848)=4),cubic_spline(F836:F840,H836:H840,B$13),IF(AND(COUNT(H837:H848)=5,COUNT(F837:F848)=5),cubic_spline(F836:F841,H836:H841,B$13),IF(AND(COUNT(H837:H848)=6,COUNT(F837:F848)=6),cubic_spline(F836:F842,H836:H842,B$13),IF(AND(COUNT(H837:H848)=7,COUNT(F837:F848)=7),cubic_spline(F836:F843,H836:H843,B$13),IF(AND(COUNT(H837:H848)=8,COUNT(F837:F848)=8),cubic_spline(F836:F844,H836:H844,B$13),IF(AND(COUNT(H837:H848)=9,COUNT(F837:F848)=9),cubic_spline(F836:F845,H836:H845,B$13),IF(AND(COUNT(H837:H848)=10,COUNT(F837:F848)=10),cubic_spline(F836:F846,H836:H846,B$13),IF(AND(COUNT(H837:H848)=11,COUNT(F837:F848)=11),cubic_spline(F836:F847,H836:H847,B$13),IF(AND(COUNT(H837:H848)=12,COUNT(F837:F848)=12),cubic_spline(F836:F848,H836:H848,B$13),""))))))))))))</f>
        <v/>
      </c>
      <c r="K848" s="52" t="str">
        <f>IF(N(B$13)=0,"",IF(AND(COUNT(A837:A848)=2,COUNT(F837:F848)=2),cubic_spline(F836:F838,A836:A838,B$13),IF(AND(COUNT(A837:A848)=3,COUNT(F837:F848)=3),cubic_spline(F836:F839,A836:A839,B$13),IF(AND(COUNT(A837:A848)=4,COUNT(F837:F848)=4),cubic_spline(F836:F840,A836:A840,B$13),IF(AND(COUNT(A837:A848)=5,COUNT(F837:F848)=5),cubic_spline(F836:F841,A836:A841,B$13),IF(AND(COUNT(A837:A848)=6,COUNT(F837:F848)=6),cubic_spline(F836:F842,A836:A842,B$13),IF(AND(COUNT(A837:A848)=7,COUNT(F837:F848)=7),cubic_spline(F836:F843,A836:A843,B$13),IF(AND(COUNT(A837:A848)=8,COUNT(F837:F848)=8),cubic_spline(F836:F844,A836:A844,B$13),IF(AND(COUNT(A837:A848)=9,COUNT(F837:F848)=9),cubic_spline(F836:F845,A836:A845,B$13),IF(AND(COUNT(A837:A848)=10,COUNT(F837:F848)=10),cubic_spline(F836:F846,A836:A846,B$13),IF(AND(COUNT(A837:A848)=11,COUNT(F837:F848)=11),cubic_spline(F836:F847,A836:A847,B$13),IF(AND(COUNT(A837:A848)=12,COUNT(F837:F848)=12),cubic_spline(F836:F848,A836:A848,B$13),""))))))))))))</f>
        <v/>
      </c>
      <c r="L848" s="27" t="str">
        <f>IF(I848="","",B$12&amp;"-"&amp;B$13)</f>
        <v/>
      </c>
      <c r="M848" s="52" t="str">
        <f t="shared" si="320"/>
        <v/>
      </c>
    </row>
    <row r="849" spans="1:13" ht="5.15" customHeight="1" x14ac:dyDescent="0.35">
      <c r="A849" s="47"/>
      <c r="B849" s="47"/>
      <c r="C849" s="53"/>
      <c r="D849" s="53"/>
      <c r="E849" s="54"/>
      <c r="F849" s="55"/>
      <c r="G849" s="72"/>
      <c r="H849" s="73"/>
      <c r="I849" s="47"/>
      <c r="J849" s="57"/>
      <c r="K849" s="57"/>
      <c r="L849" s="55"/>
      <c r="M849" s="57"/>
    </row>
    <row r="850" spans="1:13" x14ac:dyDescent="0.35">
      <c r="A850" s="48"/>
      <c r="B850" s="48"/>
      <c r="C850" s="50"/>
      <c r="D850" s="50"/>
      <c r="E850" s="51" t="str">
        <f>IF(N(C850)=0,"",(A850-A849)*C850*100)</f>
        <v/>
      </c>
      <c r="F850" s="68" t="str">
        <f t="shared" ref="F850:F861" si="321">IF(N(E850)=0,"",(N(E850)+N(F849)))</f>
        <v/>
      </c>
      <c r="G850" s="69" t="str">
        <f>IF(OR(N(D850)=0,N(E850)=0),"",(E850*D850)/1000)</f>
        <v/>
      </c>
      <c r="H850" s="70" t="str">
        <f t="shared" ref="H850:H861" si="322">IF(N(G850)=0,"",(N(G850)+N(H849)))</f>
        <v/>
      </c>
      <c r="I850" s="27" t="str">
        <f>IF(N(J850)=0,"",0&amp;"-"&amp;B$2)</f>
        <v/>
      </c>
      <c r="J850" s="52" t="str">
        <f>IF(N(B$2)=0,"",IF(AND(COUNT(H850:H861)=2,COUNT(F850:F861)=2),cubic_spline(F849:F851,H849:H851,B$2),IF(AND(COUNT(H850:H861)=3,COUNT(F850:F861)=3),cubic_spline(F849:F852,H849:H852,B$2),IF(AND(COUNT(H850:H861)=4,COUNT(F850:F861)=4),cubic_spline(F849:F853,H849:H853,B$2),IF(AND(COUNT(H850:H861)=5,COUNT(F850:F861)=5),cubic_spline(F849:F854,H849:H854,B$2),IF(AND(COUNT(H850:H861)=6,COUNT(F850:F861)=6),cubic_spline(F849:F855,H849:H855,B$2),IF(AND(COUNT(H850:H861)=7,COUNT(F850:F861)=7),cubic_spline(F849:F856,H849:H856,B$2),IF(AND(COUNT(H850:H861)=8,COUNT(F850:F861)=8),cubic_spline(F849:F857,H849:H857,B$2),IF(AND(COUNT(H850:H861)=9,COUNT(F850:F861)=9),cubic_spline(F849:F858,H849:H858,B$2),IF(AND(COUNT(H850:H861)=10,COUNT(F850:F861)=10),cubic_spline(F849:F859,H849:H859,B$2),IF(AND(COUNT(H850:H861)=11,COUNT(F850:F861)=11),cubic_spline(F849:F860,H849:H860,B$2),IF(AND(COUNT(H850:H861)=12,COUNT(F850:F861)=12),cubic_spline(F849:F861,H849:H861,B$2),""))))))))))))</f>
        <v/>
      </c>
      <c r="K850" s="52" t="str">
        <f>IF(N(B$2)=0,"",IF(AND(COUNT(A850:A861)=2,COUNT(F850:F861)=2),cubic_spline(F849:F851,A849:A851,B$2),IF(AND(COUNT(A850:A861)=3,COUNT(F850:F861)=3),cubic_spline(F849:F852,A849:A852,B$2),IF(AND(COUNT(A850:A861)=4,COUNT(F850:F861)=4),cubic_spline(F849:F853,A849:A853,B$2),IF(AND(COUNT(A850:A861)=5,COUNT(F850:F861)=5),cubic_spline(F849:F854,A849:A854,B$2),IF(AND(COUNT(A850:A861)=6,COUNT(F850:F861)=6),cubic_spline(F849:F855,A849:A855,B$2),IF(AND(COUNT(A850:A861)=7,COUNT(F850:F861)=7),cubic_spline(F849:F856,A849:A856,B$2),IF(AND(COUNT(A850:A861)=8,COUNT(F850:F861)=8),cubic_spline(F849:F857,A849:A857,B$2),IF(AND(COUNT(A850:A861)=9,COUNT(F850:F861)=9),cubic_spline(F849:F858,A849:A858,B$2),IF(AND(COUNT(A850:A861)=10,COUNT(F850:F861)=10),cubic_spline(F849:F859,A849:A859,B$2),IF(AND(COUNT(A850:A861)=11,COUNT(F850:F861)=11),cubic_spline(F849:F860,A849:A860,B$2),IF(AND(COUNT(A850:A861)=12,COUNT(F850:F861)=12),cubic_spline(F849:F861,A849:A861,B$2),""))))))))))))</f>
        <v/>
      </c>
      <c r="L850" s="27" t="str">
        <f>IF(I850="","",0&amp;"-"&amp;B$2)</f>
        <v/>
      </c>
      <c r="M850" s="52" t="str">
        <f>IF(N(J850)=0,"",J850-J849)</f>
        <v/>
      </c>
    </row>
    <row r="851" spans="1:13" x14ac:dyDescent="0.35">
      <c r="A851" s="48"/>
      <c r="B851" s="48"/>
      <c r="C851" s="50"/>
      <c r="D851" s="50"/>
      <c r="E851" s="51" t="str">
        <f t="shared" ref="E851:E861" si="323">IF(N(C851)=0,"",(A851-A850)*C851*100)</f>
        <v/>
      </c>
      <c r="F851" s="68" t="str">
        <f t="shared" si="321"/>
        <v/>
      </c>
      <c r="G851" s="69" t="str">
        <f t="shared" ref="G851:G861" si="324">IF(OR(N(D851)=0,N(E851)=0),"",(E851*D851)/1000)</f>
        <v/>
      </c>
      <c r="H851" s="70" t="str">
        <f t="shared" si="322"/>
        <v/>
      </c>
      <c r="I851" s="27" t="str">
        <f>IF(N(J851)=0,"",0&amp;"-"&amp;B$3)</f>
        <v/>
      </c>
      <c r="J851" s="52" t="str">
        <f>IF(N(B$3)=0,"",IF(AND(COUNT(H850:H861)=2,COUNT(F850:F861)=2),cubic_spline(F849:F851,H849:H851,B$3),IF(AND(COUNT(H850:H861)=3,COUNT(F850:F861)=3),cubic_spline(F849:F852,H849:H852,B$3),IF(AND(COUNT(H850:H861)=4,COUNT(F850:F861)=4),cubic_spline(F849:F853,H849:H853,B$3),IF(AND(COUNT(H850:H861)=5,COUNT(F850:F861)=5),cubic_spline(F849:F854,H849:H854,B$3),IF(AND(COUNT(H850:H861)=6,COUNT(F850:F861)=6),cubic_spline(F849:F855,H849:H855,B$3),IF(AND(COUNT(H850:H861)=7,COUNT(F850:F861)=7),cubic_spline(F849:F856,H849:H856,B$3),IF(AND(COUNT(H850:H861)=8,COUNT(F850:F861)=8),cubic_spline(F849:F857,H849:H857,B$3),IF(AND(COUNT(H850:H861)=9,COUNT(F850:F861)=9),cubic_spline(F849:F858,H849:H858,B$3),IF(AND(COUNT(H850:H861)=10,COUNT(F850:F861)=10),cubic_spline(F849:F859,H849:H859,B$3),IF(AND(COUNT(H850:H861)=11,COUNT(F850:F861)=11),cubic_spline(F849:F860,H849:H860,B$3),IF(AND(COUNT(H850:H861)=12,COUNT(F850:F861)=12),cubic_spline(F849:F861,H849:H861,B$3),""))))))))))))</f>
        <v/>
      </c>
      <c r="K851" s="52" t="str">
        <f>IF(N(B$3)=0,"",IF(AND(COUNT(A850:A861)=2,COUNT(F850:F861)=2),cubic_spline(F849:F851,A849:A851,B$3),IF(AND(COUNT(A850:A861)=3,COUNT(F850:F861)=3),cubic_spline(F849:F852,A849:A852,B$3),IF(AND(COUNT(A850:A861)=4,COUNT(F850:F861)=4),cubic_spline(F849:F853,A849:A853,B$3),IF(AND(COUNT(A850:A861)=5,COUNT(F850:F861)=5),cubic_spline(F849:F854,A849:A854,B$3),IF(AND(COUNT(A850:A861)=6,COUNT(F850:F861)=6),cubic_spline(F849:F855,A849:A855,B$3),IF(AND(COUNT(A850:A861)=7,COUNT(F850:F861)=7),cubic_spline(F849:F856,A849:A856,B$3),IF(AND(COUNT(A850:A861)=8,COUNT(F850:F861)=8),cubic_spline(F849:F857,A849:A857,B$3),IF(AND(COUNT(A850:A861)=9,COUNT(F850:F861)=9),cubic_spline(F849:F858,A849:A858,B$3),IF(AND(COUNT(A850:A861)=10,COUNT(F850:F861)=10),cubic_spline(F849:F859,A849:A859,B$3),IF(AND(COUNT(A850:A861)=11,COUNT(F850:F861)=11),cubic_spline(F849:F860,A849:A860,B$3),IF(AND(COUNT(A850:A861)=12,COUNT(F850:F861)=12),cubic_spline(F849:F861,A849:A861,B$3),""))))))))))))</f>
        <v/>
      </c>
      <c r="L851" s="27" t="str">
        <f>IF(I851="","",B$2&amp;"-"&amp;B$3)</f>
        <v/>
      </c>
      <c r="M851" s="52" t="str">
        <f>IF(N(J851)=0,"",J851-J850)</f>
        <v/>
      </c>
    </row>
    <row r="852" spans="1:13" x14ac:dyDescent="0.35">
      <c r="A852" s="48"/>
      <c r="B852" s="48"/>
      <c r="C852" s="50"/>
      <c r="D852" s="50"/>
      <c r="E852" s="51" t="str">
        <f t="shared" si="323"/>
        <v/>
      </c>
      <c r="F852" s="68" t="str">
        <f t="shared" si="321"/>
        <v/>
      </c>
      <c r="G852" s="69" t="str">
        <f t="shared" si="324"/>
        <v/>
      </c>
      <c r="H852" s="70" t="str">
        <f t="shared" si="322"/>
        <v/>
      </c>
      <c r="I852" s="27" t="str">
        <f>IF(N(J852)=0,"",0&amp;"-"&amp;B$4)</f>
        <v/>
      </c>
      <c r="J852" s="52" t="str">
        <f>IF(N(B$4)=0,"",IF(AND(COUNT(H850:H861)=2,COUNT(F850:F861)=2),cubic_spline(F849:F851,H849:H851,B$4),IF(AND(COUNT(H850:H861)=3,COUNT(F850:F861)=3),cubic_spline(F849:F852,H849:H852,B$4),IF(AND(COUNT(H850:H861)=4,COUNT(F850:F861)=4),cubic_spline(F849:F853,H849:H853,B$4),IF(AND(COUNT(H850:H861)=5,COUNT(F850:F861)=5),cubic_spline(F849:F854,H849:H854,B$4),IF(AND(COUNT(H850:H861)=6,COUNT(F850:F861)=6),cubic_spline(F849:F855,H849:H855,B$4),IF(AND(COUNT(H850:H861)=7,COUNT(F850:F861)=7),cubic_spline(F849:F856,H849:H856,B$4),IF(AND(COUNT(H850:H861)=8,COUNT(F850:F861)=8),cubic_spline(F849:F857,H849:H857,B$4),IF(AND(COUNT(H850:H861)=9,COUNT(F850:F861)=9),cubic_spline(F849:F858,H849:H858,B$4),IF(AND(COUNT(H850:H861)=10,COUNT(F850:F861)=10),cubic_spline(F849:F859,H849:H859,B$4),IF(AND(COUNT(H850:H861)=11,COUNT(F850:F861)=11),cubic_spline(F849:F860,H849:H860,B$4),IF(AND(COUNT(H850:H861)=12,COUNT(F850:F861)=12),cubic_spline(F849:F861,H849:H861,B$4),""))))))))))))</f>
        <v/>
      </c>
      <c r="K852" s="52" t="str">
        <f>IF(N(B$4)=0,"",IF(AND(COUNT(A850:A861)=2,COUNT(F850:F861)=2),cubic_spline(F849:F851,A849:A851,B$4),IF(AND(COUNT(A850:A861)=3,COUNT(F850:F861)=3),cubic_spline(F849:F852,A849:A852,B$4),IF(AND(COUNT(A850:A861)=4,COUNT(F850:F861)=4),cubic_spline(F849:F853,A849:A853,B$4),IF(AND(COUNT(A850:A861)=5,COUNT(F850:F861)=5),cubic_spline(F849:F854,A849:A854,B$4),IF(AND(COUNT(A850:A861)=6,COUNT(F850:F861)=6),cubic_spline(F849:F855,A849:A855,B$4),IF(AND(COUNT(A850:A861)=7,COUNT(F850:F861)=7),cubic_spline(F849:F856,A849:A856,B$4),IF(AND(COUNT(A850:A861)=8,COUNT(F850:F861)=8),cubic_spline(F849:F857,A849:A857,B$4),IF(AND(COUNT(A850:A861)=9,COUNT(F850:F861)=9),cubic_spline(F849:F858,A849:A858,B$4),IF(AND(COUNT(A850:A861)=10,COUNT(F850:F861)=10),cubic_spline(F849:F859,A849:A859,B$4),IF(AND(COUNT(A850:A861)=11,COUNT(F850:F861)=11),cubic_spline(F849:F860,A849:A860,B$4),IF(AND(COUNT(A850:A861)=12,COUNT(F850:F861)=12),cubic_spline(F849:F861,A849:A861,B$4),""))))))))))))</f>
        <v/>
      </c>
      <c r="L852" s="27" t="str">
        <f>IF(I852="","",B$3&amp;"-"&amp;B$4)</f>
        <v/>
      </c>
      <c r="M852" s="52" t="str">
        <f>IF(N(J852)=0,"",J852-J851)</f>
        <v/>
      </c>
    </row>
    <row r="853" spans="1:13" x14ac:dyDescent="0.35">
      <c r="A853" s="48"/>
      <c r="B853" s="48"/>
      <c r="C853" s="50"/>
      <c r="D853" s="50"/>
      <c r="E853" s="51" t="str">
        <f t="shared" si="323"/>
        <v/>
      </c>
      <c r="F853" s="68" t="str">
        <f t="shared" si="321"/>
        <v/>
      </c>
      <c r="G853" s="69" t="str">
        <f t="shared" si="324"/>
        <v/>
      </c>
      <c r="H853" s="70" t="str">
        <f t="shared" si="322"/>
        <v/>
      </c>
      <c r="I853" s="27" t="str">
        <f>IF(N(J853)=0,"",0&amp;"-"&amp;B$5)</f>
        <v/>
      </c>
      <c r="J853" s="52" t="str">
        <f>IF(N(B$5)=0,"",IF(AND(COUNT(H850:H861)=2,COUNT(F850:F861)=2),cubic_spline(F849:F851,H849:H851,B$5),IF(AND(COUNT(H850:H861)=3,COUNT(F850:F861)=3),cubic_spline(F849:F852,H849:H852,B$5),IF(AND(COUNT(H850:H861)=4,COUNT(F850:F861)=4),cubic_spline(F849:F853,H849:H853,B$5),IF(AND(COUNT(H850:H861)=5,COUNT(F850:F861)=5),cubic_spline(F849:F854,H849:H854,B$5),IF(AND(COUNT(H850:H861)=6,COUNT(F850:F861)=6),cubic_spline(F849:F855,H849:H855,B$5),IF(AND(COUNT(H850:H861)=7,COUNT(F850:F861)=7),cubic_spline(F849:F856,H849:H856,B$5),IF(AND(COUNT(H850:H861)=8,COUNT(F850:F861)=8),cubic_spline(F849:F857,H849:H857,B$5),IF(AND(COUNT(H850:H861)=9,COUNT(F850:F861)=9),cubic_spline(F849:F858,H849:H858,B$5),IF(AND(COUNT(H850:H861)=10,COUNT(F850:F861)=10),cubic_spline(F849:F859,H849:H859,B$5),IF(AND(COUNT(H850:H861)=11,COUNT(F850:F861)=11),cubic_spline(F849:F860,H849:H860,B$5),IF(AND(COUNT(H850:H861)=12,COUNT(F850:F861)=12),cubic_spline(F849:F861,H849:H861,B$5),""))))))))))))</f>
        <v/>
      </c>
      <c r="K853" s="52" t="str">
        <f>IF(N(B$5)=0,"",IF(AND(COUNT(A850:A861)=2,COUNT(F850:F861)=2),cubic_spline(F849:F851,A849:A851,B$5),IF(AND(COUNT(A850:A861)=3,COUNT(F850:F861)=3),cubic_spline(F849:F852,A849:A852,B$5),IF(AND(COUNT(A850:A861)=4,COUNT(F850:F861)=4),cubic_spline(F849:F853,A849:A853,B$5),IF(AND(COUNT(A850:A861)=5,COUNT(F850:F861)=5),cubic_spline(F849:F854,A849:A854,B$5),IF(AND(COUNT(A850:A861)=6,COUNT(F850:F861)=6),cubic_spline(F849:F855,A849:A855,B$5),IF(AND(COUNT(A850:A861)=7,COUNT(F850:F861)=7),cubic_spline(F849:F856,A849:A856,B$5),IF(AND(COUNT(A850:A861)=8,COUNT(F850:F861)=8),cubic_spline(F849:F857,A849:A857,B$5),IF(AND(COUNT(A850:A861)=9,COUNT(F850:F861)=9),cubic_spline(F849:F858,A849:A858,B$5),IF(AND(COUNT(A850:A861)=10,COUNT(F850:F861)=10),cubic_spline(F849:F859,A849:A859,B$5),IF(AND(COUNT(A850:A861)=11,COUNT(F850:F861)=11),cubic_spline(F849:F860,A849:A860,B$5),IF(AND(COUNT(A850:A861)=12,COUNT(F850:F861)=12),cubic_spline(F849:F861,A849:A861,B$5),""))))))))))))</f>
        <v/>
      </c>
      <c r="L853" s="27" t="str">
        <f>IF(I853="","",B$4&amp;"-"&amp;B$5)</f>
        <v/>
      </c>
      <c r="M853" s="52" t="str">
        <f>IF(N(J853)=0,"",J853-J852)</f>
        <v/>
      </c>
    </row>
    <row r="854" spans="1:13" x14ac:dyDescent="0.35">
      <c r="A854" s="48"/>
      <c r="B854" s="48"/>
      <c r="C854" s="50"/>
      <c r="D854" s="50"/>
      <c r="E854" s="51" t="str">
        <f t="shared" si="323"/>
        <v/>
      </c>
      <c r="F854" s="71" t="str">
        <f t="shared" si="321"/>
        <v/>
      </c>
      <c r="G854" s="69" t="str">
        <f t="shared" si="324"/>
        <v/>
      </c>
      <c r="H854" s="70" t="str">
        <f t="shared" si="322"/>
        <v/>
      </c>
      <c r="I854" s="27" t="str">
        <f>IF(N(J854)=0,"",0&amp;"-"&amp;B$6)</f>
        <v/>
      </c>
      <c r="J854" s="52" t="str">
        <f>IF(N(B$6)=0,"",IF(AND(COUNT(H850:H861)=2,COUNT(F850:F861)=2),cubic_spline(F849:F851,H849:H851,B$6),IF(AND(COUNT(H850:H861)=3,COUNT(F850:F861)=3),cubic_spline(F849:F852,H849:H852,B$6),IF(AND(COUNT(H850:H861)=4,COUNT(F850:F861)=4),cubic_spline(F849:F853,H849:H853,B$6),IF(AND(COUNT(H850:H861)=5,COUNT(F850:F861)=5),cubic_spline(F849:F854,H849:H854,B$6),IF(AND(COUNT(H850:H861)=6,COUNT(F850:F861)=6),cubic_spline(F849:F855,H849:H855,B$6),IF(AND(COUNT(H850:H861)=7,COUNT(F850:F861)=7),cubic_spline(F849:F856,H849:H856,B$6),IF(AND(COUNT(H850:H861)=8,COUNT(F850:F861)=8),cubic_spline(F849:F857,H849:H857,B$6),IF(AND(COUNT(H850:H861)=9,COUNT(F850:F861)=9),cubic_spline(F849:F858,H849:H858,B$6),IF(AND(COUNT(H850:H861)=10,COUNT(F850:F861)=10),cubic_spline(F849:F859,H849:H859,B$6),IF(AND(COUNT(H850:H861)=11,COUNT(F850:F861)=11),cubic_spline(F849:F860,H849:H860,B$6),IF(AND(COUNT(H850:H861)=12,COUNT(F850:F861)=12),cubic_spline(F849:F861,H849:H861,B$6),""))))))))))))</f>
        <v/>
      </c>
      <c r="K854" s="52" t="str">
        <f>IF(N(B$6)=0,"",IF(AND(COUNT(A850:A861)=2,COUNT(F850:F861)=2),cubic_spline(F849:F851,A849:A851,B$6),IF(AND(COUNT(A850:A861)=3,COUNT(F850:F861)=3),cubic_spline(F849:F852,A849:A852,B$6),IF(AND(COUNT(A850:A861)=4,COUNT(F850:F861)=4),cubic_spline(F849:F853,A849:A853,B$6),IF(AND(COUNT(A850:A861)=5,COUNT(F850:F861)=5),cubic_spline(F849:F854,A849:A854,B$6),IF(AND(COUNT(A850:A861)=6,COUNT(F850:F861)=6),cubic_spline(F849:F855,A849:A855,B$6),IF(AND(COUNT(A850:A861)=7,COUNT(F850:F861)=7),cubic_spline(F849:F856,A849:A856,B$6),IF(AND(COUNT(A850:A861)=8,COUNT(F850:F861)=8),cubic_spline(F849:F857,A849:A857,B$6),IF(AND(COUNT(A850:A861)=9,COUNT(F850:F861)=9),cubic_spline(F849:F858,A849:A858,B$6),IF(AND(COUNT(A850:A861)=10,COUNT(F850:F861)=10),cubic_spline(F849:F859,A849:A859,B$6),IF(AND(COUNT(A850:A861)=11,COUNT(F850:F861)=11),cubic_spline(F849:F860,A849:A860,B$6),IF(AND(COUNT(A850:A861)=12,COUNT(F850:F861)=12),cubic_spline(F849:F861,A849:A861,B$6),""))))))))))))</f>
        <v/>
      </c>
      <c r="L854" s="27" t="str">
        <f>IF(I854="","",B$5&amp;"-"&amp;B$6)</f>
        <v/>
      </c>
      <c r="M854" s="52" t="str">
        <f>IF(N(J854)=0,"",J854-J853)</f>
        <v/>
      </c>
    </row>
    <row r="855" spans="1:13" x14ac:dyDescent="0.35">
      <c r="A855" s="48"/>
      <c r="B855" s="48"/>
      <c r="C855" s="50"/>
      <c r="D855" s="50"/>
      <c r="E855" s="51" t="str">
        <f t="shared" si="323"/>
        <v/>
      </c>
      <c r="F855" s="71" t="str">
        <f t="shared" si="321"/>
        <v/>
      </c>
      <c r="G855" s="69" t="str">
        <f t="shared" si="324"/>
        <v/>
      </c>
      <c r="H855" s="70" t="str">
        <f t="shared" si="322"/>
        <v/>
      </c>
      <c r="I855" s="27" t="str">
        <f>IF(N(J855)=0,"",0&amp;"-"&amp;B$7)</f>
        <v/>
      </c>
      <c r="J855" s="52" t="str">
        <f>IF(N(B$7)=0,"",IF(AND(COUNT(H850:H861)=2,COUNT(F850:F861)=2),cubic_spline(F849:F851,H849:H851,B$7),IF(AND(COUNT(H850:H861)=3,COUNT(F850:F861)=3),cubic_spline(F849:F852,H849:H852,B$7),IF(AND(COUNT(H850:H861)=4,COUNT(F850:F861)=4),cubic_spline(F849:F853,H849:H853,B$7),IF(AND(COUNT(H850:H861)=5,COUNT(F850:F861)=5),cubic_spline(F849:F854,H849:H854,B$7),IF(AND(COUNT(H850:H861)=6,COUNT(F850:F861)=6),cubic_spline(F849:F855,H849:H855,B$7),IF(AND(COUNT(H850:H861)=7,COUNT(F850:F861)=7),cubic_spline(F849:F856,H849:H856,B$7),IF(AND(COUNT(H850:H861)=8,COUNT(F850:F861)=8),cubic_spline(F849:F857,H849:H857,B$7),IF(AND(COUNT(H850:H861)=9,COUNT(F850:F861)=9),cubic_spline(F849:F858,H849:H858,B$7),IF(AND(COUNT(H850:H861)=10,COUNT(F850:F861)=10),cubic_spline(F849:F859,H849:H859,B$7),IF(AND(COUNT(H850:H861)=11,COUNT(F850:F861)=11),cubic_spline(F849:F860,H849:H860,B$7),IF(AND(COUNT(H850:H861)=12,COUNT(F850:F861)=12),cubic_spline(F849:F861,H849:H861,B$7),""))))))))))))</f>
        <v/>
      </c>
      <c r="K855" s="52" t="str">
        <f>IF(N(B$7)=0,"",IF(AND(COUNT(A850:A861)=2,COUNT(F850:F861)=2),cubic_spline(F849:F851,A849:A851,B$7),IF(AND(COUNT(A850:A861)=3,COUNT(F850:F861)=3),cubic_spline(F849:F852,A849:A852,B$7),IF(AND(COUNT(A850:A861)=4,COUNT(F850:F861)=4),cubic_spline(F849:F853,A849:A853,B$7),IF(AND(COUNT(A850:A861)=5,COUNT(F850:F861)=5),cubic_spline(F849:F854,A849:A854,B$7),IF(AND(COUNT(A850:A861)=6,COUNT(F850:F861)=6),cubic_spline(F849:F855,A849:A855,B$7),IF(AND(COUNT(A850:A861)=7,COUNT(F850:F861)=7),cubic_spline(F849:F856,A849:A856,B$7),IF(AND(COUNT(A850:A861)=8,COUNT(F850:F861)=8),cubic_spline(F849:F857,A849:A857,B$7),IF(AND(COUNT(A850:A861)=9,COUNT(F850:F861)=9),cubic_spline(F849:F858,A849:A858,B$7),IF(AND(COUNT(A850:A861)=10,COUNT(F850:F861)=10),cubic_spline(F849:F859,A849:A859,B$7),IF(AND(COUNT(A850:A861)=11,COUNT(F850:F861)=11),cubic_spline(F849:F860,A849:A860,B$7),IF(AND(COUNT(A850:A861)=12,COUNT(F850:F861)=12),cubic_spline(F849:F861,A849:A861,B$7),""))))))))))))</f>
        <v/>
      </c>
      <c r="L855" s="27" t="str">
        <f>IF(I855="","",B$6&amp;"-"&amp;B$7)</f>
        <v/>
      </c>
      <c r="M855" s="52" t="str">
        <f t="shared" ref="M855:M861" si="325">IF(N(J855)=0,"",J855-J854)</f>
        <v/>
      </c>
    </row>
    <row r="856" spans="1:13" x14ac:dyDescent="0.35">
      <c r="A856" s="48"/>
      <c r="B856" s="48"/>
      <c r="C856" s="50"/>
      <c r="D856" s="50"/>
      <c r="E856" s="51" t="str">
        <f t="shared" si="323"/>
        <v/>
      </c>
      <c r="F856" s="71" t="str">
        <f t="shared" si="321"/>
        <v/>
      </c>
      <c r="G856" s="69" t="str">
        <f t="shared" si="324"/>
        <v/>
      </c>
      <c r="H856" s="70" t="str">
        <f t="shared" si="322"/>
        <v/>
      </c>
      <c r="I856" s="27" t="str">
        <f>IF(N(J856)=0,"",0&amp;"-"&amp;B$8)</f>
        <v/>
      </c>
      <c r="J856" s="52" t="str">
        <f>IF(N(B$8)=0,"",IF(AND(COUNT(H850:H861)=2,COUNT(F850:F861)=2),cubic_spline(F849:F851,H849:H851,B$8),IF(AND(COUNT(H850:H861)=3,COUNT(F850:F861)=3),cubic_spline(F849:F852,H849:H852,B$8),IF(AND(COUNT(H850:H861)=4,COUNT(F850:F861)=4),cubic_spline(F849:F853,H849:H853,B$8),IF(AND(COUNT(H850:H861)=5,COUNT(F850:F861)=5),cubic_spline(F849:F854,H849:H854,B$8),IF(AND(COUNT(H850:H861)=6,COUNT(F850:F861)=6),cubic_spline(F849:F855,H849:H855,B$8),IF(AND(COUNT(H850:H861)=7,COUNT(F850:F861)=7),cubic_spline(F849:F856,H849:H856,B$8),IF(AND(COUNT(H850:H861)=8,COUNT(F850:F861)=8),cubic_spline(F849:F857,H849:H857,B$8),IF(AND(COUNT(H850:H861)=9,COUNT(F850:F861)=9),cubic_spline(F849:F858,H849:H858,B$8),IF(AND(COUNT(H850:H861)=10,COUNT(F850:F861)=10),cubic_spline(F849:F859,H849:H859,B$8),IF(AND(COUNT(H850:H861)=11,COUNT(F850:F861)=11),cubic_spline(F849:F860,H849:H860,B$8),IF(AND(COUNT(H850:H861)=12,COUNT(F850:F861)=12),cubic_spline(F849:F861,H849:H861,B$8),""))))))))))))</f>
        <v/>
      </c>
      <c r="K856" s="52" t="str">
        <f>IF(N(B$8)=0,"",IF(AND(COUNT(A850:A861)=2,COUNT(F850:F861)=2),cubic_spline(F849:F851,A849:A851,B$8),IF(AND(COUNT(A850:A861)=3,COUNT(F850:F861)=3),cubic_spline(F849:F852,A849:A852,B$8),IF(AND(COUNT(A850:A861)=4,COUNT(F850:F861)=4),cubic_spline(F849:F853,A849:A853,B$8),IF(AND(COUNT(A850:A861)=5,COUNT(F850:F861)=5),cubic_spline(F849:F854,A849:A854,B$8),IF(AND(COUNT(A850:A861)=6,COUNT(F850:F861)=6),cubic_spline(F849:F855,A849:A855,B$8),IF(AND(COUNT(A850:A861)=7,COUNT(F850:F861)=7),cubic_spline(F849:F856,A849:A856,B$8),IF(AND(COUNT(A850:A861)=8,COUNT(F850:F861)=8),cubic_spline(F849:F857,A849:A857,B$8),IF(AND(COUNT(A850:A861)=9,COUNT(F850:F861)=9),cubic_spline(F849:F858,A849:A858,B$8),IF(AND(COUNT(A850:A861)=10,COUNT(F850:F861)=10),cubic_spline(F849:F859,A849:A859,B$8),IF(AND(COUNT(A850:A861)=11,COUNT(F850:F861)=11),cubic_spline(F849:F860,A849:A860,B$8),IF(AND(COUNT(A850:A861)=12,COUNT(F850:F861)=12),cubic_spline(F849:F861,A849:A861,B$8),""))))))))))))</f>
        <v/>
      </c>
      <c r="L856" s="27" t="str">
        <f>IF(I856="","",B$7&amp;"-"&amp;B$8)</f>
        <v/>
      </c>
      <c r="M856" s="52" t="str">
        <f t="shared" si="325"/>
        <v/>
      </c>
    </row>
    <row r="857" spans="1:13" x14ac:dyDescent="0.35">
      <c r="A857" s="48"/>
      <c r="B857" s="48"/>
      <c r="C857" s="50"/>
      <c r="D857" s="50"/>
      <c r="E857" s="51" t="str">
        <f t="shared" si="323"/>
        <v/>
      </c>
      <c r="F857" s="71" t="str">
        <f t="shared" si="321"/>
        <v/>
      </c>
      <c r="G857" s="69" t="str">
        <f t="shared" si="324"/>
        <v/>
      </c>
      <c r="H857" s="70" t="str">
        <f t="shared" si="322"/>
        <v/>
      </c>
      <c r="I857" s="27" t="str">
        <f>IF(N(J857)=0,"",0&amp;"-"&amp;B$9)</f>
        <v/>
      </c>
      <c r="J857" s="52" t="str">
        <f>IF(N(B$9)=0,"",IF(AND(COUNT(H850:H861)=2,COUNT(F850:F861)=2),cubic_spline(F849:F851,H849:H851,B$9),IF(AND(COUNT(H850:H861)=3,COUNT(F850:F861)=3),cubic_spline(F849:F852,H849:H852,B$9),IF(AND(COUNT(H850:H861)=4,COUNT(F850:F861)=4),cubic_spline(F849:F853,H849:H853,B$9),IF(AND(COUNT(H850:H861)=5,COUNT(F850:F861)=5),cubic_spline(F849:F854,H849:H854,B$9),IF(AND(COUNT(H850:H861)=6,COUNT(F850:F861)=6),cubic_spline(F849:F855,H849:H855,B$9),IF(AND(COUNT(H850:H861)=7,COUNT(F850:F861)=7),cubic_spline(F849:F856,H849:H856,B$9),IF(AND(COUNT(H850:H861)=8,COUNT(F850:F861)=8),cubic_spline(F849:F857,H849:H857,B$9),IF(AND(COUNT(H850:H861)=9,COUNT(F850:F861)=9),cubic_spline(F849:F858,H849:H858,B$9),IF(AND(COUNT(H850:H861)=10,COUNT(F850:F861)=10),cubic_spline(F849:F859,H849:H859,B$9),IF(AND(COUNT(H850:H861)=11,COUNT(F850:F861)=11),cubic_spline(F849:F860,H849:H860,B$9),IF(AND(COUNT(H850:H861)=12,COUNT(F850:F861)=12),cubic_spline(F849:F861,H849:H861,B$9),""))))))))))))</f>
        <v/>
      </c>
      <c r="K857" s="52" t="str">
        <f>IF(N(B$9)=0,"",IF(AND(COUNT(A850:A861)=2,COUNT(F850:F861)=2),cubic_spline(F849:F851,A849:A851,B$9),IF(AND(COUNT(A850:A861)=3,COUNT(F850:F861)=3),cubic_spline(F849:F852,A849:A852,B$9),IF(AND(COUNT(A850:A861)=4,COUNT(F850:F861)=4),cubic_spline(F849:F853,A849:A853,B$9),IF(AND(COUNT(A850:A861)=5,COUNT(F850:F861)=5),cubic_spline(F849:F854,A849:A854,B$9),IF(AND(COUNT(A850:A861)=6,COUNT(F850:F861)=6),cubic_spline(F849:F855,A849:A855,B$9),IF(AND(COUNT(A850:A861)=7,COUNT(F850:F861)=7),cubic_spline(F849:F856,A849:A856,B$9),IF(AND(COUNT(A850:A861)=8,COUNT(F850:F861)=8),cubic_spline(F849:F857,A849:A857,B$9),IF(AND(COUNT(A850:A861)=9,COUNT(F850:F861)=9),cubic_spline(F849:F858,A849:A858,B$9),IF(AND(COUNT(A850:A861)=10,COUNT(F850:F861)=10),cubic_spline(F849:F859,A849:A859,B$9),IF(AND(COUNT(A850:A861)=11,COUNT(F850:F861)=11),cubic_spline(F849:F860,A849:A860,B$9),IF(AND(COUNT(A850:A861)=12,COUNT(F850:F861)=12),cubic_spline(F849:F861,A849:A861,B$9),""))))))))))))</f>
        <v/>
      </c>
      <c r="L857" s="27" t="str">
        <f>IF(I857="","",B$8&amp;"-"&amp;B$9)</f>
        <v/>
      </c>
      <c r="M857" s="52" t="str">
        <f t="shared" si="325"/>
        <v/>
      </c>
    </row>
    <row r="858" spans="1:13" x14ac:dyDescent="0.35">
      <c r="A858" s="48"/>
      <c r="B858" s="48"/>
      <c r="C858" s="50"/>
      <c r="D858" s="50"/>
      <c r="E858" s="51" t="str">
        <f t="shared" si="323"/>
        <v/>
      </c>
      <c r="F858" s="71" t="str">
        <f t="shared" si="321"/>
        <v/>
      </c>
      <c r="G858" s="69" t="str">
        <f t="shared" si="324"/>
        <v/>
      </c>
      <c r="H858" s="70" t="str">
        <f t="shared" si="322"/>
        <v/>
      </c>
      <c r="I858" s="27" t="str">
        <f>IF(N(J858)=0,"",0&amp;"-"&amp;B$10)</f>
        <v/>
      </c>
      <c r="J858" s="52" t="str">
        <f>IF(N(B$10)=0,"",IF(AND(COUNT(H850:H861)=2,COUNT(F850:F861)=2),cubic_spline(F849:F851,H849:H851,B$10),IF(AND(COUNT(H850:H861)=3,COUNT(F850:F861)=3),cubic_spline(F849:F852,H849:H852,B$10),IF(AND(COUNT(H850:H861)=4,COUNT(F850:F861)=4),cubic_spline(F849:F853,H849:H853,B$10),IF(AND(COUNT(H850:H861)=5,COUNT(F850:F861)=5),cubic_spline(F849:F854,H849:H854,B$10),IF(AND(COUNT(H850:H861)=6,COUNT(F850:F861)=6),cubic_spline(F849:F855,H849:H855,B$10),IF(AND(COUNT(H850:H861)=7,COUNT(F850:F861)=7),cubic_spline(F849:F856,H849:H856,B$10),IF(AND(COUNT(H850:H861)=8,COUNT(F850:F861)=8),cubic_spline(F849:F857,H849:H857,B$10),IF(AND(COUNT(H850:H861)=9,COUNT(F850:F861)=9),cubic_spline(F849:F858,H849:H858,B$10),IF(AND(COUNT(H850:H861)=10,COUNT(F850:F861)=10),cubic_spline(F849:F859,H849:H859,B$10),IF(AND(COUNT(H850:H861)=11,COUNT(F850:F861)=11),cubic_spline(F849:F860,H849:H860,B$10),IF(AND(COUNT(H850:H861)=12,COUNT(F850:F861)=12),cubic_spline(F849:F861,H849:H861,B$10),""))))))))))))</f>
        <v/>
      </c>
      <c r="K858" s="52" t="str">
        <f>IF(N(B$10)=0,"",IF(AND(COUNT(A850:A861)=2,COUNT(F850:F861)=2),cubic_spline(F849:F851,A849:A851,B$10),IF(AND(COUNT(A850:A861)=3,COUNT(F850:F861)=3),cubic_spline(F849:F852,A849:A852,B$10),IF(AND(COUNT(A850:A861)=4,COUNT(F850:F861)=4),cubic_spline(F849:F853,A849:A853,B$10),IF(AND(COUNT(A850:A861)=5,COUNT(F850:F861)=5),cubic_spline(F849:F854,A849:A854,B$10),IF(AND(COUNT(A850:A861)=6,COUNT(F850:F861)=6),cubic_spline(F849:F855,A849:A855,B$10),IF(AND(COUNT(A850:A861)=7,COUNT(F850:F861)=7),cubic_spline(F849:F856,A849:A856,B$10),IF(AND(COUNT(A850:A861)=8,COUNT(F850:F861)=8),cubic_spline(F849:F857,A849:A857,B$10),IF(AND(COUNT(A850:A861)=9,COUNT(F850:F861)=9),cubic_spline(F849:F858,A849:A858,B$10),IF(AND(COUNT(A850:A861)=10,COUNT(F850:F861)=10),cubic_spline(F849:F859,A849:A859,B$10),IF(AND(COUNT(A850:A861)=11,COUNT(F850:F861)=11),cubic_spline(F849:F860,A849:A860,B$10),IF(AND(COUNT(A850:A861)=12,COUNT(F850:F861)=12),cubic_spline(F849:F861,A849:A861,B$10),""))))))))))))</f>
        <v/>
      </c>
      <c r="L858" s="27" t="str">
        <f>IF(I858="","",B$9&amp;"-"&amp;B$10)</f>
        <v/>
      </c>
      <c r="M858" s="52" t="str">
        <f t="shared" si="325"/>
        <v/>
      </c>
    </row>
    <row r="859" spans="1:13" x14ac:dyDescent="0.35">
      <c r="A859" s="48"/>
      <c r="B859" s="48"/>
      <c r="C859" s="50"/>
      <c r="D859" s="50"/>
      <c r="E859" s="51" t="str">
        <f t="shared" si="323"/>
        <v/>
      </c>
      <c r="F859" s="71" t="str">
        <f t="shared" si="321"/>
        <v/>
      </c>
      <c r="G859" s="69" t="str">
        <f t="shared" si="324"/>
        <v/>
      </c>
      <c r="H859" s="70" t="str">
        <f t="shared" si="322"/>
        <v/>
      </c>
      <c r="I859" s="27" t="str">
        <f>IF(N(J859)=0,"",0&amp;"-"&amp;B$11)</f>
        <v/>
      </c>
      <c r="J859" s="52" t="str">
        <f>IF(N(B$11)=0,"",IF(AND(COUNT(H850:H861)=2,COUNT(F850:F861)=2),cubic_spline(F849:F851,H849:H851,B$11),IF(AND(COUNT(H850:H861)=3,COUNT(F850:F861)=3),cubic_spline(F849:F852,H849:H852,B$11),IF(AND(COUNT(H850:H861)=4,COUNT(F850:F861)=4),cubic_spline(F849:F853,H849:H853,B$11),IF(AND(COUNT(H850:H861)=5,COUNT(F850:F861)=5),cubic_spline(F849:F854,H849:H854,B$11),IF(AND(COUNT(H850:H861)=6,COUNT(F850:F861)=6),cubic_spline(F849:F855,H849:H855,B$11),IF(AND(COUNT(H850:H861)=7,COUNT(F850:F861)=7),cubic_spline(F849:F856,H849:H856,B$11),IF(AND(COUNT(H850:H861)=8,COUNT(F850:F861)=8),cubic_spline(F849:F857,H849:H857,B$11),IF(AND(COUNT(H850:H861)=9,COUNT(F850:F861)=9),cubic_spline(F849:F858,H849:H858,B$11),IF(AND(COUNT(H850:H861)=10,COUNT(F850:F861)=10),cubic_spline(F849:F859,H849:H859,B$11),IF(AND(COUNT(H850:H861)=11,COUNT(F850:F861)=11),cubic_spline(F849:F860,H849:H860,B$11),IF(AND(COUNT(H850:H861)=12,COUNT(F850:F861)=12),cubic_spline(F849:F861,H849:H861,B$11),""))))))))))))</f>
        <v/>
      </c>
      <c r="K859" s="52" t="str">
        <f>IF(N(B$11)=0,"",IF(AND(COUNT(A850:A861)=2,COUNT(F850:F861)=2),cubic_spline(F849:F851,A849:A851,B$11),IF(AND(COUNT(A850:A861)=3,COUNT(F850:F861)=3),cubic_spline(F849:F852,A849:A852,B$11),IF(AND(COUNT(A850:A861)=4,COUNT(F850:F861)=4),cubic_spline(F849:F853,A849:A853,B$11),IF(AND(COUNT(A850:A861)=5,COUNT(F850:F861)=5),cubic_spline(F849:F854,A849:A854,B$11),IF(AND(COUNT(A850:A861)=6,COUNT(F850:F861)=6),cubic_spline(F849:F855,A849:A855,B$11),IF(AND(COUNT(A850:A861)=7,COUNT(F850:F861)=7),cubic_spline(F849:F856,A849:A856,B$11),IF(AND(COUNT(A850:A861)=8,COUNT(F850:F861)=8),cubic_spline(F849:F857,A849:A857,B$11),IF(AND(COUNT(A850:A861)=9,COUNT(F850:F861)=9),cubic_spline(F849:F858,A849:A858,B$11),IF(AND(COUNT(A850:A861)=10,COUNT(F850:F861)=10),cubic_spline(F849:F859,A849:A859,B$11),IF(AND(COUNT(A850:A861)=11,COUNT(F850:F861)=11),cubic_spline(F849:F860,A849:A860,B$11),IF(AND(COUNT(A850:A861)=12,COUNT(F850:F861)=12),cubic_spline(F849:F861,A849:A861,B$11),""))))))))))))</f>
        <v/>
      </c>
      <c r="L859" s="27" t="str">
        <f>IF(I859="","",B$10&amp;"-"&amp;B$11)</f>
        <v/>
      </c>
      <c r="M859" s="52" t="str">
        <f t="shared" si="325"/>
        <v/>
      </c>
    </row>
    <row r="860" spans="1:13" x14ac:dyDescent="0.35">
      <c r="A860" s="48"/>
      <c r="B860" s="48"/>
      <c r="C860" s="50"/>
      <c r="D860" s="50"/>
      <c r="E860" s="51" t="str">
        <f t="shared" si="323"/>
        <v/>
      </c>
      <c r="F860" s="71" t="str">
        <f t="shared" si="321"/>
        <v/>
      </c>
      <c r="G860" s="69" t="str">
        <f t="shared" si="324"/>
        <v/>
      </c>
      <c r="H860" s="70" t="str">
        <f t="shared" si="322"/>
        <v/>
      </c>
      <c r="I860" s="27" t="str">
        <f>IF(N(J860)=0,"",0&amp;"-"&amp;B$12)</f>
        <v/>
      </c>
      <c r="J860" s="52" t="str">
        <f>IF(N(B$12)=0,"",IF(AND(COUNT(H850:H861)=2,COUNT(F850:F861)=2),cubic_spline(F849:F851,H849:H851,B$12),IF(AND(COUNT(H850:H861)=3,COUNT(F850:F861)=3),cubic_spline(F849:F852,H849:H852,B$12),IF(AND(COUNT(H850:H861)=4,COUNT(F850:F861)=4),cubic_spline(F849:F853,H849:H853,B$12),IF(AND(COUNT(H850:H861)=5,COUNT(F850:F861)=5),cubic_spline(F849:F854,H849:H854,B$12),IF(AND(COUNT(H850:H861)=6,COUNT(F850:F861)=6),cubic_spline(F849:F855,H849:H855,B$12),IF(AND(COUNT(H850:H861)=7,COUNT(F850:F861)=7),cubic_spline(F849:F856,H849:H856,B$12),IF(AND(COUNT(H850:H861)=8,COUNT(F850:F861)=8),cubic_spline(F849:F857,H849:H857,B$12),IF(AND(COUNT(H850:H861)=9,COUNT(F850:F861)=9),cubic_spline(F849:F858,H849:H858,B$12),IF(AND(COUNT(H850:H861)=10,COUNT(F850:F861)=10),cubic_spline(F849:F859,H849:H859,B$12),IF(AND(COUNT(H850:H861)=11,COUNT(F850:F861)=11),cubic_spline(F849:F860,H849:H860,B$12),IF(AND(COUNT(H850:H861)=12,COUNT(F850:F861)=12),cubic_spline(F849:F861,H849:H861,B$12),""))))))))))))</f>
        <v/>
      </c>
      <c r="K860" s="52" t="str">
        <f>IF(N(B$12)=0,"",IF(AND(COUNT(A850:A861)=2,COUNT(F850:F861)=2),cubic_spline(F849:F851,A849:A851,B$12),IF(AND(COUNT(A850:A861)=3,COUNT(F850:F861)=3),cubic_spline(F849:F852,A849:A852,B$12),IF(AND(COUNT(A850:A861)=4,COUNT(F850:F861)=4),cubic_spline(F849:F853,A849:A853,B$12),IF(AND(COUNT(A850:A861)=5,COUNT(F850:F861)=5),cubic_spline(F849:F854,A849:A854,B$12),IF(AND(COUNT(A850:A861)=6,COUNT(F850:F861)=6),cubic_spline(F849:F855,A849:A855,B$12),IF(AND(COUNT(A850:A861)=7,COUNT(F850:F861)=7),cubic_spline(F849:F856,A849:A856,B$12),IF(AND(COUNT(A850:A861)=8,COUNT(F850:F861)=8),cubic_spline(F849:F857,A849:A857,B$12),IF(AND(COUNT(A850:A861)=9,COUNT(F850:F861)=9),cubic_spline(F849:F858,A849:A858,B$12),IF(AND(COUNT(A850:A861)=10,COUNT(F850:F861)=10),cubic_spline(F849:F859,A849:A859,B$12),IF(AND(COUNT(A850:A861)=11,COUNT(F850:F861)=11),cubic_spline(F849:F860,A849:A860,B$12),IF(AND(COUNT(A850:A861)=12,COUNT(F850:F861)=12),cubic_spline(F849:F861,A849:A861,B$12),""))))))))))))</f>
        <v/>
      </c>
      <c r="L860" s="27" t="str">
        <f>IF(I860="","",B$11&amp;"-"&amp;B$12)</f>
        <v/>
      </c>
      <c r="M860" s="52" t="str">
        <f t="shared" si="325"/>
        <v/>
      </c>
    </row>
    <row r="861" spans="1:13" x14ac:dyDescent="0.35">
      <c r="A861" s="48"/>
      <c r="B861" s="48"/>
      <c r="C861" s="50"/>
      <c r="D861" s="50"/>
      <c r="E861" s="51" t="str">
        <f t="shared" si="323"/>
        <v/>
      </c>
      <c r="F861" s="71" t="str">
        <f t="shared" si="321"/>
        <v/>
      </c>
      <c r="G861" s="69" t="str">
        <f t="shared" si="324"/>
        <v/>
      </c>
      <c r="H861" s="70" t="str">
        <f t="shared" si="322"/>
        <v/>
      </c>
      <c r="I861" s="27" t="str">
        <f>IF(N(J861)=0,"",0&amp;"-"&amp;B$13)</f>
        <v/>
      </c>
      <c r="J861" s="52" t="str">
        <f>IF(N(B$13)=0,"",IF(AND(COUNT(H850:H861)=2,COUNT(F850:F861)=2),cubic_spline(F849:F851,H849:H851,B$13),IF(AND(COUNT(H850:H861)=3,COUNT(F850:F861)=3),cubic_spline(F849:F852,H849:H852,B$13),IF(AND(COUNT(H850:H861)=4,COUNT(F850:F861)=4),cubic_spline(F849:F853,H849:H853,B$13),IF(AND(COUNT(H850:H861)=5,COUNT(F850:F861)=5),cubic_spline(F849:F854,H849:H854,B$13),IF(AND(COUNT(H850:H861)=6,COUNT(F850:F861)=6),cubic_spline(F849:F855,H849:H855,B$13),IF(AND(COUNT(H850:H861)=7,COUNT(F850:F861)=7),cubic_spline(F849:F856,H849:H856,B$13),IF(AND(COUNT(H850:H861)=8,COUNT(F850:F861)=8),cubic_spline(F849:F857,H849:H857,B$13),IF(AND(COUNT(H850:H861)=9,COUNT(F850:F861)=9),cubic_spline(F849:F858,H849:H858,B$13),IF(AND(COUNT(H850:H861)=10,COUNT(F850:F861)=10),cubic_spline(F849:F859,H849:H859,B$13),IF(AND(COUNT(H850:H861)=11,COUNT(F850:F861)=11),cubic_spline(F849:F860,H849:H860,B$13),IF(AND(COUNT(H850:H861)=12,COUNT(F850:F861)=12),cubic_spline(F849:F861,H849:H861,B$13),""))))))))))))</f>
        <v/>
      </c>
      <c r="K861" s="52" t="str">
        <f>IF(N(B$13)=0,"",IF(AND(COUNT(A850:A861)=2,COUNT(F850:F861)=2),cubic_spline(F849:F851,A849:A851,B$13),IF(AND(COUNT(A850:A861)=3,COUNT(F850:F861)=3),cubic_spline(F849:F852,A849:A852,B$13),IF(AND(COUNT(A850:A861)=4,COUNT(F850:F861)=4),cubic_spline(F849:F853,A849:A853,B$13),IF(AND(COUNT(A850:A861)=5,COUNT(F850:F861)=5),cubic_spline(F849:F854,A849:A854,B$13),IF(AND(COUNT(A850:A861)=6,COUNT(F850:F861)=6),cubic_spline(F849:F855,A849:A855,B$13),IF(AND(COUNT(A850:A861)=7,COUNT(F850:F861)=7),cubic_spline(F849:F856,A849:A856,B$13),IF(AND(COUNT(A850:A861)=8,COUNT(F850:F861)=8),cubic_spline(F849:F857,A849:A857,B$13),IF(AND(COUNT(A850:A861)=9,COUNT(F850:F861)=9),cubic_spline(F849:F858,A849:A858,B$13),IF(AND(COUNT(A850:A861)=10,COUNT(F850:F861)=10),cubic_spline(F849:F859,A849:A859,B$13),IF(AND(COUNT(A850:A861)=11,COUNT(F850:F861)=11),cubic_spline(F849:F860,A849:A860,B$13),IF(AND(COUNT(A850:A861)=12,COUNT(F850:F861)=12),cubic_spline(F849:F861,A849:A861,B$13),""))))))))))))</f>
        <v/>
      </c>
      <c r="L861" s="27" t="str">
        <f>IF(I861="","",B$12&amp;"-"&amp;B$13)</f>
        <v/>
      </c>
      <c r="M861" s="52" t="str">
        <f t="shared" si="325"/>
        <v/>
      </c>
    </row>
    <row r="862" spans="1:13" ht="5.15" customHeight="1" x14ac:dyDescent="0.35">
      <c r="A862" s="47"/>
      <c r="B862" s="47"/>
      <c r="C862" s="53"/>
      <c r="D862" s="53"/>
      <c r="E862" s="54"/>
      <c r="F862" s="55"/>
      <c r="G862" s="72"/>
      <c r="H862" s="73"/>
      <c r="I862" s="47"/>
      <c r="J862" s="57"/>
      <c r="K862" s="57"/>
      <c r="L862" s="55"/>
      <c r="M862" s="57"/>
    </row>
    <row r="863" spans="1:13" x14ac:dyDescent="0.35">
      <c r="A863" s="48"/>
      <c r="B863" s="48"/>
      <c r="C863" s="50"/>
      <c r="D863" s="50"/>
      <c r="E863" s="51" t="str">
        <f>IF(N(C863)=0,"",(A863-A862)*C863*100)</f>
        <v/>
      </c>
      <c r="F863" s="68" t="str">
        <f t="shared" ref="F863:F874" si="326">IF(N(E863)=0,"",(N(E863)+N(F862)))</f>
        <v/>
      </c>
      <c r="G863" s="69" t="str">
        <f>IF(OR(N(D863)=0,N(E863)=0),"",(E863*D863)/1000)</f>
        <v/>
      </c>
      <c r="H863" s="70" t="str">
        <f t="shared" ref="H863:H874" si="327">IF(N(G863)=0,"",(N(G863)+N(H862)))</f>
        <v/>
      </c>
      <c r="I863" s="27" t="str">
        <f>IF(N(J863)=0,"",0&amp;"-"&amp;B$2)</f>
        <v/>
      </c>
      <c r="J863" s="52" t="str">
        <f>IF(N(B$2)=0,"",IF(AND(COUNT(H863:H874)=2,COUNT(F863:F874)=2),cubic_spline(F862:F864,H862:H864,B$2),IF(AND(COUNT(H863:H874)=3,COUNT(F863:F874)=3),cubic_spline(F862:F865,H862:H865,B$2),IF(AND(COUNT(H863:H874)=4,COUNT(F863:F874)=4),cubic_spline(F862:F866,H862:H866,B$2),IF(AND(COUNT(H863:H874)=5,COUNT(F863:F874)=5),cubic_spline(F862:F867,H862:H867,B$2),IF(AND(COUNT(H863:H874)=6,COUNT(F863:F874)=6),cubic_spline(F862:F868,H862:H868,B$2),IF(AND(COUNT(H863:H874)=7,COUNT(F863:F874)=7),cubic_spline(F862:F869,H862:H869,B$2),IF(AND(COUNT(H863:H874)=8,COUNT(F863:F874)=8),cubic_spline(F862:F870,H862:H870,B$2),IF(AND(COUNT(H863:H874)=9,COUNT(F863:F874)=9),cubic_spline(F862:F871,H862:H871,B$2),IF(AND(COUNT(H863:H874)=10,COUNT(F863:F874)=10),cubic_spline(F862:F872,H862:H872,B$2),IF(AND(COUNT(H863:H874)=11,COUNT(F863:F874)=11),cubic_spline(F862:F873,H862:H873,B$2),IF(AND(COUNT(H863:H874)=12,COUNT(F863:F874)=12),cubic_spline(F862:F874,H862:H874,B$2),""))))))))))))</f>
        <v/>
      </c>
      <c r="K863" s="52" t="str">
        <f>IF(N(B$2)=0,"",IF(AND(COUNT(A863:A874)=2,COUNT(F863:F874)=2),cubic_spline(F862:F864,A862:A864,B$2),IF(AND(COUNT(A863:A874)=3,COUNT(F863:F874)=3),cubic_spline(F862:F865,A862:A865,B$2),IF(AND(COUNT(A863:A874)=4,COUNT(F863:F874)=4),cubic_spline(F862:F866,A862:A866,B$2),IF(AND(COUNT(A863:A874)=5,COUNT(F863:F874)=5),cubic_spline(F862:F867,A862:A867,B$2),IF(AND(COUNT(A863:A874)=6,COUNT(F863:F874)=6),cubic_spline(F862:F868,A862:A868,B$2),IF(AND(COUNT(A863:A874)=7,COUNT(F863:F874)=7),cubic_spline(F862:F869,A862:A869,B$2),IF(AND(COUNT(A863:A874)=8,COUNT(F863:F874)=8),cubic_spline(F862:F870,A862:A870,B$2),IF(AND(COUNT(A863:A874)=9,COUNT(F863:F874)=9),cubic_spline(F862:F871,A862:A871,B$2),IF(AND(COUNT(A863:A874)=10,COUNT(F863:F874)=10),cubic_spline(F862:F872,A862:A872,B$2),IF(AND(COUNT(A863:A874)=11,COUNT(F863:F874)=11),cubic_spline(F862:F873,A862:A873,B$2),IF(AND(COUNT(A863:A874)=12,COUNT(F863:F874)=12),cubic_spline(F862:F874,A862:A874,B$2),""))))))))))))</f>
        <v/>
      </c>
      <c r="L863" s="27" t="str">
        <f>IF(I863="","",0&amp;"-"&amp;B$2)</f>
        <v/>
      </c>
      <c r="M863" s="52" t="str">
        <f>IF(N(J863)=0,"",J863-J862)</f>
        <v/>
      </c>
    </row>
    <row r="864" spans="1:13" x14ac:dyDescent="0.35">
      <c r="A864" s="48"/>
      <c r="B864" s="48"/>
      <c r="C864" s="50"/>
      <c r="D864" s="50"/>
      <c r="E864" s="51" t="str">
        <f t="shared" ref="E864:E874" si="328">IF(N(C864)=0,"",(A864-A863)*C864*100)</f>
        <v/>
      </c>
      <c r="F864" s="68" t="str">
        <f t="shared" si="326"/>
        <v/>
      </c>
      <c r="G864" s="69" t="str">
        <f t="shared" ref="G864:G874" si="329">IF(OR(N(D864)=0,N(E864)=0),"",(E864*D864)/1000)</f>
        <v/>
      </c>
      <c r="H864" s="70" t="str">
        <f t="shared" si="327"/>
        <v/>
      </c>
      <c r="I864" s="27" t="str">
        <f>IF(N(J864)=0,"",0&amp;"-"&amp;B$3)</f>
        <v/>
      </c>
      <c r="J864" s="52" t="str">
        <f>IF(N(B$3)=0,"",IF(AND(COUNT(H863:H874)=2,COUNT(F863:F874)=2),cubic_spline(F862:F864,H862:H864,B$3),IF(AND(COUNT(H863:H874)=3,COUNT(F863:F874)=3),cubic_spline(F862:F865,H862:H865,B$3),IF(AND(COUNT(H863:H874)=4,COUNT(F863:F874)=4),cubic_spline(F862:F866,H862:H866,B$3),IF(AND(COUNT(H863:H874)=5,COUNT(F863:F874)=5),cubic_spline(F862:F867,H862:H867,B$3),IF(AND(COUNT(H863:H874)=6,COUNT(F863:F874)=6),cubic_spline(F862:F868,H862:H868,B$3),IF(AND(COUNT(H863:H874)=7,COUNT(F863:F874)=7),cubic_spline(F862:F869,H862:H869,B$3),IF(AND(COUNT(H863:H874)=8,COUNT(F863:F874)=8),cubic_spline(F862:F870,H862:H870,B$3),IF(AND(COUNT(H863:H874)=9,COUNT(F863:F874)=9),cubic_spline(F862:F871,H862:H871,B$3),IF(AND(COUNT(H863:H874)=10,COUNT(F863:F874)=10),cubic_spline(F862:F872,H862:H872,B$3),IF(AND(COUNT(H863:H874)=11,COUNT(F863:F874)=11),cubic_spline(F862:F873,H862:H873,B$3),IF(AND(COUNT(H863:H874)=12,COUNT(F863:F874)=12),cubic_spline(F862:F874,H862:H874,B$3),""))))))))))))</f>
        <v/>
      </c>
      <c r="K864" s="52" t="str">
        <f>IF(N(B$3)=0,"",IF(AND(COUNT(A863:A874)=2,COUNT(F863:F874)=2),cubic_spline(F862:F864,A862:A864,B$3),IF(AND(COUNT(A863:A874)=3,COUNT(F863:F874)=3),cubic_spline(F862:F865,A862:A865,B$3),IF(AND(COUNT(A863:A874)=4,COUNT(F863:F874)=4),cubic_spline(F862:F866,A862:A866,B$3),IF(AND(COUNT(A863:A874)=5,COUNT(F863:F874)=5),cubic_spline(F862:F867,A862:A867,B$3),IF(AND(COUNT(A863:A874)=6,COUNT(F863:F874)=6),cubic_spline(F862:F868,A862:A868,B$3),IF(AND(COUNT(A863:A874)=7,COUNT(F863:F874)=7),cubic_spline(F862:F869,A862:A869,B$3),IF(AND(COUNT(A863:A874)=8,COUNT(F863:F874)=8),cubic_spline(F862:F870,A862:A870,B$3),IF(AND(COUNT(A863:A874)=9,COUNT(F863:F874)=9),cubic_spline(F862:F871,A862:A871,B$3),IF(AND(COUNT(A863:A874)=10,COUNT(F863:F874)=10),cubic_spline(F862:F872,A862:A872,B$3),IF(AND(COUNT(A863:A874)=11,COUNT(F863:F874)=11),cubic_spline(F862:F873,A862:A873,B$3),IF(AND(COUNT(A863:A874)=12,COUNT(F863:F874)=12),cubic_spline(F862:F874,A862:A874,B$3),""))))))))))))</f>
        <v/>
      </c>
      <c r="L864" s="27" t="str">
        <f>IF(I864="","",B$2&amp;"-"&amp;B$3)</f>
        <v/>
      </c>
      <c r="M864" s="52" t="str">
        <f>IF(N(J864)=0,"",J864-J863)</f>
        <v/>
      </c>
    </row>
    <row r="865" spans="1:13" x14ac:dyDescent="0.35">
      <c r="A865" s="48"/>
      <c r="B865" s="48"/>
      <c r="C865" s="50"/>
      <c r="D865" s="50"/>
      <c r="E865" s="51" t="str">
        <f t="shared" si="328"/>
        <v/>
      </c>
      <c r="F865" s="68" t="str">
        <f t="shared" si="326"/>
        <v/>
      </c>
      <c r="G865" s="69" t="str">
        <f t="shared" si="329"/>
        <v/>
      </c>
      <c r="H865" s="70" t="str">
        <f t="shared" si="327"/>
        <v/>
      </c>
      <c r="I865" s="27" t="str">
        <f>IF(N(J865)=0,"",0&amp;"-"&amp;B$4)</f>
        <v/>
      </c>
      <c r="J865" s="52" t="str">
        <f>IF(N(B$4)=0,"",IF(AND(COUNT(H863:H874)=2,COUNT(F863:F874)=2),cubic_spline(F862:F864,H862:H864,B$4),IF(AND(COUNT(H863:H874)=3,COUNT(F863:F874)=3),cubic_spline(F862:F865,H862:H865,B$4),IF(AND(COUNT(H863:H874)=4,COUNT(F863:F874)=4),cubic_spline(F862:F866,H862:H866,B$4),IF(AND(COUNT(H863:H874)=5,COUNT(F863:F874)=5),cubic_spline(F862:F867,H862:H867,B$4),IF(AND(COUNT(H863:H874)=6,COUNT(F863:F874)=6),cubic_spline(F862:F868,H862:H868,B$4),IF(AND(COUNT(H863:H874)=7,COUNT(F863:F874)=7),cubic_spline(F862:F869,H862:H869,B$4),IF(AND(COUNT(H863:H874)=8,COUNT(F863:F874)=8),cubic_spline(F862:F870,H862:H870,B$4),IF(AND(COUNT(H863:H874)=9,COUNT(F863:F874)=9),cubic_spline(F862:F871,H862:H871,B$4),IF(AND(COUNT(H863:H874)=10,COUNT(F863:F874)=10),cubic_spline(F862:F872,H862:H872,B$4),IF(AND(COUNT(H863:H874)=11,COUNT(F863:F874)=11),cubic_spline(F862:F873,H862:H873,B$4),IF(AND(COUNT(H863:H874)=12,COUNT(F863:F874)=12),cubic_spline(F862:F874,H862:H874,B$4),""))))))))))))</f>
        <v/>
      </c>
      <c r="K865" s="52" t="str">
        <f>IF(N(B$4)=0,"",IF(AND(COUNT(A863:A874)=2,COUNT(F863:F874)=2),cubic_spline(F862:F864,A862:A864,B$4),IF(AND(COUNT(A863:A874)=3,COUNT(F863:F874)=3),cubic_spline(F862:F865,A862:A865,B$4),IF(AND(COUNT(A863:A874)=4,COUNT(F863:F874)=4),cubic_spline(F862:F866,A862:A866,B$4),IF(AND(COUNT(A863:A874)=5,COUNT(F863:F874)=5),cubic_spline(F862:F867,A862:A867,B$4),IF(AND(COUNT(A863:A874)=6,COUNT(F863:F874)=6),cubic_spline(F862:F868,A862:A868,B$4),IF(AND(COUNT(A863:A874)=7,COUNT(F863:F874)=7),cubic_spline(F862:F869,A862:A869,B$4),IF(AND(COUNT(A863:A874)=8,COUNT(F863:F874)=8),cubic_spline(F862:F870,A862:A870,B$4),IF(AND(COUNT(A863:A874)=9,COUNT(F863:F874)=9),cubic_spline(F862:F871,A862:A871,B$4),IF(AND(COUNT(A863:A874)=10,COUNT(F863:F874)=10),cubic_spline(F862:F872,A862:A872,B$4),IF(AND(COUNT(A863:A874)=11,COUNT(F863:F874)=11),cubic_spline(F862:F873,A862:A873,B$4),IF(AND(COUNT(A863:A874)=12,COUNT(F863:F874)=12),cubic_spline(F862:F874,A862:A874,B$4),""))))))))))))</f>
        <v/>
      </c>
      <c r="L865" s="27" t="str">
        <f>IF(I865="","",B$3&amp;"-"&amp;B$4)</f>
        <v/>
      </c>
      <c r="M865" s="52" t="str">
        <f>IF(N(J865)=0,"",J865-J864)</f>
        <v/>
      </c>
    </row>
    <row r="866" spans="1:13" x14ac:dyDescent="0.35">
      <c r="A866" s="48"/>
      <c r="B866" s="48"/>
      <c r="C866" s="50"/>
      <c r="D866" s="50"/>
      <c r="E866" s="51" t="str">
        <f t="shared" si="328"/>
        <v/>
      </c>
      <c r="F866" s="68" t="str">
        <f t="shared" si="326"/>
        <v/>
      </c>
      <c r="G866" s="69" t="str">
        <f t="shared" si="329"/>
        <v/>
      </c>
      <c r="H866" s="70" t="str">
        <f t="shared" si="327"/>
        <v/>
      </c>
      <c r="I866" s="27" t="str">
        <f>IF(N(J866)=0,"",0&amp;"-"&amp;B$5)</f>
        <v/>
      </c>
      <c r="J866" s="52" t="str">
        <f>IF(N(B$5)=0,"",IF(AND(COUNT(H863:H874)=2,COUNT(F863:F874)=2),cubic_spline(F862:F864,H862:H864,B$5),IF(AND(COUNT(H863:H874)=3,COUNT(F863:F874)=3),cubic_spline(F862:F865,H862:H865,B$5),IF(AND(COUNT(H863:H874)=4,COUNT(F863:F874)=4),cubic_spline(F862:F866,H862:H866,B$5),IF(AND(COUNT(H863:H874)=5,COUNT(F863:F874)=5),cubic_spline(F862:F867,H862:H867,B$5),IF(AND(COUNT(H863:H874)=6,COUNT(F863:F874)=6),cubic_spline(F862:F868,H862:H868,B$5),IF(AND(COUNT(H863:H874)=7,COUNT(F863:F874)=7),cubic_spline(F862:F869,H862:H869,B$5),IF(AND(COUNT(H863:H874)=8,COUNT(F863:F874)=8),cubic_spline(F862:F870,H862:H870,B$5),IF(AND(COUNT(H863:H874)=9,COUNT(F863:F874)=9),cubic_spline(F862:F871,H862:H871,B$5),IF(AND(COUNT(H863:H874)=10,COUNT(F863:F874)=10),cubic_spline(F862:F872,H862:H872,B$5),IF(AND(COUNT(H863:H874)=11,COUNT(F863:F874)=11),cubic_spline(F862:F873,H862:H873,B$5),IF(AND(COUNT(H863:H874)=12,COUNT(F863:F874)=12),cubic_spline(F862:F874,H862:H874,B$5),""))))))))))))</f>
        <v/>
      </c>
      <c r="K866" s="52" t="str">
        <f>IF(N(B$5)=0,"",IF(AND(COUNT(A863:A874)=2,COUNT(F863:F874)=2),cubic_spline(F862:F864,A862:A864,B$5),IF(AND(COUNT(A863:A874)=3,COUNT(F863:F874)=3),cubic_spline(F862:F865,A862:A865,B$5),IF(AND(COUNT(A863:A874)=4,COUNT(F863:F874)=4),cubic_spline(F862:F866,A862:A866,B$5),IF(AND(COUNT(A863:A874)=5,COUNT(F863:F874)=5),cubic_spline(F862:F867,A862:A867,B$5),IF(AND(COUNT(A863:A874)=6,COUNT(F863:F874)=6),cubic_spline(F862:F868,A862:A868,B$5),IF(AND(COUNT(A863:A874)=7,COUNT(F863:F874)=7),cubic_spline(F862:F869,A862:A869,B$5),IF(AND(COUNT(A863:A874)=8,COUNT(F863:F874)=8),cubic_spline(F862:F870,A862:A870,B$5),IF(AND(COUNT(A863:A874)=9,COUNT(F863:F874)=9),cubic_spline(F862:F871,A862:A871,B$5),IF(AND(COUNT(A863:A874)=10,COUNT(F863:F874)=10),cubic_spline(F862:F872,A862:A872,B$5),IF(AND(COUNT(A863:A874)=11,COUNT(F863:F874)=11),cubic_spline(F862:F873,A862:A873,B$5),IF(AND(COUNT(A863:A874)=12,COUNT(F863:F874)=12),cubic_spline(F862:F874,A862:A874,B$5),""))))))))))))</f>
        <v/>
      </c>
      <c r="L866" s="27" t="str">
        <f>IF(I866="","",B$4&amp;"-"&amp;B$5)</f>
        <v/>
      </c>
      <c r="M866" s="52" t="str">
        <f>IF(N(J866)=0,"",J866-J865)</f>
        <v/>
      </c>
    </row>
    <row r="867" spans="1:13" x14ac:dyDescent="0.35">
      <c r="A867" s="48"/>
      <c r="B867" s="48"/>
      <c r="C867" s="50"/>
      <c r="D867" s="50"/>
      <c r="E867" s="51" t="str">
        <f t="shared" si="328"/>
        <v/>
      </c>
      <c r="F867" s="71" t="str">
        <f t="shared" si="326"/>
        <v/>
      </c>
      <c r="G867" s="69" t="str">
        <f t="shared" si="329"/>
        <v/>
      </c>
      <c r="H867" s="70" t="str">
        <f t="shared" si="327"/>
        <v/>
      </c>
      <c r="I867" s="27" t="str">
        <f>IF(N(J867)=0,"",0&amp;"-"&amp;B$6)</f>
        <v/>
      </c>
      <c r="J867" s="52" t="str">
        <f>IF(N(B$6)=0,"",IF(AND(COUNT(H863:H874)=2,COUNT(F863:F874)=2),cubic_spline(F862:F864,H862:H864,B$6),IF(AND(COUNT(H863:H874)=3,COUNT(F863:F874)=3),cubic_spline(F862:F865,H862:H865,B$6),IF(AND(COUNT(H863:H874)=4,COUNT(F863:F874)=4),cubic_spline(F862:F866,H862:H866,B$6),IF(AND(COUNT(H863:H874)=5,COUNT(F863:F874)=5),cubic_spline(F862:F867,H862:H867,B$6),IF(AND(COUNT(H863:H874)=6,COUNT(F863:F874)=6),cubic_spline(F862:F868,H862:H868,B$6),IF(AND(COUNT(H863:H874)=7,COUNT(F863:F874)=7),cubic_spline(F862:F869,H862:H869,B$6),IF(AND(COUNT(H863:H874)=8,COUNT(F863:F874)=8),cubic_spline(F862:F870,H862:H870,B$6),IF(AND(COUNT(H863:H874)=9,COUNT(F863:F874)=9),cubic_spline(F862:F871,H862:H871,B$6),IF(AND(COUNT(H863:H874)=10,COUNT(F863:F874)=10),cubic_spline(F862:F872,H862:H872,B$6),IF(AND(COUNT(H863:H874)=11,COUNT(F863:F874)=11),cubic_spline(F862:F873,H862:H873,B$6),IF(AND(COUNT(H863:H874)=12,COUNT(F863:F874)=12),cubic_spline(F862:F874,H862:H874,B$6),""))))))))))))</f>
        <v/>
      </c>
      <c r="K867" s="52" t="str">
        <f>IF(N(B$6)=0,"",IF(AND(COUNT(A863:A874)=2,COUNT(F863:F874)=2),cubic_spline(F862:F864,A862:A864,B$6),IF(AND(COUNT(A863:A874)=3,COUNT(F863:F874)=3),cubic_spline(F862:F865,A862:A865,B$6),IF(AND(COUNT(A863:A874)=4,COUNT(F863:F874)=4),cubic_spline(F862:F866,A862:A866,B$6),IF(AND(COUNT(A863:A874)=5,COUNT(F863:F874)=5),cubic_spline(F862:F867,A862:A867,B$6),IF(AND(COUNT(A863:A874)=6,COUNT(F863:F874)=6),cubic_spline(F862:F868,A862:A868,B$6),IF(AND(COUNT(A863:A874)=7,COUNT(F863:F874)=7),cubic_spline(F862:F869,A862:A869,B$6),IF(AND(COUNT(A863:A874)=8,COUNT(F863:F874)=8),cubic_spline(F862:F870,A862:A870,B$6),IF(AND(COUNT(A863:A874)=9,COUNT(F863:F874)=9),cubic_spline(F862:F871,A862:A871,B$6),IF(AND(COUNT(A863:A874)=10,COUNT(F863:F874)=10),cubic_spline(F862:F872,A862:A872,B$6),IF(AND(COUNT(A863:A874)=11,COUNT(F863:F874)=11),cubic_spline(F862:F873,A862:A873,B$6),IF(AND(COUNT(A863:A874)=12,COUNT(F863:F874)=12),cubic_spline(F862:F874,A862:A874,B$6),""))))))))))))</f>
        <v/>
      </c>
      <c r="L867" s="27" t="str">
        <f>IF(I867="","",B$5&amp;"-"&amp;B$6)</f>
        <v/>
      </c>
      <c r="M867" s="52" t="str">
        <f>IF(N(J867)=0,"",J867-J866)</f>
        <v/>
      </c>
    </row>
    <row r="868" spans="1:13" x14ac:dyDescent="0.35">
      <c r="A868" s="48"/>
      <c r="B868" s="48"/>
      <c r="C868" s="50"/>
      <c r="D868" s="50"/>
      <c r="E868" s="51" t="str">
        <f t="shared" si="328"/>
        <v/>
      </c>
      <c r="F868" s="71" t="str">
        <f t="shared" si="326"/>
        <v/>
      </c>
      <c r="G868" s="69" t="str">
        <f t="shared" si="329"/>
        <v/>
      </c>
      <c r="H868" s="70" t="str">
        <f t="shared" si="327"/>
        <v/>
      </c>
      <c r="I868" s="27" t="str">
        <f>IF(N(J868)=0,"",0&amp;"-"&amp;B$7)</f>
        <v/>
      </c>
      <c r="J868" s="52" t="str">
        <f>IF(N(B$7)=0,"",IF(AND(COUNT(H863:H874)=2,COUNT(F863:F874)=2),cubic_spline(F862:F864,H862:H864,B$7),IF(AND(COUNT(H863:H874)=3,COUNT(F863:F874)=3),cubic_spline(F862:F865,H862:H865,B$7),IF(AND(COUNT(H863:H874)=4,COUNT(F863:F874)=4),cubic_spline(F862:F866,H862:H866,B$7),IF(AND(COUNT(H863:H874)=5,COUNT(F863:F874)=5),cubic_spline(F862:F867,H862:H867,B$7),IF(AND(COUNT(H863:H874)=6,COUNT(F863:F874)=6),cubic_spline(F862:F868,H862:H868,B$7),IF(AND(COUNT(H863:H874)=7,COUNT(F863:F874)=7),cubic_spline(F862:F869,H862:H869,B$7),IF(AND(COUNT(H863:H874)=8,COUNT(F863:F874)=8),cubic_spline(F862:F870,H862:H870,B$7),IF(AND(COUNT(H863:H874)=9,COUNT(F863:F874)=9),cubic_spline(F862:F871,H862:H871,B$7),IF(AND(COUNT(H863:H874)=10,COUNT(F863:F874)=10),cubic_spline(F862:F872,H862:H872,B$7),IF(AND(COUNT(H863:H874)=11,COUNT(F863:F874)=11),cubic_spline(F862:F873,H862:H873,B$7),IF(AND(COUNT(H863:H874)=12,COUNT(F863:F874)=12),cubic_spline(F862:F874,H862:H874,B$7),""))))))))))))</f>
        <v/>
      </c>
      <c r="K868" s="52" t="str">
        <f>IF(N(B$7)=0,"",IF(AND(COUNT(A863:A874)=2,COUNT(F863:F874)=2),cubic_spline(F862:F864,A862:A864,B$7),IF(AND(COUNT(A863:A874)=3,COUNT(F863:F874)=3),cubic_spline(F862:F865,A862:A865,B$7),IF(AND(COUNT(A863:A874)=4,COUNT(F863:F874)=4),cubic_spline(F862:F866,A862:A866,B$7),IF(AND(COUNT(A863:A874)=5,COUNT(F863:F874)=5),cubic_spline(F862:F867,A862:A867,B$7),IF(AND(COUNT(A863:A874)=6,COUNT(F863:F874)=6),cubic_spline(F862:F868,A862:A868,B$7),IF(AND(COUNT(A863:A874)=7,COUNT(F863:F874)=7),cubic_spline(F862:F869,A862:A869,B$7),IF(AND(COUNT(A863:A874)=8,COUNT(F863:F874)=8),cubic_spline(F862:F870,A862:A870,B$7),IF(AND(COUNT(A863:A874)=9,COUNT(F863:F874)=9),cubic_spline(F862:F871,A862:A871,B$7),IF(AND(COUNT(A863:A874)=10,COUNT(F863:F874)=10),cubic_spline(F862:F872,A862:A872,B$7),IF(AND(COUNT(A863:A874)=11,COUNT(F863:F874)=11),cubic_spline(F862:F873,A862:A873,B$7),IF(AND(COUNT(A863:A874)=12,COUNT(F863:F874)=12),cubic_spline(F862:F874,A862:A874,B$7),""))))))))))))</f>
        <v/>
      </c>
      <c r="L868" s="27" t="str">
        <f>IF(I868="","",B$6&amp;"-"&amp;B$7)</f>
        <v/>
      </c>
      <c r="M868" s="52" t="str">
        <f t="shared" ref="M868:M874" si="330">IF(N(J868)=0,"",J868-J867)</f>
        <v/>
      </c>
    </row>
    <row r="869" spans="1:13" x14ac:dyDescent="0.35">
      <c r="A869" s="48"/>
      <c r="B869" s="48"/>
      <c r="C869" s="50"/>
      <c r="D869" s="50"/>
      <c r="E869" s="51" t="str">
        <f t="shared" si="328"/>
        <v/>
      </c>
      <c r="F869" s="71" t="str">
        <f t="shared" si="326"/>
        <v/>
      </c>
      <c r="G869" s="69" t="str">
        <f t="shared" si="329"/>
        <v/>
      </c>
      <c r="H869" s="70" t="str">
        <f t="shared" si="327"/>
        <v/>
      </c>
      <c r="I869" s="27" t="str">
        <f>IF(N(J869)=0,"",0&amp;"-"&amp;B$8)</f>
        <v/>
      </c>
      <c r="J869" s="52" t="str">
        <f>IF(N(B$8)=0,"",IF(AND(COUNT(H863:H874)=2,COUNT(F863:F874)=2),cubic_spline(F862:F864,H862:H864,B$8),IF(AND(COUNT(H863:H874)=3,COUNT(F863:F874)=3),cubic_spline(F862:F865,H862:H865,B$8),IF(AND(COUNT(H863:H874)=4,COUNT(F863:F874)=4),cubic_spline(F862:F866,H862:H866,B$8),IF(AND(COUNT(H863:H874)=5,COUNT(F863:F874)=5),cubic_spline(F862:F867,H862:H867,B$8),IF(AND(COUNT(H863:H874)=6,COUNT(F863:F874)=6),cubic_spline(F862:F868,H862:H868,B$8),IF(AND(COUNT(H863:H874)=7,COUNT(F863:F874)=7),cubic_spline(F862:F869,H862:H869,B$8),IF(AND(COUNT(H863:H874)=8,COUNT(F863:F874)=8),cubic_spline(F862:F870,H862:H870,B$8),IF(AND(COUNT(H863:H874)=9,COUNT(F863:F874)=9),cubic_spline(F862:F871,H862:H871,B$8),IF(AND(COUNT(H863:H874)=10,COUNT(F863:F874)=10),cubic_spline(F862:F872,H862:H872,B$8),IF(AND(COUNT(H863:H874)=11,COUNT(F863:F874)=11),cubic_spline(F862:F873,H862:H873,B$8),IF(AND(COUNT(H863:H874)=12,COUNT(F863:F874)=12),cubic_spline(F862:F874,H862:H874,B$8),""))))))))))))</f>
        <v/>
      </c>
      <c r="K869" s="52" t="str">
        <f>IF(N(B$8)=0,"",IF(AND(COUNT(A863:A874)=2,COUNT(F863:F874)=2),cubic_spline(F862:F864,A862:A864,B$8),IF(AND(COUNT(A863:A874)=3,COUNT(F863:F874)=3),cubic_spline(F862:F865,A862:A865,B$8),IF(AND(COUNT(A863:A874)=4,COUNT(F863:F874)=4),cubic_spline(F862:F866,A862:A866,B$8),IF(AND(COUNT(A863:A874)=5,COUNT(F863:F874)=5),cubic_spline(F862:F867,A862:A867,B$8),IF(AND(COUNT(A863:A874)=6,COUNT(F863:F874)=6),cubic_spline(F862:F868,A862:A868,B$8),IF(AND(COUNT(A863:A874)=7,COUNT(F863:F874)=7),cubic_spline(F862:F869,A862:A869,B$8),IF(AND(COUNT(A863:A874)=8,COUNT(F863:F874)=8),cubic_spline(F862:F870,A862:A870,B$8),IF(AND(COUNT(A863:A874)=9,COUNT(F863:F874)=9),cubic_spline(F862:F871,A862:A871,B$8),IF(AND(COUNT(A863:A874)=10,COUNT(F863:F874)=10),cubic_spline(F862:F872,A862:A872,B$8),IF(AND(COUNT(A863:A874)=11,COUNT(F863:F874)=11),cubic_spline(F862:F873,A862:A873,B$8),IF(AND(COUNT(A863:A874)=12,COUNT(F863:F874)=12),cubic_spline(F862:F874,A862:A874,B$8),""))))))))))))</f>
        <v/>
      </c>
      <c r="L869" s="27" t="str">
        <f>IF(I869="","",B$7&amp;"-"&amp;B$8)</f>
        <v/>
      </c>
      <c r="M869" s="52" t="str">
        <f t="shared" si="330"/>
        <v/>
      </c>
    </row>
    <row r="870" spans="1:13" x14ac:dyDescent="0.35">
      <c r="A870" s="48"/>
      <c r="B870" s="48"/>
      <c r="C870" s="50"/>
      <c r="D870" s="50"/>
      <c r="E870" s="51" t="str">
        <f t="shared" si="328"/>
        <v/>
      </c>
      <c r="F870" s="71" t="str">
        <f t="shared" si="326"/>
        <v/>
      </c>
      <c r="G870" s="69" t="str">
        <f t="shared" si="329"/>
        <v/>
      </c>
      <c r="H870" s="70" t="str">
        <f t="shared" si="327"/>
        <v/>
      </c>
      <c r="I870" s="27" t="str">
        <f>IF(N(J870)=0,"",0&amp;"-"&amp;B$9)</f>
        <v/>
      </c>
      <c r="J870" s="52" t="str">
        <f>IF(N(B$9)=0,"",IF(AND(COUNT(H863:H874)=2,COUNT(F863:F874)=2),cubic_spline(F862:F864,H862:H864,B$9),IF(AND(COUNT(H863:H874)=3,COUNT(F863:F874)=3),cubic_spline(F862:F865,H862:H865,B$9),IF(AND(COUNT(H863:H874)=4,COUNT(F863:F874)=4),cubic_spline(F862:F866,H862:H866,B$9),IF(AND(COUNT(H863:H874)=5,COUNT(F863:F874)=5),cubic_spline(F862:F867,H862:H867,B$9),IF(AND(COUNT(H863:H874)=6,COUNT(F863:F874)=6),cubic_spline(F862:F868,H862:H868,B$9),IF(AND(COUNT(H863:H874)=7,COUNT(F863:F874)=7),cubic_spline(F862:F869,H862:H869,B$9),IF(AND(COUNT(H863:H874)=8,COUNT(F863:F874)=8),cubic_spline(F862:F870,H862:H870,B$9),IF(AND(COUNT(H863:H874)=9,COUNT(F863:F874)=9),cubic_spline(F862:F871,H862:H871,B$9),IF(AND(COUNT(H863:H874)=10,COUNT(F863:F874)=10),cubic_spline(F862:F872,H862:H872,B$9),IF(AND(COUNT(H863:H874)=11,COUNT(F863:F874)=11),cubic_spline(F862:F873,H862:H873,B$9),IF(AND(COUNT(H863:H874)=12,COUNT(F863:F874)=12),cubic_spline(F862:F874,H862:H874,B$9),""))))))))))))</f>
        <v/>
      </c>
      <c r="K870" s="52" t="str">
        <f>IF(N(B$9)=0,"",IF(AND(COUNT(A863:A874)=2,COUNT(F863:F874)=2),cubic_spline(F862:F864,A862:A864,B$9),IF(AND(COUNT(A863:A874)=3,COUNT(F863:F874)=3),cubic_spline(F862:F865,A862:A865,B$9),IF(AND(COUNT(A863:A874)=4,COUNT(F863:F874)=4),cubic_spline(F862:F866,A862:A866,B$9),IF(AND(COUNT(A863:A874)=5,COUNT(F863:F874)=5),cubic_spline(F862:F867,A862:A867,B$9),IF(AND(COUNT(A863:A874)=6,COUNT(F863:F874)=6),cubic_spline(F862:F868,A862:A868,B$9),IF(AND(COUNT(A863:A874)=7,COUNT(F863:F874)=7),cubic_spline(F862:F869,A862:A869,B$9),IF(AND(COUNT(A863:A874)=8,COUNT(F863:F874)=8),cubic_spline(F862:F870,A862:A870,B$9),IF(AND(COUNT(A863:A874)=9,COUNT(F863:F874)=9),cubic_spline(F862:F871,A862:A871,B$9),IF(AND(COUNT(A863:A874)=10,COUNT(F863:F874)=10),cubic_spline(F862:F872,A862:A872,B$9),IF(AND(COUNT(A863:A874)=11,COUNT(F863:F874)=11),cubic_spline(F862:F873,A862:A873,B$9),IF(AND(COUNT(A863:A874)=12,COUNT(F863:F874)=12),cubic_spline(F862:F874,A862:A874,B$9),""))))))))))))</f>
        <v/>
      </c>
      <c r="L870" s="27" t="str">
        <f>IF(I870="","",B$8&amp;"-"&amp;B$9)</f>
        <v/>
      </c>
      <c r="M870" s="52" t="str">
        <f t="shared" si="330"/>
        <v/>
      </c>
    </row>
    <row r="871" spans="1:13" x14ac:dyDescent="0.35">
      <c r="A871" s="48"/>
      <c r="B871" s="48"/>
      <c r="C871" s="50"/>
      <c r="D871" s="50"/>
      <c r="E871" s="51" t="str">
        <f t="shared" si="328"/>
        <v/>
      </c>
      <c r="F871" s="71" t="str">
        <f t="shared" si="326"/>
        <v/>
      </c>
      <c r="G871" s="69" t="str">
        <f t="shared" si="329"/>
        <v/>
      </c>
      <c r="H871" s="70" t="str">
        <f t="shared" si="327"/>
        <v/>
      </c>
      <c r="I871" s="27" t="str">
        <f>IF(N(J871)=0,"",0&amp;"-"&amp;B$10)</f>
        <v/>
      </c>
      <c r="J871" s="52" t="str">
        <f>IF(N(B$10)=0,"",IF(AND(COUNT(H863:H874)=2,COUNT(F863:F874)=2),cubic_spline(F862:F864,H862:H864,B$10),IF(AND(COUNT(H863:H874)=3,COUNT(F863:F874)=3),cubic_spline(F862:F865,H862:H865,B$10),IF(AND(COUNT(H863:H874)=4,COUNT(F863:F874)=4),cubic_spline(F862:F866,H862:H866,B$10),IF(AND(COUNT(H863:H874)=5,COUNT(F863:F874)=5),cubic_spline(F862:F867,H862:H867,B$10),IF(AND(COUNT(H863:H874)=6,COUNT(F863:F874)=6),cubic_spline(F862:F868,H862:H868,B$10),IF(AND(COUNT(H863:H874)=7,COUNT(F863:F874)=7),cubic_spline(F862:F869,H862:H869,B$10),IF(AND(COUNT(H863:H874)=8,COUNT(F863:F874)=8),cubic_spline(F862:F870,H862:H870,B$10),IF(AND(COUNT(H863:H874)=9,COUNT(F863:F874)=9),cubic_spline(F862:F871,H862:H871,B$10),IF(AND(COUNT(H863:H874)=10,COUNT(F863:F874)=10),cubic_spline(F862:F872,H862:H872,B$10),IF(AND(COUNT(H863:H874)=11,COUNT(F863:F874)=11),cubic_spline(F862:F873,H862:H873,B$10),IF(AND(COUNT(H863:H874)=12,COUNT(F863:F874)=12),cubic_spline(F862:F874,H862:H874,B$10),""))))))))))))</f>
        <v/>
      </c>
      <c r="K871" s="52" t="str">
        <f>IF(N(B$10)=0,"",IF(AND(COUNT(A863:A874)=2,COUNT(F863:F874)=2),cubic_spline(F862:F864,A862:A864,B$10),IF(AND(COUNT(A863:A874)=3,COUNT(F863:F874)=3),cubic_spline(F862:F865,A862:A865,B$10),IF(AND(COUNT(A863:A874)=4,COUNT(F863:F874)=4),cubic_spline(F862:F866,A862:A866,B$10),IF(AND(COUNT(A863:A874)=5,COUNT(F863:F874)=5),cubic_spline(F862:F867,A862:A867,B$10),IF(AND(COUNT(A863:A874)=6,COUNT(F863:F874)=6),cubic_spline(F862:F868,A862:A868,B$10),IF(AND(COUNT(A863:A874)=7,COUNT(F863:F874)=7),cubic_spline(F862:F869,A862:A869,B$10),IF(AND(COUNT(A863:A874)=8,COUNT(F863:F874)=8),cubic_spline(F862:F870,A862:A870,B$10),IF(AND(COUNT(A863:A874)=9,COUNT(F863:F874)=9),cubic_spline(F862:F871,A862:A871,B$10),IF(AND(COUNT(A863:A874)=10,COUNT(F863:F874)=10),cubic_spline(F862:F872,A862:A872,B$10),IF(AND(COUNT(A863:A874)=11,COUNT(F863:F874)=11),cubic_spline(F862:F873,A862:A873,B$10),IF(AND(COUNT(A863:A874)=12,COUNT(F863:F874)=12),cubic_spline(F862:F874,A862:A874,B$10),""))))))))))))</f>
        <v/>
      </c>
      <c r="L871" s="27" t="str">
        <f>IF(I871="","",B$9&amp;"-"&amp;B$10)</f>
        <v/>
      </c>
      <c r="M871" s="52" t="str">
        <f t="shared" si="330"/>
        <v/>
      </c>
    </row>
    <row r="872" spans="1:13" x14ac:dyDescent="0.35">
      <c r="A872" s="48"/>
      <c r="B872" s="48"/>
      <c r="C872" s="50"/>
      <c r="D872" s="50"/>
      <c r="E872" s="51" t="str">
        <f t="shared" si="328"/>
        <v/>
      </c>
      <c r="F872" s="71" t="str">
        <f t="shared" si="326"/>
        <v/>
      </c>
      <c r="G872" s="69" t="str">
        <f t="shared" si="329"/>
        <v/>
      </c>
      <c r="H872" s="70" t="str">
        <f t="shared" si="327"/>
        <v/>
      </c>
      <c r="I872" s="27" t="str">
        <f>IF(N(J872)=0,"",0&amp;"-"&amp;B$11)</f>
        <v/>
      </c>
      <c r="J872" s="52" t="str">
        <f>IF(N(B$11)=0,"",IF(AND(COUNT(H863:H874)=2,COUNT(F863:F874)=2),cubic_spline(F862:F864,H862:H864,B$11),IF(AND(COUNT(H863:H874)=3,COUNT(F863:F874)=3),cubic_spline(F862:F865,H862:H865,B$11),IF(AND(COUNT(H863:H874)=4,COUNT(F863:F874)=4),cubic_spline(F862:F866,H862:H866,B$11),IF(AND(COUNT(H863:H874)=5,COUNT(F863:F874)=5),cubic_spline(F862:F867,H862:H867,B$11),IF(AND(COUNT(H863:H874)=6,COUNT(F863:F874)=6),cubic_spline(F862:F868,H862:H868,B$11),IF(AND(COUNT(H863:H874)=7,COUNT(F863:F874)=7),cubic_spline(F862:F869,H862:H869,B$11),IF(AND(COUNT(H863:H874)=8,COUNT(F863:F874)=8),cubic_spline(F862:F870,H862:H870,B$11),IF(AND(COUNT(H863:H874)=9,COUNT(F863:F874)=9),cubic_spline(F862:F871,H862:H871,B$11),IF(AND(COUNT(H863:H874)=10,COUNT(F863:F874)=10),cubic_spline(F862:F872,H862:H872,B$11),IF(AND(COUNT(H863:H874)=11,COUNT(F863:F874)=11),cubic_spline(F862:F873,H862:H873,B$11),IF(AND(COUNT(H863:H874)=12,COUNT(F863:F874)=12),cubic_spline(F862:F874,H862:H874,B$11),""))))))))))))</f>
        <v/>
      </c>
      <c r="K872" s="52" t="str">
        <f>IF(N(B$11)=0,"",IF(AND(COUNT(A863:A874)=2,COUNT(F863:F874)=2),cubic_spline(F862:F864,A862:A864,B$11),IF(AND(COUNT(A863:A874)=3,COUNT(F863:F874)=3),cubic_spline(F862:F865,A862:A865,B$11),IF(AND(COUNT(A863:A874)=4,COUNT(F863:F874)=4),cubic_spline(F862:F866,A862:A866,B$11),IF(AND(COUNT(A863:A874)=5,COUNT(F863:F874)=5),cubic_spline(F862:F867,A862:A867,B$11),IF(AND(COUNT(A863:A874)=6,COUNT(F863:F874)=6),cubic_spline(F862:F868,A862:A868,B$11),IF(AND(COUNT(A863:A874)=7,COUNT(F863:F874)=7),cubic_spline(F862:F869,A862:A869,B$11),IF(AND(COUNT(A863:A874)=8,COUNT(F863:F874)=8),cubic_spline(F862:F870,A862:A870,B$11),IF(AND(COUNT(A863:A874)=9,COUNT(F863:F874)=9),cubic_spline(F862:F871,A862:A871,B$11),IF(AND(COUNT(A863:A874)=10,COUNT(F863:F874)=10),cubic_spline(F862:F872,A862:A872,B$11),IF(AND(COUNT(A863:A874)=11,COUNT(F863:F874)=11),cubic_spline(F862:F873,A862:A873,B$11),IF(AND(COUNT(A863:A874)=12,COUNT(F863:F874)=12),cubic_spline(F862:F874,A862:A874,B$11),""))))))))))))</f>
        <v/>
      </c>
      <c r="L872" s="27" t="str">
        <f>IF(I872="","",B$10&amp;"-"&amp;B$11)</f>
        <v/>
      </c>
      <c r="M872" s="52" t="str">
        <f t="shared" si="330"/>
        <v/>
      </c>
    </row>
    <row r="873" spans="1:13" x14ac:dyDescent="0.35">
      <c r="A873" s="48"/>
      <c r="B873" s="48"/>
      <c r="C873" s="50"/>
      <c r="D873" s="50"/>
      <c r="E873" s="51" t="str">
        <f t="shared" si="328"/>
        <v/>
      </c>
      <c r="F873" s="71" t="str">
        <f t="shared" si="326"/>
        <v/>
      </c>
      <c r="G873" s="69" t="str">
        <f t="shared" si="329"/>
        <v/>
      </c>
      <c r="H873" s="70" t="str">
        <f t="shared" si="327"/>
        <v/>
      </c>
      <c r="I873" s="27" t="str">
        <f>IF(N(J873)=0,"",0&amp;"-"&amp;B$12)</f>
        <v/>
      </c>
      <c r="J873" s="52" t="str">
        <f>IF(N(B$12)=0,"",IF(AND(COUNT(H863:H874)=2,COUNT(F863:F874)=2),cubic_spline(F862:F864,H862:H864,B$12),IF(AND(COUNT(H863:H874)=3,COUNT(F863:F874)=3),cubic_spline(F862:F865,H862:H865,B$12),IF(AND(COUNT(H863:H874)=4,COUNT(F863:F874)=4),cubic_spline(F862:F866,H862:H866,B$12),IF(AND(COUNT(H863:H874)=5,COUNT(F863:F874)=5),cubic_spline(F862:F867,H862:H867,B$12),IF(AND(COUNT(H863:H874)=6,COUNT(F863:F874)=6),cubic_spline(F862:F868,H862:H868,B$12),IF(AND(COUNT(H863:H874)=7,COUNT(F863:F874)=7),cubic_spline(F862:F869,H862:H869,B$12),IF(AND(COUNT(H863:H874)=8,COUNT(F863:F874)=8),cubic_spline(F862:F870,H862:H870,B$12),IF(AND(COUNT(H863:H874)=9,COUNT(F863:F874)=9),cubic_spline(F862:F871,H862:H871,B$12),IF(AND(COUNT(H863:H874)=10,COUNT(F863:F874)=10),cubic_spline(F862:F872,H862:H872,B$12),IF(AND(COUNT(H863:H874)=11,COUNT(F863:F874)=11),cubic_spline(F862:F873,H862:H873,B$12),IF(AND(COUNT(H863:H874)=12,COUNT(F863:F874)=12),cubic_spline(F862:F874,H862:H874,B$12),""))))))))))))</f>
        <v/>
      </c>
      <c r="K873" s="52" t="str">
        <f>IF(N(B$12)=0,"",IF(AND(COUNT(A863:A874)=2,COUNT(F863:F874)=2),cubic_spline(F862:F864,A862:A864,B$12),IF(AND(COUNT(A863:A874)=3,COUNT(F863:F874)=3),cubic_spline(F862:F865,A862:A865,B$12),IF(AND(COUNT(A863:A874)=4,COUNT(F863:F874)=4),cubic_spline(F862:F866,A862:A866,B$12),IF(AND(COUNT(A863:A874)=5,COUNT(F863:F874)=5),cubic_spline(F862:F867,A862:A867,B$12),IF(AND(COUNT(A863:A874)=6,COUNT(F863:F874)=6),cubic_spline(F862:F868,A862:A868,B$12),IF(AND(COUNT(A863:A874)=7,COUNT(F863:F874)=7),cubic_spline(F862:F869,A862:A869,B$12),IF(AND(COUNT(A863:A874)=8,COUNT(F863:F874)=8),cubic_spline(F862:F870,A862:A870,B$12),IF(AND(COUNT(A863:A874)=9,COUNT(F863:F874)=9),cubic_spline(F862:F871,A862:A871,B$12),IF(AND(COUNT(A863:A874)=10,COUNT(F863:F874)=10),cubic_spline(F862:F872,A862:A872,B$12),IF(AND(COUNT(A863:A874)=11,COUNT(F863:F874)=11),cubic_spline(F862:F873,A862:A873,B$12),IF(AND(COUNT(A863:A874)=12,COUNT(F863:F874)=12),cubic_spline(F862:F874,A862:A874,B$12),""))))))))))))</f>
        <v/>
      </c>
      <c r="L873" s="27" t="str">
        <f>IF(I873="","",B$11&amp;"-"&amp;B$12)</f>
        <v/>
      </c>
      <c r="M873" s="52" t="str">
        <f t="shared" si="330"/>
        <v/>
      </c>
    </row>
    <row r="874" spans="1:13" x14ac:dyDescent="0.35">
      <c r="A874" s="48"/>
      <c r="B874" s="48"/>
      <c r="C874" s="50"/>
      <c r="D874" s="50"/>
      <c r="E874" s="51" t="str">
        <f t="shared" si="328"/>
        <v/>
      </c>
      <c r="F874" s="71" t="str">
        <f t="shared" si="326"/>
        <v/>
      </c>
      <c r="G874" s="69" t="str">
        <f t="shared" si="329"/>
        <v/>
      </c>
      <c r="H874" s="70" t="str">
        <f t="shared" si="327"/>
        <v/>
      </c>
      <c r="I874" s="27" t="str">
        <f>IF(N(J874)=0,"",0&amp;"-"&amp;B$13)</f>
        <v/>
      </c>
      <c r="J874" s="52" t="str">
        <f>IF(N(B$13)=0,"",IF(AND(COUNT(H863:H874)=2,COUNT(F863:F874)=2),cubic_spline(F862:F864,H862:H864,B$13),IF(AND(COUNT(H863:H874)=3,COUNT(F863:F874)=3),cubic_spline(F862:F865,H862:H865,B$13),IF(AND(COUNT(H863:H874)=4,COUNT(F863:F874)=4),cubic_spline(F862:F866,H862:H866,B$13),IF(AND(COUNT(H863:H874)=5,COUNT(F863:F874)=5),cubic_spline(F862:F867,H862:H867,B$13),IF(AND(COUNT(H863:H874)=6,COUNT(F863:F874)=6),cubic_spline(F862:F868,H862:H868,B$13),IF(AND(COUNT(H863:H874)=7,COUNT(F863:F874)=7),cubic_spline(F862:F869,H862:H869,B$13),IF(AND(COUNT(H863:H874)=8,COUNT(F863:F874)=8),cubic_spline(F862:F870,H862:H870,B$13),IF(AND(COUNT(H863:H874)=9,COUNT(F863:F874)=9),cubic_spline(F862:F871,H862:H871,B$13),IF(AND(COUNT(H863:H874)=10,COUNT(F863:F874)=10),cubic_spline(F862:F872,H862:H872,B$13),IF(AND(COUNT(H863:H874)=11,COUNT(F863:F874)=11),cubic_spline(F862:F873,H862:H873,B$13),IF(AND(COUNT(H863:H874)=12,COUNT(F863:F874)=12),cubic_spline(F862:F874,H862:H874,B$13),""))))))))))))</f>
        <v/>
      </c>
      <c r="K874" s="52" t="str">
        <f>IF(N(B$13)=0,"",IF(AND(COUNT(A863:A874)=2,COUNT(F863:F874)=2),cubic_spline(F862:F864,A862:A864,B$13),IF(AND(COUNT(A863:A874)=3,COUNT(F863:F874)=3),cubic_spline(F862:F865,A862:A865,B$13),IF(AND(COUNT(A863:A874)=4,COUNT(F863:F874)=4),cubic_spline(F862:F866,A862:A866,B$13),IF(AND(COUNT(A863:A874)=5,COUNT(F863:F874)=5),cubic_spline(F862:F867,A862:A867,B$13),IF(AND(COUNT(A863:A874)=6,COUNT(F863:F874)=6),cubic_spline(F862:F868,A862:A868,B$13),IF(AND(COUNT(A863:A874)=7,COUNT(F863:F874)=7),cubic_spline(F862:F869,A862:A869,B$13),IF(AND(COUNT(A863:A874)=8,COUNT(F863:F874)=8),cubic_spline(F862:F870,A862:A870,B$13),IF(AND(COUNT(A863:A874)=9,COUNT(F863:F874)=9),cubic_spline(F862:F871,A862:A871,B$13),IF(AND(COUNT(A863:A874)=10,COUNT(F863:F874)=10),cubic_spline(F862:F872,A862:A872,B$13),IF(AND(COUNT(A863:A874)=11,COUNT(F863:F874)=11),cubic_spline(F862:F873,A862:A873,B$13),IF(AND(COUNT(A863:A874)=12,COUNT(F863:F874)=12),cubic_spline(F862:F874,A862:A874,B$13),""))))))))))))</f>
        <v/>
      </c>
      <c r="L874" s="27" t="str">
        <f>IF(I874="","",B$12&amp;"-"&amp;B$13)</f>
        <v/>
      </c>
      <c r="M874" s="52" t="str">
        <f t="shared" si="330"/>
        <v/>
      </c>
    </row>
    <row r="875" spans="1:13" ht="5.15" customHeight="1" x14ac:dyDescent="0.35">
      <c r="A875" s="47"/>
      <c r="B875" s="47"/>
      <c r="C875" s="53"/>
      <c r="D875" s="53"/>
      <c r="E875" s="54"/>
      <c r="F875" s="55"/>
      <c r="G875" s="72"/>
      <c r="H875" s="73"/>
      <c r="I875" s="47"/>
      <c r="J875" s="57"/>
      <c r="K875" s="57"/>
      <c r="L875" s="55"/>
      <c r="M875" s="57"/>
    </row>
    <row r="876" spans="1:13" x14ac:dyDescent="0.35">
      <c r="A876" s="48"/>
      <c r="B876" s="48"/>
      <c r="C876" s="50"/>
      <c r="D876" s="50"/>
      <c r="E876" s="51" t="str">
        <f>IF(N(C876)=0,"",(A876-A875)*C876*100)</f>
        <v/>
      </c>
      <c r="F876" s="68" t="str">
        <f t="shared" ref="F876:F887" si="331">IF(N(E876)=0,"",(N(E876)+N(F875)))</f>
        <v/>
      </c>
      <c r="G876" s="69" t="str">
        <f>IF(OR(N(D876)=0,N(E876)=0),"",(E876*D876)/1000)</f>
        <v/>
      </c>
      <c r="H876" s="70" t="str">
        <f t="shared" ref="H876:H887" si="332">IF(N(G876)=0,"",(N(G876)+N(H875)))</f>
        <v/>
      </c>
      <c r="I876" s="27" t="str">
        <f>IF(N(J876)=0,"",0&amp;"-"&amp;B$2)</f>
        <v/>
      </c>
      <c r="J876" s="52" t="str">
        <f>IF(N(B$2)=0,"",IF(AND(COUNT(H876:H887)=2,COUNT(F876:F887)=2),cubic_spline(F875:F877,H875:H877,B$2),IF(AND(COUNT(H876:H887)=3,COUNT(F876:F887)=3),cubic_spline(F875:F878,H875:H878,B$2),IF(AND(COUNT(H876:H887)=4,COUNT(F876:F887)=4),cubic_spline(F875:F879,H875:H879,B$2),IF(AND(COUNT(H876:H887)=5,COUNT(F876:F887)=5),cubic_spline(F875:F880,H875:H880,B$2),IF(AND(COUNT(H876:H887)=6,COUNT(F876:F887)=6),cubic_spline(F875:F881,H875:H881,B$2),IF(AND(COUNT(H876:H887)=7,COUNT(F876:F887)=7),cubic_spline(F875:F882,H875:H882,B$2),IF(AND(COUNT(H876:H887)=8,COUNT(F876:F887)=8),cubic_spline(F875:F883,H875:H883,B$2),IF(AND(COUNT(H876:H887)=9,COUNT(F876:F887)=9),cubic_spline(F875:F884,H875:H884,B$2),IF(AND(COUNT(H876:H887)=10,COUNT(F876:F887)=10),cubic_spline(F875:F885,H875:H885,B$2),IF(AND(COUNT(H876:H887)=11,COUNT(F876:F887)=11),cubic_spline(F875:F886,H875:H886,B$2),IF(AND(COUNT(H876:H887)=12,COUNT(F876:F887)=12),cubic_spline(F875:F887,H875:H887,B$2),""))))))))))))</f>
        <v/>
      </c>
      <c r="K876" s="52" t="str">
        <f>IF(N(B$2)=0,"",IF(AND(COUNT(A876:A887)=2,COUNT(F876:F887)=2),cubic_spline(F875:F877,A875:A877,B$2),IF(AND(COUNT(A876:A887)=3,COUNT(F876:F887)=3),cubic_spline(F875:F878,A875:A878,B$2),IF(AND(COUNT(A876:A887)=4,COUNT(F876:F887)=4),cubic_spline(F875:F879,A875:A879,B$2),IF(AND(COUNT(A876:A887)=5,COUNT(F876:F887)=5),cubic_spline(F875:F880,A875:A880,B$2),IF(AND(COUNT(A876:A887)=6,COUNT(F876:F887)=6),cubic_spline(F875:F881,A875:A881,B$2),IF(AND(COUNT(A876:A887)=7,COUNT(F876:F887)=7),cubic_spline(F875:F882,A875:A882,B$2),IF(AND(COUNT(A876:A887)=8,COUNT(F876:F887)=8),cubic_spline(F875:F883,A875:A883,B$2),IF(AND(COUNT(A876:A887)=9,COUNT(F876:F887)=9),cubic_spline(F875:F884,A875:A884,B$2),IF(AND(COUNT(A876:A887)=10,COUNT(F876:F887)=10),cubic_spline(F875:F885,A875:A885,B$2),IF(AND(COUNT(A876:A887)=11,COUNT(F876:F887)=11),cubic_spline(F875:F886,A875:A886,B$2),IF(AND(COUNT(A876:A887)=12,COUNT(F876:F887)=12),cubic_spline(F875:F887,A875:A887,B$2),""))))))))))))</f>
        <v/>
      </c>
      <c r="L876" s="27" t="str">
        <f>IF(I876="","",0&amp;"-"&amp;B$2)</f>
        <v/>
      </c>
      <c r="M876" s="52" t="str">
        <f>IF(N(J876)=0,"",J876-J875)</f>
        <v/>
      </c>
    </row>
    <row r="877" spans="1:13" x14ac:dyDescent="0.35">
      <c r="A877" s="48"/>
      <c r="B877" s="48"/>
      <c r="C877" s="50"/>
      <c r="D877" s="50"/>
      <c r="E877" s="51" t="str">
        <f t="shared" ref="E877:E887" si="333">IF(N(C877)=0,"",(A877-A876)*C877*100)</f>
        <v/>
      </c>
      <c r="F877" s="68" t="str">
        <f t="shared" si="331"/>
        <v/>
      </c>
      <c r="G877" s="69" t="str">
        <f t="shared" ref="G877:G887" si="334">IF(OR(N(D877)=0,N(E877)=0),"",(E877*D877)/1000)</f>
        <v/>
      </c>
      <c r="H877" s="70" t="str">
        <f t="shared" si="332"/>
        <v/>
      </c>
      <c r="I877" s="27" t="str">
        <f>IF(N(J877)=0,"",0&amp;"-"&amp;B$3)</f>
        <v/>
      </c>
      <c r="J877" s="52" t="str">
        <f>IF(N(B$3)=0,"",IF(AND(COUNT(H876:H887)=2,COUNT(F876:F887)=2),cubic_spline(F875:F877,H875:H877,B$3),IF(AND(COUNT(H876:H887)=3,COUNT(F876:F887)=3),cubic_spline(F875:F878,H875:H878,B$3),IF(AND(COUNT(H876:H887)=4,COUNT(F876:F887)=4),cubic_spline(F875:F879,H875:H879,B$3),IF(AND(COUNT(H876:H887)=5,COUNT(F876:F887)=5),cubic_spline(F875:F880,H875:H880,B$3),IF(AND(COUNT(H876:H887)=6,COUNT(F876:F887)=6),cubic_spline(F875:F881,H875:H881,B$3),IF(AND(COUNT(H876:H887)=7,COUNT(F876:F887)=7),cubic_spline(F875:F882,H875:H882,B$3),IF(AND(COUNT(H876:H887)=8,COUNT(F876:F887)=8),cubic_spline(F875:F883,H875:H883,B$3),IF(AND(COUNT(H876:H887)=9,COUNT(F876:F887)=9),cubic_spline(F875:F884,H875:H884,B$3),IF(AND(COUNT(H876:H887)=10,COUNT(F876:F887)=10),cubic_spline(F875:F885,H875:H885,B$3),IF(AND(COUNT(H876:H887)=11,COUNT(F876:F887)=11),cubic_spline(F875:F886,H875:H886,B$3),IF(AND(COUNT(H876:H887)=12,COUNT(F876:F887)=12),cubic_spline(F875:F887,H875:H887,B$3),""))))))))))))</f>
        <v/>
      </c>
      <c r="K877" s="52" t="str">
        <f>IF(N(B$3)=0,"",IF(AND(COUNT(A876:A887)=2,COUNT(F876:F887)=2),cubic_spline(F875:F877,A875:A877,B$3),IF(AND(COUNT(A876:A887)=3,COUNT(F876:F887)=3),cubic_spline(F875:F878,A875:A878,B$3),IF(AND(COUNT(A876:A887)=4,COUNT(F876:F887)=4),cubic_spline(F875:F879,A875:A879,B$3),IF(AND(COUNT(A876:A887)=5,COUNT(F876:F887)=5),cubic_spline(F875:F880,A875:A880,B$3),IF(AND(COUNT(A876:A887)=6,COUNT(F876:F887)=6),cubic_spline(F875:F881,A875:A881,B$3),IF(AND(COUNT(A876:A887)=7,COUNT(F876:F887)=7),cubic_spline(F875:F882,A875:A882,B$3),IF(AND(COUNT(A876:A887)=8,COUNT(F876:F887)=8),cubic_spline(F875:F883,A875:A883,B$3),IF(AND(COUNT(A876:A887)=9,COUNT(F876:F887)=9),cubic_spline(F875:F884,A875:A884,B$3),IF(AND(COUNT(A876:A887)=10,COUNT(F876:F887)=10),cubic_spline(F875:F885,A875:A885,B$3),IF(AND(COUNT(A876:A887)=11,COUNT(F876:F887)=11),cubic_spline(F875:F886,A875:A886,B$3),IF(AND(COUNT(A876:A887)=12,COUNT(F876:F887)=12),cubic_spline(F875:F887,A875:A887,B$3),""))))))))))))</f>
        <v/>
      </c>
      <c r="L877" s="27" t="str">
        <f>IF(I877="","",B$2&amp;"-"&amp;B$3)</f>
        <v/>
      </c>
      <c r="M877" s="52" t="str">
        <f>IF(N(J877)=0,"",J877-J876)</f>
        <v/>
      </c>
    </row>
    <row r="878" spans="1:13" x14ac:dyDescent="0.35">
      <c r="A878" s="48"/>
      <c r="B878" s="48"/>
      <c r="C878" s="50"/>
      <c r="D878" s="50"/>
      <c r="E878" s="51" t="str">
        <f t="shared" si="333"/>
        <v/>
      </c>
      <c r="F878" s="68" t="str">
        <f t="shared" si="331"/>
        <v/>
      </c>
      <c r="G878" s="69" t="str">
        <f t="shared" si="334"/>
        <v/>
      </c>
      <c r="H878" s="70" t="str">
        <f t="shared" si="332"/>
        <v/>
      </c>
      <c r="I878" s="27" t="str">
        <f>IF(N(J878)=0,"",0&amp;"-"&amp;B$4)</f>
        <v/>
      </c>
      <c r="J878" s="52" t="str">
        <f>IF(N(B$4)=0,"",IF(AND(COUNT(H876:H887)=2,COUNT(F876:F887)=2),cubic_spline(F875:F877,H875:H877,B$4),IF(AND(COUNT(H876:H887)=3,COUNT(F876:F887)=3),cubic_spline(F875:F878,H875:H878,B$4),IF(AND(COUNT(H876:H887)=4,COUNT(F876:F887)=4),cubic_spline(F875:F879,H875:H879,B$4),IF(AND(COUNT(H876:H887)=5,COUNT(F876:F887)=5),cubic_spline(F875:F880,H875:H880,B$4),IF(AND(COUNT(H876:H887)=6,COUNT(F876:F887)=6),cubic_spline(F875:F881,H875:H881,B$4),IF(AND(COUNT(H876:H887)=7,COUNT(F876:F887)=7),cubic_spline(F875:F882,H875:H882,B$4),IF(AND(COUNT(H876:H887)=8,COUNT(F876:F887)=8),cubic_spline(F875:F883,H875:H883,B$4),IF(AND(COUNT(H876:H887)=9,COUNT(F876:F887)=9),cubic_spline(F875:F884,H875:H884,B$4),IF(AND(COUNT(H876:H887)=10,COUNT(F876:F887)=10),cubic_spline(F875:F885,H875:H885,B$4),IF(AND(COUNT(H876:H887)=11,COUNT(F876:F887)=11),cubic_spline(F875:F886,H875:H886,B$4),IF(AND(COUNT(H876:H887)=12,COUNT(F876:F887)=12),cubic_spline(F875:F887,H875:H887,B$4),""))))))))))))</f>
        <v/>
      </c>
      <c r="K878" s="52" t="str">
        <f>IF(N(B$4)=0,"",IF(AND(COUNT(A876:A887)=2,COUNT(F876:F887)=2),cubic_spline(F875:F877,A875:A877,B$4),IF(AND(COUNT(A876:A887)=3,COUNT(F876:F887)=3),cubic_spline(F875:F878,A875:A878,B$4),IF(AND(COUNT(A876:A887)=4,COUNT(F876:F887)=4),cubic_spline(F875:F879,A875:A879,B$4),IF(AND(COUNT(A876:A887)=5,COUNT(F876:F887)=5),cubic_spline(F875:F880,A875:A880,B$4),IF(AND(COUNT(A876:A887)=6,COUNT(F876:F887)=6),cubic_spline(F875:F881,A875:A881,B$4),IF(AND(COUNT(A876:A887)=7,COUNT(F876:F887)=7),cubic_spline(F875:F882,A875:A882,B$4),IF(AND(COUNT(A876:A887)=8,COUNT(F876:F887)=8),cubic_spline(F875:F883,A875:A883,B$4),IF(AND(COUNT(A876:A887)=9,COUNT(F876:F887)=9),cubic_spline(F875:F884,A875:A884,B$4),IF(AND(COUNT(A876:A887)=10,COUNT(F876:F887)=10),cubic_spline(F875:F885,A875:A885,B$4),IF(AND(COUNT(A876:A887)=11,COUNT(F876:F887)=11),cubic_spline(F875:F886,A875:A886,B$4),IF(AND(COUNT(A876:A887)=12,COUNT(F876:F887)=12),cubic_spline(F875:F887,A875:A887,B$4),""))))))))))))</f>
        <v/>
      </c>
      <c r="L878" s="27" t="str">
        <f>IF(I878="","",B$3&amp;"-"&amp;B$4)</f>
        <v/>
      </c>
      <c r="M878" s="52" t="str">
        <f>IF(N(J878)=0,"",J878-J877)</f>
        <v/>
      </c>
    </row>
    <row r="879" spans="1:13" x14ac:dyDescent="0.35">
      <c r="A879" s="48"/>
      <c r="B879" s="48"/>
      <c r="C879" s="50"/>
      <c r="D879" s="50"/>
      <c r="E879" s="51" t="str">
        <f t="shared" si="333"/>
        <v/>
      </c>
      <c r="F879" s="68" t="str">
        <f t="shared" si="331"/>
        <v/>
      </c>
      <c r="G879" s="69" t="str">
        <f t="shared" si="334"/>
        <v/>
      </c>
      <c r="H879" s="70" t="str">
        <f t="shared" si="332"/>
        <v/>
      </c>
      <c r="I879" s="27" t="str">
        <f>IF(N(J879)=0,"",0&amp;"-"&amp;B$5)</f>
        <v/>
      </c>
      <c r="J879" s="52" t="str">
        <f>IF(N(B$5)=0,"",IF(AND(COUNT(H876:H887)=2,COUNT(F876:F887)=2),cubic_spline(F875:F877,H875:H877,B$5),IF(AND(COUNT(H876:H887)=3,COUNT(F876:F887)=3),cubic_spline(F875:F878,H875:H878,B$5),IF(AND(COUNT(H876:H887)=4,COUNT(F876:F887)=4),cubic_spline(F875:F879,H875:H879,B$5),IF(AND(COUNT(H876:H887)=5,COUNT(F876:F887)=5),cubic_spline(F875:F880,H875:H880,B$5),IF(AND(COUNT(H876:H887)=6,COUNT(F876:F887)=6),cubic_spline(F875:F881,H875:H881,B$5),IF(AND(COUNT(H876:H887)=7,COUNT(F876:F887)=7),cubic_spline(F875:F882,H875:H882,B$5),IF(AND(COUNT(H876:H887)=8,COUNT(F876:F887)=8),cubic_spline(F875:F883,H875:H883,B$5),IF(AND(COUNT(H876:H887)=9,COUNT(F876:F887)=9),cubic_spline(F875:F884,H875:H884,B$5),IF(AND(COUNT(H876:H887)=10,COUNT(F876:F887)=10),cubic_spline(F875:F885,H875:H885,B$5),IF(AND(COUNT(H876:H887)=11,COUNT(F876:F887)=11),cubic_spline(F875:F886,H875:H886,B$5),IF(AND(COUNT(H876:H887)=12,COUNT(F876:F887)=12),cubic_spline(F875:F887,H875:H887,B$5),""))))))))))))</f>
        <v/>
      </c>
      <c r="K879" s="52" t="str">
        <f>IF(N(B$5)=0,"",IF(AND(COUNT(A876:A887)=2,COUNT(F876:F887)=2),cubic_spline(F875:F877,A875:A877,B$5),IF(AND(COUNT(A876:A887)=3,COUNT(F876:F887)=3),cubic_spline(F875:F878,A875:A878,B$5),IF(AND(COUNT(A876:A887)=4,COUNT(F876:F887)=4),cubic_spline(F875:F879,A875:A879,B$5),IF(AND(COUNT(A876:A887)=5,COUNT(F876:F887)=5),cubic_spline(F875:F880,A875:A880,B$5),IF(AND(COUNT(A876:A887)=6,COUNT(F876:F887)=6),cubic_spline(F875:F881,A875:A881,B$5),IF(AND(COUNT(A876:A887)=7,COUNT(F876:F887)=7),cubic_spline(F875:F882,A875:A882,B$5),IF(AND(COUNT(A876:A887)=8,COUNT(F876:F887)=8),cubic_spline(F875:F883,A875:A883,B$5),IF(AND(COUNT(A876:A887)=9,COUNT(F876:F887)=9),cubic_spline(F875:F884,A875:A884,B$5),IF(AND(COUNT(A876:A887)=10,COUNT(F876:F887)=10),cubic_spline(F875:F885,A875:A885,B$5),IF(AND(COUNT(A876:A887)=11,COUNT(F876:F887)=11),cubic_spline(F875:F886,A875:A886,B$5),IF(AND(COUNT(A876:A887)=12,COUNT(F876:F887)=12),cubic_spline(F875:F887,A875:A887,B$5),""))))))))))))</f>
        <v/>
      </c>
      <c r="L879" s="27" t="str">
        <f>IF(I879="","",B$4&amp;"-"&amp;B$5)</f>
        <v/>
      </c>
      <c r="M879" s="52" t="str">
        <f>IF(N(J879)=0,"",J879-J878)</f>
        <v/>
      </c>
    </row>
    <row r="880" spans="1:13" x14ac:dyDescent="0.35">
      <c r="A880" s="48"/>
      <c r="B880" s="48"/>
      <c r="C880" s="50"/>
      <c r="D880" s="50"/>
      <c r="E880" s="51" t="str">
        <f t="shared" si="333"/>
        <v/>
      </c>
      <c r="F880" s="71" t="str">
        <f t="shared" si="331"/>
        <v/>
      </c>
      <c r="G880" s="69" t="str">
        <f t="shared" si="334"/>
        <v/>
      </c>
      <c r="H880" s="70" t="str">
        <f t="shared" si="332"/>
        <v/>
      </c>
      <c r="I880" s="27" t="str">
        <f>IF(N(J880)=0,"",0&amp;"-"&amp;B$6)</f>
        <v/>
      </c>
      <c r="J880" s="52" t="str">
        <f>IF(N(B$6)=0,"",IF(AND(COUNT(H876:H887)=2,COUNT(F876:F887)=2),cubic_spline(F875:F877,H875:H877,B$6),IF(AND(COUNT(H876:H887)=3,COUNT(F876:F887)=3),cubic_spline(F875:F878,H875:H878,B$6),IF(AND(COUNT(H876:H887)=4,COUNT(F876:F887)=4),cubic_spline(F875:F879,H875:H879,B$6),IF(AND(COUNT(H876:H887)=5,COUNT(F876:F887)=5),cubic_spline(F875:F880,H875:H880,B$6),IF(AND(COUNT(H876:H887)=6,COUNT(F876:F887)=6),cubic_spline(F875:F881,H875:H881,B$6),IF(AND(COUNT(H876:H887)=7,COUNT(F876:F887)=7),cubic_spline(F875:F882,H875:H882,B$6),IF(AND(COUNT(H876:H887)=8,COUNT(F876:F887)=8),cubic_spline(F875:F883,H875:H883,B$6),IF(AND(COUNT(H876:H887)=9,COUNT(F876:F887)=9),cubic_spline(F875:F884,H875:H884,B$6),IF(AND(COUNT(H876:H887)=10,COUNT(F876:F887)=10),cubic_spline(F875:F885,H875:H885,B$6),IF(AND(COUNT(H876:H887)=11,COUNT(F876:F887)=11),cubic_spline(F875:F886,H875:H886,B$6),IF(AND(COUNT(H876:H887)=12,COUNT(F876:F887)=12),cubic_spline(F875:F887,H875:H887,B$6),""))))))))))))</f>
        <v/>
      </c>
      <c r="K880" s="52" t="str">
        <f>IF(N(B$6)=0,"",IF(AND(COUNT(A876:A887)=2,COUNT(F876:F887)=2),cubic_spline(F875:F877,A875:A877,B$6),IF(AND(COUNT(A876:A887)=3,COUNT(F876:F887)=3),cubic_spline(F875:F878,A875:A878,B$6),IF(AND(COUNT(A876:A887)=4,COUNT(F876:F887)=4),cubic_spline(F875:F879,A875:A879,B$6),IF(AND(COUNT(A876:A887)=5,COUNT(F876:F887)=5),cubic_spline(F875:F880,A875:A880,B$6),IF(AND(COUNT(A876:A887)=6,COUNT(F876:F887)=6),cubic_spline(F875:F881,A875:A881,B$6),IF(AND(COUNT(A876:A887)=7,COUNT(F876:F887)=7),cubic_spline(F875:F882,A875:A882,B$6),IF(AND(COUNT(A876:A887)=8,COUNT(F876:F887)=8),cubic_spline(F875:F883,A875:A883,B$6),IF(AND(COUNT(A876:A887)=9,COUNT(F876:F887)=9),cubic_spline(F875:F884,A875:A884,B$6),IF(AND(COUNT(A876:A887)=10,COUNT(F876:F887)=10),cubic_spline(F875:F885,A875:A885,B$6),IF(AND(COUNT(A876:A887)=11,COUNT(F876:F887)=11),cubic_spline(F875:F886,A875:A886,B$6),IF(AND(COUNT(A876:A887)=12,COUNT(F876:F887)=12),cubic_spline(F875:F887,A875:A887,B$6),""))))))))))))</f>
        <v/>
      </c>
      <c r="L880" s="27" t="str">
        <f>IF(I880="","",B$5&amp;"-"&amp;B$6)</f>
        <v/>
      </c>
      <c r="M880" s="52" t="str">
        <f>IF(N(J880)=0,"",J880-J879)</f>
        <v/>
      </c>
    </row>
    <row r="881" spans="1:13" x14ac:dyDescent="0.35">
      <c r="A881" s="48"/>
      <c r="B881" s="48"/>
      <c r="C881" s="50"/>
      <c r="D881" s="50"/>
      <c r="E881" s="51" t="str">
        <f t="shared" si="333"/>
        <v/>
      </c>
      <c r="F881" s="71" t="str">
        <f t="shared" si="331"/>
        <v/>
      </c>
      <c r="G881" s="69" t="str">
        <f t="shared" si="334"/>
        <v/>
      </c>
      <c r="H881" s="70" t="str">
        <f t="shared" si="332"/>
        <v/>
      </c>
      <c r="I881" s="27" t="str">
        <f>IF(N(J881)=0,"",0&amp;"-"&amp;B$7)</f>
        <v/>
      </c>
      <c r="J881" s="52" t="str">
        <f>IF(N(B$7)=0,"",IF(AND(COUNT(H876:H887)=2,COUNT(F876:F887)=2),cubic_spline(F875:F877,H875:H877,B$7),IF(AND(COUNT(H876:H887)=3,COUNT(F876:F887)=3),cubic_spline(F875:F878,H875:H878,B$7),IF(AND(COUNT(H876:H887)=4,COUNT(F876:F887)=4),cubic_spline(F875:F879,H875:H879,B$7),IF(AND(COUNT(H876:H887)=5,COUNT(F876:F887)=5),cubic_spline(F875:F880,H875:H880,B$7),IF(AND(COUNT(H876:H887)=6,COUNT(F876:F887)=6),cubic_spline(F875:F881,H875:H881,B$7),IF(AND(COUNT(H876:H887)=7,COUNT(F876:F887)=7),cubic_spline(F875:F882,H875:H882,B$7),IF(AND(COUNT(H876:H887)=8,COUNT(F876:F887)=8),cubic_spline(F875:F883,H875:H883,B$7),IF(AND(COUNT(H876:H887)=9,COUNT(F876:F887)=9),cubic_spline(F875:F884,H875:H884,B$7),IF(AND(COUNT(H876:H887)=10,COUNT(F876:F887)=10),cubic_spline(F875:F885,H875:H885,B$7),IF(AND(COUNT(H876:H887)=11,COUNT(F876:F887)=11),cubic_spline(F875:F886,H875:H886,B$7),IF(AND(COUNT(H876:H887)=12,COUNT(F876:F887)=12),cubic_spline(F875:F887,H875:H887,B$7),""))))))))))))</f>
        <v/>
      </c>
      <c r="K881" s="52" t="str">
        <f>IF(N(B$7)=0,"",IF(AND(COUNT(A876:A887)=2,COUNT(F876:F887)=2),cubic_spline(F875:F877,A875:A877,B$7),IF(AND(COUNT(A876:A887)=3,COUNT(F876:F887)=3),cubic_spline(F875:F878,A875:A878,B$7),IF(AND(COUNT(A876:A887)=4,COUNT(F876:F887)=4),cubic_spline(F875:F879,A875:A879,B$7),IF(AND(COUNT(A876:A887)=5,COUNT(F876:F887)=5),cubic_spline(F875:F880,A875:A880,B$7),IF(AND(COUNT(A876:A887)=6,COUNT(F876:F887)=6),cubic_spline(F875:F881,A875:A881,B$7),IF(AND(COUNT(A876:A887)=7,COUNT(F876:F887)=7),cubic_spline(F875:F882,A875:A882,B$7),IF(AND(COUNT(A876:A887)=8,COUNT(F876:F887)=8),cubic_spline(F875:F883,A875:A883,B$7),IF(AND(COUNT(A876:A887)=9,COUNT(F876:F887)=9),cubic_spline(F875:F884,A875:A884,B$7),IF(AND(COUNT(A876:A887)=10,COUNT(F876:F887)=10),cubic_spline(F875:F885,A875:A885,B$7),IF(AND(COUNT(A876:A887)=11,COUNT(F876:F887)=11),cubic_spline(F875:F886,A875:A886,B$7),IF(AND(COUNT(A876:A887)=12,COUNT(F876:F887)=12),cubic_spline(F875:F887,A875:A887,B$7),""))))))))))))</f>
        <v/>
      </c>
      <c r="L881" s="27" t="str">
        <f>IF(I881="","",B$6&amp;"-"&amp;B$7)</f>
        <v/>
      </c>
      <c r="M881" s="52" t="str">
        <f t="shared" ref="M881:M887" si="335">IF(N(J881)=0,"",J881-J880)</f>
        <v/>
      </c>
    </row>
    <row r="882" spans="1:13" x14ac:dyDescent="0.35">
      <c r="A882" s="48"/>
      <c r="B882" s="48"/>
      <c r="C882" s="50"/>
      <c r="D882" s="50"/>
      <c r="E882" s="51" t="str">
        <f t="shared" si="333"/>
        <v/>
      </c>
      <c r="F882" s="71" t="str">
        <f t="shared" si="331"/>
        <v/>
      </c>
      <c r="G882" s="69" t="str">
        <f t="shared" si="334"/>
        <v/>
      </c>
      <c r="H882" s="70" t="str">
        <f t="shared" si="332"/>
        <v/>
      </c>
      <c r="I882" s="27" t="str">
        <f>IF(N(J882)=0,"",0&amp;"-"&amp;B$8)</f>
        <v/>
      </c>
      <c r="J882" s="52" t="str">
        <f>IF(N(B$8)=0,"",IF(AND(COUNT(H876:H887)=2,COUNT(F876:F887)=2),cubic_spline(F875:F877,H875:H877,B$8),IF(AND(COUNT(H876:H887)=3,COUNT(F876:F887)=3),cubic_spline(F875:F878,H875:H878,B$8),IF(AND(COUNT(H876:H887)=4,COUNT(F876:F887)=4),cubic_spline(F875:F879,H875:H879,B$8),IF(AND(COUNT(H876:H887)=5,COUNT(F876:F887)=5),cubic_spline(F875:F880,H875:H880,B$8),IF(AND(COUNT(H876:H887)=6,COUNT(F876:F887)=6),cubic_spline(F875:F881,H875:H881,B$8),IF(AND(COUNT(H876:H887)=7,COUNT(F876:F887)=7),cubic_spline(F875:F882,H875:H882,B$8),IF(AND(COUNT(H876:H887)=8,COUNT(F876:F887)=8),cubic_spline(F875:F883,H875:H883,B$8),IF(AND(COUNT(H876:H887)=9,COUNT(F876:F887)=9),cubic_spline(F875:F884,H875:H884,B$8),IF(AND(COUNT(H876:H887)=10,COUNT(F876:F887)=10),cubic_spline(F875:F885,H875:H885,B$8),IF(AND(COUNT(H876:H887)=11,COUNT(F876:F887)=11),cubic_spline(F875:F886,H875:H886,B$8),IF(AND(COUNT(H876:H887)=12,COUNT(F876:F887)=12),cubic_spline(F875:F887,H875:H887,B$8),""))))))))))))</f>
        <v/>
      </c>
      <c r="K882" s="52" t="str">
        <f>IF(N(B$8)=0,"",IF(AND(COUNT(A876:A887)=2,COUNT(F876:F887)=2),cubic_spline(F875:F877,A875:A877,B$8),IF(AND(COUNT(A876:A887)=3,COUNT(F876:F887)=3),cubic_spline(F875:F878,A875:A878,B$8),IF(AND(COUNT(A876:A887)=4,COUNT(F876:F887)=4),cubic_spline(F875:F879,A875:A879,B$8),IF(AND(COUNT(A876:A887)=5,COUNT(F876:F887)=5),cubic_spline(F875:F880,A875:A880,B$8),IF(AND(COUNT(A876:A887)=6,COUNT(F876:F887)=6),cubic_spline(F875:F881,A875:A881,B$8),IF(AND(COUNT(A876:A887)=7,COUNT(F876:F887)=7),cubic_spline(F875:F882,A875:A882,B$8),IF(AND(COUNT(A876:A887)=8,COUNT(F876:F887)=8),cubic_spline(F875:F883,A875:A883,B$8),IF(AND(COUNT(A876:A887)=9,COUNT(F876:F887)=9),cubic_spline(F875:F884,A875:A884,B$8),IF(AND(COUNT(A876:A887)=10,COUNT(F876:F887)=10),cubic_spline(F875:F885,A875:A885,B$8),IF(AND(COUNT(A876:A887)=11,COUNT(F876:F887)=11),cubic_spline(F875:F886,A875:A886,B$8),IF(AND(COUNT(A876:A887)=12,COUNT(F876:F887)=12),cubic_spline(F875:F887,A875:A887,B$8),""))))))))))))</f>
        <v/>
      </c>
      <c r="L882" s="27" t="str">
        <f>IF(I882="","",B$7&amp;"-"&amp;B$8)</f>
        <v/>
      </c>
      <c r="M882" s="52" t="str">
        <f t="shared" si="335"/>
        <v/>
      </c>
    </row>
    <row r="883" spans="1:13" x14ac:dyDescent="0.35">
      <c r="A883" s="48"/>
      <c r="B883" s="48"/>
      <c r="C883" s="50"/>
      <c r="D883" s="50"/>
      <c r="E883" s="51" t="str">
        <f t="shared" si="333"/>
        <v/>
      </c>
      <c r="F883" s="71" t="str">
        <f t="shared" si="331"/>
        <v/>
      </c>
      <c r="G883" s="69" t="str">
        <f t="shared" si="334"/>
        <v/>
      </c>
      <c r="H883" s="70" t="str">
        <f t="shared" si="332"/>
        <v/>
      </c>
      <c r="I883" s="27" t="str">
        <f>IF(N(J883)=0,"",0&amp;"-"&amp;B$9)</f>
        <v/>
      </c>
      <c r="J883" s="52" t="str">
        <f>IF(N(B$9)=0,"",IF(AND(COUNT(H876:H887)=2,COUNT(F876:F887)=2),cubic_spline(F875:F877,H875:H877,B$9),IF(AND(COUNT(H876:H887)=3,COUNT(F876:F887)=3),cubic_spline(F875:F878,H875:H878,B$9),IF(AND(COUNT(H876:H887)=4,COUNT(F876:F887)=4),cubic_spline(F875:F879,H875:H879,B$9),IF(AND(COUNT(H876:H887)=5,COUNT(F876:F887)=5),cubic_spline(F875:F880,H875:H880,B$9),IF(AND(COUNT(H876:H887)=6,COUNT(F876:F887)=6),cubic_spline(F875:F881,H875:H881,B$9),IF(AND(COUNT(H876:H887)=7,COUNT(F876:F887)=7),cubic_spline(F875:F882,H875:H882,B$9),IF(AND(COUNT(H876:H887)=8,COUNT(F876:F887)=8),cubic_spline(F875:F883,H875:H883,B$9),IF(AND(COUNT(H876:H887)=9,COUNT(F876:F887)=9),cubic_spline(F875:F884,H875:H884,B$9),IF(AND(COUNT(H876:H887)=10,COUNT(F876:F887)=10),cubic_spline(F875:F885,H875:H885,B$9),IF(AND(COUNT(H876:H887)=11,COUNT(F876:F887)=11),cubic_spline(F875:F886,H875:H886,B$9),IF(AND(COUNT(H876:H887)=12,COUNT(F876:F887)=12),cubic_spline(F875:F887,H875:H887,B$9),""))))))))))))</f>
        <v/>
      </c>
      <c r="K883" s="52" t="str">
        <f>IF(N(B$9)=0,"",IF(AND(COUNT(A876:A887)=2,COUNT(F876:F887)=2),cubic_spline(F875:F877,A875:A877,B$9),IF(AND(COUNT(A876:A887)=3,COUNT(F876:F887)=3),cubic_spline(F875:F878,A875:A878,B$9),IF(AND(COUNT(A876:A887)=4,COUNT(F876:F887)=4),cubic_spline(F875:F879,A875:A879,B$9),IF(AND(COUNT(A876:A887)=5,COUNT(F876:F887)=5),cubic_spline(F875:F880,A875:A880,B$9),IF(AND(COUNT(A876:A887)=6,COUNT(F876:F887)=6),cubic_spline(F875:F881,A875:A881,B$9),IF(AND(COUNT(A876:A887)=7,COUNT(F876:F887)=7),cubic_spline(F875:F882,A875:A882,B$9),IF(AND(COUNT(A876:A887)=8,COUNT(F876:F887)=8),cubic_spline(F875:F883,A875:A883,B$9),IF(AND(COUNT(A876:A887)=9,COUNT(F876:F887)=9),cubic_spline(F875:F884,A875:A884,B$9),IF(AND(COUNT(A876:A887)=10,COUNT(F876:F887)=10),cubic_spline(F875:F885,A875:A885,B$9),IF(AND(COUNT(A876:A887)=11,COUNT(F876:F887)=11),cubic_spline(F875:F886,A875:A886,B$9),IF(AND(COUNT(A876:A887)=12,COUNT(F876:F887)=12),cubic_spline(F875:F887,A875:A887,B$9),""))))))))))))</f>
        <v/>
      </c>
      <c r="L883" s="27" t="str">
        <f>IF(I883="","",B$8&amp;"-"&amp;B$9)</f>
        <v/>
      </c>
      <c r="M883" s="52" t="str">
        <f t="shared" si="335"/>
        <v/>
      </c>
    </row>
    <row r="884" spans="1:13" x14ac:dyDescent="0.35">
      <c r="A884" s="48"/>
      <c r="B884" s="48"/>
      <c r="C884" s="50"/>
      <c r="D884" s="50"/>
      <c r="E884" s="51" t="str">
        <f t="shared" si="333"/>
        <v/>
      </c>
      <c r="F884" s="71" t="str">
        <f t="shared" si="331"/>
        <v/>
      </c>
      <c r="G884" s="69" t="str">
        <f t="shared" si="334"/>
        <v/>
      </c>
      <c r="H884" s="70" t="str">
        <f t="shared" si="332"/>
        <v/>
      </c>
      <c r="I884" s="27" t="str">
        <f>IF(N(J884)=0,"",0&amp;"-"&amp;B$10)</f>
        <v/>
      </c>
      <c r="J884" s="52" t="str">
        <f>IF(N(B$10)=0,"",IF(AND(COUNT(H876:H887)=2,COUNT(F876:F887)=2),cubic_spline(F875:F877,H875:H877,B$10),IF(AND(COUNT(H876:H887)=3,COUNT(F876:F887)=3),cubic_spline(F875:F878,H875:H878,B$10),IF(AND(COUNT(H876:H887)=4,COUNT(F876:F887)=4),cubic_spline(F875:F879,H875:H879,B$10),IF(AND(COUNT(H876:H887)=5,COUNT(F876:F887)=5),cubic_spline(F875:F880,H875:H880,B$10),IF(AND(COUNT(H876:H887)=6,COUNT(F876:F887)=6),cubic_spline(F875:F881,H875:H881,B$10),IF(AND(COUNT(H876:H887)=7,COUNT(F876:F887)=7),cubic_spline(F875:F882,H875:H882,B$10),IF(AND(COUNT(H876:H887)=8,COUNT(F876:F887)=8),cubic_spline(F875:F883,H875:H883,B$10),IF(AND(COUNT(H876:H887)=9,COUNT(F876:F887)=9),cubic_spline(F875:F884,H875:H884,B$10),IF(AND(COUNT(H876:H887)=10,COUNT(F876:F887)=10),cubic_spline(F875:F885,H875:H885,B$10),IF(AND(COUNT(H876:H887)=11,COUNT(F876:F887)=11),cubic_spline(F875:F886,H875:H886,B$10),IF(AND(COUNT(H876:H887)=12,COUNT(F876:F887)=12),cubic_spline(F875:F887,H875:H887,B$10),""))))))))))))</f>
        <v/>
      </c>
      <c r="K884" s="52" t="str">
        <f>IF(N(B$10)=0,"",IF(AND(COUNT(A876:A887)=2,COUNT(F876:F887)=2),cubic_spline(F875:F877,A875:A877,B$10),IF(AND(COUNT(A876:A887)=3,COUNT(F876:F887)=3),cubic_spline(F875:F878,A875:A878,B$10),IF(AND(COUNT(A876:A887)=4,COUNT(F876:F887)=4),cubic_spline(F875:F879,A875:A879,B$10),IF(AND(COUNT(A876:A887)=5,COUNT(F876:F887)=5),cubic_spline(F875:F880,A875:A880,B$10),IF(AND(COUNT(A876:A887)=6,COUNT(F876:F887)=6),cubic_spline(F875:F881,A875:A881,B$10),IF(AND(COUNT(A876:A887)=7,COUNT(F876:F887)=7),cubic_spline(F875:F882,A875:A882,B$10),IF(AND(COUNT(A876:A887)=8,COUNT(F876:F887)=8),cubic_spline(F875:F883,A875:A883,B$10),IF(AND(COUNT(A876:A887)=9,COUNT(F876:F887)=9),cubic_spline(F875:F884,A875:A884,B$10),IF(AND(COUNT(A876:A887)=10,COUNT(F876:F887)=10),cubic_spline(F875:F885,A875:A885,B$10),IF(AND(COUNT(A876:A887)=11,COUNT(F876:F887)=11),cubic_spline(F875:F886,A875:A886,B$10),IF(AND(COUNT(A876:A887)=12,COUNT(F876:F887)=12),cubic_spline(F875:F887,A875:A887,B$10),""))))))))))))</f>
        <v/>
      </c>
      <c r="L884" s="27" t="str">
        <f>IF(I884="","",B$9&amp;"-"&amp;B$10)</f>
        <v/>
      </c>
      <c r="M884" s="52" t="str">
        <f t="shared" si="335"/>
        <v/>
      </c>
    </row>
    <row r="885" spans="1:13" x14ac:dyDescent="0.35">
      <c r="A885" s="48"/>
      <c r="B885" s="48"/>
      <c r="C885" s="50"/>
      <c r="D885" s="50"/>
      <c r="E885" s="51" t="str">
        <f t="shared" si="333"/>
        <v/>
      </c>
      <c r="F885" s="71" t="str">
        <f t="shared" si="331"/>
        <v/>
      </c>
      <c r="G885" s="69" t="str">
        <f t="shared" si="334"/>
        <v/>
      </c>
      <c r="H885" s="70" t="str">
        <f t="shared" si="332"/>
        <v/>
      </c>
      <c r="I885" s="27" t="str">
        <f>IF(N(J885)=0,"",0&amp;"-"&amp;B$11)</f>
        <v/>
      </c>
      <c r="J885" s="52" t="str">
        <f>IF(N(B$11)=0,"",IF(AND(COUNT(H876:H887)=2,COUNT(F876:F887)=2),cubic_spline(F875:F877,H875:H877,B$11),IF(AND(COUNT(H876:H887)=3,COUNT(F876:F887)=3),cubic_spline(F875:F878,H875:H878,B$11),IF(AND(COUNT(H876:H887)=4,COUNT(F876:F887)=4),cubic_spline(F875:F879,H875:H879,B$11),IF(AND(COUNT(H876:H887)=5,COUNT(F876:F887)=5),cubic_spline(F875:F880,H875:H880,B$11),IF(AND(COUNT(H876:H887)=6,COUNT(F876:F887)=6),cubic_spline(F875:F881,H875:H881,B$11),IF(AND(COUNT(H876:H887)=7,COUNT(F876:F887)=7),cubic_spline(F875:F882,H875:H882,B$11),IF(AND(COUNT(H876:H887)=8,COUNT(F876:F887)=8),cubic_spline(F875:F883,H875:H883,B$11),IF(AND(COUNT(H876:H887)=9,COUNT(F876:F887)=9),cubic_spline(F875:F884,H875:H884,B$11),IF(AND(COUNT(H876:H887)=10,COUNT(F876:F887)=10),cubic_spline(F875:F885,H875:H885,B$11),IF(AND(COUNT(H876:H887)=11,COUNT(F876:F887)=11),cubic_spline(F875:F886,H875:H886,B$11),IF(AND(COUNT(H876:H887)=12,COUNT(F876:F887)=12),cubic_spline(F875:F887,H875:H887,B$11),""))))))))))))</f>
        <v/>
      </c>
      <c r="K885" s="52" t="str">
        <f>IF(N(B$11)=0,"",IF(AND(COUNT(A876:A887)=2,COUNT(F876:F887)=2),cubic_spline(F875:F877,A875:A877,B$11),IF(AND(COUNT(A876:A887)=3,COUNT(F876:F887)=3),cubic_spline(F875:F878,A875:A878,B$11),IF(AND(COUNT(A876:A887)=4,COUNT(F876:F887)=4),cubic_spline(F875:F879,A875:A879,B$11),IF(AND(COUNT(A876:A887)=5,COUNT(F876:F887)=5),cubic_spline(F875:F880,A875:A880,B$11),IF(AND(COUNT(A876:A887)=6,COUNT(F876:F887)=6),cubic_spline(F875:F881,A875:A881,B$11),IF(AND(COUNT(A876:A887)=7,COUNT(F876:F887)=7),cubic_spline(F875:F882,A875:A882,B$11),IF(AND(COUNT(A876:A887)=8,COUNT(F876:F887)=8),cubic_spline(F875:F883,A875:A883,B$11),IF(AND(COUNT(A876:A887)=9,COUNT(F876:F887)=9),cubic_spline(F875:F884,A875:A884,B$11),IF(AND(COUNT(A876:A887)=10,COUNT(F876:F887)=10),cubic_spline(F875:F885,A875:A885,B$11),IF(AND(COUNT(A876:A887)=11,COUNT(F876:F887)=11),cubic_spline(F875:F886,A875:A886,B$11),IF(AND(COUNT(A876:A887)=12,COUNT(F876:F887)=12),cubic_spline(F875:F887,A875:A887,B$11),""))))))))))))</f>
        <v/>
      </c>
      <c r="L885" s="27" t="str">
        <f>IF(I885="","",B$10&amp;"-"&amp;B$11)</f>
        <v/>
      </c>
      <c r="M885" s="52" t="str">
        <f t="shared" si="335"/>
        <v/>
      </c>
    </row>
    <row r="886" spans="1:13" x14ac:dyDescent="0.35">
      <c r="A886" s="48"/>
      <c r="B886" s="48"/>
      <c r="C886" s="50"/>
      <c r="D886" s="50"/>
      <c r="E886" s="51" t="str">
        <f t="shared" si="333"/>
        <v/>
      </c>
      <c r="F886" s="71" t="str">
        <f t="shared" si="331"/>
        <v/>
      </c>
      <c r="G886" s="69" t="str">
        <f t="shared" si="334"/>
        <v/>
      </c>
      <c r="H886" s="70" t="str">
        <f t="shared" si="332"/>
        <v/>
      </c>
      <c r="I886" s="27" t="str">
        <f>IF(N(J886)=0,"",0&amp;"-"&amp;B$12)</f>
        <v/>
      </c>
      <c r="J886" s="52" t="str">
        <f>IF(N(B$12)=0,"",IF(AND(COUNT(H876:H887)=2,COUNT(F876:F887)=2),cubic_spline(F875:F877,H875:H877,B$12),IF(AND(COUNT(H876:H887)=3,COUNT(F876:F887)=3),cubic_spline(F875:F878,H875:H878,B$12),IF(AND(COUNT(H876:H887)=4,COUNT(F876:F887)=4),cubic_spline(F875:F879,H875:H879,B$12),IF(AND(COUNT(H876:H887)=5,COUNT(F876:F887)=5),cubic_spline(F875:F880,H875:H880,B$12),IF(AND(COUNT(H876:H887)=6,COUNT(F876:F887)=6),cubic_spline(F875:F881,H875:H881,B$12),IF(AND(COUNT(H876:H887)=7,COUNT(F876:F887)=7),cubic_spline(F875:F882,H875:H882,B$12),IF(AND(COUNT(H876:H887)=8,COUNT(F876:F887)=8),cubic_spline(F875:F883,H875:H883,B$12),IF(AND(COUNT(H876:H887)=9,COUNT(F876:F887)=9),cubic_spline(F875:F884,H875:H884,B$12),IF(AND(COUNT(H876:H887)=10,COUNT(F876:F887)=10),cubic_spline(F875:F885,H875:H885,B$12),IF(AND(COUNT(H876:H887)=11,COUNT(F876:F887)=11),cubic_spline(F875:F886,H875:H886,B$12),IF(AND(COUNT(H876:H887)=12,COUNT(F876:F887)=12),cubic_spline(F875:F887,H875:H887,B$12),""))))))))))))</f>
        <v/>
      </c>
      <c r="K886" s="52" t="str">
        <f>IF(N(B$12)=0,"",IF(AND(COUNT(A876:A887)=2,COUNT(F876:F887)=2),cubic_spline(F875:F877,A875:A877,B$12),IF(AND(COUNT(A876:A887)=3,COUNT(F876:F887)=3),cubic_spline(F875:F878,A875:A878,B$12),IF(AND(COUNT(A876:A887)=4,COUNT(F876:F887)=4),cubic_spline(F875:F879,A875:A879,B$12),IF(AND(COUNT(A876:A887)=5,COUNT(F876:F887)=5),cubic_spline(F875:F880,A875:A880,B$12),IF(AND(COUNT(A876:A887)=6,COUNT(F876:F887)=6),cubic_spline(F875:F881,A875:A881,B$12),IF(AND(COUNT(A876:A887)=7,COUNT(F876:F887)=7),cubic_spline(F875:F882,A875:A882,B$12),IF(AND(COUNT(A876:A887)=8,COUNT(F876:F887)=8),cubic_spline(F875:F883,A875:A883,B$12),IF(AND(COUNT(A876:A887)=9,COUNT(F876:F887)=9),cubic_spline(F875:F884,A875:A884,B$12),IF(AND(COUNT(A876:A887)=10,COUNT(F876:F887)=10),cubic_spline(F875:F885,A875:A885,B$12),IF(AND(COUNT(A876:A887)=11,COUNT(F876:F887)=11),cubic_spline(F875:F886,A875:A886,B$12),IF(AND(COUNT(A876:A887)=12,COUNT(F876:F887)=12),cubic_spline(F875:F887,A875:A887,B$12),""))))))))))))</f>
        <v/>
      </c>
      <c r="L886" s="27" t="str">
        <f>IF(I886="","",B$11&amp;"-"&amp;B$12)</f>
        <v/>
      </c>
      <c r="M886" s="52" t="str">
        <f t="shared" si="335"/>
        <v/>
      </c>
    </row>
    <row r="887" spans="1:13" x14ac:dyDescent="0.35">
      <c r="A887" s="48"/>
      <c r="B887" s="48"/>
      <c r="C887" s="50"/>
      <c r="D887" s="50"/>
      <c r="E887" s="51" t="str">
        <f t="shared" si="333"/>
        <v/>
      </c>
      <c r="F887" s="71" t="str">
        <f t="shared" si="331"/>
        <v/>
      </c>
      <c r="G887" s="69" t="str">
        <f t="shared" si="334"/>
        <v/>
      </c>
      <c r="H887" s="70" t="str">
        <f t="shared" si="332"/>
        <v/>
      </c>
      <c r="I887" s="27" t="str">
        <f>IF(N(J887)=0,"",0&amp;"-"&amp;B$13)</f>
        <v/>
      </c>
      <c r="J887" s="52" t="str">
        <f>IF(N(B$13)=0,"",IF(AND(COUNT(H876:H887)=2,COUNT(F876:F887)=2),cubic_spline(F875:F877,H875:H877,B$13),IF(AND(COUNT(H876:H887)=3,COUNT(F876:F887)=3),cubic_spline(F875:F878,H875:H878,B$13),IF(AND(COUNT(H876:H887)=4,COUNT(F876:F887)=4),cubic_spline(F875:F879,H875:H879,B$13),IF(AND(COUNT(H876:H887)=5,COUNT(F876:F887)=5),cubic_spline(F875:F880,H875:H880,B$13),IF(AND(COUNT(H876:H887)=6,COUNT(F876:F887)=6),cubic_spline(F875:F881,H875:H881,B$13),IF(AND(COUNT(H876:H887)=7,COUNT(F876:F887)=7),cubic_spline(F875:F882,H875:H882,B$13),IF(AND(COUNT(H876:H887)=8,COUNT(F876:F887)=8),cubic_spline(F875:F883,H875:H883,B$13),IF(AND(COUNT(H876:H887)=9,COUNT(F876:F887)=9),cubic_spline(F875:F884,H875:H884,B$13),IF(AND(COUNT(H876:H887)=10,COUNT(F876:F887)=10),cubic_spline(F875:F885,H875:H885,B$13),IF(AND(COUNT(H876:H887)=11,COUNT(F876:F887)=11),cubic_spline(F875:F886,H875:H886,B$13),IF(AND(COUNT(H876:H887)=12,COUNT(F876:F887)=12),cubic_spline(F875:F887,H875:H887,B$13),""))))))))))))</f>
        <v/>
      </c>
      <c r="K887" s="52" t="str">
        <f>IF(N(B$13)=0,"",IF(AND(COUNT(A876:A887)=2,COUNT(F876:F887)=2),cubic_spline(F875:F877,A875:A877,B$13),IF(AND(COUNT(A876:A887)=3,COUNT(F876:F887)=3),cubic_spline(F875:F878,A875:A878,B$13),IF(AND(COUNT(A876:A887)=4,COUNT(F876:F887)=4),cubic_spline(F875:F879,A875:A879,B$13),IF(AND(COUNT(A876:A887)=5,COUNT(F876:F887)=5),cubic_spline(F875:F880,A875:A880,B$13),IF(AND(COUNT(A876:A887)=6,COUNT(F876:F887)=6),cubic_spline(F875:F881,A875:A881,B$13),IF(AND(COUNT(A876:A887)=7,COUNT(F876:F887)=7),cubic_spline(F875:F882,A875:A882,B$13),IF(AND(COUNT(A876:A887)=8,COUNT(F876:F887)=8),cubic_spline(F875:F883,A875:A883,B$13),IF(AND(COUNT(A876:A887)=9,COUNT(F876:F887)=9),cubic_spline(F875:F884,A875:A884,B$13),IF(AND(COUNT(A876:A887)=10,COUNT(F876:F887)=10),cubic_spline(F875:F885,A875:A885,B$13),IF(AND(COUNT(A876:A887)=11,COUNT(F876:F887)=11),cubic_spline(F875:F886,A875:A886,B$13),IF(AND(COUNT(A876:A887)=12,COUNT(F876:F887)=12),cubic_spline(F875:F887,A875:A887,B$13),""))))))))))))</f>
        <v/>
      </c>
      <c r="L887" s="27" t="str">
        <f>IF(I887="","",B$12&amp;"-"&amp;B$13)</f>
        <v/>
      </c>
      <c r="M887" s="52" t="str">
        <f t="shared" si="335"/>
        <v/>
      </c>
    </row>
    <row r="888" spans="1:13" ht="5.15" customHeight="1" x14ac:dyDescent="0.35">
      <c r="A888" s="47"/>
      <c r="B888" s="47"/>
      <c r="C888" s="53"/>
      <c r="D888" s="53"/>
      <c r="E888" s="54"/>
      <c r="F888" s="55"/>
      <c r="G888" s="72"/>
      <c r="H888" s="73"/>
      <c r="I888" s="47"/>
      <c r="J888" s="57"/>
      <c r="K888" s="57"/>
      <c r="L888" s="55"/>
      <c r="M888" s="57"/>
    </row>
    <row r="889" spans="1:13" x14ac:dyDescent="0.35">
      <c r="A889" s="48"/>
      <c r="B889" s="48"/>
      <c r="C889" s="50"/>
      <c r="D889" s="50"/>
      <c r="E889" s="51" t="str">
        <f>IF(N(C889)=0,"",(A889-A888)*C889*100)</f>
        <v/>
      </c>
      <c r="F889" s="68" t="str">
        <f t="shared" ref="F889:F900" si="336">IF(N(E889)=0,"",(N(E889)+N(F888)))</f>
        <v/>
      </c>
      <c r="G889" s="69" t="str">
        <f>IF(OR(N(D889)=0,N(E889)=0),"",(E889*D889)/1000)</f>
        <v/>
      </c>
      <c r="H889" s="70" t="str">
        <f t="shared" ref="H889:H900" si="337">IF(N(G889)=0,"",(N(G889)+N(H888)))</f>
        <v/>
      </c>
      <c r="I889" s="27" t="str">
        <f>IF(N(J889)=0,"",0&amp;"-"&amp;B$2)</f>
        <v/>
      </c>
      <c r="J889" s="52" t="str">
        <f>IF(N(B$2)=0,"",IF(AND(COUNT(H889:H900)=2,COUNT(F889:F900)=2),cubic_spline(F888:F890,H888:H890,B$2),IF(AND(COUNT(H889:H900)=3,COUNT(F889:F900)=3),cubic_spline(F888:F891,H888:H891,B$2),IF(AND(COUNT(H889:H900)=4,COUNT(F889:F900)=4),cubic_spline(F888:F892,H888:H892,B$2),IF(AND(COUNT(H889:H900)=5,COUNT(F889:F900)=5),cubic_spline(F888:F893,H888:H893,B$2),IF(AND(COUNT(H889:H900)=6,COUNT(F889:F900)=6),cubic_spline(F888:F894,H888:H894,B$2),IF(AND(COUNT(H889:H900)=7,COUNT(F889:F900)=7),cubic_spline(F888:F895,H888:H895,B$2),IF(AND(COUNT(H889:H900)=8,COUNT(F889:F900)=8),cubic_spline(F888:F896,H888:H896,B$2),IF(AND(COUNT(H889:H900)=9,COUNT(F889:F900)=9),cubic_spline(F888:F897,H888:H897,B$2),IF(AND(COUNT(H889:H900)=10,COUNT(F889:F900)=10),cubic_spline(F888:F898,H888:H898,B$2),IF(AND(COUNT(H889:H900)=11,COUNT(F889:F900)=11),cubic_spline(F888:F899,H888:H899,B$2),IF(AND(COUNT(H889:H900)=12,COUNT(F889:F900)=12),cubic_spline(F888:F900,H888:H900,B$2),""))))))))))))</f>
        <v/>
      </c>
      <c r="K889" s="52" t="str">
        <f>IF(N(B$2)=0,"",IF(AND(COUNT(A889:A900)=2,COUNT(F889:F900)=2),cubic_spline(F888:F890,A888:A890,B$2),IF(AND(COUNT(A889:A900)=3,COUNT(F889:F900)=3),cubic_spline(F888:F891,A888:A891,B$2),IF(AND(COUNT(A889:A900)=4,COUNT(F889:F900)=4),cubic_spline(F888:F892,A888:A892,B$2),IF(AND(COUNT(A889:A900)=5,COUNT(F889:F900)=5),cubic_spline(F888:F893,A888:A893,B$2),IF(AND(COUNT(A889:A900)=6,COUNT(F889:F900)=6),cubic_spline(F888:F894,A888:A894,B$2),IF(AND(COUNT(A889:A900)=7,COUNT(F889:F900)=7),cubic_spline(F888:F895,A888:A895,B$2),IF(AND(COUNT(A889:A900)=8,COUNT(F889:F900)=8),cubic_spline(F888:F896,A888:A896,B$2),IF(AND(COUNT(A889:A900)=9,COUNT(F889:F900)=9),cubic_spline(F888:F897,A888:A897,B$2),IF(AND(COUNT(A889:A900)=10,COUNT(F889:F900)=10),cubic_spline(F888:F898,A888:A898,B$2),IF(AND(COUNT(A889:A900)=11,COUNT(F889:F900)=11),cubic_spline(F888:F899,A888:A899,B$2),IF(AND(COUNT(A889:A900)=12,COUNT(F889:F900)=12),cubic_spline(F888:F900,A888:A900,B$2),""))))))))))))</f>
        <v/>
      </c>
      <c r="L889" s="27" t="str">
        <f>IF(I889="","",0&amp;"-"&amp;B$2)</f>
        <v/>
      </c>
      <c r="M889" s="52" t="str">
        <f>IF(N(J889)=0,"",J889-J888)</f>
        <v/>
      </c>
    </row>
    <row r="890" spans="1:13" x14ac:dyDescent="0.35">
      <c r="A890" s="48"/>
      <c r="B890" s="48"/>
      <c r="C890" s="50"/>
      <c r="D890" s="50"/>
      <c r="E890" s="51" t="str">
        <f t="shared" ref="E890:E900" si="338">IF(N(C890)=0,"",(A890-A889)*C890*100)</f>
        <v/>
      </c>
      <c r="F890" s="68" t="str">
        <f t="shared" si="336"/>
        <v/>
      </c>
      <c r="G890" s="69" t="str">
        <f t="shared" ref="G890:G900" si="339">IF(OR(N(D890)=0,N(E890)=0),"",(E890*D890)/1000)</f>
        <v/>
      </c>
      <c r="H890" s="70" t="str">
        <f t="shared" si="337"/>
        <v/>
      </c>
      <c r="I890" s="27" t="str">
        <f>IF(N(J890)=0,"",0&amp;"-"&amp;B$3)</f>
        <v/>
      </c>
      <c r="J890" s="52" t="str">
        <f>IF(N(B$3)=0,"",IF(AND(COUNT(H889:H900)=2,COUNT(F889:F900)=2),cubic_spline(F888:F890,H888:H890,B$3),IF(AND(COUNT(H889:H900)=3,COUNT(F889:F900)=3),cubic_spline(F888:F891,H888:H891,B$3),IF(AND(COUNT(H889:H900)=4,COUNT(F889:F900)=4),cubic_spline(F888:F892,H888:H892,B$3),IF(AND(COUNT(H889:H900)=5,COUNT(F889:F900)=5),cubic_spline(F888:F893,H888:H893,B$3),IF(AND(COUNT(H889:H900)=6,COUNT(F889:F900)=6),cubic_spline(F888:F894,H888:H894,B$3),IF(AND(COUNT(H889:H900)=7,COUNT(F889:F900)=7),cubic_spline(F888:F895,H888:H895,B$3),IF(AND(COUNT(H889:H900)=8,COUNT(F889:F900)=8),cubic_spline(F888:F896,H888:H896,B$3),IF(AND(COUNT(H889:H900)=9,COUNT(F889:F900)=9),cubic_spline(F888:F897,H888:H897,B$3),IF(AND(COUNT(H889:H900)=10,COUNT(F889:F900)=10),cubic_spline(F888:F898,H888:H898,B$3),IF(AND(COUNT(H889:H900)=11,COUNT(F889:F900)=11),cubic_spline(F888:F899,H888:H899,B$3),IF(AND(COUNT(H889:H900)=12,COUNT(F889:F900)=12),cubic_spline(F888:F900,H888:H900,B$3),""))))))))))))</f>
        <v/>
      </c>
      <c r="K890" s="52" t="str">
        <f>IF(N(B$3)=0,"",IF(AND(COUNT(A889:A900)=2,COUNT(F889:F900)=2),cubic_spline(F888:F890,A888:A890,B$3),IF(AND(COUNT(A889:A900)=3,COUNT(F889:F900)=3),cubic_spline(F888:F891,A888:A891,B$3),IF(AND(COUNT(A889:A900)=4,COUNT(F889:F900)=4),cubic_spline(F888:F892,A888:A892,B$3),IF(AND(COUNT(A889:A900)=5,COUNT(F889:F900)=5),cubic_spline(F888:F893,A888:A893,B$3),IF(AND(COUNT(A889:A900)=6,COUNT(F889:F900)=6),cubic_spline(F888:F894,A888:A894,B$3),IF(AND(COUNT(A889:A900)=7,COUNT(F889:F900)=7),cubic_spline(F888:F895,A888:A895,B$3),IF(AND(COUNT(A889:A900)=8,COUNT(F889:F900)=8),cubic_spline(F888:F896,A888:A896,B$3),IF(AND(COUNT(A889:A900)=9,COUNT(F889:F900)=9),cubic_spline(F888:F897,A888:A897,B$3),IF(AND(COUNT(A889:A900)=10,COUNT(F889:F900)=10),cubic_spline(F888:F898,A888:A898,B$3),IF(AND(COUNT(A889:A900)=11,COUNT(F889:F900)=11),cubic_spline(F888:F899,A888:A899,B$3),IF(AND(COUNT(A889:A900)=12,COUNT(F889:F900)=12),cubic_spline(F888:F900,A888:A900,B$3),""))))))))))))</f>
        <v/>
      </c>
      <c r="L890" s="27" t="str">
        <f>IF(I890="","",B$2&amp;"-"&amp;B$3)</f>
        <v/>
      </c>
      <c r="M890" s="52" t="str">
        <f>IF(N(J890)=0,"",J890-J889)</f>
        <v/>
      </c>
    </row>
    <row r="891" spans="1:13" x14ac:dyDescent="0.35">
      <c r="A891" s="48"/>
      <c r="B891" s="48"/>
      <c r="C891" s="50"/>
      <c r="D891" s="50"/>
      <c r="E891" s="51" t="str">
        <f t="shared" si="338"/>
        <v/>
      </c>
      <c r="F891" s="68" t="str">
        <f t="shared" si="336"/>
        <v/>
      </c>
      <c r="G891" s="69" t="str">
        <f t="shared" si="339"/>
        <v/>
      </c>
      <c r="H891" s="70" t="str">
        <f t="shared" si="337"/>
        <v/>
      </c>
      <c r="I891" s="27" t="str">
        <f>IF(N(J891)=0,"",0&amp;"-"&amp;B$4)</f>
        <v/>
      </c>
      <c r="J891" s="52" t="str">
        <f>IF(N(B$4)=0,"",IF(AND(COUNT(H889:H900)=2,COUNT(F889:F900)=2),cubic_spline(F888:F890,H888:H890,B$4),IF(AND(COUNT(H889:H900)=3,COUNT(F889:F900)=3),cubic_spline(F888:F891,H888:H891,B$4),IF(AND(COUNT(H889:H900)=4,COUNT(F889:F900)=4),cubic_spline(F888:F892,H888:H892,B$4),IF(AND(COUNT(H889:H900)=5,COUNT(F889:F900)=5),cubic_spline(F888:F893,H888:H893,B$4),IF(AND(COUNT(H889:H900)=6,COUNT(F889:F900)=6),cubic_spline(F888:F894,H888:H894,B$4),IF(AND(COUNT(H889:H900)=7,COUNT(F889:F900)=7),cubic_spline(F888:F895,H888:H895,B$4),IF(AND(COUNT(H889:H900)=8,COUNT(F889:F900)=8),cubic_spline(F888:F896,H888:H896,B$4),IF(AND(COUNT(H889:H900)=9,COUNT(F889:F900)=9),cubic_spline(F888:F897,H888:H897,B$4),IF(AND(COUNT(H889:H900)=10,COUNT(F889:F900)=10),cubic_spline(F888:F898,H888:H898,B$4),IF(AND(COUNT(H889:H900)=11,COUNT(F889:F900)=11),cubic_spline(F888:F899,H888:H899,B$4),IF(AND(COUNT(H889:H900)=12,COUNT(F889:F900)=12),cubic_spline(F888:F900,H888:H900,B$4),""))))))))))))</f>
        <v/>
      </c>
      <c r="K891" s="52" t="str">
        <f>IF(N(B$4)=0,"",IF(AND(COUNT(A889:A900)=2,COUNT(F889:F900)=2),cubic_spline(F888:F890,A888:A890,B$4),IF(AND(COUNT(A889:A900)=3,COUNT(F889:F900)=3),cubic_spline(F888:F891,A888:A891,B$4),IF(AND(COUNT(A889:A900)=4,COUNT(F889:F900)=4),cubic_spline(F888:F892,A888:A892,B$4),IF(AND(COUNT(A889:A900)=5,COUNT(F889:F900)=5),cubic_spline(F888:F893,A888:A893,B$4),IF(AND(COUNT(A889:A900)=6,COUNT(F889:F900)=6),cubic_spline(F888:F894,A888:A894,B$4),IF(AND(COUNT(A889:A900)=7,COUNT(F889:F900)=7),cubic_spline(F888:F895,A888:A895,B$4),IF(AND(COUNT(A889:A900)=8,COUNT(F889:F900)=8),cubic_spline(F888:F896,A888:A896,B$4),IF(AND(COUNT(A889:A900)=9,COUNT(F889:F900)=9),cubic_spline(F888:F897,A888:A897,B$4),IF(AND(COUNT(A889:A900)=10,COUNT(F889:F900)=10),cubic_spline(F888:F898,A888:A898,B$4),IF(AND(COUNT(A889:A900)=11,COUNT(F889:F900)=11),cubic_spline(F888:F899,A888:A899,B$4),IF(AND(COUNT(A889:A900)=12,COUNT(F889:F900)=12),cubic_spline(F888:F900,A888:A900,B$4),""))))))))))))</f>
        <v/>
      </c>
      <c r="L891" s="27" t="str">
        <f>IF(I891="","",B$3&amp;"-"&amp;B$4)</f>
        <v/>
      </c>
      <c r="M891" s="52" t="str">
        <f>IF(N(J891)=0,"",J891-J890)</f>
        <v/>
      </c>
    </row>
    <row r="892" spans="1:13" x14ac:dyDescent="0.35">
      <c r="A892" s="48"/>
      <c r="B892" s="48"/>
      <c r="C892" s="50"/>
      <c r="D892" s="50"/>
      <c r="E892" s="51" t="str">
        <f t="shared" si="338"/>
        <v/>
      </c>
      <c r="F892" s="68" t="str">
        <f t="shared" si="336"/>
        <v/>
      </c>
      <c r="G892" s="69" t="str">
        <f t="shared" si="339"/>
        <v/>
      </c>
      <c r="H892" s="70" t="str">
        <f t="shared" si="337"/>
        <v/>
      </c>
      <c r="I892" s="27" t="str">
        <f>IF(N(J892)=0,"",0&amp;"-"&amp;B$5)</f>
        <v/>
      </c>
      <c r="J892" s="52" t="str">
        <f>IF(N(B$5)=0,"",IF(AND(COUNT(H889:H900)=2,COUNT(F889:F900)=2),cubic_spline(F888:F890,H888:H890,B$5),IF(AND(COUNT(H889:H900)=3,COUNT(F889:F900)=3),cubic_spline(F888:F891,H888:H891,B$5),IF(AND(COUNT(H889:H900)=4,COUNT(F889:F900)=4),cubic_spline(F888:F892,H888:H892,B$5),IF(AND(COUNT(H889:H900)=5,COUNT(F889:F900)=5),cubic_spline(F888:F893,H888:H893,B$5),IF(AND(COUNT(H889:H900)=6,COUNT(F889:F900)=6),cubic_spline(F888:F894,H888:H894,B$5),IF(AND(COUNT(H889:H900)=7,COUNT(F889:F900)=7),cubic_spline(F888:F895,H888:H895,B$5),IF(AND(COUNT(H889:H900)=8,COUNT(F889:F900)=8),cubic_spline(F888:F896,H888:H896,B$5),IF(AND(COUNT(H889:H900)=9,COUNT(F889:F900)=9),cubic_spline(F888:F897,H888:H897,B$5),IF(AND(COUNT(H889:H900)=10,COUNT(F889:F900)=10),cubic_spline(F888:F898,H888:H898,B$5),IF(AND(COUNT(H889:H900)=11,COUNT(F889:F900)=11),cubic_spline(F888:F899,H888:H899,B$5),IF(AND(COUNT(H889:H900)=12,COUNT(F889:F900)=12),cubic_spline(F888:F900,H888:H900,B$5),""))))))))))))</f>
        <v/>
      </c>
      <c r="K892" s="52" t="str">
        <f>IF(N(B$5)=0,"",IF(AND(COUNT(A889:A900)=2,COUNT(F889:F900)=2),cubic_spline(F888:F890,A888:A890,B$5),IF(AND(COUNT(A889:A900)=3,COUNT(F889:F900)=3),cubic_spline(F888:F891,A888:A891,B$5),IF(AND(COUNT(A889:A900)=4,COUNT(F889:F900)=4),cubic_spline(F888:F892,A888:A892,B$5),IF(AND(COUNT(A889:A900)=5,COUNT(F889:F900)=5),cubic_spline(F888:F893,A888:A893,B$5),IF(AND(COUNT(A889:A900)=6,COUNT(F889:F900)=6),cubic_spline(F888:F894,A888:A894,B$5),IF(AND(COUNT(A889:A900)=7,COUNT(F889:F900)=7),cubic_spline(F888:F895,A888:A895,B$5),IF(AND(COUNT(A889:A900)=8,COUNT(F889:F900)=8),cubic_spline(F888:F896,A888:A896,B$5),IF(AND(COUNT(A889:A900)=9,COUNT(F889:F900)=9),cubic_spline(F888:F897,A888:A897,B$5),IF(AND(COUNT(A889:A900)=10,COUNT(F889:F900)=10),cubic_spline(F888:F898,A888:A898,B$5),IF(AND(COUNT(A889:A900)=11,COUNT(F889:F900)=11),cubic_spline(F888:F899,A888:A899,B$5),IF(AND(COUNT(A889:A900)=12,COUNT(F889:F900)=12),cubic_spline(F888:F900,A888:A900,B$5),""))))))))))))</f>
        <v/>
      </c>
      <c r="L892" s="27" t="str">
        <f>IF(I892="","",B$4&amp;"-"&amp;B$5)</f>
        <v/>
      </c>
      <c r="M892" s="52" t="str">
        <f>IF(N(J892)=0,"",J892-J891)</f>
        <v/>
      </c>
    </row>
    <row r="893" spans="1:13" x14ac:dyDescent="0.35">
      <c r="A893" s="48"/>
      <c r="B893" s="48"/>
      <c r="C893" s="50"/>
      <c r="D893" s="50"/>
      <c r="E893" s="51" t="str">
        <f t="shared" si="338"/>
        <v/>
      </c>
      <c r="F893" s="71" t="str">
        <f t="shared" si="336"/>
        <v/>
      </c>
      <c r="G893" s="69" t="str">
        <f t="shared" si="339"/>
        <v/>
      </c>
      <c r="H893" s="70" t="str">
        <f t="shared" si="337"/>
        <v/>
      </c>
      <c r="I893" s="27" t="str">
        <f>IF(N(J893)=0,"",0&amp;"-"&amp;B$6)</f>
        <v/>
      </c>
      <c r="J893" s="52" t="str">
        <f>IF(N(B$6)=0,"",IF(AND(COUNT(H889:H900)=2,COUNT(F889:F900)=2),cubic_spline(F888:F890,H888:H890,B$6),IF(AND(COUNT(H889:H900)=3,COUNT(F889:F900)=3),cubic_spline(F888:F891,H888:H891,B$6),IF(AND(COUNT(H889:H900)=4,COUNT(F889:F900)=4),cubic_spline(F888:F892,H888:H892,B$6),IF(AND(COUNT(H889:H900)=5,COUNT(F889:F900)=5),cubic_spline(F888:F893,H888:H893,B$6),IF(AND(COUNT(H889:H900)=6,COUNT(F889:F900)=6),cubic_spline(F888:F894,H888:H894,B$6),IF(AND(COUNT(H889:H900)=7,COUNT(F889:F900)=7),cubic_spline(F888:F895,H888:H895,B$6),IF(AND(COUNT(H889:H900)=8,COUNT(F889:F900)=8),cubic_spline(F888:F896,H888:H896,B$6),IF(AND(COUNT(H889:H900)=9,COUNT(F889:F900)=9),cubic_spline(F888:F897,H888:H897,B$6),IF(AND(COUNT(H889:H900)=10,COUNT(F889:F900)=10),cubic_spline(F888:F898,H888:H898,B$6),IF(AND(COUNT(H889:H900)=11,COUNT(F889:F900)=11),cubic_spline(F888:F899,H888:H899,B$6),IF(AND(COUNT(H889:H900)=12,COUNT(F889:F900)=12),cubic_spline(F888:F900,H888:H900,B$6),""))))))))))))</f>
        <v/>
      </c>
      <c r="K893" s="52" t="str">
        <f>IF(N(B$6)=0,"",IF(AND(COUNT(A889:A900)=2,COUNT(F889:F900)=2),cubic_spline(F888:F890,A888:A890,B$6),IF(AND(COUNT(A889:A900)=3,COUNT(F889:F900)=3),cubic_spline(F888:F891,A888:A891,B$6),IF(AND(COUNT(A889:A900)=4,COUNT(F889:F900)=4),cubic_spline(F888:F892,A888:A892,B$6),IF(AND(COUNT(A889:A900)=5,COUNT(F889:F900)=5),cubic_spline(F888:F893,A888:A893,B$6),IF(AND(COUNT(A889:A900)=6,COUNT(F889:F900)=6),cubic_spline(F888:F894,A888:A894,B$6),IF(AND(COUNT(A889:A900)=7,COUNT(F889:F900)=7),cubic_spline(F888:F895,A888:A895,B$6),IF(AND(COUNT(A889:A900)=8,COUNT(F889:F900)=8),cubic_spline(F888:F896,A888:A896,B$6),IF(AND(COUNT(A889:A900)=9,COUNT(F889:F900)=9),cubic_spline(F888:F897,A888:A897,B$6),IF(AND(COUNT(A889:A900)=10,COUNT(F889:F900)=10),cubic_spline(F888:F898,A888:A898,B$6),IF(AND(COUNT(A889:A900)=11,COUNT(F889:F900)=11),cubic_spline(F888:F899,A888:A899,B$6),IF(AND(COUNT(A889:A900)=12,COUNT(F889:F900)=12),cubic_spline(F888:F900,A888:A900,B$6),""))))))))))))</f>
        <v/>
      </c>
      <c r="L893" s="27" t="str">
        <f>IF(I893="","",B$5&amp;"-"&amp;B$6)</f>
        <v/>
      </c>
      <c r="M893" s="52" t="str">
        <f>IF(N(J893)=0,"",J893-J892)</f>
        <v/>
      </c>
    </row>
    <row r="894" spans="1:13" x14ac:dyDescent="0.35">
      <c r="A894" s="48"/>
      <c r="B894" s="48"/>
      <c r="C894" s="50"/>
      <c r="D894" s="50"/>
      <c r="E894" s="51" t="str">
        <f t="shared" si="338"/>
        <v/>
      </c>
      <c r="F894" s="71" t="str">
        <f t="shared" si="336"/>
        <v/>
      </c>
      <c r="G894" s="69" t="str">
        <f t="shared" si="339"/>
        <v/>
      </c>
      <c r="H894" s="70" t="str">
        <f t="shared" si="337"/>
        <v/>
      </c>
      <c r="I894" s="27" t="str">
        <f>IF(N(J894)=0,"",0&amp;"-"&amp;B$7)</f>
        <v/>
      </c>
      <c r="J894" s="52" t="str">
        <f>IF(N(B$7)=0,"",IF(AND(COUNT(H889:H900)=2,COUNT(F889:F900)=2),cubic_spline(F888:F890,H888:H890,B$7),IF(AND(COUNT(H889:H900)=3,COUNT(F889:F900)=3),cubic_spline(F888:F891,H888:H891,B$7),IF(AND(COUNT(H889:H900)=4,COUNT(F889:F900)=4),cubic_spline(F888:F892,H888:H892,B$7),IF(AND(COUNT(H889:H900)=5,COUNT(F889:F900)=5),cubic_spline(F888:F893,H888:H893,B$7),IF(AND(COUNT(H889:H900)=6,COUNT(F889:F900)=6),cubic_spline(F888:F894,H888:H894,B$7),IF(AND(COUNT(H889:H900)=7,COUNT(F889:F900)=7),cubic_spline(F888:F895,H888:H895,B$7),IF(AND(COUNT(H889:H900)=8,COUNT(F889:F900)=8),cubic_spline(F888:F896,H888:H896,B$7),IF(AND(COUNT(H889:H900)=9,COUNT(F889:F900)=9),cubic_spline(F888:F897,H888:H897,B$7),IF(AND(COUNT(H889:H900)=10,COUNT(F889:F900)=10),cubic_spline(F888:F898,H888:H898,B$7),IF(AND(COUNT(H889:H900)=11,COUNT(F889:F900)=11),cubic_spline(F888:F899,H888:H899,B$7),IF(AND(COUNT(H889:H900)=12,COUNT(F889:F900)=12),cubic_spline(F888:F900,H888:H900,B$7),""))))))))))))</f>
        <v/>
      </c>
      <c r="K894" s="52" t="str">
        <f>IF(N(B$7)=0,"",IF(AND(COUNT(A889:A900)=2,COUNT(F889:F900)=2),cubic_spline(F888:F890,A888:A890,B$7),IF(AND(COUNT(A889:A900)=3,COUNT(F889:F900)=3),cubic_spline(F888:F891,A888:A891,B$7),IF(AND(COUNT(A889:A900)=4,COUNT(F889:F900)=4),cubic_spline(F888:F892,A888:A892,B$7),IF(AND(COUNT(A889:A900)=5,COUNT(F889:F900)=5),cubic_spline(F888:F893,A888:A893,B$7),IF(AND(COUNT(A889:A900)=6,COUNT(F889:F900)=6),cubic_spline(F888:F894,A888:A894,B$7),IF(AND(COUNT(A889:A900)=7,COUNT(F889:F900)=7),cubic_spline(F888:F895,A888:A895,B$7),IF(AND(COUNT(A889:A900)=8,COUNT(F889:F900)=8),cubic_spline(F888:F896,A888:A896,B$7),IF(AND(COUNT(A889:A900)=9,COUNT(F889:F900)=9),cubic_spline(F888:F897,A888:A897,B$7),IF(AND(COUNT(A889:A900)=10,COUNT(F889:F900)=10),cubic_spline(F888:F898,A888:A898,B$7),IF(AND(COUNT(A889:A900)=11,COUNT(F889:F900)=11),cubic_spline(F888:F899,A888:A899,B$7),IF(AND(COUNT(A889:A900)=12,COUNT(F889:F900)=12),cubic_spline(F888:F900,A888:A900,B$7),""))))))))))))</f>
        <v/>
      </c>
      <c r="L894" s="27" t="str">
        <f>IF(I894="","",B$6&amp;"-"&amp;B$7)</f>
        <v/>
      </c>
      <c r="M894" s="52" t="str">
        <f t="shared" ref="M894:M900" si="340">IF(N(J894)=0,"",J894-J893)</f>
        <v/>
      </c>
    </row>
    <row r="895" spans="1:13" x14ac:dyDescent="0.35">
      <c r="A895" s="48"/>
      <c r="B895" s="48"/>
      <c r="C895" s="50"/>
      <c r="D895" s="50"/>
      <c r="E895" s="51" t="str">
        <f t="shared" si="338"/>
        <v/>
      </c>
      <c r="F895" s="71" t="str">
        <f t="shared" si="336"/>
        <v/>
      </c>
      <c r="G895" s="69" t="str">
        <f t="shared" si="339"/>
        <v/>
      </c>
      <c r="H895" s="70" t="str">
        <f t="shared" si="337"/>
        <v/>
      </c>
      <c r="I895" s="27" t="str">
        <f>IF(N(J895)=0,"",0&amp;"-"&amp;B$8)</f>
        <v/>
      </c>
      <c r="J895" s="52" t="str">
        <f>IF(N(B$8)=0,"",IF(AND(COUNT(H889:H900)=2,COUNT(F889:F900)=2),cubic_spline(F888:F890,H888:H890,B$8),IF(AND(COUNT(H889:H900)=3,COUNT(F889:F900)=3),cubic_spline(F888:F891,H888:H891,B$8),IF(AND(COUNT(H889:H900)=4,COUNT(F889:F900)=4),cubic_spline(F888:F892,H888:H892,B$8),IF(AND(COUNT(H889:H900)=5,COUNT(F889:F900)=5),cubic_spline(F888:F893,H888:H893,B$8),IF(AND(COUNT(H889:H900)=6,COUNT(F889:F900)=6),cubic_spline(F888:F894,H888:H894,B$8),IF(AND(COUNT(H889:H900)=7,COUNT(F889:F900)=7),cubic_spline(F888:F895,H888:H895,B$8),IF(AND(COUNT(H889:H900)=8,COUNT(F889:F900)=8),cubic_spline(F888:F896,H888:H896,B$8),IF(AND(COUNT(H889:H900)=9,COUNT(F889:F900)=9),cubic_spline(F888:F897,H888:H897,B$8),IF(AND(COUNT(H889:H900)=10,COUNT(F889:F900)=10),cubic_spline(F888:F898,H888:H898,B$8),IF(AND(COUNT(H889:H900)=11,COUNT(F889:F900)=11),cubic_spline(F888:F899,H888:H899,B$8),IF(AND(COUNT(H889:H900)=12,COUNT(F889:F900)=12),cubic_spline(F888:F900,H888:H900,B$8),""))))))))))))</f>
        <v/>
      </c>
      <c r="K895" s="52" t="str">
        <f>IF(N(B$8)=0,"",IF(AND(COUNT(A889:A900)=2,COUNT(F889:F900)=2),cubic_spline(F888:F890,A888:A890,B$8),IF(AND(COUNT(A889:A900)=3,COUNT(F889:F900)=3),cubic_spline(F888:F891,A888:A891,B$8),IF(AND(COUNT(A889:A900)=4,COUNT(F889:F900)=4),cubic_spline(F888:F892,A888:A892,B$8),IF(AND(COUNT(A889:A900)=5,COUNT(F889:F900)=5),cubic_spline(F888:F893,A888:A893,B$8),IF(AND(COUNT(A889:A900)=6,COUNT(F889:F900)=6),cubic_spline(F888:F894,A888:A894,B$8),IF(AND(COUNT(A889:A900)=7,COUNT(F889:F900)=7),cubic_spline(F888:F895,A888:A895,B$8),IF(AND(COUNT(A889:A900)=8,COUNT(F889:F900)=8),cubic_spline(F888:F896,A888:A896,B$8),IF(AND(COUNT(A889:A900)=9,COUNT(F889:F900)=9),cubic_spline(F888:F897,A888:A897,B$8),IF(AND(COUNT(A889:A900)=10,COUNT(F889:F900)=10),cubic_spline(F888:F898,A888:A898,B$8),IF(AND(COUNT(A889:A900)=11,COUNT(F889:F900)=11),cubic_spline(F888:F899,A888:A899,B$8),IF(AND(COUNT(A889:A900)=12,COUNT(F889:F900)=12),cubic_spline(F888:F900,A888:A900,B$8),""))))))))))))</f>
        <v/>
      </c>
      <c r="L895" s="27" t="str">
        <f>IF(I895="","",B$7&amp;"-"&amp;B$8)</f>
        <v/>
      </c>
      <c r="M895" s="52" t="str">
        <f t="shared" si="340"/>
        <v/>
      </c>
    </row>
    <row r="896" spans="1:13" x14ac:dyDescent="0.35">
      <c r="A896" s="48"/>
      <c r="B896" s="48"/>
      <c r="C896" s="50"/>
      <c r="D896" s="50"/>
      <c r="E896" s="51" t="str">
        <f t="shared" si="338"/>
        <v/>
      </c>
      <c r="F896" s="71" t="str">
        <f t="shared" si="336"/>
        <v/>
      </c>
      <c r="G896" s="69" t="str">
        <f t="shared" si="339"/>
        <v/>
      </c>
      <c r="H896" s="70" t="str">
        <f t="shared" si="337"/>
        <v/>
      </c>
      <c r="I896" s="27" t="str">
        <f>IF(N(J896)=0,"",0&amp;"-"&amp;B$9)</f>
        <v/>
      </c>
      <c r="J896" s="52" t="str">
        <f>IF(N(B$9)=0,"",IF(AND(COUNT(H889:H900)=2,COUNT(F889:F900)=2),cubic_spline(F888:F890,H888:H890,B$9),IF(AND(COUNT(H889:H900)=3,COUNT(F889:F900)=3),cubic_spline(F888:F891,H888:H891,B$9),IF(AND(COUNT(H889:H900)=4,COUNT(F889:F900)=4),cubic_spline(F888:F892,H888:H892,B$9),IF(AND(COUNT(H889:H900)=5,COUNT(F889:F900)=5),cubic_spline(F888:F893,H888:H893,B$9),IF(AND(COUNT(H889:H900)=6,COUNT(F889:F900)=6),cubic_spline(F888:F894,H888:H894,B$9),IF(AND(COUNT(H889:H900)=7,COUNT(F889:F900)=7),cubic_spline(F888:F895,H888:H895,B$9),IF(AND(COUNT(H889:H900)=8,COUNT(F889:F900)=8),cubic_spline(F888:F896,H888:H896,B$9),IF(AND(COUNT(H889:H900)=9,COUNT(F889:F900)=9),cubic_spline(F888:F897,H888:H897,B$9),IF(AND(COUNT(H889:H900)=10,COUNT(F889:F900)=10),cubic_spline(F888:F898,H888:H898,B$9),IF(AND(COUNT(H889:H900)=11,COUNT(F889:F900)=11),cubic_spline(F888:F899,H888:H899,B$9),IF(AND(COUNT(H889:H900)=12,COUNT(F889:F900)=12),cubic_spline(F888:F900,H888:H900,B$9),""))))))))))))</f>
        <v/>
      </c>
      <c r="K896" s="52" t="str">
        <f>IF(N(B$9)=0,"",IF(AND(COUNT(A889:A900)=2,COUNT(F889:F900)=2),cubic_spline(F888:F890,A888:A890,B$9),IF(AND(COUNT(A889:A900)=3,COUNT(F889:F900)=3),cubic_spline(F888:F891,A888:A891,B$9),IF(AND(COUNT(A889:A900)=4,COUNT(F889:F900)=4),cubic_spline(F888:F892,A888:A892,B$9),IF(AND(COUNT(A889:A900)=5,COUNT(F889:F900)=5),cubic_spline(F888:F893,A888:A893,B$9),IF(AND(COUNT(A889:A900)=6,COUNT(F889:F900)=6),cubic_spline(F888:F894,A888:A894,B$9),IF(AND(COUNT(A889:A900)=7,COUNT(F889:F900)=7),cubic_spline(F888:F895,A888:A895,B$9),IF(AND(COUNT(A889:A900)=8,COUNT(F889:F900)=8),cubic_spline(F888:F896,A888:A896,B$9),IF(AND(COUNT(A889:A900)=9,COUNT(F889:F900)=9),cubic_spline(F888:F897,A888:A897,B$9),IF(AND(COUNT(A889:A900)=10,COUNT(F889:F900)=10),cubic_spline(F888:F898,A888:A898,B$9),IF(AND(COUNT(A889:A900)=11,COUNT(F889:F900)=11),cubic_spline(F888:F899,A888:A899,B$9),IF(AND(COUNT(A889:A900)=12,COUNT(F889:F900)=12),cubic_spline(F888:F900,A888:A900,B$9),""))))))))))))</f>
        <v/>
      </c>
      <c r="L896" s="27" t="str">
        <f>IF(I896="","",B$8&amp;"-"&amp;B$9)</f>
        <v/>
      </c>
      <c r="M896" s="52" t="str">
        <f t="shared" si="340"/>
        <v/>
      </c>
    </row>
    <row r="897" spans="1:13" x14ac:dyDescent="0.35">
      <c r="A897" s="48"/>
      <c r="B897" s="48"/>
      <c r="C897" s="50"/>
      <c r="D897" s="50"/>
      <c r="E897" s="51" t="str">
        <f t="shared" si="338"/>
        <v/>
      </c>
      <c r="F897" s="71" t="str">
        <f t="shared" si="336"/>
        <v/>
      </c>
      <c r="G897" s="69" t="str">
        <f t="shared" si="339"/>
        <v/>
      </c>
      <c r="H897" s="70" t="str">
        <f t="shared" si="337"/>
        <v/>
      </c>
      <c r="I897" s="27" t="str">
        <f>IF(N(J897)=0,"",0&amp;"-"&amp;B$10)</f>
        <v/>
      </c>
      <c r="J897" s="52" t="str">
        <f>IF(N(B$10)=0,"",IF(AND(COUNT(H889:H900)=2,COUNT(F889:F900)=2),cubic_spline(F888:F890,H888:H890,B$10),IF(AND(COUNT(H889:H900)=3,COUNT(F889:F900)=3),cubic_spline(F888:F891,H888:H891,B$10),IF(AND(COUNT(H889:H900)=4,COUNT(F889:F900)=4),cubic_spline(F888:F892,H888:H892,B$10),IF(AND(COUNT(H889:H900)=5,COUNT(F889:F900)=5),cubic_spline(F888:F893,H888:H893,B$10),IF(AND(COUNT(H889:H900)=6,COUNT(F889:F900)=6),cubic_spline(F888:F894,H888:H894,B$10),IF(AND(COUNT(H889:H900)=7,COUNT(F889:F900)=7),cubic_spline(F888:F895,H888:H895,B$10),IF(AND(COUNT(H889:H900)=8,COUNT(F889:F900)=8),cubic_spline(F888:F896,H888:H896,B$10),IF(AND(COUNT(H889:H900)=9,COUNT(F889:F900)=9),cubic_spline(F888:F897,H888:H897,B$10),IF(AND(COUNT(H889:H900)=10,COUNT(F889:F900)=10),cubic_spline(F888:F898,H888:H898,B$10),IF(AND(COUNT(H889:H900)=11,COUNT(F889:F900)=11),cubic_spline(F888:F899,H888:H899,B$10),IF(AND(COUNT(H889:H900)=12,COUNT(F889:F900)=12),cubic_spline(F888:F900,H888:H900,B$10),""))))))))))))</f>
        <v/>
      </c>
      <c r="K897" s="52" t="str">
        <f>IF(N(B$10)=0,"",IF(AND(COUNT(A889:A900)=2,COUNT(F889:F900)=2),cubic_spline(F888:F890,A888:A890,B$10),IF(AND(COUNT(A889:A900)=3,COUNT(F889:F900)=3),cubic_spline(F888:F891,A888:A891,B$10),IF(AND(COUNT(A889:A900)=4,COUNT(F889:F900)=4),cubic_spline(F888:F892,A888:A892,B$10),IF(AND(COUNT(A889:A900)=5,COUNT(F889:F900)=5),cubic_spline(F888:F893,A888:A893,B$10),IF(AND(COUNT(A889:A900)=6,COUNT(F889:F900)=6),cubic_spline(F888:F894,A888:A894,B$10),IF(AND(COUNT(A889:A900)=7,COUNT(F889:F900)=7),cubic_spline(F888:F895,A888:A895,B$10),IF(AND(COUNT(A889:A900)=8,COUNT(F889:F900)=8),cubic_spline(F888:F896,A888:A896,B$10),IF(AND(COUNT(A889:A900)=9,COUNT(F889:F900)=9),cubic_spline(F888:F897,A888:A897,B$10),IF(AND(COUNT(A889:A900)=10,COUNT(F889:F900)=10),cubic_spline(F888:F898,A888:A898,B$10),IF(AND(COUNT(A889:A900)=11,COUNT(F889:F900)=11),cubic_spline(F888:F899,A888:A899,B$10),IF(AND(COUNT(A889:A900)=12,COUNT(F889:F900)=12),cubic_spline(F888:F900,A888:A900,B$10),""))))))))))))</f>
        <v/>
      </c>
      <c r="L897" s="27" t="str">
        <f>IF(I897="","",B$9&amp;"-"&amp;B$10)</f>
        <v/>
      </c>
      <c r="M897" s="52" t="str">
        <f t="shared" si="340"/>
        <v/>
      </c>
    </row>
    <row r="898" spans="1:13" x14ac:dyDescent="0.35">
      <c r="A898" s="48"/>
      <c r="B898" s="48"/>
      <c r="C898" s="50"/>
      <c r="D898" s="50"/>
      <c r="E898" s="51" t="str">
        <f t="shared" si="338"/>
        <v/>
      </c>
      <c r="F898" s="71" t="str">
        <f t="shared" si="336"/>
        <v/>
      </c>
      <c r="G898" s="69" t="str">
        <f t="shared" si="339"/>
        <v/>
      </c>
      <c r="H898" s="70" t="str">
        <f t="shared" si="337"/>
        <v/>
      </c>
      <c r="I898" s="27" t="str">
        <f>IF(N(J898)=0,"",0&amp;"-"&amp;B$11)</f>
        <v/>
      </c>
      <c r="J898" s="52" t="str">
        <f>IF(N(B$11)=0,"",IF(AND(COUNT(H889:H900)=2,COUNT(F889:F900)=2),cubic_spline(F888:F890,H888:H890,B$11),IF(AND(COUNT(H889:H900)=3,COUNT(F889:F900)=3),cubic_spline(F888:F891,H888:H891,B$11),IF(AND(COUNT(H889:H900)=4,COUNT(F889:F900)=4),cubic_spline(F888:F892,H888:H892,B$11),IF(AND(COUNT(H889:H900)=5,COUNT(F889:F900)=5),cubic_spline(F888:F893,H888:H893,B$11),IF(AND(COUNT(H889:H900)=6,COUNT(F889:F900)=6),cubic_spline(F888:F894,H888:H894,B$11),IF(AND(COUNT(H889:H900)=7,COUNT(F889:F900)=7),cubic_spline(F888:F895,H888:H895,B$11),IF(AND(COUNT(H889:H900)=8,COUNT(F889:F900)=8),cubic_spline(F888:F896,H888:H896,B$11),IF(AND(COUNT(H889:H900)=9,COUNT(F889:F900)=9),cubic_spline(F888:F897,H888:H897,B$11),IF(AND(COUNT(H889:H900)=10,COUNT(F889:F900)=10),cubic_spline(F888:F898,H888:H898,B$11),IF(AND(COUNT(H889:H900)=11,COUNT(F889:F900)=11),cubic_spline(F888:F899,H888:H899,B$11),IF(AND(COUNT(H889:H900)=12,COUNT(F889:F900)=12),cubic_spline(F888:F900,H888:H900,B$11),""))))))))))))</f>
        <v/>
      </c>
      <c r="K898" s="52" t="str">
        <f>IF(N(B$11)=0,"",IF(AND(COUNT(A889:A900)=2,COUNT(F889:F900)=2),cubic_spline(F888:F890,A888:A890,B$11),IF(AND(COUNT(A889:A900)=3,COUNT(F889:F900)=3),cubic_spline(F888:F891,A888:A891,B$11),IF(AND(COUNT(A889:A900)=4,COUNT(F889:F900)=4),cubic_spline(F888:F892,A888:A892,B$11),IF(AND(COUNT(A889:A900)=5,COUNT(F889:F900)=5),cubic_spline(F888:F893,A888:A893,B$11),IF(AND(COUNT(A889:A900)=6,COUNT(F889:F900)=6),cubic_spline(F888:F894,A888:A894,B$11),IF(AND(COUNT(A889:A900)=7,COUNT(F889:F900)=7),cubic_spline(F888:F895,A888:A895,B$11),IF(AND(COUNT(A889:A900)=8,COUNT(F889:F900)=8),cubic_spline(F888:F896,A888:A896,B$11),IF(AND(COUNT(A889:A900)=9,COUNT(F889:F900)=9),cubic_spline(F888:F897,A888:A897,B$11),IF(AND(COUNT(A889:A900)=10,COUNT(F889:F900)=10),cubic_spline(F888:F898,A888:A898,B$11),IF(AND(COUNT(A889:A900)=11,COUNT(F889:F900)=11),cubic_spline(F888:F899,A888:A899,B$11),IF(AND(COUNT(A889:A900)=12,COUNT(F889:F900)=12),cubic_spline(F888:F900,A888:A900,B$11),""))))))))))))</f>
        <v/>
      </c>
      <c r="L898" s="27" t="str">
        <f>IF(I898="","",B$10&amp;"-"&amp;B$11)</f>
        <v/>
      </c>
      <c r="M898" s="52" t="str">
        <f t="shared" si="340"/>
        <v/>
      </c>
    </row>
    <row r="899" spans="1:13" x14ac:dyDescent="0.35">
      <c r="A899" s="48"/>
      <c r="B899" s="48"/>
      <c r="C899" s="50"/>
      <c r="D899" s="50"/>
      <c r="E899" s="51" t="str">
        <f t="shared" si="338"/>
        <v/>
      </c>
      <c r="F899" s="71" t="str">
        <f t="shared" si="336"/>
        <v/>
      </c>
      <c r="G899" s="69" t="str">
        <f t="shared" si="339"/>
        <v/>
      </c>
      <c r="H899" s="70" t="str">
        <f t="shared" si="337"/>
        <v/>
      </c>
      <c r="I899" s="27" t="str">
        <f>IF(N(J899)=0,"",0&amp;"-"&amp;B$12)</f>
        <v/>
      </c>
      <c r="J899" s="52" t="str">
        <f>IF(N(B$12)=0,"",IF(AND(COUNT(H889:H900)=2,COUNT(F889:F900)=2),cubic_spline(F888:F890,H888:H890,B$12),IF(AND(COUNT(H889:H900)=3,COUNT(F889:F900)=3),cubic_spline(F888:F891,H888:H891,B$12),IF(AND(COUNT(H889:H900)=4,COUNT(F889:F900)=4),cubic_spline(F888:F892,H888:H892,B$12),IF(AND(COUNT(H889:H900)=5,COUNT(F889:F900)=5),cubic_spline(F888:F893,H888:H893,B$12),IF(AND(COUNT(H889:H900)=6,COUNT(F889:F900)=6),cubic_spline(F888:F894,H888:H894,B$12),IF(AND(COUNT(H889:H900)=7,COUNT(F889:F900)=7),cubic_spline(F888:F895,H888:H895,B$12),IF(AND(COUNT(H889:H900)=8,COUNT(F889:F900)=8),cubic_spline(F888:F896,H888:H896,B$12),IF(AND(COUNT(H889:H900)=9,COUNT(F889:F900)=9),cubic_spline(F888:F897,H888:H897,B$12),IF(AND(COUNT(H889:H900)=10,COUNT(F889:F900)=10),cubic_spline(F888:F898,H888:H898,B$12),IF(AND(COUNT(H889:H900)=11,COUNT(F889:F900)=11),cubic_spline(F888:F899,H888:H899,B$12),IF(AND(COUNT(H889:H900)=12,COUNT(F889:F900)=12),cubic_spline(F888:F900,H888:H900,B$12),""))))))))))))</f>
        <v/>
      </c>
      <c r="K899" s="52" t="str">
        <f>IF(N(B$12)=0,"",IF(AND(COUNT(A889:A900)=2,COUNT(F889:F900)=2),cubic_spline(F888:F890,A888:A890,B$12),IF(AND(COUNT(A889:A900)=3,COUNT(F889:F900)=3),cubic_spline(F888:F891,A888:A891,B$12),IF(AND(COUNT(A889:A900)=4,COUNT(F889:F900)=4),cubic_spline(F888:F892,A888:A892,B$12),IF(AND(COUNT(A889:A900)=5,COUNT(F889:F900)=5),cubic_spline(F888:F893,A888:A893,B$12),IF(AND(COUNT(A889:A900)=6,COUNT(F889:F900)=6),cubic_spline(F888:F894,A888:A894,B$12),IF(AND(COUNT(A889:A900)=7,COUNT(F889:F900)=7),cubic_spline(F888:F895,A888:A895,B$12),IF(AND(COUNT(A889:A900)=8,COUNT(F889:F900)=8),cubic_spline(F888:F896,A888:A896,B$12),IF(AND(COUNT(A889:A900)=9,COUNT(F889:F900)=9),cubic_spline(F888:F897,A888:A897,B$12),IF(AND(COUNT(A889:A900)=10,COUNT(F889:F900)=10),cubic_spline(F888:F898,A888:A898,B$12),IF(AND(COUNT(A889:A900)=11,COUNT(F889:F900)=11),cubic_spline(F888:F899,A888:A899,B$12),IF(AND(COUNT(A889:A900)=12,COUNT(F889:F900)=12),cubic_spline(F888:F900,A888:A900,B$12),""))))))))))))</f>
        <v/>
      </c>
      <c r="L899" s="27" t="str">
        <f>IF(I899="","",B$11&amp;"-"&amp;B$12)</f>
        <v/>
      </c>
      <c r="M899" s="52" t="str">
        <f t="shared" si="340"/>
        <v/>
      </c>
    </row>
    <row r="900" spans="1:13" x14ac:dyDescent="0.35">
      <c r="A900" s="48"/>
      <c r="B900" s="48"/>
      <c r="C900" s="50"/>
      <c r="D900" s="50"/>
      <c r="E900" s="51" t="str">
        <f t="shared" si="338"/>
        <v/>
      </c>
      <c r="F900" s="71" t="str">
        <f t="shared" si="336"/>
        <v/>
      </c>
      <c r="G900" s="69" t="str">
        <f t="shared" si="339"/>
        <v/>
      </c>
      <c r="H900" s="70" t="str">
        <f t="shared" si="337"/>
        <v/>
      </c>
      <c r="I900" s="27" t="str">
        <f>IF(N(J900)=0,"",0&amp;"-"&amp;B$13)</f>
        <v/>
      </c>
      <c r="J900" s="52" t="str">
        <f>IF(N(B$13)=0,"",IF(AND(COUNT(H889:H900)=2,COUNT(F889:F900)=2),cubic_spline(F888:F890,H888:H890,B$13),IF(AND(COUNT(H889:H900)=3,COUNT(F889:F900)=3),cubic_spline(F888:F891,H888:H891,B$13),IF(AND(COUNT(H889:H900)=4,COUNT(F889:F900)=4),cubic_spline(F888:F892,H888:H892,B$13),IF(AND(COUNT(H889:H900)=5,COUNT(F889:F900)=5),cubic_spline(F888:F893,H888:H893,B$13),IF(AND(COUNT(H889:H900)=6,COUNT(F889:F900)=6),cubic_spline(F888:F894,H888:H894,B$13),IF(AND(COUNT(H889:H900)=7,COUNT(F889:F900)=7),cubic_spline(F888:F895,H888:H895,B$13),IF(AND(COUNT(H889:H900)=8,COUNT(F889:F900)=8),cubic_spline(F888:F896,H888:H896,B$13),IF(AND(COUNT(H889:H900)=9,COUNT(F889:F900)=9),cubic_spline(F888:F897,H888:H897,B$13),IF(AND(COUNT(H889:H900)=10,COUNT(F889:F900)=10),cubic_spline(F888:F898,H888:H898,B$13),IF(AND(COUNT(H889:H900)=11,COUNT(F889:F900)=11),cubic_spline(F888:F899,H888:H899,B$13),IF(AND(COUNT(H889:H900)=12,COUNT(F889:F900)=12),cubic_spline(F888:F900,H888:H900,B$13),""))))))))))))</f>
        <v/>
      </c>
      <c r="K900" s="52" t="str">
        <f>IF(N(B$13)=0,"",IF(AND(COUNT(A889:A900)=2,COUNT(F889:F900)=2),cubic_spline(F888:F890,A888:A890,B$13),IF(AND(COUNT(A889:A900)=3,COUNT(F889:F900)=3),cubic_spline(F888:F891,A888:A891,B$13),IF(AND(COUNT(A889:A900)=4,COUNT(F889:F900)=4),cubic_spline(F888:F892,A888:A892,B$13),IF(AND(COUNT(A889:A900)=5,COUNT(F889:F900)=5),cubic_spline(F888:F893,A888:A893,B$13),IF(AND(COUNT(A889:A900)=6,COUNT(F889:F900)=6),cubic_spline(F888:F894,A888:A894,B$13),IF(AND(COUNT(A889:A900)=7,COUNT(F889:F900)=7),cubic_spline(F888:F895,A888:A895,B$13),IF(AND(COUNT(A889:A900)=8,COUNT(F889:F900)=8),cubic_spline(F888:F896,A888:A896,B$13),IF(AND(COUNT(A889:A900)=9,COUNT(F889:F900)=9),cubic_spline(F888:F897,A888:A897,B$13),IF(AND(COUNT(A889:A900)=10,COUNT(F889:F900)=10),cubic_spline(F888:F898,A888:A898,B$13),IF(AND(COUNT(A889:A900)=11,COUNT(F889:F900)=11),cubic_spline(F888:F899,A888:A899,B$13),IF(AND(COUNT(A889:A900)=12,COUNT(F889:F900)=12),cubic_spline(F888:F900,A888:A900,B$13),""))))))))))))</f>
        <v/>
      </c>
      <c r="L900" s="27" t="str">
        <f>IF(I900="","",B$12&amp;"-"&amp;B$13)</f>
        <v/>
      </c>
      <c r="M900" s="52" t="str">
        <f t="shared" si="340"/>
        <v/>
      </c>
    </row>
    <row r="901" spans="1:13" ht="5.15" customHeight="1" x14ac:dyDescent="0.35">
      <c r="A901" s="47"/>
      <c r="B901" s="47"/>
      <c r="C901" s="53"/>
      <c r="D901" s="53"/>
      <c r="E901" s="54"/>
      <c r="F901" s="55"/>
      <c r="G901" s="72"/>
      <c r="H901" s="73"/>
      <c r="I901" s="47"/>
      <c r="J901" s="57"/>
      <c r="K901" s="57"/>
      <c r="L901" s="55"/>
      <c r="M901" s="57"/>
    </row>
    <row r="902" spans="1:13" x14ac:dyDescent="0.35">
      <c r="A902" s="48"/>
      <c r="B902" s="48"/>
      <c r="C902" s="50"/>
      <c r="D902" s="50"/>
      <c r="E902" s="51" t="str">
        <f>IF(N(C902)=0,"",(A902-A901)*C902*100)</f>
        <v/>
      </c>
      <c r="F902" s="68" t="str">
        <f t="shared" ref="F902:F913" si="341">IF(N(E902)=0,"",(N(E902)+N(F901)))</f>
        <v/>
      </c>
      <c r="G902" s="69" t="str">
        <f>IF(OR(N(D902)=0,N(E902)=0),"",(E902*D902)/1000)</f>
        <v/>
      </c>
      <c r="H902" s="70" t="str">
        <f t="shared" ref="H902:H913" si="342">IF(N(G902)=0,"",(N(G902)+N(H901)))</f>
        <v/>
      </c>
      <c r="I902" s="27" t="str">
        <f>IF(N(J902)=0,"",0&amp;"-"&amp;B$2)</f>
        <v/>
      </c>
      <c r="J902" s="52" t="str">
        <f>IF(N(B$2)=0,"",IF(AND(COUNT(H902:H913)=2,COUNT(F902:F913)=2),cubic_spline(F901:F903,H901:H903,B$2),IF(AND(COUNT(H902:H913)=3,COUNT(F902:F913)=3),cubic_spline(F901:F904,H901:H904,B$2),IF(AND(COUNT(H902:H913)=4,COUNT(F902:F913)=4),cubic_spline(F901:F905,H901:H905,B$2),IF(AND(COUNT(H902:H913)=5,COUNT(F902:F913)=5),cubic_spline(F901:F906,H901:H906,B$2),IF(AND(COUNT(H902:H913)=6,COUNT(F902:F913)=6),cubic_spline(F901:F907,H901:H907,B$2),IF(AND(COUNT(H902:H913)=7,COUNT(F902:F913)=7),cubic_spline(F901:F908,H901:H908,B$2),IF(AND(COUNT(H902:H913)=8,COUNT(F902:F913)=8),cubic_spline(F901:F909,H901:H909,B$2),IF(AND(COUNT(H902:H913)=9,COUNT(F902:F913)=9),cubic_spline(F901:F910,H901:H910,B$2),IF(AND(COUNT(H902:H913)=10,COUNT(F902:F913)=10),cubic_spline(F901:F911,H901:H911,B$2),IF(AND(COUNT(H902:H913)=11,COUNT(F902:F913)=11),cubic_spline(F901:F912,H901:H912,B$2),IF(AND(COUNT(H902:H913)=12,COUNT(F902:F913)=12),cubic_spline(F901:F913,H901:H913,B$2),""))))))))))))</f>
        <v/>
      </c>
      <c r="K902" s="52" t="str">
        <f>IF(N(B$2)=0,"",IF(AND(COUNT(A902:A913)=2,COUNT(F902:F913)=2),cubic_spline(F901:F903,A901:A903,B$2),IF(AND(COUNT(A902:A913)=3,COUNT(F902:F913)=3),cubic_spline(F901:F904,A901:A904,B$2),IF(AND(COUNT(A902:A913)=4,COUNT(F902:F913)=4),cubic_spline(F901:F905,A901:A905,B$2),IF(AND(COUNT(A902:A913)=5,COUNT(F902:F913)=5),cubic_spline(F901:F906,A901:A906,B$2),IF(AND(COUNT(A902:A913)=6,COUNT(F902:F913)=6),cubic_spline(F901:F907,A901:A907,B$2),IF(AND(COUNT(A902:A913)=7,COUNT(F902:F913)=7),cubic_spline(F901:F908,A901:A908,B$2),IF(AND(COUNT(A902:A913)=8,COUNT(F902:F913)=8),cubic_spline(F901:F909,A901:A909,B$2),IF(AND(COUNT(A902:A913)=9,COUNT(F902:F913)=9),cubic_spline(F901:F910,A901:A910,B$2),IF(AND(COUNT(A902:A913)=10,COUNT(F902:F913)=10),cubic_spline(F901:F911,A901:A911,B$2),IF(AND(COUNT(A902:A913)=11,COUNT(F902:F913)=11),cubic_spline(F901:F912,A901:A912,B$2),IF(AND(COUNT(A902:A913)=12,COUNT(F902:F913)=12),cubic_spline(F901:F913,A901:A913,B$2),""))))))))))))</f>
        <v/>
      </c>
      <c r="L902" s="27" t="str">
        <f>IF(I902="","",0&amp;"-"&amp;B$2)</f>
        <v/>
      </c>
      <c r="M902" s="52" t="str">
        <f>IF(N(J902)=0,"",J902-J901)</f>
        <v/>
      </c>
    </row>
    <row r="903" spans="1:13" x14ac:dyDescent="0.35">
      <c r="A903" s="48"/>
      <c r="B903" s="48"/>
      <c r="C903" s="50"/>
      <c r="D903" s="50"/>
      <c r="E903" s="51" t="str">
        <f t="shared" ref="E903:E913" si="343">IF(N(C903)=0,"",(A903-A902)*C903*100)</f>
        <v/>
      </c>
      <c r="F903" s="68" t="str">
        <f t="shared" si="341"/>
        <v/>
      </c>
      <c r="G903" s="69" t="str">
        <f t="shared" ref="G903:G913" si="344">IF(OR(N(D903)=0,N(E903)=0),"",(E903*D903)/1000)</f>
        <v/>
      </c>
      <c r="H903" s="70" t="str">
        <f t="shared" si="342"/>
        <v/>
      </c>
      <c r="I903" s="27" t="str">
        <f>IF(N(J903)=0,"",0&amp;"-"&amp;B$3)</f>
        <v/>
      </c>
      <c r="J903" s="52" t="str">
        <f>IF(N(B$3)=0,"",IF(AND(COUNT(H902:H913)=2,COUNT(F902:F913)=2),cubic_spline(F901:F903,H901:H903,B$3),IF(AND(COUNT(H902:H913)=3,COUNT(F902:F913)=3),cubic_spline(F901:F904,H901:H904,B$3),IF(AND(COUNT(H902:H913)=4,COUNT(F902:F913)=4),cubic_spline(F901:F905,H901:H905,B$3),IF(AND(COUNT(H902:H913)=5,COUNT(F902:F913)=5),cubic_spline(F901:F906,H901:H906,B$3),IF(AND(COUNT(H902:H913)=6,COUNT(F902:F913)=6),cubic_spline(F901:F907,H901:H907,B$3),IF(AND(COUNT(H902:H913)=7,COUNT(F902:F913)=7),cubic_spline(F901:F908,H901:H908,B$3),IF(AND(COUNT(H902:H913)=8,COUNT(F902:F913)=8),cubic_spline(F901:F909,H901:H909,B$3),IF(AND(COUNT(H902:H913)=9,COUNT(F902:F913)=9),cubic_spline(F901:F910,H901:H910,B$3),IF(AND(COUNT(H902:H913)=10,COUNT(F902:F913)=10),cubic_spline(F901:F911,H901:H911,B$3),IF(AND(COUNT(H902:H913)=11,COUNT(F902:F913)=11),cubic_spline(F901:F912,H901:H912,B$3),IF(AND(COUNT(H902:H913)=12,COUNT(F902:F913)=12),cubic_spline(F901:F913,H901:H913,B$3),""))))))))))))</f>
        <v/>
      </c>
      <c r="K903" s="52" t="str">
        <f>IF(N(B$3)=0,"",IF(AND(COUNT(A902:A913)=2,COUNT(F902:F913)=2),cubic_spline(F901:F903,A901:A903,B$3),IF(AND(COUNT(A902:A913)=3,COUNT(F902:F913)=3),cubic_spline(F901:F904,A901:A904,B$3),IF(AND(COUNT(A902:A913)=4,COUNT(F902:F913)=4),cubic_spline(F901:F905,A901:A905,B$3),IF(AND(COUNT(A902:A913)=5,COUNT(F902:F913)=5),cubic_spline(F901:F906,A901:A906,B$3),IF(AND(COUNT(A902:A913)=6,COUNT(F902:F913)=6),cubic_spline(F901:F907,A901:A907,B$3),IF(AND(COUNT(A902:A913)=7,COUNT(F902:F913)=7),cubic_spline(F901:F908,A901:A908,B$3),IF(AND(COUNT(A902:A913)=8,COUNT(F902:F913)=8),cubic_spline(F901:F909,A901:A909,B$3),IF(AND(COUNT(A902:A913)=9,COUNT(F902:F913)=9),cubic_spline(F901:F910,A901:A910,B$3),IF(AND(COUNT(A902:A913)=10,COUNT(F902:F913)=10),cubic_spline(F901:F911,A901:A911,B$3),IF(AND(COUNT(A902:A913)=11,COUNT(F902:F913)=11),cubic_spline(F901:F912,A901:A912,B$3),IF(AND(COUNT(A902:A913)=12,COUNT(F902:F913)=12),cubic_spline(F901:F913,A901:A913,B$3),""))))))))))))</f>
        <v/>
      </c>
      <c r="L903" s="27" t="str">
        <f>IF(I903="","",B$2&amp;"-"&amp;B$3)</f>
        <v/>
      </c>
      <c r="M903" s="52" t="str">
        <f>IF(N(J903)=0,"",J903-J902)</f>
        <v/>
      </c>
    </row>
    <row r="904" spans="1:13" x14ac:dyDescent="0.35">
      <c r="A904" s="48"/>
      <c r="B904" s="48"/>
      <c r="C904" s="50"/>
      <c r="D904" s="50"/>
      <c r="E904" s="51" t="str">
        <f t="shared" si="343"/>
        <v/>
      </c>
      <c r="F904" s="68" t="str">
        <f t="shared" si="341"/>
        <v/>
      </c>
      <c r="G904" s="69" t="str">
        <f t="shared" si="344"/>
        <v/>
      </c>
      <c r="H904" s="70" t="str">
        <f t="shared" si="342"/>
        <v/>
      </c>
      <c r="I904" s="27" t="str">
        <f>IF(N(J904)=0,"",0&amp;"-"&amp;B$4)</f>
        <v/>
      </c>
      <c r="J904" s="52" t="str">
        <f>IF(N(B$4)=0,"",IF(AND(COUNT(H902:H913)=2,COUNT(F902:F913)=2),cubic_spline(F901:F903,H901:H903,B$4),IF(AND(COUNT(H902:H913)=3,COUNT(F902:F913)=3),cubic_spline(F901:F904,H901:H904,B$4),IF(AND(COUNT(H902:H913)=4,COUNT(F902:F913)=4),cubic_spline(F901:F905,H901:H905,B$4),IF(AND(COUNT(H902:H913)=5,COUNT(F902:F913)=5),cubic_spline(F901:F906,H901:H906,B$4),IF(AND(COUNT(H902:H913)=6,COUNT(F902:F913)=6),cubic_spline(F901:F907,H901:H907,B$4),IF(AND(COUNT(H902:H913)=7,COUNT(F902:F913)=7),cubic_spline(F901:F908,H901:H908,B$4),IF(AND(COUNT(H902:H913)=8,COUNT(F902:F913)=8),cubic_spline(F901:F909,H901:H909,B$4),IF(AND(COUNT(H902:H913)=9,COUNT(F902:F913)=9),cubic_spline(F901:F910,H901:H910,B$4),IF(AND(COUNT(H902:H913)=10,COUNT(F902:F913)=10),cubic_spline(F901:F911,H901:H911,B$4),IF(AND(COUNT(H902:H913)=11,COUNT(F902:F913)=11),cubic_spline(F901:F912,H901:H912,B$4),IF(AND(COUNT(H902:H913)=12,COUNT(F902:F913)=12),cubic_spline(F901:F913,H901:H913,B$4),""))))))))))))</f>
        <v/>
      </c>
      <c r="K904" s="52" t="str">
        <f>IF(N(B$4)=0,"",IF(AND(COUNT(A902:A913)=2,COUNT(F902:F913)=2),cubic_spline(F901:F903,A901:A903,B$4),IF(AND(COUNT(A902:A913)=3,COUNT(F902:F913)=3),cubic_spline(F901:F904,A901:A904,B$4),IF(AND(COUNT(A902:A913)=4,COUNT(F902:F913)=4),cubic_spline(F901:F905,A901:A905,B$4),IF(AND(COUNT(A902:A913)=5,COUNT(F902:F913)=5),cubic_spline(F901:F906,A901:A906,B$4),IF(AND(COUNT(A902:A913)=6,COUNT(F902:F913)=6),cubic_spline(F901:F907,A901:A907,B$4),IF(AND(COUNT(A902:A913)=7,COUNT(F902:F913)=7),cubic_spline(F901:F908,A901:A908,B$4),IF(AND(COUNT(A902:A913)=8,COUNT(F902:F913)=8),cubic_spline(F901:F909,A901:A909,B$4),IF(AND(COUNT(A902:A913)=9,COUNT(F902:F913)=9),cubic_spline(F901:F910,A901:A910,B$4),IF(AND(COUNT(A902:A913)=10,COUNT(F902:F913)=10),cubic_spline(F901:F911,A901:A911,B$4),IF(AND(COUNT(A902:A913)=11,COUNT(F902:F913)=11),cubic_spline(F901:F912,A901:A912,B$4),IF(AND(COUNT(A902:A913)=12,COUNT(F902:F913)=12),cubic_spline(F901:F913,A901:A913,B$4),""))))))))))))</f>
        <v/>
      </c>
      <c r="L904" s="27" t="str">
        <f>IF(I904="","",B$3&amp;"-"&amp;B$4)</f>
        <v/>
      </c>
      <c r="M904" s="52" t="str">
        <f>IF(N(J904)=0,"",J904-J903)</f>
        <v/>
      </c>
    </row>
    <row r="905" spans="1:13" x14ac:dyDescent="0.35">
      <c r="A905" s="48"/>
      <c r="B905" s="48"/>
      <c r="C905" s="50"/>
      <c r="D905" s="50"/>
      <c r="E905" s="51" t="str">
        <f t="shared" si="343"/>
        <v/>
      </c>
      <c r="F905" s="68" t="str">
        <f t="shared" si="341"/>
        <v/>
      </c>
      <c r="G905" s="69" t="str">
        <f t="shared" si="344"/>
        <v/>
      </c>
      <c r="H905" s="70" t="str">
        <f t="shared" si="342"/>
        <v/>
      </c>
      <c r="I905" s="27" t="str">
        <f>IF(N(J905)=0,"",0&amp;"-"&amp;B$5)</f>
        <v/>
      </c>
      <c r="J905" s="52" t="str">
        <f>IF(N(B$5)=0,"",IF(AND(COUNT(H902:H913)=2,COUNT(F902:F913)=2),cubic_spline(F901:F903,H901:H903,B$5),IF(AND(COUNT(H902:H913)=3,COUNT(F902:F913)=3),cubic_spline(F901:F904,H901:H904,B$5),IF(AND(COUNT(H902:H913)=4,COUNT(F902:F913)=4),cubic_spline(F901:F905,H901:H905,B$5),IF(AND(COUNT(H902:H913)=5,COUNT(F902:F913)=5),cubic_spline(F901:F906,H901:H906,B$5),IF(AND(COUNT(H902:H913)=6,COUNT(F902:F913)=6),cubic_spline(F901:F907,H901:H907,B$5),IF(AND(COUNT(H902:H913)=7,COUNT(F902:F913)=7),cubic_spline(F901:F908,H901:H908,B$5),IF(AND(COUNT(H902:H913)=8,COUNT(F902:F913)=8),cubic_spline(F901:F909,H901:H909,B$5),IF(AND(COUNT(H902:H913)=9,COUNT(F902:F913)=9),cubic_spline(F901:F910,H901:H910,B$5),IF(AND(COUNT(H902:H913)=10,COUNT(F902:F913)=10),cubic_spline(F901:F911,H901:H911,B$5),IF(AND(COUNT(H902:H913)=11,COUNT(F902:F913)=11),cubic_spline(F901:F912,H901:H912,B$5),IF(AND(COUNT(H902:H913)=12,COUNT(F902:F913)=12),cubic_spline(F901:F913,H901:H913,B$5),""))))))))))))</f>
        <v/>
      </c>
      <c r="K905" s="52" t="str">
        <f>IF(N(B$5)=0,"",IF(AND(COUNT(A902:A913)=2,COUNT(F902:F913)=2),cubic_spline(F901:F903,A901:A903,B$5),IF(AND(COUNT(A902:A913)=3,COUNT(F902:F913)=3),cubic_spline(F901:F904,A901:A904,B$5),IF(AND(COUNT(A902:A913)=4,COUNT(F902:F913)=4),cubic_spline(F901:F905,A901:A905,B$5),IF(AND(COUNT(A902:A913)=5,COUNT(F902:F913)=5),cubic_spline(F901:F906,A901:A906,B$5),IF(AND(COUNT(A902:A913)=6,COUNT(F902:F913)=6),cubic_spline(F901:F907,A901:A907,B$5),IF(AND(COUNT(A902:A913)=7,COUNT(F902:F913)=7),cubic_spline(F901:F908,A901:A908,B$5),IF(AND(COUNT(A902:A913)=8,COUNT(F902:F913)=8),cubic_spline(F901:F909,A901:A909,B$5),IF(AND(COUNT(A902:A913)=9,COUNT(F902:F913)=9),cubic_spline(F901:F910,A901:A910,B$5),IF(AND(COUNT(A902:A913)=10,COUNT(F902:F913)=10),cubic_spline(F901:F911,A901:A911,B$5),IF(AND(COUNT(A902:A913)=11,COUNT(F902:F913)=11),cubic_spline(F901:F912,A901:A912,B$5),IF(AND(COUNT(A902:A913)=12,COUNT(F902:F913)=12),cubic_spline(F901:F913,A901:A913,B$5),""))))))))))))</f>
        <v/>
      </c>
      <c r="L905" s="27" t="str">
        <f>IF(I905="","",B$4&amp;"-"&amp;B$5)</f>
        <v/>
      </c>
      <c r="M905" s="52" t="str">
        <f>IF(N(J905)=0,"",J905-J904)</f>
        <v/>
      </c>
    </row>
    <row r="906" spans="1:13" x14ac:dyDescent="0.35">
      <c r="A906" s="48"/>
      <c r="B906" s="48"/>
      <c r="C906" s="50"/>
      <c r="D906" s="50"/>
      <c r="E906" s="51" t="str">
        <f t="shared" si="343"/>
        <v/>
      </c>
      <c r="F906" s="71" t="str">
        <f t="shared" si="341"/>
        <v/>
      </c>
      <c r="G906" s="69" t="str">
        <f t="shared" si="344"/>
        <v/>
      </c>
      <c r="H906" s="70" t="str">
        <f t="shared" si="342"/>
        <v/>
      </c>
      <c r="I906" s="27" t="str">
        <f>IF(N(J906)=0,"",0&amp;"-"&amp;B$6)</f>
        <v/>
      </c>
      <c r="J906" s="52" t="str">
        <f>IF(N(B$6)=0,"",IF(AND(COUNT(H902:H913)=2,COUNT(F902:F913)=2),cubic_spline(F901:F903,H901:H903,B$6),IF(AND(COUNT(H902:H913)=3,COUNT(F902:F913)=3),cubic_spline(F901:F904,H901:H904,B$6),IF(AND(COUNT(H902:H913)=4,COUNT(F902:F913)=4),cubic_spline(F901:F905,H901:H905,B$6),IF(AND(COUNT(H902:H913)=5,COUNT(F902:F913)=5),cubic_spline(F901:F906,H901:H906,B$6),IF(AND(COUNT(H902:H913)=6,COUNT(F902:F913)=6),cubic_spline(F901:F907,H901:H907,B$6),IF(AND(COUNT(H902:H913)=7,COUNT(F902:F913)=7),cubic_spline(F901:F908,H901:H908,B$6),IF(AND(COUNT(H902:H913)=8,COUNT(F902:F913)=8),cubic_spline(F901:F909,H901:H909,B$6),IF(AND(COUNT(H902:H913)=9,COUNT(F902:F913)=9),cubic_spline(F901:F910,H901:H910,B$6),IF(AND(COUNT(H902:H913)=10,COUNT(F902:F913)=10),cubic_spline(F901:F911,H901:H911,B$6),IF(AND(COUNT(H902:H913)=11,COUNT(F902:F913)=11),cubic_spline(F901:F912,H901:H912,B$6),IF(AND(COUNT(H902:H913)=12,COUNT(F902:F913)=12),cubic_spline(F901:F913,H901:H913,B$6),""))))))))))))</f>
        <v/>
      </c>
      <c r="K906" s="52" t="str">
        <f>IF(N(B$6)=0,"",IF(AND(COUNT(A902:A913)=2,COUNT(F902:F913)=2),cubic_spline(F901:F903,A901:A903,B$6),IF(AND(COUNT(A902:A913)=3,COUNT(F902:F913)=3),cubic_spline(F901:F904,A901:A904,B$6),IF(AND(COUNT(A902:A913)=4,COUNT(F902:F913)=4),cubic_spline(F901:F905,A901:A905,B$6),IF(AND(COUNT(A902:A913)=5,COUNT(F902:F913)=5),cubic_spline(F901:F906,A901:A906,B$6),IF(AND(COUNT(A902:A913)=6,COUNT(F902:F913)=6),cubic_spline(F901:F907,A901:A907,B$6),IF(AND(COUNT(A902:A913)=7,COUNT(F902:F913)=7),cubic_spline(F901:F908,A901:A908,B$6),IF(AND(COUNT(A902:A913)=8,COUNT(F902:F913)=8),cubic_spline(F901:F909,A901:A909,B$6),IF(AND(COUNT(A902:A913)=9,COUNT(F902:F913)=9),cubic_spline(F901:F910,A901:A910,B$6),IF(AND(COUNT(A902:A913)=10,COUNT(F902:F913)=10),cubic_spline(F901:F911,A901:A911,B$6),IF(AND(COUNT(A902:A913)=11,COUNT(F902:F913)=11),cubic_spline(F901:F912,A901:A912,B$6),IF(AND(COUNT(A902:A913)=12,COUNT(F902:F913)=12),cubic_spline(F901:F913,A901:A913,B$6),""))))))))))))</f>
        <v/>
      </c>
      <c r="L906" s="27" t="str">
        <f>IF(I906="","",B$5&amp;"-"&amp;B$6)</f>
        <v/>
      </c>
      <c r="M906" s="52" t="str">
        <f>IF(N(J906)=0,"",J906-J905)</f>
        <v/>
      </c>
    </row>
    <row r="907" spans="1:13" x14ac:dyDescent="0.35">
      <c r="A907" s="48"/>
      <c r="B907" s="48"/>
      <c r="C907" s="50"/>
      <c r="D907" s="50"/>
      <c r="E907" s="51" t="str">
        <f t="shared" si="343"/>
        <v/>
      </c>
      <c r="F907" s="71" t="str">
        <f t="shared" si="341"/>
        <v/>
      </c>
      <c r="G907" s="69" t="str">
        <f t="shared" si="344"/>
        <v/>
      </c>
      <c r="H907" s="70" t="str">
        <f t="shared" si="342"/>
        <v/>
      </c>
      <c r="I907" s="27" t="str">
        <f>IF(N(J907)=0,"",0&amp;"-"&amp;B$7)</f>
        <v/>
      </c>
      <c r="J907" s="52" t="str">
        <f>IF(N(B$7)=0,"",IF(AND(COUNT(H902:H913)=2,COUNT(F902:F913)=2),cubic_spline(F901:F903,H901:H903,B$7),IF(AND(COUNT(H902:H913)=3,COUNT(F902:F913)=3),cubic_spline(F901:F904,H901:H904,B$7),IF(AND(COUNT(H902:H913)=4,COUNT(F902:F913)=4),cubic_spline(F901:F905,H901:H905,B$7),IF(AND(COUNT(H902:H913)=5,COUNT(F902:F913)=5),cubic_spline(F901:F906,H901:H906,B$7),IF(AND(COUNT(H902:H913)=6,COUNT(F902:F913)=6),cubic_spline(F901:F907,H901:H907,B$7),IF(AND(COUNT(H902:H913)=7,COUNT(F902:F913)=7),cubic_spline(F901:F908,H901:H908,B$7),IF(AND(COUNT(H902:H913)=8,COUNT(F902:F913)=8),cubic_spline(F901:F909,H901:H909,B$7),IF(AND(COUNT(H902:H913)=9,COUNT(F902:F913)=9),cubic_spline(F901:F910,H901:H910,B$7),IF(AND(COUNT(H902:H913)=10,COUNT(F902:F913)=10),cubic_spline(F901:F911,H901:H911,B$7),IF(AND(COUNT(H902:H913)=11,COUNT(F902:F913)=11),cubic_spline(F901:F912,H901:H912,B$7),IF(AND(COUNT(H902:H913)=12,COUNT(F902:F913)=12),cubic_spline(F901:F913,H901:H913,B$7),""))))))))))))</f>
        <v/>
      </c>
      <c r="K907" s="52" t="str">
        <f>IF(N(B$7)=0,"",IF(AND(COUNT(A902:A913)=2,COUNT(F902:F913)=2),cubic_spline(F901:F903,A901:A903,B$7),IF(AND(COUNT(A902:A913)=3,COUNT(F902:F913)=3),cubic_spline(F901:F904,A901:A904,B$7),IF(AND(COUNT(A902:A913)=4,COUNT(F902:F913)=4),cubic_spline(F901:F905,A901:A905,B$7),IF(AND(COUNT(A902:A913)=5,COUNT(F902:F913)=5),cubic_spline(F901:F906,A901:A906,B$7),IF(AND(COUNT(A902:A913)=6,COUNT(F902:F913)=6),cubic_spline(F901:F907,A901:A907,B$7),IF(AND(COUNT(A902:A913)=7,COUNT(F902:F913)=7),cubic_spline(F901:F908,A901:A908,B$7),IF(AND(COUNT(A902:A913)=8,COUNT(F902:F913)=8),cubic_spline(F901:F909,A901:A909,B$7),IF(AND(COUNT(A902:A913)=9,COUNT(F902:F913)=9),cubic_spline(F901:F910,A901:A910,B$7),IF(AND(COUNT(A902:A913)=10,COUNT(F902:F913)=10),cubic_spline(F901:F911,A901:A911,B$7),IF(AND(COUNT(A902:A913)=11,COUNT(F902:F913)=11),cubic_spline(F901:F912,A901:A912,B$7),IF(AND(COUNT(A902:A913)=12,COUNT(F902:F913)=12),cubic_spline(F901:F913,A901:A913,B$7),""))))))))))))</f>
        <v/>
      </c>
      <c r="L907" s="27" t="str">
        <f>IF(I907="","",B$6&amp;"-"&amp;B$7)</f>
        <v/>
      </c>
      <c r="M907" s="52" t="str">
        <f t="shared" ref="M907:M913" si="345">IF(N(J907)=0,"",J907-J906)</f>
        <v/>
      </c>
    </row>
    <row r="908" spans="1:13" x14ac:dyDescent="0.35">
      <c r="A908" s="48"/>
      <c r="B908" s="48"/>
      <c r="C908" s="50"/>
      <c r="D908" s="50"/>
      <c r="E908" s="51" t="str">
        <f t="shared" si="343"/>
        <v/>
      </c>
      <c r="F908" s="71" t="str">
        <f t="shared" si="341"/>
        <v/>
      </c>
      <c r="G908" s="69" t="str">
        <f t="shared" si="344"/>
        <v/>
      </c>
      <c r="H908" s="70" t="str">
        <f t="shared" si="342"/>
        <v/>
      </c>
      <c r="I908" s="27" t="str">
        <f>IF(N(J908)=0,"",0&amp;"-"&amp;B$8)</f>
        <v/>
      </c>
      <c r="J908" s="52" t="str">
        <f>IF(N(B$8)=0,"",IF(AND(COUNT(H902:H913)=2,COUNT(F902:F913)=2),cubic_spline(F901:F903,H901:H903,B$8),IF(AND(COUNT(H902:H913)=3,COUNT(F902:F913)=3),cubic_spline(F901:F904,H901:H904,B$8),IF(AND(COUNT(H902:H913)=4,COUNT(F902:F913)=4),cubic_spline(F901:F905,H901:H905,B$8),IF(AND(COUNT(H902:H913)=5,COUNT(F902:F913)=5),cubic_spline(F901:F906,H901:H906,B$8),IF(AND(COUNT(H902:H913)=6,COUNT(F902:F913)=6),cubic_spline(F901:F907,H901:H907,B$8),IF(AND(COUNT(H902:H913)=7,COUNT(F902:F913)=7),cubic_spline(F901:F908,H901:H908,B$8),IF(AND(COUNT(H902:H913)=8,COUNT(F902:F913)=8),cubic_spline(F901:F909,H901:H909,B$8),IF(AND(COUNT(H902:H913)=9,COUNT(F902:F913)=9),cubic_spline(F901:F910,H901:H910,B$8),IF(AND(COUNT(H902:H913)=10,COUNT(F902:F913)=10),cubic_spline(F901:F911,H901:H911,B$8),IF(AND(COUNT(H902:H913)=11,COUNT(F902:F913)=11),cubic_spline(F901:F912,H901:H912,B$8),IF(AND(COUNT(H902:H913)=12,COUNT(F902:F913)=12),cubic_spline(F901:F913,H901:H913,B$8),""))))))))))))</f>
        <v/>
      </c>
      <c r="K908" s="52" t="str">
        <f>IF(N(B$8)=0,"",IF(AND(COUNT(A902:A913)=2,COUNT(F902:F913)=2),cubic_spline(F901:F903,A901:A903,B$8),IF(AND(COUNT(A902:A913)=3,COUNT(F902:F913)=3),cubic_spline(F901:F904,A901:A904,B$8),IF(AND(COUNT(A902:A913)=4,COUNT(F902:F913)=4),cubic_spline(F901:F905,A901:A905,B$8),IF(AND(COUNT(A902:A913)=5,COUNT(F902:F913)=5),cubic_spline(F901:F906,A901:A906,B$8),IF(AND(COUNT(A902:A913)=6,COUNT(F902:F913)=6),cubic_spline(F901:F907,A901:A907,B$8),IF(AND(COUNT(A902:A913)=7,COUNT(F902:F913)=7),cubic_spline(F901:F908,A901:A908,B$8),IF(AND(COUNT(A902:A913)=8,COUNT(F902:F913)=8),cubic_spline(F901:F909,A901:A909,B$8),IF(AND(COUNT(A902:A913)=9,COUNT(F902:F913)=9),cubic_spline(F901:F910,A901:A910,B$8),IF(AND(COUNT(A902:A913)=10,COUNT(F902:F913)=10),cubic_spline(F901:F911,A901:A911,B$8),IF(AND(COUNT(A902:A913)=11,COUNT(F902:F913)=11),cubic_spline(F901:F912,A901:A912,B$8),IF(AND(COUNT(A902:A913)=12,COUNT(F902:F913)=12),cubic_spline(F901:F913,A901:A913,B$8),""))))))))))))</f>
        <v/>
      </c>
      <c r="L908" s="27" t="str">
        <f>IF(I908="","",B$7&amp;"-"&amp;B$8)</f>
        <v/>
      </c>
      <c r="M908" s="52" t="str">
        <f t="shared" si="345"/>
        <v/>
      </c>
    </row>
    <row r="909" spans="1:13" x14ac:dyDescent="0.35">
      <c r="A909" s="48"/>
      <c r="B909" s="48"/>
      <c r="C909" s="50"/>
      <c r="D909" s="50"/>
      <c r="E909" s="51" t="str">
        <f t="shared" si="343"/>
        <v/>
      </c>
      <c r="F909" s="71" t="str">
        <f t="shared" si="341"/>
        <v/>
      </c>
      <c r="G909" s="69" t="str">
        <f t="shared" si="344"/>
        <v/>
      </c>
      <c r="H909" s="70" t="str">
        <f t="shared" si="342"/>
        <v/>
      </c>
      <c r="I909" s="27" t="str">
        <f>IF(N(J909)=0,"",0&amp;"-"&amp;B$9)</f>
        <v/>
      </c>
      <c r="J909" s="52" t="str">
        <f>IF(N(B$9)=0,"",IF(AND(COUNT(H902:H913)=2,COUNT(F902:F913)=2),cubic_spline(F901:F903,H901:H903,B$9),IF(AND(COUNT(H902:H913)=3,COUNT(F902:F913)=3),cubic_spline(F901:F904,H901:H904,B$9),IF(AND(COUNT(H902:H913)=4,COUNT(F902:F913)=4),cubic_spline(F901:F905,H901:H905,B$9),IF(AND(COUNT(H902:H913)=5,COUNT(F902:F913)=5),cubic_spline(F901:F906,H901:H906,B$9),IF(AND(COUNT(H902:H913)=6,COUNT(F902:F913)=6),cubic_spline(F901:F907,H901:H907,B$9),IF(AND(COUNT(H902:H913)=7,COUNT(F902:F913)=7),cubic_spline(F901:F908,H901:H908,B$9),IF(AND(COUNT(H902:H913)=8,COUNT(F902:F913)=8),cubic_spline(F901:F909,H901:H909,B$9),IF(AND(COUNT(H902:H913)=9,COUNT(F902:F913)=9),cubic_spline(F901:F910,H901:H910,B$9),IF(AND(COUNT(H902:H913)=10,COUNT(F902:F913)=10),cubic_spline(F901:F911,H901:H911,B$9),IF(AND(COUNT(H902:H913)=11,COUNT(F902:F913)=11),cubic_spline(F901:F912,H901:H912,B$9),IF(AND(COUNT(H902:H913)=12,COUNT(F902:F913)=12),cubic_spline(F901:F913,H901:H913,B$9),""))))))))))))</f>
        <v/>
      </c>
      <c r="K909" s="52" t="str">
        <f>IF(N(B$9)=0,"",IF(AND(COUNT(A902:A913)=2,COUNT(F902:F913)=2),cubic_spline(F901:F903,A901:A903,B$9),IF(AND(COUNT(A902:A913)=3,COUNT(F902:F913)=3),cubic_spline(F901:F904,A901:A904,B$9),IF(AND(COUNT(A902:A913)=4,COUNT(F902:F913)=4),cubic_spline(F901:F905,A901:A905,B$9),IF(AND(COUNT(A902:A913)=5,COUNT(F902:F913)=5),cubic_spline(F901:F906,A901:A906,B$9),IF(AND(COUNT(A902:A913)=6,COUNT(F902:F913)=6),cubic_spline(F901:F907,A901:A907,B$9),IF(AND(COUNT(A902:A913)=7,COUNT(F902:F913)=7),cubic_spline(F901:F908,A901:A908,B$9),IF(AND(COUNT(A902:A913)=8,COUNT(F902:F913)=8),cubic_spline(F901:F909,A901:A909,B$9),IF(AND(COUNT(A902:A913)=9,COUNT(F902:F913)=9),cubic_spline(F901:F910,A901:A910,B$9),IF(AND(COUNT(A902:A913)=10,COUNT(F902:F913)=10),cubic_spline(F901:F911,A901:A911,B$9),IF(AND(COUNT(A902:A913)=11,COUNT(F902:F913)=11),cubic_spline(F901:F912,A901:A912,B$9),IF(AND(COUNT(A902:A913)=12,COUNT(F902:F913)=12),cubic_spline(F901:F913,A901:A913,B$9),""))))))))))))</f>
        <v/>
      </c>
      <c r="L909" s="27" t="str">
        <f>IF(I909="","",B$8&amp;"-"&amp;B$9)</f>
        <v/>
      </c>
      <c r="M909" s="52" t="str">
        <f t="shared" si="345"/>
        <v/>
      </c>
    </row>
    <row r="910" spans="1:13" x14ac:dyDescent="0.35">
      <c r="A910" s="48"/>
      <c r="B910" s="48"/>
      <c r="C910" s="50"/>
      <c r="D910" s="50"/>
      <c r="E910" s="51" t="str">
        <f t="shared" si="343"/>
        <v/>
      </c>
      <c r="F910" s="71" t="str">
        <f t="shared" si="341"/>
        <v/>
      </c>
      <c r="G910" s="69" t="str">
        <f t="shared" si="344"/>
        <v/>
      </c>
      <c r="H910" s="70" t="str">
        <f t="shared" si="342"/>
        <v/>
      </c>
      <c r="I910" s="27" t="str">
        <f>IF(N(J910)=0,"",0&amp;"-"&amp;B$10)</f>
        <v/>
      </c>
      <c r="J910" s="52" t="str">
        <f>IF(N(B$10)=0,"",IF(AND(COUNT(H902:H913)=2,COUNT(F902:F913)=2),cubic_spline(F901:F903,H901:H903,B$10),IF(AND(COUNT(H902:H913)=3,COUNT(F902:F913)=3),cubic_spline(F901:F904,H901:H904,B$10),IF(AND(COUNT(H902:H913)=4,COUNT(F902:F913)=4),cubic_spline(F901:F905,H901:H905,B$10),IF(AND(COUNT(H902:H913)=5,COUNT(F902:F913)=5),cubic_spline(F901:F906,H901:H906,B$10),IF(AND(COUNT(H902:H913)=6,COUNT(F902:F913)=6),cubic_spline(F901:F907,H901:H907,B$10),IF(AND(COUNT(H902:H913)=7,COUNT(F902:F913)=7),cubic_spline(F901:F908,H901:H908,B$10),IF(AND(COUNT(H902:H913)=8,COUNT(F902:F913)=8),cubic_spline(F901:F909,H901:H909,B$10),IF(AND(COUNT(H902:H913)=9,COUNT(F902:F913)=9),cubic_spline(F901:F910,H901:H910,B$10),IF(AND(COUNT(H902:H913)=10,COUNT(F902:F913)=10),cubic_spline(F901:F911,H901:H911,B$10),IF(AND(COUNT(H902:H913)=11,COUNT(F902:F913)=11),cubic_spline(F901:F912,H901:H912,B$10),IF(AND(COUNT(H902:H913)=12,COUNT(F902:F913)=12),cubic_spline(F901:F913,H901:H913,B$10),""))))))))))))</f>
        <v/>
      </c>
      <c r="K910" s="52" t="str">
        <f>IF(N(B$10)=0,"",IF(AND(COUNT(A902:A913)=2,COUNT(F902:F913)=2),cubic_spline(F901:F903,A901:A903,B$10),IF(AND(COUNT(A902:A913)=3,COUNT(F902:F913)=3),cubic_spline(F901:F904,A901:A904,B$10),IF(AND(COUNT(A902:A913)=4,COUNT(F902:F913)=4),cubic_spline(F901:F905,A901:A905,B$10),IF(AND(COUNT(A902:A913)=5,COUNT(F902:F913)=5),cubic_spline(F901:F906,A901:A906,B$10),IF(AND(COUNT(A902:A913)=6,COUNT(F902:F913)=6),cubic_spline(F901:F907,A901:A907,B$10),IF(AND(COUNT(A902:A913)=7,COUNT(F902:F913)=7),cubic_spline(F901:F908,A901:A908,B$10),IF(AND(COUNT(A902:A913)=8,COUNT(F902:F913)=8),cubic_spline(F901:F909,A901:A909,B$10),IF(AND(COUNT(A902:A913)=9,COUNT(F902:F913)=9),cubic_spline(F901:F910,A901:A910,B$10),IF(AND(COUNT(A902:A913)=10,COUNT(F902:F913)=10),cubic_spline(F901:F911,A901:A911,B$10),IF(AND(COUNT(A902:A913)=11,COUNT(F902:F913)=11),cubic_spline(F901:F912,A901:A912,B$10),IF(AND(COUNT(A902:A913)=12,COUNT(F902:F913)=12),cubic_spline(F901:F913,A901:A913,B$10),""))))))))))))</f>
        <v/>
      </c>
      <c r="L910" s="27" t="str">
        <f>IF(I910="","",B$9&amp;"-"&amp;B$10)</f>
        <v/>
      </c>
      <c r="M910" s="52" t="str">
        <f t="shared" si="345"/>
        <v/>
      </c>
    </row>
    <row r="911" spans="1:13" x14ac:dyDescent="0.35">
      <c r="A911" s="48"/>
      <c r="B911" s="48"/>
      <c r="C911" s="50"/>
      <c r="D911" s="50"/>
      <c r="E911" s="51" t="str">
        <f t="shared" si="343"/>
        <v/>
      </c>
      <c r="F911" s="71" t="str">
        <f t="shared" si="341"/>
        <v/>
      </c>
      <c r="G911" s="69" t="str">
        <f t="shared" si="344"/>
        <v/>
      </c>
      <c r="H911" s="70" t="str">
        <f t="shared" si="342"/>
        <v/>
      </c>
      <c r="I911" s="27" t="str">
        <f>IF(N(J911)=0,"",0&amp;"-"&amp;B$11)</f>
        <v/>
      </c>
      <c r="J911" s="52" t="str">
        <f>IF(N(B$11)=0,"",IF(AND(COUNT(H902:H913)=2,COUNT(F902:F913)=2),cubic_spline(F901:F903,H901:H903,B$11),IF(AND(COUNT(H902:H913)=3,COUNT(F902:F913)=3),cubic_spline(F901:F904,H901:H904,B$11),IF(AND(COUNT(H902:H913)=4,COUNT(F902:F913)=4),cubic_spline(F901:F905,H901:H905,B$11),IF(AND(COUNT(H902:H913)=5,COUNT(F902:F913)=5),cubic_spline(F901:F906,H901:H906,B$11),IF(AND(COUNT(H902:H913)=6,COUNT(F902:F913)=6),cubic_spline(F901:F907,H901:H907,B$11),IF(AND(COUNT(H902:H913)=7,COUNT(F902:F913)=7),cubic_spline(F901:F908,H901:H908,B$11),IF(AND(COUNT(H902:H913)=8,COUNT(F902:F913)=8),cubic_spline(F901:F909,H901:H909,B$11),IF(AND(COUNT(H902:H913)=9,COUNT(F902:F913)=9),cubic_spline(F901:F910,H901:H910,B$11),IF(AND(COUNT(H902:H913)=10,COUNT(F902:F913)=10),cubic_spline(F901:F911,H901:H911,B$11),IF(AND(COUNT(H902:H913)=11,COUNT(F902:F913)=11),cubic_spline(F901:F912,H901:H912,B$11),IF(AND(COUNT(H902:H913)=12,COUNT(F902:F913)=12),cubic_spline(F901:F913,H901:H913,B$11),""))))))))))))</f>
        <v/>
      </c>
      <c r="K911" s="52" t="str">
        <f>IF(N(B$11)=0,"",IF(AND(COUNT(A902:A913)=2,COUNT(F902:F913)=2),cubic_spline(F901:F903,A901:A903,B$11),IF(AND(COUNT(A902:A913)=3,COUNT(F902:F913)=3),cubic_spline(F901:F904,A901:A904,B$11),IF(AND(COUNT(A902:A913)=4,COUNT(F902:F913)=4),cubic_spline(F901:F905,A901:A905,B$11),IF(AND(COUNT(A902:A913)=5,COUNT(F902:F913)=5),cubic_spline(F901:F906,A901:A906,B$11),IF(AND(COUNT(A902:A913)=6,COUNT(F902:F913)=6),cubic_spline(F901:F907,A901:A907,B$11),IF(AND(COUNT(A902:A913)=7,COUNT(F902:F913)=7),cubic_spline(F901:F908,A901:A908,B$11),IF(AND(COUNT(A902:A913)=8,COUNT(F902:F913)=8),cubic_spline(F901:F909,A901:A909,B$11),IF(AND(COUNT(A902:A913)=9,COUNT(F902:F913)=9),cubic_spline(F901:F910,A901:A910,B$11),IF(AND(COUNT(A902:A913)=10,COUNT(F902:F913)=10),cubic_spline(F901:F911,A901:A911,B$11),IF(AND(COUNT(A902:A913)=11,COUNT(F902:F913)=11),cubic_spline(F901:F912,A901:A912,B$11),IF(AND(COUNT(A902:A913)=12,COUNT(F902:F913)=12),cubic_spline(F901:F913,A901:A913,B$11),""))))))))))))</f>
        <v/>
      </c>
      <c r="L911" s="27" t="str">
        <f>IF(I911="","",B$10&amp;"-"&amp;B$11)</f>
        <v/>
      </c>
      <c r="M911" s="52" t="str">
        <f t="shared" si="345"/>
        <v/>
      </c>
    </row>
    <row r="912" spans="1:13" x14ac:dyDescent="0.35">
      <c r="A912" s="48"/>
      <c r="B912" s="48"/>
      <c r="C912" s="50"/>
      <c r="D912" s="50"/>
      <c r="E912" s="51" t="str">
        <f t="shared" si="343"/>
        <v/>
      </c>
      <c r="F912" s="71" t="str">
        <f t="shared" si="341"/>
        <v/>
      </c>
      <c r="G912" s="69" t="str">
        <f t="shared" si="344"/>
        <v/>
      </c>
      <c r="H912" s="70" t="str">
        <f t="shared" si="342"/>
        <v/>
      </c>
      <c r="I912" s="27" t="str">
        <f>IF(N(J912)=0,"",0&amp;"-"&amp;B$12)</f>
        <v/>
      </c>
      <c r="J912" s="52" t="str">
        <f>IF(N(B$12)=0,"",IF(AND(COUNT(H902:H913)=2,COUNT(F902:F913)=2),cubic_spline(F901:F903,H901:H903,B$12),IF(AND(COUNT(H902:H913)=3,COUNT(F902:F913)=3),cubic_spline(F901:F904,H901:H904,B$12),IF(AND(COUNT(H902:H913)=4,COUNT(F902:F913)=4),cubic_spline(F901:F905,H901:H905,B$12),IF(AND(COUNT(H902:H913)=5,COUNT(F902:F913)=5),cubic_spline(F901:F906,H901:H906,B$12),IF(AND(COUNT(H902:H913)=6,COUNT(F902:F913)=6),cubic_spline(F901:F907,H901:H907,B$12),IF(AND(COUNT(H902:H913)=7,COUNT(F902:F913)=7),cubic_spline(F901:F908,H901:H908,B$12),IF(AND(COUNT(H902:H913)=8,COUNT(F902:F913)=8),cubic_spline(F901:F909,H901:H909,B$12),IF(AND(COUNT(H902:H913)=9,COUNT(F902:F913)=9),cubic_spline(F901:F910,H901:H910,B$12),IF(AND(COUNT(H902:H913)=10,COUNT(F902:F913)=10),cubic_spline(F901:F911,H901:H911,B$12),IF(AND(COUNT(H902:H913)=11,COUNT(F902:F913)=11),cubic_spline(F901:F912,H901:H912,B$12),IF(AND(COUNT(H902:H913)=12,COUNT(F902:F913)=12),cubic_spline(F901:F913,H901:H913,B$12),""))))))))))))</f>
        <v/>
      </c>
      <c r="K912" s="52" t="str">
        <f>IF(N(B$12)=0,"",IF(AND(COUNT(A902:A913)=2,COUNT(F902:F913)=2),cubic_spline(F901:F903,A901:A903,B$12),IF(AND(COUNT(A902:A913)=3,COUNT(F902:F913)=3),cubic_spline(F901:F904,A901:A904,B$12),IF(AND(COUNT(A902:A913)=4,COUNT(F902:F913)=4),cubic_spline(F901:F905,A901:A905,B$12),IF(AND(COUNT(A902:A913)=5,COUNT(F902:F913)=5),cubic_spline(F901:F906,A901:A906,B$12),IF(AND(COUNT(A902:A913)=6,COUNT(F902:F913)=6),cubic_spline(F901:F907,A901:A907,B$12),IF(AND(COUNT(A902:A913)=7,COUNT(F902:F913)=7),cubic_spline(F901:F908,A901:A908,B$12),IF(AND(COUNT(A902:A913)=8,COUNT(F902:F913)=8),cubic_spline(F901:F909,A901:A909,B$12),IF(AND(COUNT(A902:A913)=9,COUNT(F902:F913)=9),cubic_spline(F901:F910,A901:A910,B$12),IF(AND(COUNT(A902:A913)=10,COUNT(F902:F913)=10),cubic_spline(F901:F911,A901:A911,B$12),IF(AND(COUNT(A902:A913)=11,COUNT(F902:F913)=11),cubic_spline(F901:F912,A901:A912,B$12),IF(AND(COUNT(A902:A913)=12,COUNT(F902:F913)=12),cubic_spline(F901:F913,A901:A913,B$12),""))))))))))))</f>
        <v/>
      </c>
      <c r="L912" s="27" t="str">
        <f>IF(I912="","",B$11&amp;"-"&amp;B$12)</f>
        <v/>
      </c>
      <c r="M912" s="52" t="str">
        <f t="shared" si="345"/>
        <v/>
      </c>
    </row>
    <row r="913" spans="1:13" x14ac:dyDescent="0.35">
      <c r="A913" s="48"/>
      <c r="B913" s="48"/>
      <c r="C913" s="50"/>
      <c r="D913" s="50"/>
      <c r="E913" s="51" t="str">
        <f t="shared" si="343"/>
        <v/>
      </c>
      <c r="F913" s="71" t="str">
        <f t="shared" si="341"/>
        <v/>
      </c>
      <c r="G913" s="69" t="str">
        <f t="shared" si="344"/>
        <v/>
      </c>
      <c r="H913" s="70" t="str">
        <f t="shared" si="342"/>
        <v/>
      </c>
      <c r="I913" s="27" t="str">
        <f>IF(N(J913)=0,"",0&amp;"-"&amp;B$13)</f>
        <v/>
      </c>
      <c r="J913" s="52" t="str">
        <f>IF(N(B$13)=0,"",IF(AND(COUNT(H902:H913)=2,COUNT(F902:F913)=2),cubic_spline(F901:F903,H901:H903,B$13),IF(AND(COUNT(H902:H913)=3,COUNT(F902:F913)=3),cubic_spline(F901:F904,H901:H904,B$13),IF(AND(COUNT(H902:H913)=4,COUNT(F902:F913)=4),cubic_spline(F901:F905,H901:H905,B$13),IF(AND(COUNT(H902:H913)=5,COUNT(F902:F913)=5),cubic_spline(F901:F906,H901:H906,B$13),IF(AND(COUNT(H902:H913)=6,COUNT(F902:F913)=6),cubic_spline(F901:F907,H901:H907,B$13),IF(AND(COUNT(H902:H913)=7,COUNT(F902:F913)=7),cubic_spline(F901:F908,H901:H908,B$13),IF(AND(COUNT(H902:H913)=8,COUNT(F902:F913)=8),cubic_spline(F901:F909,H901:H909,B$13),IF(AND(COUNT(H902:H913)=9,COUNT(F902:F913)=9),cubic_spline(F901:F910,H901:H910,B$13),IF(AND(COUNT(H902:H913)=10,COUNT(F902:F913)=10),cubic_spline(F901:F911,H901:H911,B$13),IF(AND(COUNT(H902:H913)=11,COUNT(F902:F913)=11),cubic_spline(F901:F912,H901:H912,B$13),IF(AND(COUNT(H902:H913)=12,COUNT(F902:F913)=12),cubic_spline(F901:F913,H901:H913,B$13),""))))))))))))</f>
        <v/>
      </c>
      <c r="K913" s="52" t="str">
        <f>IF(N(B$13)=0,"",IF(AND(COUNT(A902:A913)=2,COUNT(F902:F913)=2),cubic_spline(F901:F903,A901:A903,B$13),IF(AND(COUNT(A902:A913)=3,COUNT(F902:F913)=3),cubic_spline(F901:F904,A901:A904,B$13),IF(AND(COUNT(A902:A913)=4,COUNT(F902:F913)=4),cubic_spline(F901:F905,A901:A905,B$13),IF(AND(COUNT(A902:A913)=5,COUNT(F902:F913)=5),cubic_spline(F901:F906,A901:A906,B$13),IF(AND(COUNT(A902:A913)=6,COUNT(F902:F913)=6),cubic_spline(F901:F907,A901:A907,B$13),IF(AND(COUNT(A902:A913)=7,COUNT(F902:F913)=7),cubic_spline(F901:F908,A901:A908,B$13),IF(AND(COUNT(A902:A913)=8,COUNT(F902:F913)=8),cubic_spline(F901:F909,A901:A909,B$13),IF(AND(COUNT(A902:A913)=9,COUNT(F902:F913)=9),cubic_spline(F901:F910,A901:A910,B$13),IF(AND(COUNT(A902:A913)=10,COUNT(F902:F913)=10),cubic_spline(F901:F911,A901:A911,B$13),IF(AND(COUNT(A902:A913)=11,COUNT(F902:F913)=11),cubic_spline(F901:F912,A901:A912,B$13),IF(AND(COUNT(A902:A913)=12,COUNT(F902:F913)=12),cubic_spline(F901:F913,A901:A913,B$13),""))))))))))))</f>
        <v/>
      </c>
      <c r="L913" s="27" t="str">
        <f>IF(I913="","",B$12&amp;"-"&amp;B$13)</f>
        <v/>
      </c>
      <c r="M913" s="52" t="str">
        <f t="shared" si="345"/>
        <v/>
      </c>
    </row>
    <row r="914" spans="1:13" ht="5.15" customHeight="1" x14ac:dyDescent="0.35">
      <c r="A914" s="47"/>
      <c r="B914" s="47"/>
      <c r="C914" s="53"/>
      <c r="D914" s="53"/>
      <c r="E914" s="54"/>
      <c r="F914" s="55"/>
      <c r="G914" s="72"/>
      <c r="H914" s="73"/>
      <c r="I914" s="47"/>
      <c r="J914" s="57"/>
      <c r="K914" s="57"/>
      <c r="L914" s="55"/>
      <c r="M914" s="57"/>
    </row>
    <row r="915" spans="1:13" x14ac:dyDescent="0.35">
      <c r="A915" s="48"/>
      <c r="B915" s="48"/>
      <c r="C915" s="50"/>
      <c r="D915" s="50"/>
      <c r="E915" s="51" t="str">
        <f>IF(N(C915)=0,"",(A915-A914)*C915*100)</f>
        <v/>
      </c>
      <c r="F915" s="68" t="str">
        <f t="shared" ref="F915:F926" si="346">IF(N(E915)=0,"",(N(E915)+N(F914)))</f>
        <v/>
      </c>
      <c r="G915" s="69" t="str">
        <f>IF(OR(N(D915)=0,N(E915)=0),"",(E915*D915)/1000)</f>
        <v/>
      </c>
      <c r="H915" s="70" t="str">
        <f t="shared" ref="H915:H926" si="347">IF(N(G915)=0,"",(N(G915)+N(H914)))</f>
        <v/>
      </c>
      <c r="I915" s="27" t="str">
        <f>IF(N(J915)=0,"",0&amp;"-"&amp;B$2)</f>
        <v/>
      </c>
      <c r="J915" s="52" t="str">
        <f>IF(N(B$2)=0,"",IF(AND(COUNT(H915:H926)=2,COUNT(F915:F926)=2),cubic_spline(F914:F916,H914:H916,B$2),IF(AND(COUNT(H915:H926)=3,COUNT(F915:F926)=3),cubic_spline(F914:F917,H914:H917,B$2),IF(AND(COUNT(H915:H926)=4,COUNT(F915:F926)=4),cubic_spline(F914:F918,H914:H918,B$2),IF(AND(COUNT(H915:H926)=5,COUNT(F915:F926)=5),cubic_spline(F914:F919,H914:H919,B$2),IF(AND(COUNT(H915:H926)=6,COUNT(F915:F926)=6),cubic_spline(F914:F920,H914:H920,B$2),IF(AND(COUNT(H915:H926)=7,COUNT(F915:F926)=7),cubic_spline(F914:F921,H914:H921,B$2),IF(AND(COUNT(H915:H926)=8,COUNT(F915:F926)=8),cubic_spline(F914:F922,H914:H922,B$2),IF(AND(COUNT(H915:H926)=9,COUNT(F915:F926)=9),cubic_spline(F914:F923,H914:H923,B$2),IF(AND(COUNT(H915:H926)=10,COUNT(F915:F926)=10),cubic_spline(F914:F924,H914:H924,B$2),IF(AND(COUNT(H915:H926)=11,COUNT(F915:F926)=11),cubic_spline(F914:F925,H914:H925,B$2),IF(AND(COUNT(H915:H926)=12,COUNT(F915:F926)=12),cubic_spline(F914:F926,H914:H926,B$2),""))))))))))))</f>
        <v/>
      </c>
      <c r="K915" s="52" t="str">
        <f>IF(N(B$2)=0,"",IF(AND(COUNT(A915:A926)=2,COUNT(F915:F926)=2),cubic_spline(F914:F916,A914:A916,B$2),IF(AND(COUNT(A915:A926)=3,COUNT(F915:F926)=3),cubic_spline(F914:F917,A914:A917,B$2),IF(AND(COUNT(A915:A926)=4,COUNT(F915:F926)=4),cubic_spline(F914:F918,A914:A918,B$2),IF(AND(COUNT(A915:A926)=5,COUNT(F915:F926)=5),cubic_spline(F914:F919,A914:A919,B$2),IF(AND(COUNT(A915:A926)=6,COUNT(F915:F926)=6),cubic_spline(F914:F920,A914:A920,B$2),IF(AND(COUNT(A915:A926)=7,COUNT(F915:F926)=7),cubic_spline(F914:F921,A914:A921,B$2),IF(AND(COUNT(A915:A926)=8,COUNT(F915:F926)=8),cubic_spline(F914:F922,A914:A922,B$2),IF(AND(COUNT(A915:A926)=9,COUNT(F915:F926)=9),cubic_spline(F914:F923,A914:A923,B$2),IF(AND(COUNT(A915:A926)=10,COUNT(F915:F926)=10),cubic_spline(F914:F924,A914:A924,B$2),IF(AND(COUNT(A915:A926)=11,COUNT(F915:F926)=11),cubic_spline(F914:F925,A914:A925,B$2),IF(AND(COUNT(A915:A926)=12,COUNT(F915:F926)=12),cubic_spline(F914:F926,A914:A926,B$2),""))))))))))))</f>
        <v/>
      </c>
      <c r="L915" s="27" t="str">
        <f>IF(I915="","",0&amp;"-"&amp;B$2)</f>
        <v/>
      </c>
      <c r="M915" s="52" t="str">
        <f>IF(N(J915)=0,"",J915-J914)</f>
        <v/>
      </c>
    </row>
    <row r="916" spans="1:13" x14ac:dyDescent="0.35">
      <c r="A916" s="48"/>
      <c r="B916" s="48"/>
      <c r="C916" s="50"/>
      <c r="D916" s="50"/>
      <c r="E916" s="51" t="str">
        <f t="shared" ref="E916:E926" si="348">IF(N(C916)=0,"",(A916-A915)*C916*100)</f>
        <v/>
      </c>
      <c r="F916" s="68" t="str">
        <f t="shared" si="346"/>
        <v/>
      </c>
      <c r="G916" s="69" t="str">
        <f t="shared" ref="G916:G926" si="349">IF(OR(N(D916)=0,N(E916)=0),"",(E916*D916)/1000)</f>
        <v/>
      </c>
      <c r="H916" s="70" t="str">
        <f t="shared" si="347"/>
        <v/>
      </c>
      <c r="I916" s="27" t="str">
        <f>IF(N(J916)=0,"",0&amp;"-"&amp;B$3)</f>
        <v/>
      </c>
      <c r="J916" s="52" t="str">
        <f>IF(N(B$3)=0,"",IF(AND(COUNT(H915:H926)=2,COUNT(F915:F926)=2),cubic_spline(F914:F916,H914:H916,B$3),IF(AND(COUNT(H915:H926)=3,COUNT(F915:F926)=3),cubic_spline(F914:F917,H914:H917,B$3),IF(AND(COUNT(H915:H926)=4,COUNT(F915:F926)=4),cubic_spline(F914:F918,H914:H918,B$3),IF(AND(COUNT(H915:H926)=5,COUNT(F915:F926)=5),cubic_spline(F914:F919,H914:H919,B$3),IF(AND(COUNT(H915:H926)=6,COUNT(F915:F926)=6),cubic_spline(F914:F920,H914:H920,B$3),IF(AND(COUNT(H915:H926)=7,COUNT(F915:F926)=7),cubic_spline(F914:F921,H914:H921,B$3),IF(AND(COUNT(H915:H926)=8,COUNT(F915:F926)=8),cubic_spline(F914:F922,H914:H922,B$3),IF(AND(COUNT(H915:H926)=9,COUNT(F915:F926)=9),cubic_spline(F914:F923,H914:H923,B$3),IF(AND(COUNT(H915:H926)=10,COUNT(F915:F926)=10),cubic_spline(F914:F924,H914:H924,B$3),IF(AND(COUNT(H915:H926)=11,COUNT(F915:F926)=11),cubic_spline(F914:F925,H914:H925,B$3),IF(AND(COUNT(H915:H926)=12,COUNT(F915:F926)=12),cubic_spline(F914:F926,H914:H926,B$3),""))))))))))))</f>
        <v/>
      </c>
      <c r="K916" s="52" t="str">
        <f>IF(N(B$3)=0,"",IF(AND(COUNT(A915:A926)=2,COUNT(F915:F926)=2),cubic_spline(F914:F916,A914:A916,B$3),IF(AND(COUNT(A915:A926)=3,COUNT(F915:F926)=3),cubic_spline(F914:F917,A914:A917,B$3),IF(AND(COUNT(A915:A926)=4,COUNT(F915:F926)=4),cubic_spline(F914:F918,A914:A918,B$3),IF(AND(COUNT(A915:A926)=5,COUNT(F915:F926)=5),cubic_spline(F914:F919,A914:A919,B$3),IF(AND(COUNT(A915:A926)=6,COUNT(F915:F926)=6),cubic_spline(F914:F920,A914:A920,B$3),IF(AND(COUNT(A915:A926)=7,COUNT(F915:F926)=7),cubic_spline(F914:F921,A914:A921,B$3),IF(AND(COUNT(A915:A926)=8,COUNT(F915:F926)=8),cubic_spline(F914:F922,A914:A922,B$3),IF(AND(COUNT(A915:A926)=9,COUNT(F915:F926)=9),cubic_spline(F914:F923,A914:A923,B$3),IF(AND(COUNT(A915:A926)=10,COUNT(F915:F926)=10),cubic_spline(F914:F924,A914:A924,B$3),IF(AND(COUNT(A915:A926)=11,COUNT(F915:F926)=11),cubic_spline(F914:F925,A914:A925,B$3),IF(AND(COUNT(A915:A926)=12,COUNT(F915:F926)=12),cubic_spline(F914:F926,A914:A926,B$3),""))))))))))))</f>
        <v/>
      </c>
      <c r="L916" s="27" t="str">
        <f>IF(I916="","",B$2&amp;"-"&amp;B$3)</f>
        <v/>
      </c>
      <c r="M916" s="52" t="str">
        <f>IF(N(J916)=0,"",J916-J915)</f>
        <v/>
      </c>
    </row>
    <row r="917" spans="1:13" x14ac:dyDescent="0.35">
      <c r="A917" s="48"/>
      <c r="B917" s="48"/>
      <c r="C917" s="50"/>
      <c r="D917" s="50"/>
      <c r="E917" s="51" t="str">
        <f t="shared" si="348"/>
        <v/>
      </c>
      <c r="F917" s="68" t="str">
        <f t="shared" si="346"/>
        <v/>
      </c>
      <c r="G917" s="69" t="str">
        <f t="shared" si="349"/>
        <v/>
      </c>
      <c r="H917" s="70" t="str">
        <f t="shared" si="347"/>
        <v/>
      </c>
      <c r="I917" s="27" t="str">
        <f>IF(N(J917)=0,"",0&amp;"-"&amp;B$4)</f>
        <v/>
      </c>
      <c r="J917" s="52" t="str">
        <f>IF(N(B$4)=0,"",IF(AND(COUNT(H915:H926)=2,COUNT(F915:F926)=2),cubic_spline(F914:F916,H914:H916,B$4),IF(AND(COUNT(H915:H926)=3,COUNT(F915:F926)=3),cubic_spline(F914:F917,H914:H917,B$4),IF(AND(COUNT(H915:H926)=4,COUNT(F915:F926)=4),cubic_spline(F914:F918,H914:H918,B$4),IF(AND(COUNT(H915:H926)=5,COUNT(F915:F926)=5),cubic_spline(F914:F919,H914:H919,B$4),IF(AND(COUNT(H915:H926)=6,COUNT(F915:F926)=6),cubic_spline(F914:F920,H914:H920,B$4),IF(AND(COUNT(H915:H926)=7,COUNT(F915:F926)=7),cubic_spline(F914:F921,H914:H921,B$4),IF(AND(COUNT(H915:H926)=8,COUNT(F915:F926)=8),cubic_spline(F914:F922,H914:H922,B$4),IF(AND(COUNT(H915:H926)=9,COUNT(F915:F926)=9),cubic_spline(F914:F923,H914:H923,B$4),IF(AND(COUNT(H915:H926)=10,COUNT(F915:F926)=10),cubic_spline(F914:F924,H914:H924,B$4),IF(AND(COUNT(H915:H926)=11,COUNT(F915:F926)=11),cubic_spline(F914:F925,H914:H925,B$4),IF(AND(COUNT(H915:H926)=12,COUNT(F915:F926)=12),cubic_spline(F914:F926,H914:H926,B$4),""))))))))))))</f>
        <v/>
      </c>
      <c r="K917" s="52" t="str">
        <f>IF(N(B$4)=0,"",IF(AND(COUNT(A915:A926)=2,COUNT(F915:F926)=2),cubic_spline(F914:F916,A914:A916,B$4),IF(AND(COUNT(A915:A926)=3,COUNT(F915:F926)=3),cubic_spline(F914:F917,A914:A917,B$4),IF(AND(COUNT(A915:A926)=4,COUNT(F915:F926)=4),cubic_spline(F914:F918,A914:A918,B$4),IF(AND(COUNT(A915:A926)=5,COUNT(F915:F926)=5),cubic_spline(F914:F919,A914:A919,B$4),IF(AND(COUNT(A915:A926)=6,COUNT(F915:F926)=6),cubic_spline(F914:F920,A914:A920,B$4),IF(AND(COUNT(A915:A926)=7,COUNT(F915:F926)=7),cubic_spline(F914:F921,A914:A921,B$4),IF(AND(COUNT(A915:A926)=8,COUNT(F915:F926)=8),cubic_spline(F914:F922,A914:A922,B$4),IF(AND(COUNT(A915:A926)=9,COUNT(F915:F926)=9),cubic_spline(F914:F923,A914:A923,B$4),IF(AND(COUNT(A915:A926)=10,COUNT(F915:F926)=10),cubic_spline(F914:F924,A914:A924,B$4),IF(AND(COUNT(A915:A926)=11,COUNT(F915:F926)=11),cubic_spline(F914:F925,A914:A925,B$4),IF(AND(COUNT(A915:A926)=12,COUNT(F915:F926)=12),cubic_spline(F914:F926,A914:A926,B$4),""))))))))))))</f>
        <v/>
      </c>
      <c r="L917" s="27" t="str">
        <f>IF(I917="","",B$3&amp;"-"&amp;B$4)</f>
        <v/>
      </c>
      <c r="M917" s="52" t="str">
        <f>IF(N(J917)=0,"",J917-J916)</f>
        <v/>
      </c>
    </row>
    <row r="918" spans="1:13" x14ac:dyDescent="0.35">
      <c r="A918" s="48"/>
      <c r="B918" s="48"/>
      <c r="C918" s="50"/>
      <c r="D918" s="50"/>
      <c r="E918" s="51" t="str">
        <f t="shared" si="348"/>
        <v/>
      </c>
      <c r="F918" s="68" t="str">
        <f t="shared" si="346"/>
        <v/>
      </c>
      <c r="G918" s="69" t="str">
        <f t="shared" si="349"/>
        <v/>
      </c>
      <c r="H918" s="70" t="str">
        <f t="shared" si="347"/>
        <v/>
      </c>
      <c r="I918" s="27" t="str">
        <f>IF(N(J918)=0,"",0&amp;"-"&amp;B$5)</f>
        <v/>
      </c>
      <c r="J918" s="52" t="str">
        <f>IF(N(B$5)=0,"",IF(AND(COUNT(H915:H926)=2,COUNT(F915:F926)=2),cubic_spline(F914:F916,H914:H916,B$5),IF(AND(COUNT(H915:H926)=3,COUNT(F915:F926)=3),cubic_spline(F914:F917,H914:H917,B$5),IF(AND(COUNT(H915:H926)=4,COUNT(F915:F926)=4),cubic_spline(F914:F918,H914:H918,B$5),IF(AND(COUNT(H915:H926)=5,COUNT(F915:F926)=5),cubic_spline(F914:F919,H914:H919,B$5),IF(AND(COUNT(H915:H926)=6,COUNT(F915:F926)=6),cubic_spline(F914:F920,H914:H920,B$5),IF(AND(COUNT(H915:H926)=7,COUNT(F915:F926)=7),cubic_spline(F914:F921,H914:H921,B$5),IF(AND(COUNT(H915:H926)=8,COUNT(F915:F926)=8),cubic_spline(F914:F922,H914:H922,B$5),IF(AND(COUNT(H915:H926)=9,COUNT(F915:F926)=9),cubic_spline(F914:F923,H914:H923,B$5),IF(AND(COUNT(H915:H926)=10,COUNT(F915:F926)=10),cubic_spline(F914:F924,H914:H924,B$5),IF(AND(COUNT(H915:H926)=11,COUNT(F915:F926)=11),cubic_spline(F914:F925,H914:H925,B$5),IF(AND(COUNT(H915:H926)=12,COUNT(F915:F926)=12),cubic_spline(F914:F926,H914:H926,B$5),""))))))))))))</f>
        <v/>
      </c>
      <c r="K918" s="52" t="str">
        <f>IF(N(B$5)=0,"",IF(AND(COUNT(A915:A926)=2,COUNT(F915:F926)=2),cubic_spline(F914:F916,A914:A916,B$5),IF(AND(COUNT(A915:A926)=3,COUNT(F915:F926)=3),cubic_spline(F914:F917,A914:A917,B$5),IF(AND(COUNT(A915:A926)=4,COUNT(F915:F926)=4),cubic_spline(F914:F918,A914:A918,B$5),IF(AND(COUNT(A915:A926)=5,COUNT(F915:F926)=5),cubic_spline(F914:F919,A914:A919,B$5),IF(AND(COUNT(A915:A926)=6,COUNT(F915:F926)=6),cubic_spline(F914:F920,A914:A920,B$5),IF(AND(COUNT(A915:A926)=7,COUNT(F915:F926)=7),cubic_spline(F914:F921,A914:A921,B$5),IF(AND(COUNT(A915:A926)=8,COUNT(F915:F926)=8),cubic_spline(F914:F922,A914:A922,B$5),IF(AND(COUNT(A915:A926)=9,COUNT(F915:F926)=9),cubic_spline(F914:F923,A914:A923,B$5),IF(AND(COUNT(A915:A926)=10,COUNT(F915:F926)=10),cubic_spline(F914:F924,A914:A924,B$5),IF(AND(COUNT(A915:A926)=11,COUNT(F915:F926)=11),cubic_spline(F914:F925,A914:A925,B$5),IF(AND(COUNT(A915:A926)=12,COUNT(F915:F926)=12),cubic_spline(F914:F926,A914:A926,B$5),""))))))))))))</f>
        <v/>
      </c>
      <c r="L918" s="27" t="str">
        <f>IF(I918="","",B$4&amp;"-"&amp;B$5)</f>
        <v/>
      </c>
      <c r="M918" s="52" t="str">
        <f>IF(N(J918)=0,"",J918-J917)</f>
        <v/>
      </c>
    </row>
    <row r="919" spans="1:13" x14ac:dyDescent="0.35">
      <c r="A919" s="48"/>
      <c r="B919" s="48"/>
      <c r="C919" s="50"/>
      <c r="D919" s="50"/>
      <c r="E919" s="51" t="str">
        <f t="shared" si="348"/>
        <v/>
      </c>
      <c r="F919" s="71" t="str">
        <f t="shared" si="346"/>
        <v/>
      </c>
      <c r="G919" s="69" t="str">
        <f t="shared" si="349"/>
        <v/>
      </c>
      <c r="H919" s="70" t="str">
        <f t="shared" si="347"/>
        <v/>
      </c>
      <c r="I919" s="27" t="str">
        <f>IF(N(J919)=0,"",0&amp;"-"&amp;B$6)</f>
        <v/>
      </c>
      <c r="J919" s="52" t="str">
        <f>IF(N(B$6)=0,"",IF(AND(COUNT(H915:H926)=2,COUNT(F915:F926)=2),cubic_spline(F914:F916,H914:H916,B$6),IF(AND(COUNT(H915:H926)=3,COUNT(F915:F926)=3),cubic_spline(F914:F917,H914:H917,B$6),IF(AND(COUNT(H915:H926)=4,COUNT(F915:F926)=4),cubic_spline(F914:F918,H914:H918,B$6),IF(AND(COUNT(H915:H926)=5,COUNT(F915:F926)=5),cubic_spline(F914:F919,H914:H919,B$6),IF(AND(COUNT(H915:H926)=6,COUNT(F915:F926)=6),cubic_spline(F914:F920,H914:H920,B$6),IF(AND(COUNT(H915:H926)=7,COUNT(F915:F926)=7),cubic_spline(F914:F921,H914:H921,B$6),IF(AND(COUNT(H915:H926)=8,COUNT(F915:F926)=8),cubic_spline(F914:F922,H914:H922,B$6),IF(AND(COUNT(H915:H926)=9,COUNT(F915:F926)=9),cubic_spline(F914:F923,H914:H923,B$6),IF(AND(COUNT(H915:H926)=10,COUNT(F915:F926)=10),cubic_spline(F914:F924,H914:H924,B$6),IF(AND(COUNT(H915:H926)=11,COUNT(F915:F926)=11),cubic_spline(F914:F925,H914:H925,B$6),IF(AND(COUNT(H915:H926)=12,COUNT(F915:F926)=12),cubic_spline(F914:F926,H914:H926,B$6),""))))))))))))</f>
        <v/>
      </c>
      <c r="K919" s="52" t="str">
        <f>IF(N(B$6)=0,"",IF(AND(COUNT(A915:A926)=2,COUNT(F915:F926)=2),cubic_spline(F914:F916,A914:A916,B$6),IF(AND(COUNT(A915:A926)=3,COUNT(F915:F926)=3),cubic_spline(F914:F917,A914:A917,B$6),IF(AND(COUNT(A915:A926)=4,COUNT(F915:F926)=4),cubic_spline(F914:F918,A914:A918,B$6),IF(AND(COUNT(A915:A926)=5,COUNT(F915:F926)=5),cubic_spline(F914:F919,A914:A919,B$6),IF(AND(COUNT(A915:A926)=6,COUNT(F915:F926)=6),cubic_spline(F914:F920,A914:A920,B$6),IF(AND(COUNT(A915:A926)=7,COUNT(F915:F926)=7),cubic_spline(F914:F921,A914:A921,B$6),IF(AND(COUNT(A915:A926)=8,COUNT(F915:F926)=8),cubic_spline(F914:F922,A914:A922,B$6),IF(AND(COUNT(A915:A926)=9,COUNT(F915:F926)=9),cubic_spline(F914:F923,A914:A923,B$6),IF(AND(COUNT(A915:A926)=10,COUNT(F915:F926)=10),cubic_spline(F914:F924,A914:A924,B$6),IF(AND(COUNT(A915:A926)=11,COUNT(F915:F926)=11),cubic_spline(F914:F925,A914:A925,B$6),IF(AND(COUNT(A915:A926)=12,COUNT(F915:F926)=12),cubic_spline(F914:F926,A914:A926,B$6),""))))))))))))</f>
        <v/>
      </c>
      <c r="L919" s="27" t="str">
        <f>IF(I919="","",B$5&amp;"-"&amp;B$6)</f>
        <v/>
      </c>
      <c r="M919" s="52" t="str">
        <f>IF(N(J919)=0,"",J919-J918)</f>
        <v/>
      </c>
    </row>
    <row r="920" spans="1:13" x14ac:dyDescent="0.35">
      <c r="A920" s="48"/>
      <c r="B920" s="48"/>
      <c r="C920" s="50"/>
      <c r="D920" s="50"/>
      <c r="E920" s="51" t="str">
        <f t="shared" si="348"/>
        <v/>
      </c>
      <c r="F920" s="71" t="str">
        <f t="shared" si="346"/>
        <v/>
      </c>
      <c r="G920" s="69" t="str">
        <f t="shared" si="349"/>
        <v/>
      </c>
      <c r="H920" s="70" t="str">
        <f t="shared" si="347"/>
        <v/>
      </c>
      <c r="I920" s="27" t="str">
        <f>IF(N(J920)=0,"",0&amp;"-"&amp;B$7)</f>
        <v/>
      </c>
      <c r="J920" s="52" t="str">
        <f>IF(N(B$7)=0,"",IF(AND(COUNT(H915:H926)=2,COUNT(F915:F926)=2),cubic_spline(F914:F916,H914:H916,B$7),IF(AND(COUNT(H915:H926)=3,COUNT(F915:F926)=3),cubic_spline(F914:F917,H914:H917,B$7),IF(AND(COUNT(H915:H926)=4,COUNT(F915:F926)=4),cubic_spline(F914:F918,H914:H918,B$7),IF(AND(COUNT(H915:H926)=5,COUNT(F915:F926)=5),cubic_spline(F914:F919,H914:H919,B$7),IF(AND(COUNT(H915:H926)=6,COUNT(F915:F926)=6),cubic_spline(F914:F920,H914:H920,B$7),IF(AND(COUNT(H915:H926)=7,COUNT(F915:F926)=7),cubic_spline(F914:F921,H914:H921,B$7),IF(AND(COUNT(H915:H926)=8,COUNT(F915:F926)=8),cubic_spline(F914:F922,H914:H922,B$7),IF(AND(COUNT(H915:H926)=9,COUNT(F915:F926)=9),cubic_spline(F914:F923,H914:H923,B$7),IF(AND(COUNT(H915:H926)=10,COUNT(F915:F926)=10),cubic_spline(F914:F924,H914:H924,B$7),IF(AND(COUNT(H915:H926)=11,COUNT(F915:F926)=11),cubic_spline(F914:F925,H914:H925,B$7),IF(AND(COUNT(H915:H926)=12,COUNT(F915:F926)=12),cubic_spline(F914:F926,H914:H926,B$7),""))))))))))))</f>
        <v/>
      </c>
      <c r="K920" s="52" t="str">
        <f>IF(N(B$7)=0,"",IF(AND(COUNT(A915:A926)=2,COUNT(F915:F926)=2),cubic_spline(F914:F916,A914:A916,B$7),IF(AND(COUNT(A915:A926)=3,COUNT(F915:F926)=3),cubic_spline(F914:F917,A914:A917,B$7),IF(AND(COUNT(A915:A926)=4,COUNT(F915:F926)=4),cubic_spline(F914:F918,A914:A918,B$7),IF(AND(COUNT(A915:A926)=5,COUNT(F915:F926)=5),cubic_spline(F914:F919,A914:A919,B$7),IF(AND(COUNT(A915:A926)=6,COUNT(F915:F926)=6),cubic_spline(F914:F920,A914:A920,B$7),IF(AND(COUNT(A915:A926)=7,COUNT(F915:F926)=7),cubic_spline(F914:F921,A914:A921,B$7),IF(AND(COUNT(A915:A926)=8,COUNT(F915:F926)=8),cubic_spline(F914:F922,A914:A922,B$7),IF(AND(COUNT(A915:A926)=9,COUNT(F915:F926)=9),cubic_spline(F914:F923,A914:A923,B$7),IF(AND(COUNT(A915:A926)=10,COUNT(F915:F926)=10),cubic_spline(F914:F924,A914:A924,B$7),IF(AND(COUNT(A915:A926)=11,COUNT(F915:F926)=11),cubic_spline(F914:F925,A914:A925,B$7),IF(AND(COUNT(A915:A926)=12,COUNT(F915:F926)=12),cubic_spline(F914:F926,A914:A926,B$7),""))))))))))))</f>
        <v/>
      </c>
      <c r="L920" s="27" t="str">
        <f>IF(I920="","",B$6&amp;"-"&amp;B$7)</f>
        <v/>
      </c>
      <c r="M920" s="52" t="str">
        <f t="shared" ref="M920:M926" si="350">IF(N(J920)=0,"",J920-J919)</f>
        <v/>
      </c>
    </row>
    <row r="921" spans="1:13" x14ac:dyDescent="0.35">
      <c r="A921" s="48"/>
      <c r="B921" s="48"/>
      <c r="C921" s="50"/>
      <c r="D921" s="50"/>
      <c r="E921" s="51" t="str">
        <f t="shared" si="348"/>
        <v/>
      </c>
      <c r="F921" s="71" t="str">
        <f t="shared" si="346"/>
        <v/>
      </c>
      <c r="G921" s="69" t="str">
        <f t="shared" si="349"/>
        <v/>
      </c>
      <c r="H921" s="70" t="str">
        <f t="shared" si="347"/>
        <v/>
      </c>
      <c r="I921" s="27" t="str">
        <f>IF(N(J921)=0,"",0&amp;"-"&amp;B$8)</f>
        <v/>
      </c>
      <c r="J921" s="52" t="str">
        <f>IF(N(B$8)=0,"",IF(AND(COUNT(H915:H926)=2,COUNT(F915:F926)=2),cubic_spline(F914:F916,H914:H916,B$8),IF(AND(COUNT(H915:H926)=3,COUNT(F915:F926)=3),cubic_spline(F914:F917,H914:H917,B$8),IF(AND(COUNT(H915:H926)=4,COUNT(F915:F926)=4),cubic_spline(F914:F918,H914:H918,B$8),IF(AND(COUNT(H915:H926)=5,COUNT(F915:F926)=5),cubic_spline(F914:F919,H914:H919,B$8),IF(AND(COUNT(H915:H926)=6,COUNT(F915:F926)=6),cubic_spline(F914:F920,H914:H920,B$8),IF(AND(COUNT(H915:H926)=7,COUNT(F915:F926)=7),cubic_spline(F914:F921,H914:H921,B$8),IF(AND(COUNT(H915:H926)=8,COUNT(F915:F926)=8),cubic_spline(F914:F922,H914:H922,B$8),IF(AND(COUNT(H915:H926)=9,COUNT(F915:F926)=9),cubic_spline(F914:F923,H914:H923,B$8),IF(AND(COUNT(H915:H926)=10,COUNT(F915:F926)=10),cubic_spline(F914:F924,H914:H924,B$8),IF(AND(COUNT(H915:H926)=11,COUNT(F915:F926)=11),cubic_spline(F914:F925,H914:H925,B$8),IF(AND(COUNT(H915:H926)=12,COUNT(F915:F926)=12),cubic_spline(F914:F926,H914:H926,B$8),""))))))))))))</f>
        <v/>
      </c>
      <c r="K921" s="52" t="str">
        <f>IF(N(B$8)=0,"",IF(AND(COUNT(A915:A926)=2,COUNT(F915:F926)=2),cubic_spline(F914:F916,A914:A916,B$8),IF(AND(COUNT(A915:A926)=3,COUNT(F915:F926)=3),cubic_spline(F914:F917,A914:A917,B$8),IF(AND(COUNT(A915:A926)=4,COUNT(F915:F926)=4),cubic_spline(F914:F918,A914:A918,B$8),IF(AND(COUNT(A915:A926)=5,COUNT(F915:F926)=5),cubic_spline(F914:F919,A914:A919,B$8),IF(AND(COUNT(A915:A926)=6,COUNT(F915:F926)=6),cubic_spline(F914:F920,A914:A920,B$8),IF(AND(COUNT(A915:A926)=7,COUNT(F915:F926)=7),cubic_spline(F914:F921,A914:A921,B$8),IF(AND(COUNT(A915:A926)=8,COUNT(F915:F926)=8),cubic_spline(F914:F922,A914:A922,B$8),IF(AND(COUNT(A915:A926)=9,COUNT(F915:F926)=9),cubic_spline(F914:F923,A914:A923,B$8),IF(AND(COUNT(A915:A926)=10,COUNT(F915:F926)=10),cubic_spline(F914:F924,A914:A924,B$8),IF(AND(COUNT(A915:A926)=11,COUNT(F915:F926)=11),cubic_spline(F914:F925,A914:A925,B$8),IF(AND(COUNT(A915:A926)=12,COUNT(F915:F926)=12),cubic_spline(F914:F926,A914:A926,B$8),""))))))))))))</f>
        <v/>
      </c>
      <c r="L921" s="27" t="str">
        <f>IF(I921="","",B$7&amp;"-"&amp;B$8)</f>
        <v/>
      </c>
      <c r="M921" s="52" t="str">
        <f t="shared" si="350"/>
        <v/>
      </c>
    </row>
    <row r="922" spans="1:13" x14ac:dyDescent="0.35">
      <c r="A922" s="48"/>
      <c r="B922" s="48"/>
      <c r="C922" s="50"/>
      <c r="D922" s="50"/>
      <c r="E922" s="51" t="str">
        <f t="shared" si="348"/>
        <v/>
      </c>
      <c r="F922" s="71" t="str">
        <f t="shared" si="346"/>
        <v/>
      </c>
      <c r="G922" s="69" t="str">
        <f t="shared" si="349"/>
        <v/>
      </c>
      <c r="H922" s="70" t="str">
        <f t="shared" si="347"/>
        <v/>
      </c>
      <c r="I922" s="27" t="str">
        <f>IF(N(J922)=0,"",0&amp;"-"&amp;B$9)</f>
        <v/>
      </c>
      <c r="J922" s="52" t="str">
        <f>IF(N(B$9)=0,"",IF(AND(COUNT(H915:H926)=2,COUNT(F915:F926)=2),cubic_spline(F914:F916,H914:H916,B$9),IF(AND(COUNT(H915:H926)=3,COUNT(F915:F926)=3),cubic_spline(F914:F917,H914:H917,B$9),IF(AND(COUNT(H915:H926)=4,COUNT(F915:F926)=4),cubic_spline(F914:F918,H914:H918,B$9),IF(AND(COUNT(H915:H926)=5,COUNT(F915:F926)=5),cubic_spline(F914:F919,H914:H919,B$9),IF(AND(COUNT(H915:H926)=6,COUNT(F915:F926)=6),cubic_spline(F914:F920,H914:H920,B$9),IF(AND(COUNT(H915:H926)=7,COUNT(F915:F926)=7),cubic_spline(F914:F921,H914:H921,B$9),IF(AND(COUNT(H915:H926)=8,COUNT(F915:F926)=8),cubic_spline(F914:F922,H914:H922,B$9),IF(AND(COUNT(H915:H926)=9,COUNT(F915:F926)=9),cubic_spline(F914:F923,H914:H923,B$9),IF(AND(COUNT(H915:H926)=10,COUNT(F915:F926)=10),cubic_spline(F914:F924,H914:H924,B$9),IF(AND(COUNT(H915:H926)=11,COUNT(F915:F926)=11),cubic_spline(F914:F925,H914:H925,B$9),IF(AND(COUNT(H915:H926)=12,COUNT(F915:F926)=12),cubic_spline(F914:F926,H914:H926,B$9),""))))))))))))</f>
        <v/>
      </c>
      <c r="K922" s="52" t="str">
        <f>IF(N(B$9)=0,"",IF(AND(COUNT(A915:A926)=2,COUNT(F915:F926)=2),cubic_spline(F914:F916,A914:A916,B$9),IF(AND(COUNT(A915:A926)=3,COUNT(F915:F926)=3),cubic_spline(F914:F917,A914:A917,B$9),IF(AND(COUNT(A915:A926)=4,COUNT(F915:F926)=4),cubic_spline(F914:F918,A914:A918,B$9),IF(AND(COUNT(A915:A926)=5,COUNT(F915:F926)=5),cubic_spline(F914:F919,A914:A919,B$9),IF(AND(COUNT(A915:A926)=6,COUNT(F915:F926)=6),cubic_spline(F914:F920,A914:A920,B$9),IF(AND(COUNT(A915:A926)=7,COUNT(F915:F926)=7),cubic_spline(F914:F921,A914:A921,B$9),IF(AND(COUNT(A915:A926)=8,COUNT(F915:F926)=8),cubic_spline(F914:F922,A914:A922,B$9),IF(AND(COUNT(A915:A926)=9,COUNT(F915:F926)=9),cubic_spline(F914:F923,A914:A923,B$9),IF(AND(COUNT(A915:A926)=10,COUNT(F915:F926)=10),cubic_spline(F914:F924,A914:A924,B$9),IF(AND(COUNT(A915:A926)=11,COUNT(F915:F926)=11),cubic_spline(F914:F925,A914:A925,B$9),IF(AND(COUNT(A915:A926)=12,COUNT(F915:F926)=12),cubic_spline(F914:F926,A914:A926,B$9),""))))))))))))</f>
        <v/>
      </c>
      <c r="L922" s="27" t="str">
        <f>IF(I922="","",B$8&amp;"-"&amp;B$9)</f>
        <v/>
      </c>
      <c r="M922" s="52" t="str">
        <f t="shared" si="350"/>
        <v/>
      </c>
    </row>
    <row r="923" spans="1:13" x14ac:dyDescent="0.35">
      <c r="A923" s="48"/>
      <c r="B923" s="48"/>
      <c r="C923" s="50"/>
      <c r="D923" s="50"/>
      <c r="E923" s="51" t="str">
        <f t="shared" si="348"/>
        <v/>
      </c>
      <c r="F923" s="71" t="str">
        <f t="shared" si="346"/>
        <v/>
      </c>
      <c r="G923" s="69" t="str">
        <f t="shared" si="349"/>
        <v/>
      </c>
      <c r="H923" s="70" t="str">
        <f t="shared" si="347"/>
        <v/>
      </c>
      <c r="I923" s="27" t="str">
        <f>IF(N(J923)=0,"",0&amp;"-"&amp;B$10)</f>
        <v/>
      </c>
      <c r="J923" s="52" t="str">
        <f>IF(N(B$10)=0,"",IF(AND(COUNT(H915:H926)=2,COUNT(F915:F926)=2),cubic_spline(F914:F916,H914:H916,B$10),IF(AND(COUNT(H915:H926)=3,COUNT(F915:F926)=3),cubic_spline(F914:F917,H914:H917,B$10),IF(AND(COUNT(H915:H926)=4,COUNT(F915:F926)=4),cubic_spline(F914:F918,H914:H918,B$10),IF(AND(COUNT(H915:H926)=5,COUNT(F915:F926)=5),cubic_spline(F914:F919,H914:H919,B$10),IF(AND(COUNT(H915:H926)=6,COUNT(F915:F926)=6),cubic_spline(F914:F920,H914:H920,B$10),IF(AND(COUNT(H915:H926)=7,COUNT(F915:F926)=7),cubic_spline(F914:F921,H914:H921,B$10),IF(AND(COUNT(H915:H926)=8,COUNT(F915:F926)=8),cubic_spline(F914:F922,H914:H922,B$10),IF(AND(COUNT(H915:H926)=9,COUNT(F915:F926)=9),cubic_spline(F914:F923,H914:H923,B$10),IF(AND(COUNT(H915:H926)=10,COUNT(F915:F926)=10),cubic_spline(F914:F924,H914:H924,B$10),IF(AND(COUNT(H915:H926)=11,COUNT(F915:F926)=11),cubic_spline(F914:F925,H914:H925,B$10),IF(AND(COUNT(H915:H926)=12,COUNT(F915:F926)=12),cubic_spline(F914:F926,H914:H926,B$10),""))))))))))))</f>
        <v/>
      </c>
      <c r="K923" s="52" t="str">
        <f>IF(N(B$10)=0,"",IF(AND(COUNT(A915:A926)=2,COUNT(F915:F926)=2),cubic_spline(F914:F916,A914:A916,B$10),IF(AND(COUNT(A915:A926)=3,COUNT(F915:F926)=3),cubic_spline(F914:F917,A914:A917,B$10),IF(AND(COUNT(A915:A926)=4,COUNT(F915:F926)=4),cubic_spline(F914:F918,A914:A918,B$10),IF(AND(COUNT(A915:A926)=5,COUNT(F915:F926)=5),cubic_spline(F914:F919,A914:A919,B$10),IF(AND(COUNT(A915:A926)=6,COUNT(F915:F926)=6),cubic_spline(F914:F920,A914:A920,B$10),IF(AND(COUNT(A915:A926)=7,COUNT(F915:F926)=7),cubic_spline(F914:F921,A914:A921,B$10),IF(AND(COUNT(A915:A926)=8,COUNT(F915:F926)=8),cubic_spline(F914:F922,A914:A922,B$10),IF(AND(COUNT(A915:A926)=9,COUNT(F915:F926)=9),cubic_spline(F914:F923,A914:A923,B$10),IF(AND(COUNT(A915:A926)=10,COUNT(F915:F926)=10),cubic_spline(F914:F924,A914:A924,B$10),IF(AND(COUNT(A915:A926)=11,COUNT(F915:F926)=11),cubic_spline(F914:F925,A914:A925,B$10),IF(AND(COUNT(A915:A926)=12,COUNT(F915:F926)=12),cubic_spline(F914:F926,A914:A926,B$10),""))))))))))))</f>
        <v/>
      </c>
      <c r="L923" s="27" t="str">
        <f>IF(I923="","",B$9&amp;"-"&amp;B$10)</f>
        <v/>
      </c>
      <c r="M923" s="52" t="str">
        <f t="shared" si="350"/>
        <v/>
      </c>
    </row>
    <row r="924" spans="1:13" x14ac:dyDescent="0.35">
      <c r="A924" s="48"/>
      <c r="B924" s="48"/>
      <c r="C924" s="50"/>
      <c r="D924" s="50"/>
      <c r="E924" s="51" t="str">
        <f t="shared" si="348"/>
        <v/>
      </c>
      <c r="F924" s="71" t="str">
        <f t="shared" si="346"/>
        <v/>
      </c>
      <c r="G924" s="69" t="str">
        <f t="shared" si="349"/>
        <v/>
      </c>
      <c r="H924" s="70" t="str">
        <f t="shared" si="347"/>
        <v/>
      </c>
      <c r="I924" s="27" t="str">
        <f>IF(N(J924)=0,"",0&amp;"-"&amp;B$11)</f>
        <v/>
      </c>
      <c r="J924" s="52" t="str">
        <f>IF(N(B$11)=0,"",IF(AND(COUNT(H915:H926)=2,COUNT(F915:F926)=2),cubic_spline(F914:F916,H914:H916,B$11),IF(AND(COUNT(H915:H926)=3,COUNT(F915:F926)=3),cubic_spline(F914:F917,H914:H917,B$11),IF(AND(COUNT(H915:H926)=4,COUNT(F915:F926)=4),cubic_spline(F914:F918,H914:H918,B$11),IF(AND(COUNT(H915:H926)=5,COUNT(F915:F926)=5),cubic_spline(F914:F919,H914:H919,B$11),IF(AND(COUNT(H915:H926)=6,COUNT(F915:F926)=6),cubic_spline(F914:F920,H914:H920,B$11),IF(AND(COUNT(H915:H926)=7,COUNT(F915:F926)=7),cubic_spline(F914:F921,H914:H921,B$11),IF(AND(COUNT(H915:H926)=8,COUNT(F915:F926)=8),cubic_spline(F914:F922,H914:H922,B$11),IF(AND(COUNT(H915:H926)=9,COUNT(F915:F926)=9),cubic_spline(F914:F923,H914:H923,B$11),IF(AND(COUNT(H915:H926)=10,COUNT(F915:F926)=10),cubic_spline(F914:F924,H914:H924,B$11),IF(AND(COUNT(H915:H926)=11,COUNT(F915:F926)=11),cubic_spline(F914:F925,H914:H925,B$11),IF(AND(COUNT(H915:H926)=12,COUNT(F915:F926)=12),cubic_spline(F914:F926,H914:H926,B$11),""))))))))))))</f>
        <v/>
      </c>
      <c r="K924" s="52" t="str">
        <f>IF(N(B$11)=0,"",IF(AND(COUNT(A915:A926)=2,COUNT(F915:F926)=2),cubic_spline(F914:F916,A914:A916,B$11),IF(AND(COUNT(A915:A926)=3,COUNT(F915:F926)=3),cubic_spline(F914:F917,A914:A917,B$11),IF(AND(COUNT(A915:A926)=4,COUNT(F915:F926)=4),cubic_spline(F914:F918,A914:A918,B$11),IF(AND(COUNT(A915:A926)=5,COUNT(F915:F926)=5),cubic_spline(F914:F919,A914:A919,B$11),IF(AND(COUNT(A915:A926)=6,COUNT(F915:F926)=6),cubic_spline(F914:F920,A914:A920,B$11),IF(AND(COUNT(A915:A926)=7,COUNT(F915:F926)=7),cubic_spline(F914:F921,A914:A921,B$11),IF(AND(COUNT(A915:A926)=8,COUNT(F915:F926)=8),cubic_spline(F914:F922,A914:A922,B$11),IF(AND(COUNT(A915:A926)=9,COUNT(F915:F926)=9),cubic_spline(F914:F923,A914:A923,B$11),IF(AND(COUNT(A915:A926)=10,COUNT(F915:F926)=10),cubic_spline(F914:F924,A914:A924,B$11),IF(AND(COUNT(A915:A926)=11,COUNT(F915:F926)=11),cubic_spline(F914:F925,A914:A925,B$11),IF(AND(COUNT(A915:A926)=12,COUNT(F915:F926)=12),cubic_spline(F914:F926,A914:A926,B$11),""))))))))))))</f>
        <v/>
      </c>
      <c r="L924" s="27" t="str">
        <f>IF(I924="","",B$10&amp;"-"&amp;B$11)</f>
        <v/>
      </c>
      <c r="M924" s="52" t="str">
        <f t="shared" si="350"/>
        <v/>
      </c>
    </row>
    <row r="925" spans="1:13" x14ac:dyDescent="0.35">
      <c r="A925" s="48"/>
      <c r="B925" s="48"/>
      <c r="C925" s="50"/>
      <c r="D925" s="50"/>
      <c r="E925" s="51" t="str">
        <f t="shared" si="348"/>
        <v/>
      </c>
      <c r="F925" s="71" t="str">
        <f t="shared" si="346"/>
        <v/>
      </c>
      <c r="G925" s="69" t="str">
        <f t="shared" si="349"/>
        <v/>
      </c>
      <c r="H925" s="70" t="str">
        <f t="shared" si="347"/>
        <v/>
      </c>
      <c r="I925" s="27" t="str">
        <f>IF(N(J925)=0,"",0&amp;"-"&amp;B$12)</f>
        <v/>
      </c>
      <c r="J925" s="52" t="str">
        <f>IF(N(B$12)=0,"",IF(AND(COUNT(H915:H926)=2,COUNT(F915:F926)=2),cubic_spline(F914:F916,H914:H916,B$12),IF(AND(COUNT(H915:H926)=3,COUNT(F915:F926)=3),cubic_spline(F914:F917,H914:H917,B$12),IF(AND(COUNT(H915:H926)=4,COUNT(F915:F926)=4),cubic_spline(F914:F918,H914:H918,B$12),IF(AND(COUNT(H915:H926)=5,COUNT(F915:F926)=5),cubic_spline(F914:F919,H914:H919,B$12),IF(AND(COUNT(H915:H926)=6,COUNT(F915:F926)=6),cubic_spline(F914:F920,H914:H920,B$12),IF(AND(COUNT(H915:H926)=7,COUNT(F915:F926)=7),cubic_spline(F914:F921,H914:H921,B$12),IF(AND(COUNT(H915:H926)=8,COUNT(F915:F926)=8),cubic_spline(F914:F922,H914:H922,B$12),IF(AND(COUNT(H915:H926)=9,COUNT(F915:F926)=9),cubic_spline(F914:F923,H914:H923,B$12),IF(AND(COUNT(H915:H926)=10,COUNT(F915:F926)=10),cubic_spline(F914:F924,H914:H924,B$12),IF(AND(COUNT(H915:H926)=11,COUNT(F915:F926)=11),cubic_spline(F914:F925,H914:H925,B$12),IF(AND(COUNT(H915:H926)=12,COUNT(F915:F926)=12),cubic_spline(F914:F926,H914:H926,B$12),""))))))))))))</f>
        <v/>
      </c>
      <c r="K925" s="52" t="str">
        <f>IF(N(B$12)=0,"",IF(AND(COUNT(A915:A926)=2,COUNT(F915:F926)=2),cubic_spline(F914:F916,A914:A916,B$12),IF(AND(COUNT(A915:A926)=3,COUNT(F915:F926)=3),cubic_spline(F914:F917,A914:A917,B$12),IF(AND(COUNT(A915:A926)=4,COUNT(F915:F926)=4),cubic_spline(F914:F918,A914:A918,B$12),IF(AND(COUNT(A915:A926)=5,COUNT(F915:F926)=5),cubic_spline(F914:F919,A914:A919,B$12),IF(AND(COUNT(A915:A926)=6,COUNT(F915:F926)=6),cubic_spline(F914:F920,A914:A920,B$12),IF(AND(COUNT(A915:A926)=7,COUNT(F915:F926)=7),cubic_spline(F914:F921,A914:A921,B$12),IF(AND(COUNT(A915:A926)=8,COUNT(F915:F926)=8),cubic_spline(F914:F922,A914:A922,B$12),IF(AND(COUNT(A915:A926)=9,COUNT(F915:F926)=9),cubic_spline(F914:F923,A914:A923,B$12),IF(AND(COUNT(A915:A926)=10,COUNT(F915:F926)=10),cubic_spline(F914:F924,A914:A924,B$12),IF(AND(COUNT(A915:A926)=11,COUNT(F915:F926)=11),cubic_spline(F914:F925,A914:A925,B$12),IF(AND(COUNT(A915:A926)=12,COUNT(F915:F926)=12),cubic_spline(F914:F926,A914:A926,B$12),""))))))))))))</f>
        <v/>
      </c>
      <c r="L925" s="27" t="str">
        <f>IF(I925="","",B$11&amp;"-"&amp;B$12)</f>
        <v/>
      </c>
      <c r="M925" s="52" t="str">
        <f t="shared" si="350"/>
        <v/>
      </c>
    </row>
    <row r="926" spans="1:13" x14ac:dyDescent="0.35">
      <c r="A926" s="48"/>
      <c r="B926" s="48"/>
      <c r="C926" s="50"/>
      <c r="D926" s="50"/>
      <c r="E926" s="51" t="str">
        <f t="shared" si="348"/>
        <v/>
      </c>
      <c r="F926" s="71" t="str">
        <f t="shared" si="346"/>
        <v/>
      </c>
      <c r="G926" s="69" t="str">
        <f t="shared" si="349"/>
        <v/>
      </c>
      <c r="H926" s="70" t="str">
        <f t="shared" si="347"/>
        <v/>
      </c>
      <c r="I926" s="27" t="str">
        <f>IF(N(J926)=0,"",0&amp;"-"&amp;B$13)</f>
        <v/>
      </c>
      <c r="J926" s="52" t="str">
        <f>IF(N(B$13)=0,"",IF(AND(COUNT(H915:H926)=2,COUNT(F915:F926)=2),cubic_spline(F914:F916,H914:H916,B$13),IF(AND(COUNT(H915:H926)=3,COUNT(F915:F926)=3),cubic_spline(F914:F917,H914:H917,B$13),IF(AND(COUNT(H915:H926)=4,COUNT(F915:F926)=4),cubic_spline(F914:F918,H914:H918,B$13),IF(AND(COUNT(H915:H926)=5,COUNT(F915:F926)=5),cubic_spline(F914:F919,H914:H919,B$13),IF(AND(COUNT(H915:H926)=6,COUNT(F915:F926)=6),cubic_spline(F914:F920,H914:H920,B$13),IF(AND(COUNT(H915:H926)=7,COUNT(F915:F926)=7),cubic_spline(F914:F921,H914:H921,B$13),IF(AND(COUNT(H915:H926)=8,COUNT(F915:F926)=8),cubic_spline(F914:F922,H914:H922,B$13),IF(AND(COUNT(H915:H926)=9,COUNT(F915:F926)=9),cubic_spline(F914:F923,H914:H923,B$13),IF(AND(COUNT(H915:H926)=10,COUNT(F915:F926)=10),cubic_spline(F914:F924,H914:H924,B$13),IF(AND(COUNT(H915:H926)=11,COUNT(F915:F926)=11),cubic_spline(F914:F925,H914:H925,B$13),IF(AND(COUNT(H915:H926)=12,COUNT(F915:F926)=12),cubic_spline(F914:F926,H914:H926,B$13),""))))))))))))</f>
        <v/>
      </c>
      <c r="K926" s="52" t="str">
        <f>IF(N(B$13)=0,"",IF(AND(COUNT(A915:A926)=2,COUNT(F915:F926)=2),cubic_spline(F914:F916,A914:A916,B$13),IF(AND(COUNT(A915:A926)=3,COUNT(F915:F926)=3),cubic_spline(F914:F917,A914:A917,B$13),IF(AND(COUNT(A915:A926)=4,COUNT(F915:F926)=4),cubic_spline(F914:F918,A914:A918,B$13),IF(AND(COUNT(A915:A926)=5,COUNT(F915:F926)=5),cubic_spline(F914:F919,A914:A919,B$13),IF(AND(COUNT(A915:A926)=6,COUNT(F915:F926)=6),cubic_spline(F914:F920,A914:A920,B$13),IF(AND(COUNT(A915:A926)=7,COUNT(F915:F926)=7),cubic_spline(F914:F921,A914:A921,B$13),IF(AND(COUNT(A915:A926)=8,COUNT(F915:F926)=8),cubic_spline(F914:F922,A914:A922,B$13),IF(AND(COUNT(A915:A926)=9,COUNT(F915:F926)=9),cubic_spline(F914:F923,A914:A923,B$13),IF(AND(COUNT(A915:A926)=10,COUNT(F915:F926)=10),cubic_spline(F914:F924,A914:A924,B$13),IF(AND(COUNT(A915:A926)=11,COUNT(F915:F926)=11),cubic_spline(F914:F925,A914:A925,B$13),IF(AND(COUNT(A915:A926)=12,COUNT(F915:F926)=12),cubic_spline(F914:F926,A914:A926,B$13),""))))))))))))</f>
        <v/>
      </c>
      <c r="L926" s="27" t="str">
        <f>IF(I926="","",B$12&amp;"-"&amp;B$13)</f>
        <v/>
      </c>
      <c r="M926" s="52" t="str">
        <f t="shared" si="350"/>
        <v/>
      </c>
    </row>
    <row r="927" spans="1:13" ht="5.15" customHeight="1" x14ac:dyDescent="0.35">
      <c r="A927" s="47"/>
      <c r="B927" s="47"/>
      <c r="C927" s="53"/>
      <c r="D927" s="53"/>
      <c r="E927" s="54"/>
      <c r="F927" s="55"/>
      <c r="G927" s="72"/>
      <c r="H927" s="73"/>
      <c r="I927" s="47"/>
      <c r="J927" s="57"/>
      <c r="K927" s="57"/>
      <c r="L927" s="55"/>
      <c r="M927" s="57"/>
    </row>
    <row r="928" spans="1:13" x14ac:dyDescent="0.35">
      <c r="A928" s="48"/>
      <c r="B928" s="48"/>
      <c r="C928" s="50"/>
      <c r="D928" s="50"/>
      <c r="E928" s="51" t="str">
        <f>IF(N(C928)=0,"",(A928-A927)*C928*100)</f>
        <v/>
      </c>
      <c r="F928" s="68" t="str">
        <f t="shared" ref="F928:F939" si="351">IF(N(E928)=0,"",(N(E928)+N(F927)))</f>
        <v/>
      </c>
      <c r="G928" s="69" t="str">
        <f>IF(OR(N(D928)=0,N(E928)=0),"",(E928*D928)/1000)</f>
        <v/>
      </c>
      <c r="H928" s="70" t="str">
        <f t="shared" ref="H928:H939" si="352">IF(N(G928)=0,"",(N(G928)+N(H927)))</f>
        <v/>
      </c>
      <c r="I928" s="27" t="str">
        <f>IF(N(J928)=0,"",0&amp;"-"&amp;B$2)</f>
        <v/>
      </c>
      <c r="J928" s="52" t="str">
        <f>IF(N(B$2)=0,"",IF(AND(COUNT(H928:H939)=2,COUNT(F928:F939)=2),cubic_spline(F927:F929,H927:H929,B$2),IF(AND(COUNT(H928:H939)=3,COUNT(F928:F939)=3),cubic_spline(F927:F930,H927:H930,B$2),IF(AND(COUNT(H928:H939)=4,COUNT(F928:F939)=4),cubic_spline(F927:F931,H927:H931,B$2),IF(AND(COUNT(H928:H939)=5,COUNT(F928:F939)=5),cubic_spline(F927:F932,H927:H932,B$2),IF(AND(COUNT(H928:H939)=6,COUNT(F928:F939)=6),cubic_spline(F927:F933,H927:H933,B$2),IF(AND(COUNT(H928:H939)=7,COUNT(F928:F939)=7),cubic_spline(F927:F934,H927:H934,B$2),IF(AND(COUNT(H928:H939)=8,COUNT(F928:F939)=8),cubic_spline(F927:F935,H927:H935,B$2),IF(AND(COUNT(H928:H939)=9,COUNT(F928:F939)=9),cubic_spline(F927:F936,H927:H936,B$2),IF(AND(COUNT(H928:H939)=10,COUNT(F928:F939)=10),cubic_spline(F927:F937,H927:H937,B$2),IF(AND(COUNT(H928:H939)=11,COUNT(F928:F939)=11),cubic_spline(F927:F938,H927:H938,B$2),IF(AND(COUNT(H928:H939)=12,COUNT(F928:F939)=12),cubic_spline(F927:F939,H927:H939,B$2),""))))))))))))</f>
        <v/>
      </c>
      <c r="K928" s="52" t="str">
        <f>IF(N(B$2)=0,"",IF(AND(COUNT(A928:A939)=2,COUNT(F928:F939)=2),cubic_spline(F927:F929,A927:A929,B$2),IF(AND(COUNT(A928:A939)=3,COUNT(F928:F939)=3),cubic_spline(F927:F930,A927:A930,B$2),IF(AND(COUNT(A928:A939)=4,COUNT(F928:F939)=4),cubic_spline(F927:F931,A927:A931,B$2),IF(AND(COUNT(A928:A939)=5,COUNT(F928:F939)=5),cubic_spline(F927:F932,A927:A932,B$2),IF(AND(COUNT(A928:A939)=6,COUNT(F928:F939)=6),cubic_spline(F927:F933,A927:A933,B$2),IF(AND(COUNT(A928:A939)=7,COUNT(F928:F939)=7),cubic_spline(F927:F934,A927:A934,B$2),IF(AND(COUNT(A928:A939)=8,COUNT(F928:F939)=8),cubic_spline(F927:F935,A927:A935,B$2),IF(AND(COUNT(A928:A939)=9,COUNT(F928:F939)=9),cubic_spline(F927:F936,A927:A936,B$2),IF(AND(COUNT(A928:A939)=10,COUNT(F928:F939)=10),cubic_spline(F927:F937,A927:A937,B$2),IF(AND(COUNT(A928:A939)=11,COUNT(F928:F939)=11),cubic_spline(F927:F938,A927:A938,B$2),IF(AND(COUNT(A928:A939)=12,COUNT(F928:F939)=12),cubic_spline(F927:F939,A927:A939,B$2),""))))))))))))</f>
        <v/>
      </c>
      <c r="L928" s="27" t="str">
        <f>IF(I928="","",0&amp;"-"&amp;B$2)</f>
        <v/>
      </c>
      <c r="M928" s="52" t="str">
        <f>IF(N(J928)=0,"",J928-J927)</f>
        <v/>
      </c>
    </row>
    <row r="929" spans="1:13" x14ac:dyDescent="0.35">
      <c r="A929" s="48"/>
      <c r="B929" s="48"/>
      <c r="C929" s="50"/>
      <c r="D929" s="50"/>
      <c r="E929" s="51" t="str">
        <f t="shared" ref="E929:E939" si="353">IF(N(C929)=0,"",(A929-A928)*C929*100)</f>
        <v/>
      </c>
      <c r="F929" s="68" t="str">
        <f t="shared" si="351"/>
        <v/>
      </c>
      <c r="G929" s="69" t="str">
        <f t="shared" ref="G929:G939" si="354">IF(OR(N(D929)=0,N(E929)=0),"",(E929*D929)/1000)</f>
        <v/>
      </c>
      <c r="H929" s="70" t="str">
        <f t="shared" si="352"/>
        <v/>
      </c>
      <c r="I929" s="27" t="str">
        <f>IF(N(J929)=0,"",0&amp;"-"&amp;B$3)</f>
        <v/>
      </c>
      <c r="J929" s="52" t="str">
        <f>IF(N(B$3)=0,"",IF(AND(COUNT(H928:H939)=2,COUNT(F928:F939)=2),cubic_spline(F927:F929,H927:H929,B$3),IF(AND(COUNT(H928:H939)=3,COUNT(F928:F939)=3),cubic_spline(F927:F930,H927:H930,B$3),IF(AND(COUNT(H928:H939)=4,COUNT(F928:F939)=4),cubic_spline(F927:F931,H927:H931,B$3),IF(AND(COUNT(H928:H939)=5,COUNT(F928:F939)=5),cubic_spline(F927:F932,H927:H932,B$3),IF(AND(COUNT(H928:H939)=6,COUNT(F928:F939)=6),cubic_spline(F927:F933,H927:H933,B$3),IF(AND(COUNT(H928:H939)=7,COUNT(F928:F939)=7),cubic_spline(F927:F934,H927:H934,B$3),IF(AND(COUNT(H928:H939)=8,COUNT(F928:F939)=8),cubic_spline(F927:F935,H927:H935,B$3),IF(AND(COUNT(H928:H939)=9,COUNT(F928:F939)=9),cubic_spline(F927:F936,H927:H936,B$3),IF(AND(COUNT(H928:H939)=10,COUNT(F928:F939)=10),cubic_spline(F927:F937,H927:H937,B$3),IF(AND(COUNT(H928:H939)=11,COUNT(F928:F939)=11),cubic_spline(F927:F938,H927:H938,B$3),IF(AND(COUNT(H928:H939)=12,COUNT(F928:F939)=12),cubic_spline(F927:F939,H927:H939,B$3),""))))))))))))</f>
        <v/>
      </c>
      <c r="K929" s="52" t="str">
        <f>IF(N(B$3)=0,"",IF(AND(COUNT(A928:A939)=2,COUNT(F928:F939)=2),cubic_spline(F927:F929,A927:A929,B$3),IF(AND(COUNT(A928:A939)=3,COUNT(F928:F939)=3),cubic_spline(F927:F930,A927:A930,B$3),IF(AND(COUNT(A928:A939)=4,COUNT(F928:F939)=4),cubic_spline(F927:F931,A927:A931,B$3),IF(AND(COUNT(A928:A939)=5,COUNT(F928:F939)=5),cubic_spline(F927:F932,A927:A932,B$3),IF(AND(COUNT(A928:A939)=6,COUNT(F928:F939)=6),cubic_spline(F927:F933,A927:A933,B$3),IF(AND(COUNT(A928:A939)=7,COUNT(F928:F939)=7),cubic_spline(F927:F934,A927:A934,B$3),IF(AND(COUNT(A928:A939)=8,COUNT(F928:F939)=8),cubic_spline(F927:F935,A927:A935,B$3),IF(AND(COUNT(A928:A939)=9,COUNT(F928:F939)=9),cubic_spline(F927:F936,A927:A936,B$3),IF(AND(COUNT(A928:A939)=10,COUNT(F928:F939)=10),cubic_spline(F927:F937,A927:A937,B$3),IF(AND(COUNT(A928:A939)=11,COUNT(F928:F939)=11),cubic_spline(F927:F938,A927:A938,B$3),IF(AND(COUNT(A928:A939)=12,COUNT(F928:F939)=12),cubic_spline(F927:F939,A927:A939,B$3),""))))))))))))</f>
        <v/>
      </c>
      <c r="L929" s="27" t="str">
        <f>IF(I929="","",B$2&amp;"-"&amp;B$3)</f>
        <v/>
      </c>
      <c r="M929" s="52" t="str">
        <f>IF(N(J929)=0,"",J929-J928)</f>
        <v/>
      </c>
    </row>
    <row r="930" spans="1:13" x14ac:dyDescent="0.35">
      <c r="A930" s="48"/>
      <c r="B930" s="48"/>
      <c r="C930" s="50"/>
      <c r="D930" s="50"/>
      <c r="E930" s="51" t="str">
        <f t="shared" si="353"/>
        <v/>
      </c>
      <c r="F930" s="68" t="str">
        <f t="shared" si="351"/>
        <v/>
      </c>
      <c r="G930" s="69" t="str">
        <f t="shared" si="354"/>
        <v/>
      </c>
      <c r="H930" s="70" t="str">
        <f t="shared" si="352"/>
        <v/>
      </c>
      <c r="I930" s="27" t="str">
        <f>IF(N(J930)=0,"",0&amp;"-"&amp;B$4)</f>
        <v/>
      </c>
      <c r="J930" s="52" t="str">
        <f>IF(N(B$4)=0,"",IF(AND(COUNT(H928:H939)=2,COUNT(F928:F939)=2),cubic_spline(F927:F929,H927:H929,B$4),IF(AND(COUNT(H928:H939)=3,COUNT(F928:F939)=3),cubic_spline(F927:F930,H927:H930,B$4),IF(AND(COUNT(H928:H939)=4,COUNT(F928:F939)=4),cubic_spline(F927:F931,H927:H931,B$4),IF(AND(COUNT(H928:H939)=5,COUNT(F928:F939)=5),cubic_spline(F927:F932,H927:H932,B$4),IF(AND(COUNT(H928:H939)=6,COUNT(F928:F939)=6),cubic_spline(F927:F933,H927:H933,B$4),IF(AND(COUNT(H928:H939)=7,COUNT(F928:F939)=7),cubic_spline(F927:F934,H927:H934,B$4),IF(AND(COUNT(H928:H939)=8,COUNT(F928:F939)=8),cubic_spline(F927:F935,H927:H935,B$4),IF(AND(COUNT(H928:H939)=9,COUNT(F928:F939)=9),cubic_spline(F927:F936,H927:H936,B$4),IF(AND(COUNT(H928:H939)=10,COUNT(F928:F939)=10),cubic_spline(F927:F937,H927:H937,B$4),IF(AND(COUNT(H928:H939)=11,COUNT(F928:F939)=11),cubic_spline(F927:F938,H927:H938,B$4),IF(AND(COUNT(H928:H939)=12,COUNT(F928:F939)=12),cubic_spline(F927:F939,H927:H939,B$4),""))))))))))))</f>
        <v/>
      </c>
      <c r="K930" s="52" t="str">
        <f>IF(N(B$4)=0,"",IF(AND(COUNT(A928:A939)=2,COUNT(F928:F939)=2),cubic_spline(F927:F929,A927:A929,B$4),IF(AND(COUNT(A928:A939)=3,COUNT(F928:F939)=3),cubic_spline(F927:F930,A927:A930,B$4),IF(AND(COUNT(A928:A939)=4,COUNT(F928:F939)=4),cubic_spline(F927:F931,A927:A931,B$4),IF(AND(COUNT(A928:A939)=5,COUNT(F928:F939)=5),cubic_spline(F927:F932,A927:A932,B$4),IF(AND(COUNT(A928:A939)=6,COUNT(F928:F939)=6),cubic_spline(F927:F933,A927:A933,B$4),IF(AND(COUNT(A928:A939)=7,COUNT(F928:F939)=7),cubic_spline(F927:F934,A927:A934,B$4),IF(AND(COUNT(A928:A939)=8,COUNT(F928:F939)=8),cubic_spline(F927:F935,A927:A935,B$4),IF(AND(COUNT(A928:A939)=9,COUNT(F928:F939)=9),cubic_spline(F927:F936,A927:A936,B$4),IF(AND(COUNT(A928:A939)=10,COUNT(F928:F939)=10),cubic_spline(F927:F937,A927:A937,B$4),IF(AND(COUNT(A928:A939)=11,COUNT(F928:F939)=11),cubic_spline(F927:F938,A927:A938,B$4),IF(AND(COUNT(A928:A939)=12,COUNT(F928:F939)=12),cubic_spline(F927:F939,A927:A939,B$4),""))))))))))))</f>
        <v/>
      </c>
      <c r="L930" s="27" t="str">
        <f>IF(I930="","",B$3&amp;"-"&amp;B$4)</f>
        <v/>
      </c>
      <c r="M930" s="52" t="str">
        <f>IF(N(J930)=0,"",J930-J929)</f>
        <v/>
      </c>
    </row>
    <row r="931" spans="1:13" x14ac:dyDescent="0.35">
      <c r="A931" s="48"/>
      <c r="B931" s="48"/>
      <c r="C931" s="50"/>
      <c r="D931" s="50"/>
      <c r="E931" s="51" t="str">
        <f t="shared" si="353"/>
        <v/>
      </c>
      <c r="F931" s="68" t="str">
        <f t="shared" si="351"/>
        <v/>
      </c>
      <c r="G931" s="69" t="str">
        <f t="shared" si="354"/>
        <v/>
      </c>
      <c r="H931" s="70" t="str">
        <f t="shared" si="352"/>
        <v/>
      </c>
      <c r="I931" s="27" t="str">
        <f>IF(N(J931)=0,"",0&amp;"-"&amp;B$5)</f>
        <v/>
      </c>
      <c r="J931" s="52" t="str">
        <f>IF(N(B$5)=0,"",IF(AND(COUNT(H928:H939)=2,COUNT(F928:F939)=2),cubic_spline(F927:F929,H927:H929,B$5),IF(AND(COUNT(H928:H939)=3,COUNT(F928:F939)=3),cubic_spline(F927:F930,H927:H930,B$5),IF(AND(COUNT(H928:H939)=4,COUNT(F928:F939)=4),cubic_spline(F927:F931,H927:H931,B$5),IF(AND(COUNT(H928:H939)=5,COUNT(F928:F939)=5),cubic_spline(F927:F932,H927:H932,B$5),IF(AND(COUNT(H928:H939)=6,COUNT(F928:F939)=6),cubic_spline(F927:F933,H927:H933,B$5),IF(AND(COUNT(H928:H939)=7,COUNT(F928:F939)=7),cubic_spline(F927:F934,H927:H934,B$5),IF(AND(COUNT(H928:H939)=8,COUNT(F928:F939)=8),cubic_spline(F927:F935,H927:H935,B$5),IF(AND(COUNT(H928:H939)=9,COUNT(F928:F939)=9),cubic_spline(F927:F936,H927:H936,B$5),IF(AND(COUNT(H928:H939)=10,COUNT(F928:F939)=10),cubic_spline(F927:F937,H927:H937,B$5),IF(AND(COUNT(H928:H939)=11,COUNT(F928:F939)=11),cubic_spline(F927:F938,H927:H938,B$5),IF(AND(COUNT(H928:H939)=12,COUNT(F928:F939)=12),cubic_spline(F927:F939,H927:H939,B$5),""))))))))))))</f>
        <v/>
      </c>
      <c r="K931" s="52" t="str">
        <f>IF(N(B$5)=0,"",IF(AND(COUNT(A928:A939)=2,COUNT(F928:F939)=2),cubic_spline(F927:F929,A927:A929,B$5),IF(AND(COUNT(A928:A939)=3,COUNT(F928:F939)=3),cubic_spline(F927:F930,A927:A930,B$5),IF(AND(COUNT(A928:A939)=4,COUNT(F928:F939)=4),cubic_spline(F927:F931,A927:A931,B$5),IF(AND(COUNT(A928:A939)=5,COUNT(F928:F939)=5),cubic_spline(F927:F932,A927:A932,B$5),IF(AND(COUNT(A928:A939)=6,COUNT(F928:F939)=6),cubic_spline(F927:F933,A927:A933,B$5),IF(AND(COUNT(A928:A939)=7,COUNT(F928:F939)=7),cubic_spline(F927:F934,A927:A934,B$5),IF(AND(COUNT(A928:A939)=8,COUNT(F928:F939)=8),cubic_spline(F927:F935,A927:A935,B$5),IF(AND(COUNT(A928:A939)=9,COUNT(F928:F939)=9),cubic_spline(F927:F936,A927:A936,B$5),IF(AND(COUNT(A928:A939)=10,COUNT(F928:F939)=10),cubic_spline(F927:F937,A927:A937,B$5),IF(AND(COUNT(A928:A939)=11,COUNT(F928:F939)=11),cubic_spline(F927:F938,A927:A938,B$5),IF(AND(COUNT(A928:A939)=12,COUNT(F928:F939)=12),cubic_spline(F927:F939,A927:A939,B$5),""))))))))))))</f>
        <v/>
      </c>
      <c r="L931" s="27" t="str">
        <f>IF(I931="","",B$4&amp;"-"&amp;B$5)</f>
        <v/>
      </c>
      <c r="M931" s="52" t="str">
        <f>IF(N(J931)=0,"",J931-J930)</f>
        <v/>
      </c>
    </row>
    <row r="932" spans="1:13" x14ac:dyDescent="0.35">
      <c r="A932" s="48"/>
      <c r="B932" s="48"/>
      <c r="C932" s="50"/>
      <c r="D932" s="50"/>
      <c r="E932" s="51" t="str">
        <f t="shared" si="353"/>
        <v/>
      </c>
      <c r="F932" s="71" t="str">
        <f t="shared" si="351"/>
        <v/>
      </c>
      <c r="G932" s="69" t="str">
        <f t="shared" si="354"/>
        <v/>
      </c>
      <c r="H932" s="70" t="str">
        <f t="shared" si="352"/>
        <v/>
      </c>
      <c r="I932" s="27" t="str">
        <f>IF(N(J932)=0,"",0&amp;"-"&amp;B$6)</f>
        <v/>
      </c>
      <c r="J932" s="52" t="str">
        <f>IF(N(B$6)=0,"",IF(AND(COUNT(H928:H939)=2,COUNT(F928:F939)=2),cubic_spline(F927:F929,H927:H929,B$6),IF(AND(COUNT(H928:H939)=3,COUNT(F928:F939)=3),cubic_spline(F927:F930,H927:H930,B$6),IF(AND(COUNT(H928:H939)=4,COUNT(F928:F939)=4),cubic_spline(F927:F931,H927:H931,B$6),IF(AND(COUNT(H928:H939)=5,COUNT(F928:F939)=5),cubic_spline(F927:F932,H927:H932,B$6),IF(AND(COUNT(H928:H939)=6,COUNT(F928:F939)=6),cubic_spline(F927:F933,H927:H933,B$6),IF(AND(COUNT(H928:H939)=7,COUNT(F928:F939)=7),cubic_spline(F927:F934,H927:H934,B$6),IF(AND(COUNT(H928:H939)=8,COUNT(F928:F939)=8),cubic_spline(F927:F935,H927:H935,B$6),IF(AND(COUNT(H928:H939)=9,COUNT(F928:F939)=9),cubic_spline(F927:F936,H927:H936,B$6),IF(AND(COUNT(H928:H939)=10,COUNT(F928:F939)=10),cubic_spline(F927:F937,H927:H937,B$6),IF(AND(COUNT(H928:H939)=11,COUNT(F928:F939)=11),cubic_spline(F927:F938,H927:H938,B$6),IF(AND(COUNT(H928:H939)=12,COUNT(F928:F939)=12),cubic_spline(F927:F939,H927:H939,B$6),""))))))))))))</f>
        <v/>
      </c>
      <c r="K932" s="52" t="str">
        <f>IF(N(B$6)=0,"",IF(AND(COUNT(A928:A939)=2,COUNT(F928:F939)=2),cubic_spline(F927:F929,A927:A929,B$6),IF(AND(COUNT(A928:A939)=3,COUNT(F928:F939)=3),cubic_spline(F927:F930,A927:A930,B$6),IF(AND(COUNT(A928:A939)=4,COUNT(F928:F939)=4),cubic_spline(F927:F931,A927:A931,B$6),IF(AND(COUNT(A928:A939)=5,COUNT(F928:F939)=5),cubic_spline(F927:F932,A927:A932,B$6),IF(AND(COUNT(A928:A939)=6,COUNT(F928:F939)=6),cubic_spline(F927:F933,A927:A933,B$6),IF(AND(COUNT(A928:A939)=7,COUNT(F928:F939)=7),cubic_spline(F927:F934,A927:A934,B$6),IF(AND(COUNT(A928:A939)=8,COUNT(F928:F939)=8),cubic_spline(F927:F935,A927:A935,B$6),IF(AND(COUNT(A928:A939)=9,COUNT(F928:F939)=9),cubic_spline(F927:F936,A927:A936,B$6),IF(AND(COUNT(A928:A939)=10,COUNT(F928:F939)=10),cubic_spline(F927:F937,A927:A937,B$6),IF(AND(COUNT(A928:A939)=11,COUNT(F928:F939)=11),cubic_spline(F927:F938,A927:A938,B$6),IF(AND(COUNT(A928:A939)=12,COUNT(F928:F939)=12),cubic_spline(F927:F939,A927:A939,B$6),""))))))))))))</f>
        <v/>
      </c>
      <c r="L932" s="27" t="str">
        <f>IF(I932="","",B$5&amp;"-"&amp;B$6)</f>
        <v/>
      </c>
      <c r="M932" s="52" t="str">
        <f>IF(N(J932)=0,"",J932-J931)</f>
        <v/>
      </c>
    </row>
    <row r="933" spans="1:13" x14ac:dyDescent="0.35">
      <c r="A933" s="48"/>
      <c r="B933" s="48"/>
      <c r="C933" s="50"/>
      <c r="D933" s="50"/>
      <c r="E933" s="51" t="str">
        <f t="shared" si="353"/>
        <v/>
      </c>
      <c r="F933" s="71" t="str">
        <f t="shared" si="351"/>
        <v/>
      </c>
      <c r="G933" s="69" t="str">
        <f t="shared" si="354"/>
        <v/>
      </c>
      <c r="H933" s="70" t="str">
        <f t="shared" si="352"/>
        <v/>
      </c>
      <c r="I933" s="27" t="str">
        <f>IF(N(J933)=0,"",0&amp;"-"&amp;B$7)</f>
        <v/>
      </c>
      <c r="J933" s="52" t="str">
        <f>IF(N(B$7)=0,"",IF(AND(COUNT(H928:H939)=2,COUNT(F928:F939)=2),cubic_spline(F927:F929,H927:H929,B$7),IF(AND(COUNT(H928:H939)=3,COUNT(F928:F939)=3),cubic_spline(F927:F930,H927:H930,B$7),IF(AND(COUNT(H928:H939)=4,COUNT(F928:F939)=4),cubic_spline(F927:F931,H927:H931,B$7),IF(AND(COUNT(H928:H939)=5,COUNT(F928:F939)=5),cubic_spline(F927:F932,H927:H932,B$7),IF(AND(COUNT(H928:H939)=6,COUNT(F928:F939)=6),cubic_spline(F927:F933,H927:H933,B$7),IF(AND(COUNT(H928:H939)=7,COUNT(F928:F939)=7),cubic_spline(F927:F934,H927:H934,B$7),IF(AND(COUNT(H928:H939)=8,COUNT(F928:F939)=8),cubic_spline(F927:F935,H927:H935,B$7),IF(AND(COUNT(H928:H939)=9,COUNT(F928:F939)=9),cubic_spline(F927:F936,H927:H936,B$7),IF(AND(COUNT(H928:H939)=10,COUNT(F928:F939)=10),cubic_spline(F927:F937,H927:H937,B$7),IF(AND(COUNT(H928:H939)=11,COUNT(F928:F939)=11),cubic_spline(F927:F938,H927:H938,B$7),IF(AND(COUNT(H928:H939)=12,COUNT(F928:F939)=12),cubic_spline(F927:F939,H927:H939,B$7),""))))))))))))</f>
        <v/>
      </c>
      <c r="K933" s="52" t="str">
        <f>IF(N(B$7)=0,"",IF(AND(COUNT(A928:A939)=2,COUNT(F928:F939)=2),cubic_spline(F927:F929,A927:A929,B$7),IF(AND(COUNT(A928:A939)=3,COUNT(F928:F939)=3),cubic_spline(F927:F930,A927:A930,B$7),IF(AND(COUNT(A928:A939)=4,COUNT(F928:F939)=4),cubic_spline(F927:F931,A927:A931,B$7),IF(AND(COUNT(A928:A939)=5,COUNT(F928:F939)=5),cubic_spline(F927:F932,A927:A932,B$7),IF(AND(COUNT(A928:A939)=6,COUNT(F928:F939)=6),cubic_spline(F927:F933,A927:A933,B$7),IF(AND(COUNT(A928:A939)=7,COUNT(F928:F939)=7),cubic_spline(F927:F934,A927:A934,B$7),IF(AND(COUNT(A928:A939)=8,COUNT(F928:F939)=8),cubic_spline(F927:F935,A927:A935,B$7),IF(AND(COUNT(A928:A939)=9,COUNT(F928:F939)=9),cubic_spline(F927:F936,A927:A936,B$7),IF(AND(COUNT(A928:A939)=10,COUNT(F928:F939)=10),cubic_spline(F927:F937,A927:A937,B$7),IF(AND(COUNT(A928:A939)=11,COUNT(F928:F939)=11),cubic_spline(F927:F938,A927:A938,B$7),IF(AND(COUNT(A928:A939)=12,COUNT(F928:F939)=12),cubic_spline(F927:F939,A927:A939,B$7),""))))))))))))</f>
        <v/>
      </c>
      <c r="L933" s="27" t="str">
        <f>IF(I933="","",B$6&amp;"-"&amp;B$7)</f>
        <v/>
      </c>
      <c r="M933" s="52" t="str">
        <f t="shared" ref="M933:M939" si="355">IF(N(J933)=0,"",J933-J932)</f>
        <v/>
      </c>
    </row>
    <row r="934" spans="1:13" x14ac:dyDescent="0.35">
      <c r="A934" s="48"/>
      <c r="B934" s="48"/>
      <c r="C934" s="50"/>
      <c r="D934" s="50"/>
      <c r="E934" s="51" t="str">
        <f t="shared" si="353"/>
        <v/>
      </c>
      <c r="F934" s="71" t="str">
        <f t="shared" si="351"/>
        <v/>
      </c>
      <c r="G934" s="69" t="str">
        <f t="shared" si="354"/>
        <v/>
      </c>
      <c r="H934" s="70" t="str">
        <f t="shared" si="352"/>
        <v/>
      </c>
      <c r="I934" s="27" t="str">
        <f>IF(N(J934)=0,"",0&amp;"-"&amp;B$8)</f>
        <v/>
      </c>
      <c r="J934" s="52" t="str">
        <f>IF(N(B$8)=0,"",IF(AND(COUNT(H928:H939)=2,COUNT(F928:F939)=2),cubic_spline(F927:F929,H927:H929,B$8),IF(AND(COUNT(H928:H939)=3,COUNT(F928:F939)=3),cubic_spline(F927:F930,H927:H930,B$8),IF(AND(COUNT(H928:H939)=4,COUNT(F928:F939)=4),cubic_spline(F927:F931,H927:H931,B$8),IF(AND(COUNT(H928:H939)=5,COUNT(F928:F939)=5),cubic_spline(F927:F932,H927:H932,B$8),IF(AND(COUNT(H928:H939)=6,COUNT(F928:F939)=6),cubic_spline(F927:F933,H927:H933,B$8),IF(AND(COUNT(H928:H939)=7,COUNT(F928:F939)=7),cubic_spline(F927:F934,H927:H934,B$8),IF(AND(COUNT(H928:H939)=8,COUNT(F928:F939)=8),cubic_spline(F927:F935,H927:H935,B$8),IF(AND(COUNT(H928:H939)=9,COUNT(F928:F939)=9),cubic_spline(F927:F936,H927:H936,B$8),IF(AND(COUNT(H928:H939)=10,COUNT(F928:F939)=10),cubic_spline(F927:F937,H927:H937,B$8),IF(AND(COUNT(H928:H939)=11,COUNT(F928:F939)=11),cubic_spline(F927:F938,H927:H938,B$8),IF(AND(COUNT(H928:H939)=12,COUNT(F928:F939)=12),cubic_spline(F927:F939,H927:H939,B$8),""))))))))))))</f>
        <v/>
      </c>
      <c r="K934" s="52" t="str">
        <f>IF(N(B$8)=0,"",IF(AND(COUNT(A928:A939)=2,COUNT(F928:F939)=2),cubic_spline(F927:F929,A927:A929,B$8),IF(AND(COUNT(A928:A939)=3,COUNT(F928:F939)=3),cubic_spline(F927:F930,A927:A930,B$8),IF(AND(COUNT(A928:A939)=4,COUNT(F928:F939)=4),cubic_spline(F927:F931,A927:A931,B$8),IF(AND(COUNT(A928:A939)=5,COUNT(F928:F939)=5),cubic_spline(F927:F932,A927:A932,B$8),IF(AND(COUNT(A928:A939)=6,COUNT(F928:F939)=6),cubic_spline(F927:F933,A927:A933,B$8),IF(AND(COUNT(A928:A939)=7,COUNT(F928:F939)=7),cubic_spline(F927:F934,A927:A934,B$8),IF(AND(COUNT(A928:A939)=8,COUNT(F928:F939)=8),cubic_spline(F927:F935,A927:A935,B$8),IF(AND(COUNT(A928:A939)=9,COUNT(F928:F939)=9),cubic_spline(F927:F936,A927:A936,B$8),IF(AND(COUNT(A928:A939)=10,COUNT(F928:F939)=10),cubic_spline(F927:F937,A927:A937,B$8),IF(AND(COUNT(A928:A939)=11,COUNT(F928:F939)=11),cubic_spline(F927:F938,A927:A938,B$8),IF(AND(COUNT(A928:A939)=12,COUNT(F928:F939)=12),cubic_spline(F927:F939,A927:A939,B$8),""))))))))))))</f>
        <v/>
      </c>
      <c r="L934" s="27" t="str">
        <f>IF(I934="","",B$7&amp;"-"&amp;B$8)</f>
        <v/>
      </c>
      <c r="M934" s="52" t="str">
        <f t="shared" si="355"/>
        <v/>
      </c>
    </row>
    <row r="935" spans="1:13" x14ac:dyDescent="0.35">
      <c r="A935" s="48"/>
      <c r="B935" s="48"/>
      <c r="C935" s="50"/>
      <c r="D935" s="50"/>
      <c r="E935" s="51" t="str">
        <f t="shared" si="353"/>
        <v/>
      </c>
      <c r="F935" s="71" t="str">
        <f t="shared" si="351"/>
        <v/>
      </c>
      <c r="G935" s="69" t="str">
        <f t="shared" si="354"/>
        <v/>
      </c>
      <c r="H935" s="70" t="str">
        <f t="shared" si="352"/>
        <v/>
      </c>
      <c r="I935" s="27" t="str">
        <f>IF(N(J935)=0,"",0&amp;"-"&amp;B$9)</f>
        <v/>
      </c>
      <c r="J935" s="52" t="str">
        <f>IF(N(B$9)=0,"",IF(AND(COUNT(H928:H939)=2,COUNT(F928:F939)=2),cubic_spline(F927:F929,H927:H929,B$9),IF(AND(COUNT(H928:H939)=3,COUNT(F928:F939)=3),cubic_spline(F927:F930,H927:H930,B$9),IF(AND(COUNT(H928:H939)=4,COUNT(F928:F939)=4),cubic_spline(F927:F931,H927:H931,B$9),IF(AND(COUNT(H928:H939)=5,COUNT(F928:F939)=5),cubic_spline(F927:F932,H927:H932,B$9),IF(AND(COUNT(H928:H939)=6,COUNT(F928:F939)=6),cubic_spline(F927:F933,H927:H933,B$9),IF(AND(COUNT(H928:H939)=7,COUNT(F928:F939)=7),cubic_spline(F927:F934,H927:H934,B$9),IF(AND(COUNT(H928:H939)=8,COUNT(F928:F939)=8),cubic_spline(F927:F935,H927:H935,B$9),IF(AND(COUNT(H928:H939)=9,COUNT(F928:F939)=9),cubic_spline(F927:F936,H927:H936,B$9),IF(AND(COUNT(H928:H939)=10,COUNT(F928:F939)=10),cubic_spline(F927:F937,H927:H937,B$9),IF(AND(COUNT(H928:H939)=11,COUNT(F928:F939)=11),cubic_spline(F927:F938,H927:H938,B$9),IF(AND(COUNT(H928:H939)=12,COUNT(F928:F939)=12),cubic_spline(F927:F939,H927:H939,B$9),""))))))))))))</f>
        <v/>
      </c>
      <c r="K935" s="52" t="str">
        <f>IF(N(B$9)=0,"",IF(AND(COUNT(A928:A939)=2,COUNT(F928:F939)=2),cubic_spline(F927:F929,A927:A929,B$9),IF(AND(COUNT(A928:A939)=3,COUNT(F928:F939)=3),cubic_spline(F927:F930,A927:A930,B$9),IF(AND(COUNT(A928:A939)=4,COUNT(F928:F939)=4),cubic_spline(F927:F931,A927:A931,B$9),IF(AND(COUNT(A928:A939)=5,COUNT(F928:F939)=5),cubic_spline(F927:F932,A927:A932,B$9),IF(AND(COUNT(A928:A939)=6,COUNT(F928:F939)=6),cubic_spline(F927:F933,A927:A933,B$9),IF(AND(COUNT(A928:A939)=7,COUNT(F928:F939)=7),cubic_spline(F927:F934,A927:A934,B$9),IF(AND(COUNT(A928:A939)=8,COUNT(F928:F939)=8),cubic_spline(F927:F935,A927:A935,B$9),IF(AND(COUNT(A928:A939)=9,COUNT(F928:F939)=9),cubic_spline(F927:F936,A927:A936,B$9),IF(AND(COUNT(A928:A939)=10,COUNT(F928:F939)=10),cubic_spline(F927:F937,A927:A937,B$9),IF(AND(COUNT(A928:A939)=11,COUNT(F928:F939)=11),cubic_spline(F927:F938,A927:A938,B$9),IF(AND(COUNT(A928:A939)=12,COUNT(F928:F939)=12),cubic_spline(F927:F939,A927:A939,B$9),""))))))))))))</f>
        <v/>
      </c>
      <c r="L935" s="27" t="str">
        <f>IF(I935="","",B$8&amp;"-"&amp;B$9)</f>
        <v/>
      </c>
      <c r="M935" s="52" t="str">
        <f t="shared" si="355"/>
        <v/>
      </c>
    </row>
    <row r="936" spans="1:13" x14ac:dyDescent="0.35">
      <c r="A936" s="48"/>
      <c r="B936" s="48"/>
      <c r="C936" s="50"/>
      <c r="D936" s="50"/>
      <c r="E936" s="51" t="str">
        <f t="shared" si="353"/>
        <v/>
      </c>
      <c r="F936" s="71" t="str">
        <f t="shared" si="351"/>
        <v/>
      </c>
      <c r="G936" s="69" t="str">
        <f t="shared" si="354"/>
        <v/>
      </c>
      <c r="H936" s="70" t="str">
        <f t="shared" si="352"/>
        <v/>
      </c>
      <c r="I936" s="27" t="str">
        <f>IF(N(J936)=0,"",0&amp;"-"&amp;B$10)</f>
        <v/>
      </c>
      <c r="J936" s="52" t="str">
        <f>IF(N(B$10)=0,"",IF(AND(COUNT(H928:H939)=2,COUNT(F928:F939)=2),cubic_spline(F927:F929,H927:H929,B$10),IF(AND(COUNT(H928:H939)=3,COUNT(F928:F939)=3),cubic_spline(F927:F930,H927:H930,B$10),IF(AND(COUNT(H928:H939)=4,COUNT(F928:F939)=4),cubic_spline(F927:F931,H927:H931,B$10),IF(AND(COUNT(H928:H939)=5,COUNT(F928:F939)=5),cubic_spline(F927:F932,H927:H932,B$10),IF(AND(COUNT(H928:H939)=6,COUNT(F928:F939)=6),cubic_spline(F927:F933,H927:H933,B$10),IF(AND(COUNT(H928:H939)=7,COUNT(F928:F939)=7),cubic_spline(F927:F934,H927:H934,B$10),IF(AND(COUNT(H928:H939)=8,COUNT(F928:F939)=8),cubic_spline(F927:F935,H927:H935,B$10),IF(AND(COUNT(H928:H939)=9,COUNT(F928:F939)=9),cubic_spline(F927:F936,H927:H936,B$10),IF(AND(COUNT(H928:H939)=10,COUNT(F928:F939)=10),cubic_spline(F927:F937,H927:H937,B$10),IF(AND(COUNT(H928:H939)=11,COUNT(F928:F939)=11),cubic_spline(F927:F938,H927:H938,B$10),IF(AND(COUNT(H928:H939)=12,COUNT(F928:F939)=12),cubic_spline(F927:F939,H927:H939,B$10),""))))))))))))</f>
        <v/>
      </c>
      <c r="K936" s="52" t="str">
        <f>IF(N(B$10)=0,"",IF(AND(COUNT(A928:A939)=2,COUNT(F928:F939)=2),cubic_spline(F927:F929,A927:A929,B$10),IF(AND(COUNT(A928:A939)=3,COUNT(F928:F939)=3),cubic_spline(F927:F930,A927:A930,B$10),IF(AND(COUNT(A928:A939)=4,COUNT(F928:F939)=4),cubic_spline(F927:F931,A927:A931,B$10),IF(AND(COUNT(A928:A939)=5,COUNT(F928:F939)=5),cubic_spline(F927:F932,A927:A932,B$10),IF(AND(COUNT(A928:A939)=6,COUNT(F928:F939)=6),cubic_spline(F927:F933,A927:A933,B$10),IF(AND(COUNT(A928:A939)=7,COUNT(F928:F939)=7),cubic_spline(F927:F934,A927:A934,B$10),IF(AND(COUNT(A928:A939)=8,COUNT(F928:F939)=8),cubic_spline(F927:F935,A927:A935,B$10),IF(AND(COUNT(A928:A939)=9,COUNT(F928:F939)=9),cubic_spline(F927:F936,A927:A936,B$10),IF(AND(COUNT(A928:A939)=10,COUNT(F928:F939)=10),cubic_spline(F927:F937,A927:A937,B$10),IF(AND(COUNT(A928:A939)=11,COUNT(F928:F939)=11),cubic_spline(F927:F938,A927:A938,B$10),IF(AND(COUNT(A928:A939)=12,COUNT(F928:F939)=12),cubic_spline(F927:F939,A927:A939,B$10),""))))))))))))</f>
        <v/>
      </c>
      <c r="L936" s="27" t="str">
        <f>IF(I936="","",B$9&amp;"-"&amp;B$10)</f>
        <v/>
      </c>
      <c r="M936" s="52" t="str">
        <f t="shared" si="355"/>
        <v/>
      </c>
    </row>
    <row r="937" spans="1:13" x14ac:dyDescent="0.35">
      <c r="A937" s="48"/>
      <c r="B937" s="48"/>
      <c r="C937" s="50"/>
      <c r="D937" s="50"/>
      <c r="E937" s="51" t="str">
        <f t="shared" si="353"/>
        <v/>
      </c>
      <c r="F937" s="71" t="str">
        <f t="shared" si="351"/>
        <v/>
      </c>
      <c r="G937" s="69" t="str">
        <f t="shared" si="354"/>
        <v/>
      </c>
      <c r="H937" s="70" t="str">
        <f t="shared" si="352"/>
        <v/>
      </c>
      <c r="I937" s="27" t="str">
        <f>IF(N(J937)=0,"",0&amp;"-"&amp;B$11)</f>
        <v/>
      </c>
      <c r="J937" s="52" t="str">
        <f>IF(N(B$11)=0,"",IF(AND(COUNT(H928:H939)=2,COUNT(F928:F939)=2),cubic_spline(F927:F929,H927:H929,B$11),IF(AND(COUNT(H928:H939)=3,COUNT(F928:F939)=3),cubic_spline(F927:F930,H927:H930,B$11),IF(AND(COUNT(H928:H939)=4,COUNT(F928:F939)=4),cubic_spline(F927:F931,H927:H931,B$11),IF(AND(COUNT(H928:H939)=5,COUNT(F928:F939)=5),cubic_spline(F927:F932,H927:H932,B$11),IF(AND(COUNT(H928:H939)=6,COUNT(F928:F939)=6),cubic_spline(F927:F933,H927:H933,B$11),IF(AND(COUNT(H928:H939)=7,COUNT(F928:F939)=7),cubic_spline(F927:F934,H927:H934,B$11),IF(AND(COUNT(H928:H939)=8,COUNT(F928:F939)=8),cubic_spline(F927:F935,H927:H935,B$11),IF(AND(COUNT(H928:H939)=9,COUNT(F928:F939)=9),cubic_spline(F927:F936,H927:H936,B$11),IF(AND(COUNT(H928:H939)=10,COUNT(F928:F939)=10),cubic_spline(F927:F937,H927:H937,B$11),IF(AND(COUNT(H928:H939)=11,COUNT(F928:F939)=11),cubic_spline(F927:F938,H927:H938,B$11),IF(AND(COUNT(H928:H939)=12,COUNT(F928:F939)=12),cubic_spline(F927:F939,H927:H939,B$11),""))))))))))))</f>
        <v/>
      </c>
      <c r="K937" s="52" t="str">
        <f>IF(N(B$11)=0,"",IF(AND(COUNT(A928:A939)=2,COUNT(F928:F939)=2),cubic_spline(F927:F929,A927:A929,B$11),IF(AND(COUNT(A928:A939)=3,COUNT(F928:F939)=3),cubic_spline(F927:F930,A927:A930,B$11),IF(AND(COUNT(A928:A939)=4,COUNT(F928:F939)=4),cubic_spline(F927:F931,A927:A931,B$11),IF(AND(COUNT(A928:A939)=5,COUNT(F928:F939)=5),cubic_spline(F927:F932,A927:A932,B$11),IF(AND(COUNT(A928:A939)=6,COUNT(F928:F939)=6),cubic_spline(F927:F933,A927:A933,B$11),IF(AND(COUNT(A928:A939)=7,COUNT(F928:F939)=7),cubic_spline(F927:F934,A927:A934,B$11),IF(AND(COUNT(A928:A939)=8,COUNT(F928:F939)=8),cubic_spline(F927:F935,A927:A935,B$11),IF(AND(COUNT(A928:A939)=9,COUNT(F928:F939)=9),cubic_spline(F927:F936,A927:A936,B$11),IF(AND(COUNT(A928:A939)=10,COUNT(F928:F939)=10),cubic_spline(F927:F937,A927:A937,B$11),IF(AND(COUNT(A928:A939)=11,COUNT(F928:F939)=11),cubic_spline(F927:F938,A927:A938,B$11),IF(AND(COUNT(A928:A939)=12,COUNT(F928:F939)=12),cubic_spline(F927:F939,A927:A939,B$11),""))))))))))))</f>
        <v/>
      </c>
      <c r="L937" s="27" t="str">
        <f>IF(I937="","",B$10&amp;"-"&amp;B$11)</f>
        <v/>
      </c>
      <c r="M937" s="52" t="str">
        <f t="shared" si="355"/>
        <v/>
      </c>
    </row>
    <row r="938" spans="1:13" x14ac:dyDescent="0.35">
      <c r="A938" s="48"/>
      <c r="B938" s="48"/>
      <c r="C938" s="50"/>
      <c r="D938" s="50"/>
      <c r="E938" s="51" t="str">
        <f t="shared" si="353"/>
        <v/>
      </c>
      <c r="F938" s="71" t="str">
        <f t="shared" si="351"/>
        <v/>
      </c>
      <c r="G938" s="69" t="str">
        <f t="shared" si="354"/>
        <v/>
      </c>
      <c r="H938" s="70" t="str">
        <f t="shared" si="352"/>
        <v/>
      </c>
      <c r="I938" s="27" t="str">
        <f>IF(N(J938)=0,"",0&amp;"-"&amp;B$12)</f>
        <v/>
      </c>
      <c r="J938" s="52" t="str">
        <f>IF(N(B$12)=0,"",IF(AND(COUNT(H928:H939)=2,COUNT(F928:F939)=2),cubic_spline(F927:F929,H927:H929,B$12),IF(AND(COUNT(H928:H939)=3,COUNT(F928:F939)=3),cubic_spline(F927:F930,H927:H930,B$12),IF(AND(COUNT(H928:H939)=4,COUNT(F928:F939)=4),cubic_spline(F927:F931,H927:H931,B$12),IF(AND(COUNT(H928:H939)=5,COUNT(F928:F939)=5),cubic_spline(F927:F932,H927:H932,B$12),IF(AND(COUNT(H928:H939)=6,COUNT(F928:F939)=6),cubic_spline(F927:F933,H927:H933,B$12),IF(AND(COUNT(H928:H939)=7,COUNT(F928:F939)=7),cubic_spline(F927:F934,H927:H934,B$12),IF(AND(COUNT(H928:H939)=8,COUNT(F928:F939)=8),cubic_spline(F927:F935,H927:H935,B$12),IF(AND(COUNT(H928:H939)=9,COUNT(F928:F939)=9),cubic_spline(F927:F936,H927:H936,B$12),IF(AND(COUNT(H928:H939)=10,COUNT(F928:F939)=10),cubic_spline(F927:F937,H927:H937,B$12),IF(AND(COUNT(H928:H939)=11,COUNT(F928:F939)=11),cubic_spline(F927:F938,H927:H938,B$12),IF(AND(COUNT(H928:H939)=12,COUNT(F928:F939)=12),cubic_spline(F927:F939,H927:H939,B$12),""))))))))))))</f>
        <v/>
      </c>
      <c r="K938" s="52" t="str">
        <f>IF(N(B$12)=0,"",IF(AND(COUNT(A928:A939)=2,COUNT(F928:F939)=2),cubic_spline(F927:F929,A927:A929,B$12),IF(AND(COUNT(A928:A939)=3,COUNT(F928:F939)=3),cubic_spline(F927:F930,A927:A930,B$12),IF(AND(COUNT(A928:A939)=4,COUNT(F928:F939)=4),cubic_spline(F927:F931,A927:A931,B$12),IF(AND(COUNT(A928:A939)=5,COUNT(F928:F939)=5),cubic_spline(F927:F932,A927:A932,B$12),IF(AND(COUNT(A928:A939)=6,COUNT(F928:F939)=6),cubic_spline(F927:F933,A927:A933,B$12),IF(AND(COUNT(A928:A939)=7,COUNT(F928:F939)=7),cubic_spline(F927:F934,A927:A934,B$12),IF(AND(COUNT(A928:A939)=8,COUNT(F928:F939)=8),cubic_spline(F927:F935,A927:A935,B$12),IF(AND(COUNT(A928:A939)=9,COUNT(F928:F939)=9),cubic_spline(F927:F936,A927:A936,B$12),IF(AND(COUNT(A928:A939)=10,COUNT(F928:F939)=10),cubic_spline(F927:F937,A927:A937,B$12),IF(AND(COUNT(A928:A939)=11,COUNT(F928:F939)=11),cubic_spline(F927:F938,A927:A938,B$12),IF(AND(COUNT(A928:A939)=12,COUNT(F928:F939)=12),cubic_spline(F927:F939,A927:A939,B$12),""))))))))))))</f>
        <v/>
      </c>
      <c r="L938" s="27" t="str">
        <f>IF(I938="","",B$11&amp;"-"&amp;B$12)</f>
        <v/>
      </c>
      <c r="M938" s="52" t="str">
        <f t="shared" si="355"/>
        <v/>
      </c>
    </row>
    <row r="939" spans="1:13" x14ac:dyDescent="0.35">
      <c r="A939" s="48"/>
      <c r="B939" s="48"/>
      <c r="C939" s="50"/>
      <c r="D939" s="50"/>
      <c r="E939" s="51" t="str">
        <f t="shared" si="353"/>
        <v/>
      </c>
      <c r="F939" s="71" t="str">
        <f t="shared" si="351"/>
        <v/>
      </c>
      <c r="G939" s="69" t="str">
        <f t="shared" si="354"/>
        <v/>
      </c>
      <c r="H939" s="70" t="str">
        <f t="shared" si="352"/>
        <v/>
      </c>
      <c r="I939" s="27" t="str">
        <f>IF(N(J939)=0,"",0&amp;"-"&amp;B$13)</f>
        <v/>
      </c>
      <c r="J939" s="52" t="str">
        <f>IF(N(B$13)=0,"",IF(AND(COUNT(H928:H939)=2,COUNT(F928:F939)=2),cubic_spline(F927:F929,H927:H929,B$13),IF(AND(COUNT(H928:H939)=3,COUNT(F928:F939)=3),cubic_spline(F927:F930,H927:H930,B$13),IF(AND(COUNT(H928:H939)=4,COUNT(F928:F939)=4),cubic_spline(F927:F931,H927:H931,B$13),IF(AND(COUNT(H928:H939)=5,COUNT(F928:F939)=5),cubic_spline(F927:F932,H927:H932,B$13),IF(AND(COUNT(H928:H939)=6,COUNT(F928:F939)=6),cubic_spline(F927:F933,H927:H933,B$13),IF(AND(COUNT(H928:H939)=7,COUNT(F928:F939)=7),cubic_spline(F927:F934,H927:H934,B$13),IF(AND(COUNT(H928:H939)=8,COUNT(F928:F939)=8),cubic_spline(F927:F935,H927:H935,B$13),IF(AND(COUNT(H928:H939)=9,COUNT(F928:F939)=9),cubic_spline(F927:F936,H927:H936,B$13),IF(AND(COUNT(H928:H939)=10,COUNT(F928:F939)=10),cubic_spline(F927:F937,H927:H937,B$13),IF(AND(COUNT(H928:H939)=11,COUNT(F928:F939)=11),cubic_spline(F927:F938,H927:H938,B$13),IF(AND(COUNT(H928:H939)=12,COUNT(F928:F939)=12),cubic_spline(F927:F939,H927:H939,B$13),""))))))))))))</f>
        <v/>
      </c>
      <c r="K939" s="52" t="str">
        <f>IF(N(B$13)=0,"",IF(AND(COUNT(A928:A939)=2,COUNT(F928:F939)=2),cubic_spline(F927:F929,A927:A929,B$13),IF(AND(COUNT(A928:A939)=3,COUNT(F928:F939)=3),cubic_spline(F927:F930,A927:A930,B$13),IF(AND(COUNT(A928:A939)=4,COUNT(F928:F939)=4),cubic_spline(F927:F931,A927:A931,B$13),IF(AND(COUNT(A928:A939)=5,COUNT(F928:F939)=5),cubic_spline(F927:F932,A927:A932,B$13),IF(AND(COUNT(A928:A939)=6,COUNT(F928:F939)=6),cubic_spline(F927:F933,A927:A933,B$13),IF(AND(COUNT(A928:A939)=7,COUNT(F928:F939)=7),cubic_spline(F927:F934,A927:A934,B$13),IF(AND(COUNT(A928:A939)=8,COUNT(F928:F939)=8),cubic_spline(F927:F935,A927:A935,B$13),IF(AND(COUNT(A928:A939)=9,COUNT(F928:F939)=9),cubic_spline(F927:F936,A927:A936,B$13),IF(AND(COUNT(A928:A939)=10,COUNT(F928:F939)=10),cubic_spline(F927:F937,A927:A937,B$13),IF(AND(COUNT(A928:A939)=11,COUNT(F928:F939)=11),cubic_spline(F927:F938,A927:A938,B$13),IF(AND(COUNT(A928:A939)=12,COUNT(F928:F939)=12),cubic_spline(F927:F939,A927:A939,B$13),""))))))))))))</f>
        <v/>
      </c>
      <c r="L939" s="27" t="str">
        <f>IF(I939="","",B$12&amp;"-"&amp;B$13)</f>
        <v/>
      </c>
      <c r="M939" s="52" t="str">
        <f t="shared" si="355"/>
        <v/>
      </c>
    </row>
    <row r="940" spans="1:13" ht="5.15" customHeight="1" x14ac:dyDescent="0.35">
      <c r="A940" s="47"/>
      <c r="B940" s="47"/>
      <c r="C940" s="53"/>
      <c r="D940" s="53"/>
      <c r="E940" s="54"/>
      <c r="F940" s="55"/>
      <c r="G940" s="72"/>
      <c r="H940" s="73"/>
      <c r="I940" s="47"/>
      <c r="J940" s="57"/>
      <c r="K940" s="57"/>
      <c r="L940" s="55"/>
      <c r="M940" s="57"/>
    </row>
    <row r="941" spans="1:13" x14ac:dyDescent="0.35">
      <c r="A941" s="48"/>
      <c r="B941" s="48"/>
      <c r="C941" s="50"/>
      <c r="D941" s="50"/>
      <c r="E941" s="51" t="str">
        <f>IF(N(C941)=0,"",(A941-A940)*C941*100)</f>
        <v/>
      </c>
      <c r="F941" s="68" t="str">
        <f t="shared" ref="F941:F952" si="356">IF(N(E941)=0,"",(N(E941)+N(F940)))</f>
        <v/>
      </c>
      <c r="G941" s="69" t="str">
        <f>IF(OR(N(D941)=0,N(E941)=0),"",(E941*D941)/1000)</f>
        <v/>
      </c>
      <c r="H941" s="70" t="str">
        <f t="shared" ref="H941:H952" si="357">IF(N(G941)=0,"",(N(G941)+N(H940)))</f>
        <v/>
      </c>
      <c r="I941" s="27" t="str">
        <f>IF(N(J941)=0,"",0&amp;"-"&amp;B$2)</f>
        <v/>
      </c>
      <c r="J941" s="52" t="str">
        <f>IF(N(B$2)=0,"",IF(AND(COUNT(H941:H952)=2,COUNT(F941:F952)=2),cubic_spline(F940:F942,H940:H942,B$2),IF(AND(COUNT(H941:H952)=3,COUNT(F941:F952)=3),cubic_spline(F940:F943,H940:H943,B$2),IF(AND(COUNT(H941:H952)=4,COUNT(F941:F952)=4),cubic_spline(F940:F944,H940:H944,B$2),IF(AND(COUNT(H941:H952)=5,COUNT(F941:F952)=5),cubic_spline(F940:F945,H940:H945,B$2),IF(AND(COUNT(H941:H952)=6,COUNT(F941:F952)=6),cubic_spline(F940:F946,H940:H946,B$2),IF(AND(COUNT(H941:H952)=7,COUNT(F941:F952)=7),cubic_spline(F940:F947,H940:H947,B$2),IF(AND(COUNT(H941:H952)=8,COUNT(F941:F952)=8),cubic_spline(F940:F948,H940:H948,B$2),IF(AND(COUNT(H941:H952)=9,COUNT(F941:F952)=9),cubic_spline(F940:F949,H940:H949,B$2),IF(AND(COUNT(H941:H952)=10,COUNT(F941:F952)=10),cubic_spline(F940:F950,H940:H950,B$2),IF(AND(COUNT(H941:H952)=11,COUNT(F941:F952)=11),cubic_spline(F940:F951,H940:H951,B$2),IF(AND(COUNT(H941:H952)=12,COUNT(F941:F952)=12),cubic_spline(F940:F952,H940:H952,B$2),""))))))))))))</f>
        <v/>
      </c>
      <c r="K941" s="52" t="str">
        <f>IF(N(B$2)=0,"",IF(AND(COUNT(A941:A952)=2,COUNT(F941:F952)=2),cubic_spline(F940:F942,A940:A942,B$2),IF(AND(COUNT(A941:A952)=3,COUNT(F941:F952)=3),cubic_spline(F940:F943,A940:A943,B$2),IF(AND(COUNT(A941:A952)=4,COUNT(F941:F952)=4),cubic_spline(F940:F944,A940:A944,B$2),IF(AND(COUNT(A941:A952)=5,COUNT(F941:F952)=5),cubic_spline(F940:F945,A940:A945,B$2),IF(AND(COUNT(A941:A952)=6,COUNT(F941:F952)=6),cubic_spline(F940:F946,A940:A946,B$2),IF(AND(COUNT(A941:A952)=7,COUNT(F941:F952)=7),cubic_spline(F940:F947,A940:A947,B$2),IF(AND(COUNT(A941:A952)=8,COUNT(F941:F952)=8),cubic_spline(F940:F948,A940:A948,B$2),IF(AND(COUNT(A941:A952)=9,COUNT(F941:F952)=9),cubic_spline(F940:F949,A940:A949,B$2),IF(AND(COUNT(A941:A952)=10,COUNT(F941:F952)=10),cubic_spline(F940:F950,A940:A950,B$2),IF(AND(COUNT(A941:A952)=11,COUNT(F941:F952)=11),cubic_spline(F940:F951,A940:A951,B$2),IF(AND(COUNT(A941:A952)=12,COUNT(F941:F952)=12),cubic_spline(F940:F952,A940:A952,B$2),""))))))))))))</f>
        <v/>
      </c>
      <c r="L941" s="27" t="str">
        <f>IF(I941="","",0&amp;"-"&amp;B$2)</f>
        <v/>
      </c>
      <c r="M941" s="52" t="str">
        <f>IF(N(J941)=0,"",J941-J940)</f>
        <v/>
      </c>
    </row>
    <row r="942" spans="1:13" x14ac:dyDescent="0.35">
      <c r="A942" s="48"/>
      <c r="B942" s="48"/>
      <c r="C942" s="50"/>
      <c r="D942" s="50"/>
      <c r="E942" s="51" t="str">
        <f t="shared" ref="E942:E952" si="358">IF(N(C942)=0,"",(A942-A941)*C942*100)</f>
        <v/>
      </c>
      <c r="F942" s="68" t="str">
        <f t="shared" si="356"/>
        <v/>
      </c>
      <c r="G942" s="69" t="str">
        <f t="shared" ref="G942:G952" si="359">IF(OR(N(D942)=0,N(E942)=0),"",(E942*D942)/1000)</f>
        <v/>
      </c>
      <c r="H942" s="70" t="str">
        <f t="shared" si="357"/>
        <v/>
      </c>
      <c r="I942" s="27" t="str">
        <f>IF(N(J942)=0,"",0&amp;"-"&amp;B$3)</f>
        <v/>
      </c>
      <c r="J942" s="52" t="str">
        <f>IF(N(B$3)=0,"",IF(AND(COUNT(H941:H952)=2,COUNT(F941:F952)=2),cubic_spline(F940:F942,H940:H942,B$3),IF(AND(COUNT(H941:H952)=3,COUNT(F941:F952)=3),cubic_spline(F940:F943,H940:H943,B$3),IF(AND(COUNT(H941:H952)=4,COUNT(F941:F952)=4),cubic_spline(F940:F944,H940:H944,B$3),IF(AND(COUNT(H941:H952)=5,COUNT(F941:F952)=5),cubic_spline(F940:F945,H940:H945,B$3),IF(AND(COUNT(H941:H952)=6,COUNT(F941:F952)=6),cubic_spline(F940:F946,H940:H946,B$3),IF(AND(COUNT(H941:H952)=7,COUNT(F941:F952)=7),cubic_spline(F940:F947,H940:H947,B$3),IF(AND(COUNT(H941:H952)=8,COUNT(F941:F952)=8),cubic_spline(F940:F948,H940:H948,B$3),IF(AND(COUNT(H941:H952)=9,COUNT(F941:F952)=9),cubic_spline(F940:F949,H940:H949,B$3),IF(AND(COUNT(H941:H952)=10,COUNT(F941:F952)=10),cubic_spline(F940:F950,H940:H950,B$3),IF(AND(COUNT(H941:H952)=11,COUNT(F941:F952)=11),cubic_spline(F940:F951,H940:H951,B$3),IF(AND(COUNT(H941:H952)=12,COUNT(F941:F952)=12),cubic_spline(F940:F952,H940:H952,B$3),""))))))))))))</f>
        <v/>
      </c>
      <c r="K942" s="52" t="str">
        <f>IF(N(B$3)=0,"",IF(AND(COUNT(A941:A952)=2,COUNT(F941:F952)=2),cubic_spline(F940:F942,A940:A942,B$3),IF(AND(COUNT(A941:A952)=3,COUNT(F941:F952)=3),cubic_spline(F940:F943,A940:A943,B$3),IF(AND(COUNT(A941:A952)=4,COUNT(F941:F952)=4),cubic_spline(F940:F944,A940:A944,B$3),IF(AND(COUNT(A941:A952)=5,COUNT(F941:F952)=5),cubic_spline(F940:F945,A940:A945,B$3),IF(AND(COUNT(A941:A952)=6,COUNT(F941:F952)=6),cubic_spline(F940:F946,A940:A946,B$3),IF(AND(COUNT(A941:A952)=7,COUNT(F941:F952)=7),cubic_spline(F940:F947,A940:A947,B$3),IF(AND(COUNT(A941:A952)=8,COUNT(F941:F952)=8),cubic_spline(F940:F948,A940:A948,B$3),IF(AND(COUNT(A941:A952)=9,COUNT(F941:F952)=9),cubic_spline(F940:F949,A940:A949,B$3),IF(AND(COUNT(A941:A952)=10,COUNT(F941:F952)=10),cubic_spline(F940:F950,A940:A950,B$3),IF(AND(COUNT(A941:A952)=11,COUNT(F941:F952)=11),cubic_spline(F940:F951,A940:A951,B$3),IF(AND(COUNT(A941:A952)=12,COUNT(F941:F952)=12),cubic_spline(F940:F952,A940:A952,B$3),""))))))))))))</f>
        <v/>
      </c>
      <c r="L942" s="27" t="str">
        <f>IF(I942="","",B$2&amp;"-"&amp;B$3)</f>
        <v/>
      </c>
      <c r="M942" s="52" t="str">
        <f>IF(N(J942)=0,"",J942-J941)</f>
        <v/>
      </c>
    </row>
    <row r="943" spans="1:13" x14ac:dyDescent="0.35">
      <c r="A943" s="48"/>
      <c r="B943" s="48"/>
      <c r="C943" s="50"/>
      <c r="D943" s="50"/>
      <c r="E943" s="51" t="str">
        <f t="shared" si="358"/>
        <v/>
      </c>
      <c r="F943" s="68" t="str">
        <f t="shared" si="356"/>
        <v/>
      </c>
      <c r="G943" s="69" t="str">
        <f t="shared" si="359"/>
        <v/>
      </c>
      <c r="H943" s="70" t="str">
        <f t="shared" si="357"/>
        <v/>
      </c>
      <c r="I943" s="27" t="str">
        <f>IF(N(J943)=0,"",0&amp;"-"&amp;B$4)</f>
        <v/>
      </c>
      <c r="J943" s="52" t="str">
        <f>IF(N(B$4)=0,"",IF(AND(COUNT(H941:H952)=2,COUNT(F941:F952)=2),cubic_spline(F940:F942,H940:H942,B$4),IF(AND(COUNT(H941:H952)=3,COUNT(F941:F952)=3),cubic_spline(F940:F943,H940:H943,B$4),IF(AND(COUNT(H941:H952)=4,COUNT(F941:F952)=4),cubic_spline(F940:F944,H940:H944,B$4),IF(AND(COUNT(H941:H952)=5,COUNT(F941:F952)=5),cubic_spline(F940:F945,H940:H945,B$4),IF(AND(COUNT(H941:H952)=6,COUNT(F941:F952)=6),cubic_spline(F940:F946,H940:H946,B$4),IF(AND(COUNT(H941:H952)=7,COUNT(F941:F952)=7),cubic_spline(F940:F947,H940:H947,B$4),IF(AND(COUNT(H941:H952)=8,COUNT(F941:F952)=8),cubic_spline(F940:F948,H940:H948,B$4),IF(AND(COUNT(H941:H952)=9,COUNT(F941:F952)=9),cubic_spline(F940:F949,H940:H949,B$4),IF(AND(COUNT(H941:H952)=10,COUNT(F941:F952)=10),cubic_spline(F940:F950,H940:H950,B$4),IF(AND(COUNT(H941:H952)=11,COUNT(F941:F952)=11),cubic_spline(F940:F951,H940:H951,B$4),IF(AND(COUNT(H941:H952)=12,COUNT(F941:F952)=12),cubic_spline(F940:F952,H940:H952,B$4),""))))))))))))</f>
        <v/>
      </c>
      <c r="K943" s="52" t="str">
        <f>IF(N(B$4)=0,"",IF(AND(COUNT(A941:A952)=2,COUNT(F941:F952)=2),cubic_spline(F940:F942,A940:A942,B$4),IF(AND(COUNT(A941:A952)=3,COUNT(F941:F952)=3),cubic_spline(F940:F943,A940:A943,B$4),IF(AND(COUNT(A941:A952)=4,COUNT(F941:F952)=4),cubic_spline(F940:F944,A940:A944,B$4),IF(AND(COUNT(A941:A952)=5,COUNT(F941:F952)=5),cubic_spline(F940:F945,A940:A945,B$4),IF(AND(COUNT(A941:A952)=6,COUNT(F941:F952)=6),cubic_spline(F940:F946,A940:A946,B$4),IF(AND(COUNT(A941:A952)=7,COUNT(F941:F952)=7),cubic_spline(F940:F947,A940:A947,B$4),IF(AND(COUNT(A941:A952)=8,COUNT(F941:F952)=8),cubic_spline(F940:F948,A940:A948,B$4),IF(AND(COUNT(A941:A952)=9,COUNT(F941:F952)=9),cubic_spline(F940:F949,A940:A949,B$4),IF(AND(COUNT(A941:A952)=10,COUNT(F941:F952)=10),cubic_spline(F940:F950,A940:A950,B$4),IF(AND(COUNT(A941:A952)=11,COUNT(F941:F952)=11),cubic_spline(F940:F951,A940:A951,B$4),IF(AND(COUNT(A941:A952)=12,COUNT(F941:F952)=12),cubic_spline(F940:F952,A940:A952,B$4),""))))))))))))</f>
        <v/>
      </c>
      <c r="L943" s="27" t="str">
        <f>IF(I943="","",B$3&amp;"-"&amp;B$4)</f>
        <v/>
      </c>
      <c r="M943" s="52" t="str">
        <f>IF(N(J943)=0,"",J943-J942)</f>
        <v/>
      </c>
    </row>
    <row r="944" spans="1:13" x14ac:dyDescent="0.35">
      <c r="A944" s="48"/>
      <c r="B944" s="48"/>
      <c r="C944" s="50"/>
      <c r="D944" s="50"/>
      <c r="E944" s="51" t="str">
        <f t="shared" si="358"/>
        <v/>
      </c>
      <c r="F944" s="68" t="str">
        <f t="shared" si="356"/>
        <v/>
      </c>
      <c r="G944" s="69" t="str">
        <f t="shared" si="359"/>
        <v/>
      </c>
      <c r="H944" s="70" t="str">
        <f t="shared" si="357"/>
        <v/>
      </c>
      <c r="I944" s="27" t="str">
        <f>IF(N(J944)=0,"",0&amp;"-"&amp;B$5)</f>
        <v/>
      </c>
      <c r="J944" s="52" t="str">
        <f>IF(N(B$5)=0,"",IF(AND(COUNT(H941:H952)=2,COUNT(F941:F952)=2),cubic_spline(F940:F942,H940:H942,B$5),IF(AND(COUNT(H941:H952)=3,COUNT(F941:F952)=3),cubic_spline(F940:F943,H940:H943,B$5),IF(AND(COUNT(H941:H952)=4,COUNT(F941:F952)=4),cubic_spline(F940:F944,H940:H944,B$5),IF(AND(COUNT(H941:H952)=5,COUNT(F941:F952)=5),cubic_spline(F940:F945,H940:H945,B$5),IF(AND(COUNT(H941:H952)=6,COUNT(F941:F952)=6),cubic_spline(F940:F946,H940:H946,B$5),IF(AND(COUNT(H941:H952)=7,COUNT(F941:F952)=7),cubic_spline(F940:F947,H940:H947,B$5),IF(AND(COUNT(H941:H952)=8,COUNT(F941:F952)=8),cubic_spline(F940:F948,H940:H948,B$5),IF(AND(COUNT(H941:H952)=9,COUNT(F941:F952)=9),cubic_spline(F940:F949,H940:H949,B$5),IF(AND(COUNT(H941:H952)=10,COUNT(F941:F952)=10),cubic_spline(F940:F950,H940:H950,B$5),IF(AND(COUNT(H941:H952)=11,COUNT(F941:F952)=11),cubic_spline(F940:F951,H940:H951,B$5),IF(AND(COUNT(H941:H952)=12,COUNT(F941:F952)=12),cubic_spline(F940:F952,H940:H952,B$5),""))))))))))))</f>
        <v/>
      </c>
      <c r="K944" s="52" t="str">
        <f>IF(N(B$5)=0,"",IF(AND(COUNT(A941:A952)=2,COUNT(F941:F952)=2),cubic_spline(F940:F942,A940:A942,B$5),IF(AND(COUNT(A941:A952)=3,COUNT(F941:F952)=3),cubic_spline(F940:F943,A940:A943,B$5),IF(AND(COUNT(A941:A952)=4,COUNT(F941:F952)=4),cubic_spline(F940:F944,A940:A944,B$5),IF(AND(COUNT(A941:A952)=5,COUNT(F941:F952)=5),cubic_spline(F940:F945,A940:A945,B$5),IF(AND(COUNT(A941:A952)=6,COUNT(F941:F952)=6),cubic_spline(F940:F946,A940:A946,B$5),IF(AND(COUNT(A941:A952)=7,COUNT(F941:F952)=7),cubic_spline(F940:F947,A940:A947,B$5),IF(AND(COUNT(A941:A952)=8,COUNT(F941:F952)=8),cubic_spline(F940:F948,A940:A948,B$5),IF(AND(COUNT(A941:A952)=9,COUNT(F941:F952)=9),cubic_spline(F940:F949,A940:A949,B$5),IF(AND(COUNT(A941:A952)=10,COUNT(F941:F952)=10),cubic_spline(F940:F950,A940:A950,B$5),IF(AND(COUNT(A941:A952)=11,COUNT(F941:F952)=11),cubic_spline(F940:F951,A940:A951,B$5),IF(AND(COUNT(A941:A952)=12,COUNT(F941:F952)=12),cubic_spline(F940:F952,A940:A952,B$5),""))))))))))))</f>
        <v/>
      </c>
      <c r="L944" s="27" t="str">
        <f>IF(I944="","",B$4&amp;"-"&amp;B$5)</f>
        <v/>
      </c>
      <c r="M944" s="52" t="str">
        <f>IF(N(J944)=0,"",J944-J943)</f>
        <v/>
      </c>
    </row>
    <row r="945" spans="1:13" x14ac:dyDescent="0.35">
      <c r="A945" s="48"/>
      <c r="B945" s="48"/>
      <c r="C945" s="50"/>
      <c r="D945" s="50"/>
      <c r="E945" s="51" t="str">
        <f t="shared" si="358"/>
        <v/>
      </c>
      <c r="F945" s="71" t="str">
        <f t="shared" si="356"/>
        <v/>
      </c>
      <c r="G945" s="69" t="str">
        <f t="shared" si="359"/>
        <v/>
      </c>
      <c r="H945" s="70" t="str">
        <f t="shared" si="357"/>
        <v/>
      </c>
      <c r="I945" s="27" t="str">
        <f>IF(N(J945)=0,"",0&amp;"-"&amp;B$6)</f>
        <v/>
      </c>
      <c r="J945" s="52" t="str">
        <f>IF(N(B$6)=0,"",IF(AND(COUNT(H941:H952)=2,COUNT(F941:F952)=2),cubic_spline(F940:F942,H940:H942,B$6),IF(AND(COUNT(H941:H952)=3,COUNT(F941:F952)=3),cubic_spline(F940:F943,H940:H943,B$6),IF(AND(COUNT(H941:H952)=4,COUNT(F941:F952)=4),cubic_spline(F940:F944,H940:H944,B$6),IF(AND(COUNT(H941:H952)=5,COUNT(F941:F952)=5),cubic_spline(F940:F945,H940:H945,B$6),IF(AND(COUNT(H941:H952)=6,COUNT(F941:F952)=6),cubic_spline(F940:F946,H940:H946,B$6),IF(AND(COUNT(H941:H952)=7,COUNT(F941:F952)=7),cubic_spline(F940:F947,H940:H947,B$6),IF(AND(COUNT(H941:H952)=8,COUNT(F941:F952)=8),cubic_spline(F940:F948,H940:H948,B$6),IF(AND(COUNT(H941:H952)=9,COUNT(F941:F952)=9),cubic_spline(F940:F949,H940:H949,B$6),IF(AND(COUNT(H941:H952)=10,COUNT(F941:F952)=10),cubic_spline(F940:F950,H940:H950,B$6),IF(AND(COUNT(H941:H952)=11,COUNT(F941:F952)=11),cubic_spline(F940:F951,H940:H951,B$6),IF(AND(COUNT(H941:H952)=12,COUNT(F941:F952)=12),cubic_spline(F940:F952,H940:H952,B$6),""))))))))))))</f>
        <v/>
      </c>
      <c r="K945" s="52" t="str">
        <f>IF(N(B$6)=0,"",IF(AND(COUNT(A941:A952)=2,COUNT(F941:F952)=2),cubic_spline(F940:F942,A940:A942,B$6),IF(AND(COUNT(A941:A952)=3,COUNT(F941:F952)=3),cubic_spline(F940:F943,A940:A943,B$6),IF(AND(COUNT(A941:A952)=4,COUNT(F941:F952)=4),cubic_spline(F940:F944,A940:A944,B$6),IF(AND(COUNT(A941:A952)=5,COUNT(F941:F952)=5),cubic_spline(F940:F945,A940:A945,B$6),IF(AND(COUNT(A941:A952)=6,COUNT(F941:F952)=6),cubic_spline(F940:F946,A940:A946,B$6),IF(AND(COUNT(A941:A952)=7,COUNT(F941:F952)=7),cubic_spline(F940:F947,A940:A947,B$6),IF(AND(COUNT(A941:A952)=8,COUNT(F941:F952)=8),cubic_spline(F940:F948,A940:A948,B$6),IF(AND(COUNT(A941:A952)=9,COUNT(F941:F952)=9),cubic_spline(F940:F949,A940:A949,B$6),IF(AND(COUNT(A941:A952)=10,COUNT(F941:F952)=10),cubic_spline(F940:F950,A940:A950,B$6),IF(AND(COUNT(A941:A952)=11,COUNT(F941:F952)=11),cubic_spline(F940:F951,A940:A951,B$6),IF(AND(COUNT(A941:A952)=12,COUNT(F941:F952)=12),cubic_spline(F940:F952,A940:A952,B$6),""))))))))))))</f>
        <v/>
      </c>
      <c r="L945" s="27" t="str">
        <f>IF(I945="","",B$5&amp;"-"&amp;B$6)</f>
        <v/>
      </c>
      <c r="M945" s="52" t="str">
        <f>IF(N(J945)=0,"",J945-J944)</f>
        <v/>
      </c>
    </row>
    <row r="946" spans="1:13" x14ac:dyDescent="0.35">
      <c r="A946" s="48"/>
      <c r="B946" s="48"/>
      <c r="C946" s="50"/>
      <c r="D946" s="50"/>
      <c r="E946" s="51" t="str">
        <f t="shared" si="358"/>
        <v/>
      </c>
      <c r="F946" s="71" t="str">
        <f t="shared" si="356"/>
        <v/>
      </c>
      <c r="G946" s="69" t="str">
        <f t="shared" si="359"/>
        <v/>
      </c>
      <c r="H946" s="70" t="str">
        <f t="shared" si="357"/>
        <v/>
      </c>
      <c r="I946" s="27" t="str">
        <f>IF(N(J946)=0,"",0&amp;"-"&amp;B$7)</f>
        <v/>
      </c>
      <c r="J946" s="52" t="str">
        <f>IF(N(B$7)=0,"",IF(AND(COUNT(H941:H952)=2,COUNT(F941:F952)=2),cubic_spline(F940:F942,H940:H942,B$7),IF(AND(COUNT(H941:H952)=3,COUNT(F941:F952)=3),cubic_spline(F940:F943,H940:H943,B$7),IF(AND(COUNT(H941:H952)=4,COUNT(F941:F952)=4),cubic_spline(F940:F944,H940:H944,B$7),IF(AND(COUNT(H941:H952)=5,COUNT(F941:F952)=5),cubic_spline(F940:F945,H940:H945,B$7),IF(AND(COUNT(H941:H952)=6,COUNT(F941:F952)=6),cubic_spline(F940:F946,H940:H946,B$7),IF(AND(COUNT(H941:H952)=7,COUNT(F941:F952)=7),cubic_spline(F940:F947,H940:H947,B$7),IF(AND(COUNT(H941:H952)=8,COUNT(F941:F952)=8),cubic_spline(F940:F948,H940:H948,B$7),IF(AND(COUNT(H941:H952)=9,COUNT(F941:F952)=9),cubic_spline(F940:F949,H940:H949,B$7),IF(AND(COUNT(H941:H952)=10,COUNT(F941:F952)=10),cubic_spline(F940:F950,H940:H950,B$7),IF(AND(COUNT(H941:H952)=11,COUNT(F941:F952)=11),cubic_spline(F940:F951,H940:H951,B$7),IF(AND(COUNT(H941:H952)=12,COUNT(F941:F952)=12),cubic_spline(F940:F952,H940:H952,B$7),""))))))))))))</f>
        <v/>
      </c>
      <c r="K946" s="52" t="str">
        <f>IF(N(B$7)=0,"",IF(AND(COUNT(A941:A952)=2,COUNT(F941:F952)=2),cubic_spline(F940:F942,A940:A942,B$7),IF(AND(COUNT(A941:A952)=3,COUNT(F941:F952)=3),cubic_spline(F940:F943,A940:A943,B$7),IF(AND(COUNT(A941:A952)=4,COUNT(F941:F952)=4),cubic_spline(F940:F944,A940:A944,B$7),IF(AND(COUNT(A941:A952)=5,COUNT(F941:F952)=5),cubic_spline(F940:F945,A940:A945,B$7),IF(AND(COUNT(A941:A952)=6,COUNT(F941:F952)=6),cubic_spline(F940:F946,A940:A946,B$7),IF(AND(COUNT(A941:A952)=7,COUNT(F941:F952)=7),cubic_spline(F940:F947,A940:A947,B$7),IF(AND(COUNT(A941:A952)=8,COUNT(F941:F952)=8),cubic_spline(F940:F948,A940:A948,B$7),IF(AND(COUNT(A941:A952)=9,COUNT(F941:F952)=9),cubic_spline(F940:F949,A940:A949,B$7),IF(AND(COUNT(A941:A952)=10,COUNT(F941:F952)=10),cubic_spline(F940:F950,A940:A950,B$7),IF(AND(COUNT(A941:A952)=11,COUNT(F941:F952)=11),cubic_spline(F940:F951,A940:A951,B$7),IF(AND(COUNT(A941:A952)=12,COUNT(F941:F952)=12),cubic_spline(F940:F952,A940:A952,B$7),""))))))))))))</f>
        <v/>
      </c>
      <c r="L946" s="27" t="str">
        <f>IF(I946="","",B$6&amp;"-"&amp;B$7)</f>
        <v/>
      </c>
      <c r="M946" s="52" t="str">
        <f t="shared" ref="M946:M952" si="360">IF(N(J946)=0,"",J946-J945)</f>
        <v/>
      </c>
    </row>
    <row r="947" spans="1:13" x14ac:dyDescent="0.35">
      <c r="A947" s="48"/>
      <c r="B947" s="48"/>
      <c r="C947" s="50"/>
      <c r="D947" s="50"/>
      <c r="E947" s="51" t="str">
        <f t="shared" si="358"/>
        <v/>
      </c>
      <c r="F947" s="71" t="str">
        <f t="shared" si="356"/>
        <v/>
      </c>
      <c r="G947" s="69" t="str">
        <f t="shared" si="359"/>
        <v/>
      </c>
      <c r="H947" s="70" t="str">
        <f t="shared" si="357"/>
        <v/>
      </c>
      <c r="I947" s="27" t="str">
        <f>IF(N(J947)=0,"",0&amp;"-"&amp;B$8)</f>
        <v/>
      </c>
      <c r="J947" s="52" t="str">
        <f>IF(N(B$8)=0,"",IF(AND(COUNT(H941:H952)=2,COUNT(F941:F952)=2),cubic_spline(F940:F942,H940:H942,B$8),IF(AND(COUNT(H941:H952)=3,COUNT(F941:F952)=3),cubic_spline(F940:F943,H940:H943,B$8),IF(AND(COUNT(H941:H952)=4,COUNT(F941:F952)=4),cubic_spline(F940:F944,H940:H944,B$8),IF(AND(COUNT(H941:H952)=5,COUNT(F941:F952)=5),cubic_spline(F940:F945,H940:H945,B$8),IF(AND(COUNT(H941:H952)=6,COUNT(F941:F952)=6),cubic_spline(F940:F946,H940:H946,B$8),IF(AND(COUNT(H941:H952)=7,COUNT(F941:F952)=7),cubic_spline(F940:F947,H940:H947,B$8),IF(AND(COUNT(H941:H952)=8,COUNT(F941:F952)=8),cubic_spline(F940:F948,H940:H948,B$8),IF(AND(COUNT(H941:H952)=9,COUNT(F941:F952)=9),cubic_spline(F940:F949,H940:H949,B$8),IF(AND(COUNT(H941:H952)=10,COUNT(F941:F952)=10),cubic_spline(F940:F950,H940:H950,B$8),IF(AND(COUNT(H941:H952)=11,COUNT(F941:F952)=11),cubic_spline(F940:F951,H940:H951,B$8),IF(AND(COUNT(H941:H952)=12,COUNT(F941:F952)=12),cubic_spline(F940:F952,H940:H952,B$8),""))))))))))))</f>
        <v/>
      </c>
      <c r="K947" s="52" t="str">
        <f>IF(N(B$8)=0,"",IF(AND(COUNT(A941:A952)=2,COUNT(F941:F952)=2),cubic_spline(F940:F942,A940:A942,B$8),IF(AND(COUNT(A941:A952)=3,COUNT(F941:F952)=3),cubic_spline(F940:F943,A940:A943,B$8),IF(AND(COUNT(A941:A952)=4,COUNT(F941:F952)=4),cubic_spline(F940:F944,A940:A944,B$8),IF(AND(COUNT(A941:A952)=5,COUNT(F941:F952)=5),cubic_spline(F940:F945,A940:A945,B$8),IF(AND(COUNT(A941:A952)=6,COUNT(F941:F952)=6),cubic_spline(F940:F946,A940:A946,B$8),IF(AND(COUNT(A941:A952)=7,COUNT(F941:F952)=7),cubic_spline(F940:F947,A940:A947,B$8),IF(AND(COUNT(A941:A952)=8,COUNT(F941:F952)=8),cubic_spline(F940:F948,A940:A948,B$8),IF(AND(COUNT(A941:A952)=9,COUNT(F941:F952)=9),cubic_spline(F940:F949,A940:A949,B$8),IF(AND(COUNT(A941:A952)=10,COUNT(F941:F952)=10),cubic_spline(F940:F950,A940:A950,B$8),IF(AND(COUNT(A941:A952)=11,COUNT(F941:F952)=11),cubic_spline(F940:F951,A940:A951,B$8),IF(AND(COUNT(A941:A952)=12,COUNT(F941:F952)=12),cubic_spline(F940:F952,A940:A952,B$8),""))))))))))))</f>
        <v/>
      </c>
      <c r="L947" s="27" t="str">
        <f>IF(I947="","",B$7&amp;"-"&amp;B$8)</f>
        <v/>
      </c>
      <c r="M947" s="52" t="str">
        <f t="shared" si="360"/>
        <v/>
      </c>
    </row>
    <row r="948" spans="1:13" x14ac:dyDescent="0.35">
      <c r="A948" s="48"/>
      <c r="B948" s="48"/>
      <c r="C948" s="50"/>
      <c r="D948" s="50"/>
      <c r="E948" s="51" t="str">
        <f t="shared" si="358"/>
        <v/>
      </c>
      <c r="F948" s="71" t="str">
        <f t="shared" si="356"/>
        <v/>
      </c>
      <c r="G948" s="69" t="str">
        <f t="shared" si="359"/>
        <v/>
      </c>
      <c r="H948" s="70" t="str">
        <f t="shared" si="357"/>
        <v/>
      </c>
      <c r="I948" s="27" t="str">
        <f>IF(N(J948)=0,"",0&amp;"-"&amp;B$9)</f>
        <v/>
      </c>
      <c r="J948" s="52" t="str">
        <f>IF(N(B$9)=0,"",IF(AND(COUNT(H941:H952)=2,COUNT(F941:F952)=2),cubic_spline(F940:F942,H940:H942,B$9),IF(AND(COUNT(H941:H952)=3,COUNT(F941:F952)=3),cubic_spline(F940:F943,H940:H943,B$9),IF(AND(COUNT(H941:H952)=4,COUNT(F941:F952)=4),cubic_spline(F940:F944,H940:H944,B$9),IF(AND(COUNT(H941:H952)=5,COUNT(F941:F952)=5),cubic_spline(F940:F945,H940:H945,B$9),IF(AND(COUNT(H941:H952)=6,COUNT(F941:F952)=6),cubic_spline(F940:F946,H940:H946,B$9),IF(AND(COUNT(H941:H952)=7,COUNT(F941:F952)=7),cubic_spline(F940:F947,H940:H947,B$9),IF(AND(COUNT(H941:H952)=8,COUNT(F941:F952)=8),cubic_spline(F940:F948,H940:H948,B$9),IF(AND(COUNT(H941:H952)=9,COUNT(F941:F952)=9),cubic_spline(F940:F949,H940:H949,B$9),IF(AND(COUNT(H941:H952)=10,COUNT(F941:F952)=10),cubic_spline(F940:F950,H940:H950,B$9),IF(AND(COUNT(H941:H952)=11,COUNT(F941:F952)=11),cubic_spline(F940:F951,H940:H951,B$9),IF(AND(COUNT(H941:H952)=12,COUNT(F941:F952)=12),cubic_spline(F940:F952,H940:H952,B$9),""))))))))))))</f>
        <v/>
      </c>
      <c r="K948" s="52" t="str">
        <f>IF(N(B$9)=0,"",IF(AND(COUNT(A941:A952)=2,COUNT(F941:F952)=2),cubic_spline(F940:F942,A940:A942,B$9),IF(AND(COUNT(A941:A952)=3,COUNT(F941:F952)=3),cubic_spline(F940:F943,A940:A943,B$9),IF(AND(COUNT(A941:A952)=4,COUNT(F941:F952)=4),cubic_spline(F940:F944,A940:A944,B$9),IF(AND(COUNT(A941:A952)=5,COUNT(F941:F952)=5),cubic_spline(F940:F945,A940:A945,B$9),IF(AND(COUNT(A941:A952)=6,COUNT(F941:F952)=6),cubic_spline(F940:F946,A940:A946,B$9),IF(AND(COUNT(A941:A952)=7,COUNT(F941:F952)=7),cubic_spline(F940:F947,A940:A947,B$9),IF(AND(COUNT(A941:A952)=8,COUNT(F941:F952)=8),cubic_spline(F940:F948,A940:A948,B$9),IF(AND(COUNT(A941:A952)=9,COUNT(F941:F952)=9),cubic_spline(F940:F949,A940:A949,B$9),IF(AND(COUNT(A941:A952)=10,COUNT(F941:F952)=10),cubic_spline(F940:F950,A940:A950,B$9),IF(AND(COUNT(A941:A952)=11,COUNT(F941:F952)=11),cubic_spline(F940:F951,A940:A951,B$9),IF(AND(COUNT(A941:A952)=12,COUNT(F941:F952)=12),cubic_spline(F940:F952,A940:A952,B$9),""))))))))))))</f>
        <v/>
      </c>
      <c r="L948" s="27" t="str">
        <f>IF(I948="","",B$8&amp;"-"&amp;B$9)</f>
        <v/>
      </c>
      <c r="M948" s="52" t="str">
        <f t="shared" si="360"/>
        <v/>
      </c>
    </row>
    <row r="949" spans="1:13" x14ac:dyDescent="0.35">
      <c r="A949" s="48"/>
      <c r="B949" s="48"/>
      <c r="C949" s="50"/>
      <c r="D949" s="50"/>
      <c r="E949" s="51" t="str">
        <f t="shared" si="358"/>
        <v/>
      </c>
      <c r="F949" s="71" t="str">
        <f t="shared" si="356"/>
        <v/>
      </c>
      <c r="G949" s="69" t="str">
        <f t="shared" si="359"/>
        <v/>
      </c>
      <c r="H949" s="70" t="str">
        <f t="shared" si="357"/>
        <v/>
      </c>
      <c r="I949" s="27" t="str">
        <f>IF(N(J949)=0,"",0&amp;"-"&amp;B$10)</f>
        <v/>
      </c>
      <c r="J949" s="52" t="str">
        <f>IF(N(B$10)=0,"",IF(AND(COUNT(H941:H952)=2,COUNT(F941:F952)=2),cubic_spline(F940:F942,H940:H942,B$10),IF(AND(COUNT(H941:H952)=3,COUNT(F941:F952)=3),cubic_spline(F940:F943,H940:H943,B$10),IF(AND(COUNT(H941:H952)=4,COUNT(F941:F952)=4),cubic_spline(F940:F944,H940:H944,B$10),IF(AND(COUNT(H941:H952)=5,COUNT(F941:F952)=5),cubic_spline(F940:F945,H940:H945,B$10),IF(AND(COUNT(H941:H952)=6,COUNT(F941:F952)=6),cubic_spline(F940:F946,H940:H946,B$10),IF(AND(COUNT(H941:H952)=7,COUNT(F941:F952)=7),cubic_spline(F940:F947,H940:H947,B$10),IF(AND(COUNT(H941:H952)=8,COUNT(F941:F952)=8),cubic_spline(F940:F948,H940:H948,B$10),IF(AND(COUNT(H941:H952)=9,COUNT(F941:F952)=9),cubic_spline(F940:F949,H940:H949,B$10),IF(AND(COUNT(H941:H952)=10,COUNT(F941:F952)=10),cubic_spline(F940:F950,H940:H950,B$10),IF(AND(COUNT(H941:H952)=11,COUNT(F941:F952)=11),cubic_spline(F940:F951,H940:H951,B$10),IF(AND(COUNT(H941:H952)=12,COUNT(F941:F952)=12),cubic_spline(F940:F952,H940:H952,B$10),""))))))))))))</f>
        <v/>
      </c>
      <c r="K949" s="52" t="str">
        <f>IF(N(B$10)=0,"",IF(AND(COUNT(A941:A952)=2,COUNT(F941:F952)=2),cubic_spline(F940:F942,A940:A942,B$10),IF(AND(COUNT(A941:A952)=3,COUNT(F941:F952)=3),cubic_spline(F940:F943,A940:A943,B$10),IF(AND(COUNT(A941:A952)=4,COUNT(F941:F952)=4),cubic_spline(F940:F944,A940:A944,B$10),IF(AND(COUNT(A941:A952)=5,COUNT(F941:F952)=5),cubic_spline(F940:F945,A940:A945,B$10),IF(AND(COUNT(A941:A952)=6,COUNT(F941:F952)=6),cubic_spline(F940:F946,A940:A946,B$10),IF(AND(COUNT(A941:A952)=7,COUNT(F941:F952)=7),cubic_spline(F940:F947,A940:A947,B$10),IF(AND(COUNT(A941:A952)=8,COUNT(F941:F952)=8),cubic_spline(F940:F948,A940:A948,B$10),IF(AND(COUNT(A941:A952)=9,COUNT(F941:F952)=9),cubic_spline(F940:F949,A940:A949,B$10),IF(AND(COUNT(A941:A952)=10,COUNT(F941:F952)=10),cubic_spline(F940:F950,A940:A950,B$10),IF(AND(COUNT(A941:A952)=11,COUNT(F941:F952)=11),cubic_spline(F940:F951,A940:A951,B$10),IF(AND(COUNT(A941:A952)=12,COUNT(F941:F952)=12),cubic_spline(F940:F952,A940:A952,B$10),""))))))))))))</f>
        <v/>
      </c>
      <c r="L949" s="27" t="str">
        <f>IF(I949="","",B$9&amp;"-"&amp;B$10)</f>
        <v/>
      </c>
      <c r="M949" s="52" t="str">
        <f t="shared" si="360"/>
        <v/>
      </c>
    </row>
    <row r="950" spans="1:13" x14ac:dyDescent="0.35">
      <c r="A950" s="48"/>
      <c r="B950" s="48"/>
      <c r="C950" s="50"/>
      <c r="D950" s="50"/>
      <c r="E950" s="51" t="str">
        <f t="shared" si="358"/>
        <v/>
      </c>
      <c r="F950" s="71" t="str">
        <f t="shared" si="356"/>
        <v/>
      </c>
      <c r="G950" s="69" t="str">
        <f t="shared" si="359"/>
        <v/>
      </c>
      <c r="H950" s="70" t="str">
        <f t="shared" si="357"/>
        <v/>
      </c>
      <c r="I950" s="27" t="str">
        <f>IF(N(J950)=0,"",0&amp;"-"&amp;B$11)</f>
        <v/>
      </c>
      <c r="J950" s="52" t="str">
        <f>IF(N(B$11)=0,"",IF(AND(COUNT(H941:H952)=2,COUNT(F941:F952)=2),cubic_spline(F940:F942,H940:H942,B$11),IF(AND(COUNT(H941:H952)=3,COUNT(F941:F952)=3),cubic_spline(F940:F943,H940:H943,B$11),IF(AND(COUNT(H941:H952)=4,COUNT(F941:F952)=4),cubic_spline(F940:F944,H940:H944,B$11),IF(AND(COUNT(H941:H952)=5,COUNT(F941:F952)=5),cubic_spline(F940:F945,H940:H945,B$11),IF(AND(COUNT(H941:H952)=6,COUNT(F941:F952)=6),cubic_spline(F940:F946,H940:H946,B$11),IF(AND(COUNT(H941:H952)=7,COUNT(F941:F952)=7),cubic_spline(F940:F947,H940:H947,B$11),IF(AND(COUNT(H941:H952)=8,COUNT(F941:F952)=8),cubic_spline(F940:F948,H940:H948,B$11),IF(AND(COUNT(H941:H952)=9,COUNT(F941:F952)=9),cubic_spline(F940:F949,H940:H949,B$11),IF(AND(COUNT(H941:H952)=10,COUNT(F941:F952)=10),cubic_spline(F940:F950,H940:H950,B$11),IF(AND(COUNT(H941:H952)=11,COUNT(F941:F952)=11),cubic_spline(F940:F951,H940:H951,B$11),IF(AND(COUNT(H941:H952)=12,COUNT(F941:F952)=12),cubic_spline(F940:F952,H940:H952,B$11),""))))))))))))</f>
        <v/>
      </c>
      <c r="K950" s="52" t="str">
        <f>IF(N(B$11)=0,"",IF(AND(COUNT(A941:A952)=2,COUNT(F941:F952)=2),cubic_spline(F940:F942,A940:A942,B$11),IF(AND(COUNT(A941:A952)=3,COUNT(F941:F952)=3),cubic_spline(F940:F943,A940:A943,B$11),IF(AND(COUNT(A941:A952)=4,COUNT(F941:F952)=4),cubic_spline(F940:F944,A940:A944,B$11),IF(AND(COUNT(A941:A952)=5,COUNT(F941:F952)=5),cubic_spline(F940:F945,A940:A945,B$11),IF(AND(COUNT(A941:A952)=6,COUNT(F941:F952)=6),cubic_spline(F940:F946,A940:A946,B$11),IF(AND(COUNT(A941:A952)=7,COUNT(F941:F952)=7),cubic_spline(F940:F947,A940:A947,B$11),IF(AND(COUNT(A941:A952)=8,COUNT(F941:F952)=8),cubic_spline(F940:F948,A940:A948,B$11),IF(AND(COUNT(A941:A952)=9,COUNT(F941:F952)=9),cubic_spline(F940:F949,A940:A949,B$11),IF(AND(COUNT(A941:A952)=10,COUNT(F941:F952)=10),cubic_spline(F940:F950,A940:A950,B$11),IF(AND(COUNT(A941:A952)=11,COUNT(F941:F952)=11),cubic_spline(F940:F951,A940:A951,B$11),IF(AND(COUNT(A941:A952)=12,COUNT(F941:F952)=12),cubic_spline(F940:F952,A940:A952,B$11),""))))))))))))</f>
        <v/>
      </c>
      <c r="L950" s="27" t="str">
        <f>IF(I950="","",B$10&amp;"-"&amp;B$11)</f>
        <v/>
      </c>
      <c r="M950" s="52" t="str">
        <f t="shared" si="360"/>
        <v/>
      </c>
    </row>
    <row r="951" spans="1:13" x14ac:dyDescent="0.35">
      <c r="A951" s="48"/>
      <c r="B951" s="48"/>
      <c r="C951" s="50"/>
      <c r="D951" s="50"/>
      <c r="E951" s="51" t="str">
        <f t="shared" si="358"/>
        <v/>
      </c>
      <c r="F951" s="71" t="str">
        <f t="shared" si="356"/>
        <v/>
      </c>
      <c r="G951" s="69" t="str">
        <f t="shared" si="359"/>
        <v/>
      </c>
      <c r="H951" s="70" t="str">
        <f t="shared" si="357"/>
        <v/>
      </c>
      <c r="I951" s="27" t="str">
        <f>IF(N(J951)=0,"",0&amp;"-"&amp;B$12)</f>
        <v/>
      </c>
      <c r="J951" s="52" t="str">
        <f>IF(N(B$12)=0,"",IF(AND(COUNT(H941:H952)=2,COUNT(F941:F952)=2),cubic_spline(F940:F942,H940:H942,B$12),IF(AND(COUNT(H941:H952)=3,COUNT(F941:F952)=3),cubic_spline(F940:F943,H940:H943,B$12),IF(AND(COUNT(H941:H952)=4,COUNT(F941:F952)=4),cubic_spline(F940:F944,H940:H944,B$12),IF(AND(COUNT(H941:H952)=5,COUNT(F941:F952)=5),cubic_spline(F940:F945,H940:H945,B$12),IF(AND(COUNT(H941:H952)=6,COUNT(F941:F952)=6),cubic_spline(F940:F946,H940:H946,B$12),IF(AND(COUNT(H941:H952)=7,COUNT(F941:F952)=7),cubic_spline(F940:F947,H940:H947,B$12),IF(AND(COUNT(H941:H952)=8,COUNT(F941:F952)=8),cubic_spline(F940:F948,H940:H948,B$12),IF(AND(COUNT(H941:H952)=9,COUNT(F941:F952)=9),cubic_spline(F940:F949,H940:H949,B$12),IF(AND(COUNT(H941:H952)=10,COUNT(F941:F952)=10),cubic_spline(F940:F950,H940:H950,B$12),IF(AND(COUNT(H941:H952)=11,COUNT(F941:F952)=11),cubic_spline(F940:F951,H940:H951,B$12),IF(AND(COUNT(H941:H952)=12,COUNT(F941:F952)=12),cubic_spline(F940:F952,H940:H952,B$12),""))))))))))))</f>
        <v/>
      </c>
      <c r="K951" s="52" t="str">
        <f>IF(N(B$12)=0,"",IF(AND(COUNT(A941:A952)=2,COUNT(F941:F952)=2),cubic_spline(F940:F942,A940:A942,B$12),IF(AND(COUNT(A941:A952)=3,COUNT(F941:F952)=3),cubic_spline(F940:F943,A940:A943,B$12),IF(AND(COUNT(A941:A952)=4,COUNT(F941:F952)=4),cubic_spline(F940:F944,A940:A944,B$12),IF(AND(COUNT(A941:A952)=5,COUNT(F941:F952)=5),cubic_spline(F940:F945,A940:A945,B$12),IF(AND(COUNT(A941:A952)=6,COUNT(F941:F952)=6),cubic_spline(F940:F946,A940:A946,B$12),IF(AND(COUNT(A941:A952)=7,COUNT(F941:F952)=7),cubic_spline(F940:F947,A940:A947,B$12),IF(AND(COUNT(A941:A952)=8,COUNT(F941:F952)=8),cubic_spline(F940:F948,A940:A948,B$12),IF(AND(COUNT(A941:A952)=9,COUNT(F941:F952)=9),cubic_spline(F940:F949,A940:A949,B$12),IF(AND(COUNT(A941:A952)=10,COUNT(F941:F952)=10),cubic_spline(F940:F950,A940:A950,B$12),IF(AND(COUNT(A941:A952)=11,COUNT(F941:F952)=11),cubic_spline(F940:F951,A940:A951,B$12),IF(AND(COUNT(A941:A952)=12,COUNT(F941:F952)=12),cubic_spline(F940:F952,A940:A952,B$12),""))))))))))))</f>
        <v/>
      </c>
      <c r="L951" s="27" t="str">
        <f>IF(I951="","",B$11&amp;"-"&amp;B$12)</f>
        <v/>
      </c>
      <c r="M951" s="52" t="str">
        <f t="shared" si="360"/>
        <v/>
      </c>
    </row>
    <row r="952" spans="1:13" x14ac:dyDescent="0.35">
      <c r="A952" s="48"/>
      <c r="B952" s="48"/>
      <c r="C952" s="50"/>
      <c r="D952" s="50"/>
      <c r="E952" s="51" t="str">
        <f t="shared" si="358"/>
        <v/>
      </c>
      <c r="F952" s="71" t="str">
        <f t="shared" si="356"/>
        <v/>
      </c>
      <c r="G952" s="69" t="str">
        <f t="shared" si="359"/>
        <v/>
      </c>
      <c r="H952" s="70" t="str">
        <f t="shared" si="357"/>
        <v/>
      </c>
      <c r="I952" s="27" t="str">
        <f>IF(N(J952)=0,"",0&amp;"-"&amp;B$13)</f>
        <v/>
      </c>
      <c r="J952" s="52" t="str">
        <f>IF(N(B$13)=0,"",IF(AND(COUNT(H941:H952)=2,COUNT(F941:F952)=2),cubic_spline(F940:F942,H940:H942,B$13),IF(AND(COUNT(H941:H952)=3,COUNT(F941:F952)=3),cubic_spline(F940:F943,H940:H943,B$13),IF(AND(COUNT(H941:H952)=4,COUNT(F941:F952)=4),cubic_spline(F940:F944,H940:H944,B$13),IF(AND(COUNT(H941:H952)=5,COUNT(F941:F952)=5),cubic_spline(F940:F945,H940:H945,B$13),IF(AND(COUNT(H941:H952)=6,COUNT(F941:F952)=6),cubic_spline(F940:F946,H940:H946,B$13),IF(AND(COUNT(H941:H952)=7,COUNT(F941:F952)=7),cubic_spline(F940:F947,H940:H947,B$13),IF(AND(COUNT(H941:H952)=8,COUNT(F941:F952)=8),cubic_spline(F940:F948,H940:H948,B$13),IF(AND(COUNT(H941:H952)=9,COUNT(F941:F952)=9),cubic_spline(F940:F949,H940:H949,B$13),IF(AND(COUNT(H941:H952)=10,COUNT(F941:F952)=10),cubic_spline(F940:F950,H940:H950,B$13),IF(AND(COUNT(H941:H952)=11,COUNT(F941:F952)=11),cubic_spline(F940:F951,H940:H951,B$13),IF(AND(COUNT(H941:H952)=12,COUNT(F941:F952)=12),cubic_spline(F940:F952,H940:H952,B$13),""))))))))))))</f>
        <v/>
      </c>
      <c r="K952" s="52" t="str">
        <f>IF(N(B$13)=0,"",IF(AND(COUNT(A941:A952)=2,COUNT(F941:F952)=2),cubic_spline(F940:F942,A940:A942,B$13),IF(AND(COUNT(A941:A952)=3,COUNT(F941:F952)=3),cubic_spline(F940:F943,A940:A943,B$13),IF(AND(COUNT(A941:A952)=4,COUNT(F941:F952)=4),cubic_spline(F940:F944,A940:A944,B$13),IF(AND(COUNT(A941:A952)=5,COUNT(F941:F952)=5),cubic_spline(F940:F945,A940:A945,B$13),IF(AND(COUNT(A941:A952)=6,COUNT(F941:F952)=6),cubic_spline(F940:F946,A940:A946,B$13),IF(AND(COUNT(A941:A952)=7,COUNT(F941:F952)=7),cubic_spline(F940:F947,A940:A947,B$13),IF(AND(COUNT(A941:A952)=8,COUNT(F941:F952)=8),cubic_spline(F940:F948,A940:A948,B$13),IF(AND(COUNT(A941:A952)=9,COUNT(F941:F952)=9),cubic_spline(F940:F949,A940:A949,B$13),IF(AND(COUNT(A941:A952)=10,COUNT(F941:F952)=10),cubic_spline(F940:F950,A940:A950,B$13),IF(AND(COUNT(A941:A952)=11,COUNT(F941:F952)=11),cubic_spline(F940:F951,A940:A951,B$13),IF(AND(COUNT(A941:A952)=12,COUNT(F941:F952)=12),cubic_spline(F940:F952,A940:A952,B$13),""))))))))))))</f>
        <v/>
      </c>
      <c r="L952" s="27" t="str">
        <f>IF(I952="","",B$12&amp;"-"&amp;B$13)</f>
        <v/>
      </c>
      <c r="M952" s="52" t="str">
        <f t="shared" si="360"/>
        <v/>
      </c>
    </row>
    <row r="953" spans="1:13" ht="5.15" customHeight="1" x14ac:dyDescent="0.35">
      <c r="A953" s="47"/>
      <c r="B953" s="47"/>
      <c r="C953" s="53"/>
      <c r="D953" s="53"/>
      <c r="E953" s="54"/>
      <c r="F953" s="55"/>
      <c r="G953" s="72"/>
      <c r="H953" s="73"/>
      <c r="I953" s="47"/>
      <c r="J953" s="57"/>
      <c r="K953" s="57"/>
      <c r="L953" s="55"/>
      <c r="M953" s="57"/>
    </row>
    <row r="954" spans="1:13" x14ac:dyDescent="0.35">
      <c r="A954" s="48"/>
      <c r="B954" s="48"/>
      <c r="C954" s="50"/>
      <c r="D954" s="50"/>
      <c r="E954" s="51" t="str">
        <f>IF(N(C954)=0,"",(A954-A953)*C954*100)</f>
        <v/>
      </c>
      <c r="F954" s="68" t="str">
        <f t="shared" ref="F954:F965" si="361">IF(N(E954)=0,"",(N(E954)+N(F953)))</f>
        <v/>
      </c>
      <c r="G954" s="69" t="str">
        <f>IF(OR(N(D954)=0,N(E954)=0),"",(E954*D954)/1000)</f>
        <v/>
      </c>
      <c r="H954" s="70" t="str">
        <f t="shared" ref="H954:H965" si="362">IF(N(G954)=0,"",(N(G954)+N(H953)))</f>
        <v/>
      </c>
      <c r="I954" s="27" t="str">
        <f>IF(N(J954)=0,"",0&amp;"-"&amp;B$2)</f>
        <v/>
      </c>
      <c r="J954" s="52" t="str">
        <f>IF(N(B$2)=0,"",IF(AND(COUNT(H954:H965)=2,COUNT(F954:F965)=2),cubic_spline(F953:F955,H953:H955,B$2),IF(AND(COUNT(H954:H965)=3,COUNT(F954:F965)=3),cubic_spline(F953:F956,H953:H956,B$2),IF(AND(COUNT(H954:H965)=4,COUNT(F954:F965)=4),cubic_spline(F953:F957,H953:H957,B$2),IF(AND(COUNT(H954:H965)=5,COUNT(F954:F965)=5),cubic_spline(F953:F958,H953:H958,B$2),IF(AND(COUNT(H954:H965)=6,COUNT(F954:F965)=6),cubic_spline(F953:F959,H953:H959,B$2),IF(AND(COUNT(H954:H965)=7,COUNT(F954:F965)=7),cubic_spline(F953:F960,H953:H960,B$2),IF(AND(COUNT(H954:H965)=8,COUNT(F954:F965)=8),cubic_spline(F953:F961,H953:H961,B$2),IF(AND(COUNT(H954:H965)=9,COUNT(F954:F965)=9),cubic_spline(F953:F962,H953:H962,B$2),IF(AND(COUNT(H954:H965)=10,COUNT(F954:F965)=10),cubic_spline(F953:F963,H953:H963,B$2),IF(AND(COUNT(H954:H965)=11,COUNT(F954:F965)=11),cubic_spline(F953:F964,H953:H964,B$2),IF(AND(COUNT(H954:H965)=12,COUNT(F954:F965)=12),cubic_spline(F953:F965,H953:H965,B$2),""))))))))))))</f>
        <v/>
      </c>
      <c r="K954" s="52" t="str">
        <f>IF(N(B$2)=0,"",IF(AND(COUNT(A954:A965)=2,COUNT(F954:F965)=2),cubic_spline(F953:F955,A953:A955,B$2),IF(AND(COUNT(A954:A965)=3,COUNT(F954:F965)=3),cubic_spline(F953:F956,A953:A956,B$2),IF(AND(COUNT(A954:A965)=4,COUNT(F954:F965)=4),cubic_spline(F953:F957,A953:A957,B$2),IF(AND(COUNT(A954:A965)=5,COUNT(F954:F965)=5),cubic_spline(F953:F958,A953:A958,B$2),IF(AND(COUNT(A954:A965)=6,COUNT(F954:F965)=6),cubic_spline(F953:F959,A953:A959,B$2),IF(AND(COUNT(A954:A965)=7,COUNT(F954:F965)=7),cubic_spline(F953:F960,A953:A960,B$2),IF(AND(COUNT(A954:A965)=8,COUNT(F954:F965)=8),cubic_spline(F953:F961,A953:A961,B$2),IF(AND(COUNT(A954:A965)=9,COUNT(F954:F965)=9),cubic_spline(F953:F962,A953:A962,B$2),IF(AND(COUNT(A954:A965)=10,COUNT(F954:F965)=10),cubic_spline(F953:F963,A953:A963,B$2),IF(AND(COUNT(A954:A965)=11,COUNT(F954:F965)=11),cubic_spline(F953:F964,A953:A964,B$2),IF(AND(COUNT(A954:A965)=12,COUNT(F954:F965)=12),cubic_spline(F953:F965,A953:A965,B$2),""))))))))))))</f>
        <v/>
      </c>
      <c r="L954" s="27" t="str">
        <f>IF(I954="","",0&amp;"-"&amp;B$2)</f>
        <v/>
      </c>
      <c r="M954" s="52" t="str">
        <f>IF(N(J954)=0,"",J954-J953)</f>
        <v/>
      </c>
    </row>
    <row r="955" spans="1:13" x14ac:dyDescent="0.35">
      <c r="A955" s="48"/>
      <c r="B955" s="48"/>
      <c r="C955" s="50"/>
      <c r="D955" s="50"/>
      <c r="E955" s="51" t="str">
        <f t="shared" ref="E955:E965" si="363">IF(N(C955)=0,"",(A955-A954)*C955*100)</f>
        <v/>
      </c>
      <c r="F955" s="68" t="str">
        <f t="shared" si="361"/>
        <v/>
      </c>
      <c r="G955" s="69" t="str">
        <f t="shared" ref="G955:G965" si="364">IF(OR(N(D955)=0,N(E955)=0),"",(E955*D955)/1000)</f>
        <v/>
      </c>
      <c r="H955" s="70" t="str">
        <f t="shared" si="362"/>
        <v/>
      </c>
      <c r="I955" s="27" t="str">
        <f>IF(N(J955)=0,"",0&amp;"-"&amp;B$3)</f>
        <v/>
      </c>
      <c r="J955" s="52" t="str">
        <f>IF(N(B$3)=0,"",IF(AND(COUNT(H954:H965)=2,COUNT(F954:F965)=2),cubic_spline(F953:F955,H953:H955,B$3),IF(AND(COUNT(H954:H965)=3,COUNT(F954:F965)=3),cubic_spline(F953:F956,H953:H956,B$3),IF(AND(COUNT(H954:H965)=4,COUNT(F954:F965)=4),cubic_spline(F953:F957,H953:H957,B$3),IF(AND(COUNT(H954:H965)=5,COUNT(F954:F965)=5),cubic_spline(F953:F958,H953:H958,B$3),IF(AND(COUNT(H954:H965)=6,COUNT(F954:F965)=6),cubic_spline(F953:F959,H953:H959,B$3),IF(AND(COUNT(H954:H965)=7,COUNT(F954:F965)=7),cubic_spline(F953:F960,H953:H960,B$3),IF(AND(COUNT(H954:H965)=8,COUNT(F954:F965)=8),cubic_spline(F953:F961,H953:H961,B$3),IF(AND(COUNT(H954:H965)=9,COUNT(F954:F965)=9),cubic_spline(F953:F962,H953:H962,B$3),IF(AND(COUNT(H954:H965)=10,COUNT(F954:F965)=10),cubic_spline(F953:F963,H953:H963,B$3),IF(AND(COUNT(H954:H965)=11,COUNT(F954:F965)=11),cubic_spline(F953:F964,H953:H964,B$3),IF(AND(COUNT(H954:H965)=12,COUNT(F954:F965)=12),cubic_spline(F953:F965,H953:H965,B$3),""))))))))))))</f>
        <v/>
      </c>
      <c r="K955" s="52" t="str">
        <f>IF(N(B$3)=0,"",IF(AND(COUNT(A954:A965)=2,COUNT(F954:F965)=2),cubic_spline(F953:F955,A953:A955,B$3),IF(AND(COUNT(A954:A965)=3,COUNT(F954:F965)=3),cubic_spline(F953:F956,A953:A956,B$3),IF(AND(COUNT(A954:A965)=4,COUNT(F954:F965)=4),cubic_spline(F953:F957,A953:A957,B$3),IF(AND(COUNT(A954:A965)=5,COUNT(F954:F965)=5),cubic_spline(F953:F958,A953:A958,B$3),IF(AND(COUNT(A954:A965)=6,COUNT(F954:F965)=6),cubic_spline(F953:F959,A953:A959,B$3),IF(AND(COUNT(A954:A965)=7,COUNT(F954:F965)=7),cubic_spline(F953:F960,A953:A960,B$3),IF(AND(COUNT(A954:A965)=8,COUNT(F954:F965)=8),cubic_spline(F953:F961,A953:A961,B$3),IF(AND(COUNT(A954:A965)=9,COUNT(F954:F965)=9),cubic_spline(F953:F962,A953:A962,B$3),IF(AND(COUNT(A954:A965)=10,COUNT(F954:F965)=10),cubic_spline(F953:F963,A953:A963,B$3),IF(AND(COUNT(A954:A965)=11,COUNT(F954:F965)=11),cubic_spline(F953:F964,A953:A964,B$3),IF(AND(COUNT(A954:A965)=12,COUNT(F954:F965)=12),cubic_spline(F953:F965,A953:A965,B$3),""))))))))))))</f>
        <v/>
      </c>
      <c r="L955" s="27" t="str">
        <f>IF(I955="","",B$2&amp;"-"&amp;B$3)</f>
        <v/>
      </c>
      <c r="M955" s="52" t="str">
        <f>IF(N(J955)=0,"",J955-J954)</f>
        <v/>
      </c>
    </row>
    <row r="956" spans="1:13" x14ac:dyDescent="0.35">
      <c r="A956" s="48"/>
      <c r="B956" s="48"/>
      <c r="C956" s="50"/>
      <c r="D956" s="50"/>
      <c r="E956" s="51" t="str">
        <f t="shared" si="363"/>
        <v/>
      </c>
      <c r="F956" s="68" t="str">
        <f t="shared" si="361"/>
        <v/>
      </c>
      <c r="G956" s="69" t="str">
        <f t="shared" si="364"/>
        <v/>
      </c>
      <c r="H956" s="70" t="str">
        <f t="shared" si="362"/>
        <v/>
      </c>
      <c r="I956" s="27" t="str">
        <f>IF(N(J956)=0,"",0&amp;"-"&amp;B$4)</f>
        <v/>
      </c>
      <c r="J956" s="52" t="str">
        <f>IF(N(B$4)=0,"",IF(AND(COUNT(H954:H965)=2,COUNT(F954:F965)=2),cubic_spline(F953:F955,H953:H955,B$4),IF(AND(COUNT(H954:H965)=3,COUNT(F954:F965)=3),cubic_spline(F953:F956,H953:H956,B$4),IF(AND(COUNT(H954:H965)=4,COUNT(F954:F965)=4),cubic_spline(F953:F957,H953:H957,B$4),IF(AND(COUNT(H954:H965)=5,COUNT(F954:F965)=5),cubic_spline(F953:F958,H953:H958,B$4),IF(AND(COUNT(H954:H965)=6,COUNT(F954:F965)=6),cubic_spline(F953:F959,H953:H959,B$4),IF(AND(COUNT(H954:H965)=7,COUNT(F954:F965)=7),cubic_spline(F953:F960,H953:H960,B$4),IF(AND(COUNT(H954:H965)=8,COUNT(F954:F965)=8),cubic_spline(F953:F961,H953:H961,B$4),IF(AND(COUNT(H954:H965)=9,COUNT(F954:F965)=9),cubic_spline(F953:F962,H953:H962,B$4),IF(AND(COUNT(H954:H965)=10,COUNT(F954:F965)=10),cubic_spline(F953:F963,H953:H963,B$4),IF(AND(COUNT(H954:H965)=11,COUNT(F954:F965)=11),cubic_spline(F953:F964,H953:H964,B$4),IF(AND(COUNT(H954:H965)=12,COUNT(F954:F965)=12),cubic_spline(F953:F965,H953:H965,B$4),""))))))))))))</f>
        <v/>
      </c>
      <c r="K956" s="52" t="str">
        <f>IF(N(B$4)=0,"",IF(AND(COUNT(A954:A965)=2,COUNT(F954:F965)=2),cubic_spline(F953:F955,A953:A955,B$4),IF(AND(COUNT(A954:A965)=3,COUNT(F954:F965)=3),cubic_spline(F953:F956,A953:A956,B$4),IF(AND(COUNT(A954:A965)=4,COUNT(F954:F965)=4),cubic_spline(F953:F957,A953:A957,B$4),IF(AND(COUNT(A954:A965)=5,COUNT(F954:F965)=5),cubic_spline(F953:F958,A953:A958,B$4),IF(AND(COUNT(A954:A965)=6,COUNT(F954:F965)=6),cubic_spline(F953:F959,A953:A959,B$4),IF(AND(COUNT(A954:A965)=7,COUNT(F954:F965)=7),cubic_spline(F953:F960,A953:A960,B$4),IF(AND(COUNT(A954:A965)=8,COUNT(F954:F965)=8),cubic_spline(F953:F961,A953:A961,B$4),IF(AND(COUNT(A954:A965)=9,COUNT(F954:F965)=9),cubic_spline(F953:F962,A953:A962,B$4),IF(AND(COUNT(A954:A965)=10,COUNT(F954:F965)=10),cubic_spline(F953:F963,A953:A963,B$4),IF(AND(COUNT(A954:A965)=11,COUNT(F954:F965)=11),cubic_spline(F953:F964,A953:A964,B$4),IF(AND(COUNT(A954:A965)=12,COUNT(F954:F965)=12),cubic_spline(F953:F965,A953:A965,B$4),""))))))))))))</f>
        <v/>
      </c>
      <c r="L956" s="27" t="str">
        <f>IF(I956="","",B$3&amp;"-"&amp;B$4)</f>
        <v/>
      </c>
      <c r="M956" s="52" t="str">
        <f>IF(N(J956)=0,"",J956-J955)</f>
        <v/>
      </c>
    </row>
    <row r="957" spans="1:13" x14ac:dyDescent="0.35">
      <c r="A957" s="48"/>
      <c r="B957" s="48"/>
      <c r="C957" s="50"/>
      <c r="D957" s="50"/>
      <c r="E957" s="51" t="str">
        <f t="shared" si="363"/>
        <v/>
      </c>
      <c r="F957" s="68" t="str">
        <f t="shared" si="361"/>
        <v/>
      </c>
      <c r="G957" s="69" t="str">
        <f t="shared" si="364"/>
        <v/>
      </c>
      <c r="H957" s="70" t="str">
        <f t="shared" si="362"/>
        <v/>
      </c>
      <c r="I957" s="27" t="str">
        <f>IF(N(J957)=0,"",0&amp;"-"&amp;B$5)</f>
        <v/>
      </c>
      <c r="J957" s="52" t="str">
        <f>IF(N(B$5)=0,"",IF(AND(COUNT(H954:H965)=2,COUNT(F954:F965)=2),cubic_spline(F953:F955,H953:H955,B$5),IF(AND(COUNT(H954:H965)=3,COUNT(F954:F965)=3),cubic_spline(F953:F956,H953:H956,B$5),IF(AND(COUNT(H954:H965)=4,COUNT(F954:F965)=4),cubic_spline(F953:F957,H953:H957,B$5),IF(AND(COUNT(H954:H965)=5,COUNT(F954:F965)=5),cubic_spline(F953:F958,H953:H958,B$5),IF(AND(COUNT(H954:H965)=6,COUNT(F954:F965)=6),cubic_spline(F953:F959,H953:H959,B$5),IF(AND(COUNT(H954:H965)=7,COUNT(F954:F965)=7),cubic_spline(F953:F960,H953:H960,B$5),IF(AND(COUNT(H954:H965)=8,COUNT(F954:F965)=8),cubic_spline(F953:F961,H953:H961,B$5),IF(AND(COUNT(H954:H965)=9,COUNT(F954:F965)=9),cubic_spline(F953:F962,H953:H962,B$5),IF(AND(COUNT(H954:H965)=10,COUNT(F954:F965)=10),cubic_spline(F953:F963,H953:H963,B$5),IF(AND(COUNT(H954:H965)=11,COUNT(F954:F965)=11),cubic_spline(F953:F964,H953:H964,B$5),IF(AND(COUNT(H954:H965)=12,COUNT(F954:F965)=12),cubic_spline(F953:F965,H953:H965,B$5),""))))))))))))</f>
        <v/>
      </c>
      <c r="K957" s="52" t="str">
        <f>IF(N(B$5)=0,"",IF(AND(COUNT(A954:A965)=2,COUNT(F954:F965)=2),cubic_spline(F953:F955,A953:A955,B$5),IF(AND(COUNT(A954:A965)=3,COUNT(F954:F965)=3),cubic_spline(F953:F956,A953:A956,B$5),IF(AND(COUNT(A954:A965)=4,COUNT(F954:F965)=4),cubic_spline(F953:F957,A953:A957,B$5),IF(AND(COUNT(A954:A965)=5,COUNT(F954:F965)=5),cubic_spline(F953:F958,A953:A958,B$5),IF(AND(COUNT(A954:A965)=6,COUNT(F954:F965)=6),cubic_spline(F953:F959,A953:A959,B$5),IF(AND(COUNT(A954:A965)=7,COUNT(F954:F965)=7),cubic_spline(F953:F960,A953:A960,B$5),IF(AND(COUNT(A954:A965)=8,COUNT(F954:F965)=8),cubic_spline(F953:F961,A953:A961,B$5),IF(AND(COUNT(A954:A965)=9,COUNT(F954:F965)=9),cubic_spline(F953:F962,A953:A962,B$5),IF(AND(COUNT(A954:A965)=10,COUNT(F954:F965)=10),cubic_spline(F953:F963,A953:A963,B$5),IF(AND(COUNT(A954:A965)=11,COUNT(F954:F965)=11),cubic_spline(F953:F964,A953:A964,B$5),IF(AND(COUNT(A954:A965)=12,COUNT(F954:F965)=12),cubic_spline(F953:F965,A953:A965,B$5),""))))))))))))</f>
        <v/>
      </c>
      <c r="L957" s="27" t="str">
        <f>IF(I957="","",B$4&amp;"-"&amp;B$5)</f>
        <v/>
      </c>
      <c r="M957" s="52" t="str">
        <f>IF(N(J957)=0,"",J957-J956)</f>
        <v/>
      </c>
    </row>
    <row r="958" spans="1:13" x14ac:dyDescent="0.35">
      <c r="A958" s="48"/>
      <c r="B958" s="48"/>
      <c r="C958" s="50"/>
      <c r="D958" s="50"/>
      <c r="E958" s="51" t="str">
        <f t="shared" si="363"/>
        <v/>
      </c>
      <c r="F958" s="71" t="str">
        <f t="shared" si="361"/>
        <v/>
      </c>
      <c r="G958" s="69" t="str">
        <f t="shared" si="364"/>
        <v/>
      </c>
      <c r="H958" s="70" t="str">
        <f t="shared" si="362"/>
        <v/>
      </c>
      <c r="I958" s="27" t="str">
        <f>IF(N(J958)=0,"",0&amp;"-"&amp;B$6)</f>
        <v/>
      </c>
      <c r="J958" s="52" t="str">
        <f>IF(N(B$6)=0,"",IF(AND(COUNT(H954:H965)=2,COUNT(F954:F965)=2),cubic_spline(F953:F955,H953:H955,B$6),IF(AND(COUNT(H954:H965)=3,COUNT(F954:F965)=3),cubic_spline(F953:F956,H953:H956,B$6),IF(AND(COUNT(H954:H965)=4,COUNT(F954:F965)=4),cubic_spline(F953:F957,H953:H957,B$6),IF(AND(COUNT(H954:H965)=5,COUNT(F954:F965)=5),cubic_spline(F953:F958,H953:H958,B$6),IF(AND(COUNT(H954:H965)=6,COUNT(F954:F965)=6),cubic_spline(F953:F959,H953:H959,B$6),IF(AND(COUNT(H954:H965)=7,COUNT(F954:F965)=7),cubic_spline(F953:F960,H953:H960,B$6),IF(AND(COUNT(H954:H965)=8,COUNT(F954:F965)=8),cubic_spline(F953:F961,H953:H961,B$6),IF(AND(COUNT(H954:H965)=9,COUNT(F954:F965)=9),cubic_spline(F953:F962,H953:H962,B$6),IF(AND(COUNT(H954:H965)=10,COUNT(F954:F965)=10),cubic_spline(F953:F963,H953:H963,B$6),IF(AND(COUNT(H954:H965)=11,COUNT(F954:F965)=11),cubic_spline(F953:F964,H953:H964,B$6),IF(AND(COUNT(H954:H965)=12,COUNT(F954:F965)=12),cubic_spline(F953:F965,H953:H965,B$6),""))))))))))))</f>
        <v/>
      </c>
      <c r="K958" s="52" t="str">
        <f>IF(N(B$6)=0,"",IF(AND(COUNT(A954:A965)=2,COUNT(F954:F965)=2),cubic_spline(F953:F955,A953:A955,B$6),IF(AND(COUNT(A954:A965)=3,COUNT(F954:F965)=3),cubic_spline(F953:F956,A953:A956,B$6),IF(AND(COUNT(A954:A965)=4,COUNT(F954:F965)=4),cubic_spline(F953:F957,A953:A957,B$6),IF(AND(COUNT(A954:A965)=5,COUNT(F954:F965)=5),cubic_spline(F953:F958,A953:A958,B$6),IF(AND(COUNT(A954:A965)=6,COUNT(F954:F965)=6),cubic_spline(F953:F959,A953:A959,B$6),IF(AND(COUNT(A954:A965)=7,COUNT(F954:F965)=7),cubic_spline(F953:F960,A953:A960,B$6),IF(AND(COUNT(A954:A965)=8,COUNT(F954:F965)=8),cubic_spline(F953:F961,A953:A961,B$6),IF(AND(COUNT(A954:A965)=9,COUNT(F954:F965)=9),cubic_spline(F953:F962,A953:A962,B$6),IF(AND(COUNT(A954:A965)=10,COUNT(F954:F965)=10),cubic_spline(F953:F963,A953:A963,B$6),IF(AND(COUNT(A954:A965)=11,COUNT(F954:F965)=11),cubic_spline(F953:F964,A953:A964,B$6),IF(AND(COUNT(A954:A965)=12,COUNT(F954:F965)=12),cubic_spline(F953:F965,A953:A965,B$6),""))))))))))))</f>
        <v/>
      </c>
      <c r="L958" s="27" t="str">
        <f>IF(I958="","",B$5&amp;"-"&amp;B$6)</f>
        <v/>
      </c>
      <c r="M958" s="52" t="str">
        <f>IF(N(J958)=0,"",J958-J957)</f>
        <v/>
      </c>
    </row>
    <row r="959" spans="1:13" x14ac:dyDescent="0.35">
      <c r="A959" s="48"/>
      <c r="B959" s="48"/>
      <c r="C959" s="50"/>
      <c r="D959" s="50"/>
      <c r="E959" s="51" t="str">
        <f t="shared" si="363"/>
        <v/>
      </c>
      <c r="F959" s="71" t="str">
        <f t="shared" si="361"/>
        <v/>
      </c>
      <c r="G959" s="69" t="str">
        <f t="shared" si="364"/>
        <v/>
      </c>
      <c r="H959" s="70" t="str">
        <f t="shared" si="362"/>
        <v/>
      </c>
      <c r="I959" s="27" t="str">
        <f>IF(N(J959)=0,"",0&amp;"-"&amp;B$7)</f>
        <v/>
      </c>
      <c r="J959" s="52" t="str">
        <f>IF(N(B$7)=0,"",IF(AND(COUNT(H954:H965)=2,COUNT(F954:F965)=2),cubic_spline(F953:F955,H953:H955,B$7),IF(AND(COUNT(H954:H965)=3,COUNT(F954:F965)=3),cubic_spline(F953:F956,H953:H956,B$7),IF(AND(COUNT(H954:H965)=4,COUNT(F954:F965)=4),cubic_spline(F953:F957,H953:H957,B$7),IF(AND(COUNT(H954:H965)=5,COUNT(F954:F965)=5),cubic_spline(F953:F958,H953:H958,B$7),IF(AND(COUNT(H954:H965)=6,COUNT(F954:F965)=6),cubic_spline(F953:F959,H953:H959,B$7),IF(AND(COUNT(H954:H965)=7,COUNT(F954:F965)=7),cubic_spline(F953:F960,H953:H960,B$7),IF(AND(COUNT(H954:H965)=8,COUNT(F954:F965)=8),cubic_spline(F953:F961,H953:H961,B$7),IF(AND(COUNT(H954:H965)=9,COUNT(F954:F965)=9),cubic_spline(F953:F962,H953:H962,B$7),IF(AND(COUNT(H954:H965)=10,COUNT(F954:F965)=10),cubic_spline(F953:F963,H953:H963,B$7),IF(AND(COUNT(H954:H965)=11,COUNT(F954:F965)=11),cubic_spline(F953:F964,H953:H964,B$7),IF(AND(COUNT(H954:H965)=12,COUNT(F954:F965)=12),cubic_spline(F953:F965,H953:H965,B$7),""))))))))))))</f>
        <v/>
      </c>
      <c r="K959" s="52" t="str">
        <f>IF(N(B$7)=0,"",IF(AND(COUNT(A954:A965)=2,COUNT(F954:F965)=2),cubic_spline(F953:F955,A953:A955,B$7),IF(AND(COUNT(A954:A965)=3,COUNT(F954:F965)=3),cubic_spline(F953:F956,A953:A956,B$7),IF(AND(COUNT(A954:A965)=4,COUNT(F954:F965)=4),cubic_spline(F953:F957,A953:A957,B$7),IF(AND(COUNT(A954:A965)=5,COUNT(F954:F965)=5),cubic_spline(F953:F958,A953:A958,B$7),IF(AND(COUNT(A954:A965)=6,COUNT(F954:F965)=6),cubic_spline(F953:F959,A953:A959,B$7),IF(AND(COUNT(A954:A965)=7,COUNT(F954:F965)=7),cubic_spline(F953:F960,A953:A960,B$7),IF(AND(COUNT(A954:A965)=8,COUNT(F954:F965)=8),cubic_spline(F953:F961,A953:A961,B$7),IF(AND(COUNT(A954:A965)=9,COUNT(F954:F965)=9),cubic_spline(F953:F962,A953:A962,B$7),IF(AND(COUNT(A954:A965)=10,COUNT(F954:F965)=10),cubic_spline(F953:F963,A953:A963,B$7),IF(AND(COUNT(A954:A965)=11,COUNT(F954:F965)=11),cubic_spline(F953:F964,A953:A964,B$7),IF(AND(COUNT(A954:A965)=12,COUNT(F954:F965)=12),cubic_spline(F953:F965,A953:A965,B$7),""))))))))))))</f>
        <v/>
      </c>
      <c r="L959" s="27" t="str">
        <f>IF(I959="","",B$6&amp;"-"&amp;B$7)</f>
        <v/>
      </c>
      <c r="M959" s="52" t="str">
        <f t="shared" ref="M959:M965" si="365">IF(N(J959)=0,"",J959-J958)</f>
        <v/>
      </c>
    </row>
    <row r="960" spans="1:13" x14ac:dyDescent="0.35">
      <c r="A960" s="48"/>
      <c r="B960" s="48"/>
      <c r="C960" s="50"/>
      <c r="D960" s="50"/>
      <c r="E960" s="51" t="str">
        <f t="shared" si="363"/>
        <v/>
      </c>
      <c r="F960" s="71" t="str">
        <f t="shared" si="361"/>
        <v/>
      </c>
      <c r="G960" s="69" t="str">
        <f t="shared" si="364"/>
        <v/>
      </c>
      <c r="H960" s="70" t="str">
        <f t="shared" si="362"/>
        <v/>
      </c>
      <c r="I960" s="27" t="str">
        <f>IF(N(J960)=0,"",0&amp;"-"&amp;B$8)</f>
        <v/>
      </c>
      <c r="J960" s="52" t="str">
        <f>IF(N(B$8)=0,"",IF(AND(COUNT(H954:H965)=2,COUNT(F954:F965)=2),cubic_spline(F953:F955,H953:H955,B$8),IF(AND(COUNT(H954:H965)=3,COUNT(F954:F965)=3),cubic_spline(F953:F956,H953:H956,B$8),IF(AND(COUNT(H954:H965)=4,COUNT(F954:F965)=4),cubic_spline(F953:F957,H953:H957,B$8),IF(AND(COUNT(H954:H965)=5,COUNT(F954:F965)=5),cubic_spline(F953:F958,H953:H958,B$8),IF(AND(COUNT(H954:H965)=6,COUNT(F954:F965)=6),cubic_spline(F953:F959,H953:H959,B$8),IF(AND(COUNT(H954:H965)=7,COUNT(F954:F965)=7),cubic_spline(F953:F960,H953:H960,B$8),IF(AND(COUNT(H954:H965)=8,COUNT(F954:F965)=8),cubic_spline(F953:F961,H953:H961,B$8),IF(AND(COUNT(H954:H965)=9,COUNT(F954:F965)=9),cubic_spline(F953:F962,H953:H962,B$8),IF(AND(COUNT(H954:H965)=10,COUNT(F954:F965)=10),cubic_spline(F953:F963,H953:H963,B$8),IF(AND(COUNT(H954:H965)=11,COUNT(F954:F965)=11),cubic_spline(F953:F964,H953:H964,B$8),IF(AND(COUNT(H954:H965)=12,COUNT(F954:F965)=12),cubic_spline(F953:F965,H953:H965,B$8),""))))))))))))</f>
        <v/>
      </c>
      <c r="K960" s="52" t="str">
        <f>IF(N(B$8)=0,"",IF(AND(COUNT(A954:A965)=2,COUNT(F954:F965)=2),cubic_spline(F953:F955,A953:A955,B$8),IF(AND(COUNT(A954:A965)=3,COUNT(F954:F965)=3),cubic_spline(F953:F956,A953:A956,B$8),IF(AND(COUNT(A954:A965)=4,COUNT(F954:F965)=4),cubic_spline(F953:F957,A953:A957,B$8),IF(AND(COUNT(A954:A965)=5,COUNT(F954:F965)=5),cubic_spline(F953:F958,A953:A958,B$8),IF(AND(COUNT(A954:A965)=6,COUNT(F954:F965)=6),cubic_spline(F953:F959,A953:A959,B$8),IF(AND(COUNT(A954:A965)=7,COUNT(F954:F965)=7),cubic_spline(F953:F960,A953:A960,B$8),IF(AND(COUNT(A954:A965)=8,COUNT(F954:F965)=8),cubic_spline(F953:F961,A953:A961,B$8),IF(AND(COUNT(A954:A965)=9,COUNT(F954:F965)=9),cubic_spline(F953:F962,A953:A962,B$8),IF(AND(COUNT(A954:A965)=10,COUNT(F954:F965)=10),cubic_spline(F953:F963,A953:A963,B$8),IF(AND(COUNT(A954:A965)=11,COUNT(F954:F965)=11),cubic_spline(F953:F964,A953:A964,B$8),IF(AND(COUNT(A954:A965)=12,COUNT(F954:F965)=12),cubic_spline(F953:F965,A953:A965,B$8),""))))))))))))</f>
        <v/>
      </c>
      <c r="L960" s="27" t="str">
        <f>IF(I960="","",B$7&amp;"-"&amp;B$8)</f>
        <v/>
      </c>
      <c r="M960" s="52" t="str">
        <f t="shared" si="365"/>
        <v/>
      </c>
    </row>
    <row r="961" spans="1:13" x14ac:dyDescent="0.35">
      <c r="A961" s="48"/>
      <c r="B961" s="48"/>
      <c r="C961" s="50"/>
      <c r="D961" s="50"/>
      <c r="E961" s="51" t="str">
        <f t="shared" si="363"/>
        <v/>
      </c>
      <c r="F961" s="71" t="str">
        <f t="shared" si="361"/>
        <v/>
      </c>
      <c r="G961" s="69" t="str">
        <f t="shared" si="364"/>
        <v/>
      </c>
      <c r="H961" s="70" t="str">
        <f t="shared" si="362"/>
        <v/>
      </c>
      <c r="I961" s="27" t="str">
        <f>IF(N(J961)=0,"",0&amp;"-"&amp;B$9)</f>
        <v/>
      </c>
      <c r="J961" s="52" t="str">
        <f>IF(N(B$9)=0,"",IF(AND(COUNT(H954:H965)=2,COUNT(F954:F965)=2),cubic_spline(F953:F955,H953:H955,B$9),IF(AND(COUNT(H954:H965)=3,COUNT(F954:F965)=3),cubic_spline(F953:F956,H953:H956,B$9),IF(AND(COUNT(H954:H965)=4,COUNT(F954:F965)=4),cubic_spline(F953:F957,H953:H957,B$9),IF(AND(COUNT(H954:H965)=5,COUNT(F954:F965)=5),cubic_spline(F953:F958,H953:H958,B$9),IF(AND(COUNT(H954:H965)=6,COUNT(F954:F965)=6),cubic_spline(F953:F959,H953:H959,B$9),IF(AND(COUNT(H954:H965)=7,COUNT(F954:F965)=7),cubic_spline(F953:F960,H953:H960,B$9),IF(AND(COUNT(H954:H965)=8,COUNT(F954:F965)=8),cubic_spline(F953:F961,H953:H961,B$9),IF(AND(COUNT(H954:H965)=9,COUNT(F954:F965)=9),cubic_spline(F953:F962,H953:H962,B$9),IF(AND(COUNT(H954:H965)=10,COUNT(F954:F965)=10),cubic_spline(F953:F963,H953:H963,B$9),IF(AND(COUNT(H954:H965)=11,COUNT(F954:F965)=11),cubic_spline(F953:F964,H953:H964,B$9),IF(AND(COUNT(H954:H965)=12,COUNT(F954:F965)=12),cubic_spline(F953:F965,H953:H965,B$9),""))))))))))))</f>
        <v/>
      </c>
      <c r="K961" s="52" t="str">
        <f>IF(N(B$9)=0,"",IF(AND(COUNT(A954:A965)=2,COUNT(F954:F965)=2),cubic_spline(F953:F955,A953:A955,B$9),IF(AND(COUNT(A954:A965)=3,COUNT(F954:F965)=3),cubic_spline(F953:F956,A953:A956,B$9),IF(AND(COUNT(A954:A965)=4,COUNT(F954:F965)=4),cubic_spline(F953:F957,A953:A957,B$9),IF(AND(COUNT(A954:A965)=5,COUNT(F954:F965)=5),cubic_spline(F953:F958,A953:A958,B$9),IF(AND(COUNT(A954:A965)=6,COUNT(F954:F965)=6),cubic_spline(F953:F959,A953:A959,B$9),IF(AND(COUNT(A954:A965)=7,COUNT(F954:F965)=7),cubic_spline(F953:F960,A953:A960,B$9),IF(AND(COUNT(A954:A965)=8,COUNT(F954:F965)=8),cubic_spline(F953:F961,A953:A961,B$9),IF(AND(COUNT(A954:A965)=9,COUNT(F954:F965)=9),cubic_spline(F953:F962,A953:A962,B$9),IF(AND(COUNT(A954:A965)=10,COUNT(F954:F965)=10),cubic_spline(F953:F963,A953:A963,B$9),IF(AND(COUNT(A954:A965)=11,COUNT(F954:F965)=11),cubic_spline(F953:F964,A953:A964,B$9),IF(AND(COUNT(A954:A965)=12,COUNT(F954:F965)=12),cubic_spline(F953:F965,A953:A965,B$9),""))))))))))))</f>
        <v/>
      </c>
      <c r="L961" s="27" t="str">
        <f>IF(I961="","",B$8&amp;"-"&amp;B$9)</f>
        <v/>
      </c>
      <c r="M961" s="52" t="str">
        <f t="shared" si="365"/>
        <v/>
      </c>
    </row>
    <row r="962" spans="1:13" x14ac:dyDescent="0.35">
      <c r="A962" s="48"/>
      <c r="B962" s="48"/>
      <c r="C962" s="50"/>
      <c r="D962" s="50"/>
      <c r="E962" s="51" t="str">
        <f t="shared" si="363"/>
        <v/>
      </c>
      <c r="F962" s="71" t="str">
        <f t="shared" si="361"/>
        <v/>
      </c>
      <c r="G962" s="69" t="str">
        <f t="shared" si="364"/>
        <v/>
      </c>
      <c r="H962" s="70" t="str">
        <f t="shared" si="362"/>
        <v/>
      </c>
      <c r="I962" s="27" t="str">
        <f>IF(N(J962)=0,"",0&amp;"-"&amp;B$10)</f>
        <v/>
      </c>
      <c r="J962" s="52" t="str">
        <f>IF(N(B$10)=0,"",IF(AND(COUNT(H954:H965)=2,COUNT(F954:F965)=2),cubic_spline(F953:F955,H953:H955,B$10),IF(AND(COUNT(H954:H965)=3,COUNT(F954:F965)=3),cubic_spline(F953:F956,H953:H956,B$10),IF(AND(COUNT(H954:H965)=4,COUNT(F954:F965)=4),cubic_spline(F953:F957,H953:H957,B$10),IF(AND(COUNT(H954:H965)=5,COUNT(F954:F965)=5),cubic_spline(F953:F958,H953:H958,B$10),IF(AND(COUNT(H954:H965)=6,COUNT(F954:F965)=6),cubic_spline(F953:F959,H953:H959,B$10),IF(AND(COUNT(H954:H965)=7,COUNT(F954:F965)=7),cubic_spline(F953:F960,H953:H960,B$10),IF(AND(COUNT(H954:H965)=8,COUNT(F954:F965)=8),cubic_spline(F953:F961,H953:H961,B$10),IF(AND(COUNT(H954:H965)=9,COUNT(F954:F965)=9),cubic_spline(F953:F962,H953:H962,B$10),IF(AND(COUNT(H954:H965)=10,COUNT(F954:F965)=10),cubic_spline(F953:F963,H953:H963,B$10),IF(AND(COUNT(H954:H965)=11,COUNT(F954:F965)=11),cubic_spline(F953:F964,H953:H964,B$10),IF(AND(COUNT(H954:H965)=12,COUNT(F954:F965)=12),cubic_spline(F953:F965,H953:H965,B$10),""))))))))))))</f>
        <v/>
      </c>
      <c r="K962" s="52" t="str">
        <f>IF(N(B$10)=0,"",IF(AND(COUNT(A954:A965)=2,COUNT(F954:F965)=2),cubic_spline(F953:F955,A953:A955,B$10),IF(AND(COUNT(A954:A965)=3,COUNT(F954:F965)=3),cubic_spline(F953:F956,A953:A956,B$10),IF(AND(COUNT(A954:A965)=4,COUNT(F954:F965)=4),cubic_spline(F953:F957,A953:A957,B$10),IF(AND(COUNT(A954:A965)=5,COUNT(F954:F965)=5),cubic_spline(F953:F958,A953:A958,B$10),IF(AND(COUNT(A954:A965)=6,COUNT(F954:F965)=6),cubic_spline(F953:F959,A953:A959,B$10),IF(AND(COUNT(A954:A965)=7,COUNT(F954:F965)=7),cubic_spline(F953:F960,A953:A960,B$10),IF(AND(COUNT(A954:A965)=8,COUNT(F954:F965)=8),cubic_spline(F953:F961,A953:A961,B$10),IF(AND(COUNT(A954:A965)=9,COUNT(F954:F965)=9),cubic_spline(F953:F962,A953:A962,B$10),IF(AND(COUNT(A954:A965)=10,COUNT(F954:F965)=10),cubic_spline(F953:F963,A953:A963,B$10),IF(AND(COUNT(A954:A965)=11,COUNT(F954:F965)=11),cubic_spline(F953:F964,A953:A964,B$10),IF(AND(COUNT(A954:A965)=12,COUNT(F954:F965)=12),cubic_spline(F953:F965,A953:A965,B$10),""))))))))))))</f>
        <v/>
      </c>
      <c r="L962" s="27" t="str">
        <f>IF(I962="","",B$9&amp;"-"&amp;B$10)</f>
        <v/>
      </c>
      <c r="M962" s="52" t="str">
        <f t="shared" si="365"/>
        <v/>
      </c>
    </row>
    <row r="963" spans="1:13" x14ac:dyDescent="0.35">
      <c r="A963" s="48"/>
      <c r="B963" s="48"/>
      <c r="C963" s="50"/>
      <c r="D963" s="50"/>
      <c r="E963" s="51" t="str">
        <f t="shared" si="363"/>
        <v/>
      </c>
      <c r="F963" s="71" t="str">
        <f t="shared" si="361"/>
        <v/>
      </c>
      <c r="G963" s="69" t="str">
        <f t="shared" si="364"/>
        <v/>
      </c>
      <c r="H963" s="70" t="str">
        <f t="shared" si="362"/>
        <v/>
      </c>
      <c r="I963" s="27" t="str">
        <f>IF(N(J963)=0,"",0&amp;"-"&amp;B$11)</f>
        <v/>
      </c>
      <c r="J963" s="52" t="str">
        <f>IF(N(B$11)=0,"",IF(AND(COUNT(H954:H965)=2,COUNT(F954:F965)=2),cubic_spline(F953:F955,H953:H955,B$11),IF(AND(COUNT(H954:H965)=3,COUNT(F954:F965)=3),cubic_spline(F953:F956,H953:H956,B$11),IF(AND(COUNT(H954:H965)=4,COUNT(F954:F965)=4),cubic_spline(F953:F957,H953:H957,B$11),IF(AND(COUNT(H954:H965)=5,COUNT(F954:F965)=5),cubic_spline(F953:F958,H953:H958,B$11),IF(AND(COUNT(H954:H965)=6,COUNT(F954:F965)=6),cubic_spline(F953:F959,H953:H959,B$11),IF(AND(COUNT(H954:H965)=7,COUNT(F954:F965)=7),cubic_spline(F953:F960,H953:H960,B$11),IF(AND(COUNT(H954:H965)=8,COUNT(F954:F965)=8),cubic_spline(F953:F961,H953:H961,B$11),IF(AND(COUNT(H954:H965)=9,COUNT(F954:F965)=9),cubic_spline(F953:F962,H953:H962,B$11),IF(AND(COUNT(H954:H965)=10,COUNT(F954:F965)=10),cubic_spline(F953:F963,H953:H963,B$11),IF(AND(COUNT(H954:H965)=11,COUNT(F954:F965)=11),cubic_spline(F953:F964,H953:H964,B$11),IF(AND(COUNT(H954:H965)=12,COUNT(F954:F965)=12),cubic_spline(F953:F965,H953:H965,B$11),""))))))))))))</f>
        <v/>
      </c>
      <c r="K963" s="52" t="str">
        <f>IF(N(B$11)=0,"",IF(AND(COUNT(A954:A965)=2,COUNT(F954:F965)=2),cubic_spline(F953:F955,A953:A955,B$11),IF(AND(COUNT(A954:A965)=3,COUNT(F954:F965)=3),cubic_spline(F953:F956,A953:A956,B$11),IF(AND(COUNT(A954:A965)=4,COUNT(F954:F965)=4),cubic_spline(F953:F957,A953:A957,B$11),IF(AND(COUNT(A954:A965)=5,COUNT(F954:F965)=5),cubic_spline(F953:F958,A953:A958,B$11),IF(AND(COUNT(A954:A965)=6,COUNT(F954:F965)=6),cubic_spline(F953:F959,A953:A959,B$11),IF(AND(COUNT(A954:A965)=7,COUNT(F954:F965)=7),cubic_spline(F953:F960,A953:A960,B$11),IF(AND(COUNT(A954:A965)=8,COUNT(F954:F965)=8),cubic_spline(F953:F961,A953:A961,B$11),IF(AND(COUNT(A954:A965)=9,COUNT(F954:F965)=9),cubic_spline(F953:F962,A953:A962,B$11),IF(AND(COUNT(A954:A965)=10,COUNT(F954:F965)=10),cubic_spline(F953:F963,A953:A963,B$11),IF(AND(COUNT(A954:A965)=11,COUNT(F954:F965)=11),cubic_spline(F953:F964,A953:A964,B$11),IF(AND(COUNT(A954:A965)=12,COUNT(F954:F965)=12),cubic_spline(F953:F965,A953:A965,B$11),""))))))))))))</f>
        <v/>
      </c>
      <c r="L963" s="27" t="str">
        <f>IF(I963="","",B$10&amp;"-"&amp;B$11)</f>
        <v/>
      </c>
      <c r="M963" s="52" t="str">
        <f t="shared" si="365"/>
        <v/>
      </c>
    </row>
    <row r="964" spans="1:13" x14ac:dyDescent="0.35">
      <c r="A964" s="48"/>
      <c r="B964" s="48"/>
      <c r="C964" s="50"/>
      <c r="D964" s="50"/>
      <c r="E964" s="51" t="str">
        <f t="shared" si="363"/>
        <v/>
      </c>
      <c r="F964" s="71" t="str">
        <f t="shared" si="361"/>
        <v/>
      </c>
      <c r="G964" s="69" t="str">
        <f t="shared" si="364"/>
        <v/>
      </c>
      <c r="H964" s="70" t="str">
        <f t="shared" si="362"/>
        <v/>
      </c>
      <c r="I964" s="27" t="str">
        <f>IF(N(J964)=0,"",0&amp;"-"&amp;B$12)</f>
        <v/>
      </c>
      <c r="J964" s="52" t="str">
        <f>IF(N(B$12)=0,"",IF(AND(COUNT(H954:H965)=2,COUNT(F954:F965)=2),cubic_spline(F953:F955,H953:H955,B$12),IF(AND(COUNT(H954:H965)=3,COUNT(F954:F965)=3),cubic_spline(F953:F956,H953:H956,B$12),IF(AND(COUNT(H954:H965)=4,COUNT(F954:F965)=4),cubic_spline(F953:F957,H953:H957,B$12),IF(AND(COUNT(H954:H965)=5,COUNT(F954:F965)=5),cubic_spline(F953:F958,H953:H958,B$12),IF(AND(COUNT(H954:H965)=6,COUNT(F954:F965)=6),cubic_spline(F953:F959,H953:H959,B$12),IF(AND(COUNT(H954:H965)=7,COUNT(F954:F965)=7),cubic_spline(F953:F960,H953:H960,B$12),IF(AND(COUNT(H954:H965)=8,COUNT(F954:F965)=8),cubic_spline(F953:F961,H953:H961,B$12),IF(AND(COUNT(H954:H965)=9,COUNT(F954:F965)=9),cubic_spline(F953:F962,H953:H962,B$12),IF(AND(COUNT(H954:H965)=10,COUNT(F954:F965)=10),cubic_spline(F953:F963,H953:H963,B$12),IF(AND(COUNT(H954:H965)=11,COUNT(F954:F965)=11),cubic_spline(F953:F964,H953:H964,B$12),IF(AND(COUNT(H954:H965)=12,COUNT(F954:F965)=12),cubic_spline(F953:F965,H953:H965,B$12),""))))))))))))</f>
        <v/>
      </c>
      <c r="K964" s="52" t="str">
        <f>IF(N(B$12)=0,"",IF(AND(COUNT(A954:A965)=2,COUNT(F954:F965)=2),cubic_spline(F953:F955,A953:A955,B$12),IF(AND(COUNT(A954:A965)=3,COUNT(F954:F965)=3),cubic_spline(F953:F956,A953:A956,B$12),IF(AND(COUNT(A954:A965)=4,COUNT(F954:F965)=4),cubic_spline(F953:F957,A953:A957,B$12),IF(AND(COUNT(A954:A965)=5,COUNT(F954:F965)=5),cubic_spline(F953:F958,A953:A958,B$12),IF(AND(COUNT(A954:A965)=6,COUNT(F954:F965)=6),cubic_spline(F953:F959,A953:A959,B$12),IF(AND(COUNT(A954:A965)=7,COUNT(F954:F965)=7),cubic_spline(F953:F960,A953:A960,B$12),IF(AND(COUNT(A954:A965)=8,COUNT(F954:F965)=8),cubic_spline(F953:F961,A953:A961,B$12),IF(AND(COUNT(A954:A965)=9,COUNT(F954:F965)=9),cubic_spline(F953:F962,A953:A962,B$12),IF(AND(COUNT(A954:A965)=10,COUNT(F954:F965)=10),cubic_spline(F953:F963,A953:A963,B$12),IF(AND(COUNT(A954:A965)=11,COUNT(F954:F965)=11),cubic_spline(F953:F964,A953:A964,B$12),IF(AND(COUNT(A954:A965)=12,COUNT(F954:F965)=12),cubic_spline(F953:F965,A953:A965,B$12),""))))))))))))</f>
        <v/>
      </c>
      <c r="L964" s="27" t="str">
        <f>IF(I964="","",B$11&amp;"-"&amp;B$12)</f>
        <v/>
      </c>
      <c r="M964" s="52" t="str">
        <f t="shared" si="365"/>
        <v/>
      </c>
    </row>
    <row r="965" spans="1:13" x14ac:dyDescent="0.35">
      <c r="A965" s="48"/>
      <c r="B965" s="48"/>
      <c r="C965" s="50"/>
      <c r="D965" s="50"/>
      <c r="E965" s="51" t="str">
        <f t="shared" si="363"/>
        <v/>
      </c>
      <c r="F965" s="71" t="str">
        <f t="shared" si="361"/>
        <v/>
      </c>
      <c r="G965" s="69" t="str">
        <f t="shared" si="364"/>
        <v/>
      </c>
      <c r="H965" s="70" t="str">
        <f t="shared" si="362"/>
        <v/>
      </c>
      <c r="I965" s="27" t="str">
        <f>IF(N(J965)=0,"",0&amp;"-"&amp;B$13)</f>
        <v/>
      </c>
      <c r="J965" s="52" t="str">
        <f>IF(N(B$13)=0,"",IF(AND(COUNT(H954:H965)=2,COUNT(F954:F965)=2),cubic_spline(F953:F955,H953:H955,B$13),IF(AND(COUNT(H954:H965)=3,COUNT(F954:F965)=3),cubic_spline(F953:F956,H953:H956,B$13),IF(AND(COUNT(H954:H965)=4,COUNT(F954:F965)=4),cubic_spline(F953:F957,H953:H957,B$13),IF(AND(COUNT(H954:H965)=5,COUNT(F954:F965)=5),cubic_spline(F953:F958,H953:H958,B$13),IF(AND(COUNT(H954:H965)=6,COUNT(F954:F965)=6),cubic_spline(F953:F959,H953:H959,B$13),IF(AND(COUNT(H954:H965)=7,COUNT(F954:F965)=7),cubic_spline(F953:F960,H953:H960,B$13),IF(AND(COUNT(H954:H965)=8,COUNT(F954:F965)=8),cubic_spline(F953:F961,H953:H961,B$13),IF(AND(COUNT(H954:H965)=9,COUNT(F954:F965)=9),cubic_spline(F953:F962,H953:H962,B$13),IF(AND(COUNT(H954:H965)=10,COUNT(F954:F965)=10),cubic_spline(F953:F963,H953:H963,B$13),IF(AND(COUNT(H954:H965)=11,COUNT(F954:F965)=11),cubic_spline(F953:F964,H953:H964,B$13),IF(AND(COUNT(H954:H965)=12,COUNT(F954:F965)=12),cubic_spline(F953:F965,H953:H965,B$13),""))))))))))))</f>
        <v/>
      </c>
      <c r="K965" s="52" t="str">
        <f>IF(N(B$13)=0,"",IF(AND(COUNT(A954:A965)=2,COUNT(F954:F965)=2),cubic_spline(F953:F955,A953:A955,B$13),IF(AND(COUNT(A954:A965)=3,COUNT(F954:F965)=3),cubic_spline(F953:F956,A953:A956,B$13),IF(AND(COUNT(A954:A965)=4,COUNT(F954:F965)=4),cubic_spline(F953:F957,A953:A957,B$13),IF(AND(COUNT(A954:A965)=5,COUNT(F954:F965)=5),cubic_spline(F953:F958,A953:A958,B$13),IF(AND(COUNT(A954:A965)=6,COUNT(F954:F965)=6),cubic_spline(F953:F959,A953:A959,B$13),IF(AND(COUNT(A954:A965)=7,COUNT(F954:F965)=7),cubic_spline(F953:F960,A953:A960,B$13),IF(AND(COUNT(A954:A965)=8,COUNT(F954:F965)=8),cubic_spline(F953:F961,A953:A961,B$13),IF(AND(COUNT(A954:A965)=9,COUNT(F954:F965)=9),cubic_spline(F953:F962,A953:A962,B$13),IF(AND(COUNT(A954:A965)=10,COUNT(F954:F965)=10),cubic_spline(F953:F963,A953:A963,B$13),IF(AND(COUNT(A954:A965)=11,COUNT(F954:F965)=11),cubic_spline(F953:F964,A953:A964,B$13),IF(AND(COUNT(A954:A965)=12,COUNT(F954:F965)=12),cubic_spline(F953:F965,A953:A965,B$13),""))))))))))))</f>
        <v/>
      </c>
      <c r="L965" s="27" t="str">
        <f>IF(I965="","",B$12&amp;"-"&amp;B$13)</f>
        <v/>
      </c>
      <c r="M965" s="52" t="str">
        <f t="shared" si="365"/>
        <v/>
      </c>
    </row>
    <row r="966" spans="1:13" ht="5.15" customHeight="1" x14ac:dyDescent="0.35">
      <c r="A966" s="47"/>
      <c r="B966" s="47"/>
      <c r="C966" s="53"/>
      <c r="D966" s="53"/>
      <c r="E966" s="54"/>
      <c r="F966" s="55"/>
      <c r="G966" s="72"/>
      <c r="H966" s="73"/>
      <c r="I966" s="47"/>
      <c r="J966" s="57"/>
      <c r="K966" s="57"/>
      <c r="L966" s="55"/>
      <c r="M966" s="57"/>
    </row>
    <row r="967" spans="1:13" x14ac:dyDescent="0.35">
      <c r="A967" s="48"/>
      <c r="B967" s="48"/>
      <c r="C967" s="50"/>
      <c r="D967" s="50"/>
      <c r="E967" s="51" t="str">
        <f>IF(N(C967)=0,"",(A967-A966)*C967*100)</f>
        <v/>
      </c>
      <c r="F967" s="68" t="str">
        <f t="shared" ref="F967:F978" si="366">IF(N(E967)=0,"",(N(E967)+N(F966)))</f>
        <v/>
      </c>
      <c r="G967" s="69" t="str">
        <f>IF(OR(N(D967)=0,N(E967)=0),"",(E967*D967)/1000)</f>
        <v/>
      </c>
      <c r="H967" s="70" t="str">
        <f t="shared" ref="H967:H978" si="367">IF(N(G967)=0,"",(N(G967)+N(H966)))</f>
        <v/>
      </c>
      <c r="I967" s="27" t="str">
        <f>IF(N(J967)=0,"",0&amp;"-"&amp;B$2)</f>
        <v/>
      </c>
      <c r="J967" s="52" t="str">
        <f>IF(N(B$2)=0,"",IF(AND(COUNT(H967:H978)=2,COUNT(F967:F978)=2),cubic_spline(F966:F968,H966:H968,B$2),IF(AND(COUNT(H967:H978)=3,COUNT(F967:F978)=3),cubic_spline(F966:F969,H966:H969,B$2),IF(AND(COUNT(H967:H978)=4,COUNT(F967:F978)=4),cubic_spline(F966:F970,H966:H970,B$2),IF(AND(COUNT(H967:H978)=5,COUNT(F967:F978)=5),cubic_spline(F966:F971,H966:H971,B$2),IF(AND(COUNT(H967:H978)=6,COUNT(F967:F978)=6),cubic_spline(F966:F972,H966:H972,B$2),IF(AND(COUNT(H967:H978)=7,COUNT(F967:F978)=7),cubic_spline(F966:F973,H966:H973,B$2),IF(AND(COUNT(H967:H978)=8,COUNT(F967:F978)=8),cubic_spline(F966:F974,H966:H974,B$2),IF(AND(COUNT(H967:H978)=9,COUNT(F967:F978)=9),cubic_spline(F966:F975,H966:H975,B$2),IF(AND(COUNT(H967:H978)=10,COUNT(F967:F978)=10),cubic_spline(F966:F976,H966:H976,B$2),IF(AND(COUNT(H967:H978)=11,COUNT(F967:F978)=11),cubic_spline(F966:F977,H966:H977,B$2),IF(AND(COUNT(H967:H978)=12,COUNT(F967:F978)=12),cubic_spline(F966:F978,H966:H978,B$2),""))))))))))))</f>
        <v/>
      </c>
      <c r="K967" s="52" t="str">
        <f>IF(N(B$2)=0,"",IF(AND(COUNT(A967:A978)=2,COUNT(F967:F978)=2),cubic_spline(F966:F968,A966:A968,B$2),IF(AND(COUNT(A967:A978)=3,COUNT(F967:F978)=3),cubic_spline(F966:F969,A966:A969,B$2),IF(AND(COUNT(A967:A978)=4,COUNT(F967:F978)=4),cubic_spline(F966:F970,A966:A970,B$2),IF(AND(COUNT(A967:A978)=5,COUNT(F967:F978)=5),cubic_spline(F966:F971,A966:A971,B$2),IF(AND(COUNT(A967:A978)=6,COUNT(F967:F978)=6),cubic_spline(F966:F972,A966:A972,B$2),IF(AND(COUNT(A967:A978)=7,COUNT(F967:F978)=7),cubic_spline(F966:F973,A966:A973,B$2),IF(AND(COUNT(A967:A978)=8,COUNT(F967:F978)=8),cubic_spline(F966:F974,A966:A974,B$2),IF(AND(COUNT(A967:A978)=9,COUNT(F967:F978)=9),cubic_spline(F966:F975,A966:A975,B$2),IF(AND(COUNT(A967:A978)=10,COUNT(F967:F978)=10),cubic_spline(F966:F976,A966:A976,B$2),IF(AND(COUNT(A967:A978)=11,COUNT(F967:F978)=11),cubic_spline(F966:F977,A966:A977,B$2),IF(AND(COUNT(A967:A978)=12,COUNT(F967:F978)=12),cubic_spline(F966:F978,A966:A978,B$2),""))))))))))))</f>
        <v/>
      </c>
      <c r="L967" s="27" t="str">
        <f>IF(I967="","",0&amp;"-"&amp;B$2)</f>
        <v/>
      </c>
      <c r="M967" s="52" t="str">
        <f>IF(N(J967)=0,"",J967-J966)</f>
        <v/>
      </c>
    </row>
    <row r="968" spans="1:13" x14ac:dyDescent="0.35">
      <c r="A968" s="48"/>
      <c r="B968" s="48"/>
      <c r="C968" s="50"/>
      <c r="D968" s="50"/>
      <c r="E968" s="51" t="str">
        <f t="shared" ref="E968:E978" si="368">IF(N(C968)=0,"",(A968-A967)*C968*100)</f>
        <v/>
      </c>
      <c r="F968" s="68" t="str">
        <f t="shared" si="366"/>
        <v/>
      </c>
      <c r="G968" s="69" t="str">
        <f t="shared" ref="G968:G978" si="369">IF(OR(N(D968)=0,N(E968)=0),"",(E968*D968)/1000)</f>
        <v/>
      </c>
      <c r="H968" s="70" t="str">
        <f t="shared" si="367"/>
        <v/>
      </c>
      <c r="I968" s="27" t="str">
        <f>IF(N(J968)=0,"",0&amp;"-"&amp;B$3)</f>
        <v/>
      </c>
      <c r="J968" s="52" t="str">
        <f>IF(N(B$3)=0,"",IF(AND(COUNT(H967:H978)=2,COUNT(F967:F978)=2),cubic_spline(F966:F968,H966:H968,B$3),IF(AND(COUNT(H967:H978)=3,COUNT(F967:F978)=3),cubic_spline(F966:F969,H966:H969,B$3),IF(AND(COUNT(H967:H978)=4,COUNT(F967:F978)=4),cubic_spline(F966:F970,H966:H970,B$3),IF(AND(COUNT(H967:H978)=5,COUNT(F967:F978)=5),cubic_spline(F966:F971,H966:H971,B$3),IF(AND(COUNT(H967:H978)=6,COUNT(F967:F978)=6),cubic_spline(F966:F972,H966:H972,B$3),IF(AND(COUNT(H967:H978)=7,COUNT(F967:F978)=7),cubic_spline(F966:F973,H966:H973,B$3),IF(AND(COUNT(H967:H978)=8,COUNT(F967:F978)=8),cubic_spline(F966:F974,H966:H974,B$3),IF(AND(COUNT(H967:H978)=9,COUNT(F967:F978)=9),cubic_spline(F966:F975,H966:H975,B$3),IF(AND(COUNT(H967:H978)=10,COUNT(F967:F978)=10),cubic_spline(F966:F976,H966:H976,B$3),IF(AND(COUNT(H967:H978)=11,COUNT(F967:F978)=11),cubic_spline(F966:F977,H966:H977,B$3),IF(AND(COUNT(H967:H978)=12,COUNT(F967:F978)=12),cubic_spline(F966:F978,H966:H978,B$3),""))))))))))))</f>
        <v/>
      </c>
      <c r="K968" s="52" t="str">
        <f>IF(N(B$3)=0,"",IF(AND(COUNT(A967:A978)=2,COUNT(F967:F978)=2),cubic_spline(F966:F968,A966:A968,B$3),IF(AND(COUNT(A967:A978)=3,COUNT(F967:F978)=3),cubic_spline(F966:F969,A966:A969,B$3),IF(AND(COUNT(A967:A978)=4,COUNT(F967:F978)=4),cubic_spline(F966:F970,A966:A970,B$3),IF(AND(COUNT(A967:A978)=5,COUNT(F967:F978)=5),cubic_spline(F966:F971,A966:A971,B$3),IF(AND(COUNT(A967:A978)=6,COUNT(F967:F978)=6),cubic_spline(F966:F972,A966:A972,B$3),IF(AND(COUNT(A967:A978)=7,COUNT(F967:F978)=7),cubic_spline(F966:F973,A966:A973,B$3),IF(AND(COUNT(A967:A978)=8,COUNT(F967:F978)=8),cubic_spline(F966:F974,A966:A974,B$3),IF(AND(COUNT(A967:A978)=9,COUNT(F967:F978)=9),cubic_spline(F966:F975,A966:A975,B$3),IF(AND(COUNT(A967:A978)=10,COUNT(F967:F978)=10),cubic_spline(F966:F976,A966:A976,B$3),IF(AND(COUNT(A967:A978)=11,COUNT(F967:F978)=11),cubic_spline(F966:F977,A966:A977,B$3),IF(AND(COUNT(A967:A978)=12,COUNT(F967:F978)=12),cubic_spline(F966:F978,A966:A978,B$3),""))))))))))))</f>
        <v/>
      </c>
      <c r="L968" s="27" t="str">
        <f>IF(I968="","",B$2&amp;"-"&amp;B$3)</f>
        <v/>
      </c>
      <c r="M968" s="52" t="str">
        <f>IF(N(J968)=0,"",J968-J967)</f>
        <v/>
      </c>
    </row>
    <row r="969" spans="1:13" x14ac:dyDescent="0.35">
      <c r="A969" s="48"/>
      <c r="B969" s="48"/>
      <c r="C969" s="50"/>
      <c r="D969" s="50"/>
      <c r="E969" s="51" t="str">
        <f t="shared" si="368"/>
        <v/>
      </c>
      <c r="F969" s="68" t="str">
        <f t="shared" si="366"/>
        <v/>
      </c>
      <c r="G969" s="69" t="str">
        <f t="shared" si="369"/>
        <v/>
      </c>
      <c r="H969" s="70" t="str">
        <f t="shared" si="367"/>
        <v/>
      </c>
      <c r="I969" s="27" t="str">
        <f>IF(N(J969)=0,"",0&amp;"-"&amp;B$4)</f>
        <v/>
      </c>
      <c r="J969" s="52" t="str">
        <f>IF(N(B$4)=0,"",IF(AND(COUNT(H967:H978)=2,COUNT(F967:F978)=2),cubic_spline(F966:F968,H966:H968,B$4),IF(AND(COUNT(H967:H978)=3,COUNT(F967:F978)=3),cubic_spline(F966:F969,H966:H969,B$4),IF(AND(COUNT(H967:H978)=4,COUNT(F967:F978)=4),cubic_spline(F966:F970,H966:H970,B$4),IF(AND(COUNT(H967:H978)=5,COUNT(F967:F978)=5),cubic_spline(F966:F971,H966:H971,B$4),IF(AND(COUNT(H967:H978)=6,COUNT(F967:F978)=6),cubic_spline(F966:F972,H966:H972,B$4),IF(AND(COUNT(H967:H978)=7,COUNT(F967:F978)=7),cubic_spline(F966:F973,H966:H973,B$4),IF(AND(COUNT(H967:H978)=8,COUNT(F967:F978)=8),cubic_spline(F966:F974,H966:H974,B$4),IF(AND(COUNT(H967:H978)=9,COUNT(F967:F978)=9),cubic_spline(F966:F975,H966:H975,B$4),IF(AND(COUNT(H967:H978)=10,COUNT(F967:F978)=10),cubic_spline(F966:F976,H966:H976,B$4),IF(AND(COUNT(H967:H978)=11,COUNT(F967:F978)=11),cubic_spline(F966:F977,H966:H977,B$4),IF(AND(COUNT(H967:H978)=12,COUNT(F967:F978)=12),cubic_spline(F966:F978,H966:H978,B$4),""))))))))))))</f>
        <v/>
      </c>
      <c r="K969" s="52" t="str">
        <f>IF(N(B$4)=0,"",IF(AND(COUNT(A967:A978)=2,COUNT(F967:F978)=2),cubic_spline(F966:F968,A966:A968,B$4),IF(AND(COUNT(A967:A978)=3,COUNT(F967:F978)=3),cubic_spline(F966:F969,A966:A969,B$4),IF(AND(COUNT(A967:A978)=4,COUNT(F967:F978)=4),cubic_spline(F966:F970,A966:A970,B$4),IF(AND(COUNT(A967:A978)=5,COUNT(F967:F978)=5),cubic_spline(F966:F971,A966:A971,B$4),IF(AND(COUNT(A967:A978)=6,COUNT(F967:F978)=6),cubic_spline(F966:F972,A966:A972,B$4),IF(AND(COUNT(A967:A978)=7,COUNT(F967:F978)=7),cubic_spline(F966:F973,A966:A973,B$4),IF(AND(COUNT(A967:A978)=8,COUNT(F967:F978)=8),cubic_spline(F966:F974,A966:A974,B$4),IF(AND(COUNT(A967:A978)=9,COUNT(F967:F978)=9),cubic_spline(F966:F975,A966:A975,B$4),IF(AND(COUNT(A967:A978)=10,COUNT(F967:F978)=10),cubic_spline(F966:F976,A966:A976,B$4),IF(AND(COUNT(A967:A978)=11,COUNT(F967:F978)=11),cubic_spline(F966:F977,A966:A977,B$4),IF(AND(COUNT(A967:A978)=12,COUNT(F967:F978)=12),cubic_spline(F966:F978,A966:A978,B$4),""))))))))))))</f>
        <v/>
      </c>
      <c r="L969" s="27" t="str">
        <f>IF(I969="","",B$3&amp;"-"&amp;B$4)</f>
        <v/>
      </c>
      <c r="M969" s="52" t="str">
        <f>IF(N(J969)=0,"",J969-J968)</f>
        <v/>
      </c>
    </row>
    <row r="970" spans="1:13" x14ac:dyDescent="0.35">
      <c r="A970" s="48"/>
      <c r="B970" s="48"/>
      <c r="C970" s="50"/>
      <c r="D970" s="50"/>
      <c r="E970" s="51" t="str">
        <f t="shared" si="368"/>
        <v/>
      </c>
      <c r="F970" s="68" t="str">
        <f t="shared" si="366"/>
        <v/>
      </c>
      <c r="G970" s="69" t="str">
        <f t="shared" si="369"/>
        <v/>
      </c>
      <c r="H970" s="70" t="str">
        <f t="shared" si="367"/>
        <v/>
      </c>
      <c r="I970" s="27" t="str">
        <f>IF(N(J970)=0,"",0&amp;"-"&amp;B$5)</f>
        <v/>
      </c>
      <c r="J970" s="52" t="str">
        <f>IF(N(B$5)=0,"",IF(AND(COUNT(H967:H978)=2,COUNT(F967:F978)=2),cubic_spline(F966:F968,H966:H968,B$5),IF(AND(COUNT(H967:H978)=3,COUNT(F967:F978)=3),cubic_spline(F966:F969,H966:H969,B$5),IF(AND(COUNT(H967:H978)=4,COUNT(F967:F978)=4),cubic_spline(F966:F970,H966:H970,B$5),IF(AND(COUNT(H967:H978)=5,COUNT(F967:F978)=5),cubic_spline(F966:F971,H966:H971,B$5),IF(AND(COUNT(H967:H978)=6,COUNT(F967:F978)=6),cubic_spline(F966:F972,H966:H972,B$5),IF(AND(COUNT(H967:H978)=7,COUNT(F967:F978)=7),cubic_spline(F966:F973,H966:H973,B$5),IF(AND(COUNT(H967:H978)=8,COUNT(F967:F978)=8),cubic_spline(F966:F974,H966:H974,B$5),IF(AND(COUNT(H967:H978)=9,COUNT(F967:F978)=9),cubic_spline(F966:F975,H966:H975,B$5),IF(AND(COUNT(H967:H978)=10,COUNT(F967:F978)=10),cubic_spline(F966:F976,H966:H976,B$5),IF(AND(COUNT(H967:H978)=11,COUNT(F967:F978)=11),cubic_spline(F966:F977,H966:H977,B$5),IF(AND(COUNT(H967:H978)=12,COUNT(F967:F978)=12),cubic_spline(F966:F978,H966:H978,B$5),""))))))))))))</f>
        <v/>
      </c>
      <c r="K970" s="52" t="str">
        <f>IF(N(B$5)=0,"",IF(AND(COUNT(A967:A978)=2,COUNT(F967:F978)=2),cubic_spline(F966:F968,A966:A968,B$5),IF(AND(COUNT(A967:A978)=3,COUNT(F967:F978)=3),cubic_spline(F966:F969,A966:A969,B$5),IF(AND(COUNT(A967:A978)=4,COUNT(F967:F978)=4),cubic_spline(F966:F970,A966:A970,B$5),IF(AND(COUNT(A967:A978)=5,COUNT(F967:F978)=5),cubic_spline(F966:F971,A966:A971,B$5),IF(AND(COUNT(A967:A978)=6,COUNT(F967:F978)=6),cubic_spline(F966:F972,A966:A972,B$5),IF(AND(COUNT(A967:A978)=7,COUNT(F967:F978)=7),cubic_spline(F966:F973,A966:A973,B$5),IF(AND(COUNT(A967:A978)=8,COUNT(F967:F978)=8),cubic_spline(F966:F974,A966:A974,B$5),IF(AND(COUNT(A967:A978)=9,COUNT(F967:F978)=9),cubic_spline(F966:F975,A966:A975,B$5),IF(AND(COUNT(A967:A978)=10,COUNT(F967:F978)=10),cubic_spline(F966:F976,A966:A976,B$5),IF(AND(COUNT(A967:A978)=11,COUNT(F967:F978)=11),cubic_spline(F966:F977,A966:A977,B$5),IF(AND(COUNT(A967:A978)=12,COUNT(F967:F978)=12),cubic_spline(F966:F978,A966:A978,B$5),""))))))))))))</f>
        <v/>
      </c>
      <c r="L970" s="27" t="str">
        <f>IF(I970="","",B$4&amp;"-"&amp;B$5)</f>
        <v/>
      </c>
      <c r="M970" s="52" t="str">
        <f>IF(N(J970)=0,"",J970-J969)</f>
        <v/>
      </c>
    </row>
    <row r="971" spans="1:13" x14ac:dyDescent="0.35">
      <c r="A971" s="48"/>
      <c r="B971" s="48"/>
      <c r="C971" s="50"/>
      <c r="D971" s="50"/>
      <c r="E971" s="51" t="str">
        <f t="shared" si="368"/>
        <v/>
      </c>
      <c r="F971" s="71" t="str">
        <f t="shared" si="366"/>
        <v/>
      </c>
      <c r="G971" s="69" t="str">
        <f t="shared" si="369"/>
        <v/>
      </c>
      <c r="H971" s="70" t="str">
        <f t="shared" si="367"/>
        <v/>
      </c>
      <c r="I971" s="27" t="str">
        <f>IF(N(J971)=0,"",0&amp;"-"&amp;B$6)</f>
        <v/>
      </c>
      <c r="J971" s="52" t="str">
        <f>IF(N(B$6)=0,"",IF(AND(COUNT(H967:H978)=2,COUNT(F967:F978)=2),cubic_spline(F966:F968,H966:H968,B$6),IF(AND(COUNT(H967:H978)=3,COUNT(F967:F978)=3),cubic_spline(F966:F969,H966:H969,B$6),IF(AND(COUNT(H967:H978)=4,COUNT(F967:F978)=4),cubic_spline(F966:F970,H966:H970,B$6),IF(AND(COUNT(H967:H978)=5,COUNT(F967:F978)=5),cubic_spline(F966:F971,H966:H971,B$6),IF(AND(COUNT(H967:H978)=6,COUNT(F967:F978)=6),cubic_spline(F966:F972,H966:H972,B$6),IF(AND(COUNT(H967:H978)=7,COUNT(F967:F978)=7),cubic_spline(F966:F973,H966:H973,B$6),IF(AND(COUNT(H967:H978)=8,COUNT(F967:F978)=8),cubic_spline(F966:F974,H966:H974,B$6),IF(AND(COUNT(H967:H978)=9,COUNT(F967:F978)=9),cubic_spline(F966:F975,H966:H975,B$6),IF(AND(COUNT(H967:H978)=10,COUNT(F967:F978)=10),cubic_spline(F966:F976,H966:H976,B$6),IF(AND(COUNT(H967:H978)=11,COUNT(F967:F978)=11),cubic_spline(F966:F977,H966:H977,B$6),IF(AND(COUNT(H967:H978)=12,COUNT(F967:F978)=12),cubic_spline(F966:F978,H966:H978,B$6),""))))))))))))</f>
        <v/>
      </c>
      <c r="K971" s="52" t="str">
        <f>IF(N(B$6)=0,"",IF(AND(COUNT(A967:A978)=2,COUNT(F967:F978)=2),cubic_spline(F966:F968,A966:A968,B$6),IF(AND(COUNT(A967:A978)=3,COUNT(F967:F978)=3),cubic_spline(F966:F969,A966:A969,B$6),IF(AND(COUNT(A967:A978)=4,COUNT(F967:F978)=4),cubic_spline(F966:F970,A966:A970,B$6),IF(AND(COUNT(A967:A978)=5,COUNT(F967:F978)=5),cubic_spline(F966:F971,A966:A971,B$6),IF(AND(COUNT(A967:A978)=6,COUNT(F967:F978)=6),cubic_spline(F966:F972,A966:A972,B$6),IF(AND(COUNT(A967:A978)=7,COUNT(F967:F978)=7),cubic_spline(F966:F973,A966:A973,B$6),IF(AND(COUNT(A967:A978)=8,COUNT(F967:F978)=8),cubic_spline(F966:F974,A966:A974,B$6),IF(AND(COUNT(A967:A978)=9,COUNT(F967:F978)=9),cubic_spline(F966:F975,A966:A975,B$6),IF(AND(COUNT(A967:A978)=10,COUNT(F967:F978)=10),cubic_spline(F966:F976,A966:A976,B$6),IF(AND(COUNT(A967:A978)=11,COUNT(F967:F978)=11),cubic_spline(F966:F977,A966:A977,B$6),IF(AND(COUNT(A967:A978)=12,COUNT(F967:F978)=12),cubic_spline(F966:F978,A966:A978,B$6),""))))))))))))</f>
        <v/>
      </c>
      <c r="L971" s="27" t="str">
        <f>IF(I971="","",B$5&amp;"-"&amp;B$6)</f>
        <v/>
      </c>
      <c r="M971" s="52" t="str">
        <f>IF(N(J971)=0,"",J971-J970)</f>
        <v/>
      </c>
    </row>
    <row r="972" spans="1:13" x14ac:dyDescent="0.35">
      <c r="A972" s="48"/>
      <c r="B972" s="48"/>
      <c r="C972" s="50"/>
      <c r="D972" s="50"/>
      <c r="E972" s="51" t="str">
        <f t="shared" si="368"/>
        <v/>
      </c>
      <c r="F972" s="71" t="str">
        <f t="shared" si="366"/>
        <v/>
      </c>
      <c r="G972" s="69" t="str">
        <f t="shared" si="369"/>
        <v/>
      </c>
      <c r="H972" s="70" t="str">
        <f t="shared" si="367"/>
        <v/>
      </c>
      <c r="I972" s="27" t="str">
        <f>IF(N(J972)=0,"",0&amp;"-"&amp;B$7)</f>
        <v/>
      </c>
      <c r="J972" s="52" t="str">
        <f>IF(N(B$7)=0,"",IF(AND(COUNT(H967:H978)=2,COUNT(F967:F978)=2),cubic_spline(F966:F968,H966:H968,B$7),IF(AND(COUNT(H967:H978)=3,COUNT(F967:F978)=3),cubic_spline(F966:F969,H966:H969,B$7),IF(AND(COUNT(H967:H978)=4,COUNT(F967:F978)=4),cubic_spline(F966:F970,H966:H970,B$7),IF(AND(COUNT(H967:H978)=5,COUNT(F967:F978)=5),cubic_spline(F966:F971,H966:H971,B$7),IF(AND(COUNT(H967:H978)=6,COUNT(F967:F978)=6),cubic_spline(F966:F972,H966:H972,B$7),IF(AND(COUNT(H967:H978)=7,COUNT(F967:F978)=7),cubic_spline(F966:F973,H966:H973,B$7),IF(AND(COUNT(H967:H978)=8,COUNT(F967:F978)=8),cubic_spline(F966:F974,H966:H974,B$7),IF(AND(COUNT(H967:H978)=9,COUNT(F967:F978)=9),cubic_spline(F966:F975,H966:H975,B$7),IF(AND(COUNT(H967:H978)=10,COUNT(F967:F978)=10),cubic_spline(F966:F976,H966:H976,B$7),IF(AND(COUNT(H967:H978)=11,COUNT(F967:F978)=11),cubic_spline(F966:F977,H966:H977,B$7),IF(AND(COUNT(H967:H978)=12,COUNT(F967:F978)=12),cubic_spline(F966:F978,H966:H978,B$7),""))))))))))))</f>
        <v/>
      </c>
      <c r="K972" s="52" t="str">
        <f>IF(N(B$7)=0,"",IF(AND(COUNT(A967:A978)=2,COUNT(F967:F978)=2),cubic_spline(F966:F968,A966:A968,B$7),IF(AND(COUNT(A967:A978)=3,COUNT(F967:F978)=3),cubic_spline(F966:F969,A966:A969,B$7),IF(AND(COUNT(A967:A978)=4,COUNT(F967:F978)=4),cubic_spline(F966:F970,A966:A970,B$7),IF(AND(COUNT(A967:A978)=5,COUNT(F967:F978)=5),cubic_spline(F966:F971,A966:A971,B$7),IF(AND(COUNT(A967:A978)=6,COUNT(F967:F978)=6),cubic_spline(F966:F972,A966:A972,B$7),IF(AND(COUNT(A967:A978)=7,COUNT(F967:F978)=7),cubic_spline(F966:F973,A966:A973,B$7),IF(AND(COUNT(A967:A978)=8,COUNT(F967:F978)=8),cubic_spline(F966:F974,A966:A974,B$7),IF(AND(COUNT(A967:A978)=9,COUNT(F967:F978)=9),cubic_spline(F966:F975,A966:A975,B$7),IF(AND(COUNT(A967:A978)=10,COUNT(F967:F978)=10),cubic_spline(F966:F976,A966:A976,B$7),IF(AND(COUNT(A967:A978)=11,COUNT(F967:F978)=11),cubic_spline(F966:F977,A966:A977,B$7),IF(AND(COUNT(A967:A978)=12,COUNT(F967:F978)=12),cubic_spline(F966:F978,A966:A978,B$7),""))))))))))))</f>
        <v/>
      </c>
      <c r="L972" s="27" t="str">
        <f>IF(I972="","",B$6&amp;"-"&amp;B$7)</f>
        <v/>
      </c>
      <c r="M972" s="52" t="str">
        <f t="shared" ref="M972:M978" si="370">IF(N(J972)=0,"",J972-J971)</f>
        <v/>
      </c>
    </row>
    <row r="973" spans="1:13" x14ac:dyDescent="0.35">
      <c r="A973" s="48"/>
      <c r="B973" s="48"/>
      <c r="C973" s="50"/>
      <c r="D973" s="50"/>
      <c r="E973" s="51" t="str">
        <f t="shared" si="368"/>
        <v/>
      </c>
      <c r="F973" s="71" t="str">
        <f t="shared" si="366"/>
        <v/>
      </c>
      <c r="G973" s="69" t="str">
        <f t="shared" si="369"/>
        <v/>
      </c>
      <c r="H973" s="70" t="str">
        <f t="shared" si="367"/>
        <v/>
      </c>
      <c r="I973" s="27" t="str">
        <f>IF(N(J973)=0,"",0&amp;"-"&amp;B$8)</f>
        <v/>
      </c>
      <c r="J973" s="52" t="str">
        <f>IF(N(B$8)=0,"",IF(AND(COUNT(H967:H978)=2,COUNT(F967:F978)=2),cubic_spline(F966:F968,H966:H968,B$8),IF(AND(COUNT(H967:H978)=3,COUNT(F967:F978)=3),cubic_spline(F966:F969,H966:H969,B$8),IF(AND(COUNT(H967:H978)=4,COUNT(F967:F978)=4),cubic_spline(F966:F970,H966:H970,B$8),IF(AND(COUNT(H967:H978)=5,COUNT(F967:F978)=5),cubic_spline(F966:F971,H966:H971,B$8),IF(AND(COUNT(H967:H978)=6,COUNT(F967:F978)=6),cubic_spline(F966:F972,H966:H972,B$8),IF(AND(COUNT(H967:H978)=7,COUNT(F967:F978)=7),cubic_spline(F966:F973,H966:H973,B$8),IF(AND(COUNT(H967:H978)=8,COUNT(F967:F978)=8),cubic_spline(F966:F974,H966:H974,B$8),IF(AND(COUNT(H967:H978)=9,COUNT(F967:F978)=9),cubic_spline(F966:F975,H966:H975,B$8),IF(AND(COUNT(H967:H978)=10,COUNT(F967:F978)=10),cubic_spline(F966:F976,H966:H976,B$8),IF(AND(COUNT(H967:H978)=11,COUNT(F967:F978)=11),cubic_spline(F966:F977,H966:H977,B$8),IF(AND(COUNT(H967:H978)=12,COUNT(F967:F978)=12),cubic_spline(F966:F978,H966:H978,B$8),""))))))))))))</f>
        <v/>
      </c>
      <c r="K973" s="52" t="str">
        <f>IF(N(B$8)=0,"",IF(AND(COUNT(A967:A978)=2,COUNT(F967:F978)=2),cubic_spline(F966:F968,A966:A968,B$8),IF(AND(COUNT(A967:A978)=3,COUNT(F967:F978)=3),cubic_spline(F966:F969,A966:A969,B$8),IF(AND(COUNT(A967:A978)=4,COUNT(F967:F978)=4),cubic_spline(F966:F970,A966:A970,B$8),IF(AND(COUNT(A967:A978)=5,COUNT(F967:F978)=5),cubic_spline(F966:F971,A966:A971,B$8),IF(AND(COUNT(A967:A978)=6,COUNT(F967:F978)=6),cubic_spline(F966:F972,A966:A972,B$8),IF(AND(COUNT(A967:A978)=7,COUNT(F967:F978)=7),cubic_spline(F966:F973,A966:A973,B$8),IF(AND(COUNT(A967:A978)=8,COUNT(F967:F978)=8),cubic_spline(F966:F974,A966:A974,B$8),IF(AND(COUNT(A967:A978)=9,COUNT(F967:F978)=9),cubic_spline(F966:F975,A966:A975,B$8),IF(AND(COUNT(A967:A978)=10,COUNT(F967:F978)=10),cubic_spline(F966:F976,A966:A976,B$8),IF(AND(COUNT(A967:A978)=11,COUNT(F967:F978)=11),cubic_spline(F966:F977,A966:A977,B$8),IF(AND(COUNT(A967:A978)=12,COUNT(F967:F978)=12),cubic_spline(F966:F978,A966:A978,B$8),""))))))))))))</f>
        <v/>
      </c>
      <c r="L973" s="27" t="str">
        <f>IF(I973="","",B$7&amp;"-"&amp;B$8)</f>
        <v/>
      </c>
      <c r="M973" s="52" t="str">
        <f t="shared" si="370"/>
        <v/>
      </c>
    </row>
    <row r="974" spans="1:13" x14ac:dyDescent="0.35">
      <c r="A974" s="48"/>
      <c r="B974" s="48"/>
      <c r="C974" s="50"/>
      <c r="D974" s="50"/>
      <c r="E974" s="51" t="str">
        <f t="shared" si="368"/>
        <v/>
      </c>
      <c r="F974" s="71" t="str">
        <f t="shared" si="366"/>
        <v/>
      </c>
      <c r="G974" s="69" t="str">
        <f t="shared" si="369"/>
        <v/>
      </c>
      <c r="H974" s="70" t="str">
        <f t="shared" si="367"/>
        <v/>
      </c>
      <c r="I974" s="27" t="str">
        <f>IF(N(J974)=0,"",0&amp;"-"&amp;B$9)</f>
        <v/>
      </c>
      <c r="J974" s="52" t="str">
        <f>IF(N(B$9)=0,"",IF(AND(COUNT(H967:H978)=2,COUNT(F967:F978)=2),cubic_spline(F966:F968,H966:H968,B$9),IF(AND(COUNT(H967:H978)=3,COUNT(F967:F978)=3),cubic_spline(F966:F969,H966:H969,B$9),IF(AND(COUNT(H967:H978)=4,COUNT(F967:F978)=4),cubic_spline(F966:F970,H966:H970,B$9),IF(AND(COUNT(H967:H978)=5,COUNT(F967:F978)=5),cubic_spline(F966:F971,H966:H971,B$9),IF(AND(COUNT(H967:H978)=6,COUNT(F967:F978)=6),cubic_spline(F966:F972,H966:H972,B$9),IF(AND(COUNT(H967:H978)=7,COUNT(F967:F978)=7),cubic_spline(F966:F973,H966:H973,B$9),IF(AND(COUNT(H967:H978)=8,COUNT(F967:F978)=8),cubic_spline(F966:F974,H966:H974,B$9),IF(AND(COUNT(H967:H978)=9,COUNT(F967:F978)=9),cubic_spline(F966:F975,H966:H975,B$9),IF(AND(COUNT(H967:H978)=10,COUNT(F967:F978)=10),cubic_spline(F966:F976,H966:H976,B$9),IF(AND(COUNT(H967:H978)=11,COUNT(F967:F978)=11),cubic_spline(F966:F977,H966:H977,B$9),IF(AND(COUNT(H967:H978)=12,COUNT(F967:F978)=12),cubic_spline(F966:F978,H966:H978,B$9),""))))))))))))</f>
        <v/>
      </c>
      <c r="K974" s="52" t="str">
        <f>IF(N(B$9)=0,"",IF(AND(COUNT(A967:A978)=2,COUNT(F967:F978)=2),cubic_spline(F966:F968,A966:A968,B$9),IF(AND(COUNT(A967:A978)=3,COUNT(F967:F978)=3),cubic_spline(F966:F969,A966:A969,B$9),IF(AND(COUNT(A967:A978)=4,COUNT(F967:F978)=4),cubic_spline(F966:F970,A966:A970,B$9),IF(AND(COUNT(A967:A978)=5,COUNT(F967:F978)=5),cubic_spline(F966:F971,A966:A971,B$9),IF(AND(COUNT(A967:A978)=6,COUNT(F967:F978)=6),cubic_spline(F966:F972,A966:A972,B$9),IF(AND(COUNT(A967:A978)=7,COUNT(F967:F978)=7),cubic_spline(F966:F973,A966:A973,B$9),IF(AND(COUNT(A967:A978)=8,COUNT(F967:F978)=8),cubic_spline(F966:F974,A966:A974,B$9),IF(AND(COUNT(A967:A978)=9,COUNT(F967:F978)=9),cubic_spline(F966:F975,A966:A975,B$9),IF(AND(COUNT(A967:A978)=10,COUNT(F967:F978)=10),cubic_spline(F966:F976,A966:A976,B$9),IF(AND(COUNT(A967:A978)=11,COUNT(F967:F978)=11),cubic_spline(F966:F977,A966:A977,B$9),IF(AND(COUNT(A967:A978)=12,COUNT(F967:F978)=12),cubic_spline(F966:F978,A966:A978,B$9),""))))))))))))</f>
        <v/>
      </c>
      <c r="L974" s="27" t="str">
        <f>IF(I974="","",B$8&amp;"-"&amp;B$9)</f>
        <v/>
      </c>
      <c r="M974" s="52" t="str">
        <f t="shared" si="370"/>
        <v/>
      </c>
    </row>
    <row r="975" spans="1:13" x14ac:dyDescent="0.35">
      <c r="A975" s="48"/>
      <c r="B975" s="48"/>
      <c r="C975" s="50"/>
      <c r="D975" s="50"/>
      <c r="E975" s="51" t="str">
        <f t="shared" si="368"/>
        <v/>
      </c>
      <c r="F975" s="71" t="str">
        <f t="shared" si="366"/>
        <v/>
      </c>
      <c r="G975" s="69" t="str">
        <f t="shared" si="369"/>
        <v/>
      </c>
      <c r="H975" s="70" t="str">
        <f t="shared" si="367"/>
        <v/>
      </c>
      <c r="I975" s="27" t="str">
        <f>IF(N(J975)=0,"",0&amp;"-"&amp;B$10)</f>
        <v/>
      </c>
      <c r="J975" s="52" t="str">
        <f>IF(N(B$10)=0,"",IF(AND(COUNT(H967:H978)=2,COUNT(F967:F978)=2),cubic_spline(F966:F968,H966:H968,B$10),IF(AND(COUNT(H967:H978)=3,COUNT(F967:F978)=3),cubic_spline(F966:F969,H966:H969,B$10),IF(AND(COUNT(H967:H978)=4,COUNT(F967:F978)=4),cubic_spline(F966:F970,H966:H970,B$10),IF(AND(COUNT(H967:H978)=5,COUNT(F967:F978)=5),cubic_spline(F966:F971,H966:H971,B$10),IF(AND(COUNT(H967:H978)=6,COUNT(F967:F978)=6),cubic_spline(F966:F972,H966:H972,B$10),IF(AND(COUNT(H967:H978)=7,COUNT(F967:F978)=7),cubic_spline(F966:F973,H966:H973,B$10),IF(AND(COUNT(H967:H978)=8,COUNT(F967:F978)=8),cubic_spline(F966:F974,H966:H974,B$10),IF(AND(COUNT(H967:H978)=9,COUNT(F967:F978)=9),cubic_spline(F966:F975,H966:H975,B$10),IF(AND(COUNT(H967:H978)=10,COUNT(F967:F978)=10),cubic_spline(F966:F976,H966:H976,B$10),IF(AND(COUNT(H967:H978)=11,COUNT(F967:F978)=11),cubic_spline(F966:F977,H966:H977,B$10),IF(AND(COUNT(H967:H978)=12,COUNT(F967:F978)=12),cubic_spline(F966:F978,H966:H978,B$10),""))))))))))))</f>
        <v/>
      </c>
      <c r="K975" s="52" t="str">
        <f>IF(N(B$10)=0,"",IF(AND(COUNT(A967:A978)=2,COUNT(F967:F978)=2),cubic_spline(F966:F968,A966:A968,B$10),IF(AND(COUNT(A967:A978)=3,COUNT(F967:F978)=3),cubic_spline(F966:F969,A966:A969,B$10),IF(AND(COUNT(A967:A978)=4,COUNT(F967:F978)=4),cubic_spline(F966:F970,A966:A970,B$10),IF(AND(COUNT(A967:A978)=5,COUNT(F967:F978)=5),cubic_spline(F966:F971,A966:A971,B$10),IF(AND(COUNT(A967:A978)=6,COUNT(F967:F978)=6),cubic_spline(F966:F972,A966:A972,B$10),IF(AND(COUNT(A967:A978)=7,COUNT(F967:F978)=7),cubic_spline(F966:F973,A966:A973,B$10),IF(AND(COUNT(A967:A978)=8,COUNT(F967:F978)=8),cubic_spline(F966:F974,A966:A974,B$10),IF(AND(COUNT(A967:A978)=9,COUNT(F967:F978)=9),cubic_spline(F966:F975,A966:A975,B$10),IF(AND(COUNT(A967:A978)=10,COUNT(F967:F978)=10),cubic_spline(F966:F976,A966:A976,B$10),IF(AND(COUNT(A967:A978)=11,COUNT(F967:F978)=11),cubic_spline(F966:F977,A966:A977,B$10),IF(AND(COUNT(A967:A978)=12,COUNT(F967:F978)=12),cubic_spline(F966:F978,A966:A978,B$10),""))))))))))))</f>
        <v/>
      </c>
      <c r="L975" s="27" t="str">
        <f>IF(I975="","",B$9&amp;"-"&amp;B$10)</f>
        <v/>
      </c>
      <c r="M975" s="52" t="str">
        <f t="shared" si="370"/>
        <v/>
      </c>
    </row>
    <row r="976" spans="1:13" x14ac:dyDescent="0.35">
      <c r="A976" s="48"/>
      <c r="B976" s="48"/>
      <c r="C976" s="50"/>
      <c r="D976" s="50"/>
      <c r="E976" s="51" t="str">
        <f t="shared" si="368"/>
        <v/>
      </c>
      <c r="F976" s="71" t="str">
        <f t="shared" si="366"/>
        <v/>
      </c>
      <c r="G976" s="69" t="str">
        <f t="shared" si="369"/>
        <v/>
      </c>
      <c r="H976" s="70" t="str">
        <f t="shared" si="367"/>
        <v/>
      </c>
      <c r="I976" s="27" t="str">
        <f>IF(N(J976)=0,"",0&amp;"-"&amp;B$11)</f>
        <v/>
      </c>
      <c r="J976" s="52" t="str">
        <f>IF(N(B$11)=0,"",IF(AND(COUNT(H967:H978)=2,COUNT(F967:F978)=2),cubic_spline(F966:F968,H966:H968,B$11),IF(AND(COUNT(H967:H978)=3,COUNT(F967:F978)=3),cubic_spline(F966:F969,H966:H969,B$11),IF(AND(COUNT(H967:H978)=4,COUNT(F967:F978)=4),cubic_spline(F966:F970,H966:H970,B$11),IF(AND(COUNT(H967:H978)=5,COUNT(F967:F978)=5),cubic_spline(F966:F971,H966:H971,B$11),IF(AND(COUNT(H967:H978)=6,COUNT(F967:F978)=6),cubic_spline(F966:F972,H966:H972,B$11),IF(AND(COUNT(H967:H978)=7,COUNT(F967:F978)=7),cubic_spline(F966:F973,H966:H973,B$11),IF(AND(COUNT(H967:H978)=8,COUNT(F967:F978)=8),cubic_spline(F966:F974,H966:H974,B$11),IF(AND(COUNT(H967:H978)=9,COUNT(F967:F978)=9),cubic_spline(F966:F975,H966:H975,B$11),IF(AND(COUNT(H967:H978)=10,COUNT(F967:F978)=10),cubic_spline(F966:F976,H966:H976,B$11),IF(AND(COUNT(H967:H978)=11,COUNT(F967:F978)=11),cubic_spline(F966:F977,H966:H977,B$11),IF(AND(COUNT(H967:H978)=12,COUNT(F967:F978)=12),cubic_spline(F966:F978,H966:H978,B$11),""))))))))))))</f>
        <v/>
      </c>
      <c r="K976" s="52" t="str">
        <f>IF(N(B$11)=0,"",IF(AND(COUNT(A967:A978)=2,COUNT(F967:F978)=2),cubic_spline(F966:F968,A966:A968,B$11),IF(AND(COUNT(A967:A978)=3,COUNT(F967:F978)=3),cubic_spline(F966:F969,A966:A969,B$11),IF(AND(COUNT(A967:A978)=4,COUNT(F967:F978)=4),cubic_spline(F966:F970,A966:A970,B$11),IF(AND(COUNT(A967:A978)=5,COUNT(F967:F978)=5),cubic_spline(F966:F971,A966:A971,B$11),IF(AND(COUNT(A967:A978)=6,COUNT(F967:F978)=6),cubic_spline(F966:F972,A966:A972,B$11),IF(AND(COUNT(A967:A978)=7,COUNT(F967:F978)=7),cubic_spline(F966:F973,A966:A973,B$11),IF(AND(COUNT(A967:A978)=8,COUNT(F967:F978)=8),cubic_spline(F966:F974,A966:A974,B$11),IF(AND(COUNT(A967:A978)=9,COUNT(F967:F978)=9),cubic_spline(F966:F975,A966:A975,B$11),IF(AND(COUNT(A967:A978)=10,COUNT(F967:F978)=10),cubic_spline(F966:F976,A966:A976,B$11),IF(AND(COUNT(A967:A978)=11,COUNT(F967:F978)=11),cubic_spline(F966:F977,A966:A977,B$11),IF(AND(COUNT(A967:A978)=12,COUNT(F967:F978)=12),cubic_spline(F966:F978,A966:A978,B$11),""))))))))))))</f>
        <v/>
      </c>
      <c r="L976" s="27" t="str">
        <f>IF(I976="","",B$10&amp;"-"&amp;B$11)</f>
        <v/>
      </c>
      <c r="M976" s="52" t="str">
        <f t="shared" si="370"/>
        <v/>
      </c>
    </row>
    <row r="977" spans="1:13" x14ac:dyDescent="0.35">
      <c r="A977" s="48"/>
      <c r="B977" s="48"/>
      <c r="C977" s="50"/>
      <c r="D977" s="50"/>
      <c r="E977" s="51" t="str">
        <f t="shared" si="368"/>
        <v/>
      </c>
      <c r="F977" s="71" t="str">
        <f t="shared" si="366"/>
        <v/>
      </c>
      <c r="G977" s="69" t="str">
        <f t="shared" si="369"/>
        <v/>
      </c>
      <c r="H977" s="70" t="str">
        <f t="shared" si="367"/>
        <v/>
      </c>
      <c r="I977" s="27" t="str">
        <f>IF(N(J977)=0,"",0&amp;"-"&amp;B$12)</f>
        <v/>
      </c>
      <c r="J977" s="52" t="str">
        <f>IF(N(B$12)=0,"",IF(AND(COUNT(H967:H978)=2,COUNT(F967:F978)=2),cubic_spline(F966:F968,H966:H968,B$12),IF(AND(COUNT(H967:H978)=3,COUNT(F967:F978)=3),cubic_spline(F966:F969,H966:H969,B$12),IF(AND(COUNT(H967:H978)=4,COUNT(F967:F978)=4),cubic_spline(F966:F970,H966:H970,B$12),IF(AND(COUNT(H967:H978)=5,COUNT(F967:F978)=5),cubic_spline(F966:F971,H966:H971,B$12),IF(AND(COUNT(H967:H978)=6,COUNT(F967:F978)=6),cubic_spline(F966:F972,H966:H972,B$12),IF(AND(COUNT(H967:H978)=7,COUNT(F967:F978)=7),cubic_spline(F966:F973,H966:H973,B$12),IF(AND(COUNT(H967:H978)=8,COUNT(F967:F978)=8),cubic_spline(F966:F974,H966:H974,B$12),IF(AND(COUNT(H967:H978)=9,COUNT(F967:F978)=9),cubic_spline(F966:F975,H966:H975,B$12),IF(AND(COUNT(H967:H978)=10,COUNT(F967:F978)=10),cubic_spline(F966:F976,H966:H976,B$12),IF(AND(COUNT(H967:H978)=11,COUNT(F967:F978)=11),cubic_spline(F966:F977,H966:H977,B$12),IF(AND(COUNT(H967:H978)=12,COUNT(F967:F978)=12),cubic_spline(F966:F978,H966:H978,B$12),""))))))))))))</f>
        <v/>
      </c>
      <c r="K977" s="52" t="str">
        <f>IF(N(B$12)=0,"",IF(AND(COUNT(A967:A978)=2,COUNT(F967:F978)=2),cubic_spline(F966:F968,A966:A968,B$12),IF(AND(COUNT(A967:A978)=3,COUNT(F967:F978)=3),cubic_spline(F966:F969,A966:A969,B$12),IF(AND(COUNT(A967:A978)=4,COUNT(F967:F978)=4),cubic_spline(F966:F970,A966:A970,B$12),IF(AND(COUNT(A967:A978)=5,COUNT(F967:F978)=5),cubic_spline(F966:F971,A966:A971,B$12),IF(AND(COUNT(A967:A978)=6,COUNT(F967:F978)=6),cubic_spline(F966:F972,A966:A972,B$12),IF(AND(COUNT(A967:A978)=7,COUNT(F967:F978)=7),cubic_spline(F966:F973,A966:A973,B$12),IF(AND(COUNT(A967:A978)=8,COUNT(F967:F978)=8),cubic_spline(F966:F974,A966:A974,B$12),IF(AND(COUNT(A967:A978)=9,COUNT(F967:F978)=9),cubic_spline(F966:F975,A966:A975,B$12),IF(AND(COUNT(A967:A978)=10,COUNT(F967:F978)=10),cubic_spline(F966:F976,A966:A976,B$12),IF(AND(COUNT(A967:A978)=11,COUNT(F967:F978)=11),cubic_spline(F966:F977,A966:A977,B$12),IF(AND(COUNT(A967:A978)=12,COUNT(F967:F978)=12),cubic_spline(F966:F978,A966:A978,B$12),""))))))))))))</f>
        <v/>
      </c>
      <c r="L977" s="27" t="str">
        <f>IF(I977="","",B$11&amp;"-"&amp;B$12)</f>
        <v/>
      </c>
      <c r="M977" s="52" t="str">
        <f t="shared" si="370"/>
        <v/>
      </c>
    </row>
    <row r="978" spans="1:13" x14ac:dyDescent="0.35">
      <c r="A978" s="48"/>
      <c r="B978" s="48"/>
      <c r="C978" s="50"/>
      <c r="D978" s="50"/>
      <c r="E978" s="51" t="str">
        <f t="shared" si="368"/>
        <v/>
      </c>
      <c r="F978" s="71" t="str">
        <f t="shared" si="366"/>
        <v/>
      </c>
      <c r="G978" s="69" t="str">
        <f t="shared" si="369"/>
        <v/>
      </c>
      <c r="H978" s="70" t="str">
        <f t="shared" si="367"/>
        <v/>
      </c>
      <c r="I978" s="27" t="str">
        <f>IF(N(J978)=0,"",0&amp;"-"&amp;B$13)</f>
        <v/>
      </c>
      <c r="J978" s="52" t="str">
        <f>IF(N(B$13)=0,"",IF(AND(COUNT(H967:H978)=2,COUNT(F967:F978)=2),cubic_spline(F966:F968,H966:H968,B$13),IF(AND(COUNT(H967:H978)=3,COUNT(F967:F978)=3),cubic_spline(F966:F969,H966:H969,B$13),IF(AND(COUNT(H967:H978)=4,COUNT(F967:F978)=4),cubic_spline(F966:F970,H966:H970,B$13),IF(AND(COUNT(H967:H978)=5,COUNT(F967:F978)=5),cubic_spline(F966:F971,H966:H971,B$13),IF(AND(COUNT(H967:H978)=6,COUNT(F967:F978)=6),cubic_spline(F966:F972,H966:H972,B$13),IF(AND(COUNT(H967:H978)=7,COUNT(F967:F978)=7),cubic_spline(F966:F973,H966:H973,B$13),IF(AND(COUNT(H967:H978)=8,COUNT(F967:F978)=8),cubic_spline(F966:F974,H966:H974,B$13),IF(AND(COUNT(H967:H978)=9,COUNT(F967:F978)=9),cubic_spline(F966:F975,H966:H975,B$13),IF(AND(COUNT(H967:H978)=10,COUNT(F967:F978)=10),cubic_spline(F966:F976,H966:H976,B$13),IF(AND(COUNT(H967:H978)=11,COUNT(F967:F978)=11),cubic_spline(F966:F977,H966:H977,B$13),IF(AND(COUNT(H967:H978)=12,COUNT(F967:F978)=12),cubic_spline(F966:F978,H966:H978,B$13),""))))))))))))</f>
        <v/>
      </c>
      <c r="K978" s="52" t="str">
        <f>IF(N(B$13)=0,"",IF(AND(COUNT(A967:A978)=2,COUNT(F967:F978)=2),cubic_spline(F966:F968,A966:A968,B$13),IF(AND(COUNT(A967:A978)=3,COUNT(F967:F978)=3),cubic_spline(F966:F969,A966:A969,B$13),IF(AND(COUNT(A967:A978)=4,COUNT(F967:F978)=4),cubic_spline(F966:F970,A966:A970,B$13),IF(AND(COUNT(A967:A978)=5,COUNT(F967:F978)=5),cubic_spline(F966:F971,A966:A971,B$13),IF(AND(COUNT(A967:A978)=6,COUNT(F967:F978)=6),cubic_spline(F966:F972,A966:A972,B$13),IF(AND(COUNT(A967:A978)=7,COUNT(F967:F978)=7),cubic_spline(F966:F973,A966:A973,B$13),IF(AND(COUNT(A967:A978)=8,COUNT(F967:F978)=8),cubic_spline(F966:F974,A966:A974,B$13),IF(AND(COUNT(A967:A978)=9,COUNT(F967:F978)=9),cubic_spline(F966:F975,A966:A975,B$13),IF(AND(COUNT(A967:A978)=10,COUNT(F967:F978)=10),cubic_spline(F966:F976,A966:A976,B$13),IF(AND(COUNT(A967:A978)=11,COUNT(F967:F978)=11),cubic_spline(F966:F977,A966:A977,B$13),IF(AND(COUNT(A967:A978)=12,COUNT(F967:F978)=12),cubic_spline(F966:F978,A966:A978,B$13),""))))))))))))</f>
        <v/>
      </c>
      <c r="L978" s="27" t="str">
        <f>IF(I978="","",B$12&amp;"-"&amp;B$13)</f>
        <v/>
      </c>
      <c r="M978" s="52" t="str">
        <f t="shared" si="370"/>
        <v/>
      </c>
    </row>
    <row r="979" spans="1:13" ht="5.15" customHeight="1" x14ac:dyDescent="0.35">
      <c r="A979" s="47"/>
      <c r="B979" s="47"/>
      <c r="C979" s="53"/>
      <c r="D979" s="53"/>
      <c r="E979" s="54"/>
      <c r="F979" s="55"/>
      <c r="G979" s="72"/>
      <c r="H979" s="73"/>
      <c r="I979" s="47"/>
      <c r="J979" s="57"/>
      <c r="K979" s="57"/>
      <c r="L979" s="55"/>
      <c r="M979" s="57"/>
    </row>
    <row r="980" spans="1:13" x14ac:dyDescent="0.35">
      <c r="A980" s="48"/>
      <c r="B980" s="48"/>
      <c r="C980" s="50"/>
      <c r="D980" s="50"/>
      <c r="E980" s="51" t="str">
        <f>IF(N(C980)=0,"",(A980-A979)*C980*100)</f>
        <v/>
      </c>
      <c r="F980" s="68" t="str">
        <f t="shared" ref="F980:F991" si="371">IF(N(E980)=0,"",(N(E980)+N(F979)))</f>
        <v/>
      </c>
      <c r="G980" s="69" t="str">
        <f>IF(OR(N(D980)=0,N(E980)=0),"",(E980*D980)/1000)</f>
        <v/>
      </c>
      <c r="H980" s="70" t="str">
        <f t="shared" ref="H980:H991" si="372">IF(N(G980)=0,"",(N(G980)+N(H979)))</f>
        <v/>
      </c>
      <c r="I980" s="27" t="str">
        <f>IF(N(J980)=0,"",0&amp;"-"&amp;B$2)</f>
        <v/>
      </c>
      <c r="J980" s="52" t="str">
        <f>IF(N(B$2)=0,"",IF(AND(COUNT(H980:H991)=2,COUNT(F980:F991)=2),cubic_spline(F979:F981,H979:H981,B$2),IF(AND(COUNT(H980:H991)=3,COUNT(F980:F991)=3),cubic_spline(F979:F982,H979:H982,B$2),IF(AND(COUNT(H980:H991)=4,COUNT(F980:F991)=4),cubic_spline(F979:F983,H979:H983,B$2),IF(AND(COUNT(H980:H991)=5,COUNT(F980:F991)=5),cubic_spline(F979:F984,H979:H984,B$2),IF(AND(COUNT(H980:H991)=6,COUNT(F980:F991)=6),cubic_spline(F979:F985,H979:H985,B$2),IF(AND(COUNT(H980:H991)=7,COUNT(F980:F991)=7),cubic_spline(F979:F986,H979:H986,B$2),IF(AND(COUNT(H980:H991)=8,COUNT(F980:F991)=8),cubic_spline(F979:F987,H979:H987,B$2),IF(AND(COUNT(H980:H991)=9,COUNT(F980:F991)=9),cubic_spline(F979:F988,H979:H988,B$2),IF(AND(COUNT(H980:H991)=10,COUNT(F980:F991)=10),cubic_spline(F979:F989,H979:H989,B$2),IF(AND(COUNT(H980:H991)=11,COUNT(F980:F991)=11),cubic_spline(F979:F990,H979:H990,B$2),IF(AND(COUNT(H980:H991)=12,COUNT(F980:F991)=12),cubic_spline(F979:F991,H979:H991,B$2),""))))))))))))</f>
        <v/>
      </c>
      <c r="K980" s="52" t="str">
        <f>IF(N(B$2)=0,"",IF(AND(COUNT(A980:A991)=2,COUNT(F980:F991)=2),cubic_spline(F979:F981,A979:A981,B$2),IF(AND(COUNT(A980:A991)=3,COUNT(F980:F991)=3),cubic_spline(F979:F982,A979:A982,B$2),IF(AND(COUNT(A980:A991)=4,COUNT(F980:F991)=4),cubic_spline(F979:F983,A979:A983,B$2),IF(AND(COUNT(A980:A991)=5,COUNT(F980:F991)=5),cubic_spline(F979:F984,A979:A984,B$2),IF(AND(COUNT(A980:A991)=6,COUNT(F980:F991)=6),cubic_spline(F979:F985,A979:A985,B$2),IF(AND(COUNT(A980:A991)=7,COUNT(F980:F991)=7),cubic_spline(F979:F986,A979:A986,B$2),IF(AND(COUNT(A980:A991)=8,COUNT(F980:F991)=8),cubic_spline(F979:F987,A979:A987,B$2),IF(AND(COUNT(A980:A991)=9,COUNT(F980:F991)=9),cubic_spline(F979:F988,A979:A988,B$2),IF(AND(COUNT(A980:A991)=10,COUNT(F980:F991)=10),cubic_spline(F979:F989,A979:A989,B$2),IF(AND(COUNT(A980:A991)=11,COUNT(F980:F991)=11),cubic_spline(F979:F990,A979:A990,B$2),IF(AND(COUNT(A980:A991)=12,COUNT(F980:F991)=12),cubic_spline(F979:F991,A979:A991,B$2),""))))))))))))</f>
        <v/>
      </c>
      <c r="L980" s="27" t="str">
        <f>IF(I980="","",0&amp;"-"&amp;B$2)</f>
        <v/>
      </c>
      <c r="M980" s="52" t="str">
        <f>IF(N(J980)=0,"",J980-J979)</f>
        <v/>
      </c>
    </row>
    <row r="981" spans="1:13" x14ac:dyDescent="0.35">
      <c r="A981" s="48"/>
      <c r="B981" s="48"/>
      <c r="C981" s="50"/>
      <c r="D981" s="50"/>
      <c r="E981" s="51" t="str">
        <f t="shared" ref="E981:E991" si="373">IF(N(C981)=0,"",(A981-A980)*C981*100)</f>
        <v/>
      </c>
      <c r="F981" s="68" t="str">
        <f t="shared" si="371"/>
        <v/>
      </c>
      <c r="G981" s="69" t="str">
        <f t="shared" ref="G981:G991" si="374">IF(OR(N(D981)=0,N(E981)=0),"",(E981*D981)/1000)</f>
        <v/>
      </c>
      <c r="H981" s="70" t="str">
        <f t="shared" si="372"/>
        <v/>
      </c>
      <c r="I981" s="27" t="str">
        <f>IF(N(J981)=0,"",0&amp;"-"&amp;B$3)</f>
        <v/>
      </c>
      <c r="J981" s="52" t="str">
        <f>IF(N(B$3)=0,"",IF(AND(COUNT(H980:H991)=2,COUNT(F980:F991)=2),cubic_spline(F979:F981,H979:H981,B$3),IF(AND(COUNT(H980:H991)=3,COUNT(F980:F991)=3),cubic_spline(F979:F982,H979:H982,B$3),IF(AND(COUNT(H980:H991)=4,COUNT(F980:F991)=4),cubic_spline(F979:F983,H979:H983,B$3),IF(AND(COUNT(H980:H991)=5,COUNT(F980:F991)=5),cubic_spline(F979:F984,H979:H984,B$3),IF(AND(COUNT(H980:H991)=6,COUNT(F980:F991)=6),cubic_spline(F979:F985,H979:H985,B$3),IF(AND(COUNT(H980:H991)=7,COUNT(F980:F991)=7),cubic_spline(F979:F986,H979:H986,B$3),IF(AND(COUNT(H980:H991)=8,COUNT(F980:F991)=8),cubic_spline(F979:F987,H979:H987,B$3),IF(AND(COUNT(H980:H991)=9,COUNT(F980:F991)=9),cubic_spline(F979:F988,H979:H988,B$3),IF(AND(COUNT(H980:H991)=10,COUNT(F980:F991)=10),cubic_spline(F979:F989,H979:H989,B$3),IF(AND(COUNT(H980:H991)=11,COUNT(F980:F991)=11),cubic_spline(F979:F990,H979:H990,B$3),IF(AND(COUNT(H980:H991)=12,COUNT(F980:F991)=12),cubic_spline(F979:F991,H979:H991,B$3),""))))))))))))</f>
        <v/>
      </c>
      <c r="K981" s="52" t="str">
        <f>IF(N(B$3)=0,"",IF(AND(COUNT(A980:A991)=2,COUNT(F980:F991)=2),cubic_spline(F979:F981,A979:A981,B$3),IF(AND(COUNT(A980:A991)=3,COUNT(F980:F991)=3),cubic_spline(F979:F982,A979:A982,B$3),IF(AND(COUNT(A980:A991)=4,COUNT(F980:F991)=4),cubic_spline(F979:F983,A979:A983,B$3),IF(AND(COUNT(A980:A991)=5,COUNT(F980:F991)=5),cubic_spline(F979:F984,A979:A984,B$3),IF(AND(COUNT(A980:A991)=6,COUNT(F980:F991)=6),cubic_spline(F979:F985,A979:A985,B$3),IF(AND(COUNT(A980:A991)=7,COUNT(F980:F991)=7),cubic_spline(F979:F986,A979:A986,B$3),IF(AND(COUNT(A980:A991)=8,COUNT(F980:F991)=8),cubic_spline(F979:F987,A979:A987,B$3),IF(AND(COUNT(A980:A991)=9,COUNT(F980:F991)=9),cubic_spline(F979:F988,A979:A988,B$3),IF(AND(COUNT(A980:A991)=10,COUNT(F980:F991)=10),cubic_spline(F979:F989,A979:A989,B$3),IF(AND(COUNT(A980:A991)=11,COUNT(F980:F991)=11),cubic_spline(F979:F990,A979:A990,B$3),IF(AND(COUNT(A980:A991)=12,COUNT(F980:F991)=12),cubic_spline(F979:F991,A979:A991,B$3),""))))))))))))</f>
        <v/>
      </c>
      <c r="L981" s="27" t="str">
        <f>IF(I981="","",B$2&amp;"-"&amp;B$3)</f>
        <v/>
      </c>
      <c r="M981" s="52" t="str">
        <f>IF(N(J981)=0,"",J981-J980)</f>
        <v/>
      </c>
    </row>
    <row r="982" spans="1:13" x14ac:dyDescent="0.35">
      <c r="A982" s="48"/>
      <c r="B982" s="48"/>
      <c r="C982" s="50"/>
      <c r="D982" s="50"/>
      <c r="E982" s="51" t="str">
        <f t="shared" si="373"/>
        <v/>
      </c>
      <c r="F982" s="68" t="str">
        <f t="shared" si="371"/>
        <v/>
      </c>
      <c r="G982" s="69" t="str">
        <f t="shared" si="374"/>
        <v/>
      </c>
      <c r="H982" s="70" t="str">
        <f t="shared" si="372"/>
        <v/>
      </c>
      <c r="I982" s="27" t="str">
        <f>IF(N(J982)=0,"",0&amp;"-"&amp;B$4)</f>
        <v/>
      </c>
      <c r="J982" s="52" t="str">
        <f>IF(N(B$4)=0,"",IF(AND(COUNT(H980:H991)=2,COUNT(F980:F991)=2),cubic_spline(F979:F981,H979:H981,B$4),IF(AND(COUNT(H980:H991)=3,COUNT(F980:F991)=3),cubic_spline(F979:F982,H979:H982,B$4),IF(AND(COUNT(H980:H991)=4,COUNT(F980:F991)=4),cubic_spline(F979:F983,H979:H983,B$4),IF(AND(COUNT(H980:H991)=5,COUNT(F980:F991)=5),cubic_spline(F979:F984,H979:H984,B$4),IF(AND(COUNT(H980:H991)=6,COUNT(F980:F991)=6),cubic_spline(F979:F985,H979:H985,B$4),IF(AND(COUNT(H980:H991)=7,COUNT(F980:F991)=7),cubic_spline(F979:F986,H979:H986,B$4),IF(AND(COUNT(H980:H991)=8,COUNT(F980:F991)=8),cubic_spline(F979:F987,H979:H987,B$4),IF(AND(COUNT(H980:H991)=9,COUNT(F980:F991)=9),cubic_spline(F979:F988,H979:H988,B$4),IF(AND(COUNT(H980:H991)=10,COUNT(F980:F991)=10),cubic_spline(F979:F989,H979:H989,B$4),IF(AND(COUNT(H980:H991)=11,COUNT(F980:F991)=11),cubic_spline(F979:F990,H979:H990,B$4),IF(AND(COUNT(H980:H991)=12,COUNT(F980:F991)=12),cubic_spline(F979:F991,H979:H991,B$4),""))))))))))))</f>
        <v/>
      </c>
      <c r="K982" s="52" t="str">
        <f>IF(N(B$4)=0,"",IF(AND(COUNT(A980:A991)=2,COUNT(F980:F991)=2),cubic_spline(F979:F981,A979:A981,B$4),IF(AND(COUNT(A980:A991)=3,COUNT(F980:F991)=3),cubic_spline(F979:F982,A979:A982,B$4),IF(AND(COUNT(A980:A991)=4,COUNT(F980:F991)=4),cubic_spline(F979:F983,A979:A983,B$4),IF(AND(COUNT(A980:A991)=5,COUNT(F980:F991)=5),cubic_spline(F979:F984,A979:A984,B$4),IF(AND(COUNT(A980:A991)=6,COUNT(F980:F991)=6),cubic_spline(F979:F985,A979:A985,B$4),IF(AND(COUNT(A980:A991)=7,COUNT(F980:F991)=7),cubic_spline(F979:F986,A979:A986,B$4),IF(AND(COUNT(A980:A991)=8,COUNT(F980:F991)=8),cubic_spline(F979:F987,A979:A987,B$4),IF(AND(COUNT(A980:A991)=9,COUNT(F980:F991)=9),cubic_spline(F979:F988,A979:A988,B$4),IF(AND(COUNT(A980:A991)=10,COUNT(F980:F991)=10),cubic_spline(F979:F989,A979:A989,B$4),IF(AND(COUNT(A980:A991)=11,COUNT(F980:F991)=11),cubic_spline(F979:F990,A979:A990,B$4),IF(AND(COUNT(A980:A991)=12,COUNT(F980:F991)=12),cubic_spline(F979:F991,A979:A991,B$4),""))))))))))))</f>
        <v/>
      </c>
      <c r="L982" s="27" t="str">
        <f>IF(I982="","",B$3&amp;"-"&amp;B$4)</f>
        <v/>
      </c>
      <c r="M982" s="52" t="str">
        <f>IF(N(J982)=0,"",J982-J981)</f>
        <v/>
      </c>
    </row>
    <row r="983" spans="1:13" x14ac:dyDescent="0.35">
      <c r="A983" s="48"/>
      <c r="B983" s="48"/>
      <c r="C983" s="50"/>
      <c r="D983" s="50"/>
      <c r="E983" s="51" t="str">
        <f t="shared" si="373"/>
        <v/>
      </c>
      <c r="F983" s="68" t="str">
        <f t="shared" si="371"/>
        <v/>
      </c>
      <c r="G983" s="69" t="str">
        <f t="shared" si="374"/>
        <v/>
      </c>
      <c r="H983" s="70" t="str">
        <f t="shared" si="372"/>
        <v/>
      </c>
      <c r="I983" s="27" t="str">
        <f>IF(N(J983)=0,"",0&amp;"-"&amp;B$5)</f>
        <v/>
      </c>
      <c r="J983" s="52" t="str">
        <f>IF(N(B$5)=0,"",IF(AND(COUNT(H980:H991)=2,COUNT(F980:F991)=2),cubic_spline(F979:F981,H979:H981,B$5),IF(AND(COUNT(H980:H991)=3,COUNT(F980:F991)=3),cubic_spline(F979:F982,H979:H982,B$5),IF(AND(COUNT(H980:H991)=4,COUNT(F980:F991)=4),cubic_spline(F979:F983,H979:H983,B$5),IF(AND(COUNT(H980:H991)=5,COUNT(F980:F991)=5),cubic_spline(F979:F984,H979:H984,B$5),IF(AND(COUNT(H980:H991)=6,COUNT(F980:F991)=6),cubic_spline(F979:F985,H979:H985,B$5),IF(AND(COUNT(H980:H991)=7,COUNT(F980:F991)=7),cubic_spline(F979:F986,H979:H986,B$5),IF(AND(COUNT(H980:H991)=8,COUNT(F980:F991)=8),cubic_spline(F979:F987,H979:H987,B$5),IF(AND(COUNT(H980:H991)=9,COUNT(F980:F991)=9),cubic_spline(F979:F988,H979:H988,B$5),IF(AND(COUNT(H980:H991)=10,COUNT(F980:F991)=10),cubic_spline(F979:F989,H979:H989,B$5),IF(AND(COUNT(H980:H991)=11,COUNT(F980:F991)=11),cubic_spline(F979:F990,H979:H990,B$5),IF(AND(COUNT(H980:H991)=12,COUNT(F980:F991)=12),cubic_spline(F979:F991,H979:H991,B$5),""))))))))))))</f>
        <v/>
      </c>
      <c r="K983" s="52" t="str">
        <f>IF(N(B$5)=0,"",IF(AND(COUNT(A980:A991)=2,COUNT(F980:F991)=2),cubic_spline(F979:F981,A979:A981,B$5),IF(AND(COUNT(A980:A991)=3,COUNT(F980:F991)=3),cubic_spline(F979:F982,A979:A982,B$5),IF(AND(COUNT(A980:A991)=4,COUNT(F980:F991)=4),cubic_spline(F979:F983,A979:A983,B$5),IF(AND(COUNT(A980:A991)=5,COUNT(F980:F991)=5),cubic_spline(F979:F984,A979:A984,B$5),IF(AND(COUNT(A980:A991)=6,COUNT(F980:F991)=6),cubic_spline(F979:F985,A979:A985,B$5),IF(AND(COUNT(A980:A991)=7,COUNT(F980:F991)=7),cubic_spline(F979:F986,A979:A986,B$5),IF(AND(COUNT(A980:A991)=8,COUNT(F980:F991)=8),cubic_spline(F979:F987,A979:A987,B$5),IF(AND(COUNT(A980:A991)=9,COUNT(F980:F991)=9),cubic_spline(F979:F988,A979:A988,B$5),IF(AND(COUNT(A980:A991)=10,COUNT(F980:F991)=10),cubic_spline(F979:F989,A979:A989,B$5),IF(AND(COUNT(A980:A991)=11,COUNT(F980:F991)=11),cubic_spline(F979:F990,A979:A990,B$5),IF(AND(COUNT(A980:A991)=12,COUNT(F980:F991)=12),cubic_spline(F979:F991,A979:A991,B$5),""))))))))))))</f>
        <v/>
      </c>
      <c r="L983" s="27" t="str">
        <f>IF(I983="","",B$4&amp;"-"&amp;B$5)</f>
        <v/>
      </c>
      <c r="M983" s="52" t="str">
        <f>IF(N(J983)=0,"",J983-J982)</f>
        <v/>
      </c>
    </row>
    <row r="984" spans="1:13" x14ac:dyDescent="0.35">
      <c r="A984" s="48"/>
      <c r="B984" s="48"/>
      <c r="C984" s="50"/>
      <c r="D984" s="50"/>
      <c r="E984" s="51" t="str">
        <f t="shared" si="373"/>
        <v/>
      </c>
      <c r="F984" s="71" t="str">
        <f t="shared" si="371"/>
        <v/>
      </c>
      <c r="G984" s="69" t="str">
        <f t="shared" si="374"/>
        <v/>
      </c>
      <c r="H984" s="70" t="str">
        <f t="shared" si="372"/>
        <v/>
      </c>
      <c r="I984" s="27" t="str">
        <f>IF(N(J984)=0,"",0&amp;"-"&amp;B$6)</f>
        <v/>
      </c>
      <c r="J984" s="52" t="str">
        <f>IF(N(B$6)=0,"",IF(AND(COUNT(H980:H991)=2,COUNT(F980:F991)=2),cubic_spline(F979:F981,H979:H981,B$6),IF(AND(COUNT(H980:H991)=3,COUNT(F980:F991)=3),cubic_spline(F979:F982,H979:H982,B$6),IF(AND(COUNT(H980:H991)=4,COUNT(F980:F991)=4),cubic_spline(F979:F983,H979:H983,B$6),IF(AND(COUNT(H980:H991)=5,COUNT(F980:F991)=5),cubic_spline(F979:F984,H979:H984,B$6),IF(AND(COUNT(H980:H991)=6,COUNT(F980:F991)=6),cubic_spline(F979:F985,H979:H985,B$6),IF(AND(COUNT(H980:H991)=7,COUNT(F980:F991)=7),cubic_spline(F979:F986,H979:H986,B$6),IF(AND(COUNT(H980:H991)=8,COUNT(F980:F991)=8),cubic_spline(F979:F987,H979:H987,B$6),IF(AND(COUNT(H980:H991)=9,COUNT(F980:F991)=9),cubic_spline(F979:F988,H979:H988,B$6),IF(AND(COUNT(H980:H991)=10,COUNT(F980:F991)=10),cubic_spline(F979:F989,H979:H989,B$6),IF(AND(COUNT(H980:H991)=11,COUNT(F980:F991)=11),cubic_spline(F979:F990,H979:H990,B$6),IF(AND(COUNT(H980:H991)=12,COUNT(F980:F991)=12),cubic_spline(F979:F991,H979:H991,B$6),""))))))))))))</f>
        <v/>
      </c>
      <c r="K984" s="52" t="str">
        <f>IF(N(B$6)=0,"",IF(AND(COUNT(A980:A991)=2,COUNT(F980:F991)=2),cubic_spline(F979:F981,A979:A981,B$6),IF(AND(COUNT(A980:A991)=3,COUNT(F980:F991)=3),cubic_spline(F979:F982,A979:A982,B$6),IF(AND(COUNT(A980:A991)=4,COUNT(F980:F991)=4),cubic_spline(F979:F983,A979:A983,B$6),IF(AND(COUNT(A980:A991)=5,COUNT(F980:F991)=5),cubic_spline(F979:F984,A979:A984,B$6),IF(AND(COUNT(A980:A991)=6,COUNT(F980:F991)=6),cubic_spline(F979:F985,A979:A985,B$6),IF(AND(COUNT(A980:A991)=7,COUNT(F980:F991)=7),cubic_spline(F979:F986,A979:A986,B$6),IF(AND(COUNT(A980:A991)=8,COUNT(F980:F991)=8),cubic_spline(F979:F987,A979:A987,B$6),IF(AND(COUNT(A980:A991)=9,COUNT(F980:F991)=9),cubic_spline(F979:F988,A979:A988,B$6),IF(AND(COUNT(A980:A991)=10,COUNT(F980:F991)=10),cubic_spline(F979:F989,A979:A989,B$6),IF(AND(COUNT(A980:A991)=11,COUNT(F980:F991)=11),cubic_spline(F979:F990,A979:A990,B$6),IF(AND(COUNT(A980:A991)=12,COUNT(F980:F991)=12),cubic_spline(F979:F991,A979:A991,B$6),""))))))))))))</f>
        <v/>
      </c>
      <c r="L984" s="27" t="str">
        <f>IF(I984="","",B$5&amp;"-"&amp;B$6)</f>
        <v/>
      </c>
      <c r="M984" s="52" t="str">
        <f>IF(N(J984)=0,"",J984-J983)</f>
        <v/>
      </c>
    </row>
    <row r="985" spans="1:13" x14ac:dyDescent="0.35">
      <c r="A985" s="48"/>
      <c r="B985" s="48"/>
      <c r="C985" s="50"/>
      <c r="D985" s="50"/>
      <c r="E985" s="51" t="str">
        <f t="shared" si="373"/>
        <v/>
      </c>
      <c r="F985" s="71" t="str">
        <f t="shared" si="371"/>
        <v/>
      </c>
      <c r="G985" s="69" t="str">
        <f t="shared" si="374"/>
        <v/>
      </c>
      <c r="H985" s="70" t="str">
        <f t="shared" si="372"/>
        <v/>
      </c>
      <c r="I985" s="27" t="str">
        <f>IF(N(J985)=0,"",0&amp;"-"&amp;B$7)</f>
        <v/>
      </c>
      <c r="J985" s="52" t="str">
        <f>IF(N(B$7)=0,"",IF(AND(COUNT(H980:H991)=2,COUNT(F980:F991)=2),cubic_spline(F979:F981,H979:H981,B$7),IF(AND(COUNT(H980:H991)=3,COUNT(F980:F991)=3),cubic_spline(F979:F982,H979:H982,B$7),IF(AND(COUNT(H980:H991)=4,COUNT(F980:F991)=4),cubic_spline(F979:F983,H979:H983,B$7),IF(AND(COUNT(H980:H991)=5,COUNT(F980:F991)=5),cubic_spline(F979:F984,H979:H984,B$7),IF(AND(COUNT(H980:H991)=6,COUNT(F980:F991)=6),cubic_spline(F979:F985,H979:H985,B$7),IF(AND(COUNT(H980:H991)=7,COUNT(F980:F991)=7),cubic_spline(F979:F986,H979:H986,B$7),IF(AND(COUNT(H980:H991)=8,COUNT(F980:F991)=8),cubic_spline(F979:F987,H979:H987,B$7),IF(AND(COUNT(H980:H991)=9,COUNT(F980:F991)=9),cubic_spline(F979:F988,H979:H988,B$7),IF(AND(COUNT(H980:H991)=10,COUNT(F980:F991)=10),cubic_spline(F979:F989,H979:H989,B$7),IF(AND(COUNT(H980:H991)=11,COUNT(F980:F991)=11),cubic_spline(F979:F990,H979:H990,B$7),IF(AND(COUNT(H980:H991)=12,COUNT(F980:F991)=12),cubic_spline(F979:F991,H979:H991,B$7),""))))))))))))</f>
        <v/>
      </c>
      <c r="K985" s="52" t="str">
        <f>IF(N(B$7)=0,"",IF(AND(COUNT(A980:A991)=2,COUNT(F980:F991)=2),cubic_spline(F979:F981,A979:A981,B$7),IF(AND(COUNT(A980:A991)=3,COUNT(F980:F991)=3),cubic_spline(F979:F982,A979:A982,B$7),IF(AND(COUNT(A980:A991)=4,COUNT(F980:F991)=4),cubic_spline(F979:F983,A979:A983,B$7),IF(AND(COUNT(A980:A991)=5,COUNT(F980:F991)=5),cubic_spline(F979:F984,A979:A984,B$7),IF(AND(COUNT(A980:A991)=6,COUNT(F980:F991)=6),cubic_spline(F979:F985,A979:A985,B$7),IF(AND(COUNT(A980:A991)=7,COUNT(F980:F991)=7),cubic_spline(F979:F986,A979:A986,B$7),IF(AND(COUNT(A980:A991)=8,COUNT(F980:F991)=8),cubic_spline(F979:F987,A979:A987,B$7),IF(AND(COUNT(A980:A991)=9,COUNT(F980:F991)=9),cubic_spline(F979:F988,A979:A988,B$7),IF(AND(COUNT(A980:A991)=10,COUNT(F980:F991)=10),cubic_spline(F979:F989,A979:A989,B$7),IF(AND(COUNT(A980:A991)=11,COUNT(F980:F991)=11),cubic_spline(F979:F990,A979:A990,B$7),IF(AND(COUNT(A980:A991)=12,COUNT(F980:F991)=12),cubic_spline(F979:F991,A979:A991,B$7),""))))))))))))</f>
        <v/>
      </c>
      <c r="L985" s="27" t="str">
        <f>IF(I985="","",B$6&amp;"-"&amp;B$7)</f>
        <v/>
      </c>
      <c r="M985" s="52" t="str">
        <f t="shared" ref="M985:M991" si="375">IF(N(J985)=0,"",J985-J984)</f>
        <v/>
      </c>
    </row>
    <row r="986" spans="1:13" x14ac:dyDescent="0.35">
      <c r="A986" s="48"/>
      <c r="B986" s="48"/>
      <c r="C986" s="50"/>
      <c r="D986" s="50"/>
      <c r="E986" s="51" t="str">
        <f t="shared" si="373"/>
        <v/>
      </c>
      <c r="F986" s="71" t="str">
        <f t="shared" si="371"/>
        <v/>
      </c>
      <c r="G986" s="69" t="str">
        <f t="shared" si="374"/>
        <v/>
      </c>
      <c r="H986" s="70" t="str">
        <f t="shared" si="372"/>
        <v/>
      </c>
      <c r="I986" s="27" t="str">
        <f>IF(N(J986)=0,"",0&amp;"-"&amp;B$8)</f>
        <v/>
      </c>
      <c r="J986" s="52" t="str">
        <f>IF(N(B$8)=0,"",IF(AND(COUNT(H980:H991)=2,COUNT(F980:F991)=2),cubic_spline(F979:F981,H979:H981,B$8),IF(AND(COUNT(H980:H991)=3,COUNT(F980:F991)=3),cubic_spline(F979:F982,H979:H982,B$8),IF(AND(COUNT(H980:H991)=4,COUNT(F980:F991)=4),cubic_spline(F979:F983,H979:H983,B$8),IF(AND(COUNT(H980:H991)=5,COUNT(F980:F991)=5),cubic_spline(F979:F984,H979:H984,B$8),IF(AND(COUNT(H980:H991)=6,COUNT(F980:F991)=6),cubic_spline(F979:F985,H979:H985,B$8),IF(AND(COUNT(H980:H991)=7,COUNT(F980:F991)=7),cubic_spline(F979:F986,H979:H986,B$8),IF(AND(COUNT(H980:H991)=8,COUNT(F980:F991)=8),cubic_spline(F979:F987,H979:H987,B$8),IF(AND(COUNT(H980:H991)=9,COUNT(F980:F991)=9),cubic_spline(F979:F988,H979:H988,B$8),IF(AND(COUNT(H980:H991)=10,COUNT(F980:F991)=10),cubic_spline(F979:F989,H979:H989,B$8),IF(AND(COUNT(H980:H991)=11,COUNT(F980:F991)=11),cubic_spline(F979:F990,H979:H990,B$8),IF(AND(COUNT(H980:H991)=12,COUNT(F980:F991)=12),cubic_spline(F979:F991,H979:H991,B$8),""))))))))))))</f>
        <v/>
      </c>
      <c r="K986" s="52" t="str">
        <f>IF(N(B$8)=0,"",IF(AND(COUNT(A980:A991)=2,COUNT(F980:F991)=2),cubic_spline(F979:F981,A979:A981,B$8),IF(AND(COUNT(A980:A991)=3,COUNT(F980:F991)=3),cubic_spline(F979:F982,A979:A982,B$8),IF(AND(COUNT(A980:A991)=4,COUNT(F980:F991)=4),cubic_spline(F979:F983,A979:A983,B$8),IF(AND(COUNT(A980:A991)=5,COUNT(F980:F991)=5),cubic_spline(F979:F984,A979:A984,B$8),IF(AND(COUNT(A980:A991)=6,COUNT(F980:F991)=6),cubic_spline(F979:F985,A979:A985,B$8),IF(AND(COUNT(A980:A991)=7,COUNT(F980:F991)=7),cubic_spline(F979:F986,A979:A986,B$8),IF(AND(COUNT(A980:A991)=8,COUNT(F980:F991)=8),cubic_spline(F979:F987,A979:A987,B$8),IF(AND(COUNT(A980:A991)=9,COUNT(F980:F991)=9),cubic_spline(F979:F988,A979:A988,B$8),IF(AND(COUNT(A980:A991)=10,COUNT(F980:F991)=10),cubic_spline(F979:F989,A979:A989,B$8),IF(AND(COUNT(A980:A991)=11,COUNT(F980:F991)=11),cubic_spline(F979:F990,A979:A990,B$8),IF(AND(COUNT(A980:A991)=12,COUNT(F980:F991)=12),cubic_spline(F979:F991,A979:A991,B$8),""))))))))))))</f>
        <v/>
      </c>
      <c r="L986" s="27" t="str">
        <f>IF(I986="","",B$7&amp;"-"&amp;B$8)</f>
        <v/>
      </c>
      <c r="M986" s="52" t="str">
        <f t="shared" si="375"/>
        <v/>
      </c>
    </row>
    <row r="987" spans="1:13" x14ac:dyDescent="0.35">
      <c r="A987" s="48"/>
      <c r="B987" s="48"/>
      <c r="C987" s="50"/>
      <c r="D987" s="50"/>
      <c r="E987" s="51" t="str">
        <f t="shared" si="373"/>
        <v/>
      </c>
      <c r="F987" s="71" t="str">
        <f t="shared" si="371"/>
        <v/>
      </c>
      <c r="G987" s="69" t="str">
        <f t="shared" si="374"/>
        <v/>
      </c>
      <c r="H987" s="70" t="str">
        <f t="shared" si="372"/>
        <v/>
      </c>
      <c r="I987" s="27" t="str">
        <f>IF(N(J987)=0,"",0&amp;"-"&amp;B$9)</f>
        <v/>
      </c>
      <c r="J987" s="52" t="str">
        <f>IF(N(B$9)=0,"",IF(AND(COUNT(H980:H991)=2,COUNT(F980:F991)=2),cubic_spline(F979:F981,H979:H981,B$9),IF(AND(COUNT(H980:H991)=3,COUNT(F980:F991)=3),cubic_spline(F979:F982,H979:H982,B$9),IF(AND(COUNT(H980:H991)=4,COUNT(F980:F991)=4),cubic_spline(F979:F983,H979:H983,B$9),IF(AND(COUNT(H980:H991)=5,COUNT(F980:F991)=5),cubic_spline(F979:F984,H979:H984,B$9),IF(AND(COUNT(H980:H991)=6,COUNT(F980:F991)=6),cubic_spline(F979:F985,H979:H985,B$9),IF(AND(COUNT(H980:H991)=7,COUNT(F980:F991)=7),cubic_spline(F979:F986,H979:H986,B$9),IF(AND(COUNT(H980:H991)=8,COUNT(F980:F991)=8),cubic_spline(F979:F987,H979:H987,B$9),IF(AND(COUNT(H980:H991)=9,COUNT(F980:F991)=9),cubic_spline(F979:F988,H979:H988,B$9),IF(AND(COUNT(H980:H991)=10,COUNT(F980:F991)=10),cubic_spline(F979:F989,H979:H989,B$9),IF(AND(COUNT(H980:H991)=11,COUNT(F980:F991)=11),cubic_spline(F979:F990,H979:H990,B$9),IF(AND(COUNT(H980:H991)=12,COUNT(F980:F991)=12),cubic_spline(F979:F991,H979:H991,B$9),""))))))))))))</f>
        <v/>
      </c>
      <c r="K987" s="52" t="str">
        <f>IF(N(B$9)=0,"",IF(AND(COUNT(A980:A991)=2,COUNT(F980:F991)=2),cubic_spline(F979:F981,A979:A981,B$9),IF(AND(COUNT(A980:A991)=3,COUNT(F980:F991)=3),cubic_spline(F979:F982,A979:A982,B$9),IF(AND(COUNT(A980:A991)=4,COUNT(F980:F991)=4),cubic_spline(F979:F983,A979:A983,B$9),IF(AND(COUNT(A980:A991)=5,COUNT(F980:F991)=5),cubic_spline(F979:F984,A979:A984,B$9),IF(AND(COUNT(A980:A991)=6,COUNT(F980:F991)=6),cubic_spline(F979:F985,A979:A985,B$9),IF(AND(COUNT(A980:A991)=7,COUNT(F980:F991)=7),cubic_spline(F979:F986,A979:A986,B$9),IF(AND(COUNT(A980:A991)=8,COUNT(F980:F991)=8),cubic_spline(F979:F987,A979:A987,B$9),IF(AND(COUNT(A980:A991)=9,COUNT(F980:F991)=9),cubic_spline(F979:F988,A979:A988,B$9),IF(AND(COUNT(A980:A991)=10,COUNT(F980:F991)=10),cubic_spline(F979:F989,A979:A989,B$9),IF(AND(COUNT(A980:A991)=11,COUNT(F980:F991)=11),cubic_spline(F979:F990,A979:A990,B$9),IF(AND(COUNT(A980:A991)=12,COUNT(F980:F991)=12),cubic_spline(F979:F991,A979:A991,B$9),""))))))))))))</f>
        <v/>
      </c>
      <c r="L987" s="27" t="str">
        <f>IF(I987="","",B$8&amp;"-"&amp;B$9)</f>
        <v/>
      </c>
      <c r="M987" s="52" t="str">
        <f t="shared" si="375"/>
        <v/>
      </c>
    </row>
    <row r="988" spans="1:13" x14ac:dyDescent="0.35">
      <c r="A988" s="48"/>
      <c r="B988" s="48"/>
      <c r="C988" s="50"/>
      <c r="D988" s="50"/>
      <c r="E988" s="51" t="str">
        <f t="shared" si="373"/>
        <v/>
      </c>
      <c r="F988" s="71" t="str">
        <f t="shared" si="371"/>
        <v/>
      </c>
      <c r="G988" s="69" t="str">
        <f t="shared" si="374"/>
        <v/>
      </c>
      <c r="H988" s="70" t="str">
        <f t="shared" si="372"/>
        <v/>
      </c>
      <c r="I988" s="27" t="str">
        <f>IF(N(J988)=0,"",0&amp;"-"&amp;B$10)</f>
        <v/>
      </c>
      <c r="J988" s="52" t="str">
        <f>IF(N(B$10)=0,"",IF(AND(COUNT(H980:H991)=2,COUNT(F980:F991)=2),cubic_spline(F979:F981,H979:H981,B$10),IF(AND(COUNT(H980:H991)=3,COUNT(F980:F991)=3),cubic_spline(F979:F982,H979:H982,B$10),IF(AND(COUNT(H980:H991)=4,COUNT(F980:F991)=4),cubic_spline(F979:F983,H979:H983,B$10),IF(AND(COUNT(H980:H991)=5,COUNT(F980:F991)=5),cubic_spline(F979:F984,H979:H984,B$10),IF(AND(COUNT(H980:H991)=6,COUNT(F980:F991)=6),cubic_spline(F979:F985,H979:H985,B$10),IF(AND(COUNT(H980:H991)=7,COUNT(F980:F991)=7),cubic_spline(F979:F986,H979:H986,B$10),IF(AND(COUNT(H980:H991)=8,COUNT(F980:F991)=8),cubic_spline(F979:F987,H979:H987,B$10),IF(AND(COUNT(H980:H991)=9,COUNT(F980:F991)=9),cubic_spline(F979:F988,H979:H988,B$10),IF(AND(COUNT(H980:H991)=10,COUNT(F980:F991)=10),cubic_spline(F979:F989,H979:H989,B$10),IF(AND(COUNT(H980:H991)=11,COUNT(F980:F991)=11),cubic_spline(F979:F990,H979:H990,B$10),IF(AND(COUNT(H980:H991)=12,COUNT(F980:F991)=12),cubic_spline(F979:F991,H979:H991,B$10),""))))))))))))</f>
        <v/>
      </c>
      <c r="K988" s="52" t="str">
        <f>IF(N(B$10)=0,"",IF(AND(COUNT(A980:A991)=2,COUNT(F980:F991)=2),cubic_spline(F979:F981,A979:A981,B$10),IF(AND(COUNT(A980:A991)=3,COUNT(F980:F991)=3),cubic_spline(F979:F982,A979:A982,B$10),IF(AND(COUNT(A980:A991)=4,COUNT(F980:F991)=4),cubic_spline(F979:F983,A979:A983,B$10),IF(AND(COUNT(A980:A991)=5,COUNT(F980:F991)=5),cubic_spline(F979:F984,A979:A984,B$10),IF(AND(COUNT(A980:A991)=6,COUNT(F980:F991)=6),cubic_spline(F979:F985,A979:A985,B$10),IF(AND(COUNT(A980:A991)=7,COUNT(F980:F991)=7),cubic_spline(F979:F986,A979:A986,B$10),IF(AND(COUNT(A980:A991)=8,COUNT(F980:F991)=8),cubic_spline(F979:F987,A979:A987,B$10),IF(AND(COUNT(A980:A991)=9,COUNT(F980:F991)=9),cubic_spline(F979:F988,A979:A988,B$10),IF(AND(COUNT(A980:A991)=10,COUNT(F980:F991)=10),cubic_spline(F979:F989,A979:A989,B$10),IF(AND(COUNT(A980:A991)=11,COUNT(F980:F991)=11),cubic_spline(F979:F990,A979:A990,B$10),IF(AND(COUNT(A980:A991)=12,COUNT(F980:F991)=12),cubic_spline(F979:F991,A979:A991,B$10),""))))))))))))</f>
        <v/>
      </c>
      <c r="L988" s="27" t="str">
        <f>IF(I988="","",B$9&amp;"-"&amp;B$10)</f>
        <v/>
      </c>
      <c r="M988" s="52" t="str">
        <f t="shared" si="375"/>
        <v/>
      </c>
    </row>
    <row r="989" spans="1:13" x14ac:dyDescent="0.35">
      <c r="A989" s="48"/>
      <c r="B989" s="48"/>
      <c r="C989" s="50"/>
      <c r="D989" s="50"/>
      <c r="E989" s="51" t="str">
        <f t="shared" si="373"/>
        <v/>
      </c>
      <c r="F989" s="71" t="str">
        <f t="shared" si="371"/>
        <v/>
      </c>
      <c r="G989" s="69" t="str">
        <f t="shared" si="374"/>
        <v/>
      </c>
      <c r="H989" s="70" t="str">
        <f t="shared" si="372"/>
        <v/>
      </c>
      <c r="I989" s="27" t="str">
        <f>IF(N(J989)=0,"",0&amp;"-"&amp;B$11)</f>
        <v/>
      </c>
      <c r="J989" s="52" t="str">
        <f>IF(N(B$11)=0,"",IF(AND(COUNT(H980:H991)=2,COUNT(F980:F991)=2),cubic_spline(F979:F981,H979:H981,B$11),IF(AND(COUNT(H980:H991)=3,COUNT(F980:F991)=3),cubic_spline(F979:F982,H979:H982,B$11),IF(AND(COUNT(H980:H991)=4,COUNT(F980:F991)=4),cubic_spline(F979:F983,H979:H983,B$11),IF(AND(COUNT(H980:H991)=5,COUNT(F980:F991)=5),cubic_spline(F979:F984,H979:H984,B$11),IF(AND(COUNT(H980:H991)=6,COUNT(F980:F991)=6),cubic_spline(F979:F985,H979:H985,B$11),IF(AND(COUNT(H980:H991)=7,COUNT(F980:F991)=7),cubic_spline(F979:F986,H979:H986,B$11),IF(AND(COUNT(H980:H991)=8,COUNT(F980:F991)=8),cubic_spline(F979:F987,H979:H987,B$11),IF(AND(COUNT(H980:H991)=9,COUNT(F980:F991)=9),cubic_spline(F979:F988,H979:H988,B$11),IF(AND(COUNT(H980:H991)=10,COUNT(F980:F991)=10),cubic_spline(F979:F989,H979:H989,B$11),IF(AND(COUNT(H980:H991)=11,COUNT(F980:F991)=11),cubic_spline(F979:F990,H979:H990,B$11),IF(AND(COUNT(H980:H991)=12,COUNT(F980:F991)=12),cubic_spline(F979:F991,H979:H991,B$11),""))))))))))))</f>
        <v/>
      </c>
      <c r="K989" s="52" t="str">
        <f>IF(N(B$11)=0,"",IF(AND(COUNT(A980:A991)=2,COUNT(F980:F991)=2),cubic_spline(F979:F981,A979:A981,B$11),IF(AND(COUNT(A980:A991)=3,COUNT(F980:F991)=3),cubic_spline(F979:F982,A979:A982,B$11),IF(AND(COUNT(A980:A991)=4,COUNT(F980:F991)=4),cubic_spline(F979:F983,A979:A983,B$11),IF(AND(COUNT(A980:A991)=5,COUNT(F980:F991)=5),cubic_spline(F979:F984,A979:A984,B$11),IF(AND(COUNT(A980:A991)=6,COUNT(F980:F991)=6),cubic_spline(F979:F985,A979:A985,B$11),IF(AND(COUNT(A980:A991)=7,COUNT(F980:F991)=7),cubic_spline(F979:F986,A979:A986,B$11),IF(AND(COUNT(A980:A991)=8,COUNT(F980:F991)=8),cubic_spline(F979:F987,A979:A987,B$11),IF(AND(COUNT(A980:A991)=9,COUNT(F980:F991)=9),cubic_spline(F979:F988,A979:A988,B$11),IF(AND(COUNT(A980:A991)=10,COUNT(F980:F991)=10),cubic_spline(F979:F989,A979:A989,B$11),IF(AND(COUNT(A980:A991)=11,COUNT(F980:F991)=11),cubic_spline(F979:F990,A979:A990,B$11),IF(AND(COUNT(A980:A991)=12,COUNT(F980:F991)=12),cubic_spline(F979:F991,A979:A991,B$11),""))))))))))))</f>
        <v/>
      </c>
      <c r="L989" s="27" t="str">
        <f>IF(I989="","",B$10&amp;"-"&amp;B$11)</f>
        <v/>
      </c>
      <c r="M989" s="52" t="str">
        <f t="shared" si="375"/>
        <v/>
      </c>
    </row>
    <row r="990" spans="1:13" x14ac:dyDescent="0.35">
      <c r="A990" s="48"/>
      <c r="B990" s="48"/>
      <c r="C990" s="50"/>
      <c r="D990" s="50"/>
      <c r="E990" s="51" t="str">
        <f t="shared" si="373"/>
        <v/>
      </c>
      <c r="F990" s="71" t="str">
        <f t="shared" si="371"/>
        <v/>
      </c>
      <c r="G990" s="69" t="str">
        <f t="shared" si="374"/>
        <v/>
      </c>
      <c r="H990" s="70" t="str">
        <f t="shared" si="372"/>
        <v/>
      </c>
      <c r="I990" s="27" t="str">
        <f>IF(N(J990)=0,"",0&amp;"-"&amp;B$12)</f>
        <v/>
      </c>
      <c r="J990" s="52" t="str">
        <f>IF(N(B$12)=0,"",IF(AND(COUNT(H980:H991)=2,COUNT(F980:F991)=2),cubic_spline(F979:F981,H979:H981,B$12),IF(AND(COUNT(H980:H991)=3,COUNT(F980:F991)=3),cubic_spline(F979:F982,H979:H982,B$12),IF(AND(COUNT(H980:H991)=4,COUNT(F980:F991)=4),cubic_spline(F979:F983,H979:H983,B$12),IF(AND(COUNT(H980:H991)=5,COUNT(F980:F991)=5),cubic_spline(F979:F984,H979:H984,B$12),IF(AND(COUNT(H980:H991)=6,COUNT(F980:F991)=6),cubic_spline(F979:F985,H979:H985,B$12),IF(AND(COUNT(H980:H991)=7,COUNT(F980:F991)=7),cubic_spline(F979:F986,H979:H986,B$12),IF(AND(COUNT(H980:H991)=8,COUNT(F980:F991)=8),cubic_spline(F979:F987,H979:H987,B$12),IF(AND(COUNT(H980:H991)=9,COUNT(F980:F991)=9),cubic_spline(F979:F988,H979:H988,B$12),IF(AND(COUNT(H980:H991)=10,COUNT(F980:F991)=10),cubic_spline(F979:F989,H979:H989,B$12),IF(AND(COUNT(H980:H991)=11,COUNT(F980:F991)=11),cubic_spline(F979:F990,H979:H990,B$12),IF(AND(COUNT(H980:H991)=12,COUNT(F980:F991)=12),cubic_spline(F979:F991,H979:H991,B$12),""))))))))))))</f>
        <v/>
      </c>
      <c r="K990" s="52" t="str">
        <f>IF(N(B$12)=0,"",IF(AND(COUNT(A980:A991)=2,COUNT(F980:F991)=2),cubic_spline(F979:F981,A979:A981,B$12),IF(AND(COUNT(A980:A991)=3,COUNT(F980:F991)=3),cubic_spline(F979:F982,A979:A982,B$12),IF(AND(COUNT(A980:A991)=4,COUNT(F980:F991)=4),cubic_spline(F979:F983,A979:A983,B$12),IF(AND(COUNT(A980:A991)=5,COUNT(F980:F991)=5),cubic_spline(F979:F984,A979:A984,B$12),IF(AND(COUNT(A980:A991)=6,COUNT(F980:F991)=6),cubic_spline(F979:F985,A979:A985,B$12),IF(AND(COUNT(A980:A991)=7,COUNT(F980:F991)=7),cubic_spline(F979:F986,A979:A986,B$12),IF(AND(COUNT(A980:A991)=8,COUNT(F980:F991)=8),cubic_spline(F979:F987,A979:A987,B$12),IF(AND(COUNT(A980:A991)=9,COUNT(F980:F991)=9),cubic_spline(F979:F988,A979:A988,B$12),IF(AND(COUNT(A980:A991)=10,COUNT(F980:F991)=10),cubic_spline(F979:F989,A979:A989,B$12),IF(AND(COUNT(A980:A991)=11,COUNT(F980:F991)=11),cubic_spline(F979:F990,A979:A990,B$12),IF(AND(COUNT(A980:A991)=12,COUNT(F980:F991)=12),cubic_spline(F979:F991,A979:A991,B$12),""))))))))))))</f>
        <v/>
      </c>
      <c r="L990" s="27" t="str">
        <f>IF(I990="","",B$11&amp;"-"&amp;B$12)</f>
        <v/>
      </c>
      <c r="M990" s="52" t="str">
        <f t="shared" si="375"/>
        <v/>
      </c>
    </row>
    <row r="991" spans="1:13" x14ac:dyDescent="0.35">
      <c r="A991" s="48"/>
      <c r="B991" s="48"/>
      <c r="C991" s="50"/>
      <c r="D991" s="50"/>
      <c r="E991" s="51" t="str">
        <f t="shared" si="373"/>
        <v/>
      </c>
      <c r="F991" s="71" t="str">
        <f t="shared" si="371"/>
        <v/>
      </c>
      <c r="G991" s="69" t="str">
        <f t="shared" si="374"/>
        <v/>
      </c>
      <c r="H991" s="70" t="str">
        <f t="shared" si="372"/>
        <v/>
      </c>
      <c r="I991" s="27" t="str">
        <f>IF(N(J991)=0,"",0&amp;"-"&amp;B$13)</f>
        <v/>
      </c>
      <c r="J991" s="52" t="str">
        <f>IF(N(B$13)=0,"",IF(AND(COUNT(H980:H991)=2,COUNT(F980:F991)=2),cubic_spline(F979:F981,H979:H981,B$13),IF(AND(COUNT(H980:H991)=3,COUNT(F980:F991)=3),cubic_spline(F979:F982,H979:H982,B$13),IF(AND(COUNT(H980:H991)=4,COUNT(F980:F991)=4),cubic_spline(F979:F983,H979:H983,B$13),IF(AND(COUNT(H980:H991)=5,COUNT(F980:F991)=5),cubic_spline(F979:F984,H979:H984,B$13),IF(AND(COUNT(H980:H991)=6,COUNT(F980:F991)=6),cubic_spline(F979:F985,H979:H985,B$13),IF(AND(COUNT(H980:H991)=7,COUNT(F980:F991)=7),cubic_spline(F979:F986,H979:H986,B$13),IF(AND(COUNT(H980:H991)=8,COUNT(F980:F991)=8),cubic_spline(F979:F987,H979:H987,B$13),IF(AND(COUNT(H980:H991)=9,COUNT(F980:F991)=9),cubic_spline(F979:F988,H979:H988,B$13),IF(AND(COUNT(H980:H991)=10,COUNT(F980:F991)=10),cubic_spline(F979:F989,H979:H989,B$13),IF(AND(COUNT(H980:H991)=11,COUNT(F980:F991)=11),cubic_spline(F979:F990,H979:H990,B$13),IF(AND(COUNT(H980:H991)=12,COUNT(F980:F991)=12),cubic_spline(F979:F991,H979:H991,B$13),""))))))))))))</f>
        <v/>
      </c>
      <c r="K991" s="52" t="str">
        <f>IF(N(B$13)=0,"",IF(AND(COUNT(A980:A991)=2,COUNT(F980:F991)=2),cubic_spline(F979:F981,A979:A981,B$13),IF(AND(COUNT(A980:A991)=3,COUNT(F980:F991)=3),cubic_spline(F979:F982,A979:A982,B$13),IF(AND(COUNT(A980:A991)=4,COUNT(F980:F991)=4),cubic_spline(F979:F983,A979:A983,B$13),IF(AND(COUNT(A980:A991)=5,COUNT(F980:F991)=5),cubic_spline(F979:F984,A979:A984,B$13),IF(AND(COUNT(A980:A991)=6,COUNT(F980:F991)=6),cubic_spline(F979:F985,A979:A985,B$13),IF(AND(COUNT(A980:A991)=7,COUNT(F980:F991)=7),cubic_spline(F979:F986,A979:A986,B$13),IF(AND(COUNT(A980:A991)=8,COUNT(F980:F991)=8),cubic_spline(F979:F987,A979:A987,B$13),IF(AND(COUNT(A980:A991)=9,COUNT(F980:F991)=9),cubic_spline(F979:F988,A979:A988,B$13),IF(AND(COUNT(A980:A991)=10,COUNT(F980:F991)=10),cubic_spline(F979:F989,A979:A989,B$13),IF(AND(COUNT(A980:A991)=11,COUNT(F980:F991)=11),cubic_spline(F979:F990,A979:A990,B$13),IF(AND(COUNT(A980:A991)=12,COUNT(F980:F991)=12),cubic_spline(F979:F991,A979:A991,B$13),""))))))))))))</f>
        <v/>
      </c>
      <c r="L991" s="27" t="str">
        <f>IF(I991="","",B$12&amp;"-"&amp;B$13)</f>
        <v/>
      </c>
      <c r="M991" s="52" t="str">
        <f t="shared" si="375"/>
        <v/>
      </c>
    </row>
    <row r="992" spans="1:13" ht="5.15" customHeight="1" x14ac:dyDescent="0.35">
      <c r="A992" s="47"/>
      <c r="B992" s="47"/>
      <c r="C992" s="53"/>
      <c r="D992" s="53"/>
      <c r="E992" s="54"/>
      <c r="F992" s="55"/>
      <c r="G992" s="72"/>
      <c r="H992" s="73"/>
      <c r="I992" s="47"/>
      <c r="J992" s="57"/>
      <c r="K992" s="57"/>
      <c r="L992" s="55"/>
      <c r="M992" s="57"/>
    </row>
    <row r="993" spans="1:13" x14ac:dyDescent="0.35">
      <c r="A993" s="48"/>
      <c r="B993" s="48"/>
      <c r="C993" s="50"/>
      <c r="D993" s="50"/>
      <c r="E993" s="51" t="str">
        <f>IF(N(C993)=0,"",(A993-A992)*C993*100)</f>
        <v/>
      </c>
      <c r="F993" s="68" t="str">
        <f t="shared" ref="F993:F1004" si="376">IF(N(E993)=0,"",(N(E993)+N(F992)))</f>
        <v/>
      </c>
      <c r="G993" s="69" t="str">
        <f>IF(OR(N(D993)=0,N(E993)=0),"",(E993*D993)/1000)</f>
        <v/>
      </c>
      <c r="H993" s="70" t="str">
        <f t="shared" ref="H993:H1004" si="377">IF(N(G993)=0,"",(N(G993)+N(H992)))</f>
        <v/>
      </c>
      <c r="I993" s="27" t="str">
        <f>IF(N(J993)=0,"",0&amp;"-"&amp;B$2)</f>
        <v/>
      </c>
      <c r="J993" s="52" t="str">
        <f>IF(N(B$2)=0,"",IF(AND(COUNT(H993:H1004)=2,COUNT(F993:F1004)=2),cubic_spline(F992:F994,H992:H994,B$2),IF(AND(COUNT(H993:H1004)=3,COUNT(F993:F1004)=3),cubic_spline(F992:F995,H992:H995,B$2),IF(AND(COUNT(H993:H1004)=4,COUNT(F993:F1004)=4),cubic_spline(F992:F996,H992:H996,B$2),IF(AND(COUNT(H993:H1004)=5,COUNT(F993:F1004)=5),cubic_spline(F992:F997,H992:H997,B$2),IF(AND(COUNT(H993:H1004)=6,COUNT(F993:F1004)=6),cubic_spline(F992:F998,H992:H998,B$2),IF(AND(COUNT(H993:H1004)=7,COUNT(F993:F1004)=7),cubic_spline(F992:F999,H992:H999,B$2),IF(AND(COUNT(H993:H1004)=8,COUNT(F993:F1004)=8),cubic_spline(F992:F1000,H992:H1000,B$2),IF(AND(COUNT(H993:H1004)=9,COUNT(F993:F1004)=9),cubic_spline(F992:F1001,H992:H1001,B$2),IF(AND(COUNT(H993:H1004)=10,COUNT(F993:F1004)=10),cubic_spline(F992:F1002,H992:H1002,B$2),IF(AND(COUNT(H993:H1004)=11,COUNT(F993:F1004)=11),cubic_spline(F992:F1003,H992:H1003,B$2),IF(AND(COUNT(H993:H1004)=12,COUNT(F993:F1004)=12),cubic_spline(F992:F1004,H992:H1004,B$2),""))))))))))))</f>
        <v/>
      </c>
      <c r="K993" s="52" t="str">
        <f>IF(N(B$2)=0,"",IF(AND(COUNT(A993:A1004)=2,COUNT(F993:F1004)=2),cubic_spline(F992:F994,A992:A994,B$2),IF(AND(COUNT(A993:A1004)=3,COUNT(F993:F1004)=3),cubic_spline(F992:F995,A992:A995,B$2),IF(AND(COUNT(A993:A1004)=4,COUNT(F993:F1004)=4),cubic_spline(F992:F996,A992:A996,B$2),IF(AND(COUNT(A993:A1004)=5,COUNT(F993:F1004)=5),cubic_spline(F992:F997,A992:A997,B$2),IF(AND(COUNT(A993:A1004)=6,COUNT(F993:F1004)=6),cubic_spline(F992:F998,A992:A998,B$2),IF(AND(COUNT(A993:A1004)=7,COUNT(F993:F1004)=7),cubic_spline(F992:F999,A992:A999,B$2),IF(AND(COUNT(A993:A1004)=8,COUNT(F993:F1004)=8),cubic_spline(F992:F1000,A992:A1000,B$2),IF(AND(COUNT(A993:A1004)=9,COUNT(F993:F1004)=9),cubic_spline(F992:F1001,A992:A1001,B$2),IF(AND(COUNT(A993:A1004)=10,COUNT(F993:F1004)=10),cubic_spline(F992:F1002,A992:A1002,B$2),IF(AND(COUNT(A993:A1004)=11,COUNT(F993:F1004)=11),cubic_spline(F992:F1003,A992:A1003,B$2),IF(AND(COUNT(A993:A1004)=12,COUNT(F993:F1004)=12),cubic_spline(F992:F1004,A992:A1004,B$2),""))))))))))))</f>
        <v/>
      </c>
      <c r="L993" s="27" t="str">
        <f>IF(I993="","",0&amp;"-"&amp;B$2)</f>
        <v/>
      </c>
      <c r="M993" s="52" t="str">
        <f>IF(N(J993)=0,"",J993-J992)</f>
        <v/>
      </c>
    </row>
    <row r="994" spans="1:13" x14ac:dyDescent="0.35">
      <c r="A994" s="48"/>
      <c r="B994" s="48"/>
      <c r="C994" s="50"/>
      <c r="D994" s="50"/>
      <c r="E994" s="51" t="str">
        <f t="shared" ref="E994:E1004" si="378">IF(N(C994)=0,"",(A994-A993)*C994*100)</f>
        <v/>
      </c>
      <c r="F994" s="68" t="str">
        <f t="shared" si="376"/>
        <v/>
      </c>
      <c r="G994" s="69" t="str">
        <f t="shared" ref="G994:G1004" si="379">IF(OR(N(D994)=0,N(E994)=0),"",(E994*D994)/1000)</f>
        <v/>
      </c>
      <c r="H994" s="70" t="str">
        <f t="shared" si="377"/>
        <v/>
      </c>
      <c r="I994" s="27" t="str">
        <f>IF(N(J994)=0,"",0&amp;"-"&amp;B$3)</f>
        <v/>
      </c>
      <c r="J994" s="52" t="str">
        <f>IF(N(B$3)=0,"",IF(AND(COUNT(H993:H1004)=2,COUNT(F993:F1004)=2),cubic_spline(F992:F994,H992:H994,B$3),IF(AND(COUNT(H993:H1004)=3,COUNT(F993:F1004)=3),cubic_spline(F992:F995,H992:H995,B$3),IF(AND(COUNT(H993:H1004)=4,COUNT(F993:F1004)=4),cubic_spline(F992:F996,H992:H996,B$3),IF(AND(COUNT(H993:H1004)=5,COUNT(F993:F1004)=5),cubic_spline(F992:F997,H992:H997,B$3),IF(AND(COUNT(H993:H1004)=6,COUNT(F993:F1004)=6),cubic_spline(F992:F998,H992:H998,B$3),IF(AND(COUNT(H993:H1004)=7,COUNT(F993:F1004)=7),cubic_spline(F992:F999,H992:H999,B$3),IF(AND(COUNT(H993:H1004)=8,COUNT(F993:F1004)=8),cubic_spline(F992:F1000,H992:H1000,B$3),IF(AND(COUNT(H993:H1004)=9,COUNT(F993:F1004)=9),cubic_spline(F992:F1001,H992:H1001,B$3),IF(AND(COUNT(H993:H1004)=10,COUNT(F993:F1004)=10),cubic_spline(F992:F1002,H992:H1002,B$3),IF(AND(COUNT(H993:H1004)=11,COUNT(F993:F1004)=11),cubic_spline(F992:F1003,H992:H1003,B$3),IF(AND(COUNT(H993:H1004)=12,COUNT(F993:F1004)=12),cubic_spline(F992:F1004,H992:H1004,B$3),""))))))))))))</f>
        <v/>
      </c>
      <c r="K994" s="52" t="str">
        <f>IF(N(B$3)=0,"",IF(AND(COUNT(A993:A1004)=2,COUNT(F993:F1004)=2),cubic_spline(F992:F994,A992:A994,B$3),IF(AND(COUNT(A993:A1004)=3,COUNT(F993:F1004)=3),cubic_spline(F992:F995,A992:A995,B$3),IF(AND(COUNT(A993:A1004)=4,COUNT(F993:F1004)=4),cubic_spline(F992:F996,A992:A996,B$3),IF(AND(COUNT(A993:A1004)=5,COUNT(F993:F1004)=5),cubic_spline(F992:F997,A992:A997,B$3),IF(AND(COUNT(A993:A1004)=6,COUNT(F993:F1004)=6),cubic_spline(F992:F998,A992:A998,B$3),IF(AND(COUNT(A993:A1004)=7,COUNT(F993:F1004)=7),cubic_spline(F992:F999,A992:A999,B$3),IF(AND(COUNT(A993:A1004)=8,COUNT(F993:F1004)=8),cubic_spline(F992:F1000,A992:A1000,B$3),IF(AND(COUNT(A993:A1004)=9,COUNT(F993:F1004)=9),cubic_spline(F992:F1001,A992:A1001,B$3),IF(AND(COUNT(A993:A1004)=10,COUNT(F993:F1004)=10),cubic_spline(F992:F1002,A992:A1002,B$3),IF(AND(COUNT(A993:A1004)=11,COUNT(F993:F1004)=11),cubic_spline(F992:F1003,A992:A1003,B$3),IF(AND(COUNT(A993:A1004)=12,COUNT(F993:F1004)=12),cubic_spline(F992:F1004,A992:A1004,B$3),""))))))))))))</f>
        <v/>
      </c>
      <c r="L994" s="27" t="str">
        <f>IF(I994="","",B$2&amp;"-"&amp;B$3)</f>
        <v/>
      </c>
      <c r="M994" s="52" t="str">
        <f>IF(N(J994)=0,"",J994-J993)</f>
        <v/>
      </c>
    </row>
    <row r="995" spans="1:13" x14ac:dyDescent="0.35">
      <c r="A995" s="48"/>
      <c r="B995" s="48"/>
      <c r="C995" s="50"/>
      <c r="D995" s="50"/>
      <c r="E995" s="51" t="str">
        <f t="shared" si="378"/>
        <v/>
      </c>
      <c r="F995" s="68" t="str">
        <f t="shared" si="376"/>
        <v/>
      </c>
      <c r="G995" s="69" t="str">
        <f t="shared" si="379"/>
        <v/>
      </c>
      <c r="H995" s="70" t="str">
        <f t="shared" si="377"/>
        <v/>
      </c>
      <c r="I995" s="27" t="str">
        <f>IF(N(J995)=0,"",0&amp;"-"&amp;B$4)</f>
        <v/>
      </c>
      <c r="J995" s="52" t="str">
        <f>IF(N(B$4)=0,"",IF(AND(COUNT(H993:H1004)=2,COUNT(F993:F1004)=2),cubic_spline(F992:F994,H992:H994,B$4),IF(AND(COUNT(H993:H1004)=3,COUNT(F993:F1004)=3),cubic_spline(F992:F995,H992:H995,B$4),IF(AND(COUNT(H993:H1004)=4,COUNT(F993:F1004)=4),cubic_spline(F992:F996,H992:H996,B$4),IF(AND(COUNT(H993:H1004)=5,COUNT(F993:F1004)=5),cubic_spline(F992:F997,H992:H997,B$4),IF(AND(COUNT(H993:H1004)=6,COUNT(F993:F1004)=6),cubic_spline(F992:F998,H992:H998,B$4),IF(AND(COUNT(H993:H1004)=7,COUNT(F993:F1004)=7),cubic_spline(F992:F999,H992:H999,B$4),IF(AND(COUNT(H993:H1004)=8,COUNT(F993:F1004)=8),cubic_spline(F992:F1000,H992:H1000,B$4),IF(AND(COUNT(H993:H1004)=9,COUNT(F993:F1004)=9),cubic_spline(F992:F1001,H992:H1001,B$4),IF(AND(COUNT(H993:H1004)=10,COUNT(F993:F1004)=10),cubic_spline(F992:F1002,H992:H1002,B$4),IF(AND(COUNT(H993:H1004)=11,COUNT(F993:F1004)=11),cubic_spline(F992:F1003,H992:H1003,B$4),IF(AND(COUNT(H993:H1004)=12,COUNT(F993:F1004)=12),cubic_spline(F992:F1004,H992:H1004,B$4),""))))))))))))</f>
        <v/>
      </c>
      <c r="K995" s="52" t="str">
        <f>IF(N(B$4)=0,"",IF(AND(COUNT(A993:A1004)=2,COUNT(F993:F1004)=2),cubic_spline(F992:F994,A992:A994,B$4),IF(AND(COUNT(A993:A1004)=3,COUNT(F993:F1004)=3),cubic_spline(F992:F995,A992:A995,B$4),IF(AND(COUNT(A993:A1004)=4,COUNT(F993:F1004)=4),cubic_spline(F992:F996,A992:A996,B$4),IF(AND(COUNT(A993:A1004)=5,COUNT(F993:F1004)=5),cubic_spline(F992:F997,A992:A997,B$4),IF(AND(COUNT(A993:A1004)=6,COUNT(F993:F1004)=6),cubic_spline(F992:F998,A992:A998,B$4),IF(AND(COUNT(A993:A1004)=7,COUNT(F993:F1004)=7),cubic_spline(F992:F999,A992:A999,B$4),IF(AND(COUNT(A993:A1004)=8,COUNT(F993:F1004)=8),cubic_spline(F992:F1000,A992:A1000,B$4),IF(AND(COUNT(A993:A1004)=9,COUNT(F993:F1004)=9),cubic_spline(F992:F1001,A992:A1001,B$4),IF(AND(COUNT(A993:A1004)=10,COUNT(F993:F1004)=10),cubic_spline(F992:F1002,A992:A1002,B$4),IF(AND(COUNT(A993:A1004)=11,COUNT(F993:F1004)=11),cubic_spline(F992:F1003,A992:A1003,B$4),IF(AND(COUNT(A993:A1004)=12,COUNT(F993:F1004)=12),cubic_spline(F992:F1004,A992:A1004,B$4),""))))))))))))</f>
        <v/>
      </c>
      <c r="L995" s="27" t="str">
        <f>IF(I995="","",B$3&amp;"-"&amp;B$4)</f>
        <v/>
      </c>
      <c r="M995" s="52" t="str">
        <f>IF(N(J995)=0,"",J995-J994)</f>
        <v/>
      </c>
    </row>
    <row r="996" spans="1:13" x14ac:dyDescent="0.35">
      <c r="A996" s="48"/>
      <c r="B996" s="48"/>
      <c r="C996" s="50"/>
      <c r="D996" s="50"/>
      <c r="E996" s="51" t="str">
        <f t="shared" si="378"/>
        <v/>
      </c>
      <c r="F996" s="68" t="str">
        <f t="shared" si="376"/>
        <v/>
      </c>
      <c r="G996" s="69" t="str">
        <f t="shared" si="379"/>
        <v/>
      </c>
      <c r="H996" s="70" t="str">
        <f t="shared" si="377"/>
        <v/>
      </c>
      <c r="I996" s="27" t="str">
        <f>IF(N(J996)=0,"",0&amp;"-"&amp;B$5)</f>
        <v/>
      </c>
      <c r="J996" s="52" t="str">
        <f>IF(N(B$5)=0,"",IF(AND(COUNT(H993:H1004)=2,COUNT(F993:F1004)=2),cubic_spline(F992:F994,H992:H994,B$5),IF(AND(COUNT(H993:H1004)=3,COUNT(F993:F1004)=3),cubic_spline(F992:F995,H992:H995,B$5),IF(AND(COUNT(H993:H1004)=4,COUNT(F993:F1004)=4),cubic_spline(F992:F996,H992:H996,B$5),IF(AND(COUNT(H993:H1004)=5,COUNT(F993:F1004)=5),cubic_spline(F992:F997,H992:H997,B$5),IF(AND(COUNT(H993:H1004)=6,COUNT(F993:F1004)=6),cubic_spline(F992:F998,H992:H998,B$5),IF(AND(COUNT(H993:H1004)=7,COUNT(F993:F1004)=7),cubic_spline(F992:F999,H992:H999,B$5),IF(AND(COUNT(H993:H1004)=8,COUNT(F993:F1004)=8),cubic_spline(F992:F1000,H992:H1000,B$5),IF(AND(COUNT(H993:H1004)=9,COUNT(F993:F1004)=9),cubic_spline(F992:F1001,H992:H1001,B$5),IF(AND(COUNT(H993:H1004)=10,COUNT(F993:F1004)=10),cubic_spline(F992:F1002,H992:H1002,B$5),IF(AND(COUNT(H993:H1004)=11,COUNT(F993:F1004)=11),cubic_spline(F992:F1003,H992:H1003,B$5),IF(AND(COUNT(H993:H1004)=12,COUNT(F993:F1004)=12),cubic_spline(F992:F1004,H992:H1004,B$5),""))))))))))))</f>
        <v/>
      </c>
      <c r="K996" s="52" t="str">
        <f>IF(N(B$5)=0,"",IF(AND(COUNT(A993:A1004)=2,COUNT(F993:F1004)=2),cubic_spline(F992:F994,A992:A994,B$5),IF(AND(COUNT(A993:A1004)=3,COUNT(F993:F1004)=3),cubic_spline(F992:F995,A992:A995,B$5),IF(AND(COUNT(A993:A1004)=4,COUNT(F993:F1004)=4),cubic_spline(F992:F996,A992:A996,B$5),IF(AND(COUNT(A993:A1004)=5,COUNT(F993:F1004)=5),cubic_spline(F992:F997,A992:A997,B$5),IF(AND(COUNT(A993:A1004)=6,COUNT(F993:F1004)=6),cubic_spline(F992:F998,A992:A998,B$5),IF(AND(COUNT(A993:A1004)=7,COUNT(F993:F1004)=7),cubic_spline(F992:F999,A992:A999,B$5),IF(AND(COUNT(A993:A1004)=8,COUNT(F993:F1004)=8),cubic_spline(F992:F1000,A992:A1000,B$5),IF(AND(COUNT(A993:A1004)=9,COUNT(F993:F1004)=9),cubic_spline(F992:F1001,A992:A1001,B$5),IF(AND(COUNT(A993:A1004)=10,COUNT(F993:F1004)=10),cubic_spline(F992:F1002,A992:A1002,B$5),IF(AND(COUNT(A993:A1004)=11,COUNT(F993:F1004)=11),cubic_spline(F992:F1003,A992:A1003,B$5),IF(AND(COUNT(A993:A1004)=12,COUNT(F993:F1004)=12),cubic_spline(F992:F1004,A992:A1004,B$5),""))))))))))))</f>
        <v/>
      </c>
      <c r="L996" s="27" t="str">
        <f>IF(I996="","",B$4&amp;"-"&amp;B$5)</f>
        <v/>
      </c>
      <c r="M996" s="52" t="str">
        <f>IF(N(J996)=0,"",J996-J995)</f>
        <v/>
      </c>
    </row>
    <row r="997" spans="1:13" x14ac:dyDescent="0.35">
      <c r="A997" s="48"/>
      <c r="B997" s="48"/>
      <c r="C997" s="50"/>
      <c r="D997" s="50"/>
      <c r="E997" s="51" t="str">
        <f t="shared" si="378"/>
        <v/>
      </c>
      <c r="F997" s="71" t="str">
        <f t="shared" si="376"/>
        <v/>
      </c>
      <c r="G997" s="69" t="str">
        <f t="shared" si="379"/>
        <v/>
      </c>
      <c r="H997" s="70" t="str">
        <f t="shared" si="377"/>
        <v/>
      </c>
      <c r="I997" s="27" t="str">
        <f>IF(N(J997)=0,"",0&amp;"-"&amp;B$6)</f>
        <v/>
      </c>
      <c r="J997" s="52" t="str">
        <f>IF(N(B$6)=0,"",IF(AND(COUNT(H993:H1004)=2,COUNT(F993:F1004)=2),cubic_spline(F992:F994,H992:H994,B$6),IF(AND(COUNT(H993:H1004)=3,COUNT(F993:F1004)=3),cubic_spline(F992:F995,H992:H995,B$6),IF(AND(COUNT(H993:H1004)=4,COUNT(F993:F1004)=4),cubic_spline(F992:F996,H992:H996,B$6),IF(AND(COUNT(H993:H1004)=5,COUNT(F993:F1004)=5),cubic_spline(F992:F997,H992:H997,B$6),IF(AND(COUNT(H993:H1004)=6,COUNT(F993:F1004)=6),cubic_spline(F992:F998,H992:H998,B$6),IF(AND(COUNT(H993:H1004)=7,COUNT(F993:F1004)=7),cubic_spline(F992:F999,H992:H999,B$6),IF(AND(COUNT(H993:H1004)=8,COUNT(F993:F1004)=8),cubic_spline(F992:F1000,H992:H1000,B$6),IF(AND(COUNT(H993:H1004)=9,COUNT(F993:F1004)=9),cubic_spline(F992:F1001,H992:H1001,B$6),IF(AND(COUNT(H993:H1004)=10,COUNT(F993:F1004)=10),cubic_spline(F992:F1002,H992:H1002,B$6),IF(AND(COUNT(H993:H1004)=11,COUNT(F993:F1004)=11),cubic_spline(F992:F1003,H992:H1003,B$6),IF(AND(COUNT(H993:H1004)=12,COUNT(F993:F1004)=12),cubic_spline(F992:F1004,H992:H1004,B$6),""))))))))))))</f>
        <v/>
      </c>
      <c r="K997" s="52" t="str">
        <f>IF(N(B$6)=0,"",IF(AND(COUNT(A993:A1004)=2,COUNT(F993:F1004)=2),cubic_spline(F992:F994,A992:A994,B$6),IF(AND(COUNT(A993:A1004)=3,COUNT(F993:F1004)=3),cubic_spline(F992:F995,A992:A995,B$6),IF(AND(COUNT(A993:A1004)=4,COUNT(F993:F1004)=4),cubic_spline(F992:F996,A992:A996,B$6),IF(AND(COUNT(A993:A1004)=5,COUNT(F993:F1004)=5),cubic_spline(F992:F997,A992:A997,B$6),IF(AND(COUNT(A993:A1004)=6,COUNT(F993:F1004)=6),cubic_spline(F992:F998,A992:A998,B$6),IF(AND(COUNT(A993:A1004)=7,COUNT(F993:F1004)=7),cubic_spline(F992:F999,A992:A999,B$6),IF(AND(COUNT(A993:A1004)=8,COUNT(F993:F1004)=8),cubic_spline(F992:F1000,A992:A1000,B$6),IF(AND(COUNT(A993:A1004)=9,COUNT(F993:F1004)=9),cubic_spline(F992:F1001,A992:A1001,B$6),IF(AND(COUNT(A993:A1004)=10,COUNT(F993:F1004)=10),cubic_spline(F992:F1002,A992:A1002,B$6),IF(AND(COUNT(A993:A1004)=11,COUNT(F993:F1004)=11),cubic_spline(F992:F1003,A992:A1003,B$6),IF(AND(COUNT(A993:A1004)=12,COUNT(F993:F1004)=12),cubic_spline(F992:F1004,A992:A1004,B$6),""))))))))))))</f>
        <v/>
      </c>
      <c r="L997" s="27" t="str">
        <f>IF(I997="","",B$5&amp;"-"&amp;B$6)</f>
        <v/>
      </c>
      <c r="M997" s="52" t="str">
        <f>IF(N(J997)=0,"",J997-J996)</f>
        <v/>
      </c>
    </row>
    <row r="998" spans="1:13" x14ac:dyDescent="0.35">
      <c r="A998" s="48"/>
      <c r="B998" s="48"/>
      <c r="C998" s="50"/>
      <c r="D998" s="50"/>
      <c r="E998" s="51" t="str">
        <f t="shared" si="378"/>
        <v/>
      </c>
      <c r="F998" s="71" t="str">
        <f t="shared" si="376"/>
        <v/>
      </c>
      <c r="G998" s="69" t="str">
        <f t="shared" si="379"/>
        <v/>
      </c>
      <c r="H998" s="70" t="str">
        <f t="shared" si="377"/>
        <v/>
      </c>
      <c r="I998" s="27" t="str">
        <f>IF(N(J998)=0,"",0&amp;"-"&amp;B$7)</f>
        <v/>
      </c>
      <c r="J998" s="52" t="str">
        <f>IF(N(B$7)=0,"",IF(AND(COUNT(H993:H1004)=2,COUNT(F993:F1004)=2),cubic_spline(F992:F994,H992:H994,B$7),IF(AND(COUNT(H993:H1004)=3,COUNT(F993:F1004)=3),cubic_spline(F992:F995,H992:H995,B$7),IF(AND(COUNT(H993:H1004)=4,COUNT(F993:F1004)=4),cubic_spline(F992:F996,H992:H996,B$7),IF(AND(COUNT(H993:H1004)=5,COUNT(F993:F1004)=5),cubic_spline(F992:F997,H992:H997,B$7),IF(AND(COUNT(H993:H1004)=6,COUNT(F993:F1004)=6),cubic_spline(F992:F998,H992:H998,B$7),IF(AND(COUNT(H993:H1004)=7,COUNT(F993:F1004)=7),cubic_spline(F992:F999,H992:H999,B$7),IF(AND(COUNT(H993:H1004)=8,COUNT(F993:F1004)=8),cubic_spline(F992:F1000,H992:H1000,B$7),IF(AND(COUNT(H993:H1004)=9,COUNT(F993:F1004)=9),cubic_spline(F992:F1001,H992:H1001,B$7),IF(AND(COUNT(H993:H1004)=10,COUNT(F993:F1004)=10),cubic_spline(F992:F1002,H992:H1002,B$7),IF(AND(COUNT(H993:H1004)=11,COUNT(F993:F1004)=11),cubic_spline(F992:F1003,H992:H1003,B$7),IF(AND(COUNT(H993:H1004)=12,COUNT(F993:F1004)=12),cubic_spline(F992:F1004,H992:H1004,B$7),""))))))))))))</f>
        <v/>
      </c>
      <c r="K998" s="52" t="str">
        <f>IF(N(B$7)=0,"",IF(AND(COUNT(A993:A1004)=2,COUNT(F993:F1004)=2),cubic_spline(F992:F994,A992:A994,B$7),IF(AND(COUNT(A993:A1004)=3,COUNT(F993:F1004)=3),cubic_spline(F992:F995,A992:A995,B$7),IF(AND(COUNT(A993:A1004)=4,COUNT(F993:F1004)=4),cubic_spline(F992:F996,A992:A996,B$7),IF(AND(COUNT(A993:A1004)=5,COUNT(F993:F1004)=5),cubic_spline(F992:F997,A992:A997,B$7),IF(AND(COUNT(A993:A1004)=6,COUNT(F993:F1004)=6),cubic_spline(F992:F998,A992:A998,B$7),IF(AND(COUNT(A993:A1004)=7,COUNT(F993:F1004)=7),cubic_spline(F992:F999,A992:A999,B$7),IF(AND(COUNT(A993:A1004)=8,COUNT(F993:F1004)=8),cubic_spline(F992:F1000,A992:A1000,B$7),IF(AND(COUNT(A993:A1004)=9,COUNT(F993:F1004)=9),cubic_spline(F992:F1001,A992:A1001,B$7),IF(AND(COUNT(A993:A1004)=10,COUNT(F993:F1004)=10),cubic_spline(F992:F1002,A992:A1002,B$7),IF(AND(COUNT(A993:A1004)=11,COUNT(F993:F1004)=11),cubic_spline(F992:F1003,A992:A1003,B$7),IF(AND(COUNT(A993:A1004)=12,COUNT(F993:F1004)=12),cubic_spline(F992:F1004,A992:A1004,B$7),""))))))))))))</f>
        <v/>
      </c>
      <c r="L998" s="27" t="str">
        <f>IF(I998="","",B$6&amp;"-"&amp;B$7)</f>
        <v/>
      </c>
      <c r="M998" s="52" t="str">
        <f t="shared" ref="M998:M1004" si="380">IF(N(J998)=0,"",J998-J997)</f>
        <v/>
      </c>
    </row>
    <row r="999" spans="1:13" x14ac:dyDescent="0.35">
      <c r="A999" s="48"/>
      <c r="B999" s="48"/>
      <c r="C999" s="50"/>
      <c r="D999" s="50"/>
      <c r="E999" s="51" t="str">
        <f t="shared" si="378"/>
        <v/>
      </c>
      <c r="F999" s="71" t="str">
        <f t="shared" si="376"/>
        <v/>
      </c>
      <c r="G999" s="69" t="str">
        <f t="shared" si="379"/>
        <v/>
      </c>
      <c r="H999" s="70" t="str">
        <f t="shared" si="377"/>
        <v/>
      </c>
      <c r="I999" s="27" t="str">
        <f>IF(N(J999)=0,"",0&amp;"-"&amp;B$8)</f>
        <v/>
      </c>
      <c r="J999" s="52" t="str">
        <f>IF(N(B$8)=0,"",IF(AND(COUNT(H993:H1004)=2,COUNT(F993:F1004)=2),cubic_spline(F992:F994,H992:H994,B$8),IF(AND(COUNT(H993:H1004)=3,COUNT(F993:F1004)=3),cubic_spline(F992:F995,H992:H995,B$8),IF(AND(COUNT(H993:H1004)=4,COUNT(F993:F1004)=4),cubic_spline(F992:F996,H992:H996,B$8),IF(AND(COUNT(H993:H1004)=5,COUNT(F993:F1004)=5),cubic_spline(F992:F997,H992:H997,B$8),IF(AND(COUNT(H993:H1004)=6,COUNT(F993:F1004)=6),cubic_spline(F992:F998,H992:H998,B$8),IF(AND(COUNT(H993:H1004)=7,COUNT(F993:F1004)=7),cubic_spline(F992:F999,H992:H999,B$8),IF(AND(COUNT(H993:H1004)=8,COUNT(F993:F1004)=8),cubic_spline(F992:F1000,H992:H1000,B$8),IF(AND(COUNT(H993:H1004)=9,COUNT(F993:F1004)=9),cubic_spline(F992:F1001,H992:H1001,B$8),IF(AND(COUNT(H993:H1004)=10,COUNT(F993:F1004)=10),cubic_spline(F992:F1002,H992:H1002,B$8),IF(AND(COUNT(H993:H1004)=11,COUNT(F993:F1004)=11),cubic_spline(F992:F1003,H992:H1003,B$8),IF(AND(COUNT(H993:H1004)=12,COUNT(F993:F1004)=12),cubic_spline(F992:F1004,H992:H1004,B$8),""))))))))))))</f>
        <v/>
      </c>
      <c r="K999" s="52" t="str">
        <f>IF(N(B$8)=0,"",IF(AND(COUNT(A993:A1004)=2,COUNT(F993:F1004)=2),cubic_spline(F992:F994,A992:A994,B$8),IF(AND(COUNT(A993:A1004)=3,COUNT(F993:F1004)=3),cubic_spline(F992:F995,A992:A995,B$8),IF(AND(COUNT(A993:A1004)=4,COUNT(F993:F1004)=4),cubic_spline(F992:F996,A992:A996,B$8),IF(AND(COUNT(A993:A1004)=5,COUNT(F993:F1004)=5),cubic_spline(F992:F997,A992:A997,B$8),IF(AND(COUNT(A993:A1004)=6,COUNT(F993:F1004)=6),cubic_spline(F992:F998,A992:A998,B$8),IF(AND(COUNT(A993:A1004)=7,COUNT(F993:F1004)=7),cubic_spline(F992:F999,A992:A999,B$8),IF(AND(COUNT(A993:A1004)=8,COUNT(F993:F1004)=8),cubic_spline(F992:F1000,A992:A1000,B$8),IF(AND(COUNT(A993:A1004)=9,COUNT(F993:F1004)=9),cubic_spline(F992:F1001,A992:A1001,B$8),IF(AND(COUNT(A993:A1004)=10,COUNT(F993:F1004)=10),cubic_spline(F992:F1002,A992:A1002,B$8),IF(AND(COUNT(A993:A1004)=11,COUNT(F993:F1004)=11),cubic_spline(F992:F1003,A992:A1003,B$8),IF(AND(COUNT(A993:A1004)=12,COUNT(F993:F1004)=12),cubic_spline(F992:F1004,A992:A1004,B$8),""))))))))))))</f>
        <v/>
      </c>
      <c r="L999" s="27" t="str">
        <f>IF(I999="","",B$7&amp;"-"&amp;B$8)</f>
        <v/>
      </c>
      <c r="M999" s="52" t="str">
        <f t="shared" si="380"/>
        <v/>
      </c>
    </row>
    <row r="1000" spans="1:13" x14ac:dyDescent="0.35">
      <c r="A1000" s="48"/>
      <c r="B1000" s="48"/>
      <c r="C1000" s="50"/>
      <c r="D1000" s="50"/>
      <c r="E1000" s="51" t="str">
        <f t="shared" si="378"/>
        <v/>
      </c>
      <c r="F1000" s="71" t="str">
        <f t="shared" si="376"/>
        <v/>
      </c>
      <c r="G1000" s="69" t="str">
        <f t="shared" si="379"/>
        <v/>
      </c>
      <c r="H1000" s="70" t="str">
        <f t="shared" si="377"/>
        <v/>
      </c>
      <c r="I1000" s="27" t="str">
        <f>IF(N(J1000)=0,"",0&amp;"-"&amp;B$9)</f>
        <v/>
      </c>
      <c r="J1000" s="52" t="str">
        <f>IF(N(B$9)=0,"",IF(AND(COUNT(H993:H1004)=2,COUNT(F993:F1004)=2),cubic_spline(F992:F994,H992:H994,B$9),IF(AND(COUNT(H993:H1004)=3,COUNT(F993:F1004)=3),cubic_spline(F992:F995,H992:H995,B$9),IF(AND(COUNT(H993:H1004)=4,COUNT(F993:F1004)=4),cubic_spline(F992:F996,H992:H996,B$9),IF(AND(COUNT(H993:H1004)=5,COUNT(F993:F1004)=5),cubic_spline(F992:F997,H992:H997,B$9),IF(AND(COUNT(H993:H1004)=6,COUNT(F993:F1004)=6),cubic_spline(F992:F998,H992:H998,B$9),IF(AND(COUNT(H993:H1004)=7,COUNT(F993:F1004)=7),cubic_spline(F992:F999,H992:H999,B$9),IF(AND(COUNT(H993:H1004)=8,COUNT(F993:F1004)=8),cubic_spline(F992:F1000,H992:H1000,B$9),IF(AND(COUNT(H993:H1004)=9,COUNT(F993:F1004)=9),cubic_spline(F992:F1001,H992:H1001,B$9),IF(AND(COUNT(H993:H1004)=10,COUNT(F993:F1004)=10),cubic_spline(F992:F1002,H992:H1002,B$9),IF(AND(COUNT(H993:H1004)=11,COUNT(F993:F1004)=11),cubic_spline(F992:F1003,H992:H1003,B$9),IF(AND(COUNT(H993:H1004)=12,COUNT(F993:F1004)=12),cubic_spline(F992:F1004,H992:H1004,B$9),""))))))))))))</f>
        <v/>
      </c>
      <c r="K1000" s="52" t="str">
        <f>IF(N(B$9)=0,"",IF(AND(COUNT(A993:A1004)=2,COUNT(F993:F1004)=2),cubic_spline(F992:F994,A992:A994,B$9),IF(AND(COUNT(A993:A1004)=3,COUNT(F993:F1004)=3),cubic_spline(F992:F995,A992:A995,B$9),IF(AND(COUNT(A993:A1004)=4,COUNT(F993:F1004)=4),cubic_spline(F992:F996,A992:A996,B$9),IF(AND(COUNT(A993:A1004)=5,COUNT(F993:F1004)=5),cubic_spline(F992:F997,A992:A997,B$9),IF(AND(COUNT(A993:A1004)=6,COUNT(F993:F1004)=6),cubic_spline(F992:F998,A992:A998,B$9),IF(AND(COUNT(A993:A1004)=7,COUNT(F993:F1004)=7),cubic_spline(F992:F999,A992:A999,B$9),IF(AND(COUNT(A993:A1004)=8,COUNT(F993:F1004)=8),cubic_spline(F992:F1000,A992:A1000,B$9),IF(AND(COUNT(A993:A1004)=9,COUNT(F993:F1004)=9),cubic_spline(F992:F1001,A992:A1001,B$9),IF(AND(COUNT(A993:A1004)=10,COUNT(F993:F1004)=10),cubic_spline(F992:F1002,A992:A1002,B$9),IF(AND(COUNT(A993:A1004)=11,COUNT(F993:F1004)=11),cubic_spline(F992:F1003,A992:A1003,B$9),IF(AND(COUNT(A993:A1004)=12,COUNT(F993:F1004)=12),cubic_spline(F992:F1004,A992:A1004,B$9),""))))))))))))</f>
        <v/>
      </c>
      <c r="L1000" s="27" t="str">
        <f>IF(I1000="","",B$8&amp;"-"&amp;B$9)</f>
        <v/>
      </c>
      <c r="M1000" s="52" t="str">
        <f t="shared" si="380"/>
        <v/>
      </c>
    </row>
    <row r="1001" spans="1:13" x14ac:dyDescent="0.35">
      <c r="A1001" s="48"/>
      <c r="B1001" s="48"/>
      <c r="C1001" s="50"/>
      <c r="D1001" s="50"/>
      <c r="E1001" s="51" t="str">
        <f t="shared" si="378"/>
        <v/>
      </c>
      <c r="F1001" s="71" t="str">
        <f t="shared" si="376"/>
        <v/>
      </c>
      <c r="G1001" s="69" t="str">
        <f t="shared" si="379"/>
        <v/>
      </c>
      <c r="H1001" s="70" t="str">
        <f t="shared" si="377"/>
        <v/>
      </c>
      <c r="I1001" s="27" t="str">
        <f>IF(N(J1001)=0,"",0&amp;"-"&amp;B$10)</f>
        <v/>
      </c>
      <c r="J1001" s="52" t="str">
        <f>IF(N(B$10)=0,"",IF(AND(COUNT(H993:H1004)=2,COUNT(F993:F1004)=2),cubic_spline(F992:F994,H992:H994,B$10),IF(AND(COUNT(H993:H1004)=3,COUNT(F993:F1004)=3),cubic_spline(F992:F995,H992:H995,B$10),IF(AND(COUNT(H993:H1004)=4,COUNT(F993:F1004)=4),cubic_spline(F992:F996,H992:H996,B$10),IF(AND(COUNT(H993:H1004)=5,COUNT(F993:F1004)=5),cubic_spline(F992:F997,H992:H997,B$10),IF(AND(COUNT(H993:H1004)=6,COUNT(F993:F1004)=6),cubic_spline(F992:F998,H992:H998,B$10),IF(AND(COUNT(H993:H1004)=7,COUNT(F993:F1004)=7),cubic_spline(F992:F999,H992:H999,B$10),IF(AND(COUNT(H993:H1004)=8,COUNT(F993:F1004)=8),cubic_spline(F992:F1000,H992:H1000,B$10),IF(AND(COUNT(H993:H1004)=9,COUNT(F993:F1004)=9),cubic_spline(F992:F1001,H992:H1001,B$10),IF(AND(COUNT(H993:H1004)=10,COUNT(F993:F1004)=10),cubic_spline(F992:F1002,H992:H1002,B$10),IF(AND(COUNT(H993:H1004)=11,COUNT(F993:F1004)=11),cubic_spline(F992:F1003,H992:H1003,B$10),IF(AND(COUNT(H993:H1004)=12,COUNT(F993:F1004)=12),cubic_spline(F992:F1004,H992:H1004,B$10),""))))))))))))</f>
        <v/>
      </c>
      <c r="K1001" s="52" t="str">
        <f>IF(N(B$10)=0,"",IF(AND(COUNT(A993:A1004)=2,COUNT(F993:F1004)=2),cubic_spline(F992:F994,A992:A994,B$10),IF(AND(COUNT(A993:A1004)=3,COUNT(F993:F1004)=3),cubic_spline(F992:F995,A992:A995,B$10),IF(AND(COUNT(A993:A1004)=4,COUNT(F993:F1004)=4),cubic_spline(F992:F996,A992:A996,B$10),IF(AND(COUNT(A993:A1004)=5,COUNT(F993:F1004)=5),cubic_spline(F992:F997,A992:A997,B$10),IF(AND(COUNT(A993:A1004)=6,COUNT(F993:F1004)=6),cubic_spline(F992:F998,A992:A998,B$10),IF(AND(COUNT(A993:A1004)=7,COUNT(F993:F1004)=7),cubic_spline(F992:F999,A992:A999,B$10),IF(AND(COUNT(A993:A1004)=8,COUNT(F993:F1004)=8),cubic_spline(F992:F1000,A992:A1000,B$10),IF(AND(COUNT(A993:A1004)=9,COUNT(F993:F1004)=9),cubic_spline(F992:F1001,A992:A1001,B$10),IF(AND(COUNT(A993:A1004)=10,COUNT(F993:F1004)=10),cubic_spline(F992:F1002,A992:A1002,B$10),IF(AND(COUNT(A993:A1004)=11,COUNT(F993:F1004)=11),cubic_spline(F992:F1003,A992:A1003,B$10),IF(AND(COUNT(A993:A1004)=12,COUNT(F993:F1004)=12),cubic_spline(F992:F1004,A992:A1004,B$10),""))))))))))))</f>
        <v/>
      </c>
      <c r="L1001" s="27" t="str">
        <f>IF(I1001="","",B$9&amp;"-"&amp;B$10)</f>
        <v/>
      </c>
      <c r="M1001" s="52" t="str">
        <f t="shared" si="380"/>
        <v/>
      </c>
    </row>
    <row r="1002" spans="1:13" x14ac:dyDescent="0.35">
      <c r="A1002" s="48"/>
      <c r="B1002" s="48"/>
      <c r="C1002" s="50"/>
      <c r="D1002" s="50"/>
      <c r="E1002" s="51" t="str">
        <f t="shared" si="378"/>
        <v/>
      </c>
      <c r="F1002" s="71" t="str">
        <f t="shared" si="376"/>
        <v/>
      </c>
      <c r="G1002" s="69" t="str">
        <f t="shared" si="379"/>
        <v/>
      </c>
      <c r="H1002" s="70" t="str">
        <f t="shared" si="377"/>
        <v/>
      </c>
      <c r="I1002" s="27" t="str">
        <f>IF(N(J1002)=0,"",0&amp;"-"&amp;B$11)</f>
        <v/>
      </c>
      <c r="J1002" s="52" t="str">
        <f>IF(N(B$11)=0,"",IF(AND(COUNT(H993:H1004)=2,COUNT(F993:F1004)=2),cubic_spline(F992:F994,H992:H994,B$11),IF(AND(COUNT(H993:H1004)=3,COUNT(F993:F1004)=3),cubic_spline(F992:F995,H992:H995,B$11),IF(AND(COUNT(H993:H1004)=4,COUNT(F993:F1004)=4),cubic_spline(F992:F996,H992:H996,B$11),IF(AND(COUNT(H993:H1004)=5,COUNT(F993:F1004)=5),cubic_spline(F992:F997,H992:H997,B$11),IF(AND(COUNT(H993:H1004)=6,COUNT(F993:F1004)=6),cubic_spline(F992:F998,H992:H998,B$11),IF(AND(COUNT(H993:H1004)=7,COUNT(F993:F1004)=7),cubic_spline(F992:F999,H992:H999,B$11),IF(AND(COUNT(H993:H1004)=8,COUNT(F993:F1004)=8),cubic_spline(F992:F1000,H992:H1000,B$11),IF(AND(COUNT(H993:H1004)=9,COUNT(F993:F1004)=9),cubic_spline(F992:F1001,H992:H1001,B$11),IF(AND(COUNT(H993:H1004)=10,COUNT(F993:F1004)=10),cubic_spline(F992:F1002,H992:H1002,B$11),IF(AND(COUNT(H993:H1004)=11,COUNT(F993:F1004)=11),cubic_spline(F992:F1003,H992:H1003,B$11),IF(AND(COUNT(H993:H1004)=12,COUNT(F993:F1004)=12),cubic_spline(F992:F1004,H992:H1004,B$11),""))))))))))))</f>
        <v/>
      </c>
      <c r="K1002" s="52" t="str">
        <f>IF(N(B$11)=0,"",IF(AND(COUNT(A993:A1004)=2,COUNT(F993:F1004)=2),cubic_spline(F992:F994,A992:A994,B$11),IF(AND(COUNT(A993:A1004)=3,COUNT(F993:F1004)=3),cubic_spline(F992:F995,A992:A995,B$11),IF(AND(COUNT(A993:A1004)=4,COUNT(F993:F1004)=4),cubic_spline(F992:F996,A992:A996,B$11),IF(AND(COUNT(A993:A1004)=5,COUNT(F993:F1004)=5),cubic_spline(F992:F997,A992:A997,B$11),IF(AND(COUNT(A993:A1004)=6,COUNT(F993:F1004)=6),cubic_spline(F992:F998,A992:A998,B$11),IF(AND(COUNT(A993:A1004)=7,COUNT(F993:F1004)=7),cubic_spline(F992:F999,A992:A999,B$11),IF(AND(COUNT(A993:A1004)=8,COUNT(F993:F1004)=8),cubic_spline(F992:F1000,A992:A1000,B$11),IF(AND(COUNT(A993:A1004)=9,COUNT(F993:F1004)=9),cubic_spline(F992:F1001,A992:A1001,B$11),IF(AND(COUNT(A993:A1004)=10,COUNT(F993:F1004)=10),cubic_spline(F992:F1002,A992:A1002,B$11),IF(AND(COUNT(A993:A1004)=11,COUNT(F993:F1004)=11),cubic_spline(F992:F1003,A992:A1003,B$11),IF(AND(COUNT(A993:A1004)=12,COUNT(F993:F1004)=12),cubic_spline(F992:F1004,A992:A1004,B$11),""))))))))))))</f>
        <v/>
      </c>
      <c r="L1002" s="27" t="str">
        <f>IF(I1002="","",B$10&amp;"-"&amp;B$11)</f>
        <v/>
      </c>
      <c r="M1002" s="52" t="str">
        <f t="shared" si="380"/>
        <v/>
      </c>
    </row>
    <row r="1003" spans="1:13" x14ac:dyDescent="0.35">
      <c r="A1003" s="48"/>
      <c r="B1003" s="48"/>
      <c r="C1003" s="50"/>
      <c r="D1003" s="50"/>
      <c r="E1003" s="51" t="str">
        <f t="shared" si="378"/>
        <v/>
      </c>
      <c r="F1003" s="71" t="str">
        <f t="shared" si="376"/>
        <v/>
      </c>
      <c r="G1003" s="69" t="str">
        <f t="shared" si="379"/>
        <v/>
      </c>
      <c r="H1003" s="70" t="str">
        <f t="shared" si="377"/>
        <v/>
      </c>
      <c r="I1003" s="27" t="str">
        <f>IF(N(J1003)=0,"",0&amp;"-"&amp;B$12)</f>
        <v/>
      </c>
      <c r="J1003" s="52" t="str">
        <f>IF(N(B$12)=0,"",IF(AND(COUNT(H993:H1004)=2,COUNT(F993:F1004)=2),cubic_spline(F992:F994,H992:H994,B$12),IF(AND(COUNT(H993:H1004)=3,COUNT(F993:F1004)=3),cubic_spline(F992:F995,H992:H995,B$12),IF(AND(COUNT(H993:H1004)=4,COUNT(F993:F1004)=4),cubic_spline(F992:F996,H992:H996,B$12),IF(AND(COUNT(H993:H1004)=5,COUNT(F993:F1004)=5),cubic_spline(F992:F997,H992:H997,B$12),IF(AND(COUNT(H993:H1004)=6,COUNT(F993:F1004)=6),cubic_spline(F992:F998,H992:H998,B$12),IF(AND(COUNT(H993:H1004)=7,COUNT(F993:F1004)=7),cubic_spline(F992:F999,H992:H999,B$12),IF(AND(COUNT(H993:H1004)=8,COUNT(F993:F1004)=8),cubic_spline(F992:F1000,H992:H1000,B$12),IF(AND(COUNT(H993:H1004)=9,COUNT(F993:F1004)=9),cubic_spline(F992:F1001,H992:H1001,B$12),IF(AND(COUNT(H993:H1004)=10,COUNT(F993:F1004)=10),cubic_spline(F992:F1002,H992:H1002,B$12),IF(AND(COUNT(H993:H1004)=11,COUNT(F993:F1004)=11),cubic_spline(F992:F1003,H992:H1003,B$12),IF(AND(COUNT(H993:H1004)=12,COUNT(F993:F1004)=12),cubic_spline(F992:F1004,H992:H1004,B$12),""))))))))))))</f>
        <v/>
      </c>
      <c r="K1003" s="52" t="str">
        <f>IF(N(B$12)=0,"",IF(AND(COUNT(A993:A1004)=2,COUNT(F993:F1004)=2),cubic_spline(F992:F994,A992:A994,B$12),IF(AND(COUNT(A993:A1004)=3,COUNT(F993:F1004)=3),cubic_spline(F992:F995,A992:A995,B$12),IF(AND(COUNT(A993:A1004)=4,COUNT(F993:F1004)=4),cubic_spline(F992:F996,A992:A996,B$12),IF(AND(COUNT(A993:A1004)=5,COUNT(F993:F1004)=5),cubic_spline(F992:F997,A992:A997,B$12),IF(AND(COUNT(A993:A1004)=6,COUNT(F993:F1004)=6),cubic_spline(F992:F998,A992:A998,B$12),IF(AND(COUNT(A993:A1004)=7,COUNT(F993:F1004)=7),cubic_spline(F992:F999,A992:A999,B$12),IF(AND(COUNT(A993:A1004)=8,COUNT(F993:F1004)=8),cubic_spline(F992:F1000,A992:A1000,B$12),IF(AND(COUNT(A993:A1004)=9,COUNT(F993:F1004)=9),cubic_spline(F992:F1001,A992:A1001,B$12),IF(AND(COUNT(A993:A1004)=10,COUNT(F993:F1004)=10),cubic_spline(F992:F1002,A992:A1002,B$12),IF(AND(COUNT(A993:A1004)=11,COUNT(F993:F1004)=11),cubic_spline(F992:F1003,A992:A1003,B$12),IF(AND(COUNT(A993:A1004)=12,COUNT(F993:F1004)=12),cubic_spline(F992:F1004,A992:A1004,B$12),""))))))))))))</f>
        <v/>
      </c>
      <c r="L1003" s="27" t="str">
        <f>IF(I1003="","",B$11&amp;"-"&amp;B$12)</f>
        <v/>
      </c>
      <c r="M1003" s="52" t="str">
        <f t="shared" si="380"/>
        <v/>
      </c>
    </row>
    <row r="1004" spans="1:13" x14ac:dyDescent="0.35">
      <c r="A1004" s="48"/>
      <c r="B1004" s="48"/>
      <c r="C1004" s="50"/>
      <c r="D1004" s="50"/>
      <c r="E1004" s="51" t="str">
        <f t="shared" si="378"/>
        <v/>
      </c>
      <c r="F1004" s="71" t="str">
        <f t="shared" si="376"/>
        <v/>
      </c>
      <c r="G1004" s="69" t="str">
        <f t="shared" si="379"/>
        <v/>
      </c>
      <c r="H1004" s="70" t="str">
        <f t="shared" si="377"/>
        <v/>
      </c>
      <c r="I1004" s="27" t="str">
        <f>IF(N(J1004)=0,"",0&amp;"-"&amp;B$13)</f>
        <v/>
      </c>
      <c r="J1004" s="52" t="str">
        <f>IF(N(B$13)=0,"",IF(AND(COUNT(H993:H1004)=2,COUNT(F993:F1004)=2),cubic_spline(F992:F994,H992:H994,B$13),IF(AND(COUNT(H993:H1004)=3,COUNT(F993:F1004)=3),cubic_spline(F992:F995,H992:H995,B$13),IF(AND(COUNT(H993:H1004)=4,COUNT(F993:F1004)=4),cubic_spline(F992:F996,H992:H996,B$13),IF(AND(COUNT(H993:H1004)=5,COUNT(F993:F1004)=5),cubic_spline(F992:F997,H992:H997,B$13),IF(AND(COUNT(H993:H1004)=6,COUNT(F993:F1004)=6),cubic_spline(F992:F998,H992:H998,B$13),IF(AND(COUNT(H993:H1004)=7,COUNT(F993:F1004)=7),cubic_spline(F992:F999,H992:H999,B$13),IF(AND(COUNT(H993:H1004)=8,COUNT(F993:F1004)=8),cubic_spline(F992:F1000,H992:H1000,B$13),IF(AND(COUNT(H993:H1004)=9,COUNT(F993:F1004)=9),cubic_spline(F992:F1001,H992:H1001,B$13),IF(AND(COUNT(H993:H1004)=10,COUNT(F993:F1004)=10),cubic_spline(F992:F1002,H992:H1002,B$13),IF(AND(COUNT(H993:H1004)=11,COUNT(F993:F1004)=11),cubic_spline(F992:F1003,H992:H1003,B$13),IF(AND(COUNT(H993:H1004)=12,COUNT(F993:F1004)=12),cubic_spline(F992:F1004,H992:H1004,B$13),""))))))))))))</f>
        <v/>
      </c>
      <c r="K1004" s="52" t="str">
        <f>IF(N(B$13)=0,"",IF(AND(COUNT(A993:A1004)=2,COUNT(F993:F1004)=2),cubic_spline(F992:F994,A992:A994,B$13),IF(AND(COUNT(A993:A1004)=3,COUNT(F993:F1004)=3),cubic_spline(F992:F995,A992:A995,B$13),IF(AND(COUNT(A993:A1004)=4,COUNT(F993:F1004)=4),cubic_spline(F992:F996,A992:A996,B$13),IF(AND(COUNT(A993:A1004)=5,COUNT(F993:F1004)=5),cubic_spline(F992:F997,A992:A997,B$13),IF(AND(COUNT(A993:A1004)=6,COUNT(F993:F1004)=6),cubic_spline(F992:F998,A992:A998,B$13),IF(AND(COUNT(A993:A1004)=7,COUNT(F993:F1004)=7),cubic_spline(F992:F999,A992:A999,B$13),IF(AND(COUNT(A993:A1004)=8,COUNT(F993:F1004)=8),cubic_spline(F992:F1000,A992:A1000,B$13),IF(AND(COUNT(A993:A1004)=9,COUNT(F993:F1004)=9),cubic_spline(F992:F1001,A992:A1001,B$13),IF(AND(COUNT(A993:A1004)=10,COUNT(F993:F1004)=10),cubic_spline(F992:F1002,A992:A1002,B$13),IF(AND(COUNT(A993:A1004)=11,COUNT(F993:F1004)=11),cubic_spline(F992:F1003,A992:A1003,B$13),IF(AND(COUNT(A993:A1004)=12,COUNT(F993:F1004)=12),cubic_spline(F992:F1004,A992:A1004,B$13),""))))))))))))</f>
        <v/>
      </c>
      <c r="L1004" s="27" t="str">
        <f>IF(I1004="","",B$12&amp;"-"&amp;B$13)</f>
        <v/>
      </c>
      <c r="M1004" s="52" t="str">
        <f t="shared" si="380"/>
        <v/>
      </c>
    </row>
    <row r="1005" spans="1:13" ht="5.15" customHeight="1" x14ac:dyDescent="0.35">
      <c r="A1005" s="47"/>
      <c r="B1005" s="47"/>
      <c r="C1005" s="53"/>
      <c r="D1005" s="53"/>
      <c r="E1005" s="54"/>
      <c r="F1005" s="55"/>
      <c r="G1005" s="72"/>
      <c r="H1005" s="73"/>
      <c r="I1005" s="47"/>
      <c r="J1005" s="57"/>
      <c r="K1005" s="57"/>
      <c r="L1005" s="55"/>
      <c r="M1005" s="57"/>
    </row>
    <row r="1006" spans="1:13" x14ac:dyDescent="0.35">
      <c r="A1006" s="48"/>
      <c r="B1006" s="48"/>
      <c r="C1006" s="50"/>
      <c r="D1006" s="50"/>
      <c r="E1006" s="51" t="str">
        <f>IF(N(C1006)=0,"",(A1006-A1005)*C1006*100)</f>
        <v/>
      </c>
      <c r="F1006" s="68" t="str">
        <f t="shared" ref="F1006:F1017" si="381">IF(N(E1006)=0,"",(N(E1006)+N(F1005)))</f>
        <v/>
      </c>
      <c r="G1006" s="69" t="str">
        <f>IF(OR(N(D1006)=0,N(E1006)=0),"",(E1006*D1006)/1000)</f>
        <v/>
      </c>
      <c r="H1006" s="70" t="str">
        <f t="shared" ref="H1006:H1017" si="382">IF(N(G1006)=0,"",(N(G1006)+N(H1005)))</f>
        <v/>
      </c>
      <c r="I1006" s="27" t="str">
        <f>IF(N(J1006)=0,"",0&amp;"-"&amp;B$2)</f>
        <v/>
      </c>
      <c r="J1006" s="52" t="str">
        <f>IF(N(B$2)=0,"",IF(AND(COUNT(H1006:H1017)=2,COUNT(F1006:F1017)=2),cubic_spline(F1005:F1007,H1005:H1007,B$2),IF(AND(COUNT(H1006:H1017)=3,COUNT(F1006:F1017)=3),cubic_spline(F1005:F1008,H1005:H1008,B$2),IF(AND(COUNT(H1006:H1017)=4,COUNT(F1006:F1017)=4),cubic_spline(F1005:F1009,H1005:H1009,B$2),IF(AND(COUNT(H1006:H1017)=5,COUNT(F1006:F1017)=5),cubic_spline(F1005:F1010,H1005:H1010,B$2),IF(AND(COUNT(H1006:H1017)=6,COUNT(F1006:F1017)=6),cubic_spline(F1005:F1011,H1005:H1011,B$2),IF(AND(COUNT(H1006:H1017)=7,COUNT(F1006:F1017)=7),cubic_spline(F1005:F1012,H1005:H1012,B$2),IF(AND(COUNT(H1006:H1017)=8,COUNT(F1006:F1017)=8),cubic_spline(F1005:F1013,H1005:H1013,B$2),IF(AND(COUNT(H1006:H1017)=9,COUNT(F1006:F1017)=9),cubic_spline(F1005:F1014,H1005:H1014,B$2),IF(AND(COUNT(H1006:H1017)=10,COUNT(F1006:F1017)=10),cubic_spline(F1005:F1015,H1005:H1015,B$2),IF(AND(COUNT(H1006:H1017)=11,COUNT(F1006:F1017)=11),cubic_spline(F1005:F1016,H1005:H1016,B$2),IF(AND(COUNT(H1006:H1017)=12,COUNT(F1006:F1017)=12),cubic_spline(F1005:F1017,H1005:H1017,B$2),""))))))))))))</f>
        <v/>
      </c>
      <c r="K1006" s="52" t="str">
        <f>IF(N(B$2)=0,"",IF(AND(COUNT(A1006:A1017)=2,COUNT(F1006:F1017)=2),cubic_spline(F1005:F1007,A1005:A1007,B$2),IF(AND(COUNT(A1006:A1017)=3,COUNT(F1006:F1017)=3),cubic_spline(F1005:F1008,A1005:A1008,B$2),IF(AND(COUNT(A1006:A1017)=4,COUNT(F1006:F1017)=4),cubic_spline(F1005:F1009,A1005:A1009,B$2),IF(AND(COUNT(A1006:A1017)=5,COUNT(F1006:F1017)=5),cubic_spline(F1005:F1010,A1005:A1010,B$2),IF(AND(COUNT(A1006:A1017)=6,COUNT(F1006:F1017)=6),cubic_spline(F1005:F1011,A1005:A1011,B$2),IF(AND(COUNT(A1006:A1017)=7,COUNT(F1006:F1017)=7),cubic_spline(F1005:F1012,A1005:A1012,B$2),IF(AND(COUNT(A1006:A1017)=8,COUNT(F1006:F1017)=8),cubic_spline(F1005:F1013,A1005:A1013,B$2),IF(AND(COUNT(A1006:A1017)=9,COUNT(F1006:F1017)=9),cubic_spline(F1005:F1014,A1005:A1014,B$2),IF(AND(COUNT(A1006:A1017)=10,COUNT(F1006:F1017)=10),cubic_spline(F1005:F1015,A1005:A1015,B$2),IF(AND(COUNT(A1006:A1017)=11,COUNT(F1006:F1017)=11),cubic_spline(F1005:F1016,A1005:A1016,B$2),IF(AND(COUNT(A1006:A1017)=12,COUNT(F1006:F1017)=12),cubic_spline(F1005:F1017,A1005:A1017,B$2),""))))))))))))</f>
        <v/>
      </c>
      <c r="L1006" s="27" t="str">
        <f>IF(I1006="","",0&amp;"-"&amp;B$2)</f>
        <v/>
      </c>
      <c r="M1006" s="52" t="str">
        <f>IF(N(J1006)=0,"",J1006-J1005)</f>
        <v/>
      </c>
    </row>
    <row r="1007" spans="1:13" x14ac:dyDescent="0.35">
      <c r="A1007" s="48"/>
      <c r="B1007" s="48"/>
      <c r="C1007" s="50"/>
      <c r="D1007" s="50"/>
      <c r="E1007" s="51" t="str">
        <f t="shared" ref="E1007:E1017" si="383">IF(N(C1007)=0,"",(A1007-A1006)*C1007*100)</f>
        <v/>
      </c>
      <c r="F1007" s="68" t="str">
        <f t="shared" si="381"/>
        <v/>
      </c>
      <c r="G1007" s="69" t="str">
        <f t="shared" ref="G1007:G1017" si="384">IF(OR(N(D1007)=0,N(E1007)=0),"",(E1007*D1007)/1000)</f>
        <v/>
      </c>
      <c r="H1007" s="70" t="str">
        <f t="shared" si="382"/>
        <v/>
      </c>
      <c r="I1007" s="27" t="str">
        <f>IF(N(J1007)=0,"",0&amp;"-"&amp;B$3)</f>
        <v/>
      </c>
      <c r="J1007" s="52" t="str">
        <f>IF(N(B$3)=0,"",IF(AND(COUNT(H1006:H1017)=2,COUNT(F1006:F1017)=2),cubic_spline(F1005:F1007,H1005:H1007,B$3),IF(AND(COUNT(H1006:H1017)=3,COUNT(F1006:F1017)=3),cubic_spline(F1005:F1008,H1005:H1008,B$3),IF(AND(COUNT(H1006:H1017)=4,COUNT(F1006:F1017)=4),cubic_spline(F1005:F1009,H1005:H1009,B$3),IF(AND(COUNT(H1006:H1017)=5,COUNT(F1006:F1017)=5),cubic_spline(F1005:F1010,H1005:H1010,B$3),IF(AND(COUNT(H1006:H1017)=6,COUNT(F1006:F1017)=6),cubic_spline(F1005:F1011,H1005:H1011,B$3),IF(AND(COUNT(H1006:H1017)=7,COUNT(F1006:F1017)=7),cubic_spline(F1005:F1012,H1005:H1012,B$3),IF(AND(COUNT(H1006:H1017)=8,COUNT(F1006:F1017)=8),cubic_spline(F1005:F1013,H1005:H1013,B$3),IF(AND(COUNT(H1006:H1017)=9,COUNT(F1006:F1017)=9),cubic_spline(F1005:F1014,H1005:H1014,B$3),IF(AND(COUNT(H1006:H1017)=10,COUNT(F1006:F1017)=10),cubic_spline(F1005:F1015,H1005:H1015,B$3),IF(AND(COUNT(H1006:H1017)=11,COUNT(F1006:F1017)=11),cubic_spline(F1005:F1016,H1005:H1016,B$3),IF(AND(COUNT(H1006:H1017)=12,COUNT(F1006:F1017)=12),cubic_spline(F1005:F1017,H1005:H1017,B$3),""))))))))))))</f>
        <v/>
      </c>
      <c r="K1007" s="52" t="str">
        <f>IF(N(B$3)=0,"",IF(AND(COUNT(A1006:A1017)=2,COUNT(F1006:F1017)=2),cubic_spline(F1005:F1007,A1005:A1007,B$3),IF(AND(COUNT(A1006:A1017)=3,COUNT(F1006:F1017)=3),cubic_spline(F1005:F1008,A1005:A1008,B$3),IF(AND(COUNT(A1006:A1017)=4,COUNT(F1006:F1017)=4),cubic_spline(F1005:F1009,A1005:A1009,B$3),IF(AND(COUNT(A1006:A1017)=5,COUNT(F1006:F1017)=5),cubic_spline(F1005:F1010,A1005:A1010,B$3),IF(AND(COUNT(A1006:A1017)=6,COUNT(F1006:F1017)=6),cubic_spline(F1005:F1011,A1005:A1011,B$3),IF(AND(COUNT(A1006:A1017)=7,COUNT(F1006:F1017)=7),cubic_spline(F1005:F1012,A1005:A1012,B$3),IF(AND(COUNT(A1006:A1017)=8,COUNT(F1006:F1017)=8),cubic_spline(F1005:F1013,A1005:A1013,B$3),IF(AND(COUNT(A1006:A1017)=9,COUNT(F1006:F1017)=9),cubic_spline(F1005:F1014,A1005:A1014,B$3),IF(AND(COUNT(A1006:A1017)=10,COUNT(F1006:F1017)=10),cubic_spline(F1005:F1015,A1005:A1015,B$3),IF(AND(COUNT(A1006:A1017)=11,COUNT(F1006:F1017)=11),cubic_spline(F1005:F1016,A1005:A1016,B$3),IF(AND(COUNT(A1006:A1017)=12,COUNT(F1006:F1017)=12),cubic_spline(F1005:F1017,A1005:A1017,B$3),""))))))))))))</f>
        <v/>
      </c>
      <c r="L1007" s="27" t="str">
        <f>IF(I1007="","",B$2&amp;"-"&amp;B$3)</f>
        <v/>
      </c>
      <c r="M1007" s="52" t="str">
        <f>IF(N(J1007)=0,"",J1007-J1006)</f>
        <v/>
      </c>
    </row>
    <row r="1008" spans="1:13" x14ac:dyDescent="0.35">
      <c r="A1008" s="48"/>
      <c r="B1008" s="48"/>
      <c r="C1008" s="50"/>
      <c r="D1008" s="50"/>
      <c r="E1008" s="51" t="str">
        <f t="shared" si="383"/>
        <v/>
      </c>
      <c r="F1008" s="68" t="str">
        <f t="shared" si="381"/>
        <v/>
      </c>
      <c r="G1008" s="69" t="str">
        <f t="shared" si="384"/>
        <v/>
      </c>
      <c r="H1008" s="70" t="str">
        <f t="shared" si="382"/>
        <v/>
      </c>
      <c r="I1008" s="27" t="str">
        <f>IF(N(J1008)=0,"",0&amp;"-"&amp;B$4)</f>
        <v/>
      </c>
      <c r="J1008" s="52" t="str">
        <f>IF(N(B$4)=0,"",IF(AND(COUNT(H1006:H1017)=2,COUNT(F1006:F1017)=2),cubic_spline(F1005:F1007,H1005:H1007,B$4),IF(AND(COUNT(H1006:H1017)=3,COUNT(F1006:F1017)=3),cubic_spline(F1005:F1008,H1005:H1008,B$4),IF(AND(COUNT(H1006:H1017)=4,COUNT(F1006:F1017)=4),cubic_spline(F1005:F1009,H1005:H1009,B$4),IF(AND(COUNT(H1006:H1017)=5,COUNT(F1006:F1017)=5),cubic_spline(F1005:F1010,H1005:H1010,B$4),IF(AND(COUNT(H1006:H1017)=6,COUNT(F1006:F1017)=6),cubic_spline(F1005:F1011,H1005:H1011,B$4),IF(AND(COUNT(H1006:H1017)=7,COUNT(F1006:F1017)=7),cubic_spline(F1005:F1012,H1005:H1012,B$4),IF(AND(COUNT(H1006:H1017)=8,COUNT(F1006:F1017)=8),cubic_spline(F1005:F1013,H1005:H1013,B$4),IF(AND(COUNT(H1006:H1017)=9,COUNT(F1006:F1017)=9),cubic_spline(F1005:F1014,H1005:H1014,B$4),IF(AND(COUNT(H1006:H1017)=10,COUNT(F1006:F1017)=10),cubic_spline(F1005:F1015,H1005:H1015,B$4),IF(AND(COUNT(H1006:H1017)=11,COUNT(F1006:F1017)=11),cubic_spline(F1005:F1016,H1005:H1016,B$4),IF(AND(COUNT(H1006:H1017)=12,COUNT(F1006:F1017)=12),cubic_spline(F1005:F1017,H1005:H1017,B$4),""))))))))))))</f>
        <v/>
      </c>
      <c r="K1008" s="52" t="str">
        <f>IF(N(B$4)=0,"",IF(AND(COUNT(A1006:A1017)=2,COUNT(F1006:F1017)=2),cubic_spline(F1005:F1007,A1005:A1007,B$4),IF(AND(COUNT(A1006:A1017)=3,COUNT(F1006:F1017)=3),cubic_spline(F1005:F1008,A1005:A1008,B$4),IF(AND(COUNT(A1006:A1017)=4,COUNT(F1006:F1017)=4),cubic_spline(F1005:F1009,A1005:A1009,B$4),IF(AND(COUNT(A1006:A1017)=5,COUNT(F1006:F1017)=5),cubic_spline(F1005:F1010,A1005:A1010,B$4),IF(AND(COUNT(A1006:A1017)=6,COUNT(F1006:F1017)=6),cubic_spline(F1005:F1011,A1005:A1011,B$4),IF(AND(COUNT(A1006:A1017)=7,COUNT(F1006:F1017)=7),cubic_spline(F1005:F1012,A1005:A1012,B$4),IF(AND(COUNT(A1006:A1017)=8,COUNT(F1006:F1017)=8),cubic_spline(F1005:F1013,A1005:A1013,B$4),IF(AND(COUNT(A1006:A1017)=9,COUNT(F1006:F1017)=9),cubic_spline(F1005:F1014,A1005:A1014,B$4),IF(AND(COUNT(A1006:A1017)=10,COUNT(F1006:F1017)=10),cubic_spline(F1005:F1015,A1005:A1015,B$4),IF(AND(COUNT(A1006:A1017)=11,COUNT(F1006:F1017)=11),cubic_spline(F1005:F1016,A1005:A1016,B$4),IF(AND(COUNT(A1006:A1017)=12,COUNT(F1006:F1017)=12),cubic_spline(F1005:F1017,A1005:A1017,B$4),""))))))))))))</f>
        <v/>
      </c>
      <c r="L1008" s="27" t="str">
        <f>IF(I1008="","",B$3&amp;"-"&amp;B$4)</f>
        <v/>
      </c>
      <c r="M1008" s="52" t="str">
        <f>IF(N(J1008)=0,"",J1008-J1007)</f>
        <v/>
      </c>
    </row>
    <row r="1009" spans="1:13" x14ac:dyDescent="0.35">
      <c r="A1009" s="48"/>
      <c r="B1009" s="48"/>
      <c r="C1009" s="50"/>
      <c r="D1009" s="50"/>
      <c r="E1009" s="51" t="str">
        <f t="shared" si="383"/>
        <v/>
      </c>
      <c r="F1009" s="68" t="str">
        <f t="shared" si="381"/>
        <v/>
      </c>
      <c r="G1009" s="69" t="str">
        <f t="shared" si="384"/>
        <v/>
      </c>
      <c r="H1009" s="70" t="str">
        <f t="shared" si="382"/>
        <v/>
      </c>
      <c r="I1009" s="27" t="str">
        <f>IF(N(J1009)=0,"",0&amp;"-"&amp;B$5)</f>
        <v/>
      </c>
      <c r="J1009" s="52" t="str">
        <f>IF(N(B$5)=0,"",IF(AND(COUNT(H1006:H1017)=2,COUNT(F1006:F1017)=2),cubic_spline(F1005:F1007,H1005:H1007,B$5),IF(AND(COUNT(H1006:H1017)=3,COUNT(F1006:F1017)=3),cubic_spline(F1005:F1008,H1005:H1008,B$5),IF(AND(COUNT(H1006:H1017)=4,COUNT(F1006:F1017)=4),cubic_spline(F1005:F1009,H1005:H1009,B$5),IF(AND(COUNT(H1006:H1017)=5,COUNT(F1006:F1017)=5),cubic_spline(F1005:F1010,H1005:H1010,B$5),IF(AND(COUNT(H1006:H1017)=6,COUNT(F1006:F1017)=6),cubic_spline(F1005:F1011,H1005:H1011,B$5),IF(AND(COUNT(H1006:H1017)=7,COUNT(F1006:F1017)=7),cubic_spline(F1005:F1012,H1005:H1012,B$5),IF(AND(COUNT(H1006:H1017)=8,COUNT(F1006:F1017)=8),cubic_spline(F1005:F1013,H1005:H1013,B$5),IF(AND(COUNT(H1006:H1017)=9,COUNT(F1006:F1017)=9),cubic_spline(F1005:F1014,H1005:H1014,B$5),IF(AND(COUNT(H1006:H1017)=10,COUNT(F1006:F1017)=10),cubic_spline(F1005:F1015,H1005:H1015,B$5),IF(AND(COUNT(H1006:H1017)=11,COUNT(F1006:F1017)=11),cubic_spline(F1005:F1016,H1005:H1016,B$5),IF(AND(COUNT(H1006:H1017)=12,COUNT(F1006:F1017)=12),cubic_spline(F1005:F1017,H1005:H1017,B$5),""))))))))))))</f>
        <v/>
      </c>
      <c r="K1009" s="52" t="str">
        <f>IF(N(B$5)=0,"",IF(AND(COUNT(A1006:A1017)=2,COUNT(F1006:F1017)=2),cubic_spline(F1005:F1007,A1005:A1007,B$5),IF(AND(COUNT(A1006:A1017)=3,COUNT(F1006:F1017)=3),cubic_spline(F1005:F1008,A1005:A1008,B$5),IF(AND(COUNT(A1006:A1017)=4,COUNT(F1006:F1017)=4),cubic_spline(F1005:F1009,A1005:A1009,B$5),IF(AND(COUNT(A1006:A1017)=5,COUNT(F1006:F1017)=5),cubic_spline(F1005:F1010,A1005:A1010,B$5),IF(AND(COUNT(A1006:A1017)=6,COUNT(F1006:F1017)=6),cubic_spline(F1005:F1011,A1005:A1011,B$5),IF(AND(COUNT(A1006:A1017)=7,COUNT(F1006:F1017)=7),cubic_spline(F1005:F1012,A1005:A1012,B$5),IF(AND(COUNT(A1006:A1017)=8,COUNT(F1006:F1017)=8),cubic_spline(F1005:F1013,A1005:A1013,B$5),IF(AND(COUNT(A1006:A1017)=9,COUNT(F1006:F1017)=9),cubic_spline(F1005:F1014,A1005:A1014,B$5),IF(AND(COUNT(A1006:A1017)=10,COUNT(F1006:F1017)=10),cubic_spline(F1005:F1015,A1005:A1015,B$5),IF(AND(COUNT(A1006:A1017)=11,COUNT(F1006:F1017)=11),cubic_spline(F1005:F1016,A1005:A1016,B$5),IF(AND(COUNT(A1006:A1017)=12,COUNT(F1006:F1017)=12),cubic_spline(F1005:F1017,A1005:A1017,B$5),""))))))))))))</f>
        <v/>
      </c>
      <c r="L1009" s="27" t="str">
        <f>IF(I1009="","",B$4&amp;"-"&amp;B$5)</f>
        <v/>
      </c>
      <c r="M1009" s="52" t="str">
        <f>IF(N(J1009)=0,"",J1009-J1008)</f>
        <v/>
      </c>
    </row>
    <row r="1010" spans="1:13" x14ac:dyDescent="0.35">
      <c r="A1010" s="48"/>
      <c r="B1010" s="48"/>
      <c r="C1010" s="50"/>
      <c r="D1010" s="50"/>
      <c r="E1010" s="51" t="str">
        <f t="shared" si="383"/>
        <v/>
      </c>
      <c r="F1010" s="71" t="str">
        <f t="shared" si="381"/>
        <v/>
      </c>
      <c r="G1010" s="69" t="str">
        <f t="shared" si="384"/>
        <v/>
      </c>
      <c r="H1010" s="70" t="str">
        <f t="shared" si="382"/>
        <v/>
      </c>
      <c r="I1010" s="27" t="str">
        <f>IF(N(J1010)=0,"",0&amp;"-"&amp;B$6)</f>
        <v/>
      </c>
      <c r="J1010" s="52" t="str">
        <f>IF(N(B$6)=0,"",IF(AND(COUNT(H1006:H1017)=2,COUNT(F1006:F1017)=2),cubic_spline(F1005:F1007,H1005:H1007,B$6),IF(AND(COUNT(H1006:H1017)=3,COUNT(F1006:F1017)=3),cubic_spline(F1005:F1008,H1005:H1008,B$6),IF(AND(COUNT(H1006:H1017)=4,COUNT(F1006:F1017)=4),cubic_spline(F1005:F1009,H1005:H1009,B$6),IF(AND(COUNT(H1006:H1017)=5,COUNT(F1006:F1017)=5),cubic_spline(F1005:F1010,H1005:H1010,B$6),IF(AND(COUNT(H1006:H1017)=6,COUNT(F1006:F1017)=6),cubic_spline(F1005:F1011,H1005:H1011,B$6),IF(AND(COUNT(H1006:H1017)=7,COUNT(F1006:F1017)=7),cubic_spline(F1005:F1012,H1005:H1012,B$6),IF(AND(COUNT(H1006:H1017)=8,COUNT(F1006:F1017)=8),cubic_spline(F1005:F1013,H1005:H1013,B$6),IF(AND(COUNT(H1006:H1017)=9,COUNT(F1006:F1017)=9),cubic_spline(F1005:F1014,H1005:H1014,B$6),IF(AND(COUNT(H1006:H1017)=10,COUNT(F1006:F1017)=10),cubic_spline(F1005:F1015,H1005:H1015,B$6),IF(AND(COUNT(H1006:H1017)=11,COUNT(F1006:F1017)=11),cubic_spline(F1005:F1016,H1005:H1016,B$6),IF(AND(COUNT(H1006:H1017)=12,COUNT(F1006:F1017)=12),cubic_spline(F1005:F1017,H1005:H1017,B$6),""))))))))))))</f>
        <v/>
      </c>
      <c r="K1010" s="52" t="str">
        <f>IF(N(B$6)=0,"",IF(AND(COUNT(A1006:A1017)=2,COUNT(F1006:F1017)=2),cubic_spline(F1005:F1007,A1005:A1007,B$6),IF(AND(COUNT(A1006:A1017)=3,COUNT(F1006:F1017)=3),cubic_spline(F1005:F1008,A1005:A1008,B$6),IF(AND(COUNT(A1006:A1017)=4,COUNT(F1006:F1017)=4),cubic_spline(F1005:F1009,A1005:A1009,B$6),IF(AND(COUNT(A1006:A1017)=5,COUNT(F1006:F1017)=5),cubic_spline(F1005:F1010,A1005:A1010,B$6),IF(AND(COUNT(A1006:A1017)=6,COUNT(F1006:F1017)=6),cubic_spline(F1005:F1011,A1005:A1011,B$6),IF(AND(COUNT(A1006:A1017)=7,COUNT(F1006:F1017)=7),cubic_spline(F1005:F1012,A1005:A1012,B$6),IF(AND(COUNT(A1006:A1017)=8,COUNT(F1006:F1017)=8),cubic_spline(F1005:F1013,A1005:A1013,B$6),IF(AND(COUNT(A1006:A1017)=9,COUNT(F1006:F1017)=9),cubic_spline(F1005:F1014,A1005:A1014,B$6),IF(AND(COUNT(A1006:A1017)=10,COUNT(F1006:F1017)=10),cubic_spline(F1005:F1015,A1005:A1015,B$6),IF(AND(COUNT(A1006:A1017)=11,COUNT(F1006:F1017)=11),cubic_spline(F1005:F1016,A1005:A1016,B$6),IF(AND(COUNT(A1006:A1017)=12,COUNT(F1006:F1017)=12),cubic_spline(F1005:F1017,A1005:A1017,B$6),""))))))))))))</f>
        <v/>
      </c>
      <c r="L1010" s="27" t="str">
        <f>IF(I1010="","",B$5&amp;"-"&amp;B$6)</f>
        <v/>
      </c>
      <c r="M1010" s="52" t="str">
        <f>IF(N(J1010)=0,"",J1010-J1009)</f>
        <v/>
      </c>
    </row>
    <row r="1011" spans="1:13" x14ac:dyDescent="0.35">
      <c r="A1011" s="48"/>
      <c r="B1011" s="48"/>
      <c r="C1011" s="50"/>
      <c r="D1011" s="50"/>
      <c r="E1011" s="51" t="str">
        <f t="shared" si="383"/>
        <v/>
      </c>
      <c r="F1011" s="71" t="str">
        <f t="shared" si="381"/>
        <v/>
      </c>
      <c r="G1011" s="69" t="str">
        <f t="shared" si="384"/>
        <v/>
      </c>
      <c r="H1011" s="70" t="str">
        <f t="shared" si="382"/>
        <v/>
      </c>
      <c r="I1011" s="27" t="str">
        <f>IF(N(J1011)=0,"",0&amp;"-"&amp;B$7)</f>
        <v/>
      </c>
      <c r="J1011" s="52" t="str">
        <f>IF(N(B$7)=0,"",IF(AND(COUNT(H1006:H1017)=2,COUNT(F1006:F1017)=2),cubic_spline(F1005:F1007,H1005:H1007,B$7),IF(AND(COUNT(H1006:H1017)=3,COUNT(F1006:F1017)=3),cubic_spline(F1005:F1008,H1005:H1008,B$7),IF(AND(COUNT(H1006:H1017)=4,COUNT(F1006:F1017)=4),cubic_spline(F1005:F1009,H1005:H1009,B$7),IF(AND(COUNT(H1006:H1017)=5,COUNT(F1006:F1017)=5),cubic_spline(F1005:F1010,H1005:H1010,B$7),IF(AND(COUNT(H1006:H1017)=6,COUNT(F1006:F1017)=6),cubic_spline(F1005:F1011,H1005:H1011,B$7),IF(AND(COUNT(H1006:H1017)=7,COUNT(F1006:F1017)=7),cubic_spline(F1005:F1012,H1005:H1012,B$7),IF(AND(COUNT(H1006:H1017)=8,COUNT(F1006:F1017)=8),cubic_spline(F1005:F1013,H1005:H1013,B$7),IF(AND(COUNT(H1006:H1017)=9,COUNT(F1006:F1017)=9),cubic_spline(F1005:F1014,H1005:H1014,B$7),IF(AND(COUNT(H1006:H1017)=10,COUNT(F1006:F1017)=10),cubic_spline(F1005:F1015,H1005:H1015,B$7),IF(AND(COUNT(H1006:H1017)=11,COUNT(F1006:F1017)=11),cubic_spline(F1005:F1016,H1005:H1016,B$7),IF(AND(COUNT(H1006:H1017)=12,COUNT(F1006:F1017)=12),cubic_spline(F1005:F1017,H1005:H1017,B$7),""))))))))))))</f>
        <v/>
      </c>
      <c r="K1011" s="52" t="str">
        <f>IF(N(B$7)=0,"",IF(AND(COUNT(A1006:A1017)=2,COUNT(F1006:F1017)=2),cubic_spline(F1005:F1007,A1005:A1007,B$7),IF(AND(COUNT(A1006:A1017)=3,COUNT(F1006:F1017)=3),cubic_spline(F1005:F1008,A1005:A1008,B$7),IF(AND(COUNT(A1006:A1017)=4,COUNT(F1006:F1017)=4),cubic_spline(F1005:F1009,A1005:A1009,B$7),IF(AND(COUNT(A1006:A1017)=5,COUNT(F1006:F1017)=5),cubic_spline(F1005:F1010,A1005:A1010,B$7),IF(AND(COUNT(A1006:A1017)=6,COUNT(F1006:F1017)=6),cubic_spline(F1005:F1011,A1005:A1011,B$7),IF(AND(COUNT(A1006:A1017)=7,COUNT(F1006:F1017)=7),cubic_spline(F1005:F1012,A1005:A1012,B$7),IF(AND(COUNT(A1006:A1017)=8,COUNT(F1006:F1017)=8),cubic_spline(F1005:F1013,A1005:A1013,B$7),IF(AND(COUNT(A1006:A1017)=9,COUNT(F1006:F1017)=9),cubic_spline(F1005:F1014,A1005:A1014,B$7),IF(AND(COUNT(A1006:A1017)=10,COUNT(F1006:F1017)=10),cubic_spline(F1005:F1015,A1005:A1015,B$7),IF(AND(COUNT(A1006:A1017)=11,COUNT(F1006:F1017)=11),cubic_spline(F1005:F1016,A1005:A1016,B$7),IF(AND(COUNT(A1006:A1017)=12,COUNT(F1006:F1017)=12),cubic_spline(F1005:F1017,A1005:A1017,B$7),""))))))))))))</f>
        <v/>
      </c>
      <c r="L1011" s="27" t="str">
        <f>IF(I1011="","",B$6&amp;"-"&amp;B$7)</f>
        <v/>
      </c>
      <c r="M1011" s="52" t="str">
        <f t="shared" ref="M1011:M1017" si="385">IF(N(J1011)=0,"",J1011-J1010)</f>
        <v/>
      </c>
    </row>
    <row r="1012" spans="1:13" x14ac:dyDescent="0.35">
      <c r="A1012" s="48"/>
      <c r="B1012" s="48"/>
      <c r="C1012" s="50"/>
      <c r="D1012" s="50"/>
      <c r="E1012" s="51" t="str">
        <f t="shared" si="383"/>
        <v/>
      </c>
      <c r="F1012" s="71" t="str">
        <f t="shared" si="381"/>
        <v/>
      </c>
      <c r="G1012" s="69" t="str">
        <f t="shared" si="384"/>
        <v/>
      </c>
      <c r="H1012" s="70" t="str">
        <f t="shared" si="382"/>
        <v/>
      </c>
      <c r="I1012" s="27" t="str">
        <f>IF(N(J1012)=0,"",0&amp;"-"&amp;B$8)</f>
        <v/>
      </c>
      <c r="J1012" s="52" t="str">
        <f>IF(N(B$8)=0,"",IF(AND(COUNT(H1006:H1017)=2,COUNT(F1006:F1017)=2),cubic_spline(F1005:F1007,H1005:H1007,B$8),IF(AND(COUNT(H1006:H1017)=3,COUNT(F1006:F1017)=3),cubic_spline(F1005:F1008,H1005:H1008,B$8),IF(AND(COUNT(H1006:H1017)=4,COUNT(F1006:F1017)=4),cubic_spline(F1005:F1009,H1005:H1009,B$8),IF(AND(COUNT(H1006:H1017)=5,COUNT(F1006:F1017)=5),cubic_spline(F1005:F1010,H1005:H1010,B$8),IF(AND(COUNT(H1006:H1017)=6,COUNT(F1006:F1017)=6),cubic_spline(F1005:F1011,H1005:H1011,B$8),IF(AND(COUNT(H1006:H1017)=7,COUNT(F1006:F1017)=7),cubic_spline(F1005:F1012,H1005:H1012,B$8),IF(AND(COUNT(H1006:H1017)=8,COUNT(F1006:F1017)=8),cubic_spline(F1005:F1013,H1005:H1013,B$8),IF(AND(COUNT(H1006:H1017)=9,COUNT(F1006:F1017)=9),cubic_spline(F1005:F1014,H1005:H1014,B$8),IF(AND(COUNT(H1006:H1017)=10,COUNT(F1006:F1017)=10),cubic_spline(F1005:F1015,H1005:H1015,B$8),IF(AND(COUNT(H1006:H1017)=11,COUNT(F1006:F1017)=11),cubic_spline(F1005:F1016,H1005:H1016,B$8),IF(AND(COUNT(H1006:H1017)=12,COUNT(F1006:F1017)=12),cubic_spline(F1005:F1017,H1005:H1017,B$8),""))))))))))))</f>
        <v/>
      </c>
      <c r="K1012" s="52" t="str">
        <f>IF(N(B$8)=0,"",IF(AND(COUNT(A1006:A1017)=2,COUNT(F1006:F1017)=2),cubic_spline(F1005:F1007,A1005:A1007,B$8),IF(AND(COUNT(A1006:A1017)=3,COUNT(F1006:F1017)=3),cubic_spline(F1005:F1008,A1005:A1008,B$8),IF(AND(COUNT(A1006:A1017)=4,COUNT(F1006:F1017)=4),cubic_spline(F1005:F1009,A1005:A1009,B$8),IF(AND(COUNT(A1006:A1017)=5,COUNT(F1006:F1017)=5),cubic_spline(F1005:F1010,A1005:A1010,B$8),IF(AND(COUNT(A1006:A1017)=6,COUNT(F1006:F1017)=6),cubic_spline(F1005:F1011,A1005:A1011,B$8),IF(AND(COUNT(A1006:A1017)=7,COUNT(F1006:F1017)=7),cubic_spline(F1005:F1012,A1005:A1012,B$8),IF(AND(COUNT(A1006:A1017)=8,COUNT(F1006:F1017)=8),cubic_spline(F1005:F1013,A1005:A1013,B$8),IF(AND(COUNT(A1006:A1017)=9,COUNT(F1006:F1017)=9),cubic_spline(F1005:F1014,A1005:A1014,B$8),IF(AND(COUNT(A1006:A1017)=10,COUNT(F1006:F1017)=10),cubic_spline(F1005:F1015,A1005:A1015,B$8),IF(AND(COUNT(A1006:A1017)=11,COUNT(F1006:F1017)=11),cubic_spline(F1005:F1016,A1005:A1016,B$8),IF(AND(COUNT(A1006:A1017)=12,COUNT(F1006:F1017)=12),cubic_spline(F1005:F1017,A1005:A1017,B$8),""))))))))))))</f>
        <v/>
      </c>
      <c r="L1012" s="27" t="str">
        <f>IF(I1012="","",B$7&amp;"-"&amp;B$8)</f>
        <v/>
      </c>
      <c r="M1012" s="52" t="str">
        <f t="shared" si="385"/>
        <v/>
      </c>
    </row>
    <row r="1013" spans="1:13" x14ac:dyDescent="0.35">
      <c r="A1013" s="48"/>
      <c r="B1013" s="48"/>
      <c r="C1013" s="50"/>
      <c r="D1013" s="50"/>
      <c r="E1013" s="51" t="str">
        <f t="shared" si="383"/>
        <v/>
      </c>
      <c r="F1013" s="71" t="str">
        <f t="shared" si="381"/>
        <v/>
      </c>
      <c r="G1013" s="69" t="str">
        <f t="shared" si="384"/>
        <v/>
      </c>
      <c r="H1013" s="70" t="str">
        <f t="shared" si="382"/>
        <v/>
      </c>
      <c r="I1013" s="27" t="str">
        <f>IF(N(J1013)=0,"",0&amp;"-"&amp;B$9)</f>
        <v/>
      </c>
      <c r="J1013" s="52" t="str">
        <f>IF(N(B$9)=0,"",IF(AND(COUNT(H1006:H1017)=2,COUNT(F1006:F1017)=2),cubic_spline(F1005:F1007,H1005:H1007,B$9),IF(AND(COUNT(H1006:H1017)=3,COUNT(F1006:F1017)=3),cubic_spline(F1005:F1008,H1005:H1008,B$9),IF(AND(COUNT(H1006:H1017)=4,COUNT(F1006:F1017)=4),cubic_spline(F1005:F1009,H1005:H1009,B$9),IF(AND(COUNT(H1006:H1017)=5,COUNT(F1006:F1017)=5),cubic_spline(F1005:F1010,H1005:H1010,B$9),IF(AND(COUNT(H1006:H1017)=6,COUNT(F1006:F1017)=6),cubic_spline(F1005:F1011,H1005:H1011,B$9),IF(AND(COUNT(H1006:H1017)=7,COUNT(F1006:F1017)=7),cubic_spline(F1005:F1012,H1005:H1012,B$9),IF(AND(COUNT(H1006:H1017)=8,COUNT(F1006:F1017)=8),cubic_spline(F1005:F1013,H1005:H1013,B$9),IF(AND(COUNT(H1006:H1017)=9,COUNT(F1006:F1017)=9),cubic_spline(F1005:F1014,H1005:H1014,B$9),IF(AND(COUNT(H1006:H1017)=10,COUNT(F1006:F1017)=10),cubic_spline(F1005:F1015,H1005:H1015,B$9),IF(AND(COUNT(H1006:H1017)=11,COUNT(F1006:F1017)=11),cubic_spline(F1005:F1016,H1005:H1016,B$9),IF(AND(COUNT(H1006:H1017)=12,COUNT(F1006:F1017)=12),cubic_spline(F1005:F1017,H1005:H1017,B$9),""))))))))))))</f>
        <v/>
      </c>
      <c r="K1013" s="52" t="str">
        <f>IF(N(B$9)=0,"",IF(AND(COUNT(A1006:A1017)=2,COUNT(F1006:F1017)=2),cubic_spline(F1005:F1007,A1005:A1007,B$9),IF(AND(COUNT(A1006:A1017)=3,COUNT(F1006:F1017)=3),cubic_spline(F1005:F1008,A1005:A1008,B$9),IF(AND(COUNT(A1006:A1017)=4,COUNT(F1006:F1017)=4),cubic_spline(F1005:F1009,A1005:A1009,B$9),IF(AND(COUNT(A1006:A1017)=5,COUNT(F1006:F1017)=5),cubic_spline(F1005:F1010,A1005:A1010,B$9),IF(AND(COUNT(A1006:A1017)=6,COUNT(F1006:F1017)=6),cubic_spline(F1005:F1011,A1005:A1011,B$9),IF(AND(COUNT(A1006:A1017)=7,COUNT(F1006:F1017)=7),cubic_spline(F1005:F1012,A1005:A1012,B$9),IF(AND(COUNT(A1006:A1017)=8,COUNT(F1006:F1017)=8),cubic_spline(F1005:F1013,A1005:A1013,B$9),IF(AND(COUNT(A1006:A1017)=9,COUNT(F1006:F1017)=9),cubic_spline(F1005:F1014,A1005:A1014,B$9),IF(AND(COUNT(A1006:A1017)=10,COUNT(F1006:F1017)=10),cubic_spline(F1005:F1015,A1005:A1015,B$9),IF(AND(COUNT(A1006:A1017)=11,COUNT(F1006:F1017)=11),cubic_spline(F1005:F1016,A1005:A1016,B$9),IF(AND(COUNT(A1006:A1017)=12,COUNT(F1006:F1017)=12),cubic_spline(F1005:F1017,A1005:A1017,B$9),""))))))))))))</f>
        <v/>
      </c>
      <c r="L1013" s="27" t="str">
        <f>IF(I1013="","",B$8&amp;"-"&amp;B$9)</f>
        <v/>
      </c>
      <c r="M1013" s="52" t="str">
        <f t="shared" si="385"/>
        <v/>
      </c>
    </row>
    <row r="1014" spans="1:13" x14ac:dyDescent="0.35">
      <c r="A1014" s="48"/>
      <c r="B1014" s="48"/>
      <c r="C1014" s="50"/>
      <c r="D1014" s="50"/>
      <c r="E1014" s="51" t="str">
        <f t="shared" si="383"/>
        <v/>
      </c>
      <c r="F1014" s="71" t="str">
        <f t="shared" si="381"/>
        <v/>
      </c>
      <c r="G1014" s="69" t="str">
        <f t="shared" si="384"/>
        <v/>
      </c>
      <c r="H1014" s="70" t="str">
        <f t="shared" si="382"/>
        <v/>
      </c>
      <c r="I1014" s="27" t="str">
        <f>IF(N(J1014)=0,"",0&amp;"-"&amp;B$10)</f>
        <v/>
      </c>
      <c r="J1014" s="52" t="str">
        <f>IF(N(B$10)=0,"",IF(AND(COUNT(H1006:H1017)=2,COUNT(F1006:F1017)=2),cubic_spline(F1005:F1007,H1005:H1007,B$10),IF(AND(COUNT(H1006:H1017)=3,COUNT(F1006:F1017)=3),cubic_spline(F1005:F1008,H1005:H1008,B$10),IF(AND(COUNT(H1006:H1017)=4,COUNT(F1006:F1017)=4),cubic_spline(F1005:F1009,H1005:H1009,B$10),IF(AND(COUNT(H1006:H1017)=5,COUNT(F1006:F1017)=5),cubic_spline(F1005:F1010,H1005:H1010,B$10),IF(AND(COUNT(H1006:H1017)=6,COUNT(F1006:F1017)=6),cubic_spline(F1005:F1011,H1005:H1011,B$10),IF(AND(COUNT(H1006:H1017)=7,COUNT(F1006:F1017)=7),cubic_spline(F1005:F1012,H1005:H1012,B$10),IF(AND(COUNT(H1006:H1017)=8,COUNT(F1006:F1017)=8),cubic_spline(F1005:F1013,H1005:H1013,B$10),IF(AND(COUNT(H1006:H1017)=9,COUNT(F1006:F1017)=9),cubic_spline(F1005:F1014,H1005:H1014,B$10),IF(AND(COUNT(H1006:H1017)=10,COUNT(F1006:F1017)=10),cubic_spline(F1005:F1015,H1005:H1015,B$10),IF(AND(COUNT(H1006:H1017)=11,COUNT(F1006:F1017)=11),cubic_spline(F1005:F1016,H1005:H1016,B$10),IF(AND(COUNT(H1006:H1017)=12,COUNT(F1006:F1017)=12),cubic_spline(F1005:F1017,H1005:H1017,B$10),""))))))))))))</f>
        <v/>
      </c>
      <c r="K1014" s="52" t="str">
        <f>IF(N(B$10)=0,"",IF(AND(COUNT(A1006:A1017)=2,COUNT(F1006:F1017)=2),cubic_spline(F1005:F1007,A1005:A1007,B$10),IF(AND(COUNT(A1006:A1017)=3,COUNT(F1006:F1017)=3),cubic_spline(F1005:F1008,A1005:A1008,B$10),IF(AND(COUNT(A1006:A1017)=4,COUNT(F1006:F1017)=4),cubic_spline(F1005:F1009,A1005:A1009,B$10),IF(AND(COUNT(A1006:A1017)=5,COUNT(F1006:F1017)=5),cubic_spline(F1005:F1010,A1005:A1010,B$10),IF(AND(COUNT(A1006:A1017)=6,COUNT(F1006:F1017)=6),cubic_spline(F1005:F1011,A1005:A1011,B$10),IF(AND(COUNT(A1006:A1017)=7,COUNT(F1006:F1017)=7),cubic_spline(F1005:F1012,A1005:A1012,B$10),IF(AND(COUNT(A1006:A1017)=8,COUNT(F1006:F1017)=8),cubic_spline(F1005:F1013,A1005:A1013,B$10),IF(AND(COUNT(A1006:A1017)=9,COUNT(F1006:F1017)=9),cubic_spline(F1005:F1014,A1005:A1014,B$10),IF(AND(COUNT(A1006:A1017)=10,COUNT(F1006:F1017)=10),cubic_spline(F1005:F1015,A1005:A1015,B$10),IF(AND(COUNT(A1006:A1017)=11,COUNT(F1006:F1017)=11),cubic_spline(F1005:F1016,A1005:A1016,B$10),IF(AND(COUNT(A1006:A1017)=12,COUNT(F1006:F1017)=12),cubic_spline(F1005:F1017,A1005:A1017,B$10),""))))))))))))</f>
        <v/>
      </c>
      <c r="L1014" s="27" t="str">
        <f>IF(I1014="","",B$9&amp;"-"&amp;B$10)</f>
        <v/>
      </c>
      <c r="M1014" s="52" t="str">
        <f t="shared" si="385"/>
        <v/>
      </c>
    </row>
    <row r="1015" spans="1:13" x14ac:dyDescent="0.35">
      <c r="A1015" s="48"/>
      <c r="B1015" s="48"/>
      <c r="C1015" s="50"/>
      <c r="D1015" s="50"/>
      <c r="E1015" s="51" t="str">
        <f t="shared" si="383"/>
        <v/>
      </c>
      <c r="F1015" s="71" t="str">
        <f t="shared" si="381"/>
        <v/>
      </c>
      <c r="G1015" s="69" t="str">
        <f t="shared" si="384"/>
        <v/>
      </c>
      <c r="H1015" s="70" t="str">
        <f t="shared" si="382"/>
        <v/>
      </c>
      <c r="I1015" s="27" t="str">
        <f>IF(N(J1015)=0,"",0&amp;"-"&amp;B$11)</f>
        <v/>
      </c>
      <c r="J1015" s="52" t="str">
        <f>IF(N(B$11)=0,"",IF(AND(COUNT(H1006:H1017)=2,COUNT(F1006:F1017)=2),cubic_spline(F1005:F1007,H1005:H1007,B$11),IF(AND(COUNT(H1006:H1017)=3,COUNT(F1006:F1017)=3),cubic_spline(F1005:F1008,H1005:H1008,B$11),IF(AND(COUNT(H1006:H1017)=4,COUNT(F1006:F1017)=4),cubic_spline(F1005:F1009,H1005:H1009,B$11),IF(AND(COUNT(H1006:H1017)=5,COUNT(F1006:F1017)=5),cubic_spline(F1005:F1010,H1005:H1010,B$11),IF(AND(COUNT(H1006:H1017)=6,COUNT(F1006:F1017)=6),cubic_spline(F1005:F1011,H1005:H1011,B$11),IF(AND(COUNT(H1006:H1017)=7,COUNT(F1006:F1017)=7),cubic_spline(F1005:F1012,H1005:H1012,B$11),IF(AND(COUNT(H1006:H1017)=8,COUNT(F1006:F1017)=8),cubic_spline(F1005:F1013,H1005:H1013,B$11),IF(AND(COUNT(H1006:H1017)=9,COUNT(F1006:F1017)=9),cubic_spline(F1005:F1014,H1005:H1014,B$11),IF(AND(COUNT(H1006:H1017)=10,COUNT(F1006:F1017)=10),cubic_spline(F1005:F1015,H1005:H1015,B$11),IF(AND(COUNT(H1006:H1017)=11,COUNT(F1006:F1017)=11),cubic_spline(F1005:F1016,H1005:H1016,B$11),IF(AND(COUNT(H1006:H1017)=12,COUNT(F1006:F1017)=12),cubic_spline(F1005:F1017,H1005:H1017,B$11),""))))))))))))</f>
        <v/>
      </c>
      <c r="K1015" s="52" t="str">
        <f>IF(N(B$11)=0,"",IF(AND(COUNT(A1006:A1017)=2,COUNT(F1006:F1017)=2),cubic_spline(F1005:F1007,A1005:A1007,B$11),IF(AND(COUNT(A1006:A1017)=3,COUNT(F1006:F1017)=3),cubic_spline(F1005:F1008,A1005:A1008,B$11),IF(AND(COUNT(A1006:A1017)=4,COUNT(F1006:F1017)=4),cubic_spline(F1005:F1009,A1005:A1009,B$11),IF(AND(COUNT(A1006:A1017)=5,COUNT(F1006:F1017)=5),cubic_spline(F1005:F1010,A1005:A1010,B$11),IF(AND(COUNT(A1006:A1017)=6,COUNT(F1006:F1017)=6),cubic_spline(F1005:F1011,A1005:A1011,B$11),IF(AND(COUNT(A1006:A1017)=7,COUNT(F1006:F1017)=7),cubic_spline(F1005:F1012,A1005:A1012,B$11),IF(AND(COUNT(A1006:A1017)=8,COUNT(F1006:F1017)=8),cubic_spline(F1005:F1013,A1005:A1013,B$11),IF(AND(COUNT(A1006:A1017)=9,COUNT(F1006:F1017)=9),cubic_spline(F1005:F1014,A1005:A1014,B$11),IF(AND(COUNT(A1006:A1017)=10,COUNT(F1006:F1017)=10),cubic_spline(F1005:F1015,A1005:A1015,B$11),IF(AND(COUNT(A1006:A1017)=11,COUNT(F1006:F1017)=11),cubic_spline(F1005:F1016,A1005:A1016,B$11),IF(AND(COUNT(A1006:A1017)=12,COUNT(F1006:F1017)=12),cubic_spline(F1005:F1017,A1005:A1017,B$11),""))))))))))))</f>
        <v/>
      </c>
      <c r="L1015" s="27" t="str">
        <f>IF(I1015="","",B$10&amp;"-"&amp;B$11)</f>
        <v/>
      </c>
      <c r="M1015" s="52" t="str">
        <f t="shared" si="385"/>
        <v/>
      </c>
    </row>
    <row r="1016" spans="1:13" x14ac:dyDescent="0.35">
      <c r="A1016" s="48"/>
      <c r="B1016" s="48"/>
      <c r="C1016" s="50"/>
      <c r="D1016" s="50"/>
      <c r="E1016" s="51" t="str">
        <f t="shared" si="383"/>
        <v/>
      </c>
      <c r="F1016" s="71" t="str">
        <f t="shared" si="381"/>
        <v/>
      </c>
      <c r="G1016" s="69" t="str">
        <f t="shared" si="384"/>
        <v/>
      </c>
      <c r="H1016" s="70" t="str">
        <f t="shared" si="382"/>
        <v/>
      </c>
      <c r="I1016" s="27" t="str">
        <f>IF(N(J1016)=0,"",0&amp;"-"&amp;B$12)</f>
        <v/>
      </c>
      <c r="J1016" s="52" t="str">
        <f>IF(N(B$12)=0,"",IF(AND(COUNT(H1006:H1017)=2,COUNT(F1006:F1017)=2),cubic_spline(F1005:F1007,H1005:H1007,B$12),IF(AND(COUNT(H1006:H1017)=3,COUNT(F1006:F1017)=3),cubic_spline(F1005:F1008,H1005:H1008,B$12),IF(AND(COUNT(H1006:H1017)=4,COUNT(F1006:F1017)=4),cubic_spline(F1005:F1009,H1005:H1009,B$12),IF(AND(COUNT(H1006:H1017)=5,COUNT(F1006:F1017)=5),cubic_spline(F1005:F1010,H1005:H1010,B$12),IF(AND(COUNT(H1006:H1017)=6,COUNT(F1006:F1017)=6),cubic_spline(F1005:F1011,H1005:H1011,B$12),IF(AND(COUNT(H1006:H1017)=7,COUNT(F1006:F1017)=7),cubic_spline(F1005:F1012,H1005:H1012,B$12),IF(AND(COUNT(H1006:H1017)=8,COUNT(F1006:F1017)=8),cubic_spline(F1005:F1013,H1005:H1013,B$12),IF(AND(COUNT(H1006:H1017)=9,COUNT(F1006:F1017)=9),cubic_spline(F1005:F1014,H1005:H1014,B$12),IF(AND(COUNT(H1006:H1017)=10,COUNT(F1006:F1017)=10),cubic_spline(F1005:F1015,H1005:H1015,B$12),IF(AND(COUNT(H1006:H1017)=11,COUNT(F1006:F1017)=11),cubic_spline(F1005:F1016,H1005:H1016,B$12),IF(AND(COUNT(H1006:H1017)=12,COUNT(F1006:F1017)=12),cubic_spline(F1005:F1017,H1005:H1017,B$12),""))))))))))))</f>
        <v/>
      </c>
      <c r="K1016" s="52" t="str">
        <f>IF(N(B$12)=0,"",IF(AND(COUNT(A1006:A1017)=2,COUNT(F1006:F1017)=2),cubic_spline(F1005:F1007,A1005:A1007,B$12),IF(AND(COUNT(A1006:A1017)=3,COUNT(F1006:F1017)=3),cubic_spline(F1005:F1008,A1005:A1008,B$12),IF(AND(COUNT(A1006:A1017)=4,COUNT(F1006:F1017)=4),cubic_spline(F1005:F1009,A1005:A1009,B$12),IF(AND(COUNT(A1006:A1017)=5,COUNT(F1006:F1017)=5),cubic_spline(F1005:F1010,A1005:A1010,B$12),IF(AND(COUNT(A1006:A1017)=6,COUNT(F1006:F1017)=6),cubic_spline(F1005:F1011,A1005:A1011,B$12),IF(AND(COUNT(A1006:A1017)=7,COUNT(F1006:F1017)=7),cubic_spline(F1005:F1012,A1005:A1012,B$12),IF(AND(COUNT(A1006:A1017)=8,COUNT(F1006:F1017)=8),cubic_spline(F1005:F1013,A1005:A1013,B$12),IF(AND(COUNT(A1006:A1017)=9,COUNT(F1006:F1017)=9),cubic_spline(F1005:F1014,A1005:A1014,B$12),IF(AND(COUNT(A1006:A1017)=10,COUNT(F1006:F1017)=10),cubic_spline(F1005:F1015,A1005:A1015,B$12),IF(AND(COUNT(A1006:A1017)=11,COUNT(F1006:F1017)=11),cubic_spline(F1005:F1016,A1005:A1016,B$12),IF(AND(COUNT(A1006:A1017)=12,COUNT(F1006:F1017)=12),cubic_spline(F1005:F1017,A1005:A1017,B$12),""))))))))))))</f>
        <v/>
      </c>
      <c r="L1016" s="27" t="str">
        <f>IF(I1016="","",B$11&amp;"-"&amp;B$12)</f>
        <v/>
      </c>
      <c r="M1016" s="52" t="str">
        <f t="shared" si="385"/>
        <v/>
      </c>
    </row>
    <row r="1017" spans="1:13" x14ac:dyDescent="0.35">
      <c r="A1017" s="48"/>
      <c r="B1017" s="48"/>
      <c r="C1017" s="50"/>
      <c r="D1017" s="50"/>
      <c r="E1017" s="51" t="str">
        <f t="shared" si="383"/>
        <v/>
      </c>
      <c r="F1017" s="71" t="str">
        <f t="shared" si="381"/>
        <v/>
      </c>
      <c r="G1017" s="69" t="str">
        <f t="shared" si="384"/>
        <v/>
      </c>
      <c r="H1017" s="70" t="str">
        <f t="shared" si="382"/>
        <v/>
      </c>
      <c r="I1017" s="27" t="str">
        <f>IF(N(J1017)=0,"",0&amp;"-"&amp;B$13)</f>
        <v/>
      </c>
      <c r="J1017" s="52" t="str">
        <f>IF(N(B$13)=0,"",IF(AND(COUNT(H1006:H1017)=2,COUNT(F1006:F1017)=2),cubic_spline(F1005:F1007,H1005:H1007,B$13),IF(AND(COUNT(H1006:H1017)=3,COUNT(F1006:F1017)=3),cubic_spline(F1005:F1008,H1005:H1008,B$13),IF(AND(COUNT(H1006:H1017)=4,COUNT(F1006:F1017)=4),cubic_spline(F1005:F1009,H1005:H1009,B$13),IF(AND(COUNT(H1006:H1017)=5,COUNT(F1006:F1017)=5),cubic_spline(F1005:F1010,H1005:H1010,B$13),IF(AND(COUNT(H1006:H1017)=6,COUNT(F1006:F1017)=6),cubic_spline(F1005:F1011,H1005:H1011,B$13),IF(AND(COUNT(H1006:H1017)=7,COUNT(F1006:F1017)=7),cubic_spline(F1005:F1012,H1005:H1012,B$13),IF(AND(COUNT(H1006:H1017)=8,COUNT(F1006:F1017)=8),cubic_spline(F1005:F1013,H1005:H1013,B$13),IF(AND(COUNT(H1006:H1017)=9,COUNT(F1006:F1017)=9),cubic_spline(F1005:F1014,H1005:H1014,B$13),IF(AND(COUNT(H1006:H1017)=10,COUNT(F1006:F1017)=10),cubic_spline(F1005:F1015,H1005:H1015,B$13),IF(AND(COUNT(H1006:H1017)=11,COUNT(F1006:F1017)=11),cubic_spline(F1005:F1016,H1005:H1016,B$13),IF(AND(COUNT(H1006:H1017)=12,COUNT(F1006:F1017)=12),cubic_spline(F1005:F1017,H1005:H1017,B$13),""))))))))))))</f>
        <v/>
      </c>
      <c r="K1017" s="52" t="str">
        <f>IF(N(B$13)=0,"",IF(AND(COUNT(A1006:A1017)=2,COUNT(F1006:F1017)=2),cubic_spline(F1005:F1007,A1005:A1007,B$13),IF(AND(COUNT(A1006:A1017)=3,COUNT(F1006:F1017)=3),cubic_spline(F1005:F1008,A1005:A1008,B$13),IF(AND(COUNT(A1006:A1017)=4,COUNT(F1006:F1017)=4),cubic_spline(F1005:F1009,A1005:A1009,B$13),IF(AND(COUNT(A1006:A1017)=5,COUNT(F1006:F1017)=5),cubic_spline(F1005:F1010,A1005:A1010,B$13),IF(AND(COUNT(A1006:A1017)=6,COUNT(F1006:F1017)=6),cubic_spline(F1005:F1011,A1005:A1011,B$13),IF(AND(COUNT(A1006:A1017)=7,COUNT(F1006:F1017)=7),cubic_spline(F1005:F1012,A1005:A1012,B$13),IF(AND(COUNT(A1006:A1017)=8,COUNT(F1006:F1017)=8),cubic_spline(F1005:F1013,A1005:A1013,B$13),IF(AND(COUNT(A1006:A1017)=9,COUNT(F1006:F1017)=9),cubic_spline(F1005:F1014,A1005:A1014,B$13),IF(AND(COUNT(A1006:A1017)=10,COUNT(F1006:F1017)=10),cubic_spline(F1005:F1015,A1005:A1015,B$13),IF(AND(COUNT(A1006:A1017)=11,COUNT(F1006:F1017)=11),cubic_spline(F1005:F1016,A1005:A1016,B$13),IF(AND(COUNT(A1006:A1017)=12,COUNT(F1006:F1017)=12),cubic_spline(F1005:F1017,A1005:A1017,B$13),""))))))))))))</f>
        <v/>
      </c>
      <c r="L1017" s="27" t="str">
        <f>IF(I1017="","",B$12&amp;"-"&amp;B$13)</f>
        <v/>
      </c>
      <c r="M1017" s="52" t="str">
        <f t="shared" si="385"/>
        <v/>
      </c>
    </row>
    <row r="1018" spans="1:13" ht="5.15" customHeight="1" x14ac:dyDescent="0.35">
      <c r="A1018" s="47"/>
      <c r="B1018" s="47"/>
      <c r="C1018" s="53"/>
      <c r="D1018" s="53"/>
      <c r="E1018" s="54"/>
      <c r="F1018" s="55"/>
      <c r="G1018" s="72"/>
      <c r="H1018" s="73"/>
      <c r="I1018" s="47"/>
      <c r="J1018" s="57"/>
      <c r="K1018" s="57"/>
      <c r="L1018" s="55"/>
      <c r="M1018" s="57"/>
    </row>
    <row r="1019" spans="1:13" x14ac:dyDescent="0.35">
      <c r="A1019" s="48"/>
      <c r="B1019" s="48"/>
      <c r="C1019" s="50"/>
      <c r="D1019" s="50"/>
      <c r="E1019" s="51" t="str">
        <f>IF(N(C1019)=0,"",(A1019-A1018)*C1019*100)</f>
        <v/>
      </c>
      <c r="F1019" s="68" t="str">
        <f t="shared" ref="F1019:F1030" si="386">IF(N(E1019)=0,"",(N(E1019)+N(F1018)))</f>
        <v/>
      </c>
      <c r="G1019" s="69" t="str">
        <f>IF(OR(N(D1019)=0,N(E1019)=0),"",(E1019*D1019)/1000)</f>
        <v/>
      </c>
      <c r="H1019" s="70" t="str">
        <f t="shared" ref="H1019:H1030" si="387">IF(N(G1019)=0,"",(N(G1019)+N(H1018)))</f>
        <v/>
      </c>
      <c r="I1019" s="27" t="str">
        <f>IF(N(J1019)=0,"",0&amp;"-"&amp;B$2)</f>
        <v/>
      </c>
      <c r="J1019" s="52" t="str">
        <f>IF(N(B$2)=0,"",IF(AND(COUNT(H1019:H1030)=2,COUNT(F1019:F1030)=2),cubic_spline(F1018:F1020,H1018:H1020,B$2),IF(AND(COUNT(H1019:H1030)=3,COUNT(F1019:F1030)=3),cubic_spline(F1018:F1021,H1018:H1021,B$2),IF(AND(COUNT(H1019:H1030)=4,COUNT(F1019:F1030)=4),cubic_spline(F1018:F1022,H1018:H1022,B$2),IF(AND(COUNT(H1019:H1030)=5,COUNT(F1019:F1030)=5),cubic_spline(F1018:F1023,H1018:H1023,B$2),IF(AND(COUNT(H1019:H1030)=6,COUNT(F1019:F1030)=6),cubic_spline(F1018:F1024,H1018:H1024,B$2),IF(AND(COUNT(H1019:H1030)=7,COUNT(F1019:F1030)=7),cubic_spline(F1018:F1025,H1018:H1025,B$2),IF(AND(COUNT(H1019:H1030)=8,COUNT(F1019:F1030)=8),cubic_spline(F1018:F1026,H1018:H1026,B$2),IF(AND(COUNT(H1019:H1030)=9,COUNT(F1019:F1030)=9),cubic_spline(F1018:F1027,H1018:H1027,B$2),IF(AND(COUNT(H1019:H1030)=10,COUNT(F1019:F1030)=10),cubic_spline(F1018:F1028,H1018:H1028,B$2),IF(AND(COUNT(H1019:H1030)=11,COUNT(F1019:F1030)=11),cubic_spline(F1018:F1029,H1018:H1029,B$2),IF(AND(COUNT(H1019:H1030)=12,COUNT(F1019:F1030)=12),cubic_spline(F1018:F1030,H1018:H1030,B$2),""))))))))))))</f>
        <v/>
      </c>
      <c r="K1019" s="52" t="str">
        <f>IF(N(B$2)=0,"",IF(AND(COUNT(A1019:A1030)=2,COUNT(F1019:F1030)=2),cubic_spline(F1018:F1020,A1018:A1020,B$2),IF(AND(COUNT(A1019:A1030)=3,COUNT(F1019:F1030)=3),cubic_spline(F1018:F1021,A1018:A1021,B$2),IF(AND(COUNT(A1019:A1030)=4,COUNT(F1019:F1030)=4),cubic_spline(F1018:F1022,A1018:A1022,B$2),IF(AND(COUNT(A1019:A1030)=5,COUNT(F1019:F1030)=5),cubic_spline(F1018:F1023,A1018:A1023,B$2),IF(AND(COUNT(A1019:A1030)=6,COUNT(F1019:F1030)=6),cubic_spline(F1018:F1024,A1018:A1024,B$2),IF(AND(COUNT(A1019:A1030)=7,COUNT(F1019:F1030)=7),cubic_spline(F1018:F1025,A1018:A1025,B$2),IF(AND(COUNT(A1019:A1030)=8,COUNT(F1019:F1030)=8),cubic_spline(F1018:F1026,A1018:A1026,B$2),IF(AND(COUNT(A1019:A1030)=9,COUNT(F1019:F1030)=9),cubic_spline(F1018:F1027,A1018:A1027,B$2),IF(AND(COUNT(A1019:A1030)=10,COUNT(F1019:F1030)=10),cubic_spline(F1018:F1028,A1018:A1028,B$2),IF(AND(COUNT(A1019:A1030)=11,COUNT(F1019:F1030)=11),cubic_spline(F1018:F1029,A1018:A1029,B$2),IF(AND(COUNT(A1019:A1030)=12,COUNT(F1019:F1030)=12),cubic_spline(F1018:F1030,A1018:A1030,B$2),""))))))))))))</f>
        <v/>
      </c>
      <c r="L1019" s="27" t="str">
        <f>IF(I1019="","",0&amp;"-"&amp;B$2)</f>
        <v/>
      </c>
      <c r="M1019" s="52" t="str">
        <f>IF(N(J1019)=0,"",J1019-J1018)</f>
        <v/>
      </c>
    </row>
    <row r="1020" spans="1:13" x14ac:dyDescent="0.35">
      <c r="A1020" s="48"/>
      <c r="B1020" s="48"/>
      <c r="C1020" s="50"/>
      <c r="D1020" s="50"/>
      <c r="E1020" s="51" t="str">
        <f t="shared" ref="E1020:E1030" si="388">IF(N(C1020)=0,"",(A1020-A1019)*C1020*100)</f>
        <v/>
      </c>
      <c r="F1020" s="68" t="str">
        <f t="shared" si="386"/>
        <v/>
      </c>
      <c r="G1020" s="69" t="str">
        <f t="shared" ref="G1020:G1030" si="389">IF(OR(N(D1020)=0,N(E1020)=0),"",(E1020*D1020)/1000)</f>
        <v/>
      </c>
      <c r="H1020" s="70" t="str">
        <f t="shared" si="387"/>
        <v/>
      </c>
      <c r="I1020" s="27" t="str">
        <f>IF(N(J1020)=0,"",0&amp;"-"&amp;B$3)</f>
        <v/>
      </c>
      <c r="J1020" s="52" t="str">
        <f>IF(N(B$3)=0,"",IF(AND(COUNT(H1019:H1030)=2,COUNT(F1019:F1030)=2),cubic_spline(F1018:F1020,H1018:H1020,B$3),IF(AND(COUNT(H1019:H1030)=3,COUNT(F1019:F1030)=3),cubic_spline(F1018:F1021,H1018:H1021,B$3),IF(AND(COUNT(H1019:H1030)=4,COUNT(F1019:F1030)=4),cubic_spline(F1018:F1022,H1018:H1022,B$3),IF(AND(COUNT(H1019:H1030)=5,COUNT(F1019:F1030)=5),cubic_spline(F1018:F1023,H1018:H1023,B$3),IF(AND(COUNT(H1019:H1030)=6,COUNT(F1019:F1030)=6),cubic_spline(F1018:F1024,H1018:H1024,B$3),IF(AND(COUNT(H1019:H1030)=7,COUNT(F1019:F1030)=7),cubic_spline(F1018:F1025,H1018:H1025,B$3),IF(AND(COUNT(H1019:H1030)=8,COUNT(F1019:F1030)=8),cubic_spline(F1018:F1026,H1018:H1026,B$3),IF(AND(COUNT(H1019:H1030)=9,COUNT(F1019:F1030)=9),cubic_spline(F1018:F1027,H1018:H1027,B$3),IF(AND(COUNT(H1019:H1030)=10,COUNT(F1019:F1030)=10),cubic_spline(F1018:F1028,H1018:H1028,B$3),IF(AND(COUNT(H1019:H1030)=11,COUNT(F1019:F1030)=11),cubic_spline(F1018:F1029,H1018:H1029,B$3),IF(AND(COUNT(H1019:H1030)=12,COUNT(F1019:F1030)=12),cubic_spline(F1018:F1030,H1018:H1030,B$3),""))))))))))))</f>
        <v/>
      </c>
      <c r="K1020" s="52" t="str">
        <f>IF(N(B$3)=0,"",IF(AND(COUNT(A1019:A1030)=2,COUNT(F1019:F1030)=2),cubic_spline(F1018:F1020,A1018:A1020,B$3),IF(AND(COUNT(A1019:A1030)=3,COUNT(F1019:F1030)=3),cubic_spline(F1018:F1021,A1018:A1021,B$3),IF(AND(COUNT(A1019:A1030)=4,COUNT(F1019:F1030)=4),cubic_spline(F1018:F1022,A1018:A1022,B$3),IF(AND(COUNT(A1019:A1030)=5,COUNT(F1019:F1030)=5),cubic_spline(F1018:F1023,A1018:A1023,B$3),IF(AND(COUNT(A1019:A1030)=6,COUNT(F1019:F1030)=6),cubic_spline(F1018:F1024,A1018:A1024,B$3),IF(AND(COUNT(A1019:A1030)=7,COUNT(F1019:F1030)=7),cubic_spline(F1018:F1025,A1018:A1025,B$3),IF(AND(COUNT(A1019:A1030)=8,COUNT(F1019:F1030)=8),cubic_spline(F1018:F1026,A1018:A1026,B$3),IF(AND(COUNT(A1019:A1030)=9,COUNT(F1019:F1030)=9),cubic_spline(F1018:F1027,A1018:A1027,B$3),IF(AND(COUNT(A1019:A1030)=10,COUNT(F1019:F1030)=10),cubic_spline(F1018:F1028,A1018:A1028,B$3),IF(AND(COUNT(A1019:A1030)=11,COUNT(F1019:F1030)=11),cubic_spline(F1018:F1029,A1018:A1029,B$3),IF(AND(COUNT(A1019:A1030)=12,COUNT(F1019:F1030)=12),cubic_spline(F1018:F1030,A1018:A1030,B$3),""))))))))))))</f>
        <v/>
      </c>
      <c r="L1020" s="27" t="str">
        <f>IF(I1020="","",B$2&amp;"-"&amp;B$3)</f>
        <v/>
      </c>
      <c r="M1020" s="52" t="str">
        <f>IF(N(J1020)=0,"",J1020-J1019)</f>
        <v/>
      </c>
    </row>
    <row r="1021" spans="1:13" x14ac:dyDescent="0.35">
      <c r="A1021" s="48"/>
      <c r="B1021" s="48"/>
      <c r="C1021" s="50"/>
      <c r="D1021" s="50"/>
      <c r="E1021" s="51" t="str">
        <f t="shared" si="388"/>
        <v/>
      </c>
      <c r="F1021" s="68" t="str">
        <f t="shared" si="386"/>
        <v/>
      </c>
      <c r="G1021" s="69" t="str">
        <f t="shared" si="389"/>
        <v/>
      </c>
      <c r="H1021" s="70" t="str">
        <f t="shared" si="387"/>
        <v/>
      </c>
      <c r="I1021" s="27" t="str">
        <f>IF(N(J1021)=0,"",0&amp;"-"&amp;B$4)</f>
        <v/>
      </c>
      <c r="J1021" s="52" t="str">
        <f>IF(N(B$4)=0,"",IF(AND(COUNT(H1019:H1030)=2,COUNT(F1019:F1030)=2),cubic_spline(F1018:F1020,H1018:H1020,B$4),IF(AND(COUNT(H1019:H1030)=3,COUNT(F1019:F1030)=3),cubic_spline(F1018:F1021,H1018:H1021,B$4),IF(AND(COUNT(H1019:H1030)=4,COUNT(F1019:F1030)=4),cubic_spline(F1018:F1022,H1018:H1022,B$4),IF(AND(COUNT(H1019:H1030)=5,COUNT(F1019:F1030)=5),cubic_spline(F1018:F1023,H1018:H1023,B$4),IF(AND(COUNT(H1019:H1030)=6,COUNT(F1019:F1030)=6),cubic_spline(F1018:F1024,H1018:H1024,B$4),IF(AND(COUNT(H1019:H1030)=7,COUNT(F1019:F1030)=7),cubic_spline(F1018:F1025,H1018:H1025,B$4),IF(AND(COUNT(H1019:H1030)=8,COUNT(F1019:F1030)=8),cubic_spline(F1018:F1026,H1018:H1026,B$4),IF(AND(COUNT(H1019:H1030)=9,COUNT(F1019:F1030)=9),cubic_spline(F1018:F1027,H1018:H1027,B$4),IF(AND(COUNT(H1019:H1030)=10,COUNT(F1019:F1030)=10),cubic_spline(F1018:F1028,H1018:H1028,B$4),IF(AND(COUNT(H1019:H1030)=11,COUNT(F1019:F1030)=11),cubic_spline(F1018:F1029,H1018:H1029,B$4),IF(AND(COUNT(H1019:H1030)=12,COUNT(F1019:F1030)=12),cubic_spline(F1018:F1030,H1018:H1030,B$4),""))))))))))))</f>
        <v/>
      </c>
      <c r="K1021" s="52" t="str">
        <f>IF(N(B$4)=0,"",IF(AND(COUNT(A1019:A1030)=2,COUNT(F1019:F1030)=2),cubic_spline(F1018:F1020,A1018:A1020,B$4),IF(AND(COUNT(A1019:A1030)=3,COUNT(F1019:F1030)=3),cubic_spline(F1018:F1021,A1018:A1021,B$4),IF(AND(COUNT(A1019:A1030)=4,COUNT(F1019:F1030)=4),cubic_spline(F1018:F1022,A1018:A1022,B$4),IF(AND(COUNT(A1019:A1030)=5,COUNT(F1019:F1030)=5),cubic_spline(F1018:F1023,A1018:A1023,B$4),IF(AND(COUNT(A1019:A1030)=6,COUNT(F1019:F1030)=6),cubic_spline(F1018:F1024,A1018:A1024,B$4),IF(AND(COUNT(A1019:A1030)=7,COUNT(F1019:F1030)=7),cubic_spline(F1018:F1025,A1018:A1025,B$4),IF(AND(COUNT(A1019:A1030)=8,COUNT(F1019:F1030)=8),cubic_spline(F1018:F1026,A1018:A1026,B$4),IF(AND(COUNT(A1019:A1030)=9,COUNT(F1019:F1030)=9),cubic_spline(F1018:F1027,A1018:A1027,B$4),IF(AND(COUNT(A1019:A1030)=10,COUNT(F1019:F1030)=10),cubic_spline(F1018:F1028,A1018:A1028,B$4),IF(AND(COUNT(A1019:A1030)=11,COUNT(F1019:F1030)=11),cubic_spline(F1018:F1029,A1018:A1029,B$4),IF(AND(COUNT(A1019:A1030)=12,COUNT(F1019:F1030)=12),cubic_spline(F1018:F1030,A1018:A1030,B$4),""))))))))))))</f>
        <v/>
      </c>
      <c r="L1021" s="27" t="str">
        <f>IF(I1021="","",B$3&amp;"-"&amp;B$4)</f>
        <v/>
      </c>
      <c r="M1021" s="52" t="str">
        <f>IF(N(J1021)=0,"",J1021-J1020)</f>
        <v/>
      </c>
    </row>
    <row r="1022" spans="1:13" x14ac:dyDescent="0.35">
      <c r="A1022" s="48"/>
      <c r="B1022" s="48"/>
      <c r="C1022" s="50"/>
      <c r="D1022" s="50"/>
      <c r="E1022" s="51" t="str">
        <f t="shared" si="388"/>
        <v/>
      </c>
      <c r="F1022" s="68" t="str">
        <f t="shared" si="386"/>
        <v/>
      </c>
      <c r="G1022" s="69" t="str">
        <f t="shared" si="389"/>
        <v/>
      </c>
      <c r="H1022" s="70" t="str">
        <f t="shared" si="387"/>
        <v/>
      </c>
      <c r="I1022" s="27" t="str">
        <f>IF(N(J1022)=0,"",0&amp;"-"&amp;B$5)</f>
        <v/>
      </c>
      <c r="J1022" s="52" t="str">
        <f>IF(N(B$5)=0,"",IF(AND(COUNT(H1019:H1030)=2,COUNT(F1019:F1030)=2),cubic_spline(F1018:F1020,H1018:H1020,B$5),IF(AND(COUNT(H1019:H1030)=3,COUNT(F1019:F1030)=3),cubic_spline(F1018:F1021,H1018:H1021,B$5),IF(AND(COUNT(H1019:H1030)=4,COUNT(F1019:F1030)=4),cubic_spline(F1018:F1022,H1018:H1022,B$5),IF(AND(COUNT(H1019:H1030)=5,COUNT(F1019:F1030)=5),cubic_spline(F1018:F1023,H1018:H1023,B$5),IF(AND(COUNT(H1019:H1030)=6,COUNT(F1019:F1030)=6),cubic_spline(F1018:F1024,H1018:H1024,B$5),IF(AND(COUNT(H1019:H1030)=7,COUNT(F1019:F1030)=7),cubic_spline(F1018:F1025,H1018:H1025,B$5),IF(AND(COUNT(H1019:H1030)=8,COUNT(F1019:F1030)=8),cubic_spline(F1018:F1026,H1018:H1026,B$5),IF(AND(COUNT(H1019:H1030)=9,COUNT(F1019:F1030)=9),cubic_spline(F1018:F1027,H1018:H1027,B$5),IF(AND(COUNT(H1019:H1030)=10,COUNT(F1019:F1030)=10),cubic_spline(F1018:F1028,H1018:H1028,B$5),IF(AND(COUNT(H1019:H1030)=11,COUNT(F1019:F1030)=11),cubic_spline(F1018:F1029,H1018:H1029,B$5),IF(AND(COUNT(H1019:H1030)=12,COUNT(F1019:F1030)=12),cubic_spline(F1018:F1030,H1018:H1030,B$5),""))))))))))))</f>
        <v/>
      </c>
      <c r="K1022" s="52" t="str">
        <f>IF(N(B$5)=0,"",IF(AND(COUNT(A1019:A1030)=2,COUNT(F1019:F1030)=2),cubic_spline(F1018:F1020,A1018:A1020,B$5),IF(AND(COUNT(A1019:A1030)=3,COUNT(F1019:F1030)=3),cubic_spline(F1018:F1021,A1018:A1021,B$5),IF(AND(COUNT(A1019:A1030)=4,COUNT(F1019:F1030)=4),cubic_spline(F1018:F1022,A1018:A1022,B$5),IF(AND(COUNT(A1019:A1030)=5,COUNT(F1019:F1030)=5),cubic_spline(F1018:F1023,A1018:A1023,B$5),IF(AND(COUNT(A1019:A1030)=6,COUNT(F1019:F1030)=6),cubic_spline(F1018:F1024,A1018:A1024,B$5),IF(AND(COUNT(A1019:A1030)=7,COUNT(F1019:F1030)=7),cubic_spline(F1018:F1025,A1018:A1025,B$5),IF(AND(COUNT(A1019:A1030)=8,COUNT(F1019:F1030)=8),cubic_spline(F1018:F1026,A1018:A1026,B$5),IF(AND(COUNT(A1019:A1030)=9,COUNT(F1019:F1030)=9),cubic_spline(F1018:F1027,A1018:A1027,B$5),IF(AND(COUNT(A1019:A1030)=10,COUNT(F1019:F1030)=10),cubic_spline(F1018:F1028,A1018:A1028,B$5),IF(AND(COUNT(A1019:A1030)=11,COUNT(F1019:F1030)=11),cubic_spline(F1018:F1029,A1018:A1029,B$5),IF(AND(COUNT(A1019:A1030)=12,COUNT(F1019:F1030)=12),cubic_spline(F1018:F1030,A1018:A1030,B$5),""))))))))))))</f>
        <v/>
      </c>
      <c r="L1022" s="27" t="str">
        <f>IF(I1022="","",B$4&amp;"-"&amp;B$5)</f>
        <v/>
      </c>
      <c r="M1022" s="52" t="str">
        <f>IF(N(J1022)=0,"",J1022-J1021)</f>
        <v/>
      </c>
    </row>
    <row r="1023" spans="1:13" x14ac:dyDescent="0.35">
      <c r="A1023" s="48"/>
      <c r="B1023" s="48"/>
      <c r="C1023" s="50"/>
      <c r="D1023" s="50"/>
      <c r="E1023" s="51" t="str">
        <f t="shared" si="388"/>
        <v/>
      </c>
      <c r="F1023" s="71" t="str">
        <f t="shared" si="386"/>
        <v/>
      </c>
      <c r="G1023" s="69" t="str">
        <f t="shared" si="389"/>
        <v/>
      </c>
      <c r="H1023" s="70" t="str">
        <f t="shared" si="387"/>
        <v/>
      </c>
      <c r="I1023" s="27" t="str">
        <f>IF(N(J1023)=0,"",0&amp;"-"&amp;B$6)</f>
        <v/>
      </c>
      <c r="J1023" s="52" t="str">
        <f>IF(N(B$6)=0,"",IF(AND(COUNT(H1019:H1030)=2,COUNT(F1019:F1030)=2),cubic_spline(F1018:F1020,H1018:H1020,B$6),IF(AND(COUNT(H1019:H1030)=3,COUNT(F1019:F1030)=3),cubic_spline(F1018:F1021,H1018:H1021,B$6),IF(AND(COUNT(H1019:H1030)=4,COUNT(F1019:F1030)=4),cubic_spline(F1018:F1022,H1018:H1022,B$6),IF(AND(COUNT(H1019:H1030)=5,COUNT(F1019:F1030)=5),cubic_spline(F1018:F1023,H1018:H1023,B$6),IF(AND(COUNT(H1019:H1030)=6,COUNT(F1019:F1030)=6),cubic_spline(F1018:F1024,H1018:H1024,B$6),IF(AND(COUNT(H1019:H1030)=7,COUNT(F1019:F1030)=7),cubic_spline(F1018:F1025,H1018:H1025,B$6),IF(AND(COUNT(H1019:H1030)=8,COUNT(F1019:F1030)=8),cubic_spline(F1018:F1026,H1018:H1026,B$6),IF(AND(COUNT(H1019:H1030)=9,COUNT(F1019:F1030)=9),cubic_spline(F1018:F1027,H1018:H1027,B$6),IF(AND(COUNT(H1019:H1030)=10,COUNT(F1019:F1030)=10),cubic_spline(F1018:F1028,H1018:H1028,B$6),IF(AND(COUNT(H1019:H1030)=11,COUNT(F1019:F1030)=11),cubic_spline(F1018:F1029,H1018:H1029,B$6),IF(AND(COUNT(H1019:H1030)=12,COUNT(F1019:F1030)=12),cubic_spline(F1018:F1030,H1018:H1030,B$6),""))))))))))))</f>
        <v/>
      </c>
      <c r="K1023" s="52" t="str">
        <f>IF(N(B$6)=0,"",IF(AND(COUNT(A1019:A1030)=2,COUNT(F1019:F1030)=2),cubic_spline(F1018:F1020,A1018:A1020,B$6),IF(AND(COUNT(A1019:A1030)=3,COUNT(F1019:F1030)=3),cubic_spline(F1018:F1021,A1018:A1021,B$6),IF(AND(COUNT(A1019:A1030)=4,COUNT(F1019:F1030)=4),cubic_spline(F1018:F1022,A1018:A1022,B$6),IF(AND(COUNT(A1019:A1030)=5,COUNT(F1019:F1030)=5),cubic_spline(F1018:F1023,A1018:A1023,B$6),IF(AND(COUNT(A1019:A1030)=6,COUNT(F1019:F1030)=6),cubic_spline(F1018:F1024,A1018:A1024,B$6),IF(AND(COUNT(A1019:A1030)=7,COUNT(F1019:F1030)=7),cubic_spline(F1018:F1025,A1018:A1025,B$6),IF(AND(COUNT(A1019:A1030)=8,COUNT(F1019:F1030)=8),cubic_spline(F1018:F1026,A1018:A1026,B$6),IF(AND(COUNT(A1019:A1030)=9,COUNT(F1019:F1030)=9),cubic_spline(F1018:F1027,A1018:A1027,B$6),IF(AND(COUNT(A1019:A1030)=10,COUNT(F1019:F1030)=10),cubic_spline(F1018:F1028,A1018:A1028,B$6),IF(AND(COUNT(A1019:A1030)=11,COUNT(F1019:F1030)=11),cubic_spline(F1018:F1029,A1018:A1029,B$6),IF(AND(COUNT(A1019:A1030)=12,COUNT(F1019:F1030)=12),cubic_spline(F1018:F1030,A1018:A1030,B$6),""))))))))))))</f>
        <v/>
      </c>
      <c r="L1023" s="27" t="str">
        <f>IF(I1023="","",B$5&amp;"-"&amp;B$6)</f>
        <v/>
      </c>
      <c r="M1023" s="52" t="str">
        <f>IF(N(J1023)=0,"",J1023-J1022)</f>
        <v/>
      </c>
    </row>
    <row r="1024" spans="1:13" x14ac:dyDescent="0.35">
      <c r="A1024" s="48"/>
      <c r="B1024" s="48"/>
      <c r="C1024" s="50"/>
      <c r="D1024" s="50"/>
      <c r="E1024" s="51" t="str">
        <f t="shared" si="388"/>
        <v/>
      </c>
      <c r="F1024" s="71" t="str">
        <f t="shared" si="386"/>
        <v/>
      </c>
      <c r="G1024" s="69" t="str">
        <f t="shared" si="389"/>
        <v/>
      </c>
      <c r="H1024" s="70" t="str">
        <f t="shared" si="387"/>
        <v/>
      </c>
      <c r="I1024" s="27" t="str">
        <f>IF(N(J1024)=0,"",0&amp;"-"&amp;B$7)</f>
        <v/>
      </c>
      <c r="J1024" s="52" t="str">
        <f>IF(N(B$7)=0,"",IF(AND(COUNT(H1019:H1030)=2,COUNT(F1019:F1030)=2),cubic_spline(F1018:F1020,H1018:H1020,B$7),IF(AND(COUNT(H1019:H1030)=3,COUNT(F1019:F1030)=3),cubic_spline(F1018:F1021,H1018:H1021,B$7),IF(AND(COUNT(H1019:H1030)=4,COUNT(F1019:F1030)=4),cubic_spline(F1018:F1022,H1018:H1022,B$7),IF(AND(COUNT(H1019:H1030)=5,COUNT(F1019:F1030)=5),cubic_spline(F1018:F1023,H1018:H1023,B$7),IF(AND(COUNT(H1019:H1030)=6,COUNT(F1019:F1030)=6),cubic_spline(F1018:F1024,H1018:H1024,B$7),IF(AND(COUNT(H1019:H1030)=7,COUNT(F1019:F1030)=7),cubic_spline(F1018:F1025,H1018:H1025,B$7),IF(AND(COUNT(H1019:H1030)=8,COUNT(F1019:F1030)=8),cubic_spline(F1018:F1026,H1018:H1026,B$7),IF(AND(COUNT(H1019:H1030)=9,COUNT(F1019:F1030)=9),cubic_spline(F1018:F1027,H1018:H1027,B$7),IF(AND(COUNT(H1019:H1030)=10,COUNT(F1019:F1030)=10),cubic_spline(F1018:F1028,H1018:H1028,B$7),IF(AND(COUNT(H1019:H1030)=11,COUNT(F1019:F1030)=11),cubic_spline(F1018:F1029,H1018:H1029,B$7),IF(AND(COUNT(H1019:H1030)=12,COUNT(F1019:F1030)=12),cubic_spline(F1018:F1030,H1018:H1030,B$7),""))))))))))))</f>
        <v/>
      </c>
      <c r="K1024" s="52" t="str">
        <f>IF(N(B$7)=0,"",IF(AND(COUNT(A1019:A1030)=2,COUNT(F1019:F1030)=2),cubic_spline(F1018:F1020,A1018:A1020,B$7),IF(AND(COUNT(A1019:A1030)=3,COUNT(F1019:F1030)=3),cubic_spline(F1018:F1021,A1018:A1021,B$7),IF(AND(COUNT(A1019:A1030)=4,COUNT(F1019:F1030)=4),cubic_spline(F1018:F1022,A1018:A1022,B$7),IF(AND(COUNT(A1019:A1030)=5,COUNT(F1019:F1030)=5),cubic_spline(F1018:F1023,A1018:A1023,B$7),IF(AND(COUNT(A1019:A1030)=6,COUNT(F1019:F1030)=6),cubic_spline(F1018:F1024,A1018:A1024,B$7),IF(AND(COUNT(A1019:A1030)=7,COUNT(F1019:F1030)=7),cubic_spline(F1018:F1025,A1018:A1025,B$7),IF(AND(COUNT(A1019:A1030)=8,COUNT(F1019:F1030)=8),cubic_spline(F1018:F1026,A1018:A1026,B$7),IF(AND(COUNT(A1019:A1030)=9,COUNT(F1019:F1030)=9),cubic_spline(F1018:F1027,A1018:A1027,B$7),IF(AND(COUNT(A1019:A1030)=10,COUNT(F1019:F1030)=10),cubic_spline(F1018:F1028,A1018:A1028,B$7),IF(AND(COUNT(A1019:A1030)=11,COUNT(F1019:F1030)=11),cubic_spline(F1018:F1029,A1018:A1029,B$7),IF(AND(COUNT(A1019:A1030)=12,COUNT(F1019:F1030)=12),cubic_spline(F1018:F1030,A1018:A1030,B$7),""))))))))))))</f>
        <v/>
      </c>
      <c r="L1024" s="27" t="str">
        <f>IF(I1024="","",B$6&amp;"-"&amp;B$7)</f>
        <v/>
      </c>
      <c r="M1024" s="52" t="str">
        <f t="shared" ref="M1024:M1030" si="390">IF(N(J1024)=0,"",J1024-J1023)</f>
        <v/>
      </c>
    </row>
    <row r="1025" spans="1:13" x14ac:dyDescent="0.35">
      <c r="A1025" s="48"/>
      <c r="B1025" s="48"/>
      <c r="C1025" s="50"/>
      <c r="D1025" s="50"/>
      <c r="E1025" s="51" t="str">
        <f t="shared" si="388"/>
        <v/>
      </c>
      <c r="F1025" s="71" t="str">
        <f t="shared" si="386"/>
        <v/>
      </c>
      <c r="G1025" s="69" t="str">
        <f t="shared" si="389"/>
        <v/>
      </c>
      <c r="H1025" s="70" t="str">
        <f t="shared" si="387"/>
        <v/>
      </c>
      <c r="I1025" s="27" t="str">
        <f>IF(N(J1025)=0,"",0&amp;"-"&amp;B$8)</f>
        <v/>
      </c>
      <c r="J1025" s="52" t="str">
        <f>IF(N(B$8)=0,"",IF(AND(COUNT(H1019:H1030)=2,COUNT(F1019:F1030)=2),cubic_spline(F1018:F1020,H1018:H1020,B$8),IF(AND(COUNT(H1019:H1030)=3,COUNT(F1019:F1030)=3),cubic_spline(F1018:F1021,H1018:H1021,B$8),IF(AND(COUNT(H1019:H1030)=4,COUNT(F1019:F1030)=4),cubic_spline(F1018:F1022,H1018:H1022,B$8),IF(AND(COUNT(H1019:H1030)=5,COUNT(F1019:F1030)=5),cubic_spline(F1018:F1023,H1018:H1023,B$8),IF(AND(COUNT(H1019:H1030)=6,COUNT(F1019:F1030)=6),cubic_spline(F1018:F1024,H1018:H1024,B$8),IF(AND(COUNT(H1019:H1030)=7,COUNT(F1019:F1030)=7),cubic_spline(F1018:F1025,H1018:H1025,B$8),IF(AND(COUNT(H1019:H1030)=8,COUNT(F1019:F1030)=8),cubic_spline(F1018:F1026,H1018:H1026,B$8),IF(AND(COUNT(H1019:H1030)=9,COUNT(F1019:F1030)=9),cubic_spline(F1018:F1027,H1018:H1027,B$8),IF(AND(COUNT(H1019:H1030)=10,COUNT(F1019:F1030)=10),cubic_spline(F1018:F1028,H1018:H1028,B$8),IF(AND(COUNT(H1019:H1030)=11,COUNT(F1019:F1030)=11),cubic_spline(F1018:F1029,H1018:H1029,B$8),IF(AND(COUNT(H1019:H1030)=12,COUNT(F1019:F1030)=12),cubic_spline(F1018:F1030,H1018:H1030,B$8),""))))))))))))</f>
        <v/>
      </c>
      <c r="K1025" s="52" t="str">
        <f>IF(N(B$8)=0,"",IF(AND(COUNT(A1019:A1030)=2,COUNT(F1019:F1030)=2),cubic_spline(F1018:F1020,A1018:A1020,B$8),IF(AND(COUNT(A1019:A1030)=3,COUNT(F1019:F1030)=3),cubic_spline(F1018:F1021,A1018:A1021,B$8),IF(AND(COUNT(A1019:A1030)=4,COUNT(F1019:F1030)=4),cubic_spline(F1018:F1022,A1018:A1022,B$8),IF(AND(COUNT(A1019:A1030)=5,COUNT(F1019:F1030)=5),cubic_spline(F1018:F1023,A1018:A1023,B$8),IF(AND(COUNT(A1019:A1030)=6,COUNT(F1019:F1030)=6),cubic_spline(F1018:F1024,A1018:A1024,B$8),IF(AND(COUNT(A1019:A1030)=7,COUNT(F1019:F1030)=7),cubic_spline(F1018:F1025,A1018:A1025,B$8),IF(AND(COUNT(A1019:A1030)=8,COUNT(F1019:F1030)=8),cubic_spline(F1018:F1026,A1018:A1026,B$8),IF(AND(COUNT(A1019:A1030)=9,COUNT(F1019:F1030)=9),cubic_spline(F1018:F1027,A1018:A1027,B$8),IF(AND(COUNT(A1019:A1030)=10,COUNT(F1019:F1030)=10),cubic_spline(F1018:F1028,A1018:A1028,B$8),IF(AND(COUNT(A1019:A1030)=11,COUNT(F1019:F1030)=11),cubic_spline(F1018:F1029,A1018:A1029,B$8),IF(AND(COUNT(A1019:A1030)=12,COUNT(F1019:F1030)=12),cubic_spline(F1018:F1030,A1018:A1030,B$8),""))))))))))))</f>
        <v/>
      </c>
      <c r="L1025" s="27" t="str">
        <f>IF(I1025="","",B$7&amp;"-"&amp;B$8)</f>
        <v/>
      </c>
      <c r="M1025" s="52" t="str">
        <f t="shared" si="390"/>
        <v/>
      </c>
    </row>
    <row r="1026" spans="1:13" x14ac:dyDescent="0.35">
      <c r="A1026" s="48"/>
      <c r="B1026" s="48"/>
      <c r="C1026" s="50"/>
      <c r="D1026" s="50"/>
      <c r="E1026" s="51" t="str">
        <f t="shared" si="388"/>
        <v/>
      </c>
      <c r="F1026" s="71" t="str">
        <f t="shared" si="386"/>
        <v/>
      </c>
      <c r="G1026" s="69" t="str">
        <f t="shared" si="389"/>
        <v/>
      </c>
      <c r="H1026" s="70" t="str">
        <f t="shared" si="387"/>
        <v/>
      </c>
      <c r="I1026" s="27" t="str">
        <f>IF(N(J1026)=0,"",0&amp;"-"&amp;B$9)</f>
        <v/>
      </c>
      <c r="J1026" s="52" t="str">
        <f>IF(N(B$9)=0,"",IF(AND(COUNT(H1019:H1030)=2,COUNT(F1019:F1030)=2),cubic_spline(F1018:F1020,H1018:H1020,B$9),IF(AND(COUNT(H1019:H1030)=3,COUNT(F1019:F1030)=3),cubic_spline(F1018:F1021,H1018:H1021,B$9),IF(AND(COUNT(H1019:H1030)=4,COUNT(F1019:F1030)=4),cubic_spline(F1018:F1022,H1018:H1022,B$9),IF(AND(COUNT(H1019:H1030)=5,COUNT(F1019:F1030)=5),cubic_spline(F1018:F1023,H1018:H1023,B$9),IF(AND(COUNT(H1019:H1030)=6,COUNT(F1019:F1030)=6),cubic_spline(F1018:F1024,H1018:H1024,B$9),IF(AND(COUNT(H1019:H1030)=7,COUNT(F1019:F1030)=7),cubic_spline(F1018:F1025,H1018:H1025,B$9),IF(AND(COUNT(H1019:H1030)=8,COUNT(F1019:F1030)=8),cubic_spline(F1018:F1026,H1018:H1026,B$9),IF(AND(COUNT(H1019:H1030)=9,COUNT(F1019:F1030)=9),cubic_spline(F1018:F1027,H1018:H1027,B$9),IF(AND(COUNT(H1019:H1030)=10,COUNT(F1019:F1030)=10),cubic_spline(F1018:F1028,H1018:H1028,B$9),IF(AND(COUNT(H1019:H1030)=11,COUNT(F1019:F1030)=11),cubic_spline(F1018:F1029,H1018:H1029,B$9),IF(AND(COUNT(H1019:H1030)=12,COUNT(F1019:F1030)=12),cubic_spline(F1018:F1030,H1018:H1030,B$9),""))))))))))))</f>
        <v/>
      </c>
      <c r="K1026" s="52" t="str">
        <f>IF(N(B$9)=0,"",IF(AND(COUNT(A1019:A1030)=2,COUNT(F1019:F1030)=2),cubic_spline(F1018:F1020,A1018:A1020,B$9),IF(AND(COUNT(A1019:A1030)=3,COUNT(F1019:F1030)=3),cubic_spline(F1018:F1021,A1018:A1021,B$9),IF(AND(COUNT(A1019:A1030)=4,COUNT(F1019:F1030)=4),cubic_spline(F1018:F1022,A1018:A1022,B$9),IF(AND(COUNT(A1019:A1030)=5,COUNT(F1019:F1030)=5),cubic_spline(F1018:F1023,A1018:A1023,B$9),IF(AND(COUNT(A1019:A1030)=6,COUNT(F1019:F1030)=6),cubic_spline(F1018:F1024,A1018:A1024,B$9),IF(AND(COUNT(A1019:A1030)=7,COUNT(F1019:F1030)=7),cubic_spline(F1018:F1025,A1018:A1025,B$9),IF(AND(COUNT(A1019:A1030)=8,COUNT(F1019:F1030)=8),cubic_spline(F1018:F1026,A1018:A1026,B$9),IF(AND(COUNT(A1019:A1030)=9,COUNT(F1019:F1030)=9),cubic_spline(F1018:F1027,A1018:A1027,B$9),IF(AND(COUNT(A1019:A1030)=10,COUNT(F1019:F1030)=10),cubic_spline(F1018:F1028,A1018:A1028,B$9),IF(AND(COUNT(A1019:A1030)=11,COUNT(F1019:F1030)=11),cubic_spline(F1018:F1029,A1018:A1029,B$9),IF(AND(COUNT(A1019:A1030)=12,COUNT(F1019:F1030)=12),cubic_spline(F1018:F1030,A1018:A1030,B$9),""))))))))))))</f>
        <v/>
      </c>
      <c r="L1026" s="27" t="str">
        <f>IF(I1026="","",B$8&amp;"-"&amp;B$9)</f>
        <v/>
      </c>
      <c r="M1026" s="52" t="str">
        <f t="shared" si="390"/>
        <v/>
      </c>
    </row>
    <row r="1027" spans="1:13" x14ac:dyDescent="0.35">
      <c r="A1027" s="48"/>
      <c r="B1027" s="48"/>
      <c r="C1027" s="50"/>
      <c r="D1027" s="50"/>
      <c r="E1027" s="51" t="str">
        <f t="shared" si="388"/>
        <v/>
      </c>
      <c r="F1027" s="71" t="str">
        <f t="shared" si="386"/>
        <v/>
      </c>
      <c r="G1027" s="69" t="str">
        <f t="shared" si="389"/>
        <v/>
      </c>
      <c r="H1027" s="70" t="str">
        <f t="shared" si="387"/>
        <v/>
      </c>
      <c r="I1027" s="27" t="str">
        <f>IF(N(J1027)=0,"",0&amp;"-"&amp;B$10)</f>
        <v/>
      </c>
      <c r="J1027" s="52" t="str">
        <f>IF(N(B$10)=0,"",IF(AND(COUNT(H1019:H1030)=2,COUNT(F1019:F1030)=2),cubic_spline(F1018:F1020,H1018:H1020,B$10),IF(AND(COUNT(H1019:H1030)=3,COUNT(F1019:F1030)=3),cubic_spline(F1018:F1021,H1018:H1021,B$10),IF(AND(COUNT(H1019:H1030)=4,COUNT(F1019:F1030)=4),cubic_spline(F1018:F1022,H1018:H1022,B$10),IF(AND(COUNT(H1019:H1030)=5,COUNT(F1019:F1030)=5),cubic_spline(F1018:F1023,H1018:H1023,B$10),IF(AND(COUNT(H1019:H1030)=6,COUNT(F1019:F1030)=6),cubic_spline(F1018:F1024,H1018:H1024,B$10),IF(AND(COUNT(H1019:H1030)=7,COUNT(F1019:F1030)=7),cubic_spline(F1018:F1025,H1018:H1025,B$10),IF(AND(COUNT(H1019:H1030)=8,COUNT(F1019:F1030)=8),cubic_spline(F1018:F1026,H1018:H1026,B$10),IF(AND(COUNT(H1019:H1030)=9,COUNT(F1019:F1030)=9),cubic_spline(F1018:F1027,H1018:H1027,B$10),IF(AND(COUNT(H1019:H1030)=10,COUNT(F1019:F1030)=10),cubic_spline(F1018:F1028,H1018:H1028,B$10),IF(AND(COUNT(H1019:H1030)=11,COUNT(F1019:F1030)=11),cubic_spline(F1018:F1029,H1018:H1029,B$10),IF(AND(COUNT(H1019:H1030)=12,COUNT(F1019:F1030)=12),cubic_spline(F1018:F1030,H1018:H1030,B$10),""))))))))))))</f>
        <v/>
      </c>
      <c r="K1027" s="52" t="str">
        <f>IF(N(B$10)=0,"",IF(AND(COUNT(A1019:A1030)=2,COUNT(F1019:F1030)=2),cubic_spline(F1018:F1020,A1018:A1020,B$10),IF(AND(COUNT(A1019:A1030)=3,COUNT(F1019:F1030)=3),cubic_spline(F1018:F1021,A1018:A1021,B$10),IF(AND(COUNT(A1019:A1030)=4,COUNT(F1019:F1030)=4),cubic_spline(F1018:F1022,A1018:A1022,B$10),IF(AND(COUNT(A1019:A1030)=5,COUNT(F1019:F1030)=5),cubic_spline(F1018:F1023,A1018:A1023,B$10),IF(AND(COUNT(A1019:A1030)=6,COUNT(F1019:F1030)=6),cubic_spline(F1018:F1024,A1018:A1024,B$10),IF(AND(COUNT(A1019:A1030)=7,COUNT(F1019:F1030)=7),cubic_spline(F1018:F1025,A1018:A1025,B$10),IF(AND(COUNT(A1019:A1030)=8,COUNT(F1019:F1030)=8),cubic_spline(F1018:F1026,A1018:A1026,B$10),IF(AND(COUNT(A1019:A1030)=9,COUNT(F1019:F1030)=9),cubic_spline(F1018:F1027,A1018:A1027,B$10),IF(AND(COUNT(A1019:A1030)=10,COUNT(F1019:F1030)=10),cubic_spline(F1018:F1028,A1018:A1028,B$10),IF(AND(COUNT(A1019:A1030)=11,COUNT(F1019:F1030)=11),cubic_spline(F1018:F1029,A1018:A1029,B$10),IF(AND(COUNT(A1019:A1030)=12,COUNT(F1019:F1030)=12),cubic_spline(F1018:F1030,A1018:A1030,B$10),""))))))))))))</f>
        <v/>
      </c>
      <c r="L1027" s="27" t="str">
        <f>IF(I1027="","",B$9&amp;"-"&amp;B$10)</f>
        <v/>
      </c>
      <c r="M1027" s="52" t="str">
        <f t="shared" si="390"/>
        <v/>
      </c>
    </row>
    <row r="1028" spans="1:13" x14ac:dyDescent="0.35">
      <c r="A1028" s="48"/>
      <c r="B1028" s="48"/>
      <c r="C1028" s="50"/>
      <c r="D1028" s="50"/>
      <c r="E1028" s="51" t="str">
        <f t="shared" si="388"/>
        <v/>
      </c>
      <c r="F1028" s="71" t="str">
        <f t="shared" si="386"/>
        <v/>
      </c>
      <c r="G1028" s="69" t="str">
        <f t="shared" si="389"/>
        <v/>
      </c>
      <c r="H1028" s="70" t="str">
        <f t="shared" si="387"/>
        <v/>
      </c>
      <c r="I1028" s="27" t="str">
        <f>IF(N(J1028)=0,"",0&amp;"-"&amp;B$11)</f>
        <v/>
      </c>
      <c r="J1028" s="52" t="str">
        <f>IF(N(B$11)=0,"",IF(AND(COUNT(H1019:H1030)=2,COUNT(F1019:F1030)=2),cubic_spline(F1018:F1020,H1018:H1020,B$11),IF(AND(COUNT(H1019:H1030)=3,COUNT(F1019:F1030)=3),cubic_spline(F1018:F1021,H1018:H1021,B$11),IF(AND(COUNT(H1019:H1030)=4,COUNT(F1019:F1030)=4),cubic_spline(F1018:F1022,H1018:H1022,B$11),IF(AND(COUNT(H1019:H1030)=5,COUNT(F1019:F1030)=5),cubic_spline(F1018:F1023,H1018:H1023,B$11),IF(AND(COUNT(H1019:H1030)=6,COUNT(F1019:F1030)=6),cubic_spline(F1018:F1024,H1018:H1024,B$11),IF(AND(COUNT(H1019:H1030)=7,COUNT(F1019:F1030)=7),cubic_spline(F1018:F1025,H1018:H1025,B$11),IF(AND(COUNT(H1019:H1030)=8,COUNT(F1019:F1030)=8),cubic_spline(F1018:F1026,H1018:H1026,B$11),IF(AND(COUNT(H1019:H1030)=9,COUNT(F1019:F1030)=9),cubic_spline(F1018:F1027,H1018:H1027,B$11),IF(AND(COUNT(H1019:H1030)=10,COUNT(F1019:F1030)=10),cubic_spline(F1018:F1028,H1018:H1028,B$11),IF(AND(COUNT(H1019:H1030)=11,COUNT(F1019:F1030)=11),cubic_spline(F1018:F1029,H1018:H1029,B$11),IF(AND(COUNT(H1019:H1030)=12,COUNT(F1019:F1030)=12),cubic_spline(F1018:F1030,H1018:H1030,B$11),""))))))))))))</f>
        <v/>
      </c>
      <c r="K1028" s="52" t="str">
        <f>IF(N(B$11)=0,"",IF(AND(COUNT(A1019:A1030)=2,COUNT(F1019:F1030)=2),cubic_spline(F1018:F1020,A1018:A1020,B$11),IF(AND(COUNT(A1019:A1030)=3,COUNT(F1019:F1030)=3),cubic_spline(F1018:F1021,A1018:A1021,B$11),IF(AND(COUNT(A1019:A1030)=4,COUNT(F1019:F1030)=4),cubic_spline(F1018:F1022,A1018:A1022,B$11),IF(AND(COUNT(A1019:A1030)=5,COUNT(F1019:F1030)=5),cubic_spline(F1018:F1023,A1018:A1023,B$11),IF(AND(COUNT(A1019:A1030)=6,COUNT(F1019:F1030)=6),cubic_spline(F1018:F1024,A1018:A1024,B$11),IF(AND(COUNT(A1019:A1030)=7,COUNT(F1019:F1030)=7),cubic_spline(F1018:F1025,A1018:A1025,B$11),IF(AND(COUNT(A1019:A1030)=8,COUNT(F1019:F1030)=8),cubic_spline(F1018:F1026,A1018:A1026,B$11),IF(AND(COUNT(A1019:A1030)=9,COUNT(F1019:F1030)=9),cubic_spline(F1018:F1027,A1018:A1027,B$11),IF(AND(COUNT(A1019:A1030)=10,COUNT(F1019:F1030)=10),cubic_spline(F1018:F1028,A1018:A1028,B$11),IF(AND(COUNT(A1019:A1030)=11,COUNT(F1019:F1030)=11),cubic_spline(F1018:F1029,A1018:A1029,B$11),IF(AND(COUNT(A1019:A1030)=12,COUNT(F1019:F1030)=12),cubic_spline(F1018:F1030,A1018:A1030,B$11),""))))))))))))</f>
        <v/>
      </c>
      <c r="L1028" s="27" t="str">
        <f>IF(I1028="","",B$10&amp;"-"&amp;B$11)</f>
        <v/>
      </c>
      <c r="M1028" s="52" t="str">
        <f t="shared" si="390"/>
        <v/>
      </c>
    </row>
    <row r="1029" spans="1:13" x14ac:dyDescent="0.35">
      <c r="A1029" s="48"/>
      <c r="B1029" s="48"/>
      <c r="C1029" s="50"/>
      <c r="D1029" s="50"/>
      <c r="E1029" s="51" t="str">
        <f t="shared" si="388"/>
        <v/>
      </c>
      <c r="F1029" s="71" t="str">
        <f t="shared" si="386"/>
        <v/>
      </c>
      <c r="G1029" s="69" t="str">
        <f t="shared" si="389"/>
        <v/>
      </c>
      <c r="H1029" s="70" t="str">
        <f t="shared" si="387"/>
        <v/>
      </c>
      <c r="I1029" s="27" t="str">
        <f>IF(N(J1029)=0,"",0&amp;"-"&amp;B$12)</f>
        <v/>
      </c>
      <c r="J1029" s="52" t="str">
        <f>IF(N(B$12)=0,"",IF(AND(COUNT(H1019:H1030)=2,COUNT(F1019:F1030)=2),cubic_spline(F1018:F1020,H1018:H1020,B$12),IF(AND(COUNT(H1019:H1030)=3,COUNT(F1019:F1030)=3),cubic_spline(F1018:F1021,H1018:H1021,B$12),IF(AND(COUNT(H1019:H1030)=4,COUNT(F1019:F1030)=4),cubic_spline(F1018:F1022,H1018:H1022,B$12),IF(AND(COUNT(H1019:H1030)=5,COUNT(F1019:F1030)=5),cubic_spline(F1018:F1023,H1018:H1023,B$12),IF(AND(COUNT(H1019:H1030)=6,COUNT(F1019:F1030)=6),cubic_spline(F1018:F1024,H1018:H1024,B$12),IF(AND(COUNT(H1019:H1030)=7,COUNT(F1019:F1030)=7),cubic_spline(F1018:F1025,H1018:H1025,B$12),IF(AND(COUNT(H1019:H1030)=8,COUNT(F1019:F1030)=8),cubic_spline(F1018:F1026,H1018:H1026,B$12),IF(AND(COUNT(H1019:H1030)=9,COUNT(F1019:F1030)=9),cubic_spline(F1018:F1027,H1018:H1027,B$12),IF(AND(COUNT(H1019:H1030)=10,COUNT(F1019:F1030)=10),cubic_spline(F1018:F1028,H1018:H1028,B$12),IF(AND(COUNT(H1019:H1030)=11,COUNT(F1019:F1030)=11),cubic_spline(F1018:F1029,H1018:H1029,B$12),IF(AND(COUNT(H1019:H1030)=12,COUNT(F1019:F1030)=12),cubic_spline(F1018:F1030,H1018:H1030,B$12),""))))))))))))</f>
        <v/>
      </c>
      <c r="K1029" s="52" t="str">
        <f>IF(N(B$12)=0,"",IF(AND(COUNT(A1019:A1030)=2,COUNT(F1019:F1030)=2),cubic_spline(F1018:F1020,A1018:A1020,B$12),IF(AND(COUNT(A1019:A1030)=3,COUNT(F1019:F1030)=3),cubic_spline(F1018:F1021,A1018:A1021,B$12),IF(AND(COUNT(A1019:A1030)=4,COUNT(F1019:F1030)=4),cubic_spline(F1018:F1022,A1018:A1022,B$12),IF(AND(COUNT(A1019:A1030)=5,COUNT(F1019:F1030)=5),cubic_spline(F1018:F1023,A1018:A1023,B$12),IF(AND(COUNT(A1019:A1030)=6,COUNT(F1019:F1030)=6),cubic_spline(F1018:F1024,A1018:A1024,B$12),IF(AND(COUNT(A1019:A1030)=7,COUNT(F1019:F1030)=7),cubic_spline(F1018:F1025,A1018:A1025,B$12),IF(AND(COUNT(A1019:A1030)=8,COUNT(F1019:F1030)=8),cubic_spline(F1018:F1026,A1018:A1026,B$12),IF(AND(COUNT(A1019:A1030)=9,COUNT(F1019:F1030)=9),cubic_spline(F1018:F1027,A1018:A1027,B$12),IF(AND(COUNT(A1019:A1030)=10,COUNT(F1019:F1030)=10),cubic_spline(F1018:F1028,A1018:A1028,B$12),IF(AND(COUNT(A1019:A1030)=11,COUNT(F1019:F1030)=11),cubic_spline(F1018:F1029,A1018:A1029,B$12),IF(AND(COUNT(A1019:A1030)=12,COUNT(F1019:F1030)=12),cubic_spline(F1018:F1030,A1018:A1030,B$12),""))))))))))))</f>
        <v/>
      </c>
      <c r="L1029" s="27" t="str">
        <f>IF(I1029="","",B$11&amp;"-"&amp;B$12)</f>
        <v/>
      </c>
      <c r="M1029" s="52" t="str">
        <f t="shared" si="390"/>
        <v/>
      </c>
    </row>
    <row r="1030" spans="1:13" x14ac:dyDescent="0.35">
      <c r="A1030" s="48"/>
      <c r="B1030" s="48"/>
      <c r="C1030" s="50"/>
      <c r="D1030" s="50"/>
      <c r="E1030" s="51" t="str">
        <f t="shared" si="388"/>
        <v/>
      </c>
      <c r="F1030" s="71" t="str">
        <f t="shared" si="386"/>
        <v/>
      </c>
      <c r="G1030" s="69" t="str">
        <f t="shared" si="389"/>
        <v/>
      </c>
      <c r="H1030" s="70" t="str">
        <f t="shared" si="387"/>
        <v/>
      </c>
      <c r="I1030" s="27" t="str">
        <f>IF(N(J1030)=0,"",0&amp;"-"&amp;B$13)</f>
        <v/>
      </c>
      <c r="J1030" s="52" t="str">
        <f>IF(N(B$13)=0,"",IF(AND(COUNT(H1019:H1030)=2,COUNT(F1019:F1030)=2),cubic_spline(F1018:F1020,H1018:H1020,B$13),IF(AND(COUNT(H1019:H1030)=3,COUNT(F1019:F1030)=3),cubic_spline(F1018:F1021,H1018:H1021,B$13),IF(AND(COUNT(H1019:H1030)=4,COUNT(F1019:F1030)=4),cubic_spline(F1018:F1022,H1018:H1022,B$13),IF(AND(COUNT(H1019:H1030)=5,COUNT(F1019:F1030)=5),cubic_spline(F1018:F1023,H1018:H1023,B$13),IF(AND(COUNT(H1019:H1030)=6,COUNT(F1019:F1030)=6),cubic_spline(F1018:F1024,H1018:H1024,B$13),IF(AND(COUNT(H1019:H1030)=7,COUNT(F1019:F1030)=7),cubic_spline(F1018:F1025,H1018:H1025,B$13),IF(AND(COUNT(H1019:H1030)=8,COUNT(F1019:F1030)=8),cubic_spline(F1018:F1026,H1018:H1026,B$13),IF(AND(COUNT(H1019:H1030)=9,COUNT(F1019:F1030)=9),cubic_spline(F1018:F1027,H1018:H1027,B$13),IF(AND(COUNT(H1019:H1030)=10,COUNT(F1019:F1030)=10),cubic_spline(F1018:F1028,H1018:H1028,B$13),IF(AND(COUNT(H1019:H1030)=11,COUNT(F1019:F1030)=11),cubic_spline(F1018:F1029,H1018:H1029,B$13),IF(AND(COUNT(H1019:H1030)=12,COUNT(F1019:F1030)=12),cubic_spline(F1018:F1030,H1018:H1030,B$13),""))))))))))))</f>
        <v/>
      </c>
      <c r="K1030" s="52" t="str">
        <f>IF(N(B$13)=0,"",IF(AND(COUNT(A1019:A1030)=2,COUNT(F1019:F1030)=2),cubic_spline(F1018:F1020,A1018:A1020,B$13),IF(AND(COUNT(A1019:A1030)=3,COUNT(F1019:F1030)=3),cubic_spline(F1018:F1021,A1018:A1021,B$13),IF(AND(COUNT(A1019:A1030)=4,COUNT(F1019:F1030)=4),cubic_spline(F1018:F1022,A1018:A1022,B$13),IF(AND(COUNT(A1019:A1030)=5,COUNT(F1019:F1030)=5),cubic_spline(F1018:F1023,A1018:A1023,B$13),IF(AND(COUNT(A1019:A1030)=6,COUNT(F1019:F1030)=6),cubic_spline(F1018:F1024,A1018:A1024,B$13),IF(AND(COUNT(A1019:A1030)=7,COUNT(F1019:F1030)=7),cubic_spline(F1018:F1025,A1018:A1025,B$13),IF(AND(COUNT(A1019:A1030)=8,COUNT(F1019:F1030)=8),cubic_spline(F1018:F1026,A1018:A1026,B$13),IF(AND(COUNT(A1019:A1030)=9,COUNT(F1019:F1030)=9),cubic_spline(F1018:F1027,A1018:A1027,B$13),IF(AND(COUNT(A1019:A1030)=10,COUNT(F1019:F1030)=10),cubic_spline(F1018:F1028,A1018:A1028,B$13),IF(AND(COUNT(A1019:A1030)=11,COUNT(F1019:F1030)=11),cubic_spline(F1018:F1029,A1018:A1029,B$13),IF(AND(COUNT(A1019:A1030)=12,COUNT(F1019:F1030)=12),cubic_spline(F1018:F1030,A1018:A1030,B$13),""))))))))))))</f>
        <v/>
      </c>
      <c r="L1030" s="27" t="str">
        <f>IF(I1030="","",B$12&amp;"-"&amp;B$13)</f>
        <v/>
      </c>
      <c r="M1030" s="52" t="str">
        <f t="shared" si="390"/>
        <v/>
      </c>
    </row>
    <row r="1031" spans="1:13" ht="5.15" customHeight="1" x14ac:dyDescent="0.35">
      <c r="A1031" s="47"/>
      <c r="B1031" s="47"/>
      <c r="C1031" s="53"/>
      <c r="D1031" s="53"/>
      <c r="E1031" s="54"/>
      <c r="F1031" s="55"/>
      <c r="G1031" s="72"/>
      <c r="H1031" s="73"/>
      <c r="I1031" s="47"/>
      <c r="J1031" s="57"/>
      <c r="K1031" s="57"/>
      <c r="L1031" s="55"/>
      <c r="M1031" s="57"/>
    </row>
    <row r="1032" spans="1:13" x14ac:dyDescent="0.35">
      <c r="A1032" s="48"/>
      <c r="B1032" s="48"/>
      <c r="C1032" s="50"/>
      <c r="D1032" s="50"/>
      <c r="E1032" s="51" t="str">
        <f>IF(N(C1032)=0,"",(A1032-A1031)*C1032*100)</f>
        <v/>
      </c>
      <c r="F1032" s="68" t="str">
        <f t="shared" ref="F1032:F1043" si="391">IF(N(E1032)=0,"",(N(E1032)+N(F1031)))</f>
        <v/>
      </c>
      <c r="G1032" s="69" t="str">
        <f>IF(OR(N(D1032)=0,N(E1032)=0),"",(E1032*D1032)/1000)</f>
        <v/>
      </c>
      <c r="H1032" s="70" t="str">
        <f t="shared" ref="H1032:H1043" si="392">IF(N(G1032)=0,"",(N(G1032)+N(H1031)))</f>
        <v/>
      </c>
      <c r="I1032" s="27" t="str">
        <f>IF(N(J1032)=0,"",0&amp;"-"&amp;B$2)</f>
        <v/>
      </c>
      <c r="J1032" s="52" t="str">
        <f>IF(N(B$2)=0,"",IF(AND(COUNT(H1032:H1043)=2,COUNT(F1032:F1043)=2),cubic_spline(F1031:F1033,H1031:H1033,B$2),IF(AND(COUNT(H1032:H1043)=3,COUNT(F1032:F1043)=3),cubic_spline(F1031:F1034,H1031:H1034,B$2),IF(AND(COUNT(H1032:H1043)=4,COUNT(F1032:F1043)=4),cubic_spline(F1031:F1035,H1031:H1035,B$2),IF(AND(COUNT(H1032:H1043)=5,COUNT(F1032:F1043)=5),cubic_spline(F1031:F1036,H1031:H1036,B$2),IF(AND(COUNT(H1032:H1043)=6,COUNT(F1032:F1043)=6),cubic_spline(F1031:F1037,H1031:H1037,B$2),IF(AND(COUNT(H1032:H1043)=7,COUNT(F1032:F1043)=7),cubic_spline(F1031:F1038,H1031:H1038,B$2),IF(AND(COUNT(H1032:H1043)=8,COUNT(F1032:F1043)=8),cubic_spline(F1031:F1039,H1031:H1039,B$2),IF(AND(COUNT(H1032:H1043)=9,COUNT(F1032:F1043)=9),cubic_spline(F1031:F1040,H1031:H1040,B$2),IF(AND(COUNT(H1032:H1043)=10,COUNT(F1032:F1043)=10),cubic_spline(F1031:F1041,H1031:H1041,B$2),IF(AND(COUNT(H1032:H1043)=11,COUNT(F1032:F1043)=11),cubic_spline(F1031:F1042,H1031:H1042,B$2),IF(AND(COUNT(H1032:H1043)=12,COUNT(F1032:F1043)=12),cubic_spline(F1031:F1043,H1031:H1043,B$2),""))))))))))))</f>
        <v/>
      </c>
      <c r="K1032" s="52" t="str">
        <f>IF(N(B$2)=0,"",IF(AND(COUNT(A1032:A1043)=2,COUNT(F1032:F1043)=2),cubic_spline(F1031:F1033,A1031:A1033,B$2),IF(AND(COUNT(A1032:A1043)=3,COUNT(F1032:F1043)=3),cubic_spline(F1031:F1034,A1031:A1034,B$2),IF(AND(COUNT(A1032:A1043)=4,COUNT(F1032:F1043)=4),cubic_spline(F1031:F1035,A1031:A1035,B$2),IF(AND(COUNT(A1032:A1043)=5,COUNT(F1032:F1043)=5),cubic_spline(F1031:F1036,A1031:A1036,B$2),IF(AND(COUNT(A1032:A1043)=6,COUNT(F1032:F1043)=6),cubic_spline(F1031:F1037,A1031:A1037,B$2),IF(AND(COUNT(A1032:A1043)=7,COUNT(F1032:F1043)=7),cubic_spline(F1031:F1038,A1031:A1038,B$2),IF(AND(COUNT(A1032:A1043)=8,COUNT(F1032:F1043)=8),cubic_spline(F1031:F1039,A1031:A1039,B$2),IF(AND(COUNT(A1032:A1043)=9,COUNT(F1032:F1043)=9),cubic_spline(F1031:F1040,A1031:A1040,B$2),IF(AND(COUNT(A1032:A1043)=10,COUNT(F1032:F1043)=10),cubic_spline(F1031:F1041,A1031:A1041,B$2),IF(AND(COUNT(A1032:A1043)=11,COUNT(F1032:F1043)=11),cubic_spline(F1031:F1042,A1031:A1042,B$2),IF(AND(COUNT(A1032:A1043)=12,COUNT(F1032:F1043)=12),cubic_spline(F1031:F1043,A1031:A1043,B$2),""))))))))))))</f>
        <v/>
      </c>
      <c r="L1032" s="27" t="str">
        <f>IF(I1032="","",0&amp;"-"&amp;B$2)</f>
        <v/>
      </c>
      <c r="M1032" s="52" t="str">
        <f>IF(N(J1032)=0,"",J1032-J1031)</f>
        <v/>
      </c>
    </row>
    <row r="1033" spans="1:13" x14ac:dyDescent="0.35">
      <c r="A1033" s="48"/>
      <c r="B1033" s="48"/>
      <c r="C1033" s="50"/>
      <c r="D1033" s="50"/>
      <c r="E1033" s="51" t="str">
        <f t="shared" ref="E1033:E1043" si="393">IF(N(C1033)=0,"",(A1033-A1032)*C1033*100)</f>
        <v/>
      </c>
      <c r="F1033" s="68" t="str">
        <f t="shared" si="391"/>
        <v/>
      </c>
      <c r="G1033" s="69" t="str">
        <f t="shared" ref="G1033:G1043" si="394">IF(OR(N(D1033)=0,N(E1033)=0),"",(E1033*D1033)/1000)</f>
        <v/>
      </c>
      <c r="H1033" s="70" t="str">
        <f t="shared" si="392"/>
        <v/>
      </c>
      <c r="I1033" s="27" t="str">
        <f>IF(N(J1033)=0,"",0&amp;"-"&amp;B$3)</f>
        <v/>
      </c>
      <c r="J1033" s="52" t="str">
        <f>IF(N(B$3)=0,"",IF(AND(COUNT(H1032:H1043)=2,COUNT(F1032:F1043)=2),cubic_spline(F1031:F1033,H1031:H1033,B$3),IF(AND(COUNT(H1032:H1043)=3,COUNT(F1032:F1043)=3),cubic_spline(F1031:F1034,H1031:H1034,B$3),IF(AND(COUNT(H1032:H1043)=4,COUNT(F1032:F1043)=4),cubic_spline(F1031:F1035,H1031:H1035,B$3),IF(AND(COUNT(H1032:H1043)=5,COUNT(F1032:F1043)=5),cubic_spline(F1031:F1036,H1031:H1036,B$3),IF(AND(COUNT(H1032:H1043)=6,COUNT(F1032:F1043)=6),cubic_spline(F1031:F1037,H1031:H1037,B$3),IF(AND(COUNT(H1032:H1043)=7,COUNT(F1032:F1043)=7),cubic_spline(F1031:F1038,H1031:H1038,B$3),IF(AND(COUNT(H1032:H1043)=8,COUNT(F1032:F1043)=8),cubic_spline(F1031:F1039,H1031:H1039,B$3),IF(AND(COUNT(H1032:H1043)=9,COUNT(F1032:F1043)=9),cubic_spline(F1031:F1040,H1031:H1040,B$3),IF(AND(COUNT(H1032:H1043)=10,COUNT(F1032:F1043)=10),cubic_spline(F1031:F1041,H1031:H1041,B$3),IF(AND(COUNT(H1032:H1043)=11,COUNT(F1032:F1043)=11),cubic_spline(F1031:F1042,H1031:H1042,B$3),IF(AND(COUNT(H1032:H1043)=12,COUNT(F1032:F1043)=12),cubic_spline(F1031:F1043,H1031:H1043,B$3),""))))))))))))</f>
        <v/>
      </c>
      <c r="K1033" s="52" t="str">
        <f>IF(N(B$3)=0,"",IF(AND(COUNT(A1032:A1043)=2,COUNT(F1032:F1043)=2),cubic_spline(F1031:F1033,A1031:A1033,B$3),IF(AND(COUNT(A1032:A1043)=3,COUNT(F1032:F1043)=3),cubic_spline(F1031:F1034,A1031:A1034,B$3),IF(AND(COUNT(A1032:A1043)=4,COUNT(F1032:F1043)=4),cubic_spline(F1031:F1035,A1031:A1035,B$3),IF(AND(COUNT(A1032:A1043)=5,COUNT(F1032:F1043)=5),cubic_spline(F1031:F1036,A1031:A1036,B$3),IF(AND(COUNT(A1032:A1043)=6,COUNT(F1032:F1043)=6),cubic_spline(F1031:F1037,A1031:A1037,B$3),IF(AND(COUNT(A1032:A1043)=7,COUNT(F1032:F1043)=7),cubic_spline(F1031:F1038,A1031:A1038,B$3),IF(AND(COUNT(A1032:A1043)=8,COUNT(F1032:F1043)=8),cubic_spline(F1031:F1039,A1031:A1039,B$3),IF(AND(COUNT(A1032:A1043)=9,COUNT(F1032:F1043)=9),cubic_spline(F1031:F1040,A1031:A1040,B$3),IF(AND(COUNT(A1032:A1043)=10,COUNT(F1032:F1043)=10),cubic_spline(F1031:F1041,A1031:A1041,B$3),IF(AND(COUNT(A1032:A1043)=11,COUNT(F1032:F1043)=11),cubic_spline(F1031:F1042,A1031:A1042,B$3),IF(AND(COUNT(A1032:A1043)=12,COUNT(F1032:F1043)=12),cubic_spline(F1031:F1043,A1031:A1043,B$3),""))))))))))))</f>
        <v/>
      </c>
      <c r="L1033" s="27" t="str">
        <f>IF(I1033="","",B$2&amp;"-"&amp;B$3)</f>
        <v/>
      </c>
      <c r="M1033" s="52" t="str">
        <f>IF(N(J1033)=0,"",J1033-J1032)</f>
        <v/>
      </c>
    </row>
    <row r="1034" spans="1:13" x14ac:dyDescent="0.35">
      <c r="A1034" s="48"/>
      <c r="B1034" s="48"/>
      <c r="C1034" s="50"/>
      <c r="D1034" s="50"/>
      <c r="E1034" s="51" t="str">
        <f t="shared" si="393"/>
        <v/>
      </c>
      <c r="F1034" s="68" t="str">
        <f t="shared" si="391"/>
        <v/>
      </c>
      <c r="G1034" s="69" t="str">
        <f t="shared" si="394"/>
        <v/>
      </c>
      <c r="H1034" s="70" t="str">
        <f t="shared" si="392"/>
        <v/>
      </c>
      <c r="I1034" s="27" t="str">
        <f>IF(N(J1034)=0,"",0&amp;"-"&amp;B$4)</f>
        <v/>
      </c>
      <c r="J1034" s="52" t="str">
        <f>IF(N(B$4)=0,"",IF(AND(COUNT(H1032:H1043)=2,COUNT(F1032:F1043)=2),cubic_spline(F1031:F1033,H1031:H1033,B$4),IF(AND(COUNT(H1032:H1043)=3,COUNT(F1032:F1043)=3),cubic_spline(F1031:F1034,H1031:H1034,B$4),IF(AND(COUNT(H1032:H1043)=4,COUNT(F1032:F1043)=4),cubic_spline(F1031:F1035,H1031:H1035,B$4),IF(AND(COUNT(H1032:H1043)=5,COUNT(F1032:F1043)=5),cubic_spline(F1031:F1036,H1031:H1036,B$4),IF(AND(COUNT(H1032:H1043)=6,COUNT(F1032:F1043)=6),cubic_spline(F1031:F1037,H1031:H1037,B$4),IF(AND(COUNT(H1032:H1043)=7,COUNT(F1032:F1043)=7),cubic_spline(F1031:F1038,H1031:H1038,B$4),IF(AND(COUNT(H1032:H1043)=8,COUNT(F1032:F1043)=8),cubic_spline(F1031:F1039,H1031:H1039,B$4),IF(AND(COUNT(H1032:H1043)=9,COUNT(F1032:F1043)=9),cubic_spline(F1031:F1040,H1031:H1040,B$4),IF(AND(COUNT(H1032:H1043)=10,COUNT(F1032:F1043)=10),cubic_spline(F1031:F1041,H1031:H1041,B$4),IF(AND(COUNT(H1032:H1043)=11,COUNT(F1032:F1043)=11),cubic_spline(F1031:F1042,H1031:H1042,B$4),IF(AND(COUNT(H1032:H1043)=12,COUNT(F1032:F1043)=12),cubic_spline(F1031:F1043,H1031:H1043,B$4),""))))))))))))</f>
        <v/>
      </c>
      <c r="K1034" s="52" t="str">
        <f>IF(N(B$4)=0,"",IF(AND(COUNT(A1032:A1043)=2,COUNT(F1032:F1043)=2),cubic_spline(F1031:F1033,A1031:A1033,B$4),IF(AND(COUNT(A1032:A1043)=3,COUNT(F1032:F1043)=3),cubic_spline(F1031:F1034,A1031:A1034,B$4),IF(AND(COUNT(A1032:A1043)=4,COUNT(F1032:F1043)=4),cubic_spline(F1031:F1035,A1031:A1035,B$4),IF(AND(COUNT(A1032:A1043)=5,COUNT(F1032:F1043)=5),cubic_spline(F1031:F1036,A1031:A1036,B$4),IF(AND(COUNT(A1032:A1043)=6,COUNT(F1032:F1043)=6),cubic_spline(F1031:F1037,A1031:A1037,B$4),IF(AND(COUNT(A1032:A1043)=7,COUNT(F1032:F1043)=7),cubic_spline(F1031:F1038,A1031:A1038,B$4),IF(AND(COUNT(A1032:A1043)=8,COUNT(F1032:F1043)=8),cubic_spline(F1031:F1039,A1031:A1039,B$4),IF(AND(COUNT(A1032:A1043)=9,COUNT(F1032:F1043)=9),cubic_spline(F1031:F1040,A1031:A1040,B$4),IF(AND(COUNT(A1032:A1043)=10,COUNT(F1032:F1043)=10),cubic_spline(F1031:F1041,A1031:A1041,B$4),IF(AND(COUNT(A1032:A1043)=11,COUNT(F1032:F1043)=11),cubic_spline(F1031:F1042,A1031:A1042,B$4),IF(AND(COUNT(A1032:A1043)=12,COUNT(F1032:F1043)=12),cubic_spline(F1031:F1043,A1031:A1043,B$4),""))))))))))))</f>
        <v/>
      </c>
      <c r="L1034" s="27" t="str">
        <f>IF(I1034="","",B$3&amp;"-"&amp;B$4)</f>
        <v/>
      </c>
      <c r="M1034" s="52" t="str">
        <f>IF(N(J1034)=0,"",J1034-J1033)</f>
        <v/>
      </c>
    </row>
    <row r="1035" spans="1:13" x14ac:dyDescent="0.35">
      <c r="A1035" s="48"/>
      <c r="B1035" s="48"/>
      <c r="C1035" s="50"/>
      <c r="D1035" s="50"/>
      <c r="E1035" s="51" t="str">
        <f t="shared" si="393"/>
        <v/>
      </c>
      <c r="F1035" s="68" t="str">
        <f t="shared" si="391"/>
        <v/>
      </c>
      <c r="G1035" s="69" t="str">
        <f t="shared" si="394"/>
        <v/>
      </c>
      <c r="H1035" s="70" t="str">
        <f t="shared" si="392"/>
        <v/>
      </c>
      <c r="I1035" s="27" t="str">
        <f>IF(N(J1035)=0,"",0&amp;"-"&amp;B$5)</f>
        <v/>
      </c>
      <c r="J1035" s="52" t="str">
        <f>IF(N(B$5)=0,"",IF(AND(COUNT(H1032:H1043)=2,COUNT(F1032:F1043)=2),cubic_spline(F1031:F1033,H1031:H1033,B$5),IF(AND(COUNT(H1032:H1043)=3,COUNT(F1032:F1043)=3),cubic_spline(F1031:F1034,H1031:H1034,B$5),IF(AND(COUNT(H1032:H1043)=4,COUNT(F1032:F1043)=4),cubic_spline(F1031:F1035,H1031:H1035,B$5),IF(AND(COUNT(H1032:H1043)=5,COUNT(F1032:F1043)=5),cubic_spline(F1031:F1036,H1031:H1036,B$5),IF(AND(COUNT(H1032:H1043)=6,COUNT(F1032:F1043)=6),cubic_spline(F1031:F1037,H1031:H1037,B$5),IF(AND(COUNT(H1032:H1043)=7,COUNT(F1032:F1043)=7),cubic_spline(F1031:F1038,H1031:H1038,B$5),IF(AND(COUNT(H1032:H1043)=8,COUNT(F1032:F1043)=8),cubic_spline(F1031:F1039,H1031:H1039,B$5),IF(AND(COUNT(H1032:H1043)=9,COUNT(F1032:F1043)=9),cubic_spline(F1031:F1040,H1031:H1040,B$5),IF(AND(COUNT(H1032:H1043)=10,COUNT(F1032:F1043)=10),cubic_spline(F1031:F1041,H1031:H1041,B$5),IF(AND(COUNT(H1032:H1043)=11,COUNT(F1032:F1043)=11),cubic_spline(F1031:F1042,H1031:H1042,B$5),IF(AND(COUNT(H1032:H1043)=12,COUNT(F1032:F1043)=12),cubic_spline(F1031:F1043,H1031:H1043,B$5),""))))))))))))</f>
        <v/>
      </c>
      <c r="K1035" s="52" t="str">
        <f>IF(N(B$5)=0,"",IF(AND(COUNT(A1032:A1043)=2,COUNT(F1032:F1043)=2),cubic_spline(F1031:F1033,A1031:A1033,B$5),IF(AND(COUNT(A1032:A1043)=3,COUNT(F1032:F1043)=3),cubic_spline(F1031:F1034,A1031:A1034,B$5),IF(AND(COUNT(A1032:A1043)=4,COUNT(F1032:F1043)=4),cubic_spline(F1031:F1035,A1031:A1035,B$5),IF(AND(COUNT(A1032:A1043)=5,COUNT(F1032:F1043)=5),cubic_spline(F1031:F1036,A1031:A1036,B$5),IF(AND(COUNT(A1032:A1043)=6,COUNT(F1032:F1043)=6),cubic_spline(F1031:F1037,A1031:A1037,B$5),IF(AND(COUNT(A1032:A1043)=7,COUNT(F1032:F1043)=7),cubic_spline(F1031:F1038,A1031:A1038,B$5),IF(AND(COUNT(A1032:A1043)=8,COUNT(F1032:F1043)=8),cubic_spline(F1031:F1039,A1031:A1039,B$5),IF(AND(COUNT(A1032:A1043)=9,COUNT(F1032:F1043)=9),cubic_spline(F1031:F1040,A1031:A1040,B$5),IF(AND(COUNT(A1032:A1043)=10,COUNT(F1032:F1043)=10),cubic_spline(F1031:F1041,A1031:A1041,B$5),IF(AND(COUNT(A1032:A1043)=11,COUNT(F1032:F1043)=11),cubic_spline(F1031:F1042,A1031:A1042,B$5),IF(AND(COUNT(A1032:A1043)=12,COUNT(F1032:F1043)=12),cubic_spline(F1031:F1043,A1031:A1043,B$5),""))))))))))))</f>
        <v/>
      </c>
      <c r="L1035" s="27" t="str">
        <f>IF(I1035="","",B$4&amp;"-"&amp;B$5)</f>
        <v/>
      </c>
      <c r="M1035" s="52" t="str">
        <f>IF(N(J1035)=0,"",J1035-J1034)</f>
        <v/>
      </c>
    </row>
    <row r="1036" spans="1:13" x14ac:dyDescent="0.35">
      <c r="A1036" s="48"/>
      <c r="B1036" s="48"/>
      <c r="C1036" s="50"/>
      <c r="D1036" s="50"/>
      <c r="E1036" s="51" t="str">
        <f t="shared" si="393"/>
        <v/>
      </c>
      <c r="F1036" s="71" t="str">
        <f t="shared" si="391"/>
        <v/>
      </c>
      <c r="G1036" s="69" t="str">
        <f t="shared" si="394"/>
        <v/>
      </c>
      <c r="H1036" s="70" t="str">
        <f t="shared" si="392"/>
        <v/>
      </c>
      <c r="I1036" s="27" t="str">
        <f>IF(N(J1036)=0,"",0&amp;"-"&amp;B$6)</f>
        <v/>
      </c>
      <c r="J1036" s="52" t="str">
        <f>IF(N(B$6)=0,"",IF(AND(COUNT(H1032:H1043)=2,COUNT(F1032:F1043)=2),cubic_spline(F1031:F1033,H1031:H1033,B$6),IF(AND(COUNT(H1032:H1043)=3,COUNT(F1032:F1043)=3),cubic_spline(F1031:F1034,H1031:H1034,B$6),IF(AND(COUNT(H1032:H1043)=4,COUNT(F1032:F1043)=4),cubic_spline(F1031:F1035,H1031:H1035,B$6),IF(AND(COUNT(H1032:H1043)=5,COUNT(F1032:F1043)=5),cubic_spline(F1031:F1036,H1031:H1036,B$6),IF(AND(COUNT(H1032:H1043)=6,COUNT(F1032:F1043)=6),cubic_spline(F1031:F1037,H1031:H1037,B$6),IF(AND(COUNT(H1032:H1043)=7,COUNT(F1032:F1043)=7),cubic_spline(F1031:F1038,H1031:H1038,B$6),IF(AND(COUNT(H1032:H1043)=8,COUNT(F1032:F1043)=8),cubic_spline(F1031:F1039,H1031:H1039,B$6),IF(AND(COUNT(H1032:H1043)=9,COUNT(F1032:F1043)=9),cubic_spline(F1031:F1040,H1031:H1040,B$6),IF(AND(COUNT(H1032:H1043)=10,COUNT(F1032:F1043)=10),cubic_spline(F1031:F1041,H1031:H1041,B$6),IF(AND(COUNT(H1032:H1043)=11,COUNT(F1032:F1043)=11),cubic_spline(F1031:F1042,H1031:H1042,B$6),IF(AND(COUNT(H1032:H1043)=12,COUNT(F1032:F1043)=12),cubic_spline(F1031:F1043,H1031:H1043,B$6),""))))))))))))</f>
        <v/>
      </c>
      <c r="K1036" s="52" t="str">
        <f>IF(N(B$6)=0,"",IF(AND(COUNT(A1032:A1043)=2,COUNT(F1032:F1043)=2),cubic_spline(F1031:F1033,A1031:A1033,B$6),IF(AND(COUNT(A1032:A1043)=3,COUNT(F1032:F1043)=3),cubic_spline(F1031:F1034,A1031:A1034,B$6),IF(AND(COUNT(A1032:A1043)=4,COUNT(F1032:F1043)=4),cubic_spline(F1031:F1035,A1031:A1035,B$6),IF(AND(COUNT(A1032:A1043)=5,COUNT(F1032:F1043)=5),cubic_spline(F1031:F1036,A1031:A1036,B$6),IF(AND(COUNT(A1032:A1043)=6,COUNT(F1032:F1043)=6),cubic_spline(F1031:F1037,A1031:A1037,B$6),IF(AND(COUNT(A1032:A1043)=7,COUNT(F1032:F1043)=7),cubic_spline(F1031:F1038,A1031:A1038,B$6),IF(AND(COUNT(A1032:A1043)=8,COUNT(F1032:F1043)=8),cubic_spline(F1031:F1039,A1031:A1039,B$6),IF(AND(COUNT(A1032:A1043)=9,COUNT(F1032:F1043)=9),cubic_spline(F1031:F1040,A1031:A1040,B$6),IF(AND(COUNT(A1032:A1043)=10,COUNT(F1032:F1043)=10),cubic_spline(F1031:F1041,A1031:A1041,B$6),IF(AND(COUNT(A1032:A1043)=11,COUNT(F1032:F1043)=11),cubic_spline(F1031:F1042,A1031:A1042,B$6),IF(AND(COUNT(A1032:A1043)=12,COUNT(F1032:F1043)=12),cubic_spline(F1031:F1043,A1031:A1043,B$6),""))))))))))))</f>
        <v/>
      </c>
      <c r="L1036" s="27" t="str">
        <f>IF(I1036="","",B$5&amp;"-"&amp;B$6)</f>
        <v/>
      </c>
      <c r="M1036" s="52" t="str">
        <f>IF(N(J1036)=0,"",J1036-J1035)</f>
        <v/>
      </c>
    </row>
    <row r="1037" spans="1:13" x14ac:dyDescent="0.35">
      <c r="A1037" s="48"/>
      <c r="B1037" s="48"/>
      <c r="C1037" s="50"/>
      <c r="D1037" s="50"/>
      <c r="E1037" s="51" t="str">
        <f t="shared" si="393"/>
        <v/>
      </c>
      <c r="F1037" s="71" t="str">
        <f t="shared" si="391"/>
        <v/>
      </c>
      <c r="G1037" s="69" t="str">
        <f t="shared" si="394"/>
        <v/>
      </c>
      <c r="H1037" s="70" t="str">
        <f t="shared" si="392"/>
        <v/>
      </c>
      <c r="I1037" s="27" t="str">
        <f>IF(N(J1037)=0,"",0&amp;"-"&amp;B$7)</f>
        <v/>
      </c>
      <c r="J1037" s="52" t="str">
        <f>IF(N(B$7)=0,"",IF(AND(COUNT(H1032:H1043)=2,COUNT(F1032:F1043)=2),cubic_spline(F1031:F1033,H1031:H1033,B$7),IF(AND(COUNT(H1032:H1043)=3,COUNT(F1032:F1043)=3),cubic_spline(F1031:F1034,H1031:H1034,B$7),IF(AND(COUNT(H1032:H1043)=4,COUNT(F1032:F1043)=4),cubic_spline(F1031:F1035,H1031:H1035,B$7),IF(AND(COUNT(H1032:H1043)=5,COUNT(F1032:F1043)=5),cubic_spline(F1031:F1036,H1031:H1036,B$7),IF(AND(COUNT(H1032:H1043)=6,COUNT(F1032:F1043)=6),cubic_spline(F1031:F1037,H1031:H1037,B$7),IF(AND(COUNT(H1032:H1043)=7,COUNT(F1032:F1043)=7),cubic_spline(F1031:F1038,H1031:H1038,B$7),IF(AND(COUNT(H1032:H1043)=8,COUNT(F1032:F1043)=8),cubic_spline(F1031:F1039,H1031:H1039,B$7),IF(AND(COUNT(H1032:H1043)=9,COUNT(F1032:F1043)=9),cubic_spline(F1031:F1040,H1031:H1040,B$7),IF(AND(COUNT(H1032:H1043)=10,COUNT(F1032:F1043)=10),cubic_spline(F1031:F1041,H1031:H1041,B$7),IF(AND(COUNT(H1032:H1043)=11,COUNT(F1032:F1043)=11),cubic_spline(F1031:F1042,H1031:H1042,B$7),IF(AND(COUNT(H1032:H1043)=12,COUNT(F1032:F1043)=12),cubic_spline(F1031:F1043,H1031:H1043,B$7),""))))))))))))</f>
        <v/>
      </c>
      <c r="K1037" s="52" t="str">
        <f>IF(N(B$7)=0,"",IF(AND(COUNT(A1032:A1043)=2,COUNT(F1032:F1043)=2),cubic_spline(F1031:F1033,A1031:A1033,B$7),IF(AND(COUNT(A1032:A1043)=3,COUNT(F1032:F1043)=3),cubic_spline(F1031:F1034,A1031:A1034,B$7),IF(AND(COUNT(A1032:A1043)=4,COUNT(F1032:F1043)=4),cubic_spline(F1031:F1035,A1031:A1035,B$7),IF(AND(COUNT(A1032:A1043)=5,COUNT(F1032:F1043)=5),cubic_spline(F1031:F1036,A1031:A1036,B$7),IF(AND(COUNT(A1032:A1043)=6,COUNT(F1032:F1043)=6),cubic_spline(F1031:F1037,A1031:A1037,B$7),IF(AND(COUNT(A1032:A1043)=7,COUNT(F1032:F1043)=7),cubic_spline(F1031:F1038,A1031:A1038,B$7),IF(AND(COUNT(A1032:A1043)=8,COUNT(F1032:F1043)=8),cubic_spline(F1031:F1039,A1031:A1039,B$7),IF(AND(COUNT(A1032:A1043)=9,COUNT(F1032:F1043)=9),cubic_spline(F1031:F1040,A1031:A1040,B$7),IF(AND(COUNT(A1032:A1043)=10,COUNT(F1032:F1043)=10),cubic_spline(F1031:F1041,A1031:A1041,B$7),IF(AND(COUNT(A1032:A1043)=11,COUNT(F1032:F1043)=11),cubic_spline(F1031:F1042,A1031:A1042,B$7),IF(AND(COUNT(A1032:A1043)=12,COUNT(F1032:F1043)=12),cubic_spline(F1031:F1043,A1031:A1043,B$7),""))))))))))))</f>
        <v/>
      </c>
      <c r="L1037" s="27" t="str">
        <f>IF(I1037="","",B$6&amp;"-"&amp;B$7)</f>
        <v/>
      </c>
      <c r="M1037" s="52" t="str">
        <f t="shared" ref="M1037:M1043" si="395">IF(N(J1037)=0,"",J1037-J1036)</f>
        <v/>
      </c>
    </row>
    <row r="1038" spans="1:13" x14ac:dyDescent="0.35">
      <c r="A1038" s="48"/>
      <c r="B1038" s="48"/>
      <c r="C1038" s="50"/>
      <c r="D1038" s="50"/>
      <c r="E1038" s="51" t="str">
        <f t="shared" si="393"/>
        <v/>
      </c>
      <c r="F1038" s="71" t="str">
        <f t="shared" si="391"/>
        <v/>
      </c>
      <c r="G1038" s="69" t="str">
        <f t="shared" si="394"/>
        <v/>
      </c>
      <c r="H1038" s="70" t="str">
        <f t="shared" si="392"/>
        <v/>
      </c>
      <c r="I1038" s="27" t="str">
        <f>IF(N(J1038)=0,"",0&amp;"-"&amp;B$8)</f>
        <v/>
      </c>
      <c r="J1038" s="52" t="str">
        <f>IF(N(B$8)=0,"",IF(AND(COUNT(H1032:H1043)=2,COUNT(F1032:F1043)=2),cubic_spline(F1031:F1033,H1031:H1033,B$8),IF(AND(COUNT(H1032:H1043)=3,COUNT(F1032:F1043)=3),cubic_spline(F1031:F1034,H1031:H1034,B$8),IF(AND(COUNT(H1032:H1043)=4,COUNT(F1032:F1043)=4),cubic_spline(F1031:F1035,H1031:H1035,B$8),IF(AND(COUNT(H1032:H1043)=5,COUNT(F1032:F1043)=5),cubic_spline(F1031:F1036,H1031:H1036,B$8),IF(AND(COUNT(H1032:H1043)=6,COUNT(F1032:F1043)=6),cubic_spline(F1031:F1037,H1031:H1037,B$8),IF(AND(COUNT(H1032:H1043)=7,COUNT(F1032:F1043)=7),cubic_spline(F1031:F1038,H1031:H1038,B$8),IF(AND(COUNT(H1032:H1043)=8,COUNT(F1032:F1043)=8),cubic_spline(F1031:F1039,H1031:H1039,B$8),IF(AND(COUNT(H1032:H1043)=9,COUNT(F1032:F1043)=9),cubic_spline(F1031:F1040,H1031:H1040,B$8),IF(AND(COUNT(H1032:H1043)=10,COUNT(F1032:F1043)=10),cubic_spline(F1031:F1041,H1031:H1041,B$8),IF(AND(COUNT(H1032:H1043)=11,COUNT(F1032:F1043)=11),cubic_spline(F1031:F1042,H1031:H1042,B$8),IF(AND(COUNT(H1032:H1043)=12,COUNT(F1032:F1043)=12),cubic_spline(F1031:F1043,H1031:H1043,B$8),""))))))))))))</f>
        <v/>
      </c>
      <c r="K1038" s="52" t="str">
        <f>IF(N(B$8)=0,"",IF(AND(COUNT(A1032:A1043)=2,COUNT(F1032:F1043)=2),cubic_spline(F1031:F1033,A1031:A1033,B$8),IF(AND(COUNT(A1032:A1043)=3,COUNT(F1032:F1043)=3),cubic_spline(F1031:F1034,A1031:A1034,B$8),IF(AND(COUNT(A1032:A1043)=4,COUNT(F1032:F1043)=4),cubic_spline(F1031:F1035,A1031:A1035,B$8),IF(AND(COUNT(A1032:A1043)=5,COUNT(F1032:F1043)=5),cubic_spline(F1031:F1036,A1031:A1036,B$8),IF(AND(COUNT(A1032:A1043)=6,COUNT(F1032:F1043)=6),cubic_spline(F1031:F1037,A1031:A1037,B$8),IF(AND(COUNT(A1032:A1043)=7,COUNT(F1032:F1043)=7),cubic_spline(F1031:F1038,A1031:A1038,B$8),IF(AND(COUNT(A1032:A1043)=8,COUNT(F1032:F1043)=8),cubic_spline(F1031:F1039,A1031:A1039,B$8),IF(AND(COUNT(A1032:A1043)=9,COUNT(F1032:F1043)=9),cubic_spline(F1031:F1040,A1031:A1040,B$8),IF(AND(COUNT(A1032:A1043)=10,COUNT(F1032:F1043)=10),cubic_spline(F1031:F1041,A1031:A1041,B$8),IF(AND(COUNT(A1032:A1043)=11,COUNT(F1032:F1043)=11),cubic_spline(F1031:F1042,A1031:A1042,B$8),IF(AND(COUNT(A1032:A1043)=12,COUNT(F1032:F1043)=12),cubic_spline(F1031:F1043,A1031:A1043,B$8),""))))))))))))</f>
        <v/>
      </c>
      <c r="L1038" s="27" t="str">
        <f>IF(I1038="","",B$7&amp;"-"&amp;B$8)</f>
        <v/>
      </c>
      <c r="M1038" s="52" t="str">
        <f t="shared" si="395"/>
        <v/>
      </c>
    </row>
    <row r="1039" spans="1:13" x14ac:dyDescent="0.35">
      <c r="A1039" s="48"/>
      <c r="B1039" s="48"/>
      <c r="C1039" s="50"/>
      <c r="D1039" s="50"/>
      <c r="E1039" s="51" t="str">
        <f t="shared" si="393"/>
        <v/>
      </c>
      <c r="F1039" s="71" t="str">
        <f t="shared" si="391"/>
        <v/>
      </c>
      <c r="G1039" s="69" t="str">
        <f t="shared" si="394"/>
        <v/>
      </c>
      <c r="H1039" s="70" t="str">
        <f t="shared" si="392"/>
        <v/>
      </c>
      <c r="I1039" s="27" t="str">
        <f>IF(N(J1039)=0,"",0&amp;"-"&amp;B$9)</f>
        <v/>
      </c>
      <c r="J1039" s="52" t="str">
        <f>IF(N(B$9)=0,"",IF(AND(COUNT(H1032:H1043)=2,COUNT(F1032:F1043)=2),cubic_spline(F1031:F1033,H1031:H1033,B$9),IF(AND(COUNT(H1032:H1043)=3,COUNT(F1032:F1043)=3),cubic_spline(F1031:F1034,H1031:H1034,B$9),IF(AND(COUNT(H1032:H1043)=4,COUNT(F1032:F1043)=4),cubic_spline(F1031:F1035,H1031:H1035,B$9),IF(AND(COUNT(H1032:H1043)=5,COUNT(F1032:F1043)=5),cubic_spline(F1031:F1036,H1031:H1036,B$9),IF(AND(COUNT(H1032:H1043)=6,COUNT(F1032:F1043)=6),cubic_spline(F1031:F1037,H1031:H1037,B$9),IF(AND(COUNT(H1032:H1043)=7,COUNT(F1032:F1043)=7),cubic_spline(F1031:F1038,H1031:H1038,B$9),IF(AND(COUNT(H1032:H1043)=8,COUNT(F1032:F1043)=8),cubic_spline(F1031:F1039,H1031:H1039,B$9),IF(AND(COUNT(H1032:H1043)=9,COUNT(F1032:F1043)=9),cubic_spline(F1031:F1040,H1031:H1040,B$9),IF(AND(COUNT(H1032:H1043)=10,COUNT(F1032:F1043)=10),cubic_spline(F1031:F1041,H1031:H1041,B$9),IF(AND(COUNT(H1032:H1043)=11,COUNT(F1032:F1043)=11),cubic_spline(F1031:F1042,H1031:H1042,B$9),IF(AND(COUNT(H1032:H1043)=12,COUNT(F1032:F1043)=12),cubic_spline(F1031:F1043,H1031:H1043,B$9),""))))))))))))</f>
        <v/>
      </c>
      <c r="K1039" s="52" t="str">
        <f>IF(N(B$9)=0,"",IF(AND(COUNT(A1032:A1043)=2,COUNT(F1032:F1043)=2),cubic_spline(F1031:F1033,A1031:A1033,B$9),IF(AND(COUNT(A1032:A1043)=3,COUNT(F1032:F1043)=3),cubic_spline(F1031:F1034,A1031:A1034,B$9),IF(AND(COUNT(A1032:A1043)=4,COUNT(F1032:F1043)=4),cubic_spline(F1031:F1035,A1031:A1035,B$9),IF(AND(COUNT(A1032:A1043)=5,COUNT(F1032:F1043)=5),cubic_spline(F1031:F1036,A1031:A1036,B$9),IF(AND(COUNT(A1032:A1043)=6,COUNT(F1032:F1043)=6),cubic_spline(F1031:F1037,A1031:A1037,B$9),IF(AND(COUNT(A1032:A1043)=7,COUNT(F1032:F1043)=7),cubic_spline(F1031:F1038,A1031:A1038,B$9),IF(AND(COUNT(A1032:A1043)=8,COUNT(F1032:F1043)=8),cubic_spline(F1031:F1039,A1031:A1039,B$9),IF(AND(COUNT(A1032:A1043)=9,COUNT(F1032:F1043)=9),cubic_spline(F1031:F1040,A1031:A1040,B$9),IF(AND(COUNT(A1032:A1043)=10,COUNT(F1032:F1043)=10),cubic_spline(F1031:F1041,A1031:A1041,B$9),IF(AND(COUNT(A1032:A1043)=11,COUNT(F1032:F1043)=11),cubic_spline(F1031:F1042,A1031:A1042,B$9),IF(AND(COUNT(A1032:A1043)=12,COUNT(F1032:F1043)=12),cubic_spline(F1031:F1043,A1031:A1043,B$9),""))))))))))))</f>
        <v/>
      </c>
      <c r="L1039" s="27" t="str">
        <f>IF(I1039="","",B$8&amp;"-"&amp;B$9)</f>
        <v/>
      </c>
      <c r="M1039" s="52" t="str">
        <f t="shared" si="395"/>
        <v/>
      </c>
    </row>
    <row r="1040" spans="1:13" x14ac:dyDescent="0.35">
      <c r="A1040" s="48"/>
      <c r="B1040" s="48"/>
      <c r="C1040" s="50"/>
      <c r="D1040" s="50"/>
      <c r="E1040" s="51" t="str">
        <f t="shared" si="393"/>
        <v/>
      </c>
      <c r="F1040" s="71" t="str">
        <f t="shared" si="391"/>
        <v/>
      </c>
      <c r="G1040" s="69" t="str">
        <f t="shared" si="394"/>
        <v/>
      </c>
      <c r="H1040" s="70" t="str">
        <f t="shared" si="392"/>
        <v/>
      </c>
      <c r="I1040" s="27" t="str">
        <f>IF(N(J1040)=0,"",0&amp;"-"&amp;B$10)</f>
        <v/>
      </c>
      <c r="J1040" s="52" t="str">
        <f>IF(N(B$10)=0,"",IF(AND(COUNT(H1032:H1043)=2,COUNT(F1032:F1043)=2),cubic_spline(F1031:F1033,H1031:H1033,B$10),IF(AND(COUNT(H1032:H1043)=3,COUNT(F1032:F1043)=3),cubic_spline(F1031:F1034,H1031:H1034,B$10),IF(AND(COUNT(H1032:H1043)=4,COUNT(F1032:F1043)=4),cubic_spline(F1031:F1035,H1031:H1035,B$10),IF(AND(COUNT(H1032:H1043)=5,COUNT(F1032:F1043)=5),cubic_spline(F1031:F1036,H1031:H1036,B$10),IF(AND(COUNT(H1032:H1043)=6,COUNT(F1032:F1043)=6),cubic_spline(F1031:F1037,H1031:H1037,B$10),IF(AND(COUNT(H1032:H1043)=7,COUNT(F1032:F1043)=7),cubic_spline(F1031:F1038,H1031:H1038,B$10),IF(AND(COUNT(H1032:H1043)=8,COUNT(F1032:F1043)=8),cubic_spline(F1031:F1039,H1031:H1039,B$10),IF(AND(COUNT(H1032:H1043)=9,COUNT(F1032:F1043)=9),cubic_spline(F1031:F1040,H1031:H1040,B$10),IF(AND(COUNT(H1032:H1043)=10,COUNT(F1032:F1043)=10),cubic_spline(F1031:F1041,H1031:H1041,B$10),IF(AND(COUNT(H1032:H1043)=11,COUNT(F1032:F1043)=11),cubic_spline(F1031:F1042,H1031:H1042,B$10),IF(AND(COUNT(H1032:H1043)=12,COUNT(F1032:F1043)=12),cubic_spline(F1031:F1043,H1031:H1043,B$10),""))))))))))))</f>
        <v/>
      </c>
      <c r="K1040" s="52" t="str">
        <f>IF(N(B$10)=0,"",IF(AND(COUNT(A1032:A1043)=2,COUNT(F1032:F1043)=2),cubic_spline(F1031:F1033,A1031:A1033,B$10),IF(AND(COUNT(A1032:A1043)=3,COUNT(F1032:F1043)=3),cubic_spline(F1031:F1034,A1031:A1034,B$10),IF(AND(COUNT(A1032:A1043)=4,COUNT(F1032:F1043)=4),cubic_spline(F1031:F1035,A1031:A1035,B$10),IF(AND(COUNT(A1032:A1043)=5,COUNT(F1032:F1043)=5),cubic_spline(F1031:F1036,A1031:A1036,B$10),IF(AND(COUNT(A1032:A1043)=6,COUNT(F1032:F1043)=6),cubic_spline(F1031:F1037,A1031:A1037,B$10),IF(AND(COUNT(A1032:A1043)=7,COUNT(F1032:F1043)=7),cubic_spline(F1031:F1038,A1031:A1038,B$10),IF(AND(COUNT(A1032:A1043)=8,COUNT(F1032:F1043)=8),cubic_spline(F1031:F1039,A1031:A1039,B$10),IF(AND(COUNT(A1032:A1043)=9,COUNT(F1032:F1043)=9),cubic_spline(F1031:F1040,A1031:A1040,B$10),IF(AND(COUNT(A1032:A1043)=10,COUNT(F1032:F1043)=10),cubic_spline(F1031:F1041,A1031:A1041,B$10),IF(AND(COUNT(A1032:A1043)=11,COUNT(F1032:F1043)=11),cubic_spline(F1031:F1042,A1031:A1042,B$10),IF(AND(COUNT(A1032:A1043)=12,COUNT(F1032:F1043)=12),cubic_spline(F1031:F1043,A1031:A1043,B$10),""))))))))))))</f>
        <v/>
      </c>
      <c r="L1040" s="27" t="str">
        <f>IF(I1040="","",B$9&amp;"-"&amp;B$10)</f>
        <v/>
      </c>
      <c r="M1040" s="52" t="str">
        <f t="shared" si="395"/>
        <v/>
      </c>
    </row>
    <row r="1041" spans="1:13" x14ac:dyDescent="0.35">
      <c r="A1041" s="48"/>
      <c r="B1041" s="48"/>
      <c r="C1041" s="50"/>
      <c r="D1041" s="50"/>
      <c r="E1041" s="51" t="str">
        <f t="shared" si="393"/>
        <v/>
      </c>
      <c r="F1041" s="71" t="str">
        <f t="shared" si="391"/>
        <v/>
      </c>
      <c r="G1041" s="69" t="str">
        <f t="shared" si="394"/>
        <v/>
      </c>
      <c r="H1041" s="70" t="str">
        <f t="shared" si="392"/>
        <v/>
      </c>
      <c r="I1041" s="27" t="str">
        <f>IF(N(J1041)=0,"",0&amp;"-"&amp;B$11)</f>
        <v/>
      </c>
      <c r="J1041" s="52" t="str">
        <f>IF(N(B$11)=0,"",IF(AND(COUNT(H1032:H1043)=2,COUNT(F1032:F1043)=2),cubic_spline(F1031:F1033,H1031:H1033,B$11),IF(AND(COUNT(H1032:H1043)=3,COUNT(F1032:F1043)=3),cubic_spline(F1031:F1034,H1031:H1034,B$11),IF(AND(COUNT(H1032:H1043)=4,COUNT(F1032:F1043)=4),cubic_spline(F1031:F1035,H1031:H1035,B$11),IF(AND(COUNT(H1032:H1043)=5,COUNT(F1032:F1043)=5),cubic_spline(F1031:F1036,H1031:H1036,B$11),IF(AND(COUNT(H1032:H1043)=6,COUNT(F1032:F1043)=6),cubic_spline(F1031:F1037,H1031:H1037,B$11),IF(AND(COUNT(H1032:H1043)=7,COUNT(F1032:F1043)=7),cubic_spline(F1031:F1038,H1031:H1038,B$11),IF(AND(COUNT(H1032:H1043)=8,COUNT(F1032:F1043)=8),cubic_spline(F1031:F1039,H1031:H1039,B$11),IF(AND(COUNT(H1032:H1043)=9,COUNT(F1032:F1043)=9),cubic_spline(F1031:F1040,H1031:H1040,B$11),IF(AND(COUNT(H1032:H1043)=10,COUNT(F1032:F1043)=10),cubic_spline(F1031:F1041,H1031:H1041,B$11),IF(AND(COUNT(H1032:H1043)=11,COUNT(F1032:F1043)=11),cubic_spline(F1031:F1042,H1031:H1042,B$11),IF(AND(COUNT(H1032:H1043)=12,COUNT(F1032:F1043)=12),cubic_spline(F1031:F1043,H1031:H1043,B$11),""))))))))))))</f>
        <v/>
      </c>
      <c r="K1041" s="52" t="str">
        <f>IF(N(B$11)=0,"",IF(AND(COUNT(A1032:A1043)=2,COUNT(F1032:F1043)=2),cubic_spline(F1031:F1033,A1031:A1033,B$11),IF(AND(COUNT(A1032:A1043)=3,COUNT(F1032:F1043)=3),cubic_spline(F1031:F1034,A1031:A1034,B$11),IF(AND(COUNT(A1032:A1043)=4,COUNT(F1032:F1043)=4),cubic_spline(F1031:F1035,A1031:A1035,B$11),IF(AND(COUNT(A1032:A1043)=5,COUNT(F1032:F1043)=5),cubic_spline(F1031:F1036,A1031:A1036,B$11),IF(AND(COUNT(A1032:A1043)=6,COUNT(F1032:F1043)=6),cubic_spline(F1031:F1037,A1031:A1037,B$11),IF(AND(COUNT(A1032:A1043)=7,COUNT(F1032:F1043)=7),cubic_spline(F1031:F1038,A1031:A1038,B$11),IF(AND(COUNT(A1032:A1043)=8,COUNT(F1032:F1043)=8),cubic_spline(F1031:F1039,A1031:A1039,B$11),IF(AND(COUNT(A1032:A1043)=9,COUNT(F1032:F1043)=9),cubic_spline(F1031:F1040,A1031:A1040,B$11),IF(AND(COUNT(A1032:A1043)=10,COUNT(F1032:F1043)=10),cubic_spline(F1031:F1041,A1031:A1041,B$11),IF(AND(COUNT(A1032:A1043)=11,COUNT(F1032:F1043)=11),cubic_spline(F1031:F1042,A1031:A1042,B$11),IF(AND(COUNT(A1032:A1043)=12,COUNT(F1032:F1043)=12),cubic_spline(F1031:F1043,A1031:A1043,B$11),""))))))))))))</f>
        <v/>
      </c>
      <c r="L1041" s="27" t="str">
        <f>IF(I1041="","",B$10&amp;"-"&amp;B$11)</f>
        <v/>
      </c>
      <c r="M1041" s="52" t="str">
        <f t="shared" si="395"/>
        <v/>
      </c>
    </row>
    <row r="1042" spans="1:13" x14ac:dyDescent="0.35">
      <c r="A1042" s="48"/>
      <c r="B1042" s="48"/>
      <c r="C1042" s="50"/>
      <c r="D1042" s="50"/>
      <c r="E1042" s="51" t="str">
        <f t="shared" si="393"/>
        <v/>
      </c>
      <c r="F1042" s="71" t="str">
        <f t="shared" si="391"/>
        <v/>
      </c>
      <c r="G1042" s="69" t="str">
        <f t="shared" si="394"/>
        <v/>
      </c>
      <c r="H1042" s="70" t="str">
        <f t="shared" si="392"/>
        <v/>
      </c>
      <c r="I1042" s="27" t="str">
        <f>IF(N(J1042)=0,"",0&amp;"-"&amp;B$12)</f>
        <v/>
      </c>
      <c r="J1042" s="52" t="str">
        <f>IF(N(B$12)=0,"",IF(AND(COUNT(H1032:H1043)=2,COUNT(F1032:F1043)=2),cubic_spline(F1031:F1033,H1031:H1033,B$12),IF(AND(COUNT(H1032:H1043)=3,COUNT(F1032:F1043)=3),cubic_spline(F1031:F1034,H1031:H1034,B$12),IF(AND(COUNT(H1032:H1043)=4,COUNT(F1032:F1043)=4),cubic_spline(F1031:F1035,H1031:H1035,B$12),IF(AND(COUNT(H1032:H1043)=5,COUNT(F1032:F1043)=5),cubic_spline(F1031:F1036,H1031:H1036,B$12),IF(AND(COUNT(H1032:H1043)=6,COUNT(F1032:F1043)=6),cubic_spline(F1031:F1037,H1031:H1037,B$12),IF(AND(COUNT(H1032:H1043)=7,COUNT(F1032:F1043)=7),cubic_spline(F1031:F1038,H1031:H1038,B$12),IF(AND(COUNT(H1032:H1043)=8,COUNT(F1032:F1043)=8),cubic_spline(F1031:F1039,H1031:H1039,B$12),IF(AND(COUNT(H1032:H1043)=9,COUNT(F1032:F1043)=9),cubic_spline(F1031:F1040,H1031:H1040,B$12),IF(AND(COUNT(H1032:H1043)=10,COUNT(F1032:F1043)=10),cubic_spline(F1031:F1041,H1031:H1041,B$12),IF(AND(COUNT(H1032:H1043)=11,COUNT(F1032:F1043)=11),cubic_spline(F1031:F1042,H1031:H1042,B$12),IF(AND(COUNT(H1032:H1043)=12,COUNT(F1032:F1043)=12),cubic_spline(F1031:F1043,H1031:H1043,B$12),""))))))))))))</f>
        <v/>
      </c>
      <c r="K1042" s="52" t="str">
        <f>IF(N(B$12)=0,"",IF(AND(COUNT(A1032:A1043)=2,COUNT(F1032:F1043)=2),cubic_spline(F1031:F1033,A1031:A1033,B$12),IF(AND(COUNT(A1032:A1043)=3,COUNT(F1032:F1043)=3),cubic_spline(F1031:F1034,A1031:A1034,B$12),IF(AND(COUNT(A1032:A1043)=4,COUNT(F1032:F1043)=4),cubic_spline(F1031:F1035,A1031:A1035,B$12),IF(AND(COUNT(A1032:A1043)=5,COUNT(F1032:F1043)=5),cubic_spline(F1031:F1036,A1031:A1036,B$12),IF(AND(COUNT(A1032:A1043)=6,COUNT(F1032:F1043)=6),cubic_spline(F1031:F1037,A1031:A1037,B$12),IF(AND(COUNT(A1032:A1043)=7,COUNT(F1032:F1043)=7),cubic_spline(F1031:F1038,A1031:A1038,B$12),IF(AND(COUNT(A1032:A1043)=8,COUNT(F1032:F1043)=8),cubic_spline(F1031:F1039,A1031:A1039,B$12),IF(AND(COUNT(A1032:A1043)=9,COUNT(F1032:F1043)=9),cubic_spline(F1031:F1040,A1031:A1040,B$12),IF(AND(COUNT(A1032:A1043)=10,COUNT(F1032:F1043)=10),cubic_spline(F1031:F1041,A1031:A1041,B$12),IF(AND(COUNT(A1032:A1043)=11,COUNT(F1032:F1043)=11),cubic_spline(F1031:F1042,A1031:A1042,B$12),IF(AND(COUNT(A1032:A1043)=12,COUNT(F1032:F1043)=12),cubic_spline(F1031:F1043,A1031:A1043,B$12),""))))))))))))</f>
        <v/>
      </c>
      <c r="L1042" s="27" t="str">
        <f>IF(I1042="","",B$11&amp;"-"&amp;B$12)</f>
        <v/>
      </c>
      <c r="M1042" s="52" t="str">
        <f t="shared" si="395"/>
        <v/>
      </c>
    </row>
    <row r="1043" spans="1:13" x14ac:dyDescent="0.35">
      <c r="A1043" s="48"/>
      <c r="B1043" s="48"/>
      <c r="C1043" s="50"/>
      <c r="D1043" s="50"/>
      <c r="E1043" s="51" t="str">
        <f t="shared" si="393"/>
        <v/>
      </c>
      <c r="F1043" s="71" t="str">
        <f t="shared" si="391"/>
        <v/>
      </c>
      <c r="G1043" s="69" t="str">
        <f t="shared" si="394"/>
        <v/>
      </c>
      <c r="H1043" s="70" t="str">
        <f t="shared" si="392"/>
        <v/>
      </c>
      <c r="I1043" s="27" t="str">
        <f>IF(N(J1043)=0,"",0&amp;"-"&amp;B$13)</f>
        <v/>
      </c>
      <c r="J1043" s="52" t="str">
        <f>IF(N(B$13)=0,"",IF(AND(COUNT(H1032:H1043)=2,COUNT(F1032:F1043)=2),cubic_spline(F1031:F1033,H1031:H1033,B$13),IF(AND(COUNT(H1032:H1043)=3,COUNT(F1032:F1043)=3),cubic_spline(F1031:F1034,H1031:H1034,B$13),IF(AND(COUNT(H1032:H1043)=4,COUNT(F1032:F1043)=4),cubic_spline(F1031:F1035,H1031:H1035,B$13),IF(AND(COUNT(H1032:H1043)=5,COUNT(F1032:F1043)=5),cubic_spline(F1031:F1036,H1031:H1036,B$13),IF(AND(COUNT(H1032:H1043)=6,COUNT(F1032:F1043)=6),cubic_spline(F1031:F1037,H1031:H1037,B$13),IF(AND(COUNT(H1032:H1043)=7,COUNT(F1032:F1043)=7),cubic_spline(F1031:F1038,H1031:H1038,B$13),IF(AND(COUNT(H1032:H1043)=8,COUNT(F1032:F1043)=8),cubic_spline(F1031:F1039,H1031:H1039,B$13),IF(AND(COUNT(H1032:H1043)=9,COUNT(F1032:F1043)=9),cubic_spline(F1031:F1040,H1031:H1040,B$13),IF(AND(COUNT(H1032:H1043)=10,COUNT(F1032:F1043)=10),cubic_spline(F1031:F1041,H1031:H1041,B$13),IF(AND(COUNT(H1032:H1043)=11,COUNT(F1032:F1043)=11),cubic_spline(F1031:F1042,H1031:H1042,B$13),IF(AND(COUNT(H1032:H1043)=12,COUNT(F1032:F1043)=12),cubic_spline(F1031:F1043,H1031:H1043,B$13),""))))))))))))</f>
        <v/>
      </c>
      <c r="K1043" s="52" t="str">
        <f>IF(N(B$13)=0,"",IF(AND(COUNT(A1032:A1043)=2,COUNT(F1032:F1043)=2),cubic_spline(F1031:F1033,A1031:A1033,B$13),IF(AND(COUNT(A1032:A1043)=3,COUNT(F1032:F1043)=3),cubic_spline(F1031:F1034,A1031:A1034,B$13),IF(AND(COUNT(A1032:A1043)=4,COUNT(F1032:F1043)=4),cubic_spline(F1031:F1035,A1031:A1035,B$13),IF(AND(COUNT(A1032:A1043)=5,COUNT(F1032:F1043)=5),cubic_spline(F1031:F1036,A1031:A1036,B$13),IF(AND(COUNT(A1032:A1043)=6,COUNT(F1032:F1043)=6),cubic_spline(F1031:F1037,A1031:A1037,B$13),IF(AND(COUNT(A1032:A1043)=7,COUNT(F1032:F1043)=7),cubic_spline(F1031:F1038,A1031:A1038,B$13),IF(AND(COUNT(A1032:A1043)=8,COUNT(F1032:F1043)=8),cubic_spline(F1031:F1039,A1031:A1039,B$13),IF(AND(COUNT(A1032:A1043)=9,COUNT(F1032:F1043)=9),cubic_spline(F1031:F1040,A1031:A1040,B$13),IF(AND(COUNT(A1032:A1043)=10,COUNT(F1032:F1043)=10),cubic_spline(F1031:F1041,A1031:A1041,B$13),IF(AND(COUNT(A1032:A1043)=11,COUNT(F1032:F1043)=11),cubic_spline(F1031:F1042,A1031:A1042,B$13),IF(AND(COUNT(A1032:A1043)=12,COUNT(F1032:F1043)=12),cubic_spline(F1031:F1043,A1031:A1043,B$13),""))))))))))))</f>
        <v/>
      </c>
      <c r="L1043" s="27" t="str">
        <f>IF(I1043="","",B$12&amp;"-"&amp;B$13)</f>
        <v/>
      </c>
      <c r="M1043" s="52" t="str">
        <f t="shared" si="395"/>
        <v/>
      </c>
    </row>
    <row r="1044" spans="1:13" ht="5.15" customHeight="1" x14ac:dyDescent="0.35">
      <c r="A1044" s="47"/>
      <c r="B1044" s="47"/>
      <c r="C1044" s="53"/>
      <c r="D1044" s="53"/>
      <c r="E1044" s="54"/>
      <c r="F1044" s="55"/>
      <c r="G1044" s="72"/>
      <c r="H1044" s="73"/>
      <c r="I1044" s="47"/>
      <c r="J1044" s="57"/>
      <c r="K1044" s="57"/>
      <c r="L1044" s="55"/>
      <c r="M1044" s="57"/>
    </row>
    <row r="1045" spans="1:13" x14ac:dyDescent="0.35">
      <c r="A1045" s="48"/>
      <c r="B1045" s="48"/>
      <c r="C1045" s="50"/>
      <c r="D1045" s="50"/>
      <c r="E1045" s="51" t="str">
        <f>IF(N(C1045)=0,"",(A1045-A1044)*C1045*100)</f>
        <v/>
      </c>
      <c r="F1045" s="68" t="str">
        <f t="shared" ref="F1045:F1056" si="396">IF(N(E1045)=0,"",(N(E1045)+N(F1044)))</f>
        <v/>
      </c>
      <c r="G1045" s="69" t="str">
        <f>IF(OR(N(D1045)=0,N(E1045)=0),"",(E1045*D1045)/1000)</f>
        <v/>
      </c>
      <c r="H1045" s="70" t="str">
        <f t="shared" ref="H1045:H1056" si="397">IF(N(G1045)=0,"",(N(G1045)+N(H1044)))</f>
        <v/>
      </c>
      <c r="I1045" s="27" t="str">
        <f>IF(N(J1045)=0,"",0&amp;"-"&amp;B$2)</f>
        <v/>
      </c>
      <c r="J1045" s="52" t="str">
        <f>IF(N(B$2)=0,"",IF(AND(COUNT(H1045:H1056)=2,COUNT(F1045:F1056)=2),cubic_spline(F1044:F1046,H1044:H1046,B$2),IF(AND(COUNT(H1045:H1056)=3,COUNT(F1045:F1056)=3),cubic_spline(F1044:F1047,H1044:H1047,B$2),IF(AND(COUNT(H1045:H1056)=4,COUNT(F1045:F1056)=4),cubic_spline(F1044:F1048,H1044:H1048,B$2),IF(AND(COUNT(H1045:H1056)=5,COUNT(F1045:F1056)=5),cubic_spline(F1044:F1049,H1044:H1049,B$2),IF(AND(COUNT(H1045:H1056)=6,COUNT(F1045:F1056)=6),cubic_spline(F1044:F1050,H1044:H1050,B$2),IF(AND(COUNT(H1045:H1056)=7,COUNT(F1045:F1056)=7),cubic_spline(F1044:F1051,H1044:H1051,B$2),IF(AND(COUNT(H1045:H1056)=8,COUNT(F1045:F1056)=8),cubic_spline(F1044:F1052,H1044:H1052,B$2),IF(AND(COUNT(H1045:H1056)=9,COUNT(F1045:F1056)=9),cubic_spline(F1044:F1053,H1044:H1053,B$2),IF(AND(COUNT(H1045:H1056)=10,COUNT(F1045:F1056)=10),cubic_spline(F1044:F1054,H1044:H1054,B$2),IF(AND(COUNT(H1045:H1056)=11,COUNT(F1045:F1056)=11),cubic_spline(F1044:F1055,H1044:H1055,B$2),IF(AND(COUNT(H1045:H1056)=12,COUNT(F1045:F1056)=12),cubic_spline(F1044:F1056,H1044:H1056,B$2),""))))))))))))</f>
        <v/>
      </c>
      <c r="K1045" s="52" t="str">
        <f>IF(N(B$2)=0,"",IF(AND(COUNT(A1045:A1056)=2,COUNT(F1045:F1056)=2),cubic_spline(F1044:F1046,A1044:A1046,B$2),IF(AND(COUNT(A1045:A1056)=3,COUNT(F1045:F1056)=3),cubic_spline(F1044:F1047,A1044:A1047,B$2),IF(AND(COUNT(A1045:A1056)=4,COUNT(F1045:F1056)=4),cubic_spline(F1044:F1048,A1044:A1048,B$2),IF(AND(COUNT(A1045:A1056)=5,COUNT(F1045:F1056)=5),cubic_spline(F1044:F1049,A1044:A1049,B$2),IF(AND(COUNT(A1045:A1056)=6,COUNT(F1045:F1056)=6),cubic_spline(F1044:F1050,A1044:A1050,B$2),IF(AND(COUNT(A1045:A1056)=7,COUNT(F1045:F1056)=7),cubic_spline(F1044:F1051,A1044:A1051,B$2),IF(AND(COUNT(A1045:A1056)=8,COUNT(F1045:F1056)=8),cubic_spline(F1044:F1052,A1044:A1052,B$2),IF(AND(COUNT(A1045:A1056)=9,COUNT(F1045:F1056)=9),cubic_spline(F1044:F1053,A1044:A1053,B$2),IF(AND(COUNT(A1045:A1056)=10,COUNT(F1045:F1056)=10),cubic_spline(F1044:F1054,A1044:A1054,B$2),IF(AND(COUNT(A1045:A1056)=11,COUNT(F1045:F1056)=11),cubic_spline(F1044:F1055,A1044:A1055,B$2),IF(AND(COUNT(A1045:A1056)=12,COUNT(F1045:F1056)=12),cubic_spline(F1044:F1056,A1044:A1056,B$2),""))))))))))))</f>
        <v/>
      </c>
      <c r="L1045" s="27" t="str">
        <f>IF(I1045="","",0&amp;"-"&amp;B$2)</f>
        <v/>
      </c>
      <c r="M1045" s="52" t="str">
        <f>IF(N(J1045)=0,"",J1045-J1044)</f>
        <v/>
      </c>
    </row>
    <row r="1046" spans="1:13" x14ac:dyDescent="0.35">
      <c r="A1046" s="48"/>
      <c r="B1046" s="48"/>
      <c r="C1046" s="50"/>
      <c r="D1046" s="50"/>
      <c r="E1046" s="51" t="str">
        <f t="shared" ref="E1046:E1056" si="398">IF(N(C1046)=0,"",(A1046-A1045)*C1046*100)</f>
        <v/>
      </c>
      <c r="F1046" s="68" t="str">
        <f t="shared" si="396"/>
        <v/>
      </c>
      <c r="G1046" s="69" t="str">
        <f t="shared" ref="G1046:G1056" si="399">IF(OR(N(D1046)=0,N(E1046)=0),"",(E1046*D1046)/1000)</f>
        <v/>
      </c>
      <c r="H1046" s="70" t="str">
        <f t="shared" si="397"/>
        <v/>
      </c>
      <c r="I1046" s="27" t="str">
        <f>IF(N(J1046)=0,"",0&amp;"-"&amp;B$3)</f>
        <v/>
      </c>
      <c r="J1046" s="52" t="str">
        <f>IF(N(B$3)=0,"",IF(AND(COUNT(H1045:H1056)=2,COUNT(F1045:F1056)=2),cubic_spline(F1044:F1046,H1044:H1046,B$3),IF(AND(COUNT(H1045:H1056)=3,COUNT(F1045:F1056)=3),cubic_spline(F1044:F1047,H1044:H1047,B$3),IF(AND(COUNT(H1045:H1056)=4,COUNT(F1045:F1056)=4),cubic_spline(F1044:F1048,H1044:H1048,B$3),IF(AND(COUNT(H1045:H1056)=5,COUNT(F1045:F1056)=5),cubic_spline(F1044:F1049,H1044:H1049,B$3),IF(AND(COUNT(H1045:H1056)=6,COUNT(F1045:F1056)=6),cubic_spline(F1044:F1050,H1044:H1050,B$3),IF(AND(COUNT(H1045:H1056)=7,COUNT(F1045:F1056)=7),cubic_spline(F1044:F1051,H1044:H1051,B$3),IF(AND(COUNT(H1045:H1056)=8,COUNT(F1045:F1056)=8),cubic_spline(F1044:F1052,H1044:H1052,B$3),IF(AND(COUNT(H1045:H1056)=9,COUNT(F1045:F1056)=9),cubic_spline(F1044:F1053,H1044:H1053,B$3),IF(AND(COUNT(H1045:H1056)=10,COUNT(F1045:F1056)=10),cubic_spline(F1044:F1054,H1044:H1054,B$3),IF(AND(COUNT(H1045:H1056)=11,COUNT(F1045:F1056)=11),cubic_spline(F1044:F1055,H1044:H1055,B$3),IF(AND(COUNT(H1045:H1056)=12,COUNT(F1045:F1056)=12),cubic_spline(F1044:F1056,H1044:H1056,B$3),""))))))))))))</f>
        <v/>
      </c>
      <c r="K1046" s="52" t="str">
        <f>IF(N(B$3)=0,"",IF(AND(COUNT(A1045:A1056)=2,COUNT(F1045:F1056)=2),cubic_spline(F1044:F1046,A1044:A1046,B$3),IF(AND(COUNT(A1045:A1056)=3,COUNT(F1045:F1056)=3),cubic_spline(F1044:F1047,A1044:A1047,B$3),IF(AND(COUNT(A1045:A1056)=4,COUNT(F1045:F1056)=4),cubic_spline(F1044:F1048,A1044:A1048,B$3),IF(AND(COUNT(A1045:A1056)=5,COUNT(F1045:F1056)=5),cubic_spline(F1044:F1049,A1044:A1049,B$3),IF(AND(COUNT(A1045:A1056)=6,COUNT(F1045:F1056)=6),cubic_spline(F1044:F1050,A1044:A1050,B$3),IF(AND(COUNT(A1045:A1056)=7,COUNT(F1045:F1056)=7),cubic_spline(F1044:F1051,A1044:A1051,B$3),IF(AND(COUNT(A1045:A1056)=8,COUNT(F1045:F1056)=8),cubic_spline(F1044:F1052,A1044:A1052,B$3),IF(AND(COUNT(A1045:A1056)=9,COUNT(F1045:F1056)=9),cubic_spline(F1044:F1053,A1044:A1053,B$3),IF(AND(COUNT(A1045:A1056)=10,COUNT(F1045:F1056)=10),cubic_spline(F1044:F1054,A1044:A1054,B$3),IF(AND(COUNT(A1045:A1056)=11,COUNT(F1045:F1056)=11),cubic_spline(F1044:F1055,A1044:A1055,B$3),IF(AND(COUNT(A1045:A1056)=12,COUNT(F1045:F1056)=12),cubic_spline(F1044:F1056,A1044:A1056,B$3),""))))))))))))</f>
        <v/>
      </c>
      <c r="L1046" s="27" t="str">
        <f>IF(I1046="","",B$2&amp;"-"&amp;B$3)</f>
        <v/>
      </c>
      <c r="M1046" s="52" t="str">
        <f>IF(N(J1046)=0,"",J1046-J1045)</f>
        <v/>
      </c>
    </row>
    <row r="1047" spans="1:13" x14ac:dyDescent="0.35">
      <c r="A1047" s="48"/>
      <c r="B1047" s="48"/>
      <c r="C1047" s="50"/>
      <c r="D1047" s="50"/>
      <c r="E1047" s="51" t="str">
        <f t="shared" si="398"/>
        <v/>
      </c>
      <c r="F1047" s="68" t="str">
        <f t="shared" si="396"/>
        <v/>
      </c>
      <c r="G1047" s="69" t="str">
        <f t="shared" si="399"/>
        <v/>
      </c>
      <c r="H1047" s="70" t="str">
        <f t="shared" si="397"/>
        <v/>
      </c>
      <c r="I1047" s="27" t="str">
        <f>IF(N(J1047)=0,"",0&amp;"-"&amp;B$4)</f>
        <v/>
      </c>
      <c r="J1047" s="52" t="str">
        <f>IF(N(B$4)=0,"",IF(AND(COUNT(H1045:H1056)=2,COUNT(F1045:F1056)=2),cubic_spline(F1044:F1046,H1044:H1046,B$4),IF(AND(COUNT(H1045:H1056)=3,COUNT(F1045:F1056)=3),cubic_spline(F1044:F1047,H1044:H1047,B$4),IF(AND(COUNT(H1045:H1056)=4,COUNT(F1045:F1056)=4),cubic_spline(F1044:F1048,H1044:H1048,B$4),IF(AND(COUNT(H1045:H1056)=5,COUNT(F1045:F1056)=5),cubic_spline(F1044:F1049,H1044:H1049,B$4),IF(AND(COUNT(H1045:H1056)=6,COUNT(F1045:F1056)=6),cubic_spline(F1044:F1050,H1044:H1050,B$4),IF(AND(COUNT(H1045:H1056)=7,COUNT(F1045:F1056)=7),cubic_spline(F1044:F1051,H1044:H1051,B$4),IF(AND(COUNT(H1045:H1056)=8,COUNT(F1045:F1056)=8),cubic_spline(F1044:F1052,H1044:H1052,B$4),IF(AND(COUNT(H1045:H1056)=9,COUNT(F1045:F1056)=9),cubic_spline(F1044:F1053,H1044:H1053,B$4),IF(AND(COUNT(H1045:H1056)=10,COUNT(F1045:F1056)=10),cubic_spline(F1044:F1054,H1044:H1054,B$4),IF(AND(COUNT(H1045:H1056)=11,COUNT(F1045:F1056)=11),cubic_spline(F1044:F1055,H1044:H1055,B$4),IF(AND(COUNT(H1045:H1056)=12,COUNT(F1045:F1056)=12),cubic_spline(F1044:F1056,H1044:H1056,B$4),""))))))))))))</f>
        <v/>
      </c>
      <c r="K1047" s="52" t="str">
        <f>IF(N(B$4)=0,"",IF(AND(COUNT(A1045:A1056)=2,COUNT(F1045:F1056)=2),cubic_spline(F1044:F1046,A1044:A1046,B$4),IF(AND(COUNT(A1045:A1056)=3,COUNT(F1045:F1056)=3),cubic_spline(F1044:F1047,A1044:A1047,B$4),IF(AND(COUNT(A1045:A1056)=4,COUNT(F1045:F1056)=4),cubic_spline(F1044:F1048,A1044:A1048,B$4),IF(AND(COUNT(A1045:A1056)=5,COUNT(F1045:F1056)=5),cubic_spline(F1044:F1049,A1044:A1049,B$4),IF(AND(COUNT(A1045:A1056)=6,COUNT(F1045:F1056)=6),cubic_spline(F1044:F1050,A1044:A1050,B$4),IF(AND(COUNT(A1045:A1056)=7,COUNT(F1045:F1056)=7),cubic_spline(F1044:F1051,A1044:A1051,B$4),IF(AND(COUNT(A1045:A1056)=8,COUNT(F1045:F1056)=8),cubic_spline(F1044:F1052,A1044:A1052,B$4),IF(AND(COUNT(A1045:A1056)=9,COUNT(F1045:F1056)=9),cubic_spline(F1044:F1053,A1044:A1053,B$4),IF(AND(COUNT(A1045:A1056)=10,COUNT(F1045:F1056)=10),cubic_spline(F1044:F1054,A1044:A1054,B$4),IF(AND(COUNT(A1045:A1056)=11,COUNT(F1045:F1056)=11),cubic_spline(F1044:F1055,A1044:A1055,B$4),IF(AND(COUNT(A1045:A1056)=12,COUNT(F1045:F1056)=12),cubic_spline(F1044:F1056,A1044:A1056,B$4),""))))))))))))</f>
        <v/>
      </c>
      <c r="L1047" s="27" t="str">
        <f>IF(I1047="","",B$3&amp;"-"&amp;B$4)</f>
        <v/>
      </c>
      <c r="M1047" s="52" t="str">
        <f>IF(N(J1047)=0,"",J1047-J1046)</f>
        <v/>
      </c>
    </row>
    <row r="1048" spans="1:13" x14ac:dyDescent="0.35">
      <c r="A1048" s="48"/>
      <c r="B1048" s="48"/>
      <c r="C1048" s="50"/>
      <c r="D1048" s="50"/>
      <c r="E1048" s="51" t="str">
        <f t="shared" si="398"/>
        <v/>
      </c>
      <c r="F1048" s="68" t="str">
        <f t="shared" si="396"/>
        <v/>
      </c>
      <c r="G1048" s="69" t="str">
        <f t="shared" si="399"/>
        <v/>
      </c>
      <c r="H1048" s="70" t="str">
        <f t="shared" si="397"/>
        <v/>
      </c>
      <c r="I1048" s="27" t="str">
        <f>IF(N(J1048)=0,"",0&amp;"-"&amp;B$5)</f>
        <v/>
      </c>
      <c r="J1048" s="52" t="str">
        <f>IF(N(B$5)=0,"",IF(AND(COUNT(H1045:H1056)=2,COUNT(F1045:F1056)=2),cubic_spline(F1044:F1046,H1044:H1046,B$5),IF(AND(COUNT(H1045:H1056)=3,COUNT(F1045:F1056)=3),cubic_spline(F1044:F1047,H1044:H1047,B$5),IF(AND(COUNT(H1045:H1056)=4,COUNT(F1045:F1056)=4),cubic_spline(F1044:F1048,H1044:H1048,B$5),IF(AND(COUNT(H1045:H1056)=5,COUNT(F1045:F1056)=5),cubic_spline(F1044:F1049,H1044:H1049,B$5),IF(AND(COUNT(H1045:H1056)=6,COUNT(F1045:F1056)=6),cubic_spline(F1044:F1050,H1044:H1050,B$5),IF(AND(COUNT(H1045:H1056)=7,COUNT(F1045:F1056)=7),cubic_spline(F1044:F1051,H1044:H1051,B$5),IF(AND(COUNT(H1045:H1056)=8,COUNT(F1045:F1056)=8),cubic_spline(F1044:F1052,H1044:H1052,B$5),IF(AND(COUNT(H1045:H1056)=9,COUNT(F1045:F1056)=9),cubic_spline(F1044:F1053,H1044:H1053,B$5),IF(AND(COUNT(H1045:H1056)=10,COUNT(F1045:F1056)=10),cubic_spline(F1044:F1054,H1044:H1054,B$5),IF(AND(COUNT(H1045:H1056)=11,COUNT(F1045:F1056)=11),cubic_spline(F1044:F1055,H1044:H1055,B$5),IF(AND(COUNT(H1045:H1056)=12,COUNT(F1045:F1056)=12),cubic_spline(F1044:F1056,H1044:H1056,B$5),""))))))))))))</f>
        <v/>
      </c>
      <c r="K1048" s="52" t="str">
        <f>IF(N(B$5)=0,"",IF(AND(COUNT(A1045:A1056)=2,COUNT(F1045:F1056)=2),cubic_spline(F1044:F1046,A1044:A1046,B$5),IF(AND(COUNT(A1045:A1056)=3,COUNT(F1045:F1056)=3),cubic_spline(F1044:F1047,A1044:A1047,B$5),IF(AND(COUNT(A1045:A1056)=4,COUNT(F1045:F1056)=4),cubic_spline(F1044:F1048,A1044:A1048,B$5),IF(AND(COUNT(A1045:A1056)=5,COUNT(F1045:F1056)=5),cubic_spline(F1044:F1049,A1044:A1049,B$5),IF(AND(COUNT(A1045:A1056)=6,COUNT(F1045:F1056)=6),cubic_spline(F1044:F1050,A1044:A1050,B$5),IF(AND(COUNT(A1045:A1056)=7,COUNT(F1045:F1056)=7),cubic_spline(F1044:F1051,A1044:A1051,B$5),IF(AND(COUNT(A1045:A1056)=8,COUNT(F1045:F1056)=8),cubic_spline(F1044:F1052,A1044:A1052,B$5),IF(AND(COUNT(A1045:A1056)=9,COUNT(F1045:F1056)=9),cubic_spline(F1044:F1053,A1044:A1053,B$5),IF(AND(COUNT(A1045:A1056)=10,COUNT(F1045:F1056)=10),cubic_spline(F1044:F1054,A1044:A1054,B$5),IF(AND(COUNT(A1045:A1056)=11,COUNT(F1045:F1056)=11),cubic_spline(F1044:F1055,A1044:A1055,B$5),IF(AND(COUNT(A1045:A1056)=12,COUNT(F1045:F1056)=12),cubic_spline(F1044:F1056,A1044:A1056,B$5),""))))))))))))</f>
        <v/>
      </c>
      <c r="L1048" s="27" t="str">
        <f>IF(I1048="","",B$4&amp;"-"&amp;B$5)</f>
        <v/>
      </c>
      <c r="M1048" s="52" t="str">
        <f>IF(N(J1048)=0,"",J1048-J1047)</f>
        <v/>
      </c>
    </row>
    <row r="1049" spans="1:13" x14ac:dyDescent="0.35">
      <c r="A1049" s="48"/>
      <c r="B1049" s="48"/>
      <c r="C1049" s="50"/>
      <c r="D1049" s="50"/>
      <c r="E1049" s="51" t="str">
        <f t="shared" si="398"/>
        <v/>
      </c>
      <c r="F1049" s="71" t="str">
        <f t="shared" si="396"/>
        <v/>
      </c>
      <c r="G1049" s="69" t="str">
        <f t="shared" si="399"/>
        <v/>
      </c>
      <c r="H1049" s="70" t="str">
        <f t="shared" si="397"/>
        <v/>
      </c>
      <c r="I1049" s="27" t="str">
        <f>IF(N(J1049)=0,"",0&amp;"-"&amp;B$6)</f>
        <v/>
      </c>
      <c r="J1049" s="52" t="str">
        <f>IF(N(B$6)=0,"",IF(AND(COUNT(H1045:H1056)=2,COUNT(F1045:F1056)=2),cubic_spline(F1044:F1046,H1044:H1046,B$6),IF(AND(COUNT(H1045:H1056)=3,COUNT(F1045:F1056)=3),cubic_spline(F1044:F1047,H1044:H1047,B$6),IF(AND(COUNT(H1045:H1056)=4,COUNT(F1045:F1056)=4),cubic_spline(F1044:F1048,H1044:H1048,B$6),IF(AND(COUNT(H1045:H1056)=5,COUNT(F1045:F1056)=5),cubic_spline(F1044:F1049,H1044:H1049,B$6),IF(AND(COUNT(H1045:H1056)=6,COUNT(F1045:F1056)=6),cubic_spline(F1044:F1050,H1044:H1050,B$6),IF(AND(COUNT(H1045:H1056)=7,COUNT(F1045:F1056)=7),cubic_spline(F1044:F1051,H1044:H1051,B$6),IF(AND(COUNT(H1045:H1056)=8,COUNT(F1045:F1056)=8),cubic_spline(F1044:F1052,H1044:H1052,B$6),IF(AND(COUNT(H1045:H1056)=9,COUNT(F1045:F1056)=9),cubic_spline(F1044:F1053,H1044:H1053,B$6),IF(AND(COUNT(H1045:H1056)=10,COUNT(F1045:F1056)=10),cubic_spline(F1044:F1054,H1044:H1054,B$6),IF(AND(COUNT(H1045:H1056)=11,COUNT(F1045:F1056)=11),cubic_spline(F1044:F1055,H1044:H1055,B$6),IF(AND(COUNT(H1045:H1056)=12,COUNT(F1045:F1056)=12),cubic_spline(F1044:F1056,H1044:H1056,B$6),""))))))))))))</f>
        <v/>
      </c>
      <c r="K1049" s="52" t="str">
        <f>IF(N(B$6)=0,"",IF(AND(COUNT(A1045:A1056)=2,COUNT(F1045:F1056)=2),cubic_spline(F1044:F1046,A1044:A1046,B$6),IF(AND(COUNT(A1045:A1056)=3,COUNT(F1045:F1056)=3),cubic_spline(F1044:F1047,A1044:A1047,B$6),IF(AND(COUNT(A1045:A1056)=4,COUNT(F1045:F1056)=4),cubic_spline(F1044:F1048,A1044:A1048,B$6),IF(AND(COUNT(A1045:A1056)=5,COUNT(F1045:F1056)=5),cubic_spline(F1044:F1049,A1044:A1049,B$6),IF(AND(COUNT(A1045:A1056)=6,COUNT(F1045:F1056)=6),cubic_spline(F1044:F1050,A1044:A1050,B$6),IF(AND(COUNT(A1045:A1056)=7,COUNT(F1045:F1056)=7),cubic_spline(F1044:F1051,A1044:A1051,B$6),IF(AND(COUNT(A1045:A1056)=8,COUNT(F1045:F1056)=8),cubic_spline(F1044:F1052,A1044:A1052,B$6),IF(AND(COUNT(A1045:A1056)=9,COUNT(F1045:F1056)=9),cubic_spline(F1044:F1053,A1044:A1053,B$6),IF(AND(COUNT(A1045:A1056)=10,COUNT(F1045:F1056)=10),cubic_spline(F1044:F1054,A1044:A1054,B$6),IF(AND(COUNT(A1045:A1056)=11,COUNT(F1045:F1056)=11),cubic_spline(F1044:F1055,A1044:A1055,B$6),IF(AND(COUNT(A1045:A1056)=12,COUNT(F1045:F1056)=12),cubic_spline(F1044:F1056,A1044:A1056,B$6),""))))))))))))</f>
        <v/>
      </c>
      <c r="L1049" s="27" t="str">
        <f>IF(I1049="","",B$5&amp;"-"&amp;B$6)</f>
        <v/>
      </c>
      <c r="M1049" s="52" t="str">
        <f>IF(N(J1049)=0,"",J1049-J1048)</f>
        <v/>
      </c>
    </row>
    <row r="1050" spans="1:13" x14ac:dyDescent="0.35">
      <c r="A1050" s="48"/>
      <c r="B1050" s="48"/>
      <c r="C1050" s="50"/>
      <c r="D1050" s="50"/>
      <c r="E1050" s="51" t="str">
        <f t="shared" si="398"/>
        <v/>
      </c>
      <c r="F1050" s="71" t="str">
        <f t="shared" si="396"/>
        <v/>
      </c>
      <c r="G1050" s="69" t="str">
        <f t="shared" si="399"/>
        <v/>
      </c>
      <c r="H1050" s="70" t="str">
        <f t="shared" si="397"/>
        <v/>
      </c>
      <c r="I1050" s="27" t="str">
        <f>IF(N(J1050)=0,"",0&amp;"-"&amp;B$7)</f>
        <v/>
      </c>
      <c r="J1050" s="52" t="str">
        <f>IF(N(B$7)=0,"",IF(AND(COUNT(H1045:H1056)=2,COUNT(F1045:F1056)=2),cubic_spline(F1044:F1046,H1044:H1046,B$7),IF(AND(COUNT(H1045:H1056)=3,COUNT(F1045:F1056)=3),cubic_spline(F1044:F1047,H1044:H1047,B$7),IF(AND(COUNT(H1045:H1056)=4,COUNT(F1045:F1056)=4),cubic_spline(F1044:F1048,H1044:H1048,B$7),IF(AND(COUNT(H1045:H1056)=5,COUNT(F1045:F1056)=5),cubic_spline(F1044:F1049,H1044:H1049,B$7),IF(AND(COUNT(H1045:H1056)=6,COUNT(F1045:F1056)=6),cubic_spline(F1044:F1050,H1044:H1050,B$7),IF(AND(COUNT(H1045:H1056)=7,COUNT(F1045:F1056)=7),cubic_spline(F1044:F1051,H1044:H1051,B$7),IF(AND(COUNT(H1045:H1056)=8,COUNT(F1045:F1056)=8),cubic_spline(F1044:F1052,H1044:H1052,B$7),IF(AND(COUNT(H1045:H1056)=9,COUNT(F1045:F1056)=9),cubic_spline(F1044:F1053,H1044:H1053,B$7),IF(AND(COUNT(H1045:H1056)=10,COUNT(F1045:F1056)=10),cubic_spline(F1044:F1054,H1044:H1054,B$7),IF(AND(COUNT(H1045:H1056)=11,COUNT(F1045:F1056)=11),cubic_spline(F1044:F1055,H1044:H1055,B$7),IF(AND(COUNT(H1045:H1056)=12,COUNT(F1045:F1056)=12),cubic_spline(F1044:F1056,H1044:H1056,B$7),""))))))))))))</f>
        <v/>
      </c>
      <c r="K1050" s="52" t="str">
        <f>IF(N(B$7)=0,"",IF(AND(COUNT(A1045:A1056)=2,COUNT(F1045:F1056)=2),cubic_spline(F1044:F1046,A1044:A1046,B$7),IF(AND(COUNT(A1045:A1056)=3,COUNT(F1045:F1056)=3),cubic_spline(F1044:F1047,A1044:A1047,B$7),IF(AND(COUNT(A1045:A1056)=4,COUNT(F1045:F1056)=4),cubic_spline(F1044:F1048,A1044:A1048,B$7),IF(AND(COUNT(A1045:A1056)=5,COUNT(F1045:F1056)=5),cubic_spline(F1044:F1049,A1044:A1049,B$7),IF(AND(COUNT(A1045:A1056)=6,COUNT(F1045:F1056)=6),cubic_spline(F1044:F1050,A1044:A1050,B$7),IF(AND(COUNT(A1045:A1056)=7,COUNT(F1045:F1056)=7),cubic_spline(F1044:F1051,A1044:A1051,B$7),IF(AND(COUNT(A1045:A1056)=8,COUNT(F1045:F1056)=8),cubic_spline(F1044:F1052,A1044:A1052,B$7),IF(AND(COUNT(A1045:A1056)=9,COUNT(F1045:F1056)=9),cubic_spline(F1044:F1053,A1044:A1053,B$7),IF(AND(COUNT(A1045:A1056)=10,COUNT(F1045:F1056)=10),cubic_spline(F1044:F1054,A1044:A1054,B$7),IF(AND(COUNT(A1045:A1056)=11,COUNT(F1045:F1056)=11),cubic_spline(F1044:F1055,A1044:A1055,B$7),IF(AND(COUNT(A1045:A1056)=12,COUNT(F1045:F1056)=12),cubic_spline(F1044:F1056,A1044:A1056,B$7),""))))))))))))</f>
        <v/>
      </c>
      <c r="L1050" s="27" t="str">
        <f>IF(I1050="","",B$6&amp;"-"&amp;B$7)</f>
        <v/>
      </c>
      <c r="M1050" s="52" t="str">
        <f t="shared" ref="M1050:M1056" si="400">IF(N(J1050)=0,"",J1050-J1049)</f>
        <v/>
      </c>
    </row>
    <row r="1051" spans="1:13" x14ac:dyDescent="0.35">
      <c r="A1051" s="48"/>
      <c r="B1051" s="48"/>
      <c r="C1051" s="50"/>
      <c r="D1051" s="50"/>
      <c r="E1051" s="51" t="str">
        <f t="shared" si="398"/>
        <v/>
      </c>
      <c r="F1051" s="71" t="str">
        <f t="shared" si="396"/>
        <v/>
      </c>
      <c r="G1051" s="69" t="str">
        <f t="shared" si="399"/>
        <v/>
      </c>
      <c r="H1051" s="70" t="str">
        <f t="shared" si="397"/>
        <v/>
      </c>
      <c r="I1051" s="27" t="str">
        <f>IF(N(J1051)=0,"",0&amp;"-"&amp;B$8)</f>
        <v/>
      </c>
      <c r="J1051" s="52" t="str">
        <f>IF(N(B$8)=0,"",IF(AND(COUNT(H1045:H1056)=2,COUNT(F1045:F1056)=2),cubic_spline(F1044:F1046,H1044:H1046,B$8),IF(AND(COUNT(H1045:H1056)=3,COUNT(F1045:F1056)=3),cubic_spline(F1044:F1047,H1044:H1047,B$8),IF(AND(COUNT(H1045:H1056)=4,COUNT(F1045:F1056)=4),cubic_spline(F1044:F1048,H1044:H1048,B$8),IF(AND(COUNT(H1045:H1056)=5,COUNT(F1045:F1056)=5),cubic_spline(F1044:F1049,H1044:H1049,B$8),IF(AND(COUNT(H1045:H1056)=6,COUNT(F1045:F1056)=6),cubic_spline(F1044:F1050,H1044:H1050,B$8),IF(AND(COUNT(H1045:H1056)=7,COUNT(F1045:F1056)=7),cubic_spline(F1044:F1051,H1044:H1051,B$8),IF(AND(COUNT(H1045:H1056)=8,COUNT(F1045:F1056)=8),cubic_spline(F1044:F1052,H1044:H1052,B$8),IF(AND(COUNT(H1045:H1056)=9,COUNT(F1045:F1056)=9),cubic_spline(F1044:F1053,H1044:H1053,B$8),IF(AND(COUNT(H1045:H1056)=10,COUNT(F1045:F1056)=10),cubic_spline(F1044:F1054,H1044:H1054,B$8),IF(AND(COUNT(H1045:H1056)=11,COUNT(F1045:F1056)=11),cubic_spline(F1044:F1055,H1044:H1055,B$8),IF(AND(COUNT(H1045:H1056)=12,COUNT(F1045:F1056)=12),cubic_spline(F1044:F1056,H1044:H1056,B$8),""))))))))))))</f>
        <v/>
      </c>
      <c r="K1051" s="52" t="str">
        <f>IF(N(B$8)=0,"",IF(AND(COUNT(A1045:A1056)=2,COUNT(F1045:F1056)=2),cubic_spline(F1044:F1046,A1044:A1046,B$8),IF(AND(COUNT(A1045:A1056)=3,COUNT(F1045:F1056)=3),cubic_spline(F1044:F1047,A1044:A1047,B$8),IF(AND(COUNT(A1045:A1056)=4,COUNT(F1045:F1056)=4),cubic_spline(F1044:F1048,A1044:A1048,B$8),IF(AND(COUNT(A1045:A1056)=5,COUNT(F1045:F1056)=5),cubic_spline(F1044:F1049,A1044:A1049,B$8),IF(AND(COUNT(A1045:A1056)=6,COUNT(F1045:F1056)=6),cubic_spline(F1044:F1050,A1044:A1050,B$8),IF(AND(COUNT(A1045:A1056)=7,COUNT(F1045:F1056)=7),cubic_spline(F1044:F1051,A1044:A1051,B$8),IF(AND(COUNT(A1045:A1056)=8,COUNT(F1045:F1056)=8),cubic_spline(F1044:F1052,A1044:A1052,B$8),IF(AND(COUNT(A1045:A1056)=9,COUNT(F1045:F1056)=9),cubic_spline(F1044:F1053,A1044:A1053,B$8),IF(AND(COUNT(A1045:A1056)=10,COUNT(F1045:F1056)=10),cubic_spline(F1044:F1054,A1044:A1054,B$8),IF(AND(COUNT(A1045:A1056)=11,COUNT(F1045:F1056)=11),cubic_spline(F1044:F1055,A1044:A1055,B$8),IF(AND(COUNT(A1045:A1056)=12,COUNT(F1045:F1056)=12),cubic_spline(F1044:F1056,A1044:A1056,B$8),""))))))))))))</f>
        <v/>
      </c>
      <c r="L1051" s="27" t="str">
        <f>IF(I1051="","",B$7&amp;"-"&amp;B$8)</f>
        <v/>
      </c>
      <c r="M1051" s="52" t="str">
        <f t="shared" si="400"/>
        <v/>
      </c>
    </row>
    <row r="1052" spans="1:13" x14ac:dyDescent="0.35">
      <c r="A1052" s="48"/>
      <c r="B1052" s="48"/>
      <c r="C1052" s="50"/>
      <c r="D1052" s="50"/>
      <c r="E1052" s="51" t="str">
        <f t="shared" si="398"/>
        <v/>
      </c>
      <c r="F1052" s="71" t="str">
        <f t="shared" si="396"/>
        <v/>
      </c>
      <c r="G1052" s="69" t="str">
        <f t="shared" si="399"/>
        <v/>
      </c>
      <c r="H1052" s="70" t="str">
        <f t="shared" si="397"/>
        <v/>
      </c>
      <c r="I1052" s="27" t="str">
        <f>IF(N(J1052)=0,"",0&amp;"-"&amp;B$9)</f>
        <v/>
      </c>
      <c r="J1052" s="52" t="str">
        <f>IF(N(B$9)=0,"",IF(AND(COUNT(H1045:H1056)=2,COUNT(F1045:F1056)=2),cubic_spline(F1044:F1046,H1044:H1046,B$9),IF(AND(COUNT(H1045:H1056)=3,COUNT(F1045:F1056)=3),cubic_spline(F1044:F1047,H1044:H1047,B$9),IF(AND(COUNT(H1045:H1056)=4,COUNT(F1045:F1056)=4),cubic_spline(F1044:F1048,H1044:H1048,B$9),IF(AND(COUNT(H1045:H1056)=5,COUNT(F1045:F1056)=5),cubic_spline(F1044:F1049,H1044:H1049,B$9),IF(AND(COUNT(H1045:H1056)=6,COUNT(F1045:F1056)=6),cubic_spline(F1044:F1050,H1044:H1050,B$9),IF(AND(COUNT(H1045:H1056)=7,COUNT(F1045:F1056)=7),cubic_spline(F1044:F1051,H1044:H1051,B$9),IF(AND(COUNT(H1045:H1056)=8,COUNT(F1045:F1056)=8),cubic_spline(F1044:F1052,H1044:H1052,B$9),IF(AND(COUNT(H1045:H1056)=9,COUNT(F1045:F1056)=9),cubic_spline(F1044:F1053,H1044:H1053,B$9),IF(AND(COUNT(H1045:H1056)=10,COUNT(F1045:F1056)=10),cubic_spline(F1044:F1054,H1044:H1054,B$9),IF(AND(COUNT(H1045:H1056)=11,COUNT(F1045:F1056)=11),cubic_spline(F1044:F1055,H1044:H1055,B$9),IF(AND(COUNT(H1045:H1056)=12,COUNT(F1045:F1056)=12),cubic_spline(F1044:F1056,H1044:H1056,B$9),""))))))))))))</f>
        <v/>
      </c>
      <c r="K1052" s="52" t="str">
        <f>IF(N(B$9)=0,"",IF(AND(COUNT(A1045:A1056)=2,COUNT(F1045:F1056)=2),cubic_spline(F1044:F1046,A1044:A1046,B$9),IF(AND(COUNT(A1045:A1056)=3,COUNT(F1045:F1056)=3),cubic_spline(F1044:F1047,A1044:A1047,B$9),IF(AND(COUNT(A1045:A1056)=4,COUNT(F1045:F1056)=4),cubic_spline(F1044:F1048,A1044:A1048,B$9),IF(AND(COUNT(A1045:A1056)=5,COUNT(F1045:F1056)=5),cubic_spline(F1044:F1049,A1044:A1049,B$9),IF(AND(COUNT(A1045:A1056)=6,COUNT(F1045:F1056)=6),cubic_spline(F1044:F1050,A1044:A1050,B$9),IF(AND(COUNT(A1045:A1056)=7,COUNT(F1045:F1056)=7),cubic_spline(F1044:F1051,A1044:A1051,B$9),IF(AND(COUNT(A1045:A1056)=8,COUNT(F1045:F1056)=8),cubic_spline(F1044:F1052,A1044:A1052,B$9),IF(AND(COUNT(A1045:A1056)=9,COUNT(F1045:F1056)=9),cubic_spline(F1044:F1053,A1044:A1053,B$9),IF(AND(COUNT(A1045:A1056)=10,COUNT(F1045:F1056)=10),cubic_spline(F1044:F1054,A1044:A1054,B$9),IF(AND(COUNT(A1045:A1056)=11,COUNT(F1045:F1056)=11),cubic_spline(F1044:F1055,A1044:A1055,B$9),IF(AND(COUNT(A1045:A1056)=12,COUNT(F1045:F1056)=12),cubic_spline(F1044:F1056,A1044:A1056,B$9),""))))))))))))</f>
        <v/>
      </c>
      <c r="L1052" s="27" t="str">
        <f>IF(I1052="","",B$8&amp;"-"&amp;B$9)</f>
        <v/>
      </c>
      <c r="M1052" s="52" t="str">
        <f t="shared" si="400"/>
        <v/>
      </c>
    </row>
    <row r="1053" spans="1:13" x14ac:dyDescent="0.35">
      <c r="A1053" s="48"/>
      <c r="B1053" s="48"/>
      <c r="C1053" s="50"/>
      <c r="D1053" s="50"/>
      <c r="E1053" s="51" t="str">
        <f t="shared" si="398"/>
        <v/>
      </c>
      <c r="F1053" s="71" t="str">
        <f t="shared" si="396"/>
        <v/>
      </c>
      <c r="G1053" s="69" t="str">
        <f t="shared" si="399"/>
        <v/>
      </c>
      <c r="H1053" s="70" t="str">
        <f t="shared" si="397"/>
        <v/>
      </c>
      <c r="I1053" s="27" t="str">
        <f>IF(N(J1053)=0,"",0&amp;"-"&amp;B$10)</f>
        <v/>
      </c>
      <c r="J1053" s="52" t="str">
        <f>IF(N(B$10)=0,"",IF(AND(COUNT(H1045:H1056)=2,COUNT(F1045:F1056)=2),cubic_spline(F1044:F1046,H1044:H1046,B$10),IF(AND(COUNT(H1045:H1056)=3,COUNT(F1045:F1056)=3),cubic_spline(F1044:F1047,H1044:H1047,B$10),IF(AND(COUNT(H1045:H1056)=4,COUNT(F1045:F1056)=4),cubic_spline(F1044:F1048,H1044:H1048,B$10),IF(AND(COUNT(H1045:H1056)=5,COUNT(F1045:F1056)=5),cubic_spline(F1044:F1049,H1044:H1049,B$10),IF(AND(COUNT(H1045:H1056)=6,COUNT(F1045:F1056)=6),cubic_spline(F1044:F1050,H1044:H1050,B$10),IF(AND(COUNT(H1045:H1056)=7,COUNT(F1045:F1056)=7),cubic_spline(F1044:F1051,H1044:H1051,B$10),IF(AND(COUNT(H1045:H1056)=8,COUNT(F1045:F1056)=8),cubic_spline(F1044:F1052,H1044:H1052,B$10),IF(AND(COUNT(H1045:H1056)=9,COUNT(F1045:F1056)=9),cubic_spline(F1044:F1053,H1044:H1053,B$10),IF(AND(COUNT(H1045:H1056)=10,COUNT(F1045:F1056)=10),cubic_spline(F1044:F1054,H1044:H1054,B$10),IF(AND(COUNT(H1045:H1056)=11,COUNT(F1045:F1056)=11),cubic_spline(F1044:F1055,H1044:H1055,B$10),IF(AND(COUNT(H1045:H1056)=12,COUNT(F1045:F1056)=12),cubic_spline(F1044:F1056,H1044:H1056,B$10),""))))))))))))</f>
        <v/>
      </c>
      <c r="K1053" s="52" t="str">
        <f>IF(N(B$10)=0,"",IF(AND(COUNT(A1045:A1056)=2,COUNT(F1045:F1056)=2),cubic_spline(F1044:F1046,A1044:A1046,B$10),IF(AND(COUNT(A1045:A1056)=3,COUNT(F1045:F1056)=3),cubic_spline(F1044:F1047,A1044:A1047,B$10),IF(AND(COUNT(A1045:A1056)=4,COUNT(F1045:F1056)=4),cubic_spline(F1044:F1048,A1044:A1048,B$10),IF(AND(COUNT(A1045:A1056)=5,COUNT(F1045:F1056)=5),cubic_spline(F1044:F1049,A1044:A1049,B$10),IF(AND(COUNT(A1045:A1056)=6,COUNT(F1045:F1056)=6),cubic_spline(F1044:F1050,A1044:A1050,B$10),IF(AND(COUNT(A1045:A1056)=7,COUNT(F1045:F1056)=7),cubic_spline(F1044:F1051,A1044:A1051,B$10),IF(AND(COUNT(A1045:A1056)=8,COUNT(F1045:F1056)=8),cubic_spline(F1044:F1052,A1044:A1052,B$10),IF(AND(COUNT(A1045:A1056)=9,COUNT(F1045:F1056)=9),cubic_spline(F1044:F1053,A1044:A1053,B$10),IF(AND(COUNT(A1045:A1056)=10,COUNT(F1045:F1056)=10),cubic_spline(F1044:F1054,A1044:A1054,B$10),IF(AND(COUNT(A1045:A1056)=11,COUNT(F1045:F1056)=11),cubic_spline(F1044:F1055,A1044:A1055,B$10),IF(AND(COUNT(A1045:A1056)=12,COUNT(F1045:F1056)=12),cubic_spline(F1044:F1056,A1044:A1056,B$10),""))))))))))))</f>
        <v/>
      </c>
      <c r="L1053" s="27" t="str">
        <f>IF(I1053="","",B$9&amp;"-"&amp;B$10)</f>
        <v/>
      </c>
      <c r="M1053" s="52" t="str">
        <f t="shared" si="400"/>
        <v/>
      </c>
    </row>
    <row r="1054" spans="1:13" x14ac:dyDescent="0.35">
      <c r="A1054" s="48"/>
      <c r="B1054" s="48"/>
      <c r="C1054" s="50"/>
      <c r="D1054" s="50"/>
      <c r="E1054" s="51" t="str">
        <f t="shared" si="398"/>
        <v/>
      </c>
      <c r="F1054" s="71" t="str">
        <f t="shared" si="396"/>
        <v/>
      </c>
      <c r="G1054" s="69" t="str">
        <f t="shared" si="399"/>
        <v/>
      </c>
      <c r="H1054" s="70" t="str">
        <f t="shared" si="397"/>
        <v/>
      </c>
      <c r="I1054" s="27" t="str">
        <f>IF(N(J1054)=0,"",0&amp;"-"&amp;B$11)</f>
        <v/>
      </c>
      <c r="J1054" s="52" t="str">
        <f>IF(N(B$11)=0,"",IF(AND(COUNT(H1045:H1056)=2,COUNT(F1045:F1056)=2),cubic_spline(F1044:F1046,H1044:H1046,B$11),IF(AND(COUNT(H1045:H1056)=3,COUNT(F1045:F1056)=3),cubic_spline(F1044:F1047,H1044:H1047,B$11),IF(AND(COUNT(H1045:H1056)=4,COUNT(F1045:F1056)=4),cubic_spline(F1044:F1048,H1044:H1048,B$11),IF(AND(COUNT(H1045:H1056)=5,COUNT(F1045:F1056)=5),cubic_spline(F1044:F1049,H1044:H1049,B$11),IF(AND(COUNT(H1045:H1056)=6,COUNT(F1045:F1056)=6),cubic_spline(F1044:F1050,H1044:H1050,B$11),IF(AND(COUNT(H1045:H1056)=7,COUNT(F1045:F1056)=7),cubic_spline(F1044:F1051,H1044:H1051,B$11),IF(AND(COUNT(H1045:H1056)=8,COUNT(F1045:F1056)=8),cubic_spline(F1044:F1052,H1044:H1052,B$11),IF(AND(COUNT(H1045:H1056)=9,COUNT(F1045:F1056)=9),cubic_spline(F1044:F1053,H1044:H1053,B$11),IF(AND(COUNT(H1045:H1056)=10,COUNT(F1045:F1056)=10),cubic_spline(F1044:F1054,H1044:H1054,B$11),IF(AND(COUNT(H1045:H1056)=11,COUNT(F1045:F1056)=11),cubic_spline(F1044:F1055,H1044:H1055,B$11),IF(AND(COUNT(H1045:H1056)=12,COUNT(F1045:F1056)=12),cubic_spline(F1044:F1056,H1044:H1056,B$11),""))))))))))))</f>
        <v/>
      </c>
      <c r="K1054" s="52" t="str">
        <f>IF(N(B$11)=0,"",IF(AND(COUNT(A1045:A1056)=2,COUNT(F1045:F1056)=2),cubic_spline(F1044:F1046,A1044:A1046,B$11),IF(AND(COUNT(A1045:A1056)=3,COUNT(F1045:F1056)=3),cubic_spline(F1044:F1047,A1044:A1047,B$11),IF(AND(COUNT(A1045:A1056)=4,COUNT(F1045:F1056)=4),cubic_spline(F1044:F1048,A1044:A1048,B$11),IF(AND(COUNT(A1045:A1056)=5,COUNT(F1045:F1056)=5),cubic_spline(F1044:F1049,A1044:A1049,B$11),IF(AND(COUNT(A1045:A1056)=6,COUNT(F1045:F1056)=6),cubic_spline(F1044:F1050,A1044:A1050,B$11),IF(AND(COUNT(A1045:A1056)=7,COUNT(F1045:F1056)=7),cubic_spline(F1044:F1051,A1044:A1051,B$11),IF(AND(COUNT(A1045:A1056)=8,COUNT(F1045:F1056)=8),cubic_spline(F1044:F1052,A1044:A1052,B$11),IF(AND(COUNT(A1045:A1056)=9,COUNT(F1045:F1056)=9),cubic_spline(F1044:F1053,A1044:A1053,B$11),IF(AND(COUNT(A1045:A1056)=10,COUNT(F1045:F1056)=10),cubic_spline(F1044:F1054,A1044:A1054,B$11),IF(AND(COUNT(A1045:A1056)=11,COUNT(F1045:F1056)=11),cubic_spline(F1044:F1055,A1044:A1055,B$11),IF(AND(COUNT(A1045:A1056)=12,COUNT(F1045:F1056)=12),cubic_spline(F1044:F1056,A1044:A1056,B$11),""))))))))))))</f>
        <v/>
      </c>
      <c r="L1054" s="27" t="str">
        <f>IF(I1054="","",B$10&amp;"-"&amp;B$11)</f>
        <v/>
      </c>
      <c r="M1054" s="52" t="str">
        <f t="shared" si="400"/>
        <v/>
      </c>
    </row>
    <row r="1055" spans="1:13" x14ac:dyDescent="0.35">
      <c r="A1055" s="48"/>
      <c r="B1055" s="48"/>
      <c r="C1055" s="50"/>
      <c r="D1055" s="50"/>
      <c r="E1055" s="51" t="str">
        <f t="shared" si="398"/>
        <v/>
      </c>
      <c r="F1055" s="71" t="str">
        <f t="shared" si="396"/>
        <v/>
      </c>
      <c r="G1055" s="69" t="str">
        <f t="shared" si="399"/>
        <v/>
      </c>
      <c r="H1055" s="70" t="str">
        <f t="shared" si="397"/>
        <v/>
      </c>
      <c r="I1055" s="27" t="str">
        <f>IF(N(J1055)=0,"",0&amp;"-"&amp;B$12)</f>
        <v/>
      </c>
      <c r="J1055" s="52" t="str">
        <f>IF(N(B$12)=0,"",IF(AND(COUNT(H1045:H1056)=2,COUNT(F1045:F1056)=2),cubic_spline(F1044:F1046,H1044:H1046,B$12),IF(AND(COUNT(H1045:H1056)=3,COUNT(F1045:F1056)=3),cubic_spline(F1044:F1047,H1044:H1047,B$12),IF(AND(COUNT(H1045:H1056)=4,COUNT(F1045:F1056)=4),cubic_spline(F1044:F1048,H1044:H1048,B$12),IF(AND(COUNT(H1045:H1056)=5,COUNT(F1045:F1056)=5),cubic_spline(F1044:F1049,H1044:H1049,B$12),IF(AND(COUNT(H1045:H1056)=6,COUNT(F1045:F1056)=6),cubic_spline(F1044:F1050,H1044:H1050,B$12),IF(AND(COUNT(H1045:H1056)=7,COUNT(F1045:F1056)=7),cubic_spline(F1044:F1051,H1044:H1051,B$12),IF(AND(COUNT(H1045:H1056)=8,COUNT(F1045:F1056)=8),cubic_spline(F1044:F1052,H1044:H1052,B$12),IF(AND(COUNT(H1045:H1056)=9,COUNT(F1045:F1056)=9),cubic_spline(F1044:F1053,H1044:H1053,B$12),IF(AND(COUNT(H1045:H1056)=10,COUNT(F1045:F1056)=10),cubic_spline(F1044:F1054,H1044:H1054,B$12),IF(AND(COUNT(H1045:H1056)=11,COUNT(F1045:F1056)=11),cubic_spline(F1044:F1055,H1044:H1055,B$12),IF(AND(COUNT(H1045:H1056)=12,COUNT(F1045:F1056)=12),cubic_spline(F1044:F1056,H1044:H1056,B$12),""))))))))))))</f>
        <v/>
      </c>
      <c r="K1055" s="52" t="str">
        <f>IF(N(B$12)=0,"",IF(AND(COUNT(A1045:A1056)=2,COUNT(F1045:F1056)=2),cubic_spline(F1044:F1046,A1044:A1046,B$12),IF(AND(COUNT(A1045:A1056)=3,COUNT(F1045:F1056)=3),cubic_spline(F1044:F1047,A1044:A1047,B$12),IF(AND(COUNT(A1045:A1056)=4,COUNT(F1045:F1056)=4),cubic_spline(F1044:F1048,A1044:A1048,B$12),IF(AND(COUNT(A1045:A1056)=5,COUNT(F1045:F1056)=5),cubic_spline(F1044:F1049,A1044:A1049,B$12),IF(AND(COUNT(A1045:A1056)=6,COUNT(F1045:F1056)=6),cubic_spline(F1044:F1050,A1044:A1050,B$12),IF(AND(COUNT(A1045:A1056)=7,COUNT(F1045:F1056)=7),cubic_spline(F1044:F1051,A1044:A1051,B$12),IF(AND(COUNT(A1045:A1056)=8,COUNT(F1045:F1056)=8),cubic_spline(F1044:F1052,A1044:A1052,B$12),IF(AND(COUNT(A1045:A1056)=9,COUNT(F1045:F1056)=9),cubic_spline(F1044:F1053,A1044:A1053,B$12),IF(AND(COUNT(A1045:A1056)=10,COUNT(F1045:F1056)=10),cubic_spline(F1044:F1054,A1044:A1054,B$12),IF(AND(COUNT(A1045:A1056)=11,COUNT(F1045:F1056)=11),cubic_spline(F1044:F1055,A1044:A1055,B$12),IF(AND(COUNT(A1045:A1056)=12,COUNT(F1045:F1056)=12),cubic_spline(F1044:F1056,A1044:A1056,B$12),""))))))))))))</f>
        <v/>
      </c>
      <c r="L1055" s="27" t="str">
        <f>IF(I1055="","",B$11&amp;"-"&amp;B$12)</f>
        <v/>
      </c>
      <c r="M1055" s="52" t="str">
        <f t="shared" si="400"/>
        <v/>
      </c>
    </row>
    <row r="1056" spans="1:13" x14ac:dyDescent="0.35">
      <c r="A1056" s="48"/>
      <c r="B1056" s="48"/>
      <c r="C1056" s="50"/>
      <c r="D1056" s="50"/>
      <c r="E1056" s="51" t="str">
        <f t="shared" si="398"/>
        <v/>
      </c>
      <c r="F1056" s="71" t="str">
        <f t="shared" si="396"/>
        <v/>
      </c>
      <c r="G1056" s="69" t="str">
        <f t="shared" si="399"/>
        <v/>
      </c>
      <c r="H1056" s="70" t="str">
        <f t="shared" si="397"/>
        <v/>
      </c>
      <c r="I1056" s="27" t="str">
        <f>IF(N(J1056)=0,"",0&amp;"-"&amp;B$13)</f>
        <v/>
      </c>
      <c r="J1056" s="52" t="str">
        <f>IF(N(B$13)=0,"",IF(AND(COUNT(H1045:H1056)=2,COUNT(F1045:F1056)=2),cubic_spline(F1044:F1046,H1044:H1046,B$13),IF(AND(COUNT(H1045:H1056)=3,COUNT(F1045:F1056)=3),cubic_spline(F1044:F1047,H1044:H1047,B$13),IF(AND(COUNT(H1045:H1056)=4,COUNT(F1045:F1056)=4),cubic_spline(F1044:F1048,H1044:H1048,B$13),IF(AND(COUNT(H1045:H1056)=5,COUNT(F1045:F1056)=5),cubic_spline(F1044:F1049,H1044:H1049,B$13),IF(AND(COUNT(H1045:H1056)=6,COUNT(F1045:F1056)=6),cubic_spline(F1044:F1050,H1044:H1050,B$13),IF(AND(COUNT(H1045:H1056)=7,COUNT(F1045:F1056)=7),cubic_spline(F1044:F1051,H1044:H1051,B$13),IF(AND(COUNT(H1045:H1056)=8,COUNT(F1045:F1056)=8),cubic_spline(F1044:F1052,H1044:H1052,B$13),IF(AND(COUNT(H1045:H1056)=9,COUNT(F1045:F1056)=9),cubic_spline(F1044:F1053,H1044:H1053,B$13),IF(AND(COUNT(H1045:H1056)=10,COUNT(F1045:F1056)=10),cubic_spline(F1044:F1054,H1044:H1054,B$13),IF(AND(COUNT(H1045:H1056)=11,COUNT(F1045:F1056)=11),cubic_spline(F1044:F1055,H1044:H1055,B$13),IF(AND(COUNT(H1045:H1056)=12,COUNT(F1045:F1056)=12),cubic_spline(F1044:F1056,H1044:H1056,B$13),""))))))))))))</f>
        <v/>
      </c>
      <c r="K1056" s="52" t="str">
        <f>IF(N(B$13)=0,"",IF(AND(COUNT(A1045:A1056)=2,COUNT(F1045:F1056)=2),cubic_spline(F1044:F1046,A1044:A1046,B$13),IF(AND(COUNT(A1045:A1056)=3,COUNT(F1045:F1056)=3),cubic_spline(F1044:F1047,A1044:A1047,B$13),IF(AND(COUNT(A1045:A1056)=4,COUNT(F1045:F1056)=4),cubic_spline(F1044:F1048,A1044:A1048,B$13),IF(AND(COUNT(A1045:A1056)=5,COUNT(F1045:F1056)=5),cubic_spline(F1044:F1049,A1044:A1049,B$13),IF(AND(COUNT(A1045:A1056)=6,COUNT(F1045:F1056)=6),cubic_spline(F1044:F1050,A1044:A1050,B$13),IF(AND(COUNT(A1045:A1056)=7,COUNT(F1045:F1056)=7),cubic_spline(F1044:F1051,A1044:A1051,B$13),IF(AND(COUNT(A1045:A1056)=8,COUNT(F1045:F1056)=8),cubic_spline(F1044:F1052,A1044:A1052,B$13),IF(AND(COUNT(A1045:A1056)=9,COUNT(F1045:F1056)=9),cubic_spline(F1044:F1053,A1044:A1053,B$13),IF(AND(COUNT(A1045:A1056)=10,COUNT(F1045:F1056)=10),cubic_spline(F1044:F1054,A1044:A1054,B$13),IF(AND(COUNT(A1045:A1056)=11,COUNT(F1045:F1056)=11),cubic_spline(F1044:F1055,A1044:A1055,B$13),IF(AND(COUNT(A1045:A1056)=12,COUNT(F1045:F1056)=12),cubic_spline(F1044:F1056,A1044:A1056,B$13),""))))))))))))</f>
        <v/>
      </c>
      <c r="L1056" s="27" t="str">
        <f>IF(I1056="","",B$12&amp;"-"&amp;B$13)</f>
        <v/>
      </c>
      <c r="M1056" s="52" t="str">
        <f t="shared" si="400"/>
        <v/>
      </c>
    </row>
    <row r="1057" spans="1:13" ht="5.15" customHeight="1" x14ac:dyDescent="0.35">
      <c r="A1057" s="47"/>
      <c r="B1057" s="47"/>
      <c r="C1057" s="53"/>
      <c r="D1057" s="53"/>
      <c r="E1057" s="54"/>
      <c r="F1057" s="55"/>
      <c r="G1057" s="72"/>
      <c r="H1057" s="73"/>
      <c r="I1057" s="47"/>
      <c r="J1057" s="57"/>
      <c r="K1057" s="57"/>
      <c r="L1057" s="55"/>
      <c r="M1057" s="57"/>
    </row>
    <row r="1058" spans="1:13" x14ac:dyDescent="0.35">
      <c r="A1058" s="48"/>
      <c r="B1058" s="48"/>
      <c r="C1058" s="50"/>
      <c r="D1058" s="50"/>
      <c r="E1058" s="51" t="str">
        <f>IF(N(C1058)=0,"",(A1058-A1057)*C1058*100)</f>
        <v/>
      </c>
      <c r="F1058" s="68" t="str">
        <f t="shared" ref="F1058:F1069" si="401">IF(N(E1058)=0,"",(N(E1058)+N(F1057)))</f>
        <v/>
      </c>
      <c r="G1058" s="69" t="str">
        <f>IF(OR(N(D1058)=0,N(E1058)=0),"",(E1058*D1058)/1000)</f>
        <v/>
      </c>
      <c r="H1058" s="70" t="str">
        <f t="shared" ref="H1058:H1069" si="402">IF(N(G1058)=0,"",(N(G1058)+N(H1057)))</f>
        <v/>
      </c>
      <c r="I1058" s="27" t="str">
        <f>IF(N(J1058)=0,"",0&amp;"-"&amp;B$2)</f>
        <v/>
      </c>
      <c r="J1058" s="52" t="str">
        <f>IF(N(B$2)=0,"",IF(AND(COUNT(H1058:H1069)=2,COUNT(F1058:F1069)=2),cubic_spline(F1057:F1059,H1057:H1059,B$2),IF(AND(COUNT(H1058:H1069)=3,COUNT(F1058:F1069)=3),cubic_spline(F1057:F1060,H1057:H1060,B$2),IF(AND(COUNT(H1058:H1069)=4,COUNT(F1058:F1069)=4),cubic_spline(F1057:F1061,H1057:H1061,B$2),IF(AND(COUNT(H1058:H1069)=5,COUNT(F1058:F1069)=5),cubic_spline(F1057:F1062,H1057:H1062,B$2),IF(AND(COUNT(H1058:H1069)=6,COUNT(F1058:F1069)=6),cubic_spline(F1057:F1063,H1057:H1063,B$2),IF(AND(COUNT(H1058:H1069)=7,COUNT(F1058:F1069)=7),cubic_spline(F1057:F1064,H1057:H1064,B$2),IF(AND(COUNT(H1058:H1069)=8,COUNT(F1058:F1069)=8),cubic_spline(F1057:F1065,H1057:H1065,B$2),IF(AND(COUNT(H1058:H1069)=9,COUNT(F1058:F1069)=9),cubic_spline(F1057:F1066,H1057:H1066,B$2),IF(AND(COUNT(H1058:H1069)=10,COUNT(F1058:F1069)=10),cubic_spline(F1057:F1067,H1057:H1067,B$2),IF(AND(COUNT(H1058:H1069)=11,COUNT(F1058:F1069)=11),cubic_spline(F1057:F1068,H1057:H1068,B$2),IF(AND(COUNT(H1058:H1069)=12,COUNT(F1058:F1069)=12),cubic_spline(F1057:F1069,H1057:H1069,B$2),""))))))))))))</f>
        <v/>
      </c>
      <c r="K1058" s="52" t="str">
        <f>IF(N(B$2)=0,"",IF(AND(COUNT(A1058:A1069)=2,COUNT(F1058:F1069)=2),cubic_spline(F1057:F1059,A1057:A1059,B$2),IF(AND(COUNT(A1058:A1069)=3,COUNT(F1058:F1069)=3),cubic_spline(F1057:F1060,A1057:A1060,B$2),IF(AND(COUNT(A1058:A1069)=4,COUNT(F1058:F1069)=4),cubic_spline(F1057:F1061,A1057:A1061,B$2),IF(AND(COUNT(A1058:A1069)=5,COUNT(F1058:F1069)=5),cubic_spline(F1057:F1062,A1057:A1062,B$2),IF(AND(COUNT(A1058:A1069)=6,COUNT(F1058:F1069)=6),cubic_spline(F1057:F1063,A1057:A1063,B$2),IF(AND(COUNT(A1058:A1069)=7,COUNT(F1058:F1069)=7),cubic_spline(F1057:F1064,A1057:A1064,B$2),IF(AND(COUNT(A1058:A1069)=8,COUNT(F1058:F1069)=8),cubic_spline(F1057:F1065,A1057:A1065,B$2),IF(AND(COUNT(A1058:A1069)=9,COUNT(F1058:F1069)=9),cubic_spline(F1057:F1066,A1057:A1066,B$2),IF(AND(COUNT(A1058:A1069)=10,COUNT(F1058:F1069)=10),cubic_spline(F1057:F1067,A1057:A1067,B$2),IF(AND(COUNT(A1058:A1069)=11,COUNT(F1058:F1069)=11),cubic_spline(F1057:F1068,A1057:A1068,B$2),IF(AND(COUNT(A1058:A1069)=12,COUNT(F1058:F1069)=12),cubic_spline(F1057:F1069,A1057:A1069,B$2),""))))))))))))</f>
        <v/>
      </c>
      <c r="L1058" s="27" t="str">
        <f>IF(I1058="","",0&amp;"-"&amp;B$2)</f>
        <v/>
      </c>
      <c r="M1058" s="52" t="str">
        <f>IF(N(J1058)=0,"",J1058-J1057)</f>
        <v/>
      </c>
    </row>
    <row r="1059" spans="1:13" x14ac:dyDescent="0.35">
      <c r="A1059" s="48"/>
      <c r="B1059" s="48"/>
      <c r="C1059" s="50"/>
      <c r="D1059" s="50"/>
      <c r="E1059" s="51" t="str">
        <f t="shared" ref="E1059:E1069" si="403">IF(N(C1059)=0,"",(A1059-A1058)*C1059*100)</f>
        <v/>
      </c>
      <c r="F1059" s="68" t="str">
        <f t="shared" si="401"/>
        <v/>
      </c>
      <c r="G1059" s="69" t="str">
        <f t="shared" ref="G1059:G1069" si="404">IF(OR(N(D1059)=0,N(E1059)=0),"",(E1059*D1059)/1000)</f>
        <v/>
      </c>
      <c r="H1059" s="70" t="str">
        <f t="shared" si="402"/>
        <v/>
      </c>
      <c r="I1059" s="27" t="str">
        <f>IF(N(J1059)=0,"",0&amp;"-"&amp;B$3)</f>
        <v/>
      </c>
      <c r="J1059" s="52" t="str">
        <f>IF(N(B$3)=0,"",IF(AND(COUNT(H1058:H1069)=2,COUNT(F1058:F1069)=2),cubic_spline(F1057:F1059,H1057:H1059,B$3),IF(AND(COUNT(H1058:H1069)=3,COUNT(F1058:F1069)=3),cubic_spline(F1057:F1060,H1057:H1060,B$3),IF(AND(COUNT(H1058:H1069)=4,COUNT(F1058:F1069)=4),cubic_spline(F1057:F1061,H1057:H1061,B$3),IF(AND(COUNT(H1058:H1069)=5,COUNT(F1058:F1069)=5),cubic_spline(F1057:F1062,H1057:H1062,B$3),IF(AND(COUNT(H1058:H1069)=6,COUNT(F1058:F1069)=6),cubic_spline(F1057:F1063,H1057:H1063,B$3),IF(AND(COUNT(H1058:H1069)=7,COUNT(F1058:F1069)=7),cubic_spline(F1057:F1064,H1057:H1064,B$3),IF(AND(COUNT(H1058:H1069)=8,COUNT(F1058:F1069)=8),cubic_spline(F1057:F1065,H1057:H1065,B$3),IF(AND(COUNT(H1058:H1069)=9,COUNT(F1058:F1069)=9),cubic_spline(F1057:F1066,H1057:H1066,B$3),IF(AND(COUNT(H1058:H1069)=10,COUNT(F1058:F1069)=10),cubic_spline(F1057:F1067,H1057:H1067,B$3),IF(AND(COUNT(H1058:H1069)=11,COUNT(F1058:F1069)=11),cubic_spline(F1057:F1068,H1057:H1068,B$3),IF(AND(COUNT(H1058:H1069)=12,COUNT(F1058:F1069)=12),cubic_spline(F1057:F1069,H1057:H1069,B$3),""))))))))))))</f>
        <v/>
      </c>
      <c r="K1059" s="52" t="str">
        <f>IF(N(B$3)=0,"",IF(AND(COUNT(A1058:A1069)=2,COUNT(F1058:F1069)=2),cubic_spline(F1057:F1059,A1057:A1059,B$3),IF(AND(COUNT(A1058:A1069)=3,COUNT(F1058:F1069)=3),cubic_spline(F1057:F1060,A1057:A1060,B$3),IF(AND(COUNT(A1058:A1069)=4,COUNT(F1058:F1069)=4),cubic_spline(F1057:F1061,A1057:A1061,B$3),IF(AND(COUNT(A1058:A1069)=5,COUNT(F1058:F1069)=5),cubic_spline(F1057:F1062,A1057:A1062,B$3),IF(AND(COUNT(A1058:A1069)=6,COUNT(F1058:F1069)=6),cubic_spline(F1057:F1063,A1057:A1063,B$3),IF(AND(COUNT(A1058:A1069)=7,COUNT(F1058:F1069)=7),cubic_spline(F1057:F1064,A1057:A1064,B$3),IF(AND(COUNT(A1058:A1069)=8,COUNT(F1058:F1069)=8),cubic_spline(F1057:F1065,A1057:A1065,B$3),IF(AND(COUNT(A1058:A1069)=9,COUNT(F1058:F1069)=9),cubic_spline(F1057:F1066,A1057:A1066,B$3),IF(AND(COUNT(A1058:A1069)=10,COUNT(F1058:F1069)=10),cubic_spline(F1057:F1067,A1057:A1067,B$3),IF(AND(COUNT(A1058:A1069)=11,COUNT(F1058:F1069)=11),cubic_spline(F1057:F1068,A1057:A1068,B$3),IF(AND(COUNT(A1058:A1069)=12,COUNT(F1058:F1069)=12),cubic_spline(F1057:F1069,A1057:A1069,B$3),""))))))))))))</f>
        <v/>
      </c>
      <c r="L1059" s="27" t="str">
        <f>IF(I1059="","",B$2&amp;"-"&amp;B$3)</f>
        <v/>
      </c>
      <c r="M1059" s="52" t="str">
        <f>IF(N(J1059)=0,"",J1059-J1058)</f>
        <v/>
      </c>
    </row>
    <row r="1060" spans="1:13" x14ac:dyDescent="0.35">
      <c r="A1060" s="48"/>
      <c r="B1060" s="48"/>
      <c r="C1060" s="50"/>
      <c r="D1060" s="50"/>
      <c r="E1060" s="51" t="str">
        <f t="shared" si="403"/>
        <v/>
      </c>
      <c r="F1060" s="68" t="str">
        <f t="shared" si="401"/>
        <v/>
      </c>
      <c r="G1060" s="69" t="str">
        <f t="shared" si="404"/>
        <v/>
      </c>
      <c r="H1060" s="70" t="str">
        <f t="shared" si="402"/>
        <v/>
      </c>
      <c r="I1060" s="27" t="str">
        <f>IF(N(J1060)=0,"",0&amp;"-"&amp;B$4)</f>
        <v/>
      </c>
      <c r="J1060" s="52" t="str">
        <f>IF(N(B$4)=0,"",IF(AND(COUNT(H1058:H1069)=2,COUNT(F1058:F1069)=2),cubic_spline(F1057:F1059,H1057:H1059,B$4),IF(AND(COUNT(H1058:H1069)=3,COUNT(F1058:F1069)=3),cubic_spline(F1057:F1060,H1057:H1060,B$4),IF(AND(COUNT(H1058:H1069)=4,COUNT(F1058:F1069)=4),cubic_spline(F1057:F1061,H1057:H1061,B$4),IF(AND(COUNT(H1058:H1069)=5,COUNT(F1058:F1069)=5),cubic_spline(F1057:F1062,H1057:H1062,B$4),IF(AND(COUNT(H1058:H1069)=6,COUNT(F1058:F1069)=6),cubic_spline(F1057:F1063,H1057:H1063,B$4),IF(AND(COUNT(H1058:H1069)=7,COUNT(F1058:F1069)=7),cubic_spline(F1057:F1064,H1057:H1064,B$4),IF(AND(COUNT(H1058:H1069)=8,COUNT(F1058:F1069)=8),cubic_spline(F1057:F1065,H1057:H1065,B$4),IF(AND(COUNT(H1058:H1069)=9,COUNT(F1058:F1069)=9),cubic_spline(F1057:F1066,H1057:H1066,B$4),IF(AND(COUNT(H1058:H1069)=10,COUNT(F1058:F1069)=10),cubic_spline(F1057:F1067,H1057:H1067,B$4),IF(AND(COUNT(H1058:H1069)=11,COUNT(F1058:F1069)=11),cubic_spline(F1057:F1068,H1057:H1068,B$4),IF(AND(COUNT(H1058:H1069)=12,COUNT(F1058:F1069)=12),cubic_spline(F1057:F1069,H1057:H1069,B$4),""))))))))))))</f>
        <v/>
      </c>
      <c r="K1060" s="52" t="str">
        <f>IF(N(B$4)=0,"",IF(AND(COUNT(A1058:A1069)=2,COUNT(F1058:F1069)=2),cubic_spline(F1057:F1059,A1057:A1059,B$4),IF(AND(COUNT(A1058:A1069)=3,COUNT(F1058:F1069)=3),cubic_spline(F1057:F1060,A1057:A1060,B$4),IF(AND(COUNT(A1058:A1069)=4,COUNT(F1058:F1069)=4),cubic_spline(F1057:F1061,A1057:A1061,B$4),IF(AND(COUNT(A1058:A1069)=5,COUNT(F1058:F1069)=5),cubic_spline(F1057:F1062,A1057:A1062,B$4),IF(AND(COUNT(A1058:A1069)=6,COUNT(F1058:F1069)=6),cubic_spline(F1057:F1063,A1057:A1063,B$4),IF(AND(COUNT(A1058:A1069)=7,COUNT(F1058:F1069)=7),cubic_spline(F1057:F1064,A1057:A1064,B$4),IF(AND(COUNT(A1058:A1069)=8,COUNT(F1058:F1069)=8),cubic_spline(F1057:F1065,A1057:A1065,B$4),IF(AND(COUNT(A1058:A1069)=9,COUNT(F1058:F1069)=9),cubic_spline(F1057:F1066,A1057:A1066,B$4),IF(AND(COUNT(A1058:A1069)=10,COUNT(F1058:F1069)=10),cubic_spline(F1057:F1067,A1057:A1067,B$4),IF(AND(COUNT(A1058:A1069)=11,COUNT(F1058:F1069)=11),cubic_spline(F1057:F1068,A1057:A1068,B$4),IF(AND(COUNT(A1058:A1069)=12,COUNT(F1058:F1069)=12),cubic_spline(F1057:F1069,A1057:A1069,B$4),""))))))))))))</f>
        <v/>
      </c>
      <c r="L1060" s="27" t="str">
        <f>IF(I1060="","",B$3&amp;"-"&amp;B$4)</f>
        <v/>
      </c>
      <c r="M1060" s="52" t="str">
        <f>IF(N(J1060)=0,"",J1060-J1059)</f>
        <v/>
      </c>
    </row>
    <row r="1061" spans="1:13" x14ac:dyDescent="0.35">
      <c r="A1061" s="48"/>
      <c r="B1061" s="48"/>
      <c r="C1061" s="50"/>
      <c r="D1061" s="50"/>
      <c r="E1061" s="51" t="str">
        <f t="shared" si="403"/>
        <v/>
      </c>
      <c r="F1061" s="68" t="str">
        <f t="shared" si="401"/>
        <v/>
      </c>
      <c r="G1061" s="69" t="str">
        <f t="shared" si="404"/>
        <v/>
      </c>
      <c r="H1061" s="70" t="str">
        <f t="shared" si="402"/>
        <v/>
      </c>
      <c r="I1061" s="27" t="str">
        <f>IF(N(J1061)=0,"",0&amp;"-"&amp;B$5)</f>
        <v/>
      </c>
      <c r="J1061" s="52" t="str">
        <f>IF(N(B$5)=0,"",IF(AND(COUNT(H1058:H1069)=2,COUNT(F1058:F1069)=2),cubic_spline(F1057:F1059,H1057:H1059,B$5),IF(AND(COUNT(H1058:H1069)=3,COUNT(F1058:F1069)=3),cubic_spline(F1057:F1060,H1057:H1060,B$5),IF(AND(COUNT(H1058:H1069)=4,COUNT(F1058:F1069)=4),cubic_spline(F1057:F1061,H1057:H1061,B$5),IF(AND(COUNT(H1058:H1069)=5,COUNT(F1058:F1069)=5),cubic_spline(F1057:F1062,H1057:H1062,B$5),IF(AND(COUNT(H1058:H1069)=6,COUNT(F1058:F1069)=6),cubic_spline(F1057:F1063,H1057:H1063,B$5),IF(AND(COUNT(H1058:H1069)=7,COUNT(F1058:F1069)=7),cubic_spline(F1057:F1064,H1057:H1064,B$5),IF(AND(COUNT(H1058:H1069)=8,COUNT(F1058:F1069)=8),cubic_spline(F1057:F1065,H1057:H1065,B$5),IF(AND(COUNT(H1058:H1069)=9,COUNT(F1058:F1069)=9),cubic_spline(F1057:F1066,H1057:H1066,B$5),IF(AND(COUNT(H1058:H1069)=10,COUNT(F1058:F1069)=10),cubic_spline(F1057:F1067,H1057:H1067,B$5),IF(AND(COUNT(H1058:H1069)=11,COUNT(F1058:F1069)=11),cubic_spline(F1057:F1068,H1057:H1068,B$5),IF(AND(COUNT(H1058:H1069)=12,COUNT(F1058:F1069)=12),cubic_spline(F1057:F1069,H1057:H1069,B$5),""))))))))))))</f>
        <v/>
      </c>
      <c r="K1061" s="52" t="str">
        <f>IF(N(B$5)=0,"",IF(AND(COUNT(A1058:A1069)=2,COUNT(F1058:F1069)=2),cubic_spline(F1057:F1059,A1057:A1059,B$5),IF(AND(COUNT(A1058:A1069)=3,COUNT(F1058:F1069)=3),cubic_spline(F1057:F1060,A1057:A1060,B$5),IF(AND(COUNT(A1058:A1069)=4,COUNT(F1058:F1069)=4),cubic_spline(F1057:F1061,A1057:A1061,B$5),IF(AND(COUNT(A1058:A1069)=5,COUNT(F1058:F1069)=5),cubic_spline(F1057:F1062,A1057:A1062,B$5),IF(AND(COUNT(A1058:A1069)=6,COUNT(F1058:F1069)=6),cubic_spline(F1057:F1063,A1057:A1063,B$5),IF(AND(COUNT(A1058:A1069)=7,COUNT(F1058:F1069)=7),cubic_spline(F1057:F1064,A1057:A1064,B$5),IF(AND(COUNT(A1058:A1069)=8,COUNT(F1058:F1069)=8),cubic_spline(F1057:F1065,A1057:A1065,B$5),IF(AND(COUNT(A1058:A1069)=9,COUNT(F1058:F1069)=9),cubic_spline(F1057:F1066,A1057:A1066,B$5),IF(AND(COUNT(A1058:A1069)=10,COUNT(F1058:F1069)=10),cubic_spline(F1057:F1067,A1057:A1067,B$5),IF(AND(COUNT(A1058:A1069)=11,COUNT(F1058:F1069)=11),cubic_spline(F1057:F1068,A1057:A1068,B$5),IF(AND(COUNT(A1058:A1069)=12,COUNT(F1058:F1069)=12),cubic_spline(F1057:F1069,A1057:A1069,B$5),""))))))))))))</f>
        <v/>
      </c>
      <c r="L1061" s="27" t="str">
        <f>IF(I1061="","",B$4&amp;"-"&amp;B$5)</f>
        <v/>
      </c>
      <c r="M1061" s="52" t="str">
        <f>IF(N(J1061)=0,"",J1061-J1060)</f>
        <v/>
      </c>
    </row>
    <row r="1062" spans="1:13" x14ac:dyDescent="0.35">
      <c r="A1062" s="48"/>
      <c r="B1062" s="48"/>
      <c r="C1062" s="50"/>
      <c r="D1062" s="50"/>
      <c r="E1062" s="51" t="str">
        <f t="shared" si="403"/>
        <v/>
      </c>
      <c r="F1062" s="71" t="str">
        <f t="shared" si="401"/>
        <v/>
      </c>
      <c r="G1062" s="69" t="str">
        <f t="shared" si="404"/>
        <v/>
      </c>
      <c r="H1062" s="70" t="str">
        <f t="shared" si="402"/>
        <v/>
      </c>
      <c r="I1062" s="27" t="str">
        <f>IF(N(J1062)=0,"",0&amp;"-"&amp;B$6)</f>
        <v/>
      </c>
      <c r="J1062" s="52" t="str">
        <f>IF(N(B$6)=0,"",IF(AND(COUNT(H1058:H1069)=2,COUNT(F1058:F1069)=2),cubic_spline(F1057:F1059,H1057:H1059,B$6),IF(AND(COUNT(H1058:H1069)=3,COUNT(F1058:F1069)=3),cubic_spline(F1057:F1060,H1057:H1060,B$6),IF(AND(COUNT(H1058:H1069)=4,COUNT(F1058:F1069)=4),cubic_spline(F1057:F1061,H1057:H1061,B$6),IF(AND(COUNT(H1058:H1069)=5,COUNT(F1058:F1069)=5),cubic_spline(F1057:F1062,H1057:H1062,B$6),IF(AND(COUNT(H1058:H1069)=6,COUNT(F1058:F1069)=6),cubic_spline(F1057:F1063,H1057:H1063,B$6),IF(AND(COUNT(H1058:H1069)=7,COUNT(F1058:F1069)=7),cubic_spline(F1057:F1064,H1057:H1064,B$6),IF(AND(COUNT(H1058:H1069)=8,COUNT(F1058:F1069)=8),cubic_spline(F1057:F1065,H1057:H1065,B$6),IF(AND(COUNT(H1058:H1069)=9,COUNT(F1058:F1069)=9),cubic_spline(F1057:F1066,H1057:H1066,B$6),IF(AND(COUNT(H1058:H1069)=10,COUNT(F1058:F1069)=10),cubic_spline(F1057:F1067,H1057:H1067,B$6),IF(AND(COUNT(H1058:H1069)=11,COUNT(F1058:F1069)=11),cubic_spline(F1057:F1068,H1057:H1068,B$6),IF(AND(COUNT(H1058:H1069)=12,COUNT(F1058:F1069)=12),cubic_spline(F1057:F1069,H1057:H1069,B$6),""))))))))))))</f>
        <v/>
      </c>
      <c r="K1062" s="52" t="str">
        <f>IF(N(B$6)=0,"",IF(AND(COUNT(A1058:A1069)=2,COUNT(F1058:F1069)=2),cubic_spline(F1057:F1059,A1057:A1059,B$6),IF(AND(COUNT(A1058:A1069)=3,COUNT(F1058:F1069)=3),cubic_spline(F1057:F1060,A1057:A1060,B$6),IF(AND(COUNT(A1058:A1069)=4,COUNT(F1058:F1069)=4),cubic_spline(F1057:F1061,A1057:A1061,B$6),IF(AND(COUNT(A1058:A1069)=5,COUNT(F1058:F1069)=5),cubic_spline(F1057:F1062,A1057:A1062,B$6),IF(AND(COUNT(A1058:A1069)=6,COUNT(F1058:F1069)=6),cubic_spline(F1057:F1063,A1057:A1063,B$6),IF(AND(COUNT(A1058:A1069)=7,COUNT(F1058:F1069)=7),cubic_spline(F1057:F1064,A1057:A1064,B$6),IF(AND(COUNT(A1058:A1069)=8,COUNT(F1058:F1069)=8),cubic_spline(F1057:F1065,A1057:A1065,B$6),IF(AND(COUNT(A1058:A1069)=9,COUNT(F1058:F1069)=9),cubic_spline(F1057:F1066,A1057:A1066,B$6),IF(AND(COUNT(A1058:A1069)=10,COUNT(F1058:F1069)=10),cubic_spline(F1057:F1067,A1057:A1067,B$6),IF(AND(COUNT(A1058:A1069)=11,COUNT(F1058:F1069)=11),cubic_spline(F1057:F1068,A1057:A1068,B$6),IF(AND(COUNT(A1058:A1069)=12,COUNT(F1058:F1069)=12),cubic_spline(F1057:F1069,A1057:A1069,B$6),""))))))))))))</f>
        <v/>
      </c>
      <c r="L1062" s="27" t="str">
        <f>IF(I1062="","",B$5&amp;"-"&amp;B$6)</f>
        <v/>
      </c>
      <c r="M1062" s="52" t="str">
        <f>IF(N(J1062)=0,"",J1062-J1061)</f>
        <v/>
      </c>
    </row>
    <row r="1063" spans="1:13" x14ac:dyDescent="0.35">
      <c r="A1063" s="48"/>
      <c r="B1063" s="48"/>
      <c r="C1063" s="50"/>
      <c r="D1063" s="50"/>
      <c r="E1063" s="51" t="str">
        <f t="shared" si="403"/>
        <v/>
      </c>
      <c r="F1063" s="71" t="str">
        <f t="shared" si="401"/>
        <v/>
      </c>
      <c r="G1063" s="69" t="str">
        <f t="shared" si="404"/>
        <v/>
      </c>
      <c r="H1063" s="70" t="str">
        <f t="shared" si="402"/>
        <v/>
      </c>
      <c r="I1063" s="27" t="str">
        <f>IF(N(J1063)=0,"",0&amp;"-"&amp;B$7)</f>
        <v/>
      </c>
      <c r="J1063" s="52" t="str">
        <f>IF(N(B$7)=0,"",IF(AND(COUNT(H1058:H1069)=2,COUNT(F1058:F1069)=2),cubic_spline(F1057:F1059,H1057:H1059,B$7),IF(AND(COUNT(H1058:H1069)=3,COUNT(F1058:F1069)=3),cubic_spline(F1057:F1060,H1057:H1060,B$7),IF(AND(COUNT(H1058:H1069)=4,COUNT(F1058:F1069)=4),cubic_spline(F1057:F1061,H1057:H1061,B$7),IF(AND(COUNT(H1058:H1069)=5,COUNT(F1058:F1069)=5),cubic_spline(F1057:F1062,H1057:H1062,B$7),IF(AND(COUNT(H1058:H1069)=6,COUNT(F1058:F1069)=6),cubic_spline(F1057:F1063,H1057:H1063,B$7),IF(AND(COUNT(H1058:H1069)=7,COUNT(F1058:F1069)=7),cubic_spline(F1057:F1064,H1057:H1064,B$7),IF(AND(COUNT(H1058:H1069)=8,COUNT(F1058:F1069)=8),cubic_spline(F1057:F1065,H1057:H1065,B$7),IF(AND(COUNT(H1058:H1069)=9,COUNT(F1058:F1069)=9),cubic_spline(F1057:F1066,H1057:H1066,B$7),IF(AND(COUNT(H1058:H1069)=10,COUNT(F1058:F1069)=10),cubic_spline(F1057:F1067,H1057:H1067,B$7),IF(AND(COUNT(H1058:H1069)=11,COUNT(F1058:F1069)=11),cubic_spline(F1057:F1068,H1057:H1068,B$7),IF(AND(COUNT(H1058:H1069)=12,COUNT(F1058:F1069)=12),cubic_spline(F1057:F1069,H1057:H1069,B$7),""))))))))))))</f>
        <v/>
      </c>
      <c r="K1063" s="52" t="str">
        <f>IF(N(B$7)=0,"",IF(AND(COUNT(A1058:A1069)=2,COUNT(F1058:F1069)=2),cubic_spline(F1057:F1059,A1057:A1059,B$7),IF(AND(COUNT(A1058:A1069)=3,COUNT(F1058:F1069)=3),cubic_spline(F1057:F1060,A1057:A1060,B$7),IF(AND(COUNT(A1058:A1069)=4,COUNT(F1058:F1069)=4),cubic_spline(F1057:F1061,A1057:A1061,B$7),IF(AND(COUNT(A1058:A1069)=5,COUNT(F1058:F1069)=5),cubic_spline(F1057:F1062,A1057:A1062,B$7),IF(AND(COUNT(A1058:A1069)=6,COUNT(F1058:F1069)=6),cubic_spline(F1057:F1063,A1057:A1063,B$7),IF(AND(COUNT(A1058:A1069)=7,COUNT(F1058:F1069)=7),cubic_spline(F1057:F1064,A1057:A1064,B$7),IF(AND(COUNT(A1058:A1069)=8,COUNT(F1058:F1069)=8),cubic_spline(F1057:F1065,A1057:A1065,B$7),IF(AND(COUNT(A1058:A1069)=9,COUNT(F1058:F1069)=9),cubic_spline(F1057:F1066,A1057:A1066,B$7),IF(AND(COUNT(A1058:A1069)=10,COUNT(F1058:F1069)=10),cubic_spline(F1057:F1067,A1057:A1067,B$7),IF(AND(COUNT(A1058:A1069)=11,COUNT(F1058:F1069)=11),cubic_spline(F1057:F1068,A1057:A1068,B$7),IF(AND(COUNT(A1058:A1069)=12,COUNT(F1058:F1069)=12),cubic_spline(F1057:F1069,A1057:A1069,B$7),""))))))))))))</f>
        <v/>
      </c>
      <c r="L1063" s="27" t="str">
        <f>IF(I1063="","",B$6&amp;"-"&amp;B$7)</f>
        <v/>
      </c>
      <c r="M1063" s="52" t="str">
        <f t="shared" ref="M1063:M1069" si="405">IF(N(J1063)=0,"",J1063-J1062)</f>
        <v/>
      </c>
    </row>
    <row r="1064" spans="1:13" x14ac:dyDescent="0.35">
      <c r="A1064" s="48"/>
      <c r="B1064" s="48"/>
      <c r="C1064" s="50"/>
      <c r="D1064" s="50"/>
      <c r="E1064" s="51" t="str">
        <f t="shared" si="403"/>
        <v/>
      </c>
      <c r="F1064" s="71" t="str">
        <f t="shared" si="401"/>
        <v/>
      </c>
      <c r="G1064" s="69" t="str">
        <f t="shared" si="404"/>
        <v/>
      </c>
      <c r="H1064" s="70" t="str">
        <f t="shared" si="402"/>
        <v/>
      </c>
      <c r="I1064" s="27" t="str">
        <f>IF(N(J1064)=0,"",0&amp;"-"&amp;B$8)</f>
        <v/>
      </c>
      <c r="J1064" s="52" t="str">
        <f>IF(N(B$8)=0,"",IF(AND(COUNT(H1058:H1069)=2,COUNT(F1058:F1069)=2),cubic_spline(F1057:F1059,H1057:H1059,B$8),IF(AND(COUNT(H1058:H1069)=3,COUNT(F1058:F1069)=3),cubic_spline(F1057:F1060,H1057:H1060,B$8),IF(AND(COUNT(H1058:H1069)=4,COUNT(F1058:F1069)=4),cubic_spline(F1057:F1061,H1057:H1061,B$8),IF(AND(COUNT(H1058:H1069)=5,COUNT(F1058:F1069)=5),cubic_spline(F1057:F1062,H1057:H1062,B$8),IF(AND(COUNT(H1058:H1069)=6,COUNT(F1058:F1069)=6),cubic_spline(F1057:F1063,H1057:H1063,B$8),IF(AND(COUNT(H1058:H1069)=7,COUNT(F1058:F1069)=7),cubic_spline(F1057:F1064,H1057:H1064,B$8),IF(AND(COUNT(H1058:H1069)=8,COUNT(F1058:F1069)=8),cubic_spline(F1057:F1065,H1057:H1065,B$8),IF(AND(COUNT(H1058:H1069)=9,COUNT(F1058:F1069)=9),cubic_spline(F1057:F1066,H1057:H1066,B$8),IF(AND(COUNT(H1058:H1069)=10,COUNT(F1058:F1069)=10),cubic_spline(F1057:F1067,H1057:H1067,B$8),IF(AND(COUNT(H1058:H1069)=11,COUNT(F1058:F1069)=11),cubic_spline(F1057:F1068,H1057:H1068,B$8),IF(AND(COUNT(H1058:H1069)=12,COUNT(F1058:F1069)=12),cubic_spline(F1057:F1069,H1057:H1069,B$8),""))))))))))))</f>
        <v/>
      </c>
      <c r="K1064" s="52" t="str">
        <f>IF(N(B$8)=0,"",IF(AND(COUNT(A1058:A1069)=2,COUNT(F1058:F1069)=2),cubic_spline(F1057:F1059,A1057:A1059,B$8),IF(AND(COUNT(A1058:A1069)=3,COUNT(F1058:F1069)=3),cubic_spline(F1057:F1060,A1057:A1060,B$8),IF(AND(COUNT(A1058:A1069)=4,COUNT(F1058:F1069)=4),cubic_spline(F1057:F1061,A1057:A1061,B$8),IF(AND(COUNT(A1058:A1069)=5,COUNT(F1058:F1069)=5),cubic_spline(F1057:F1062,A1057:A1062,B$8),IF(AND(COUNT(A1058:A1069)=6,COUNT(F1058:F1069)=6),cubic_spline(F1057:F1063,A1057:A1063,B$8),IF(AND(COUNT(A1058:A1069)=7,COUNT(F1058:F1069)=7),cubic_spline(F1057:F1064,A1057:A1064,B$8),IF(AND(COUNT(A1058:A1069)=8,COUNT(F1058:F1069)=8),cubic_spline(F1057:F1065,A1057:A1065,B$8),IF(AND(COUNT(A1058:A1069)=9,COUNT(F1058:F1069)=9),cubic_spline(F1057:F1066,A1057:A1066,B$8),IF(AND(COUNT(A1058:A1069)=10,COUNT(F1058:F1069)=10),cubic_spline(F1057:F1067,A1057:A1067,B$8),IF(AND(COUNT(A1058:A1069)=11,COUNT(F1058:F1069)=11),cubic_spline(F1057:F1068,A1057:A1068,B$8),IF(AND(COUNT(A1058:A1069)=12,COUNT(F1058:F1069)=12),cubic_spline(F1057:F1069,A1057:A1069,B$8),""))))))))))))</f>
        <v/>
      </c>
      <c r="L1064" s="27" t="str">
        <f>IF(I1064="","",B$7&amp;"-"&amp;B$8)</f>
        <v/>
      </c>
      <c r="M1064" s="52" t="str">
        <f t="shared" si="405"/>
        <v/>
      </c>
    </row>
    <row r="1065" spans="1:13" x14ac:dyDescent="0.35">
      <c r="A1065" s="48"/>
      <c r="B1065" s="48"/>
      <c r="C1065" s="50"/>
      <c r="D1065" s="50"/>
      <c r="E1065" s="51" t="str">
        <f t="shared" si="403"/>
        <v/>
      </c>
      <c r="F1065" s="71" t="str">
        <f t="shared" si="401"/>
        <v/>
      </c>
      <c r="G1065" s="69" t="str">
        <f t="shared" si="404"/>
        <v/>
      </c>
      <c r="H1065" s="70" t="str">
        <f t="shared" si="402"/>
        <v/>
      </c>
      <c r="I1065" s="27" t="str">
        <f>IF(N(J1065)=0,"",0&amp;"-"&amp;B$9)</f>
        <v/>
      </c>
      <c r="J1065" s="52" t="str">
        <f>IF(N(B$9)=0,"",IF(AND(COUNT(H1058:H1069)=2,COUNT(F1058:F1069)=2),cubic_spline(F1057:F1059,H1057:H1059,B$9),IF(AND(COUNT(H1058:H1069)=3,COUNT(F1058:F1069)=3),cubic_spline(F1057:F1060,H1057:H1060,B$9),IF(AND(COUNT(H1058:H1069)=4,COUNT(F1058:F1069)=4),cubic_spline(F1057:F1061,H1057:H1061,B$9),IF(AND(COUNT(H1058:H1069)=5,COUNT(F1058:F1069)=5),cubic_spline(F1057:F1062,H1057:H1062,B$9),IF(AND(COUNT(H1058:H1069)=6,COUNT(F1058:F1069)=6),cubic_spline(F1057:F1063,H1057:H1063,B$9),IF(AND(COUNT(H1058:H1069)=7,COUNT(F1058:F1069)=7),cubic_spline(F1057:F1064,H1057:H1064,B$9),IF(AND(COUNT(H1058:H1069)=8,COUNT(F1058:F1069)=8),cubic_spline(F1057:F1065,H1057:H1065,B$9),IF(AND(COUNT(H1058:H1069)=9,COUNT(F1058:F1069)=9),cubic_spline(F1057:F1066,H1057:H1066,B$9),IF(AND(COUNT(H1058:H1069)=10,COUNT(F1058:F1069)=10),cubic_spline(F1057:F1067,H1057:H1067,B$9),IF(AND(COUNT(H1058:H1069)=11,COUNT(F1058:F1069)=11),cubic_spline(F1057:F1068,H1057:H1068,B$9),IF(AND(COUNT(H1058:H1069)=12,COUNT(F1058:F1069)=12),cubic_spline(F1057:F1069,H1057:H1069,B$9),""))))))))))))</f>
        <v/>
      </c>
      <c r="K1065" s="52" t="str">
        <f>IF(N(B$9)=0,"",IF(AND(COUNT(A1058:A1069)=2,COUNT(F1058:F1069)=2),cubic_spline(F1057:F1059,A1057:A1059,B$9),IF(AND(COUNT(A1058:A1069)=3,COUNT(F1058:F1069)=3),cubic_spline(F1057:F1060,A1057:A1060,B$9),IF(AND(COUNT(A1058:A1069)=4,COUNT(F1058:F1069)=4),cubic_spline(F1057:F1061,A1057:A1061,B$9),IF(AND(COUNT(A1058:A1069)=5,COUNT(F1058:F1069)=5),cubic_spline(F1057:F1062,A1057:A1062,B$9),IF(AND(COUNT(A1058:A1069)=6,COUNT(F1058:F1069)=6),cubic_spline(F1057:F1063,A1057:A1063,B$9),IF(AND(COUNT(A1058:A1069)=7,COUNT(F1058:F1069)=7),cubic_spline(F1057:F1064,A1057:A1064,B$9),IF(AND(COUNT(A1058:A1069)=8,COUNT(F1058:F1069)=8),cubic_spline(F1057:F1065,A1057:A1065,B$9),IF(AND(COUNT(A1058:A1069)=9,COUNT(F1058:F1069)=9),cubic_spline(F1057:F1066,A1057:A1066,B$9),IF(AND(COUNT(A1058:A1069)=10,COUNT(F1058:F1069)=10),cubic_spline(F1057:F1067,A1057:A1067,B$9),IF(AND(COUNT(A1058:A1069)=11,COUNT(F1058:F1069)=11),cubic_spline(F1057:F1068,A1057:A1068,B$9),IF(AND(COUNT(A1058:A1069)=12,COUNT(F1058:F1069)=12),cubic_spline(F1057:F1069,A1057:A1069,B$9),""))))))))))))</f>
        <v/>
      </c>
      <c r="L1065" s="27" t="str">
        <f>IF(I1065="","",B$8&amp;"-"&amp;B$9)</f>
        <v/>
      </c>
      <c r="M1065" s="52" t="str">
        <f t="shared" si="405"/>
        <v/>
      </c>
    </row>
    <row r="1066" spans="1:13" x14ac:dyDescent="0.35">
      <c r="A1066" s="48"/>
      <c r="B1066" s="48"/>
      <c r="C1066" s="50"/>
      <c r="D1066" s="50"/>
      <c r="E1066" s="51" t="str">
        <f t="shared" si="403"/>
        <v/>
      </c>
      <c r="F1066" s="71" t="str">
        <f t="shared" si="401"/>
        <v/>
      </c>
      <c r="G1066" s="69" t="str">
        <f t="shared" si="404"/>
        <v/>
      </c>
      <c r="H1066" s="70" t="str">
        <f t="shared" si="402"/>
        <v/>
      </c>
      <c r="I1066" s="27" t="str">
        <f>IF(N(J1066)=0,"",0&amp;"-"&amp;B$10)</f>
        <v/>
      </c>
      <c r="J1066" s="52" t="str">
        <f>IF(N(B$10)=0,"",IF(AND(COUNT(H1058:H1069)=2,COUNT(F1058:F1069)=2),cubic_spline(F1057:F1059,H1057:H1059,B$10),IF(AND(COUNT(H1058:H1069)=3,COUNT(F1058:F1069)=3),cubic_spline(F1057:F1060,H1057:H1060,B$10),IF(AND(COUNT(H1058:H1069)=4,COUNT(F1058:F1069)=4),cubic_spline(F1057:F1061,H1057:H1061,B$10),IF(AND(COUNT(H1058:H1069)=5,COUNT(F1058:F1069)=5),cubic_spline(F1057:F1062,H1057:H1062,B$10),IF(AND(COUNT(H1058:H1069)=6,COUNT(F1058:F1069)=6),cubic_spline(F1057:F1063,H1057:H1063,B$10),IF(AND(COUNT(H1058:H1069)=7,COUNT(F1058:F1069)=7),cubic_spline(F1057:F1064,H1057:H1064,B$10),IF(AND(COUNT(H1058:H1069)=8,COUNT(F1058:F1069)=8),cubic_spline(F1057:F1065,H1057:H1065,B$10),IF(AND(COUNT(H1058:H1069)=9,COUNT(F1058:F1069)=9),cubic_spline(F1057:F1066,H1057:H1066,B$10),IF(AND(COUNT(H1058:H1069)=10,COUNT(F1058:F1069)=10),cubic_spline(F1057:F1067,H1057:H1067,B$10),IF(AND(COUNT(H1058:H1069)=11,COUNT(F1058:F1069)=11),cubic_spline(F1057:F1068,H1057:H1068,B$10),IF(AND(COUNT(H1058:H1069)=12,COUNT(F1058:F1069)=12),cubic_spline(F1057:F1069,H1057:H1069,B$10),""))))))))))))</f>
        <v/>
      </c>
      <c r="K1066" s="52" t="str">
        <f>IF(N(B$10)=0,"",IF(AND(COUNT(A1058:A1069)=2,COUNT(F1058:F1069)=2),cubic_spline(F1057:F1059,A1057:A1059,B$10),IF(AND(COUNT(A1058:A1069)=3,COUNT(F1058:F1069)=3),cubic_spline(F1057:F1060,A1057:A1060,B$10),IF(AND(COUNT(A1058:A1069)=4,COUNT(F1058:F1069)=4),cubic_spline(F1057:F1061,A1057:A1061,B$10),IF(AND(COUNT(A1058:A1069)=5,COUNT(F1058:F1069)=5),cubic_spline(F1057:F1062,A1057:A1062,B$10),IF(AND(COUNT(A1058:A1069)=6,COUNT(F1058:F1069)=6),cubic_spline(F1057:F1063,A1057:A1063,B$10),IF(AND(COUNT(A1058:A1069)=7,COUNT(F1058:F1069)=7),cubic_spline(F1057:F1064,A1057:A1064,B$10),IF(AND(COUNT(A1058:A1069)=8,COUNT(F1058:F1069)=8),cubic_spline(F1057:F1065,A1057:A1065,B$10),IF(AND(COUNT(A1058:A1069)=9,COUNT(F1058:F1069)=9),cubic_spline(F1057:F1066,A1057:A1066,B$10),IF(AND(COUNT(A1058:A1069)=10,COUNT(F1058:F1069)=10),cubic_spline(F1057:F1067,A1057:A1067,B$10),IF(AND(COUNT(A1058:A1069)=11,COUNT(F1058:F1069)=11),cubic_spline(F1057:F1068,A1057:A1068,B$10),IF(AND(COUNT(A1058:A1069)=12,COUNT(F1058:F1069)=12),cubic_spline(F1057:F1069,A1057:A1069,B$10),""))))))))))))</f>
        <v/>
      </c>
      <c r="L1066" s="27" t="str">
        <f>IF(I1066="","",B$9&amp;"-"&amp;B$10)</f>
        <v/>
      </c>
      <c r="M1066" s="52" t="str">
        <f t="shared" si="405"/>
        <v/>
      </c>
    </row>
    <row r="1067" spans="1:13" x14ac:dyDescent="0.35">
      <c r="A1067" s="48"/>
      <c r="B1067" s="48"/>
      <c r="C1067" s="50"/>
      <c r="D1067" s="50"/>
      <c r="E1067" s="51" t="str">
        <f t="shared" si="403"/>
        <v/>
      </c>
      <c r="F1067" s="71" t="str">
        <f t="shared" si="401"/>
        <v/>
      </c>
      <c r="G1067" s="69" t="str">
        <f t="shared" si="404"/>
        <v/>
      </c>
      <c r="H1067" s="70" t="str">
        <f t="shared" si="402"/>
        <v/>
      </c>
      <c r="I1067" s="27" t="str">
        <f>IF(N(J1067)=0,"",0&amp;"-"&amp;B$11)</f>
        <v/>
      </c>
      <c r="J1067" s="52" t="str">
        <f>IF(N(B$11)=0,"",IF(AND(COUNT(H1058:H1069)=2,COUNT(F1058:F1069)=2),cubic_spline(F1057:F1059,H1057:H1059,B$11),IF(AND(COUNT(H1058:H1069)=3,COUNT(F1058:F1069)=3),cubic_spline(F1057:F1060,H1057:H1060,B$11),IF(AND(COUNT(H1058:H1069)=4,COUNT(F1058:F1069)=4),cubic_spline(F1057:F1061,H1057:H1061,B$11),IF(AND(COUNT(H1058:H1069)=5,COUNT(F1058:F1069)=5),cubic_spline(F1057:F1062,H1057:H1062,B$11),IF(AND(COUNT(H1058:H1069)=6,COUNT(F1058:F1069)=6),cubic_spline(F1057:F1063,H1057:H1063,B$11),IF(AND(COUNT(H1058:H1069)=7,COUNT(F1058:F1069)=7),cubic_spline(F1057:F1064,H1057:H1064,B$11),IF(AND(COUNT(H1058:H1069)=8,COUNT(F1058:F1069)=8),cubic_spline(F1057:F1065,H1057:H1065,B$11),IF(AND(COUNT(H1058:H1069)=9,COUNT(F1058:F1069)=9),cubic_spline(F1057:F1066,H1057:H1066,B$11),IF(AND(COUNT(H1058:H1069)=10,COUNT(F1058:F1069)=10),cubic_spline(F1057:F1067,H1057:H1067,B$11),IF(AND(COUNT(H1058:H1069)=11,COUNT(F1058:F1069)=11),cubic_spline(F1057:F1068,H1057:H1068,B$11),IF(AND(COUNT(H1058:H1069)=12,COUNT(F1058:F1069)=12),cubic_spline(F1057:F1069,H1057:H1069,B$11),""))))))))))))</f>
        <v/>
      </c>
      <c r="K1067" s="52" t="str">
        <f>IF(N(B$11)=0,"",IF(AND(COUNT(A1058:A1069)=2,COUNT(F1058:F1069)=2),cubic_spline(F1057:F1059,A1057:A1059,B$11),IF(AND(COUNT(A1058:A1069)=3,COUNT(F1058:F1069)=3),cubic_spline(F1057:F1060,A1057:A1060,B$11),IF(AND(COUNT(A1058:A1069)=4,COUNT(F1058:F1069)=4),cubic_spline(F1057:F1061,A1057:A1061,B$11),IF(AND(COUNT(A1058:A1069)=5,COUNT(F1058:F1069)=5),cubic_spline(F1057:F1062,A1057:A1062,B$11),IF(AND(COUNT(A1058:A1069)=6,COUNT(F1058:F1069)=6),cubic_spline(F1057:F1063,A1057:A1063,B$11),IF(AND(COUNT(A1058:A1069)=7,COUNT(F1058:F1069)=7),cubic_spline(F1057:F1064,A1057:A1064,B$11),IF(AND(COUNT(A1058:A1069)=8,COUNT(F1058:F1069)=8),cubic_spline(F1057:F1065,A1057:A1065,B$11),IF(AND(COUNT(A1058:A1069)=9,COUNT(F1058:F1069)=9),cubic_spline(F1057:F1066,A1057:A1066,B$11),IF(AND(COUNT(A1058:A1069)=10,COUNT(F1058:F1069)=10),cubic_spline(F1057:F1067,A1057:A1067,B$11),IF(AND(COUNT(A1058:A1069)=11,COUNT(F1058:F1069)=11),cubic_spline(F1057:F1068,A1057:A1068,B$11),IF(AND(COUNT(A1058:A1069)=12,COUNT(F1058:F1069)=12),cubic_spline(F1057:F1069,A1057:A1069,B$11),""))))))))))))</f>
        <v/>
      </c>
      <c r="L1067" s="27" t="str">
        <f>IF(I1067="","",B$10&amp;"-"&amp;B$11)</f>
        <v/>
      </c>
      <c r="M1067" s="52" t="str">
        <f t="shared" si="405"/>
        <v/>
      </c>
    </row>
    <row r="1068" spans="1:13" x14ac:dyDescent="0.35">
      <c r="A1068" s="48"/>
      <c r="B1068" s="48"/>
      <c r="C1068" s="50"/>
      <c r="D1068" s="50"/>
      <c r="E1068" s="51" t="str">
        <f t="shared" si="403"/>
        <v/>
      </c>
      <c r="F1068" s="71" t="str">
        <f t="shared" si="401"/>
        <v/>
      </c>
      <c r="G1068" s="69" t="str">
        <f t="shared" si="404"/>
        <v/>
      </c>
      <c r="H1068" s="70" t="str">
        <f t="shared" si="402"/>
        <v/>
      </c>
      <c r="I1068" s="27" t="str">
        <f>IF(N(J1068)=0,"",0&amp;"-"&amp;B$12)</f>
        <v/>
      </c>
      <c r="J1068" s="52" t="str">
        <f>IF(N(B$12)=0,"",IF(AND(COUNT(H1058:H1069)=2,COUNT(F1058:F1069)=2),cubic_spline(F1057:F1059,H1057:H1059,B$12),IF(AND(COUNT(H1058:H1069)=3,COUNT(F1058:F1069)=3),cubic_spline(F1057:F1060,H1057:H1060,B$12),IF(AND(COUNT(H1058:H1069)=4,COUNT(F1058:F1069)=4),cubic_spline(F1057:F1061,H1057:H1061,B$12),IF(AND(COUNT(H1058:H1069)=5,COUNT(F1058:F1069)=5),cubic_spline(F1057:F1062,H1057:H1062,B$12),IF(AND(COUNT(H1058:H1069)=6,COUNT(F1058:F1069)=6),cubic_spline(F1057:F1063,H1057:H1063,B$12),IF(AND(COUNT(H1058:H1069)=7,COUNT(F1058:F1069)=7),cubic_spline(F1057:F1064,H1057:H1064,B$12),IF(AND(COUNT(H1058:H1069)=8,COUNT(F1058:F1069)=8),cubic_spline(F1057:F1065,H1057:H1065,B$12),IF(AND(COUNT(H1058:H1069)=9,COUNT(F1058:F1069)=9),cubic_spline(F1057:F1066,H1057:H1066,B$12),IF(AND(COUNT(H1058:H1069)=10,COUNT(F1058:F1069)=10),cubic_spline(F1057:F1067,H1057:H1067,B$12),IF(AND(COUNT(H1058:H1069)=11,COUNT(F1058:F1069)=11),cubic_spline(F1057:F1068,H1057:H1068,B$12),IF(AND(COUNT(H1058:H1069)=12,COUNT(F1058:F1069)=12),cubic_spline(F1057:F1069,H1057:H1069,B$12),""))))))))))))</f>
        <v/>
      </c>
      <c r="K1068" s="52" t="str">
        <f>IF(N(B$12)=0,"",IF(AND(COUNT(A1058:A1069)=2,COUNT(F1058:F1069)=2),cubic_spline(F1057:F1059,A1057:A1059,B$12),IF(AND(COUNT(A1058:A1069)=3,COUNT(F1058:F1069)=3),cubic_spline(F1057:F1060,A1057:A1060,B$12),IF(AND(COUNT(A1058:A1069)=4,COUNT(F1058:F1069)=4),cubic_spline(F1057:F1061,A1057:A1061,B$12),IF(AND(COUNT(A1058:A1069)=5,COUNT(F1058:F1069)=5),cubic_spline(F1057:F1062,A1057:A1062,B$12),IF(AND(COUNT(A1058:A1069)=6,COUNT(F1058:F1069)=6),cubic_spline(F1057:F1063,A1057:A1063,B$12),IF(AND(COUNT(A1058:A1069)=7,COUNT(F1058:F1069)=7),cubic_spline(F1057:F1064,A1057:A1064,B$12),IF(AND(COUNT(A1058:A1069)=8,COUNT(F1058:F1069)=8),cubic_spline(F1057:F1065,A1057:A1065,B$12),IF(AND(COUNT(A1058:A1069)=9,COUNT(F1058:F1069)=9),cubic_spline(F1057:F1066,A1057:A1066,B$12),IF(AND(COUNT(A1058:A1069)=10,COUNT(F1058:F1069)=10),cubic_spline(F1057:F1067,A1057:A1067,B$12),IF(AND(COUNT(A1058:A1069)=11,COUNT(F1058:F1069)=11),cubic_spline(F1057:F1068,A1057:A1068,B$12),IF(AND(COUNT(A1058:A1069)=12,COUNT(F1058:F1069)=12),cubic_spline(F1057:F1069,A1057:A1069,B$12),""))))))))))))</f>
        <v/>
      </c>
      <c r="L1068" s="27" t="str">
        <f>IF(I1068="","",B$11&amp;"-"&amp;B$12)</f>
        <v/>
      </c>
      <c r="M1068" s="52" t="str">
        <f t="shared" si="405"/>
        <v/>
      </c>
    </row>
    <row r="1069" spans="1:13" x14ac:dyDescent="0.35">
      <c r="A1069" s="48"/>
      <c r="B1069" s="48"/>
      <c r="C1069" s="50"/>
      <c r="D1069" s="50"/>
      <c r="E1069" s="51" t="str">
        <f t="shared" si="403"/>
        <v/>
      </c>
      <c r="F1069" s="71" t="str">
        <f t="shared" si="401"/>
        <v/>
      </c>
      <c r="G1069" s="69" t="str">
        <f t="shared" si="404"/>
        <v/>
      </c>
      <c r="H1069" s="70" t="str">
        <f t="shared" si="402"/>
        <v/>
      </c>
      <c r="I1069" s="27" t="str">
        <f>IF(N(J1069)=0,"",0&amp;"-"&amp;B$13)</f>
        <v/>
      </c>
      <c r="J1069" s="52" t="str">
        <f>IF(N(B$13)=0,"",IF(AND(COUNT(H1058:H1069)=2,COUNT(F1058:F1069)=2),cubic_spline(F1057:F1059,H1057:H1059,B$13),IF(AND(COUNT(H1058:H1069)=3,COUNT(F1058:F1069)=3),cubic_spline(F1057:F1060,H1057:H1060,B$13),IF(AND(COUNT(H1058:H1069)=4,COUNT(F1058:F1069)=4),cubic_spline(F1057:F1061,H1057:H1061,B$13),IF(AND(COUNT(H1058:H1069)=5,COUNT(F1058:F1069)=5),cubic_spline(F1057:F1062,H1057:H1062,B$13),IF(AND(COUNT(H1058:H1069)=6,COUNT(F1058:F1069)=6),cubic_spline(F1057:F1063,H1057:H1063,B$13),IF(AND(COUNT(H1058:H1069)=7,COUNT(F1058:F1069)=7),cubic_spline(F1057:F1064,H1057:H1064,B$13),IF(AND(COUNT(H1058:H1069)=8,COUNT(F1058:F1069)=8),cubic_spline(F1057:F1065,H1057:H1065,B$13),IF(AND(COUNT(H1058:H1069)=9,COUNT(F1058:F1069)=9),cubic_spline(F1057:F1066,H1057:H1066,B$13),IF(AND(COUNT(H1058:H1069)=10,COUNT(F1058:F1069)=10),cubic_spline(F1057:F1067,H1057:H1067,B$13),IF(AND(COUNT(H1058:H1069)=11,COUNT(F1058:F1069)=11),cubic_spline(F1057:F1068,H1057:H1068,B$13),IF(AND(COUNT(H1058:H1069)=12,COUNT(F1058:F1069)=12),cubic_spline(F1057:F1069,H1057:H1069,B$13),""))))))))))))</f>
        <v/>
      </c>
      <c r="K1069" s="52" t="str">
        <f>IF(N(B$13)=0,"",IF(AND(COUNT(A1058:A1069)=2,COUNT(F1058:F1069)=2),cubic_spline(F1057:F1059,A1057:A1059,B$13),IF(AND(COUNT(A1058:A1069)=3,COUNT(F1058:F1069)=3),cubic_spline(F1057:F1060,A1057:A1060,B$13),IF(AND(COUNT(A1058:A1069)=4,COUNT(F1058:F1069)=4),cubic_spline(F1057:F1061,A1057:A1061,B$13),IF(AND(COUNT(A1058:A1069)=5,COUNT(F1058:F1069)=5),cubic_spline(F1057:F1062,A1057:A1062,B$13),IF(AND(COUNT(A1058:A1069)=6,COUNT(F1058:F1069)=6),cubic_spline(F1057:F1063,A1057:A1063,B$13),IF(AND(COUNT(A1058:A1069)=7,COUNT(F1058:F1069)=7),cubic_spline(F1057:F1064,A1057:A1064,B$13),IF(AND(COUNT(A1058:A1069)=8,COUNT(F1058:F1069)=8),cubic_spline(F1057:F1065,A1057:A1065,B$13),IF(AND(COUNT(A1058:A1069)=9,COUNT(F1058:F1069)=9),cubic_spline(F1057:F1066,A1057:A1066,B$13),IF(AND(COUNT(A1058:A1069)=10,COUNT(F1058:F1069)=10),cubic_spline(F1057:F1067,A1057:A1067,B$13),IF(AND(COUNT(A1058:A1069)=11,COUNT(F1058:F1069)=11),cubic_spline(F1057:F1068,A1057:A1068,B$13),IF(AND(COUNT(A1058:A1069)=12,COUNT(F1058:F1069)=12),cubic_spline(F1057:F1069,A1057:A1069,B$13),""))))))))))))</f>
        <v/>
      </c>
      <c r="L1069" s="27" t="str">
        <f>IF(I1069="","",B$12&amp;"-"&amp;B$13)</f>
        <v/>
      </c>
      <c r="M1069" s="52" t="str">
        <f t="shared" si="405"/>
        <v/>
      </c>
    </row>
    <row r="1070" spans="1:13" ht="5.15" customHeight="1" x14ac:dyDescent="0.35">
      <c r="A1070" s="47"/>
      <c r="B1070" s="47"/>
      <c r="C1070" s="53"/>
      <c r="D1070" s="53"/>
      <c r="E1070" s="54"/>
      <c r="F1070" s="55"/>
      <c r="G1070" s="72"/>
      <c r="H1070" s="73"/>
      <c r="I1070" s="47"/>
      <c r="J1070" s="57"/>
      <c r="K1070" s="57"/>
      <c r="L1070" s="55"/>
      <c r="M1070" s="57"/>
    </row>
    <row r="1071" spans="1:13" x14ac:dyDescent="0.35">
      <c r="A1071" s="48"/>
      <c r="B1071" s="48"/>
      <c r="C1071" s="50"/>
      <c r="D1071" s="50"/>
      <c r="E1071" s="51" t="str">
        <f>IF(N(C1071)=0,"",(A1071-A1070)*C1071*100)</f>
        <v/>
      </c>
      <c r="F1071" s="68" t="str">
        <f t="shared" ref="F1071:F1082" si="406">IF(N(E1071)=0,"",(N(E1071)+N(F1070)))</f>
        <v/>
      </c>
      <c r="G1071" s="69" t="str">
        <f>IF(OR(N(D1071)=0,N(E1071)=0),"",(E1071*D1071)/1000)</f>
        <v/>
      </c>
      <c r="H1071" s="70" t="str">
        <f t="shared" ref="H1071:H1082" si="407">IF(N(G1071)=0,"",(N(G1071)+N(H1070)))</f>
        <v/>
      </c>
      <c r="I1071" s="27" t="str">
        <f>IF(N(J1071)=0,"",0&amp;"-"&amp;B$2)</f>
        <v/>
      </c>
      <c r="J1071" s="52" t="str">
        <f>IF(N(B$2)=0,"",IF(AND(COUNT(H1071:H1082)=2,COUNT(F1071:F1082)=2),cubic_spline(F1070:F1072,H1070:H1072,B$2),IF(AND(COUNT(H1071:H1082)=3,COUNT(F1071:F1082)=3),cubic_spline(F1070:F1073,H1070:H1073,B$2),IF(AND(COUNT(H1071:H1082)=4,COUNT(F1071:F1082)=4),cubic_spline(F1070:F1074,H1070:H1074,B$2),IF(AND(COUNT(H1071:H1082)=5,COUNT(F1071:F1082)=5),cubic_spline(F1070:F1075,H1070:H1075,B$2),IF(AND(COUNT(H1071:H1082)=6,COUNT(F1071:F1082)=6),cubic_spline(F1070:F1076,H1070:H1076,B$2),IF(AND(COUNT(H1071:H1082)=7,COUNT(F1071:F1082)=7),cubic_spline(F1070:F1077,H1070:H1077,B$2),IF(AND(COUNT(H1071:H1082)=8,COUNT(F1071:F1082)=8),cubic_spline(F1070:F1078,H1070:H1078,B$2),IF(AND(COUNT(H1071:H1082)=9,COUNT(F1071:F1082)=9),cubic_spline(F1070:F1079,H1070:H1079,B$2),IF(AND(COUNT(H1071:H1082)=10,COUNT(F1071:F1082)=10),cubic_spline(F1070:F1080,H1070:H1080,B$2),IF(AND(COUNT(H1071:H1082)=11,COUNT(F1071:F1082)=11),cubic_spline(F1070:F1081,H1070:H1081,B$2),IF(AND(COUNT(H1071:H1082)=12,COUNT(F1071:F1082)=12),cubic_spline(F1070:F1082,H1070:H1082,B$2),""))))))))))))</f>
        <v/>
      </c>
      <c r="K1071" s="52" t="str">
        <f>IF(N(B$2)=0,"",IF(AND(COUNT(A1071:A1082)=2,COUNT(F1071:F1082)=2),cubic_spline(F1070:F1072,A1070:A1072,B$2),IF(AND(COUNT(A1071:A1082)=3,COUNT(F1071:F1082)=3),cubic_spline(F1070:F1073,A1070:A1073,B$2),IF(AND(COUNT(A1071:A1082)=4,COUNT(F1071:F1082)=4),cubic_spline(F1070:F1074,A1070:A1074,B$2),IF(AND(COUNT(A1071:A1082)=5,COUNT(F1071:F1082)=5),cubic_spline(F1070:F1075,A1070:A1075,B$2),IF(AND(COUNT(A1071:A1082)=6,COUNT(F1071:F1082)=6),cubic_spline(F1070:F1076,A1070:A1076,B$2),IF(AND(COUNT(A1071:A1082)=7,COUNT(F1071:F1082)=7),cubic_spline(F1070:F1077,A1070:A1077,B$2),IF(AND(COUNT(A1071:A1082)=8,COUNT(F1071:F1082)=8),cubic_spline(F1070:F1078,A1070:A1078,B$2),IF(AND(COUNT(A1071:A1082)=9,COUNT(F1071:F1082)=9),cubic_spline(F1070:F1079,A1070:A1079,B$2),IF(AND(COUNT(A1071:A1082)=10,COUNT(F1071:F1082)=10),cubic_spline(F1070:F1080,A1070:A1080,B$2),IF(AND(COUNT(A1071:A1082)=11,COUNT(F1071:F1082)=11),cubic_spline(F1070:F1081,A1070:A1081,B$2),IF(AND(COUNT(A1071:A1082)=12,COUNT(F1071:F1082)=12),cubic_spline(F1070:F1082,A1070:A1082,B$2),""))))))))))))</f>
        <v/>
      </c>
      <c r="L1071" s="27" t="str">
        <f>IF(I1071="","",0&amp;"-"&amp;B$2)</f>
        <v/>
      </c>
      <c r="M1071" s="52" t="str">
        <f>IF(N(J1071)=0,"",J1071-J1070)</f>
        <v/>
      </c>
    </row>
    <row r="1072" spans="1:13" x14ac:dyDescent="0.35">
      <c r="A1072" s="48"/>
      <c r="B1072" s="48"/>
      <c r="C1072" s="50"/>
      <c r="D1072" s="50"/>
      <c r="E1072" s="51" t="str">
        <f t="shared" ref="E1072:E1082" si="408">IF(N(C1072)=0,"",(A1072-A1071)*C1072*100)</f>
        <v/>
      </c>
      <c r="F1072" s="68" t="str">
        <f t="shared" si="406"/>
        <v/>
      </c>
      <c r="G1072" s="69" t="str">
        <f t="shared" ref="G1072:G1082" si="409">IF(OR(N(D1072)=0,N(E1072)=0),"",(E1072*D1072)/1000)</f>
        <v/>
      </c>
      <c r="H1072" s="70" t="str">
        <f t="shared" si="407"/>
        <v/>
      </c>
      <c r="I1072" s="27" t="str">
        <f>IF(N(J1072)=0,"",0&amp;"-"&amp;B$3)</f>
        <v/>
      </c>
      <c r="J1072" s="52" t="str">
        <f>IF(N(B$3)=0,"",IF(AND(COUNT(H1071:H1082)=2,COUNT(F1071:F1082)=2),cubic_spline(F1070:F1072,H1070:H1072,B$3),IF(AND(COUNT(H1071:H1082)=3,COUNT(F1071:F1082)=3),cubic_spline(F1070:F1073,H1070:H1073,B$3),IF(AND(COUNT(H1071:H1082)=4,COUNT(F1071:F1082)=4),cubic_spline(F1070:F1074,H1070:H1074,B$3),IF(AND(COUNT(H1071:H1082)=5,COUNT(F1071:F1082)=5),cubic_spline(F1070:F1075,H1070:H1075,B$3),IF(AND(COUNT(H1071:H1082)=6,COUNT(F1071:F1082)=6),cubic_spline(F1070:F1076,H1070:H1076,B$3),IF(AND(COUNT(H1071:H1082)=7,COUNT(F1071:F1082)=7),cubic_spline(F1070:F1077,H1070:H1077,B$3),IF(AND(COUNT(H1071:H1082)=8,COUNT(F1071:F1082)=8),cubic_spline(F1070:F1078,H1070:H1078,B$3),IF(AND(COUNT(H1071:H1082)=9,COUNT(F1071:F1082)=9),cubic_spline(F1070:F1079,H1070:H1079,B$3),IF(AND(COUNT(H1071:H1082)=10,COUNT(F1071:F1082)=10),cubic_spline(F1070:F1080,H1070:H1080,B$3),IF(AND(COUNT(H1071:H1082)=11,COUNT(F1071:F1082)=11),cubic_spline(F1070:F1081,H1070:H1081,B$3),IF(AND(COUNT(H1071:H1082)=12,COUNT(F1071:F1082)=12),cubic_spline(F1070:F1082,H1070:H1082,B$3),""))))))))))))</f>
        <v/>
      </c>
      <c r="K1072" s="52" t="str">
        <f>IF(N(B$3)=0,"",IF(AND(COUNT(A1071:A1082)=2,COUNT(F1071:F1082)=2),cubic_spline(F1070:F1072,A1070:A1072,B$3),IF(AND(COUNT(A1071:A1082)=3,COUNT(F1071:F1082)=3),cubic_spline(F1070:F1073,A1070:A1073,B$3),IF(AND(COUNT(A1071:A1082)=4,COUNT(F1071:F1082)=4),cubic_spline(F1070:F1074,A1070:A1074,B$3),IF(AND(COUNT(A1071:A1082)=5,COUNT(F1071:F1082)=5),cubic_spline(F1070:F1075,A1070:A1075,B$3),IF(AND(COUNT(A1071:A1082)=6,COUNT(F1071:F1082)=6),cubic_spline(F1070:F1076,A1070:A1076,B$3),IF(AND(COUNT(A1071:A1082)=7,COUNT(F1071:F1082)=7),cubic_spline(F1070:F1077,A1070:A1077,B$3),IF(AND(COUNT(A1071:A1082)=8,COUNT(F1071:F1082)=8),cubic_spline(F1070:F1078,A1070:A1078,B$3),IF(AND(COUNT(A1071:A1082)=9,COUNT(F1071:F1082)=9),cubic_spline(F1070:F1079,A1070:A1079,B$3),IF(AND(COUNT(A1071:A1082)=10,COUNT(F1071:F1082)=10),cubic_spline(F1070:F1080,A1070:A1080,B$3),IF(AND(COUNT(A1071:A1082)=11,COUNT(F1071:F1082)=11),cubic_spline(F1070:F1081,A1070:A1081,B$3),IF(AND(COUNT(A1071:A1082)=12,COUNT(F1071:F1082)=12),cubic_spline(F1070:F1082,A1070:A1082,B$3),""))))))))))))</f>
        <v/>
      </c>
      <c r="L1072" s="27" t="str">
        <f>IF(I1072="","",B$2&amp;"-"&amp;B$3)</f>
        <v/>
      </c>
      <c r="M1072" s="52" t="str">
        <f>IF(N(J1072)=0,"",J1072-J1071)</f>
        <v/>
      </c>
    </row>
    <row r="1073" spans="1:13" x14ac:dyDescent="0.35">
      <c r="A1073" s="48"/>
      <c r="B1073" s="48"/>
      <c r="C1073" s="50"/>
      <c r="D1073" s="50"/>
      <c r="E1073" s="51" t="str">
        <f t="shared" si="408"/>
        <v/>
      </c>
      <c r="F1073" s="68" t="str">
        <f t="shared" si="406"/>
        <v/>
      </c>
      <c r="G1073" s="69" t="str">
        <f t="shared" si="409"/>
        <v/>
      </c>
      <c r="H1073" s="70" t="str">
        <f t="shared" si="407"/>
        <v/>
      </c>
      <c r="I1073" s="27" t="str">
        <f>IF(N(J1073)=0,"",0&amp;"-"&amp;B$4)</f>
        <v/>
      </c>
      <c r="J1073" s="52" t="str">
        <f>IF(N(B$4)=0,"",IF(AND(COUNT(H1071:H1082)=2,COUNT(F1071:F1082)=2),cubic_spline(F1070:F1072,H1070:H1072,B$4),IF(AND(COUNT(H1071:H1082)=3,COUNT(F1071:F1082)=3),cubic_spline(F1070:F1073,H1070:H1073,B$4),IF(AND(COUNT(H1071:H1082)=4,COUNT(F1071:F1082)=4),cubic_spline(F1070:F1074,H1070:H1074,B$4),IF(AND(COUNT(H1071:H1082)=5,COUNT(F1071:F1082)=5),cubic_spline(F1070:F1075,H1070:H1075,B$4),IF(AND(COUNT(H1071:H1082)=6,COUNT(F1071:F1082)=6),cubic_spline(F1070:F1076,H1070:H1076,B$4),IF(AND(COUNT(H1071:H1082)=7,COUNT(F1071:F1082)=7),cubic_spline(F1070:F1077,H1070:H1077,B$4),IF(AND(COUNT(H1071:H1082)=8,COUNT(F1071:F1082)=8),cubic_spline(F1070:F1078,H1070:H1078,B$4),IF(AND(COUNT(H1071:H1082)=9,COUNT(F1071:F1082)=9),cubic_spline(F1070:F1079,H1070:H1079,B$4),IF(AND(COUNT(H1071:H1082)=10,COUNT(F1071:F1082)=10),cubic_spline(F1070:F1080,H1070:H1080,B$4),IF(AND(COUNT(H1071:H1082)=11,COUNT(F1071:F1082)=11),cubic_spline(F1070:F1081,H1070:H1081,B$4),IF(AND(COUNT(H1071:H1082)=12,COUNT(F1071:F1082)=12),cubic_spline(F1070:F1082,H1070:H1082,B$4),""))))))))))))</f>
        <v/>
      </c>
      <c r="K1073" s="52" t="str">
        <f>IF(N(B$4)=0,"",IF(AND(COUNT(A1071:A1082)=2,COUNT(F1071:F1082)=2),cubic_spline(F1070:F1072,A1070:A1072,B$4),IF(AND(COUNT(A1071:A1082)=3,COUNT(F1071:F1082)=3),cubic_spline(F1070:F1073,A1070:A1073,B$4),IF(AND(COUNT(A1071:A1082)=4,COUNT(F1071:F1082)=4),cubic_spline(F1070:F1074,A1070:A1074,B$4),IF(AND(COUNT(A1071:A1082)=5,COUNT(F1071:F1082)=5),cubic_spline(F1070:F1075,A1070:A1075,B$4),IF(AND(COUNT(A1071:A1082)=6,COUNT(F1071:F1082)=6),cubic_spline(F1070:F1076,A1070:A1076,B$4),IF(AND(COUNT(A1071:A1082)=7,COUNT(F1071:F1082)=7),cubic_spline(F1070:F1077,A1070:A1077,B$4),IF(AND(COUNT(A1071:A1082)=8,COUNT(F1071:F1082)=8),cubic_spline(F1070:F1078,A1070:A1078,B$4),IF(AND(COUNT(A1071:A1082)=9,COUNT(F1071:F1082)=9),cubic_spline(F1070:F1079,A1070:A1079,B$4),IF(AND(COUNT(A1071:A1082)=10,COUNT(F1071:F1082)=10),cubic_spline(F1070:F1080,A1070:A1080,B$4),IF(AND(COUNT(A1071:A1082)=11,COUNT(F1071:F1082)=11),cubic_spline(F1070:F1081,A1070:A1081,B$4),IF(AND(COUNT(A1071:A1082)=12,COUNT(F1071:F1082)=12),cubic_spline(F1070:F1082,A1070:A1082,B$4),""))))))))))))</f>
        <v/>
      </c>
      <c r="L1073" s="27" t="str">
        <f>IF(I1073="","",B$3&amp;"-"&amp;B$4)</f>
        <v/>
      </c>
      <c r="M1073" s="52" t="str">
        <f>IF(N(J1073)=0,"",J1073-J1072)</f>
        <v/>
      </c>
    </row>
    <row r="1074" spans="1:13" x14ac:dyDescent="0.35">
      <c r="A1074" s="48"/>
      <c r="B1074" s="48"/>
      <c r="C1074" s="50"/>
      <c r="D1074" s="50"/>
      <c r="E1074" s="51" t="str">
        <f t="shared" si="408"/>
        <v/>
      </c>
      <c r="F1074" s="68" t="str">
        <f t="shared" si="406"/>
        <v/>
      </c>
      <c r="G1074" s="69" t="str">
        <f t="shared" si="409"/>
        <v/>
      </c>
      <c r="H1074" s="70" t="str">
        <f t="shared" si="407"/>
        <v/>
      </c>
      <c r="I1074" s="27" t="str">
        <f>IF(N(J1074)=0,"",0&amp;"-"&amp;B$5)</f>
        <v/>
      </c>
      <c r="J1074" s="52" t="str">
        <f>IF(N(B$5)=0,"",IF(AND(COUNT(H1071:H1082)=2,COUNT(F1071:F1082)=2),cubic_spline(F1070:F1072,H1070:H1072,B$5),IF(AND(COUNT(H1071:H1082)=3,COUNT(F1071:F1082)=3),cubic_spline(F1070:F1073,H1070:H1073,B$5),IF(AND(COUNT(H1071:H1082)=4,COUNT(F1071:F1082)=4),cubic_spline(F1070:F1074,H1070:H1074,B$5),IF(AND(COUNT(H1071:H1082)=5,COUNT(F1071:F1082)=5),cubic_spline(F1070:F1075,H1070:H1075,B$5),IF(AND(COUNT(H1071:H1082)=6,COUNT(F1071:F1082)=6),cubic_spline(F1070:F1076,H1070:H1076,B$5),IF(AND(COUNT(H1071:H1082)=7,COUNT(F1071:F1082)=7),cubic_spline(F1070:F1077,H1070:H1077,B$5),IF(AND(COUNT(H1071:H1082)=8,COUNT(F1071:F1082)=8),cubic_spline(F1070:F1078,H1070:H1078,B$5),IF(AND(COUNT(H1071:H1082)=9,COUNT(F1071:F1082)=9),cubic_spline(F1070:F1079,H1070:H1079,B$5),IF(AND(COUNT(H1071:H1082)=10,COUNT(F1071:F1082)=10),cubic_spline(F1070:F1080,H1070:H1080,B$5),IF(AND(COUNT(H1071:H1082)=11,COUNT(F1071:F1082)=11),cubic_spline(F1070:F1081,H1070:H1081,B$5),IF(AND(COUNT(H1071:H1082)=12,COUNT(F1071:F1082)=12),cubic_spline(F1070:F1082,H1070:H1082,B$5),""))))))))))))</f>
        <v/>
      </c>
      <c r="K1074" s="52" t="str">
        <f>IF(N(B$5)=0,"",IF(AND(COUNT(A1071:A1082)=2,COUNT(F1071:F1082)=2),cubic_spline(F1070:F1072,A1070:A1072,B$5),IF(AND(COUNT(A1071:A1082)=3,COUNT(F1071:F1082)=3),cubic_spline(F1070:F1073,A1070:A1073,B$5),IF(AND(COUNT(A1071:A1082)=4,COUNT(F1071:F1082)=4),cubic_spline(F1070:F1074,A1070:A1074,B$5),IF(AND(COUNT(A1071:A1082)=5,COUNT(F1071:F1082)=5),cubic_spline(F1070:F1075,A1070:A1075,B$5),IF(AND(COUNT(A1071:A1082)=6,COUNT(F1071:F1082)=6),cubic_spline(F1070:F1076,A1070:A1076,B$5),IF(AND(COUNT(A1071:A1082)=7,COUNT(F1071:F1082)=7),cubic_spline(F1070:F1077,A1070:A1077,B$5),IF(AND(COUNT(A1071:A1082)=8,COUNT(F1071:F1082)=8),cubic_spline(F1070:F1078,A1070:A1078,B$5),IF(AND(COUNT(A1071:A1082)=9,COUNT(F1071:F1082)=9),cubic_spline(F1070:F1079,A1070:A1079,B$5),IF(AND(COUNT(A1071:A1082)=10,COUNT(F1071:F1082)=10),cubic_spline(F1070:F1080,A1070:A1080,B$5),IF(AND(COUNT(A1071:A1082)=11,COUNT(F1071:F1082)=11),cubic_spline(F1070:F1081,A1070:A1081,B$5),IF(AND(COUNT(A1071:A1082)=12,COUNT(F1071:F1082)=12),cubic_spline(F1070:F1082,A1070:A1082,B$5),""))))))))))))</f>
        <v/>
      </c>
      <c r="L1074" s="27" t="str">
        <f>IF(I1074="","",B$4&amp;"-"&amp;B$5)</f>
        <v/>
      </c>
      <c r="M1074" s="52" t="str">
        <f>IF(N(J1074)=0,"",J1074-J1073)</f>
        <v/>
      </c>
    </row>
    <row r="1075" spans="1:13" x14ac:dyDescent="0.35">
      <c r="A1075" s="48"/>
      <c r="B1075" s="48"/>
      <c r="C1075" s="50"/>
      <c r="D1075" s="50"/>
      <c r="E1075" s="51" t="str">
        <f t="shared" si="408"/>
        <v/>
      </c>
      <c r="F1075" s="71" t="str">
        <f t="shared" si="406"/>
        <v/>
      </c>
      <c r="G1075" s="69" t="str">
        <f t="shared" si="409"/>
        <v/>
      </c>
      <c r="H1075" s="70" t="str">
        <f t="shared" si="407"/>
        <v/>
      </c>
      <c r="I1075" s="27" t="str">
        <f>IF(N(J1075)=0,"",0&amp;"-"&amp;B$6)</f>
        <v/>
      </c>
      <c r="J1075" s="52" t="str">
        <f>IF(N(B$6)=0,"",IF(AND(COUNT(H1071:H1082)=2,COUNT(F1071:F1082)=2),cubic_spline(F1070:F1072,H1070:H1072,B$6),IF(AND(COUNT(H1071:H1082)=3,COUNT(F1071:F1082)=3),cubic_spline(F1070:F1073,H1070:H1073,B$6),IF(AND(COUNT(H1071:H1082)=4,COUNT(F1071:F1082)=4),cubic_spline(F1070:F1074,H1070:H1074,B$6),IF(AND(COUNT(H1071:H1082)=5,COUNT(F1071:F1082)=5),cubic_spline(F1070:F1075,H1070:H1075,B$6),IF(AND(COUNT(H1071:H1082)=6,COUNT(F1071:F1082)=6),cubic_spline(F1070:F1076,H1070:H1076,B$6),IF(AND(COUNT(H1071:H1082)=7,COUNT(F1071:F1082)=7),cubic_spline(F1070:F1077,H1070:H1077,B$6),IF(AND(COUNT(H1071:H1082)=8,COUNT(F1071:F1082)=8),cubic_spline(F1070:F1078,H1070:H1078,B$6),IF(AND(COUNT(H1071:H1082)=9,COUNT(F1071:F1082)=9),cubic_spline(F1070:F1079,H1070:H1079,B$6),IF(AND(COUNT(H1071:H1082)=10,COUNT(F1071:F1082)=10),cubic_spline(F1070:F1080,H1070:H1080,B$6),IF(AND(COUNT(H1071:H1082)=11,COUNT(F1071:F1082)=11),cubic_spline(F1070:F1081,H1070:H1081,B$6),IF(AND(COUNT(H1071:H1082)=12,COUNT(F1071:F1082)=12),cubic_spline(F1070:F1082,H1070:H1082,B$6),""))))))))))))</f>
        <v/>
      </c>
      <c r="K1075" s="52" t="str">
        <f>IF(N(B$6)=0,"",IF(AND(COUNT(A1071:A1082)=2,COUNT(F1071:F1082)=2),cubic_spline(F1070:F1072,A1070:A1072,B$6),IF(AND(COUNT(A1071:A1082)=3,COUNT(F1071:F1082)=3),cubic_spline(F1070:F1073,A1070:A1073,B$6),IF(AND(COUNT(A1071:A1082)=4,COUNT(F1071:F1082)=4),cubic_spline(F1070:F1074,A1070:A1074,B$6),IF(AND(COUNT(A1071:A1082)=5,COUNT(F1071:F1082)=5),cubic_spline(F1070:F1075,A1070:A1075,B$6),IF(AND(COUNT(A1071:A1082)=6,COUNT(F1071:F1082)=6),cubic_spline(F1070:F1076,A1070:A1076,B$6),IF(AND(COUNT(A1071:A1082)=7,COUNT(F1071:F1082)=7),cubic_spline(F1070:F1077,A1070:A1077,B$6),IF(AND(COUNT(A1071:A1082)=8,COUNT(F1071:F1082)=8),cubic_spline(F1070:F1078,A1070:A1078,B$6),IF(AND(COUNT(A1071:A1082)=9,COUNT(F1071:F1082)=9),cubic_spline(F1070:F1079,A1070:A1079,B$6),IF(AND(COUNT(A1071:A1082)=10,COUNT(F1071:F1082)=10),cubic_spline(F1070:F1080,A1070:A1080,B$6),IF(AND(COUNT(A1071:A1082)=11,COUNT(F1071:F1082)=11),cubic_spline(F1070:F1081,A1070:A1081,B$6),IF(AND(COUNT(A1071:A1082)=12,COUNT(F1071:F1082)=12),cubic_spline(F1070:F1082,A1070:A1082,B$6),""))))))))))))</f>
        <v/>
      </c>
      <c r="L1075" s="27" t="str">
        <f>IF(I1075="","",B$5&amp;"-"&amp;B$6)</f>
        <v/>
      </c>
      <c r="M1075" s="52" t="str">
        <f>IF(N(J1075)=0,"",J1075-J1074)</f>
        <v/>
      </c>
    </row>
    <row r="1076" spans="1:13" x14ac:dyDescent="0.35">
      <c r="A1076" s="48"/>
      <c r="B1076" s="48"/>
      <c r="C1076" s="50"/>
      <c r="D1076" s="50"/>
      <c r="E1076" s="51" t="str">
        <f t="shared" si="408"/>
        <v/>
      </c>
      <c r="F1076" s="71" t="str">
        <f t="shared" si="406"/>
        <v/>
      </c>
      <c r="G1076" s="69" t="str">
        <f t="shared" si="409"/>
        <v/>
      </c>
      <c r="H1076" s="70" t="str">
        <f t="shared" si="407"/>
        <v/>
      </c>
      <c r="I1076" s="27" t="str">
        <f>IF(N(J1076)=0,"",0&amp;"-"&amp;B$7)</f>
        <v/>
      </c>
      <c r="J1076" s="52" t="str">
        <f>IF(N(B$7)=0,"",IF(AND(COUNT(H1071:H1082)=2,COUNT(F1071:F1082)=2),cubic_spline(F1070:F1072,H1070:H1072,B$7),IF(AND(COUNT(H1071:H1082)=3,COUNT(F1071:F1082)=3),cubic_spline(F1070:F1073,H1070:H1073,B$7),IF(AND(COUNT(H1071:H1082)=4,COUNT(F1071:F1082)=4),cubic_spline(F1070:F1074,H1070:H1074,B$7),IF(AND(COUNT(H1071:H1082)=5,COUNT(F1071:F1082)=5),cubic_spline(F1070:F1075,H1070:H1075,B$7),IF(AND(COUNT(H1071:H1082)=6,COUNT(F1071:F1082)=6),cubic_spline(F1070:F1076,H1070:H1076,B$7),IF(AND(COUNT(H1071:H1082)=7,COUNT(F1071:F1082)=7),cubic_spline(F1070:F1077,H1070:H1077,B$7),IF(AND(COUNT(H1071:H1082)=8,COUNT(F1071:F1082)=8),cubic_spline(F1070:F1078,H1070:H1078,B$7),IF(AND(COUNT(H1071:H1082)=9,COUNT(F1071:F1082)=9),cubic_spline(F1070:F1079,H1070:H1079,B$7),IF(AND(COUNT(H1071:H1082)=10,COUNT(F1071:F1082)=10),cubic_spline(F1070:F1080,H1070:H1080,B$7),IF(AND(COUNT(H1071:H1082)=11,COUNT(F1071:F1082)=11),cubic_spline(F1070:F1081,H1070:H1081,B$7),IF(AND(COUNT(H1071:H1082)=12,COUNT(F1071:F1082)=12),cubic_spline(F1070:F1082,H1070:H1082,B$7),""))))))))))))</f>
        <v/>
      </c>
      <c r="K1076" s="52" t="str">
        <f>IF(N(B$7)=0,"",IF(AND(COUNT(A1071:A1082)=2,COUNT(F1071:F1082)=2),cubic_spline(F1070:F1072,A1070:A1072,B$7),IF(AND(COUNT(A1071:A1082)=3,COUNT(F1071:F1082)=3),cubic_spline(F1070:F1073,A1070:A1073,B$7),IF(AND(COUNT(A1071:A1082)=4,COUNT(F1071:F1082)=4),cubic_spline(F1070:F1074,A1070:A1074,B$7),IF(AND(COUNT(A1071:A1082)=5,COUNT(F1071:F1082)=5),cubic_spline(F1070:F1075,A1070:A1075,B$7),IF(AND(COUNT(A1071:A1082)=6,COUNT(F1071:F1082)=6),cubic_spline(F1070:F1076,A1070:A1076,B$7),IF(AND(COUNT(A1071:A1082)=7,COUNT(F1071:F1082)=7),cubic_spline(F1070:F1077,A1070:A1077,B$7),IF(AND(COUNT(A1071:A1082)=8,COUNT(F1071:F1082)=8),cubic_spline(F1070:F1078,A1070:A1078,B$7),IF(AND(COUNT(A1071:A1082)=9,COUNT(F1071:F1082)=9),cubic_spline(F1070:F1079,A1070:A1079,B$7),IF(AND(COUNT(A1071:A1082)=10,COUNT(F1071:F1082)=10),cubic_spline(F1070:F1080,A1070:A1080,B$7),IF(AND(COUNT(A1071:A1082)=11,COUNT(F1071:F1082)=11),cubic_spline(F1070:F1081,A1070:A1081,B$7),IF(AND(COUNT(A1071:A1082)=12,COUNT(F1071:F1082)=12),cubic_spline(F1070:F1082,A1070:A1082,B$7),""))))))))))))</f>
        <v/>
      </c>
      <c r="L1076" s="27" t="str">
        <f>IF(I1076="","",B$6&amp;"-"&amp;B$7)</f>
        <v/>
      </c>
      <c r="M1076" s="52" t="str">
        <f t="shared" ref="M1076:M1082" si="410">IF(N(J1076)=0,"",J1076-J1075)</f>
        <v/>
      </c>
    </row>
    <row r="1077" spans="1:13" x14ac:dyDescent="0.35">
      <c r="A1077" s="48"/>
      <c r="B1077" s="48"/>
      <c r="C1077" s="50"/>
      <c r="D1077" s="50"/>
      <c r="E1077" s="51" t="str">
        <f t="shared" si="408"/>
        <v/>
      </c>
      <c r="F1077" s="71" t="str">
        <f t="shared" si="406"/>
        <v/>
      </c>
      <c r="G1077" s="69" t="str">
        <f t="shared" si="409"/>
        <v/>
      </c>
      <c r="H1077" s="70" t="str">
        <f t="shared" si="407"/>
        <v/>
      </c>
      <c r="I1077" s="27" t="str">
        <f>IF(N(J1077)=0,"",0&amp;"-"&amp;B$8)</f>
        <v/>
      </c>
      <c r="J1077" s="52" t="str">
        <f>IF(N(B$8)=0,"",IF(AND(COUNT(H1071:H1082)=2,COUNT(F1071:F1082)=2),cubic_spline(F1070:F1072,H1070:H1072,B$8),IF(AND(COUNT(H1071:H1082)=3,COUNT(F1071:F1082)=3),cubic_spline(F1070:F1073,H1070:H1073,B$8),IF(AND(COUNT(H1071:H1082)=4,COUNT(F1071:F1082)=4),cubic_spline(F1070:F1074,H1070:H1074,B$8),IF(AND(COUNT(H1071:H1082)=5,COUNT(F1071:F1082)=5),cubic_spline(F1070:F1075,H1070:H1075,B$8),IF(AND(COUNT(H1071:H1082)=6,COUNT(F1071:F1082)=6),cubic_spline(F1070:F1076,H1070:H1076,B$8),IF(AND(COUNT(H1071:H1082)=7,COUNT(F1071:F1082)=7),cubic_spline(F1070:F1077,H1070:H1077,B$8),IF(AND(COUNT(H1071:H1082)=8,COUNT(F1071:F1082)=8),cubic_spline(F1070:F1078,H1070:H1078,B$8),IF(AND(COUNT(H1071:H1082)=9,COUNT(F1071:F1082)=9),cubic_spline(F1070:F1079,H1070:H1079,B$8),IF(AND(COUNT(H1071:H1082)=10,COUNT(F1071:F1082)=10),cubic_spline(F1070:F1080,H1070:H1080,B$8),IF(AND(COUNT(H1071:H1082)=11,COUNT(F1071:F1082)=11),cubic_spline(F1070:F1081,H1070:H1081,B$8),IF(AND(COUNT(H1071:H1082)=12,COUNT(F1071:F1082)=12),cubic_spline(F1070:F1082,H1070:H1082,B$8),""))))))))))))</f>
        <v/>
      </c>
      <c r="K1077" s="52" t="str">
        <f>IF(N(B$8)=0,"",IF(AND(COUNT(A1071:A1082)=2,COUNT(F1071:F1082)=2),cubic_spline(F1070:F1072,A1070:A1072,B$8),IF(AND(COUNT(A1071:A1082)=3,COUNT(F1071:F1082)=3),cubic_spline(F1070:F1073,A1070:A1073,B$8),IF(AND(COUNT(A1071:A1082)=4,COUNT(F1071:F1082)=4),cubic_spline(F1070:F1074,A1070:A1074,B$8),IF(AND(COUNT(A1071:A1082)=5,COUNT(F1071:F1082)=5),cubic_spline(F1070:F1075,A1070:A1075,B$8),IF(AND(COUNT(A1071:A1082)=6,COUNT(F1071:F1082)=6),cubic_spline(F1070:F1076,A1070:A1076,B$8),IF(AND(COUNT(A1071:A1082)=7,COUNT(F1071:F1082)=7),cubic_spline(F1070:F1077,A1070:A1077,B$8),IF(AND(COUNT(A1071:A1082)=8,COUNT(F1071:F1082)=8),cubic_spline(F1070:F1078,A1070:A1078,B$8),IF(AND(COUNT(A1071:A1082)=9,COUNT(F1071:F1082)=9),cubic_spline(F1070:F1079,A1070:A1079,B$8),IF(AND(COUNT(A1071:A1082)=10,COUNT(F1071:F1082)=10),cubic_spline(F1070:F1080,A1070:A1080,B$8),IF(AND(COUNT(A1071:A1082)=11,COUNT(F1071:F1082)=11),cubic_spline(F1070:F1081,A1070:A1081,B$8),IF(AND(COUNT(A1071:A1082)=12,COUNT(F1071:F1082)=12),cubic_spline(F1070:F1082,A1070:A1082,B$8),""))))))))))))</f>
        <v/>
      </c>
      <c r="L1077" s="27" t="str">
        <f>IF(I1077="","",B$7&amp;"-"&amp;B$8)</f>
        <v/>
      </c>
      <c r="M1077" s="52" t="str">
        <f t="shared" si="410"/>
        <v/>
      </c>
    </row>
    <row r="1078" spans="1:13" x14ac:dyDescent="0.35">
      <c r="A1078" s="48"/>
      <c r="B1078" s="48"/>
      <c r="C1078" s="50"/>
      <c r="D1078" s="50"/>
      <c r="E1078" s="51" t="str">
        <f t="shared" si="408"/>
        <v/>
      </c>
      <c r="F1078" s="71" t="str">
        <f t="shared" si="406"/>
        <v/>
      </c>
      <c r="G1078" s="69" t="str">
        <f t="shared" si="409"/>
        <v/>
      </c>
      <c r="H1078" s="70" t="str">
        <f t="shared" si="407"/>
        <v/>
      </c>
      <c r="I1078" s="27" t="str">
        <f>IF(N(J1078)=0,"",0&amp;"-"&amp;B$9)</f>
        <v/>
      </c>
      <c r="J1078" s="52" t="str">
        <f>IF(N(B$9)=0,"",IF(AND(COUNT(H1071:H1082)=2,COUNT(F1071:F1082)=2),cubic_spline(F1070:F1072,H1070:H1072,B$9),IF(AND(COUNT(H1071:H1082)=3,COUNT(F1071:F1082)=3),cubic_spline(F1070:F1073,H1070:H1073,B$9),IF(AND(COUNT(H1071:H1082)=4,COUNT(F1071:F1082)=4),cubic_spline(F1070:F1074,H1070:H1074,B$9),IF(AND(COUNT(H1071:H1082)=5,COUNT(F1071:F1082)=5),cubic_spline(F1070:F1075,H1070:H1075,B$9),IF(AND(COUNT(H1071:H1082)=6,COUNT(F1071:F1082)=6),cubic_spline(F1070:F1076,H1070:H1076,B$9),IF(AND(COUNT(H1071:H1082)=7,COUNT(F1071:F1082)=7),cubic_spline(F1070:F1077,H1070:H1077,B$9),IF(AND(COUNT(H1071:H1082)=8,COUNT(F1071:F1082)=8),cubic_spline(F1070:F1078,H1070:H1078,B$9),IF(AND(COUNT(H1071:H1082)=9,COUNT(F1071:F1082)=9),cubic_spline(F1070:F1079,H1070:H1079,B$9),IF(AND(COUNT(H1071:H1082)=10,COUNT(F1071:F1082)=10),cubic_spline(F1070:F1080,H1070:H1080,B$9),IF(AND(COUNT(H1071:H1082)=11,COUNT(F1071:F1082)=11),cubic_spline(F1070:F1081,H1070:H1081,B$9),IF(AND(COUNT(H1071:H1082)=12,COUNT(F1071:F1082)=12),cubic_spline(F1070:F1082,H1070:H1082,B$9),""))))))))))))</f>
        <v/>
      </c>
      <c r="K1078" s="52" t="str">
        <f>IF(N(B$9)=0,"",IF(AND(COUNT(A1071:A1082)=2,COUNT(F1071:F1082)=2),cubic_spline(F1070:F1072,A1070:A1072,B$9),IF(AND(COUNT(A1071:A1082)=3,COUNT(F1071:F1082)=3),cubic_spline(F1070:F1073,A1070:A1073,B$9),IF(AND(COUNT(A1071:A1082)=4,COUNT(F1071:F1082)=4),cubic_spline(F1070:F1074,A1070:A1074,B$9),IF(AND(COUNT(A1071:A1082)=5,COUNT(F1071:F1082)=5),cubic_spline(F1070:F1075,A1070:A1075,B$9),IF(AND(COUNT(A1071:A1082)=6,COUNT(F1071:F1082)=6),cubic_spline(F1070:F1076,A1070:A1076,B$9),IF(AND(COUNT(A1071:A1082)=7,COUNT(F1071:F1082)=7),cubic_spline(F1070:F1077,A1070:A1077,B$9),IF(AND(COUNT(A1071:A1082)=8,COUNT(F1071:F1082)=8),cubic_spline(F1070:F1078,A1070:A1078,B$9),IF(AND(COUNT(A1071:A1082)=9,COUNT(F1071:F1082)=9),cubic_spline(F1070:F1079,A1070:A1079,B$9),IF(AND(COUNT(A1071:A1082)=10,COUNT(F1071:F1082)=10),cubic_spline(F1070:F1080,A1070:A1080,B$9),IF(AND(COUNT(A1071:A1082)=11,COUNT(F1071:F1082)=11),cubic_spline(F1070:F1081,A1070:A1081,B$9),IF(AND(COUNT(A1071:A1082)=12,COUNT(F1071:F1082)=12),cubic_spline(F1070:F1082,A1070:A1082,B$9),""))))))))))))</f>
        <v/>
      </c>
      <c r="L1078" s="27" t="str">
        <f>IF(I1078="","",B$8&amp;"-"&amp;B$9)</f>
        <v/>
      </c>
      <c r="M1078" s="52" t="str">
        <f t="shared" si="410"/>
        <v/>
      </c>
    </row>
    <row r="1079" spans="1:13" x14ac:dyDescent="0.35">
      <c r="A1079" s="48"/>
      <c r="B1079" s="48"/>
      <c r="C1079" s="50"/>
      <c r="D1079" s="50"/>
      <c r="E1079" s="51" t="str">
        <f t="shared" si="408"/>
        <v/>
      </c>
      <c r="F1079" s="71" t="str">
        <f t="shared" si="406"/>
        <v/>
      </c>
      <c r="G1079" s="69" t="str">
        <f t="shared" si="409"/>
        <v/>
      </c>
      <c r="H1079" s="70" t="str">
        <f t="shared" si="407"/>
        <v/>
      </c>
      <c r="I1079" s="27" t="str">
        <f>IF(N(J1079)=0,"",0&amp;"-"&amp;B$10)</f>
        <v/>
      </c>
      <c r="J1079" s="52" t="str">
        <f>IF(N(B$10)=0,"",IF(AND(COUNT(H1071:H1082)=2,COUNT(F1071:F1082)=2),cubic_spline(F1070:F1072,H1070:H1072,B$10),IF(AND(COUNT(H1071:H1082)=3,COUNT(F1071:F1082)=3),cubic_spline(F1070:F1073,H1070:H1073,B$10),IF(AND(COUNT(H1071:H1082)=4,COUNT(F1071:F1082)=4),cubic_spline(F1070:F1074,H1070:H1074,B$10),IF(AND(COUNT(H1071:H1082)=5,COUNT(F1071:F1082)=5),cubic_spline(F1070:F1075,H1070:H1075,B$10),IF(AND(COUNT(H1071:H1082)=6,COUNT(F1071:F1082)=6),cubic_spline(F1070:F1076,H1070:H1076,B$10),IF(AND(COUNT(H1071:H1082)=7,COUNT(F1071:F1082)=7),cubic_spline(F1070:F1077,H1070:H1077,B$10),IF(AND(COUNT(H1071:H1082)=8,COUNT(F1071:F1082)=8),cubic_spline(F1070:F1078,H1070:H1078,B$10),IF(AND(COUNT(H1071:H1082)=9,COUNT(F1071:F1082)=9),cubic_spline(F1070:F1079,H1070:H1079,B$10),IF(AND(COUNT(H1071:H1082)=10,COUNT(F1071:F1082)=10),cubic_spline(F1070:F1080,H1070:H1080,B$10),IF(AND(COUNT(H1071:H1082)=11,COUNT(F1071:F1082)=11),cubic_spline(F1070:F1081,H1070:H1081,B$10),IF(AND(COUNT(H1071:H1082)=12,COUNT(F1071:F1082)=12),cubic_spline(F1070:F1082,H1070:H1082,B$10),""))))))))))))</f>
        <v/>
      </c>
      <c r="K1079" s="52" t="str">
        <f>IF(N(B$10)=0,"",IF(AND(COUNT(A1071:A1082)=2,COUNT(F1071:F1082)=2),cubic_spline(F1070:F1072,A1070:A1072,B$10),IF(AND(COUNT(A1071:A1082)=3,COUNT(F1071:F1082)=3),cubic_spline(F1070:F1073,A1070:A1073,B$10),IF(AND(COUNT(A1071:A1082)=4,COUNT(F1071:F1082)=4),cubic_spline(F1070:F1074,A1070:A1074,B$10),IF(AND(COUNT(A1071:A1082)=5,COUNT(F1071:F1082)=5),cubic_spline(F1070:F1075,A1070:A1075,B$10),IF(AND(COUNT(A1071:A1082)=6,COUNT(F1071:F1082)=6),cubic_spline(F1070:F1076,A1070:A1076,B$10),IF(AND(COUNT(A1071:A1082)=7,COUNT(F1071:F1082)=7),cubic_spline(F1070:F1077,A1070:A1077,B$10),IF(AND(COUNT(A1071:A1082)=8,COUNT(F1071:F1082)=8),cubic_spline(F1070:F1078,A1070:A1078,B$10),IF(AND(COUNT(A1071:A1082)=9,COUNT(F1071:F1082)=9),cubic_spline(F1070:F1079,A1070:A1079,B$10),IF(AND(COUNT(A1071:A1082)=10,COUNT(F1071:F1082)=10),cubic_spline(F1070:F1080,A1070:A1080,B$10),IF(AND(COUNT(A1071:A1082)=11,COUNT(F1071:F1082)=11),cubic_spline(F1070:F1081,A1070:A1081,B$10),IF(AND(COUNT(A1071:A1082)=12,COUNT(F1071:F1082)=12),cubic_spline(F1070:F1082,A1070:A1082,B$10),""))))))))))))</f>
        <v/>
      </c>
      <c r="L1079" s="27" t="str">
        <f>IF(I1079="","",B$9&amp;"-"&amp;B$10)</f>
        <v/>
      </c>
      <c r="M1079" s="52" t="str">
        <f t="shared" si="410"/>
        <v/>
      </c>
    </row>
    <row r="1080" spans="1:13" x14ac:dyDescent="0.35">
      <c r="A1080" s="48"/>
      <c r="B1080" s="48"/>
      <c r="C1080" s="50"/>
      <c r="D1080" s="50"/>
      <c r="E1080" s="51" t="str">
        <f t="shared" si="408"/>
        <v/>
      </c>
      <c r="F1080" s="71" t="str">
        <f t="shared" si="406"/>
        <v/>
      </c>
      <c r="G1080" s="69" t="str">
        <f t="shared" si="409"/>
        <v/>
      </c>
      <c r="H1080" s="70" t="str">
        <f t="shared" si="407"/>
        <v/>
      </c>
      <c r="I1080" s="27" t="str">
        <f>IF(N(J1080)=0,"",0&amp;"-"&amp;B$11)</f>
        <v/>
      </c>
      <c r="J1080" s="52" t="str">
        <f>IF(N(B$11)=0,"",IF(AND(COUNT(H1071:H1082)=2,COUNT(F1071:F1082)=2),cubic_spline(F1070:F1072,H1070:H1072,B$11),IF(AND(COUNT(H1071:H1082)=3,COUNT(F1071:F1082)=3),cubic_spline(F1070:F1073,H1070:H1073,B$11),IF(AND(COUNT(H1071:H1082)=4,COUNT(F1071:F1082)=4),cubic_spline(F1070:F1074,H1070:H1074,B$11),IF(AND(COUNT(H1071:H1082)=5,COUNT(F1071:F1082)=5),cubic_spline(F1070:F1075,H1070:H1075,B$11),IF(AND(COUNT(H1071:H1082)=6,COUNT(F1071:F1082)=6),cubic_spline(F1070:F1076,H1070:H1076,B$11),IF(AND(COUNT(H1071:H1082)=7,COUNT(F1071:F1082)=7),cubic_spline(F1070:F1077,H1070:H1077,B$11),IF(AND(COUNT(H1071:H1082)=8,COUNT(F1071:F1082)=8),cubic_spline(F1070:F1078,H1070:H1078,B$11),IF(AND(COUNT(H1071:H1082)=9,COUNT(F1071:F1082)=9),cubic_spline(F1070:F1079,H1070:H1079,B$11),IF(AND(COUNT(H1071:H1082)=10,COUNT(F1071:F1082)=10),cubic_spline(F1070:F1080,H1070:H1080,B$11),IF(AND(COUNT(H1071:H1082)=11,COUNT(F1071:F1082)=11),cubic_spline(F1070:F1081,H1070:H1081,B$11),IF(AND(COUNT(H1071:H1082)=12,COUNT(F1071:F1082)=12),cubic_spline(F1070:F1082,H1070:H1082,B$11),""))))))))))))</f>
        <v/>
      </c>
      <c r="K1080" s="52" t="str">
        <f>IF(N(B$11)=0,"",IF(AND(COUNT(A1071:A1082)=2,COUNT(F1071:F1082)=2),cubic_spline(F1070:F1072,A1070:A1072,B$11),IF(AND(COUNT(A1071:A1082)=3,COUNT(F1071:F1082)=3),cubic_spline(F1070:F1073,A1070:A1073,B$11),IF(AND(COUNT(A1071:A1082)=4,COUNT(F1071:F1082)=4),cubic_spline(F1070:F1074,A1070:A1074,B$11),IF(AND(COUNT(A1071:A1082)=5,COUNT(F1071:F1082)=5),cubic_spline(F1070:F1075,A1070:A1075,B$11),IF(AND(COUNT(A1071:A1082)=6,COUNT(F1071:F1082)=6),cubic_spline(F1070:F1076,A1070:A1076,B$11),IF(AND(COUNT(A1071:A1082)=7,COUNT(F1071:F1082)=7),cubic_spline(F1070:F1077,A1070:A1077,B$11),IF(AND(COUNT(A1071:A1082)=8,COUNT(F1071:F1082)=8),cubic_spline(F1070:F1078,A1070:A1078,B$11),IF(AND(COUNT(A1071:A1082)=9,COUNT(F1071:F1082)=9),cubic_spline(F1070:F1079,A1070:A1079,B$11),IF(AND(COUNT(A1071:A1082)=10,COUNT(F1071:F1082)=10),cubic_spline(F1070:F1080,A1070:A1080,B$11),IF(AND(COUNT(A1071:A1082)=11,COUNT(F1071:F1082)=11),cubic_spline(F1070:F1081,A1070:A1081,B$11),IF(AND(COUNT(A1071:A1082)=12,COUNT(F1071:F1082)=12),cubic_spline(F1070:F1082,A1070:A1082,B$11),""))))))))))))</f>
        <v/>
      </c>
      <c r="L1080" s="27" t="str">
        <f>IF(I1080="","",B$10&amp;"-"&amp;B$11)</f>
        <v/>
      </c>
      <c r="M1080" s="52" t="str">
        <f t="shared" si="410"/>
        <v/>
      </c>
    </row>
    <row r="1081" spans="1:13" x14ac:dyDescent="0.35">
      <c r="A1081" s="48"/>
      <c r="B1081" s="48"/>
      <c r="C1081" s="50"/>
      <c r="D1081" s="50"/>
      <c r="E1081" s="51" t="str">
        <f t="shared" si="408"/>
        <v/>
      </c>
      <c r="F1081" s="71" t="str">
        <f t="shared" si="406"/>
        <v/>
      </c>
      <c r="G1081" s="69" t="str">
        <f t="shared" si="409"/>
        <v/>
      </c>
      <c r="H1081" s="70" t="str">
        <f t="shared" si="407"/>
        <v/>
      </c>
      <c r="I1081" s="27" t="str">
        <f>IF(N(J1081)=0,"",0&amp;"-"&amp;B$12)</f>
        <v/>
      </c>
      <c r="J1081" s="52" t="str">
        <f>IF(N(B$12)=0,"",IF(AND(COUNT(H1071:H1082)=2,COUNT(F1071:F1082)=2),cubic_spline(F1070:F1072,H1070:H1072,B$12),IF(AND(COUNT(H1071:H1082)=3,COUNT(F1071:F1082)=3),cubic_spline(F1070:F1073,H1070:H1073,B$12),IF(AND(COUNT(H1071:H1082)=4,COUNT(F1071:F1082)=4),cubic_spline(F1070:F1074,H1070:H1074,B$12),IF(AND(COUNT(H1071:H1082)=5,COUNT(F1071:F1082)=5),cubic_spline(F1070:F1075,H1070:H1075,B$12),IF(AND(COUNT(H1071:H1082)=6,COUNT(F1071:F1082)=6),cubic_spline(F1070:F1076,H1070:H1076,B$12),IF(AND(COUNT(H1071:H1082)=7,COUNT(F1071:F1082)=7),cubic_spline(F1070:F1077,H1070:H1077,B$12),IF(AND(COUNT(H1071:H1082)=8,COUNT(F1071:F1082)=8),cubic_spline(F1070:F1078,H1070:H1078,B$12),IF(AND(COUNT(H1071:H1082)=9,COUNT(F1071:F1082)=9),cubic_spline(F1070:F1079,H1070:H1079,B$12),IF(AND(COUNT(H1071:H1082)=10,COUNT(F1071:F1082)=10),cubic_spline(F1070:F1080,H1070:H1080,B$12),IF(AND(COUNT(H1071:H1082)=11,COUNT(F1071:F1082)=11),cubic_spline(F1070:F1081,H1070:H1081,B$12),IF(AND(COUNT(H1071:H1082)=12,COUNT(F1071:F1082)=12),cubic_spline(F1070:F1082,H1070:H1082,B$12),""))))))))))))</f>
        <v/>
      </c>
      <c r="K1081" s="52" t="str">
        <f>IF(N(B$12)=0,"",IF(AND(COUNT(A1071:A1082)=2,COUNT(F1071:F1082)=2),cubic_spline(F1070:F1072,A1070:A1072,B$12),IF(AND(COUNT(A1071:A1082)=3,COUNT(F1071:F1082)=3),cubic_spline(F1070:F1073,A1070:A1073,B$12),IF(AND(COUNT(A1071:A1082)=4,COUNT(F1071:F1082)=4),cubic_spline(F1070:F1074,A1070:A1074,B$12),IF(AND(COUNT(A1071:A1082)=5,COUNT(F1071:F1082)=5),cubic_spline(F1070:F1075,A1070:A1075,B$12),IF(AND(COUNT(A1071:A1082)=6,COUNT(F1071:F1082)=6),cubic_spline(F1070:F1076,A1070:A1076,B$12),IF(AND(COUNT(A1071:A1082)=7,COUNT(F1071:F1082)=7),cubic_spline(F1070:F1077,A1070:A1077,B$12),IF(AND(COUNT(A1071:A1082)=8,COUNT(F1071:F1082)=8),cubic_spline(F1070:F1078,A1070:A1078,B$12),IF(AND(COUNT(A1071:A1082)=9,COUNT(F1071:F1082)=9),cubic_spline(F1070:F1079,A1070:A1079,B$12),IF(AND(COUNT(A1071:A1082)=10,COUNT(F1071:F1082)=10),cubic_spline(F1070:F1080,A1070:A1080,B$12),IF(AND(COUNT(A1071:A1082)=11,COUNT(F1071:F1082)=11),cubic_spline(F1070:F1081,A1070:A1081,B$12),IF(AND(COUNT(A1071:A1082)=12,COUNT(F1071:F1082)=12),cubic_spline(F1070:F1082,A1070:A1082,B$12),""))))))))))))</f>
        <v/>
      </c>
      <c r="L1081" s="27" t="str">
        <f>IF(I1081="","",B$11&amp;"-"&amp;B$12)</f>
        <v/>
      </c>
      <c r="M1081" s="52" t="str">
        <f t="shared" si="410"/>
        <v/>
      </c>
    </row>
    <row r="1082" spans="1:13" x14ac:dyDescent="0.35">
      <c r="A1082" s="48"/>
      <c r="B1082" s="48"/>
      <c r="C1082" s="50"/>
      <c r="D1082" s="50"/>
      <c r="E1082" s="51" t="str">
        <f t="shared" si="408"/>
        <v/>
      </c>
      <c r="F1082" s="71" t="str">
        <f t="shared" si="406"/>
        <v/>
      </c>
      <c r="G1082" s="69" t="str">
        <f t="shared" si="409"/>
        <v/>
      </c>
      <c r="H1082" s="70" t="str">
        <f t="shared" si="407"/>
        <v/>
      </c>
      <c r="I1082" s="27" t="str">
        <f>IF(N(J1082)=0,"",0&amp;"-"&amp;B$13)</f>
        <v/>
      </c>
      <c r="J1082" s="52" t="str">
        <f>IF(N(B$13)=0,"",IF(AND(COUNT(H1071:H1082)=2,COUNT(F1071:F1082)=2),cubic_spline(F1070:F1072,H1070:H1072,B$13),IF(AND(COUNT(H1071:H1082)=3,COUNT(F1071:F1082)=3),cubic_spline(F1070:F1073,H1070:H1073,B$13),IF(AND(COUNT(H1071:H1082)=4,COUNT(F1071:F1082)=4),cubic_spline(F1070:F1074,H1070:H1074,B$13),IF(AND(COUNT(H1071:H1082)=5,COUNT(F1071:F1082)=5),cubic_spline(F1070:F1075,H1070:H1075,B$13),IF(AND(COUNT(H1071:H1082)=6,COUNT(F1071:F1082)=6),cubic_spline(F1070:F1076,H1070:H1076,B$13),IF(AND(COUNT(H1071:H1082)=7,COUNT(F1071:F1082)=7),cubic_spline(F1070:F1077,H1070:H1077,B$13),IF(AND(COUNT(H1071:H1082)=8,COUNT(F1071:F1082)=8),cubic_spline(F1070:F1078,H1070:H1078,B$13),IF(AND(COUNT(H1071:H1082)=9,COUNT(F1071:F1082)=9),cubic_spline(F1070:F1079,H1070:H1079,B$13),IF(AND(COUNT(H1071:H1082)=10,COUNT(F1071:F1082)=10),cubic_spline(F1070:F1080,H1070:H1080,B$13),IF(AND(COUNT(H1071:H1082)=11,COUNT(F1071:F1082)=11),cubic_spline(F1070:F1081,H1070:H1081,B$13),IF(AND(COUNT(H1071:H1082)=12,COUNT(F1071:F1082)=12),cubic_spline(F1070:F1082,H1070:H1082,B$13),""))))))))))))</f>
        <v/>
      </c>
      <c r="K1082" s="52" t="str">
        <f>IF(N(B$13)=0,"",IF(AND(COUNT(A1071:A1082)=2,COUNT(F1071:F1082)=2),cubic_spline(F1070:F1072,A1070:A1072,B$13),IF(AND(COUNT(A1071:A1082)=3,COUNT(F1071:F1082)=3),cubic_spline(F1070:F1073,A1070:A1073,B$13),IF(AND(COUNT(A1071:A1082)=4,COUNT(F1071:F1082)=4),cubic_spline(F1070:F1074,A1070:A1074,B$13),IF(AND(COUNT(A1071:A1082)=5,COUNT(F1071:F1082)=5),cubic_spline(F1070:F1075,A1070:A1075,B$13),IF(AND(COUNT(A1071:A1082)=6,COUNT(F1071:F1082)=6),cubic_spline(F1070:F1076,A1070:A1076,B$13),IF(AND(COUNT(A1071:A1082)=7,COUNT(F1071:F1082)=7),cubic_spline(F1070:F1077,A1070:A1077,B$13),IF(AND(COUNT(A1071:A1082)=8,COUNT(F1071:F1082)=8),cubic_spline(F1070:F1078,A1070:A1078,B$13),IF(AND(COUNT(A1071:A1082)=9,COUNT(F1071:F1082)=9),cubic_spline(F1070:F1079,A1070:A1079,B$13),IF(AND(COUNT(A1071:A1082)=10,COUNT(F1071:F1082)=10),cubic_spline(F1070:F1080,A1070:A1080,B$13),IF(AND(COUNT(A1071:A1082)=11,COUNT(F1071:F1082)=11),cubic_spline(F1070:F1081,A1070:A1081,B$13),IF(AND(COUNT(A1071:A1082)=12,COUNT(F1071:F1082)=12),cubic_spline(F1070:F1082,A1070:A1082,B$13),""))))))))))))</f>
        <v/>
      </c>
      <c r="L1082" s="27" t="str">
        <f>IF(I1082="","",B$12&amp;"-"&amp;B$13)</f>
        <v/>
      </c>
      <c r="M1082" s="52" t="str">
        <f t="shared" si="410"/>
        <v/>
      </c>
    </row>
    <row r="1083" spans="1:13" ht="5.15" customHeight="1" x14ac:dyDescent="0.35">
      <c r="A1083" s="47"/>
      <c r="B1083" s="47"/>
      <c r="C1083" s="53"/>
      <c r="D1083" s="53"/>
      <c r="E1083" s="54"/>
      <c r="F1083" s="55"/>
      <c r="G1083" s="72"/>
      <c r="H1083" s="73"/>
      <c r="I1083" s="47"/>
      <c r="J1083" s="57"/>
      <c r="K1083" s="57"/>
      <c r="L1083" s="55"/>
      <c r="M1083" s="57"/>
    </row>
    <row r="1084" spans="1:13" x14ac:dyDescent="0.35">
      <c r="A1084" s="48"/>
      <c r="B1084" s="48"/>
      <c r="C1084" s="50"/>
      <c r="D1084" s="50"/>
      <c r="E1084" s="51" t="str">
        <f>IF(N(C1084)=0,"",(A1084-A1083)*C1084*100)</f>
        <v/>
      </c>
      <c r="F1084" s="68" t="str">
        <f t="shared" ref="F1084:F1095" si="411">IF(N(E1084)=0,"",(N(E1084)+N(F1083)))</f>
        <v/>
      </c>
      <c r="G1084" s="69" t="str">
        <f>IF(OR(N(D1084)=0,N(E1084)=0),"",(E1084*D1084)/1000)</f>
        <v/>
      </c>
      <c r="H1084" s="70" t="str">
        <f t="shared" ref="H1084:H1095" si="412">IF(N(G1084)=0,"",(N(G1084)+N(H1083)))</f>
        <v/>
      </c>
      <c r="I1084" s="27" t="str">
        <f>IF(N(J1084)=0,"",0&amp;"-"&amp;B$2)</f>
        <v/>
      </c>
      <c r="J1084" s="52" t="str">
        <f>IF(N(B$2)=0,"",IF(AND(COUNT(H1084:H1095)=2,COUNT(F1084:F1095)=2),cubic_spline(F1083:F1085,H1083:H1085,B$2),IF(AND(COUNT(H1084:H1095)=3,COUNT(F1084:F1095)=3),cubic_spline(F1083:F1086,H1083:H1086,B$2),IF(AND(COUNT(H1084:H1095)=4,COUNT(F1084:F1095)=4),cubic_spline(F1083:F1087,H1083:H1087,B$2),IF(AND(COUNT(H1084:H1095)=5,COUNT(F1084:F1095)=5),cubic_spline(F1083:F1088,H1083:H1088,B$2),IF(AND(COUNT(H1084:H1095)=6,COUNT(F1084:F1095)=6),cubic_spline(F1083:F1089,H1083:H1089,B$2),IF(AND(COUNT(H1084:H1095)=7,COUNT(F1084:F1095)=7),cubic_spline(F1083:F1090,H1083:H1090,B$2),IF(AND(COUNT(H1084:H1095)=8,COUNT(F1084:F1095)=8),cubic_spline(F1083:F1091,H1083:H1091,B$2),IF(AND(COUNT(H1084:H1095)=9,COUNT(F1084:F1095)=9),cubic_spline(F1083:F1092,H1083:H1092,B$2),IF(AND(COUNT(H1084:H1095)=10,COUNT(F1084:F1095)=10),cubic_spline(F1083:F1093,H1083:H1093,B$2),IF(AND(COUNT(H1084:H1095)=11,COUNT(F1084:F1095)=11),cubic_spline(F1083:F1094,H1083:H1094,B$2),IF(AND(COUNT(H1084:H1095)=12,COUNT(F1084:F1095)=12),cubic_spline(F1083:F1095,H1083:H1095,B$2),""))))))))))))</f>
        <v/>
      </c>
      <c r="K1084" s="52" t="str">
        <f>IF(N(B$2)=0,"",IF(AND(COUNT(A1084:A1095)=2,COUNT(F1084:F1095)=2),cubic_spline(F1083:F1085,A1083:A1085,B$2),IF(AND(COUNT(A1084:A1095)=3,COUNT(F1084:F1095)=3),cubic_spline(F1083:F1086,A1083:A1086,B$2),IF(AND(COUNT(A1084:A1095)=4,COUNT(F1084:F1095)=4),cubic_spline(F1083:F1087,A1083:A1087,B$2),IF(AND(COUNT(A1084:A1095)=5,COUNT(F1084:F1095)=5),cubic_spline(F1083:F1088,A1083:A1088,B$2),IF(AND(COUNT(A1084:A1095)=6,COUNT(F1084:F1095)=6),cubic_spline(F1083:F1089,A1083:A1089,B$2),IF(AND(COUNT(A1084:A1095)=7,COUNT(F1084:F1095)=7),cubic_spline(F1083:F1090,A1083:A1090,B$2),IF(AND(COUNT(A1084:A1095)=8,COUNT(F1084:F1095)=8),cubic_spline(F1083:F1091,A1083:A1091,B$2),IF(AND(COUNT(A1084:A1095)=9,COUNT(F1084:F1095)=9),cubic_spline(F1083:F1092,A1083:A1092,B$2),IF(AND(COUNT(A1084:A1095)=10,COUNT(F1084:F1095)=10),cubic_spline(F1083:F1093,A1083:A1093,B$2),IF(AND(COUNT(A1084:A1095)=11,COUNT(F1084:F1095)=11),cubic_spline(F1083:F1094,A1083:A1094,B$2),IF(AND(COUNT(A1084:A1095)=12,COUNT(F1084:F1095)=12),cubic_spline(F1083:F1095,A1083:A1095,B$2),""))))))))))))</f>
        <v/>
      </c>
      <c r="L1084" s="27" t="str">
        <f>IF(I1084="","",0&amp;"-"&amp;B$2)</f>
        <v/>
      </c>
      <c r="M1084" s="52" t="str">
        <f>IF(N(J1084)=0,"",J1084-J1083)</f>
        <v/>
      </c>
    </row>
    <row r="1085" spans="1:13" x14ac:dyDescent="0.35">
      <c r="A1085" s="48"/>
      <c r="B1085" s="48"/>
      <c r="C1085" s="50"/>
      <c r="D1085" s="50"/>
      <c r="E1085" s="51" t="str">
        <f t="shared" ref="E1085:E1095" si="413">IF(N(C1085)=0,"",(A1085-A1084)*C1085*100)</f>
        <v/>
      </c>
      <c r="F1085" s="68" t="str">
        <f t="shared" si="411"/>
        <v/>
      </c>
      <c r="G1085" s="69" t="str">
        <f t="shared" ref="G1085:G1095" si="414">IF(OR(N(D1085)=0,N(E1085)=0),"",(E1085*D1085)/1000)</f>
        <v/>
      </c>
      <c r="H1085" s="70" t="str">
        <f t="shared" si="412"/>
        <v/>
      </c>
      <c r="I1085" s="27" t="str">
        <f>IF(N(J1085)=0,"",0&amp;"-"&amp;B$3)</f>
        <v/>
      </c>
      <c r="J1085" s="52" t="str">
        <f>IF(N(B$3)=0,"",IF(AND(COUNT(H1084:H1095)=2,COUNT(F1084:F1095)=2),cubic_spline(F1083:F1085,H1083:H1085,B$3),IF(AND(COUNT(H1084:H1095)=3,COUNT(F1084:F1095)=3),cubic_spline(F1083:F1086,H1083:H1086,B$3),IF(AND(COUNT(H1084:H1095)=4,COUNT(F1084:F1095)=4),cubic_spline(F1083:F1087,H1083:H1087,B$3),IF(AND(COUNT(H1084:H1095)=5,COUNT(F1084:F1095)=5),cubic_spline(F1083:F1088,H1083:H1088,B$3),IF(AND(COUNT(H1084:H1095)=6,COUNT(F1084:F1095)=6),cubic_spline(F1083:F1089,H1083:H1089,B$3),IF(AND(COUNT(H1084:H1095)=7,COUNT(F1084:F1095)=7),cubic_spline(F1083:F1090,H1083:H1090,B$3),IF(AND(COUNT(H1084:H1095)=8,COUNT(F1084:F1095)=8),cubic_spline(F1083:F1091,H1083:H1091,B$3),IF(AND(COUNT(H1084:H1095)=9,COUNT(F1084:F1095)=9),cubic_spline(F1083:F1092,H1083:H1092,B$3),IF(AND(COUNT(H1084:H1095)=10,COUNT(F1084:F1095)=10),cubic_spline(F1083:F1093,H1083:H1093,B$3),IF(AND(COUNT(H1084:H1095)=11,COUNT(F1084:F1095)=11),cubic_spline(F1083:F1094,H1083:H1094,B$3),IF(AND(COUNT(H1084:H1095)=12,COUNT(F1084:F1095)=12),cubic_spline(F1083:F1095,H1083:H1095,B$3),""))))))))))))</f>
        <v/>
      </c>
      <c r="K1085" s="52" t="str">
        <f>IF(N(B$3)=0,"",IF(AND(COUNT(A1084:A1095)=2,COUNT(F1084:F1095)=2),cubic_spline(F1083:F1085,A1083:A1085,B$3),IF(AND(COUNT(A1084:A1095)=3,COUNT(F1084:F1095)=3),cubic_spline(F1083:F1086,A1083:A1086,B$3),IF(AND(COUNT(A1084:A1095)=4,COUNT(F1084:F1095)=4),cubic_spline(F1083:F1087,A1083:A1087,B$3),IF(AND(COUNT(A1084:A1095)=5,COUNT(F1084:F1095)=5),cubic_spline(F1083:F1088,A1083:A1088,B$3),IF(AND(COUNT(A1084:A1095)=6,COUNT(F1084:F1095)=6),cubic_spline(F1083:F1089,A1083:A1089,B$3),IF(AND(COUNT(A1084:A1095)=7,COUNT(F1084:F1095)=7),cubic_spline(F1083:F1090,A1083:A1090,B$3),IF(AND(COUNT(A1084:A1095)=8,COUNT(F1084:F1095)=8),cubic_spline(F1083:F1091,A1083:A1091,B$3),IF(AND(COUNT(A1084:A1095)=9,COUNT(F1084:F1095)=9),cubic_spline(F1083:F1092,A1083:A1092,B$3),IF(AND(COUNT(A1084:A1095)=10,COUNT(F1084:F1095)=10),cubic_spline(F1083:F1093,A1083:A1093,B$3),IF(AND(COUNT(A1084:A1095)=11,COUNT(F1084:F1095)=11),cubic_spline(F1083:F1094,A1083:A1094,B$3),IF(AND(COUNT(A1084:A1095)=12,COUNT(F1084:F1095)=12),cubic_spline(F1083:F1095,A1083:A1095,B$3),""))))))))))))</f>
        <v/>
      </c>
      <c r="L1085" s="27" t="str">
        <f>IF(I1085="","",B$2&amp;"-"&amp;B$3)</f>
        <v/>
      </c>
      <c r="M1085" s="52" t="str">
        <f>IF(N(J1085)=0,"",J1085-J1084)</f>
        <v/>
      </c>
    </row>
    <row r="1086" spans="1:13" x14ac:dyDescent="0.35">
      <c r="A1086" s="48"/>
      <c r="B1086" s="48"/>
      <c r="C1086" s="50"/>
      <c r="D1086" s="50"/>
      <c r="E1086" s="51" t="str">
        <f t="shared" si="413"/>
        <v/>
      </c>
      <c r="F1086" s="68" t="str">
        <f t="shared" si="411"/>
        <v/>
      </c>
      <c r="G1086" s="69" t="str">
        <f t="shared" si="414"/>
        <v/>
      </c>
      <c r="H1086" s="70" t="str">
        <f t="shared" si="412"/>
        <v/>
      </c>
      <c r="I1086" s="27" t="str">
        <f>IF(N(J1086)=0,"",0&amp;"-"&amp;B$4)</f>
        <v/>
      </c>
      <c r="J1086" s="52" t="str">
        <f>IF(N(B$4)=0,"",IF(AND(COUNT(H1084:H1095)=2,COUNT(F1084:F1095)=2),cubic_spline(F1083:F1085,H1083:H1085,B$4),IF(AND(COUNT(H1084:H1095)=3,COUNT(F1084:F1095)=3),cubic_spline(F1083:F1086,H1083:H1086,B$4),IF(AND(COUNT(H1084:H1095)=4,COUNT(F1084:F1095)=4),cubic_spline(F1083:F1087,H1083:H1087,B$4),IF(AND(COUNT(H1084:H1095)=5,COUNT(F1084:F1095)=5),cubic_spline(F1083:F1088,H1083:H1088,B$4),IF(AND(COUNT(H1084:H1095)=6,COUNT(F1084:F1095)=6),cubic_spline(F1083:F1089,H1083:H1089,B$4),IF(AND(COUNT(H1084:H1095)=7,COUNT(F1084:F1095)=7),cubic_spline(F1083:F1090,H1083:H1090,B$4),IF(AND(COUNT(H1084:H1095)=8,COUNT(F1084:F1095)=8),cubic_spline(F1083:F1091,H1083:H1091,B$4),IF(AND(COUNT(H1084:H1095)=9,COUNT(F1084:F1095)=9),cubic_spline(F1083:F1092,H1083:H1092,B$4),IF(AND(COUNT(H1084:H1095)=10,COUNT(F1084:F1095)=10),cubic_spline(F1083:F1093,H1083:H1093,B$4),IF(AND(COUNT(H1084:H1095)=11,COUNT(F1084:F1095)=11),cubic_spline(F1083:F1094,H1083:H1094,B$4),IF(AND(COUNT(H1084:H1095)=12,COUNT(F1084:F1095)=12),cubic_spline(F1083:F1095,H1083:H1095,B$4),""))))))))))))</f>
        <v/>
      </c>
      <c r="K1086" s="52" t="str">
        <f>IF(N(B$4)=0,"",IF(AND(COUNT(A1084:A1095)=2,COUNT(F1084:F1095)=2),cubic_spline(F1083:F1085,A1083:A1085,B$4),IF(AND(COUNT(A1084:A1095)=3,COUNT(F1084:F1095)=3),cubic_spline(F1083:F1086,A1083:A1086,B$4),IF(AND(COUNT(A1084:A1095)=4,COUNT(F1084:F1095)=4),cubic_spline(F1083:F1087,A1083:A1087,B$4),IF(AND(COUNT(A1084:A1095)=5,COUNT(F1084:F1095)=5),cubic_spline(F1083:F1088,A1083:A1088,B$4),IF(AND(COUNT(A1084:A1095)=6,COUNT(F1084:F1095)=6),cubic_spline(F1083:F1089,A1083:A1089,B$4),IF(AND(COUNT(A1084:A1095)=7,COUNT(F1084:F1095)=7),cubic_spline(F1083:F1090,A1083:A1090,B$4),IF(AND(COUNT(A1084:A1095)=8,COUNT(F1084:F1095)=8),cubic_spline(F1083:F1091,A1083:A1091,B$4),IF(AND(COUNT(A1084:A1095)=9,COUNT(F1084:F1095)=9),cubic_spline(F1083:F1092,A1083:A1092,B$4),IF(AND(COUNT(A1084:A1095)=10,COUNT(F1084:F1095)=10),cubic_spline(F1083:F1093,A1083:A1093,B$4),IF(AND(COUNT(A1084:A1095)=11,COUNT(F1084:F1095)=11),cubic_spline(F1083:F1094,A1083:A1094,B$4),IF(AND(COUNT(A1084:A1095)=12,COUNT(F1084:F1095)=12),cubic_spline(F1083:F1095,A1083:A1095,B$4),""))))))))))))</f>
        <v/>
      </c>
      <c r="L1086" s="27" t="str">
        <f>IF(I1086="","",B$3&amp;"-"&amp;B$4)</f>
        <v/>
      </c>
      <c r="M1086" s="52" t="str">
        <f>IF(N(J1086)=0,"",J1086-J1085)</f>
        <v/>
      </c>
    </row>
    <row r="1087" spans="1:13" x14ac:dyDescent="0.35">
      <c r="A1087" s="48"/>
      <c r="B1087" s="48"/>
      <c r="C1087" s="50"/>
      <c r="D1087" s="50"/>
      <c r="E1087" s="51" t="str">
        <f t="shared" si="413"/>
        <v/>
      </c>
      <c r="F1087" s="68" t="str">
        <f t="shared" si="411"/>
        <v/>
      </c>
      <c r="G1087" s="69" t="str">
        <f t="shared" si="414"/>
        <v/>
      </c>
      <c r="H1087" s="70" t="str">
        <f t="shared" si="412"/>
        <v/>
      </c>
      <c r="I1087" s="27" t="str">
        <f>IF(N(J1087)=0,"",0&amp;"-"&amp;B$5)</f>
        <v/>
      </c>
      <c r="J1087" s="52" t="str">
        <f>IF(N(B$5)=0,"",IF(AND(COUNT(H1084:H1095)=2,COUNT(F1084:F1095)=2),cubic_spline(F1083:F1085,H1083:H1085,B$5),IF(AND(COUNT(H1084:H1095)=3,COUNT(F1084:F1095)=3),cubic_spline(F1083:F1086,H1083:H1086,B$5),IF(AND(COUNT(H1084:H1095)=4,COUNT(F1084:F1095)=4),cubic_spline(F1083:F1087,H1083:H1087,B$5),IF(AND(COUNT(H1084:H1095)=5,COUNT(F1084:F1095)=5),cubic_spline(F1083:F1088,H1083:H1088,B$5),IF(AND(COUNT(H1084:H1095)=6,COUNT(F1084:F1095)=6),cubic_spline(F1083:F1089,H1083:H1089,B$5),IF(AND(COUNT(H1084:H1095)=7,COUNT(F1084:F1095)=7),cubic_spline(F1083:F1090,H1083:H1090,B$5),IF(AND(COUNT(H1084:H1095)=8,COUNT(F1084:F1095)=8),cubic_spline(F1083:F1091,H1083:H1091,B$5),IF(AND(COUNT(H1084:H1095)=9,COUNT(F1084:F1095)=9),cubic_spline(F1083:F1092,H1083:H1092,B$5),IF(AND(COUNT(H1084:H1095)=10,COUNT(F1084:F1095)=10),cubic_spline(F1083:F1093,H1083:H1093,B$5),IF(AND(COUNT(H1084:H1095)=11,COUNT(F1084:F1095)=11),cubic_spline(F1083:F1094,H1083:H1094,B$5),IF(AND(COUNT(H1084:H1095)=12,COUNT(F1084:F1095)=12),cubic_spline(F1083:F1095,H1083:H1095,B$5),""))))))))))))</f>
        <v/>
      </c>
      <c r="K1087" s="52" t="str">
        <f>IF(N(B$5)=0,"",IF(AND(COUNT(A1084:A1095)=2,COUNT(F1084:F1095)=2),cubic_spline(F1083:F1085,A1083:A1085,B$5),IF(AND(COUNT(A1084:A1095)=3,COUNT(F1084:F1095)=3),cubic_spline(F1083:F1086,A1083:A1086,B$5),IF(AND(COUNT(A1084:A1095)=4,COUNT(F1084:F1095)=4),cubic_spline(F1083:F1087,A1083:A1087,B$5),IF(AND(COUNT(A1084:A1095)=5,COUNT(F1084:F1095)=5),cubic_spline(F1083:F1088,A1083:A1088,B$5),IF(AND(COUNT(A1084:A1095)=6,COUNT(F1084:F1095)=6),cubic_spline(F1083:F1089,A1083:A1089,B$5),IF(AND(COUNT(A1084:A1095)=7,COUNT(F1084:F1095)=7),cubic_spline(F1083:F1090,A1083:A1090,B$5),IF(AND(COUNT(A1084:A1095)=8,COUNT(F1084:F1095)=8),cubic_spline(F1083:F1091,A1083:A1091,B$5),IF(AND(COUNT(A1084:A1095)=9,COUNT(F1084:F1095)=9),cubic_spline(F1083:F1092,A1083:A1092,B$5),IF(AND(COUNT(A1084:A1095)=10,COUNT(F1084:F1095)=10),cubic_spline(F1083:F1093,A1083:A1093,B$5),IF(AND(COUNT(A1084:A1095)=11,COUNT(F1084:F1095)=11),cubic_spline(F1083:F1094,A1083:A1094,B$5),IF(AND(COUNT(A1084:A1095)=12,COUNT(F1084:F1095)=12),cubic_spline(F1083:F1095,A1083:A1095,B$5),""))))))))))))</f>
        <v/>
      </c>
      <c r="L1087" s="27" t="str">
        <f>IF(I1087="","",B$4&amp;"-"&amp;B$5)</f>
        <v/>
      </c>
      <c r="M1087" s="52" t="str">
        <f>IF(N(J1087)=0,"",J1087-J1086)</f>
        <v/>
      </c>
    </row>
    <row r="1088" spans="1:13" x14ac:dyDescent="0.35">
      <c r="A1088" s="48"/>
      <c r="B1088" s="48"/>
      <c r="C1088" s="50"/>
      <c r="D1088" s="50"/>
      <c r="E1088" s="51" t="str">
        <f t="shared" si="413"/>
        <v/>
      </c>
      <c r="F1088" s="71" t="str">
        <f t="shared" si="411"/>
        <v/>
      </c>
      <c r="G1088" s="69" t="str">
        <f t="shared" si="414"/>
        <v/>
      </c>
      <c r="H1088" s="70" t="str">
        <f t="shared" si="412"/>
        <v/>
      </c>
      <c r="I1088" s="27" t="str">
        <f>IF(N(J1088)=0,"",0&amp;"-"&amp;B$6)</f>
        <v/>
      </c>
      <c r="J1088" s="52" t="str">
        <f>IF(N(B$6)=0,"",IF(AND(COUNT(H1084:H1095)=2,COUNT(F1084:F1095)=2),cubic_spline(F1083:F1085,H1083:H1085,B$6),IF(AND(COUNT(H1084:H1095)=3,COUNT(F1084:F1095)=3),cubic_spline(F1083:F1086,H1083:H1086,B$6),IF(AND(COUNT(H1084:H1095)=4,COUNT(F1084:F1095)=4),cubic_spline(F1083:F1087,H1083:H1087,B$6),IF(AND(COUNT(H1084:H1095)=5,COUNT(F1084:F1095)=5),cubic_spline(F1083:F1088,H1083:H1088,B$6),IF(AND(COUNT(H1084:H1095)=6,COUNT(F1084:F1095)=6),cubic_spline(F1083:F1089,H1083:H1089,B$6),IF(AND(COUNT(H1084:H1095)=7,COUNT(F1084:F1095)=7),cubic_spline(F1083:F1090,H1083:H1090,B$6),IF(AND(COUNT(H1084:H1095)=8,COUNT(F1084:F1095)=8),cubic_spline(F1083:F1091,H1083:H1091,B$6),IF(AND(COUNT(H1084:H1095)=9,COUNT(F1084:F1095)=9),cubic_spline(F1083:F1092,H1083:H1092,B$6),IF(AND(COUNT(H1084:H1095)=10,COUNT(F1084:F1095)=10),cubic_spline(F1083:F1093,H1083:H1093,B$6),IF(AND(COUNT(H1084:H1095)=11,COUNT(F1084:F1095)=11),cubic_spline(F1083:F1094,H1083:H1094,B$6),IF(AND(COUNT(H1084:H1095)=12,COUNT(F1084:F1095)=12),cubic_spline(F1083:F1095,H1083:H1095,B$6),""))))))))))))</f>
        <v/>
      </c>
      <c r="K1088" s="52" t="str">
        <f>IF(N(B$6)=0,"",IF(AND(COUNT(A1084:A1095)=2,COUNT(F1084:F1095)=2),cubic_spline(F1083:F1085,A1083:A1085,B$6),IF(AND(COUNT(A1084:A1095)=3,COUNT(F1084:F1095)=3),cubic_spline(F1083:F1086,A1083:A1086,B$6),IF(AND(COUNT(A1084:A1095)=4,COUNT(F1084:F1095)=4),cubic_spline(F1083:F1087,A1083:A1087,B$6),IF(AND(COUNT(A1084:A1095)=5,COUNT(F1084:F1095)=5),cubic_spline(F1083:F1088,A1083:A1088,B$6),IF(AND(COUNT(A1084:A1095)=6,COUNT(F1084:F1095)=6),cubic_spline(F1083:F1089,A1083:A1089,B$6),IF(AND(COUNT(A1084:A1095)=7,COUNT(F1084:F1095)=7),cubic_spline(F1083:F1090,A1083:A1090,B$6),IF(AND(COUNT(A1084:A1095)=8,COUNT(F1084:F1095)=8),cubic_spline(F1083:F1091,A1083:A1091,B$6),IF(AND(COUNT(A1084:A1095)=9,COUNT(F1084:F1095)=9),cubic_spline(F1083:F1092,A1083:A1092,B$6),IF(AND(COUNT(A1084:A1095)=10,COUNT(F1084:F1095)=10),cubic_spline(F1083:F1093,A1083:A1093,B$6),IF(AND(COUNT(A1084:A1095)=11,COUNT(F1084:F1095)=11),cubic_spline(F1083:F1094,A1083:A1094,B$6),IF(AND(COUNT(A1084:A1095)=12,COUNT(F1084:F1095)=12),cubic_spline(F1083:F1095,A1083:A1095,B$6),""))))))))))))</f>
        <v/>
      </c>
      <c r="L1088" s="27" t="str">
        <f>IF(I1088="","",B$5&amp;"-"&amp;B$6)</f>
        <v/>
      </c>
      <c r="M1088" s="52" t="str">
        <f>IF(N(J1088)=0,"",J1088-J1087)</f>
        <v/>
      </c>
    </row>
    <row r="1089" spans="1:13" x14ac:dyDescent="0.35">
      <c r="A1089" s="48"/>
      <c r="B1089" s="48"/>
      <c r="C1089" s="50"/>
      <c r="D1089" s="50"/>
      <c r="E1089" s="51" t="str">
        <f t="shared" si="413"/>
        <v/>
      </c>
      <c r="F1089" s="71" t="str">
        <f t="shared" si="411"/>
        <v/>
      </c>
      <c r="G1089" s="69" t="str">
        <f t="shared" si="414"/>
        <v/>
      </c>
      <c r="H1089" s="70" t="str">
        <f t="shared" si="412"/>
        <v/>
      </c>
      <c r="I1089" s="27" t="str">
        <f>IF(N(J1089)=0,"",0&amp;"-"&amp;B$7)</f>
        <v/>
      </c>
      <c r="J1089" s="52" t="str">
        <f>IF(N(B$7)=0,"",IF(AND(COUNT(H1084:H1095)=2,COUNT(F1084:F1095)=2),cubic_spline(F1083:F1085,H1083:H1085,B$7),IF(AND(COUNT(H1084:H1095)=3,COUNT(F1084:F1095)=3),cubic_spline(F1083:F1086,H1083:H1086,B$7),IF(AND(COUNT(H1084:H1095)=4,COUNT(F1084:F1095)=4),cubic_spline(F1083:F1087,H1083:H1087,B$7),IF(AND(COUNT(H1084:H1095)=5,COUNT(F1084:F1095)=5),cubic_spline(F1083:F1088,H1083:H1088,B$7),IF(AND(COUNT(H1084:H1095)=6,COUNT(F1084:F1095)=6),cubic_spline(F1083:F1089,H1083:H1089,B$7),IF(AND(COUNT(H1084:H1095)=7,COUNT(F1084:F1095)=7),cubic_spline(F1083:F1090,H1083:H1090,B$7),IF(AND(COUNT(H1084:H1095)=8,COUNT(F1084:F1095)=8),cubic_spline(F1083:F1091,H1083:H1091,B$7),IF(AND(COUNT(H1084:H1095)=9,COUNT(F1084:F1095)=9),cubic_spline(F1083:F1092,H1083:H1092,B$7),IF(AND(COUNT(H1084:H1095)=10,COUNT(F1084:F1095)=10),cubic_spline(F1083:F1093,H1083:H1093,B$7),IF(AND(COUNT(H1084:H1095)=11,COUNT(F1084:F1095)=11),cubic_spline(F1083:F1094,H1083:H1094,B$7),IF(AND(COUNT(H1084:H1095)=12,COUNT(F1084:F1095)=12),cubic_spline(F1083:F1095,H1083:H1095,B$7),""))))))))))))</f>
        <v/>
      </c>
      <c r="K1089" s="52" t="str">
        <f>IF(N(B$7)=0,"",IF(AND(COUNT(A1084:A1095)=2,COUNT(F1084:F1095)=2),cubic_spline(F1083:F1085,A1083:A1085,B$7),IF(AND(COUNT(A1084:A1095)=3,COUNT(F1084:F1095)=3),cubic_spline(F1083:F1086,A1083:A1086,B$7),IF(AND(COUNT(A1084:A1095)=4,COUNT(F1084:F1095)=4),cubic_spline(F1083:F1087,A1083:A1087,B$7),IF(AND(COUNT(A1084:A1095)=5,COUNT(F1084:F1095)=5),cubic_spline(F1083:F1088,A1083:A1088,B$7),IF(AND(COUNT(A1084:A1095)=6,COUNT(F1084:F1095)=6),cubic_spline(F1083:F1089,A1083:A1089,B$7),IF(AND(COUNT(A1084:A1095)=7,COUNT(F1084:F1095)=7),cubic_spline(F1083:F1090,A1083:A1090,B$7),IF(AND(COUNT(A1084:A1095)=8,COUNT(F1084:F1095)=8),cubic_spline(F1083:F1091,A1083:A1091,B$7),IF(AND(COUNT(A1084:A1095)=9,COUNT(F1084:F1095)=9),cubic_spline(F1083:F1092,A1083:A1092,B$7),IF(AND(COUNT(A1084:A1095)=10,COUNT(F1084:F1095)=10),cubic_spline(F1083:F1093,A1083:A1093,B$7),IF(AND(COUNT(A1084:A1095)=11,COUNT(F1084:F1095)=11),cubic_spline(F1083:F1094,A1083:A1094,B$7),IF(AND(COUNT(A1084:A1095)=12,COUNT(F1084:F1095)=12),cubic_spline(F1083:F1095,A1083:A1095,B$7),""))))))))))))</f>
        <v/>
      </c>
      <c r="L1089" s="27" t="str">
        <f>IF(I1089="","",B$6&amp;"-"&amp;B$7)</f>
        <v/>
      </c>
      <c r="M1089" s="52" t="str">
        <f t="shared" ref="M1089:M1095" si="415">IF(N(J1089)=0,"",J1089-J1088)</f>
        <v/>
      </c>
    </row>
    <row r="1090" spans="1:13" x14ac:dyDescent="0.35">
      <c r="A1090" s="48"/>
      <c r="B1090" s="48"/>
      <c r="C1090" s="50"/>
      <c r="D1090" s="50"/>
      <c r="E1090" s="51" t="str">
        <f t="shared" si="413"/>
        <v/>
      </c>
      <c r="F1090" s="71" t="str">
        <f t="shared" si="411"/>
        <v/>
      </c>
      <c r="G1090" s="69" t="str">
        <f t="shared" si="414"/>
        <v/>
      </c>
      <c r="H1090" s="70" t="str">
        <f t="shared" si="412"/>
        <v/>
      </c>
      <c r="I1090" s="27" t="str">
        <f>IF(N(J1090)=0,"",0&amp;"-"&amp;B$8)</f>
        <v/>
      </c>
      <c r="J1090" s="52" t="str">
        <f>IF(N(B$8)=0,"",IF(AND(COUNT(H1084:H1095)=2,COUNT(F1084:F1095)=2),cubic_spline(F1083:F1085,H1083:H1085,B$8),IF(AND(COUNT(H1084:H1095)=3,COUNT(F1084:F1095)=3),cubic_spline(F1083:F1086,H1083:H1086,B$8),IF(AND(COUNT(H1084:H1095)=4,COUNT(F1084:F1095)=4),cubic_spline(F1083:F1087,H1083:H1087,B$8),IF(AND(COUNT(H1084:H1095)=5,COUNT(F1084:F1095)=5),cubic_spline(F1083:F1088,H1083:H1088,B$8),IF(AND(COUNT(H1084:H1095)=6,COUNT(F1084:F1095)=6),cubic_spline(F1083:F1089,H1083:H1089,B$8),IF(AND(COUNT(H1084:H1095)=7,COUNT(F1084:F1095)=7),cubic_spline(F1083:F1090,H1083:H1090,B$8),IF(AND(COUNT(H1084:H1095)=8,COUNT(F1084:F1095)=8),cubic_spline(F1083:F1091,H1083:H1091,B$8),IF(AND(COUNT(H1084:H1095)=9,COUNT(F1084:F1095)=9),cubic_spline(F1083:F1092,H1083:H1092,B$8),IF(AND(COUNT(H1084:H1095)=10,COUNT(F1084:F1095)=10),cubic_spline(F1083:F1093,H1083:H1093,B$8),IF(AND(COUNT(H1084:H1095)=11,COUNT(F1084:F1095)=11),cubic_spline(F1083:F1094,H1083:H1094,B$8),IF(AND(COUNT(H1084:H1095)=12,COUNT(F1084:F1095)=12),cubic_spline(F1083:F1095,H1083:H1095,B$8),""))))))))))))</f>
        <v/>
      </c>
      <c r="K1090" s="52" t="str">
        <f>IF(N(B$8)=0,"",IF(AND(COUNT(A1084:A1095)=2,COUNT(F1084:F1095)=2),cubic_spline(F1083:F1085,A1083:A1085,B$8),IF(AND(COUNT(A1084:A1095)=3,COUNT(F1084:F1095)=3),cubic_spline(F1083:F1086,A1083:A1086,B$8),IF(AND(COUNT(A1084:A1095)=4,COUNT(F1084:F1095)=4),cubic_spline(F1083:F1087,A1083:A1087,B$8),IF(AND(COUNT(A1084:A1095)=5,COUNT(F1084:F1095)=5),cubic_spline(F1083:F1088,A1083:A1088,B$8),IF(AND(COUNT(A1084:A1095)=6,COUNT(F1084:F1095)=6),cubic_spline(F1083:F1089,A1083:A1089,B$8),IF(AND(COUNT(A1084:A1095)=7,COUNT(F1084:F1095)=7),cubic_spline(F1083:F1090,A1083:A1090,B$8),IF(AND(COUNT(A1084:A1095)=8,COUNT(F1084:F1095)=8),cubic_spline(F1083:F1091,A1083:A1091,B$8),IF(AND(COUNT(A1084:A1095)=9,COUNT(F1084:F1095)=9),cubic_spline(F1083:F1092,A1083:A1092,B$8),IF(AND(COUNT(A1084:A1095)=10,COUNT(F1084:F1095)=10),cubic_spline(F1083:F1093,A1083:A1093,B$8),IF(AND(COUNT(A1084:A1095)=11,COUNT(F1084:F1095)=11),cubic_spline(F1083:F1094,A1083:A1094,B$8),IF(AND(COUNT(A1084:A1095)=12,COUNT(F1084:F1095)=12),cubic_spline(F1083:F1095,A1083:A1095,B$8),""))))))))))))</f>
        <v/>
      </c>
      <c r="L1090" s="27" t="str">
        <f>IF(I1090="","",B$7&amp;"-"&amp;B$8)</f>
        <v/>
      </c>
      <c r="M1090" s="52" t="str">
        <f t="shared" si="415"/>
        <v/>
      </c>
    </row>
    <row r="1091" spans="1:13" x14ac:dyDescent="0.35">
      <c r="A1091" s="48"/>
      <c r="B1091" s="48"/>
      <c r="C1091" s="50"/>
      <c r="D1091" s="50"/>
      <c r="E1091" s="51" t="str">
        <f t="shared" si="413"/>
        <v/>
      </c>
      <c r="F1091" s="71" t="str">
        <f t="shared" si="411"/>
        <v/>
      </c>
      <c r="G1091" s="69" t="str">
        <f t="shared" si="414"/>
        <v/>
      </c>
      <c r="H1091" s="70" t="str">
        <f t="shared" si="412"/>
        <v/>
      </c>
      <c r="I1091" s="27" t="str">
        <f>IF(N(J1091)=0,"",0&amp;"-"&amp;B$9)</f>
        <v/>
      </c>
      <c r="J1091" s="52" t="str">
        <f>IF(N(B$9)=0,"",IF(AND(COUNT(H1084:H1095)=2,COUNT(F1084:F1095)=2),cubic_spline(F1083:F1085,H1083:H1085,B$9),IF(AND(COUNT(H1084:H1095)=3,COUNT(F1084:F1095)=3),cubic_spline(F1083:F1086,H1083:H1086,B$9),IF(AND(COUNT(H1084:H1095)=4,COUNT(F1084:F1095)=4),cubic_spline(F1083:F1087,H1083:H1087,B$9),IF(AND(COUNT(H1084:H1095)=5,COUNT(F1084:F1095)=5),cubic_spline(F1083:F1088,H1083:H1088,B$9),IF(AND(COUNT(H1084:H1095)=6,COUNT(F1084:F1095)=6),cubic_spline(F1083:F1089,H1083:H1089,B$9),IF(AND(COUNT(H1084:H1095)=7,COUNT(F1084:F1095)=7),cubic_spline(F1083:F1090,H1083:H1090,B$9),IF(AND(COUNT(H1084:H1095)=8,COUNT(F1084:F1095)=8),cubic_spline(F1083:F1091,H1083:H1091,B$9),IF(AND(COUNT(H1084:H1095)=9,COUNT(F1084:F1095)=9),cubic_spline(F1083:F1092,H1083:H1092,B$9),IF(AND(COUNT(H1084:H1095)=10,COUNT(F1084:F1095)=10),cubic_spline(F1083:F1093,H1083:H1093,B$9),IF(AND(COUNT(H1084:H1095)=11,COUNT(F1084:F1095)=11),cubic_spline(F1083:F1094,H1083:H1094,B$9),IF(AND(COUNT(H1084:H1095)=12,COUNT(F1084:F1095)=12),cubic_spline(F1083:F1095,H1083:H1095,B$9),""))))))))))))</f>
        <v/>
      </c>
      <c r="K1091" s="52" t="str">
        <f>IF(N(B$9)=0,"",IF(AND(COUNT(A1084:A1095)=2,COUNT(F1084:F1095)=2),cubic_spline(F1083:F1085,A1083:A1085,B$9),IF(AND(COUNT(A1084:A1095)=3,COUNT(F1084:F1095)=3),cubic_spline(F1083:F1086,A1083:A1086,B$9),IF(AND(COUNT(A1084:A1095)=4,COUNT(F1084:F1095)=4),cubic_spline(F1083:F1087,A1083:A1087,B$9),IF(AND(COUNT(A1084:A1095)=5,COUNT(F1084:F1095)=5),cubic_spline(F1083:F1088,A1083:A1088,B$9),IF(AND(COUNT(A1084:A1095)=6,COUNT(F1084:F1095)=6),cubic_spline(F1083:F1089,A1083:A1089,B$9),IF(AND(COUNT(A1084:A1095)=7,COUNT(F1084:F1095)=7),cubic_spline(F1083:F1090,A1083:A1090,B$9),IF(AND(COUNT(A1084:A1095)=8,COUNT(F1084:F1095)=8),cubic_spline(F1083:F1091,A1083:A1091,B$9),IF(AND(COUNT(A1084:A1095)=9,COUNT(F1084:F1095)=9),cubic_spline(F1083:F1092,A1083:A1092,B$9),IF(AND(COUNT(A1084:A1095)=10,COUNT(F1084:F1095)=10),cubic_spline(F1083:F1093,A1083:A1093,B$9),IF(AND(COUNT(A1084:A1095)=11,COUNT(F1084:F1095)=11),cubic_spline(F1083:F1094,A1083:A1094,B$9),IF(AND(COUNT(A1084:A1095)=12,COUNT(F1084:F1095)=12),cubic_spline(F1083:F1095,A1083:A1095,B$9),""))))))))))))</f>
        <v/>
      </c>
      <c r="L1091" s="27" t="str">
        <f>IF(I1091="","",B$8&amp;"-"&amp;B$9)</f>
        <v/>
      </c>
      <c r="M1091" s="52" t="str">
        <f t="shared" si="415"/>
        <v/>
      </c>
    </row>
    <row r="1092" spans="1:13" x14ac:dyDescent="0.35">
      <c r="A1092" s="48"/>
      <c r="B1092" s="48"/>
      <c r="C1092" s="50"/>
      <c r="D1092" s="50"/>
      <c r="E1092" s="51" t="str">
        <f t="shared" si="413"/>
        <v/>
      </c>
      <c r="F1092" s="71" t="str">
        <f t="shared" si="411"/>
        <v/>
      </c>
      <c r="G1092" s="69" t="str">
        <f t="shared" si="414"/>
        <v/>
      </c>
      <c r="H1092" s="70" t="str">
        <f t="shared" si="412"/>
        <v/>
      </c>
      <c r="I1092" s="27" t="str">
        <f>IF(N(J1092)=0,"",0&amp;"-"&amp;B$10)</f>
        <v/>
      </c>
      <c r="J1092" s="52" t="str">
        <f>IF(N(B$10)=0,"",IF(AND(COUNT(H1084:H1095)=2,COUNT(F1084:F1095)=2),cubic_spline(F1083:F1085,H1083:H1085,B$10),IF(AND(COUNT(H1084:H1095)=3,COUNT(F1084:F1095)=3),cubic_spline(F1083:F1086,H1083:H1086,B$10),IF(AND(COUNT(H1084:H1095)=4,COUNT(F1084:F1095)=4),cubic_spline(F1083:F1087,H1083:H1087,B$10),IF(AND(COUNT(H1084:H1095)=5,COUNT(F1084:F1095)=5),cubic_spline(F1083:F1088,H1083:H1088,B$10),IF(AND(COUNT(H1084:H1095)=6,COUNT(F1084:F1095)=6),cubic_spline(F1083:F1089,H1083:H1089,B$10),IF(AND(COUNT(H1084:H1095)=7,COUNT(F1084:F1095)=7),cubic_spline(F1083:F1090,H1083:H1090,B$10),IF(AND(COUNT(H1084:H1095)=8,COUNT(F1084:F1095)=8),cubic_spline(F1083:F1091,H1083:H1091,B$10),IF(AND(COUNT(H1084:H1095)=9,COUNT(F1084:F1095)=9),cubic_spline(F1083:F1092,H1083:H1092,B$10),IF(AND(COUNT(H1084:H1095)=10,COUNT(F1084:F1095)=10),cubic_spline(F1083:F1093,H1083:H1093,B$10),IF(AND(COUNT(H1084:H1095)=11,COUNT(F1084:F1095)=11),cubic_spline(F1083:F1094,H1083:H1094,B$10),IF(AND(COUNT(H1084:H1095)=12,COUNT(F1084:F1095)=12),cubic_spline(F1083:F1095,H1083:H1095,B$10),""))))))))))))</f>
        <v/>
      </c>
      <c r="K1092" s="52" t="str">
        <f>IF(N(B$10)=0,"",IF(AND(COUNT(A1084:A1095)=2,COUNT(F1084:F1095)=2),cubic_spline(F1083:F1085,A1083:A1085,B$10),IF(AND(COUNT(A1084:A1095)=3,COUNT(F1084:F1095)=3),cubic_spline(F1083:F1086,A1083:A1086,B$10),IF(AND(COUNT(A1084:A1095)=4,COUNT(F1084:F1095)=4),cubic_spline(F1083:F1087,A1083:A1087,B$10),IF(AND(COUNT(A1084:A1095)=5,COUNT(F1084:F1095)=5),cubic_spline(F1083:F1088,A1083:A1088,B$10),IF(AND(COUNT(A1084:A1095)=6,COUNT(F1084:F1095)=6),cubic_spline(F1083:F1089,A1083:A1089,B$10),IF(AND(COUNT(A1084:A1095)=7,COUNT(F1084:F1095)=7),cubic_spline(F1083:F1090,A1083:A1090,B$10),IF(AND(COUNT(A1084:A1095)=8,COUNT(F1084:F1095)=8),cubic_spline(F1083:F1091,A1083:A1091,B$10),IF(AND(COUNT(A1084:A1095)=9,COUNT(F1084:F1095)=9),cubic_spline(F1083:F1092,A1083:A1092,B$10),IF(AND(COUNT(A1084:A1095)=10,COUNT(F1084:F1095)=10),cubic_spline(F1083:F1093,A1083:A1093,B$10),IF(AND(COUNT(A1084:A1095)=11,COUNT(F1084:F1095)=11),cubic_spline(F1083:F1094,A1083:A1094,B$10),IF(AND(COUNT(A1084:A1095)=12,COUNT(F1084:F1095)=12),cubic_spline(F1083:F1095,A1083:A1095,B$10),""))))))))))))</f>
        <v/>
      </c>
      <c r="L1092" s="27" t="str">
        <f>IF(I1092="","",B$9&amp;"-"&amp;B$10)</f>
        <v/>
      </c>
      <c r="M1092" s="52" t="str">
        <f t="shared" si="415"/>
        <v/>
      </c>
    </row>
    <row r="1093" spans="1:13" x14ac:dyDescent="0.35">
      <c r="A1093" s="48"/>
      <c r="B1093" s="48"/>
      <c r="C1093" s="50"/>
      <c r="D1093" s="50"/>
      <c r="E1093" s="51" t="str">
        <f t="shared" si="413"/>
        <v/>
      </c>
      <c r="F1093" s="71" t="str">
        <f t="shared" si="411"/>
        <v/>
      </c>
      <c r="G1093" s="69" t="str">
        <f t="shared" si="414"/>
        <v/>
      </c>
      <c r="H1093" s="70" t="str">
        <f t="shared" si="412"/>
        <v/>
      </c>
      <c r="I1093" s="27" t="str">
        <f>IF(N(J1093)=0,"",0&amp;"-"&amp;B$11)</f>
        <v/>
      </c>
      <c r="J1093" s="52" t="str">
        <f>IF(N(B$11)=0,"",IF(AND(COUNT(H1084:H1095)=2,COUNT(F1084:F1095)=2),cubic_spline(F1083:F1085,H1083:H1085,B$11),IF(AND(COUNT(H1084:H1095)=3,COUNT(F1084:F1095)=3),cubic_spline(F1083:F1086,H1083:H1086,B$11),IF(AND(COUNT(H1084:H1095)=4,COUNT(F1084:F1095)=4),cubic_spline(F1083:F1087,H1083:H1087,B$11),IF(AND(COUNT(H1084:H1095)=5,COUNT(F1084:F1095)=5),cubic_spline(F1083:F1088,H1083:H1088,B$11),IF(AND(COUNT(H1084:H1095)=6,COUNT(F1084:F1095)=6),cubic_spline(F1083:F1089,H1083:H1089,B$11),IF(AND(COUNT(H1084:H1095)=7,COUNT(F1084:F1095)=7),cubic_spline(F1083:F1090,H1083:H1090,B$11),IF(AND(COUNT(H1084:H1095)=8,COUNT(F1084:F1095)=8),cubic_spline(F1083:F1091,H1083:H1091,B$11),IF(AND(COUNT(H1084:H1095)=9,COUNT(F1084:F1095)=9),cubic_spline(F1083:F1092,H1083:H1092,B$11),IF(AND(COUNT(H1084:H1095)=10,COUNT(F1084:F1095)=10),cubic_spline(F1083:F1093,H1083:H1093,B$11),IF(AND(COUNT(H1084:H1095)=11,COUNT(F1084:F1095)=11),cubic_spline(F1083:F1094,H1083:H1094,B$11),IF(AND(COUNT(H1084:H1095)=12,COUNT(F1084:F1095)=12),cubic_spline(F1083:F1095,H1083:H1095,B$11),""))))))))))))</f>
        <v/>
      </c>
      <c r="K1093" s="52" t="str">
        <f>IF(N(B$11)=0,"",IF(AND(COUNT(A1084:A1095)=2,COUNT(F1084:F1095)=2),cubic_spline(F1083:F1085,A1083:A1085,B$11),IF(AND(COUNT(A1084:A1095)=3,COUNT(F1084:F1095)=3),cubic_spline(F1083:F1086,A1083:A1086,B$11),IF(AND(COUNT(A1084:A1095)=4,COUNT(F1084:F1095)=4),cubic_spline(F1083:F1087,A1083:A1087,B$11),IF(AND(COUNT(A1084:A1095)=5,COUNT(F1084:F1095)=5),cubic_spline(F1083:F1088,A1083:A1088,B$11),IF(AND(COUNT(A1084:A1095)=6,COUNT(F1084:F1095)=6),cubic_spline(F1083:F1089,A1083:A1089,B$11),IF(AND(COUNT(A1084:A1095)=7,COUNT(F1084:F1095)=7),cubic_spline(F1083:F1090,A1083:A1090,B$11),IF(AND(COUNT(A1084:A1095)=8,COUNT(F1084:F1095)=8),cubic_spline(F1083:F1091,A1083:A1091,B$11),IF(AND(COUNT(A1084:A1095)=9,COUNT(F1084:F1095)=9),cubic_spline(F1083:F1092,A1083:A1092,B$11),IF(AND(COUNT(A1084:A1095)=10,COUNT(F1084:F1095)=10),cubic_spline(F1083:F1093,A1083:A1093,B$11),IF(AND(COUNT(A1084:A1095)=11,COUNT(F1084:F1095)=11),cubic_spline(F1083:F1094,A1083:A1094,B$11),IF(AND(COUNT(A1084:A1095)=12,COUNT(F1084:F1095)=12),cubic_spline(F1083:F1095,A1083:A1095,B$11),""))))))))))))</f>
        <v/>
      </c>
      <c r="L1093" s="27" t="str">
        <f>IF(I1093="","",B$10&amp;"-"&amp;B$11)</f>
        <v/>
      </c>
      <c r="M1093" s="52" t="str">
        <f t="shared" si="415"/>
        <v/>
      </c>
    </row>
    <row r="1094" spans="1:13" x14ac:dyDescent="0.35">
      <c r="A1094" s="48"/>
      <c r="B1094" s="48"/>
      <c r="C1094" s="50"/>
      <c r="D1094" s="50"/>
      <c r="E1094" s="51" t="str">
        <f t="shared" si="413"/>
        <v/>
      </c>
      <c r="F1094" s="71" t="str">
        <f t="shared" si="411"/>
        <v/>
      </c>
      <c r="G1094" s="69" t="str">
        <f t="shared" si="414"/>
        <v/>
      </c>
      <c r="H1094" s="70" t="str">
        <f t="shared" si="412"/>
        <v/>
      </c>
      <c r="I1094" s="27" t="str">
        <f>IF(N(J1094)=0,"",0&amp;"-"&amp;B$12)</f>
        <v/>
      </c>
      <c r="J1094" s="52" t="str">
        <f>IF(N(B$12)=0,"",IF(AND(COUNT(H1084:H1095)=2,COUNT(F1084:F1095)=2),cubic_spline(F1083:F1085,H1083:H1085,B$12),IF(AND(COUNT(H1084:H1095)=3,COUNT(F1084:F1095)=3),cubic_spline(F1083:F1086,H1083:H1086,B$12),IF(AND(COUNT(H1084:H1095)=4,COUNT(F1084:F1095)=4),cubic_spline(F1083:F1087,H1083:H1087,B$12),IF(AND(COUNT(H1084:H1095)=5,COUNT(F1084:F1095)=5),cubic_spline(F1083:F1088,H1083:H1088,B$12),IF(AND(COUNT(H1084:H1095)=6,COUNT(F1084:F1095)=6),cubic_spline(F1083:F1089,H1083:H1089,B$12),IF(AND(COUNT(H1084:H1095)=7,COUNT(F1084:F1095)=7),cubic_spline(F1083:F1090,H1083:H1090,B$12),IF(AND(COUNT(H1084:H1095)=8,COUNT(F1084:F1095)=8),cubic_spline(F1083:F1091,H1083:H1091,B$12),IF(AND(COUNT(H1084:H1095)=9,COUNT(F1084:F1095)=9),cubic_spline(F1083:F1092,H1083:H1092,B$12),IF(AND(COUNT(H1084:H1095)=10,COUNT(F1084:F1095)=10),cubic_spline(F1083:F1093,H1083:H1093,B$12),IF(AND(COUNT(H1084:H1095)=11,COUNT(F1084:F1095)=11),cubic_spline(F1083:F1094,H1083:H1094,B$12),IF(AND(COUNT(H1084:H1095)=12,COUNT(F1084:F1095)=12),cubic_spline(F1083:F1095,H1083:H1095,B$12),""))))))))))))</f>
        <v/>
      </c>
      <c r="K1094" s="52" t="str">
        <f>IF(N(B$12)=0,"",IF(AND(COUNT(A1084:A1095)=2,COUNT(F1084:F1095)=2),cubic_spline(F1083:F1085,A1083:A1085,B$12),IF(AND(COUNT(A1084:A1095)=3,COUNT(F1084:F1095)=3),cubic_spline(F1083:F1086,A1083:A1086,B$12),IF(AND(COUNT(A1084:A1095)=4,COUNT(F1084:F1095)=4),cubic_spline(F1083:F1087,A1083:A1087,B$12),IF(AND(COUNT(A1084:A1095)=5,COUNT(F1084:F1095)=5),cubic_spline(F1083:F1088,A1083:A1088,B$12),IF(AND(COUNT(A1084:A1095)=6,COUNT(F1084:F1095)=6),cubic_spline(F1083:F1089,A1083:A1089,B$12),IF(AND(COUNT(A1084:A1095)=7,COUNT(F1084:F1095)=7),cubic_spline(F1083:F1090,A1083:A1090,B$12),IF(AND(COUNT(A1084:A1095)=8,COUNT(F1084:F1095)=8),cubic_spline(F1083:F1091,A1083:A1091,B$12),IF(AND(COUNT(A1084:A1095)=9,COUNT(F1084:F1095)=9),cubic_spline(F1083:F1092,A1083:A1092,B$12),IF(AND(COUNT(A1084:A1095)=10,COUNT(F1084:F1095)=10),cubic_spline(F1083:F1093,A1083:A1093,B$12),IF(AND(COUNT(A1084:A1095)=11,COUNT(F1084:F1095)=11),cubic_spline(F1083:F1094,A1083:A1094,B$12),IF(AND(COUNT(A1084:A1095)=12,COUNT(F1084:F1095)=12),cubic_spline(F1083:F1095,A1083:A1095,B$12),""))))))))))))</f>
        <v/>
      </c>
      <c r="L1094" s="27" t="str">
        <f>IF(I1094="","",B$11&amp;"-"&amp;B$12)</f>
        <v/>
      </c>
      <c r="M1094" s="52" t="str">
        <f t="shared" si="415"/>
        <v/>
      </c>
    </row>
    <row r="1095" spans="1:13" x14ac:dyDescent="0.35">
      <c r="A1095" s="48"/>
      <c r="B1095" s="48"/>
      <c r="C1095" s="50"/>
      <c r="D1095" s="50"/>
      <c r="E1095" s="51" t="str">
        <f t="shared" si="413"/>
        <v/>
      </c>
      <c r="F1095" s="71" t="str">
        <f t="shared" si="411"/>
        <v/>
      </c>
      <c r="G1095" s="69" t="str">
        <f t="shared" si="414"/>
        <v/>
      </c>
      <c r="H1095" s="70" t="str">
        <f t="shared" si="412"/>
        <v/>
      </c>
      <c r="I1095" s="27" t="str">
        <f>IF(N(J1095)=0,"",0&amp;"-"&amp;B$13)</f>
        <v/>
      </c>
      <c r="J1095" s="52" t="str">
        <f>IF(N(B$13)=0,"",IF(AND(COUNT(H1084:H1095)=2,COUNT(F1084:F1095)=2),cubic_spline(F1083:F1085,H1083:H1085,B$13),IF(AND(COUNT(H1084:H1095)=3,COUNT(F1084:F1095)=3),cubic_spline(F1083:F1086,H1083:H1086,B$13),IF(AND(COUNT(H1084:H1095)=4,COUNT(F1084:F1095)=4),cubic_spline(F1083:F1087,H1083:H1087,B$13),IF(AND(COUNT(H1084:H1095)=5,COUNT(F1084:F1095)=5),cubic_spline(F1083:F1088,H1083:H1088,B$13),IF(AND(COUNT(H1084:H1095)=6,COUNT(F1084:F1095)=6),cubic_spline(F1083:F1089,H1083:H1089,B$13),IF(AND(COUNT(H1084:H1095)=7,COUNT(F1084:F1095)=7),cubic_spline(F1083:F1090,H1083:H1090,B$13),IF(AND(COUNT(H1084:H1095)=8,COUNT(F1084:F1095)=8),cubic_spline(F1083:F1091,H1083:H1091,B$13),IF(AND(COUNT(H1084:H1095)=9,COUNT(F1084:F1095)=9),cubic_spline(F1083:F1092,H1083:H1092,B$13),IF(AND(COUNT(H1084:H1095)=10,COUNT(F1084:F1095)=10),cubic_spline(F1083:F1093,H1083:H1093,B$13),IF(AND(COUNT(H1084:H1095)=11,COUNT(F1084:F1095)=11),cubic_spline(F1083:F1094,H1083:H1094,B$13),IF(AND(COUNT(H1084:H1095)=12,COUNT(F1084:F1095)=12),cubic_spline(F1083:F1095,H1083:H1095,B$13),""))))))))))))</f>
        <v/>
      </c>
      <c r="K1095" s="52" t="str">
        <f>IF(N(B$13)=0,"",IF(AND(COUNT(A1084:A1095)=2,COUNT(F1084:F1095)=2),cubic_spline(F1083:F1085,A1083:A1085,B$13),IF(AND(COUNT(A1084:A1095)=3,COUNT(F1084:F1095)=3),cubic_spline(F1083:F1086,A1083:A1086,B$13),IF(AND(COUNT(A1084:A1095)=4,COUNT(F1084:F1095)=4),cubic_spline(F1083:F1087,A1083:A1087,B$13),IF(AND(COUNT(A1084:A1095)=5,COUNT(F1084:F1095)=5),cubic_spline(F1083:F1088,A1083:A1088,B$13),IF(AND(COUNT(A1084:A1095)=6,COUNT(F1084:F1095)=6),cubic_spline(F1083:F1089,A1083:A1089,B$13),IF(AND(COUNT(A1084:A1095)=7,COUNT(F1084:F1095)=7),cubic_spline(F1083:F1090,A1083:A1090,B$13),IF(AND(COUNT(A1084:A1095)=8,COUNT(F1084:F1095)=8),cubic_spline(F1083:F1091,A1083:A1091,B$13),IF(AND(COUNT(A1084:A1095)=9,COUNT(F1084:F1095)=9),cubic_spline(F1083:F1092,A1083:A1092,B$13),IF(AND(COUNT(A1084:A1095)=10,COUNT(F1084:F1095)=10),cubic_spline(F1083:F1093,A1083:A1093,B$13),IF(AND(COUNT(A1084:A1095)=11,COUNT(F1084:F1095)=11),cubic_spline(F1083:F1094,A1083:A1094,B$13),IF(AND(COUNT(A1084:A1095)=12,COUNT(F1084:F1095)=12),cubic_spline(F1083:F1095,A1083:A1095,B$13),""))))))))))))</f>
        <v/>
      </c>
      <c r="L1095" s="27" t="str">
        <f>IF(I1095="","",B$12&amp;"-"&amp;B$13)</f>
        <v/>
      </c>
      <c r="M1095" s="52" t="str">
        <f t="shared" si="415"/>
        <v/>
      </c>
    </row>
    <row r="1096" spans="1:13" ht="5.15" customHeight="1" x14ac:dyDescent="0.35">
      <c r="A1096" s="47"/>
      <c r="B1096" s="47"/>
      <c r="C1096" s="53"/>
      <c r="D1096" s="53"/>
      <c r="E1096" s="54"/>
      <c r="F1096" s="55"/>
      <c r="G1096" s="72"/>
      <c r="H1096" s="73"/>
      <c r="I1096" s="47"/>
      <c r="J1096" s="57"/>
      <c r="K1096" s="57"/>
      <c r="L1096" s="55"/>
      <c r="M1096" s="57"/>
    </row>
    <row r="1097" spans="1:13" x14ac:dyDescent="0.35">
      <c r="A1097" s="48"/>
      <c r="B1097" s="48"/>
      <c r="C1097" s="50"/>
      <c r="D1097" s="50"/>
      <c r="E1097" s="51" t="str">
        <f>IF(N(C1097)=0,"",(A1097-A1096)*C1097*100)</f>
        <v/>
      </c>
      <c r="F1097" s="68" t="str">
        <f t="shared" ref="F1097:F1108" si="416">IF(N(E1097)=0,"",(N(E1097)+N(F1096)))</f>
        <v/>
      </c>
      <c r="G1097" s="69" t="str">
        <f>IF(OR(N(D1097)=0,N(E1097)=0),"",(E1097*D1097)/1000)</f>
        <v/>
      </c>
      <c r="H1097" s="70" t="str">
        <f t="shared" ref="H1097:H1108" si="417">IF(N(G1097)=0,"",(N(G1097)+N(H1096)))</f>
        <v/>
      </c>
      <c r="I1097" s="27" t="str">
        <f>IF(N(J1097)=0,"",0&amp;"-"&amp;B$2)</f>
        <v/>
      </c>
      <c r="J1097" s="52" t="str">
        <f>IF(N(B$2)=0,"",IF(AND(COUNT(H1097:H1108)=2,COUNT(F1097:F1108)=2),cubic_spline(F1096:F1098,H1096:H1098,B$2),IF(AND(COUNT(H1097:H1108)=3,COUNT(F1097:F1108)=3),cubic_spline(F1096:F1099,H1096:H1099,B$2),IF(AND(COUNT(H1097:H1108)=4,COUNT(F1097:F1108)=4),cubic_spline(F1096:F1100,H1096:H1100,B$2),IF(AND(COUNT(H1097:H1108)=5,COUNT(F1097:F1108)=5),cubic_spline(F1096:F1101,H1096:H1101,B$2),IF(AND(COUNT(H1097:H1108)=6,COUNT(F1097:F1108)=6),cubic_spline(F1096:F1102,H1096:H1102,B$2),IF(AND(COUNT(H1097:H1108)=7,COUNT(F1097:F1108)=7),cubic_spline(F1096:F1103,H1096:H1103,B$2),IF(AND(COUNT(H1097:H1108)=8,COUNT(F1097:F1108)=8),cubic_spline(F1096:F1104,H1096:H1104,B$2),IF(AND(COUNT(H1097:H1108)=9,COUNT(F1097:F1108)=9),cubic_spline(F1096:F1105,H1096:H1105,B$2),IF(AND(COUNT(H1097:H1108)=10,COUNT(F1097:F1108)=10),cubic_spline(F1096:F1106,H1096:H1106,B$2),IF(AND(COUNT(H1097:H1108)=11,COUNT(F1097:F1108)=11),cubic_spline(F1096:F1107,H1096:H1107,B$2),IF(AND(COUNT(H1097:H1108)=12,COUNT(F1097:F1108)=12),cubic_spline(F1096:F1108,H1096:H1108,B$2),""))))))))))))</f>
        <v/>
      </c>
      <c r="K1097" s="52" t="str">
        <f>IF(N(B$2)=0,"",IF(AND(COUNT(A1097:A1108)=2,COUNT(F1097:F1108)=2),cubic_spline(F1096:F1098,A1096:A1098,B$2),IF(AND(COUNT(A1097:A1108)=3,COUNT(F1097:F1108)=3),cubic_spline(F1096:F1099,A1096:A1099,B$2),IF(AND(COUNT(A1097:A1108)=4,COUNT(F1097:F1108)=4),cubic_spline(F1096:F1100,A1096:A1100,B$2),IF(AND(COUNT(A1097:A1108)=5,COUNT(F1097:F1108)=5),cubic_spline(F1096:F1101,A1096:A1101,B$2),IF(AND(COUNT(A1097:A1108)=6,COUNT(F1097:F1108)=6),cubic_spline(F1096:F1102,A1096:A1102,B$2),IF(AND(COUNT(A1097:A1108)=7,COUNT(F1097:F1108)=7),cubic_spline(F1096:F1103,A1096:A1103,B$2),IF(AND(COUNT(A1097:A1108)=8,COUNT(F1097:F1108)=8),cubic_spline(F1096:F1104,A1096:A1104,B$2),IF(AND(COUNT(A1097:A1108)=9,COUNT(F1097:F1108)=9),cubic_spline(F1096:F1105,A1096:A1105,B$2),IF(AND(COUNT(A1097:A1108)=10,COUNT(F1097:F1108)=10),cubic_spline(F1096:F1106,A1096:A1106,B$2),IF(AND(COUNT(A1097:A1108)=11,COUNT(F1097:F1108)=11),cubic_spline(F1096:F1107,A1096:A1107,B$2),IF(AND(COUNT(A1097:A1108)=12,COUNT(F1097:F1108)=12),cubic_spline(F1096:F1108,A1096:A1108,B$2),""))))))))))))</f>
        <v/>
      </c>
      <c r="L1097" s="27" t="str">
        <f>IF(I1097="","",0&amp;"-"&amp;B$2)</f>
        <v/>
      </c>
      <c r="M1097" s="52" t="str">
        <f>IF(N(J1097)=0,"",J1097-J1096)</f>
        <v/>
      </c>
    </row>
    <row r="1098" spans="1:13" x14ac:dyDescent="0.35">
      <c r="A1098" s="48"/>
      <c r="B1098" s="48"/>
      <c r="C1098" s="50"/>
      <c r="D1098" s="50"/>
      <c r="E1098" s="51" t="str">
        <f t="shared" ref="E1098:E1108" si="418">IF(N(C1098)=0,"",(A1098-A1097)*C1098*100)</f>
        <v/>
      </c>
      <c r="F1098" s="68" t="str">
        <f t="shared" si="416"/>
        <v/>
      </c>
      <c r="G1098" s="69" t="str">
        <f t="shared" ref="G1098:G1108" si="419">IF(OR(N(D1098)=0,N(E1098)=0),"",(E1098*D1098)/1000)</f>
        <v/>
      </c>
      <c r="H1098" s="70" t="str">
        <f t="shared" si="417"/>
        <v/>
      </c>
      <c r="I1098" s="27" t="str">
        <f>IF(N(J1098)=0,"",0&amp;"-"&amp;B$3)</f>
        <v/>
      </c>
      <c r="J1098" s="52" t="str">
        <f>IF(N(B$3)=0,"",IF(AND(COUNT(H1097:H1108)=2,COUNT(F1097:F1108)=2),cubic_spline(F1096:F1098,H1096:H1098,B$3),IF(AND(COUNT(H1097:H1108)=3,COUNT(F1097:F1108)=3),cubic_spline(F1096:F1099,H1096:H1099,B$3),IF(AND(COUNT(H1097:H1108)=4,COUNT(F1097:F1108)=4),cubic_spline(F1096:F1100,H1096:H1100,B$3),IF(AND(COUNT(H1097:H1108)=5,COUNT(F1097:F1108)=5),cubic_spline(F1096:F1101,H1096:H1101,B$3),IF(AND(COUNT(H1097:H1108)=6,COUNT(F1097:F1108)=6),cubic_spline(F1096:F1102,H1096:H1102,B$3),IF(AND(COUNT(H1097:H1108)=7,COUNT(F1097:F1108)=7),cubic_spline(F1096:F1103,H1096:H1103,B$3),IF(AND(COUNT(H1097:H1108)=8,COUNT(F1097:F1108)=8),cubic_spline(F1096:F1104,H1096:H1104,B$3),IF(AND(COUNT(H1097:H1108)=9,COUNT(F1097:F1108)=9),cubic_spline(F1096:F1105,H1096:H1105,B$3),IF(AND(COUNT(H1097:H1108)=10,COUNT(F1097:F1108)=10),cubic_spline(F1096:F1106,H1096:H1106,B$3),IF(AND(COUNT(H1097:H1108)=11,COUNT(F1097:F1108)=11),cubic_spline(F1096:F1107,H1096:H1107,B$3),IF(AND(COUNT(H1097:H1108)=12,COUNT(F1097:F1108)=12),cubic_spline(F1096:F1108,H1096:H1108,B$3),""))))))))))))</f>
        <v/>
      </c>
      <c r="K1098" s="52" t="str">
        <f>IF(N(B$3)=0,"",IF(AND(COUNT(A1097:A1108)=2,COUNT(F1097:F1108)=2),cubic_spline(F1096:F1098,A1096:A1098,B$3),IF(AND(COUNT(A1097:A1108)=3,COUNT(F1097:F1108)=3),cubic_spline(F1096:F1099,A1096:A1099,B$3),IF(AND(COUNT(A1097:A1108)=4,COUNT(F1097:F1108)=4),cubic_spline(F1096:F1100,A1096:A1100,B$3),IF(AND(COUNT(A1097:A1108)=5,COUNT(F1097:F1108)=5),cubic_spline(F1096:F1101,A1096:A1101,B$3),IF(AND(COUNT(A1097:A1108)=6,COUNT(F1097:F1108)=6),cubic_spline(F1096:F1102,A1096:A1102,B$3),IF(AND(COUNT(A1097:A1108)=7,COUNT(F1097:F1108)=7),cubic_spline(F1096:F1103,A1096:A1103,B$3),IF(AND(COUNT(A1097:A1108)=8,COUNT(F1097:F1108)=8),cubic_spline(F1096:F1104,A1096:A1104,B$3),IF(AND(COUNT(A1097:A1108)=9,COUNT(F1097:F1108)=9),cubic_spline(F1096:F1105,A1096:A1105,B$3),IF(AND(COUNT(A1097:A1108)=10,COUNT(F1097:F1108)=10),cubic_spline(F1096:F1106,A1096:A1106,B$3),IF(AND(COUNT(A1097:A1108)=11,COUNT(F1097:F1108)=11),cubic_spline(F1096:F1107,A1096:A1107,B$3),IF(AND(COUNT(A1097:A1108)=12,COUNT(F1097:F1108)=12),cubic_spline(F1096:F1108,A1096:A1108,B$3),""))))))))))))</f>
        <v/>
      </c>
      <c r="L1098" s="27" t="str">
        <f>IF(I1098="","",B$2&amp;"-"&amp;B$3)</f>
        <v/>
      </c>
      <c r="M1098" s="52" t="str">
        <f>IF(N(J1098)=0,"",J1098-J1097)</f>
        <v/>
      </c>
    </row>
    <row r="1099" spans="1:13" x14ac:dyDescent="0.35">
      <c r="A1099" s="48"/>
      <c r="B1099" s="48"/>
      <c r="C1099" s="50"/>
      <c r="D1099" s="50"/>
      <c r="E1099" s="51" t="str">
        <f t="shared" si="418"/>
        <v/>
      </c>
      <c r="F1099" s="68" t="str">
        <f t="shared" si="416"/>
        <v/>
      </c>
      <c r="G1099" s="69" t="str">
        <f t="shared" si="419"/>
        <v/>
      </c>
      <c r="H1099" s="70" t="str">
        <f t="shared" si="417"/>
        <v/>
      </c>
      <c r="I1099" s="27" t="str">
        <f>IF(N(J1099)=0,"",0&amp;"-"&amp;B$4)</f>
        <v/>
      </c>
      <c r="J1099" s="52" t="str">
        <f>IF(N(B$4)=0,"",IF(AND(COUNT(H1097:H1108)=2,COUNT(F1097:F1108)=2),cubic_spline(F1096:F1098,H1096:H1098,B$4),IF(AND(COUNT(H1097:H1108)=3,COUNT(F1097:F1108)=3),cubic_spline(F1096:F1099,H1096:H1099,B$4),IF(AND(COUNT(H1097:H1108)=4,COUNT(F1097:F1108)=4),cubic_spline(F1096:F1100,H1096:H1100,B$4),IF(AND(COUNT(H1097:H1108)=5,COUNT(F1097:F1108)=5),cubic_spline(F1096:F1101,H1096:H1101,B$4),IF(AND(COUNT(H1097:H1108)=6,COUNT(F1097:F1108)=6),cubic_spline(F1096:F1102,H1096:H1102,B$4),IF(AND(COUNT(H1097:H1108)=7,COUNT(F1097:F1108)=7),cubic_spline(F1096:F1103,H1096:H1103,B$4),IF(AND(COUNT(H1097:H1108)=8,COUNT(F1097:F1108)=8),cubic_spline(F1096:F1104,H1096:H1104,B$4),IF(AND(COUNT(H1097:H1108)=9,COUNT(F1097:F1108)=9),cubic_spline(F1096:F1105,H1096:H1105,B$4),IF(AND(COUNT(H1097:H1108)=10,COUNT(F1097:F1108)=10),cubic_spline(F1096:F1106,H1096:H1106,B$4),IF(AND(COUNT(H1097:H1108)=11,COUNT(F1097:F1108)=11),cubic_spline(F1096:F1107,H1096:H1107,B$4),IF(AND(COUNT(H1097:H1108)=12,COUNT(F1097:F1108)=12),cubic_spline(F1096:F1108,H1096:H1108,B$4),""))))))))))))</f>
        <v/>
      </c>
      <c r="K1099" s="52" t="str">
        <f>IF(N(B$4)=0,"",IF(AND(COUNT(A1097:A1108)=2,COUNT(F1097:F1108)=2),cubic_spline(F1096:F1098,A1096:A1098,B$4),IF(AND(COUNT(A1097:A1108)=3,COUNT(F1097:F1108)=3),cubic_spline(F1096:F1099,A1096:A1099,B$4),IF(AND(COUNT(A1097:A1108)=4,COUNT(F1097:F1108)=4),cubic_spline(F1096:F1100,A1096:A1100,B$4),IF(AND(COUNT(A1097:A1108)=5,COUNT(F1097:F1108)=5),cubic_spline(F1096:F1101,A1096:A1101,B$4),IF(AND(COUNT(A1097:A1108)=6,COUNT(F1097:F1108)=6),cubic_spline(F1096:F1102,A1096:A1102,B$4),IF(AND(COUNT(A1097:A1108)=7,COUNT(F1097:F1108)=7),cubic_spline(F1096:F1103,A1096:A1103,B$4),IF(AND(COUNT(A1097:A1108)=8,COUNT(F1097:F1108)=8),cubic_spline(F1096:F1104,A1096:A1104,B$4),IF(AND(COUNT(A1097:A1108)=9,COUNT(F1097:F1108)=9),cubic_spline(F1096:F1105,A1096:A1105,B$4),IF(AND(COUNT(A1097:A1108)=10,COUNT(F1097:F1108)=10),cubic_spline(F1096:F1106,A1096:A1106,B$4),IF(AND(COUNT(A1097:A1108)=11,COUNT(F1097:F1108)=11),cubic_spline(F1096:F1107,A1096:A1107,B$4),IF(AND(COUNT(A1097:A1108)=12,COUNT(F1097:F1108)=12),cubic_spline(F1096:F1108,A1096:A1108,B$4),""))))))))))))</f>
        <v/>
      </c>
      <c r="L1099" s="27" t="str">
        <f>IF(I1099="","",B$3&amp;"-"&amp;B$4)</f>
        <v/>
      </c>
      <c r="M1099" s="52" t="str">
        <f>IF(N(J1099)=0,"",J1099-J1098)</f>
        <v/>
      </c>
    </row>
    <row r="1100" spans="1:13" x14ac:dyDescent="0.35">
      <c r="A1100" s="48"/>
      <c r="B1100" s="48"/>
      <c r="C1100" s="50"/>
      <c r="D1100" s="50"/>
      <c r="E1100" s="51" t="str">
        <f t="shared" si="418"/>
        <v/>
      </c>
      <c r="F1100" s="68" t="str">
        <f t="shared" si="416"/>
        <v/>
      </c>
      <c r="G1100" s="69" t="str">
        <f t="shared" si="419"/>
        <v/>
      </c>
      <c r="H1100" s="70" t="str">
        <f t="shared" si="417"/>
        <v/>
      </c>
      <c r="I1100" s="27" t="str">
        <f>IF(N(J1100)=0,"",0&amp;"-"&amp;B$5)</f>
        <v/>
      </c>
      <c r="J1100" s="52" t="str">
        <f>IF(N(B$5)=0,"",IF(AND(COUNT(H1097:H1108)=2,COUNT(F1097:F1108)=2),cubic_spline(F1096:F1098,H1096:H1098,B$5),IF(AND(COUNT(H1097:H1108)=3,COUNT(F1097:F1108)=3),cubic_spline(F1096:F1099,H1096:H1099,B$5),IF(AND(COUNT(H1097:H1108)=4,COUNT(F1097:F1108)=4),cubic_spline(F1096:F1100,H1096:H1100,B$5),IF(AND(COUNT(H1097:H1108)=5,COUNT(F1097:F1108)=5),cubic_spline(F1096:F1101,H1096:H1101,B$5),IF(AND(COUNT(H1097:H1108)=6,COUNT(F1097:F1108)=6),cubic_spline(F1096:F1102,H1096:H1102,B$5),IF(AND(COUNT(H1097:H1108)=7,COUNT(F1097:F1108)=7),cubic_spline(F1096:F1103,H1096:H1103,B$5),IF(AND(COUNT(H1097:H1108)=8,COUNT(F1097:F1108)=8),cubic_spline(F1096:F1104,H1096:H1104,B$5),IF(AND(COUNT(H1097:H1108)=9,COUNT(F1097:F1108)=9),cubic_spline(F1096:F1105,H1096:H1105,B$5),IF(AND(COUNT(H1097:H1108)=10,COUNT(F1097:F1108)=10),cubic_spline(F1096:F1106,H1096:H1106,B$5),IF(AND(COUNT(H1097:H1108)=11,COUNT(F1097:F1108)=11),cubic_spline(F1096:F1107,H1096:H1107,B$5),IF(AND(COUNT(H1097:H1108)=12,COUNT(F1097:F1108)=12),cubic_spline(F1096:F1108,H1096:H1108,B$5),""))))))))))))</f>
        <v/>
      </c>
      <c r="K1100" s="52" t="str">
        <f>IF(N(B$5)=0,"",IF(AND(COUNT(A1097:A1108)=2,COUNT(F1097:F1108)=2),cubic_spline(F1096:F1098,A1096:A1098,B$5),IF(AND(COUNT(A1097:A1108)=3,COUNT(F1097:F1108)=3),cubic_spline(F1096:F1099,A1096:A1099,B$5),IF(AND(COUNT(A1097:A1108)=4,COUNT(F1097:F1108)=4),cubic_spline(F1096:F1100,A1096:A1100,B$5),IF(AND(COUNT(A1097:A1108)=5,COUNT(F1097:F1108)=5),cubic_spline(F1096:F1101,A1096:A1101,B$5),IF(AND(COUNT(A1097:A1108)=6,COUNT(F1097:F1108)=6),cubic_spline(F1096:F1102,A1096:A1102,B$5),IF(AND(COUNT(A1097:A1108)=7,COUNT(F1097:F1108)=7),cubic_spline(F1096:F1103,A1096:A1103,B$5),IF(AND(COUNT(A1097:A1108)=8,COUNT(F1097:F1108)=8),cubic_spline(F1096:F1104,A1096:A1104,B$5),IF(AND(COUNT(A1097:A1108)=9,COUNT(F1097:F1108)=9),cubic_spline(F1096:F1105,A1096:A1105,B$5),IF(AND(COUNT(A1097:A1108)=10,COUNT(F1097:F1108)=10),cubic_spline(F1096:F1106,A1096:A1106,B$5),IF(AND(COUNT(A1097:A1108)=11,COUNT(F1097:F1108)=11),cubic_spline(F1096:F1107,A1096:A1107,B$5),IF(AND(COUNT(A1097:A1108)=12,COUNT(F1097:F1108)=12),cubic_spline(F1096:F1108,A1096:A1108,B$5),""))))))))))))</f>
        <v/>
      </c>
      <c r="L1100" s="27" t="str">
        <f>IF(I1100="","",B$4&amp;"-"&amp;B$5)</f>
        <v/>
      </c>
      <c r="M1100" s="52" t="str">
        <f>IF(N(J1100)=0,"",J1100-J1099)</f>
        <v/>
      </c>
    </row>
    <row r="1101" spans="1:13" x14ac:dyDescent="0.35">
      <c r="A1101" s="48"/>
      <c r="B1101" s="48"/>
      <c r="C1101" s="50"/>
      <c r="D1101" s="50"/>
      <c r="E1101" s="51" t="str">
        <f t="shared" si="418"/>
        <v/>
      </c>
      <c r="F1101" s="71" t="str">
        <f t="shared" si="416"/>
        <v/>
      </c>
      <c r="G1101" s="69" t="str">
        <f t="shared" si="419"/>
        <v/>
      </c>
      <c r="H1101" s="70" t="str">
        <f t="shared" si="417"/>
        <v/>
      </c>
      <c r="I1101" s="27" t="str">
        <f>IF(N(J1101)=0,"",0&amp;"-"&amp;B$6)</f>
        <v/>
      </c>
      <c r="J1101" s="52" t="str">
        <f>IF(N(B$6)=0,"",IF(AND(COUNT(H1097:H1108)=2,COUNT(F1097:F1108)=2),cubic_spline(F1096:F1098,H1096:H1098,B$6),IF(AND(COUNT(H1097:H1108)=3,COUNT(F1097:F1108)=3),cubic_spline(F1096:F1099,H1096:H1099,B$6),IF(AND(COUNT(H1097:H1108)=4,COUNT(F1097:F1108)=4),cubic_spline(F1096:F1100,H1096:H1100,B$6),IF(AND(COUNT(H1097:H1108)=5,COUNT(F1097:F1108)=5),cubic_spline(F1096:F1101,H1096:H1101,B$6),IF(AND(COUNT(H1097:H1108)=6,COUNT(F1097:F1108)=6),cubic_spline(F1096:F1102,H1096:H1102,B$6),IF(AND(COUNT(H1097:H1108)=7,COUNT(F1097:F1108)=7),cubic_spline(F1096:F1103,H1096:H1103,B$6),IF(AND(COUNT(H1097:H1108)=8,COUNT(F1097:F1108)=8),cubic_spline(F1096:F1104,H1096:H1104,B$6),IF(AND(COUNT(H1097:H1108)=9,COUNT(F1097:F1108)=9),cubic_spline(F1096:F1105,H1096:H1105,B$6),IF(AND(COUNT(H1097:H1108)=10,COUNT(F1097:F1108)=10),cubic_spline(F1096:F1106,H1096:H1106,B$6),IF(AND(COUNT(H1097:H1108)=11,COUNT(F1097:F1108)=11),cubic_spline(F1096:F1107,H1096:H1107,B$6),IF(AND(COUNT(H1097:H1108)=12,COUNT(F1097:F1108)=12),cubic_spline(F1096:F1108,H1096:H1108,B$6),""))))))))))))</f>
        <v/>
      </c>
      <c r="K1101" s="52" t="str">
        <f>IF(N(B$6)=0,"",IF(AND(COUNT(A1097:A1108)=2,COUNT(F1097:F1108)=2),cubic_spline(F1096:F1098,A1096:A1098,B$6),IF(AND(COUNT(A1097:A1108)=3,COUNT(F1097:F1108)=3),cubic_spline(F1096:F1099,A1096:A1099,B$6),IF(AND(COUNT(A1097:A1108)=4,COUNT(F1097:F1108)=4),cubic_spline(F1096:F1100,A1096:A1100,B$6),IF(AND(COUNT(A1097:A1108)=5,COUNT(F1097:F1108)=5),cubic_spline(F1096:F1101,A1096:A1101,B$6),IF(AND(COUNT(A1097:A1108)=6,COUNT(F1097:F1108)=6),cubic_spline(F1096:F1102,A1096:A1102,B$6),IF(AND(COUNT(A1097:A1108)=7,COUNT(F1097:F1108)=7),cubic_spline(F1096:F1103,A1096:A1103,B$6),IF(AND(COUNT(A1097:A1108)=8,COUNT(F1097:F1108)=8),cubic_spline(F1096:F1104,A1096:A1104,B$6),IF(AND(COUNT(A1097:A1108)=9,COUNT(F1097:F1108)=9),cubic_spline(F1096:F1105,A1096:A1105,B$6),IF(AND(COUNT(A1097:A1108)=10,COUNT(F1097:F1108)=10),cubic_spline(F1096:F1106,A1096:A1106,B$6),IF(AND(COUNT(A1097:A1108)=11,COUNT(F1097:F1108)=11),cubic_spline(F1096:F1107,A1096:A1107,B$6),IF(AND(COUNT(A1097:A1108)=12,COUNT(F1097:F1108)=12),cubic_spline(F1096:F1108,A1096:A1108,B$6),""))))))))))))</f>
        <v/>
      </c>
      <c r="L1101" s="27" t="str">
        <f>IF(I1101="","",B$5&amp;"-"&amp;B$6)</f>
        <v/>
      </c>
      <c r="M1101" s="52" t="str">
        <f>IF(N(J1101)=0,"",J1101-J1100)</f>
        <v/>
      </c>
    </row>
    <row r="1102" spans="1:13" x14ac:dyDescent="0.35">
      <c r="A1102" s="48"/>
      <c r="B1102" s="48"/>
      <c r="C1102" s="50"/>
      <c r="D1102" s="50"/>
      <c r="E1102" s="51" t="str">
        <f t="shared" si="418"/>
        <v/>
      </c>
      <c r="F1102" s="71" t="str">
        <f t="shared" si="416"/>
        <v/>
      </c>
      <c r="G1102" s="69" t="str">
        <f t="shared" si="419"/>
        <v/>
      </c>
      <c r="H1102" s="70" t="str">
        <f t="shared" si="417"/>
        <v/>
      </c>
      <c r="I1102" s="27" t="str">
        <f>IF(N(J1102)=0,"",0&amp;"-"&amp;B$7)</f>
        <v/>
      </c>
      <c r="J1102" s="52" t="str">
        <f>IF(N(B$7)=0,"",IF(AND(COUNT(H1097:H1108)=2,COUNT(F1097:F1108)=2),cubic_spline(F1096:F1098,H1096:H1098,B$7),IF(AND(COUNT(H1097:H1108)=3,COUNT(F1097:F1108)=3),cubic_spline(F1096:F1099,H1096:H1099,B$7),IF(AND(COUNT(H1097:H1108)=4,COUNT(F1097:F1108)=4),cubic_spline(F1096:F1100,H1096:H1100,B$7),IF(AND(COUNT(H1097:H1108)=5,COUNT(F1097:F1108)=5),cubic_spline(F1096:F1101,H1096:H1101,B$7),IF(AND(COUNT(H1097:H1108)=6,COUNT(F1097:F1108)=6),cubic_spline(F1096:F1102,H1096:H1102,B$7),IF(AND(COUNT(H1097:H1108)=7,COUNT(F1097:F1108)=7),cubic_spline(F1096:F1103,H1096:H1103,B$7),IF(AND(COUNT(H1097:H1108)=8,COUNT(F1097:F1108)=8),cubic_spline(F1096:F1104,H1096:H1104,B$7),IF(AND(COUNT(H1097:H1108)=9,COUNT(F1097:F1108)=9),cubic_spline(F1096:F1105,H1096:H1105,B$7),IF(AND(COUNT(H1097:H1108)=10,COUNT(F1097:F1108)=10),cubic_spline(F1096:F1106,H1096:H1106,B$7),IF(AND(COUNT(H1097:H1108)=11,COUNT(F1097:F1108)=11),cubic_spline(F1096:F1107,H1096:H1107,B$7),IF(AND(COUNT(H1097:H1108)=12,COUNT(F1097:F1108)=12),cubic_spline(F1096:F1108,H1096:H1108,B$7),""))))))))))))</f>
        <v/>
      </c>
      <c r="K1102" s="52" t="str">
        <f>IF(N(B$7)=0,"",IF(AND(COUNT(A1097:A1108)=2,COUNT(F1097:F1108)=2),cubic_spline(F1096:F1098,A1096:A1098,B$7),IF(AND(COUNT(A1097:A1108)=3,COUNT(F1097:F1108)=3),cubic_spline(F1096:F1099,A1096:A1099,B$7),IF(AND(COUNT(A1097:A1108)=4,COUNT(F1097:F1108)=4),cubic_spline(F1096:F1100,A1096:A1100,B$7),IF(AND(COUNT(A1097:A1108)=5,COUNT(F1097:F1108)=5),cubic_spline(F1096:F1101,A1096:A1101,B$7),IF(AND(COUNT(A1097:A1108)=6,COUNT(F1097:F1108)=6),cubic_spline(F1096:F1102,A1096:A1102,B$7),IF(AND(COUNT(A1097:A1108)=7,COUNT(F1097:F1108)=7),cubic_spline(F1096:F1103,A1096:A1103,B$7),IF(AND(COUNT(A1097:A1108)=8,COUNT(F1097:F1108)=8),cubic_spline(F1096:F1104,A1096:A1104,B$7),IF(AND(COUNT(A1097:A1108)=9,COUNT(F1097:F1108)=9),cubic_spline(F1096:F1105,A1096:A1105,B$7),IF(AND(COUNT(A1097:A1108)=10,COUNT(F1097:F1108)=10),cubic_spline(F1096:F1106,A1096:A1106,B$7),IF(AND(COUNT(A1097:A1108)=11,COUNT(F1097:F1108)=11),cubic_spline(F1096:F1107,A1096:A1107,B$7),IF(AND(COUNT(A1097:A1108)=12,COUNT(F1097:F1108)=12),cubic_spline(F1096:F1108,A1096:A1108,B$7),""))))))))))))</f>
        <v/>
      </c>
      <c r="L1102" s="27" t="str">
        <f>IF(I1102="","",B$6&amp;"-"&amp;B$7)</f>
        <v/>
      </c>
      <c r="M1102" s="52" t="str">
        <f t="shared" ref="M1102:M1108" si="420">IF(N(J1102)=0,"",J1102-J1101)</f>
        <v/>
      </c>
    </row>
    <row r="1103" spans="1:13" x14ac:dyDescent="0.35">
      <c r="A1103" s="48"/>
      <c r="B1103" s="48"/>
      <c r="C1103" s="50"/>
      <c r="D1103" s="50"/>
      <c r="E1103" s="51" t="str">
        <f t="shared" si="418"/>
        <v/>
      </c>
      <c r="F1103" s="71" t="str">
        <f t="shared" si="416"/>
        <v/>
      </c>
      <c r="G1103" s="69" t="str">
        <f t="shared" si="419"/>
        <v/>
      </c>
      <c r="H1103" s="70" t="str">
        <f t="shared" si="417"/>
        <v/>
      </c>
      <c r="I1103" s="27" t="str">
        <f>IF(N(J1103)=0,"",0&amp;"-"&amp;B$8)</f>
        <v/>
      </c>
      <c r="J1103" s="52" t="str">
        <f>IF(N(B$8)=0,"",IF(AND(COUNT(H1097:H1108)=2,COUNT(F1097:F1108)=2),cubic_spline(F1096:F1098,H1096:H1098,B$8),IF(AND(COUNT(H1097:H1108)=3,COUNT(F1097:F1108)=3),cubic_spline(F1096:F1099,H1096:H1099,B$8),IF(AND(COUNT(H1097:H1108)=4,COUNT(F1097:F1108)=4),cubic_spline(F1096:F1100,H1096:H1100,B$8),IF(AND(COUNT(H1097:H1108)=5,COUNT(F1097:F1108)=5),cubic_spline(F1096:F1101,H1096:H1101,B$8),IF(AND(COUNT(H1097:H1108)=6,COUNT(F1097:F1108)=6),cubic_spline(F1096:F1102,H1096:H1102,B$8),IF(AND(COUNT(H1097:H1108)=7,COUNT(F1097:F1108)=7),cubic_spline(F1096:F1103,H1096:H1103,B$8),IF(AND(COUNT(H1097:H1108)=8,COUNT(F1097:F1108)=8),cubic_spline(F1096:F1104,H1096:H1104,B$8),IF(AND(COUNT(H1097:H1108)=9,COUNT(F1097:F1108)=9),cubic_spline(F1096:F1105,H1096:H1105,B$8),IF(AND(COUNT(H1097:H1108)=10,COUNT(F1097:F1108)=10),cubic_spline(F1096:F1106,H1096:H1106,B$8),IF(AND(COUNT(H1097:H1108)=11,COUNT(F1097:F1108)=11),cubic_spline(F1096:F1107,H1096:H1107,B$8),IF(AND(COUNT(H1097:H1108)=12,COUNT(F1097:F1108)=12),cubic_spline(F1096:F1108,H1096:H1108,B$8),""))))))))))))</f>
        <v/>
      </c>
      <c r="K1103" s="52" t="str">
        <f>IF(N(B$8)=0,"",IF(AND(COUNT(A1097:A1108)=2,COUNT(F1097:F1108)=2),cubic_spline(F1096:F1098,A1096:A1098,B$8),IF(AND(COUNT(A1097:A1108)=3,COUNT(F1097:F1108)=3),cubic_spline(F1096:F1099,A1096:A1099,B$8),IF(AND(COUNT(A1097:A1108)=4,COUNT(F1097:F1108)=4),cubic_spline(F1096:F1100,A1096:A1100,B$8),IF(AND(COUNT(A1097:A1108)=5,COUNT(F1097:F1108)=5),cubic_spline(F1096:F1101,A1096:A1101,B$8),IF(AND(COUNT(A1097:A1108)=6,COUNT(F1097:F1108)=6),cubic_spline(F1096:F1102,A1096:A1102,B$8),IF(AND(COUNT(A1097:A1108)=7,COUNT(F1097:F1108)=7),cubic_spline(F1096:F1103,A1096:A1103,B$8),IF(AND(COUNT(A1097:A1108)=8,COUNT(F1097:F1108)=8),cubic_spline(F1096:F1104,A1096:A1104,B$8),IF(AND(COUNT(A1097:A1108)=9,COUNT(F1097:F1108)=9),cubic_spline(F1096:F1105,A1096:A1105,B$8),IF(AND(COUNT(A1097:A1108)=10,COUNT(F1097:F1108)=10),cubic_spline(F1096:F1106,A1096:A1106,B$8),IF(AND(COUNT(A1097:A1108)=11,COUNT(F1097:F1108)=11),cubic_spline(F1096:F1107,A1096:A1107,B$8),IF(AND(COUNT(A1097:A1108)=12,COUNT(F1097:F1108)=12),cubic_spline(F1096:F1108,A1096:A1108,B$8),""))))))))))))</f>
        <v/>
      </c>
      <c r="L1103" s="27" t="str">
        <f>IF(I1103="","",B$7&amp;"-"&amp;B$8)</f>
        <v/>
      </c>
      <c r="M1103" s="52" t="str">
        <f t="shared" si="420"/>
        <v/>
      </c>
    </row>
    <row r="1104" spans="1:13" x14ac:dyDescent="0.35">
      <c r="A1104" s="48"/>
      <c r="B1104" s="48"/>
      <c r="C1104" s="50"/>
      <c r="D1104" s="50"/>
      <c r="E1104" s="51" t="str">
        <f t="shared" si="418"/>
        <v/>
      </c>
      <c r="F1104" s="71" t="str">
        <f t="shared" si="416"/>
        <v/>
      </c>
      <c r="G1104" s="69" t="str">
        <f t="shared" si="419"/>
        <v/>
      </c>
      <c r="H1104" s="70" t="str">
        <f t="shared" si="417"/>
        <v/>
      </c>
      <c r="I1104" s="27" t="str">
        <f>IF(N(J1104)=0,"",0&amp;"-"&amp;B$9)</f>
        <v/>
      </c>
      <c r="J1104" s="52" t="str">
        <f>IF(N(B$9)=0,"",IF(AND(COUNT(H1097:H1108)=2,COUNT(F1097:F1108)=2),cubic_spline(F1096:F1098,H1096:H1098,B$9),IF(AND(COUNT(H1097:H1108)=3,COUNT(F1097:F1108)=3),cubic_spline(F1096:F1099,H1096:H1099,B$9),IF(AND(COUNT(H1097:H1108)=4,COUNT(F1097:F1108)=4),cubic_spline(F1096:F1100,H1096:H1100,B$9),IF(AND(COUNT(H1097:H1108)=5,COUNT(F1097:F1108)=5),cubic_spline(F1096:F1101,H1096:H1101,B$9),IF(AND(COUNT(H1097:H1108)=6,COUNT(F1097:F1108)=6),cubic_spline(F1096:F1102,H1096:H1102,B$9),IF(AND(COUNT(H1097:H1108)=7,COUNT(F1097:F1108)=7),cubic_spline(F1096:F1103,H1096:H1103,B$9),IF(AND(COUNT(H1097:H1108)=8,COUNT(F1097:F1108)=8),cubic_spline(F1096:F1104,H1096:H1104,B$9),IF(AND(COUNT(H1097:H1108)=9,COUNT(F1097:F1108)=9),cubic_spline(F1096:F1105,H1096:H1105,B$9),IF(AND(COUNT(H1097:H1108)=10,COUNT(F1097:F1108)=10),cubic_spline(F1096:F1106,H1096:H1106,B$9),IF(AND(COUNT(H1097:H1108)=11,COUNT(F1097:F1108)=11),cubic_spline(F1096:F1107,H1096:H1107,B$9),IF(AND(COUNT(H1097:H1108)=12,COUNT(F1097:F1108)=12),cubic_spline(F1096:F1108,H1096:H1108,B$9),""))))))))))))</f>
        <v/>
      </c>
      <c r="K1104" s="52" t="str">
        <f>IF(N(B$9)=0,"",IF(AND(COUNT(A1097:A1108)=2,COUNT(F1097:F1108)=2),cubic_spline(F1096:F1098,A1096:A1098,B$9),IF(AND(COUNT(A1097:A1108)=3,COUNT(F1097:F1108)=3),cubic_spline(F1096:F1099,A1096:A1099,B$9),IF(AND(COUNT(A1097:A1108)=4,COUNT(F1097:F1108)=4),cubic_spline(F1096:F1100,A1096:A1100,B$9),IF(AND(COUNT(A1097:A1108)=5,COUNT(F1097:F1108)=5),cubic_spline(F1096:F1101,A1096:A1101,B$9),IF(AND(COUNT(A1097:A1108)=6,COUNT(F1097:F1108)=6),cubic_spline(F1096:F1102,A1096:A1102,B$9),IF(AND(COUNT(A1097:A1108)=7,COUNT(F1097:F1108)=7),cubic_spline(F1096:F1103,A1096:A1103,B$9),IF(AND(COUNT(A1097:A1108)=8,COUNT(F1097:F1108)=8),cubic_spline(F1096:F1104,A1096:A1104,B$9),IF(AND(COUNT(A1097:A1108)=9,COUNT(F1097:F1108)=9),cubic_spline(F1096:F1105,A1096:A1105,B$9),IF(AND(COUNT(A1097:A1108)=10,COUNT(F1097:F1108)=10),cubic_spline(F1096:F1106,A1096:A1106,B$9),IF(AND(COUNT(A1097:A1108)=11,COUNT(F1097:F1108)=11),cubic_spline(F1096:F1107,A1096:A1107,B$9),IF(AND(COUNT(A1097:A1108)=12,COUNT(F1097:F1108)=12),cubic_spline(F1096:F1108,A1096:A1108,B$9),""))))))))))))</f>
        <v/>
      </c>
      <c r="L1104" s="27" t="str">
        <f>IF(I1104="","",B$8&amp;"-"&amp;B$9)</f>
        <v/>
      </c>
      <c r="M1104" s="52" t="str">
        <f t="shared" si="420"/>
        <v/>
      </c>
    </row>
    <row r="1105" spans="1:13" x14ac:dyDescent="0.35">
      <c r="A1105" s="48"/>
      <c r="B1105" s="48"/>
      <c r="C1105" s="50"/>
      <c r="D1105" s="50"/>
      <c r="E1105" s="51" t="str">
        <f t="shared" si="418"/>
        <v/>
      </c>
      <c r="F1105" s="71" t="str">
        <f t="shared" si="416"/>
        <v/>
      </c>
      <c r="G1105" s="69" t="str">
        <f t="shared" si="419"/>
        <v/>
      </c>
      <c r="H1105" s="70" t="str">
        <f t="shared" si="417"/>
        <v/>
      </c>
      <c r="I1105" s="27" t="str">
        <f>IF(N(J1105)=0,"",0&amp;"-"&amp;B$10)</f>
        <v/>
      </c>
      <c r="J1105" s="52" t="str">
        <f>IF(N(B$10)=0,"",IF(AND(COUNT(H1097:H1108)=2,COUNT(F1097:F1108)=2),cubic_spline(F1096:F1098,H1096:H1098,B$10),IF(AND(COUNT(H1097:H1108)=3,COUNT(F1097:F1108)=3),cubic_spline(F1096:F1099,H1096:H1099,B$10),IF(AND(COUNT(H1097:H1108)=4,COUNT(F1097:F1108)=4),cubic_spline(F1096:F1100,H1096:H1100,B$10),IF(AND(COUNT(H1097:H1108)=5,COUNT(F1097:F1108)=5),cubic_spline(F1096:F1101,H1096:H1101,B$10),IF(AND(COUNT(H1097:H1108)=6,COUNT(F1097:F1108)=6),cubic_spline(F1096:F1102,H1096:H1102,B$10),IF(AND(COUNT(H1097:H1108)=7,COUNT(F1097:F1108)=7),cubic_spline(F1096:F1103,H1096:H1103,B$10),IF(AND(COUNT(H1097:H1108)=8,COUNT(F1097:F1108)=8),cubic_spline(F1096:F1104,H1096:H1104,B$10),IF(AND(COUNT(H1097:H1108)=9,COUNT(F1097:F1108)=9),cubic_spline(F1096:F1105,H1096:H1105,B$10),IF(AND(COUNT(H1097:H1108)=10,COUNT(F1097:F1108)=10),cubic_spline(F1096:F1106,H1096:H1106,B$10),IF(AND(COUNT(H1097:H1108)=11,COUNT(F1097:F1108)=11),cubic_spline(F1096:F1107,H1096:H1107,B$10),IF(AND(COUNT(H1097:H1108)=12,COUNT(F1097:F1108)=12),cubic_spline(F1096:F1108,H1096:H1108,B$10),""))))))))))))</f>
        <v/>
      </c>
      <c r="K1105" s="52" t="str">
        <f>IF(N(B$10)=0,"",IF(AND(COUNT(A1097:A1108)=2,COUNT(F1097:F1108)=2),cubic_spline(F1096:F1098,A1096:A1098,B$10),IF(AND(COUNT(A1097:A1108)=3,COUNT(F1097:F1108)=3),cubic_spline(F1096:F1099,A1096:A1099,B$10),IF(AND(COUNT(A1097:A1108)=4,COUNT(F1097:F1108)=4),cubic_spline(F1096:F1100,A1096:A1100,B$10),IF(AND(COUNT(A1097:A1108)=5,COUNT(F1097:F1108)=5),cubic_spline(F1096:F1101,A1096:A1101,B$10),IF(AND(COUNT(A1097:A1108)=6,COUNT(F1097:F1108)=6),cubic_spline(F1096:F1102,A1096:A1102,B$10),IF(AND(COUNT(A1097:A1108)=7,COUNT(F1097:F1108)=7),cubic_spline(F1096:F1103,A1096:A1103,B$10),IF(AND(COUNT(A1097:A1108)=8,COUNT(F1097:F1108)=8),cubic_spline(F1096:F1104,A1096:A1104,B$10),IF(AND(COUNT(A1097:A1108)=9,COUNT(F1097:F1108)=9),cubic_spline(F1096:F1105,A1096:A1105,B$10),IF(AND(COUNT(A1097:A1108)=10,COUNT(F1097:F1108)=10),cubic_spline(F1096:F1106,A1096:A1106,B$10),IF(AND(COUNT(A1097:A1108)=11,COUNT(F1097:F1108)=11),cubic_spline(F1096:F1107,A1096:A1107,B$10),IF(AND(COUNT(A1097:A1108)=12,COUNT(F1097:F1108)=12),cubic_spline(F1096:F1108,A1096:A1108,B$10),""))))))))))))</f>
        <v/>
      </c>
      <c r="L1105" s="27" t="str">
        <f>IF(I1105="","",B$9&amp;"-"&amp;B$10)</f>
        <v/>
      </c>
      <c r="M1105" s="52" t="str">
        <f t="shared" si="420"/>
        <v/>
      </c>
    </row>
    <row r="1106" spans="1:13" x14ac:dyDescent="0.35">
      <c r="A1106" s="48"/>
      <c r="B1106" s="48"/>
      <c r="C1106" s="50"/>
      <c r="D1106" s="50"/>
      <c r="E1106" s="51" t="str">
        <f t="shared" si="418"/>
        <v/>
      </c>
      <c r="F1106" s="71" t="str">
        <f t="shared" si="416"/>
        <v/>
      </c>
      <c r="G1106" s="69" t="str">
        <f t="shared" si="419"/>
        <v/>
      </c>
      <c r="H1106" s="70" t="str">
        <f t="shared" si="417"/>
        <v/>
      </c>
      <c r="I1106" s="27" t="str">
        <f>IF(N(J1106)=0,"",0&amp;"-"&amp;B$11)</f>
        <v/>
      </c>
      <c r="J1106" s="52" t="str">
        <f>IF(N(B$11)=0,"",IF(AND(COUNT(H1097:H1108)=2,COUNT(F1097:F1108)=2),cubic_spline(F1096:F1098,H1096:H1098,B$11),IF(AND(COUNT(H1097:H1108)=3,COUNT(F1097:F1108)=3),cubic_spline(F1096:F1099,H1096:H1099,B$11),IF(AND(COUNT(H1097:H1108)=4,COUNT(F1097:F1108)=4),cubic_spline(F1096:F1100,H1096:H1100,B$11),IF(AND(COUNT(H1097:H1108)=5,COUNT(F1097:F1108)=5),cubic_spline(F1096:F1101,H1096:H1101,B$11),IF(AND(COUNT(H1097:H1108)=6,COUNT(F1097:F1108)=6),cubic_spline(F1096:F1102,H1096:H1102,B$11),IF(AND(COUNT(H1097:H1108)=7,COUNT(F1097:F1108)=7),cubic_spline(F1096:F1103,H1096:H1103,B$11),IF(AND(COUNT(H1097:H1108)=8,COUNT(F1097:F1108)=8),cubic_spline(F1096:F1104,H1096:H1104,B$11),IF(AND(COUNT(H1097:H1108)=9,COUNT(F1097:F1108)=9),cubic_spline(F1096:F1105,H1096:H1105,B$11),IF(AND(COUNT(H1097:H1108)=10,COUNT(F1097:F1108)=10),cubic_spline(F1096:F1106,H1096:H1106,B$11),IF(AND(COUNT(H1097:H1108)=11,COUNT(F1097:F1108)=11),cubic_spline(F1096:F1107,H1096:H1107,B$11),IF(AND(COUNT(H1097:H1108)=12,COUNT(F1097:F1108)=12),cubic_spline(F1096:F1108,H1096:H1108,B$11),""))))))))))))</f>
        <v/>
      </c>
      <c r="K1106" s="52" t="str">
        <f>IF(N(B$11)=0,"",IF(AND(COUNT(A1097:A1108)=2,COUNT(F1097:F1108)=2),cubic_spline(F1096:F1098,A1096:A1098,B$11),IF(AND(COUNT(A1097:A1108)=3,COUNT(F1097:F1108)=3),cubic_spline(F1096:F1099,A1096:A1099,B$11),IF(AND(COUNT(A1097:A1108)=4,COUNT(F1097:F1108)=4),cubic_spline(F1096:F1100,A1096:A1100,B$11),IF(AND(COUNT(A1097:A1108)=5,COUNT(F1097:F1108)=5),cubic_spline(F1096:F1101,A1096:A1101,B$11),IF(AND(COUNT(A1097:A1108)=6,COUNT(F1097:F1108)=6),cubic_spline(F1096:F1102,A1096:A1102,B$11),IF(AND(COUNT(A1097:A1108)=7,COUNT(F1097:F1108)=7),cubic_spline(F1096:F1103,A1096:A1103,B$11),IF(AND(COUNT(A1097:A1108)=8,COUNT(F1097:F1108)=8),cubic_spline(F1096:F1104,A1096:A1104,B$11),IF(AND(COUNT(A1097:A1108)=9,COUNT(F1097:F1108)=9),cubic_spline(F1096:F1105,A1096:A1105,B$11),IF(AND(COUNT(A1097:A1108)=10,COUNT(F1097:F1108)=10),cubic_spline(F1096:F1106,A1096:A1106,B$11),IF(AND(COUNT(A1097:A1108)=11,COUNT(F1097:F1108)=11),cubic_spline(F1096:F1107,A1096:A1107,B$11),IF(AND(COUNT(A1097:A1108)=12,COUNT(F1097:F1108)=12),cubic_spline(F1096:F1108,A1096:A1108,B$11),""))))))))))))</f>
        <v/>
      </c>
      <c r="L1106" s="27" t="str">
        <f>IF(I1106="","",B$10&amp;"-"&amp;B$11)</f>
        <v/>
      </c>
      <c r="M1106" s="52" t="str">
        <f t="shared" si="420"/>
        <v/>
      </c>
    </row>
    <row r="1107" spans="1:13" x14ac:dyDescent="0.35">
      <c r="A1107" s="48"/>
      <c r="B1107" s="48"/>
      <c r="C1107" s="50"/>
      <c r="D1107" s="50"/>
      <c r="E1107" s="51" t="str">
        <f t="shared" si="418"/>
        <v/>
      </c>
      <c r="F1107" s="71" t="str">
        <f t="shared" si="416"/>
        <v/>
      </c>
      <c r="G1107" s="69" t="str">
        <f t="shared" si="419"/>
        <v/>
      </c>
      <c r="H1107" s="70" t="str">
        <f t="shared" si="417"/>
        <v/>
      </c>
      <c r="I1107" s="27" t="str">
        <f>IF(N(J1107)=0,"",0&amp;"-"&amp;B$12)</f>
        <v/>
      </c>
      <c r="J1107" s="52" t="str">
        <f>IF(N(B$12)=0,"",IF(AND(COUNT(H1097:H1108)=2,COUNT(F1097:F1108)=2),cubic_spline(F1096:F1098,H1096:H1098,B$12),IF(AND(COUNT(H1097:H1108)=3,COUNT(F1097:F1108)=3),cubic_spline(F1096:F1099,H1096:H1099,B$12),IF(AND(COUNT(H1097:H1108)=4,COUNT(F1097:F1108)=4),cubic_spline(F1096:F1100,H1096:H1100,B$12),IF(AND(COUNT(H1097:H1108)=5,COUNT(F1097:F1108)=5),cubic_spline(F1096:F1101,H1096:H1101,B$12),IF(AND(COUNT(H1097:H1108)=6,COUNT(F1097:F1108)=6),cubic_spline(F1096:F1102,H1096:H1102,B$12),IF(AND(COUNT(H1097:H1108)=7,COUNT(F1097:F1108)=7),cubic_spline(F1096:F1103,H1096:H1103,B$12),IF(AND(COUNT(H1097:H1108)=8,COUNT(F1097:F1108)=8),cubic_spline(F1096:F1104,H1096:H1104,B$12),IF(AND(COUNT(H1097:H1108)=9,COUNT(F1097:F1108)=9),cubic_spline(F1096:F1105,H1096:H1105,B$12),IF(AND(COUNT(H1097:H1108)=10,COUNT(F1097:F1108)=10),cubic_spline(F1096:F1106,H1096:H1106,B$12),IF(AND(COUNT(H1097:H1108)=11,COUNT(F1097:F1108)=11),cubic_spline(F1096:F1107,H1096:H1107,B$12),IF(AND(COUNT(H1097:H1108)=12,COUNT(F1097:F1108)=12),cubic_spline(F1096:F1108,H1096:H1108,B$12),""))))))))))))</f>
        <v/>
      </c>
      <c r="K1107" s="52" t="str">
        <f>IF(N(B$12)=0,"",IF(AND(COUNT(A1097:A1108)=2,COUNT(F1097:F1108)=2),cubic_spline(F1096:F1098,A1096:A1098,B$12),IF(AND(COUNT(A1097:A1108)=3,COUNT(F1097:F1108)=3),cubic_spline(F1096:F1099,A1096:A1099,B$12),IF(AND(COUNT(A1097:A1108)=4,COUNT(F1097:F1108)=4),cubic_spline(F1096:F1100,A1096:A1100,B$12),IF(AND(COUNT(A1097:A1108)=5,COUNT(F1097:F1108)=5),cubic_spline(F1096:F1101,A1096:A1101,B$12),IF(AND(COUNT(A1097:A1108)=6,COUNT(F1097:F1108)=6),cubic_spline(F1096:F1102,A1096:A1102,B$12),IF(AND(COUNT(A1097:A1108)=7,COUNT(F1097:F1108)=7),cubic_spline(F1096:F1103,A1096:A1103,B$12),IF(AND(COUNT(A1097:A1108)=8,COUNT(F1097:F1108)=8),cubic_spline(F1096:F1104,A1096:A1104,B$12),IF(AND(COUNT(A1097:A1108)=9,COUNT(F1097:F1108)=9),cubic_spline(F1096:F1105,A1096:A1105,B$12),IF(AND(COUNT(A1097:A1108)=10,COUNT(F1097:F1108)=10),cubic_spline(F1096:F1106,A1096:A1106,B$12),IF(AND(COUNT(A1097:A1108)=11,COUNT(F1097:F1108)=11),cubic_spline(F1096:F1107,A1096:A1107,B$12),IF(AND(COUNT(A1097:A1108)=12,COUNT(F1097:F1108)=12),cubic_spline(F1096:F1108,A1096:A1108,B$12),""))))))))))))</f>
        <v/>
      </c>
      <c r="L1107" s="27" t="str">
        <f>IF(I1107="","",B$11&amp;"-"&amp;B$12)</f>
        <v/>
      </c>
      <c r="M1107" s="52" t="str">
        <f t="shared" si="420"/>
        <v/>
      </c>
    </row>
    <row r="1108" spans="1:13" x14ac:dyDescent="0.35">
      <c r="A1108" s="48"/>
      <c r="B1108" s="48"/>
      <c r="C1108" s="50"/>
      <c r="D1108" s="50"/>
      <c r="E1108" s="51" t="str">
        <f t="shared" si="418"/>
        <v/>
      </c>
      <c r="F1108" s="71" t="str">
        <f t="shared" si="416"/>
        <v/>
      </c>
      <c r="G1108" s="69" t="str">
        <f t="shared" si="419"/>
        <v/>
      </c>
      <c r="H1108" s="70" t="str">
        <f t="shared" si="417"/>
        <v/>
      </c>
      <c r="I1108" s="27" t="str">
        <f>IF(N(J1108)=0,"",0&amp;"-"&amp;B$13)</f>
        <v/>
      </c>
      <c r="J1108" s="52" t="str">
        <f>IF(N(B$13)=0,"",IF(AND(COUNT(H1097:H1108)=2,COUNT(F1097:F1108)=2),cubic_spline(F1096:F1098,H1096:H1098,B$13),IF(AND(COUNT(H1097:H1108)=3,COUNT(F1097:F1108)=3),cubic_spline(F1096:F1099,H1096:H1099,B$13),IF(AND(COUNT(H1097:H1108)=4,COUNT(F1097:F1108)=4),cubic_spline(F1096:F1100,H1096:H1100,B$13),IF(AND(COUNT(H1097:H1108)=5,COUNT(F1097:F1108)=5),cubic_spline(F1096:F1101,H1096:H1101,B$13),IF(AND(COUNT(H1097:H1108)=6,COUNT(F1097:F1108)=6),cubic_spline(F1096:F1102,H1096:H1102,B$13),IF(AND(COUNT(H1097:H1108)=7,COUNT(F1097:F1108)=7),cubic_spline(F1096:F1103,H1096:H1103,B$13),IF(AND(COUNT(H1097:H1108)=8,COUNT(F1097:F1108)=8),cubic_spline(F1096:F1104,H1096:H1104,B$13),IF(AND(COUNT(H1097:H1108)=9,COUNT(F1097:F1108)=9),cubic_spline(F1096:F1105,H1096:H1105,B$13),IF(AND(COUNT(H1097:H1108)=10,COUNT(F1097:F1108)=10),cubic_spline(F1096:F1106,H1096:H1106,B$13),IF(AND(COUNT(H1097:H1108)=11,COUNT(F1097:F1108)=11),cubic_spline(F1096:F1107,H1096:H1107,B$13),IF(AND(COUNT(H1097:H1108)=12,COUNT(F1097:F1108)=12),cubic_spline(F1096:F1108,H1096:H1108,B$13),""))))))))))))</f>
        <v/>
      </c>
      <c r="K1108" s="52" t="str">
        <f>IF(N(B$13)=0,"",IF(AND(COUNT(A1097:A1108)=2,COUNT(F1097:F1108)=2),cubic_spline(F1096:F1098,A1096:A1098,B$13),IF(AND(COUNT(A1097:A1108)=3,COUNT(F1097:F1108)=3),cubic_spline(F1096:F1099,A1096:A1099,B$13),IF(AND(COUNT(A1097:A1108)=4,COUNT(F1097:F1108)=4),cubic_spline(F1096:F1100,A1096:A1100,B$13),IF(AND(COUNT(A1097:A1108)=5,COUNT(F1097:F1108)=5),cubic_spline(F1096:F1101,A1096:A1101,B$13),IF(AND(COUNT(A1097:A1108)=6,COUNT(F1097:F1108)=6),cubic_spline(F1096:F1102,A1096:A1102,B$13),IF(AND(COUNT(A1097:A1108)=7,COUNT(F1097:F1108)=7),cubic_spline(F1096:F1103,A1096:A1103,B$13),IF(AND(COUNT(A1097:A1108)=8,COUNT(F1097:F1108)=8),cubic_spline(F1096:F1104,A1096:A1104,B$13),IF(AND(COUNT(A1097:A1108)=9,COUNT(F1097:F1108)=9),cubic_spline(F1096:F1105,A1096:A1105,B$13),IF(AND(COUNT(A1097:A1108)=10,COUNT(F1097:F1108)=10),cubic_spline(F1096:F1106,A1096:A1106,B$13),IF(AND(COUNT(A1097:A1108)=11,COUNT(F1097:F1108)=11),cubic_spline(F1096:F1107,A1096:A1107,B$13),IF(AND(COUNT(A1097:A1108)=12,COUNT(F1097:F1108)=12),cubic_spline(F1096:F1108,A1096:A1108,B$13),""))))))))))))</f>
        <v/>
      </c>
      <c r="L1108" s="27" t="str">
        <f>IF(I1108="","",B$12&amp;"-"&amp;B$13)</f>
        <v/>
      </c>
      <c r="M1108" s="52" t="str">
        <f t="shared" si="420"/>
        <v/>
      </c>
    </row>
    <row r="1109" spans="1:13" ht="5.15" customHeight="1" x14ac:dyDescent="0.35">
      <c r="A1109" s="47"/>
      <c r="B1109" s="47"/>
      <c r="C1109" s="53"/>
      <c r="D1109" s="53"/>
      <c r="E1109" s="54"/>
      <c r="F1109" s="55"/>
      <c r="G1109" s="72"/>
      <c r="H1109" s="73"/>
      <c r="I1109" s="47"/>
      <c r="J1109" s="57"/>
      <c r="K1109" s="57"/>
      <c r="L1109" s="55"/>
      <c r="M1109" s="57"/>
    </row>
    <row r="1110" spans="1:13" x14ac:dyDescent="0.35">
      <c r="A1110" s="48"/>
      <c r="B1110" s="48"/>
      <c r="C1110" s="50"/>
      <c r="D1110" s="50"/>
      <c r="E1110" s="51" t="str">
        <f>IF(N(C1110)=0,"",(A1110-A1109)*C1110*100)</f>
        <v/>
      </c>
      <c r="F1110" s="68" t="str">
        <f t="shared" ref="F1110:F1121" si="421">IF(N(E1110)=0,"",(N(E1110)+N(F1109)))</f>
        <v/>
      </c>
      <c r="G1110" s="69" t="str">
        <f>IF(OR(N(D1110)=0,N(E1110)=0),"",(E1110*D1110)/1000)</f>
        <v/>
      </c>
      <c r="H1110" s="70" t="str">
        <f t="shared" ref="H1110:H1121" si="422">IF(N(G1110)=0,"",(N(G1110)+N(H1109)))</f>
        <v/>
      </c>
      <c r="I1110" s="27" t="str">
        <f>IF(N(J1110)=0,"",0&amp;"-"&amp;B$2)</f>
        <v/>
      </c>
      <c r="J1110" s="52" t="str">
        <f>IF(N(B$2)=0,"",IF(AND(COUNT(H1110:H1121)=2,COUNT(F1110:F1121)=2),cubic_spline(F1109:F1111,H1109:H1111,B$2),IF(AND(COUNT(H1110:H1121)=3,COUNT(F1110:F1121)=3),cubic_spline(F1109:F1112,H1109:H1112,B$2),IF(AND(COUNT(H1110:H1121)=4,COUNT(F1110:F1121)=4),cubic_spline(F1109:F1113,H1109:H1113,B$2),IF(AND(COUNT(H1110:H1121)=5,COUNT(F1110:F1121)=5),cubic_spline(F1109:F1114,H1109:H1114,B$2),IF(AND(COUNT(H1110:H1121)=6,COUNT(F1110:F1121)=6),cubic_spline(F1109:F1115,H1109:H1115,B$2),IF(AND(COUNT(H1110:H1121)=7,COUNT(F1110:F1121)=7),cubic_spline(F1109:F1116,H1109:H1116,B$2),IF(AND(COUNT(H1110:H1121)=8,COUNT(F1110:F1121)=8),cubic_spline(F1109:F1117,H1109:H1117,B$2),IF(AND(COUNT(H1110:H1121)=9,COUNT(F1110:F1121)=9),cubic_spline(F1109:F1118,H1109:H1118,B$2),IF(AND(COUNT(H1110:H1121)=10,COUNT(F1110:F1121)=10),cubic_spline(F1109:F1119,H1109:H1119,B$2),IF(AND(COUNT(H1110:H1121)=11,COUNT(F1110:F1121)=11),cubic_spline(F1109:F1120,H1109:H1120,B$2),IF(AND(COUNT(H1110:H1121)=12,COUNT(F1110:F1121)=12),cubic_spline(F1109:F1121,H1109:H1121,B$2),""))))))))))))</f>
        <v/>
      </c>
      <c r="K1110" s="52" t="str">
        <f>IF(N(B$2)=0,"",IF(AND(COUNT(A1110:A1121)=2,COUNT(F1110:F1121)=2),cubic_spline(F1109:F1111,A1109:A1111,B$2),IF(AND(COUNT(A1110:A1121)=3,COUNT(F1110:F1121)=3),cubic_spline(F1109:F1112,A1109:A1112,B$2),IF(AND(COUNT(A1110:A1121)=4,COUNT(F1110:F1121)=4),cubic_spline(F1109:F1113,A1109:A1113,B$2),IF(AND(COUNT(A1110:A1121)=5,COUNT(F1110:F1121)=5),cubic_spline(F1109:F1114,A1109:A1114,B$2),IF(AND(COUNT(A1110:A1121)=6,COUNT(F1110:F1121)=6),cubic_spline(F1109:F1115,A1109:A1115,B$2),IF(AND(COUNT(A1110:A1121)=7,COUNT(F1110:F1121)=7),cubic_spline(F1109:F1116,A1109:A1116,B$2),IF(AND(COUNT(A1110:A1121)=8,COUNT(F1110:F1121)=8),cubic_spline(F1109:F1117,A1109:A1117,B$2),IF(AND(COUNT(A1110:A1121)=9,COUNT(F1110:F1121)=9),cubic_spline(F1109:F1118,A1109:A1118,B$2),IF(AND(COUNT(A1110:A1121)=10,COUNT(F1110:F1121)=10),cubic_spline(F1109:F1119,A1109:A1119,B$2),IF(AND(COUNT(A1110:A1121)=11,COUNT(F1110:F1121)=11),cubic_spline(F1109:F1120,A1109:A1120,B$2),IF(AND(COUNT(A1110:A1121)=12,COUNT(F1110:F1121)=12),cubic_spline(F1109:F1121,A1109:A1121,B$2),""))))))))))))</f>
        <v/>
      </c>
      <c r="L1110" s="27" t="str">
        <f>IF(I1110="","",0&amp;"-"&amp;B$2)</f>
        <v/>
      </c>
      <c r="M1110" s="52" t="str">
        <f>IF(N(J1110)=0,"",J1110-J1109)</f>
        <v/>
      </c>
    </row>
    <row r="1111" spans="1:13" x14ac:dyDescent="0.35">
      <c r="A1111" s="48"/>
      <c r="B1111" s="48"/>
      <c r="C1111" s="50"/>
      <c r="D1111" s="50"/>
      <c r="E1111" s="51" t="str">
        <f t="shared" ref="E1111:E1121" si="423">IF(N(C1111)=0,"",(A1111-A1110)*C1111*100)</f>
        <v/>
      </c>
      <c r="F1111" s="68" t="str">
        <f t="shared" si="421"/>
        <v/>
      </c>
      <c r="G1111" s="69" t="str">
        <f t="shared" ref="G1111:G1121" si="424">IF(OR(N(D1111)=0,N(E1111)=0),"",(E1111*D1111)/1000)</f>
        <v/>
      </c>
      <c r="H1111" s="70" t="str">
        <f t="shared" si="422"/>
        <v/>
      </c>
      <c r="I1111" s="27" t="str">
        <f>IF(N(J1111)=0,"",0&amp;"-"&amp;B$3)</f>
        <v/>
      </c>
      <c r="J1111" s="52" t="str">
        <f>IF(N(B$3)=0,"",IF(AND(COUNT(H1110:H1121)=2,COUNT(F1110:F1121)=2),cubic_spline(F1109:F1111,H1109:H1111,B$3),IF(AND(COUNT(H1110:H1121)=3,COUNT(F1110:F1121)=3),cubic_spline(F1109:F1112,H1109:H1112,B$3),IF(AND(COUNT(H1110:H1121)=4,COUNT(F1110:F1121)=4),cubic_spline(F1109:F1113,H1109:H1113,B$3),IF(AND(COUNT(H1110:H1121)=5,COUNT(F1110:F1121)=5),cubic_spline(F1109:F1114,H1109:H1114,B$3),IF(AND(COUNT(H1110:H1121)=6,COUNT(F1110:F1121)=6),cubic_spline(F1109:F1115,H1109:H1115,B$3),IF(AND(COUNT(H1110:H1121)=7,COUNT(F1110:F1121)=7),cubic_spline(F1109:F1116,H1109:H1116,B$3),IF(AND(COUNT(H1110:H1121)=8,COUNT(F1110:F1121)=8),cubic_spline(F1109:F1117,H1109:H1117,B$3),IF(AND(COUNT(H1110:H1121)=9,COUNT(F1110:F1121)=9),cubic_spline(F1109:F1118,H1109:H1118,B$3),IF(AND(COUNT(H1110:H1121)=10,COUNT(F1110:F1121)=10),cubic_spline(F1109:F1119,H1109:H1119,B$3),IF(AND(COUNT(H1110:H1121)=11,COUNT(F1110:F1121)=11),cubic_spline(F1109:F1120,H1109:H1120,B$3),IF(AND(COUNT(H1110:H1121)=12,COUNT(F1110:F1121)=12),cubic_spline(F1109:F1121,H1109:H1121,B$3),""))))))))))))</f>
        <v/>
      </c>
      <c r="K1111" s="52" t="str">
        <f>IF(N(B$3)=0,"",IF(AND(COUNT(A1110:A1121)=2,COUNT(F1110:F1121)=2),cubic_spline(F1109:F1111,A1109:A1111,B$3),IF(AND(COUNT(A1110:A1121)=3,COUNT(F1110:F1121)=3),cubic_spline(F1109:F1112,A1109:A1112,B$3),IF(AND(COUNT(A1110:A1121)=4,COUNT(F1110:F1121)=4),cubic_spline(F1109:F1113,A1109:A1113,B$3),IF(AND(COUNT(A1110:A1121)=5,COUNT(F1110:F1121)=5),cubic_spline(F1109:F1114,A1109:A1114,B$3),IF(AND(COUNT(A1110:A1121)=6,COUNT(F1110:F1121)=6),cubic_spline(F1109:F1115,A1109:A1115,B$3),IF(AND(COUNT(A1110:A1121)=7,COUNT(F1110:F1121)=7),cubic_spline(F1109:F1116,A1109:A1116,B$3),IF(AND(COUNT(A1110:A1121)=8,COUNT(F1110:F1121)=8),cubic_spline(F1109:F1117,A1109:A1117,B$3),IF(AND(COUNT(A1110:A1121)=9,COUNT(F1110:F1121)=9),cubic_spline(F1109:F1118,A1109:A1118,B$3),IF(AND(COUNT(A1110:A1121)=10,COUNT(F1110:F1121)=10),cubic_spline(F1109:F1119,A1109:A1119,B$3),IF(AND(COUNT(A1110:A1121)=11,COUNT(F1110:F1121)=11),cubic_spline(F1109:F1120,A1109:A1120,B$3),IF(AND(COUNT(A1110:A1121)=12,COUNT(F1110:F1121)=12),cubic_spline(F1109:F1121,A1109:A1121,B$3),""))))))))))))</f>
        <v/>
      </c>
      <c r="L1111" s="27" t="str">
        <f>IF(I1111="","",B$2&amp;"-"&amp;B$3)</f>
        <v/>
      </c>
      <c r="M1111" s="52" t="str">
        <f>IF(N(J1111)=0,"",J1111-J1110)</f>
        <v/>
      </c>
    </row>
    <row r="1112" spans="1:13" x14ac:dyDescent="0.35">
      <c r="A1112" s="48"/>
      <c r="B1112" s="48"/>
      <c r="C1112" s="50"/>
      <c r="D1112" s="50"/>
      <c r="E1112" s="51" t="str">
        <f t="shared" si="423"/>
        <v/>
      </c>
      <c r="F1112" s="68" t="str">
        <f t="shared" si="421"/>
        <v/>
      </c>
      <c r="G1112" s="69" t="str">
        <f t="shared" si="424"/>
        <v/>
      </c>
      <c r="H1112" s="70" t="str">
        <f t="shared" si="422"/>
        <v/>
      </c>
      <c r="I1112" s="27" t="str">
        <f>IF(N(J1112)=0,"",0&amp;"-"&amp;B$4)</f>
        <v/>
      </c>
      <c r="J1112" s="52" t="str">
        <f>IF(N(B$4)=0,"",IF(AND(COUNT(H1110:H1121)=2,COUNT(F1110:F1121)=2),cubic_spline(F1109:F1111,H1109:H1111,B$4),IF(AND(COUNT(H1110:H1121)=3,COUNT(F1110:F1121)=3),cubic_spline(F1109:F1112,H1109:H1112,B$4),IF(AND(COUNT(H1110:H1121)=4,COUNT(F1110:F1121)=4),cubic_spline(F1109:F1113,H1109:H1113,B$4),IF(AND(COUNT(H1110:H1121)=5,COUNT(F1110:F1121)=5),cubic_spline(F1109:F1114,H1109:H1114,B$4),IF(AND(COUNT(H1110:H1121)=6,COUNT(F1110:F1121)=6),cubic_spline(F1109:F1115,H1109:H1115,B$4),IF(AND(COUNT(H1110:H1121)=7,COUNT(F1110:F1121)=7),cubic_spline(F1109:F1116,H1109:H1116,B$4),IF(AND(COUNT(H1110:H1121)=8,COUNT(F1110:F1121)=8),cubic_spline(F1109:F1117,H1109:H1117,B$4),IF(AND(COUNT(H1110:H1121)=9,COUNT(F1110:F1121)=9),cubic_spline(F1109:F1118,H1109:H1118,B$4),IF(AND(COUNT(H1110:H1121)=10,COUNT(F1110:F1121)=10),cubic_spline(F1109:F1119,H1109:H1119,B$4),IF(AND(COUNT(H1110:H1121)=11,COUNT(F1110:F1121)=11),cubic_spline(F1109:F1120,H1109:H1120,B$4),IF(AND(COUNT(H1110:H1121)=12,COUNT(F1110:F1121)=12),cubic_spline(F1109:F1121,H1109:H1121,B$4),""))))))))))))</f>
        <v/>
      </c>
      <c r="K1112" s="52" t="str">
        <f>IF(N(B$4)=0,"",IF(AND(COUNT(A1110:A1121)=2,COUNT(F1110:F1121)=2),cubic_spline(F1109:F1111,A1109:A1111,B$4),IF(AND(COUNT(A1110:A1121)=3,COUNT(F1110:F1121)=3),cubic_spline(F1109:F1112,A1109:A1112,B$4),IF(AND(COUNT(A1110:A1121)=4,COUNT(F1110:F1121)=4),cubic_spline(F1109:F1113,A1109:A1113,B$4),IF(AND(COUNT(A1110:A1121)=5,COUNT(F1110:F1121)=5),cubic_spline(F1109:F1114,A1109:A1114,B$4),IF(AND(COUNT(A1110:A1121)=6,COUNT(F1110:F1121)=6),cubic_spline(F1109:F1115,A1109:A1115,B$4),IF(AND(COUNT(A1110:A1121)=7,COUNT(F1110:F1121)=7),cubic_spline(F1109:F1116,A1109:A1116,B$4),IF(AND(COUNT(A1110:A1121)=8,COUNT(F1110:F1121)=8),cubic_spline(F1109:F1117,A1109:A1117,B$4),IF(AND(COUNT(A1110:A1121)=9,COUNT(F1110:F1121)=9),cubic_spline(F1109:F1118,A1109:A1118,B$4),IF(AND(COUNT(A1110:A1121)=10,COUNT(F1110:F1121)=10),cubic_spline(F1109:F1119,A1109:A1119,B$4),IF(AND(COUNT(A1110:A1121)=11,COUNT(F1110:F1121)=11),cubic_spline(F1109:F1120,A1109:A1120,B$4),IF(AND(COUNT(A1110:A1121)=12,COUNT(F1110:F1121)=12),cubic_spline(F1109:F1121,A1109:A1121,B$4),""))))))))))))</f>
        <v/>
      </c>
      <c r="L1112" s="27" t="str">
        <f>IF(I1112="","",B$3&amp;"-"&amp;B$4)</f>
        <v/>
      </c>
      <c r="M1112" s="52" t="str">
        <f>IF(N(J1112)=0,"",J1112-J1111)</f>
        <v/>
      </c>
    </row>
    <row r="1113" spans="1:13" x14ac:dyDescent="0.35">
      <c r="A1113" s="48"/>
      <c r="B1113" s="48"/>
      <c r="C1113" s="50"/>
      <c r="D1113" s="50"/>
      <c r="E1113" s="51" t="str">
        <f t="shared" si="423"/>
        <v/>
      </c>
      <c r="F1113" s="68" t="str">
        <f t="shared" si="421"/>
        <v/>
      </c>
      <c r="G1113" s="69" t="str">
        <f t="shared" si="424"/>
        <v/>
      </c>
      <c r="H1113" s="70" t="str">
        <f t="shared" si="422"/>
        <v/>
      </c>
      <c r="I1113" s="27" t="str">
        <f>IF(N(J1113)=0,"",0&amp;"-"&amp;B$5)</f>
        <v/>
      </c>
      <c r="J1113" s="52" t="str">
        <f>IF(N(B$5)=0,"",IF(AND(COUNT(H1110:H1121)=2,COUNT(F1110:F1121)=2),cubic_spline(F1109:F1111,H1109:H1111,B$5),IF(AND(COUNT(H1110:H1121)=3,COUNT(F1110:F1121)=3),cubic_spline(F1109:F1112,H1109:H1112,B$5),IF(AND(COUNT(H1110:H1121)=4,COUNT(F1110:F1121)=4),cubic_spline(F1109:F1113,H1109:H1113,B$5),IF(AND(COUNT(H1110:H1121)=5,COUNT(F1110:F1121)=5),cubic_spline(F1109:F1114,H1109:H1114,B$5),IF(AND(COUNT(H1110:H1121)=6,COUNT(F1110:F1121)=6),cubic_spline(F1109:F1115,H1109:H1115,B$5),IF(AND(COUNT(H1110:H1121)=7,COUNT(F1110:F1121)=7),cubic_spline(F1109:F1116,H1109:H1116,B$5),IF(AND(COUNT(H1110:H1121)=8,COUNT(F1110:F1121)=8),cubic_spline(F1109:F1117,H1109:H1117,B$5),IF(AND(COUNT(H1110:H1121)=9,COUNT(F1110:F1121)=9),cubic_spline(F1109:F1118,H1109:H1118,B$5),IF(AND(COUNT(H1110:H1121)=10,COUNT(F1110:F1121)=10),cubic_spline(F1109:F1119,H1109:H1119,B$5),IF(AND(COUNT(H1110:H1121)=11,COUNT(F1110:F1121)=11),cubic_spline(F1109:F1120,H1109:H1120,B$5),IF(AND(COUNT(H1110:H1121)=12,COUNT(F1110:F1121)=12),cubic_spline(F1109:F1121,H1109:H1121,B$5),""))))))))))))</f>
        <v/>
      </c>
      <c r="K1113" s="52" t="str">
        <f>IF(N(B$5)=0,"",IF(AND(COUNT(A1110:A1121)=2,COUNT(F1110:F1121)=2),cubic_spline(F1109:F1111,A1109:A1111,B$5),IF(AND(COUNT(A1110:A1121)=3,COUNT(F1110:F1121)=3),cubic_spline(F1109:F1112,A1109:A1112,B$5),IF(AND(COUNT(A1110:A1121)=4,COUNT(F1110:F1121)=4),cubic_spline(F1109:F1113,A1109:A1113,B$5),IF(AND(COUNT(A1110:A1121)=5,COUNT(F1110:F1121)=5),cubic_spline(F1109:F1114,A1109:A1114,B$5),IF(AND(COUNT(A1110:A1121)=6,COUNT(F1110:F1121)=6),cubic_spline(F1109:F1115,A1109:A1115,B$5),IF(AND(COUNT(A1110:A1121)=7,COUNT(F1110:F1121)=7),cubic_spline(F1109:F1116,A1109:A1116,B$5),IF(AND(COUNT(A1110:A1121)=8,COUNT(F1110:F1121)=8),cubic_spline(F1109:F1117,A1109:A1117,B$5),IF(AND(COUNT(A1110:A1121)=9,COUNT(F1110:F1121)=9),cubic_spline(F1109:F1118,A1109:A1118,B$5),IF(AND(COUNT(A1110:A1121)=10,COUNT(F1110:F1121)=10),cubic_spline(F1109:F1119,A1109:A1119,B$5),IF(AND(COUNT(A1110:A1121)=11,COUNT(F1110:F1121)=11),cubic_spline(F1109:F1120,A1109:A1120,B$5),IF(AND(COUNT(A1110:A1121)=12,COUNT(F1110:F1121)=12),cubic_spline(F1109:F1121,A1109:A1121,B$5),""))))))))))))</f>
        <v/>
      </c>
      <c r="L1113" s="27" t="str">
        <f>IF(I1113="","",B$4&amp;"-"&amp;B$5)</f>
        <v/>
      </c>
      <c r="M1113" s="52" t="str">
        <f>IF(N(J1113)=0,"",J1113-J1112)</f>
        <v/>
      </c>
    </row>
    <row r="1114" spans="1:13" x14ac:dyDescent="0.35">
      <c r="A1114" s="48"/>
      <c r="B1114" s="48"/>
      <c r="C1114" s="50"/>
      <c r="D1114" s="50"/>
      <c r="E1114" s="51" t="str">
        <f t="shared" si="423"/>
        <v/>
      </c>
      <c r="F1114" s="71" t="str">
        <f t="shared" si="421"/>
        <v/>
      </c>
      <c r="G1114" s="69" t="str">
        <f t="shared" si="424"/>
        <v/>
      </c>
      <c r="H1114" s="70" t="str">
        <f t="shared" si="422"/>
        <v/>
      </c>
      <c r="I1114" s="27" t="str">
        <f>IF(N(J1114)=0,"",0&amp;"-"&amp;B$6)</f>
        <v/>
      </c>
      <c r="J1114" s="52" t="str">
        <f>IF(N(B$6)=0,"",IF(AND(COUNT(H1110:H1121)=2,COUNT(F1110:F1121)=2),cubic_spline(F1109:F1111,H1109:H1111,B$6),IF(AND(COUNT(H1110:H1121)=3,COUNT(F1110:F1121)=3),cubic_spline(F1109:F1112,H1109:H1112,B$6),IF(AND(COUNT(H1110:H1121)=4,COUNT(F1110:F1121)=4),cubic_spline(F1109:F1113,H1109:H1113,B$6),IF(AND(COUNT(H1110:H1121)=5,COUNT(F1110:F1121)=5),cubic_spline(F1109:F1114,H1109:H1114,B$6),IF(AND(COUNT(H1110:H1121)=6,COUNT(F1110:F1121)=6),cubic_spline(F1109:F1115,H1109:H1115,B$6),IF(AND(COUNT(H1110:H1121)=7,COUNT(F1110:F1121)=7),cubic_spline(F1109:F1116,H1109:H1116,B$6),IF(AND(COUNT(H1110:H1121)=8,COUNT(F1110:F1121)=8),cubic_spline(F1109:F1117,H1109:H1117,B$6),IF(AND(COUNT(H1110:H1121)=9,COUNT(F1110:F1121)=9),cubic_spline(F1109:F1118,H1109:H1118,B$6),IF(AND(COUNT(H1110:H1121)=10,COUNT(F1110:F1121)=10),cubic_spline(F1109:F1119,H1109:H1119,B$6),IF(AND(COUNT(H1110:H1121)=11,COUNT(F1110:F1121)=11),cubic_spline(F1109:F1120,H1109:H1120,B$6),IF(AND(COUNT(H1110:H1121)=12,COUNT(F1110:F1121)=12),cubic_spline(F1109:F1121,H1109:H1121,B$6),""))))))))))))</f>
        <v/>
      </c>
      <c r="K1114" s="52" t="str">
        <f>IF(N(B$6)=0,"",IF(AND(COUNT(A1110:A1121)=2,COUNT(F1110:F1121)=2),cubic_spline(F1109:F1111,A1109:A1111,B$6),IF(AND(COUNT(A1110:A1121)=3,COUNT(F1110:F1121)=3),cubic_spline(F1109:F1112,A1109:A1112,B$6),IF(AND(COUNT(A1110:A1121)=4,COUNT(F1110:F1121)=4),cubic_spline(F1109:F1113,A1109:A1113,B$6),IF(AND(COUNT(A1110:A1121)=5,COUNT(F1110:F1121)=5),cubic_spline(F1109:F1114,A1109:A1114,B$6),IF(AND(COUNT(A1110:A1121)=6,COUNT(F1110:F1121)=6),cubic_spline(F1109:F1115,A1109:A1115,B$6),IF(AND(COUNT(A1110:A1121)=7,COUNT(F1110:F1121)=7),cubic_spline(F1109:F1116,A1109:A1116,B$6),IF(AND(COUNT(A1110:A1121)=8,COUNT(F1110:F1121)=8),cubic_spline(F1109:F1117,A1109:A1117,B$6),IF(AND(COUNT(A1110:A1121)=9,COUNT(F1110:F1121)=9),cubic_spline(F1109:F1118,A1109:A1118,B$6),IF(AND(COUNT(A1110:A1121)=10,COUNT(F1110:F1121)=10),cubic_spline(F1109:F1119,A1109:A1119,B$6),IF(AND(COUNT(A1110:A1121)=11,COUNT(F1110:F1121)=11),cubic_spline(F1109:F1120,A1109:A1120,B$6),IF(AND(COUNT(A1110:A1121)=12,COUNT(F1110:F1121)=12),cubic_spline(F1109:F1121,A1109:A1121,B$6),""))))))))))))</f>
        <v/>
      </c>
      <c r="L1114" s="27" t="str">
        <f>IF(I1114="","",B$5&amp;"-"&amp;B$6)</f>
        <v/>
      </c>
      <c r="M1114" s="52" t="str">
        <f>IF(N(J1114)=0,"",J1114-J1113)</f>
        <v/>
      </c>
    </row>
    <row r="1115" spans="1:13" x14ac:dyDescent="0.35">
      <c r="A1115" s="48"/>
      <c r="B1115" s="48"/>
      <c r="C1115" s="50"/>
      <c r="D1115" s="50"/>
      <c r="E1115" s="51" t="str">
        <f t="shared" si="423"/>
        <v/>
      </c>
      <c r="F1115" s="71" t="str">
        <f t="shared" si="421"/>
        <v/>
      </c>
      <c r="G1115" s="69" t="str">
        <f t="shared" si="424"/>
        <v/>
      </c>
      <c r="H1115" s="70" t="str">
        <f t="shared" si="422"/>
        <v/>
      </c>
      <c r="I1115" s="27" t="str">
        <f>IF(N(J1115)=0,"",0&amp;"-"&amp;B$7)</f>
        <v/>
      </c>
      <c r="J1115" s="52" t="str">
        <f>IF(N(B$7)=0,"",IF(AND(COUNT(H1110:H1121)=2,COUNT(F1110:F1121)=2),cubic_spline(F1109:F1111,H1109:H1111,B$7),IF(AND(COUNT(H1110:H1121)=3,COUNT(F1110:F1121)=3),cubic_spline(F1109:F1112,H1109:H1112,B$7),IF(AND(COUNT(H1110:H1121)=4,COUNT(F1110:F1121)=4),cubic_spline(F1109:F1113,H1109:H1113,B$7),IF(AND(COUNT(H1110:H1121)=5,COUNT(F1110:F1121)=5),cubic_spline(F1109:F1114,H1109:H1114,B$7),IF(AND(COUNT(H1110:H1121)=6,COUNT(F1110:F1121)=6),cubic_spline(F1109:F1115,H1109:H1115,B$7),IF(AND(COUNT(H1110:H1121)=7,COUNT(F1110:F1121)=7),cubic_spline(F1109:F1116,H1109:H1116,B$7),IF(AND(COUNT(H1110:H1121)=8,COUNT(F1110:F1121)=8),cubic_spline(F1109:F1117,H1109:H1117,B$7),IF(AND(COUNT(H1110:H1121)=9,COUNT(F1110:F1121)=9),cubic_spline(F1109:F1118,H1109:H1118,B$7),IF(AND(COUNT(H1110:H1121)=10,COUNT(F1110:F1121)=10),cubic_spline(F1109:F1119,H1109:H1119,B$7),IF(AND(COUNT(H1110:H1121)=11,COUNT(F1110:F1121)=11),cubic_spline(F1109:F1120,H1109:H1120,B$7),IF(AND(COUNT(H1110:H1121)=12,COUNT(F1110:F1121)=12),cubic_spline(F1109:F1121,H1109:H1121,B$7),""))))))))))))</f>
        <v/>
      </c>
      <c r="K1115" s="52" t="str">
        <f>IF(N(B$7)=0,"",IF(AND(COUNT(A1110:A1121)=2,COUNT(F1110:F1121)=2),cubic_spline(F1109:F1111,A1109:A1111,B$7),IF(AND(COUNT(A1110:A1121)=3,COUNT(F1110:F1121)=3),cubic_spline(F1109:F1112,A1109:A1112,B$7),IF(AND(COUNT(A1110:A1121)=4,COUNT(F1110:F1121)=4),cubic_spline(F1109:F1113,A1109:A1113,B$7),IF(AND(COUNT(A1110:A1121)=5,COUNT(F1110:F1121)=5),cubic_spline(F1109:F1114,A1109:A1114,B$7),IF(AND(COUNT(A1110:A1121)=6,COUNT(F1110:F1121)=6),cubic_spline(F1109:F1115,A1109:A1115,B$7),IF(AND(COUNT(A1110:A1121)=7,COUNT(F1110:F1121)=7),cubic_spline(F1109:F1116,A1109:A1116,B$7),IF(AND(COUNT(A1110:A1121)=8,COUNT(F1110:F1121)=8),cubic_spline(F1109:F1117,A1109:A1117,B$7),IF(AND(COUNT(A1110:A1121)=9,COUNT(F1110:F1121)=9),cubic_spline(F1109:F1118,A1109:A1118,B$7),IF(AND(COUNT(A1110:A1121)=10,COUNT(F1110:F1121)=10),cubic_spline(F1109:F1119,A1109:A1119,B$7),IF(AND(COUNT(A1110:A1121)=11,COUNT(F1110:F1121)=11),cubic_spline(F1109:F1120,A1109:A1120,B$7),IF(AND(COUNT(A1110:A1121)=12,COUNT(F1110:F1121)=12),cubic_spline(F1109:F1121,A1109:A1121,B$7),""))))))))))))</f>
        <v/>
      </c>
      <c r="L1115" s="27" t="str">
        <f>IF(I1115="","",B$6&amp;"-"&amp;B$7)</f>
        <v/>
      </c>
      <c r="M1115" s="52" t="str">
        <f t="shared" ref="M1115:M1121" si="425">IF(N(J1115)=0,"",J1115-J1114)</f>
        <v/>
      </c>
    </row>
    <row r="1116" spans="1:13" x14ac:dyDescent="0.35">
      <c r="A1116" s="48"/>
      <c r="B1116" s="48"/>
      <c r="C1116" s="50"/>
      <c r="D1116" s="50"/>
      <c r="E1116" s="51" t="str">
        <f t="shared" si="423"/>
        <v/>
      </c>
      <c r="F1116" s="71" t="str">
        <f t="shared" si="421"/>
        <v/>
      </c>
      <c r="G1116" s="69" t="str">
        <f t="shared" si="424"/>
        <v/>
      </c>
      <c r="H1116" s="70" t="str">
        <f t="shared" si="422"/>
        <v/>
      </c>
      <c r="I1116" s="27" t="str">
        <f>IF(N(J1116)=0,"",0&amp;"-"&amp;B$8)</f>
        <v/>
      </c>
      <c r="J1116" s="52" t="str">
        <f>IF(N(B$8)=0,"",IF(AND(COUNT(H1110:H1121)=2,COUNT(F1110:F1121)=2),cubic_spline(F1109:F1111,H1109:H1111,B$8),IF(AND(COUNT(H1110:H1121)=3,COUNT(F1110:F1121)=3),cubic_spline(F1109:F1112,H1109:H1112,B$8),IF(AND(COUNT(H1110:H1121)=4,COUNT(F1110:F1121)=4),cubic_spline(F1109:F1113,H1109:H1113,B$8),IF(AND(COUNT(H1110:H1121)=5,COUNT(F1110:F1121)=5),cubic_spline(F1109:F1114,H1109:H1114,B$8),IF(AND(COUNT(H1110:H1121)=6,COUNT(F1110:F1121)=6),cubic_spline(F1109:F1115,H1109:H1115,B$8),IF(AND(COUNT(H1110:H1121)=7,COUNT(F1110:F1121)=7),cubic_spline(F1109:F1116,H1109:H1116,B$8),IF(AND(COUNT(H1110:H1121)=8,COUNT(F1110:F1121)=8),cubic_spline(F1109:F1117,H1109:H1117,B$8),IF(AND(COUNT(H1110:H1121)=9,COUNT(F1110:F1121)=9),cubic_spline(F1109:F1118,H1109:H1118,B$8),IF(AND(COUNT(H1110:H1121)=10,COUNT(F1110:F1121)=10),cubic_spline(F1109:F1119,H1109:H1119,B$8),IF(AND(COUNT(H1110:H1121)=11,COUNT(F1110:F1121)=11),cubic_spline(F1109:F1120,H1109:H1120,B$8),IF(AND(COUNT(H1110:H1121)=12,COUNT(F1110:F1121)=12),cubic_spline(F1109:F1121,H1109:H1121,B$8),""))))))))))))</f>
        <v/>
      </c>
      <c r="K1116" s="52" t="str">
        <f>IF(N(B$8)=0,"",IF(AND(COUNT(A1110:A1121)=2,COUNT(F1110:F1121)=2),cubic_spline(F1109:F1111,A1109:A1111,B$8),IF(AND(COUNT(A1110:A1121)=3,COUNT(F1110:F1121)=3),cubic_spline(F1109:F1112,A1109:A1112,B$8),IF(AND(COUNT(A1110:A1121)=4,COUNT(F1110:F1121)=4),cubic_spline(F1109:F1113,A1109:A1113,B$8),IF(AND(COUNT(A1110:A1121)=5,COUNT(F1110:F1121)=5),cubic_spline(F1109:F1114,A1109:A1114,B$8),IF(AND(COUNT(A1110:A1121)=6,COUNT(F1110:F1121)=6),cubic_spline(F1109:F1115,A1109:A1115,B$8),IF(AND(COUNT(A1110:A1121)=7,COUNT(F1110:F1121)=7),cubic_spline(F1109:F1116,A1109:A1116,B$8),IF(AND(COUNT(A1110:A1121)=8,COUNT(F1110:F1121)=8),cubic_spline(F1109:F1117,A1109:A1117,B$8),IF(AND(COUNT(A1110:A1121)=9,COUNT(F1110:F1121)=9),cubic_spline(F1109:F1118,A1109:A1118,B$8),IF(AND(COUNT(A1110:A1121)=10,COUNT(F1110:F1121)=10),cubic_spline(F1109:F1119,A1109:A1119,B$8),IF(AND(COUNT(A1110:A1121)=11,COUNT(F1110:F1121)=11),cubic_spline(F1109:F1120,A1109:A1120,B$8),IF(AND(COUNT(A1110:A1121)=12,COUNT(F1110:F1121)=12),cubic_spline(F1109:F1121,A1109:A1121,B$8),""))))))))))))</f>
        <v/>
      </c>
      <c r="L1116" s="27" t="str">
        <f>IF(I1116="","",B$7&amp;"-"&amp;B$8)</f>
        <v/>
      </c>
      <c r="M1116" s="52" t="str">
        <f t="shared" si="425"/>
        <v/>
      </c>
    </row>
    <row r="1117" spans="1:13" x14ac:dyDescent="0.35">
      <c r="A1117" s="48"/>
      <c r="B1117" s="48"/>
      <c r="C1117" s="50"/>
      <c r="D1117" s="50"/>
      <c r="E1117" s="51" t="str">
        <f t="shared" si="423"/>
        <v/>
      </c>
      <c r="F1117" s="71" t="str">
        <f t="shared" si="421"/>
        <v/>
      </c>
      <c r="G1117" s="69" t="str">
        <f t="shared" si="424"/>
        <v/>
      </c>
      <c r="H1117" s="70" t="str">
        <f t="shared" si="422"/>
        <v/>
      </c>
      <c r="I1117" s="27" t="str">
        <f>IF(N(J1117)=0,"",0&amp;"-"&amp;B$9)</f>
        <v/>
      </c>
      <c r="J1117" s="52" t="str">
        <f>IF(N(B$9)=0,"",IF(AND(COUNT(H1110:H1121)=2,COUNT(F1110:F1121)=2),cubic_spline(F1109:F1111,H1109:H1111,B$9),IF(AND(COUNT(H1110:H1121)=3,COUNT(F1110:F1121)=3),cubic_spline(F1109:F1112,H1109:H1112,B$9),IF(AND(COUNT(H1110:H1121)=4,COUNT(F1110:F1121)=4),cubic_spline(F1109:F1113,H1109:H1113,B$9),IF(AND(COUNT(H1110:H1121)=5,COUNT(F1110:F1121)=5),cubic_spline(F1109:F1114,H1109:H1114,B$9),IF(AND(COUNT(H1110:H1121)=6,COUNT(F1110:F1121)=6),cubic_spline(F1109:F1115,H1109:H1115,B$9),IF(AND(COUNT(H1110:H1121)=7,COUNT(F1110:F1121)=7),cubic_spline(F1109:F1116,H1109:H1116,B$9),IF(AND(COUNT(H1110:H1121)=8,COUNT(F1110:F1121)=8),cubic_spline(F1109:F1117,H1109:H1117,B$9),IF(AND(COUNT(H1110:H1121)=9,COUNT(F1110:F1121)=9),cubic_spline(F1109:F1118,H1109:H1118,B$9),IF(AND(COUNT(H1110:H1121)=10,COUNT(F1110:F1121)=10),cubic_spline(F1109:F1119,H1109:H1119,B$9),IF(AND(COUNT(H1110:H1121)=11,COUNT(F1110:F1121)=11),cubic_spline(F1109:F1120,H1109:H1120,B$9),IF(AND(COUNT(H1110:H1121)=12,COUNT(F1110:F1121)=12),cubic_spline(F1109:F1121,H1109:H1121,B$9),""))))))))))))</f>
        <v/>
      </c>
      <c r="K1117" s="52" t="str">
        <f>IF(N(B$9)=0,"",IF(AND(COUNT(A1110:A1121)=2,COUNT(F1110:F1121)=2),cubic_spline(F1109:F1111,A1109:A1111,B$9),IF(AND(COUNT(A1110:A1121)=3,COUNT(F1110:F1121)=3),cubic_spline(F1109:F1112,A1109:A1112,B$9),IF(AND(COUNT(A1110:A1121)=4,COUNT(F1110:F1121)=4),cubic_spline(F1109:F1113,A1109:A1113,B$9),IF(AND(COUNT(A1110:A1121)=5,COUNT(F1110:F1121)=5),cubic_spline(F1109:F1114,A1109:A1114,B$9),IF(AND(COUNT(A1110:A1121)=6,COUNT(F1110:F1121)=6),cubic_spline(F1109:F1115,A1109:A1115,B$9),IF(AND(COUNT(A1110:A1121)=7,COUNT(F1110:F1121)=7),cubic_spline(F1109:F1116,A1109:A1116,B$9),IF(AND(COUNT(A1110:A1121)=8,COUNT(F1110:F1121)=8),cubic_spline(F1109:F1117,A1109:A1117,B$9),IF(AND(COUNT(A1110:A1121)=9,COUNT(F1110:F1121)=9),cubic_spline(F1109:F1118,A1109:A1118,B$9),IF(AND(COUNT(A1110:A1121)=10,COUNT(F1110:F1121)=10),cubic_spline(F1109:F1119,A1109:A1119,B$9),IF(AND(COUNT(A1110:A1121)=11,COUNT(F1110:F1121)=11),cubic_spline(F1109:F1120,A1109:A1120,B$9),IF(AND(COUNT(A1110:A1121)=12,COUNT(F1110:F1121)=12),cubic_spline(F1109:F1121,A1109:A1121,B$9),""))))))))))))</f>
        <v/>
      </c>
      <c r="L1117" s="27" t="str">
        <f>IF(I1117="","",B$8&amp;"-"&amp;B$9)</f>
        <v/>
      </c>
      <c r="M1117" s="52" t="str">
        <f t="shared" si="425"/>
        <v/>
      </c>
    </row>
    <row r="1118" spans="1:13" x14ac:dyDescent="0.35">
      <c r="A1118" s="48"/>
      <c r="B1118" s="48"/>
      <c r="C1118" s="50"/>
      <c r="D1118" s="50"/>
      <c r="E1118" s="51" t="str">
        <f t="shared" si="423"/>
        <v/>
      </c>
      <c r="F1118" s="71" t="str">
        <f t="shared" si="421"/>
        <v/>
      </c>
      <c r="G1118" s="69" t="str">
        <f t="shared" si="424"/>
        <v/>
      </c>
      <c r="H1118" s="70" t="str">
        <f t="shared" si="422"/>
        <v/>
      </c>
      <c r="I1118" s="27" t="str">
        <f>IF(N(J1118)=0,"",0&amp;"-"&amp;B$10)</f>
        <v/>
      </c>
      <c r="J1118" s="52" t="str">
        <f>IF(N(B$10)=0,"",IF(AND(COUNT(H1110:H1121)=2,COUNT(F1110:F1121)=2),cubic_spline(F1109:F1111,H1109:H1111,B$10),IF(AND(COUNT(H1110:H1121)=3,COUNT(F1110:F1121)=3),cubic_spline(F1109:F1112,H1109:H1112,B$10),IF(AND(COUNT(H1110:H1121)=4,COUNT(F1110:F1121)=4),cubic_spline(F1109:F1113,H1109:H1113,B$10),IF(AND(COUNT(H1110:H1121)=5,COUNT(F1110:F1121)=5),cubic_spline(F1109:F1114,H1109:H1114,B$10),IF(AND(COUNT(H1110:H1121)=6,COUNT(F1110:F1121)=6),cubic_spline(F1109:F1115,H1109:H1115,B$10),IF(AND(COUNT(H1110:H1121)=7,COUNT(F1110:F1121)=7),cubic_spline(F1109:F1116,H1109:H1116,B$10),IF(AND(COUNT(H1110:H1121)=8,COUNT(F1110:F1121)=8),cubic_spline(F1109:F1117,H1109:H1117,B$10),IF(AND(COUNT(H1110:H1121)=9,COUNT(F1110:F1121)=9),cubic_spline(F1109:F1118,H1109:H1118,B$10),IF(AND(COUNT(H1110:H1121)=10,COUNT(F1110:F1121)=10),cubic_spline(F1109:F1119,H1109:H1119,B$10),IF(AND(COUNT(H1110:H1121)=11,COUNT(F1110:F1121)=11),cubic_spline(F1109:F1120,H1109:H1120,B$10),IF(AND(COUNT(H1110:H1121)=12,COUNT(F1110:F1121)=12),cubic_spline(F1109:F1121,H1109:H1121,B$10),""))))))))))))</f>
        <v/>
      </c>
      <c r="K1118" s="52" t="str">
        <f>IF(N(B$10)=0,"",IF(AND(COUNT(A1110:A1121)=2,COUNT(F1110:F1121)=2),cubic_spline(F1109:F1111,A1109:A1111,B$10),IF(AND(COUNT(A1110:A1121)=3,COUNT(F1110:F1121)=3),cubic_spline(F1109:F1112,A1109:A1112,B$10),IF(AND(COUNT(A1110:A1121)=4,COUNT(F1110:F1121)=4),cubic_spline(F1109:F1113,A1109:A1113,B$10),IF(AND(COUNT(A1110:A1121)=5,COUNT(F1110:F1121)=5),cubic_spline(F1109:F1114,A1109:A1114,B$10),IF(AND(COUNT(A1110:A1121)=6,COUNT(F1110:F1121)=6),cubic_spline(F1109:F1115,A1109:A1115,B$10),IF(AND(COUNT(A1110:A1121)=7,COUNT(F1110:F1121)=7),cubic_spline(F1109:F1116,A1109:A1116,B$10),IF(AND(COUNT(A1110:A1121)=8,COUNT(F1110:F1121)=8),cubic_spline(F1109:F1117,A1109:A1117,B$10),IF(AND(COUNT(A1110:A1121)=9,COUNT(F1110:F1121)=9),cubic_spline(F1109:F1118,A1109:A1118,B$10),IF(AND(COUNT(A1110:A1121)=10,COUNT(F1110:F1121)=10),cubic_spline(F1109:F1119,A1109:A1119,B$10),IF(AND(COUNT(A1110:A1121)=11,COUNT(F1110:F1121)=11),cubic_spline(F1109:F1120,A1109:A1120,B$10),IF(AND(COUNT(A1110:A1121)=12,COUNT(F1110:F1121)=12),cubic_spline(F1109:F1121,A1109:A1121,B$10),""))))))))))))</f>
        <v/>
      </c>
      <c r="L1118" s="27" t="str">
        <f>IF(I1118="","",B$9&amp;"-"&amp;B$10)</f>
        <v/>
      </c>
      <c r="M1118" s="52" t="str">
        <f t="shared" si="425"/>
        <v/>
      </c>
    </row>
    <row r="1119" spans="1:13" x14ac:dyDescent="0.35">
      <c r="A1119" s="48"/>
      <c r="B1119" s="48"/>
      <c r="C1119" s="50"/>
      <c r="D1119" s="50"/>
      <c r="E1119" s="51" t="str">
        <f t="shared" si="423"/>
        <v/>
      </c>
      <c r="F1119" s="71" t="str">
        <f t="shared" si="421"/>
        <v/>
      </c>
      <c r="G1119" s="69" t="str">
        <f t="shared" si="424"/>
        <v/>
      </c>
      <c r="H1119" s="70" t="str">
        <f t="shared" si="422"/>
        <v/>
      </c>
      <c r="I1119" s="27" t="str">
        <f>IF(N(J1119)=0,"",0&amp;"-"&amp;B$11)</f>
        <v/>
      </c>
      <c r="J1119" s="52" t="str">
        <f>IF(N(B$11)=0,"",IF(AND(COUNT(H1110:H1121)=2,COUNT(F1110:F1121)=2),cubic_spline(F1109:F1111,H1109:H1111,B$11),IF(AND(COUNT(H1110:H1121)=3,COUNT(F1110:F1121)=3),cubic_spline(F1109:F1112,H1109:H1112,B$11),IF(AND(COUNT(H1110:H1121)=4,COUNT(F1110:F1121)=4),cubic_spline(F1109:F1113,H1109:H1113,B$11),IF(AND(COUNT(H1110:H1121)=5,COUNT(F1110:F1121)=5),cubic_spline(F1109:F1114,H1109:H1114,B$11),IF(AND(COUNT(H1110:H1121)=6,COUNT(F1110:F1121)=6),cubic_spline(F1109:F1115,H1109:H1115,B$11),IF(AND(COUNT(H1110:H1121)=7,COUNT(F1110:F1121)=7),cubic_spline(F1109:F1116,H1109:H1116,B$11),IF(AND(COUNT(H1110:H1121)=8,COUNT(F1110:F1121)=8),cubic_spline(F1109:F1117,H1109:H1117,B$11),IF(AND(COUNT(H1110:H1121)=9,COUNT(F1110:F1121)=9),cubic_spline(F1109:F1118,H1109:H1118,B$11),IF(AND(COUNT(H1110:H1121)=10,COUNT(F1110:F1121)=10),cubic_spline(F1109:F1119,H1109:H1119,B$11),IF(AND(COUNT(H1110:H1121)=11,COUNT(F1110:F1121)=11),cubic_spline(F1109:F1120,H1109:H1120,B$11),IF(AND(COUNT(H1110:H1121)=12,COUNT(F1110:F1121)=12),cubic_spline(F1109:F1121,H1109:H1121,B$11),""))))))))))))</f>
        <v/>
      </c>
      <c r="K1119" s="52" t="str">
        <f>IF(N(B$11)=0,"",IF(AND(COUNT(A1110:A1121)=2,COUNT(F1110:F1121)=2),cubic_spline(F1109:F1111,A1109:A1111,B$11),IF(AND(COUNT(A1110:A1121)=3,COUNT(F1110:F1121)=3),cubic_spline(F1109:F1112,A1109:A1112,B$11),IF(AND(COUNT(A1110:A1121)=4,COUNT(F1110:F1121)=4),cubic_spline(F1109:F1113,A1109:A1113,B$11),IF(AND(COUNT(A1110:A1121)=5,COUNT(F1110:F1121)=5),cubic_spline(F1109:F1114,A1109:A1114,B$11),IF(AND(COUNT(A1110:A1121)=6,COUNT(F1110:F1121)=6),cubic_spline(F1109:F1115,A1109:A1115,B$11),IF(AND(COUNT(A1110:A1121)=7,COUNT(F1110:F1121)=7),cubic_spline(F1109:F1116,A1109:A1116,B$11),IF(AND(COUNT(A1110:A1121)=8,COUNT(F1110:F1121)=8),cubic_spline(F1109:F1117,A1109:A1117,B$11),IF(AND(COUNT(A1110:A1121)=9,COUNT(F1110:F1121)=9),cubic_spline(F1109:F1118,A1109:A1118,B$11),IF(AND(COUNT(A1110:A1121)=10,COUNT(F1110:F1121)=10),cubic_spline(F1109:F1119,A1109:A1119,B$11),IF(AND(COUNT(A1110:A1121)=11,COUNT(F1110:F1121)=11),cubic_spline(F1109:F1120,A1109:A1120,B$11),IF(AND(COUNT(A1110:A1121)=12,COUNT(F1110:F1121)=12),cubic_spline(F1109:F1121,A1109:A1121,B$11),""))))))))))))</f>
        <v/>
      </c>
      <c r="L1119" s="27" t="str">
        <f>IF(I1119="","",B$10&amp;"-"&amp;B$11)</f>
        <v/>
      </c>
      <c r="M1119" s="52" t="str">
        <f t="shared" si="425"/>
        <v/>
      </c>
    </row>
    <row r="1120" spans="1:13" x14ac:dyDescent="0.35">
      <c r="A1120" s="48"/>
      <c r="B1120" s="48"/>
      <c r="C1120" s="50"/>
      <c r="D1120" s="50"/>
      <c r="E1120" s="51" t="str">
        <f t="shared" si="423"/>
        <v/>
      </c>
      <c r="F1120" s="71" t="str">
        <f t="shared" si="421"/>
        <v/>
      </c>
      <c r="G1120" s="69" t="str">
        <f t="shared" si="424"/>
        <v/>
      </c>
      <c r="H1120" s="70" t="str">
        <f t="shared" si="422"/>
        <v/>
      </c>
      <c r="I1120" s="27" t="str">
        <f>IF(N(J1120)=0,"",0&amp;"-"&amp;B$12)</f>
        <v/>
      </c>
      <c r="J1120" s="52" t="str">
        <f>IF(N(B$12)=0,"",IF(AND(COUNT(H1110:H1121)=2,COUNT(F1110:F1121)=2),cubic_spline(F1109:F1111,H1109:H1111,B$12),IF(AND(COUNT(H1110:H1121)=3,COUNT(F1110:F1121)=3),cubic_spline(F1109:F1112,H1109:H1112,B$12),IF(AND(COUNT(H1110:H1121)=4,COUNT(F1110:F1121)=4),cubic_spline(F1109:F1113,H1109:H1113,B$12),IF(AND(COUNT(H1110:H1121)=5,COUNT(F1110:F1121)=5),cubic_spline(F1109:F1114,H1109:H1114,B$12),IF(AND(COUNT(H1110:H1121)=6,COUNT(F1110:F1121)=6),cubic_spline(F1109:F1115,H1109:H1115,B$12),IF(AND(COUNT(H1110:H1121)=7,COUNT(F1110:F1121)=7),cubic_spline(F1109:F1116,H1109:H1116,B$12),IF(AND(COUNT(H1110:H1121)=8,COUNT(F1110:F1121)=8),cubic_spline(F1109:F1117,H1109:H1117,B$12),IF(AND(COUNT(H1110:H1121)=9,COUNT(F1110:F1121)=9),cubic_spline(F1109:F1118,H1109:H1118,B$12),IF(AND(COUNT(H1110:H1121)=10,COUNT(F1110:F1121)=10),cubic_spline(F1109:F1119,H1109:H1119,B$12),IF(AND(COUNT(H1110:H1121)=11,COUNT(F1110:F1121)=11),cubic_spline(F1109:F1120,H1109:H1120,B$12),IF(AND(COUNT(H1110:H1121)=12,COUNT(F1110:F1121)=12),cubic_spline(F1109:F1121,H1109:H1121,B$12),""))))))))))))</f>
        <v/>
      </c>
      <c r="K1120" s="52" t="str">
        <f>IF(N(B$12)=0,"",IF(AND(COUNT(A1110:A1121)=2,COUNT(F1110:F1121)=2),cubic_spline(F1109:F1111,A1109:A1111,B$12),IF(AND(COUNT(A1110:A1121)=3,COUNT(F1110:F1121)=3),cubic_spline(F1109:F1112,A1109:A1112,B$12),IF(AND(COUNT(A1110:A1121)=4,COUNT(F1110:F1121)=4),cubic_spline(F1109:F1113,A1109:A1113,B$12),IF(AND(COUNT(A1110:A1121)=5,COUNT(F1110:F1121)=5),cubic_spline(F1109:F1114,A1109:A1114,B$12),IF(AND(COUNT(A1110:A1121)=6,COUNT(F1110:F1121)=6),cubic_spline(F1109:F1115,A1109:A1115,B$12),IF(AND(COUNT(A1110:A1121)=7,COUNT(F1110:F1121)=7),cubic_spline(F1109:F1116,A1109:A1116,B$12),IF(AND(COUNT(A1110:A1121)=8,COUNT(F1110:F1121)=8),cubic_spline(F1109:F1117,A1109:A1117,B$12),IF(AND(COUNT(A1110:A1121)=9,COUNT(F1110:F1121)=9),cubic_spline(F1109:F1118,A1109:A1118,B$12),IF(AND(COUNT(A1110:A1121)=10,COUNT(F1110:F1121)=10),cubic_spline(F1109:F1119,A1109:A1119,B$12),IF(AND(COUNT(A1110:A1121)=11,COUNT(F1110:F1121)=11),cubic_spline(F1109:F1120,A1109:A1120,B$12),IF(AND(COUNT(A1110:A1121)=12,COUNT(F1110:F1121)=12),cubic_spline(F1109:F1121,A1109:A1121,B$12),""))))))))))))</f>
        <v/>
      </c>
      <c r="L1120" s="27" t="str">
        <f>IF(I1120="","",B$11&amp;"-"&amp;B$12)</f>
        <v/>
      </c>
      <c r="M1120" s="52" t="str">
        <f t="shared" si="425"/>
        <v/>
      </c>
    </row>
    <row r="1121" spans="1:13" x14ac:dyDescent="0.35">
      <c r="A1121" s="48"/>
      <c r="B1121" s="48"/>
      <c r="C1121" s="50"/>
      <c r="D1121" s="50"/>
      <c r="E1121" s="51" t="str">
        <f t="shared" si="423"/>
        <v/>
      </c>
      <c r="F1121" s="71" t="str">
        <f t="shared" si="421"/>
        <v/>
      </c>
      <c r="G1121" s="69" t="str">
        <f t="shared" si="424"/>
        <v/>
      </c>
      <c r="H1121" s="70" t="str">
        <f t="shared" si="422"/>
        <v/>
      </c>
      <c r="I1121" s="27" t="str">
        <f>IF(N(J1121)=0,"",0&amp;"-"&amp;B$13)</f>
        <v/>
      </c>
      <c r="J1121" s="52" t="str">
        <f>IF(N(B$13)=0,"",IF(AND(COUNT(H1110:H1121)=2,COUNT(F1110:F1121)=2),cubic_spline(F1109:F1111,H1109:H1111,B$13),IF(AND(COUNT(H1110:H1121)=3,COUNT(F1110:F1121)=3),cubic_spline(F1109:F1112,H1109:H1112,B$13),IF(AND(COUNT(H1110:H1121)=4,COUNT(F1110:F1121)=4),cubic_spline(F1109:F1113,H1109:H1113,B$13),IF(AND(COUNT(H1110:H1121)=5,COUNT(F1110:F1121)=5),cubic_spline(F1109:F1114,H1109:H1114,B$13),IF(AND(COUNT(H1110:H1121)=6,COUNT(F1110:F1121)=6),cubic_spline(F1109:F1115,H1109:H1115,B$13),IF(AND(COUNT(H1110:H1121)=7,COUNT(F1110:F1121)=7),cubic_spline(F1109:F1116,H1109:H1116,B$13),IF(AND(COUNT(H1110:H1121)=8,COUNT(F1110:F1121)=8),cubic_spline(F1109:F1117,H1109:H1117,B$13),IF(AND(COUNT(H1110:H1121)=9,COUNT(F1110:F1121)=9),cubic_spline(F1109:F1118,H1109:H1118,B$13),IF(AND(COUNT(H1110:H1121)=10,COUNT(F1110:F1121)=10),cubic_spline(F1109:F1119,H1109:H1119,B$13),IF(AND(COUNT(H1110:H1121)=11,COUNT(F1110:F1121)=11),cubic_spline(F1109:F1120,H1109:H1120,B$13),IF(AND(COUNT(H1110:H1121)=12,COUNT(F1110:F1121)=12),cubic_spline(F1109:F1121,H1109:H1121,B$13),""))))))))))))</f>
        <v/>
      </c>
      <c r="K1121" s="52" t="str">
        <f>IF(N(B$13)=0,"",IF(AND(COUNT(A1110:A1121)=2,COUNT(F1110:F1121)=2),cubic_spline(F1109:F1111,A1109:A1111,B$13),IF(AND(COUNT(A1110:A1121)=3,COUNT(F1110:F1121)=3),cubic_spline(F1109:F1112,A1109:A1112,B$13),IF(AND(COUNT(A1110:A1121)=4,COUNT(F1110:F1121)=4),cubic_spline(F1109:F1113,A1109:A1113,B$13),IF(AND(COUNT(A1110:A1121)=5,COUNT(F1110:F1121)=5),cubic_spline(F1109:F1114,A1109:A1114,B$13),IF(AND(COUNT(A1110:A1121)=6,COUNT(F1110:F1121)=6),cubic_spline(F1109:F1115,A1109:A1115,B$13),IF(AND(COUNT(A1110:A1121)=7,COUNT(F1110:F1121)=7),cubic_spline(F1109:F1116,A1109:A1116,B$13),IF(AND(COUNT(A1110:A1121)=8,COUNT(F1110:F1121)=8),cubic_spline(F1109:F1117,A1109:A1117,B$13),IF(AND(COUNT(A1110:A1121)=9,COUNT(F1110:F1121)=9),cubic_spline(F1109:F1118,A1109:A1118,B$13),IF(AND(COUNT(A1110:A1121)=10,COUNT(F1110:F1121)=10),cubic_spline(F1109:F1119,A1109:A1119,B$13),IF(AND(COUNT(A1110:A1121)=11,COUNT(F1110:F1121)=11),cubic_spline(F1109:F1120,A1109:A1120,B$13),IF(AND(COUNT(A1110:A1121)=12,COUNT(F1110:F1121)=12),cubic_spline(F1109:F1121,A1109:A1121,B$13),""))))))))))))</f>
        <v/>
      </c>
      <c r="L1121" s="27" t="str">
        <f>IF(I1121="","",B$12&amp;"-"&amp;B$13)</f>
        <v/>
      </c>
      <c r="M1121" s="52" t="str">
        <f t="shared" si="425"/>
        <v/>
      </c>
    </row>
    <row r="1122" spans="1:13" ht="5.15" customHeight="1" x14ac:dyDescent="0.35">
      <c r="A1122" s="47"/>
      <c r="B1122" s="47"/>
      <c r="C1122" s="53"/>
      <c r="D1122" s="53"/>
      <c r="E1122" s="54"/>
      <c r="F1122" s="55"/>
      <c r="G1122" s="72"/>
      <c r="H1122" s="73"/>
      <c r="I1122" s="47"/>
      <c r="J1122" s="57"/>
      <c r="K1122" s="57"/>
      <c r="L1122" s="55"/>
      <c r="M1122" s="57"/>
    </row>
    <row r="1123" spans="1:13" x14ac:dyDescent="0.35">
      <c r="A1123" s="48"/>
      <c r="B1123" s="48"/>
      <c r="C1123" s="50"/>
      <c r="D1123" s="50"/>
      <c r="E1123" s="51" t="str">
        <f>IF(N(C1123)=0,"",(A1123-A1122)*C1123*100)</f>
        <v/>
      </c>
      <c r="F1123" s="68" t="str">
        <f t="shared" ref="F1123:F1134" si="426">IF(N(E1123)=0,"",(N(E1123)+N(F1122)))</f>
        <v/>
      </c>
      <c r="G1123" s="69" t="str">
        <f>IF(OR(N(D1123)=0,N(E1123)=0),"",(E1123*D1123)/1000)</f>
        <v/>
      </c>
      <c r="H1123" s="70" t="str">
        <f t="shared" ref="H1123:H1134" si="427">IF(N(G1123)=0,"",(N(G1123)+N(H1122)))</f>
        <v/>
      </c>
      <c r="I1123" s="27" t="str">
        <f>IF(N(J1123)=0,"",0&amp;"-"&amp;B$2)</f>
        <v/>
      </c>
      <c r="J1123" s="52" t="str">
        <f>IF(N(B$2)=0,"",IF(AND(COUNT(H1123:H1134)=2,COUNT(F1123:F1134)=2),cubic_spline(F1122:F1124,H1122:H1124,B$2),IF(AND(COUNT(H1123:H1134)=3,COUNT(F1123:F1134)=3),cubic_spline(F1122:F1125,H1122:H1125,B$2),IF(AND(COUNT(H1123:H1134)=4,COUNT(F1123:F1134)=4),cubic_spline(F1122:F1126,H1122:H1126,B$2),IF(AND(COUNT(H1123:H1134)=5,COUNT(F1123:F1134)=5),cubic_spline(F1122:F1127,H1122:H1127,B$2),IF(AND(COUNT(H1123:H1134)=6,COUNT(F1123:F1134)=6),cubic_spline(F1122:F1128,H1122:H1128,B$2),IF(AND(COUNT(H1123:H1134)=7,COUNT(F1123:F1134)=7),cubic_spline(F1122:F1129,H1122:H1129,B$2),IF(AND(COUNT(H1123:H1134)=8,COUNT(F1123:F1134)=8),cubic_spline(F1122:F1130,H1122:H1130,B$2),IF(AND(COUNT(H1123:H1134)=9,COUNT(F1123:F1134)=9),cubic_spline(F1122:F1131,H1122:H1131,B$2),IF(AND(COUNT(H1123:H1134)=10,COUNT(F1123:F1134)=10),cubic_spline(F1122:F1132,H1122:H1132,B$2),IF(AND(COUNT(H1123:H1134)=11,COUNT(F1123:F1134)=11),cubic_spline(F1122:F1133,H1122:H1133,B$2),IF(AND(COUNT(H1123:H1134)=12,COUNT(F1123:F1134)=12),cubic_spline(F1122:F1134,H1122:H1134,B$2),""))))))))))))</f>
        <v/>
      </c>
      <c r="K1123" s="52" t="str">
        <f>IF(N(B$2)=0,"",IF(AND(COUNT(A1123:A1134)=2,COUNT(F1123:F1134)=2),cubic_spline(F1122:F1124,A1122:A1124,B$2),IF(AND(COUNT(A1123:A1134)=3,COUNT(F1123:F1134)=3),cubic_spline(F1122:F1125,A1122:A1125,B$2),IF(AND(COUNT(A1123:A1134)=4,COUNT(F1123:F1134)=4),cubic_spline(F1122:F1126,A1122:A1126,B$2),IF(AND(COUNT(A1123:A1134)=5,COUNT(F1123:F1134)=5),cubic_spline(F1122:F1127,A1122:A1127,B$2),IF(AND(COUNT(A1123:A1134)=6,COUNT(F1123:F1134)=6),cubic_spline(F1122:F1128,A1122:A1128,B$2),IF(AND(COUNT(A1123:A1134)=7,COUNT(F1123:F1134)=7),cubic_spline(F1122:F1129,A1122:A1129,B$2),IF(AND(COUNT(A1123:A1134)=8,COUNT(F1123:F1134)=8),cubic_spline(F1122:F1130,A1122:A1130,B$2),IF(AND(COUNT(A1123:A1134)=9,COUNT(F1123:F1134)=9),cubic_spline(F1122:F1131,A1122:A1131,B$2),IF(AND(COUNT(A1123:A1134)=10,COUNT(F1123:F1134)=10),cubic_spline(F1122:F1132,A1122:A1132,B$2),IF(AND(COUNT(A1123:A1134)=11,COUNT(F1123:F1134)=11),cubic_spline(F1122:F1133,A1122:A1133,B$2),IF(AND(COUNT(A1123:A1134)=12,COUNT(F1123:F1134)=12),cubic_spline(F1122:F1134,A1122:A1134,B$2),""))))))))))))</f>
        <v/>
      </c>
      <c r="L1123" s="27" t="str">
        <f>IF(I1123="","",0&amp;"-"&amp;B$2)</f>
        <v/>
      </c>
      <c r="M1123" s="52" t="str">
        <f>IF(N(J1123)=0,"",J1123-J1122)</f>
        <v/>
      </c>
    </row>
    <row r="1124" spans="1:13" x14ac:dyDescent="0.35">
      <c r="A1124" s="48"/>
      <c r="B1124" s="48"/>
      <c r="C1124" s="50"/>
      <c r="D1124" s="50"/>
      <c r="E1124" s="51" t="str">
        <f t="shared" ref="E1124:E1134" si="428">IF(N(C1124)=0,"",(A1124-A1123)*C1124*100)</f>
        <v/>
      </c>
      <c r="F1124" s="68" t="str">
        <f t="shared" si="426"/>
        <v/>
      </c>
      <c r="G1124" s="69" t="str">
        <f t="shared" ref="G1124:G1134" si="429">IF(OR(N(D1124)=0,N(E1124)=0),"",(E1124*D1124)/1000)</f>
        <v/>
      </c>
      <c r="H1124" s="70" t="str">
        <f t="shared" si="427"/>
        <v/>
      </c>
      <c r="I1124" s="27" t="str">
        <f>IF(N(J1124)=0,"",0&amp;"-"&amp;B$3)</f>
        <v/>
      </c>
      <c r="J1124" s="52" t="str">
        <f>IF(N(B$3)=0,"",IF(AND(COUNT(H1123:H1134)=2,COUNT(F1123:F1134)=2),cubic_spline(F1122:F1124,H1122:H1124,B$3),IF(AND(COUNT(H1123:H1134)=3,COUNT(F1123:F1134)=3),cubic_spline(F1122:F1125,H1122:H1125,B$3),IF(AND(COUNT(H1123:H1134)=4,COUNT(F1123:F1134)=4),cubic_spline(F1122:F1126,H1122:H1126,B$3),IF(AND(COUNT(H1123:H1134)=5,COUNT(F1123:F1134)=5),cubic_spline(F1122:F1127,H1122:H1127,B$3),IF(AND(COUNT(H1123:H1134)=6,COUNT(F1123:F1134)=6),cubic_spline(F1122:F1128,H1122:H1128,B$3),IF(AND(COUNT(H1123:H1134)=7,COUNT(F1123:F1134)=7),cubic_spline(F1122:F1129,H1122:H1129,B$3),IF(AND(COUNT(H1123:H1134)=8,COUNT(F1123:F1134)=8),cubic_spline(F1122:F1130,H1122:H1130,B$3),IF(AND(COUNT(H1123:H1134)=9,COUNT(F1123:F1134)=9),cubic_spline(F1122:F1131,H1122:H1131,B$3),IF(AND(COUNT(H1123:H1134)=10,COUNT(F1123:F1134)=10),cubic_spline(F1122:F1132,H1122:H1132,B$3),IF(AND(COUNT(H1123:H1134)=11,COUNT(F1123:F1134)=11),cubic_spline(F1122:F1133,H1122:H1133,B$3),IF(AND(COUNT(H1123:H1134)=12,COUNT(F1123:F1134)=12),cubic_spline(F1122:F1134,H1122:H1134,B$3),""))))))))))))</f>
        <v/>
      </c>
      <c r="K1124" s="52" t="str">
        <f>IF(N(B$3)=0,"",IF(AND(COUNT(A1123:A1134)=2,COUNT(F1123:F1134)=2),cubic_spline(F1122:F1124,A1122:A1124,B$3),IF(AND(COUNT(A1123:A1134)=3,COUNT(F1123:F1134)=3),cubic_spline(F1122:F1125,A1122:A1125,B$3),IF(AND(COUNT(A1123:A1134)=4,COUNT(F1123:F1134)=4),cubic_spline(F1122:F1126,A1122:A1126,B$3),IF(AND(COUNT(A1123:A1134)=5,COUNT(F1123:F1134)=5),cubic_spline(F1122:F1127,A1122:A1127,B$3),IF(AND(COUNT(A1123:A1134)=6,COUNT(F1123:F1134)=6),cubic_spline(F1122:F1128,A1122:A1128,B$3),IF(AND(COUNT(A1123:A1134)=7,COUNT(F1123:F1134)=7),cubic_spline(F1122:F1129,A1122:A1129,B$3),IF(AND(COUNT(A1123:A1134)=8,COUNT(F1123:F1134)=8),cubic_spline(F1122:F1130,A1122:A1130,B$3),IF(AND(COUNT(A1123:A1134)=9,COUNT(F1123:F1134)=9),cubic_spline(F1122:F1131,A1122:A1131,B$3),IF(AND(COUNT(A1123:A1134)=10,COUNT(F1123:F1134)=10),cubic_spline(F1122:F1132,A1122:A1132,B$3),IF(AND(COUNT(A1123:A1134)=11,COUNT(F1123:F1134)=11),cubic_spline(F1122:F1133,A1122:A1133,B$3),IF(AND(COUNT(A1123:A1134)=12,COUNT(F1123:F1134)=12),cubic_spline(F1122:F1134,A1122:A1134,B$3),""))))))))))))</f>
        <v/>
      </c>
      <c r="L1124" s="27" t="str">
        <f>IF(I1124="","",B$2&amp;"-"&amp;B$3)</f>
        <v/>
      </c>
      <c r="M1124" s="52" t="str">
        <f>IF(N(J1124)=0,"",J1124-J1123)</f>
        <v/>
      </c>
    </row>
    <row r="1125" spans="1:13" x14ac:dyDescent="0.35">
      <c r="A1125" s="48"/>
      <c r="B1125" s="48"/>
      <c r="C1125" s="50"/>
      <c r="D1125" s="50"/>
      <c r="E1125" s="51" t="str">
        <f t="shared" si="428"/>
        <v/>
      </c>
      <c r="F1125" s="68" t="str">
        <f t="shared" si="426"/>
        <v/>
      </c>
      <c r="G1125" s="69" t="str">
        <f t="shared" si="429"/>
        <v/>
      </c>
      <c r="H1125" s="70" t="str">
        <f t="shared" si="427"/>
        <v/>
      </c>
      <c r="I1125" s="27" t="str">
        <f>IF(N(J1125)=0,"",0&amp;"-"&amp;B$4)</f>
        <v/>
      </c>
      <c r="J1125" s="52" t="str">
        <f>IF(N(B$4)=0,"",IF(AND(COUNT(H1123:H1134)=2,COUNT(F1123:F1134)=2),cubic_spline(F1122:F1124,H1122:H1124,B$4),IF(AND(COUNT(H1123:H1134)=3,COUNT(F1123:F1134)=3),cubic_spline(F1122:F1125,H1122:H1125,B$4),IF(AND(COUNT(H1123:H1134)=4,COUNT(F1123:F1134)=4),cubic_spline(F1122:F1126,H1122:H1126,B$4),IF(AND(COUNT(H1123:H1134)=5,COUNT(F1123:F1134)=5),cubic_spline(F1122:F1127,H1122:H1127,B$4),IF(AND(COUNT(H1123:H1134)=6,COUNT(F1123:F1134)=6),cubic_spline(F1122:F1128,H1122:H1128,B$4),IF(AND(COUNT(H1123:H1134)=7,COUNT(F1123:F1134)=7),cubic_spline(F1122:F1129,H1122:H1129,B$4),IF(AND(COUNT(H1123:H1134)=8,COUNT(F1123:F1134)=8),cubic_spline(F1122:F1130,H1122:H1130,B$4),IF(AND(COUNT(H1123:H1134)=9,COUNT(F1123:F1134)=9),cubic_spline(F1122:F1131,H1122:H1131,B$4),IF(AND(COUNT(H1123:H1134)=10,COUNT(F1123:F1134)=10),cubic_spline(F1122:F1132,H1122:H1132,B$4),IF(AND(COUNT(H1123:H1134)=11,COUNT(F1123:F1134)=11),cubic_spline(F1122:F1133,H1122:H1133,B$4),IF(AND(COUNT(H1123:H1134)=12,COUNT(F1123:F1134)=12),cubic_spline(F1122:F1134,H1122:H1134,B$4),""))))))))))))</f>
        <v/>
      </c>
      <c r="K1125" s="52" t="str">
        <f>IF(N(B$4)=0,"",IF(AND(COUNT(A1123:A1134)=2,COUNT(F1123:F1134)=2),cubic_spline(F1122:F1124,A1122:A1124,B$4),IF(AND(COUNT(A1123:A1134)=3,COUNT(F1123:F1134)=3),cubic_spline(F1122:F1125,A1122:A1125,B$4),IF(AND(COUNT(A1123:A1134)=4,COUNT(F1123:F1134)=4),cubic_spline(F1122:F1126,A1122:A1126,B$4),IF(AND(COUNT(A1123:A1134)=5,COUNT(F1123:F1134)=5),cubic_spline(F1122:F1127,A1122:A1127,B$4),IF(AND(COUNT(A1123:A1134)=6,COUNT(F1123:F1134)=6),cubic_spline(F1122:F1128,A1122:A1128,B$4),IF(AND(COUNT(A1123:A1134)=7,COUNT(F1123:F1134)=7),cubic_spline(F1122:F1129,A1122:A1129,B$4),IF(AND(COUNT(A1123:A1134)=8,COUNT(F1123:F1134)=8),cubic_spline(F1122:F1130,A1122:A1130,B$4),IF(AND(COUNT(A1123:A1134)=9,COUNT(F1123:F1134)=9),cubic_spline(F1122:F1131,A1122:A1131,B$4),IF(AND(COUNT(A1123:A1134)=10,COUNT(F1123:F1134)=10),cubic_spline(F1122:F1132,A1122:A1132,B$4),IF(AND(COUNT(A1123:A1134)=11,COUNT(F1123:F1134)=11),cubic_spline(F1122:F1133,A1122:A1133,B$4),IF(AND(COUNT(A1123:A1134)=12,COUNT(F1123:F1134)=12),cubic_spline(F1122:F1134,A1122:A1134,B$4),""))))))))))))</f>
        <v/>
      </c>
      <c r="L1125" s="27" t="str">
        <f>IF(I1125="","",B$3&amp;"-"&amp;B$4)</f>
        <v/>
      </c>
      <c r="M1125" s="52" t="str">
        <f>IF(N(J1125)=0,"",J1125-J1124)</f>
        <v/>
      </c>
    </row>
    <row r="1126" spans="1:13" x14ac:dyDescent="0.35">
      <c r="A1126" s="48"/>
      <c r="B1126" s="48"/>
      <c r="C1126" s="50"/>
      <c r="D1126" s="50"/>
      <c r="E1126" s="51" t="str">
        <f t="shared" si="428"/>
        <v/>
      </c>
      <c r="F1126" s="68" t="str">
        <f t="shared" si="426"/>
        <v/>
      </c>
      <c r="G1126" s="69" t="str">
        <f t="shared" si="429"/>
        <v/>
      </c>
      <c r="H1126" s="70" t="str">
        <f t="shared" si="427"/>
        <v/>
      </c>
      <c r="I1126" s="27" t="str">
        <f>IF(N(J1126)=0,"",0&amp;"-"&amp;B$5)</f>
        <v/>
      </c>
      <c r="J1126" s="52" t="str">
        <f>IF(N(B$5)=0,"",IF(AND(COUNT(H1123:H1134)=2,COUNT(F1123:F1134)=2),cubic_spline(F1122:F1124,H1122:H1124,B$5),IF(AND(COUNT(H1123:H1134)=3,COUNT(F1123:F1134)=3),cubic_spline(F1122:F1125,H1122:H1125,B$5),IF(AND(COUNT(H1123:H1134)=4,COUNT(F1123:F1134)=4),cubic_spline(F1122:F1126,H1122:H1126,B$5),IF(AND(COUNT(H1123:H1134)=5,COUNT(F1123:F1134)=5),cubic_spline(F1122:F1127,H1122:H1127,B$5),IF(AND(COUNT(H1123:H1134)=6,COUNT(F1123:F1134)=6),cubic_spline(F1122:F1128,H1122:H1128,B$5),IF(AND(COUNT(H1123:H1134)=7,COUNT(F1123:F1134)=7),cubic_spline(F1122:F1129,H1122:H1129,B$5),IF(AND(COUNT(H1123:H1134)=8,COUNT(F1123:F1134)=8),cubic_spline(F1122:F1130,H1122:H1130,B$5),IF(AND(COUNT(H1123:H1134)=9,COUNT(F1123:F1134)=9),cubic_spline(F1122:F1131,H1122:H1131,B$5),IF(AND(COUNT(H1123:H1134)=10,COUNT(F1123:F1134)=10),cubic_spline(F1122:F1132,H1122:H1132,B$5),IF(AND(COUNT(H1123:H1134)=11,COUNT(F1123:F1134)=11),cubic_spline(F1122:F1133,H1122:H1133,B$5),IF(AND(COUNT(H1123:H1134)=12,COUNT(F1123:F1134)=12),cubic_spline(F1122:F1134,H1122:H1134,B$5),""))))))))))))</f>
        <v/>
      </c>
      <c r="K1126" s="52" t="str">
        <f>IF(N(B$5)=0,"",IF(AND(COUNT(A1123:A1134)=2,COUNT(F1123:F1134)=2),cubic_spline(F1122:F1124,A1122:A1124,B$5),IF(AND(COUNT(A1123:A1134)=3,COUNT(F1123:F1134)=3),cubic_spline(F1122:F1125,A1122:A1125,B$5),IF(AND(COUNT(A1123:A1134)=4,COUNT(F1123:F1134)=4),cubic_spline(F1122:F1126,A1122:A1126,B$5),IF(AND(COUNT(A1123:A1134)=5,COUNT(F1123:F1134)=5),cubic_spline(F1122:F1127,A1122:A1127,B$5),IF(AND(COUNT(A1123:A1134)=6,COUNT(F1123:F1134)=6),cubic_spline(F1122:F1128,A1122:A1128,B$5),IF(AND(COUNT(A1123:A1134)=7,COUNT(F1123:F1134)=7),cubic_spline(F1122:F1129,A1122:A1129,B$5),IF(AND(COUNT(A1123:A1134)=8,COUNT(F1123:F1134)=8),cubic_spline(F1122:F1130,A1122:A1130,B$5),IF(AND(COUNT(A1123:A1134)=9,COUNT(F1123:F1134)=9),cubic_spline(F1122:F1131,A1122:A1131,B$5),IF(AND(COUNT(A1123:A1134)=10,COUNT(F1123:F1134)=10),cubic_spline(F1122:F1132,A1122:A1132,B$5),IF(AND(COUNT(A1123:A1134)=11,COUNT(F1123:F1134)=11),cubic_spline(F1122:F1133,A1122:A1133,B$5),IF(AND(COUNT(A1123:A1134)=12,COUNT(F1123:F1134)=12),cubic_spline(F1122:F1134,A1122:A1134,B$5),""))))))))))))</f>
        <v/>
      </c>
      <c r="L1126" s="27" t="str">
        <f>IF(I1126="","",B$4&amp;"-"&amp;B$5)</f>
        <v/>
      </c>
      <c r="M1126" s="52" t="str">
        <f>IF(N(J1126)=0,"",J1126-J1125)</f>
        <v/>
      </c>
    </row>
    <row r="1127" spans="1:13" x14ac:dyDescent="0.35">
      <c r="A1127" s="48"/>
      <c r="B1127" s="48"/>
      <c r="C1127" s="50"/>
      <c r="D1127" s="50"/>
      <c r="E1127" s="51" t="str">
        <f t="shared" si="428"/>
        <v/>
      </c>
      <c r="F1127" s="71" t="str">
        <f t="shared" si="426"/>
        <v/>
      </c>
      <c r="G1127" s="69" t="str">
        <f t="shared" si="429"/>
        <v/>
      </c>
      <c r="H1127" s="70" t="str">
        <f t="shared" si="427"/>
        <v/>
      </c>
      <c r="I1127" s="27" t="str">
        <f>IF(N(J1127)=0,"",0&amp;"-"&amp;B$6)</f>
        <v/>
      </c>
      <c r="J1127" s="52" t="str">
        <f>IF(N(B$6)=0,"",IF(AND(COUNT(H1123:H1134)=2,COUNT(F1123:F1134)=2),cubic_spline(F1122:F1124,H1122:H1124,B$6),IF(AND(COUNT(H1123:H1134)=3,COUNT(F1123:F1134)=3),cubic_spline(F1122:F1125,H1122:H1125,B$6),IF(AND(COUNT(H1123:H1134)=4,COUNT(F1123:F1134)=4),cubic_spline(F1122:F1126,H1122:H1126,B$6),IF(AND(COUNT(H1123:H1134)=5,COUNT(F1123:F1134)=5),cubic_spline(F1122:F1127,H1122:H1127,B$6),IF(AND(COUNT(H1123:H1134)=6,COUNT(F1123:F1134)=6),cubic_spline(F1122:F1128,H1122:H1128,B$6),IF(AND(COUNT(H1123:H1134)=7,COUNT(F1123:F1134)=7),cubic_spline(F1122:F1129,H1122:H1129,B$6),IF(AND(COUNT(H1123:H1134)=8,COUNT(F1123:F1134)=8),cubic_spline(F1122:F1130,H1122:H1130,B$6),IF(AND(COUNT(H1123:H1134)=9,COUNT(F1123:F1134)=9),cubic_spline(F1122:F1131,H1122:H1131,B$6),IF(AND(COUNT(H1123:H1134)=10,COUNT(F1123:F1134)=10),cubic_spline(F1122:F1132,H1122:H1132,B$6),IF(AND(COUNT(H1123:H1134)=11,COUNT(F1123:F1134)=11),cubic_spline(F1122:F1133,H1122:H1133,B$6),IF(AND(COUNT(H1123:H1134)=12,COUNT(F1123:F1134)=12),cubic_spline(F1122:F1134,H1122:H1134,B$6),""))))))))))))</f>
        <v/>
      </c>
      <c r="K1127" s="52" t="str">
        <f>IF(N(B$6)=0,"",IF(AND(COUNT(A1123:A1134)=2,COUNT(F1123:F1134)=2),cubic_spline(F1122:F1124,A1122:A1124,B$6),IF(AND(COUNT(A1123:A1134)=3,COUNT(F1123:F1134)=3),cubic_spline(F1122:F1125,A1122:A1125,B$6),IF(AND(COUNT(A1123:A1134)=4,COUNT(F1123:F1134)=4),cubic_spline(F1122:F1126,A1122:A1126,B$6),IF(AND(COUNT(A1123:A1134)=5,COUNT(F1123:F1134)=5),cubic_spline(F1122:F1127,A1122:A1127,B$6),IF(AND(COUNT(A1123:A1134)=6,COUNT(F1123:F1134)=6),cubic_spline(F1122:F1128,A1122:A1128,B$6),IF(AND(COUNT(A1123:A1134)=7,COUNT(F1123:F1134)=7),cubic_spline(F1122:F1129,A1122:A1129,B$6),IF(AND(COUNT(A1123:A1134)=8,COUNT(F1123:F1134)=8),cubic_spline(F1122:F1130,A1122:A1130,B$6),IF(AND(COUNT(A1123:A1134)=9,COUNT(F1123:F1134)=9),cubic_spline(F1122:F1131,A1122:A1131,B$6),IF(AND(COUNT(A1123:A1134)=10,COUNT(F1123:F1134)=10),cubic_spline(F1122:F1132,A1122:A1132,B$6),IF(AND(COUNT(A1123:A1134)=11,COUNT(F1123:F1134)=11),cubic_spline(F1122:F1133,A1122:A1133,B$6),IF(AND(COUNT(A1123:A1134)=12,COUNT(F1123:F1134)=12),cubic_spline(F1122:F1134,A1122:A1134,B$6),""))))))))))))</f>
        <v/>
      </c>
      <c r="L1127" s="27" t="str">
        <f>IF(I1127="","",B$5&amp;"-"&amp;B$6)</f>
        <v/>
      </c>
      <c r="M1127" s="52" t="str">
        <f>IF(N(J1127)=0,"",J1127-J1126)</f>
        <v/>
      </c>
    </row>
    <row r="1128" spans="1:13" x14ac:dyDescent="0.35">
      <c r="A1128" s="48"/>
      <c r="B1128" s="48"/>
      <c r="C1128" s="50"/>
      <c r="D1128" s="50"/>
      <c r="E1128" s="51" t="str">
        <f t="shared" si="428"/>
        <v/>
      </c>
      <c r="F1128" s="71" t="str">
        <f t="shared" si="426"/>
        <v/>
      </c>
      <c r="G1128" s="69" t="str">
        <f t="shared" si="429"/>
        <v/>
      </c>
      <c r="H1128" s="70" t="str">
        <f t="shared" si="427"/>
        <v/>
      </c>
      <c r="I1128" s="27" t="str">
        <f>IF(N(J1128)=0,"",0&amp;"-"&amp;B$7)</f>
        <v/>
      </c>
      <c r="J1128" s="52" t="str">
        <f>IF(N(B$7)=0,"",IF(AND(COUNT(H1123:H1134)=2,COUNT(F1123:F1134)=2),cubic_spline(F1122:F1124,H1122:H1124,B$7),IF(AND(COUNT(H1123:H1134)=3,COUNT(F1123:F1134)=3),cubic_spline(F1122:F1125,H1122:H1125,B$7),IF(AND(COUNT(H1123:H1134)=4,COUNT(F1123:F1134)=4),cubic_spline(F1122:F1126,H1122:H1126,B$7),IF(AND(COUNT(H1123:H1134)=5,COUNT(F1123:F1134)=5),cubic_spline(F1122:F1127,H1122:H1127,B$7),IF(AND(COUNT(H1123:H1134)=6,COUNT(F1123:F1134)=6),cubic_spline(F1122:F1128,H1122:H1128,B$7),IF(AND(COUNT(H1123:H1134)=7,COUNT(F1123:F1134)=7),cubic_spline(F1122:F1129,H1122:H1129,B$7),IF(AND(COUNT(H1123:H1134)=8,COUNT(F1123:F1134)=8),cubic_spline(F1122:F1130,H1122:H1130,B$7),IF(AND(COUNT(H1123:H1134)=9,COUNT(F1123:F1134)=9),cubic_spline(F1122:F1131,H1122:H1131,B$7),IF(AND(COUNT(H1123:H1134)=10,COUNT(F1123:F1134)=10),cubic_spline(F1122:F1132,H1122:H1132,B$7),IF(AND(COUNT(H1123:H1134)=11,COUNT(F1123:F1134)=11),cubic_spline(F1122:F1133,H1122:H1133,B$7),IF(AND(COUNT(H1123:H1134)=12,COUNT(F1123:F1134)=12),cubic_spline(F1122:F1134,H1122:H1134,B$7),""))))))))))))</f>
        <v/>
      </c>
      <c r="K1128" s="52" t="str">
        <f>IF(N(B$7)=0,"",IF(AND(COUNT(A1123:A1134)=2,COUNT(F1123:F1134)=2),cubic_spline(F1122:F1124,A1122:A1124,B$7),IF(AND(COUNT(A1123:A1134)=3,COUNT(F1123:F1134)=3),cubic_spline(F1122:F1125,A1122:A1125,B$7),IF(AND(COUNT(A1123:A1134)=4,COUNT(F1123:F1134)=4),cubic_spline(F1122:F1126,A1122:A1126,B$7),IF(AND(COUNT(A1123:A1134)=5,COUNT(F1123:F1134)=5),cubic_spline(F1122:F1127,A1122:A1127,B$7),IF(AND(COUNT(A1123:A1134)=6,COUNT(F1123:F1134)=6),cubic_spline(F1122:F1128,A1122:A1128,B$7),IF(AND(COUNT(A1123:A1134)=7,COUNT(F1123:F1134)=7),cubic_spline(F1122:F1129,A1122:A1129,B$7),IF(AND(COUNT(A1123:A1134)=8,COUNT(F1123:F1134)=8),cubic_spline(F1122:F1130,A1122:A1130,B$7),IF(AND(COUNT(A1123:A1134)=9,COUNT(F1123:F1134)=9),cubic_spline(F1122:F1131,A1122:A1131,B$7),IF(AND(COUNT(A1123:A1134)=10,COUNT(F1123:F1134)=10),cubic_spline(F1122:F1132,A1122:A1132,B$7),IF(AND(COUNT(A1123:A1134)=11,COUNT(F1123:F1134)=11),cubic_spline(F1122:F1133,A1122:A1133,B$7),IF(AND(COUNT(A1123:A1134)=12,COUNT(F1123:F1134)=12),cubic_spline(F1122:F1134,A1122:A1134,B$7),""))))))))))))</f>
        <v/>
      </c>
      <c r="L1128" s="27" t="str">
        <f>IF(I1128="","",B$6&amp;"-"&amp;B$7)</f>
        <v/>
      </c>
      <c r="M1128" s="52" t="str">
        <f t="shared" ref="M1128:M1134" si="430">IF(N(J1128)=0,"",J1128-J1127)</f>
        <v/>
      </c>
    </row>
    <row r="1129" spans="1:13" x14ac:dyDescent="0.35">
      <c r="A1129" s="48"/>
      <c r="B1129" s="48"/>
      <c r="C1129" s="50"/>
      <c r="D1129" s="50"/>
      <c r="E1129" s="51" t="str">
        <f t="shared" si="428"/>
        <v/>
      </c>
      <c r="F1129" s="71" t="str">
        <f t="shared" si="426"/>
        <v/>
      </c>
      <c r="G1129" s="69" t="str">
        <f t="shared" si="429"/>
        <v/>
      </c>
      <c r="H1129" s="70" t="str">
        <f t="shared" si="427"/>
        <v/>
      </c>
      <c r="I1129" s="27" t="str">
        <f>IF(N(J1129)=0,"",0&amp;"-"&amp;B$8)</f>
        <v/>
      </c>
      <c r="J1129" s="52" t="str">
        <f>IF(N(B$8)=0,"",IF(AND(COUNT(H1123:H1134)=2,COUNT(F1123:F1134)=2),cubic_spline(F1122:F1124,H1122:H1124,B$8),IF(AND(COUNT(H1123:H1134)=3,COUNT(F1123:F1134)=3),cubic_spline(F1122:F1125,H1122:H1125,B$8),IF(AND(COUNT(H1123:H1134)=4,COUNT(F1123:F1134)=4),cubic_spline(F1122:F1126,H1122:H1126,B$8),IF(AND(COUNT(H1123:H1134)=5,COUNT(F1123:F1134)=5),cubic_spline(F1122:F1127,H1122:H1127,B$8),IF(AND(COUNT(H1123:H1134)=6,COUNT(F1123:F1134)=6),cubic_spline(F1122:F1128,H1122:H1128,B$8),IF(AND(COUNT(H1123:H1134)=7,COUNT(F1123:F1134)=7),cubic_spline(F1122:F1129,H1122:H1129,B$8),IF(AND(COUNT(H1123:H1134)=8,COUNT(F1123:F1134)=8),cubic_spline(F1122:F1130,H1122:H1130,B$8),IF(AND(COUNT(H1123:H1134)=9,COUNT(F1123:F1134)=9),cubic_spline(F1122:F1131,H1122:H1131,B$8),IF(AND(COUNT(H1123:H1134)=10,COUNT(F1123:F1134)=10),cubic_spline(F1122:F1132,H1122:H1132,B$8),IF(AND(COUNT(H1123:H1134)=11,COUNT(F1123:F1134)=11),cubic_spline(F1122:F1133,H1122:H1133,B$8),IF(AND(COUNT(H1123:H1134)=12,COUNT(F1123:F1134)=12),cubic_spline(F1122:F1134,H1122:H1134,B$8),""))))))))))))</f>
        <v/>
      </c>
      <c r="K1129" s="52" t="str">
        <f>IF(N(B$8)=0,"",IF(AND(COUNT(A1123:A1134)=2,COUNT(F1123:F1134)=2),cubic_spline(F1122:F1124,A1122:A1124,B$8),IF(AND(COUNT(A1123:A1134)=3,COUNT(F1123:F1134)=3),cubic_spline(F1122:F1125,A1122:A1125,B$8),IF(AND(COUNT(A1123:A1134)=4,COUNT(F1123:F1134)=4),cubic_spline(F1122:F1126,A1122:A1126,B$8),IF(AND(COUNT(A1123:A1134)=5,COUNT(F1123:F1134)=5),cubic_spline(F1122:F1127,A1122:A1127,B$8),IF(AND(COUNT(A1123:A1134)=6,COUNT(F1123:F1134)=6),cubic_spline(F1122:F1128,A1122:A1128,B$8),IF(AND(COUNT(A1123:A1134)=7,COUNT(F1123:F1134)=7),cubic_spline(F1122:F1129,A1122:A1129,B$8),IF(AND(COUNT(A1123:A1134)=8,COUNT(F1123:F1134)=8),cubic_spline(F1122:F1130,A1122:A1130,B$8),IF(AND(COUNT(A1123:A1134)=9,COUNT(F1123:F1134)=9),cubic_spline(F1122:F1131,A1122:A1131,B$8),IF(AND(COUNT(A1123:A1134)=10,COUNT(F1123:F1134)=10),cubic_spline(F1122:F1132,A1122:A1132,B$8),IF(AND(COUNT(A1123:A1134)=11,COUNT(F1123:F1134)=11),cubic_spline(F1122:F1133,A1122:A1133,B$8),IF(AND(COUNT(A1123:A1134)=12,COUNT(F1123:F1134)=12),cubic_spline(F1122:F1134,A1122:A1134,B$8),""))))))))))))</f>
        <v/>
      </c>
      <c r="L1129" s="27" t="str">
        <f>IF(I1129="","",B$7&amp;"-"&amp;B$8)</f>
        <v/>
      </c>
      <c r="M1129" s="52" t="str">
        <f t="shared" si="430"/>
        <v/>
      </c>
    </row>
    <row r="1130" spans="1:13" x14ac:dyDescent="0.35">
      <c r="A1130" s="48"/>
      <c r="B1130" s="48"/>
      <c r="C1130" s="50"/>
      <c r="D1130" s="50"/>
      <c r="E1130" s="51" t="str">
        <f t="shared" si="428"/>
        <v/>
      </c>
      <c r="F1130" s="71" t="str">
        <f t="shared" si="426"/>
        <v/>
      </c>
      <c r="G1130" s="69" t="str">
        <f t="shared" si="429"/>
        <v/>
      </c>
      <c r="H1130" s="70" t="str">
        <f t="shared" si="427"/>
        <v/>
      </c>
      <c r="I1130" s="27" t="str">
        <f>IF(N(J1130)=0,"",0&amp;"-"&amp;B$9)</f>
        <v/>
      </c>
      <c r="J1130" s="52" t="str">
        <f>IF(N(B$9)=0,"",IF(AND(COUNT(H1123:H1134)=2,COUNT(F1123:F1134)=2),cubic_spline(F1122:F1124,H1122:H1124,B$9),IF(AND(COUNT(H1123:H1134)=3,COUNT(F1123:F1134)=3),cubic_spline(F1122:F1125,H1122:H1125,B$9),IF(AND(COUNT(H1123:H1134)=4,COUNT(F1123:F1134)=4),cubic_spline(F1122:F1126,H1122:H1126,B$9),IF(AND(COUNT(H1123:H1134)=5,COUNT(F1123:F1134)=5),cubic_spline(F1122:F1127,H1122:H1127,B$9),IF(AND(COUNT(H1123:H1134)=6,COUNT(F1123:F1134)=6),cubic_spline(F1122:F1128,H1122:H1128,B$9),IF(AND(COUNT(H1123:H1134)=7,COUNT(F1123:F1134)=7),cubic_spline(F1122:F1129,H1122:H1129,B$9),IF(AND(COUNT(H1123:H1134)=8,COUNT(F1123:F1134)=8),cubic_spline(F1122:F1130,H1122:H1130,B$9),IF(AND(COUNT(H1123:H1134)=9,COUNT(F1123:F1134)=9),cubic_spline(F1122:F1131,H1122:H1131,B$9),IF(AND(COUNT(H1123:H1134)=10,COUNT(F1123:F1134)=10),cubic_spline(F1122:F1132,H1122:H1132,B$9),IF(AND(COUNT(H1123:H1134)=11,COUNT(F1123:F1134)=11),cubic_spline(F1122:F1133,H1122:H1133,B$9),IF(AND(COUNT(H1123:H1134)=12,COUNT(F1123:F1134)=12),cubic_spline(F1122:F1134,H1122:H1134,B$9),""))))))))))))</f>
        <v/>
      </c>
      <c r="K1130" s="52" t="str">
        <f>IF(N(B$9)=0,"",IF(AND(COUNT(A1123:A1134)=2,COUNT(F1123:F1134)=2),cubic_spline(F1122:F1124,A1122:A1124,B$9),IF(AND(COUNT(A1123:A1134)=3,COUNT(F1123:F1134)=3),cubic_spline(F1122:F1125,A1122:A1125,B$9),IF(AND(COUNT(A1123:A1134)=4,COUNT(F1123:F1134)=4),cubic_spline(F1122:F1126,A1122:A1126,B$9),IF(AND(COUNT(A1123:A1134)=5,COUNT(F1123:F1134)=5),cubic_spline(F1122:F1127,A1122:A1127,B$9),IF(AND(COUNT(A1123:A1134)=6,COUNT(F1123:F1134)=6),cubic_spline(F1122:F1128,A1122:A1128,B$9),IF(AND(COUNT(A1123:A1134)=7,COUNT(F1123:F1134)=7),cubic_spline(F1122:F1129,A1122:A1129,B$9),IF(AND(COUNT(A1123:A1134)=8,COUNT(F1123:F1134)=8),cubic_spline(F1122:F1130,A1122:A1130,B$9),IF(AND(COUNT(A1123:A1134)=9,COUNT(F1123:F1134)=9),cubic_spline(F1122:F1131,A1122:A1131,B$9),IF(AND(COUNT(A1123:A1134)=10,COUNT(F1123:F1134)=10),cubic_spline(F1122:F1132,A1122:A1132,B$9),IF(AND(COUNT(A1123:A1134)=11,COUNT(F1123:F1134)=11),cubic_spline(F1122:F1133,A1122:A1133,B$9),IF(AND(COUNT(A1123:A1134)=12,COUNT(F1123:F1134)=12),cubic_spline(F1122:F1134,A1122:A1134,B$9),""))))))))))))</f>
        <v/>
      </c>
      <c r="L1130" s="27" t="str">
        <f>IF(I1130="","",B$8&amp;"-"&amp;B$9)</f>
        <v/>
      </c>
      <c r="M1130" s="52" t="str">
        <f t="shared" si="430"/>
        <v/>
      </c>
    </row>
    <row r="1131" spans="1:13" x14ac:dyDescent="0.35">
      <c r="A1131" s="48"/>
      <c r="B1131" s="48"/>
      <c r="C1131" s="50"/>
      <c r="D1131" s="50"/>
      <c r="E1131" s="51" t="str">
        <f t="shared" si="428"/>
        <v/>
      </c>
      <c r="F1131" s="71" t="str">
        <f t="shared" si="426"/>
        <v/>
      </c>
      <c r="G1131" s="69" t="str">
        <f t="shared" si="429"/>
        <v/>
      </c>
      <c r="H1131" s="70" t="str">
        <f t="shared" si="427"/>
        <v/>
      </c>
      <c r="I1131" s="27" t="str">
        <f>IF(N(J1131)=0,"",0&amp;"-"&amp;B$10)</f>
        <v/>
      </c>
      <c r="J1131" s="52" t="str">
        <f>IF(N(B$10)=0,"",IF(AND(COUNT(H1123:H1134)=2,COUNT(F1123:F1134)=2),cubic_spline(F1122:F1124,H1122:H1124,B$10),IF(AND(COUNT(H1123:H1134)=3,COUNT(F1123:F1134)=3),cubic_spline(F1122:F1125,H1122:H1125,B$10),IF(AND(COUNT(H1123:H1134)=4,COUNT(F1123:F1134)=4),cubic_spline(F1122:F1126,H1122:H1126,B$10),IF(AND(COUNT(H1123:H1134)=5,COUNT(F1123:F1134)=5),cubic_spline(F1122:F1127,H1122:H1127,B$10),IF(AND(COUNT(H1123:H1134)=6,COUNT(F1123:F1134)=6),cubic_spline(F1122:F1128,H1122:H1128,B$10),IF(AND(COUNT(H1123:H1134)=7,COUNT(F1123:F1134)=7),cubic_spline(F1122:F1129,H1122:H1129,B$10),IF(AND(COUNT(H1123:H1134)=8,COUNT(F1123:F1134)=8),cubic_spline(F1122:F1130,H1122:H1130,B$10),IF(AND(COUNT(H1123:H1134)=9,COUNT(F1123:F1134)=9),cubic_spline(F1122:F1131,H1122:H1131,B$10),IF(AND(COUNT(H1123:H1134)=10,COUNT(F1123:F1134)=10),cubic_spline(F1122:F1132,H1122:H1132,B$10),IF(AND(COUNT(H1123:H1134)=11,COUNT(F1123:F1134)=11),cubic_spline(F1122:F1133,H1122:H1133,B$10),IF(AND(COUNT(H1123:H1134)=12,COUNT(F1123:F1134)=12),cubic_spline(F1122:F1134,H1122:H1134,B$10),""))))))))))))</f>
        <v/>
      </c>
      <c r="K1131" s="52" t="str">
        <f>IF(N(B$10)=0,"",IF(AND(COUNT(A1123:A1134)=2,COUNT(F1123:F1134)=2),cubic_spline(F1122:F1124,A1122:A1124,B$10),IF(AND(COUNT(A1123:A1134)=3,COUNT(F1123:F1134)=3),cubic_spline(F1122:F1125,A1122:A1125,B$10),IF(AND(COUNT(A1123:A1134)=4,COUNT(F1123:F1134)=4),cubic_spline(F1122:F1126,A1122:A1126,B$10),IF(AND(COUNT(A1123:A1134)=5,COUNT(F1123:F1134)=5),cubic_spline(F1122:F1127,A1122:A1127,B$10),IF(AND(COUNT(A1123:A1134)=6,COUNT(F1123:F1134)=6),cubic_spline(F1122:F1128,A1122:A1128,B$10),IF(AND(COUNT(A1123:A1134)=7,COUNT(F1123:F1134)=7),cubic_spline(F1122:F1129,A1122:A1129,B$10),IF(AND(COUNT(A1123:A1134)=8,COUNT(F1123:F1134)=8),cubic_spline(F1122:F1130,A1122:A1130,B$10),IF(AND(COUNT(A1123:A1134)=9,COUNT(F1123:F1134)=9),cubic_spline(F1122:F1131,A1122:A1131,B$10),IF(AND(COUNT(A1123:A1134)=10,COUNT(F1123:F1134)=10),cubic_spline(F1122:F1132,A1122:A1132,B$10),IF(AND(COUNT(A1123:A1134)=11,COUNT(F1123:F1134)=11),cubic_spline(F1122:F1133,A1122:A1133,B$10),IF(AND(COUNT(A1123:A1134)=12,COUNT(F1123:F1134)=12),cubic_spline(F1122:F1134,A1122:A1134,B$10),""))))))))))))</f>
        <v/>
      </c>
      <c r="L1131" s="27" t="str">
        <f>IF(I1131="","",B$9&amp;"-"&amp;B$10)</f>
        <v/>
      </c>
      <c r="M1131" s="52" t="str">
        <f t="shared" si="430"/>
        <v/>
      </c>
    </row>
    <row r="1132" spans="1:13" x14ac:dyDescent="0.35">
      <c r="A1132" s="48"/>
      <c r="B1132" s="48"/>
      <c r="C1132" s="50"/>
      <c r="D1132" s="50"/>
      <c r="E1132" s="51" t="str">
        <f t="shared" si="428"/>
        <v/>
      </c>
      <c r="F1132" s="71" t="str">
        <f t="shared" si="426"/>
        <v/>
      </c>
      <c r="G1132" s="69" t="str">
        <f t="shared" si="429"/>
        <v/>
      </c>
      <c r="H1132" s="70" t="str">
        <f t="shared" si="427"/>
        <v/>
      </c>
      <c r="I1132" s="27" t="str">
        <f>IF(N(J1132)=0,"",0&amp;"-"&amp;B$11)</f>
        <v/>
      </c>
      <c r="J1132" s="52" t="str">
        <f>IF(N(B$11)=0,"",IF(AND(COUNT(H1123:H1134)=2,COUNT(F1123:F1134)=2),cubic_spline(F1122:F1124,H1122:H1124,B$11),IF(AND(COUNT(H1123:H1134)=3,COUNT(F1123:F1134)=3),cubic_spline(F1122:F1125,H1122:H1125,B$11),IF(AND(COUNT(H1123:H1134)=4,COUNT(F1123:F1134)=4),cubic_spline(F1122:F1126,H1122:H1126,B$11),IF(AND(COUNT(H1123:H1134)=5,COUNT(F1123:F1134)=5),cubic_spline(F1122:F1127,H1122:H1127,B$11),IF(AND(COUNT(H1123:H1134)=6,COUNT(F1123:F1134)=6),cubic_spline(F1122:F1128,H1122:H1128,B$11),IF(AND(COUNT(H1123:H1134)=7,COUNT(F1123:F1134)=7),cubic_spline(F1122:F1129,H1122:H1129,B$11),IF(AND(COUNT(H1123:H1134)=8,COUNT(F1123:F1134)=8),cubic_spline(F1122:F1130,H1122:H1130,B$11),IF(AND(COUNT(H1123:H1134)=9,COUNT(F1123:F1134)=9),cubic_spline(F1122:F1131,H1122:H1131,B$11),IF(AND(COUNT(H1123:H1134)=10,COUNT(F1123:F1134)=10),cubic_spline(F1122:F1132,H1122:H1132,B$11),IF(AND(COUNT(H1123:H1134)=11,COUNT(F1123:F1134)=11),cubic_spline(F1122:F1133,H1122:H1133,B$11),IF(AND(COUNT(H1123:H1134)=12,COUNT(F1123:F1134)=12),cubic_spline(F1122:F1134,H1122:H1134,B$11),""))))))))))))</f>
        <v/>
      </c>
      <c r="K1132" s="52" t="str">
        <f>IF(N(B$11)=0,"",IF(AND(COUNT(A1123:A1134)=2,COUNT(F1123:F1134)=2),cubic_spline(F1122:F1124,A1122:A1124,B$11),IF(AND(COUNT(A1123:A1134)=3,COUNT(F1123:F1134)=3),cubic_spline(F1122:F1125,A1122:A1125,B$11),IF(AND(COUNT(A1123:A1134)=4,COUNT(F1123:F1134)=4),cubic_spline(F1122:F1126,A1122:A1126,B$11),IF(AND(COUNT(A1123:A1134)=5,COUNT(F1123:F1134)=5),cubic_spline(F1122:F1127,A1122:A1127,B$11),IF(AND(COUNT(A1123:A1134)=6,COUNT(F1123:F1134)=6),cubic_spline(F1122:F1128,A1122:A1128,B$11),IF(AND(COUNT(A1123:A1134)=7,COUNT(F1123:F1134)=7),cubic_spline(F1122:F1129,A1122:A1129,B$11),IF(AND(COUNT(A1123:A1134)=8,COUNT(F1123:F1134)=8),cubic_spline(F1122:F1130,A1122:A1130,B$11),IF(AND(COUNT(A1123:A1134)=9,COUNT(F1123:F1134)=9),cubic_spline(F1122:F1131,A1122:A1131,B$11),IF(AND(COUNT(A1123:A1134)=10,COUNT(F1123:F1134)=10),cubic_spline(F1122:F1132,A1122:A1132,B$11),IF(AND(COUNT(A1123:A1134)=11,COUNT(F1123:F1134)=11),cubic_spline(F1122:F1133,A1122:A1133,B$11),IF(AND(COUNT(A1123:A1134)=12,COUNT(F1123:F1134)=12),cubic_spline(F1122:F1134,A1122:A1134,B$11),""))))))))))))</f>
        <v/>
      </c>
      <c r="L1132" s="27" t="str">
        <f>IF(I1132="","",B$10&amp;"-"&amp;B$11)</f>
        <v/>
      </c>
      <c r="M1132" s="52" t="str">
        <f t="shared" si="430"/>
        <v/>
      </c>
    </row>
    <row r="1133" spans="1:13" x14ac:dyDescent="0.35">
      <c r="A1133" s="48"/>
      <c r="B1133" s="48"/>
      <c r="C1133" s="50"/>
      <c r="D1133" s="50"/>
      <c r="E1133" s="51" t="str">
        <f t="shared" si="428"/>
        <v/>
      </c>
      <c r="F1133" s="71" t="str">
        <f t="shared" si="426"/>
        <v/>
      </c>
      <c r="G1133" s="69" t="str">
        <f t="shared" si="429"/>
        <v/>
      </c>
      <c r="H1133" s="70" t="str">
        <f t="shared" si="427"/>
        <v/>
      </c>
      <c r="I1133" s="27" t="str">
        <f>IF(N(J1133)=0,"",0&amp;"-"&amp;B$12)</f>
        <v/>
      </c>
      <c r="J1133" s="52" t="str">
        <f>IF(N(B$12)=0,"",IF(AND(COUNT(H1123:H1134)=2,COUNT(F1123:F1134)=2),cubic_spline(F1122:F1124,H1122:H1124,B$12),IF(AND(COUNT(H1123:H1134)=3,COUNT(F1123:F1134)=3),cubic_spline(F1122:F1125,H1122:H1125,B$12),IF(AND(COUNT(H1123:H1134)=4,COUNT(F1123:F1134)=4),cubic_spline(F1122:F1126,H1122:H1126,B$12),IF(AND(COUNT(H1123:H1134)=5,COUNT(F1123:F1134)=5),cubic_spline(F1122:F1127,H1122:H1127,B$12),IF(AND(COUNT(H1123:H1134)=6,COUNT(F1123:F1134)=6),cubic_spline(F1122:F1128,H1122:H1128,B$12),IF(AND(COUNT(H1123:H1134)=7,COUNT(F1123:F1134)=7),cubic_spline(F1122:F1129,H1122:H1129,B$12),IF(AND(COUNT(H1123:H1134)=8,COUNT(F1123:F1134)=8),cubic_spline(F1122:F1130,H1122:H1130,B$12),IF(AND(COUNT(H1123:H1134)=9,COUNT(F1123:F1134)=9),cubic_spline(F1122:F1131,H1122:H1131,B$12),IF(AND(COUNT(H1123:H1134)=10,COUNT(F1123:F1134)=10),cubic_spline(F1122:F1132,H1122:H1132,B$12),IF(AND(COUNT(H1123:H1134)=11,COUNT(F1123:F1134)=11),cubic_spline(F1122:F1133,H1122:H1133,B$12),IF(AND(COUNT(H1123:H1134)=12,COUNT(F1123:F1134)=12),cubic_spline(F1122:F1134,H1122:H1134,B$12),""))))))))))))</f>
        <v/>
      </c>
      <c r="K1133" s="52" t="str">
        <f>IF(N(B$12)=0,"",IF(AND(COUNT(A1123:A1134)=2,COUNT(F1123:F1134)=2),cubic_spline(F1122:F1124,A1122:A1124,B$12),IF(AND(COUNT(A1123:A1134)=3,COUNT(F1123:F1134)=3),cubic_spline(F1122:F1125,A1122:A1125,B$12),IF(AND(COUNT(A1123:A1134)=4,COUNT(F1123:F1134)=4),cubic_spline(F1122:F1126,A1122:A1126,B$12),IF(AND(COUNT(A1123:A1134)=5,COUNT(F1123:F1134)=5),cubic_spline(F1122:F1127,A1122:A1127,B$12),IF(AND(COUNT(A1123:A1134)=6,COUNT(F1123:F1134)=6),cubic_spline(F1122:F1128,A1122:A1128,B$12),IF(AND(COUNT(A1123:A1134)=7,COUNT(F1123:F1134)=7),cubic_spline(F1122:F1129,A1122:A1129,B$12),IF(AND(COUNT(A1123:A1134)=8,COUNT(F1123:F1134)=8),cubic_spline(F1122:F1130,A1122:A1130,B$12),IF(AND(COUNT(A1123:A1134)=9,COUNT(F1123:F1134)=9),cubic_spline(F1122:F1131,A1122:A1131,B$12),IF(AND(COUNT(A1123:A1134)=10,COUNT(F1123:F1134)=10),cubic_spline(F1122:F1132,A1122:A1132,B$12),IF(AND(COUNT(A1123:A1134)=11,COUNT(F1123:F1134)=11),cubic_spline(F1122:F1133,A1122:A1133,B$12),IF(AND(COUNT(A1123:A1134)=12,COUNT(F1123:F1134)=12),cubic_spline(F1122:F1134,A1122:A1134,B$12),""))))))))))))</f>
        <v/>
      </c>
      <c r="L1133" s="27" t="str">
        <f>IF(I1133="","",B$11&amp;"-"&amp;B$12)</f>
        <v/>
      </c>
      <c r="M1133" s="52" t="str">
        <f t="shared" si="430"/>
        <v/>
      </c>
    </row>
    <row r="1134" spans="1:13" x14ac:dyDescent="0.35">
      <c r="A1134" s="48"/>
      <c r="B1134" s="48"/>
      <c r="C1134" s="50"/>
      <c r="D1134" s="50"/>
      <c r="E1134" s="51" t="str">
        <f t="shared" si="428"/>
        <v/>
      </c>
      <c r="F1134" s="71" t="str">
        <f t="shared" si="426"/>
        <v/>
      </c>
      <c r="G1134" s="69" t="str">
        <f t="shared" si="429"/>
        <v/>
      </c>
      <c r="H1134" s="70" t="str">
        <f t="shared" si="427"/>
        <v/>
      </c>
      <c r="I1134" s="27" t="str">
        <f>IF(N(J1134)=0,"",0&amp;"-"&amp;B$13)</f>
        <v/>
      </c>
      <c r="J1134" s="52" t="str">
        <f>IF(N(B$13)=0,"",IF(AND(COUNT(H1123:H1134)=2,COUNT(F1123:F1134)=2),cubic_spline(F1122:F1124,H1122:H1124,B$13),IF(AND(COUNT(H1123:H1134)=3,COUNT(F1123:F1134)=3),cubic_spline(F1122:F1125,H1122:H1125,B$13),IF(AND(COUNT(H1123:H1134)=4,COUNT(F1123:F1134)=4),cubic_spline(F1122:F1126,H1122:H1126,B$13),IF(AND(COUNT(H1123:H1134)=5,COUNT(F1123:F1134)=5),cubic_spline(F1122:F1127,H1122:H1127,B$13),IF(AND(COUNT(H1123:H1134)=6,COUNT(F1123:F1134)=6),cubic_spline(F1122:F1128,H1122:H1128,B$13),IF(AND(COUNT(H1123:H1134)=7,COUNT(F1123:F1134)=7),cubic_spline(F1122:F1129,H1122:H1129,B$13),IF(AND(COUNT(H1123:H1134)=8,COUNT(F1123:F1134)=8),cubic_spline(F1122:F1130,H1122:H1130,B$13),IF(AND(COUNT(H1123:H1134)=9,COUNT(F1123:F1134)=9),cubic_spline(F1122:F1131,H1122:H1131,B$13),IF(AND(COUNT(H1123:H1134)=10,COUNT(F1123:F1134)=10),cubic_spline(F1122:F1132,H1122:H1132,B$13),IF(AND(COUNT(H1123:H1134)=11,COUNT(F1123:F1134)=11),cubic_spline(F1122:F1133,H1122:H1133,B$13),IF(AND(COUNT(H1123:H1134)=12,COUNT(F1123:F1134)=12),cubic_spline(F1122:F1134,H1122:H1134,B$13),""))))))))))))</f>
        <v/>
      </c>
      <c r="K1134" s="52" t="str">
        <f>IF(N(B$13)=0,"",IF(AND(COUNT(A1123:A1134)=2,COUNT(F1123:F1134)=2),cubic_spline(F1122:F1124,A1122:A1124,B$13),IF(AND(COUNT(A1123:A1134)=3,COUNT(F1123:F1134)=3),cubic_spline(F1122:F1125,A1122:A1125,B$13),IF(AND(COUNT(A1123:A1134)=4,COUNT(F1123:F1134)=4),cubic_spline(F1122:F1126,A1122:A1126,B$13),IF(AND(COUNT(A1123:A1134)=5,COUNT(F1123:F1134)=5),cubic_spline(F1122:F1127,A1122:A1127,B$13),IF(AND(COUNT(A1123:A1134)=6,COUNT(F1123:F1134)=6),cubic_spline(F1122:F1128,A1122:A1128,B$13),IF(AND(COUNT(A1123:A1134)=7,COUNT(F1123:F1134)=7),cubic_spline(F1122:F1129,A1122:A1129,B$13),IF(AND(COUNT(A1123:A1134)=8,COUNT(F1123:F1134)=8),cubic_spline(F1122:F1130,A1122:A1130,B$13),IF(AND(COUNT(A1123:A1134)=9,COUNT(F1123:F1134)=9),cubic_spline(F1122:F1131,A1122:A1131,B$13),IF(AND(COUNT(A1123:A1134)=10,COUNT(F1123:F1134)=10),cubic_spline(F1122:F1132,A1122:A1132,B$13),IF(AND(COUNT(A1123:A1134)=11,COUNT(F1123:F1134)=11),cubic_spline(F1122:F1133,A1122:A1133,B$13),IF(AND(COUNT(A1123:A1134)=12,COUNT(F1123:F1134)=12),cubic_spline(F1122:F1134,A1122:A1134,B$13),""))))))))))))</f>
        <v/>
      </c>
      <c r="L1134" s="27" t="str">
        <f>IF(I1134="","",B$12&amp;"-"&amp;B$13)</f>
        <v/>
      </c>
      <c r="M1134" s="52" t="str">
        <f t="shared" si="430"/>
        <v/>
      </c>
    </row>
    <row r="1135" spans="1:13" ht="5.15" customHeight="1" x14ac:dyDescent="0.35">
      <c r="A1135" s="47"/>
      <c r="B1135" s="47"/>
      <c r="C1135" s="53"/>
      <c r="D1135" s="53"/>
      <c r="E1135" s="54"/>
      <c r="F1135" s="55"/>
      <c r="G1135" s="72"/>
      <c r="H1135" s="73"/>
      <c r="I1135" s="47"/>
      <c r="J1135" s="57"/>
      <c r="K1135" s="57"/>
      <c r="L1135" s="55"/>
      <c r="M1135" s="57"/>
    </row>
    <row r="1136" spans="1:13" x14ac:dyDescent="0.35">
      <c r="A1136" s="48"/>
      <c r="B1136" s="48"/>
      <c r="C1136" s="50"/>
      <c r="D1136" s="50"/>
      <c r="E1136" s="51" t="str">
        <f>IF(N(C1136)=0,"",(A1136-A1135)*C1136*100)</f>
        <v/>
      </c>
      <c r="F1136" s="68" t="str">
        <f t="shared" ref="F1136:F1147" si="431">IF(N(E1136)=0,"",(N(E1136)+N(F1135)))</f>
        <v/>
      </c>
      <c r="G1136" s="69" t="str">
        <f>IF(OR(N(D1136)=0,N(E1136)=0),"",(E1136*D1136)/1000)</f>
        <v/>
      </c>
      <c r="H1136" s="70" t="str">
        <f t="shared" ref="H1136:H1147" si="432">IF(N(G1136)=0,"",(N(G1136)+N(H1135)))</f>
        <v/>
      </c>
      <c r="I1136" s="27" t="str">
        <f>IF(N(J1136)=0,"",0&amp;"-"&amp;B$2)</f>
        <v/>
      </c>
      <c r="J1136" s="52" t="str">
        <f>IF(N(B$2)=0,"",IF(AND(COUNT(H1136:H1147)=2,COUNT(F1136:F1147)=2),cubic_spline(F1135:F1137,H1135:H1137,B$2),IF(AND(COUNT(H1136:H1147)=3,COUNT(F1136:F1147)=3),cubic_spline(F1135:F1138,H1135:H1138,B$2),IF(AND(COUNT(H1136:H1147)=4,COUNT(F1136:F1147)=4),cubic_spline(F1135:F1139,H1135:H1139,B$2),IF(AND(COUNT(H1136:H1147)=5,COUNT(F1136:F1147)=5),cubic_spline(F1135:F1140,H1135:H1140,B$2),IF(AND(COUNT(H1136:H1147)=6,COUNT(F1136:F1147)=6),cubic_spline(F1135:F1141,H1135:H1141,B$2),IF(AND(COUNT(H1136:H1147)=7,COUNT(F1136:F1147)=7),cubic_spline(F1135:F1142,H1135:H1142,B$2),IF(AND(COUNT(H1136:H1147)=8,COUNT(F1136:F1147)=8),cubic_spline(F1135:F1143,H1135:H1143,B$2),IF(AND(COUNT(H1136:H1147)=9,COUNT(F1136:F1147)=9),cubic_spline(F1135:F1144,H1135:H1144,B$2),IF(AND(COUNT(H1136:H1147)=10,COUNT(F1136:F1147)=10),cubic_spline(F1135:F1145,H1135:H1145,B$2),IF(AND(COUNT(H1136:H1147)=11,COUNT(F1136:F1147)=11),cubic_spline(F1135:F1146,H1135:H1146,B$2),IF(AND(COUNT(H1136:H1147)=12,COUNT(F1136:F1147)=12),cubic_spline(F1135:F1147,H1135:H1147,B$2),""))))))))))))</f>
        <v/>
      </c>
      <c r="K1136" s="52" t="str">
        <f>IF(N(B$2)=0,"",IF(AND(COUNT(A1136:A1147)=2,COUNT(F1136:F1147)=2),cubic_spline(F1135:F1137,A1135:A1137,B$2),IF(AND(COUNT(A1136:A1147)=3,COUNT(F1136:F1147)=3),cubic_spline(F1135:F1138,A1135:A1138,B$2),IF(AND(COUNT(A1136:A1147)=4,COUNT(F1136:F1147)=4),cubic_spline(F1135:F1139,A1135:A1139,B$2),IF(AND(COUNT(A1136:A1147)=5,COUNT(F1136:F1147)=5),cubic_spline(F1135:F1140,A1135:A1140,B$2),IF(AND(COUNT(A1136:A1147)=6,COUNT(F1136:F1147)=6),cubic_spline(F1135:F1141,A1135:A1141,B$2),IF(AND(COUNT(A1136:A1147)=7,COUNT(F1136:F1147)=7),cubic_spline(F1135:F1142,A1135:A1142,B$2),IF(AND(COUNT(A1136:A1147)=8,COUNT(F1136:F1147)=8),cubic_spline(F1135:F1143,A1135:A1143,B$2),IF(AND(COUNT(A1136:A1147)=9,COUNT(F1136:F1147)=9),cubic_spline(F1135:F1144,A1135:A1144,B$2),IF(AND(COUNT(A1136:A1147)=10,COUNT(F1136:F1147)=10),cubic_spline(F1135:F1145,A1135:A1145,B$2),IF(AND(COUNT(A1136:A1147)=11,COUNT(F1136:F1147)=11),cubic_spline(F1135:F1146,A1135:A1146,B$2),IF(AND(COUNT(A1136:A1147)=12,COUNT(F1136:F1147)=12),cubic_spline(F1135:F1147,A1135:A1147,B$2),""))))))))))))</f>
        <v/>
      </c>
      <c r="L1136" s="27" t="str">
        <f>IF(I1136="","",0&amp;"-"&amp;B$2)</f>
        <v/>
      </c>
      <c r="M1136" s="52" t="str">
        <f>IF(N(J1136)=0,"",J1136-J1135)</f>
        <v/>
      </c>
    </row>
    <row r="1137" spans="1:13" x14ac:dyDescent="0.35">
      <c r="A1137" s="48"/>
      <c r="B1137" s="48"/>
      <c r="C1137" s="50"/>
      <c r="D1137" s="50"/>
      <c r="E1137" s="51" t="str">
        <f t="shared" ref="E1137:E1147" si="433">IF(N(C1137)=0,"",(A1137-A1136)*C1137*100)</f>
        <v/>
      </c>
      <c r="F1137" s="68" t="str">
        <f t="shared" si="431"/>
        <v/>
      </c>
      <c r="G1137" s="69" t="str">
        <f t="shared" ref="G1137:G1147" si="434">IF(OR(N(D1137)=0,N(E1137)=0),"",(E1137*D1137)/1000)</f>
        <v/>
      </c>
      <c r="H1137" s="70" t="str">
        <f t="shared" si="432"/>
        <v/>
      </c>
      <c r="I1137" s="27" t="str">
        <f>IF(N(J1137)=0,"",0&amp;"-"&amp;B$3)</f>
        <v/>
      </c>
      <c r="J1137" s="52" t="str">
        <f>IF(N(B$3)=0,"",IF(AND(COUNT(H1136:H1147)=2,COUNT(F1136:F1147)=2),cubic_spline(F1135:F1137,H1135:H1137,B$3),IF(AND(COUNT(H1136:H1147)=3,COUNT(F1136:F1147)=3),cubic_spline(F1135:F1138,H1135:H1138,B$3),IF(AND(COUNT(H1136:H1147)=4,COUNT(F1136:F1147)=4),cubic_spline(F1135:F1139,H1135:H1139,B$3),IF(AND(COUNT(H1136:H1147)=5,COUNT(F1136:F1147)=5),cubic_spline(F1135:F1140,H1135:H1140,B$3),IF(AND(COUNT(H1136:H1147)=6,COUNT(F1136:F1147)=6),cubic_spline(F1135:F1141,H1135:H1141,B$3),IF(AND(COUNT(H1136:H1147)=7,COUNT(F1136:F1147)=7),cubic_spline(F1135:F1142,H1135:H1142,B$3),IF(AND(COUNT(H1136:H1147)=8,COUNT(F1136:F1147)=8),cubic_spline(F1135:F1143,H1135:H1143,B$3),IF(AND(COUNT(H1136:H1147)=9,COUNT(F1136:F1147)=9),cubic_spline(F1135:F1144,H1135:H1144,B$3),IF(AND(COUNT(H1136:H1147)=10,COUNT(F1136:F1147)=10),cubic_spline(F1135:F1145,H1135:H1145,B$3),IF(AND(COUNT(H1136:H1147)=11,COUNT(F1136:F1147)=11),cubic_spline(F1135:F1146,H1135:H1146,B$3),IF(AND(COUNT(H1136:H1147)=12,COUNT(F1136:F1147)=12),cubic_spline(F1135:F1147,H1135:H1147,B$3),""))))))))))))</f>
        <v/>
      </c>
      <c r="K1137" s="52" t="str">
        <f>IF(N(B$3)=0,"",IF(AND(COUNT(A1136:A1147)=2,COUNT(F1136:F1147)=2),cubic_spline(F1135:F1137,A1135:A1137,B$3),IF(AND(COUNT(A1136:A1147)=3,COUNT(F1136:F1147)=3),cubic_spline(F1135:F1138,A1135:A1138,B$3),IF(AND(COUNT(A1136:A1147)=4,COUNT(F1136:F1147)=4),cubic_spline(F1135:F1139,A1135:A1139,B$3),IF(AND(COUNT(A1136:A1147)=5,COUNT(F1136:F1147)=5),cubic_spline(F1135:F1140,A1135:A1140,B$3),IF(AND(COUNT(A1136:A1147)=6,COUNT(F1136:F1147)=6),cubic_spline(F1135:F1141,A1135:A1141,B$3),IF(AND(COUNT(A1136:A1147)=7,COUNT(F1136:F1147)=7),cubic_spline(F1135:F1142,A1135:A1142,B$3),IF(AND(COUNT(A1136:A1147)=8,COUNT(F1136:F1147)=8),cubic_spline(F1135:F1143,A1135:A1143,B$3),IF(AND(COUNT(A1136:A1147)=9,COUNT(F1136:F1147)=9),cubic_spline(F1135:F1144,A1135:A1144,B$3),IF(AND(COUNT(A1136:A1147)=10,COUNT(F1136:F1147)=10),cubic_spline(F1135:F1145,A1135:A1145,B$3),IF(AND(COUNT(A1136:A1147)=11,COUNT(F1136:F1147)=11),cubic_spline(F1135:F1146,A1135:A1146,B$3),IF(AND(COUNT(A1136:A1147)=12,COUNT(F1136:F1147)=12),cubic_spline(F1135:F1147,A1135:A1147,B$3),""))))))))))))</f>
        <v/>
      </c>
      <c r="L1137" s="27" t="str">
        <f>IF(I1137="","",B$2&amp;"-"&amp;B$3)</f>
        <v/>
      </c>
      <c r="M1137" s="52" t="str">
        <f>IF(N(J1137)=0,"",J1137-J1136)</f>
        <v/>
      </c>
    </row>
    <row r="1138" spans="1:13" x14ac:dyDescent="0.35">
      <c r="A1138" s="48"/>
      <c r="B1138" s="48"/>
      <c r="C1138" s="50"/>
      <c r="D1138" s="50"/>
      <c r="E1138" s="51" t="str">
        <f t="shared" si="433"/>
        <v/>
      </c>
      <c r="F1138" s="68" t="str">
        <f t="shared" si="431"/>
        <v/>
      </c>
      <c r="G1138" s="69" t="str">
        <f t="shared" si="434"/>
        <v/>
      </c>
      <c r="H1138" s="70" t="str">
        <f t="shared" si="432"/>
        <v/>
      </c>
      <c r="I1138" s="27" t="str">
        <f>IF(N(J1138)=0,"",0&amp;"-"&amp;B$4)</f>
        <v/>
      </c>
      <c r="J1138" s="52" t="str">
        <f>IF(N(B$4)=0,"",IF(AND(COUNT(H1136:H1147)=2,COUNT(F1136:F1147)=2),cubic_spline(F1135:F1137,H1135:H1137,B$4),IF(AND(COUNT(H1136:H1147)=3,COUNT(F1136:F1147)=3),cubic_spline(F1135:F1138,H1135:H1138,B$4),IF(AND(COUNT(H1136:H1147)=4,COUNT(F1136:F1147)=4),cubic_spline(F1135:F1139,H1135:H1139,B$4),IF(AND(COUNT(H1136:H1147)=5,COUNT(F1136:F1147)=5),cubic_spline(F1135:F1140,H1135:H1140,B$4),IF(AND(COUNT(H1136:H1147)=6,COUNT(F1136:F1147)=6),cubic_spline(F1135:F1141,H1135:H1141,B$4),IF(AND(COUNT(H1136:H1147)=7,COUNT(F1136:F1147)=7),cubic_spline(F1135:F1142,H1135:H1142,B$4),IF(AND(COUNT(H1136:H1147)=8,COUNT(F1136:F1147)=8),cubic_spline(F1135:F1143,H1135:H1143,B$4),IF(AND(COUNT(H1136:H1147)=9,COUNT(F1136:F1147)=9),cubic_spline(F1135:F1144,H1135:H1144,B$4),IF(AND(COUNT(H1136:H1147)=10,COUNT(F1136:F1147)=10),cubic_spline(F1135:F1145,H1135:H1145,B$4),IF(AND(COUNT(H1136:H1147)=11,COUNT(F1136:F1147)=11),cubic_spline(F1135:F1146,H1135:H1146,B$4),IF(AND(COUNT(H1136:H1147)=12,COUNT(F1136:F1147)=12),cubic_spline(F1135:F1147,H1135:H1147,B$4),""))))))))))))</f>
        <v/>
      </c>
      <c r="K1138" s="52" t="str">
        <f>IF(N(B$4)=0,"",IF(AND(COUNT(A1136:A1147)=2,COUNT(F1136:F1147)=2),cubic_spline(F1135:F1137,A1135:A1137,B$4),IF(AND(COUNT(A1136:A1147)=3,COUNT(F1136:F1147)=3),cubic_spline(F1135:F1138,A1135:A1138,B$4),IF(AND(COUNT(A1136:A1147)=4,COUNT(F1136:F1147)=4),cubic_spline(F1135:F1139,A1135:A1139,B$4),IF(AND(COUNT(A1136:A1147)=5,COUNT(F1136:F1147)=5),cubic_spline(F1135:F1140,A1135:A1140,B$4),IF(AND(COUNT(A1136:A1147)=6,COUNT(F1136:F1147)=6),cubic_spline(F1135:F1141,A1135:A1141,B$4),IF(AND(COUNT(A1136:A1147)=7,COUNT(F1136:F1147)=7),cubic_spline(F1135:F1142,A1135:A1142,B$4),IF(AND(COUNT(A1136:A1147)=8,COUNT(F1136:F1147)=8),cubic_spline(F1135:F1143,A1135:A1143,B$4),IF(AND(COUNT(A1136:A1147)=9,COUNT(F1136:F1147)=9),cubic_spline(F1135:F1144,A1135:A1144,B$4),IF(AND(COUNT(A1136:A1147)=10,COUNT(F1136:F1147)=10),cubic_spline(F1135:F1145,A1135:A1145,B$4),IF(AND(COUNT(A1136:A1147)=11,COUNT(F1136:F1147)=11),cubic_spline(F1135:F1146,A1135:A1146,B$4),IF(AND(COUNT(A1136:A1147)=12,COUNT(F1136:F1147)=12),cubic_spline(F1135:F1147,A1135:A1147,B$4),""))))))))))))</f>
        <v/>
      </c>
      <c r="L1138" s="27" t="str">
        <f>IF(I1138="","",B$3&amp;"-"&amp;B$4)</f>
        <v/>
      </c>
      <c r="M1138" s="52" t="str">
        <f>IF(N(J1138)=0,"",J1138-J1137)</f>
        <v/>
      </c>
    </row>
    <row r="1139" spans="1:13" x14ac:dyDescent="0.35">
      <c r="A1139" s="48"/>
      <c r="B1139" s="48"/>
      <c r="C1139" s="50"/>
      <c r="D1139" s="50"/>
      <c r="E1139" s="51" t="str">
        <f t="shared" si="433"/>
        <v/>
      </c>
      <c r="F1139" s="68" t="str">
        <f t="shared" si="431"/>
        <v/>
      </c>
      <c r="G1139" s="69" t="str">
        <f t="shared" si="434"/>
        <v/>
      </c>
      <c r="H1139" s="70" t="str">
        <f t="shared" si="432"/>
        <v/>
      </c>
      <c r="I1139" s="27" t="str">
        <f>IF(N(J1139)=0,"",0&amp;"-"&amp;B$5)</f>
        <v/>
      </c>
      <c r="J1139" s="52" t="str">
        <f>IF(N(B$5)=0,"",IF(AND(COUNT(H1136:H1147)=2,COUNT(F1136:F1147)=2),cubic_spline(F1135:F1137,H1135:H1137,B$5),IF(AND(COUNT(H1136:H1147)=3,COUNT(F1136:F1147)=3),cubic_spline(F1135:F1138,H1135:H1138,B$5),IF(AND(COUNT(H1136:H1147)=4,COUNT(F1136:F1147)=4),cubic_spline(F1135:F1139,H1135:H1139,B$5),IF(AND(COUNT(H1136:H1147)=5,COUNT(F1136:F1147)=5),cubic_spline(F1135:F1140,H1135:H1140,B$5),IF(AND(COUNT(H1136:H1147)=6,COUNT(F1136:F1147)=6),cubic_spline(F1135:F1141,H1135:H1141,B$5),IF(AND(COUNT(H1136:H1147)=7,COUNT(F1136:F1147)=7),cubic_spline(F1135:F1142,H1135:H1142,B$5),IF(AND(COUNT(H1136:H1147)=8,COUNT(F1136:F1147)=8),cubic_spline(F1135:F1143,H1135:H1143,B$5),IF(AND(COUNT(H1136:H1147)=9,COUNT(F1136:F1147)=9),cubic_spline(F1135:F1144,H1135:H1144,B$5),IF(AND(COUNT(H1136:H1147)=10,COUNT(F1136:F1147)=10),cubic_spline(F1135:F1145,H1135:H1145,B$5),IF(AND(COUNT(H1136:H1147)=11,COUNT(F1136:F1147)=11),cubic_spline(F1135:F1146,H1135:H1146,B$5),IF(AND(COUNT(H1136:H1147)=12,COUNT(F1136:F1147)=12),cubic_spline(F1135:F1147,H1135:H1147,B$5),""))))))))))))</f>
        <v/>
      </c>
      <c r="K1139" s="52" t="str">
        <f>IF(N(B$5)=0,"",IF(AND(COUNT(A1136:A1147)=2,COUNT(F1136:F1147)=2),cubic_spline(F1135:F1137,A1135:A1137,B$5),IF(AND(COUNT(A1136:A1147)=3,COUNT(F1136:F1147)=3),cubic_spline(F1135:F1138,A1135:A1138,B$5),IF(AND(COUNT(A1136:A1147)=4,COUNT(F1136:F1147)=4),cubic_spline(F1135:F1139,A1135:A1139,B$5),IF(AND(COUNT(A1136:A1147)=5,COUNT(F1136:F1147)=5),cubic_spline(F1135:F1140,A1135:A1140,B$5),IF(AND(COUNT(A1136:A1147)=6,COUNT(F1136:F1147)=6),cubic_spline(F1135:F1141,A1135:A1141,B$5),IF(AND(COUNT(A1136:A1147)=7,COUNT(F1136:F1147)=7),cubic_spline(F1135:F1142,A1135:A1142,B$5),IF(AND(COUNT(A1136:A1147)=8,COUNT(F1136:F1147)=8),cubic_spline(F1135:F1143,A1135:A1143,B$5),IF(AND(COUNT(A1136:A1147)=9,COUNT(F1136:F1147)=9),cubic_spline(F1135:F1144,A1135:A1144,B$5),IF(AND(COUNT(A1136:A1147)=10,COUNT(F1136:F1147)=10),cubic_spline(F1135:F1145,A1135:A1145,B$5),IF(AND(COUNT(A1136:A1147)=11,COUNT(F1136:F1147)=11),cubic_spline(F1135:F1146,A1135:A1146,B$5),IF(AND(COUNT(A1136:A1147)=12,COUNT(F1136:F1147)=12),cubic_spline(F1135:F1147,A1135:A1147,B$5),""))))))))))))</f>
        <v/>
      </c>
      <c r="L1139" s="27" t="str">
        <f>IF(I1139="","",B$4&amp;"-"&amp;B$5)</f>
        <v/>
      </c>
      <c r="M1139" s="52" t="str">
        <f>IF(N(J1139)=0,"",J1139-J1138)</f>
        <v/>
      </c>
    </row>
    <row r="1140" spans="1:13" x14ac:dyDescent="0.35">
      <c r="A1140" s="48"/>
      <c r="B1140" s="48"/>
      <c r="C1140" s="50"/>
      <c r="D1140" s="50"/>
      <c r="E1140" s="51" t="str">
        <f t="shared" si="433"/>
        <v/>
      </c>
      <c r="F1140" s="71" t="str">
        <f t="shared" si="431"/>
        <v/>
      </c>
      <c r="G1140" s="69" t="str">
        <f t="shared" si="434"/>
        <v/>
      </c>
      <c r="H1140" s="70" t="str">
        <f t="shared" si="432"/>
        <v/>
      </c>
      <c r="I1140" s="27" t="str">
        <f>IF(N(J1140)=0,"",0&amp;"-"&amp;B$6)</f>
        <v/>
      </c>
      <c r="J1140" s="52" t="str">
        <f>IF(N(B$6)=0,"",IF(AND(COUNT(H1136:H1147)=2,COUNT(F1136:F1147)=2),cubic_spline(F1135:F1137,H1135:H1137,B$6),IF(AND(COUNT(H1136:H1147)=3,COUNT(F1136:F1147)=3),cubic_spline(F1135:F1138,H1135:H1138,B$6),IF(AND(COUNT(H1136:H1147)=4,COUNT(F1136:F1147)=4),cubic_spline(F1135:F1139,H1135:H1139,B$6),IF(AND(COUNT(H1136:H1147)=5,COUNT(F1136:F1147)=5),cubic_spline(F1135:F1140,H1135:H1140,B$6),IF(AND(COUNT(H1136:H1147)=6,COUNT(F1136:F1147)=6),cubic_spline(F1135:F1141,H1135:H1141,B$6),IF(AND(COUNT(H1136:H1147)=7,COUNT(F1136:F1147)=7),cubic_spline(F1135:F1142,H1135:H1142,B$6),IF(AND(COUNT(H1136:H1147)=8,COUNT(F1136:F1147)=8),cubic_spline(F1135:F1143,H1135:H1143,B$6),IF(AND(COUNT(H1136:H1147)=9,COUNT(F1136:F1147)=9),cubic_spline(F1135:F1144,H1135:H1144,B$6),IF(AND(COUNT(H1136:H1147)=10,COUNT(F1136:F1147)=10),cubic_spline(F1135:F1145,H1135:H1145,B$6),IF(AND(COUNT(H1136:H1147)=11,COUNT(F1136:F1147)=11),cubic_spline(F1135:F1146,H1135:H1146,B$6),IF(AND(COUNT(H1136:H1147)=12,COUNT(F1136:F1147)=12),cubic_spline(F1135:F1147,H1135:H1147,B$6),""))))))))))))</f>
        <v/>
      </c>
      <c r="K1140" s="52" t="str">
        <f>IF(N(B$6)=0,"",IF(AND(COUNT(A1136:A1147)=2,COUNT(F1136:F1147)=2),cubic_spline(F1135:F1137,A1135:A1137,B$6),IF(AND(COUNT(A1136:A1147)=3,COUNT(F1136:F1147)=3),cubic_spline(F1135:F1138,A1135:A1138,B$6),IF(AND(COUNT(A1136:A1147)=4,COUNT(F1136:F1147)=4),cubic_spline(F1135:F1139,A1135:A1139,B$6),IF(AND(COUNT(A1136:A1147)=5,COUNT(F1136:F1147)=5),cubic_spline(F1135:F1140,A1135:A1140,B$6),IF(AND(COUNT(A1136:A1147)=6,COUNT(F1136:F1147)=6),cubic_spline(F1135:F1141,A1135:A1141,B$6),IF(AND(COUNT(A1136:A1147)=7,COUNT(F1136:F1147)=7),cubic_spline(F1135:F1142,A1135:A1142,B$6),IF(AND(COUNT(A1136:A1147)=8,COUNT(F1136:F1147)=8),cubic_spline(F1135:F1143,A1135:A1143,B$6),IF(AND(COUNT(A1136:A1147)=9,COUNT(F1136:F1147)=9),cubic_spline(F1135:F1144,A1135:A1144,B$6),IF(AND(COUNT(A1136:A1147)=10,COUNT(F1136:F1147)=10),cubic_spline(F1135:F1145,A1135:A1145,B$6),IF(AND(COUNT(A1136:A1147)=11,COUNT(F1136:F1147)=11),cubic_spline(F1135:F1146,A1135:A1146,B$6),IF(AND(COUNT(A1136:A1147)=12,COUNT(F1136:F1147)=12),cubic_spline(F1135:F1147,A1135:A1147,B$6),""))))))))))))</f>
        <v/>
      </c>
      <c r="L1140" s="27" t="str">
        <f>IF(I1140="","",B$5&amp;"-"&amp;B$6)</f>
        <v/>
      </c>
      <c r="M1140" s="52" t="str">
        <f>IF(N(J1140)=0,"",J1140-J1139)</f>
        <v/>
      </c>
    </row>
    <row r="1141" spans="1:13" x14ac:dyDescent="0.35">
      <c r="A1141" s="48"/>
      <c r="B1141" s="48"/>
      <c r="C1141" s="50"/>
      <c r="D1141" s="50"/>
      <c r="E1141" s="51" t="str">
        <f t="shared" si="433"/>
        <v/>
      </c>
      <c r="F1141" s="71" t="str">
        <f t="shared" si="431"/>
        <v/>
      </c>
      <c r="G1141" s="69" t="str">
        <f t="shared" si="434"/>
        <v/>
      </c>
      <c r="H1141" s="70" t="str">
        <f t="shared" si="432"/>
        <v/>
      </c>
      <c r="I1141" s="27" t="str">
        <f>IF(N(J1141)=0,"",0&amp;"-"&amp;B$7)</f>
        <v/>
      </c>
      <c r="J1141" s="52" t="str">
        <f>IF(N(B$7)=0,"",IF(AND(COUNT(H1136:H1147)=2,COUNT(F1136:F1147)=2),cubic_spline(F1135:F1137,H1135:H1137,B$7),IF(AND(COUNT(H1136:H1147)=3,COUNT(F1136:F1147)=3),cubic_spline(F1135:F1138,H1135:H1138,B$7),IF(AND(COUNT(H1136:H1147)=4,COUNT(F1136:F1147)=4),cubic_spline(F1135:F1139,H1135:H1139,B$7),IF(AND(COUNT(H1136:H1147)=5,COUNT(F1136:F1147)=5),cubic_spline(F1135:F1140,H1135:H1140,B$7),IF(AND(COUNT(H1136:H1147)=6,COUNT(F1136:F1147)=6),cubic_spline(F1135:F1141,H1135:H1141,B$7),IF(AND(COUNT(H1136:H1147)=7,COUNT(F1136:F1147)=7),cubic_spline(F1135:F1142,H1135:H1142,B$7),IF(AND(COUNT(H1136:H1147)=8,COUNT(F1136:F1147)=8),cubic_spline(F1135:F1143,H1135:H1143,B$7),IF(AND(COUNT(H1136:H1147)=9,COUNT(F1136:F1147)=9),cubic_spline(F1135:F1144,H1135:H1144,B$7),IF(AND(COUNT(H1136:H1147)=10,COUNT(F1136:F1147)=10),cubic_spline(F1135:F1145,H1135:H1145,B$7),IF(AND(COUNT(H1136:H1147)=11,COUNT(F1136:F1147)=11),cubic_spline(F1135:F1146,H1135:H1146,B$7),IF(AND(COUNT(H1136:H1147)=12,COUNT(F1136:F1147)=12),cubic_spline(F1135:F1147,H1135:H1147,B$7),""))))))))))))</f>
        <v/>
      </c>
      <c r="K1141" s="52" t="str">
        <f>IF(N(B$7)=0,"",IF(AND(COUNT(A1136:A1147)=2,COUNT(F1136:F1147)=2),cubic_spline(F1135:F1137,A1135:A1137,B$7),IF(AND(COUNT(A1136:A1147)=3,COUNT(F1136:F1147)=3),cubic_spline(F1135:F1138,A1135:A1138,B$7),IF(AND(COUNT(A1136:A1147)=4,COUNT(F1136:F1147)=4),cubic_spline(F1135:F1139,A1135:A1139,B$7),IF(AND(COUNT(A1136:A1147)=5,COUNT(F1136:F1147)=5),cubic_spline(F1135:F1140,A1135:A1140,B$7),IF(AND(COUNT(A1136:A1147)=6,COUNT(F1136:F1147)=6),cubic_spline(F1135:F1141,A1135:A1141,B$7),IF(AND(COUNT(A1136:A1147)=7,COUNT(F1136:F1147)=7),cubic_spline(F1135:F1142,A1135:A1142,B$7),IF(AND(COUNT(A1136:A1147)=8,COUNT(F1136:F1147)=8),cubic_spline(F1135:F1143,A1135:A1143,B$7),IF(AND(COUNT(A1136:A1147)=9,COUNT(F1136:F1147)=9),cubic_spline(F1135:F1144,A1135:A1144,B$7),IF(AND(COUNT(A1136:A1147)=10,COUNT(F1136:F1147)=10),cubic_spline(F1135:F1145,A1135:A1145,B$7),IF(AND(COUNT(A1136:A1147)=11,COUNT(F1136:F1147)=11),cubic_spline(F1135:F1146,A1135:A1146,B$7),IF(AND(COUNT(A1136:A1147)=12,COUNT(F1136:F1147)=12),cubic_spline(F1135:F1147,A1135:A1147,B$7),""))))))))))))</f>
        <v/>
      </c>
      <c r="L1141" s="27" t="str">
        <f>IF(I1141="","",B$6&amp;"-"&amp;B$7)</f>
        <v/>
      </c>
      <c r="M1141" s="52" t="str">
        <f t="shared" ref="M1141:M1147" si="435">IF(N(J1141)=0,"",J1141-J1140)</f>
        <v/>
      </c>
    </row>
    <row r="1142" spans="1:13" x14ac:dyDescent="0.35">
      <c r="A1142" s="48"/>
      <c r="B1142" s="48"/>
      <c r="C1142" s="50"/>
      <c r="D1142" s="50"/>
      <c r="E1142" s="51" t="str">
        <f t="shared" si="433"/>
        <v/>
      </c>
      <c r="F1142" s="71" t="str">
        <f t="shared" si="431"/>
        <v/>
      </c>
      <c r="G1142" s="69" t="str">
        <f t="shared" si="434"/>
        <v/>
      </c>
      <c r="H1142" s="70" t="str">
        <f t="shared" si="432"/>
        <v/>
      </c>
      <c r="I1142" s="27" t="str">
        <f>IF(N(J1142)=0,"",0&amp;"-"&amp;B$8)</f>
        <v/>
      </c>
      <c r="J1142" s="52" t="str">
        <f>IF(N(B$8)=0,"",IF(AND(COUNT(H1136:H1147)=2,COUNT(F1136:F1147)=2),cubic_spline(F1135:F1137,H1135:H1137,B$8),IF(AND(COUNT(H1136:H1147)=3,COUNT(F1136:F1147)=3),cubic_spline(F1135:F1138,H1135:H1138,B$8),IF(AND(COUNT(H1136:H1147)=4,COUNT(F1136:F1147)=4),cubic_spline(F1135:F1139,H1135:H1139,B$8),IF(AND(COUNT(H1136:H1147)=5,COUNT(F1136:F1147)=5),cubic_spline(F1135:F1140,H1135:H1140,B$8),IF(AND(COUNT(H1136:H1147)=6,COUNT(F1136:F1147)=6),cubic_spline(F1135:F1141,H1135:H1141,B$8),IF(AND(COUNT(H1136:H1147)=7,COUNT(F1136:F1147)=7),cubic_spline(F1135:F1142,H1135:H1142,B$8),IF(AND(COUNT(H1136:H1147)=8,COUNT(F1136:F1147)=8),cubic_spline(F1135:F1143,H1135:H1143,B$8),IF(AND(COUNT(H1136:H1147)=9,COUNT(F1136:F1147)=9),cubic_spline(F1135:F1144,H1135:H1144,B$8),IF(AND(COUNT(H1136:H1147)=10,COUNT(F1136:F1147)=10),cubic_spline(F1135:F1145,H1135:H1145,B$8),IF(AND(COUNT(H1136:H1147)=11,COUNT(F1136:F1147)=11),cubic_spline(F1135:F1146,H1135:H1146,B$8),IF(AND(COUNT(H1136:H1147)=12,COUNT(F1136:F1147)=12),cubic_spline(F1135:F1147,H1135:H1147,B$8),""))))))))))))</f>
        <v/>
      </c>
      <c r="K1142" s="52" t="str">
        <f>IF(N(B$8)=0,"",IF(AND(COUNT(A1136:A1147)=2,COUNT(F1136:F1147)=2),cubic_spline(F1135:F1137,A1135:A1137,B$8),IF(AND(COUNT(A1136:A1147)=3,COUNT(F1136:F1147)=3),cubic_spline(F1135:F1138,A1135:A1138,B$8),IF(AND(COUNT(A1136:A1147)=4,COUNT(F1136:F1147)=4),cubic_spline(F1135:F1139,A1135:A1139,B$8),IF(AND(COUNT(A1136:A1147)=5,COUNT(F1136:F1147)=5),cubic_spline(F1135:F1140,A1135:A1140,B$8),IF(AND(COUNT(A1136:A1147)=6,COUNT(F1136:F1147)=6),cubic_spline(F1135:F1141,A1135:A1141,B$8),IF(AND(COUNT(A1136:A1147)=7,COUNT(F1136:F1147)=7),cubic_spline(F1135:F1142,A1135:A1142,B$8),IF(AND(COUNT(A1136:A1147)=8,COUNT(F1136:F1147)=8),cubic_spline(F1135:F1143,A1135:A1143,B$8),IF(AND(COUNT(A1136:A1147)=9,COUNT(F1136:F1147)=9),cubic_spline(F1135:F1144,A1135:A1144,B$8),IF(AND(COUNT(A1136:A1147)=10,COUNT(F1136:F1147)=10),cubic_spline(F1135:F1145,A1135:A1145,B$8),IF(AND(COUNT(A1136:A1147)=11,COUNT(F1136:F1147)=11),cubic_spline(F1135:F1146,A1135:A1146,B$8),IF(AND(COUNT(A1136:A1147)=12,COUNT(F1136:F1147)=12),cubic_spline(F1135:F1147,A1135:A1147,B$8),""))))))))))))</f>
        <v/>
      </c>
      <c r="L1142" s="27" t="str">
        <f>IF(I1142="","",B$7&amp;"-"&amp;B$8)</f>
        <v/>
      </c>
      <c r="M1142" s="52" t="str">
        <f t="shared" si="435"/>
        <v/>
      </c>
    </row>
    <row r="1143" spans="1:13" x14ac:dyDescent="0.35">
      <c r="A1143" s="48"/>
      <c r="B1143" s="48"/>
      <c r="C1143" s="50"/>
      <c r="D1143" s="50"/>
      <c r="E1143" s="51" t="str">
        <f t="shared" si="433"/>
        <v/>
      </c>
      <c r="F1143" s="71" t="str">
        <f t="shared" si="431"/>
        <v/>
      </c>
      <c r="G1143" s="69" t="str">
        <f t="shared" si="434"/>
        <v/>
      </c>
      <c r="H1143" s="70" t="str">
        <f t="shared" si="432"/>
        <v/>
      </c>
      <c r="I1143" s="27" t="str">
        <f>IF(N(J1143)=0,"",0&amp;"-"&amp;B$9)</f>
        <v/>
      </c>
      <c r="J1143" s="52" t="str">
        <f>IF(N(B$9)=0,"",IF(AND(COUNT(H1136:H1147)=2,COUNT(F1136:F1147)=2),cubic_spline(F1135:F1137,H1135:H1137,B$9),IF(AND(COUNT(H1136:H1147)=3,COUNT(F1136:F1147)=3),cubic_spline(F1135:F1138,H1135:H1138,B$9),IF(AND(COUNT(H1136:H1147)=4,COUNT(F1136:F1147)=4),cubic_spline(F1135:F1139,H1135:H1139,B$9),IF(AND(COUNT(H1136:H1147)=5,COUNT(F1136:F1147)=5),cubic_spline(F1135:F1140,H1135:H1140,B$9),IF(AND(COUNT(H1136:H1147)=6,COUNT(F1136:F1147)=6),cubic_spline(F1135:F1141,H1135:H1141,B$9),IF(AND(COUNT(H1136:H1147)=7,COUNT(F1136:F1147)=7),cubic_spline(F1135:F1142,H1135:H1142,B$9),IF(AND(COUNT(H1136:H1147)=8,COUNT(F1136:F1147)=8),cubic_spline(F1135:F1143,H1135:H1143,B$9),IF(AND(COUNT(H1136:H1147)=9,COUNT(F1136:F1147)=9),cubic_spline(F1135:F1144,H1135:H1144,B$9),IF(AND(COUNT(H1136:H1147)=10,COUNT(F1136:F1147)=10),cubic_spline(F1135:F1145,H1135:H1145,B$9),IF(AND(COUNT(H1136:H1147)=11,COUNT(F1136:F1147)=11),cubic_spline(F1135:F1146,H1135:H1146,B$9),IF(AND(COUNT(H1136:H1147)=12,COUNT(F1136:F1147)=12),cubic_spline(F1135:F1147,H1135:H1147,B$9),""))))))))))))</f>
        <v/>
      </c>
      <c r="K1143" s="52" t="str">
        <f>IF(N(B$9)=0,"",IF(AND(COUNT(A1136:A1147)=2,COUNT(F1136:F1147)=2),cubic_spline(F1135:F1137,A1135:A1137,B$9),IF(AND(COUNT(A1136:A1147)=3,COUNT(F1136:F1147)=3),cubic_spline(F1135:F1138,A1135:A1138,B$9),IF(AND(COUNT(A1136:A1147)=4,COUNT(F1136:F1147)=4),cubic_spline(F1135:F1139,A1135:A1139,B$9),IF(AND(COUNT(A1136:A1147)=5,COUNT(F1136:F1147)=5),cubic_spline(F1135:F1140,A1135:A1140,B$9),IF(AND(COUNT(A1136:A1147)=6,COUNT(F1136:F1147)=6),cubic_spline(F1135:F1141,A1135:A1141,B$9),IF(AND(COUNT(A1136:A1147)=7,COUNT(F1136:F1147)=7),cubic_spline(F1135:F1142,A1135:A1142,B$9),IF(AND(COUNT(A1136:A1147)=8,COUNT(F1136:F1147)=8),cubic_spline(F1135:F1143,A1135:A1143,B$9),IF(AND(COUNT(A1136:A1147)=9,COUNT(F1136:F1147)=9),cubic_spline(F1135:F1144,A1135:A1144,B$9),IF(AND(COUNT(A1136:A1147)=10,COUNT(F1136:F1147)=10),cubic_spline(F1135:F1145,A1135:A1145,B$9),IF(AND(COUNT(A1136:A1147)=11,COUNT(F1136:F1147)=11),cubic_spline(F1135:F1146,A1135:A1146,B$9),IF(AND(COUNT(A1136:A1147)=12,COUNT(F1136:F1147)=12),cubic_spline(F1135:F1147,A1135:A1147,B$9),""))))))))))))</f>
        <v/>
      </c>
      <c r="L1143" s="27" t="str">
        <f>IF(I1143="","",B$8&amp;"-"&amp;B$9)</f>
        <v/>
      </c>
      <c r="M1143" s="52" t="str">
        <f t="shared" si="435"/>
        <v/>
      </c>
    </row>
    <row r="1144" spans="1:13" x14ac:dyDescent="0.35">
      <c r="A1144" s="48"/>
      <c r="B1144" s="48"/>
      <c r="C1144" s="50"/>
      <c r="D1144" s="50"/>
      <c r="E1144" s="51" t="str">
        <f t="shared" si="433"/>
        <v/>
      </c>
      <c r="F1144" s="71" t="str">
        <f t="shared" si="431"/>
        <v/>
      </c>
      <c r="G1144" s="69" t="str">
        <f t="shared" si="434"/>
        <v/>
      </c>
      <c r="H1144" s="70" t="str">
        <f t="shared" si="432"/>
        <v/>
      </c>
      <c r="I1144" s="27" t="str">
        <f>IF(N(J1144)=0,"",0&amp;"-"&amp;B$10)</f>
        <v/>
      </c>
      <c r="J1144" s="52" t="str">
        <f>IF(N(B$10)=0,"",IF(AND(COUNT(H1136:H1147)=2,COUNT(F1136:F1147)=2),cubic_spline(F1135:F1137,H1135:H1137,B$10),IF(AND(COUNT(H1136:H1147)=3,COUNT(F1136:F1147)=3),cubic_spline(F1135:F1138,H1135:H1138,B$10),IF(AND(COUNT(H1136:H1147)=4,COUNT(F1136:F1147)=4),cubic_spline(F1135:F1139,H1135:H1139,B$10),IF(AND(COUNT(H1136:H1147)=5,COUNT(F1136:F1147)=5),cubic_spline(F1135:F1140,H1135:H1140,B$10),IF(AND(COUNT(H1136:H1147)=6,COUNT(F1136:F1147)=6),cubic_spline(F1135:F1141,H1135:H1141,B$10),IF(AND(COUNT(H1136:H1147)=7,COUNT(F1136:F1147)=7),cubic_spline(F1135:F1142,H1135:H1142,B$10),IF(AND(COUNT(H1136:H1147)=8,COUNT(F1136:F1147)=8),cubic_spline(F1135:F1143,H1135:H1143,B$10),IF(AND(COUNT(H1136:H1147)=9,COUNT(F1136:F1147)=9),cubic_spline(F1135:F1144,H1135:H1144,B$10),IF(AND(COUNT(H1136:H1147)=10,COUNT(F1136:F1147)=10),cubic_spline(F1135:F1145,H1135:H1145,B$10),IF(AND(COUNT(H1136:H1147)=11,COUNT(F1136:F1147)=11),cubic_spline(F1135:F1146,H1135:H1146,B$10),IF(AND(COUNT(H1136:H1147)=12,COUNT(F1136:F1147)=12),cubic_spline(F1135:F1147,H1135:H1147,B$10),""))))))))))))</f>
        <v/>
      </c>
      <c r="K1144" s="52" t="str">
        <f>IF(N(B$10)=0,"",IF(AND(COUNT(A1136:A1147)=2,COUNT(F1136:F1147)=2),cubic_spline(F1135:F1137,A1135:A1137,B$10),IF(AND(COUNT(A1136:A1147)=3,COUNT(F1136:F1147)=3),cubic_spline(F1135:F1138,A1135:A1138,B$10),IF(AND(COUNT(A1136:A1147)=4,COUNT(F1136:F1147)=4),cubic_spline(F1135:F1139,A1135:A1139,B$10),IF(AND(COUNT(A1136:A1147)=5,COUNT(F1136:F1147)=5),cubic_spline(F1135:F1140,A1135:A1140,B$10),IF(AND(COUNT(A1136:A1147)=6,COUNT(F1136:F1147)=6),cubic_spline(F1135:F1141,A1135:A1141,B$10),IF(AND(COUNT(A1136:A1147)=7,COUNT(F1136:F1147)=7),cubic_spline(F1135:F1142,A1135:A1142,B$10),IF(AND(COUNT(A1136:A1147)=8,COUNT(F1136:F1147)=8),cubic_spline(F1135:F1143,A1135:A1143,B$10),IF(AND(COUNT(A1136:A1147)=9,COUNT(F1136:F1147)=9),cubic_spline(F1135:F1144,A1135:A1144,B$10),IF(AND(COUNT(A1136:A1147)=10,COUNT(F1136:F1147)=10),cubic_spline(F1135:F1145,A1135:A1145,B$10),IF(AND(COUNT(A1136:A1147)=11,COUNT(F1136:F1147)=11),cubic_spline(F1135:F1146,A1135:A1146,B$10),IF(AND(COUNT(A1136:A1147)=12,COUNT(F1136:F1147)=12),cubic_spline(F1135:F1147,A1135:A1147,B$10),""))))))))))))</f>
        <v/>
      </c>
      <c r="L1144" s="27" t="str">
        <f>IF(I1144="","",B$9&amp;"-"&amp;B$10)</f>
        <v/>
      </c>
      <c r="M1144" s="52" t="str">
        <f t="shared" si="435"/>
        <v/>
      </c>
    </row>
    <row r="1145" spans="1:13" x14ac:dyDescent="0.35">
      <c r="A1145" s="48"/>
      <c r="B1145" s="48"/>
      <c r="C1145" s="50"/>
      <c r="D1145" s="50"/>
      <c r="E1145" s="51" t="str">
        <f t="shared" si="433"/>
        <v/>
      </c>
      <c r="F1145" s="71" t="str">
        <f t="shared" si="431"/>
        <v/>
      </c>
      <c r="G1145" s="69" t="str">
        <f t="shared" si="434"/>
        <v/>
      </c>
      <c r="H1145" s="70" t="str">
        <f t="shared" si="432"/>
        <v/>
      </c>
      <c r="I1145" s="27" t="str">
        <f>IF(N(J1145)=0,"",0&amp;"-"&amp;B$11)</f>
        <v/>
      </c>
      <c r="J1145" s="52" t="str">
        <f>IF(N(B$11)=0,"",IF(AND(COUNT(H1136:H1147)=2,COUNT(F1136:F1147)=2),cubic_spline(F1135:F1137,H1135:H1137,B$11),IF(AND(COUNT(H1136:H1147)=3,COUNT(F1136:F1147)=3),cubic_spline(F1135:F1138,H1135:H1138,B$11),IF(AND(COUNT(H1136:H1147)=4,COUNT(F1136:F1147)=4),cubic_spline(F1135:F1139,H1135:H1139,B$11),IF(AND(COUNT(H1136:H1147)=5,COUNT(F1136:F1147)=5),cubic_spline(F1135:F1140,H1135:H1140,B$11),IF(AND(COUNT(H1136:H1147)=6,COUNT(F1136:F1147)=6),cubic_spline(F1135:F1141,H1135:H1141,B$11),IF(AND(COUNT(H1136:H1147)=7,COUNT(F1136:F1147)=7),cubic_spline(F1135:F1142,H1135:H1142,B$11),IF(AND(COUNT(H1136:H1147)=8,COUNT(F1136:F1147)=8),cubic_spline(F1135:F1143,H1135:H1143,B$11),IF(AND(COUNT(H1136:H1147)=9,COUNT(F1136:F1147)=9),cubic_spline(F1135:F1144,H1135:H1144,B$11),IF(AND(COUNT(H1136:H1147)=10,COUNT(F1136:F1147)=10),cubic_spline(F1135:F1145,H1135:H1145,B$11),IF(AND(COUNT(H1136:H1147)=11,COUNT(F1136:F1147)=11),cubic_spline(F1135:F1146,H1135:H1146,B$11),IF(AND(COUNT(H1136:H1147)=12,COUNT(F1136:F1147)=12),cubic_spline(F1135:F1147,H1135:H1147,B$11),""))))))))))))</f>
        <v/>
      </c>
      <c r="K1145" s="52" t="str">
        <f>IF(N(B$11)=0,"",IF(AND(COUNT(A1136:A1147)=2,COUNT(F1136:F1147)=2),cubic_spline(F1135:F1137,A1135:A1137,B$11),IF(AND(COUNT(A1136:A1147)=3,COUNT(F1136:F1147)=3),cubic_spline(F1135:F1138,A1135:A1138,B$11),IF(AND(COUNT(A1136:A1147)=4,COUNT(F1136:F1147)=4),cubic_spline(F1135:F1139,A1135:A1139,B$11),IF(AND(COUNT(A1136:A1147)=5,COUNT(F1136:F1147)=5),cubic_spline(F1135:F1140,A1135:A1140,B$11),IF(AND(COUNT(A1136:A1147)=6,COUNT(F1136:F1147)=6),cubic_spline(F1135:F1141,A1135:A1141,B$11),IF(AND(COUNT(A1136:A1147)=7,COUNT(F1136:F1147)=7),cubic_spline(F1135:F1142,A1135:A1142,B$11),IF(AND(COUNT(A1136:A1147)=8,COUNT(F1136:F1147)=8),cubic_spline(F1135:F1143,A1135:A1143,B$11),IF(AND(COUNT(A1136:A1147)=9,COUNT(F1136:F1147)=9),cubic_spline(F1135:F1144,A1135:A1144,B$11),IF(AND(COUNT(A1136:A1147)=10,COUNT(F1136:F1147)=10),cubic_spline(F1135:F1145,A1135:A1145,B$11),IF(AND(COUNT(A1136:A1147)=11,COUNT(F1136:F1147)=11),cubic_spline(F1135:F1146,A1135:A1146,B$11),IF(AND(COUNT(A1136:A1147)=12,COUNT(F1136:F1147)=12),cubic_spline(F1135:F1147,A1135:A1147,B$11),""))))))))))))</f>
        <v/>
      </c>
      <c r="L1145" s="27" t="str">
        <f>IF(I1145="","",B$10&amp;"-"&amp;B$11)</f>
        <v/>
      </c>
      <c r="M1145" s="52" t="str">
        <f t="shared" si="435"/>
        <v/>
      </c>
    </row>
    <row r="1146" spans="1:13" x14ac:dyDescent="0.35">
      <c r="A1146" s="48"/>
      <c r="B1146" s="48"/>
      <c r="C1146" s="50"/>
      <c r="D1146" s="50"/>
      <c r="E1146" s="51" t="str">
        <f t="shared" si="433"/>
        <v/>
      </c>
      <c r="F1146" s="71" t="str">
        <f t="shared" si="431"/>
        <v/>
      </c>
      <c r="G1146" s="69" t="str">
        <f t="shared" si="434"/>
        <v/>
      </c>
      <c r="H1146" s="70" t="str">
        <f t="shared" si="432"/>
        <v/>
      </c>
      <c r="I1146" s="27" t="str">
        <f>IF(N(J1146)=0,"",0&amp;"-"&amp;B$12)</f>
        <v/>
      </c>
      <c r="J1146" s="52" t="str">
        <f>IF(N(B$12)=0,"",IF(AND(COUNT(H1136:H1147)=2,COUNT(F1136:F1147)=2),cubic_spline(F1135:F1137,H1135:H1137,B$12),IF(AND(COUNT(H1136:H1147)=3,COUNT(F1136:F1147)=3),cubic_spline(F1135:F1138,H1135:H1138,B$12),IF(AND(COUNT(H1136:H1147)=4,COUNT(F1136:F1147)=4),cubic_spline(F1135:F1139,H1135:H1139,B$12),IF(AND(COUNT(H1136:H1147)=5,COUNT(F1136:F1147)=5),cubic_spline(F1135:F1140,H1135:H1140,B$12),IF(AND(COUNT(H1136:H1147)=6,COUNT(F1136:F1147)=6),cubic_spline(F1135:F1141,H1135:H1141,B$12),IF(AND(COUNT(H1136:H1147)=7,COUNT(F1136:F1147)=7),cubic_spline(F1135:F1142,H1135:H1142,B$12),IF(AND(COUNT(H1136:H1147)=8,COUNT(F1136:F1147)=8),cubic_spline(F1135:F1143,H1135:H1143,B$12),IF(AND(COUNT(H1136:H1147)=9,COUNT(F1136:F1147)=9),cubic_spline(F1135:F1144,H1135:H1144,B$12),IF(AND(COUNT(H1136:H1147)=10,COUNT(F1136:F1147)=10),cubic_spline(F1135:F1145,H1135:H1145,B$12),IF(AND(COUNT(H1136:H1147)=11,COUNT(F1136:F1147)=11),cubic_spline(F1135:F1146,H1135:H1146,B$12),IF(AND(COUNT(H1136:H1147)=12,COUNT(F1136:F1147)=12),cubic_spline(F1135:F1147,H1135:H1147,B$12),""))))))))))))</f>
        <v/>
      </c>
      <c r="K1146" s="52" t="str">
        <f>IF(N(B$12)=0,"",IF(AND(COUNT(A1136:A1147)=2,COUNT(F1136:F1147)=2),cubic_spline(F1135:F1137,A1135:A1137,B$12),IF(AND(COUNT(A1136:A1147)=3,COUNT(F1136:F1147)=3),cubic_spline(F1135:F1138,A1135:A1138,B$12),IF(AND(COUNT(A1136:A1147)=4,COUNT(F1136:F1147)=4),cubic_spline(F1135:F1139,A1135:A1139,B$12),IF(AND(COUNT(A1136:A1147)=5,COUNT(F1136:F1147)=5),cubic_spline(F1135:F1140,A1135:A1140,B$12),IF(AND(COUNT(A1136:A1147)=6,COUNT(F1136:F1147)=6),cubic_spline(F1135:F1141,A1135:A1141,B$12),IF(AND(COUNT(A1136:A1147)=7,COUNT(F1136:F1147)=7),cubic_spline(F1135:F1142,A1135:A1142,B$12),IF(AND(COUNT(A1136:A1147)=8,COUNT(F1136:F1147)=8),cubic_spline(F1135:F1143,A1135:A1143,B$12),IF(AND(COUNT(A1136:A1147)=9,COUNT(F1136:F1147)=9),cubic_spline(F1135:F1144,A1135:A1144,B$12),IF(AND(COUNT(A1136:A1147)=10,COUNT(F1136:F1147)=10),cubic_spline(F1135:F1145,A1135:A1145,B$12),IF(AND(COUNT(A1136:A1147)=11,COUNT(F1136:F1147)=11),cubic_spline(F1135:F1146,A1135:A1146,B$12),IF(AND(COUNT(A1136:A1147)=12,COUNT(F1136:F1147)=12),cubic_spline(F1135:F1147,A1135:A1147,B$12),""))))))))))))</f>
        <v/>
      </c>
      <c r="L1146" s="27" t="str">
        <f>IF(I1146="","",B$11&amp;"-"&amp;B$12)</f>
        <v/>
      </c>
      <c r="M1146" s="52" t="str">
        <f t="shared" si="435"/>
        <v/>
      </c>
    </row>
    <row r="1147" spans="1:13" x14ac:dyDescent="0.35">
      <c r="A1147" s="48"/>
      <c r="B1147" s="48"/>
      <c r="C1147" s="50"/>
      <c r="D1147" s="50"/>
      <c r="E1147" s="51" t="str">
        <f t="shared" si="433"/>
        <v/>
      </c>
      <c r="F1147" s="71" t="str">
        <f t="shared" si="431"/>
        <v/>
      </c>
      <c r="G1147" s="69" t="str">
        <f t="shared" si="434"/>
        <v/>
      </c>
      <c r="H1147" s="70" t="str">
        <f t="shared" si="432"/>
        <v/>
      </c>
      <c r="I1147" s="27" t="str">
        <f>IF(N(J1147)=0,"",0&amp;"-"&amp;B$13)</f>
        <v/>
      </c>
      <c r="J1147" s="52" t="str">
        <f>IF(N(B$13)=0,"",IF(AND(COUNT(H1136:H1147)=2,COUNT(F1136:F1147)=2),cubic_spline(F1135:F1137,H1135:H1137,B$13),IF(AND(COUNT(H1136:H1147)=3,COUNT(F1136:F1147)=3),cubic_spline(F1135:F1138,H1135:H1138,B$13),IF(AND(COUNT(H1136:H1147)=4,COUNT(F1136:F1147)=4),cubic_spline(F1135:F1139,H1135:H1139,B$13),IF(AND(COUNT(H1136:H1147)=5,COUNT(F1136:F1147)=5),cubic_spline(F1135:F1140,H1135:H1140,B$13),IF(AND(COUNT(H1136:H1147)=6,COUNT(F1136:F1147)=6),cubic_spline(F1135:F1141,H1135:H1141,B$13),IF(AND(COUNT(H1136:H1147)=7,COUNT(F1136:F1147)=7),cubic_spline(F1135:F1142,H1135:H1142,B$13),IF(AND(COUNT(H1136:H1147)=8,COUNT(F1136:F1147)=8),cubic_spline(F1135:F1143,H1135:H1143,B$13),IF(AND(COUNT(H1136:H1147)=9,COUNT(F1136:F1147)=9),cubic_spline(F1135:F1144,H1135:H1144,B$13),IF(AND(COUNT(H1136:H1147)=10,COUNT(F1136:F1147)=10),cubic_spline(F1135:F1145,H1135:H1145,B$13),IF(AND(COUNT(H1136:H1147)=11,COUNT(F1136:F1147)=11),cubic_spline(F1135:F1146,H1135:H1146,B$13),IF(AND(COUNT(H1136:H1147)=12,COUNT(F1136:F1147)=12),cubic_spline(F1135:F1147,H1135:H1147,B$13),""))))))))))))</f>
        <v/>
      </c>
      <c r="K1147" s="52" t="str">
        <f>IF(N(B$13)=0,"",IF(AND(COUNT(A1136:A1147)=2,COUNT(F1136:F1147)=2),cubic_spline(F1135:F1137,A1135:A1137,B$13),IF(AND(COUNT(A1136:A1147)=3,COUNT(F1136:F1147)=3),cubic_spline(F1135:F1138,A1135:A1138,B$13),IF(AND(COUNT(A1136:A1147)=4,COUNT(F1136:F1147)=4),cubic_spline(F1135:F1139,A1135:A1139,B$13),IF(AND(COUNT(A1136:A1147)=5,COUNT(F1136:F1147)=5),cubic_spline(F1135:F1140,A1135:A1140,B$13),IF(AND(COUNT(A1136:A1147)=6,COUNT(F1136:F1147)=6),cubic_spline(F1135:F1141,A1135:A1141,B$13),IF(AND(COUNT(A1136:A1147)=7,COUNT(F1136:F1147)=7),cubic_spline(F1135:F1142,A1135:A1142,B$13),IF(AND(COUNT(A1136:A1147)=8,COUNT(F1136:F1147)=8),cubic_spline(F1135:F1143,A1135:A1143,B$13),IF(AND(COUNT(A1136:A1147)=9,COUNT(F1136:F1147)=9),cubic_spline(F1135:F1144,A1135:A1144,B$13),IF(AND(COUNT(A1136:A1147)=10,COUNT(F1136:F1147)=10),cubic_spline(F1135:F1145,A1135:A1145,B$13),IF(AND(COUNT(A1136:A1147)=11,COUNT(F1136:F1147)=11),cubic_spline(F1135:F1146,A1135:A1146,B$13),IF(AND(COUNT(A1136:A1147)=12,COUNT(F1136:F1147)=12),cubic_spline(F1135:F1147,A1135:A1147,B$13),""))))))))))))</f>
        <v/>
      </c>
      <c r="L1147" s="27" t="str">
        <f>IF(I1147="","",B$12&amp;"-"&amp;B$13)</f>
        <v/>
      </c>
      <c r="M1147" s="52" t="str">
        <f t="shared" si="435"/>
        <v/>
      </c>
    </row>
    <row r="1148" spans="1:13" ht="5.15" customHeight="1" x14ac:dyDescent="0.35">
      <c r="A1148" s="47"/>
      <c r="B1148" s="47"/>
      <c r="C1148" s="53"/>
      <c r="D1148" s="53"/>
      <c r="E1148" s="54"/>
      <c r="F1148" s="55"/>
      <c r="G1148" s="72"/>
      <c r="H1148" s="73"/>
      <c r="I1148" s="47"/>
      <c r="J1148" s="57"/>
      <c r="K1148" s="57"/>
      <c r="L1148" s="55"/>
      <c r="M1148" s="57"/>
    </row>
    <row r="1149" spans="1:13" x14ac:dyDescent="0.35">
      <c r="A1149" s="48"/>
      <c r="B1149" s="48"/>
      <c r="C1149" s="50"/>
      <c r="D1149" s="50"/>
      <c r="E1149" s="51" t="str">
        <f>IF(N(C1149)=0,"",(A1149-A1148)*C1149*100)</f>
        <v/>
      </c>
      <c r="F1149" s="68" t="str">
        <f t="shared" ref="F1149:F1160" si="436">IF(N(E1149)=0,"",(N(E1149)+N(F1148)))</f>
        <v/>
      </c>
      <c r="G1149" s="69" t="str">
        <f>IF(OR(N(D1149)=0,N(E1149)=0),"",(E1149*D1149)/1000)</f>
        <v/>
      </c>
      <c r="H1149" s="70" t="str">
        <f t="shared" ref="H1149:H1160" si="437">IF(N(G1149)=0,"",(N(G1149)+N(H1148)))</f>
        <v/>
      </c>
      <c r="I1149" s="27" t="str">
        <f>IF(N(J1149)=0,"",0&amp;"-"&amp;B$2)</f>
        <v/>
      </c>
      <c r="J1149" s="52" t="str">
        <f>IF(N(B$2)=0,"",IF(AND(COUNT(H1149:H1160)=2,COUNT(F1149:F1160)=2),cubic_spline(F1148:F1150,H1148:H1150,B$2),IF(AND(COUNT(H1149:H1160)=3,COUNT(F1149:F1160)=3),cubic_spline(F1148:F1151,H1148:H1151,B$2),IF(AND(COUNT(H1149:H1160)=4,COUNT(F1149:F1160)=4),cubic_spline(F1148:F1152,H1148:H1152,B$2),IF(AND(COUNT(H1149:H1160)=5,COUNT(F1149:F1160)=5),cubic_spline(F1148:F1153,H1148:H1153,B$2),IF(AND(COUNT(H1149:H1160)=6,COUNT(F1149:F1160)=6),cubic_spline(F1148:F1154,H1148:H1154,B$2),IF(AND(COUNT(H1149:H1160)=7,COUNT(F1149:F1160)=7),cubic_spline(F1148:F1155,H1148:H1155,B$2),IF(AND(COUNT(H1149:H1160)=8,COUNT(F1149:F1160)=8),cubic_spline(F1148:F1156,H1148:H1156,B$2),IF(AND(COUNT(H1149:H1160)=9,COUNT(F1149:F1160)=9),cubic_spline(F1148:F1157,H1148:H1157,B$2),IF(AND(COUNT(H1149:H1160)=10,COUNT(F1149:F1160)=10),cubic_spline(F1148:F1158,H1148:H1158,B$2),IF(AND(COUNT(H1149:H1160)=11,COUNT(F1149:F1160)=11),cubic_spline(F1148:F1159,H1148:H1159,B$2),IF(AND(COUNT(H1149:H1160)=12,COUNT(F1149:F1160)=12),cubic_spline(F1148:F1160,H1148:H1160,B$2),""))))))))))))</f>
        <v/>
      </c>
      <c r="K1149" s="52" t="str">
        <f>IF(N(B$2)=0,"",IF(AND(COUNT(A1149:A1160)=2,COUNT(F1149:F1160)=2),cubic_spline(F1148:F1150,A1148:A1150,B$2),IF(AND(COUNT(A1149:A1160)=3,COUNT(F1149:F1160)=3),cubic_spline(F1148:F1151,A1148:A1151,B$2),IF(AND(COUNT(A1149:A1160)=4,COUNT(F1149:F1160)=4),cubic_spline(F1148:F1152,A1148:A1152,B$2),IF(AND(COUNT(A1149:A1160)=5,COUNT(F1149:F1160)=5),cubic_spline(F1148:F1153,A1148:A1153,B$2),IF(AND(COUNT(A1149:A1160)=6,COUNT(F1149:F1160)=6),cubic_spline(F1148:F1154,A1148:A1154,B$2),IF(AND(COUNT(A1149:A1160)=7,COUNT(F1149:F1160)=7),cubic_spline(F1148:F1155,A1148:A1155,B$2),IF(AND(COUNT(A1149:A1160)=8,COUNT(F1149:F1160)=8),cubic_spline(F1148:F1156,A1148:A1156,B$2),IF(AND(COUNT(A1149:A1160)=9,COUNT(F1149:F1160)=9),cubic_spline(F1148:F1157,A1148:A1157,B$2),IF(AND(COUNT(A1149:A1160)=10,COUNT(F1149:F1160)=10),cubic_spline(F1148:F1158,A1148:A1158,B$2),IF(AND(COUNT(A1149:A1160)=11,COUNT(F1149:F1160)=11),cubic_spline(F1148:F1159,A1148:A1159,B$2),IF(AND(COUNT(A1149:A1160)=12,COUNT(F1149:F1160)=12),cubic_spline(F1148:F1160,A1148:A1160,B$2),""))))))))))))</f>
        <v/>
      </c>
      <c r="L1149" s="27" t="str">
        <f>IF(I1149="","",0&amp;"-"&amp;B$2)</f>
        <v/>
      </c>
      <c r="M1149" s="52" t="str">
        <f>IF(N(J1149)=0,"",J1149-J1148)</f>
        <v/>
      </c>
    </row>
    <row r="1150" spans="1:13" x14ac:dyDescent="0.35">
      <c r="A1150" s="48"/>
      <c r="B1150" s="48"/>
      <c r="C1150" s="50"/>
      <c r="D1150" s="50"/>
      <c r="E1150" s="51" t="str">
        <f t="shared" ref="E1150:E1160" si="438">IF(N(C1150)=0,"",(A1150-A1149)*C1150*100)</f>
        <v/>
      </c>
      <c r="F1150" s="68" t="str">
        <f t="shared" si="436"/>
        <v/>
      </c>
      <c r="G1150" s="69" t="str">
        <f t="shared" ref="G1150:G1160" si="439">IF(OR(N(D1150)=0,N(E1150)=0),"",(E1150*D1150)/1000)</f>
        <v/>
      </c>
      <c r="H1150" s="70" t="str">
        <f t="shared" si="437"/>
        <v/>
      </c>
      <c r="I1150" s="27" t="str">
        <f>IF(N(J1150)=0,"",0&amp;"-"&amp;B$3)</f>
        <v/>
      </c>
      <c r="J1150" s="52" t="str">
        <f>IF(N(B$3)=0,"",IF(AND(COUNT(H1149:H1160)=2,COUNT(F1149:F1160)=2),cubic_spline(F1148:F1150,H1148:H1150,B$3),IF(AND(COUNT(H1149:H1160)=3,COUNT(F1149:F1160)=3),cubic_spline(F1148:F1151,H1148:H1151,B$3),IF(AND(COUNT(H1149:H1160)=4,COUNT(F1149:F1160)=4),cubic_spline(F1148:F1152,H1148:H1152,B$3),IF(AND(COUNT(H1149:H1160)=5,COUNT(F1149:F1160)=5),cubic_spline(F1148:F1153,H1148:H1153,B$3),IF(AND(COUNT(H1149:H1160)=6,COUNT(F1149:F1160)=6),cubic_spline(F1148:F1154,H1148:H1154,B$3),IF(AND(COUNT(H1149:H1160)=7,COUNT(F1149:F1160)=7),cubic_spline(F1148:F1155,H1148:H1155,B$3),IF(AND(COUNT(H1149:H1160)=8,COUNT(F1149:F1160)=8),cubic_spline(F1148:F1156,H1148:H1156,B$3),IF(AND(COUNT(H1149:H1160)=9,COUNT(F1149:F1160)=9),cubic_spline(F1148:F1157,H1148:H1157,B$3),IF(AND(COUNT(H1149:H1160)=10,COUNT(F1149:F1160)=10),cubic_spline(F1148:F1158,H1148:H1158,B$3),IF(AND(COUNT(H1149:H1160)=11,COUNT(F1149:F1160)=11),cubic_spline(F1148:F1159,H1148:H1159,B$3),IF(AND(COUNT(H1149:H1160)=12,COUNT(F1149:F1160)=12),cubic_spline(F1148:F1160,H1148:H1160,B$3),""))))))))))))</f>
        <v/>
      </c>
      <c r="K1150" s="52" t="str">
        <f>IF(N(B$3)=0,"",IF(AND(COUNT(A1149:A1160)=2,COUNT(F1149:F1160)=2),cubic_spline(F1148:F1150,A1148:A1150,B$3),IF(AND(COUNT(A1149:A1160)=3,COUNT(F1149:F1160)=3),cubic_spline(F1148:F1151,A1148:A1151,B$3),IF(AND(COUNT(A1149:A1160)=4,COUNT(F1149:F1160)=4),cubic_spline(F1148:F1152,A1148:A1152,B$3),IF(AND(COUNT(A1149:A1160)=5,COUNT(F1149:F1160)=5),cubic_spline(F1148:F1153,A1148:A1153,B$3),IF(AND(COUNT(A1149:A1160)=6,COUNT(F1149:F1160)=6),cubic_spline(F1148:F1154,A1148:A1154,B$3),IF(AND(COUNT(A1149:A1160)=7,COUNT(F1149:F1160)=7),cubic_spline(F1148:F1155,A1148:A1155,B$3),IF(AND(COUNT(A1149:A1160)=8,COUNT(F1149:F1160)=8),cubic_spline(F1148:F1156,A1148:A1156,B$3),IF(AND(COUNT(A1149:A1160)=9,COUNT(F1149:F1160)=9),cubic_spline(F1148:F1157,A1148:A1157,B$3),IF(AND(COUNT(A1149:A1160)=10,COUNT(F1149:F1160)=10),cubic_spline(F1148:F1158,A1148:A1158,B$3),IF(AND(COUNT(A1149:A1160)=11,COUNT(F1149:F1160)=11),cubic_spline(F1148:F1159,A1148:A1159,B$3),IF(AND(COUNT(A1149:A1160)=12,COUNT(F1149:F1160)=12),cubic_spline(F1148:F1160,A1148:A1160,B$3),""))))))))))))</f>
        <v/>
      </c>
      <c r="L1150" s="27" t="str">
        <f>IF(I1150="","",B$2&amp;"-"&amp;B$3)</f>
        <v/>
      </c>
      <c r="M1150" s="52" t="str">
        <f>IF(N(J1150)=0,"",J1150-J1149)</f>
        <v/>
      </c>
    </row>
    <row r="1151" spans="1:13" x14ac:dyDescent="0.35">
      <c r="A1151" s="48"/>
      <c r="B1151" s="48"/>
      <c r="C1151" s="50"/>
      <c r="D1151" s="50"/>
      <c r="E1151" s="51" t="str">
        <f t="shared" si="438"/>
        <v/>
      </c>
      <c r="F1151" s="68" t="str">
        <f t="shared" si="436"/>
        <v/>
      </c>
      <c r="G1151" s="69" t="str">
        <f t="shared" si="439"/>
        <v/>
      </c>
      <c r="H1151" s="70" t="str">
        <f t="shared" si="437"/>
        <v/>
      </c>
      <c r="I1151" s="27" t="str">
        <f>IF(N(J1151)=0,"",0&amp;"-"&amp;B$4)</f>
        <v/>
      </c>
      <c r="J1151" s="52" t="str">
        <f>IF(N(B$4)=0,"",IF(AND(COUNT(H1149:H1160)=2,COUNT(F1149:F1160)=2),cubic_spline(F1148:F1150,H1148:H1150,B$4),IF(AND(COUNT(H1149:H1160)=3,COUNT(F1149:F1160)=3),cubic_spline(F1148:F1151,H1148:H1151,B$4),IF(AND(COUNT(H1149:H1160)=4,COUNT(F1149:F1160)=4),cubic_spline(F1148:F1152,H1148:H1152,B$4),IF(AND(COUNT(H1149:H1160)=5,COUNT(F1149:F1160)=5),cubic_spline(F1148:F1153,H1148:H1153,B$4),IF(AND(COUNT(H1149:H1160)=6,COUNT(F1149:F1160)=6),cubic_spline(F1148:F1154,H1148:H1154,B$4),IF(AND(COUNT(H1149:H1160)=7,COUNT(F1149:F1160)=7),cubic_spline(F1148:F1155,H1148:H1155,B$4),IF(AND(COUNT(H1149:H1160)=8,COUNT(F1149:F1160)=8),cubic_spline(F1148:F1156,H1148:H1156,B$4),IF(AND(COUNT(H1149:H1160)=9,COUNT(F1149:F1160)=9),cubic_spline(F1148:F1157,H1148:H1157,B$4),IF(AND(COUNT(H1149:H1160)=10,COUNT(F1149:F1160)=10),cubic_spline(F1148:F1158,H1148:H1158,B$4),IF(AND(COUNT(H1149:H1160)=11,COUNT(F1149:F1160)=11),cubic_spline(F1148:F1159,H1148:H1159,B$4),IF(AND(COUNT(H1149:H1160)=12,COUNT(F1149:F1160)=12),cubic_spline(F1148:F1160,H1148:H1160,B$4),""))))))))))))</f>
        <v/>
      </c>
      <c r="K1151" s="52" t="str">
        <f>IF(N(B$4)=0,"",IF(AND(COUNT(A1149:A1160)=2,COUNT(F1149:F1160)=2),cubic_spline(F1148:F1150,A1148:A1150,B$4),IF(AND(COUNT(A1149:A1160)=3,COUNT(F1149:F1160)=3),cubic_spline(F1148:F1151,A1148:A1151,B$4),IF(AND(COUNT(A1149:A1160)=4,COUNT(F1149:F1160)=4),cubic_spline(F1148:F1152,A1148:A1152,B$4),IF(AND(COUNT(A1149:A1160)=5,COUNT(F1149:F1160)=5),cubic_spline(F1148:F1153,A1148:A1153,B$4),IF(AND(COUNT(A1149:A1160)=6,COUNT(F1149:F1160)=6),cubic_spline(F1148:F1154,A1148:A1154,B$4),IF(AND(COUNT(A1149:A1160)=7,COUNT(F1149:F1160)=7),cubic_spline(F1148:F1155,A1148:A1155,B$4),IF(AND(COUNT(A1149:A1160)=8,COUNT(F1149:F1160)=8),cubic_spline(F1148:F1156,A1148:A1156,B$4),IF(AND(COUNT(A1149:A1160)=9,COUNT(F1149:F1160)=9),cubic_spline(F1148:F1157,A1148:A1157,B$4),IF(AND(COUNT(A1149:A1160)=10,COUNT(F1149:F1160)=10),cubic_spline(F1148:F1158,A1148:A1158,B$4),IF(AND(COUNT(A1149:A1160)=11,COUNT(F1149:F1160)=11),cubic_spline(F1148:F1159,A1148:A1159,B$4),IF(AND(COUNT(A1149:A1160)=12,COUNT(F1149:F1160)=12),cubic_spline(F1148:F1160,A1148:A1160,B$4),""))))))))))))</f>
        <v/>
      </c>
      <c r="L1151" s="27" t="str">
        <f>IF(I1151="","",B$3&amp;"-"&amp;B$4)</f>
        <v/>
      </c>
      <c r="M1151" s="52" t="str">
        <f>IF(N(J1151)=0,"",J1151-J1150)</f>
        <v/>
      </c>
    </row>
    <row r="1152" spans="1:13" x14ac:dyDescent="0.35">
      <c r="A1152" s="48"/>
      <c r="B1152" s="48"/>
      <c r="C1152" s="50"/>
      <c r="D1152" s="50"/>
      <c r="E1152" s="51" t="str">
        <f t="shared" si="438"/>
        <v/>
      </c>
      <c r="F1152" s="68" t="str">
        <f t="shared" si="436"/>
        <v/>
      </c>
      <c r="G1152" s="69" t="str">
        <f t="shared" si="439"/>
        <v/>
      </c>
      <c r="H1152" s="70" t="str">
        <f t="shared" si="437"/>
        <v/>
      </c>
      <c r="I1152" s="27" t="str">
        <f>IF(N(J1152)=0,"",0&amp;"-"&amp;B$5)</f>
        <v/>
      </c>
      <c r="J1152" s="52" t="str">
        <f>IF(N(B$5)=0,"",IF(AND(COUNT(H1149:H1160)=2,COUNT(F1149:F1160)=2),cubic_spline(F1148:F1150,H1148:H1150,B$5),IF(AND(COUNT(H1149:H1160)=3,COUNT(F1149:F1160)=3),cubic_spline(F1148:F1151,H1148:H1151,B$5),IF(AND(COUNT(H1149:H1160)=4,COUNT(F1149:F1160)=4),cubic_spline(F1148:F1152,H1148:H1152,B$5),IF(AND(COUNT(H1149:H1160)=5,COUNT(F1149:F1160)=5),cubic_spline(F1148:F1153,H1148:H1153,B$5),IF(AND(COUNT(H1149:H1160)=6,COUNT(F1149:F1160)=6),cubic_spline(F1148:F1154,H1148:H1154,B$5),IF(AND(COUNT(H1149:H1160)=7,COUNT(F1149:F1160)=7),cubic_spline(F1148:F1155,H1148:H1155,B$5),IF(AND(COUNT(H1149:H1160)=8,COUNT(F1149:F1160)=8),cubic_spline(F1148:F1156,H1148:H1156,B$5),IF(AND(COUNT(H1149:H1160)=9,COUNT(F1149:F1160)=9),cubic_spline(F1148:F1157,H1148:H1157,B$5),IF(AND(COUNT(H1149:H1160)=10,COUNT(F1149:F1160)=10),cubic_spline(F1148:F1158,H1148:H1158,B$5),IF(AND(COUNT(H1149:H1160)=11,COUNT(F1149:F1160)=11),cubic_spline(F1148:F1159,H1148:H1159,B$5),IF(AND(COUNT(H1149:H1160)=12,COUNT(F1149:F1160)=12),cubic_spline(F1148:F1160,H1148:H1160,B$5),""))))))))))))</f>
        <v/>
      </c>
      <c r="K1152" s="52" t="str">
        <f>IF(N(B$5)=0,"",IF(AND(COUNT(A1149:A1160)=2,COUNT(F1149:F1160)=2),cubic_spline(F1148:F1150,A1148:A1150,B$5),IF(AND(COUNT(A1149:A1160)=3,COUNT(F1149:F1160)=3),cubic_spline(F1148:F1151,A1148:A1151,B$5),IF(AND(COUNT(A1149:A1160)=4,COUNT(F1149:F1160)=4),cubic_spline(F1148:F1152,A1148:A1152,B$5),IF(AND(COUNT(A1149:A1160)=5,COUNT(F1149:F1160)=5),cubic_spline(F1148:F1153,A1148:A1153,B$5),IF(AND(COUNT(A1149:A1160)=6,COUNT(F1149:F1160)=6),cubic_spline(F1148:F1154,A1148:A1154,B$5),IF(AND(COUNT(A1149:A1160)=7,COUNT(F1149:F1160)=7),cubic_spline(F1148:F1155,A1148:A1155,B$5),IF(AND(COUNT(A1149:A1160)=8,COUNT(F1149:F1160)=8),cubic_spline(F1148:F1156,A1148:A1156,B$5),IF(AND(COUNT(A1149:A1160)=9,COUNT(F1149:F1160)=9),cubic_spline(F1148:F1157,A1148:A1157,B$5),IF(AND(COUNT(A1149:A1160)=10,COUNT(F1149:F1160)=10),cubic_spline(F1148:F1158,A1148:A1158,B$5),IF(AND(COUNT(A1149:A1160)=11,COUNT(F1149:F1160)=11),cubic_spline(F1148:F1159,A1148:A1159,B$5),IF(AND(COUNT(A1149:A1160)=12,COUNT(F1149:F1160)=12),cubic_spline(F1148:F1160,A1148:A1160,B$5),""))))))))))))</f>
        <v/>
      </c>
      <c r="L1152" s="27" t="str">
        <f>IF(I1152="","",B$4&amp;"-"&amp;B$5)</f>
        <v/>
      </c>
      <c r="M1152" s="52" t="str">
        <f>IF(N(J1152)=0,"",J1152-J1151)</f>
        <v/>
      </c>
    </row>
    <row r="1153" spans="1:13" x14ac:dyDescent="0.35">
      <c r="A1153" s="48"/>
      <c r="B1153" s="48"/>
      <c r="C1153" s="50"/>
      <c r="D1153" s="50"/>
      <c r="E1153" s="51" t="str">
        <f t="shared" si="438"/>
        <v/>
      </c>
      <c r="F1153" s="71" t="str">
        <f t="shared" si="436"/>
        <v/>
      </c>
      <c r="G1153" s="69" t="str">
        <f t="shared" si="439"/>
        <v/>
      </c>
      <c r="H1153" s="70" t="str">
        <f t="shared" si="437"/>
        <v/>
      </c>
      <c r="I1153" s="27" t="str">
        <f>IF(N(J1153)=0,"",0&amp;"-"&amp;B$6)</f>
        <v/>
      </c>
      <c r="J1153" s="52" t="str">
        <f>IF(N(B$6)=0,"",IF(AND(COUNT(H1149:H1160)=2,COUNT(F1149:F1160)=2),cubic_spline(F1148:F1150,H1148:H1150,B$6),IF(AND(COUNT(H1149:H1160)=3,COUNT(F1149:F1160)=3),cubic_spline(F1148:F1151,H1148:H1151,B$6),IF(AND(COUNT(H1149:H1160)=4,COUNT(F1149:F1160)=4),cubic_spline(F1148:F1152,H1148:H1152,B$6),IF(AND(COUNT(H1149:H1160)=5,COUNT(F1149:F1160)=5),cubic_spline(F1148:F1153,H1148:H1153,B$6),IF(AND(COUNT(H1149:H1160)=6,COUNT(F1149:F1160)=6),cubic_spline(F1148:F1154,H1148:H1154,B$6),IF(AND(COUNT(H1149:H1160)=7,COUNT(F1149:F1160)=7),cubic_spline(F1148:F1155,H1148:H1155,B$6),IF(AND(COUNT(H1149:H1160)=8,COUNT(F1149:F1160)=8),cubic_spline(F1148:F1156,H1148:H1156,B$6),IF(AND(COUNT(H1149:H1160)=9,COUNT(F1149:F1160)=9),cubic_spline(F1148:F1157,H1148:H1157,B$6),IF(AND(COUNT(H1149:H1160)=10,COUNT(F1149:F1160)=10),cubic_spline(F1148:F1158,H1148:H1158,B$6),IF(AND(COUNT(H1149:H1160)=11,COUNT(F1149:F1160)=11),cubic_spline(F1148:F1159,H1148:H1159,B$6),IF(AND(COUNT(H1149:H1160)=12,COUNT(F1149:F1160)=12),cubic_spline(F1148:F1160,H1148:H1160,B$6),""))))))))))))</f>
        <v/>
      </c>
      <c r="K1153" s="52" t="str">
        <f>IF(N(B$6)=0,"",IF(AND(COUNT(A1149:A1160)=2,COUNT(F1149:F1160)=2),cubic_spline(F1148:F1150,A1148:A1150,B$6),IF(AND(COUNT(A1149:A1160)=3,COUNT(F1149:F1160)=3),cubic_spline(F1148:F1151,A1148:A1151,B$6),IF(AND(COUNT(A1149:A1160)=4,COUNT(F1149:F1160)=4),cubic_spline(F1148:F1152,A1148:A1152,B$6),IF(AND(COUNT(A1149:A1160)=5,COUNT(F1149:F1160)=5),cubic_spline(F1148:F1153,A1148:A1153,B$6),IF(AND(COUNT(A1149:A1160)=6,COUNT(F1149:F1160)=6),cubic_spline(F1148:F1154,A1148:A1154,B$6),IF(AND(COUNT(A1149:A1160)=7,COUNT(F1149:F1160)=7),cubic_spline(F1148:F1155,A1148:A1155,B$6),IF(AND(COUNT(A1149:A1160)=8,COUNT(F1149:F1160)=8),cubic_spline(F1148:F1156,A1148:A1156,B$6),IF(AND(COUNT(A1149:A1160)=9,COUNT(F1149:F1160)=9),cubic_spline(F1148:F1157,A1148:A1157,B$6),IF(AND(COUNT(A1149:A1160)=10,COUNT(F1149:F1160)=10),cubic_spline(F1148:F1158,A1148:A1158,B$6),IF(AND(COUNT(A1149:A1160)=11,COUNT(F1149:F1160)=11),cubic_spline(F1148:F1159,A1148:A1159,B$6),IF(AND(COUNT(A1149:A1160)=12,COUNT(F1149:F1160)=12),cubic_spline(F1148:F1160,A1148:A1160,B$6),""))))))))))))</f>
        <v/>
      </c>
      <c r="L1153" s="27" t="str">
        <f>IF(I1153="","",B$5&amp;"-"&amp;B$6)</f>
        <v/>
      </c>
      <c r="M1153" s="52" t="str">
        <f>IF(N(J1153)=0,"",J1153-J1152)</f>
        <v/>
      </c>
    </row>
    <row r="1154" spans="1:13" x14ac:dyDescent="0.35">
      <c r="A1154" s="48"/>
      <c r="B1154" s="48"/>
      <c r="C1154" s="50"/>
      <c r="D1154" s="50"/>
      <c r="E1154" s="51" t="str">
        <f t="shared" si="438"/>
        <v/>
      </c>
      <c r="F1154" s="71" t="str">
        <f t="shared" si="436"/>
        <v/>
      </c>
      <c r="G1154" s="69" t="str">
        <f t="shared" si="439"/>
        <v/>
      </c>
      <c r="H1154" s="70" t="str">
        <f t="shared" si="437"/>
        <v/>
      </c>
      <c r="I1154" s="27" t="str">
        <f>IF(N(J1154)=0,"",0&amp;"-"&amp;B$7)</f>
        <v/>
      </c>
      <c r="J1154" s="52" t="str">
        <f>IF(N(B$7)=0,"",IF(AND(COUNT(H1149:H1160)=2,COUNT(F1149:F1160)=2),cubic_spline(F1148:F1150,H1148:H1150,B$7),IF(AND(COUNT(H1149:H1160)=3,COUNT(F1149:F1160)=3),cubic_spline(F1148:F1151,H1148:H1151,B$7),IF(AND(COUNT(H1149:H1160)=4,COUNT(F1149:F1160)=4),cubic_spline(F1148:F1152,H1148:H1152,B$7),IF(AND(COUNT(H1149:H1160)=5,COUNT(F1149:F1160)=5),cubic_spline(F1148:F1153,H1148:H1153,B$7),IF(AND(COUNT(H1149:H1160)=6,COUNT(F1149:F1160)=6),cubic_spline(F1148:F1154,H1148:H1154,B$7),IF(AND(COUNT(H1149:H1160)=7,COUNT(F1149:F1160)=7),cubic_spline(F1148:F1155,H1148:H1155,B$7),IF(AND(COUNT(H1149:H1160)=8,COUNT(F1149:F1160)=8),cubic_spline(F1148:F1156,H1148:H1156,B$7),IF(AND(COUNT(H1149:H1160)=9,COUNT(F1149:F1160)=9),cubic_spline(F1148:F1157,H1148:H1157,B$7),IF(AND(COUNT(H1149:H1160)=10,COUNT(F1149:F1160)=10),cubic_spline(F1148:F1158,H1148:H1158,B$7),IF(AND(COUNT(H1149:H1160)=11,COUNT(F1149:F1160)=11),cubic_spline(F1148:F1159,H1148:H1159,B$7),IF(AND(COUNT(H1149:H1160)=12,COUNT(F1149:F1160)=12),cubic_spline(F1148:F1160,H1148:H1160,B$7),""))))))))))))</f>
        <v/>
      </c>
      <c r="K1154" s="52" t="str">
        <f>IF(N(B$7)=0,"",IF(AND(COUNT(A1149:A1160)=2,COUNT(F1149:F1160)=2),cubic_spline(F1148:F1150,A1148:A1150,B$7),IF(AND(COUNT(A1149:A1160)=3,COUNT(F1149:F1160)=3),cubic_spline(F1148:F1151,A1148:A1151,B$7),IF(AND(COUNT(A1149:A1160)=4,COUNT(F1149:F1160)=4),cubic_spline(F1148:F1152,A1148:A1152,B$7),IF(AND(COUNT(A1149:A1160)=5,COUNT(F1149:F1160)=5),cubic_spline(F1148:F1153,A1148:A1153,B$7),IF(AND(COUNT(A1149:A1160)=6,COUNT(F1149:F1160)=6),cubic_spline(F1148:F1154,A1148:A1154,B$7),IF(AND(COUNT(A1149:A1160)=7,COUNT(F1149:F1160)=7),cubic_spline(F1148:F1155,A1148:A1155,B$7),IF(AND(COUNT(A1149:A1160)=8,COUNT(F1149:F1160)=8),cubic_spline(F1148:F1156,A1148:A1156,B$7),IF(AND(COUNT(A1149:A1160)=9,COUNT(F1149:F1160)=9),cubic_spline(F1148:F1157,A1148:A1157,B$7),IF(AND(COUNT(A1149:A1160)=10,COUNT(F1149:F1160)=10),cubic_spline(F1148:F1158,A1148:A1158,B$7),IF(AND(COUNT(A1149:A1160)=11,COUNT(F1149:F1160)=11),cubic_spline(F1148:F1159,A1148:A1159,B$7),IF(AND(COUNT(A1149:A1160)=12,COUNT(F1149:F1160)=12),cubic_spline(F1148:F1160,A1148:A1160,B$7),""))))))))))))</f>
        <v/>
      </c>
      <c r="L1154" s="27" t="str">
        <f>IF(I1154="","",B$6&amp;"-"&amp;B$7)</f>
        <v/>
      </c>
      <c r="M1154" s="52" t="str">
        <f t="shared" ref="M1154:M1160" si="440">IF(N(J1154)=0,"",J1154-J1153)</f>
        <v/>
      </c>
    </row>
    <row r="1155" spans="1:13" x14ac:dyDescent="0.35">
      <c r="A1155" s="48"/>
      <c r="B1155" s="48"/>
      <c r="C1155" s="50"/>
      <c r="D1155" s="50"/>
      <c r="E1155" s="51" t="str">
        <f t="shared" si="438"/>
        <v/>
      </c>
      <c r="F1155" s="71" t="str">
        <f t="shared" si="436"/>
        <v/>
      </c>
      <c r="G1155" s="69" t="str">
        <f t="shared" si="439"/>
        <v/>
      </c>
      <c r="H1155" s="70" t="str">
        <f t="shared" si="437"/>
        <v/>
      </c>
      <c r="I1155" s="27" t="str">
        <f>IF(N(J1155)=0,"",0&amp;"-"&amp;B$8)</f>
        <v/>
      </c>
      <c r="J1155" s="52" t="str">
        <f>IF(N(B$8)=0,"",IF(AND(COUNT(H1149:H1160)=2,COUNT(F1149:F1160)=2),cubic_spline(F1148:F1150,H1148:H1150,B$8),IF(AND(COUNT(H1149:H1160)=3,COUNT(F1149:F1160)=3),cubic_spline(F1148:F1151,H1148:H1151,B$8),IF(AND(COUNT(H1149:H1160)=4,COUNT(F1149:F1160)=4),cubic_spline(F1148:F1152,H1148:H1152,B$8),IF(AND(COUNT(H1149:H1160)=5,COUNT(F1149:F1160)=5),cubic_spline(F1148:F1153,H1148:H1153,B$8),IF(AND(COUNT(H1149:H1160)=6,COUNT(F1149:F1160)=6),cubic_spline(F1148:F1154,H1148:H1154,B$8),IF(AND(COUNT(H1149:H1160)=7,COUNT(F1149:F1160)=7),cubic_spline(F1148:F1155,H1148:H1155,B$8),IF(AND(COUNT(H1149:H1160)=8,COUNT(F1149:F1160)=8),cubic_spline(F1148:F1156,H1148:H1156,B$8),IF(AND(COUNT(H1149:H1160)=9,COUNT(F1149:F1160)=9),cubic_spline(F1148:F1157,H1148:H1157,B$8),IF(AND(COUNT(H1149:H1160)=10,COUNT(F1149:F1160)=10),cubic_spline(F1148:F1158,H1148:H1158,B$8),IF(AND(COUNT(H1149:H1160)=11,COUNT(F1149:F1160)=11),cubic_spline(F1148:F1159,H1148:H1159,B$8),IF(AND(COUNT(H1149:H1160)=12,COUNT(F1149:F1160)=12),cubic_spline(F1148:F1160,H1148:H1160,B$8),""))))))))))))</f>
        <v/>
      </c>
      <c r="K1155" s="52" t="str">
        <f>IF(N(B$8)=0,"",IF(AND(COUNT(A1149:A1160)=2,COUNT(F1149:F1160)=2),cubic_spline(F1148:F1150,A1148:A1150,B$8),IF(AND(COUNT(A1149:A1160)=3,COUNT(F1149:F1160)=3),cubic_spline(F1148:F1151,A1148:A1151,B$8),IF(AND(COUNT(A1149:A1160)=4,COUNT(F1149:F1160)=4),cubic_spline(F1148:F1152,A1148:A1152,B$8),IF(AND(COUNT(A1149:A1160)=5,COUNT(F1149:F1160)=5),cubic_spline(F1148:F1153,A1148:A1153,B$8),IF(AND(COUNT(A1149:A1160)=6,COUNT(F1149:F1160)=6),cubic_spline(F1148:F1154,A1148:A1154,B$8),IF(AND(COUNT(A1149:A1160)=7,COUNT(F1149:F1160)=7),cubic_spline(F1148:F1155,A1148:A1155,B$8),IF(AND(COUNT(A1149:A1160)=8,COUNT(F1149:F1160)=8),cubic_spline(F1148:F1156,A1148:A1156,B$8),IF(AND(COUNT(A1149:A1160)=9,COUNT(F1149:F1160)=9),cubic_spline(F1148:F1157,A1148:A1157,B$8),IF(AND(COUNT(A1149:A1160)=10,COUNT(F1149:F1160)=10),cubic_spline(F1148:F1158,A1148:A1158,B$8),IF(AND(COUNT(A1149:A1160)=11,COUNT(F1149:F1160)=11),cubic_spline(F1148:F1159,A1148:A1159,B$8),IF(AND(COUNT(A1149:A1160)=12,COUNT(F1149:F1160)=12),cubic_spline(F1148:F1160,A1148:A1160,B$8),""))))))))))))</f>
        <v/>
      </c>
      <c r="L1155" s="27" t="str">
        <f>IF(I1155="","",B$7&amp;"-"&amp;B$8)</f>
        <v/>
      </c>
      <c r="M1155" s="52" t="str">
        <f t="shared" si="440"/>
        <v/>
      </c>
    </row>
    <row r="1156" spans="1:13" x14ac:dyDescent="0.35">
      <c r="A1156" s="48"/>
      <c r="B1156" s="48"/>
      <c r="C1156" s="50"/>
      <c r="D1156" s="50"/>
      <c r="E1156" s="51" t="str">
        <f t="shared" si="438"/>
        <v/>
      </c>
      <c r="F1156" s="71" t="str">
        <f t="shared" si="436"/>
        <v/>
      </c>
      <c r="G1156" s="69" t="str">
        <f t="shared" si="439"/>
        <v/>
      </c>
      <c r="H1156" s="70" t="str">
        <f t="shared" si="437"/>
        <v/>
      </c>
      <c r="I1156" s="27" t="str">
        <f>IF(N(J1156)=0,"",0&amp;"-"&amp;B$9)</f>
        <v/>
      </c>
      <c r="J1156" s="52" t="str">
        <f>IF(N(B$9)=0,"",IF(AND(COUNT(H1149:H1160)=2,COUNT(F1149:F1160)=2),cubic_spline(F1148:F1150,H1148:H1150,B$9),IF(AND(COUNT(H1149:H1160)=3,COUNT(F1149:F1160)=3),cubic_spline(F1148:F1151,H1148:H1151,B$9),IF(AND(COUNT(H1149:H1160)=4,COUNT(F1149:F1160)=4),cubic_spline(F1148:F1152,H1148:H1152,B$9),IF(AND(COUNT(H1149:H1160)=5,COUNT(F1149:F1160)=5),cubic_spline(F1148:F1153,H1148:H1153,B$9),IF(AND(COUNT(H1149:H1160)=6,COUNT(F1149:F1160)=6),cubic_spline(F1148:F1154,H1148:H1154,B$9),IF(AND(COUNT(H1149:H1160)=7,COUNT(F1149:F1160)=7),cubic_spline(F1148:F1155,H1148:H1155,B$9),IF(AND(COUNT(H1149:H1160)=8,COUNT(F1149:F1160)=8),cubic_spline(F1148:F1156,H1148:H1156,B$9),IF(AND(COUNT(H1149:H1160)=9,COUNT(F1149:F1160)=9),cubic_spline(F1148:F1157,H1148:H1157,B$9),IF(AND(COUNT(H1149:H1160)=10,COUNT(F1149:F1160)=10),cubic_spline(F1148:F1158,H1148:H1158,B$9),IF(AND(COUNT(H1149:H1160)=11,COUNT(F1149:F1160)=11),cubic_spline(F1148:F1159,H1148:H1159,B$9),IF(AND(COUNT(H1149:H1160)=12,COUNT(F1149:F1160)=12),cubic_spline(F1148:F1160,H1148:H1160,B$9),""))))))))))))</f>
        <v/>
      </c>
      <c r="K1156" s="52" t="str">
        <f>IF(N(B$9)=0,"",IF(AND(COUNT(A1149:A1160)=2,COUNT(F1149:F1160)=2),cubic_spline(F1148:F1150,A1148:A1150,B$9),IF(AND(COUNT(A1149:A1160)=3,COUNT(F1149:F1160)=3),cubic_spline(F1148:F1151,A1148:A1151,B$9),IF(AND(COUNT(A1149:A1160)=4,COUNT(F1149:F1160)=4),cubic_spline(F1148:F1152,A1148:A1152,B$9),IF(AND(COUNT(A1149:A1160)=5,COUNT(F1149:F1160)=5),cubic_spline(F1148:F1153,A1148:A1153,B$9),IF(AND(COUNT(A1149:A1160)=6,COUNT(F1149:F1160)=6),cubic_spline(F1148:F1154,A1148:A1154,B$9),IF(AND(COUNT(A1149:A1160)=7,COUNT(F1149:F1160)=7),cubic_spline(F1148:F1155,A1148:A1155,B$9),IF(AND(COUNT(A1149:A1160)=8,COUNT(F1149:F1160)=8),cubic_spline(F1148:F1156,A1148:A1156,B$9),IF(AND(COUNT(A1149:A1160)=9,COUNT(F1149:F1160)=9),cubic_spline(F1148:F1157,A1148:A1157,B$9),IF(AND(COUNT(A1149:A1160)=10,COUNT(F1149:F1160)=10),cubic_spline(F1148:F1158,A1148:A1158,B$9),IF(AND(COUNT(A1149:A1160)=11,COUNT(F1149:F1160)=11),cubic_spline(F1148:F1159,A1148:A1159,B$9),IF(AND(COUNT(A1149:A1160)=12,COUNT(F1149:F1160)=12),cubic_spline(F1148:F1160,A1148:A1160,B$9),""))))))))))))</f>
        <v/>
      </c>
      <c r="L1156" s="27" t="str">
        <f>IF(I1156="","",B$8&amp;"-"&amp;B$9)</f>
        <v/>
      </c>
      <c r="M1156" s="52" t="str">
        <f t="shared" si="440"/>
        <v/>
      </c>
    </row>
    <row r="1157" spans="1:13" x14ac:dyDescent="0.35">
      <c r="A1157" s="48"/>
      <c r="B1157" s="48"/>
      <c r="C1157" s="50"/>
      <c r="D1157" s="50"/>
      <c r="E1157" s="51" t="str">
        <f t="shared" si="438"/>
        <v/>
      </c>
      <c r="F1157" s="71" t="str">
        <f t="shared" si="436"/>
        <v/>
      </c>
      <c r="G1157" s="69" t="str">
        <f t="shared" si="439"/>
        <v/>
      </c>
      <c r="H1157" s="70" t="str">
        <f t="shared" si="437"/>
        <v/>
      </c>
      <c r="I1157" s="27" t="str">
        <f>IF(N(J1157)=0,"",0&amp;"-"&amp;B$10)</f>
        <v/>
      </c>
      <c r="J1157" s="52" t="str">
        <f>IF(N(B$10)=0,"",IF(AND(COUNT(H1149:H1160)=2,COUNT(F1149:F1160)=2),cubic_spline(F1148:F1150,H1148:H1150,B$10),IF(AND(COUNT(H1149:H1160)=3,COUNT(F1149:F1160)=3),cubic_spline(F1148:F1151,H1148:H1151,B$10),IF(AND(COUNT(H1149:H1160)=4,COUNT(F1149:F1160)=4),cubic_spline(F1148:F1152,H1148:H1152,B$10),IF(AND(COUNT(H1149:H1160)=5,COUNT(F1149:F1160)=5),cubic_spline(F1148:F1153,H1148:H1153,B$10),IF(AND(COUNT(H1149:H1160)=6,COUNT(F1149:F1160)=6),cubic_spline(F1148:F1154,H1148:H1154,B$10),IF(AND(COUNT(H1149:H1160)=7,COUNT(F1149:F1160)=7),cubic_spline(F1148:F1155,H1148:H1155,B$10),IF(AND(COUNT(H1149:H1160)=8,COUNT(F1149:F1160)=8),cubic_spline(F1148:F1156,H1148:H1156,B$10),IF(AND(COUNT(H1149:H1160)=9,COUNT(F1149:F1160)=9),cubic_spline(F1148:F1157,H1148:H1157,B$10),IF(AND(COUNT(H1149:H1160)=10,COUNT(F1149:F1160)=10),cubic_spline(F1148:F1158,H1148:H1158,B$10),IF(AND(COUNT(H1149:H1160)=11,COUNT(F1149:F1160)=11),cubic_spline(F1148:F1159,H1148:H1159,B$10),IF(AND(COUNT(H1149:H1160)=12,COUNT(F1149:F1160)=12),cubic_spline(F1148:F1160,H1148:H1160,B$10),""))))))))))))</f>
        <v/>
      </c>
      <c r="K1157" s="52" t="str">
        <f>IF(N(B$10)=0,"",IF(AND(COUNT(A1149:A1160)=2,COUNT(F1149:F1160)=2),cubic_spline(F1148:F1150,A1148:A1150,B$10),IF(AND(COUNT(A1149:A1160)=3,COUNT(F1149:F1160)=3),cubic_spline(F1148:F1151,A1148:A1151,B$10),IF(AND(COUNT(A1149:A1160)=4,COUNT(F1149:F1160)=4),cubic_spline(F1148:F1152,A1148:A1152,B$10),IF(AND(COUNT(A1149:A1160)=5,COUNT(F1149:F1160)=5),cubic_spline(F1148:F1153,A1148:A1153,B$10),IF(AND(COUNT(A1149:A1160)=6,COUNT(F1149:F1160)=6),cubic_spline(F1148:F1154,A1148:A1154,B$10),IF(AND(COUNT(A1149:A1160)=7,COUNT(F1149:F1160)=7),cubic_spline(F1148:F1155,A1148:A1155,B$10),IF(AND(COUNT(A1149:A1160)=8,COUNT(F1149:F1160)=8),cubic_spline(F1148:F1156,A1148:A1156,B$10),IF(AND(COUNT(A1149:A1160)=9,COUNT(F1149:F1160)=9),cubic_spline(F1148:F1157,A1148:A1157,B$10),IF(AND(COUNT(A1149:A1160)=10,COUNT(F1149:F1160)=10),cubic_spline(F1148:F1158,A1148:A1158,B$10),IF(AND(COUNT(A1149:A1160)=11,COUNT(F1149:F1160)=11),cubic_spline(F1148:F1159,A1148:A1159,B$10),IF(AND(COUNT(A1149:A1160)=12,COUNT(F1149:F1160)=12),cubic_spline(F1148:F1160,A1148:A1160,B$10),""))))))))))))</f>
        <v/>
      </c>
      <c r="L1157" s="27" t="str">
        <f>IF(I1157="","",B$9&amp;"-"&amp;B$10)</f>
        <v/>
      </c>
      <c r="M1157" s="52" t="str">
        <f t="shared" si="440"/>
        <v/>
      </c>
    </row>
    <row r="1158" spans="1:13" x14ac:dyDescent="0.35">
      <c r="A1158" s="48"/>
      <c r="B1158" s="48"/>
      <c r="C1158" s="50"/>
      <c r="D1158" s="50"/>
      <c r="E1158" s="51" t="str">
        <f t="shared" si="438"/>
        <v/>
      </c>
      <c r="F1158" s="71" t="str">
        <f t="shared" si="436"/>
        <v/>
      </c>
      <c r="G1158" s="69" t="str">
        <f t="shared" si="439"/>
        <v/>
      </c>
      <c r="H1158" s="70" t="str">
        <f t="shared" si="437"/>
        <v/>
      </c>
      <c r="I1158" s="27" t="str">
        <f>IF(N(J1158)=0,"",0&amp;"-"&amp;B$11)</f>
        <v/>
      </c>
      <c r="J1158" s="52" t="str">
        <f>IF(N(B$11)=0,"",IF(AND(COUNT(H1149:H1160)=2,COUNT(F1149:F1160)=2),cubic_spline(F1148:F1150,H1148:H1150,B$11),IF(AND(COUNT(H1149:H1160)=3,COUNT(F1149:F1160)=3),cubic_spline(F1148:F1151,H1148:H1151,B$11),IF(AND(COUNT(H1149:H1160)=4,COUNT(F1149:F1160)=4),cubic_spline(F1148:F1152,H1148:H1152,B$11),IF(AND(COUNT(H1149:H1160)=5,COUNT(F1149:F1160)=5),cubic_spline(F1148:F1153,H1148:H1153,B$11),IF(AND(COUNT(H1149:H1160)=6,COUNT(F1149:F1160)=6),cubic_spline(F1148:F1154,H1148:H1154,B$11),IF(AND(COUNT(H1149:H1160)=7,COUNT(F1149:F1160)=7),cubic_spline(F1148:F1155,H1148:H1155,B$11),IF(AND(COUNT(H1149:H1160)=8,COUNT(F1149:F1160)=8),cubic_spline(F1148:F1156,H1148:H1156,B$11),IF(AND(COUNT(H1149:H1160)=9,COUNT(F1149:F1160)=9),cubic_spline(F1148:F1157,H1148:H1157,B$11),IF(AND(COUNT(H1149:H1160)=10,COUNT(F1149:F1160)=10),cubic_spline(F1148:F1158,H1148:H1158,B$11),IF(AND(COUNT(H1149:H1160)=11,COUNT(F1149:F1160)=11),cubic_spline(F1148:F1159,H1148:H1159,B$11),IF(AND(COUNT(H1149:H1160)=12,COUNT(F1149:F1160)=12),cubic_spline(F1148:F1160,H1148:H1160,B$11),""))))))))))))</f>
        <v/>
      </c>
      <c r="K1158" s="52" t="str">
        <f>IF(N(B$11)=0,"",IF(AND(COUNT(A1149:A1160)=2,COUNT(F1149:F1160)=2),cubic_spline(F1148:F1150,A1148:A1150,B$11),IF(AND(COUNT(A1149:A1160)=3,COUNT(F1149:F1160)=3),cubic_spline(F1148:F1151,A1148:A1151,B$11),IF(AND(COUNT(A1149:A1160)=4,COUNT(F1149:F1160)=4),cubic_spline(F1148:F1152,A1148:A1152,B$11),IF(AND(COUNT(A1149:A1160)=5,COUNT(F1149:F1160)=5),cubic_spline(F1148:F1153,A1148:A1153,B$11),IF(AND(COUNT(A1149:A1160)=6,COUNT(F1149:F1160)=6),cubic_spline(F1148:F1154,A1148:A1154,B$11),IF(AND(COUNT(A1149:A1160)=7,COUNT(F1149:F1160)=7),cubic_spline(F1148:F1155,A1148:A1155,B$11),IF(AND(COUNT(A1149:A1160)=8,COUNT(F1149:F1160)=8),cubic_spline(F1148:F1156,A1148:A1156,B$11),IF(AND(COUNT(A1149:A1160)=9,COUNT(F1149:F1160)=9),cubic_spline(F1148:F1157,A1148:A1157,B$11),IF(AND(COUNT(A1149:A1160)=10,COUNT(F1149:F1160)=10),cubic_spline(F1148:F1158,A1148:A1158,B$11),IF(AND(COUNT(A1149:A1160)=11,COUNT(F1149:F1160)=11),cubic_spline(F1148:F1159,A1148:A1159,B$11),IF(AND(COUNT(A1149:A1160)=12,COUNT(F1149:F1160)=12),cubic_spline(F1148:F1160,A1148:A1160,B$11),""))))))))))))</f>
        <v/>
      </c>
      <c r="L1158" s="27" t="str">
        <f>IF(I1158="","",B$10&amp;"-"&amp;B$11)</f>
        <v/>
      </c>
      <c r="M1158" s="52" t="str">
        <f t="shared" si="440"/>
        <v/>
      </c>
    </row>
    <row r="1159" spans="1:13" x14ac:dyDescent="0.35">
      <c r="A1159" s="48"/>
      <c r="B1159" s="48"/>
      <c r="C1159" s="50"/>
      <c r="D1159" s="50"/>
      <c r="E1159" s="51" t="str">
        <f t="shared" si="438"/>
        <v/>
      </c>
      <c r="F1159" s="71" t="str">
        <f t="shared" si="436"/>
        <v/>
      </c>
      <c r="G1159" s="69" t="str">
        <f t="shared" si="439"/>
        <v/>
      </c>
      <c r="H1159" s="70" t="str">
        <f t="shared" si="437"/>
        <v/>
      </c>
      <c r="I1159" s="27" t="str">
        <f>IF(N(J1159)=0,"",0&amp;"-"&amp;B$12)</f>
        <v/>
      </c>
      <c r="J1159" s="52" t="str">
        <f>IF(N(B$12)=0,"",IF(AND(COUNT(H1149:H1160)=2,COUNT(F1149:F1160)=2),cubic_spline(F1148:F1150,H1148:H1150,B$12),IF(AND(COUNT(H1149:H1160)=3,COUNT(F1149:F1160)=3),cubic_spline(F1148:F1151,H1148:H1151,B$12),IF(AND(COUNT(H1149:H1160)=4,COUNT(F1149:F1160)=4),cubic_spline(F1148:F1152,H1148:H1152,B$12),IF(AND(COUNT(H1149:H1160)=5,COUNT(F1149:F1160)=5),cubic_spline(F1148:F1153,H1148:H1153,B$12),IF(AND(COUNT(H1149:H1160)=6,COUNT(F1149:F1160)=6),cubic_spline(F1148:F1154,H1148:H1154,B$12),IF(AND(COUNT(H1149:H1160)=7,COUNT(F1149:F1160)=7),cubic_spline(F1148:F1155,H1148:H1155,B$12),IF(AND(COUNT(H1149:H1160)=8,COUNT(F1149:F1160)=8),cubic_spline(F1148:F1156,H1148:H1156,B$12),IF(AND(COUNT(H1149:H1160)=9,COUNT(F1149:F1160)=9),cubic_spline(F1148:F1157,H1148:H1157,B$12),IF(AND(COUNT(H1149:H1160)=10,COUNT(F1149:F1160)=10),cubic_spline(F1148:F1158,H1148:H1158,B$12),IF(AND(COUNT(H1149:H1160)=11,COUNT(F1149:F1160)=11),cubic_spline(F1148:F1159,H1148:H1159,B$12),IF(AND(COUNT(H1149:H1160)=12,COUNT(F1149:F1160)=12),cubic_spline(F1148:F1160,H1148:H1160,B$12),""))))))))))))</f>
        <v/>
      </c>
      <c r="K1159" s="52" t="str">
        <f>IF(N(B$12)=0,"",IF(AND(COUNT(A1149:A1160)=2,COUNT(F1149:F1160)=2),cubic_spline(F1148:F1150,A1148:A1150,B$12),IF(AND(COUNT(A1149:A1160)=3,COUNT(F1149:F1160)=3),cubic_spline(F1148:F1151,A1148:A1151,B$12),IF(AND(COUNT(A1149:A1160)=4,COUNT(F1149:F1160)=4),cubic_spline(F1148:F1152,A1148:A1152,B$12),IF(AND(COUNT(A1149:A1160)=5,COUNT(F1149:F1160)=5),cubic_spline(F1148:F1153,A1148:A1153,B$12),IF(AND(COUNT(A1149:A1160)=6,COUNT(F1149:F1160)=6),cubic_spline(F1148:F1154,A1148:A1154,B$12),IF(AND(COUNT(A1149:A1160)=7,COUNT(F1149:F1160)=7),cubic_spline(F1148:F1155,A1148:A1155,B$12),IF(AND(COUNT(A1149:A1160)=8,COUNT(F1149:F1160)=8),cubic_spline(F1148:F1156,A1148:A1156,B$12),IF(AND(COUNT(A1149:A1160)=9,COUNT(F1149:F1160)=9),cubic_spline(F1148:F1157,A1148:A1157,B$12),IF(AND(COUNT(A1149:A1160)=10,COUNT(F1149:F1160)=10),cubic_spline(F1148:F1158,A1148:A1158,B$12),IF(AND(COUNT(A1149:A1160)=11,COUNT(F1149:F1160)=11),cubic_spline(F1148:F1159,A1148:A1159,B$12),IF(AND(COUNT(A1149:A1160)=12,COUNT(F1149:F1160)=12),cubic_spline(F1148:F1160,A1148:A1160,B$12),""))))))))))))</f>
        <v/>
      </c>
      <c r="L1159" s="27" t="str">
        <f>IF(I1159="","",B$11&amp;"-"&amp;B$12)</f>
        <v/>
      </c>
      <c r="M1159" s="52" t="str">
        <f t="shared" si="440"/>
        <v/>
      </c>
    </row>
    <row r="1160" spans="1:13" x14ac:dyDescent="0.35">
      <c r="A1160" s="48"/>
      <c r="B1160" s="48"/>
      <c r="C1160" s="50"/>
      <c r="D1160" s="50"/>
      <c r="E1160" s="51" t="str">
        <f t="shared" si="438"/>
        <v/>
      </c>
      <c r="F1160" s="71" t="str">
        <f t="shared" si="436"/>
        <v/>
      </c>
      <c r="G1160" s="69" t="str">
        <f t="shared" si="439"/>
        <v/>
      </c>
      <c r="H1160" s="70" t="str">
        <f t="shared" si="437"/>
        <v/>
      </c>
      <c r="I1160" s="27" t="str">
        <f>IF(N(J1160)=0,"",0&amp;"-"&amp;B$13)</f>
        <v/>
      </c>
      <c r="J1160" s="52" t="str">
        <f>IF(N(B$13)=0,"",IF(AND(COUNT(H1149:H1160)=2,COUNT(F1149:F1160)=2),cubic_spline(F1148:F1150,H1148:H1150,B$13),IF(AND(COUNT(H1149:H1160)=3,COUNT(F1149:F1160)=3),cubic_spline(F1148:F1151,H1148:H1151,B$13),IF(AND(COUNT(H1149:H1160)=4,COUNT(F1149:F1160)=4),cubic_spline(F1148:F1152,H1148:H1152,B$13),IF(AND(COUNT(H1149:H1160)=5,COUNT(F1149:F1160)=5),cubic_spline(F1148:F1153,H1148:H1153,B$13),IF(AND(COUNT(H1149:H1160)=6,COUNT(F1149:F1160)=6),cubic_spline(F1148:F1154,H1148:H1154,B$13),IF(AND(COUNT(H1149:H1160)=7,COUNT(F1149:F1160)=7),cubic_spline(F1148:F1155,H1148:H1155,B$13),IF(AND(COUNT(H1149:H1160)=8,COUNT(F1149:F1160)=8),cubic_spline(F1148:F1156,H1148:H1156,B$13),IF(AND(COUNT(H1149:H1160)=9,COUNT(F1149:F1160)=9),cubic_spline(F1148:F1157,H1148:H1157,B$13),IF(AND(COUNT(H1149:H1160)=10,COUNT(F1149:F1160)=10),cubic_spline(F1148:F1158,H1148:H1158,B$13),IF(AND(COUNT(H1149:H1160)=11,COUNT(F1149:F1160)=11),cubic_spline(F1148:F1159,H1148:H1159,B$13),IF(AND(COUNT(H1149:H1160)=12,COUNT(F1149:F1160)=12),cubic_spline(F1148:F1160,H1148:H1160,B$13),""))))))))))))</f>
        <v/>
      </c>
      <c r="K1160" s="52" t="str">
        <f>IF(N(B$13)=0,"",IF(AND(COUNT(A1149:A1160)=2,COUNT(F1149:F1160)=2),cubic_spline(F1148:F1150,A1148:A1150,B$13),IF(AND(COUNT(A1149:A1160)=3,COUNT(F1149:F1160)=3),cubic_spline(F1148:F1151,A1148:A1151,B$13),IF(AND(COUNT(A1149:A1160)=4,COUNT(F1149:F1160)=4),cubic_spline(F1148:F1152,A1148:A1152,B$13),IF(AND(COUNT(A1149:A1160)=5,COUNT(F1149:F1160)=5),cubic_spline(F1148:F1153,A1148:A1153,B$13),IF(AND(COUNT(A1149:A1160)=6,COUNT(F1149:F1160)=6),cubic_spline(F1148:F1154,A1148:A1154,B$13),IF(AND(COUNT(A1149:A1160)=7,COUNT(F1149:F1160)=7),cubic_spline(F1148:F1155,A1148:A1155,B$13),IF(AND(COUNT(A1149:A1160)=8,COUNT(F1149:F1160)=8),cubic_spline(F1148:F1156,A1148:A1156,B$13),IF(AND(COUNT(A1149:A1160)=9,COUNT(F1149:F1160)=9),cubic_spline(F1148:F1157,A1148:A1157,B$13),IF(AND(COUNT(A1149:A1160)=10,COUNT(F1149:F1160)=10),cubic_spline(F1148:F1158,A1148:A1158,B$13),IF(AND(COUNT(A1149:A1160)=11,COUNT(F1149:F1160)=11),cubic_spline(F1148:F1159,A1148:A1159,B$13),IF(AND(COUNT(A1149:A1160)=12,COUNT(F1149:F1160)=12),cubic_spline(F1148:F1160,A1148:A1160,B$13),""))))))))))))</f>
        <v/>
      </c>
      <c r="L1160" s="27" t="str">
        <f>IF(I1160="","",B$12&amp;"-"&amp;B$13)</f>
        <v/>
      </c>
      <c r="M1160" s="52" t="str">
        <f t="shared" si="440"/>
        <v/>
      </c>
    </row>
    <row r="1161" spans="1:13" ht="5.15" customHeight="1" x14ac:dyDescent="0.35">
      <c r="A1161" s="47"/>
      <c r="B1161" s="47"/>
      <c r="C1161" s="53"/>
      <c r="D1161" s="53"/>
      <c r="E1161" s="54"/>
      <c r="F1161" s="55"/>
      <c r="G1161" s="72"/>
      <c r="H1161" s="73"/>
      <c r="I1161" s="47"/>
      <c r="J1161" s="57"/>
      <c r="K1161" s="57"/>
      <c r="L1161" s="55"/>
      <c r="M1161" s="57"/>
    </row>
    <row r="1162" spans="1:13" x14ac:dyDescent="0.35">
      <c r="A1162" s="48"/>
      <c r="B1162" s="48"/>
      <c r="C1162" s="50"/>
      <c r="D1162" s="50"/>
      <c r="E1162" s="51" t="str">
        <f>IF(N(C1162)=0,"",(A1162-A1161)*C1162*100)</f>
        <v/>
      </c>
      <c r="F1162" s="68" t="str">
        <f t="shared" ref="F1162:F1173" si="441">IF(N(E1162)=0,"",(N(E1162)+N(F1161)))</f>
        <v/>
      </c>
      <c r="G1162" s="69" t="str">
        <f>IF(OR(N(D1162)=0,N(E1162)=0),"",(E1162*D1162)/1000)</f>
        <v/>
      </c>
      <c r="H1162" s="70" t="str">
        <f t="shared" ref="H1162:H1173" si="442">IF(N(G1162)=0,"",(N(G1162)+N(H1161)))</f>
        <v/>
      </c>
      <c r="I1162" s="27" t="str">
        <f>IF(N(J1162)=0,"",0&amp;"-"&amp;B$2)</f>
        <v/>
      </c>
      <c r="J1162" s="52" t="str">
        <f>IF(N(B$2)=0,"",IF(AND(COUNT(H1162:H1173)=2,COUNT(F1162:F1173)=2),cubic_spline(F1161:F1163,H1161:H1163,B$2),IF(AND(COUNT(H1162:H1173)=3,COUNT(F1162:F1173)=3),cubic_spline(F1161:F1164,H1161:H1164,B$2),IF(AND(COUNT(H1162:H1173)=4,COUNT(F1162:F1173)=4),cubic_spline(F1161:F1165,H1161:H1165,B$2),IF(AND(COUNT(H1162:H1173)=5,COUNT(F1162:F1173)=5),cubic_spline(F1161:F1166,H1161:H1166,B$2),IF(AND(COUNT(H1162:H1173)=6,COUNT(F1162:F1173)=6),cubic_spline(F1161:F1167,H1161:H1167,B$2),IF(AND(COUNT(H1162:H1173)=7,COUNT(F1162:F1173)=7),cubic_spline(F1161:F1168,H1161:H1168,B$2),IF(AND(COUNT(H1162:H1173)=8,COUNT(F1162:F1173)=8),cubic_spline(F1161:F1169,H1161:H1169,B$2),IF(AND(COUNT(H1162:H1173)=9,COUNT(F1162:F1173)=9),cubic_spline(F1161:F1170,H1161:H1170,B$2),IF(AND(COUNT(H1162:H1173)=10,COUNT(F1162:F1173)=10),cubic_spline(F1161:F1171,H1161:H1171,B$2),IF(AND(COUNT(H1162:H1173)=11,COUNT(F1162:F1173)=11),cubic_spline(F1161:F1172,H1161:H1172,B$2),IF(AND(COUNT(H1162:H1173)=12,COUNT(F1162:F1173)=12),cubic_spline(F1161:F1173,H1161:H1173,B$2),""))))))))))))</f>
        <v/>
      </c>
      <c r="K1162" s="52" t="str">
        <f>IF(N(B$2)=0,"",IF(AND(COUNT(A1162:A1173)=2,COUNT(F1162:F1173)=2),cubic_spline(F1161:F1163,A1161:A1163,B$2),IF(AND(COUNT(A1162:A1173)=3,COUNT(F1162:F1173)=3),cubic_spline(F1161:F1164,A1161:A1164,B$2),IF(AND(COUNT(A1162:A1173)=4,COUNT(F1162:F1173)=4),cubic_spline(F1161:F1165,A1161:A1165,B$2),IF(AND(COUNT(A1162:A1173)=5,COUNT(F1162:F1173)=5),cubic_spline(F1161:F1166,A1161:A1166,B$2),IF(AND(COUNT(A1162:A1173)=6,COUNT(F1162:F1173)=6),cubic_spline(F1161:F1167,A1161:A1167,B$2),IF(AND(COUNT(A1162:A1173)=7,COUNT(F1162:F1173)=7),cubic_spline(F1161:F1168,A1161:A1168,B$2),IF(AND(COUNT(A1162:A1173)=8,COUNT(F1162:F1173)=8),cubic_spline(F1161:F1169,A1161:A1169,B$2),IF(AND(COUNT(A1162:A1173)=9,COUNT(F1162:F1173)=9),cubic_spline(F1161:F1170,A1161:A1170,B$2),IF(AND(COUNT(A1162:A1173)=10,COUNT(F1162:F1173)=10),cubic_spline(F1161:F1171,A1161:A1171,B$2),IF(AND(COUNT(A1162:A1173)=11,COUNT(F1162:F1173)=11),cubic_spline(F1161:F1172,A1161:A1172,B$2),IF(AND(COUNT(A1162:A1173)=12,COUNT(F1162:F1173)=12),cubic_spline(F1161:F1173,A1161:A1173,B$2),""))))))))))))</f>
        <v/>
      </c>
      <c r="L1162" s="27" t="str">
        <f>IF(I1162="","",0&amp;"-"&amp;B$2)</f>
        <v/>
      </c>
      <c r="M1162" s="52" t="str">
        <f>IF(N(J1162)=0,"",J1162-J1161)</f>
        <v/>
      </c>
    </row>
    <row r="1163" spans="1:13" x14ac:dyDescent="0.35">
      <c r="A1163" s="48"/>
      <c r="B1163" s="48"/>
      <c r="C1163" s="50"/>
      <c r="D1163" s="50"/>
      <c r="E1163" s="51" t="str">
        <f t="shared" ref="E1163:E1173" si="443">IF(N(C1163)=0,"",(A1163-A1162)*C1163*100)</f>
        <v/>
      </c>
      <c r="F1163" s="68" t="str">
        <f t="shared" si="441"/>
        <v/>
      </c>
      <c r="G1163" s="69" t="str">
        <f t="shared" ref="G1163:G1173" si="444">IF(OR(N(D1163)=0,N(E1163)=0),"",(E1163*D1163)/1000)</f>
        <v/>
      </c>
      <c r="H1163" s="70" t="str">
        <f t="shared" si="442"/>
        <v/>
      </c>
      <c r="I1163" s="27" t="str">
        <f>IF(N(J1163)=0,"",0&amp;"-"&amp;B$3)</f>
        <v/>
      </c>
      <c r="J1163" s="52" t="str">
        <f>IF(N(B$3)=0,"",IF(AND(COUNT(H1162:H1173)=2,COUNT(F1162:F1173)=2),cubic_spline(F1161:F1163,H1161:H1163,B$3),IF(AND(COUNT(H1162:H1173)=3,COUNT(F1162:F1173)=3),cubic_spline(F1161:F1164,H1161:H1164,B$3),IF(AND(COUNT(H1162:H1173)=4,COUNT(F1162:F1173)=4),cubic_spline(F1161:F1165,H1161:H1165,B$3),IF(AND(COUNT(H1162:H1173)=5,COUNT(F1162:F1173)=5),cubic_spline(F1161:F1166,H1161:H1166,B$3),IF(AND(COUNT(H1162:H1173)=6,COUNT(F1162:F1173)=6),cubic_spline(F1161:F1167,H1161:H1167,B$3),IF(AND(COUNT(H1162:H1173)=7,COUNT(F1162:F1173)=7),cubic_spline(F1161:F1168,H1161:H1168,B$3),IF(AND(COUNT(H1162:H1173)=8,COUNT(F1162:F1173)=8),cubic_spline(F1161:F1169,H1161:H1169,B$3),IF(AND(COUNT(H1162:H1173)=9,COUNT(F1162:F1173)=9),cubic_spline(F1161:F1170,H1161:H1170,B$3),IF(AND(COUNT(H1162:H1173)=10,COUNT(F1162:F1173)=10),cubic_spline(F1161:F1171,H1161:H1171,B$3),IF(AND(COUNT(H1162:H1173)=11,COUNT(F1162:F1173)=11),cubic_spline(F1161:F1172,H1161:H1172,B$3),IF(AND(COUNT(H1162:H1173)=12,COUNT(F1162:F1173)=12),cubic_spline(F1161:F1173,H1161:H1173,B$3),""))))))))))))</f>
        <v/>
      </c>
      <c r="K1163" s="52" t="str">
        <f>IF(N(B$3)=0,"",IF(AND(COUNT(A1162:A1173)=2,COUNT(F1162:F1173)=2),cubic_spline(F1161:F1163,A1161:A1163,B$3),IF(AND(COUNT(A1162:A1173)=3,COUNT(F1162:F1173)=3),cubic_spline(F1161:F1164,A1161:A1164,B$3),IF(AND(COUNT(A1162:A1173)=4,COUNT(F1162:F1173)=4),cubic_spline(F1161:F1165,A1161:A1165,B$3),IF(AND(COUNT(A1162:A1173)=5,COUNT(F1162:F1173)=5),cubic_spline(F1161:F1166,A1161:A1166,B$3),IF(AND(COUNT(A1162:A1173)=6,COUNT(F1162:F1173)=6),cubic_spline(F1161:F1167,A1161:A1167,B$3),IF(AND(COUNT(A1162:A1173)=7,COUNT(F1162:F1173)=7),cubic_spline(F1161:F1168,A1161:A1168,B$3),IF(AND(COUNT(A1162:A1173)=8,COUNT(F1162:F1173)=8),cubic_spline(F1161:F1169,A1161:A1169,B$3),IF(AND(COUNT(A1162:A1173)=9,COUNT(F1162:F1173)=9),cubic_spline(F1161:F1170,A1161:A1170,B$3),IF(AND(COUNT(A1162:A1173)=10,COUNT(F1162:F1173)=10),cubic_spline(F1161:F1171,A1161:A1171,B$3),IF(AND(COUNT(A1162:A1173)=11,COUNT(F1162:F1173)=11),cubic_spline(F1161:F1172,A1161:A1172,B$3),IF(AND(COUNT(A1162:A1173)=12,COUNT(F1162:F1173)=12),cubic_spline(F1161:F1173,A1161:A1173,B$3),""))))))))))))</f>
        <v/>
      </c>
      <c r="L1163" s="27" t="str">
        <f>IF(I1163="","",B$2&amp;"-"&amp;B$3)</f>
        <v/>
      </c>
      <c r="M1163" s="52" t="str">
        <f>IF(N(J1163)=0,"",J1163-J1162)</f>
        <v/>
      </c>
    </row>
    <row r="1164" spans="1:13" x14ac:dyDescent="0.35">
      <c r="A1164" s="48"/>
      <c r="B1164" s="48"/>
      <c r="C1164" s="50"/>
      <c r="D1164" s="50"/>
      <c r="E1164" s="51" t="str">
        <f t="shared" si="443"/>
        <v/>
      </c>
      <c r="F1164" s="68" t="str">
        <f t="shared" si="441"/>
        <v/>
      </c>
      <c r="G1164" s="69" t="str">
        <f t="shared" si="444"/>
        <v/>
      </c>
      <c r="H1164" s="70" t="str">
        <f t="shared" si="442"/>
        <v/>
      </c>
      <c r="I1164" s="27" t="str">
        <f>IF(N(J1164)=0,"",0&amp;"-"&amp;B$4)</f>
        <v/>
      </c>
      <c r="J1164" s="52" t="str">
        <f>IF(N(B$4)=0,"",IF(AND(COUNT(H1162:H1173)=2,COUNT(F1162:F1173)=2),cubic_spline(F1161:F1163,H1161:H1163,B$4),IF(AND(COUNT(H1162:H1173)=3,COUNT(F1162:F1173)=3),cubic_spline(F1161:F1164,H1161:H1164,B$4),IF(AND(COUNT(H1162:H1173)=4,COUNT(F1162:F1173)=4),cubic_spline(F1161:F1165,H1161:H1165,B$4),IF(AND(COUNT(H1162:H1173)=5,COUNT(F1162:F1173)=5),cubic_spline(F1161:F1166,H1161:H1166,B$4),IF(AND(COUNT(H1162:H1173)=6,COUNT(F1162:F1173)=6),cubic_spline(F1161:F1167,H1161:H1167,B$4),IF(AND(COUNT(H1162:H1173)=7,COUNT(F1162:F1173)=7),cubic_spline(F1161:F1168,H1161:H1168,B$4),IF(AND(COUNT(H1162:H1173)=8,COUNT(F1162:F1173)=8),cubic_spline(F1161:F1169,H1161:H1169,B$4),IF(AND(COUNT(H1162:H1173)=9,COUNT(F1162:F1173)=9),cubic_spline(F1161:F1170,H1161:H1170,B$4),IF(AND(COUNT(H1162:H1173)=10,COUNT(F1162:F1173)=10),cubic_spline(F1161:F1171,H1161:H1171,B$4),IF(AND(COUNT(H1162:H1173)=11,COUNT(F1162:F1173)=11),cubic_spline(F1161:F1172,H1161:H1172,B$4),IF(AND(COUNT(H1162:H1173)=12,COUNT(F1162:F1173)=12),cubic_spline(F1161:F1173,H1161:H1173,B$4),""))))))))))))</f>
        <v/>
      </c>
      <c r="K1164" s="52" t="str">
        <f>IF(N(B$4)=0,"",IF(AND(COUNT(A1162:A1173)=2,COUNT(F1162:F1173)=2),cubic_spline(F1161:F1163,A1161:A1163,B$4),IF(AND(COUNT(A1162:A1173)=3,COUNT(F1162:F1173)=3),cubic_spline(F1161:F1164,A1161:A1164,B$4),IF(AND(COUNT(A1162:A1173)=4,COUNT(F1162:F1173)=4),cubic_spline(F1161:F1165,A1161:A1165,B$4),IF(AND(COUNT(A1162:A1173)=5,COUNT(F1162:F1173)=5),cubic_spline(F1161:F1166,A1161:A1166,B$4),IF(AND(COUNT(A1162:A1173)=6,COUNT(F1162:F1173)=6),cubic_spline(F1161:F1167,A1161:A1167,B$4),IF(AND(COUNT(A1162:A1173)=7,COUNT(F1162:F1173)=7),cubic_spline(F1161:F1168,A1161:A1168,B$4),IF(AND(COUNT(A1162:A1173)=8,COUNT(F1162:F1173)=8),cubic_spline(F1161:F1169,A1161:A1169,B$4),IF(AND(COUNT(A1162:A1173)=9,COUNT(F1162:F1173)=9),cubic_spline(F1161:F1170,A1161:A1170,B$4),IF(AND(COUNT(A1162:A1173)=10,COUNT(F1162:F1173)=10),cubic_spline(F1161:F1171,A1161:A1171,B$4),IF(AND(COUNT(A1162:A1173)=11,COUNT(F1162:F1173)=11),cubic_spline(F1161:F1172,A1161:A1172,B$4),IF(AND(COUNT(A1162:A1173)=12,COUNT(F1162:F1173)=12),cubic_spline(F1161:F1173,A1161:A1173,B$4),""))))))))))))</f>
        <v/>
      </c>
      <c r="L1164" s="27" t="str">
        <f>IF(I1164="","",B$3&amp;"-"&amp;B$4)</f>
        <v/>
      </c>
      <c r="M1164" s="52" t="str">
        <f>IF(N(J1164)=0,"",J1164-J1163)</f>
        <v/>
      </c>
    </row>
    <row r="1165" spans="1:13" x14ac:dyDescent="0.35">
      <c r="A1165" s="48"/>
      <c r="B1165" s="48"/>
      <c r="C1165" s="50"/>
      <c r="D1165" s="50"/>
      <c r="E1165" s="51" t="str">
        <f t="shared" si="443"/>
        <v/>
      </c>
      <c r="F1165" s="68" t="str">
        <f t="shared" si="441"/>
        <v/>
      </c>
      <c r="G1165" s="69" t="str">
        <f t="shared" si="444"/>
        <v/>
      </c>
      <c r="H1165" s="70" t="str">
        <f t="shared" si="442"/>
        <v/>
      </c>
      <c r="I1165" s="27" t="str">
        <f>IF(N(J1165)=0,"",0&amp;"-"&amp;B$5)</f>
        <v/>
      </c>
      <c r="J1165" s="52" t="str">
        <f>IF(N(B$5)=0,"",IF(AND(COUNT(H1162:H1173)=2,COUNT(F1162:F1173)=2),cubic_spline(F1161:F1163,H1161:H1163,B$5),IF(AND(COUNT(H1162:H1173)=3,COUNT(F1162:F1173)=3),cubic_spline(F1161:F1164,H1161:H1164,B$5),IF(AND(COUNT(H1162:H1173)=4,COUNT(F1162:F1173)=4),cubic_spline(F1161:F1165,H1161:H1165,B$5),IF(AND(COUNT(H1162:H1173)=5,COUNT(F1162:F1173)=5),cubic_spline(F1161:F1166,H1161:H1166,B$5),IF(AND(COUNT(H1162:H1173)=6,COUNT(F1162:F1173)=6),cubic_spline(F1161:F1167,H1161:H1167,B$5),IF(AND(COUNT(H1162:H1173)=7,COUNT(F1162:F1173)=7),cubic_spline(F1161:F1168,H1161:H1168,B$5),IF(AND(COUNT(H1162:H1173)=8,COUNT(F1162:F1173)=8),cubic_spline(F1161:F1169,H1161:H1169,B$5),IF(AND(COUNT(H1162:H1173)=9,COUNT(F1162:F1173)=9),cubic_spline(F1161:F1170,H1161:H1170,B$5),IF(AND(COUNT(H1162:H1173)=10,COUNT(F1162:F1173)=10),cubic_spline(F1161:F1171,H1161:H1171,B$5),IF(AND(COUNT(H1162:H1173)=11,COUNT(F1162:F1173)=11),cubic_spline(F1161:F1172,H1161:H1172,B$5),IF(AND(COUNT(H1162:H1173)=12,COUNT(F1162:F1173)=12),cubic_spline(F1161:F1173,H1161:H1173,B$5),""))))))))))))</f>
        <v/>
      </c>
      <c r="K1165" s="52" t="str">
        <f>IF(N(B$5)=0,"",IF(AND(COUNT(A1162:A1173)=2,COUNT(F1162:F1173)=2),cubic_spline(F1161:F1163,A1161:A1163,B$5),IF(AND(COUNT(A1162:A1173)=3,COUNT(F1162:F1173)=3),cubic_spline(F1161:F1164,A1161:A1164,B$5),IF(AND(COUNT(A1162:A1173)=4,COUNT(F1162:F1173)=4),cubic_spline(F1161:F1165,A1161:A1165,B$5),IF(AND(COUNT(A1162:A1173)=5,COUNT(F1162:F1173)=5),cubic_spline(F1161:F1166,A1161:A1166,B$5),IF(AND(COUNT(A1162:A1173)=6,COUNT(F1162:F1173)=6),cubic_spline(F1161:F1167,A1161:A1167,B$5),IF(AND(COUNT(A1162:A1173)=7,COUNT(F1162:F1173)=7),cubic_spline(F1161:F1168,A1161:A1168,B$5),IF(AND(COUNT(A1162:A1173)=8,COUNT(F1162:F1173)=8),cubic_spline(F1161:F1169,A1161:A1169,B$5),IF(AND(COUNT(A1162:A1173)=9,COUNT(F1162:F1173)=9),cubic_spline(F1161:F1170,A1161:A1170,B$5),IF(AND(COUNT(A1162:A1173)=10,COUNT(F1162:F1173)=10),cubic_spline(F1161:F1171,A1161:A1171,B$5),IF(AND(COUNT(A1162:A1173)=11,COUNT(F1162:F1173)=11),cubic_spline(F1161:F1172,A1161:A1172,B$5),IF(AND(COUNT(A1162:A1173)=12,COUNT(F1162:F1173)=12),cubic_spline(F1161:F1173,A1161:A1173,B$5),""))))))))))))</f>
        <v/>
      </c>
      <c r="L1165" s="27" t="str">
        <f>IF(I1165="","",B$4&amp;"-"&amp;B$5)</f>
        <v/>
      </c>
      <c r="M1165" s="52" t="str">
        <f>IF(N(J1165)=0,"",J1165-J1164)</f>
        <v/>
      </c>
    </row>
    <row r="1166" spans="1:13" x14ac:dyDescent="0.35">
      <c r="A1166" s="48"/>
      <c r="B1166" s="48"/>
      <c r="C1166" s="50"/>
      <c r="D1166" s="50"/>
      <c r="E1166" s="51" t="str">
        <f t="shared" si="443"/>
        <v/>
      </c>
      <c r="F1166" s="71" t="str">
        <f t="shared" si="441"/>
        <v/>
      </c>
      <c r="G1166" s="69" t="str">
        <f t="shared" si="444"/>
        <v/>
      </c>
      <c r="H1166" s="70" t="str">
        <f t="shared" si="442"/>
        <v/>
      </c>
      <c r="I1166" s="27" t="str">
        <f>IF(N(J1166)=0,"",0&amp;"-"&amp;B$6)</f>
        <v/>
      </c>
      <c r="J1166" s="52" t="str">
        <f>IF(N(B$6)=0,"",IF(AND(COUNT(H1162:H1173)=2,COUNT(F1162:F1173)=2),cubic_spline(F1161:F1163,H1161:H1163,B$6),IF(AND(COUNT(H1162:H1173)=3,COUNT(F1162:F1173)=3),cubic_spline(F1161:F1164,H1161:H1164,B$6),IF(AND(COUNT(H1162:H1173)=4,COUNT(F1162:F1173)=4),cubic_spline(F1161:F1165,H1161:H1165,B$6),IF(AND(COUNT(H1162:H1173)=5,COUNT(F1162:F1173)=5),cubic_spline(F1161:F1166,H1161:H1166,B$6),IF(AND(COUNT(H1162:H1173)=6,COUNT(F1162:F1173)=6),cubic_spline(F1161:F1167,H1161:H1167,B$6),IF(AND(COUNT(H1162:H1173)=7,COUNT(F1162:F1173)=7),cubic_spline(F1161:F1168,H1161:H1168,B$6),IF(AND(COUNT(H1162:H1173)=8,COUNT(F1162:F1173)=8),cubic_spline(F1161:F1169,H1161:H1169,B$6),IF(AND(COUNT(H1162:H1173)=9,COUNT(F1162:F1173)=9),cubic_spline(F1161:F1170,H1161:H1170,B$6),IF(AND(COUNT(H1162:H1173)=10,COUNT(F1162:F1173)=10),cubic_spline(F1161:F1171,H1161:H1171,B$6),IF(AND(COUNT(H1162:H1173)=11,COUNT(F1162:F1173)=11),cubic_spline(F1161:F1172,H1161:H1172,B$6),IF(AND(COUNT(H1162:H1173)=12,COUNT(F1162:F1173)=12),cubic_spline(F1161:F1173,H1161:H1173,B$6),""))))))))))))</f>
        <v/>
      </c>
      <c r="K1166" s="52" t="str">
        <f>IF(N(B$6)=0,"",IF(AND(COUNT(A1162:A1173)=2,COUNT(F1162:F1173)=2),cubic_spline(F1161:F1163,A1161:A1163,B$6),IF(AND(COUNT(A1162:A1173)=3,COUNT(F1162:F1173)=3),cubic_spline(F1161:F1164,A1161:A1164,B$6),IF(AND(COUNT(A1162:A1173)=4,COUNT(F1162:F1173)=4),cubic_spline(F1161:F1165,A1161:A1165,B$6),IF(AND(COUNT(A1162:A1173)=5,COUNT(F1162:F1173)=5),cubic_spline(F1161:F1166,A1161:A1166,B$6),IF(AND(COUNT(A1162:A1173)=6,COUNT(F1162:F1173)=6),cubic_spline(F1161:F1167,A1161:A1167,B$6),IF(AND(COUNT(A1162:A1173)=7,COUNT(F1162:F1173)=7),cubic_spline(F1161:F1168,A1161:A1168,B$6),IF(AND(COUNT(A1162:A1173)=8,COUNT(F1162:F1173)=8),cubic_spline(F1161:F1169,A1161:A1169,B$6),IF(AND(COUNT(A1162:A1173)=9,COUNT(F1162:F1173)=9),cubic_spline(F1161:F1170,A1161:A1170,B$6),IF(AND(COUNT(A1162:A1173)=10,COUNT(F1162:F1173)=10),cubic_spline(F1161:F1171,A1161:A1171,B$6),IF(AND(COUNT(A1162:A1173)=11,COUNT(F1162:F1173)=11),cubic_spline(F1161:F1172,A1161:A1172,B$6),IF(AND(COUNT(A1162:A1173)=12,COUNT(F1162:F1173)=12),cubic_spline(F1161:F1173,A1161:A1173,B$6),""))))))))))))</f>
        <v/>
      </c>
      <c r="L1166" s="27" t="str">
        <f>IF(I1166="","",B$5&amp;"-"&amp;B$6)</f>
        <v/>
      </c>
      <c r="M1166" s="52" t="str">
        <f>IF(N(J1166)=0,"",J1166-J1165)</f>
        <v/>
      </c>
    </row>
    <row r="1167" spans="1:13" x14ac:dyDescent="0.35">
      <c r="A1167" s="48"/>
      <c r="B1167" s="48"/>
      <c r="C1167" s="50"/>
      <c r="D1167" s="50"/>
      <c r="E1167" s="51" t="str">
        <f t="shared" si="443"/>
        <v/>
      </c>
      <c r="F1167" s="71" t="str">
        <f t="shared" si="441"/>
        <v/>
      </c>
      <c r="G1167" s="69" t="str">
        <f t="shared" si="444"/>
        <v/>
      </c>
      <c r="H1167" s="70" t="str">
        <f t="shared" si="442"/>
        <v/>
      </c>
      <c r="I1167" s="27" t="str">
        <f>IF(N(J1167)=0,"",0&amp;"-"&amp;B$7)</f>
        <v/>
      </c>
      <c r="J1167" s="52" t="str">
        <f>IF(N(B$7)=0,"",IF(AND(COUNT(H1162:H1173)=2,COUNT(F1162:F1173)=2),cubic_spline(F1161:F1163,H1161:H1163,B$7),IF(AND(COUNT(H1162:H1173)=3,COUNT(F1162:F1173)=3),cubic_spline(F1161:F1164,H1161:H1164,B$7),IF(AND(COUNT(H1162:H1173)=4,COUNT(F1162:F1173)=4),cubic_spline(F1161:F1165,H1161:H1165,B$7),IF(AND(COUNT(H1162:H1173)=5,COUNT(F1162:F1173)=5),cubic_spline(F1161:F1166,H1161:H1166,B$7),IF(AND(COUNT(H1162:H1173)=6,COUNT(F1162:F1173)=6),cubic_spline(F1161:F1167,H1161:H1167,B$7),IF(AND(COUNT(H1162:H1173)=7,COUNT(F1162:F1173)=7),cubic_spline(F1161:F1168,H1161:H1168,B$7),IF(AND(COUNT(H1162:H1173)=8,COUNT(F1162:F1173)=8),cubic_spline(F1161:F1169,H1161:H1169,B$7),IF(AND(COUNT(H1162:H1173)=9,COUNT(F1162:F1173)=9),cubic_spline(F1161:F1170,H1161:H1170,B$7),IF(AND(COUNT(H1162:H1173)=10,COUNT(F1162:F1173)=10),cubic_spline(F1161:F1171,H1161:H1171,B$7),IF(AND(COUNT(H1162:H1173)=11,COUNT(F1162:F1173)=11),cubic_spline(F1161:F1172,H1161:H1172,B$7),IF(AND(COUNT(H1162:H1173)=12,COUNT(F1162:F1173)=12),cubic_spline(F1161:F1173,H1161:H1173,B$7),""))))))))))))</f>
        <v/>
      </c>
      <c r="K1167" s="52" t="str">
        <f>IF(N(B$7)=0,"",IF(AND(COUNT(A1162:A1173)=2,COUNT(F1162:F1173)=2),cubic_spline(F1161:F1163,A1161:A1163,B$7),IF(AND(COUNT(A1162:A1173)=3,COUNT(F1162:F1173)=3),cubic_spline(F1161:F1164,A1161:A1164,B$7),IF(AND(COUNT(A1162:A1173)=4,COUNT(F1162:F1173)=4),cubic_spline(F1161:F1165,A1161:A1165,B$7),IF(AND(COUNT(A1162:A1173)=5,COUNT(F1162:F1173)=5),cubic_spline(F1161:F1166,A1161:A1166,B$7),IF(AND(COUNT(A1162:A1173)=6,COUNT(F1162:F1173)=6),cubic_spline(F1161:F1167,A1161:A1167,B$7),IF(AND(COUNT(A1162:A1173)=7,COUNT(F1162:F1173)=7),cubic_spline(F1161:F1168,A1161:A1168,B$7),IF(AND(COUNT(A1162:A1173)=8,COUNT(F1162:F1173)=8),cubic_spline(F1161:F1169,A1161:A1169,B$7),IF(AND(COUNT(A1162:A1173)=9,COUNT(F1162:F1173)=9),cubic_spline(F1161:F1170,A1161:A1170,B$7),IF(AND(COUNT(A1162:A1173)=10,COUNT(F1162:F1173)=10),cubic_spline(F1161:F1171,A1161:A1171,B$7),IF(AND(COUNT(A1162:A1173)=11,COUNT(F1162:F1173)=11),cubic_spline(F1161:F1172,A1161:A1172,B$7),IF(AND(COUNT(A1162:A1173)=12,COUNT(F1162:F1173)=12),cubic_spline(F1161:F1173,A1161:A1173,B$7),""))))))))))))</f>
        <v/>
      </c>
      <c r="L1167" s="27" t="str">
        <f>IF(I1167="","",B$6&amp;"-"&amp;B$7)</f>
        <v/>
      </c>
      <c r="M1167" s="52" t="str">
        <f t="shared" ref="M1167:M1173" si="445">IF(N(J1167)=0,"",J1167-J1166)</f>
        <v/>
      </c>
    </row>
    <row r="1168" spans="1:13" x14ac:dyDescent="0.35">
      <c r="A1168" s="48"/>
      <c r="B1168" s="48"/>
      <c r="C1168" s="50"/>
      <c r="D1168" s="50"/>
      <c r="E1168" s="51" t="str">
        <f t="shared" si="443"/>
        <v/>
      </c>
      <c r="F1168" s="71" t="str">
        <f t="shared" si="441"/>
        <v/>
      </c>
      <c r="G1168" s="69" t="str">
        <f t="shared" si="444"/>
        <v/>
      </c>
      <c r="H1168" s="70" t="str">
        <f t="shared" si="442"/>
        <v/>
      </c>
      <c r="I1168" s="27" t="str">
        <f>IF(N(J1168)=0,"",0&amp;"-"&amp;B$8)</f>
        <v/>
      </c>
      <c r="J1168" s="52" t="str">
        <f>IF(N(B$8)=0,"",IF(AND(COUNT(H1162:H1173)=2,COUNT(F1162:F1173)=2),cubic_spline(F1161:F1163,H1161:H1163,B$8),IF(AND(COUNT(H1162:H1173)=3,COUNT(F1162:F1173)=3),cubic_spline(F1161:F1164,H1161:H1164,B$8),IF(AND(COUNT(H1162:H1173)=4,COUNT(F1162:F1173)=4),cubic_spline(F1161:F1165,H1161:H1165,B$8),IF(AND(COUNT(H1162:H1173)=5,COUNT(F1162:F1173)=5),cubic_spline(F1161:F1166,H1161:H1166,B$8),IF(AND(COUNT(H1162:H1173)=6,COUNT(F1162:F1173)=6),cubic_spline(F1161:F1167,H1161:H1167,B$8),IF(AND(COUNT(H1162:H1173)=7,COUNT(F1162:F1173)=7),cubic_spline(F1161:F1168,H1161:H1168,B$8),IF(AND(COUNT(H1162:H1173)=8,COUNT(F1162:F1173)=8),cubic_spline(F1161:F1169,H1161:H1169,B$8),IF(AND(COUNT(H1162:H1173)=9,COUNT(F1162:F1173)=9),cubic_spline(F1161:F1170,H1161:H1170,B$8),IF(AND(COUNT(H1162:H1173)=10,COUNT(F1162:F1173)=10),cubic_spline(F1161:F1171,H1161:H1171,B$8),IF(AND(COUNT(H1162:H1173)=11,COUNT(F1162:F1173)=11),cubic_spline(F1161:F1172,H1161:H1172,B$8),IF(AND(COUNT(H1162:H1173)=12,COUNT(F1162:F1173)=12),cubic_spline(F1161:F1173,H1161:H1173,B$8),""))))))))))))</f>
        <v/>
      </c>
      <c r="K1168" s="52" t="str">
        <f>IF(N(B$8)=0,"",IF(AND(COUNT(A1162:A1173)=2,COUNT(F1162:F1173)=2),cubic_spline(F1161:F1163,A1161:A1163,B$8),IF(AND(COUNT(A1162:A1173)=3,COUNT(F1162:F1173)=3),cubic_spline(F1161:F1164,A1161:A1164,B$8),IF(AND(COUNT(A1162:A1173)=4,COUNT(F1162:F1173)=4),cubic_spline(F1161:F1165,A1161:A1165,B$8),IF(AND(COUNT(A1162:A1173)=5,COUNT(F1162:F1173)=5),cubic_spline(F1161:F1166,A1161:A1166,B$8),IF(AND(COUNT(A1162:A1173)=6,COUNT(F1162:F1173)=6),cubic_spline(F1161:F1167,A1161:A1167,B$8),IF(AND(COUNT(A1162:A1173)=7,COUNT(F1162:F1173)=7),cubic_spline(F1161:F1168,A1161:A1168,B$8),IF(AND(COUNT(A1162:A1173)=8,COUNT(F1162:F1173)=8),cubic_spline(F1161:F1169,A1161:A1169,B$8),IF(AND(COUNT(A1162:A1173)=9,COUNT(F1162:F1173)=9),cubic_spline(F1161:F1170,A1161:A1170,B$8),IF(AND(COUNT(A1162:A1173)=10,COUNT(F1162:F1173)=10),cubic_spline(F1161:F1171,A1161:A1171,B$8),IF(AND(COUNT(A1162:A1173)=11,COUNT(F1162:F1173)=11),cubic_spline(F1161:F1172,A1161:A1172,B$8),IF(AND(COUNT(A1162:A1173)=12,COUNT(F1162:F1173)=12),cubic_spline(F1161:F1173,A1161:A1173,B$8),""))))))))))))</f>
        <v/>
      </c>
      <c r="L1168" s="27" t="str">
        <f>IF(I1168="","",B$7&amp;"-"&amp;B$8)</f>
        <v/>
      </c>
      <c r="M1168" s="52" t="str">
        <f t="shared" si="445"/>
        <v/>
      </c>
    </row>
    <row r="1169" spans="1:13" x14ac:dyDescent="0.35">
      <c r="A1169" s="48"/>
      <c r="B1169" s="48"/>
      <c r="C1169" s="50"/>
      <c r="D1169" s="50"/>
      <c r="E1169" s="51" t="str">
        <f t="shared" si="443"/>
        <v/>
      </c>
      <c r="F1169" s="71" t="str">
        <f t="shared" si="441"/>
        <v/>
      </c>
      <c r="G1169" s="69" t="str">
        <f t="shared" si="444"/>
        <v/>
      </c>
      <c r="H1169" s="70" t="str">
        <f t="shared" si="442"/>
        <v/>
      </c>
      <c r="I1169" s="27" t="str">
        <f>IF(N(J1169)=0,"",0&amp;"-"&amp;B$9)</f>
        <v/>
      </c>
      <c r="J1169" s="52" t="str">
        <f>IF(N(B$9)=0,"",IF(AND(COUNT(H1162:H1173)=2,COUNT(F1162:F1173)=2),cubic_spline(F1161:F1163,H1161:H1163,B$9),IF(AND(COUNT(H1162:H1173)=3,COUNT(F1162:F1173)=3),cubic_spline(F1161:F1164,H1161:H1164,B$9),IF(AND(COUNT(H1162:H1173)=4,COUNT(F1162:F1173)=4),cubic_spline(F1161:F1165,H1161:H1165,B$9),IF(AND(COUNT(H1162:H1173)=5,COUNT(F1162:F1173)=5),cubic_spline(F1161:F1166,H1161:H1166,B$9),IF(AND(COUNT(H1162:H1173)=6,COUNT(F1162:F1173)=6),cubic_spline(F1161:F1167,H1161:H1167,B$9),IF(AND(COUNT(H1162:H1173)=7,COUNT(F1162:F1173)=7),cubic_spline(F1161:F1168,H1161:H1168,B$9),IF(AND(COUNT(H1162:H1173)=8,COUNT(F1162:F1173)=8),cubic_spline(F1161:F1169,H1161:H1169,B$9),IF(AND(COUNT(H1162:H1173)=9,COUNT(F1162:F1173)=9),cubic_spline(F1161:F1170,H1161:H1170,B$9),IF(AND(COUNT(H1162:H1173)=10,COUNT(F1162:F1173)=10),cubic_spline(F1161:F1171,H1161:H1171,B$9),IF(AND(COUNT(H1162:H1173)=11,COUNT(F1162:F1173)=11),cubic_spline(F1161:F1172,H1161:H1172,B$9),IF(AND(COUNT(H1162:H1173)=12,COUNT(F1162:F1173)=12),cubic_spline(F1161:F1173,H1161:H1173,B$9),""))))))))))))</f>
        <v/>
      </c>
      <c r="K1169" s="52" t="str">
        <f>IF(N(B$9)=0,"",IF(AND(COUNT(A1162:A1173)=2,COUNT(F1162:F1173)=2),cubic_spline(F1161:F1163,A1161:A1163,B$9),IF(AND(COUNT(A1162:A1173)=3,COUNT(F1162:F1173)=3),cubic_spline(F1161:F1164,A1161:A1164,B$9),IF(AND(COUNT(A1162:A1173)=4,COUNT(F1162:F1173)=4),cubic_spline(F1161:F1165,A1161:A1165,B$9),IF(AND(COUNT(A1162:A1173)=5,COUNT(F1162:F1173)=5),cubic_spline(F1161:F1166,A1161:A1166,B$9),IF(AND(COUNT(A1162:A1173)=6,COUNT(F1162:F1173)=6),cubic_spline(F1161:F1167,A1161:A1167,B$9),IF(AND(COUNT(A1162:A1173)=7,COUNT(F1162:F1173)=7),cubic_spline(F1161:F1168,A1161:A1168,B$9),IF(AND(COUNT(A1162:A1173)=8,COUNT(F1162:F1173)=8),cubic_spline(F1161:F1169,A1161:A1169,B$9),IF(AND(COUNT(A1162:A1173)=9,COUNT(F1162:F1173)=9),cubic_spline(F1161:F1170,A1161:A1170,B$9),IF(AND(COUNT(A1162:A1173)=10,COUNT(F1162:F1173)=10),cubic_spline(F1161:F1171,A1161:A1171,B$9),IF(AND(COUNT(A1162:A1173)=11,COUNT(F1162:F1173)=11),cubic_spline(F1161:F1172,A1161:A1172,B$9),IF(AND(COUNT(A1162:A1173)=12,COUNT(F1162:F1173)=12),cubic_spline(F1161:F1173,A1161:A1173,B$9),""))))))))))))</f>
        <v/>
      </c>
      <c r="L1169" s="27" t="str">
        <f>IF(I1169="","",B$8&amp;"-"&amp;B$9)</f>
        <v/>
      </c>
      <c r="M1169" s="52" t="str">
        <f t="shared" si="445"/>
        <v/>
      </c>
    </row>
    <row r="1170" spans="1:13" x14ac:dyDescent="0.35">
      <c r="A1170" s="48"/>
      <c r="B1170" s="48"/>
      <c r="C1170" s="50"/>
      <c r="D1170" s="50"/>
      <c r="E1170" s="51" t="str">
        <f t="shared" si="443"/>
        <v/>
      </c>
      <c r="F1170" s="71" t="str">
        <f t="shared" si="441"/>
        <v/>
      </c>
      <c r="G1170" s="69" t="str">
        <f t="shared" si="444"/>
        <v/>
      </c>
      <c r="H1170" s="70" t="str">
        <f t="shared" si="442"/>
        <v/>
      </c>
      <c r="I1170" s="27" t="str">
        <f>IF(N(J1170)=0,"",0&amp;"-"&amp;B$10)</f>
        <v/>
      </c>
      <c r="J1170" s="52" t="str">
        <f>IF(N(B$10)=0,"",IF(AND(COUNT(H1162:H1173)=2,COUNT(F1162:F1173)=2),cubic_spline(F1161:F1163,H1161:H1163,B$10),IF(AND(COUNT(H1162:H1173)=3,COUNT(F1162:F1173)=3),cubic_spline(F1161:F1164,H1161:H1164,B$10),IF(AND(COUNT(H1162:H1173)=4,COUNT(F1162:F1173)=4),cubic_spline(F1161:F1165,H1161:H1165,B$10),IF(AND(COUNT(H1162:H1173)=5,COUNT(F1162:F1173)=5),cubic_spline(F1161:F1166,H1161:H1166,B$10),IF(AND(COUNT(H1162:H1173)=6,COUNT(F1162:F1173)=6),cubic_spline(F1161:F1167,H1161:H1167,B$10),IF(AND(COUNT(H1162:H1173)=7,COUNT(F1162:F1173)=7),cubic_spline(F1161:F1168,H1161:H1168,B$10),IF(AND(COUNT(H1162:H1173)=8,COUNT(F1162:F1173)=8),cubic_spline(F1161:F1169,H1161:H1169,B$10),IF(AND(COUNT(H1162:H1173)=9,COUNT(F1162:F1173)=9),cubic_spline(F1161:F1170,H1161:H1170,B$10),IF(AND(COUNT(H1162:H1173)=10,COUNT(F1162:F1173)=10),cubic_spline(F1161:F1171,H1161:H1171,B$10),IF(AND(COUNT(H1162:H1173)=11,COUNT(F1162:F1173)=11),cubic_spline(F1161:F1172,H1161:H1172,B$10),IF(AND(COUNT(H1162:H1173)=12,COUNT(F1162:F1173)=12),cubic_spline(F1161:F1173,H1161:H1173,B$10),""))))))))))))</f>
        <v/>
      </c>
      <c r="K1170" s="52" t="str">
        <f>IF(N(B$10)=0,"",IF(AND(COUNT(A1162:A1173)=2,COUNT(F1162:F1173)=2),cubic_spline(F1161:F1163,A1161:A1163,B$10),IF(AND(COUNT(A1162:A1173)=3,COUNT(F1162:F1173)=3),cubic_spline(F1161:F1164,A1161:A1164,B$10),IF(AND(COUNT(A1162:A1173)=4,COUNT(F1162:F1173)=4),cubic_spline(F1161:F1165,A1161:A1165,B$10),IF(AND(COUNT(A1162:A1173)=5,COUNT(F1162:F1173)=5),cubic_spline(F1161:F1166,A1161:A1166,B$10),IF(AND(COUNT(A1162:A1173)=6,COUNT(F1162:F1173)=6),cubic_spline(F1161:F1167,A1161:A1167,B$10),IF(AND(COUNT(A1162:A1173)=7,COUNT(F1162:F1173)=7),cubic_spline(F1161:F1168,A1161:A1168,B$10),IF(AND(COUNT(A1162:A1173)=8,COUNT(F1162:F1173)=8),cubic_spline(F1161:F1169,A1161:A1169,B$10),IF(AND(COUNT(A1162:A1173)=9,COUNT(F1162:F1173)=9),cubic_spline(F1161:F1170,A1161:A1170,B$10),IF(AND(COUNT(A1162:A1173)=10,COUNT(F1162:F1173)=10),cubic_spline(F1161:F1171,A1161:A1171,B$10),IF(AND(COUNT(A1162:A1173)=11,COUNT(F1162:F1173)=11),cubic_spline(F1161:F1172,A1161:A1172,B$10),IF(AND(COUNT(A1162:A1173)=12,COUNT(F1162:F1173)=12),cubic_spline(F1161:F1173,A1161:A1173,B$10),""))))))))))))</f>
        <v/>
      </c>
      <c r="L1170" s="27" t="str">
        <f>IF(I1170="","",B$9&amp;"-"&amp;B$10)</f>
        <v/>
      </c>
      <c r="M1170" s="52" t="str">
        <f t="shared" si="445"/>
        <v/>
      </c>
    </row>
    <row r="1171" spans="1:13" x14ac:dyDescent="0.35">
      <c r="A1171" s="48"/>
      <c r="B1171" s="48"/>
      <c r="C1171" s="50"/>
      <c r="D1171" s="50"/>
      <c r="E1171" s="51" t="str">
        <f t="shared" si="443"/>
        <v/>
      </c>
      <c r="F1171" s="71" t="str">
        <f t="shared" si="441"/>
        <v/>
      </c>
      <c r="G1171" s="69" t="str">
        <f t="shared" si="444"/>
        <v/>
      </c>
      <c r="H1171" s="70" t="str">
        <f t="shared" si="442"/>
        <v/>
      </c>
      <c r="I1171" s="27" t="str">
        <f>IF(N(J1171)=0,"",0&amp;"-"&amp;B$11)</f>
        <v/>
      </c>
      <c r="J1171" s="52" t="str">
        <f>IF(N(B$11)=0,"",IF(AND(COUNT(H1162:H1173)=2,COUNT(F1162:F1173)=2),cubic_spline(F1161:F1163,H1161:H1163,B$11),IF(AND(COUNT(H1162:H1173)=3,COUNT(F1162:F1173)=3),cubic_spline(F1161:F1164,H1161:H1164,B$11),IF(AND(COUNT(H1162:H1173)=4,COUNT(F1162:F1173)=4),cubic_spline(F1161:F1165,H1161:H1165,B$11),IF(AND(COUNT(H1162:H1173)=5,COUNT(F1162:F1173)=5),cubic_spline(F1161:F1166,H1161:H1166,B$11),IF(AND(COUNT(H1162:H1173)=6,COUNT(F1162:F1173)=6),cubic_spline(F1161:F1167,H1161:H1167,B$11),IF(AND(COUNT(H1162:H1173)=7,COUNT(F1162:F1173)=7),cubic_spline(F1161:F1168,H1161:H1168,B$11),IF(AND(COUNT(H1162:H1173)=8,COUNT(F1162:F1173)=8),cubic_spline(F1161:F1169,H1161:H1169,B$11),IF(AND(COUNT(H1162:H1173)=9,COUNT(F1162:F1173)=9),cubic_spline(F1161:F1170,H1161:H1170,B$11),IF(AND(COUNT(H1162:H1173)=10,COUNT(F1162:F1173)=10),cubic_spline(F1161:F1171,H1161:H1171,B$11),IF(AND(COUNT(H1162:H1173)=11,COUNT(F1162:F1173)=11),cubic_spline(F1161:F1172,H1161:H1172,B$11),IF(AND(COUNT(H1162:H1173)=12,COUNT(F1162:F1173)=12),cubic_spline(F1161:F1173,H1161:H1173,B$11),""))))))))))))</f>
        <v/>
      </c>
      <c r="K1171" s="52" t="str">
        <f>IF(N(B$11)=0,"",IF(AND(COUNT(A1162:A1173)=2,COUNT(F1162:F1173)=2),cubic_spline(F1161:F1163,A1161:A1163,B$11),IF(AND(COUNT(A1162:A1173)=3,COUNT(F1162:F1173)=3),cubic_spline(F1161:F1164,A1161:A1164,B$11),IF(AND(COUNT(A1162:A1173)=4,COUNT(F1162:F1173)=4),cubic_spline(F1161:F1165,A1161:A1165,B$11),IF(AND(COUNT(A1162:A1173)=5,COUNT(F1162:F1173)=5),cubic_spline(F1161:F1166,A1161:A1166,B$11),IF(AND(COUNT(A1162:A1173)=6,COUNT(F1162:F1173)=6),cubic_spline(F1161:F1167,A1161:A1167,B$11),IF(AND(COUNT(A1162:A1173)=7,COUNT(F1162:F1173)=7),cubic_spline(F1161:F1168,A1161:A1168,B$11),IF(AND(COUNT(A1162:A1173)=8,COUNT(F1162:F1173)=8),cubic_spline(F1161:F1169,A1161:A1169,B$11),IF(AND(COUNT(A1162:A1173)=9,COUNT(F1162:F1173)=9),cubic_spline(F1161:F1170,A1161:A1170,B$11),IF(AND(COUNT(A1162:A1173)=10,COUNT(F1162:F1173)=10),cubic_spline(F1161:F1171,A1161:A1171,B$11),IF(AND(COUNT(A1162:A1173)=11,COUNT(F1162:F1173)=11),cubic_spline(F1161:F1172,A1161:A1172,B$11),IF(AND(COUNT(A1162:A1173)=12,COUNT(F1162:F1173)=12),cubic_spline(F1161:F1173,A1161:A1173,B$11),""))))))))))))</f>
        <v/>
      </c>
      <c r="L1171" s="27" t="str">
        <f>IF(I1171="","",B$10&amp;"-"&amp;B$11)</f>
        <v/>
      </c>
      <c r="M1171" s="52" t="str">
        <f t="shared" si="445"/>
        <v/>
      </c>
    </row>
    <row r="1172" spans="1:13" x14ac:dyDescent="0.35">
      <c r="A1172" s="48"/>
      <c r="B1172" s="48"/>
      <c r="C1172" s="50"/>
      <c r="D1172" s="50"/>
      <c r="E1172" s="51" t="str">
        <f t="shared" si="443"/>
        <v/>
      </c>
      <c r="F1172" s="71" t="str">
        <f t="shared" si="441"/>
        <v/>
      </c>
      <c r="G1172" s="69" t="str">
        <f t="shared" si="444"/>
        <v/>
      </c>
      <c r="H1172" s="70" t="str">
        <f t="shared" si="442"/>
        <v/>
      </c>
      <c r="I1172" s="27" t="str">
        <f>IF(N(J1172)=0,"",0&amp;"-"&amp;B$12)</f>
        <v/>
      </c>
      <c r="J1172" s="52" t="str">
        <f>IF(N(B$12)=0,"",IF(AND(COUNT(H1162:H1173)=2,COUNT(F1162:F1173)=2),cubic_spline(F1161:F1163,H1161:H1163,B$12),IF(AND(COUNT(H1162:H1173)=3,COUNT(F1162:F1173)=3),cubic_spline(F1161:F1164,H1161:H1164,B$12),IF(AND(COUNT(H1162:H1173)=4,COUNT(F1162:F1173)=4),cubic_spline(F1161:F1165,H1161:H1165,B$12),IF(AND(COUNT(H1162:H1173)=5,COUNT(F1162:F1173)=5),cubic_spline(F1161:F1166,H1161:H1166,B$12),IF(AND(COUNT(H1162:H1173)=6,COUNT(F1162:F1173)=6),cubic_spline(F1161:F1167,H1161:H1167,B$12),IF(AND(COUNT(H1162:H1173)=7,COUNT(F1162:F1173)=7),cubic_spline(F1161:F1168,H1161:H1168,B$12),IF(AND(COUNT(H1162:H1173)=8,COUNT(F1162:F1173)=8),cubic_spline(F1161:F1169,H1161:H1169,B$12),IF(AND(COUNT(H1162:H1173)=9,COUNT(F1162:F1173)=9),cubic_spline(F1161:F1170,H1161:H1170,B$12),IF(AND(COUNT(H1162:H1173)=10,COUNT(F1162:F1173)=10),cubic_spline(F1161:F1171,H1161:H1171,B$12),IF(AND(COUNT(H1162:H1173)=11,COUNT(F1162:F1173)=11),cubic_spline(F1161:F1172,H1161:H1172,B$12),IF(AND(COUNT(H1162:H1173)=12,COUNT(F1162:F1173)=12),cubic_spline(F1161:F1173,H1161:H1173,B$12),""))))))))))))</f>
        <v/>
      </c>
      <c r="K1172" s="52" t="str">
        <f>IF(N(B$12)=0,"",IF(AND(COUNT(A1162:A1173)=2,COUNT(F1162:F1173)=2),cubic_spline(F1161:F1163,A1161:A1163,B$12),IF(AND(COUNT(A1162:A1173)=3,COUNT(F1162:F1173)=3),cubic_spline(F1161:F1164,A1161:A1164,B$12),IF(AND(COUNT(A1162:A1173)=4,COUNT(F1162:F1173)=4),cubic_spline(F1161:F1165,A1161:A1165,B$12),IF(AND(COUNT(A1162:A1173)=5,COUNT(F1162:F1173)=5),cubic_spline(F1161:F1166,A1161:A1166,B$12),IF(AND(COUNT(A1162:A1173)=6,COUNT(F1162:F1173)=6),cubic_spline(F1161:F1167,A1161:A1167,B$12),IF(AND(COUNT(A1162:A1173)=7,COUNT(F1162:F1173)=7),cubic_spline(F1161:F1168,A1161:A1168,B$12),IF(AND(COUNT(A1162:A1173)=8,COUNT(F1162:F1173)=8),cubic_spline(F1161:F1169,A1161:A1169,B$12),IF(AND(COUNT(A1162:A1173)=9,COUNT(F1162:F1173)=9),cubic_spline(F1161:F1170,A1161:A1170,B$12),IF(AND(COUNT(A1162:A1173)=10,COUNT(F1162:F1173)=10),cubic_spline(F1161:F1171,A1161:A1171,B$12),IF(AND(COUNT(A1162:A1173)=11,COUNT(F1162:F1173)=11),cubic_spline(F1161:F1172,A1161:A1172,B$12),IF(AND(COUNT(A1162:A1173)=12,COUNT(F1162:F1173)=12),cubic_spline(F1161:F1173,A1161:A1173,B$12),""))))))))))))</f>
        <v/>
      </c>
      <c r="L1172" s="27" t="str">
        <f>IF(I1172="","",B$11&amp;"-"&amp;B$12)</f>
        <v/>
      </c>
      <c r="M1172" s="52" t="str">
        <f t="shared" si="445"/>
        <v/>
      </c>
    </row>
    <row r="1173" spans="1:13" x14ac:dyDescent="0.35">
      <c r="A1173" s="48"/>
      <c r="B1173" s="48"/>
      <c r="C1173" s="50"/>
      <c r="D1173" s="50"/>
      <c r="E1173" s="51" t="str">
        <f t="shared" si="443"/>
        <v/>
      </c>
      <c r="F1173" s="71" t="str">
        <f t="shared" si="441"/>
        <v/>
      </c>
      <c r="G1173" s="69" t="str">
        <f t="shared" si="444"/>
        <v/>
      </c>
      <c r="H1173" s="70" t="str">
        <f t="shared" si="442"/>
        <v/>
      </c>
      <c r="I1173" s="27" t="str">
        <f>IF(N(J1173)=0,"",0&amp;"-"&amp;B$13)</f>
        <v/>
      </c>
      <c r="J1173" s="52" t="str">
        <f>IF(N(B$13)=0,"",IF(AND(COUNT(H1162:H1173)=2,COUNT(F1162:F1173)=2),cubic_spline(F1161:F1163,H1161:H1163,B$13),IF(AND(COUNT(H1162:H1173)=3,COUNT(F1162:F1173)=3),cubic_spline(F1161:F1164,H1161:H1164,B$13),IF(AND(COUNT(H1162:H1173)=4,COUNT(F1162:F1173)=4),cubic_spline(F1161:F1165,H1161:H1165,B$13),IF(AND(COUNT(H1162:H1173)=5,COUNT(F1162:F1173)=5),cubic_spline(F1161:F1166,H1161:H1166,B$13),IF(AND(COUNT(H1162:H1173)=6,COUNT(F1162:F1173)=6),cubic_spline(F1161:F1167,H1161:H1167,B$13),IF(AND(COUNT(H1162:H1173)=7,COUNT(F1162:F1173)=7),cubic_spline(F1161:F1168,H1161:H1168,B$13),IF(AND(COUNT(H1162:H1173)=8,COUNT(F1162:F1173)=8),cubic_spline(F1161:F1169,H1161:H1169,B$13),IF(AND(COUNT(H1162:H1173)=9,COUNT(F1162:F1173)=9),cubic_spline(F1161:F1170,H1161:H1170,B$13),IF(AND(COUNT(H1162:H1173)=10,COUNT(F1162:F1173)=10),cubic_spline(F1161:F1171,H1161:H1171,B$13),IF(AND(COUNT(H1162:H1173)=11,COUNT(F1162:F1173)=11),cubic_spline(F1161:F1172,H1161:H1172,B$13),IF(AND(COUNT(H1162:H1173)=12,COUNT(F1162:F1173)=12),cubic_spline(F1161:F1173,H1161:H1173,B$13),""))))))))))))</f>
        <v/>
      </c>
      <c r="K1173" s="52" t="str">
        <f>IF(N(B$13)=0,"",IF(AND(COUNT(A1162:A1173)=2,COUNT(F1162:F1173)=2),cubic_spline(F1161:F1163,A1161:A1163,B$13),IF(AND(COUNT(A1162:A1173)=3,COUNT(F1162:F1173)=3),cubic_spline(F1161:F1164,A1161:A1164,B$13),IF(AND(COUNT(A1162:A1173)=4,COUNT(F1162:F1173)=4),cubic_spline(F1161:F1165,A1161:A1165,B$13),IF(AND(COUNT(A1162:A1173)=5,COUNT(F1162:F1173)=5),cubic_spline(F1161:F1166,A1161:A1166,B$13),IF(AND(COUNT(A1162:A1173)=6,COUNT(F1162:F1173)=6),cubic_spline(F1161:F1167,A1161:A1167,B$13),IF(AND(COUNT(A1162:A1173)=7,COUNT(F1162:F1173)=7),cubic_spline(F1161:F1168,A1161:A1168,B$13),IF(AND(COUNT(A1162:A1173)=8,COUNT(F1162:F1173)=8),cubic_spline(F1161:F1169,A1161:A1169,B$13),IF(AND(COUNT(A1162:A1173)=9,COUNT(F1162:F1173)=9),cubic_spline(F1161:F1170,A1161:A1170,B$13),IF(AND(COUNT(A1162:A1173)=10,COUNT(F1162:F1173)=10),cubic_spline(F1161:F1171,A1161:A1171,B$13),IF(AND(COUNT(A1162:A1173)=11,COUNT(F1162:F1173)=11),cubic_spline(F1161:F1172,A1161:A1172,B$13),IF(AND(COUNT(A1162:A1173)=12,COUNT(F1162:F1173)=12),cubic_spline(F1161:F1173,A1161:A1173,B$13),""))))))))))))</f>
        <v/>
      </c>
      <c r="L1173" s="27" t="str">
        <f>IF(I1173="","",B$12&amp;"-"&amp;B$13)</f>
        <v/>
      </c>
      <c r="M1173" s="52" t="str">
        <f t="shared" si="445"/>
        <v/>
      </c>
    </row>
    <row r="1174" spans="1:13" ht="5.15" customHeight="1" x14ac:dyDescent="0.35">
      <c r="A1174" s="47"/>
      <c r="B1174" s="47"/>
      <c r="C1174" s="53"/>
      <c r="D1174" s="53"/>
      <c r="E1174" s="54"/>
      <c r="F1174" s="55"/>
      <c r="G1174" s="72"/>
      <c r="H1174" s="73"/>
      <c r="I1174" s="47"/>
      <c r="J1174" s="57"/>
      <c r="K1174" s="57"/>
      <c r="L1174" s="55"/>
      <c r="M1174" s="57"/>
    </row>
    <row r="1175" spans="1:13" x14ac:dyDescent="0.35">
      <c r="A1175" s="48"/>
      <c r="B1175" s="48"/>
      <c r="C1175" s="50"/>
      <c r="D1175" s="50"/>
      <c r="E1175" s="51" t="str">
        <f>IF(N(C1175)=0,"",(A1175-A1174)*C1175*100)</f>
        <v/>
      </c>
      <c r="F1175" s="68" t="str">
        <f t="shared" ref="F1175:F1186" si="446">IF(N(E1175)=0,"",(N(E1175)+N(F1174)))</f>
        <v/>
      </c>
      <c r="G1175" s="69" t="str">
        <f>IF(OR(N(D1175)=0,N(E1175)=0),"",(E1175*D1175)/1000)</f>
        <v/>
      </c>
      <c r="H1175" s="70" t="str">
        <f t="shared" ref="H1175:H1186" si="447">IF(N(G1175)=0,"",(N(G1175)+N(H1174)))</f>
        <v/>
      </c>
      <c r="I1175" s="27" t="str">
        <f>IF(N(J1175)=0,"",0&amp;"-"&amp;B$2)</f>
        <v/>
      </c>
      <c r="J1175" s="52" t="str">
        <f>IF(N(B$2)=0,"",IF(AND(COUNT(H1175:H1186)=2,COUNT(F1175:F1186)=2),cubic_spline(F1174:F1176,H1174:H1176,B$2),IF(AND(COUNT(H1175:H1186)=3,COUNT(F1175:F1186)=3),cubic_spline(F1174:F1177,H1174:H1177,B$2),IF(AND(COUNT(H1175:H1186)=4,COUNT(F1175:F1186)=4),cubic_spline(F1174:F1178,H1174:H1178,B$2),IF(AND(COUNT(H1175:H1186)=5,COUNT(F1175:F1186)=5),cubic_spline(F1174:F1179,H1174:H1179,B$2),IF(AND(COUNT(H1175:H1186)=6,COUNT(F1175:F1186)=6),cubic_spline(F1174:F1180,H1174:H1180,B$2),IF(AND(COUNT(H1175:H1186)=7,COUNT(F1175:F1186)=7),cubic_spline(F1174:F1181,H1174:H1181,B$2),IF(AND(COUNT(H1175:H1186)=8,COUNT(F1175:F1186)=8),cubic_spline(F1174:F1182,H1174:H1182,B$2),IF(AND(COUNT(H1175:H1186)=9,COUNT(F1175:F1186)=9),cubic_spline(F1174:F1183,H1174:H1183,B$2),IF(AND(COUNT(H1175:H1186)=10,COUNT(F1175:F1186)=10),cubic_spline(F1174:F1184,H1174:H1184,B$2),IF(AND(COUNT(H1175:H1186)=11,COUNT(F1175:F1186)=11),cubic_spline(F1174:F1185,H1174:H1185,B$2),IF(AND(COUNT(H1175:H1186)=12,COUNT(F1175:F1186)=12),cubic_spline(F1174:F1186,H1174:H1186,B$2),""))))))))))))</f>
        <v/>
      </c>
      <c r="K1175" s="52" t="str">
        <f>IF(N(B$2)=0,"",IF(AND(COUNT(A1175:A1186)=2,COUNT(F1175:F1186)=2),cubic_spline(F1174:F1176,A1174:A1176,B$2),IF(AND(COUNT(A1175:A1186)=3,COUNT(F1175:F1186)=3),cubic_spline(F1174:F1177,A1174:A1177,B$2),IF(AND(COUNT(A1175:A1186)=4,COUNT(F1175:F1186)=4),cubic_spline(F1174:F1178,A1174:A1178,B$2),IF(AND(COUNT(A1175:A1186)=5,COUNT(F1175:F1186)=5),cubic_spline(F1174:F1179,A1174:A1179,B$2),IF(AND(COUNT(A1175:A1186)=6,COUNT(F1175:F1186)=6),cubic_spline(F1174:F1180,A1174:A1180,B$2),IF(AND(COUNT(A1175:A1186)=7,COUNT(F1175:F1186)=7),cubic_spline(F1174:F1181,A1174:A1181,B$2),IF(AND(COUNT(A1175:A1186)=8,COUNT(F1175:F1186)=8),cubic_spline(F1174:F1182,A1174:A1182,B$2),IF(AND(COUNT(A1175:A1186)=9,COUNT(F1175:F1186)=9),cubic_spline(F1174:F1183,A1174:A1183,B$2),IF(AND(COUNT(A1175:A1186)=10,COUNT(F1175:F1186)=10),cubic_spline(F1174:F1184,A1174:A1184,B$2),IF(AND(COUNT(A1175:A1186)=11,COUNT(F1175:F1186)=11),cubic_spline(F1174:F1185,A1174:A1185,B$2),IF(AND(COUNT(A1175:A1186)=12,COUNT(F1175:F1186)=12),cubic_spline(F1174:F1186,A1174:A1186,B$2),""))))))))))))</f>
        <v/>
      </c>
      <c r="L1175" s="27" t="str">
        <f>IF(I1175="","",0&amp;"-"&amp;B$2)</f>
        <v/>
      </c>
      <c r="M1175" s="52" t="str">
        <f>IF(N(J1175)=0,"",J1175-J1174)</f>
        <v/>
      </c>
    </row>
    <row r="1176" spans="1:13" x14ac:dyDescent="0.35">
      <c r="A1176" s="48"/>
      <c r="B1176" s="48"/>
      <c r="C1176" s="50"/>
      <c r="D1176" s="50"/>
      <c r="E1176" s="51" t="str">
        <f t="shared" ref="E1176:E1186" si="448">IF(N(C1176)=0,"",(A1176-A1175)*C1176*100)</f>
        <v/>
      </c>
      <c r="F1176" s="68" t="str">
        <f t="shared" si="446"/>
        <v/>
      </c>
      <c r="G1176" s="69" t="str">
        <f t="shared" ref="G1176:G1186" si="449">IF(OR(N(D1176)=0,N(E1176)=0),"",(E1176*D1176)/1000)</f>
        <v/>
      </c>
      <c r="H1176" s="70" t="str">
        <f t="shared" si="447"/>
        <v/>
      </c>
      <c r="I1176" s="27" t="str">
        <f>IF(N(J1176)=0,"",0&amp;"-"&amp;B$3)</f>
        <v/>
      </c>
      <c r="J1176" s="52" t="str">
        <f>IF(N(B$3)=0,"",IF(AND(COUNT(H1175:H1186)=2,COUNT(F1175:F1186)=2),cubic_spline(F1174:F1176,H1174:H1176,B$3),IF(AND(COUNT(H1175:H1186)=3,COUNT(F1175:F1186)=3),cubic_spline(F1174:F1177,H1174:H1177,B$3),IF(AND(COUNT(H1175:H1186)=4,COUNT(F1175:F1186)=4),cubic_spline(F1174:F1178,H1174:H1178,B$3),IF(AND(COUNT(H1175:H1186)=5,COUNT(F1175:F1186)=5),cubic_spline(F1174:F1179,H1174:H1179,B$3),IF(AND(COUNT(H1175:H1186)=6,COUNT(F1175:F1186)=6),cubic_spline(F1174:F1180,H1174:H1180,B$3),IF(AND(COUNT(H1175:H1186)=7,COUNT(F1175:F1186)=7),cubic_spline(F1174:F1181,H1174:H1181,B$3),IF(AND(COUNT(H1175:H1186)=8,COUNT(F1175:F1186)=8),cubic_spline(F1174:F1182,H1174:H1182,B$3),IF(AND(COUNT(H1175:H1186)=9,COUNT(F1175:F1186)=9),cubic_spline(F1174:F1183,H1174:H1183,B$3),IF(AND(COUNT(H1175:H1186)=10,COUNT(F1175:F1186)=10),cubic_spline(F1174:F1184,H1174:H1184,B$3),IF(AND(COUNT(H1175:H1186)=11,COUNT(F1175:F1186)=11),cubic_spline(F1174:F1185,H1174:H1185,B$3),IF(AND(COUNT(H1175:H1186)=12,COUNT(F1175:F1186)=12),cubic_spline(F1174:F1186,H1174:H1186,B$3),""))))))))))))</f>
        <v/>
      </c>
      <c r="K1176" s="52" t="str">
        <f>IF(N(B$3)=0,"",IF(AND(COUNT(A1175:A1186)=2,COUNT(F1175:F1186)=2),cubic_spline(F1174:F1176,A1174:A1176,B$3),IF(AND(COUNT(A1175:A1186)=3,COUNT(F1175:F1186)=3),cubic_spline(F1174:F1177,A1174:A1177,B$3),IF(AND(COUNT(A1175:A1186)=4,COUNT(F1175:F1186)=4),cubic_spline(F1174:F1178,A1174:A1178,B$3),IF(AND(COUNT(A1175:A1186)=5,COUNT(F1175:F1186)=5),cubic_spline(F1174:F1179,A1174:A1179,B$3),IF(AND(COUNT(A1175:A1186)=6,COUNT(F1175:F1186)=6),cubic_spline(F1174:F1180,A1174:A1180,B$3),IF(AND(COUNT(A1175:A1186)=7,COUNT(F1175:F1186)=7),cubic_spline(F1174:F1181,A1174:A1181,B$3),IF(AND(COUNT(A1175:A1186)=8,COUNT(F1175:F1186)=8),cubic_spline(F1174:F1182,A1174:A1182,B$3),IF(AND(COUNT(A1175:A1186)=9,COUNT(F1175:F1186)=9),cubic_spline(F1174:F1183,A1174:A1183,B$3),IF(AND(COUNT(A1175:A1186)=10,COUNT(F1175:F1186)=10),cubic_spline(F1174:F1184,A1174:A1184,B$3),IF(AND(COUNT(A1175:A1186)=11,COUNT(F1175:F1186)=11),cubic_spline(F1174:F1185,A1174:A1185,B$3),IF(AND(COUNT(A1175:A1186)=12,COUNT(F1175:F1186)=12),cubic_spline(F1174:F1186,A1174:A1186,B$3),""))))))))))))</f>
        <v/>
      </c>
      <c r="L1176" s="27" t="str">
        <f>IF(I1176="","",B$2&amp;"-"&amp;B$3)</f>
        <v/>
      </c>
      <c r="M1176" s="52" t="str">
        <f>IF(N(J1176)=0,"",J1176-J1175)</f>
        <v/>
      </c>
    </row>
    <row r="1177" spans="1:13" x14ac:dyDescent="0.35">
      <c r="A1177" s="48"/>
      <c r="B1177" s="48"/>
      <c r="C1177" s="50"/>
      <c r="D1177" s="50"/>
      <c r="E1177" s="51" t="str">
        <f t="shared" si="448"/>
        <v/>
      </c>
      <c r="F1177" s="68" t="str">
        <f t="shared" si="446"/>
        <v/>
      </c>
      <c r="G1177" s="69" t="str">
        <f t="shared" si="449"/>
        <v/>
      </c>
      <c r="H1177" s="70" t="str">
        <f t="shared" si="447"/>
        <v/>
      </c>
      <c r="I1177" s="27" t="str">
        <f>IF(N(J1177)=0,"",0&amp;"-"&amp;B$4)</f>
        <v/>
      </c>
      <c r="J1177" s="52" t="str">
        <f>IF(N(B$4)=0,"",IF(AND(COUNT(H1175:H1186)=2,COUNT(F1175:F1186)=2),cubic_spline(F1174:F1176,H1174:H1176,B$4),IF(AND(COUNT(H1175:H1186)=3,COUNT(F1175:F1186)=3),cubic_spline(F1174:F1177,H1174:H1177,B$4),IF(AND(COUNT(H1175:H1186)=4,COUNT(F1175:F1186)=4),cubic_spline(F1174:F1178,H1174:H1178,B$4),IF(AND(COUNT(H1175:H1186)=5,COUNT(F1175:F1186)=5),cubic_spline(F1174:F1179,H1174:H1179,B$4),IF(AND(COUNT(H1175:H1186)=6,COUNT(F1175:F1186)=6),cubic_spline(F1174:F1180,H1174:H1180,B$4),IF(AND(COUNT(H1175:H1186)=7,COUNT(F1175:F1186)=7),cubic_spline(F1174:F1181,H1174:H1181,B$4),IF(AND(COUNT(H1175:H1186)=8,COUNT(F1175:F1186)=8),cubic_spline(F1174:F1182,H1174:H1182,B$4),IF(AND(COUNT(H1175:H1186)=9,COUNT(F1175:F1186)=9),cubic_spline(F1174:F1183,H1174:H1183,B$4),IF(AND(COUNT(H1175:H1186)=10,COUNT(F1175:F1186)=10),cubic_spline(F1174:F1184,H1174:H1184,B$4),IF(AND(COUNT(H1175:H1186)=11,COUNT(F1175:F1186)=11),cubic_spline(F1174:F1185,H1174:H1185,B$4),IF(AND(COUNT(H1175:H1186)=12,COUNT(F1175:F1186)=12),cubic_spline(F1174:F1186,H1174:H1186,B$4),""))))))))))))</f>
        <v/>
      </c>
      <c r="K1177" s="52" t="str">
        <f>IF(N(B$4)=0,"",IF(AND(COUNT(A1175:A1186)=2,COUNT(F1175:F1186)=2),cubic_spline(F1174:F1176,A1174:A1176,B$4),IF(AND(COUNT(A1175:A1186)=3,COUNT(F1175:F1186)=3),cubic_spline(F1174:F1177,A1174:A1177,B$4),IF(AND(COUNT(A1175:A1186)=4,COUNT(F1175:F1186)=4),cubic_spline(F1174:F1178,A1174:A1178,B$4),IF(AND(COUNT(A1175:A1186)=5,COUNT(F1175:F1186)=5),cubic_spline(F1174:F1179,A1174:A1179,B$4),IF(AND(COUNT(A1175:A1186)=6,COUNT(F1175:F1186)=6),cubic_spline(F1174:F1180,A1174:A1180,B$4),IF(AND(COUNT(A1175:A1186)=7,COUNT(F1175:F1186)=7),cubic_spline(F1174:F1181,A1174:A1181,B$4),IF(AND(COUNT(A1175:A1186)=8,COUNT(F1175:F1186)=8),cubic_spline(F1174:F1182,A1174:A1182,B$4),IF(AND(COUNT(A1175:A1186)=9,COUNT(F1175:F1186)=9),cubic_spline(F1174:F1183,A1174:A1183,B$4),IF(AND(COUNT(A1175:A1186)=10,COUNT(F1175:F1186)=10),cubic_spline(F1174:F1184,A1174:A1184,B$4),IF(AND(COUNT(A1175:A1186)=11,COUNT(F1175:F1186)=11),cubic_spline(F1174:F1185,A1174:A1185,B$4),IF(AND(COUNT(A1175:A1186)=12,COUNT(F1175:F1186)=12),cubic_spline(F1174:F1186,A1174:A1186,B$4),""))))))))))))</f>
        <v/>
      </c>
      <c r="L1177" s="27" t="str">
        <f>IF(I1177="","",B$3&amp;"-"&amp;B$4)</f>
        <v/>
      </c>
      <c r="M1177" s="52" t="str">
        <f>IF(N(J1177)=0,"",J1177-J1176)</f>
        <v/>
      </c>
    </row>
    <row r="1178" spans="1:13" x14ac:dyDescent="0.35">
      <c r="A1178" s="48"/>
      <c r="B1178" s="48"/>
      <c r="C1178" s="50"/>
      <c r="D1178" s="50"/>
      <c r="E1178" s="51" t="str">
        <f t="shared" si="448"/>
        <v/>
      </c>
      <c r="F1178" s="68" t="str">
        <f t="shared" si="446"/>
        <v/>
      </c>
      <c r="G1178" s="69" t="str">
        <f t="shared" si="449"/>
        <v/>
      </c>
      <c r="H1178" s="70" t="str">
        <f t="shared" si="447"/>
        <v/>
      </c>
      <c r="I1178" s="27" t="str">
        <f>IF(N(J1178)=0,"",0&amp;"-"&amp;B$5)</f>
        <v/>
      </c>
      <c r="J1178" s="52" t="str">
        <f>IF(N(B$5)=0,"",IF(AND(COUNT(H1175:H1186)=2,COUNT(F1175:F1186)=2),cubic_spline(F1174:F1176,H1174:H1176,B$5),IF(AND(COUNT(H1175:H1186)=3,COUNT(F1175:F1186)=3),cubic_spline(F1174:F1177,H1174:H1177,B$5),IF(AND(COUNT(H1175:H1186)=4,COUNT(F1175:F1186)=4),cubic_spline(F1174:F1178,H1174:H1178,B$5),IF(AND(COUNT(H1175:H1186)=5,COUNT(F1175:F1186)=5),cubic_spline(F1174:F1179,H1174:H1179,B$5),IF(AND(COUNT(H1175:H1186)=6,COUNT(F1175:F1186)=6),cubic_spline(F1174:F1180,H1174:H1180,B$5),IF(AND(COUNT(H1175:H1186)=7,COUNT(F1175:F1186)=7),cubic_spline(F1174:F1181,H1174:H1181,B$5),IF(AND(COUNT(H1175:H1186)=8,COUNT(F1175:F1186)=8),cubic_spline(F1174:F1182,H1174:H1182,B$5),IF(AND(COUNT(H1175:H1186)=9,COUNT(F1175:F1186)=9),cubic_spline(F1174:F1183,H1174:H1183,B$5),IF(AND(COUNT(H1175:H1186)=10,COUNT(F1175:F1186)=10),cubic_spline(F1174:F1184,H1174:H1184,B$5),IF(AND(COUNT(H1175:H1186)=11,COUNT(F1175:F1186)=11),cubic_spline(F1174:F1185,H1174:H1185,B$5),IF(AND(COUNT(H1175:H1186)=12,COUNT(F1175:F1186)=12),cubic_spline(F1174:F1186,H1174:H1186,B$5),""))))))))))))</f>
        <v/>
      </c>
      <c r="K1178" s="52" t="str">
        <f>IF(N(B$5)=0,"",IF(AND(COUNT(A1175:A1186)=2,COUNT(F1175:F1186)=2),cubic_spline(F1174:F1176,A1174:A1176,B$5),IF(AND(COUNT(A1175:A1186)=3,COUNT(F1175:F1186)=3),cubic_spline(F1174:F1177,A1174:A1177,B$5),IF(AND(COUNT(A1175:A1186)=4,COUNT(F1175:F1186)=4),cubic_spline(F1174:F1178,A1174:A1178,B$5),IF(AND(COUNT(A1175:A1186)=5,COUNT(F1175:F1186)=5),cubic_spline(F1174:F1179,A1174:A1179,B$5),IF(AND(COUNT(A1175:A1186)=6,COUNT(F1175:F1186)=6),cubic_spline(F1174:F1180,A1174:A1180,B$5),IF(AND(COUNT(A1175:A1186)=7,COUNT(F1175:F1186)=7),cubic_spline(F1174:F1181,A1174:A1181,B$5),IF(AND(COUNT(A1175:A1186)=8,COUNT(F1175:F1186)=8),cubic_spline(F1174:F1182,A1174:A1182,B$5),IF(AND(COUNT(A1175:A1186)=9,COUNT(F1175:F1186)=9),cubic_spline(F1174:F1183,A1174:A1183,B$5),IF(AND(COUNT(A1175:A1186)=10,COUNT(F1175:F1186)=10),cubic_spline(F1174:F1184,A1174:A1184,B$5),IF(AND(COUNT(A1175:A1186)=11,COUNT(F1175:F1186)=11),cubic_spline(F1174:F1185,A1174:A1185,B$5),IF(AND(COUNT(A1175:A1186)=12,COUNT(F1175:F1186)=12),cubic_spline(F1174:F1186,A1174:A1186,B$5),""))))))))))))</f>
        <v/>
      </c>
      <c r="L1178" s="27" t="str">
        <f>IF(I1178="","",B$4&amp;"-"&amp;B$5)</f>
        <v/>
      </c>
      <c r="M1178" s="52" t="str">
        <f>IF(N(J1178)=0,"",J1178-J1177)</f>
        <v/>
      </c>
    </row>
    <row r="1179" spans="1:13" x14ac:dyDescent="0.35">
      <c r="A1179" s="48"/>
      <c r="B1179" s="48"/>
      <c r="C1179" s="50"/>
      <c r="D1179" s="50"/>
      <c r="E1179" s="51" t="str">
        <f t="shared" si="448"/>
        <v/>
      </c>
      <c r="F1179" s="71" t="str">
        <f t="shared" si="446"/>
        <v/>
      </c>
      <c r="G1179" s="69" t="str">
        <f t="shared" si="449"/>
        <v/>
      </c>
      <c r="H1179" s="70" t="str">
        <f t="shared" si="447"/>
        <v/>
      </c>
      <c r="I1179" s="27" t="str">
        <f>IF(N(J1179)=0,"",0&amp;"-"&amp;B$6)</f>
        <v/>
      </c>
      <c r="J1179" s="52" t="str">
        <f>IF(N(B$6)=0,"",IF(AND(COUNT(H1175:H1186)=2,COUNT(F1175:F1186)=2),cubic_spline(F1174:F1176,H1174:H1176,B$6),IF(AND(COUNT(H1175:H1186)=3,COUNT(F1175:F1186)=3),cubic_spline(F1174:F1177,H1174:H1177,B$6),IF(AND(COUNT(H1175:H1186)=4,COUNT(F1175:F1186)=4),cubic_spline(F1174:F1178,H1174:H1178,B$6),IF(AND(COUNT(H1175:H1186)=5,COUNT(F1175:F1186)=5),cubic_spline(F1174:F1179,H1174:H1179,B$6),IF(AND(COUNT(H1175:H1186)=6,COUNT(F1175:F1186)=6),cubic_spline(F1174:F1180,H1174:H1180,B$6),IF(AND(COUNT(H1175:H1186)=7,COUNT(F1175:F1186)=7),cubic_spline(F1174:F1181,H1174:H1181,B$6),IF(AND(COUNT(H1175:H1186)=8,COUNT(F1175:F1186)=8),cubic_spline(F1174:F1182,H1174:H1182,B$6),IF(AND(COUNT(H1175:H1186)=9,COUNT(F1175:F1186)=9),cubic_spline(F1174:F1183,H1174:H1183,B$6),IF(AND(COUNT(H1175:H1186)=10,COUNT(F1175:F1186)=10),cubic_spline(F1174:F1184,H1174:H1184,B$6),IF(AND(COUNT(H1175:H1186)=11,COUNT(F1175:F1186)=11),cubic_spline(F1174:F1185,H1174:H1185,B$6),IF(AND(COUNT(H1175:H1186)=12,COUNT(F1175:F1186)=12),cubic_spline(F1174:F1186,H1174:H1186,B$6),""))))))))))))</f>
        <v/>
      </c>
      <c r="K1179" s="52" t="str">
        <f>IF(N(B$6)=0,"",IF(AND(COUNT(A1175:A1186)=2,COUNT(F1175:F1186)=2),cubic_spline(F1174:F1176,A1174:A1176,B$6),IF(AND(COUNT(A1175:A1186)=3,COUNT(F1175:F1186)=3),cubic_spline(F1174:F1177,A1174:A1177,B$6),IF(AND(COUNT(A1175:A1186)=4,COUNT(F1175:F1186)=4),cubic_spline(F1174:F1178,A1174:A1178,B$6),IF(AND(COUNT(A1175:A1186)=5,COUNT(F1175:F1186)=5),cubic_spline(F1174:F1179,A1174:A1179,B$6),IF(AND(COUNT(A1175:A1186)=6,COUNT(F1175:F1186)=6),cubic_spline(F1174:F1180,A1174:A1180,B$6),IF(AND(COUNT(A1175:A1186)=7,COUNT(F1175:F1186)=7),cubic_spline(F1174:F1181,A1174:A1181,B$6),IF(AND(COUNT(A1175:A1186)=8,COUNT(F1175:F1186)=8),cubic_spline(F1174:F1182,A1174:A1182,B$6),IF(AND(COUNT(A1175:A1186)=9,COUNT(F1175:F1186)=9),cubic_spline(F1174:F1183,A1174:A1183,B$6),IF(AND(COUNT(A1175:A1186)=10,COUNT(F1175:F1186)=10),cubic_spline(F1174:F1184,A1174:A1184,B$6),IF(AND(COUNT(A1175:A1186)=11,COUNT(F1175:F1186)=11),cubic_spline(F1174:F1185,A1174:A1185,B$6),IF(AND(COUNT(A1175:A1186)=12,COUNT(F1175:F1186)=12),cubic_spline(F1174:F1186,A1174:A1186,B$6),""))))))))))))</f>
        <v/>
      </c>
      <c r="L1179" s="27" t="str">
        <f>IF(I1179="","",B$5&amp;"-"&amp;B$6)</f>
        <v/>
      </c>
      <c r="M1179" s="52" t="str">
        <f>IF(N(J1179)=0,"",J1179-J1178)</f>
        <v/>
      </c>
    </row>
    <row r="1180" spans="1:13" x14ac:dyDescent="0.35">
      <c r="A1180" s="48"/>
      <c r="B1180" s="48"/>
      <c r="C1180" s="50"/>
      <c r="D1180" s="50"/>
      <c r="E1180" s="51" t="str">
        <f t="shared" si="448"/>
        <v/>
      </c>
      <c r="F1180" s="71" t="str">
        <f t="shared" si="446"/>
        <v/>
      </c>
      <c r="G1180" s="69" t="str">
        <f t="shared" si="449"/>
        <v/>
      </c>
      <c r="H1180" s="70" t="str">
        <f t="shared" si="447"/>
        <v/>
      </c>
      <c r="I1180" s="27" t="str">
        <f>IF(N(J1180)=0,"",0&amp;"-"&amp;B$7)</f>
        <v/>
      </c>
      <c r="J1180" s="52" t="str">
        <f>IF(N(B$7)=0,"",IF(AND(COUNT(H1175:H1186)=2,COUNT(F1175:F1186)=2),cubic_spline(F1174:F1176,H1174:H1176,B$7),IF(AND(COUNT(H1175:H1186)=3,COUNT(F1175:F1186)=3),cubic_spline(F1174:F1177,H1174:H1177,B$7),IF(AND(COUNT(H1175:H1186)=4,COUNT(F1175:F1186)=4),cubic_spline(F1174:F1178,H1174:H1178,B$7),IF(AND(COUNT(H1175:H1186)=5,COUNT(F1175:F1186)=5),cubic_spline(F1174:F1179,H1174:H1179,B$7),IF(AND(COUNT(H1175:H1186)=6,COUNT(F1175:F1186)=6),cubic_spline(F1174:F1180,H1174:H1180,B$7),IF(AND(COUNT(H1175:H1186)=7,COUNT(F1175:F1186)=7),cubic_spline(F1174:F1181,H1174:H1181,B$7),IF(AND(COUNT(H1175:H1186)=8,COUNT(F1175:F1186)=8),cubic_spline(F1174:F1182,H1174:H1182,B$7),IF(AND(COUNT(H1175:H1186)=9,COUNT(F1175:F1186)=9),cubic_spline(F1174:F1183,H1174:H1183,B$7),IF(AND(COUNT(H1175:H1186)=10,COUNT(F1175:F1186)=10),cubic_spline(F1174:F1184,H1174:H1184,B$7),IF(AND(COUNT(H1175:H1186)=11,COUNT(F1175:F1186)=11),cubic_spline(F1174:F1185,H1174:H1185,B$7),IF(AND(COUNT(H1175:H1186)=12,COUNT(F1175:F1186)=12),cubic_spline(F1174:F1186,H1174:H1186,B$7),""))))))))))))</f>
        <v/>
      </c>
      <c r="K1180" s="52" t="str">
        <f>IF(N(B$7)=0,"",IF(AND(COUNT(A1175:A1186)=2,COUNT(F1175:F1186)=2),cubic_spline(F1174:F1176,A1174:A1176,B$7),IF(AND(COUNT(A1175:A1186)=3,COUNT(F1175:F1186)=3),cubic_spline(F1174:F1177,A1174:A1177,B$7),IF(AND(COUNT(A1175:A1186)=4,COUNT(F1175:F1186)=4),cubic_spline(F1174:F1178,A1174:A1178,B$7),IF(AND(COUNT(A1175:A1186)=5,COUNT(F1175:F1186)=5),cubic_spline(F1174:F1179,A1174:A1179,B$7),IF(AND(COUNT(A1175:A1186)=6,COUNT(F1175:F1186)=6),cubic_spline(F1174:F1180,A1174:A1180,B$7),IF(AND(COUNT(A1175:A1186)=7,COUNT(F1175:F1186)=7),cubic_spline(F1174:F1181,A1174:A1181,B$7),IF(AND(COUNT(A1175:A1186)=8,COUNT(F1175:F1186)=8),cubic_spline(F1174:F1182,A1174:A1182,B$7),IF(AND(COUNT(A1175:A1186)=9,COUNT(F1175:F1186)=9),cubic_spline(F1174:F1183,A1174:A1183,B$7),IF(AND(COUNT(A1175:A1186)=10,COUNT(F1175:F1186)=10),cubic_spline(F1174:F1184,A1174:A1184,B$7),IF(AND(COUNT(A1175:A1186)=11,COUNT(F1175:F1186)=11),cubic_spline(F1174:F1185,A1174:A1185,B$7),IF(AND(COUNT(A1175:A1186)=12,COUNT(F1175:F1186)=12),cubic_spline(F1174:F1186,A1174:A1186,B$7),""))))))))))))</f>
        <v/>
      </c>
      <c r="L1180" s="27" t="str">
        <f>IF(I1180="","",B$6&amp;"-"&amp;B$7)</f>
        <v/>
      </c>
      <c r="M1180" s="52" t="str">
        <f t="shared" ref="M1180:M1186" si="450">IF(N(J1180)=0,"",J1180-J1179)</f>
        <v/>
      </c>
    </row>
    <row r="1181" spans="1:13" x14ac:dyDescent="0.35">
      <c r="A1181" s="48"/>
      <c r="B1181" s="48"/>
      <c r="C1181" s="50"/>
      <c r="D1181" s="50"/>
      <c r="E1181" s="51" t="str">
        <f t="shared" si="448"/>
        <v/>
      </c>
      <c r="F1181" s="71" t="str">
        <f t="shared" si="446"/>
        <v/>
      </c>
      <c r="G1181" s="69" t="str">
        <f t="shared" si="449"/>
        <v/>
      </c>
      <c r="H1181" s="70" t="str">
        <f t="shared" si="447"/>
        <v/>
      </c>
      <c r="I1181" s="27" t="str">
        <f>IF(N(J1181)=0,"",0&amp;"-"&amp;B$8)</f>
        <v/>
      </c>
      <c r="J1181" s="52" t="str">
        <f>IF(N(B$8)=0,"",IF(AND(COUNT(H1175:H1186)=2,COUNT(F1175:F1186)=2),cubic_spline(F1174:F1176,H1174:H1176,B$8),IF(AND(COUNT(H1175:H1186)=3,COUNT(F1175:F1186)=3),cubic_spline(F1174:F1177,H1174:H1177,B$8),IF(AND(COUNT(H1175:H1186)=4,COUNT(F1175:F1186)=4),cubic_spline(F1174:F1178,H1174:H1178,B$8),IF(AND(COUNT(H1175:H1186)=5,COUNT(F1175:F1186)=5),cubic_spline(F1174:F1179,H1174:H1179,B$8),IF(AND(COUNT(H1175:H1186)=6,COUNT(F1175:F1186)=6),cubic_spline(F1174:F1180,H1174:H1180,B$8),IF(AND(COUNT(H1175:H1186)=7,COUNT(F1175:F1186)=7),cubic_spline(F1174:F1181,H1174:H1181,B$8),IF(AND(COUNT(H1175:H1186)=8,COUNT(F1175:F1186)=8),cubic_spline(F1174:F1182,H1174:H1182,B$8),IF(AND(COUNT(H1175:H1186)=9,COUNT(F1175:F1186)=9),cubic_spline(F1174:F1183,H1174:H1183,B$8),IF(AND(COUNT(H1175:H1186)=10,COUNT(F1175:F1186)=10),cubic_spline(F1174:F1184,H1174:H1184,B$8),IF(AND(COUNT(H1175:H1186)=11,COUNT(F1175:F1186)=11),cubic_spline(F1174:F1185,H1174:H1185,B$8),IF(AND(COUNT(H1175:H1186)=12,COUNT(F1175:F1186)=12),cubic_spline(F1174:F1186,H1174:H1186,B$8),""))))))))))))</f>
        <v/>
      </c>
      <c r="K1181" s="52" t="str">
        <f>IF(N(B$8)=0,"",IF(AND(COUNT(A1175:A1186)=2,COUNT(F1175:F1186)=2),cubic_spline(F1174:F1176,A1174:A1176,B$8),IF(AND(COUNT(A1175:A1186)=3,COUNT(F1175:F1186)=3),cubic_spline(F1174:F1177,A1174:A1177,B$8),IF(AND(COUNT(A1175:A1186)=4,COUNT(F1175:F1186)=4),cubic_spline(F1174:F1178,A1174:A1178,B$8),IF(AND(COUNT(A1175:A1186)=5,COUNT(F1175:F1186)=5),cubic_spline(F1174:F1179,A1174:A1179,B$8),IF(AND(COUNT(A1175:A1186)=6,COUNT(F1175:F1186)=6),cubic_spline(F1174:F1180,A1174:A1180,B$8),IF(AND(COUNT(A1175:A1186)=7,COUNT(F1175:F1186)=7),cubic_spline(F1174:F1181,A1174:A1181,B$8),IF(AND(COUNT(A1175:A1186)=8,COUNT(F1175:F1186)=8),cubic_spline(F1174:F1182,A1174:A1182,B$8),IF(AND(COUNT(A1175:A1186)=9,COUNT(F1175:F1186)=9),cubic_spline(F1174:F1183,A1174:A1183,B$8),IF(AND(COUNT(A1175:A1186)=10,COUNT(F1175:F1186)=10),cubic_spline(F1174:F1184,A1174:A1184,B$8),IF(AND(COUNT(A1175:A1186)=11,COUNT(F1175:F1186)=11),cubic_spline(F1174:F1185,A1174:A1185,B$8),IF(AND(COUNT(A1175:A1186)=12,COUNT(F1175:F1186)=12),cubic_spline(F1174:F1186,A1174:A1186,B$8),""))))))))))))</f>
        <v/>
      </c>
      <c r="L1181" s="27" t="str">
        <f>IF(I1181="","",B$7&amp;"-"&amp;B$8)</f>
        <v/>
      </c>
      <c r="M1181" s="52" t="str">
        <f t="shared" si="450"/>
        <v/>
      </c>
    </row>
    <row r="1182" spans="1:13" x14ac:dyDescent="0.35">
      <c r="A1182" s="48"/>
      <c r="B1182" s="48"/>
      <c r="C1182" s="50"/>
      <c r="D1182" s="50"/>
      <c r="E1182" s="51" t="str">
        <f t="shared" si="448"/>
        <v/>
      </c>
      <c r="F1182" s="71" t="str">
        <f t="shared" si="446"/>
        <v/>
      </c>
      <c r="G1182" s="69" t="str">
        <f t="shared" si="449"/>
        <v/>
      </c>
      <c r="H1182" s="70" t="str">
        <f t="shared" si="447"/>
        <v/>
      </c>
      <c r="I1182" s="27" t="str">
        <f>IF(N(J1182)=0,"",0&amp;"-"&amp;B$9)</f>
        <v/>
      </c>
      <c r="J1182" s="52" t="str">
        <f>IF(N(B$9)=0,"",IF(AND(COUNT(H1175:H1186)=2,COUNT(F1175:F1186)=2),cubic_spline(F1174:F1176,H1174:H1176,B$9),IF(AND(COUNT(H1175:H1186)=3,COUNT(F1175:F1186)=3),cubic_spline(F1174:F1177,H1174:H1177,B$9),IF(AND(COUNT(H1175:H1186)=4,COUNT(F1175:F1186)=4),cubic_spline(F1174:F1178,H1174:H1178,B$9),IF(AND(COUNT(H1175:H1186)=5,COUNT(F1175:F1186)=5),cubic_spline(F1174:F1179,H1174:H1179,B$9),IF(AND(COUNT(H1175:H1186)=6,COUNT(F1175:F1186)=6),cubic_spline(F1174:F1180,H1174:H1180,B$9),IF(AND(COUNT(H1175:H1186)=7,COUNT(F1175:F1186)=7),cubic_spline(F1174:F1181,H1174:H1181,B$9),IF(AND(COUNT(H1175:H1186)=8,COUNT(F1175:F1186)=8),cubic_spline(F1174:F1182,H1174:H1182,B$9),IF(AND(COUNT(H1175:H1186)=9,COUNT(F1175:F1186)=9),cubic_spline(F1174:F1183,H1174:H1183,B$9),IF(AND(COUNT(H1175:H1186)=10,COUNT(F1175:F1186)=10),cubic_spline(F1174:F1184,H1174:H1184,B$9),IF(AND(COUNT(H1175:H1186)=11,COUNT(F1175:F1186)=11),cubic_spline(F1174:F1185,H1174:H1185,B$9),IF(AND(COUNT(H1175:H1186)=12,COUNT(F1175:F1186)=12),cubic_spline(F1174:F1186,H1174:H1186,B$9),""))))))))))))</f>
        <v/>
      </c>
      <c r="K1182" s="52" t="str">
        <f>IF(N(B$9)=0,"",IF(AND(COUNT(A1175:A1186)=2,COUNT(F1175:F1186)=2),cubic_spline(F1174:F1176,A1174:A1176,B$9),IF(AND(COUNT(A1175:A1186)=3,COUNT(F1175:F1186)=3),cubic_spline(F1174:F1177,A1174:A1177,B$9),IF(AND(COUNT(A1175:A1186)=4,COUNT(F1175:F1186)=4),cubic_spline(F1174:F1178,A1174:A1178,B$9),IF(AND(COUNT(A1175:A1186)=5,COUNT(F1175:F1186)=5),cubic_spline(F1174:F1179,A1174:A1179,B$9),IF(AND(COUNT(A1175:A1186)=6,COUNT(F1175:F1186)=6),cubic_spline(F1174:F1180,A1174:A1180,B$9),IF(AND(COUNT(A1175:A1186)=7,COUNT(F1175:F1186)=7),cubic_spline(F1174:F1181,A1174:A1181,B$9),IF(AND(COUNT(A1175:A1186)=8,COUNT(F1175:F1186)=8),cubic_spline(F1174:F1182,A1174:A1182,B$9),IF(AND(COUNT(A1175:A1186)=9,COUNT(F1175:F1186)=9),cubic_spline(F1174:F1183,A1174:A1183,B$9),IF(AND(COUNT(A1175:A1186)=10,COUNT(F1175:F1186)=10),cubic_spline(F1174:F1184,A1174:A1184,B$9),IF(AND(COUNT(A1175:A1186)=11,COUNT(F1175:F1186)=11),cubic_spline(F1174:F1185,A1174:A1185,B$9),IF(AND(COUNT(A1175:A1186)=12,COUNT(F1175:F1186)=12),cubic_spline(F1174:F1186,A1174:A1186,B$9),""))))))))))))</f>
        <v/>
      </c>
      <c r="L1182" s="27" t="str">
        <f>IF(I1182="","",B$8&amp;"-"&amp;B$9)</f>
        <v/>
      </c>
      <c r="M1182" s="52" t="str">
        <f t="shared" si="450"/>
        <v/>
      </c>
    </row>
    <row r="1183" spans="1:13" x14ac:dyDescent="0.35">
      <c r="A1183" s="48"/>
      <c r="B1183" s="48"/>
      <c r="C1183" s="50"/>
      <c r="D1183" s="50"/>
      <c r="E1183" s="51" t="str">
        <f t="shared" si="448"/>
        <v/>
      </c>
      <c r="F1183" s="71" t="str">
        <f t="shared" si="446"/>
        <v/>
      </c>
      <c r="G1183" s="69" t="str">
        <f t="shared" si="449"/>
        <v/>
      </c>
      <c r="H1183" s="70" t="str">
        <f t="shared" si="447"/>
        <v/>
      </c>
      <c r="I1183" s="27" t="str">
        <f>IF(N(J1183)=0,"",0&amp;"-"&amp;B$10)</f>
        <v/>
      </c>
      <c r="J1183" s="52" t="str">
        <f>IF(N(B$10)=0,"",IF(AND(COUNT(H1175:H1186)=2,COUNT(F1175:F1186)=2),cubic_spline(F1174:F1176,H1174:H1176,B$10),IF(AND(COUNT(H1175:H1186)=3,COUNT(F1175:F1186)=3),cubic_spline(F1174:F1177,H1174:H1177,B$10),IF(AND(COUNT(H1175:H1186)=4,COUNT(F1175:F1186)=4),cubic_spline(F1174:F1178,H1174:H1178,B$10),IF(AND(COUNT(H1175:H1186)=5,COUNT(F1175:F1186)=5),cubic_spline(F1174:F1179,H1174:H1179,B$10),IF(AND(COUNT(H1175:H1186)=6,COUNT(F1175:F1186)=6),cubic_spline(F1174:F1180,H1174:H1180,B$10),IF(AND(COUNT(H1175:H1186)=7,COUNT(F1175:F1186)=7),cubic_spline(F1174:F1181,H1174:H1181,B$10),IF(AND(COUNT(H1175:H1186)=8,COUNT(F1175:F1186)=8),cubic_spline(F1174:F1182,H1174:H1182,B$10),IF(AND(COUNT(H1175:H1186)=9,COUNT(F1175:F1186)=9),cubic_spline(F1174:F1183,H1174:H1183,B$10),IF(AND(COUNT(H1175:H1186)=10,COUNT(F1175:F1186)=10),cubic_spline(F1174:F1184,H1174:H1184,B$10),IF(AND(COUNT(H1175:H1186)=11,COUNT(F1175:F1186)=11),cubic_spline(F1174:F1185,H1174:H1185,B$10),IF(AND(COUNT(H1175:H1186)=12,COUNT(F1175:F1186)=12),cubic_spline(F1174:F1186,H1174:H1186,B$10),""))))))))))))</f>
        <v/>
      </c>
      <c r="K1183" s="52" t="str">
        <f>IF(N(B$10)=0,"",IF(AND(COUNT(A1175:A1186)=2,COUNT(F1175:F1186)=2),cubic_spline(F1174:F1176,A1174:A1176,B$10),IF(AND(COUNT(A1175:A1186)=3,COUNT(F1175:F1186)=3),cubic_spline(F1174:F1177,A1174:A1177,B$10),IF(AND(COUNT(A1175:A1186)=4,COUNT(F1175:F1186)=4),cubic_spline(F1174:F1178,A1174:A1178,B$10),IF(AND(COUNT(A1175:A1186)=5,COUNT(F1175:F1186)=5),cubic_spline(F1174:F1179,A1174:A1179,B$10),IF(AND(COUNT(A1175:A1186)=6,COUNT(F1175:F1186)=6),cubic_spline(F1174:F1180,A1174:A1180,B$10),IF(AND(COUNT(A1175:A1186)=7,COUNT(F1175:F1186)=7),cubic_spline(F1174:F1181,A1174:A1181,B$10),IF(AND(COUNT(A1175:A1186)=8,COUNT(F1175:F1186)=8),cubic_spline(F1174:F1182,A1174:A1182,B$10),IF(AND(COUNT(A1175:A1186)=9,COUNT(F1175:F1186)=9),cubic_spline(F1174:F1183,A1174:A1183,B$10),IF(AND(COUNT(A1175:A1186)=10,COUNT(F1175:F1186)=10),cubic_spline(F1174:F1184,A1174:A1184,B$10),IF(AND(COUNT(A1175:A1186)=11,COUNT(F1175:F1186)=11),cubic_spline(F1174:F1185,A1174:A1185,B$10),IF(AND(COUNT(A1175:A1186)=12,COUNT(F1175:F1186)=12),cubic_spline(F1174:F1186,A1174:A1186,B$10),""))))))))))))</f>
        <v/>
      </c>
      <c r="L1183" s="27" t="str">
        <f>IF(I1183="","",B$9&amp;"-"&amp;B$10)</f>
        <v/>
      </c>
      <c r="M1183" s="52" t="str">
        <f t="shared" si="450"/>
        <v/>
      </c>
    </row>
    <row r="1184" spans="1:13" x14ac:dyDescent="0.35">
      <c r="A1184" s="48"/>
      <c r="B1184" s="48"/>
      <c r="C1184" s="50"/>
      <c r="D1184" s="50"/>
      <c r="E1184" s="51" t="str">
        <f t="shared" si="448"/>
        <v/>
      </c>
      <c r="F1184" s="71" t="str">
        <f t="shared" si="446"/>
        <v/>
      </c>
      <c r="G1184" s="69" t="str">
        <f t="shared" si="449"/>
        <v/>
      </c>
      <c r="H1184" s="70" t="str">
        <f t="shared" si="447"/>
        <v/>
      </c>
      <c r="I1184" s="27" t="str">
        <f>IF(N(J1184)=0,"",0&amp;"-"&amp;B$11)</f>
        <v/>
      </c>
      <c r="J1184" s="52" t="str">
        <f>IF(N(B$11)=0,"",IF(AND(COUNT(H1175:H1186)=2,COUNT(F1175:F1186)=2),cubic_spline(F1174:F1176,H1174:H1176,B$11),IF(AND(COUNT(H1175:H1186)=3,COUNT(F1175:F1186)=3),cubic_spline(F1174:F1177,H1174:H1177,B$11),IF(AND(COUNT(H1175:H1186)=4,COUNT(F1175:F1186)=4),cubic_spline(F1174:F1178,H1174:H1178,B$11),IF(AND(COUNT(H1175:H1186)=5,COUNT(F1175:F1186)=5),cubic_spline(F1174:F1179,H1174:H1179,B$11),IF(AND(COUNT(H1175:H1186)=6,COUNT(F1175:F1186)=6),cubic_spline(F1174:F1180,H1174:H1180,B$11),IF(AND(COUNT(H1175:H1186)=7,COUNT(F1175:F1186)=7),cubic_spline(F1174:F1181,H1174:H1181,B$11),IF(AND(COUNT(H1175:H1186)=8,COUNT(F1175:F1186)=8),cubic_spline(F1174:F1182,H1174:H1182,B$11),IF(AND(COUNT(H1175:H1186)=9,COUNT(F1175:F1186)=9),cubic_spline(F1174:F1183,H1174:H1183,B$11),IF(AND(COUNT(H1175:H1186)=10,COUNT(F1175:F1186)=10),cubic_spline(F1174:F1184,H1174:H1184,B$11),IF(AND(COUNT(H1175:H1186)=11,COUNT(F1175:F1186)=11),cubic_spline(F1174:F1185,H1174:H1185,B$11),IF(AND(COUNT(H1175:H1186)=12,COUNT(F1175:F1186)=12),cubic_spline(F1174:F1186,H1174:H1186,B$11),""))))))))))))</f>
        <v/>
      </c>
      <c r="K1184" s="52" t="str">
        <f>IF(N(B$11)=0,"",IF(AND(COUNT(A1175:A1186)=2,COUNT(F1175:F1186)=2),cubic_spline(F1174:F1176,A1174:A1176,B$11),IF(AND(COUNT(A1175:A1186)=3,COUNT(F1175:F1186)=3),cubic_spline(F1174:F1177,A1174:A1177,B$11),IF(AND(COUNT(A1175:A1186)=4,COUNT(F1175:F1186)=4),cubic_spline(F1174:F1178,A1174:A1178,B$11),IF(AND(COUNT(A1175:A1186)=5,COUNT(F1175:F1186)=5),cubic_spline(F1174:F1179,A1174:A1179,B$11),IF(AND(COUNT(A1175:A1186)=6,COUNT(F1175:F1186)=6),cubic_spline(F1174:F1180,A1174:A1180,B$11),IF(AND(COUNT(A1175:A1186)=7,COUNT(F1175:F1186)=7),cubic_spline(F1174:F1181,A1174:A1181,B$11),IF(AND(COUNT(A1175:A1186)=8,COUNT(F1175:F1186)=8),cubic_spline(F1174:F1182,A1174:A1182,B$11),IF(AND(COUNT(A1175:A1186)=9,COUNT(F1175:F1186)=9),cubic_spline(F1174:F1183,A1174:A1183,B$11),IF(AND(COUNT(A1175:A1186)=10,COUNT(F1175:F1186)=10),cubic_spline(F1174:F1184,A1174:A1184,B$11),IF(AND(COUNT(A1175:A1186)=11,COUNT(F1175:F1186)=11),cubic_spline(F1174:F1185,A1174:A1185,B$11),IF(AND(COUNT(A1175:A1186)=12,COUNT(F1175:F1186)=12),cubic_spline(F1174:F1186,A1174:A1186,B$11),""))))))))))))</f>
        <v/>
      </c>
      <c r="L1184" s="27" t="str">
        <f>IF(I1184="","",B$10&amp;"-"&amp;B$11)</f>
        <v/>
      </c>
      <c r="M1184" s="52" t="str">
        <f t="shared" si="450"/>
        <v/>
      </c>
    </row>
    <row r="1185" spans="1:13" x14ac:dyDescent="0.35">
      <c r="A1185" s="48"/>
      <c r="B1185" s="48"/>
      <c r="C1185" s="50"/>
      <c r="D1185" s="50"/>
      <c r="E1185" s="51" t="str">
        <f t="shared" si="448"/>
        <v/>
      </c>
      <c r="F1185" s="71" t="str">
        <f t="shared" si="446"/>
        <v/>
      </c>
      <c r="G1185" s="69" t="str">
        <f t="shared" si="449"/>
        <v/>
      </c>
      <c r="H1185" s="70" t="str">
        <f t="shared" si="447"/>
        <v/>
      </c>
      <c r="I1185" s="27" t="str">
        <f>IF(N(J1185)=0,"",0&amp;"-"&amp;B$12)</f>
        <v/>
      </c>
      <c r="J1185" s="52" t="str">
        <f>IF(N(B$12)=0,"",IF(AND(COUNT(H1175:H1186)=2,COUNT(F1175:F1186)=2),cubic_spline(F1174:F1176,H1174:H1176,B$12),IF(AND(COUNT(H1175:H1186)=3,COUNT(F1175:F1186)=3),cubic_spline(F1174:F1177,H1174:H1177,B$12),IF(AND(COUNT(H1175:H1186)=4,COUNT(F1175:F1186)=4),cubic_spline(F1174:F1178,H1174:H1178,B$12),IF(AND(COUNT(H1175:H1186)=5,COUNT(F1175:F1186)=5),cubic_spline(F1174:F1179,H1174:H1179,B$12),IF(AND(COUNT(H1175:H1186)=6,COUNT(F1175:F1186)=6),cubic_spline(F1174:F1180,H1174:H1180,B$12),IF(AND(COUNT(H1175:H1186)=7,COUNT(F1175:F1186)=7),cubic_spline(F1174:F1181,H1174:H1181,B$12),IF(AND(COUNT(H1175:H1186)=8,COUNT(F1175:F1186)=8),cubic_spline(F1174:F1182,H1174:H1182,B$12),IF(AND(COUNT(H1175:H1186)=9,COUNT(F1175:F1186)=9),cubic_spline(F1174:F1183,H1174:H1183,B$12),IF(AND(COUNT(H1175:H1186)=10,COUNT(F1175:F1186)=10),cubic_spline(F1174:F1184,H1174:H1184,B$12),IF(AND(COUNT(H1175:H1186)=11,COUNT(F1175:F1186)=11),cubic_spline(F1174:F1185,H1174:H1185,B$12),IF(AND(COUNT(H1175:H1186)=12,COUNT(F1175:F1186)=12),cubic_spline(F1174:F1186,H1174:H1186,B$12),""))))))))))))</f>
        <v/>
      </c>
      <c r="K1185" s="52" t="str">
        <f>IF(N(B$12)=0,"",IF(AND(COUNT(A1175:A1186)=2,COUNT(F1175:F1186)=2),cubic_spline(F1174:F1176,A1174:A1176,B$12),IF(AND(COUNT(A1175:A1186)=3,COUNT(F1175:F1186)=3),cubic_spline(F1174:F1177,A1174:A1177,B$12),IF(AND(COUNT(A1175:A1186)=4,COUNT(F1175:F1186)=4),cubic_spline(F1174:F1178,A1174:A1178,B$12),IF(AND(COUNT(A1175:A1186)=5,COUNT(F1175:F1186)=5),cubic_spline(F1174:F1179,A1174:A1179,B$12),IF(AND(COUNT(A1175:A1186)=6,COUNT(F1175:F1186)=6),cubic_spline(F1174:F1180,A1174:A1180,B$12),IF(AND(COUNT(A1175:A1186)=7,COUNT(F1175:F1186)=7),cubic_spline(F1174:F1181,A1174:A1181,B$12),IF(AND(COUNT(A1175:A1186)=8,COUNT(F1175:F1186)=8),cubic_spline(F1174:F1182,A1174:A1182,B$12),IF(AND(COUNT(A1175:A1186)=9,COUNT(F1175:F1186)=9),cubic_spline(F1174:F1183,A1174:A1183,B$12),IF(AND(COUNT(A1175:A1186)=10,COUNT(F1175:F1186)=10),cubic_spline(F1174:F1184,A1174:A1184,B$12),IF(AND(COUNT(A1175:A1186)=11,COUNT(F1175:F1186)=11),cubic_spline(F1174:F1185,A1174:A1185,B$12),IF(AND(COUNT(A1175:A1186)=12,COUNT(F1175:F1186)=12),cubic_spline(F1174:F1186,A1174:A1186,B$12),""))))))))))))</f>
        <v/>
      </c>
      <c r="L1185" s="27" t="str">
        <f>IF(I1185="","",B$11&amp;"-"&amp;B$12)</f>
        <v/>
      </c>
      <c r="M1185" s="52" t="str">
        <f t="shared" si="450"/>
        <v/>
      </c>
    </row>
    <row r="1186" spans="1:13" x14ac:dyDescent="0.35">
      <c r="A1186" s="48"/>
      <c r="B1186" s="48"/>
      <c r="C1186" s="50"/>
      <c r="D1186" s="50"/>
      <c r="E1186" s="51" t="str">
        <f t="shared" si="448"/>
        <v/>
      </c>
      <c r="F1186" s="71" t="str">
        <f t="shared" si="446"/>
        <v/>
      </c>
      <c r="G1186" s="69" t="str">
        <f t="shared" si="449"/>
        <v/>
      </c>
      <c r="H1186" s="70" t="str">
        <f t="shared" si="447"/>
        <v/>
      </c>
      <c r="I1186" s="27" t="str">
        <f>IF(N(J1186)=0,"",0&amp;"-"&amp;B$13)</f>
        <v/>
      </c>
      <c r="J1186" s="52" t="str">
        <f>IF(N(B$13)=0,"",IF(AND(COUNT(H1175:H1186)=2,COUNT(F1175:F1186)=2),cubic_spline(F1174:F1176,H1174:H1176,B$13),IF(AND(COUNT(H1175:H1186)=3,COUNT(F1175:F1186)=3),cubic_spline(F1174:F1177,H1174:H1177,B$13),IF(AND(COUNT(H1175:H1186)=4,COUNT(F1175:F1186)=4),cubic_spline(F1174:F1178,H1174:H1178,B$13),IF(AND(COUNT(H1175:H1186)=5,COUNT(F1175:F1186)=5),cubic_spline(F1174:F1179,H1174:H1179,B$13),IF(AND(COUNT(H1175:H1186)=6,COUNT(F1175:F1186)=6),cubic_spline(F1174:F1180,H1174:H1180,B$13),IF(AND(COUNT(H1175:H1186)=7,COUNT(F1175:F1186)=7),cubic_spline(F1174:F1181,H1174:H1181,B$13),IF(AND(COUNT(H1175:H1186)=8,COUNT(F1175:F1186)=8),cubic_spline(F1174:F1182,H1174:H1182,B$13),IF(AND(COUNT(H1175:H1186)=9,COUNT(F1175:F1186)=9),cubic_spline(F1174:F1183,H1174:H1183,B$13),IF(AND(COUNT(H1175:H1186)=10,COUNT(F1175:F1186)=10),cubic_spline(F1174:F1184,H1174:H1184,B$13),IF(AND(COUNT(H1175:H1186)=11,COUNT(F1175:F1186)=11),cubic_spline(F1174:F1185,H1174:H1185,B$13),IF(AND(COUNT(H1175:H1186)=12,COUNT(F1175:F1186)=12),cubic_spline(F1174:F1186,H1174:H1186,B$13),""))))))))))))</f>
        <v/>
      </c>
      <c r="K1186" s="52" t="str">
        <f>IF(N(B$13)=0,"",IF(AND(COUNT(A1175:A1186)=2,COUNT(F1175:F1186)=2),cubic_spline(F1174:F1176,A1174:A1176,B$13),IF(AND(COUNT(A1175:A1186)=3,COUNT(F1175:F1186)=3),cubic_spline(F1174:F1177,A1174:A1177,B$13),IF(AND(COUNT(A1175:A1186)=4,COUNT(F1175:F1186)=4),cubic_spline(F1174:F1178,A1174:A1178,B$13),IF(AND(COUNT(A1175:A1186)=5,COUNT(F1175:F1186)=5),cubic_spline(F1174:F1179,A1174:A1179,B$13),IF(AND(COUNT(A1175:A1186)=6,COUNT(F1175:F1186)=6),cubic_spline(F1174:F1180,A1174:A1180,B$13),IF(AND(COUNT(A1175:A1186)=7,COUNT(F1175:F1186)=7),cubic_spline(F1174:F1181,A1174:A1181,B$13),IF(AND(COUNT(A1175:A1186)=8,COUNT(F1175:F1186)=8),cubic_spline(F1174:F1182,A1174:A1182,B$13),IF(AND(COUNT(A1175:A1186)=9,COUNT(F1175:F1186)=9),cubic_spline(F1174:F1183,A1174:A1183,B$13),IF(AND(COUNT(A1175:A1186)=10,COUNT(F1175:F1186)=10),cubic_spline(F1174:F1184,A1174:A1184,B$13),IF(AND(COUNT(A1175:A1186)=11,COUNT(F1175:F1186)=11),cubic_spline(F1174:F1185,A1174:A1185,B$13),IF(AND(COUNT(A1175:A1186)=12,COUNT(F1175:F1186)=12),cubic_spline(F1174:F1186,A1174:A1186,B$13),""))))))))))))</f>
        <v/>
      </c>
      <c r="L1186" s="27" t="str">
        <f>IF(I1186="","",B$12&amp;"-"&amp;B$13)</f>
        <v/>
      </c>
      <c r="M1186" s="52" t="str">
        <f t="shared" si="450"/>
        <v/>
      </c>
    </row>
    <row r="1187" spans="1:13" ht="5.15" customHeight="1" x14ac:dyDescent="0.35">
      <c r="A1187" s="47"/>
      <c r="B1187" s="47"/>
      <c r="C1187" s="53"/>
      <c r="D1187" s="53"/>
      <c r="E1187" s="54"/>
      <c r="F1187" s="55"/>
      <c r="G1187" s="72"/>
      <c r="H1187" s="73"/>
      <c r="I1187" s="47"/>
      <c r="J1187" s="57"/>
      <c r="K1187" s="57"/>
      <c r="L1187" s="55"/>
      <c r="M1187" s="57"/>
    </row>
    <row r="1188" spans="1:13" x14ac:dyDescent="0.35">
      <c r="A1188" s="48"/>
      <c r="B1188" s="48"/>
      <c r="C1188" s="50"/>
      <c r="D1188" s="50"/>
      <c r="E1188" s="51" t="str">
        <f>IF(N(C1188)=0,"",(A1188-A1187)*C1188*100)</f>
        <v/>
      </c>
      <c r="F1188" s="68" t="str">
        <f t="shared" ref="F1188:F1199" si="451">IF(N(E1188)=0,"",(N(E1188)+N(F1187)))</f>
        <v/>
      </c>
      <c r="G1188" s="69" t="str">
        <f>IF(OR(N(D1188)=0,N(E1188)=0),"",(E1188*D1188)/1000)</f>
        <v/>
      </c>
      <c r="H1188" s="70" t="str">
        <f t="shared" ref="H1188:H1199" si="452">IF(N(G1188)=0,"",(N(G1188)+N(H1187)))</f>
        <v/>
      </c>
      <c r="I1188" s="27" t="str">
        <f>IF(N(J1188)=0,"",0&amp;"-"&amp;B$2)</f>
        <v/>
      </c>
      <c r="J1188" s="52" t="str">
        <f>IF(N(B$2)=0,"",IF(AND(COUNT(H1188:H1199)=2,COUNT(F1188:F1199)=2),cubic_spline(F1187:F1189,H1187:H1189,B$2),IF(AND(COUNT(H1188:H1199)=3,COUNT(F1188:F1199)=3),cubic_spline(F1187:F1190,H1187:H1190,B$2),IF(AND(COUNT(H1188:H1199)=4,COUNT(F1188:F1199)=4),cubic_spline(F1187:F1191,H1187:H1191,B$2),IF(AND(COUNT(H1188:H1199)=5,COUNT(F1188:F1199)=5),cubic_spline(F1187:F1192,H1187:H1192,B$2),IF(AND(COUNT(H1188:H1199)=6,COUNT(F1188:F1199)=6),cubic_spline(F1187:F1193,H1187:H1193,B$2),IF(AND(COUNT(H1188:H1199)=7,COUNT(F1188:F1199)=7),cubic_spline(F1187:F1194,H1187:H1194,B$2),IF(AND(COUNT(H1188:H1199)=8,COUNT(F1188:F1199)=8),cubic_spline(F1187:F1195,H1187:H1195,B$2),IF(AND(COUNT(H1188:H1199)=9,COUNT(F1188:F1199)=9),cubic_spline(F1187:F1196,H1187:H1196,B$2),IF(AND(COUNT(H1188:H1199)=10,COUNT(F1188:F1199)=10),cubic_spline(F1187:F1197,H1187:H1197,B$2),IF(AND(COUNT(H1188:H1199)=11,COUNT(F1188:F1199)=11),cubic_spline(F1187:F1198,H1187:H1198,B$2),IF(AND(COUNT(H1188:H1199)=12,COUNT(F1188:F1199)=12),cubic_spline(F1187:F1199,H1187:H1199,B$2),""))))))))))))</f>
        <v/>
      </c>
      <c r="K1188" s="52" t="str">
        <f>IF(N(B$2)=0,"",IF(AND(COUNT(A1188:A1199)=2,COUNT(F1188:F1199)=2),cubic_spline(F1187:F1189,A1187:A1189,B$2),IF(AND(COUNT(A1188:A1199)=3,COUNT(F1188:F1199)=3),cubic_spline(F1187:F1190,A1187:A1190,B$2),IF(AND(COUNT(A1188:A1199)=4,COUNT(F1188:F1199)=4),cubic_spline(F1187:F1191,A1187:A1191,B$2),IF(AND(COUNT(A1188:A1199)=5,COUNT(F1188:F1199)=5),cubic_spline(F1187:F1192,A1187:A1192,B$2),IF(AND(COUNT(A1188:A1199)=6,COUNT(F1188:F1199)=6),cubic_spline(F1187:F1193,A1187:A1193,B$2),IF(AND(COUNT(A1188:A1199)=7,COUNT(F1188:F1199)=7),cubic_spline(F1187:F1194,A1187:A1194,B$2),IF(AND(COUNT(A1188:A1199)=8,COUNT(F1188:F1199)=8),cubic_spline(F1187:F1195,A1187:A1195,B$2),IF(AND(COUNT(A1188:A1199)=9,COUNT(F1188:F1199)=9),cubic_spline(F1187:F1196,A1187:A1196,B$2),IF(AND(COUNT(A1188:A1199)=10,COUNT(F1188:F1199)=10),cubic_spline(F1187:F1197,A1187:A1197,B$2),IF(AND(COUNT(A1188:A1199)=11,COUNT(F1188:F1199)=11),cubic_spline(F1187:F1198,A1187:A1198,B$2),IF(AND(COUNT(A1188:A1199)=12,COUNT(F1188:F1199)=12),cubic_spline(F1187:F1199,A1187:A1199,B$2),""))))))))))))</f>
        <v/>
      </c>
      <c r="L1188" s="27" t="str">
        <f>IF(I1188="","",0&amp;"-"&amp;B$2)</f>
        <v/>
      </c>
      <c r="M1188" s="52" t="str">
        <f>IF(N(J1188)=0,"",J1188-J1187)</f>
        <v/>
      </c>
    </row>
    <row r="1189" spans="1:13" x14ac:dyDescent="0.35">
      <c r="A1189" s="48"/>
      <c r="B1189" s="48"/>
      <c r="C1189" s="50"/>
      <c r="D1189" s="50"/>
      <c r="E1189" s="51" t="str">
        <f t="shared" ref="E1189:E1199" si="453">IF(N(C1189)=0,"",(A1189-A1188)*C1189*100)</f>
        <v/>
      </c>
      <c r="F1189" s="68" t="str">
        <f t="shared" si="451"/>
        <v/>
      </c>
      <c r="G1189" s="69" t="str">
        <f t="shared" ref="G1189:G1199" si="454">IF(OR(N(D1189)=0,N(E1189)=0),"",(E1189*D1189)/1000)</f>
        <v/>
      </c>
      <c r="H1189" s="70" t="str">
        <f t="shared" si="452"/>
        <v/>
      </c>
      <c r="I1189" s="27" t="str">
        <f>IF(N(J1189)=0,"",0&amp;"-"&amp;B$3)</f>
        <v/>
      </c>
      <c r="J1189" s="52" t="str">
        <f>IF(N(B$3)=0,"",IF(AND(COUNT(H1188:H1199)=2,COUNT(F1188:F1199)=2),cubic_spline(F1187:F1189,H1187:H1189,B$3),IF(AND(COUNT(H1188:H1199)=3,COUNT(F1188:F1199)=3),cubic_spline(F1187:F1190,H1187:H1190,B$3),IF(AND(COUNT(H1188:H1199)=4,COUNT(F1188:F1199)=4),cubic_spline(F1187:F1191,H1187:H1191,B$3),IF(AND(COUNT(H1188:H1199)=5,COUNT(F1188:F1199)=5),cubic_spline(F1187:F1192,H1187:H1192,B$3),IF(AND(COUNT(H1188:H1199)=6,COUNT(F1188:F1199)=6),cubic_spline(F1187:F1193,H1187:H1193,B$3),IF(AND(COUNT(H1188:H1199)=7,COUNT(F1188:F1199)=7),cubic_spline(F1187:F1194,H1187:H1194,B$3),IF(AND(COUNT(H1188:H1199)=8,COUNT(F1188:F1199)=8),cubic_spline(F1187:F1195,H1187:H1195,B$3),IF(AND(COUNT(H1188:H1199)=9,COUNT(F1188:F1199)=9),cubic_spline(F1187:F1196,H1187:H1196,B$3),IF(AND(COUNT(H1188:H1199)=10,COUNT(F1188:F1199)=10),cubic_spline(F1187:F1197,H1187:H1197,B$3),IF(AND(COUNT(H1188:H1199)=11,COUNT(F1188:F1199)=11),cubic_spline(F1187:F1198,H1187:H1198,B$3),IF(AND(COUNT(H1188:H1199)=12,COUNT(F1188:F1199)=12),cubic_spline(F1187:F1199,H1187:H1199,B$3),""))))))))))))</f>
        <v/>
      </c>
      <c r="K1189" s="52" t="str">
        <f>IF(N(B$3)=0,"",IF(AND(COUNT(A1188:A1199)=2,COUNT(F1188:F1199)=2),cubic_spline(F1187:F1189,A1187:A1189,B$3),IF(AND(COUNT(A1188:A1199)=3,COUNT(F1188:F1199)=3),cubic_spline(F1187:F1190,A1187:A1190,B$3),IF(AND(COUNT(A1188:A1199)=4,COUNT(F1188:F1199)=4),cubic_spline(F1187:F1191,A1187:A1191,B$3),IF(AND(COUNT(A1188:A1199)=5,COUNT(F1188:F1199)=5),cubic_spline(F1187:F1192,A1187:A1192,B$3),IF(AND(COUNT(A1188:A1199)=6,COUNT(F1188:F1199)=6),cubic_spline(F1187:F1193,A1187:A1193,B$3),IF(AND(COUNT(A1188:A1199)=7,COUNT(F1188:F1199)=7),cubic_spline(F1187:F1194,A1187:A1194,B$3),IF(AND(COUNT(A1188:A1199)=8,COUNT(F1188:F1199)=8),cubic_spline(F1187:F1195,A1187:A1195,B$3),IF(AND(COUNT(A1188:A1199)=9,COUNT(F1188:F1199)=9),cubic_spline(F1187:F1196,A1187:A1196,B$3),IF(AND(COUNT(A1188:A1199)=10,COUNT(F1188:F1199)=10),cubic_spline(F1187:F1197,A1187:A1197,B$3),IF(AND(COUNT(A1188:A1199)=11,COUNT(F1188:F1199)=11),cubic_spline(F1187:F1198,A1187:A1198,B$3),IF(AND(COUNT(A1188:A1199)=12,COUNT(F1188:F1199)=12),cubic_spline(F1187:F1199,A1187:A1199,B$3),""))))))))))))</f>
        <v/>
      </c>
      <c r="L1189" s="27" t="str">
        <f>IF(I1189="","",B$2&amp;"-"&amp;B$3)</f>
        <v/>
      </c>
      <c r="M1189" s="52" t="str">
        <f>IF(N(J1189)=0,"",J1189-J1188)</f>
        <v/>
      </c>
    </row>
    <row r="1190" spans="1:13" x14ac:dyDescent="0.35">
      <c r="A1190" s="48"/>
      <c r="B1190" s="48"/>
      <c r="C1190" s="50"/>
      <c r="D1190" s="50"/>
      <c r="E1190" s="51" t="str">
        <f t="shared" si="453"/>
        <v/>
      </c>
      <c r="F1190" s="68" t="str">
        <f t="shared" si="451"/>
        <v/>
      </c>
      <c r="G1190" s="69" t="str">
        <f t="shared" si="454"/>
        <v/>
      </c>
      <c r="H1190" s="70" t="str">
        <f t="shared" si="452"/>
        <v/>
      </c>
      <c r="I1190" s="27" t="str">
        <f>IF(N(J1190)=0,"",0&amp;"-"&amp;B$4)</f>
        <v/>
      </c>
      <c r="J1190" s="52" t="str">
        <f>IF(N(B$4)=0,"",IF(AND(COUNT(H1188:H1199)=2,COUNT(F1188:F1199)=2),cubic_spline(F1187:F1189,H1187:H1189,B$4),IF(AND(COUNT(H1188:H1199)=3,COUNT(F1188:F1199)=3),cubic_spline(F1187:F1190,H1187:H1190,B$4),IF(AND(COUNT(H1188:H1199)=4,COUNT(F1188:F1199)=4),cubic_spline(F1187:F1191,H1187:H1191,B$4),IF(AND(COUNT(H1188:H1199)=5,COUNT(F1188:F1199)=5),cubic_spline(F1187:F1192,H1187:H1192,B$4),IF(AND(COUNT(H1188:H1199)=6,COUNT(F1188:F1199)=6),cubic_spline(F1187:F1193,H1187:H1193,B$4),IF(AND(COUNT(H1188:H1199)=7,COUNT(F1188:F1199)=7),cubic_spline(F1187:F1194,H1187:H1194,B$4),IF(AND(COUNT(H1188:H1199)=8,COUNT(F1188:F1199)=8),cubic_spline(F1187:F1195,H1187:H1195,B$4),IF(AND(COUNT(H1188:H1199)=9,COUNT(F1188:F1199)=9),cubic_spline(F1187:F1196,H1187:H1196,B$4),IF(AND(COUNT(H1188:H1199)=10,COUNT(F1188:F1199)=10),cubic_spline(F1187:F1197,H1187:H1197,B$4),IF(AND(COUNT(H1188:H1199)=11,COUNT(F1188:F1199)=11),cubic_spline(F1187:F1198,H1187:H1198,B$4),IF(AND(COUNT(H1188:H1199)=12,COUNT(F1188:F1199)=12),cubic_spline(F1187:F1199,H1187:H1199,B$4),""))))))))))))</f>
        <v/>
      </c>
      <c r="K1190" s="52" t="str">
        <f>IF(N(B$4)=0,"",IF(AND(COUNT(A1188:A1199)=2,COUNT(F1188:F1199)=2),cubic_spline(F1187:F1189,A1187:A1189,B$4),IF(AND(COUNT(A1188:A1199)=3,COUNT(F1188:F1199)=3),cubic_spline(F1187:F1190,A1187:A1190,B$4),IF(AND(COUNT(A1188:A1199)=4,COUNT(F1188:F1199)=4),cubic_spline(F1187:F1191,A1187:A1191,B$4),IF(AND(COUNT(A1188:A1199)=5,COUNT(F1188:F1199)=5),cubic_spline(F1187:F1192,A1187:A1192,B$4),IF(AND(COUNT(A1188:A1199)=6,COUNT(F1188:F1199)=6),cubic_spline(F1187:F1193,A1187:A1193,B$4),IF(AND(COUNT(A1188:A1199)=7,COUNT(F1188:F1199)=7),cubic_spline(F1187:F1194,A1187:A1194,B$4),IF(AND(COUNT(A1188:A1199)=8,COUNT(F1188:F1199)=8),cubic_spline(F1187:F1195,A1187:A1195,B$4),IF(AND(COUNT(A1188:A1199)=9,COUNT(F1188:F1199)=9),cubic_spline(F1187:F1196,A1187:A1196,B$4),IF(AND(COUNT(A1188:A1199)=10,COUNT(F1188:F1199)=10),cubic_spline(F1187:F1197,A1187:A1197,B$4),IF(AND(COUNT(A1188:A1199)=11,COUNT(F1188:F1199)=11),cubic_spline(F1187:F1198,A1187:A1198,B$4),IF(AND(COUNT(A1188:A1199)=12,COUNT(F1188:F1199)=12),cubic_spline(F1187:F1199,A1187:A1199,B$4),""))))))))))))</f>
        <v/>
      </c>
      <c r="L1190" s="27" t="str">
        <f>IF(I1190="","",B$3&amp;"-"&amp;B$4)</f>
        <v/>
      </c>
      <c r="M1190" s="52" t="str">
        <f>IF(N(J1190)=0,"",J1190-J1189)</f>
        <v/>
      </c>
    </row>
    <row r="1191" spans="1:13" x14ac:dyDescent="0.35">
      <c r="A1191" s="48"/>
      <c r="B1191" s="48"/>
      <c r="C1191" s="50"/>
      <c r="D1191" s="50"/>
      <c r="E1191" s="51" t="str">
        <f t="shared" si="453"/>
        <v/>
      </c>
      <c r="F1191" s="68" t="str">
        <f t="shared" si="451"/>
        <v/>
      </c>
      <c r="G1191" s="69" t="str">
        <f t="shared" si="454"/>
        <v/>
      </c>
      <c r="H1191" s="70" t="str">
        <f t="shared" si="452"/>
        <v/>
      </c>
      <c r="I1191" s="27" t="str">
        <f>IF(N(J1191)=0,"",0&amp;"-"&amp;B$5)</f>
        <v/>
      </c>
      <c r="J1191" s="52" t="str">
        <f>IF(N(B$5)=0,"",IF(AND(COUNT(H1188:H1199)=2,COUNT(F1188:F1199)=2),cubic_spline(F1187:F1189,H1187:H1189,B$5),IF(AND(COUNT(H1188:H1199)=3,COUNT(F1188:F1199)=3),cubic_spline(F1187:F1190,H1187:H1190,B$5),IF(AND(COUNT(H1188:H1199)=4,COUNT(F1188:F1199)=4),cubic_spline(F1187:F1191,H1187:H1191,B$5),IF(AND(COUNT(H1188:H1199)=5,COUNT(F1188:F1199)=5),cubic_spline(F1187:F1192,H1187:H1192,B$5),IF(AND(COUNT(H1188:H1199)=6,COUNT(F1188:F1199)=6),cubic_spline(F1187:F1193,H1187:H1193,B$5),IF(AND(COUNT(H1188:H1199)=7,COUNT(F1188:F1199)=7),cubic_spline(F1187:F1194,H1187:H1194,B$5),IF(AND(COUNT(H1188:H1199)=8,COUNT(F1188:F1199)=8),cubic_spline(F1187:F1195,H1187:H1195,B$5),IF(AND(COUNT(H1188:H1199)=9,COUNT(F1188:F1199)=9),cubic_spline(F1187:F1196,H1187:H1196,B$5),IF(AND(COUNT(H1188:H1199)=10,COUNT(F1188:F1199)=10),cubic_spline(F1187:F1197,H1187:H1197,B$5),IF(AND(COUNT(H1188:H1199)=11,COUNT(F1188:F1199)=11),cubic_spline(F1187:F1198,H1187:H1198,B$5),IF(AND(COUNT(H1188:H1199)=12,COUNT(F1188:F1199)=12),cubic_spline(F1187:F1199,H1187:H1199,B$5),""))))))))))))</f>
        <v/>
      </c>
      <c r="K1191" s="52" t="str">
        <f>IF(N(B$5)=0,"",IF(AND(COUNT(A1188:A1199)=2,COUNT(F1188:F1199)=2),cubic_spline(F1187:F1189,A1187:A1189,B$5),IF(AND(COUNT(A1188:A1199)=3,COUNT(F1188:F1199)=3),cubic_spline(F1187:F1190,A1187:A1190,B$5),IF(AND(COUNT(A1188:A1199)=4,COUNT(F1188:F1199)=4),cubic_spline(F1187:F1191,A1187:A1191,B$5),IF(AND(COUNT(A1188:A1199)=5,COUNT(F1188:F1199)=5),cubic_spline(F1187:F1192,A1187:A1192,B$5),IF(AND(COUNT(A1188:A1199)=6,COUNT(F1188:F1199)=6),cubic_spline(F1187:F1193,A1187:A1193,B$5),IF(AND(COUNT(A1188:A1199)=7,COUNT(F1188:F1199)=7),cubic_spline(F1187:F1194,A1187:A1194,B$5),IF(AND(COUNT(A1188:A1199)=8,COUNT(F1188:F1199)=8),cubic_spline(F1187:F1195,A1187:A1195,B$5),IF(AND(COUNT(A1188:A1199)=9,COUNT(F1188:F1199)=9),cubic_spline(F1187:F1196,A1187:A1196,B$5),IF(AND(COUNT(A1188:A1199)=10,COUNT(F1188:F1199)=10),cubic_spline(F1187:F1197,A1187:A1197,B$5),IF(AND(COUNT(A1188:A1199)=11,COUNT(F1188:F1199)=11),cubic_spline(F1187:F1198,A1187:A1198,B$5),IF(AND(COUNT(A1188:A1199)=12,COUNT(F1188:F1199)=12),cubic_spline(F1187:F1199,A1187:A1199,B$5),""))))))))))))</f>
        <v/>
      </c>
      <c r="L1191" s="27" t="str">
        <f>IF(I1191="","",B$4&amp;"-"&amp;B$5)</f>
        <v/>
      </c>
      <c r="M1191" s="52" t="str">
        <f>IF(N(J1191)=0,"",J1191-J1190)</f>
        <v/>
      </c>
    </row>
    <row r="1192" spans="1:13" x14ac:dyDescent="0.35">
      <c r="A1192" s="48"/>
      <c r="B1192" s="48"/>
      <c r="C1192" s="50"/>
      <c r="D1192" s="50"/>
      <c r="E1192" s="51" t="str">
        <f t="shared" si="453"/>
        <v/>
      </c>
      <c r="F1192" s="71" t="str">
        <f t="shared" si="451"/>
        <v/>
      </c>
      <c r="G1192" s="69" t="str">
        <f t="shared" si="454"/>
        <v/>
      </c>
      <c r="H1192" s="70" t="str">
        <f t="shared" si="452"/>
        <v/>
      </c>
      <c r="I1192" s="27" t="str">
        <f>IF(N(J1192)=0,"",0&amp;"-"&amp;B$6)</f>
        <v/>
      </c>
      <c r="J1192" s="52" t="str">
        <f>IF(N(B$6)=0,"",IF(AND(COUNT(H1188:H1199)=2,COUNT(F1188:F1199)=2),cubic_spline(F1187:F1189,H1187:H1189,B$6),IF(AND(COUNT(H1188:H1199)=3,COUNT(F1188:F1199)=3),cubic_spline(F1187:F1190,H1187:H1190,B$6),IF(AND(COUNT(H1188:H1199)=4,COUNT(F1188:F1199)=4),cubic_spline(F1187:F1191,H1187:H1191,B$6),IF(AND(COUNT(H1188:H1199)=5,COUNT(F1188:F1199)=5),cubic_spline(F1187:F1192,H1187:H1192,B$6),IF(AND(COUNT(H1188:H1199)=6,COUNT(F1188:F1199)=6),cubic_spline(F1187:F1193,H1187:H1193,B$6),IF(AND(COUNT(H1188:H1199)=7,COUNT(F1188:F1199)=7),cubic_spline(F1187:F1194,H1187:H1194,B$6),IF(AND(COUNT(H1188:H1199)=8,COUNT(F1188:F1199)=8),cubic_spline(F1187:F1195,H1187:H1195,B$6),IF(AND(COUNT(H1188:H1199)=9,COUNT(F1188:F1199)=9),cubic_spline(F1187:F1196,H1187:H1196,B$6),IF(AND(COUNT(H1188:H1199)=10,COUNT(F1188:F1199)=10),cubic_spline(F1187:F1197,H1187:H1197,B$6),IF(AND(COUNT(H1188:H1199)=11,COUNT(F1188:F1199)=11),cubic_spline(F1187:F1198,H1187:H1198,B$6),IF(AND(COUNT(H1188:H1199)=12,COUNT(F1188:F1199)=12),cubic_spline(F1187:F1199,H1187:H1199,B$6),""))))))))))))</f>
        <v/>
      </c>
      <c r="K1192" s="52" t="str">
        <f>IF(N(B$6)=0,"",IF(AND(COUNT(A1188:A1199)=2,COUNT(F1188:F1199)=2),cubic_spline(F1187:F1189,A1187:A1189,B$6),IF(AND(COUNT(A1188:A1199)=3,COUNT(F1188:F1199)=3),cubic_spline(F1187:F1190,A1187:A1190,B$6),IF(AND(COUNT(A1188:A1199)=4,COUNT(F1188:F1199)=4),cubic_spline(F1187:F1191,A1187:A1191,B$6),IF(AND(COUNT(A1188:A1199)=5,COUNT(F1188:F1199)=5),cubic_spline(F1187:F1192,A1187:A1192,B$6),IF(AND(COUNT(A1188:A1199)=6,COUNT(F1188:F1199)=6),cubic_spline(F1187:F1193,A1187:A1193,B$6),IF(AND(COUNT(A1188:A1199)=7,COUNT(F1188:F1199)=7),cubic_spline(F1187:F1194,A1187:A1194,B$6),IF(AND(COUNT(A1188:A1199)=8,COUNT(F1188:F1199)=8),cubic_spline(F1187:F1195,A1187:A1195,B$6),IF(AND(COUNT(A1188:A1199)=9,COUNT(F1188:F1199)=9),cubic_spline(F1187:F1196,A1187:A1196,B$6),IF(AND(COUNT(A1188:A1199)=10,COUNT(F1188:F1199)=10),cubic_spline(F1187:F1197,A1187:A1197,B$6),IF(AND(COUNT(A1188:A1199)=11,COUNT(F1188:F1199)=11),cubic_spline(F1187:F1198,A1187:A1198,B$6),IF(AND(COUNT(A1188:A1199)=12,COUNT(F1188:F1199)=12),cubic_spline(F1187:F1199,A1187:A1199,B$6),""))))))))))))</f>
        <v/>
      </c>
      <c r="L1192" s="27" t="str">
        <f>IF(I1192="","",B$5&amp;"-"&amp;B$6)</f>
        <v/>
      </c>
      <c r="M1192" s="52" t="str">
        <f>IF(N(J1192)=0,"",J1192-J1191)</f>
        <v/>
      </c>
    </row>
    <row r="1193" spans="1:13" x14ac:dyDescent="0.35">
      <c r="A1193" s="48"/>
      <c r="B1193" s="48"/>
      <c r="C1193" s="50"/>
      <c r="D1193" s="50"/>
      <c r="E1193" s="51" t="str">
        <f t="shared" si="453"/>
        <v/>
      </c>
      <c r="F1193" s="71" t="str">
        <f t="shared" si="451"/>
        <v/>
      </c>
      <c r="G1193" s="69" t="str">
        <f t="shared" si="454"/>
        <v/>
      </c>
      <c r="H1193" s="70" t="str">
        <f t="shared" si="452"/>
        <v/>
      </c>
      <c r="I1193" s="27" t="str">
        <f>IF(N(J1193)=0,"",0&amp;"-"&amp;B$7)</f>
        <v/>
      </c>
      <c r="J1193" s="52" t="str">
        <f>IF(N(B$7)=0,"",IF(AND(COUNT(H1188:H1199)=2,COUNT(F1188:F1199)=2),cubic_spline(F1187:F1189,H1187:H1189,B$7),IF(AND(COUNT(H1188:H1199)=3,COUNT(F1188:F1199)=3),cubic_spline(F1187:F1190,H1187:H1190,B$7),IF(AND(COUNT(H1188:H1199)=4,COUNT(F1188:F1199)=4),cubic_spline(F1187:F1191,H1187:H1191,B$7),IF(AND(COUNT(H1188:H1199)=5,COUNT(F1188:F1199)=5),cubic_spline(F1187:F1192,H1187:H1192,B$7),IF(AND(COUNT(H1188:H1199)=6,COUNT(F1188:F1199)=6),cubic_spline(F1187:F1193,H1187:H1193,B$7),IF(AND(COUNT(H1188:H1199)=7,COUNT(F1188:F1199)=7),cubic_spline(F1187:F1194,H1187:H1194,B$7),IF(AND(COUNT(H1188:H1199)=8,COUNT(F1188:F1199)=8),cubic_spline(F1187:F1195,H1187:H1195,B$7),IF(AND(COUNT(H1188:H1199)=9,COUNT(F1188:F1199)=9),cubic_spline(F1187:F1196,H1187:H1196,B$7),IF(AND(COUNT(H1188:H1199)=10,COUNT(F1188:F1199)=10),cubic_spline(F1187:F1197,H1187:H1197,B$7),IF(AND(COUNT(H1188:H1199)=11,COUNT(F1188:F1199)=11),cubic_spline(F1187:F1198,H1187:H1198,B$7),IF(AND(COUNT(H1188:H1199)=12,COUNT(F1188:F1199)=12),cubic_spline(F1187:F1199,H1187:H1199,B$7),""))))))))))))</f>
        <v/>
      </c>
      <c r="K1193" s="52" t="str">
        <f>IF(N(B$7)=0,"",IF(AND(COUNT(A1188:A1199)=2,COUNT(F1188:F1199)=2),cubic_spline(F1187:F1189,A1187:A1189,B$7),IF(AND(COUNT(A1188:A1199)=3,COUNT(F1188:F1199)=3),cubic_spline(F1187:F1190,A1187:A1190,B$7),IF(AND(COUNT(A1188:A1199)=4,COUNT(F1188:F1199)=4),cubic_spline(F1187:F1191,A1187:A1191,B$7),IF(AND(COUNT(A1188:A1199)=5,COUNT(F1188:F1199)=5),cubic_spline(F1187:F1192,A1187:A1192,B$7),IF(AND(COUNT(A1188:A1199)=6,COUNT(F1188:F1199)=6),cubic_spline(F1187:F1193,A1187:A1193,B$7),IF(AND(COUNT(A1188:A1199)=7,COUNT(F1188:F1199)=7),cubic_spline(F1187:F1194,A1187:A1194,B$7),IF(AND(COUNT(A1188:A1199)=8,COUNT(F1188:F1199)=8),cubic_spline(F1187:F1195,A1187:A1195,B$7),IF(AND(COUNT(A1188:A1199)=9,COUNT(F1188:F1199)=9),cubic_spline(F1187:F1196,A1187:A1196,B$7),IF(AND(COUNT(A1188:A1199)=10,COUNT(F1188:F1199)=10),cubic_spline(F1187:F1197,A1187:A1197,B$7),IF(AND(COUNT(A1188:A1199)=11,COUNT(F1188:F1199)=11),cubic_spline(F1187:F1198,A1187:A1198,B$7),IF(AND(COUNT(A1188:A1199)=12,COUNT(F1188:F1199)=12),cubic_spline(F1187:F1199,A1187:A1199,B$7),""))))))))))))</f>
        <v/>
      </c>
      <c r="L1193" s="27" t="str">
        <f>IF(I1193="","",B$6&amp;"-"&amp;B$7)</f>
        <v/>
      </c>
      <c r="M1193" s="52" t="str">
        <f t="shared" ref="M1193:M1199" si="455">IF(N(J1193)=0,"",J1193-J1192)</f>
        <v/>
      </c>
    </row>
    <row r="1194" spans="1:13" x14ac:dyDescent="0.35">
      <c r="A1194" s="48"/>
      <c r="B1194" s="48"/>
      <c r="C1194" s="50"/>
      <c r="D1194" s="50"/>
      <c r="E1194" s="51" t="str">
        <f t="shared" si="453"/>
        <v/>
      </c>
      <c r="F1194" s="71" t="str">
        <f t="shared" si="451"/>
        <v/>
      </c>
      <c r="G1194" s="69" t="str">
        <f t="shared" si="454"/>
        <v/>
      </c>
      <c r="H1194" s="70" t="str">
        <f t="shared" si="452"/>
        <v/>
      </c>
      <c r="I1194" s="27" t="str">
        <f>IF(N(J1194)=0,"",0&amp;"-"&amp;B$8)</f>
        <v/>
      </c>
      <c r="J1194" s="52" t="str">
        <f>IF(N(B$8)=0,"",IF(AND(COUNT(H1188:H1199)=2,COUNT(F1188:F1199)=2),cubic_spline(F1187:F1189,H1187:H1189,B$8),IF(AND(COUNT(H1188:H1199)=3,COUNT(F1188:F1199)=3),cubic_spline(F1187:F1190,H1187:H1190,B$8),IF(AND(COUNT(H1188:H1199)=4,COUNT(F1188:F1199)=4),cubic_spline(F1187:F1191,H1187:H1191,B$8),IF(AND(COUNT(H1188:H1199)=5,COUNT(F1188:F1199)=5),cubic_spline(F1187:F1192,H1187:H1192,B$8),IF(AND(COUNT(H1188:H1199)=6,COUNT(F1188:F1199)=6),cubic_spline(F1187:F1193,H1187:H1193,B$8),IF(AND(COUNT(H1188:H1199)=7,COUNT(F1188:F1199)=7),cubic_spline(F1187:F1194,H1187:H1194,B$8),IF(AND(COUNT(H1188:H1199)=8,COUNT(F1188:F1199)=8),cubic_spline(F1187:F1195,H1187:H1195,B$8),IF(AND(COUNT(H1188:H1199)=9,COUNT(F1188:F1199)=9),cubic_spline(F1187:F1196,H1187:H1196,B$8),IF(AND(COUNT(H1188:H1199)=10,COUNT(F1188:F1199)=10),cubic_spline(F1187:F1197,H1187:H1197,B$8),IF(AND(COUNT(H1188:H1199)=11,COUNT(F1188:F1199)=11),cubic_spline(F1187:F1198,H1187:H1198,B$8),IF(AND(COUNT(H1188:H1199)=12,COUNT(F1188:F1199)=12),cubic_spline(F1187:F1199,H1187:H1199,B$8),""))))))))))))</f>
        <v/>
      </c>
      <c r="K1194" s="52" t="str">
        <f>IF(N(B$8)=0,"",IF(AND(COUNT(A1188:A1199)=2,COUNT(F1188:F1199)=2),cubic_spline(F1187:F1189,A1187:A1189,B$8),IF(AND(COUNT(A1188:A1199)=3,COUNT(F1188:F1199)=3),cubic_spline(F1187:F1190,A1187:A1190,B$8),IF(AND(COUNT(A1188:A1199)=4,COUNT(F1188:F1199)=4),cubic_spline(F1187:F1191,A1187:A1191,B$8),IF(AND(COUNT(A1188:A1199)=5,COUNT(F1188:F1199)=5),cubic_spline(F1187:F1192,A1187:A1192,B$8),IF(AND(COUNT(A1188:A1199)=6,COUNT(F1188:F1199)=6),cubic_spline(F1187:F1193,A1187:A1193,B$8),IF(AND(COUNT(A1188:A1199)=7,COUNT(F1188:F1199)=7),cubic_spline(F1187:F1194,A1187:A1194,B$8),IF(AND(COUNT(A1188:A1199)=8,COUNT(F1188:F1199)=8),cubic_spline(F1187:F1195,A1187:A1195,B$8),IF(AND(COUNT(A1188:A1199)=9,COUNT(F1188:F1199)=9),cubic_spline(F1187:F1196,A1187:A1196,B$8),IF(AND(COUNT(A1188:A1199)=10,COUNT(F1188:F1199)=10),cubic_spline(F1187:F1197,A1187:A1197,B$8),IF(AND(COUNT(A1188:A1199)=11,COUNT(F1188:F1199)=11),cubic_spline(F1187:F1198,A1187:A1198,B$8),IF(AND(COUNT(A1188:A1199)=12,COUNT(F1188:F1199)=12),cubic_spline(F1187:F1199,A1187:A1199,B$8),""))))))))))))</f>
        <v/>
      </c>
      <c r="L1194" s="27" t="str">
        <f>IF(I1194="","",B$7&amp;"-"&amp;B$8)</f>
        <v/>
      </c>
      <c r="M1194" s="52" t="str">
        <f t="shared" si="455"/>
        <v/>
      </c>
    </row>
    <row r="1195" spans="1:13" x14ac:dyDescent="0.35">
      <c r="A1195" s="48"/>
      <c r="B1195" s="48"/>
      <c r="C1195" s="50"/>
      <c r="D1195" s="50"/>
      <c r="E1195" s="51" t="str">
        <f t="shared" si="453"/>
        <v/>
      </c>
      <c r="F1195" s="71" t="str">
        <f t="shared" si="451"/>
        <v/>
      </c>
      <c r="G1195" s="69" t="str">
        <f t="shared" si="454"/>
        <v/>
      </c>
      <c r="H1195" s="70" t="str">
        <f t="shared" si="452"/>
        <v/>
      </c>
      <c r="I1195" s="27" t="str">
        <f>IF(N(J1195)=0,"",0&amp;"-"&amp;B$9)</f>
        <v/>
      </c>
      <c r="J1195" s="52" t="str">
        <f>IF(N(B$9)=0,"",IF(AND(COUNT(H1188:H1199)=2,COUNT(F1188:F1199)=2),cubic_spline(F1187:F1189,H1187:H1189,B$9),IF(AND(COUNT(H1188:H1199)=3,COUNT(F1188:F1199)=3),cubic_spline(F1187:F1190,H1187:H1190,B$9),IF(AND(COUNT(H1188:H1199)=4,COUNT(F1188:F1199)=4),cubic_spline(F1187:F1191,H1187:H1191,B$9),IF(AND(COUNT(H1188:H1199)=5,COUNT(F1188:F1199)=5),cubic_spline(F1187:F1192,H1187:H1192,B$9),IF(AND(COUNT(H1188:H1199)=6,COUNT(F1188:F1199)=6),cubic_spline(F1187:F1193,H1187:H1193,B$9),IF(AND(COUNT(H1188:H1199)=7,COUNT(F1188:F1199)=7),cubic_spline(F1187:F1194,H1187:H1194,B$9),IF(AND(COUNT(H1188:H1199)=8,COUNT(F1188:F1199)=8),cubic_spline(F1187:F1195,H1187:H1195,B$9),IF(AND(COUNT(H1188:H1199)=9,COUNT(F1188:F1199)=9),cubic_spline(F1187:F1196,H1187:H1196,B$9),IF(AND(COUNT(H1188:H1199)=10,COUNT(F1188:F1199)=10),cubic_spline(F1187:F1197,H1187:H1197,B$9),IF(AND(COUNT(H1188:H1199)=11,COUNT(F1188:F1199)=11),cubic_spline(F1187:F1198,H1187:H1198,B$9),IF(AND(COUNT(H1188:H1199)=12,COUNT(F1188:F1199)=12),cubic_spline(F1187:F1199,H1187:H1199,B$9),""))))))))))))</f>
        <v/>
      </c>
      <c r="K1195" s="52" t="str">
        <f>IF(N(B$9)=0,"",IF(AND(COUNT(A1188:A1199)=2,COUNT(F1188:F1199)=2),cubic_spline(F1187:F1189,A1187:A1189,B$9),IF(AND(COUNT(A1188:A1199)=3,COUNT(F1188:F1199)=3),cubic_spline(F1187:F1190,A1187:A1190,B$9),IF(AND(COUNT(A1188:A1199)=4,COUNT(F1188:F1199)=4),cubic_spline(F1187:F1191,A1187:A1191,B$9),IF(AND(COUNT(A1188:A1199)=5,COUNT(F1188:F1199)=5),cubic_spline(F1187:F1192,A1187:A1192,B$9),IF(AND(COUNT(A1188:A1199)=6,COUNT(F1188:F1199)=6),cubic_spline(F1187:F1193,A1187:A1193,B$9),IF(AND(COUNT(A1188:A1199)=7,COUNT(F1188:F1199)=7),cubic_spline(F1187:F1194,A1187:A1194,B$9),IF(AND(COUNT(A1188:A1199)=8,COUNT(F1188:F1199)=8),cubic_spline(F1187:F1195,A1187:A1195,B$9),IF(AND(COUNT(A1188:A1199)=9,COUNT(F1188:F1199)=9),cubic_spline(F1187:F1196,A1187:A1196,B$9),IF(AND(COUNT(A1188:A1199)=10,COUNT(F1188:F1199)=10),cubic_spline(F1187:F1197,A1187:A1197,B$9),IF(AND(COUNT(A1188:A1199)=11,COUNT(F1188:F1199)=11),cubic_spline(F1187:F1198,A1187:A1198,B$9),IF(AND(COUNT(A1188:A1199)=12,COUNT(F1188:F1199)=12),cubic_spline(F1187:F1199,A1187:A1199,B$9),""))))))))))))</f>
        <v/>
      </c>
      <c r="L1195" s="27" t="str">
        <f>IF(I1195="","",B$8&amp;"-"&amp;B$9)</f>
        <v/>
      </c>
      <c r="M1195" s="52" t="str">
        <f t="shared" si="455"/>
        <v/>
      </c>
    </row>
    <row r="1196" spans="1:13" x14ac:dyDescent="0.35">
      <c r="A1196" s="48"/>
      <c r="B1196" s="48"/>
      <c r="C1196" s="50"/>
      <c r="D1196" s="50"/>
      <c r="E1196" s="51" t="str">
        <f t="shared" si="453"/>
        <v/>
      </c>
      <c r="F1196" s="71" t="str">
        <f t="shared" si="451"/>
        <v/>
      </c>
      <c r="G1196" s="69" t="str">
        <f t="shared" si="454"/>
        <v/>
      </c>
      <c r="H1196" s="70" t="str">
        <f t="shared" si="452"/>
        <v/>
      </c>
      <c r="I1196" s="27" t="str">
        <f>IF(N(J1196)=0,"",0&amp;"-"&amp;B$10)</f>
        <v/>
      </c>
      <c r="J1196" s="52" t="str">
        <f>IF(N(B$10)=0,"",IF(AND(COUNT(H1188:H1199)=2,COUNT(F1188:F1199)=2),cubic_spline(F1187:F1189,H1187:H1189,B$10),IF(AND(COUNT(H1188:H1199)=3,COUNT(F1188:F1199)=3),cubic_spline(F1187:F1190,H1187:H1190,B$10),IF(AND(COUNT(H1188:H1199)=4,COUNT(F1188:F1199)=4),cubic_spline(F1187:F1191,H1187:H1191,B$10),IF(AND(COUNT(H1188:H1199)=5,COUNT(F1188:F1199)=5),cubic_spline(F1187:F1192,H1187:H1192,B$10),IF(AND(COUNT(H1188:H1199)=6,COUNT(F1188:F1199)=6),cubic_spline(F1187:F1193,H1187:H1193,B$10),IF(AND(COUNT(H1188:H1199)=7,COUNT(F1188:F1199)=7),cubic_spline(F1187:F1194,H1187:H1194,B$10),IF(AND(COUNT(H1188:H1199)=8,COUNT(F1188:F1199)=8),cubic_spline(F1187:F1195,H1187:H1195,B$10),IF(AND(COUNT(H1188:H1199)=9,COUNT(F1188:F1199)=9),cubic_spline(F1187:F1196,H1187:H1196,B$10),IF(AND(COUNT(H1188:H1199)=10,COUNT(F1188:F1199)=10),cubic_spline(F1187:F1197,H1187:H1197,B$10),IF(AND(COUNT(H1188:H1199)=11,COUNT(F1188:F1199)=11),cubic_spline(F1187:F1198,H1187:H1198,B$10),IF(AND(COUNT(H1188:H1199)=12,COUNT(F1188:F1199)=12),cubic_spline(F1187:F1199,H1187:H1199,B$10),""))))))))))))</f>
        <v/>
      </c>
      <c r="K1196" s="52" t="str">
        <f>IF(N(B$10)=0,"",IF(AND(COUNT(A1188:A1199)=2,COUNT(F1188:F1199)=2),cubic_spline(F1187:F1189,A1187:A1189,B$10),IF(AND(COUNT(A1188:A1199)=3,COUNT(F1188:F1199)=3),cubic_spline(F1187:F1190,A1187:A1190,B$10),IF(AND(COUNT(A1188:A1199)=4,COUNT(F1188:F1199)=4),cubic_spline(F1187:F1191,A1187:A1191,B$10),IF(AND(COUNT(A1188:A1199)=5,COUNT(F1188:F1199)=5),cubic_spline(F1187:F1192,A1187:A1192,B$10),IF(AND(COUNT(A1188:A1199)=6,COUNT(F1188:F1199)=6),cubic_spline(F1187:F1193,A1187:A1193,B$10),IF(AND(COUNT(A1188:A1199)=7,COUNT(F1188:F1199)=7),cubic_spline(F1187:F1194,A1187:A1194,B$10),IF(AND(COUNT(A1188:A1199)=8,COUNT(F1188:F1199)=8),cubic_spline(F1187:F1195,A1187:A1195,B$10),IF(AND(COUNT(A1188:A1199)=9,COUNT(F1188:F1199)=9),cubic_spline(F1187:F1196,A1187:A1196,B$10),IF(AND(COUNT(A1188:A1199)=10,COUNT(F1188:F1199)=10),cubic_spline(F1187:F1197,A1187:A1197,B$10),IF(AND(COUNT(A1188:A1199)=11,COUNT(F1188:F1199)=11),cubic_spline(F1187:F1198,A1187:A1198,B$10),IF(AND(COUNT(A1188:A1199)=12,COUNT(F1188:F1199)=12),cubic_spline(F1187:F1199,A1187:A1199,B$10),""))))))))))))</f>
        <v/>
      </c>
      <c r="L1196" s="27" t="str">
        <f>IF(I1196="","",B$9&amp;"-"&amp;B$10)</f>
        <v/>
      </c>
      <c r="M1196" s="52" t="str">
        <f t="shared" si="455"/>
        <v/>
      </c>
    </row>
    <row r="1197" spans="1:13" x14ac:dyDescent="0.35">
      <c r="A1197" s="48"/>
      <c r="B1197" s="48"/>
      <c r="C1197" s="50"/>
      <c r="D1197" s="50"/>
      <c r="E1197" s="51" t="str">
        <f t="shared" si="453"/>
        <v/>
      </c>
      <c r="F1197" s="71" t="str">
        <f t="shared" si="451"/>
        <v/>
      </c>
      <c r="G1197" s="69" t="str">
        <f t="shared" si="454"/>
        <v/>
      </c>
      <c r="H1197" s="70" t="str">
        <f t="shared" si="452"/>
        <v/>
      </c>
      <c r="I1197" s="27" t="str">
        <f>IF(N(J1197)=0,"",0&amp;"-"&amp;B$11)</f>
        <v/>
      </c>
      <c r="J1197" s="52" t="str">
        <f>IF(N(B$11)=0,"",IF(AND(COUNT(H1188:H1199)=2,COUNT(F1188:F1199)=2),cubic_spline(F1187:F1189,H1187:H1189,B$11),IF(AND(COUNT(H1188:H1199)=3,COUNT(F1188:F1199)=3),cubic_spline(F1187:F1190,H1187:H1190,B$11),IF(AND(COUNT(H1188:H1199)=4,COUNT(F1188:F1199)=4),cubic_spline(F1187:F1191,H1187:H1191,B$11),IF(AND(COUNT(H1188:H1199)=5,COUNT(F1188:F1199)=5),cubic_spline(F1187:F1192,H1187:H1192,B$11),IF(AND(COUNT(H1188:H1199)=6,COUNT(F1188:F1199)=6),cubic_spline(F1187:F1193,H1187:H1193,B$11),IF(AND(COUNT(H1188:H1199)=7,COUNT(F1188:F1199)=7),cubic_spline(F1187:F1194,H1187:H1194,B$11),IF(AND(COUNT(H1188:H1199)=8,COUNT(F1188:F1199)=8),cubic_spline(F1187:F1195,H1187:H1195,B$11),IF(AND(COUNT(H1188:H1199)=9,COUNT(F1188:F1199)=9),cubic_spline(F1187:F1196,H1187:H1196,B$11),IF(AND(COUNT(H1188:H1199)=10,COUNT(F1188:F1199)=10),cubic_spline(F1187:F1197,H1187:H1197,B$11),IF(AND(COUNT(H1188:H1199)=11,COUNT(F1188:F1199)=11),cubic_spline(F1187:F1198,H1187:H1198,B$11),IF(AND(COUNT(H1188:H1199)=12,COUNT(F1188:F1199)=12),cubic_spline(F1187:F1199,H1187:H1199,B$11),""))))))))))))</f>
        <v/>
      </c>
      <c r="K1197" s="52" t="str">
        <f>IF(N(B$11)=0,"",IF(AND(COUNT(A1188:A1199)=2,COUNT(F1188:F1199)=2),cubic_spline(F1187:F1189,A1187:A1189,B$11),IF(AND(COUNT(A1188:A1199)=3,COUNT(F1188:F1199)=3),cubic_spline(F1187:F1190,A1187:A1190,B$11),IF(AND(COUNT(A1188:A1199)=4,COUNT(F1188:F1199)=4),cubic_spline(F1187:F1191,A1187:A1191,B$11),IF(AND(COUNT(A1188:A1199)=5,COUNT(F1188:F1199)=5),cubic_spline(F1187:F1192,A1187:A1192,B$11),IF(AND(COUNT(A1188:A1199)=6,COUNT(F1188:F1199)=6),cubic_spline(F1187:F1193,A1187:A1193,B$11),IF(AND(COUNT(A1188:A1199)=7,COUNT(F1188:F1199)=7),cubic_spline(F1187:F1194,A1187:A1194,B$11),IF(AND(COUNT(A1188:A1199)=8,COUNT(F1188:F1199)=8),cubic_spline(F1187:F1195,A1187:A1195,B$11),IF(AND(COUNT(A1188:A1199)=9,COUNT(F1188:F1199)=9),cubic_spline(F1187:F1196,A1187:A1196,B$11),IF(AND(COUNT(A1188:A1199)=10,COUNT(F1188:F1199)=10),cubic_spline(F1187:F1197,A1187:A1197,B$11),IF(AND(COUNT(A1188:A1199)=11,COUNT(F1188:F1199)=11),cubic_spline(F1187:F1198,A1187:A1198,B$11),IF(AND(COUNT(A1188:A1199)=12,COUNT(F1188:F1199)=12),cubic_spline(F1187:F1199,A1187:A1199,B$11),""))))))))))))</f>
        <v/>
      </c>
      <c r="L1197" s="27" t="str">
        <f>IF(I1197="","",B$10&amp;"-"&amp;B$11)</f>
        <v/>
      </c>
      <c r="M1197" s="52" t="str">
        <f t="shared" si="455"/>
        <v/>
      </c>
    </row>
    <row r="1198" spans="1:13" x14ac:dyDescent="0.35">
      <c r="A1198" s="48"/>
      <c r="B1198" s="48"/>
      <c r="C1198" s="50"/>
      <c r="D1198" s="50"/>
      <c r="E1198" s="51" t="str">
        <f t="shared" si="453"/>
        <v/>
      </c>
      <c r="F1198" s="71" t="str">
        <f t="shared" si="451"/>
        <v/>
      </c>
      <c r="G1198" s="69" t="str">
        <f t="shared" si="454"/>
        <v/>
      </c>
      <c r="H1198" s="70" t="str">
        <f t="shared" si="452"/>
        <v/>
      </c>
      <c r="I1198" s="27" t="str">
        <f>IF(N(J1198)=0,"",0&amp;"-"&amp;B$12)</f>
        <v/>
      </c>
      <c r="J1198" s="52" t="str">
        <f>IF(N(B$12)=0,"",IF(AND(COUNT(H1188:H1199)=2,COUNT(F1188:F1199)=2),cubic_spline(F1187:F1189,H1187:H1189,B$12),IF(AND(COUNT(H1188:H1199)=3,COUNT(F1188:F1199)=3),cubic_spline(F1187:F1190,H1187:H1190,B$12),IF(AND(COUNT(H1188:H1199)=4,COUNT(F1188:F1199)=4),cubic_spline(F1187:F1191,H1187:H1191,B$12),IF(AND(COUNT(H1188:H1199)=5,COUNT(F1188:F1199)=5),cubic_spline(F1187:F1192,H1187:H1192,B$12),IF(AND(COUNT(H1188:H1199)=6,COUNT(F1188:F1199)=6),cubic_spline(F1187:F1193,H1187:H1193,B$12),IF(AND(COUNT(H1188:H1199)=7,COUNT(F1188:F1199)=7),cubic_spline(F1187:F1194,H1187:H1194,B$12),IF(AND(COUNT(H1188:H1199)=8,COUNT(F1188:F1199)=8),cubic_spline(F1187:F1195,H1187:H1195,B$12),IF(AND(COUNT(H1188:H1199)=9,COUNT(F1188:F1199)=9),cubic_spline(F1187:F1196,H1187:H1196,B$12),IF(AND(COUNT(H1188:H1199)=10,COUNT(F1188:F1199)=10),cubic_spline(F1187:F1197,H1187:H1197,B$12),IF(AND(COUNT(H1188:H1199)=11,COUNT(F1188:F1199)=11),cubic_spline(F1187:F1198,H1187:H1198,B$12),IF(AND(COUNT(H1188:H1199)=12,COUNT(F1188:F1199)=12),cubic_spline(F1187:F1199,H1187:H1199,B$12),""))))))))))))</f>
        <v/>
      </c>
      <c r="K1198" s="52" t="str">
        <f>IF(N(B$12)=0,"",IF(AND(COUNT(A1188:A1199)=2,COUNT(F1188:F1199)=2),cubic_spline(F1187:F1189,A1187:A1189,B$12),IF(AND(COUNT(A1188:A1199)=3,COUNT(F1188:F1199)=3),cubic_spline(F1187:F1190,A1187:A1190,B$12),IF(AND(COUNT(A1188:A1199)=4,COUNT(F1188:F1199)=4),cubic_spline(F1187:F1191,A1187:A1191,B$12),IF(AND(COUNT(A1188:A1199)=5,COUNT(F1188:F1199)=5),cubic_spline(F1187:F1192,A1187:A1192,B$12),IF(AND(COUNT(A1188:A1199)=6,COUNT(F1188:F1199)=6),cubic_spline(F1187:F1193,A1187:A1193,B$12),IF(AND(COUNT(A1188:A1199)=7,COUNT(F1188:F1199)=7),cubic_spline(F1187:F1194,A1187:A1194,B$12),IF(AND(COUNT(A1188:A1199)=8,COUNT(F1188:F1199)=8),cubic_spline(F1187:F1195,A1187:A1195,B$12),IF(AND(COUNT(A1188:A1199)=9,COUNT(F1188:F1199)=9),cubic_spline(F1187:F1196,A1187:A1196,B$12),IF(AND(COUNT(A1188:A1199)=10,COUNT(F1188:F1199)=10),cubic_spline(F1187:F1197,A1187:A1197,B$12),IF(AND(COUNT(A1188:A1199)=11,COUNT(F1188:F1199)=11),cubic_spline(F1187:F1198,A1187:A1198,B$12),IF(AND(COUNT(A1188:A1199)=12,COUNT(F1188:F1199)=12),cubic_spline(F1187:F1199,A1187:A1199,B$12),""))))))))))))</f>
        <v/>
      </c>
      <c r="L1198" s="27" t="str">
        <f>IF(I1198="","",B$11&amp;"-"&amp;B$12)</f>
        <v/>
      </c>
      <c r="M1198" s="52" t="str">
        <f t="shared" si="455"/>
        <v/>
      </c>
    </row>
    <row r="1199" spans="1:13" x14ac:dyDescent="0.35">
      <c r="A1199" s="48"/>
      <c r="B1199" s="48"/>
      <c r="C1199" s="50"/>
      <c r="D1199" s="50"/>
      <c r="E1199" s="51" t="str">
        <f t="shared" si="453"/>
        <v/>
      </c>
      <c r="F1199" s="71" t="str">
        <f t="shared" si="451"/>
        <v/>
      </c>
      <c r="G1199" s="69" t="str">
        <f t="shared" si="454"/>
        <v/>
      </c>
      <c r="H1199" s="70" t="str">
        <f t="shared" si="452"/>
        <v/>
      </c>
      <c r="I1199" s="27" t="str">
        <f>IF(N(J1199)=0,"",0&amp;"-"&amp;B$13)</f>
        <v/>
      </c>
      <c r="J1199" s="52" t="str">
        <f>IF(N(B$13)=0,"",IF(AND(COUNT(H1188:H1199)=2,COUNT(F1188:F1199)=2),cubic_spline(F1187:F1189,H1187:H1189,B$13),IF(AND(COUNT(H1188:H1199)=3,COUNT(F1188:F1199)=3),cubic_spline(F1187:F1190,H1187:H1190,B$13),IF(AND(COUNT(H1188:H1199)=4,COUNT(F1188:F1199)=4),cubic_spline(F1187:F1191,H1187:H1191,B$13),IF(AND(COUNT(H1188:H1199)=5,COUNT(F1188:F1199)=5),cubic_spline(F1187:F1192,H1187:H1192,B$13),IF(AND(COUNT(H1188:H1199)=6,COUNT(F1188:F1199)=6),cubic_spline(F1187:F1193,H1187:H1193,B$13),IF(AND(COUNT(H1188:H1199)=7,COUNT(F1188:F1199)=7),cubic_spline(F1187:F1194,H1187:H1194,B$13),IF(AND(COUNT(H1188:H1199)=8,COUNT(F1188:F1199)=8),cubic_spline(F1187:F1195,H1187:H1195,B$13),IF(AND(COUNT(H1188:H1199)=9,COUNT(F1188:F1199)=9),cubic_spline(F1187:F1196,H1187:H1196,B$13),IF(AND(COUNT(H1188:H1199)=10,COUNT(F1188:F1199)=10),cubic_spline(F1187:F1197,H1187:H1197,B$13),IF(AND(COUNT(H1188:H1199)=11,COUNT(F1188:F1199)=11),cubic_spline(F1187:F1198,H1187:H1198,B$13),IF(AND(COUNT(H1188:H1199)=12,COUNT(F1188:F1199)=12),cubic_spline(F1187:F1199,H1187:H1199,B$13),""))))))))))))</f>
        <v/>
      </c>
      <c r="K1199" s="52" t="str">
        <f>IF(N(B$13)=0,"",IF(AND(COUNT(A1188:A1199)=2,COUNT(F1188:F1199)=2),cubic_spline(F1187:F1189,A1187:A1189,B$13),IF(AND(COUNT(A1188:A1199)=3,COUNT(F1188:F1199)=3),cubic_spline(F1187:F1190,A1187:A1190,B$13),IF(AND(COUNT(A1188:A1199)=4,COUNT(F1188:F1199)=4),cubic_spline(F1187:F1191,A1187:A1191,B$13),IF(AND(COUNT(A1188:A1199)=5,COUNT(F1188:F1199)=5),cubic_spline(F1187:F1192,A1187:A1192,B$13),IF(AND(COUNT(A1188:A1199)=6,COUNT(F1188:F1199)=6),cubic_spline(F1187:F1193,A1187:A1193,B$13),IF(AND(COUNT(A1188:A1199)=7,COUNT(F1188:F1199)=7),cubic_spline(F1187:F1194,A1187:A1194,B$13),IF(AND(COUNT(A1188:A1199)=8,COUNT(F1188:F1199)=8),cubic_spline(F1187:F1195,A1187:A1195,B$13),IF(AND(COUNT(A1188:A1199)=9,COUNT(F1188:F1199)=9),cubic_spline(F1187:F1196,A1187:A1196,B$13),IF(AND(COUNT(A1188:A1199)=10,COUNT(F1188:F1199)=10),cubic_spline(F1187:F1197,A1187:A1197,B$13),IF(AND(COUNT(A1188:A1199)=11,COUNT(F1188:F1199)=11),cubic_spline(F1187:F1198,A1187:A1198,B$13),IF(AND(COUNT(A1188:A1199)=12,COUNT(F1188:F1199)=12),cubic_spline(F1187:F1199,A1187:A1199,B$13),""))))))))))))</f>
        <v/>
      </c>
      <c r="L1199" s="27" t="str">
        <f>IF(I1199="","",B$12&amp;"-"&amp;B$13)</f>
        <v/>
      </c>
      <c r="M1199" s="52" t="str">
        <f t="shared" si="455"/>
        <v/>
      </c>
    </row>
    <row r="1200" spans="1:13" ht="5.15" customHeight="1" x14ac:dyDescent="0.35">
      <c r="A1200" s="47"/>
      <c r="B1200" s="47"/>
      <c r="C1200" s="53"/>
      <c r="D1200" s="53"/>
      <c r="E1200" s="54"/>
      <c r="F1200" s="55"/>
      <c r="G1200" s="72"/>
      <c r="H1200" s="73"/>
      <c r="I1200" s="47"/>
      <c r="J1200" s="57"/>
      <c r="K1200" s="57"/>
      <c r="L1200" s="55"/>
      <c r="M1200" s="57"/>
    </row>
    <row r="1201" spans="1:13" x14ac:dyDescent="0.35">
      <c r="A1201" s="48"/>
      <c r="B1201" s="48"/>
      <c r="C1201" s="50"/>
      <c r="D1201" s="50"/>
      <c r="E1201" s="51" t="str">
        <f>IF(N(C1201)=0,"",(A1201-A1200)*C1201*100)</f>
        <v/>
      </c>
      <c r="F1201" s="68" t="str">
        <f t="shared" ref="F1201:F1212" si="456">IF(N(E1201)=0,"",(N(E1201)+N(F1200)))</f>
        <v/>
      </c>
      <c r="G1201" s="69" t="str">
        <f>IF(OR(N(D1201)=0,N(E1201)=0),"",(E1201*D1201)/1000)</f>
        <v/>
      </c>
      <c r="H1201" s="70" t="str">
        <f t="shared" ref="H1201:H1212" si="457">IF(N(G1201)=0,"",(N(G1201)+N(H1200)))</f>
        <v/>
      </c>
      <c r="I1201" s="27" t="str">
        <f>IF(N(J1201)=0,"",0&amp;"-"&amp;B$2)</f>
        <v/>
      </c>
      <c r="J1201" s="52" t="str">
        <f>IF(N(B$2)=0,"",IF(AND(COUNT(H1201:H1212)=2,COUNT(F1201:F1212)=2),cubic_spline(F1200:F1202,H1200:H1202,B$2),IF(AND(COUNT(H1201:H1212)=3,COUNT(F1201:F1212)=3),cubic_spline(F1200:F1203,H1200:H1203,B$2),IF(AND(COUNT(H1201:H1212)=4,COUNT(F1201:F1212)=4),cubic_spline(F1200:F1204,H1200:H1204,B$2),IF(AND(COUNT(H1201:H1212)=5,COUNT(F1201:F1212)=5),cubic_spline(F1200:F1205,H1200:H1205,B$2),IF(AND(COUNT(H1201:H1212)=6,COUNT(F1201:F1212)=6),cubic_spline(F1200:F1206,H1200:H1206,B$2),IF(AND(COUNT(H1201:H1212)=7,COUNT(F1201:F1212)=7),cubic_spline(F1200:F1207,H1200:H1207,B$2),IF(AND(COUNT(H1201:H1212)=8,COUNT(F1201:F1212)=8),cubic_spline(F1200:F1208,H1200:H1208,B$2),IF(AND(COUNT(H1201:H1212)=9,COUNT(F1201:F1212)=9),cubic_spline(F1200:F1209,H1200:H1209,B$2),IF(AND(COUNT(H1201:H1212)=10,COUNT(F1201:F1212)=10),cubic_spline(F1200:F1210,H1200:H1210,B$2),IF(AND(COUNT(H1201:H1212)=11,COUNT(F1201:F1212)=11),cubic_spline(F1200:F1211,H1200:H1211,B$2),IF(AND(COUNT(H1201:H1212)=12,COUNT(F1201:F1212)=12),cubic_spline(F1200:F1212,H1200:H1212,B$2),""))))))))))))</f>
        <v/>
      </c>
      <c r="K1201" s="52" t="str">
        <f>IF(N(B$2)=0,"",IF(AND(COUNT(A1201:A1212)=2,COUNT(F1201:F1212)=2),cubic_spline(F1200:F1202,A1200:A1202,B$2),IF(AND(COUNT(A1201:A1212)=3,COUNT(F1201:F1212)=3),cubic_spline(F1200:F1203,A1200:A1203,B$2),IF(AND(COUNT(A1201:A1212)=4,COUNT(F1201:F1212)=4),cubic_spline(F1200:F1204,A1200:A1204,B$2),IF(AND(COUNT(A1201:A1212)=5,COUNT(F1201:F1212)=5),cubic_spline(F1200:F1205,A1200:A1205,B$2),IF(AND(COUNT(A1201:A1212)=6,COUNT(F1201:F1212)=6),cubic_spline(F1200:F1206,A1200:A1206,B$2),IF(AND(COUNT(A1201:A1212)=7,COUNT(F1201:F1212)=7),cubic_spline(F1200:F1207,A1200:A1207,B$2),IF(AND(COUNT(A1201:A1212)=8,COUNT(F1201:F1212)=8),cubic_spline(F1200:F1208,A1200:A1208,B$2),IF(AND(COUNT(A1201:A1212)=9,COUNT(F1201:F1212)=9),cubic_spline(F1200:F1209,A1200:A1209,B$2),IF(AND(COUNT(A1201:A1212)=10,COUNT(F1201:F1212)=10),cubic_spline(F1200:F1210,A1200:A1210,B$2),IF(AND(COUNT(A1201:A1212)=11,COUNT(F1201:F1212)=11),cubic_spline(F1200:F1211,A1200:A1211,B$2),IF(AND(COUNT(A1201:A1212)=12,COUNT(F1201:F1212)=12),cubic_spline(F1200:F1212,A1200:A1212,B$2),""))))))))))))</f>
        <v/>
      </c>
      <c r="L1201" s="27" t="str">
        <f>IF(I1201="","",0&amp;"-"&amp;B$2)</f>
        <v/>
      </c>
      <c r="M1201" s="52" t="str">
        <f>IF(N(J1201)=0,"",J1201-J1200)</f>
        <v/>
      </c>
    </row>
    <row r="1202" spans="1:13" x14ac:dyDescent="0.35">
      <c r="A1202" s="48"/>
      <c r="B1202" s="48"/>
      <c r="C1202" s="50"/>
      <c r="D1202" s="50"/>
      <c r="E1202" s="51" t="str">
        <f t="shared" ref="E1202:E1212" si="458">IF(N(C1202)=0,"",(A1202-A1201)*C1202*100)</f>
        <v/>
      </c>
      <c r="F1202" s="68" t="str">
        <f t="shared" si="456"/>
        <v/>
      </c>
      <c r="G1202" s="69" t="str">
        <f t="shared" ref="G1202:G1212" si="459">IF(OR(N(D1202)=0,N(E1202)=0),"",(E1202*D1202)/1000)</f>
        <v/>
      </c>
      <c r="H1202" s="70" t="str">
        <f t="shared" si="457"/>
        <v/>
      </c>
      <c r="I1202" s="27" t="str">
        <f>IF(N(J1202)=0,"",0&amp;"-"&amp;B$3)</f>
        <v/>
      </c>
      <c r="J1202" s="52" t="str">
        <f>IF(N(B$3)=0,"",IF(AND(COUNT(H1201:H1212)=2,COUNT(F1201:F1212)=2),cubic_spline(F1200:F1202,H1200:H1202,B$3),IF(AND(COUNT(H1201:H1212)=3,COUNT(F1201:F1212)=3),cubic_spline(F1200:F1203,H1200:H1203,B$3),IF(AND(COUNT(H1201:H1212)=4,COUNT(F1201:F1212)=4),cubic_spline(F1200:F1204,H1200:H1204,B$3),IF(AND(COUNT(H1201:H1212)=5,COUNT(F1201:F1212)=5),cubic_spline(F1200:F1205,H1200:H1205,B$3),IF(AND(COUNT(H1201:H1212)=6,COUNT(F1201:F1212)=6),cubic_spline(F1200:F1206,H1200:H1206,B$3),IF(AND(COUNT(H1201:H1212)=7,COUNT(F1201:F1212)=7),cubic_spline(F1200:F1207,H1200:H1207,B$3),IF(AND(COUNT(H1201:H1212)=8,COUNT(F1201:F1212)=8),cubic_spline(F1200:F1208,H1200:H1208,B$3),IF(AND(COUNT(H1201:H1212)=9,COUNT(F1201:F1212)=9),cubic_spline(F1200:F1209,H1200:H1209,B$3),IF(AND(COUNT(H1201:H1212)=10,COUNT(F1201:F1212)=10),cubic_spline(F1200:F1210,H1200:H1210,B$3),IF(AND(COUNT(H1201:H1212)=11,COUNT(F1201:F1212)=11),cubic_spline(F1200:F1211,H1200:H1211,B$3),IF(AND(COUNT(H1201:H1212)=12,COUNT(F1201:F1212)=12),cubic_spline(F1200:F1212,H1200:H1212,B$3),""))))))))))))</f>
        <v/>
      </c>
      <c r="K1202" s="52" t="str">
        <f>IF(N(B$3)=0,"",IF(AND(COUNT(A1201:A1212)=2,COUNT(F1201:F1212)=2),cubic_spline(F1200:F1202,A1200:A1202,B$3),IF(AND(COUNT(A1201:A1212)=3,COUNT(F1201:F1212)=3),cubic_spline(F1200:F1203,A1200:A1203,B$3),IF(AND(COUNT(A1201:A1212)=4,COUNT(F1201:F1212)=4),cubic_spline(F1200:F1204,A1200:A1204,B$3),IF(AND(COUNT(A1201:A1212)=5,COUNT(F1201:F1212)=5),cubic_spline(F1200:F1205,A1200:A1205,B$3),IF(AND(COUNT(A1201:A1212)=6,COUNT(F1201:F1212)=6),cubic_spline(F1200:F1206,A1200:A1206,B$3),IF(AND(COUNT(A1201:A1212)=7,COUNT(F1201:F1212)=7),cubic_spline(F1200:F1207,A1200:A1207,B$3),IF(AND(COUNT(A1201:A1212)=8,COUNT(F1201:F1212)=8),cubic_spline(F1200:F1208,A1200:A1208,B$3),IF(AND(COUNT(A1201:A1212)=9,COUNT(F1201:F1212)=9),cubic_spline(F1200:F1209,A1200:A1209,B$3),IF(AND(COUNT(A1201:A1212)=10,COUNT(F1201:F1212)=10),cubic_spline(F1200:F1210,A1200:A1210,B$3),IF(AND(COUNT(A1201:A1212)=11,COUNT(F1201:F1212)=11),cubic_spline(F1200:F1211,A1200:A1211,B$3),IF(AND(COUNT(A1201:A1212)=12,COUNT(F1201:F1212)=12),cubic_spline(F1200:F1212,A1200:A1212,B$3),""))))))))))))</f>
        <v/>
      </c>
      <c r="L1202" s="27" t="str">
        <f>IF(I1202="","",B$2&amp;"-"&amp;B$3)</f>
        <v/>
      </c>
      <c r="M1202" s="52" t="str">
        <f>IF(N(J1202)=0,"",J1202-J1201)</f>
        <v/>
      </c>
    </row>
    <row r="1203" spans="1:13" x14ac:dyDescent="0.35">
      <c r="A1203" s="48"/>
      <c r="B1203" s="48"/>
      <c r="C1203" s="50"/>
      <c r="D1203" s="50"/>
      <c r="E1203" s="51" t="str">
        <f t="shared" si="458"/>
        <v/>
      </c>
      <c r="F1203" s="68" t="str">
        <f t="shared" si="456"/>
        <v/>
      </c>
      <c r="G1203" s="69" t="str">
        <f t="shared" si="459"/>
        <v/>
      </c>
      <c r="H1203" s="70" t="str">
        <f t="shared" si="457"/>
        <v/>
      </c>
      <c r="I1203" s="27" t="str">
        <f>IF(N(J1203)=0,"",0&amp;"-"&amp;B$4)</f>
        <v/>
      </c>
      <c r="J1203" s="52" t="str">
        <f>IF(N(B$4)=0,"",IF(AND(COUNT(H1201:H1212)=2,COUNT(F1201:F1212)=2),cubic_spline(F1200:F1202,H1200:H1202,B$4),IF(AND(COUNT(H1201:H1212)=3,COUNT(F1201:F1212)=3),cubic_spline(F1200:F1203,H1200:H1203,B$4),IF(AND(COUNT(H1201:H1212)=4,COUNT(F1201:F1212)=4),cubic_spline(F1200:F1204,H1200:H1204,B$4),IF(AND(COUNT(H1201:H1212)=5,COUNT(F1201:F1212)=5),cubic_spline(F1200:F1205,H1200:H1205,B$4),IF(AND(COUNT(H1201:H1212)=6,COUNT(F1201:F1212)=6),cubic_spline(F1200:F1206,H1200:H1206,B$4),IF(AND(COUNT(H1201:H1212)=7,COUNT(F1201:F1212)=7),cubic_spline(F1200:F1207,H1200:H1207,B$4),IF(AND(COUNT(H1201:H1212)=8,COUNT(F1201:F1212)=8),cubic_spline(F1200:F1208,H1200:H1208,B$4),IF(AND(COUNT(H1201:H1212)=9,COUNT(F1201:F1212)=9),cubic_spline(F1200:F1209,H1200:H1209,B$4),IF(AND(COUNT(H1201:H1212)=10,COUNT(F1201:F1212)=10),cubic_spline(F1200:F1210,H1200:H1210,B$4),IF(AND(COUNT(H1201:H1212)=11,COUNT(F1201:F1212)=11),cubic_spline(F1200:F1211,H1200:H1211,B$4),IF(AND(COUNT(H1201:H1212)=12,COUNT(F1201:F1212)=12),cubic_spline(F1200:F1212,H1200:H1212,B$4),""))))))))))))</f>
        <v/>
      </c>
      <c r="K1203" s="52" t="str">
        <f>IF(N(B$4)=0,"",IF(AND(COUNT(A1201:A1212)=2,COUNT(F1201:F1212)=2),cubic_spline(F1200:F1202,A1200:A1202,B$4),IF(AND(COUNT(A1201:A1212)=3,COUNT(F1201:F1212)=3),cubic_spline(F1200:F1203,A1200:A1203,B$4),IF(AND(COUNT(A1201:A1212)=4,COUNT(F1201:F1212)=4),cubic_spline(F1200:F1204,A1200:A1204,B$4),IF(AND(COUNT(A1201:A1212)=5,COUNT(F1201:F1212)=5),cubic_spline(F1200:F1205,A1200:A1205,B$4),IF(AND(COUNT(A1201:A1212)=6,COUNT(F1201:F1212)=6),cubic_spline(F1200:F1206,A1200:A1206,B$4),IF(AND(COUNT(A1201:A1212)=7,COUNT(F1201:F1212)=7),cubic_spline(F1200:F1207,A1200:A1207,B$4),IF(AND(COUNT(A1201:A1212)=8,COUNT(F1201:F1212)=8),cubic_spline(F1200:F1208,A1200:A1208,B$4),IF(AND(COUNT(A1201:A1212)=9,COUNT(F1201:F1212)=9),cubic_spline(F1200:F1209,A1200:A1209,B$4),IF(AND(COUNT(A1201:A1212)=10,COUNT(F1201:F1212)=10),cubic_spline(F1200:F1210,A1200:A1210,B$4),IF(AND(COUNT(A1201:A1212)=11,COUNT(F1201:F1212)=11),cubic_spline(F1200:F1211,A1200:A1211,B$4),IF(AND(COUNT(A1201:A1212)=12,COUNT(F1201:F1212)=12),cubic_spline(F1200:F1212,A1200:A1212,B$4),""))))))))))))</f>
        <v/>
      </c>
      <c r="L1203" s="27" t="str">
        <f>IF(I1203="","",B$3&amp;"-"&amp;B$4)</f>
        <v/>
      </c>
      <c r="M1203" s="52" t="str">
        <f>IF(N(J1203)=0,"",J1203-J1202)</f>
        <v/>
      </c>
    </row>
    <row r="1204" spans="1:13" x14ac:dyDescent="0.35">
      <c r="A1204" s="48"/>
      <c r="B1204" s="48"/>
      <c r="C1204" s="50"/>
      <c r="D1204" s="50"/>
      <c r="E1204" s="51" t="str">
        <f t="shared" si="458"/>
        <v/>
      </c>
      <c r="F1204" s="68" t="str">
        <f t="shared" si="456"/>
        <v/>
      </c>
      <c r="G1204" s="69" t="str">
        <f t="shared" si="459"/>
        <v/>
      </c>
      <c r="H1204" s="70" t="str">
        <f t="shared" si="457"/>
        <v/>
      </c>
      <c r="I1204" s="27" t="str">
        <f>IF(N(J1204)=0,"",0&amp;"-"&amp;B$5)</f>
        <v/>
      </c>
      <c r="J1204" s="52" t="str">
        <f>IF(N(B$5)=0,"",IF(AND(COUNT(H1201:H1212)=2,COUNT(F1201:F1212)=2),cubic_spline(F1200:F1202,H1200:H1202,B$5),IF(AND(COUNT(H1201:H1212)=3,COUNT(F1201:F1212)=3),cubic_spline(F1200:F1203,H1200:H1203,B$5),IF(AND(COUNT(H1201:H1212)=4,COUNT(F1201:F1212)=4),cubic_spline(F1200:F1204,H1200:H1204,B$5),IF(AND(COUNT(H1201:H1212)=5,COUNT(F1201:F1212)=5),cubic_spline(F1200:F1205,H1200:H1205,B$5),IF(AND(COUNT(H1201:H1212)=6,COUNT(F1201:F1212)=6),cubic_spline(F1200:F1206,H1200:H1206,B$5),IF(AND(COUNT(H1201:H1212)=7,COUNT(F1201:F1212)=7),cubic_spline(F1200:F1207,H1200:H1207,B$5),IF(AND(COUNT(H1201:H1212)=8,COUNT(F1201:F1212)=8),cubic_spline(F1200:F1208,H1200:H1208,B$5),IF(AND(COUNT(H1201:H1212)=9,COUNT(F1201:F1212)=9),cubic_spline(F1200:F1209,H1200:H1209,B$5),IF(AND(COUNT(H1201:H1212)=10,COUNT(F1201:F1212)=10),cubic_spline(F1200:F1210,H1200:H1210,B$5),IF(AND(COUNT(H1201:H1212)=11,COUNT(F1201:F1212)=11),cubic_spline(F1200:F1211,H1200:H1211,B$5),IF(AND(COUNT(H1201:H1212)=12,COUNT(F1201:F1212)=12),cubic_spline(F1200:F1212,H1200:H1212,B$5),""))))))))))))</f>
        <v/>
      </c>
      <c r="K1204" s="52" t="str">
        <f>IF(N(B$5)=0,"",IF(AND(COUNT(A1201:A1212)=2,COUNT(F1201:F1212)=2),cubic_spline(F1200:F1202,A1200:A1202,B$5),IF(AND(COUNT(A1201:A1212)=3,COUNT(F1201:F1212)=3),cubic_spline(F1200:F1203,A1200:A1203,B$5),IF(AND(COUNT(A1201:A1212)=4,COUNT(F1201:F1212)=4),cubic_spline(F1200:F1204,A1200:A1204,B$5),IF(AND(COUNT(A1201:A1212)=5,COUNT(F1201:F1212)=5),cubic_spline(F1200:F1205,A1200:A1205,B$5),IF(AND(COUNT(A1201:A1212)=6,COUNT(F1201:F1212)=6),cubic_spline(F1200:F1206,A1200:A1206,B$5),IF(AND(COUNT(A1201:A1212)=7,COUNT(F1201:F1212)=7),cubic_spline(F1200:F1207,A1200:A1207,B$5),IF(AND(COUNT(A1201:A1212)=8,COUNT(F1201:F1212)=8),cubic_spline(F1200:F1208,A1200:A1208,B$5),IF(AND(COUNT(A1201:A1212)=9,COUNT(F1201:F1212)=9),cubic_spline(F1200:F1209,A1200:A1209,B$5),IF(AND(COUNT(A1201:A1212)=10,COUNT(F1201:F1212)=10),cubic_spline(F1200:F1210,A1200:A1210,B$5),IF(AND(COUNT(A1201:A1212)=11,COUNT(F1201:F1212)=11),cubic_spline(F1200:F1211,A1200:A1211,B$5),IF(AND(COUNT(A1201:A1212)=12,COUNT(F1201:F1212)=12),cubic_spline(F1200:F1212,A1200:A1212,B$5),""))))))))))))</f>
        <v/>
      </c>
      <c r="L1204" s="27" t="str">
        <f>IF(I1204="","",B$4&amp;"-"&amp;B$5)</f>
        <v/>
      </c>
      <c r="M1204" s="52" t="str">
        <f>IF(N(J1204)=0,"",J1204-J1203)</f>
        <v/>
      </c>
    </row>
    <row r="1205" spans="1:13" x14ac:dyDescent="0.35">
      <c r="A1205" s="48"/>
      <c r="B1205" s="48"/>
      <c r="C1205" s="50"/>
      <c r="D1205" s="50"/>
      <c r="E1205" s="51" t="str">
        <f t="shared" si="458"/>
        <v/>
      </c>
      <c r="F1205" s="71" t="str">
        <f t="shared" si="456"/>
        <v/>
      </c>
      <c r="G1205" s="69" t="str">
        <f t="shared" si="459"/>
        <v/>
      </c>
      <c r="H1205" s="70" t="str">
        <f t="shared" si="457"/>
        <v/>
      </c>
      <c r="I1205" s="27" t="str">
        <f>IF(N(J1205)=0,"",0&amp;"-"&amp;B$6)</f>
        <v/>
      </c>
      <c r="J1205" s="52" t="str">
        <f>IF(N(B$6)=0,"",IF(AND(COUNT(H1201:H1212)=2,COUNT(F1201:F1212)=2),cubic_spline(F1200:F1202,H1200:H1202,B$6),IF(AND(COUNT(H1201:H1212)=3,COUNT(F1201:F1212)=3),cubic_spline(F1200:F1203,H1200:H1203,B$6),IF(AND(COUNT(H1201:H1212)=4,COUNT(F1201:F1212)=4),cubic_spline(F1200:F1204,H1200:H1204,B$6),IF(AND(COUNT(H1201:H1212)=5,COUNT(F1201:F1212)=5),cubic_spline(F1200:F1205,H1200:H1205,B$6),IF(AND(COUNT(H1201:H1212)=6,COUNT(F1201:F1212)=6),cubic_spline(F1200:F1206,H1200:H1206,B$6),IF(AND(COUNT(H1201:H1212)=7,COUNT(F1201:F1212)=7),cubic_spline(F1200:F1207,H1200:H1207,B$6),IF(AND(COUNT(H1201:H1212)=8,COUNT(F1201:F1212)=8),cubic_spline(F1200:F1208,H1200:H1208,B$6),IF(AND(COUNT(H1201:H1212)=9,COUNT(F1201:F1212)=9),cubic_spline(F1200:F1209,H1200:H1209,B$6),IF(AND(COUNT(H1201:H1212)=10,COUNT(F1201:F1212)=10),cubic_spline(F1200:F1210,H1200:H1210,B$6),IF(AND(COUNT(H1201:H1212)=11,COUNT(F1201:F1212)=11),cubic_spline(F1200:F1211,H1200:H1211,B$6),IF(AND(COUNT(H1201:H1212)=12,COUNT(F1201:F1212)=12),cubic_spline(F1200:F1212,H1200:H1212,B$6),""))))))))))))</f>
        <v/>
      </c>
      <c r="K1205" s="52" t="str">
        <f>IF(N(B$6)=0,"",IF(AND(COUNT(A1201:A1212)=2,COUNT(F1201:F1212)=2),cubic_spline(F1200:F1202,A1200:A1202,B$6),IF(AND(COUNT(A1201:A1212)=3,COUNT(F1201:F1212)=3),cubic_spline(F1200:F1203,A1200:A1203,B$6),IF(AND(COUNT(A1201:A1212)=4,COUNT(F1201:F1212)=4),cubic_spline(F1200:F1204,A1200:A1204,B$6),IF(AND(COUNT(A1201:A1212)=5,COUNT(F1201:F1212)=5),cubic_spline(F1200:F1205,A1200:A1205,B$6),IF(AND(COUNT(A1201:A1212)=6,COUNT(F1201:F1212)=6),cubic_spline(F1200:F1206,A1200:A1206,B$6),IF(AND(COUNT(A1201:A1212)=7,COUNT(F1201:F1212)=7),cubic_spline(F1200:F1207,A1200:A1207,B$6),IF(AND(COUNT(A1201:A1212)=8,COUNT(F1201:F1212)=8),cubic_spline(F1200:F1208,A1200:A1208,B$6),IF(AND(COUNT(A1201:A1212)=9,COUNT(F1201:F1212)=9),cubic_spline(F1200:F1209,A1200:A1209,B$6),IF(AND(COUNT(A1201:A1212)=10,COUNT(F1201:F1212)=10),cubic_spline(F1200:F1210,A1200:A1210,B$6),IF(AND(COUNT(A1201:A1212)=11,COUNT(F1201:F1212)=11),cubic_spline(F1200:F1211,A1200:A1211,B$6),IF(AND(COUNT(A1201:A1212)=12,COUNT(F1201:F1212)=12),cubic_spline(F1200:F1212,A1200:A1212,B$6),""))))))))))))</f>
        <v/>
      </c>
      <c r="L1205" s="27" t="str">
        <f>IF(I1205="","",B$5&amp;"-"&amp;B$6)</f>
        <v/>
      </c>
      <c r="M1205" s="52" t="str">
        <f>IF(N(J1205)=0,"",J1205-J1204)</f>
        <v/>
      </c>
    </row>
    <row r="1206" spans="1:13" x14ac:dyDescent="0.35">
      <c r="A1206" s="48"/>
      <c r="B1206" s="48"/>
      <c r="C1206" s="50"/>
      <c r="D1206" s="50"/>
      <c r="E1206" s="51" t="str">
        <f t="shared" si="458"/>
        <v/>
      </c>
      <c r="F1206" s="71" t="str">
        <f t="shared" si="456"/>
        <v/>
      </c>
      <c r="G1206" s="69" t="str">
        <f t="shared" si="459"/>
        <v/>
      </c>
      <c r="H1206" s="70" t="str">
        <f t="shared" si="457"/>
        <v/>
      </c>
      <c r="I1206" s="27" t="str">
        <f>IF(N(J1206)=0,"",0&amp;"-"&amp;B$7)</f>
        <v/>
      </c>
      <c r="J1206" s="52" t="str">
        <f>IF(N(B$7)=0,"",IF(AND(COUNT(H1201:H1212)=2,COUNT(F1201:F1212)=2),cubic_spline(F1200:F1202,H1200:H1202,B$7),IF(AND(COUNT(H1201:H1212)=3,COUNT(F1201:F1212)=3),cubic_spline(F1200:F1203,H1200:H1203,B$7),IF(AND(COUNT(H1201:H1212)=4,COUNT(F1201:F1212)=4),cubic_spline(F1200:F1204,H1200:H1204,B$7),IF(AND(COUNT(H1201:H1212)=5,COUNT(F1201:F1212)=5),cubic_spline(F1200:F1205,H1200:H1205,B$7),IF(AND(COUNT(H1201:H1212)=6,COUNT(F1201:F1212)=6),cubic_spline(F1200:F1206,H1200:H1206,B$7),IF(AND(COUNT(H1201:H1212)=7,COUNT(F1201:F1212)=7),cubic_spline(F1200:F1207,H1200:H1207,B$7),IF(AND(COUNT(H1201:H1212)=8,COUNT(F1201:F1212)=8),cubic_spline(F1200:F1208,H1200:H1208,B$7),IF(AND(COUNT(H1201:H1212)=9,COUNT(F1201:F1212)=9),cubic_spline(F1200:F1209,H1200:H1209,B$7),IF(AND(COUNT(H1201:H1212)=10,COUNT(F1201:F1212)=10),cubic_spline(F1200:F1210,H1200:H1210,B$7),IF(AND(COUNT(H1201:H1212)=11,COUNT(F1201:F1212)=11),cubic_spline(F1200:F1211,H1200:H1211,B$7),IF(AND(COUNT(H1201:H1212)=12,COUNT(F1201:F1212)=12),cubic_spline(F1200:F1212,H1200:H1212,B$7),""))))))))))))</f>
        <v/>
      </c>
      <c r="K1206" s="52" t="str">
        <f>IF(N(B$7)=0,"",IF(AND(COUNT(A1201:A1212)=2,COUNT(F1201:F1212)=2),cubic_spline(F1200:F1202,A1200:A1202,B$7),IF(AND(COUNT(A1201:A1212)=3,COUNT(F1201:F1212)=3),cubic_spline(F1200:F1203,A1200:A1203,B$7),IF(AND(COUNT(A1201:A1212)=4,COUNT(F1201:F1212)=4),cubic_spline(F1200:F1204,A1200:A1204,B$7),IF(AND(COUNT(A1201:A1212)=5,COUNT(F1201:F1212)=5),cubic_spline(F1200:F1205,A1200:A1205,B$7),IF(AND(COUNT(A1201:A1212)=6,COUNT(F1201:F1212)=6),cubic_spline(F1200:F1206,A1200:A1206,B$7),IF(AND(COUNT(A1201:A1212)=7,COUNT(F1201:F1212)=7),cubic_spline(F1200:F1207,A1200:A1207,B$7),IF(AND(COUNT(A1201:A1212)=8,COUNT(F1201:F1212)=8),cubic_spline(F1200:F1208,A1200:A1208,B$7),IF(AND(COUNT(A1201:A1212)=9,COUNT(F1201:F1212)=9),cubic_spline(F1200:F1209,A1200:A1209,B$7),IF(AND(COUNT(A1201:A1212)=10,COUNT(F1201:F1212)=10),cubic_spline(F1200:F1210,A1200:A1210,B$7),IF(AND(COUNT(A1201:A1212)=11,COUNT(F1201:F1212)=11),cubic_spline(F1200:F1211,A1200:A1211,B$7),IF(AND(COUNT(A1201:A1212)=12,COUNT(F1201:F1212)=12),cubic_spline(F1200:F1212,A1200:A1212,B$7),""))))))))))))</f>
        <v/>
      </c>
      <c r="L1206" s="27" t="str">
        <f>IF(I1206="","",B$6&amp;"-"&amp;B$7)</f>
        <v/>
      </c>
      <c r="M1206" s="52" t="str">
        <f t="shared" ref="M1206:M1212" si="460">IF(N(J1206)=0,"",J1206-J1205)</f>
        <v/>
      </c>
    </row>
    <row r="1207" spans="1:13" x14ac:dyDescent="0.35">
      <c r="A1207" s="48"/>
      <c r="B1207" s="48"/>
      <c r="C1207" s="50"/>
      <c r="D1207" s="50"/>
      <c r="E1207" s="51" t="str">
        <f t="shared" si="458"/>
        <v/>
      </c>
      <c r="F1207" s="71" t="str">
        <f t="shared" si="456"/>
        <v/>
      </c>
      <c r="G1207" s="69" t="str">
        <f t="shared" si="459"/>
        <v/>
      </c>
      <c r="H1207" s="70" t="str">
        <f t="shared" si="457"/>
        <v/>
      </c>
      <c r="I1207" s="27" t="str">
        <f>IF(N(J1207)=0,"",0&amp;"-"&amp;B$8)</f>
        <v/>
      </c>
      <c r="J1207" s="52" t="str">
        <f>IF(N(B$8)=0,"",IF(AND(COUNT(H1201:H1212)=2,COUNT(F1201:F1212)=2),cubic_spline(F1200:F1202,H1200:H1202,B$8),IF(AND(COUNT(H1201:H1212)=3,COUNT(F1201:F1212)=3),cubic_spline(F1200:F1203,H1200:H1203,B$8),IF(AND(COUNT(H1201:H1212)=4,COUNT(F1201:F1212)=4),cubic_spline(F1200:F1204,H1200:H1204,B$8),IF(AND(COUNT(H1201:H1212)=5,COUNT(F1201:F1212)=5),cubic_spline(F1200:F1205,H1200:H1205,B$8),IF(AND(COUNT(H1201:H1212)=6,COUNT(F1201:F1212)=6),cubic_spline(F1200:F1206,H1200:H1206,B$8),IF(AND(COUNT(H1201:H1212)=7,COUNT(F1201:F1212)=7),cubic_spline(F1200:F1207,H1200:H1207,B$8),IF(AND(COUNT(H1201:H1212)=8,COUNT(F1201:F1212)=8),cubic_spline(F1200:F1208,H1200:H1208,B$8),IF(AND(COUNT(H1201:H1212)=9,COUNT(F1201:F1212)=9),cubic_spline(F1200:F1209,H1200:H1209,B$8),IF(AND(COUNT(H1201:H1212)=10,COUNT(F1201:F1212)=10),cubic_spline(F1200:F1210,H1200:H1210,B$8),IF(AND(COUNT(H1201:H1212)=11,COUNT(F1201:F1212)=11),cubic_spline(F1200:F1211,H1200:H1211,B$8),IF(AND(COUNT(H1201:H1212)=12,COUNT(F1201:F1212)=12),cubic_spline(F1200:F1212,H1200:H1212,B$8),""))))))))))))</f>
        <v/>
      </c>
      <c r="K1207" s="52" t="str">
        <f>IF(N(B$8)=0,"",IF(AND(COUNT(A1201:A1212)=2,COUNT(F1201:F1212)=2),cubic_spline(F1200:F1202,A1200:A1202,B$8),IF(AND(COUNT(A1201:A1212)=3,COUNT(F1201:F1212)=3),cubic_spline(F1200:F1203,A1200:A1203,B$8),IF(AND(COUNT(A1201:A1212)=4,COUNT(F1201:F1212)=4),cubic_spline(F1200:F1204,A1200:A1204,B$8),IF(AND(COUNT(A1201:A1212)=5,COUNT(F1201:F1212)=5),cubic_spline(F1200:F1205,A1200:A1205,B$8),IF(AND(COUNT(A1201:A1212)=6,COUNT(F1201:F1212)=6),cubic_spline(F1200:F1206,A1200:A1206,B$8),IF(AND(COUNT(A1201:A1212)=7,COUNT(F1201:F1212)=7),cubic_spline(F1200:F1207,A1200:A1207,B$8),IF(AND(COUNT(A1201:A1212)=8,COUNT(F1201:F1212)=8),cubic_spline(F1200:F1208,A1200:A1208,B$8),IF(AND(COUNT(A1201:A1212)=9,COUNT(F1201:F1212)=9),cubic_spline(F1200:F1209,A1200:A1209,B$8),IF(AND(COUNT(A1201:A1212)=10,COUNT(F1201:F1212)=10),cubic_spline(F1200:F1210,A1200:A1210,B$8),IF(AND(COUNT(A1201:A1212)=11,COUNT(F1201:F1212)=11),cubic_spline(F1200:F1211,A1200:A1211,B$8),IF(AND(COUNT(A1201:A1212)=12,COUNT(F1201:F1212)=12),cubic_spline(F1200:F1212,A1200:A1212,B$8),""))))))))))))</f>
        <v/>
      </c>
      <c r="L1207" s="27" t="str">
        <f>IF(I1207="","",B$7&amp;"-"&amp;B$8)</f>
        <v/>
      </c>
      <c r="M1207" s="52" t="str">
        <f t="shared" si="460"/>
        <v/>
      </c>
    </row>
    <row r="1208" spans="1:13" x14ac:dyDescent="0.35">
      <c r="A1208" s="48"/>
      <c r="B1208" s="48"/>
      <c r="C1208" s="50"/>
      <c r="D1208" s="50"/>
      <c r="E1208" s="51" t="str">
        <f t="shared" si="458"/>
        <v/>
      </c>
      <c r="F1208" s="71" t="str">
        <f t="shared" si="456"/>
        <v/>
      </c>
      <c r="G1208" s="69" t="str">
        <f t="shared" si="459"/>
        <v/>
      </c>
      <c r="H1208" s="70" t="str">
        <f t="shared" si="457"/>
        <v/>
      </c>
      <c r="I1208" s="27" t="str">
        <f>IF(N(J1208)=0,"",0&amp;"-"&amp;B$9)</f>
        <v/>
      </c>
      <c r="J1208" s="52" t="str">
        <f>IF(N(B$9)=0,"",IF(AND(COUNT(H1201:H1212)=2,COUNT(F1201:F1212)=2),cubic_spline(F1200:F1202,H1200:H1202,B$9),IF(AND(COUNT(H1201:H1212)=3,COUNT(F1201:F1212)=3),cubic_spline(F1200:F1203,H1200:H1203,B$9),IF(AND(COUNT(H1201:H1212)=4,COUNT(F1201:F1212)=4),cubic_spline(F1200:F1204,H1200:H1204,B$9),IF(AND(COUNT(H1201:H1212)=5,COUNT(F1201:F1212)=5),cubic_spline(F1200:F1205,H1200:H1205,B$9),IF(AND(COUNT(H1201:H1212)=6,COUNT(F1201:F1212)=6),cubic_spline(F1200:F1206,H1200:H1206,B$9),IF(AND(COUNT(H1201:H1212)=7,COUNT(F1201:F1212)=7),cubic_spline(F1200:F1207,H1200:H1207,B$9),IF(AND(COUNT(H1201:H1212)=8,COUNT(F1201:F1212)=8),cubic_spline(F1200:F1208,H1200:H1208,B$9),IF(AND(COUNT(H1201:H1212)=9,COUNT(F1201:F1212)=9),cubic_spline(F1200:F1209,H1200:H1209,B$9),IF(AND(COUNT(H1201:H1212)=10,COUNT(F1201:F1212)=10),cubic_spline(F1200:F1210,H1200:H1210,B$9),IF(AND(COUNT(H1201:H1212)=11,COUNT(F1201:F1212)=11),cubic_spline(F1200:F1211,H1200:H1211,B$9),IF(AND(COUNT(H1201:H1212)=12,COUNT(F1201:F1212)=12),cubic_spline(F1200:F1212,H1200:H1212,B$9),""))))))))))))</f>
        <v/>
      </c>
      <c r="K1208" s="52" t="str">
        <f>IF(N(B$9)=0,"",IF(AND(COUNT(A1201:A1212)=2,COUNT(F1201:F1212)=2),cubic_spline(F1200:F1202,A1200:A1202,B$9),IF(AND(COUNT(A1201:A1212)=3,COUNT(F1201:F1212)=3),cubic_spline(F1200:F1203,A1200:A1203,B$9),IF(AND(COUNT(A1201:A1212)=4,COUNT(F1201:F1212)=4),cubic_spline(F1200:F1204,A1200:A1204,B$9),IF(AND(COUNT(A1201:A1212)=5,COUNT(F1201:F1212)=5),cubic_spline(F1200:F1205,A1200:A1205,B$9),IF(AND(COUNT(A1201:A1212)=6,COUNT(F1201:F1212)=6),cubic_spline(F1200:F1206,A1200:A1206,B$9),IF(AND(COUNT(A1201:A1212)=7,COUNT(F1201:F1212)=7),cubic_spline(F1200:F1207,A1200:A1207,B$9),IF(AND(COUNT(A1201:A1212)=8,COUNT(F1201:F1212)=8),cubic_spline(F1200:F1208,A1200:A1208,B$9),IF(AND(COUNT(A1201:A1212)=9,COUNT(F1201:F1212)=9),cubic_spline(F1200:F1209,A1200:A1209,B$9),IF(AND(COUNT(A1201:A1212)=10,COUNT(F1201:F1212)=10),cubic_spline(F1200:F1210,A1200:A1210,B$9),IF(AND(COUNT(A1201:A1212)=11,COUNT(F1201:F1212)=11),cubic_spline(F1200:F1211,A1200:A1211,B$9),IF(AND(COUNT(A1201:A1212)=12,COUNT(F1201:F1212)=12),cubic_spline(F1200:F1212,A1200:A1212,B$9),""))))))))))))</f>
        <v/>
      </c>
      <c r="L1208" s="27" t="str">
        <f>IF(I1208="","",B$8&amp;"-"&amp;B$9)</f>
        <v/>
      </c>
      <c r="M1208" s="52" t="str">
        <f t="shared" si="460"/>
        <v/>
      </c>
    </row>
    <row r="1209" spans="1:13" x14ac:dyDescent="0.35">
      <c r="A1209" s="48"/>
      <c r="B1209" s="48"/>
      <c r="C1209" s="50"/>
      <c r="D1209" s="50"/>
      <c r="E1209" s="51" t="str">
        <f t="shared" si="458"/>
        <v/>
      </c>
      <c r="F1209" s="71" t="str">
        <f t="shared" si="456"/>
        <v/>
      </c>
      <c r="G1209" s="69" t="str">
        <f t="shared" si="459"/>
        <v/>
      </c>
      <c r="H1209" s="70" t="str">
        <f t="shared" si="457"/>
        <v/>
      </c>
      <c r="I1209" s="27" t="str">
        <f>IF(N(J1209)=0,"",0&amp;"-"&amp;B$10)</f>
        <v/>
      </c>
      <c r="J1209" s="52" t="str">
        <f>IF(N(B$10)=0,"",IF(AND(COUNT(H1201:H1212)=2,COUNT(F1201:F1212)=2),cubic_spline(F1200:F1202,H1200:H1202,B$10),IF(AND(COUNT(H1201:H1212)=3,COUNT(F1201:F1212)=3),cubic_spline(F1200:F1203,H1200:H1203,B$10),IF(AND(COUNT(H1201:H1212)=4,COUNT(F1201:F1212)=4),cubic_spline(F1200:F1204,H1200:H1204,B$10),IF(AND(COUNT(H1201:H1212)=5,COUNT(F1201:F1212)=5),cubic_spline(F1200:F1205,H1200:H1205,B$10),IF(AND(COUNT(H1201:H1212)=6,COUNT(F1201:F1212)=6),cubic_spline(F1200:F1206,H1200:H1206,B$10),IF(AND(COUNT(H1201:H1212)=7,COUNT(F1201:F1212)=7),cubic_spline(F1200:F1207,H1200:H1207,B$10),IF(AND(COUNT(H1201:H1212)=8,COUNT(F1201:F1212)=8),cubic_spline(F1200:F1208,H1200:H1208,B$10),IF(AND(COUNT(H1201:H1212)=9,COUNT(F1201:F1212)=9),cubic_spline(F1200:F1209,H1200:H1209,B$10),IF(AND(COUNT(H1201:H1212)=10,COUNT(F1201:F1212)=10),cubic_spline(F1200:F1210,H1200:H1210,B$10),IF(AND(COUNT(H1201:H1212)=11,COUNT(F1201:F1212)=11),cubic_spline(F1200:F1211,H1200:H1211,B$10),IF(AND(COUNT(H1201:H1212)=12,COUNT(F1201:F1212)=12),cubic_spline(F1200:F1212,H1200:H1212,B$10),""))))))))))))</f>
        <v/>
      </c>
      <c r="K1209" s="52" t="str">
        <f>IF(N(B$10)=0,"",IF(AND(COUNT(A1201:A1212)=2,COUNT(F1201:F1212)=2),cubic_spline(F1200:F1202,A1200:A1202,B$10),IF(AND(COUNT(A1201:A1212)=3,COUNT(F1201:F1212)=3),cubic_spline(F1200:F1203,A1200:A1203,B$10),IF(AND(COUNT(A1201:A1212)=4,COUNT(F1201:F1212)=4),cubic_spline(F1200:F1204,A1200:A1204,B$10),IF(AND(COUNT(A1201:A1212)=5,COUNT(F1201:F1212)=5),cubic_spline(F1200:F1205,A1200:A1205,B$10),IF(AND(COUNT(A1201:A1212)=6,COUNT(F1201:F1212)=6),cubic_spline(F1200:F1206,A1200:A1206,B$10),IF(AND(COUNT(A1201:A1212)=7,COUNT(F1201:F1212)=7),cubic_spline(F1200:F1207,A1200:A1207,B$10),IF(AND(COUNT(A1201:A1212)=8,COUNT(F1201:F1212)=8),cubic_spline(F1200:F1208,A1200:A1208,B$10),IF(AND(COUNT(A1201:A1212)=9,COUNT(F1201:F1212)=9),cubic_spline(F1200:F1209,A1200:A1209,B$10),IF(AND(COUNT(A1201:A1212)=10,COUNT(F1201:F1212)=10),cubic_spline(F1200:F1210,A1200:A1210,B$10),IF(AND(COUNT(A1201:A1212)=11,COUNT(F1201:F1212)=11),cubic_spline(F1200:F1211,A1200:A1211,B$10),IF(AND(COUNT(A1201:A1212)=12,COUNT(F1201:F1212)=12),cubic_spline(F1200:F1212,A1200:A1212,B$10),""))))))))))))</f>
        <v/>
      </c>
      <c r="L1209" s="27" t="str">
        <f>IF(I1209="","",B$9&amp;"-"&amp;B$10)</f>
        <v/>
      </c>
      <c r="M1209" s="52" t="str">
        <f t="shared" si="460"/>
        <v/>
      </c>
    </row>
    <row r="1210" spans="1:13" x14ac:dyDescent="0.35">
      <c r="A1210" s="48"/>
      <c r="B1210" s="48"/>
      <c r="C1210" s="50"/>
      <c r="D1210" s="50"/>
      <c r="E1210" s="51" t="str">
        <f t="shared" si="458"/>
        <v/>
      </c>
      <c r="F1210" s="71" t="str">
        <f t="shared" si="456"/>
        <v/>
      </c>
      <c r="G1210" s="69" t="str">
        <f t="shared" si="459"/>
        <v/>
      </c>
      <c r="H1210" s="70" t="str">
        <f t="shared" si="457"/>
        <v/>
      </c>
      <c r="I1210" s="27" t="str">
        <f>IF(N(J1210)=0,"",0&amp;"-"&amp;B$11)</f>
        <v/>
      </c>
      <c r="J1210" s="52" t="str">
        <f>IF(N(B$11)=0,"",IF(AND(COUNT(H1201:H1212)=2,COUNT(F1201:F1212)=2),cubic_spline(F1200:F1202,H1200:H1202,B$11),IF(AND(COUNT(H1201:H1212)=3,COUNT(F1201:F1212)=3),cubic_spline(F1200:F1203,H1200:H1203,B$11),IF(AND(COUNT(H1201:H1212)=4,COUNT(F1201:F1212)=4),cubic_spline(F1200:F1204,H1200:H1204,B$11),IF(AND(COUNT(H1201:H1212)=5,COUNT(F1201:F1212)=5),cubic_spline(F1200:F1205,H1200:H1205,B$11),IF(AND(COUNT(H1201:H1212)=6,COUNT(F1201:F1212)=6),cubic_spline(F1200:F1206,H1200:H1206,B$11),IF(AND(COUNT(H1201:H1212)=7,COUNT(F1201:F1212)=7),cubic_spline(F1200:F1207,H1200:H1207,B$11),IF(AND(COUNT(H1201:H1212)=8,COUNT(F1201:F1212)=8),cubic_spline(F1200:F1208,H1200:H1208,B$11),IF(AND(COUNT(H1201:H1212)=9,COUNT(F1201:F1212)=9),cubic_spline(F1200:F1209,H1200:H1209,B$11),IF(AND(COUNT(H1201:H1212)=10,COUNT(F1201:F1212)=10),cubic_spline(F1200:F1210,H1200:H1210,B$11),IF(AND(COUNT(H1201:H1212)=11,COUNT(F1201:F1212)=11),cubic_spline(F1200:F1211,H1200:H1211,B$11),IF(AND(COUNT(H1201:H1212)=12,COUNT(F1201:F1212)=12),cubic_spline(F1200:F1212,H1200:H1212,B$11),""))))))))))))</f>
        <v/>
      </c>
      <c r="K1210" s="52" t="str">
        <f>IF(N(B$11)=0,"",IF(AND(COUNT(A1201:A1212)=2,COUNT(F1201:F1212)=2),cubic_spline(F1200:F1202,A1200:A1202,B$11),IF(AND(COUNT(A1201:A1212)=3,COUNT(F1201:F1212)=3),cubic_spline(F1200:F1203,A1200:A1203,B$11),IF(AND(COUNT(A1201:A1212)=4,COUNT(F1201:F1212)=4),cubic_spline(F1200:F1204,A1200:A1204,B$11),IF(AND(COUNT(A1201:A1212)=5,COUNT(F1201:F1212)=5),cubic_spline(F1200:F1205,A1200:A1205,B$11),IF(AND(COUNT(A1201:A1212)=6,COUNT(F1201:F1212)=6),cubic_spline(F1200:F1206,A1200:A1206,B$11),IF(AND(COUNT(A1201:A1212)=7,COUNT(F1201:F1212)=7),cubic_spline(F1200:F1207,A1200:A1207,B$11),IF(AND(COUNT(A1201:A1212)=8,COUNT(F1201:F1212)=8),cubic_spline(F1200:F1208,A1200:A1208,B$11),IF(AND(COUNT(A1201:A1212)=9,COUNT(F1201:F1212)=9),cubic_spline(F1200:F1209,A1200:A1209,B$11),IF(AND(COUNT(A1201:A1212)=10,COUNT(F1201:F1212)=10),cubic_spline(F1200:F1210,A1200:A1210,B$11),IF(AND(COUNT(A1201:A1212)=11,COUNT(F1201:F1212)=11),cubic_spline(F1200:F1211,A1200:A1211,B$11),IF(AND(COUNT(A1201:A1212)=12,COUNT(F1201:F1212)=12),cubic_spline(F1200:F1212,A1200:A1212,B$11),""))))))))))))</f>
        <v/>
      </c>
      <c r="L1210" s="27" t="str">
        <f>IF(I1210="","",B$10&amp;"-"&amp;B$11)</f>
        <v/>
      </c>
      <c r="M1210" s="52" t="str">
        <f t="shared" si="460"/>
        <v/>
      </c>
    </row>
    <row r="1211" spans="1:13" x14ac:dyDescent="0.35">
      <c r="A1211" s="48"/>
      <c r="B1211" s="48"/>
      <c r="C1211" s="50"/>
      <c r="D1211" s="50"/>
      <c r="E1211" s="51" t="str">
        <f t="shared" si="458"/>
        <v/>
      </c>
      <c r="F1211" s="71" t="str">
        <f t="shared" si="456"/>
        <v/>
      </c>
      <c r="G1211" s="69" t="str">
        <f t="shared" si="459"/>
        <v/>
      </c>
      <c r="H1211" s="70" t="str">
        <f t="shared" si="457"/>
        <v/>
      </c>
      <c r="I1211" s="27" t="str">
        <f>IF(N(J1211)=0,"",0&amp;"-"&amp;B$12)</f>
        <v/>
      </c>
      <c r="J1211" s="52" t="str">
        <f>IF(N(B$12)=0,"",IF(AND(COUNT(H1201:H1212)=2,COUNT(F1201:F1212)=2),cubic_spline(F1200:F1202,H1200:H1202,B$12),IF(AND(COUNT(H1201:H1212)=3,COUNT(F1201:F1212)=3),cubic_spline(F1200:F1203,H1200:H1203,B$12),IF(AND(COUNT(H1201:H1212)=4,COUNT(F1201:F1212)=4),cubic_spline(F1200:F1204,H1200:H1204,B$12),IF(AND(COUNT(H1201:H1212)=5,COUNT(F1201:F1212)=5),cubic_spline(F1200:F1205,H1200:H1205,B$12),IF(AND(COUNT(H1201:H1212)=6,COUNT(F1201:F1212)=6),cubic_spline(F1200:F1206,H1200:H1206,B$12),IF(AND(COUNT(H1201:H1212)=7,COUNT(F1201:F1212)=7),cubic_spline(F1200:F1207,H1200:H1207,B$12),IF(AND(COUNT(H1201:H1212)=8,COUNT(F1201:F1212)=8),cubic_spline(F1200:F1208,H1200:H1208,B$12),IF(AND(COUNT(H1201:H1212)=9,COUNT(F1201:F1212)=9),cubic_spline(F1200:F1209,H1200:H1209,B$12),IF(AND(COUNT(H1201:H1212)=10,COUNT(F1201:F1212)=10),cubic_spline(F1200:F1210,H1200:H1210,B$12),IF(AND(COUNT(H1201:H1212)=11,COUNT(F1201:F1212)=11),cubic_spline(F1200:F1211,H1200:H1211,B$12),IF(AND(COUNT(H1201:H1212)=12,COUNT(F1201:F1212)=12),cubic_spline(F1200:F1212,H1200:H1212,B$12),""))))))))))))</f>
        <v/>
      </c>
      <c r="K1211" s="52" t="str">
        <f>IF(N(B$12)=0,"",IF(AND(COUNT(A1201:A1212)=2,COUNT(F1201:F1212)=2),cubic_spline(F1200:F1202,A1200:A1202,B$12),IF(AND(COUNT(A1201:A1212)=3,COUNT(F1201:F1212)=3),cubic_spline(F1200:F1203,A1200:A1203,B$12),IF(AND(COUNT(A1201:A1212)=4,COUNT(F1201:F1212)=4),cubic_spline(F1200:F1204,A1200:A1204,B$12),IF(AND(COUNT(A1201:A1212)=5,COUNT(F1201:F1212)=5),cubic_spline(F1200:F1205,A1200:A1205,B$12),IF(AND(COUNT(A1201:A1212)=6,COUNT(F1201:F1212)=6),cubic_spline(F1200:F1206,A1200:A1206,B$12),IF(AND(COUNT(A1201:A1212)=7,COUNT(F1201:F1212)=7),cubic_spline(F1200:F1207,A1200:A1207,B$12),IF(AND(COUNT(A1201:A1212)=8,COUNT(F1201:F1212)=8),cubic_spline(F1200:F1208,A1200:A1208,B$12),IF(AND(COUNT(A1201:A1212)=9,COUNT(F1201:F1212)=9),cubic_spline(F1200:F1209,A1200:A1209,B$12),IF(AND(COUNT(A1201:A1212)=10,COUNT(F1201:F1212)=10),cubic_spline(F1200:F1210,A1200:A1210,B$12),IF(AND(COUNT(A1201:A1212)=11,COUNT(F1201:F1212)=11),cubic_spline(F1200:F1211,A1200:A1211,B$12),IF(AND(COUNT(A1201:A1212)=12,COUNT(F1201:F1212)=12),cubic_spline(F1200:F1212,A1200:A1212,B$12),""))))))))))))</f>
        <v/>
      </c>
      <c r="L1211" s="27" t="str">
        <f>IF(I1211="","",B$11&amp;"-"&amp;B$12)</f>
        <v/>
      </c>
      <c r="M1211" s="52" t="str">
        <f t="shared" si="460"/>
        <v/>
      </c>
    </row>
    <row r="1212" spans="1:13" x14ac:dyDescent="0.35">
      <c r="A1212" s="48"/>
      <c r="B1212" s="48"/>
      <c r="C1212" s="50"/>
      <c r="D1212" s="50"/>
      <c r="E1212" s="51" t="str">
        <f t="shared" si="458"/>
        <v/>
      </c>
      <c r="F1212" s="71" t="str">
        <f t="shared" si="456"/>
        <v/>
      </c>
      <c r="G1212" s="69" t="str">
        <f t="shared" si="459"/>
        <v/>
      </c>
      <c r="H1212" s="70" t="str">
        <f t="shared" si="457"/>
        <v/>
      </c>
      <c r="I1212" s="27" t="str">
        <f>IF(N(J1212)=0,"",0&amp;"-"&amp;B$13)</f>
        <v/>
      </c>
      <c r="J1212" s="52" t="str">
        <f>IF(N(B$13)=0,"",IF(AND(COUNT(H1201:H1212)=2,COUNT(F1201:F1212)=2),cubic_spline(F1200:F1202,H1200:H1202,B$13),IF(AND(COUNT(H1201:H1212)=3,COUNT(F1201:F1212)=3),cubic_spline(F1200:F1203,H1200:H1203,B$13),IF(AND(COUNT(H1201:H1212)=4,COUNT(F1201:F1212)=4),cubic_spline(F1200:F1204,H1200:H1204,B$13),IF(AND(COUNT(H1201:H1212)=5,COUNT(F1201:F1212)=5),cubic_spline(F1200:F1205,H1200:H1205,B$13),IF(AND(COUNT(H1201:H1212)=6,COUNT(F1201:F1212)=6),cubic_spline(F1200:F1206,H1200:H1206,B$13),IF(AND(COUNT(H1201:H1212)=7,COUNT(F1201:F1212)=7),cubic_spline(F1200:F1207,H1200:H1207,B$13),IF(AND(COUNT(H1201:H1212)=8,COUNT(F1201:F1212)=8),cubic_spline(F1200:F1208,H1200:H1208,B$13),IF(AND(COUNT(H1201:H1212)=9,COUNT(F1201:F1212)=9),cubic_spline(F1200:F1209,H1200:H1209,B$13),IF(AND(COUNT(H1201:H1212)=10,COUNT(F1201:F1212)=10),cubic_spline(F1200:F1210,H1200:H1210,B$13),IF(AND(COUNT(H1201:H1212)=11,COUNT(F1201:F1212)=11),cubic_spline(F1200:F1211,H1200:H1211,B$13),IF(AND(COUNT(H1201:H1212)=12,COUNT(F1201:F1212)=12),cubic_spline(F1200:F1212,H1200:H1212,B$13),""))))))))))))</f>
        <v/>
      </c>
      <c r="K1212" s="52" t="str">
        <f>IF(N(B$13)=0,"",IF(AND(COUNT(A1201:A1212)=2,COUNT(F1201:F1212)=2),cubic_spline(F1200:F1202,A1200:A1202,B$13),IF(AND(COUNT(A1201:A1212)=3,COUNT(F1201:F1212)=3),cubic_spline(F1200:F1203,A1200:A1203,B$13),IF(AND(COUNT(A1201:A1212)=4,COUNT(F1201:F1212)=4),cubic_spline(F1200:F1204,A1200:A1204,B$13),IF(AND(COUNT(A1201:A1212)=5,COUNT(F1201:F1212)=5),cubic_spline(F1200:F1205,A1200:A1205,B$13),IF(AND(COUNT(A1201:A1212)=6,COUNT(F1201:F1212)=6),cubic_spline(F1200:F1206,A1200:A1206,B$13),IF(AND(COUNT(A1201:A1212)=7,COUNT(F1201:F1212)=7),cubic_spline(F1200:F1207,A1200:A1207,B$13),IF(AND(COUNT(A1201:A1212)=8,COUNT(F1201:F1212)=8),cubic_spline(F1200:F1208,A1200:A1208,B$13),IF(AND(COUNT(A1201:A1212)=9,COUNT(F1201:F1212)=9),cubic_spline(F1200:F1209,A1200:A1209,B$13),IF(AND(COUNT(A1201:A1212)=10,COUNT(F1201:F1212)=10),cubic_spline(F1200:F1210,A1200:A1210,B$13),IF(AND(COUNT(A1201:A1212)=11,COUNT(F1201:F1212)=11),cubic_spline(F1200:F1211,A1200:A1211,B$13),IF(AND(COUNT(A1201:A1212)=12,COUNT(F1201:F1212)=12),cubic_spline(F1200:F1212,A1200:A1212,B$13),""))))))))))))</f>
        <v/>
      </c>
      <c r="L1212" s="27" t="str">
        <f>IF(I1212="","",B$12&amp;"-"&amp;B$13)</f>
        <v/>
      </c>
      <c r="M1212" s="52" t="str">
        <f t="shared" si="460"/>
        <v/>
      </c>
    </row>
    <row r="1213" spans="1:13" ht="5.15" customHeight="1" x14ac:dyDescent="0.35">
      <c r="A1213" s="47"/>
      <c r="B1213" s="47"/>
      <c r="C1213" s="53"/>
      <c r="D1213" s="53"/>
      <c r="E1213" s="54"/>
      <c r="F1213" s="55"/>
      <c r="G1213" s="72"/>
      <c r="H1213" s="73"/>
      <c r="I1213" s="47"/>
      <c r="J1213" s="57"/>
      <c r="K1213" s="57"/>
      <c r="L1213" s="55"/>
      <c r="M1213" s="57"/>
    </row>
    <row r="1214" spans="1:13" x14ac:dyDescent="0.35">
      <c r="A1214" s="48"/>
      <c r="B1214" s="48"/>
      <c r="C1214" s="50"/>
      <c r="D1214" s="50"/>
      <c r="E1214" s="51" t="str">
        <f>IF(N(C1214)=0,"",(A1214-A1213)*C1214*100)</f>
        <v/>
      </c>
      <c r="F1214" s="68" t="str">
        <f t="shared" ref="F1214:F1225" si="461">IF(N(E1214)=0,"",(N(E1214)+N(F1213)))</f>
        <v/>
      </c>
      <c r="G1214" s="69" t="str">
        <f>IF(OR(N(D1214)=0,N(E1214)=0),"",(E1214*D1214)/1000)</f>
        <v/>
      </c>
      <c r="H1214" s="70" t="str">
        <f t="shared" ref="H1214:H1225" si="462">IF(N(G1214)=0,"",(N(G1214)+N(H1213)))</f>
        <v/>
      </c>
      <c r="I1214" s="27" t="str">
        <f>IF(N(J1214)=0,"",0&amp;"-"&amp;B$2)</f>
        <v/>
      </c>
      <c r="J1214" s="52" t="str">
        <f>IF(N(B$2)=0,"",IF(AND(COUNT(H1214:H1225)=2,COUNT(F1214:F1225)=2),cubic_spline(F1213:F1215,H1213:H1215,B$2),IF(AND(COUNT(H1214:H1225)=3,COUNT(F1214:F1225)=3),cubic_spline(F1213:F1216,H1213:H1216,B$2),IF(AND(COUNT(H1214:H1225)=4,COUNT(F1214:F1225)=4),cubic_spline(F1213:F1217,H1213:H1217,B$2),IF(AND(COUNT(H1214:H1225)=5,COUNT(F1214:F1225)=5),cubic_spline(F1213:F1218,H1213:H1218,B$2),IF(AND(COUNT(H1214:H1225)=6,COUNT(F1214:F1225)=6),cubic_spline(F1213:F1219,H1213:H1219,B$2),IF(AND(COUNT(H1214:H1225)=7,COUNT(F1214:F1225)=7),cubic_spline(F1213:F1220,H1213:H1220,B$2),IF(AND(COUNT(H1214:H1225)=8,COUNT(F1214:F1225)=8),cubic_spline(F1213:F1221,H1213:H1221,B$2),IF(AND(COUNT(H1214:H1225)=9,COUNT(F1214:F1225)=9),cubic_spline(F1213:F1222,H1213:H1222,B$2),IF(AND(COUNT(H1214:H1225)=10,COUNT(F1214:F1225)=10),cubic_spline(F1213:F1223,H1213:H1223,B$2),IF(AND(COUNT(H1214:H1225)=11,COUNT(F1214:F1225)=11),cubic_spline(F1213:F1224,H1213:H1224,B$2),IF(AND(COUNT(H1214:H1225)=12,COUNT(F1214:F1225)=12),cubic_spline(F1213:F1225,H1213:H1225,B$2),""))))))))))))</f>
        <v/>
      </c>
      <c r="K1214" s="52" t="str">
        <f>IF(N(B$2)=0,"",IF(AND(COUNT(A1214:A1225)=2,COUNT(F1214:F1225)=2),cubic_spline(F1213:F1215,A1213:A1215,B$2),IF(AND(COUNT(A1214:A1225)=3,COUNT(F1214:F1225)=3),cubic_spline(F1213:F1216,A1213:A1216,B$2),IF(AND(COUNT(A1214:A1225)=4,COUNT(F1214:F1225)=4),cubic_spline(F1213:F1217,A1213:A1217,B$2),IF(AND(COUNT(A1214:A1225)=5,COUNT(F1214:F1225)=5),cubic_spline(F1213:F1218,A1213:A1218,B$2),IF(AND(COUNT(A1214:A1225)=6,COUNT(F1214:F1225)=6),cubic_spline(F1213:F1219,A1213:A1219,B$2),IF(AND(COUNT(A1214:A1225)=7,COUNT(F1214:F1225)=7),cubic_spline(F1213:F1220,A1213:A1220,B$2),IF(AND(COUNT(A1214:A1225)=8,COUNT(F1214:F1225)=8),cubic_spline(F1213:F1221,A1213:A1221,B$2),IF(AND(COUNT(A1214:A1225)=9,COUNT(F1214:F1225)=9),cubic_spline(F1213:F1222,A1213:A1222,B$2),IF(AND(COUNT(A1214:A1225)=10,COUNT(F1214:F1225)=10),cubic_spline(F1213:F1223,A1213:A1223,B$2),IF(AND(COUNT(A1214:A1225)=11,COUNT(F1214:F1225)=11),cubic_spline(F1213:F1224,A1213:A1224,B$2),IF(AND(COUNT(A1214:A1225)=12,COUNT(F1214:F1225)=12),cubic_spline(F1213:F1225,A1213:A1225,B$2),""))))))))))))</f>
        <v/>
      </c>
      <c r="L1214" s="27" t="str">
        <f>IF(I1214="","",0&amp;"-"&amp;B$2)</f>
        <v/>
      </c>
      <c r="M1214" s="52" t="str">
        <f>IF(N(J1214)=0,"",J1214-J1213)</f>
        <v/>
      </c>
    </row>
    <row r="1215" spans="1:13" x14ac:dyDescent="0.35">
      <c r="A1215" s="48"/>
      <c r="B1215" s="48"/>
      <c r="C1215" s="50"/>
      <c r="D1215" s="50"/>
      <c r="E1215" s="51" t="str">
        <f t="shared" ref="E1215:E1225" si="463">IF(N(C1215)=0,"",(A1215-A1214)*C1215*100)</f>
        <v/>
      </c>
      <c r="F1215" s="68" t="str">
        <f t="shared" si="461"/>
        <v/>
      </c>
      <c r="G1215" s="69" t="str">
        <f t="shared" ref="G1215:G1225" si="464">IF(OR(N(D1215)=0,N(E1215)=0),"",(E1215*D1215)/1000)</f>
        <v/>
      </c>
      <c r="H1215" s="70" t="str">
        <f t="shared" si="462"/>
        <v/>
      </c>
      <c r="I1215" s="27" t="str">
        <f>IF(N(J1215)=0,"",0&amp;"-"&amp;B$3)</f>
        <v/>
      </c>
      <c r="J1215" s="52" t="str">
        <f>IF(N(B$3)=0,"",IF(AND(COUNT(H1214:H1225)=2,COUNT(F1214:F1225)=2),cubic_spline(F1213:F1215,H1213:H1215,B$3),IF(AND(COUNT(H1214:H1225)=3,COUNT(F1214:F1225)=3),cubic_spline(F1213:F1216,H1213:H1216,B$3),IF(AND(COUNT(H1214:H1225)=4,COUNT(F1214:F1225)=4),cubic_spline(F1213:F1217,H1213:H1217,B$3),IF(AND(COUNT(H1214:H1225)=5,COUNT(F1214:F1225)=5),cubic_spline(F1213:F1218,H1213:H1218,B$3),IF(AND(COUNT(H1214:H1225)=6,COUNT(F1214:F1225)=6),cubic_spline(F1213:F1219,H1213:H1219,B$3),IF(AND(COUNT(H1214:H1225)=7,COUNT(F1214:F1225)=7),cubic_spline(F1213:F1220,H1213:H1220,B$3),IF(AND(COUNT(H1214:H1225)=8,COUNT(F1214:F1225)=8),cubic_spline(F1213:F1221,H1213:H1221,B$3),IF(AND(COUNT(H1214:H1225)=9,COUNT(F1214:F1225)=9),cubic_spline(F1213:F1222,H1213:H1222,B$3),IF(AND(COUNT(H1214:H1225)=10,COUNT(F1214:F1225)=10),cubic_spline(F1213:F1223,H1213:H1223,B$3),IF(AND(COUNT(H1214:H1225)=11,COUNT(F1214:F1225)=11),cubic_spline(F1213:F1224,H1213:H1224,B$3),IF(AND(COUNT(H1214:H1225)=12,COUNT(F1214:F1225)=12),cubic_spline(F1213:F1225,H1213:H1225,B$3),""))))))))))))</f>
        <v/>
      </c>
      <c r="K1215" s="52" t="str">
        <f>IF(N(B$3)=0,"",IF(AND(COUNT(A1214:A1225)=2,COUNT(F1214:F1225)=2),cubic_spline(F1213:F1215,A1213:A1215,B$3),IF(AND(COUNT(A1214:A1225)=3,COUNT(F1214:F1225)=3),cubic_spline(F1213:F1216,A1213:A1216,B$3),IF(AND(COUNT(A1214:A1225)=4,COUNT(F1214:F1225)=4),cubic_spline(F1213:F1217,A1213:A1217,B$3),IF(AND(COUNT(A1214:A1225)=5,COUNT(F1214:F1225)=5),cubic_spline(F1213:F1218,A1213:A1218,B$3),IF(AND(COUNT(A1214:A1225)=6,COUNT(F1214:F1225)=6),cubic_spline(F1213:F1219,A1213:A1219,B$3),IF(AND(COUNT(A1214:A1225)=7,COUNT(F1214:F1225)=7),cubic_spline(F1213:F1220,A1213:A1220,B$3),IF(AND(COUNT(A1214:A1225)=8,COUNT(F1214:F1225)=8),cubic_spline(F1213:F1221,A1213:A1221,B$3),IF(AND(COUNT(A1214:A1225)=9,COUNT(F1214:F1225)=9),cubic_spline(F1213:F1222,A1213:A1222,B$3),IF(AND(COUNT(A1214:A1225)=10,COUNT(F1214:F1225)=10),cubic_spline(F1213:F1223,A1213:A1223,B$3),IF(AND(COUNT(A1214:A1225)=11,COUNT(F1214:F1225)=11),cubic_spline(F1213:F1224,A1213:A1224,B$3),IF(AND(COUNT(A1214:A1225)=12,COUNT(F1214:F1225)=12),cubic_spline(F1213:F1225,A1213:A1225,B$3),""))))))))))))</f>
        <v/>
      </c>
      <c r="L1215" s="27" t="str">
        <f>IF(I1215="","",B$2&amp;"-"&amp;B$3)</f>
        <v/>
      </c>
      <c r="M1215" s="52" t="str">
        <f>IF(N(J1215)=0,"",J1215-J1214)</f>
        <v/>
      </c>
    </row>
    <row r="1216" spans="1:13" x14ac:dyDescent="0.35">
      <c r="A1216" s="48"/>
      <c r="B1216" s="48"/>
      <c r="C1216" s="50"/>
      <c r="D1216" s="50"/>
      <c r="E1216" s="51" t="str">
        <f t="shared" si="463"/>
        <v/>
      </c>
      <c r="F1216" s="68" t="str">
        <f t="shared" si="461"/>
        <v/>
      </c>
      <c r="G1216" s="69" t="str">
        <f t="shared" si="464"/>
        <v/>
      </c>
      <c r="H1216" s="70" t="str">
        <f t="shared" si="462"/>
        <v/>
      </c>
      <c r="I1216" s="27" t="str">
        <f>IF(N(J1216)=0,"",0&amp;"-"&amp;B$4)</f>
        <v/>
      </c>
      <c r="J1216" s="52" t="str">
        <f>IF(N(B$4)=0,"",IF(AND(COUNT(H1214:H1225)=2,COUNT(F1214:F1225)=2),cubic_spline(F1213:F1215,H1213:H1215,B$4),IF(AND(COUNT(H1214:H1225)=3,COUNT(F1214:F1225)=3),cubic_spline(F1213:F1216,H1213:H1216,B$4),IF(AND(COUNT(H1214:H1225)=4,COUNT(F1214:F1225)=4),cubic_spline(F1213:F1217,H1213:H1217,B$4),IF(AND(COUNT(H1214:H1225)=5,COUNT(F1214:F1225)=5),cubic_spline(F1213:F1218,H1213:H1218,B$4),IF(AND(COUNT(H1214:H1225)=6,COUNT(F1214:F1225)=6),cubic_spline(F1213:F1219,H1213:H1219,B$4),IF(AND(COUNT(H1214:H1225)=7,COUNT(F1214:F1225)=7),cubic_spline(F1213:F1220,H1213:H1220,B$4),IF(AND(COUNT(H1214:H1225)=8,COUNT(F1214:F1225)=8),cubic_spline(F1213:F1221,H1213:H1221,B$4),IF(AND(COUNT(H1214:H1225)=9,COUNT(F1214:F1225)=9),cubic_spline(F1213:F1222,H1213:H1222,B$4),IF(AND(COUNT(H1214:H1225)=10,COUNT(F1214:F1225)=10),cubic_spline(F1213:F1223,H1213:H1223,B$4),IF(AND(COUNT(H1214:H1225)=11,COUNT(F1214:F1225)=11),cubic_spline(F1213:F1224,H1213:H1224,B$4),IF(AND(COUNT(H1214:H1225)=12,COUNT(F1214:F1225)=12),cubic_spline(F1213:F1225,H1213:H1225,B$4),""))))))))))))</f>
        <v/>
      </c>
      <c r="K1216" s="52" t="str">
        <f>IF(N(B$4)=0,"",IF(AND(COUNT(A1214:A1225)=2,COUNT(F1214:F1225)=2),cubic_spline(F1213:F1215,A1213:A1215,B$4),IF(AND(COUNT(A1214:A1225)=3,COUNT(F1214:F1225)=3),cubic_spline(F1213:F1216,A1213:A1216,B$4),IF(AND(COUNT(A1214:A1225)=4,COUNT(F1214:F1225)=4),cubic_spline(F1213:F1217,A1213:A1217,B$4),IF(AND(COUNT(A1214:A1225)=5,COUNT(F1214:F1225)=5),cubic_spline(F1213:F1218,A1213:A1218,B$4),IF(AND(COUNT(A1214:A1225)=6,COUNT(F1214:F1225)=6),cubic_spline(F1213:F1219,A1213:A1219,B$4),IF(AND(COUNT(A1214:A1225)=7,COUNT(F1214:F1225)=7),cubic_spline(F1213:F1220,A1213:A1220,B$4),IF(AND(COUNT(A1214:A1225)=8,COUNT(F1214:F1225)=8),cubic_spline(F1213:F1221,A1213:A1221,B$4),IF(AND(COUNT(A1214:A1225)=9,COUNT(F1214:F1225)=9),cubic_spline(F1213:F1222,A1213:A1222,B$4),IF(AND(COUNT(A1214:A1225)=10,COUNT(F1214:F1225)=10),cubic_spline(F1213:F1223,A1213:A1223,B$4),IF(AND(COUNT(A1214:A1225)=11,COUNT(F1214:F1225)=11),cubic_spline(F1213:F1224,A1213:A1224,B$4),IF(AND(COUNT(A1214:A1225)=12,COUNT(F1214:F1225)=12),cubic_spline(F1213:F1225,A1213:A1225,B$4),""))))))))))))</f>
        <v/>
      </c>
      <c r="L1216" s="27" t="str">
        <f>IF(I1216="","",B$3&amp;"-"&amp;B$4)</f>
        <v/>
      </c>
      <c r="M1216" s="52" t="str">
        <f>IF(N(J1216)=0,"",J1216-J1215)</f>
        <v/>
      </c>
    </row>
    <row r="1217" spans="1:13" x14ac:dyDescent="0.35">
      <c r="A1217" s="48"/>
      <c r="B1217" s="48"/>
      <c r="C1217" s="50"/>
      <c r="D1217" s="50"/>
      <c r="E1217" s="51" t="str">
        <f t="shared" si="463"/>
        <v/>
      </c>
      <c r="F1217" s="68" t="str">
        <f t="shared" si="461"/>
        <v/>
      </c>
      <c r="G1217" s="69" t="str">
        <f t="shared" si="464"/>
        <v/>
      </c>
      <c r="H1217" s="70" t="str">
        <f t="shared" si="462"/>
        <v/>
      </c>
      <c r="I1217" s="27" t="str">
        <f>IF(N(J1217)=0,"",0&amp;"-"&amp;B$5)</f>
        <v/>
      </c>
      <c r="J1217" s="52" t="str">
        <f>IF(N(B$5)=0,"",IF(AND(COUNT(H1214:H1225)=2,COUNT(F1214:F1225)=2),cubic_spline(F1213:F1215,H1213:H1215,B$5),IF(AND(COUNT(H1214:H1225)=3,COUNT(F1214:F1225)=3),cubic_spline(F1213:F1216,H1213:H1216,B$5),IF(AND(COUNT(H1214:H1225)=4,COUNT(F1214:F1225)=4),cubic_spline(F1213:F1217,H1213:H1217,B$5),IF(AND(COUNT(H1214:H1225)=5,COUNT(F1214:F1225)=5),cubic_spline(F1213:F1218,H1213:H1218,B$5),IF(AND(COUNT(H1214:H1225)=6,COUNT(F1214:F1225)=6),cubic_spline(F1213:F1219,H1213:H1219,B$5),IF(AND(COUNT(H1214:H1225)=7,COUNT(F1214:F1225)=7),cubic_spline(F1213:F1220,H1213:H1220,B$5),IF(AND(COUNT(H1214:H1225)=8,COUNT(F1214:F1225)=8),cubic_spline(F1213:F1221,H1213:H1221,B$5),IF(AND(COUNT(H1214:H1225)=9,COUNT(F1214:F1225)=9),cubic_spline(F1213:F1222,H1213:H1222,B$5),IF(AND(COUNT(H1214:H1225)=10,COUNT(F1214:F1225)=10),cubic_spline(F1213:F1223,H1213:H1223,B$5),IF(AND(COUNT(H1214:H1225)=11,COUNT(F1214:F1225)=11),cubic_spline(F1213:F1224,H1213:H1224,B$5),IF(AND(COUNT(H1214:H1225)=12,COUNT(F1214:F1225)=12),cubic_spline(F1213:F1225,H1213:H1225,B$5),""))))))))))))</f>
        <v/>
      </c>
      <c r="K1217" s="52" t="str">
        <f>IF(N(B$5)=0,"",IF(AND(COUNT(A1214:A1225)=2,COUNT(F1214:F1225)=2),cubic_spline(F1213:F1215,A1213:A1215,B$5),IF(AND(COUNT(A1214:A1225)=3,COUNT(F1214:F1225)=3),cubic_spline(F1213:F1216,A1213:A1216,B$5),IF(AND(COUNT(A1214:A1225)=4,COUNT(F1214:F1225)=4),cubic_spline(F1213:F1217,A1213:A1217,B$5),IF(AND(COUNT(A1214:A1225)=5,COUNT(F1214:F1225)=5),cubic_spline(F1213:F1218,A1213:A1218,B$5),IF(AND(COUNT(A1214:A1225)=6,COUNT(F1214:F1225)=6),cubic_spline(F1213:F1219,A1213:A1219,B$5),IF(AND(COUNT(A1214:A1225)=7,COUNT(F1214:F1225)=7),cubic_spline(F1213:F1220,A1213:A1220,B$5),IF(AND(COUNT(A1214:A1225)=8,COUNT(F1214:F1225)=8),cubic_spline(F1213:F1221,A1213:A1221,B$5),IF(AND(COUNT(A1214:A1225)=9,COUNT(F1214:F1225)=9),cubic_spline(F1213:F1222,A1213:A1222,B$5),IF(AND(COUNT(A1214:A1225)=10,COUNT(F1214:F1225)=10),cubic_spline(F1213:F1223,A1213:A1223,B$5),IF(AND(COUNT(A1214:A1225)=11,COUNT(F1214:F1225)=11),cubic_spline(F1213:F1224,A1213:A1224,B$5),IF(AND(COUNT(A1214:A1225)=12,COUNT(F1214:F1225)=12),cubic_spline(F1213:F1225,A1213:A1225,B$5),""))))))))))))</f>
        <v/>
      </c>
      <c r="L1217" s="27" t="str">
        <f>IF(I1217="","",B$4&amp;"-"&amp;B$5)</f>
        <v/>
      </c>
      <c r="M1217" s="52" t="str">
        <f>IF(N(J1217)=0,"",J1217-J1216)</f>
        <v/>
      </c>
    </row>
    <row r="1218" spans="1:13" x14ac:dyDescent="0.35">
      <c r="A1218" s="48"/>
      <c r="B1218" s="48"/>
      <c r="C1218" s="50"/>
      <c r="D1218" s="50"/>
      <c r="E1218" s="51" t="str">
        <f t="shared" si="463"/>
        <v/>
      </c>
      <c r="F1218" s="71" t="str">
        <f t="shared" si="461"/>
        <v/>
      </c>
      <c r="G1218" s="69" t="str">
        <f t="shared" si="464"/>
        <v/>
      </c>
      <c r="H1218" s="70" t="str">
        <f t="shared" si="462"/>
        <v/>
      </c>
      <c r="I1218" s="27" t="str">
        <f>IF(N(J1218)=0,"",0&amp;"-"&amp;B$6)</f>
        <v/>
      </c>
      <c r="J1218" s="52" t="str">
        <f>IF(N(B$6)=0,"",IF(AND(COUNT(H1214:H1225)=2,COUNT(F1214:F1225)=2),cubic_spline(F1213:F1215,H1213:H1215,B$6),IF(AND(COUNT(H1214:H1225)=3,COUNT(F1214:F1225)=3),cubic_spline(F1213:F1216,H1213:H1216,B$6),IF(AND(COUNT(H1214:H1225)=4,COUNT(F1214:F1225)=4),cubic_spline(F1213:F1217,H1213:H1217,B$6),IF(AND(COUNT(H1214:H1225)=5,COUNT(F1214:F1225)=5),cubic_spline(F1213:F1218,H1213:H1218,B$6),IF(AND(COUNT(H1214:H1225)=6,COUNT(F1214:F1225)=6),cubic_spline(F1213:F1219,H1213:H1219,B$6),IF(AND(COUNT(H1214:H1225)=7,COUNT(F1214:F1225)=7),cubic_spline(F1213:F1220,H1213:H1220,B$6),IF(AND(COUNT(H1214:H1225)=8,COUNT(F1214:F1225)=8),cubic_spline(F1213:F1221,H1213:H1221,B$6),IF(AND(COUNT(H1214:H1225)=9,COUNT(F1214:F1225)=9),cubic_spline(F1213:F1222,H1213:H1222,B$6),IF(AND(COUNT(H1214:H1225)=10,COUNT(F1214:F1225)=10),cubic_spline(F1213:F1223,H1213:H1223,B$6),IF(AND(COUNT(H1214:H1225)=11,COUNT(F1214:F1225)=11),cubic_spline(F1213:F1224,H1213:H1224,B$6),IF(AND(COUNT(H1214:H1225)=12,COUNT(F1214:F1225)=12),cubic_spline(F1213:F1225,H1213:H1225,B$6),""))))))))))))</f>
        <v/>
      </c>
      <c r="K1218" s="52" t="str">
        <f>IF(N(B$6)=0,"",IF(AND(COUNT(A1214:A1225)=2,COUNT(F1214:F1225)=2),cubic_spline(F1213:F1215,A1213:A1215,B$6),IF(AND(COUNT(A1214:A1225)=3,COUNT(F1214:F1225)=3),cubic_spline(F1213:F1216,A1213:A1216,B$6),IF(AND(COUNT(A1214:A1225)=4,COUNT(F1214:F1225)=4),cubic_spline(F1213:F1217,A1213:A1217,B$6),IF(AND(COUNT(A1214:A1225)=5,COUNT(F1214:F1225)=5),cubic_spline(F1213:F1218,A1213:A1218,B$6),IF(AND(COUNT(A1214:A1225)=6,COUNT(F1214:F1225)=6),cubic_spline(F1213:F1219,A1213:A1219,B$6),IF(AND(COUNT(A1214:A1225)=7,COUNT(F1214:F1225)=7),cubic_spline(F1213:F1220,A1213:A1220,B$6),IF(AND(COUNT(A1214:A1225)=8,COUNT(F1214:F1225)=8),cubic_spline(F1213:F1221,A1213:A1221,B$6),IF(AND(COUNT(A1214:A1225)=9,COUNT(F1214:F1225)=9),cubic_spline(F1213:F1222,A1213:A1222,B$6),IF(AND(COUNT(A1214:A1225)=10,COUNT(F1214:F1225)=10),cubic_spline(F1213:F1223,A1213:A1223,B$6),IF(AND(COUNT(A1214:A1225)=11,COUNT(F1214:F1225)=11),cubic_spline(F1213:F1224,A1213:A1224,B$6),IF(AND(COUNT(A1214:A1225)=12,COUNT(F1214:F1225)=12),cubic_spline(F1213:F1225,A1213:A1225,B$6),""))))))))))))</f>
        <v/>
      </c>
      <c r="L1218" s="27" t="str">
        <f>IF(I1218="","",B$5&amp;"-"&amp;B$6)</f>
        <v/>
      </c>
      <c r="M1218" s="52" t="str">
        <f>IF(N(J1218)=0,"",J1218-J1217)</f>
        <v/>
      </c>
    </row>
    <row r="1219" spans="1:13" x14ac:dyDescent="0.35">
      <c r="A1219" s="48"/>
      <c r="B1219" s="48"/>
      <c r="C1219" s="50"/>
      <c r="D1219" s="50"/>
      <c r="E1219" s="51" t="str">
        <f t="shared" si="463"/>
        <v/>
      </c>
      <c r="F1219" s="71" t="str">
        <f t="shared" si="461"/>
        <v/>
      </c>
      <c r="G1219" s="69" t="str">
        <f t="shared" si="464"/>
        <v/>
      </c>
      <c r="H1219" s="70" t="str">
        <f t="shared" si="462"/>
        <v/>
      </c>
      <c r="I1219" s="27" t="str">
        <f>IF(N(J1219)=0,"",0&amp;"-"&amp;B$7)</f>
        <v/>
      </c>
      <c r="J1219" s="52" t="str">
        <f>IF(N(B$7)=0,"",IF(AND(COUNT(H1214:H1225)=2,COUNT(F1214:F1225)=2),cubic_spline(F1213:F1215,H1213:H1215,B$7),IF(AND(COUNT(H1214:H1225)=3,COUNT(F1214:F1225)=3),cubic_spline(F1213:F1216,H1213:H1216,B$7),IF(AND(COUNT(H1214:H1225)=4,COUNT(F1214:F1225)=4),cubic_spline(F1213:F1217,H1213:H1217,B$7),IF(AND(COUNT(H1214:H1225)=5,COUNT(F1214:F1225)=5),cubic_spline(F1213:F1218,H1213:H1218,B$7),IF(AND(COUNT(H1214:H1225)=6,COUNT(F1214:F1225)=6),cubic_spline(F1213:F1219,H1213:H1219,B$7),IF(AND(COUNT(H1214:H1225)=7,COUNT(F1214:F1225)=7),cubic_spline(F1213:F1220,H1213:H1220,B$7),IF(AND(COUNT(H1214:H1225)=8,COUNT(F1214:F1225)=8),cubic_spline(F1213:F1221,H1213:H1221,B$7),IF(AND(COUNT(H1214:H1225)=9,COUNT(F1214:F1225)=9),cubic_spline(F1213:F1222,H1213:H1222,B$7),IF(AND(COUNT(H1214:H1225)=10,COUNT(F1214:F1225)=10),cubic_spline(F1213:F1223,H1213:H1223,B$7),IF(AND(COUNT(H1214:H1225)=11,COUNT(F1214:F1225)=11),cubic_spline(F1213:F1224,H1213:H1224,B$7),IF(AND(COUNT(H1214:H1225)=12,COUNT(F1214:F1225)=12),cubic_spline(F1213:F1225,H1213:H1225,B$7),""))))))))))))</f>
        <v/>
      </c>
      <c r="K1219" s="52" t="str">
        <f>IF(N(B$7)=0,"",IF(AND(COUNT(A1214:A1225)=2,COUNT(F1214:F1225)=2),cubic_spline(F1213:F1215,A1213:A1215,B$7),IF(AND(COUNT(A1214:A1225)=3,COUNT(F1214:F1225)=3),cubic_spline(F1213:F1216,A1213:A1216,B$7),IF(AND(COUNT(A1214:A1225)=4,COUNT(F1214:F1225)=4),cubic_spline(F1213:F1217,A1213:A1217,B$7),IF(AND(COUNT(A1214:A1225)=5,COUNT(F1214:F1225)=5),cubic_spline(F1213:F1218,A1213:A1218,B$7),IF(AND(COUNT(A1214:A1225)=6,COUNT(F1214:F1225)=6),cubic_spline(F1213:F1219,A1213:A1219,B$7),IF(AND(COUNT(A1214:A1225)=7,COUNT(F1214:F1225)=7),cubic_spline(F1213:F1220,A1213:A1220,B$7),IF(AND(COUNT(A1214:A1225)=8,COUNT(F1214:F1225)=8),cubic_spline(F1213:F1221,A1213:A1221,B$7),IF(AND(COUNT(A1214:A1225)=9,COUNT(F1214:F1225)=9),cubic_spline(F1213:F1222,A1213:A1222,B$7),IF(AND(COUNT(A1214:A1225)=10,COUNT(F1214:F1225)=10),cubic_spline(F1213:F1223,A1213:A1223,B$7),IF(AND(COUNT(A1214:A1225)=11,COUNT(F1214:F1225)=11),cubic_spline(F1213:F1224,A1213:A1224,B$7),IF(AND(COUNT(A1214:A1225)=12,COUNT(F1214:F1225)=12),cubic_spline(F1213:F1225,A1213:A1225,B$7),""))))))))))))</f>
        <v/>
      </c>
      <c r="L1219" s="27" t="str">
        <f>IF(I1219="","",B$6&amp;"-"&amp;B$7)</f>
        <v/>
      </c>
      <c r="M1219" s="52" t="str">
        <f t="shared" ref="M1219:M1225" si="465">IF(N(J1219)=0,"",J1219-J1218)</f>
        <v/>
      </c>
    </row>
    <row r="1220" spans="1:13" x14ac:dyDescent="0.35">
      <c r="A1220" s="48"/>
      <c r="B1220" s="48"/>
      <c r="C1220" s="50"/>
      <c r="D1220" s="50"/>
      <c r="E1220" s="51" t="str">
        <f t="shared" si="463"/>
        <v/>
      </c>
      <c r="F1220" s="71" t="str">
        <f t="shared" si="461"/>
        <v/>
      </c>
      <c r="G1220" s="69" t="str">
        <f t="shared" si="464"/>
        <v/>
      </c>
      <c r="H1220" s="70" t="str">
        <f t="shared" si="462"/>
        <v/>
      </c>
      <c r="I1220" s="27" t="str">
        <f>IF(N(J1220)=0,"",0&amp;"-"&amp;B$8)</f>
        <v/>
      </c>
      <c r="J1220" s="52" t="str">
        <f>IF(N(B$8)=0,"",IF(AND(COUNT(H1214:H1225)=2,COUNT(F1214:F1225)=2),cubic_spline(F1213:F1215,H1213:H1215,B$8),IF(AND(COUNT(H1214:H1225)=3,COUNT(F1214:F1225)=3),cubic_spline(F1213:F1216,H1213:H1216,B$8),IF(AND(COUNT(H1214:H1225)=4,COUNT(F1214:F1225)=4),cubic_spline(F1213:F1217,H1213:H1217,B$8),IF(AND(COUNT(H1214:H1225)=5,COUNT(F1214:F1225)=5),cubic_spline(F1213:F1218,H1213:H1218,B$8),IF(AND(COUNT(H1214:H1225)=6,COUNT(F1214:F1225)=6),cubic_spline(F1213:F1219,H1213:H1219,B$8),IF(AND(COUNT(H1214:H1225)=7,COUNT(F1214:F1225)=7),cubic_spline(F1213:F1220,H1213:H1220,B$8),IF(AND(COUNT(H1214:H1225)=8,COUNT(F1214:F1225)=8),cubic_spline(F1213:F1221,H1213:H1221,B$8),IF(AND(COUNT(H1214:H1225)=9,COUNT(F1214:F1225)=9),cubic_spline(F1213:F1222,H1213:H1222,B$8),IF(AND(COUNT(H1214:H1225)=10,COUNT(F1214:F1225)=10),cubic_spline(F1213:F1223,H1213:H1223,B$8),IF(AND(COUNT(H1214:H1225)=11,COUNT(F1214:F1225)=11),cubic_spline(F1213:F1224,H1213:H1224,B$8),IF(AND(COUNT(H1214:H1225)=12,COUNT(F1214:F1225)=12),cubic_spline(F1213:F1225,H1213:H1225,B$8),""))))))))))))</f>
        <v/>
      </c>
      <c r="K1220" s="52" t="str">
        <f>IF(N(B$8)=0,"",IF(AND(COUNT(A1214:A1225)=2,COUNT(F1214:F1225)=2),cubic_spline(F1213:F1215,A1213:A1215,B$8),IF(AND(COUNT(A1214:A1225)=3,COUNT(F1214:F1225)=3),cubic_spline(F1213:F1216,A1213:A1216,B$8),IF(AND(COUNT(A1214:A1225)=4,COUNT(F1214:F1225)=4),cubic_spline(F1213:F1217,A1213:A1217,B$8),IF(AND(COUNT(A1214:A1225)=5,COUNT(F1214:F1225)=5),cubic_spline(F1213:F1218,A1213:A1218,B$8),IF(AND(COUNT(A1214:A1225)=6,COUNT(F1214:F1225)=6),cubic_spline(F1213:F1219,A1213:A1219,B$8),IF(AND(COUNT(A1214:A1225)=7,COUNT(F1214:F1225)=7),cubic_spline(F1213:F1220,A1213:A1220,B$8),IF(AND(COUNT(A1214:A1225)=8,COUNT(F1214:F1225)=8),cubic_spline(F1213:F1221,A1213:A1221,B$8),IF(AND(COUNT(A1214:A1225)=9,COUNT(F1214:F1225)=9),cubic_spline(F1213:F1222,A1213:A1222,B$8),IF(AND(COUNT(A1214:A1225)=10,COUNT(F1214:F1225)=10),cubic_spline(F1213:F1223,A1213:A1223,B$8),IF(AND(COUNT(A1214:A1225)=11,COUNT(F1214:F1225)=11),cubic_spline(F1213:F1224,A1213:A1224,B$8),IF(AND(COUNT(A1214:A1225)=12,COUNT(F1214:F1225)=12),cubic_spline(F1213:F1225,A1213:A1225,B$8),""))))))))))))</f>
        <v/>
      </c>
      <c r="L1220" s="27" t="str">
        <f>IF(I1220="","",B$7&amp;"-"&amp;B$8)</f>
        <v/>
      </c>
      <c r="M1220" s="52" t="str">
        <f t="shared" si="465"/>
        <v/>
      </c>
    </row>
    <row r="1221" spans="1:13" x14ac:dyDescent="0.35">
      <c r="A1221" s="48"/>
      <c r="B1221" s="48"/>
      <c r="C1221" s="50"/>
      <c r="D1221" s="50"/>
      <c r="E1221" s="51" t="str">
        <f t="shared" si="463"/>
        <v/>
      </c>
      <c r="F1221" s="71" t="str">
        <f t="shared" si="461"/>
        <v/>
      </c>
      <c r="G1221" s="69" t="str">
        <f t="shared" si="464"/>
        <v/>
      </c>
      <c r="H1221" s="70" t="str">
        <f t="shared" si="462"/>
        <v/>
      </c>
      <c r="I1221" s="27" t="str">
        <f>IF(N(J1221)=0,"",0&amp;"-"&amp;B$9)</f>
        <v/>
      </c>
      <c r="J1221" s="52" t="str">
        <f>IF(N(B$9)=0,"",IF(AND(COUNT(H1214:H1225)=2,COUNT(F1214:F1225)=2),cubic_spline(F1213:F1215,H1213:H1215,B$9),IF(AND(COUNT(H1214:H1225)=3,COUNT(F1214:F1225)=3),cubic_spline(F1213:F1216,H1213:H1216,B$9),IF(AND(COUNT(H1214:H1225)=4,COUNT(F1214:F1225)=4),cubic_spline(F1213:F1217,H1213:H1217,B$9),IF(AND(COUNT(H1214:H1225)=5,COUNT(F1214:F1225)=5),cubic_spline(F1213:F1218,H1213:H1218,B$9),IF(AND(COUNT(H1214:H1225)=6,COUNT(F1214:F1225)=6),cubic_spline(F1213:F1219,H1213:H1219,B$9),IF(AND(COUNT(H1214:H1225)=7,COUNT(F1214:F1225)=7),cubic_spline(F1213:F1220,H1213:H1220,B$9),IF(AND(COUNT(H1214:H1225)=8,COUNT(F1214:F1225)=8),cubic_spline(F1213:F1221,H1213:H1221,B$9),IF(AND(COUNT(H1214:H1225)=9,COUNT(F1214:F1225)=9),cubic_spline(F1213:F1222,H1213:H1222,B$9),IF(AND(COUNT(H1214:H1225)=10,COUNT(F1214:F1225)=10),cubic_spline(F1213:F1223,H1213:H1223,B$9),IF(AND(COUNT(H1214:H1225)=11,COUNT(F1214:F1225)=11),cubic_spline(F1213:F1224,H1213:H1224,B$9),IF(AND(COUNT(H1214:H1225)=12,COUNT(F1214:F1225)=12),cubic_spline(F1213:F1225,H1213:H1225,B$9),""))))))))))))</f>
        <v/>
      </c>
      <c r="K1221" s="52" t="str">
        <f>IF(N(B$9)=0,"",IF(AND(COUNT(A1214:A1225)=2,COUNT(F1214:F1225)=2),cubic_spline(F1213:F1215,A1213:A1215,B$9),IF(AND(COUNT(A1214:A1225)=3,COUNT(F1214:F1225)=3),cubic_spline(F1213:F1216,A1213:A1216,B$9),IF(AND(COUNT(A1214:A1225)=4,COUNT(F1214:F1225)=4),cubic_spline(F1213:F1217,A1213:A1217,B$9),IF(AND(COUNT(A1214:A1225)=5,COUNT(F1214:F1225)=5),cubic_spline(F1213:F1218,A1213:A1218,B$9),IF(AND(COUNT(A1214:A1225)=6,COUNT(F1214:F1225)=6),cubic_spline(F1213:F1219,A1213:A1219,B$9),IF(AND(COUNT(A1214:A1225)=7,COUNT(F1214:F1225)=7),cubic_spline(F1213:F1220,A1213:A1220,B$9),IF(AND(COUNT(A1214:A1225)=8,COUNT(F1214:F1225)=8),cubic_spline(F1213:F1221,A1213:A1221,B$9),IF(AND(COUNT(A1214:A1225)=9,COUNT(F1214:F1225)=9),cubic_spline(F1213:F1222,A1213:A1222,B$9),IF(AND(COUNT(A1214:A1225)=10,COUNT(F1214:F1225)=10),cubic_spline(F1213:F1223,A1213:A1223,B$9),IF(AND(COUNT(A1214:A1225)=11,COUNT(F1214:F1225)=11),cubic_spline(F1213:F1224,A1213:A1224,B$9),IF(AND(COUNT(A1214:A1225)=12,COUNT(F1214:F1225)=12),cubic_spline(F1213:F1225,A1213:A1225,B$9),""))))))))))))</f>
        <v/>
      </c>
      <c r="L1221" s="27" t="str">
        <f>IF(I1221="","",B$8&amp;"-"&amp;B$9)</f>
        <v/>
      </c>
      <c r="M1221" s="52" t="str">
        <f t="shared" si="465"/>
        <v/>
      </c>
    </row>
    <row r="1222" spans="1:13" x14ac:dyDescent="0.35">
      <c r="A1222" s="48"/>
      <c r="B1222" s="48"/>
      <c r="C1222" s="50"/>
      <c r="D1222" s="50"/>
      <c r="E1222" s="51" t="str">
        <f t="shared" si="463"/>
        <v/>
      </c>
      <c r="F1222" s="71" t="str">
        <f t="shared" si="461"/>
        <v/>
      </c>
      <c r="G1222" s="69" t="str">
        <f t="shared" si="464"/>
        <v/>
      </c>
      <c r="H1222" s="70" t="str">
        <f t="shared" si="462"/>
        <v/>
      </c>
      <c r="I1222" s="27" t="str">
        <f>IF(N(J1222)=0,"",0&amp;"-"&amp;B$10)</f>
        <v/>
      </c>
      <c r="J1222" s="52" t="str">
        <f>IF(N(B$10)=0,"",IF(AND(COUNT(H1214:H1225)=2,COUNT(F1214:F1225)=2),cubic_spline(F1213:F1215,H1213:H1215,B$10),IF(AND(COUNT(H1214:H1225)=3,COUNT(F1214:F1225)=3),cubic_spline(F1213:F1216,H1213:H1216,B$10),IF(AND(COUNT(H1214:H1225)=4,COUNT(F1214:F1225)=4),cubic_spline(F1213:F1217,H1213:H1217,B$10),IF(AND(COUNT(H1214:H1225)=5,COUNT(F1214:F1225)=5),cubic_spline(F1213:F1218,H1213:H1218,B$10),IF(AND(COUNT(H1214:H1225)=6,COUNT(F1214:F1225)=6),cubic_spline(F1213:F1219,H1213:H1219,B$10),IF(AND(COUNT(H1214:H1225)=7,COUNT(F1214:F1225)=7),cubic_spline(F1213:F1220,H1213:H1220,B$10),IF(AND(COUNT(H1214:H1225)=8,COUNT(F1214:F1225)=8),cubic_spline(F1213:F1221,H1213:H1221,B$10),IF(AND(COUNT(H1214:H1225)=9,COUNT(F1214:F1225)=9),cubic_spline(F1213:F1222,H1213:H1222,B$10),IF(AND(COUNT(H1214:H1225)=10,COUNT(F1214:F1225)=10),cubic_spline(F1213:F1223,H1213:H1223,B$10),IF(AND(COUNT(H1214:H1225)=11,COUNT(F1214:F1225)=11),cubic_spline(F1213:F1224,H1213:H1224,B$10),IF(AND(COUNT(H1214:H1225)=12,COUNT(F1214:F1225)=12),cubic_spline(F1213:F1225,H1213:H1225,B$10),""))))))))))))</f>
        <v/>
      </c>
      <c r="K1222" s="52" t="str">
        <f>IF(N(B$10)=0,"",IF(AND(COUNT(A1214:A1225)=2,COUNT(F1214:F1225)=2),cubic_spline(F1213:F1215,A1213:A1215,B$10),IF(AND(COUNT(A1214:A1225)=3,COUNT(F1214:F1225)=3),cubic_spline(F1213:F1216,A1213:A1216,B$10),IF(AND(COUNT(A1214:A1225)=4,COUNT(F1214:F1225)=4),cubic_spline(F1213:F1217,A1213:A1217,B$10),IF(AND(COUNT(A1214:A1225)=5,COUNT(F1214:F1225)=5),cubic_spline(F1213:F1218,A1213:A1218,B$10),IF(AND(COUNT(A1214:A1225)=6,COUNT(F1214:F1225)=6),cubic_spline(F1213:F1219,A1213:A1219,B$10),IF(AND(COUNT(A1214:A1225)=7,COUNT(F1214:F1225)=7),cubic_spline(F1213:F1220,A1213:A1220,B$10),IF(AND(COUNT(A1214:A1225)=8,COUNT(F1214:F1225)=8),cubic_spline(F1213:F1221,A1213:A1221,B$10),IF(AND(COUNT(A1214:A1225)=9,COUNT(F1214:F1225)=9),cubic_spline(F1213:F1222,A1213:A1222,B$10),IF(AND(COUNT(A1214:A1225)=10,COUNT(F1214:F1225)=10),cubic_spline(F1213:F1223,A1213:A1223,B$10),IF(AND(COUNT(A1214:A1225)=11,COUNT(F1214:F1225)=11),cubic_spline(F1213:F1224,A1213:A1224,B$10),IF(AND(COUNT(A1214:A1225)=12,COUNT(F1214:F1225)=12),cubic_spline(F1213:F1225,A1213:A1225,B$10),""))))))))))))</f>
        <v/>
      </c>
      <c r="L1222" s="27" t="str">
        <f>IF(I1222="","",B$9&amp;"-"&amp;B$10)</f>
        <v/>
      </c>
      <c r="M1222" s="52" t="str">
        <f t="shared" si="465"/>
        <v/>
      </c>
    </row>
    <row r="1223" spans="1:13" x14ac:dyDescent="0.35">
      <c r="A1223" s="48"/>
      <c r="B1223" s="48"/>
      <c r="C1223" s="50"/>
      <c r="D1223" s="50"/>
      <c r="E1223" s="51" t="str">
        <f t="shared" si="463"/>
        <v/>
      </c>
      <c r="F1223" s="71" t="str">
        <f t="shared" si="461"/>
        <v/>
      </c>
      <c r="G1223" s="69" t="str">
        <f t="shared" si="464"/>
        <v/>
      </c>
      <c r="H1223" s="70" t="str">
        <f t="shared" si="462"/>
        <v/>
      </c>
      <c r="I1223" s="27" t="str">
        <f>IF(N(J1223)=0,"",0&amp;"-"&amp;B$11)</f>
        <v/>
      </c>
      <c r="J1223" s="52" t="str">
        <f>IF(N(B$11)=0,"",IF(AND(COUNT(H1214:H1225)=2,COUNT(F1214:F1225)=2),cubic_spline(F1213:F1215,H1213:H1215,B$11),IF(AND(COUNT(H1214:H1225)=3,COUNT(F1214:F1225)=3),cubic_spline(F1213:F1216,H1213:H1216,B$11),IF(AND(COUNT(H1214:H1225)=4,COUNT(F1214:F1225)=4),cubic_spline(F1213:F1217,H1213:H1217,B$11),IF(AND(COUNT(H1214:H1225)=5,COUNT(F1214:F1225)=5),cubic_spline(F1213:F1218,H1213:H1218,B$11),IF(AND(COUNT(H1214:H1225)=6,COUNT(F1214:F1225)=6),cubic_spline(F1213:F1219,H1213:H1219,B$11),IF(AND(COUNT(H1214:H1225)=7,COUNT(F1214:F1225)=7),cubic_spline(F1213:F1220,H1213:H1220,B$11),IF(AND(COUNT(H1214:H1225)=8,COUNT(F1214:F1225)=8),cubic_spline(F1213:F1221,H1213:H1221,B$11),IF(AND(COUNT(H1214:H1225)=9,COUNT(F1214:F1225)=9),cubic_spline(F1213:F1222,H1213:H1222,B$11),IF(AND(COUNT(H1214:H1225)=10,COUNT(F1214:F1225)=10),cubic_spline(F1213:F1223,H1213:H1223,B$11),IF(AND(COUNT(H1214:H1225)=11,COUNT(F1214:F1225)=11),cubic_spline(F1213:F1224,H1213:H1224,B$11),IF(AND(COUNT(H1214:H1225)=12,COUNT(F1214:F1225)=12),cubic_spline(F1213:F1225,H1213:H1225,B$11),""))))))))))))</f>
        <v/>
      </c>
      <c r="K1223" s="52" t="str">
        <f>IF(N(B$11)=0,"",IF(AND(COUNT(A1214:A1225)=2,COUNT(F1214:F1225)=2),cubic_spline(F1213:F1215,A1213:A1215,B$11),IF(AND(COUNT(A1214:A1225)=3,COUNT(F1214:F1225)=3),cubic_spline(F1213:F1216,A1213:A1216,B$11),IF(AND(COUNT(A1214:A1225)=4,COUNT(F1214:F1225)=4),cubic_spline(F1213:F1217,A1213:A1217,B$11),IF(AND(COUNT(A1214:A1225)=5,COUNT(F1214:F1225)=5),cubic_spline(F1213:F1218,A1213:A1218,B$11),IF(AND(COUNT(A1214:A1225)=6,COUNT(F1214:F1225)=6),cubic_spline(F1213:F1219,A1213:A1219,B$11),IF(AND(COUNT(A1214:A1225)=7,COUNT(F1214:F1225)=7),cubic_spline(F1213:F1220,A1213:A1220,B$11),IF(AND(COUNT(A1214:A1225)=8,COUNT(F1214:F1225)=8),cubic_spline(F1213:F1221,A1213:A1221,B$11),IF(AND(COUNT(A1214:A1225)=9,COUNT(F1214:F1225)=9),cubic_spline(F1213:F1222,A1213:A1222,B$11),IF(AND(COUNT(A1214:A1225)=10,COUNT(F1214:F1225)=10),cubic_spline(F1213:F1223,A1213:A1223,B$11),IF(AND(COUNT(A1214:A1225)=11,COUNT(F1214:F1225)=11),cubic_spline(F1213:F1224,A1213:A1224,B$11),IF(AND(COUNT(A1214:A1225)=12,COUNT(F1214:F1225)=12),cubic_spline(F1213:F1225,A1213:A1225,B$11),""))))))))))))</f>
        <v/>
      </c>
      <c r="L1223" s="27" t="str">
        <f>IF(I1223="","",B$10&amp;"-"&amp;B$11)</f>
        <v/>
      </c>
      <c r="M1223" s="52" t="str">
        <f t="shared" si="465"/>
        <v/>
      </c>
    </row>
    <row r="1224" spans="1:13" x14ac:dyDescent="0.35">
      <c r="A1224" s="48"/>
      <c r="B1224" s="48"/>
      <c r="C1224" s="50"/>
      <c r="D1224" s="50"/>
      <c r="E1224" s="51" t="str">
        <f t="shared" si="463"/>
        <v/>
      </c>
      <c r="F1224" s="71" t="str">
        <f t="shared" si="461"/>
        <v/>
      </c>
      <c r="G1224" s="69" t="str">
        <f t="shared" si="464"/>
        <v/>
      </c>
      <c r="H1224" s="70" t="str">
        <f t="shared" si="462"/>
        <v/>
      </c>
      <c r="I1224" s="27" t="str">
        <f>IF(N(J1224)=0,"",0&amp;"-"&amp;B$12)</f>
        <v/>
      </c>
      <c r="J1224" s="52" t="str">
        <f>IF(N(B$12)=0,"",IF(AND(COUNT(H1214:H1225)=2,COUNT(F1214:F1225)=2),cubic_spline(F1213:F1215,H1213:H1215,B$12),IF(AND(COUNT(H1214:H1225)=3,COUNT(F1214:F1225)=3),cubic_spline(F1213:F1216,H1213:H1216,B$12),IF(AND(COUNT(H1214:H1225)=4,COUNT(F1214:F1225)=4),cubic_spline(F1213:F1217,H1213:H1217,B$12),IF(AND(COUNT(H1214:H1225)=5,COUNT(F1214:F1225)=5),cubic_spline(F1213:F1218,H1213:H1218,B$12),IF(AND(COUNT(H1214:H1225)=6,COUNT(F1214:F1225)=6),cubic_spline(F1213:F1219,H1213:H1219,B$12),IF(AND(COUNT(H1214:H1225)=7,COUNT(F1214:F1225)=7),cubic_spline(F1213:F1220,H1213:H1220,B$12),IF(AND(COUNT(H1214:H1225)=8,COUNT(F1214:F1225)=8),cubic_spline(F1213:F1221,H1213:H1221,B$12),IF(AND(COUNT(H1214:H1225)=9,COUNT(F1214:F1225)=9),cubic_spline(F1213:F1222,H1213:H1222,B$12),IF(AND(COUNT(H1214:H1225)=10,COUNT(F1214:F1225)=10),cubic_spline(F1213:F1223,H1213:H1223,B$12),IF(AND(COUNT(H1214:H1225)=11,COUNT(F1214:F1225)=11),cubic_spline(F1213:F1224,H1213:H1224,B$12),IF(AND(COUNT(H1214:H1225)=12,COUNT(F1214:F1225)=12),cubic_spline(F1213:F1225,H1213:H1225,B$12),""))))))))))))</f>
        <v/>
      </c>
      <c r="K1224" s="52" t="str">
        <f>IF(N(B$12)=0,"",IF(AND(COUNT(A1214:A1225)=2,COUNT(F1214:F1225)=2),cubic_spline(F1213:F1215,A1213:A1215,B$12),IF(AND(COUNT(A1214:A1225)=3,COUNT(F1214:F1225)=3),cubic_spline(F1213:F1216,A1213:A1216,B$12),IF(AND(COUNT(A1214:A1225)=4,COUNT(F1214:F1225)=4),cubic_spline(F1213:F1217,A1213:A1217,B$12),IF(AND(COUNT(A1214:A1225)=5,COUNT(F1214:F1225)=5),cubic_spline(F1213:F1218,A1213:A1218,B$12),IF(AND(COUNT(A1214:A1225)=6,COUNT(F1214:F1225)=6),cubic_spline(F1213:F1219,A1213:A1219,B$12),IF(AND(COUNT(A1214:A1225)=7,COUNT(F1214:F1225)=7),cubic_spline(F1213:F1220,A1213:A1220,B$12),IF(AND(COUNT(A1214:A1225)=8,COUNT(F1214:F1225)=8),cubic_spline(F1213:F1221,A1213:A1221,B$12),IF(AND(COUNT(A1214:A1225)=9,COUNT(F1214:F1225)=9),cubic_spline(F1213:F1222,A1213:A1222,B$12),IF(AND(COUNT(A1214:A1225)=10,COUNT(F1214:F1225)=10),cubic_spline(F1213:F1223,A1213:A1223,B$12),IF(AND(COUNT(A1214:A1225)=11,COUNT(F1214:F1225)=11),cubic_spline(F1213:F1224,A1213:A1224,B$12),IF(AND(COUNT(A1214:A1225)=12,COUNT(F1214:F1225)=12),cubic_spline(F1213:F1225,A1213:A1225,B$12),""))))))))))))</f>
        <v/>
      </c>
      <c r="L1224" s="27" t="str">
        <f>IF(I1224="","",B$11&amp;"-"&amp;B$12)</f>
        <v/>
      </c>
      <c r="M1224" s="52" t="str">
        <f t="shared" si="465"/>
        <v/>
      </c>
    </row>
    <row r="1225" spans="1:13" x14ac:dyDescent="0.35">
      <c r="A1225" s="48"/>
      <c r="B1225" s="48"/>
      <c r="C1225" s="50"/>
      <c r="D1225" s="50"/>
      <c r="E1225" s="51" t="str">
        <f t="shared" si="463"/>
        <v/>
      </c>
      <c r="F1225" s="71" t="str">
        <f t="shared" si="461"/>
        <v/>
      </c>
      <c r="G1225" s="69" t="str">
        <f t="shared" si="464"/>
        <v/>
      </c>
      <c r="H1225" s="70" t="str">
        <f t="shared" si="462"/>
        <v/>
      </c>
      <c r="I1225" s="27" t="str">
        <f>IF(N(J1225)=0,"",0&amp;"-"&amp;B$13)</f>
        <v/>
      </c>
      <c r="J1225" s="52" t="str">
        <f>IF(N(B$13)=0,"",IF(AND(COUNT(H1214:H1225)=2,COUNT(F1214:F1225)=2),cubic_spline(F1213:F1215,H1213:H1215,B$13),IF(AND(COUNT(H1214:H1225)=3,COUNT(F1214:F1225)=3),cubic_spline(F1213:F1216,H1213:H1216,B$13),IF(AND(COUNT(H1214:H1225)=4,COUNT(F1214:F1225)=4),cubic_spline(F1213:F1217,H1213:H1217,B$13),IF(AND(COUNT(H1214:H1225)=5,COUNT(F1214:F1225)=5),cubic_spline(F1213:F1218,H1213:H1218,B$13),IF(AND(COUNT(H1214:H1225)=6,COUNT(F1214:F1225)=6),cubic_spline(F1213:F1219,H1213:H1219,B$13),IF(AND(COUNT(H1214:H1225)=7,COUNT(F1214:F1225)=7),cubic_spline(F1213:F1220,H1213:H1220,B$13),IF(AND(COUNT(H1214:H1225)=8,COUNT(F1214:F1225)=8),cubic_spline(F1213:F1221,H1213:H1221,B$13),IF(AND(COUNT(H1214:H1225)=9,COUNT(F1214:F1225)=9),cubic_spline(F1213:F1222,H1213:H1222,B$13),IF(AND(COUNT(H1214:H1225)=10,COUNT(F1214:F1225)=10),cubic_spline(F1213:F1223,H1213:H1223,B$13),IF(AND(COUNT(H1214:H1225)=11,COUNT(F1214:F1225)=11),cubic_spline(F1213:F1224,H1213:H1224,B$13),IF(AND(COUNT(H1214:H1225)=12,COUNT(F1214:F1225)=12),cubic_spline(F1213:F1225,H1213:H1225,B$13),""))))))))))))</f>
        <v/>
      </c>
      <c r="K1225" s="52" t="str">
        <f>IF(N(B$13)=0,"",IF(AND(COUNT(A1214:A1225)=2,COUNT(F1214:F1225)=2),cubic_spline(F1213:F1215,A1213:A1215,B$13),IF(AND(COUNT(A1214:A1225)=3,COUNT(F1214:F1225)=3),cubic_spline(F1213:F1216,A1213:A1216,B$13),IF(AND(COUNT(A1214:A1225)=4,COUNT(F1214:F1225)=4),cubic_spline(F1213:F1217,A1213:A1217,B$13),IF(AND(COUNT(A1214:A1225)=5,COUNT(F1214:F1225)=5),cubic_spline(F1213:F1218,A1213:A1218,B$13),IF(AND(COUNT(A1214:A1225)=6,COUNT(F1214:F1225)=6),cubic_spline(F1213:F1219,A1213:A1219,B$13),IF(AND(COUNT(A1214:A1225)=7,COUNT(F1214:F1225)=7),cubic_spline(F1213:F1220,A1213:A1220,B$13),IF(AND(COUNT(A1214:A1225)=8,COUNT(F1214:F1225)=8),cubic_spline(F1213:F1221,A1213:A1221,B$13),IF(AND(COUNT(A1214:A1225)=9,COUNT(F1214:F1225)=9),cubic_spline(F1213:F1222,A1213:A1222,B$13),IF(AND(COUNT(A1214:A1225)=10,COUNT(F1214:F1225)=10),cubic_spline(F1213:F1223,A1213:A1223,B$13),IF(AND(COUNT(A1214:A1225)=11,COUNT(F1214:F1225)=11),cubic_spline(F1213:F1224,A1213:A1224,B$13),IF(AND(COUNT(A1214:A1225)=12,COUNT(F1214:F1225)=12),cubic_spline(F1213:F1225,A1213:A1225,B$13),""))))))))))))</f>
        <v/>
      </c>
      <c r="L1225" s="27" t="str">
        <f>IF(I1225="","",B$12&amp;"-"&amp;B$13)</f>
        <v/>
      </c>
      <c r="M1225" s="52" t="str">
        <f t="shared" si="465"/>
        <v/>
      </c>
    </row>
    <row r="1226" spans="1:13" ht="5.15" customHeight="1" x14ac:dyDescent="0.35">
      <c r="A1226" s="47"/>
      <c r="B1226" s="47"/>
      <c r="C1226" s="53"/>
      <c r="D1226" s="53"/>
      <c r="E1226" s="54"/>
      <c r="F1226" s="55"/>
      <c r="G1226" s="72"/>
      <c r="H1226" s="73"/>
      <c r="I1226" s="47"/>
      <c r="J1226" s="57"/>
      <c r="K1226" s="57"/>
      <c r="L1226" s="55"/>
      <c r="M1226" s="57"/>
    </row>
    <row r="1227" spans="1:13" x14ac:dyDescent="0.35">
      <c r="A1227" s="48"/>
      <c r="B1227" s="48"/>
      <c r="C1227" s="50"/>
      <c r="D1227" s="50"/>
      <c r="E1227" s="51" t="str">
        <f>IF(N(C1227)=0,"",(A1227-A1226)*C1227*100)</f>
        <v/>
      </c>
      <c r="F1227" s="68" t="str">
        <f t="shared" ref="F1227:F1238" si="466">IF(N(E1227)=0,"",(N(E1227)+N(F1226)))</f>
        <v/>
      </c>
      <c r="G1227" s="69" t="str">
        <f>IF(OR(N(D1227)=0,N(E1227)=0),"",(E1227*D1227)/1000)</f>
        <v/>
      </c>
      <c r="H1227" s="70" t="str">
        <f t="shared" ref="H1227:H1238" si="467">IF(N(G1227)=0,"",(N(G1227)+N(H1226)))</f>
        <v/>
      </c>
      <c r="I1227" s="27" t="str">
        <f>IF(N(J1227)=0,"",0&amp;"-"&amp;B$2)</f>
        <v/>
      </c>
      <c r="J1227" s="52" t="str">
        <f>IF(N(B$2)=0,"",IF(AND(COUNT(H1227:H1238)=2,COUNT(F1227:F1238)=2),cubic_spline(F1226:F1228,H1226:H1228,B$2),IF(AND(COUNT(H1227:H1238)=3,COUNT(F1227:F1238)=3),cubic_spline(F1226:F1229,H1226:H1229,B$2),IF(AND(COUNT(H1227:H1238)=4,COUNT(F1227:F1238)=4),cubic_spline(F1226:F1230,H1226:H1230,B$2),IF(AND(COUNT(H1227:H1238)=5,COUNT(F1227:F1238)=5),cubic_spline(F1226:F1231,H1226:H1231,B$2),IF(AND(COUNT(H1227:H1238)=6,COUNT(F1227:F1238)=6),cubic_spline(F1226:F1232,H1226:H1232,B$2),IF(AND(COUNT(H1227:H1238)=7,COUNT(F1227:F1238)=7),cubic_spline(F1226:F1233,H1226:H1233,B$2),IF(AND(COUNT(H1227:H1238)=8,COUNT(F1227:F1238)=8),cubic_spline(F1226:F1234,H1226:H1234,B$2),IF(AND(COUNT(H1227:H1238)=9,COUNT(F1227:F1238)=9),cubic_spline(F1226:F1235,H1226:H1235,B$2),IF(AND(COUNT(H1227:H1238)=10,COUNT(F1227:F1238)=10),cubic_spline(F1226:F1236,H1226:H1236,B$2),IF(AND(COUNT(H1227:H1238)=11,COUNT(F1227:F1238)=11),cubic_spline(F1226:F1237,H1226:H1237,B$2),IF(AND(COUNT(H1227:H1238)=12,COUNT(F1227:F1238)=12),cubic_spline(F1226:F1238,H1226:H1238,B$2),""))))))))))))</f>
        <v/>
      </c>
      <c r="K1227" s="52" t="str">
        <f>IF(N(B$2)=0,"",IF(AND(COUNT(A1227:A1238)=2,COUNT(F1227:F1238)=2),cubic_spline(F1226:F1228,A1226:A1228,B$2),IF(AND(COUNT(A1227:A1238)=3,COUNT(F1227:F1238)=3),cubic_spline(F1226:F1229,A1226:A1229,B$2),IF(AND(COUNT(A1227:A1238)=4,COUNT(F1227:F1238)=4),cubic_spline(F1226:F1230,A1226:A1230,B$2),IF(AND(COUNT(A1227:A1238)=5,COUNT(F1227:F1238)=5),cubic_spline(F1226:F1231,A1226:A1231,B$2),IF(AND(COUNT(A1227:A1238)=6,COUNT(F1227:F1238)=6),cubic_spline(F1226:F1232,A1226:A1232,B$2),IF(AND(COUNT(A1227:A1238)=7,COUNT(F1227:F1238)=7),cubic_spline(F1226:F1233,A1226:A1233,B$2),IF(AND(COUNT(A1227:A1238)=8,COUNT(F1227:F1238)=8),cubic_spline(F1226:F1234,A1226:A1234,B$2),IF(AND(COUNT(A1227:A1238)=9,COUNT(F1227:F1238)=9),cubic_spline(F1226:F1235,A1226:A1235,B$2),IF(AND(COUNT(A1227:A1238)=10,COUNT(F1227:F1238)=10),cubic_spline(F1226:F1236,A1226:A1236,B$2),IF(AND(COUNT(A1227:A1238)=11,COUNT(F1227:F1238)=11),cubic_spline(F1226:F1237,A1226:A1237,B$2),IF(AND(COUNT(A1227:A1238)=12,COUNT(F1227:F1238)=12),cubic_spline(F1226:F1238,A1226:A1238,B$2),""))))))))))))</f>
        <v/>
      </c>
      <c r="L1227" s="27" t="str">
        <f>IF(I1227="","",0&amp;"-"&amp;B$2)</f>
        <v/>
      </c>
      <c r="M1227" s="52" t="str">
        <f>IF(N(J1227)=0,"",J1227-J1226)</f>
        <v/>
      </c>
    </row>
    <row r="1228" spans="1:13" x14ac:dyDescent="0.35">
      <c r="A1228" s="48"/>
      <c r="B1228" s="48"/>
      <c r="C1228" s="50"/>
      <c r="D1228" s="50"/>
      <c r="E1228" s="51" t="str">
        <f t="shared" ref="E1228:E1238" si="468">IF(N(C1228)=0,"",(A1228-A1227)*C1228*100)</f>
        <v/>
      </c>
      <c r="F1228" s="68" t="str">
        <f t="shared" si="466"/>
        <v/>
      </c>
      <c r="G1228" s="69" t="str">
        <f t="shared" ref="G1228:G1238" si="469">IF(OR(N(D1228)=0,N(E1228)=0),"",(E1228*D1228)/1000)</f>
        <v/>
      </c>
      <c r="H1228" s="70" t="str">
        <f t="shared" si="467"/>
        <v/>
      </c>
      <c r="I1228" s="27" t="str">
        <f>IF(N(J1228)=0,"",0&amp;"-"&amp;B$3)</f>
        <v/>
      </c>
      <c r="J1228" s="52" t="str">
        <f>IF(N(B$3)=0,"",IF(AND(COUNT(H1227:H1238)=2,COUNT(F1227:F1238)=2),cubic_spline(F1226:F1228,H1226:H1228,B$3),IF(AND(COUNT(H1227:H1238)=3,COUNT(F1227:F1238)=3),cubic_spline(F1226:F1229,H1226:H1229,B$3),IF(AND(COUNT(H1227:H1238)=4,COUNT(F1227:F1238)=4),cubic_spline(F1226:F1230,H1226:H1230,B$3),IF(AND(COUNT(H1227:H1238)=5,COUNT(F1227:F1238)=5),cubic_spline(F1226:F1231,H1226:H1231,B$3),IF(AND(COUNT(H1227:H1238)=6,COUNT(F1227:F1238)=6),cubic_spline(F1226:F1232,H1226:H1232,B$3),IF(AND(COUNT(H1227:H1238)=7,COUNT(F1227:F1238)=7),cubic_spline(F1226:F1233,H1226:H1233,B$3),IF(AND(COUNT(H1227:H1238)=8,COUNT(F1227:F1238)=8),cubic_spline(F1226:F1234,H1226:H1234,B$3),IF(AND(COUNT(H1227:H1238)=9,COUNT(F1227:F1238)=9),cubic_spline(F1226:F1235,H1226:H1235,B$3),IF(AND(COUNT(H1227:H1238)=10,COUNT(F1227:F1238)=10),cubic_spline(F1226:F1236,H1226:H1236,B$3),IF(AND(COUNT(H1227:H1238)=11,COUNT(F1227:F1238)=11),cubic_spline(F1226:F1237,H1226:H1237,B$3),IF(AND(COUNT(H1227:H1238)=12,COUNT(F1227:F1238)=12),cubic_spline(F1226:F1238,H1226:H1238,B$3),""))))))))))))</f>
        <v/>
      </c>
      <c r="K1228" s="52" t="str">
        <f>IF(N(B$3)=0,"",IF(AND(COUNT(A1227:A1238)=2,COUNT(F1227:F1238)=2),cubic_spline(F1226:F1228,A1226:A1228,B$3),IF(AND(COUNT(A1227:A1238)=3,COUNT(F1227:F1238)=3),cubic_spline(F1226:F1229,A1226:A1229,B$3),IF(AND(COUNT(A1227:A1238)=4,COUNT(F1227:F1238)=4),cubic_spline(F1226:F1230,A1226:A1230,B$3),IF(AND(COUNT(A1227:A1238)=5,COUNT(F1227:F1238)=5),cubic_spline(F1226:F1231,A1226:A1231,B$3),IF(AND(COUNT(A1227:A1238)=6,COUNT(F1227:F1238)=6),cubic_spline(F1226:F1232,A1226:A1232,B$3),IF(AND(COUNT(A1227:A1238)=7,COUNT(F1227:F1238)=7),cubic_spline(F1226:F1233,A1226:A1233,B$3),IF(AND(COUNT(A1227:A1238)=8,COUNT(F1227:F1238)=8),cubic_spline(F1226:F1234,A1226:A1234,B$3),IF(AND(COUNT(A1227:A1238)=9,COUNT(F1227:F1238)=9),cubic_spline(F1226:F1235,A1226:A1235,B$3),IF(AND(COUNT(A1227:A1238)=10,COUNT(F1227:F1238)=10),cubic_spline(F1226:F1236,A1226:A1236,B$3),IF(AND(COUNT(A1227:A1238)=11,COUNT(F1227:F1238)=11),cubic_spline(F1226:F1237,A1226:A1237,B$3),IF(AND(COUNT(A1227:A1238)=12,COUNT(F1227:F1238)=12),cubic_spline(F1226:F1238,A1226:A1238,B$3),""))))))))))))</f>
        <v/>
      </c>
      <c r="L1228" s="27" t="str">
        <f>IF(I1228="","",B$2&amp;"-"&amp;B$3)</f>
        <v/>
      </c>
      <c r="M1228" s="52" t="str">
        <f>IF(N(J1228)=0,"",J1228-J1227)</f>
        <v/>
      </c>
    </row>
    <row r="1229" spans="1:13" x14ac:dyDescent="0.35">
      <c r="A1229" s="48"/>
      <c r="B1229" s="48"/>
      <c r="C1229" s="50"/>
      <c r="D1229" s="50"/>
      <c r="E1229" s="51" t="str">
        <f t="shared" si="468"/>
        <v/>
      </c>
      <c r="F1229" s="68" t="str">
        <f t="shared" si="466"/>
        <v/>
      </c>
      <c r="G1229" s="69" t="str">
        <f t="shared" si="469"/>
        <v/>
      </c>
      <c r="H1229" s="70" t="str">
        <f t="shared" si="467"/>
        <v/>
      </c>
      <c r="I1229" s="27" t="str">
        <f>IF(N(J1229)=0,"",0&amp;"-"&amp;B$4)</f>
        <v/>
      </c>
      <c r="J1229" s="52" t="str">
        <f>IF(N(B$4)=0,"",IF(AND(COUNT(H1227:H1238)=2,COUNT(F1227:F1238)=2),cubic_spline(F1226:F1228,H1226:H1228,B$4),IF(AND(COUNT(H1227:H1238)=3,COUNT(F1227:F1238)=3),cubic_spline(F1226:F1229,H1226:H1229,B$4),IF(AND(COUNT(H1227:H1238)=4,COUNT(F1227:F1238)=4),cubic_spline(F1226:F1230,H1226:H1230,B$4),IF(AND(COUNT(H1227:H1238)=5,COUNT(F1227:F1238)=5),cubic_spline(F1226:F1231,H1226:H1231,B$4),IF(AND(COUNT(H1227:H1238)=6,COUNT(F1227:F1238)=6),cubic_spline(F1226:F1232,H1226:H1232,B$4),IF(AND(COUNT(H1227:H1238)=7,COUNT(F1227:F1238)=7),cubic_spline(F1226:F1233,H1226:H1233,B$4),IF(AND(COUNT(H1227:H1238)=8,COUNT(F1227:F1238)=8),cubic_spline(F1226:F1234,H1226:H1234,B$4),IF(AND(COUNT(H1227:H1238)=9,COUNT(F1227:F1238)=9),cubic_spline(F1226:F1235,H1226:H1235,B$4),IF(AND(COUNT(H1227:H1238)=10,COUNT(F1227:F1238)=10),cubic_spline(F1226:F1236,H1226:H1236,B$4),IF(AND(COUNT(H1227:H1238)=11,COUNT(F1227:F1238)=11),cubic_spline(F1226:F1237,H1226:H1237,B$4),IF(AND(COUNT(H1227:H1238)=12,COUNT(F1227:F1238)=12),cubic_spline(F1226:F1238,H1226:H1238,B$4),""))))))))))))</f>
        <v/>
      </c>
      <c r="K1229" s="52" t="str">
        <f>IF(N(B$4)=0,"",IF(AND(COUNT(A1227:A1238)=2,COUNT(F1227:F1238)=2),cubic_spline(F1226:F1228,A1226:A1228,B$4),IF(AND(COUNT(A1227:A1238)=3,COUNT(F1227:F1238)=3),cubic_spline(F1226:F1229,A1226:A1229,B$4),IF(AND(COUNT(A1227:A1238)=4,COUNT(F1227:F1238)=4),cubic_spline(F1226:F1230,A1226:A1230,B$4),IF(AND(COUNT(A1227:A1238)=5,COUNT(F1227:F1238)=5),cubic_spline(F1226:F1231,A1226:A1231,B$4),IF(AND(COUNT(A1227:A1238)=6,COUNT(F1227:F1238)=6),cubic_spline(F1226:F1232,A1226:A1232,B$4),IF(AND(COUNT(A1227:A1238)=7,COUNT(F1227:F1238)=7),cubic_spline(F1226:F1233,A1226:A1233,B$4),IF(AND(COUNT(A1227:A1238)=8,COUNT(F1227:F1238)=8),cubic_spline(F1226:F1234,A1226:A1234,B$4),IF(AND(COUNT(A1227:A1238)=9,COUNT(F1227:F1238)=9),cubic_spline(F1226:F1235,A1226:A1235,B$4),IF(AND(COUNT(A1227:A1238)=10,COUNT(F1227:F1238)=10),cubic_spline(F1226:F1236,A1226:A1236,B$4),IF(AND(COUNT(A1227:A1238)=11,COUNT(F1227:F1238)=11),cubic_spline(F1226:F1237,A1226:A1237,B$4),IF(AND(COUNT(A1227:A1238)=12,COUNT(F1227:F1238)=12),cubic_spline(F1226:F1238,A1226:A1238,B$4),""))))))))))))</f>
        <v/>
      </c>
      <c r="L1229" s="27" t="str">
        <f>IF(I1229="","",B$3&amp;"-"&amp;B$4)</f>
        <v/>
      </c>
      <c r="M1229" s="52" t="str">
        <f>IF(N(J1229)=0,"",J1229-J1228)</f>
        <v/>
      </c>
    </row>
    <row r="1230" spans="1:13" x14ac:dyDescent="0.35">
      <c r="A1230" s="48"/>
      <c r="B1230" s="48"/>
      <c r="C1230" s="50"/>
      <c r="D1230" s="50"/>
      <c r="E1230" s="51" t="str">
        <f t="shared" si="468"/>
        <v/>
      </c>
      <c r="F1230" s="68" t="str">
        <f t="shared" si="466"/>
        <v/>
      </c>
      <c r="G1230" s="69" t="str">
        <f t="shared" si="469"/>
        <v/>
      </c>
      <c r="H1230" s="70" t="str">
        <f t="shared" si="467"/>
        <v/>
      </c>
      <c r="I1230" s="27" t="str">
        <f>IF(N(J1230)=0,"",0&amp;"-"&amp;B$5)</f>
        <v/>
      </c>
      <c r="J1230" s="52" t="str">
        <f>IF(N(B$5)=0,"",IF(AND(COUNT(H1227:H1238)=2,COUNT(F1227:F1238)=2),cubic_spline(F1226:F1228,H1226:H1228,B$5),IF(AND(COUNT(H1227:H1238)=3,COUNT(F1227:F1238)=3),cubic_spline(F1226:F1229,H1226:H1229,B$5),IF(AND(COUNT(H1227:H1238)=4,COUNT(F1227:F1238)=4),cubic_spline(F1226:F1230,H1226:H1230,B$5),IF(AND(COUNT(H1227:H1238)=5,COUNT(F1227:F1238)=5),cubic_spline(F1226:F1231,H1226:H1231,B$5),IF(AND(COUNT(H1227:H1238)=6,COUNT(F1227:F1238)=6),cubic_spline(F1226:F1232,H1226:H1232,B$5),IF(AND(COUNT(H1227:H1238)=7,COUNT(F1227:F1238)=7),cubic_spline(F1226:F1233,H1226:H1233,B$5),IF(AND(COUNT(H1227:H1238)=8,COUNT(F1227:F1238)=8),cubic_spline(F1226:F1234,H1226:H1234,B$5),IF(AND(COUNT(H1227:H1238)=9,COUNT(F1227:F1238)=9),cubic_spline(F1226:F1235,H1226:H1235,B$5),IF(AND(COUNT(H1227:H1238)=10,COUNT(F1227:F1238)=10),cubic_spline(F1226:F1236,H1226:H1236,B$5),IF(AND(COUNT(H1227:H1238)=11,COUNT(F1227:F1238)=11),cubic_spline(F1226:F1237,H1226:H1237,B$5),IF(AND(COUNT(H1227:H1238)=12,COUNT(F1227:F1238)=12),cubic_spline(F1226:F1238,H1226:H1238,B$5),""))))))))))))</f>
        <v/>
      </c>
      <c r="K1230" s="52" t="str">
        <f>IF(N(B$5)=0,"",IF(AND(COUNT(A1227:A1238)=2,COUNT(F1227:F1238)=2),cubic_spline(F1226:F1228,A1226:A1228,B$5),IF(AND(COUNT(A1227:A1238)=3,COUNT(F1227:F1238)=3),cubic_spline(F1226:F1229,A1226:A1229,B$5),IF(AND(COUNT(A1227:A1238)=4,COUNT(F1227:F1238)=4),cubic_spline(F1226:F1230,A1226:A1230,B$5),IF(AND(COUNT(A1227:A1238)=5,COUNT(F1227:F1238)=5),cubic_spline(F1226:F1231,A1226:A1231,B$5),IF(AND(COUNT(A1227:A1238)=6,COUNT(F1227:F1238)=6),cubic_spline(F1226:F1232,A1226:A1232,B$5),IF(AND(COUNT(A1227:A1238)=7,COUNT(F1227:F1238)=7),cubic_spline(F1226:F1233,A1226:A1233,B$5),IF(AND(COUNT(A1227:A1238)=8,COUNT(F1227:F1238)=8),cubic_spline(F1226:F1234,A1226:A1234,B$5),IF(AND(COUNT(A1227:A1238)=9,COUNT(F1227:F1238)=9),cubic_spline(F1226:F1235,A1226:A1235,B$5),IF(AND(COUNT(A1227:A1238)=10,COUNT(F1227:F1238)=10),cubic_spline(F1226:F1236,A1226:A1236,B$5),IF(AND(COUNT(A1227:A1238)=11,COUNT(F1227:F1238)=11),cubic_spline(F1226:F1237,A1226:A1237,B$5),IF(AND(COUNT(A1227:A1238)=12,COUNT(F1227:F1238)=12),cubic_spline(F1226:F1238,A1226:A1238,B$5),""))))))))))))</f>
        <v/>
      </c>
      <c r="L1230" s="27" t="str">
        <f>IF(I1230="","",B$4&amp;"-"&amp;B$5)</f>
        <v/>
      </c>
      <c r="M1230" s="52" t="str">
        <f>IF(N(J1230)=0,"",J1230-J1229)</f>
        <v/>
      </c>
    </row>
    <row r="1231" spans="1:13" x14ac:dyDescent="0.35">
      <c r="A1231" s="48"/>
      <c r="B1231" s="48"/>
      <c r="C1231" s="50"/>
      <c r="D1231" s="50"/>
      <c r="E1231" s="51" t="str">
        <f t="shared" si="468"/>
        <v/>
      </c>
      <c r="F1231" s="71" t="str">
        <f t="shared" si="466"/>
        <v/>
      </c>
      <c r="G1231" s="69" t="str">
        <f t="shared" si="469"/>
        <v/>
      </c>
      <c r="H1231" s="70" t="str">
        <f t="shared" si="467"/>
        <v/>
      </c>
      <c r="I1231" s="27" t="str">
        <f>IF(N(J1231)=0,"",0&amp;"-"&amp;B$6)</f>
        <v/>
      </c>
      <c r="J1231" s="52" t="str">
        <f>IF(N(B$6)=0,"",IF(AND(COUNT(H1227:H1238)=2,COUNT(F1227:F1238)=2),cubic_spline(F1226:F1228,H1226:H1228,B$6),IF(AND(COUNT(H1227:H1238)=3,COUNT(F1227:F1238)=3),cubic_spline(F1226:F1229,H1226:H1229,B$6),IF(AND(COUNT(H1227:H1238)=4,COUNT(F1227:F1238)=4),cubic_spline(F1226:F1230,H1226:H1230,B$6),IF(AND(COUNT(H1227:H1238)=5,COUNT(F1227:F1238)=5),cubic_spline(F1226:F1231,H1226:H1231,B$6),IF(AND(COUNT(H1227:H1238)=6,COUNT(F1227:F1238)=6),cubic_spline(F1226:F1232,H1226:H1232,B$6),IF(AND(COUNT(H1227:H1238)=7,COUNT(F1227:F1238)=7),cubic_spline(F1226:F1233,H1226:H1233,B$6),IF(AND(COUNT(H1227:H1238)=8,COUNT(F1227:F1238)=8),cubic_spline(F1226:F1234,H1226:H1234,B$6),IF(AND(COUNT(H1227:H1238)=9,COUNT(F1227:F1238)=9),cubic_spline(F1226:F1235,H1226:H1235,B$6),IF(AND(COUNT(H1227:H1238)=10,COUNT(F1227:F1238)=10),cubic_spline(F1226:F1236,H1226:H1236,B$6),IF(AND(COUNT(H1227:H1238)=11,COUNT(F1227:F1238)=11),cubic_spline(F1226:F1237,H1226:H1237,B$6),IF(AND(COUNT(H1227:H1238)=12,COUNT(F1227:F1238)=12),cubic_spline(F1226:F1238,H1226:H1238,B$6),""))))))))))))</f>
        <v/>
      </c>
      <c r="K1231" s="52" t="str">
        <f>IF(N(B$6)=0,"",IF(AND(COUNT(A1227:A1238)=2,COUNT(F1227:F1238)=2),cubic_spline(F1226:F1228,A1226:A1228,B$6),IF(AND(COUNT(A1227:A1238)=3,COUNT(F1227:F1238)=3),cubic_spline(F1226:F1229,A1226:A1229,B$6),IF(AND(COUNT(A1227:A1238)=4,COUNT(F1227:F1238)=4),cubic_spline(F1226:F1230,A1226:A1230,B$6),IF(AND(COUNT(A1227:A1238)=5,COUNT(F1227:F1238)=5),cubic_spline(F1226:F1231,A1226:A1231,B$6),IF(AND(COUNT(A1227:A1238)=6,COUNT(F1227:F1238)=6),cubic_spline(F1226:F1232,A1226:A1232,B$6),IF(AND(COUNT(A1227:A1238)=7,COUNT(F1227:F1238)=7),cubic_spline(F1226:F1233,A1226:A1233,B$6),IF(AND(COUNT(A1227:A1238)=8,COUNT(F1227:F1238)=8),cubic_spline(F1226:F1234,A1226:A1234,B$6),IF(AND(COUNT(A1227:A1238)=9,COUNT(F1227:F1238)=9),cubic_spline(F1226:F1235,A1226:A1235,B$6),IF(AND(COUNT(A1227:A1238)=10,COUNT(F1227:F1238)=10),cubic_spline(F1226:F1236,A1226:A1236,B$6),IF(AND(COUNT(A1227:A1238)=11,COUNT(F1227:F1238)=11),cubic_spline(F1226:F1237,A1226:A1237,B$6),IF(AND(COUNT(A1227:A1238)=12,COUNT(F1227:F1238)=12),cubic_spline(F1226:F1238,A1226:A1238,B$6),""))))))))))))</f>
        <v/>
      </c>
      <c r="L1231" s="27" t="str">
        <f>IF(I1231="","",B$5&amp;"-"&amp;B$6)</f>
        <v/>
      </c>
      <c r="M1231" s="52" t="str">
        <f>IF(N(J1231)=0,"",J1231-J1230)</f>
        <v/>
      </c>
    </row>
    <row r="1232" spans="1:13" x14ac:dyDescent="0.35">
      <c r="A1232" s="48"/>
      <c r="B1232" s="48"/>
      <c r="C1232" s="50"/>
      <c r="D1232" s="50"/>
      <c r="E1232" s="51" t="str">
        <f t="shared" si="468"/>
        <v/>
      </c>
      <c r="F1232" s="71" t="str">
        <f t="shared" si="466"/>
        <v/>
      </c>
      <c r="G1232" s="69" t="str">
        <f t="shared" si="469"/>
        <v/>
      </c>
      <c r="H1232" s="70" t="str">
        <f t="shared" si="467"/>
        <v/>
      </c>
      <c r="I1232" s="27" t="str">
        <f>IF(N(J1232)=0,"",0&amp;"-"&amp;B$7)</f>
        <v/>
      </c>
      <c r="J1232" s="52" t="str">
        <f>IF(N(B$7)=0,"",IF(AND(COUNT(H1227:H1238)=2,COUNT(F1227:F1238)=2),cubic_spline(F1226:F1228,H1226:H1228,B$7),IF(AND(COUNT(H1227:H1238)=3,COUNT(F1227:F1238)=3),cubic_spline(F1226:F1229,H1226:H1229,B$7),IF(AND(COUNT(H1227:H1238)=4,COUNT(F1227:F1238)=4),cubic_spline(F1226:F1230,H1226:H1230,B$7),IF(AND(COUNT(H1227:H1238)=5,COUNT(F1227:F1238)=5),cubic_spline(F1226:F1231,H1226:H1231,B$7),IF(AND(COUNT(H1227:H1238)=6,COUNT(F1227:F1238)=6),cubic_spline(F1226:F1232,H1226:H1232,B$7),IF(AND(COUNT(H1227:H1238)=7,COUNT(F1227:F1238)=7),cubic_spline(F1226:F1233,H1226:H1233,B$7),IF(AND(COUNT(H1227:H1238)=8,COUNT(F1227:F1238)=8),cubic_spline(F1226:F1234,H1226:H1234,B$7),IF(AND(COUNT(H1227:H1238)=9,COUNT(F1227:F1238)=9),cubic_spline(F1226:F1235,H1226:H1235,B$7),IF(AND(COUNT(H1227:H1238)=10,COUNT(F1227:F1238)=10),cubic_spline(F1226:F1236,H1226:H1236,B$7),IF(AND(COUNT(H1227:H1238)=11,COUNT(F1227:F1238)=11),cubic_spline(F1226:F1237,H1226:H1237,B$7),IF(AND(COUNT(H1227:H1238)=12,COUNT(F1227:F1238)=12),cubic_spline(F1226:F1238,H1226:H1238,B$7),""))))))))))))</f>
        <v/>
      </c>
      <c r="K1232" s="52" t="str">
        <f>IF(N(B$7)=0,"",IF(AND(COUNT(A1227:A1238)=2,COUNT(F1227:F1238)=2),cubic_spline(F1226:F1228,A1226:A1228,B$7),IF(AND(COUNT(A1227:A1238)=3,COUNT(F1227:F1238)=3),cubic_spline(F1226:F1229,A1226:A1229,B$7),IF(AND(COUNT(A1227:A1238)=4,COUNT(F1227:F1238)=4),cubic_spline(F1226:F1230,A1226:A1230,B$7),IF(AND(COUNT(A1227:A1238)=5,COUNT(F1227:F1238)=5),cubic_spline(F1226:F1231,A1226:A1231,B$7),IF(AND(COUNT(A1227:A1238)=6,COUNT(F1227:F1238)=6),cubic_spline(F1226:F1232,A1226:A1232,B$7),IF(AND(COUNT(A1227:A1238)=7,COUNT(F1227:F1238)=7),cubic_spline(F1226:F1233,A1226:A1233,B$7),IF(AND(COUNT(A1227:A1238)=8,COUNT(F1227:F1238)=8),cubic_spline(F1226:F1234,A1226:A1234,B$7),IF(AND(COUNT(A1227:A1238)=9,COUNT(F1227:F1238)=9),cubic_spline(F1226:F1235,A1226:A1235,B$7),IF(AND(COUNT(A1227:A1238)=10,COUNT(F1227:F1238)=10),cubic_spline(F1226:F1236,A1226:A1236,B$7),IF(AND(COUNT(A1227:A1238)=11,COUNT(F1227:F1238)=11),cubic_spline(F1226:F1237,A1226:A1237,B$7),IF(AND(COUNT(A1227:A1238)=12,COUNT(F1227:F1238)=12),cubic_spline(F1226:F1238,A1226:A1238,B$7),""))))))))))))</f>
        <v/>
      </c>
      <c r="L1232" s="27" t="str">
        <f>IF(I1232="","",B$6&amp;"-"&amp;B$7)</f>
        <v/>
      </c>
      <c r="M1232" s="52" t="str">
        <f t="shared" ref="M1232:M1238" si="470">IF(N(J1232)=0,"",J1232-J1231)</f>
        <v/>
      </c>
    </row>
    <row r="1233" spans="1:13" x14ac:dyDescent="0.35">
      <c r="A1233" s="48"/>
      <c r="B1233" s="48"/>
      <c r="C1233" s="50"/>
      <c r="D1233" s="50"/>
      <c r="E1233" s="51" t="str">
        <f t="shared" si="468"/>
        <v/>
      </c>
      <c r="F1233" s="71" t="str">
        <f t="shared" si="466"/>
        <v/>
      </c>
      <c r="G1233" s="69" t="str">
        <f t="shared" si="469"/>
        <v/>
      </c>
      <c r="H1233" s="70" t="str">
        <f t="shared" si="467"/>
        <v/>
      </c>
      <c r="I1233" s="27" t="str">
        <f>IF(N(J1233)=0,"",0&amp;"-"&amp;B$8)</f>
        <v/>
      </c>
      <c r="J1233" s="52" t="str">
        <f>IF(N(B$8)=0,"",IF(AND(COUNT(H1227:H1238)=2,COUNT(F1227:F1238)=2),cubic_spline(F1226:F1228,H1226:H1228,B$8),IF(AND(COUNT(H1227:H1238)=3,COUNT(F1227:F1238)=3),cubic_spline(F1226:F1229,H1226:H1229,B$8),IF(AND(COUNT(H1227:H1238)=4,COUNT(F1227:F1238)=4),cubic_spline(F1226:F1230,H1226:H1230,B$8),IF(AND(COUNT(H1227:H1238)=5,COUNT(F1227:F1238)=5),cubic_spline(F1226:F1231,H1226:H1231,B$8),IF(AND(COUNT(H1227:H1238)=6,COUNT(F1227:F1238)=6),cubic_spline(F1226:F1232,H1226:H1232,B$8),IF(AND(COUNT(H1227:H1238)=7,COUNT(F1227:F1238)=7),cubic_spline(F1226:F1233,H1226:H1233,B$8),IF(AND(COUNT(H1227:H1238)=8,COUNT(F1227:F1238)=8),cubic_spline(F1226:F1234,H1226:H1234,B$8),IF(AND(COUNT(H1227:H1238)=9,COUNT(F1227:F1238)=9),cubic_spline(F1226:F1235,H1226:H1235,B$8),IF(AND(COUNT(H1227:H1238)=10,COUNT(F1227:F1238)=10),cubic_spline(F1226:F1236,H1226:H1236,B$8),IF(AND(COUNT(H1227:H1238)=11,COUNT(F1227:F1238)=11),cubic_spline(F1226:F1237,H1226:H1237,B$8),IF(AND(COUNT(H1227:H1238)=12,COUNT(F1227:F1238)=12),cubic_spline(F1226:F1238,H1226:H1238,B$8),""))))))))))))</f>
        <v/>
      </c>
      <c r="K1233" s="52" t="str">
        <f>IF(N(B$8)=0,"",IF(AND(COUNT(A1227:A1238)=2,COUNT(F1227:F1238)=2),cubic_spline(F1226:F1228,A1226:A1228,B$8),IF(AND(COUNT(A1227:A1238)=3,COUNT(F1227:F1238)=3),cubic_spline(F1226:F1229,A1226:A1229,B$8),IF(AND(COUNT(A1227:A1238)=4,COUNT(F1227:F1238)=4),cubic_spline(F1226:F1230,A1226:A1230,B$8),IF(AND(COUNT(A1227:A1238)=5,COUNT(F1227:F1238)=5),cubic_spline(F1226:F1231,A1226:A1231,B$8),IF(AND(COUNT(A1227:A1238)=6,COUNT(F1227:F1238)=6),cubic_spline(F1226:F1232,A1226:A1232,B$8),IF(AND(COUNT(A1227:A1238)=7,COUNT(F1227:F1238)=7),cubic_spline(F1226:F1233,A1226:A1233,B$8),IF(AND(COUNT(A1227:A1238)=8,COUNT(F1227:F1238)=8),cubic_spline(F1226:F1234,A1226:A1234,B$8),IF(AND(COUNT(A1227:A1238)=9,COUNT(F1227:F1238)=9),cubic_spline(F1226:F1235,A1226:A1235,B$8),IF(AND(COUNT(A1227:A1238)=10,COUNT(F1227:F1238)=10),cubic_spline(F1226:F1236,A1226:A1236,B$8),IF(AND(COUNT(A1227:A1238)=11,COUNT(F1227:F1238)=11),cubic_spline(F1226:F1237,A1226:A1237,B$8),IF(AND(COUNT(A1227:A1238)=12,COUNT(F1227:F1238)=12),cubic_spline(F1226:F1238,A1226:A1238,B$8),""))))))))))))</f>
        <v/>
      </c>
      <c r="L1233" s="27" t="str">
        <f>IF(I1233="","",B$7&amp;"-"&amp;B$8)</f>
        <v/>
      </c>
      <c r="M1233" s="52" t="str">
        <f t="shared" si="470"/>
        <v/>
      </c>
    </row>
    <row r="1234" spans="1:13" x14ac:dyDescent="0.35">
      <c r="A1234" s="48"/>
      <c r="B1234" s="48"/>
      <c r="C1234" s="50"/>
      <c r="D1234" s="50"/>
      <c r="E1234" s="51" t="str">
        <f t="shared" si="468"/>
        <v/>
      </c>
      <c r="F1234" s="71" t="str">
        <f t="shared" si="466"/>
        <v/>
      </c>
      <c r="G1234" s="69" t="str">
        <f t="shared" si="469"/>
        <v/>
      </c>
      <c r="H1234" s="70" t="str">
        <f t="shared" si="467"/>
        <v/>
      </c>
      <c r="I1234" s="27" t="str">
        <f>IF(N(J1234)=0,"",0&amp;"-"&amp;B$9)</f>
        <v/>
      </c>
      <c r="J1234" s="52" t="str">
        <f>IF(N(B$9)=0,"",IF(AND(COUNT(H1227:H1238)=2,COUNT(F1227:F1238)=2),cubic_spline(F1226:F1228,H1226:H1228,B$9),IF(AND(COUNT(H1227:H1238)=3,COUNT(F1227:F1238)=3),cubic_spline(F1226:F1229,H1226:H1229,B$9),IF(AND(COUNT(H1227:H1238)=4,COUNT(F1227:F1238)=4),cubic_spline(F1226:F1230,H1226:H1230,B$9),IF(AND(COUNT(H1227:H1238)=5,COUNT(F1227:F1238)=5),cubic_spline(F1226:F1231,H1226:H1231,B$9),IF(AND(COUNT(H1227:H1238)=6,COUNT(F1227:F1238)=6),cubic_spline(F1226:F1232,H1226:H1232,B$9),IF(AND(COUNT(H1227:H1238)=7,COUNT(F1227:F1238)=7),cubic_spline(F1226:F1233,H1226:H1233,B$9),IF(AND(COUNT(H1227:H1238)=8,COUNT(F1227:F1238)=8),cubic_spline(F1226:F1234,H1226:H1234,B$9),IF(AND(COUNT(H1227:H1238)=9,COUNT(F1227:F1238)=9),cubic_spline(F1226:F1235,H1226:H1235,B$9),IF(AND(COUNT(H1227:H1238)=10,COUNT(F1227:F1238)=10),cubic_spline(F1226:F1236,H1226:H1236,B$9),IF(AND(COUNT(H1227:H1238)=11,COUNT(F1227:F1238)=11),cubic_spline(F1226:F1237,H1226:H1237,B$9),IF(AND(COUNT(H1227:H1238)=12,COUNT(F1227:F1238)=12),cubic_spline(F1226:F1238,H1226:H1238,B$9),""))))))))))))</f>
        <v/>
      </c>
      <c r="K1234" s="52" t="str">
        <f>IF(N(B$9)=0,"",IF(AND(COUNT(A1227:A1238)=2,COUNT(F1227:F1238)=2),cubic_spline(F1226:F1228,A1226:A1228,B$9),IF(AND(COUNT(A1227:A1238)=3,COUNT(F1227:F1238)=3),cubic_spline(F1226:F1229,A1226:A1229,B$9),IF(AND(COUNT(A1227:A1238)=4,COUNT(F1227:F1238)=4),cubic_spline(F1226:F1230,A1226:A1230,B$9),IF(AND(COUNT(A1227:A1238)=5,COUNT(F1227:F1238)=5),cubic_spline(F1226:F1231,A1226:A1231,B$9),IF(AND(COUNT(A1227:A1238)=6,COUNT(F1227:F1238)=6),cubic_spline(F1226:F1232,A1226:A1232,B$9),IF(AND(COUNT(A1227:A1238)=7,COUNT(F1227:F1238)=7),cubic_spline(F1226:F1233,A1226:A1233,B$9),IF(AND(COUNT(A1227:A1238)=8,COUNT(F1227:F1238)=8),cubic_spline(F1226:F1234,A1226:A1234,B$9),IF(AND(COUNT(A1227:A1238)=9,COUNT(F1227:F1238)=9),cubic_spline(F1226:F1235,A1226:A1235,B$9),IF(AND(COUNT(A1227:A1238)=10,COUNT(F1227:F1238)=10),cubic_spline(F1226:F1236,A1226:A1236,B$9),IF(AND(COUNT(A1227:A1238)=11,COUNT(F1227:F1238)=11),cubic_spline(F1226:F1237,A1226:A1237,B$9),IF(AND(COUNT(A1227:A1238)=12,COUNT(F1227:F1238)=12),cubic_spline(F1226:F1238,A1226:A1238,B$9),""))))))))))))</f>
        <v/>
      </c>
      <c r="L1234" s="27" t="str">
        <f>IF(I1234="","",B$8&amp;"-"&amp;B$9)</f>
        <v/>
      </c>
      <c r="M1234" s="52" t="str">
        <f t="shared" si="470"/>
        <v/>
      </c>
    </row>
    <row r="1235" spans="1:13" x14ac:dyDescent="0.35">
      <c r="A1235" s="48"/>
      <c r="B1235" s="48"/>
      <c r="C1235" s="50"/>
      <c r="D1235" s="50"/>
      <c r="E1235" s="51" t="str">
        <f t="shared" si="468"/>
        <v/>
      </c>
      <c r="F1235" s="71" t="str">
        <f t="shared" si="466"/>
        <v/>
      </c>
      <c r="G1235" s="69" t="str">
        <f t="shared" si="469"/>
        <v/>
      </c>
      <c r="H1235" s="70" t="str">
        <f t="shared" si="467"/>
        <v/>
      </c>
      <c r="I1235" s="27" t="str">
        <f>IF(N(J1235)=0,"",0&amp;"-"&amp;B$10)</f>
        <v/>
      </c>
      <c r="J1235" s="52" t="str">
        <f>IF(N(B$10)=0,"",IF(AND(COUNT(H1227:H1238)=2,COUNT(F1227:F1238)=2),cubic_spline(F1226:F1228,H1226:H1228,B$10),IF(AND(COUNT(H1227:H1238)=3,COUNT(F1227:F1238)=3),cubic_spline(F1226:F1229,H1226:H1229,B$10),IF(AND(COUNT(H1227:H1238)=4,COUNT(F1227:F1238)=4),cubic_spline(F1226:F1230,H1226:H1230,B$10),IF(AND(COUNT(H1227:H1238)=5,COUNT(F1227:F1238)=5),cubic_spline(F1226:F1231,H1226:H1231,B$10),IF(AND(COUNT(H1227:H1238)=6,COUNT(F1227:F1238)=6),cubic_spline(F1226:F1232,H1226:H1232,B$10),IF(AND(COUNT(H1227:H1238)=7,COUNT(F1227:F1238)=7),cubic_spline(F1226:F1233,H1226:H1233,B$10),IF(AND(COUNT(H1227:H1238)=8,COUNT(F1227:F1238)=8),cubic_spline(F1226:F1234,H1226:H1234,B$10),IF(AND(COUNT(H1227:H1238)=9,COUNT(F1227:F1238)=9),cubic_spline(F1226:F1235,H1226:H1235,B$10),IF(AND(COUNT(H1227:H1238)=10,COUNT(F1227:F1238)=10),cubic_spline(F1226:F1236,H1226:H1236,B$10),IF(AND(COUNT(H1227:H1238)=11,COUNT(F1227:F1238)=11),cubic_spline(F1226:F1237,H1226:H1237,B$10),IF(AND(COUNT(H1227:H1238)=12,COUNT(F1227:F1238)=12),cubic_spline(F1226:F1238,H1226:H1238,B$10),""))))))))))))</f>
        <v/>
      </c>
      <c r="K1235" s="52" t="str">
        <f>IF(N(B$10)=0,"",IF(AND(COUNT(A1227:A1238)=2,COUNT(F1227:F1238)=2),cubic_spline(F1226:F1228,A1226:A1228,B$10),IF(AND(COUNT(A1227:A1238)=3,COUNT(F1227:F1238)=3),cubic_spline(F1226:F1229,A1226:A1229,B$10),IF(AND(COUNT(A1227:A1238)=4,COUNT(F1227:F1238)=4),cubic_spline(F1226:F1230,A1226:A1230,B$10),IF(AND(COUNT(A1227:A1238)=5,COUNT(F1227:F1238)=5),cubic_spline(F1226:F1231,A1226:A1231,B$10),IF(AND(COUNT(A1227:A1238)=6,COUNT(F1227:F1238)=6),cubic_spline(F1226:F1232,A1226:A1232,B$10),IF(AND(COUNT(A1227:A1238)=7,COUNT(F1227:F1238)=7),cubic_spline(F1226:F1233,A1226:A1233,B$10),IF(AND(COUNT(A1227:A1238)=8,COUNT(F1227:F1238)=8),cubic_spline(F1226:F1234,A1226:A1234,B$10),IF(AND(COUNT(A1227:A1238)=9,COUNT(F1227:F1238)=9),cubic_spline(F1226:F1235,A1226:A1235,B$10),IF(AND(COUNT(A1227:A1238)=10,COUNT(F1227:F1238)=10),cubic_spline(F1226:F1236,A1226:A1236,B$10),IF(AND(COUNT(A1227:A1238)=11,COUNT(F1227:F1238)=11),cubic_spline(F1226:F1237,A1226:A1237,B$10),IF(AND(COUNT(A1227:A1238)=12,COUNT(F1227:F1238)=12),cubic_spline(F1226:F1238,A1226:A1238,B$10),""))))))))))))</f>
        <v/>
      </c>
      <c r="L1235" s="27" t="str">
        <f>IF(I1235="","",B$9&amp;"-"&amp;B$10)</f>
        <v/>
      </c>
      <c r="M1235" s="52" t="str">
        <f t="shared" si="470"/>
        <v/>
      </c>
    </row>
    <row r="1236" spans="1:13" x14ac:dyDescent="0.35">
      <c r="A1236" s="48"/>
      <c r="B1236" s="48"/>
      <c r="C1236" s="50"/>
      <c r="D1236" s="50"/>
      <c r="E1236" s="51" t="str">
        <f t="shared" si="468"/>
        <v/>
      </c>
      <c r="F1236" s="71" t="str">
        <f t="shared" si="466"/>
        <v/>
      </c>
      <c r="G1236" s="69" t="str">
        <f t="shared" si="469"/>
        <v/>
      </c>
      <c r="H1236" s="70" t="str">
        <f t="shared" si="467"/>
        <v/>
      </c>
      <c r="I1236" s="27" t="str">
        <f>IF(N(J1236)=0,"",0&amp;"-"&amp;B$11)</f>
        <v/>
      </c>
      <c r="J1236" s="52" t="str">
        <f>IF(N(B$11)=0,"",IF(AND(COUNT(H1227:H1238)=2,COUNT(F1227:F1238)=2),cubic_spline(F1226:F1228,H1226:H1228,B$11),IF(AND(COUNT(H1227:H1238)=3,COUNT(F1227:F1238)=3),cubic_spline(F1226:F1229,H1226:H1229,B$11),IF(AND(COUNT(H1227:H1238)=4,COUNT(F1227:F1238)=4),cubic_spline(F1226:F1230,H1226:H1230,B$11),IF(AND(COUNT(H1227:H1238)=5,COUNT(F1227:F1238)=5),cubic_spline(F1226:F1231,H1226:H1231,B$11),IF(AND(COUNT(H1227:H1238)=6,COUNT(F1227:F1238)=6),cubic_spline(F1226:F1232,H1226:H1232,B$11),IF(AND(COUNT(H1227:H1238)=7,COUNT(F1227:F1238)=7),cubic_spline(F1226:F1233,H1226:H1233,B$11),IF(AND(COUNT(H1227:H1238)=8,COUNT(F1227:F1238)=8),cubic_spline(F1226:F1234,H1226:H1234,B$11),IF(AND(COUNT(H1227:H1238)=9,COUNT(F1227:F1238)=9),cubic_spline(F1226:F1235,H1226:H1235,B$11),IF(AND(COUNT(H1227:H1238)=10,COUNT(F1227:F1238)=10),cubic_spline(F1226:F1236,H1226:H1236,B$11),IF(AND(COUNT(H1227:H1238)=11,COUNT(F1227:F1238)=11),cubic_spline(F1226:F1237,H1226:H1237,B$11),IF(AND(COUNT(H1227:H1238)=12,COUNT(F1227:F1238)=12),cubic_spline(F1226:F1238,H1226:H1238,B$11),""))))))))))))</f>
        <v/>
      </c>
      <c r="K1236" s="52" t="str">
        <f>IF(N(B$11)=0,"",IF(AND(COUNT(A1227:A1238)=2,COUNT(F1227:F1238)=2),cubic_spline(F1226:F1228,A1226:A1228,B$11),IF(AND(COUNT(A1227:A1238)=3,COUNT(F1227:F1238)=3),cubic_spline(F1226:F1229,A1226:A1229,B$11),IF(AND(COUNT(A1227:A1238)=4,COUNT(F1227:F1238)=4),cubic_spline(F1226:F1230,A1226:A1230,B$11),IF(AND(COUNT(A1227:A1238)=5,COUNT(F1227:F1238)=5),cubic_spline(F1226:F1231,A1226:A1231,B$11),IF(AND(COUNT(A1227:A1238)=6,COUNT(F1227:F1238)=6),cubic_spline(F1226:F1232,A1226:A1232,B$11),IF(AND(COUNT(A1227:A1238)=7,COUNT(F1227:F1238)=7),cubic_spline(F1226:F1233,A1226:A1233,B$11),IF(AND(COUNT(A1227:A1238)=8,COUNT(F1227:F1238)=8),cubic_spline(F1226:F1234,A1226:A1234,B$11),IF(AND(COUNT(A1227:A1238)=9,COUNT(F1227:F1238)=9),cubic_spline(F1226:F1235,A1226:A1235,B$11),IF(AND(COUNT(A1227:A1238)=10,COUNT(F1227:F1238)=10),cubic_spline(F1226:F1236,A1226:A1236,B$11),IF(AND(COUNT(A1227:A1238)=11,COUNT(F1227:F1238)=11),cubic_spline(F1226:F1237,A1226:A1237,B$11),IF(AND(COUNT(A1227:A1238)=12,COUNT(F1227:F1238)=12),cubic_spline(F1226:F1238,A1226:A1238,B$11),""))))))))))))</f>
        <v/>
      </c>
      <c r="L1236" s="27" t="str">
        <f>IF(I1236="","",B$10&amp;"-"&amp;B$11)</f>
        <v/>
      </c>
      <c r="M1236" s="52" t="str">
        <f t="shared" si="470"/>
        <v/>
      </c>
    </row>
    <row r="1237" spans="1:13" x14ac:dyDescent="0.35">
      <c r="A1237" s="48"/>
      <c r="B1237" s="48"/>
      <c r="C1237" s="50"/>
      <c r="D1237" s="50"/>
      <c r="E1237" s="51" t="str">
        <f t="shared" si="468"/>
        <v/>
      </c>
      <c r="F1237" s="71" t="str">
        <f t="shared" si="466"/>
        <v/>
      </c>
      <c r="G1237" s="69" t="str">
        <f t="shared" si="469"/>
        <v/>
      </c>
      <c r="H1237" s="70" t="str">
        <f t="shared" si="467"/>
        <v/>
      </c>
      <c r="I1237" s="27" t="str">
        <f>IF(N(J1237)=0,"",0&amp;"-"&amp;B$12)</f>
        <v/>
      </c>
      <c r="J1237" s="52" t="str">
        <f>IF(N(B$12)=0,"",IF(AND(COUNT(H1227:H1238)=2,COUNT(F1227:F1238)=2),cubic_spline(F1226:F1228,H1226:H1228,B$12),IF(AND(COUNT(H1227:H1238)=3,COUNT(F1227:F1238)=3),cubic_spline(F1226:F1229,H1226:H1229,B$12),IF(AND(COUNT(H1227:H1238)=4,COUNT(F1227:F1238)=4),cubic_spline(F1226:F1230,H1226:H1230,B$12),IF(AND(COUNT(H1227:H1238)=5,COUNT(F1227:F1238)=5),cubic_spline(F1226:F1231,H1226:H1231,B$12),IF(AND(COUNT(H1227:H1238)=6,COUNT(F1227:F1238)=6),cubic_spline(F1226:F1232,H1226:H1232,B$12),IF(AND(COUNT(H1227:H1238)=7,COUNT(F1227:F1238)=7),cubic_spline(F1226:F1233,H1226:H1233,B$12),IF(AND(COUNT(H1227:H1238)=8,COUNT(F1227:F1238)=8),cubic_spline(F1226:F1234,H1226:H1234,B$12),IF(AND(COUNT(H1227:H1238)=9,COUNT(F1227:F1238)=9),cubic_spline(F1226:F1235,H1226:H1235,B$12),IF(AND(COUNT(H1227:H1238)=10,COUNT(F1227:F1238)=10),cubic_spline(F1226:F1236,H1226:H1236,B$12),IF(AND(COUNT(H1227:H1238)=11,COUNT(F1227:F1238)=11),cubic_spline(F1226:F1237,H1226:H1237,B$12),IF(AND(COUNT(H1227:H1238)=12,COUNT(F1227:F1238)=12),cubic_spline(F1226:F1238,H1226:H1238,B$12),""))))))))))))</f>
        <v/>
      </c>
      <c r="K1237" s="52" t="str">
        <f>IF(N(B$12)=0,"",IF(AND(COUNT(A1227:A1238)=2,COUNT(F1227:F1238)=2),cubic_spline(F1226:F1228,A1226:A1228,B$12),IF(AND(COUNT(A1227:A1238)=3,COUNT(F1227:F1238)=3),cubic_spline(F1226:F1229,A1226:A1229,B$12),IF(AND(COUNT(A1227:A1238)=4,COUNT(F1227:F1238)=4),cubic_spline(F1226:F1230,A1226:A1230,B$12),IF(AND(COUNT(A1227:A1238)=5,COUNT(F1227:F1238)=5),cubic_spline(F1226:F1231,A1226:A1231,B$12),IF(AND(COUNT(A1227:A1238)=6,COUNT(F1227:F1238)=6),cubic_spline(F1226:F1232,A1226:A1232,B$12),IF(AND(COUNT(A1227:A1238)=7,COUNT(F1227:F1238)=7),cubic_spline(F1226:F1233,A1226:A1233,B$12),IF(AND(COUNT(A1227:A1238)=8,COUNT(F1227:F1238)=8),cubic_spline(F1226:F1234,A1226:A1234,B$12),IF(AND(COUNT(A1227:A1238)=9,COUNT(F1227:F1238)=9),cubic_spline(F1226:F1235,A1226:A1235,B$12),IF(AND(COUNT(A1227:A1238)=10,COUNT(F1227:F1238)=10),cubic_spline(F1226:F1236,A1226:A1236,B$12),IF(AND(COUNT(A1227:A1238)=11,COUNT(F1227:F1238)=11),cubic_spline(F1226:F1237,A1226:A1237,B$12),IF(AND(COUNT(A1227:A1238)=12,COUNT(F1227:F1238)=12),cubic_spline(F1226:F1238,A1226:A1238,B$12),""))))))))))))</f>
        <v/>
      </c>
      <c r="L1237" s="27" t="str">
        <f>IF(I1237="","",B$11&amp;"-"&amp;B$12)</f>
        <v/>
      </c>
      <c r="M1237" s="52" t="str">
        <f t="shared" si="470"/>
        <v/>
      </c>
    </row>
    <row r="1238" spans="1:13" x14ac:dyDescent="0.35">
      <c r="A1238" s="48"/>
      <c r="B1238" s="48"/>
      <c r="C1238" s="50"/>
      <c r="D1238" s="50"/>
      <c r="E1238" s="51" t="str">
        <f t="shared" si="468"/>
        <v/>
      </c>
      <c r="F1238" s="71" t="str">
        <f t="shared" si="466"/>
        <v/>
      </c>
      <c r="G1238" s="69" t="str">
        <f t="shared" si="469"/>
        <v/>
      </c>
      <c r="H1238" s="70" t="str">
        <f t="shared" si="467"/>
        <v/>
      </c>
      <c r="I1238" s="27" t="str">
        <f>IF(N(J1238)=0,"",0&amp;"-"&amp;B$13)</f>
        <v/>
      </c>
      <c r="J1238" s="52" t="str">
        <f>IF(N(B$13)=0,"",IF(AND(COUNT(H1227:H1238)=2,COUNT(F1227:F1238)=2),cubic_spline(F1226:F1228,H1226:H1228,B$13),IF(AND(COUNT(H1227:H1238)=3,COUNT(F1227:F1238)=3),cubic_spline(F1226:F1229,H1226:H1229,B$13),IF(AND(COUNT(H1227:H1238)=4,COUNT(F1227:F1238)=4),cubic_spline(F1226:F1230,H1226:H1230,B$13),IF(AND(COUNT(H1227:H1238)=5,COUNT(F1227:F1238)=5),cubic_spline(F1226:F1231,H1226:H1231,B$13),IF(AND(COUNT(H1227:H1238)=6,COUNT(F1227:F1238)=6),cubic_spline(F1226:F1232,H1226:H1232,B$13),IF(AND(COUNT(H1227:H1238)=7,COUNT(F1227:F1238)=7),cubic_spline(F1226:F1233,H1226:H1233,B$13),IF(AND(COUNT(H1227:H1238)=8,COUNT(F1227:F1238)=8),cubic_spline(F1226:F1234,H1226:H1234,B$13),IF(AND(COUNT(H1227:H1238)=9,COUNT(F1227:F1238)=9),cubic_spline(F1226:F1235,H1226:H1235,B$13),IF(AND(COUNT(H1227:H1238)=10,COUNT(F1227:F1238)=10),cubic_spline(F1226:F1236,H1226:H1236,B$13),IF(AND(COUNT(H1227:H1238)=11,COUNT(F1227:F1238)=11),cubic_spline(F1226:F1237,H1226:H1237,B$13),IF(AND(COUNT(H1227:H1238)=12,COUNT(F1227:F1238)=12),cubic_spline(F1226:F1238,H1226:H1238,B$13),""))))))))))))</f>
        <v/>
      </c>
      <c r="K1238" s="52" t="str">
        <f>IF(N(B$13)=0,"",IF(AND(COUNT(A1227:A1238)=2,COUNT(F1227:F1238)=2),cubic_spline(F1226:F1228,A1226:A1228,B$13),IF(AND(COUNT(A1227:A1238)=3,COUNT(F1227:F1238)=3),cubic_spline(F1226:F1229,A1226:A1229,B$13),IF(AND(COUNT(A1227:A1238)=4,COUNT(F1227:F1238)=4),cubic_spline(F1226:F1230,A1226:A1230,B$13),IF(AND(COUNT(A1227:A1238)=5,COUNT(F1227:F1238)=5),cubic_spline(F1226:F1231,A1226:A1231,B$13),IF(AND(COUNT(A1227:A1238)=6,COUNT(F1227:F1238)=6),cubic_spline(F1226:F1232,A1226:A1232,B$13),IF(AND(COUNT(A1227:A1238)=7,COUNT(F1227:F1238)=7),cubic_spline(F1226:F1233,A1226:A1233,B$13),IF(AND(COUNT(A1227:A1238)=8,COUNT(F1227:F1238)=8),cubic_spline(F1226:F1234,A1226:A1234,B$13),IF(AND(COUNT(A1227:A1238)=9,COUNT(F1227:F1238)=9),cubic_spline(F1226:F1235,A1226:A1235,B$13),IF(AND(COUNT(A1227:A1238)=10,COUNT(F1227:F1238)=10),cubic_spline(F1226:F1236,A1226:A1236,B$13),IF(AND(COUNT(A1227:A1238)=11,COUNT(F1227:F1238)=11),cubic_spline(F1226:F1237,A1226:A1237,B$13),IF(AND(COUNT(A1227:A1238)=12,COUNT(F1227:F1238)=12),cubic_spline(F1226:F1238,A1226:A1238,B$13),""))))))))))))</f>
        <v/>
      </c>
      <c r="L1238" s="27" t="str">
        <f>IF(I1238="","",B$12&amp;"-"&amp;B$13)</f>
        <v/>
      </c>
      <c r="M1238" s="52" t="str">
        <f t="shared" si="470"/>
        <v/>
      </c>
    </row>
    <row r="1239" spans="1:13" ht="5.15" customHeight="1" x14ac:dyDescent="0.35">
      <c r="A1239" s="47"/>
      <c r="B1239" s="47"/>
      <c r="C1239" s="53"/>
      <c r="D1239" s="53"/>
      <c r="E1239" s="54"/>
      <c r="F1239" s="55"/>
      <c r="G1239" s="72"/>
      <c r="H1239" s="73"/>
      <c r="I1239" s="47"/>
      <c r="J1239" s="57"/>
      <c r="K1239" s="57"/>
      <c r="L1239" s="55"/>
      <c r="M1239" s="57"/>
    </row>
    <row r="1240" spans="1:13" x14ac:dyDescent="0.35">
      <c r="A1240" s="48"/>
      <c r="B1240" s="48"/>
      <c r="C1240" s="50"/>
      <c r="D1240" s="50"/>
      <c r="E1240" s="51" t="str">
        <f>IF(N(C1240)=0,"",(A1240-A1239)*C1240*100)</f>
        <v/>
      </c>
      <c r="F1240" s="68" t="str">
        <f t="shared" ref="F1240:F1251" si="471">IF(N(E1240)=0,"",(N(E1240)+N(F1239)))</f>
        <v/>
      </c>
      <c r="G1240" s="69" t="str">
        <f>IF(OR(N(D1240)=0,N(E1240)=0),"",(E1240*D1240)/1000)</f>
        <v/>
      </c>
      <c r="H1240" s="70" t="str">
        <f t="shared" ref="H1240:H1251" si="472">IF(N(G1240)=0,"",(N(G1240)+N(H1239)))</f>
        <v/>
      </c>
      <c r="I1240" s="27" t="str">
        <f>IF(N(J1240)=0,"",0&amp;"-"&amp;B$2)</f>
        <v/>
      </c>
      <c r="J1240" s="52" t="str">
        <f>IF(N(B$2)=0,"",IF(AND(COUNT(H1240:H1251)=2,COUNT(F1240:F1251)=2),cubic_spline(F1239:F1241,H1239:H1241,B$2),IF(AND(COUNT(H1240:H1251)=3,COUNT(F1240:F1251)=3),cubic_spline(F1239:F1242,H1239:H1242,B$2),IF(AND(COUNT(H1240:H1251)=4,COUNT(F1240:F1251)=4),cubic_spline(F1239:F1243,H1239:H1243,B$2),IF(AND(COUNT(H1240:H1251)=5,COUNT(F1240:F1251)=5),cubic_spline(F1239:F1244,H1239:H1244,B$2),IF(AND(COUNT(H1240:H1251)=6,COUNT(F1240:F1251)=6),cubic_spline(F1239:F1245,H1239:H1245,B$2),IF(AND(COUNT(H1240:H1251)=7,COUNT(F1240:F1251)=7),cubic_spline(F1239:F1246,H1239:H1246,B$2),IF(AND(COUNT(H1240:H1251)=8,COUNT(F1240:F1251)=8),cubic_spline(F1239:F1247,H1239:H1247,B$2),IF(AND(COUNT(H1240:H1251)=9,COUNT(F1240:F1251)=9),cubic_spline(F1239:F1248,H1239:H1248,B$2),IF(AND(COUNT(H1240:H1251)=10,COUNT(F1240:F1251)=10),cubic_spline(F1239:F1249,H1239:H1249,B$2),IF(AND(COUNT(H1240:H1251)=11,COUNT(F1240:F1251)=11),cubic_spline(F1239:F1250,H1239:H1250,B$2),IF(AND(COUNT(H1240:H1251)=12,COUNT(F1240:F1251)=12),cubic_spline(F1239:F1251,H1239:H1251,B$2),""))))))))))))</f>
        <v/>
      </c>
      <c r="K1240" s="52" t="str">
        <f>IF(N(B$2)=0,"",IF(AND(COUNT(A1240:A1251)=2,COUNT(F1240:F1251)=2),cubic_spline(F1239:F1241,A1239:A1241,B$2),IF(AND(COUNT(A1240:A1251)=3,COUNT(F1240:F1251)=3),cubic_spline(F1239:F1242,A1239:A1242,B$2),IF(AND(COUNT(A1240:A1251)=4,COUNT(F1240:F1251)=4),cubic_spline(F1239:F1243,A1239:A1243,B$2),IF(AND(COUNT(A1240:A1251)=5,COUNT(F1240:F1251)=5),cubic_spline(F1239:F1244,A1239:A1244,B$2),IF(AND(COUNT(A1240:A1251)=6,COUNT(F1240:F1251)=6),cubic_spline(F1239:F1245,A1239:A1245,B$2),IF(AND(COUNT(A1240:A1251)=7,COUNT(F1240:F1251)=7),cubic_spline(F1239:F1246,A1239:A1246,B$2),IF(AND(COUNT(A1240:A1251)=8,COUNT(F1240:F1251)=8),cubic_spline(F1239:F1247,A1239:A1247,B$2),IF(AND(COUNT(A1240:A1251)=9,COUNT(F1240:F1251)=9),cubic_spline(F1239:F1248,A1239:A1248,B$2),IF(AND(COUNT(A1240:A1251)=10,COUNT(F1240:F1251)=10),cubic_spline(F1239:F1249,A1239:A1249,B$2),IF(AND(COUNT(A1240:A1251)=11,COUNT(F1240:F1251)=11),cubic_spline(F1239:F1250,A1239:A1250,B$2),IF(AND(COUNT(A1240:A1251)=12,COUNT(F1240:F1251)=12),cubic_spline(F1239:F1251,A1239:A1251,B$2),""))))))))))))</f>
        <v/>
      </c>
      <c r="L1240" s="27" t="str">
        <f>IF(I1240="","",0&amp;"-"&amp;B$2)</f>
        <v/>
      </c>
      <c r="M1240" s="52" t="str">
        <f>IF(N(J1240)=0,"",J1240-J1239)</f>
        <v/>
      </c>
    </row>
    <row r="1241" spans="1:13" x14ac:dyDescent="0.35">
      <c r="A1241" s="48"/>
      <c r="B1241" s="48"/>
      <c r="C1241" s="50"/>
      <c r="D1241" s="50"/>
      <c r="E1241" s="51" t="str">
        <f t="shared" ref="E1241:E1251" si="473">IF(N(C1241)=0,"",(A1241-A1240)*C1241*100)</f>
        <v/>
      </c>
      <c r="F1241" s="68" t="str">
        <f t="shared" si="471"/>
        <v/>
      </c>
      <c r="G1241" s="69" t="str">
        <f t="shared" ref="G1241:G1251" si="474">IF(OR(N(D1241)=0,N(E1241)=0),"",(E1241*D1241)/1000)</f>
        <v/>
      </c>
      <c r="H1241" s="70" t="str">
        <f t="shared" si="472"/>
        <v/>
      </c>
      <c r="I1241" s="27" t="str">
        <f>IF(N(J1241)=0,"",0&amp;"-"&amp;B$3)</f>
        <v/>
      </c>
      <c r="J1241" s="52" t="str">
        <f>IF(N(B$3)=0,"",IF(AND(COUNT(H1240:H1251)=2,COUNT(F1240:F1251)=2),cubic_spline(F1239:F1241,H1239:H1241,B$3),IF(AND(COUNT(H1240:H1251)=3,COUNT(F1240:F1251)=3),cubic_spline(F1239:F1242,H1239:H1242,B$3),IF(AND(COUNT(H1240:H1251)=4,COUNT(F1240:F1251)=4),cubic_spline(F1239:F1243,H1239:H1243,B$3),IF(AND(COUNT(H1240:H1251)=5,COUNT(F1240:F1251)=5),cubic_spline(F1239:F1244,H1239:H1244,B$3),IF(AND(COUNT(H1240:H1251)=6,COUNT(F1240:F1251)=6),cubic_spline(F1239:F1245,H1239:H1245,B$3),IF(AND(COUNT(H1240:H1251)=7,COUNT(F1240:F1251)=7),cubic_spline(F1239:F1246,H1239:H1246,B$3),IF(AND(COUNT(H1240:H1251)=8,COUNT(F1240:F1251)=8),cubic_spline(F1239:F1247,H1239:H1247,B$3),IF(AND(COUNT(H1240:H1251)=9,COUNT(F1240:F1251)=9),cubic_spline(F1239:F1248,H1239:H1248,B$3),IF(AND(COUNT(H1240:H1251)=10,COUNT(F1240:F1251)=10),cubic_spline(F1239:F1249,H1239:H1249,B$3),IF(AND(COUNT(H1240:H1251)=11,COUNT(F1240:F1251)=11),cubic_spline(F1239:F1250,H1239:H1250,B$3),IF(AND(COUNT(H1240:H1251)=12,COUNT(F1240:F1251)=12),cubic_spline(F1239:F1251,H1239:H1251,B$3),""))))))))))))</f>
        <v/>
      </c>
      <c r="K1241" s="52" t="str">
        <f>IF(N(B$3)=0,"",IF(AND(COUNT(A1240:A1251)=2,COUNT(F1240:F1251)=2),cubic_spline(F1239:F1241,A1239:A1241,B$3),IF(AND(COUNT(A1240:A1251)=3,COUNT(F1240:F1251)=3),cubic_spline(F1239:F1242,A1239:A1242,B$3),IF(AND(COUNT(A1240:A1251)=4,COUNT(F1240:F1251)=4),cubic_spline(F1239:F1243,A1239:A1243,B$3),IF(AND(COUNT(A1240:A1251)=5,COUNT(F1240:F1251)=5),cubic_spline(F1239:F1244,A1239:A1244,B$3),IF(AND(COUNT(A1240:A1251)=6,COUNT(F1240:F1251)=6),cubic_spline(F1239:F1245,A1239:A1245,B$3),IF(AND(COUNT(A1240:A1251)=7,COUNT(F1240:F1251)=7),cubic_spline(F1239:F1246,A1239:A1246,B$3),IF(AND(COUNT(A1240:A1251)=8,COUNT(F1240:F1251)=8),cubic_spline(F1239:F1247,A1239:A1247,B$3),IF(AND(COUNT(A1240:A1251)=9,COUNT(F1240:F1251)=9),cubic_spline(F1239:F1248,A1239:A1248,B$3),IF(AND(COUNT(A1240:A1251)=10,COUNT(F1240:F1251)=10),cubic_spline(F1239:F1249,A1239:A1249,B$3),IF(AND(COUNT(A1240:A1251)=11,COUNT(F1240:F1251)=11),cubic_spline(F1239:F1250,A1239:A1250,B$3),IF(AND(COUNT(A1240:A1251)=12,COUNT(F1240:F1251)=12),cubic_spline(F1239:F1251,A1239:A1251,B$3),""))))))))))))</f>
        <v/>
      </c>
      <c r="L1241" s="27" t="str">
        <f>IF(I1241="","",B$2&amp;"-"&amp;B$3)</f>
        <v/>
      </c>
      <c r="M1241" s="52" t="str">
        <f>IF(N(J1241)=0,"",J1241-J1240)</f>
        <v/>
      </c>
    </row>
    <row r="1242" spans="1:13" x14ac:dyDescent="0.35">
      <c r="A1242" s="48"/>
      <c r="B1242" s="48"/>
      <c r="C1242" s="50"/>
      <c r="D1242" s="50"/>
      <c r="E1242" s="51" t="str">
        <f t="shared" si="473"/>
        <v/>
      </c>
      <c r="F1242" s="68" t="str">
        <f t="shared" si="471"/>
        <v/>
      </c>
      <c r="G1242" s="69" t="str">
        <f t="shared" si="474"/>
        <v/>
      </c>
      <c r="H1242" s="70" t="str">
        <f t="shared" si="472"/>
        <v/>
      </c>
      <c r="I1242" s="27" t="str">
        <f>IF(N(J1242)=0,"",0&amp;"-"&amp;B$4)</f>
        <v/>
      </c>
      <c r="J1242" s="52" t="str">
        <f>IF(N(B$4)=0,"",IF(AND(COUNT(H1240:H1251)=2,COUNT(F1240:F1251)=2),cubic_spline(F1239:F1241,H1239:H1241,B$4),IF(AND(COUNT(H1240:H1251)=3,COUNT(F1240:F1251)=3),cubic_spline(F1239:F1242,H1239:H1242,B$4),IF(AND(COUNT(H1240:H1251)=4,COUNT(F1240:F1251)=4),cubic_spline(F1239:F1243,H1239:H1243,B$4),IF(AND(COUNT(H1240:H1251)=5,COUNT(F1240:F1251)=5),cubic_spline(F1239:F1244,H1239:H1244,B$4),IF(AND(COUNT(H1240:H1251)=6,COUNT(F1240:F1251)=6),cubic_spline(F1239:F1245,H1239:H1245,B$4),IF(AND(COUNT(H1240:H1251)=7,COUNT(F1240:F1251)=7),cubic_spline(F1239:F1246,H1239:H1246,B$4),IF(AND(COUNT(H1240:H1251)=8,COUNT(F1240:F1251)=8),cubic_spline(F1239:F1247,H1239:H1247,B$4),IF(AND(COUNT(H1240:H1251)=9,COUNT(F1240:F1251)=9),cubic_spline(F1239:F1248,H1239:H1248,B$4),IF(AND(COUNT(H1240:H1251)=10,COUNT(F1240:F1251)=10),cubic_spline(F1239:F1249,H1239:H1249,B$4),IF(AND(COUNT(H1240:H1251)=11,COUNT(F1240:F1251)=11),cubic_spline(F1239:F1250,H1239:H1250,B$4),IF(AND(COUNT(H1240:H1251)=12,COUNT(F1240:F1251)=12),cubic_spline(F1239:F1251,H1239:H1251,B$4),""))))))))))))</f>
        <v/>
      </c>
      <c r="K1242" s="52" t="str">
        <f>IF(N(B$4)=0,"",IF(AND(COUNT(A1240:A1251)=2,COUNT(F1240:F1251)=2),cubic_spline(F1239:F1241,A1239:A1241,B$4),IF(AND(COUNT(A1240:A1251)=3,COUNT(F1240:F1251)=3),cubic_spline(F1239:F1242,A1239:A1242,B$4),IF(AND(COUNT(A1240:A1251)=4,COUNT(F1240:F1251)=4),cubic_spline(F1239:F1243,A1239:A1243,B$4),IF(AND(COUNT(A1240:A1251)=5,COUNT(F1240:F1251)=5),cubic_spline(F1239:F1244,A1239:A1244,B$4),IF(AND(COUNT(A1240:A1251)=6,COUNT(F1240:F1251)=6),cubic_spline(F1239:F1245,A1239:A1245,B$4),IF(AND(COUNT(A1240:A1251)=7,COUNT(F1240:F1251)=7),cubic_spline(F1239:F1246,A1239:A1246,B$4),IF(AND(COUNT(A1240:A1251)=8,COUNT(F1240:F1251)=8),cubic_spline(F1239:F1247,A1239:A1247,B$4),IF(AND(COUNT(A1240:A1251)=9,COUNT(F1240:F1251)=9),cubic_spline(F1239:F1248,A1239:A1248,B$4),IF(AND(COUNT(A1240:A1251)=10,COUNT(F1240:F1251)=10),cubic_spline(F1239:F1249,A1239:A1249,B$4),IF(AND(COUNT(A1240:A1251)=11,COUNT(F1240:F1251)=11),cubic_spline(F1239:F1250,A1239:A1250,B$4),IF(AND(COUNT(A1240:A1251)=12,COUNT(F1240:F1251)=12),cubic_spline(F1239:F1251,A1239:A1251,B$4),""))))))))))))</f>
        <v/>
      </c>
      <c r="L1242" s="27" t="str">
        <f>IF(I1242="","",B$3&amp;"-"&amp;B$4)</f>
        <v/>
      </c>
      <c r="M1242" s="52" t="str">
        <f>IF(N(J1242)=0,"",J1242-J1241)</f>
        <v/>
      </c>
    </row>
    <row r="1243" spans="1:13" x14ac:dyDescent="0.35">
      <c r="A1243" s="48"/>
      <c r="B1243" s="48"/>
      <c r="C1243" s="50"/>
      <c r="D1243" s="50"/>
      <c r="E1243" s="51" t="str">
        <f t="shared" si="473"/>
        <v/>
      </c>
      <c r="F1243" s="68" t="str">
        <f t="shared" si="471"/>
        <v/>
      </c>
      <c r="G1243" s="69" t="str">
        <f t="shared" si="474"/>
        <v/>
      </c>
      <c r="H1243" s="70" t="str">
        <f t="shared" si="472"/>
        <v/>
      </c>
      <c r="I1243" s="27" t="str">
        <f>IF(N(J1243)=0,"",0&amp;"-"&amp;B$5)</f>
        <v/>
      </c>
      <c r="J1243" s="52" t="str">
        <f>IF(N(B$5)=0,"",IF(AND(COUNT(H1240:H1251)=2,COUNT(F1240:F1251)=2),cubic_spline(F1239:F1241,H1239:H1241,B$5),IF(AND(COUNT(H1240:H1251)=3,COUNT(F1240:F1251)=3),cubic_spline(F1239:F1242,H1239:H1242,B$5),IF(AND(COUNT(H1240:H1251)=4,COUNT(F1240:F1251)=4),cubic_spline(F1239:F1243,H1239:H1243,B$5),IF(AND(COUNT(H1240:H1251)=5,COUNT(F1240:F1251)=5),cubic_spline(F1239:F1244,H1239:H1244,B$5),IF(AND(COUNT(H1240:H1251)=6,COUNT(F1240:F1251)=6),cubic_spline(F1239:F1245,H1239:H1245,B$5),IF(AND(COUNT(H1240:H1251)=7,COUNT(F1240:F1251)=7),cubic_spline(F1239:F1246,H1239:H1246,B$5),IF(AND(COUNT(H1240:H1251)=8,COUNT(F1240:F1251)=8),cubic_spline(F1239:F1247,H1239:H1247,B$5),IF(AND(COUNT(H1240:H1251)=9,COUNT(F1240:F1251)=9),cubic_spline(F1239:F1248,H1239:H1248,B$5),IF(AND(COUNT(H1240:H1251)=10,COUNT(F1240:F1251)=10),cubic_spline(F1239:F1249,H1239:H1249,B$5),IF(AND(COUNT(H1240:H1251)=11,COUNT(F1240:F1251)=11),cubic_spline(F1239:F1250,H1239:H1250,B$5),IF(AND(COUNT(H1240:H1251)=12,COUNT(F1240:F1251)=12),cubic_spline(F1239:F1251,H1239:H1251,B$5),""))))))))))))</f>
        <v/>
      </c>
      <c r="K1243" s="52" t="str">
        <f>IF(N(B$5)=0,"",IF(AND(COUNT(A1240:A1251)=2,COUNT(F1240:F1251)=2),cubic_spline(F1239:F1241,A1239:A1241,B$5),IF(AND(COUNT(A1240:A1251)=3,COUNT(F1240:F1251)=3),cubic_spline(F1239:F1242,A1239:A1242,B$5),IF(AND(COUNT(A1240:A1251)=4,COUNT(F1240:F1251)=4),cubic_spline(F1239:F1243,A1239:A1243,B$5),IF(AND(COUNT(A1240:A1251)=5,COUNT(F1240:F1251)=5),cubic_spline(F1239:F1244,A1239:A1244,B$5),IF(AND(COUNT(A1240:A1251)=6,COUNT(F1240:F1251)=6),cubic_spline(F1239:F1245,A1239:A1245,B$5),IF(AND(COUNT(A1240:A1251)=7,COUNT(F1240:F1251)=7),cubic_spline(F1239:F1246,A1239:A1246,B$5),IF(AND(COUNT(A1240:A1251)=8,COUNT(F1240:F1251)=8),cubic_spline(F1239:F1247,A1239:A1247,B$5),IF(AND(COUNT(A1240:A1251)=9,COUNT(F1240:F1251)=9),cubic_spline(F1239:F1248,A1239:A1248,B$5),IF(AND(COUNT(A1240:A1251)=10,COUNT(F1240:F1251)=10),cubic_spline(F1239:F1249,A1239:A1249,B$5),IF(AND(COUNT(A1240:A1251)=11,COUNT(F1240:F1251)=11),cubic_spline(F1239:F1250,A1239:A1250,B$5),IF(AND(COUNT(A1240:A1251)=12,COUNT(F1240:F1251)=12),cubic_spline(F1239:F1251,A1239:A1251,B$5),""))))))))))))</f>
        <v/>
      </c>
      <c r="L1243" s="27" t="str">
        <f>IF(I1243="","",B$4&amp;"-"&amp;B$5)</f>
        <v/>
      </c>
      <c r="M1243" s="52" t="str">
        <f>IF(N(J1243)=0,"",J1243-J1242)</f>
        <v/>
      </c>
    </row>
    <row r="1244" spans="1:13" x14ac:dyDescent="0.35">
      <c r="A1244" s="48"/>
      <c r="B1244" s="48"/>
      <c r="C1244" s="50"/>
      <c r="D1244" s="50"/>
      <c r="E1244" s="51" t="str">
        <f t="shared" si="473"/>
        <v/>
      </c>
      <c r="F1244" s="71" t="str">
        <f t="shared" si="471"/>
        <v/>
      </c>
      <c r="G1244" s="69" t="str">
        <f t="shared" si="474"/>
        <v/>
      </c>
      <c r="H1244" s="70" t="str">
        <f t="shared" si="472"/>
        <v/>
      </c>
      <c r="I1244" s="27" t="str">
        <f>IF(N(J1244)=0,"",0&amp;"-"&amp;B$6)</f>
        <v/>
      </c>
      <c r="J1244" s="52" t="str">
        <f>IF(N(B$6)=0,"",IF(AND(COUNT(H1240:H1251)=2,COUNT(F1240:F1251)=2),cubic_spline(F1239:F1241,H1239:H1241,B$6),IF(AND(COUNT(H1240:H1251)=3,COUNT(F1240:F1251)=3),cubic_spline(F1239:F1242,H1239:H1242,B$6),IF(AND(COUNT(H1240:H1251)=4,COUNT(F1240:F1251)=4),cubic_spline(F1239:F1243,H1239:H1243,B$6),IF(AND(COUNT(H1240:H1251)=5,COUNT(F1240:F1251)=5),cubic_spline(F1239:F1244,H1239:H1244,B$6),IF(AND(COUNT(H1240:H1251)=6,COUNT(F1240:F1251)=6),cubic_spline(F1239:F1245,H1239:H1245,B$6),IF(AND(COUNT(H1240:H1251)=7,COUNT(F1240:F1251)=7),cubic_spline(F1239:F1246,H1239:H1246,B$6),IF(AND(COUNT(H1240:H1251)=8,COUNT(F1240:F1251)=8),cubic_spline(F1239:F1247,H1239:H1247,B$6),IF(AND(COUNT(H1240:H1251)=9,COUNT(F1240:F1251)=9),cubic_spline(F1239:F1248,H1239:H1248,B$6),IF(AND(COUNT(H1240:H1251)=10,COUNT(F1240:F1251)=10),cubic_spline(F1239:F1249,H1239:H1249,B$6),IF(AND(COUNT(H1240:H1251)=11,COUNT(F1240:F1251)=11),cubic_spline(F1239:F1250,H1239:H1250,B$6),IF(AND(COUNT(H1240:H1251)=12,COUNT(F1240:F1251)=12),cubic_spline(F1239:F1251,H1239:H1251,B$6),""))))))))))))</f>
        <v/>
      </c>
      <c r="K1244" s="52" t="str">
        <f>IF(N(B$6)=0,"",IF(AND(COUNT(A1240:A1251)=2,COUNT(F1240:F1251)=2),cubic_spline(F1239:F1241,A1239:A1241,B$6),IF(AND(COUNT(A1240:A1251)=3,COUNT(F1240:F1251)=3),cubic_spline(F1239:F1242,A1239:A1242,B$6),IF(AND(COUNT(A1240:A1251)=4,COUNT(F1240:F1251)=4),cubic_spline(F1239:F1243,A1239:A1243,B$6),IF(AND(COUNT(A1240:A1251)=5,COUNT(F1240:F1251)=5),cubic_spline(F1239:F1244,A1239:A1244,B$6),IF(AND(COUNT(A1240:A1251)=6,COUNT(F1240:F1251)=6),cubic_spline(F1239:F1245,A1239:A1245,B$6),IF(AND(COUNT(A1240:A1251)=7,COUNT(F1240:F1251)=7),cubic_spline(F1239:F1246,A1239:A1246,B$6),IF(AND(COUNT(A1240:A1251)=8,COUNT(F1240:F1251)=8),cubic_spline(F1239:F1247,A1239:A1247,B$6),IF(AND(COUNT(A1240:A1251)=9,COUNT(F1240:F1251)=9),cubic_spline(F1239:F1248,A1239:A1248,B$6),IF(AND(COUNT(A1240:A1251)=10,COUNT(F1240:F1251)=10),cubic_spline(F1239:F1249,A1239:A1249,B$6),IF(AND(COUNT(A1240:A1251)=11,COUNT(F1240:F1251)=11),cubic_spline(F1239:F1250,A1239:A1250,B$6),IF(AND(COUNT(A1240:A1251)=12,COUNT(F1240:F1251)=12),cubic_spline(F1239:F1251,A1239:A1251,B$6),""))))))))))))</f>
        <v/>
      </c>
      <c r="L1244" s="27" t="str">
        <f>IF(I1244="","",B$5&amp;"-"&amp;B$6)</f>
        <v/>
      </c>
      <c r="M1244" s="52" t="str">
        <f>IF(N(J1244)=0,"",J1244-J1243)</f>
        <v/>
      </c>
    </row>
    <row r="1245" spans="1:13" x14ac:dyDescent="0.35">
      <c r="A1245" s="48"/>
      <c r="B1245" s="48"/>
      <c r="C1245" s="50"/>
      <c r="D1245" s="50"/>
      <c r="E1245" s="51" t="str">
        <f t="shared" si="473"/>
        <v/>
      </c>
      <c r="F1245" s="71" t="str">
        <f t="shared" si="471"/>
        <v/>
      </c>
      <c r="G1245" s="69" t="str">
        <f t="shared" si="474"/>
        <v/>
      </c>
      <c r="H1245" s="70" t="str">
        <f t="shared" si="472"/>
        <v/>
      </c>
      <c r="I1245" s="27" t="str">
        <f>IF(N(J1245)=0,"",0&amp;"-"&amp;B$7)</f>
        <v/>
      </c>
      <c r="J1245" s="52" t="str">
        <f>IF(N(B$7)=0,"",IF(AND(COUNT(H1240:H1251)=2,COUNT(F1240:F1251)=2),cubic_spline(F1239:F1241,H1239:H1241,B$7),IF(AND(COUNT(H1240:H1251)=3,COUNT(F1240:F1251)=3),cubic_spline(F1239:F1242,H1239:H1242,B$7),IF(AND(COUNT(H1240:H1251)=4,COUNT(F1240:F1251)=4),cubic_spline(F1239:F1243,H1239:H1243,B$7),IF(AND(COUNT(H1240:H1251)=5,COUNT(F1240:F1251)=5),cubic_spline(F1239:F1244,H1239:H1244,B$7),IF(AND(COUNT(H1240:H1251)=6,COUNT(F1240:F1251)=6),cubic_spline(F1239:F1245,H1239:H1245,B$7),IF(AND(COUNT(H1240:H1251)=7,COUNT(F1240:F1251)=7),cubic_spline(F1239:F1246,H1239:H1246,B$7),IF(AND(COUNT(H1240:H1251)=8,COUNT(F1240:F1251)=8),cubic_spline(F1239:F1247,H1239:H1247,B$7),IF(AND(COUNT(H1240:H1251)=9,COUNT(F1240:F1251)=9),cubic_spline(F1239:F1248,H1239:H1248,B$7),IF(AND(COUNT(H1240:H1251)=10,COUNT(F1240:F1251)=10),cubic_spline(F1239:F1249,H1239:H1249,B$7),IF(AND(COUNT(H1240:H1251)=11,COUNT(F1240:F1251)=11),cubic_spline(F1239:F1250,H1239:H1250,B$7),IF(AND(COUNT(H1240:H1251)=12,COUNT(F1240:F1251)=12),cubic_spline(F1239:F1251,H1239:H1251,B$7),""))))))))))))</f>
        <v/>
      </c>
      <c r="K1245" s="52" t="str">
        <f>IF(N(B$7)=0,"",IF(AND(COUNT(A1240:A1251)=2,COUNT(F1240:F1251)=2),cubic_spline(F1239:F1241,A1239:A1241,B$7),IF(AND(COUNT(A1240:A1251)=3,COUNT(F1240:F1251)=3),cubic_spline(F1239:F1242,A1239:A1242,B$7),IF(AND(COUNT(A1240:A1251)=4,COUNT(F1240:F1251)=4),cubic_spline(F1239:F1243,A1239:A1243,B$7),IF(AND(COUNT(A1240:A1251)=5,COUNT(F1240:F1251)=5),cubic_spline(F1239:F1244,A1239:A1244,B$7),IF(AND(COUNT(A1240:A1251)=6,COUNT(F1240:F1251)=6),cubic_spline(F1239:F1245,A1239:A1245,B$7),IF(AND(COUNT(A1240:A1251)=7,COUNT(F1240:F1251)=7),cubic_spline(F1239:F1246,A1239:A1246,B$7),IF(AND(COUNT(A1240:A1251)=8,COUNT(F1240:F1251)=8),cubic_spline(F1239:F1247,A1239:A1247,B$7),IF(AND(COUNT(A1240:A1251)=9,COUNT(F1240:F1251)=9),cubic_spline(F1239:F1248,A1239:A1248,B$7),IF(AND(COUNT(A1240:A1251)=10,COUNT(F1240:F1251)=10),cubic_spline(F1239:F1249,A1239:A1249,B$7),IF(AND(COUNT(A1240:A1251)=11,COUNT(F1240:F1251)=11),cubic_spline(F1239:F1250,A1239:A1250,B$7),IF(AND(COUNT(A1240:A1251)=12,COUNT(F1240:F1251)=12),cubic_spline(F1239:F1251,A1239:A1251,B$7),""))))))))))))</f>
        <v/>
      </c>
      <c r="L1245" s="27" t="str">
        <f>IF(I1245="","",B$6&amp;"-"&amp;B$7)</f>
        <v/>
      </c>
      <c r="M1245" s="52" t="str">
        <f t="shared" ref="M1245:M1251" si="475">IF(N(J1245)=0,"",J1245-J1244)</f>
        <v/>
      </c>
    </row>
    <row r="1246" spans="1:13" x14ac:dyDescent="0.35">
      <c r="A1246" s="48"/>
      <c r="B1246" s="48"/>
      <c r="C1246" s="50"/>
      <c r="D1246" s="50"/>
      <c r="E1246" s="51" t="str">
        <f t="shared" si="473"/>
        <v/>
      </c>
      <c r="F1246" s="71" t="str">
        <f t="shared" si="471"/>
        <v/>
      </c>
      <c r="G1246" s="69" t="str">
        <f t="shared" si="474"/>
        <v/>
      </c>
      <c r="H1246" s="70" t="str">
        <f t="shared" si="472"/>
        <v/>
      </c>
      <c r="I1246" s="27" t="str">
        <f>IF(N(J1246)=0,"",0&amp;"-"&amp;B$8)</f>
        <v/>
      </c>
      <c r="J1246" s="52" t="str">
        <f>IF(N(B$8)=0,"",IF(AND(COUNT(H1240:H1251)=2,COUNT(F1240:F1251)=2),cubic_spline(F1239:F1241,H1239:H1241,B$8),IF(AND(COUNT(H1240:H1251)=3,COUNT(F1240:F1251)=3),cubic_spline(F1239:F1242,H1239:H1242,B$8),IF(AND(COUNT(H1240:H1251)=4,COUNT(F1240:F1251)=4),cubic_spline(F1239:F1243,H1239:H1243,B$8),IF(AND(COUNT(H1240:H1251)=5,COUNT(F1240:F1251)=5),cubic_spline(F1239:F1244,H1239:H1244,B$8),IF(AND(COUNT(H1240:H1251)=6,COUNT(F1240:F1251)=6),cubic_spline(F1239:F1245,H1239:H1245,B$8),IF(AND(COUNT(H1240:H1251)=7,COUNT(F1240:F1251)=7),cubic_spline(F1239:F1246,H1239:H1246,B$8),IF(AND(COUNT(H1240:H1251)=8,COUNT(F1240:F1251)=8),cubic_spline(F1239:F1247,H1239:H1247,B$8),IF(AND(COUNT(H1240:H1251)=9,COUNT(F1240:F1251)=9),cubic_spline(F1239:F1248,H1239:H1248,B$8),IF(AND(COUNT(H1240:H1251)=10,COUNT(F1240:F1251)=10),cubic_spline(F1239:F1249,H1239:H1249,B$8),IF(AND(COUNT(H1240:H1251)=11,COUNT(F1240:F1251)=11),cubic_spline(F1239:F1250,H1239:H1250,B$8),IF(AND(COUNT(H1240:H1251)=12,COUNT(F1240:F1251)=12),cubic_spline(F1239:F1251,H1239:H1251,B$8),""))))))))))))</f>
        <v/>
      </c>
      <c r="K1246" s="52" t="str">
        <f>IF(N(B$8)=0,"",IF(AND(COUNT(A1240:A1251)=2,COUNT(F1240:F1251)=2),cubic_spline(F1239:F1241,A1239:A1241,B$8),IF(AND(COUNT(A1240:A1251)=3,COUNT(F1240:F1251)=3),cubic_spline(F1239:F1242,A1239:A1242,B$8),IF(AND(COUNT(A1240:A1251)=4,COUNT(F1240:F1251)=4),cubic_spline(F1239:F1243,A1239:A1243,B$8),IF(AND(COUNT(A1240:A1251)=5,COUNT(F1240:F1251)=5),cubic_spline(F1239:F1244,A1239:A1244,B$8),IF(AND(COUNT(A1240:A1251)=6,COUNT(F1240:F1251)=6),cubic_spline(F1239:F1245,A1239:A1245,B$8),IF(AND(COUNT(A1240:A1251)=7,COUNT(F1240:F1251)=7),cubic_spline(F1239:F1246,A1239:A1246,B$8),IF(AND(COUNT(A1240:A1251)=8,COUNT(F1240:F1251)=8),cubic_spline(F1239:F1247,A1239:A1247,B$8),IF(AND(COUNT(A1240:A1251)=9,COUNT(F1240:F1251)=9),cubic_spline(F1239:F1248,A1239:A1248,B$8),IF(AND(COUNT(A1240:A1251)=10,COUNT(F1240:F1251)=10),cubic_spline(F1239:F1249,A1239:A1249,B$8),IF(AND(COUNT(A1240:A1251)=11,COUNT(F1240:F1251)=11),cubic_spline(F1239:F1250,A1239:A1250,B$8),IF(AND(COUNT(A1240:A1251)=12,COUNT(F1240:F1251)=12),cubic_spline(F1239:F1251,A1239:A1251,B$8),""))))))))))))</f>
        <v/>
      </c>
      <c r="L1246" s="27" t="str">
        <f>IF(I1246="","",B$7&amp;"-"&amp;B$8)</f>
        <v/>
      </c>
      <c r="M1246" s="52" t="str">
        <f t="shared" si="475"/>
        <v/>
      </c>
    </row>
    <row r="1247" spans="1:13" x14ac:dyDescent="0.35">
      <c r="A1247" s="48"/>
      <c r="B1247" s="48"/>
      <c r="C1247" s="50"/>
      <c r="D1247" s="50"/>
      <c r="E1247" s="51" t="str">
        <f t="shared" si="473"/>
        <v/>
      </c>
      <c r="F1247" s="71" t="str">
        <f t="shared" si="471"/>
        <v/>
      </c>
      <c r="G1247" s="69" t="str">
        <f t="shared" si="474"/>
        <v/>
      </c>
      <c r="H1247" s="70" t="str">
        <f t="shared" si="472"/>
        <v/>
      </c>
      <c r="I1247" s="27" t="str">
        <f>IF(N(J1247)=0,"",0&amp;"-"&amp;B$9)</f>
        <v/>
      </c>
      <c r="J1247" s="52" t="str">
        <f>IF(N(B$9)=0,"",IF(AND(COUNT(H1240:H1251)=2,COUNT(F1240:F1251)=2),cubic_spline(F1239:F1241,H1239:H1241,B$9),IF(AND(COUNT(H1240:H1251)=3,COUNT(F1240:F1251)=3),cubic_spline(F1239:F1242,H1239:H1242,B$9),IF(AND(COUNT(H1240:H1251)=4,COUNT(F1240:F1251)=4),cubic_spline(F1239:F1243,H1239:H1243,B$9),IF(AND(COUNT(H1240:H1251)=5,COUNT(F1240:F1251)=5),cubic_spline(F1239:F1244,H1239:H1244,B$9),IF(AND(COUNT(H1240:H1251)=6,COUNT(F1240:F1251)=6),cubic_spline(F1239:F1245,H1239:H1245,B$9),IF(AND(COUNT(H1240:H1251)=7,COUNT(F1240:F1251)=7),cubic_spline(F1239:F1246,H1239:H1246,B$9),IF(AND(COUNT(H1240:H1251)=8,COUNT(F1240:F1251)=8),cubic_spline(F1239:F1247,H1239:H1247,B$9),IF(AND(COUNT(H1240:H1251)=9,COUNT(F1240:F1251)=9),cubic_spline(F1239:F1248,H1239:H1248,B$9),IF(AND(COUNT(H1240:H1251)=10,COUNT(F1240:F1251)=10),cubic_spline(F1239:F1249,H1239:H1249,B$9),IF(AND(COUNT(H1240:H1251)=11,COUNT(F1240:F1251)=11),cubic_spline(F1239:F1250,H1239:H1250,B$9),IF(AND(COUNT(H1240:H1251)=12,COUNT(F1240:F1251)=12),cubic_spline(F1239:F1251,H1239:H1251,B$9),""))))))))))))</f>
        <v/>
      </c>
      <c r="K1247" s="52" t="str">
        <f>IF(N(B$9)=0,"",IF(AND(COUNT(A1240:A1251)=2,COUNT(F1240:F1251)=2),cubic_spline(F1239:F1241,A1239:A1241,B$9),IF(AND(COUNT(A1240:A1251)=3,COUNT(F1240:F1251)=3),cubic_spline(F1239:F1242,A1239:A1242,B$9),IF(AND(COUNT(A1240:A1251)=4,COUNT(F1240:F1251)=4),cubic_spline(F1239:F1243,A1239:A1243,B$9),IF(AND(COUNT(A1240:A1251)=5,COUNT(F1240:F1251)=5),cubic_spline(F1239:F1244,A1239:A1244,B$9),IF(AND(COUNT(A1240:A1251)=6,COUNT(F1240:F1251)=6),cubic_spline(F1239:F1245,A1239:A1245,B$9),IF(AND(COUNT(A1240:A1251)=7,COUNT(F1240:F1251)=7),cubic_spline(F1239:F1246,A1239:A1246,B$9),IF(AND(COUNT(A1240:A1251)=8,COUNT(F1240:F1251)=8),cubic_spline(F1239:F1247,A1239:A1247,B$9),IF(AND(COUNT(A1240:A1251)=9,COUNT(F1240:F1251)=9),cubic_spline(F1239:F1248,A1239:A1248,B$9),IF(AND(COUNT(A1240:A1251)=10,COUNT(F1240:F1251)=10),cubic_spline(F1239:F1249,A1239:A1249,B$9),IF(AND(COUNT(A1240:A1251)=11,COUNT(F1240:F1251)=11),cubic_spline(F1239:F1250,A1239:A1250,B$9),IF(AND(COUNT(A1240:A1251)=12,COUNT(F1240:F1251)=12),cubic_spline(F1239:F1251,A1239:A1251,B$9),""))))))))))))</f>
        <v/>
      </c>
      <c r="L1247" s="27" t="str">
        <f>IF(I1247="","",B$8&amp;"-"&amp;B$9)</f>
        <v/>
      </c>
      <c r="M1247" s="52" t="str">
        <f t="shared" si="475"/>
        <v/>
      </c>
    </row>
    <row r="1248" spans="1:13" x14ac:dyDescent="0.35">
      <c r="A1248" s="48"/>
      <c r="B1248" s="48"/>
      <c r="C1248" s="50"/>
      <c r="D1248" s="50"/>
      <c r="E1248" s="51" t="str">
        <f t="shared" si="473"/>
        <v/>
      </c>
      <c r="F1248" s="71" t="str">
        <f t="shared" si="471"/>
        <v/>
      </c>
      <c r="G1248" s="69" t="str">
        <f t="shared" si="474"/>
        <v/>
      </c>
      <c r="H1248" s="70" t="str">
        <f t="shared" si="472"/>
        <v/>
      </c>
      <c r="I1248" s="27" t="str">
        <f>IF(N(J1248)=0,"",0&amp;"-"&amp;B$10)</f>
        <v/>
      </c>
      <c r="J1248" s="52" t="str">
        <f>IF(N(B$10)=0,"",IF(AND(COUNT(H1240:H1251)=2,COUNT(F1240:F1251)=2),cubic_spline(F1239:F1241,H1239:H1241,B$10),IF(AND(COUNT(H1240:H1251)=3,COUNT(F1240:F1251)=3),cubic_spline(F1239:F1242,H1239:H1242,B$10),IF(AND(COUNT(H1240:H1251)=4,COUNT(F1240:F1251)=4),cubic_spline(F1239:F1243,H1239:H1243,B$10),IF(AND(COUNT(H1240:H1251)=5,COUNT(F1240:F1251)=5),cubic_spline(F1239:F1244,H1239:H1244,B$10),IF(AND(COUNT(H1240:H1251)=6,COUNT(F1240:F1251)=6),cubic_spline(F1239:F1245,H1239:H1245,B$10),IF(AND(COUNT(H1240:H1251)=7,COUNT(F1240:F1251)=7),cubic_spline(F1239:F1246,H1239:H1246,B$10),IF(AND(COUNT(H1240:H1251)=8,COUNT(F1240:F1251)=8),cubic_spline(F1239:F1247,H1239:H1247,B$10),IF(AND(COUNT(H1240:H1251)=9,COUNT(F1240:F1251)=9),cubic_spline(F1239:F1248,H1239:H1248,B$10),IF(AND(COUNT(H1240:H1251)=10,COUNT(F1240:F1251)=10),cubic_spline(F1239:F1249,H1239:H1249,B$10),IF(AND(COUNT(H1240:H1251)=11,COUNT(F1240:F1251)=11),cubic_spline(F1239:F1250,H1239:H1250,B$10),IF(AND(COUNT(H1240:H1251)=12,COUNT(F1240:F1251)=12),cubic_spline(F1239:F1251,H1239:H1251,B$10),""))))))))))))</f>
        <v/>
      </c>
      <c r="K1248" s="52" t="str">
        <f>IF(N(B$10)=0,"",IF(AND(COUNT(A1240:A1251)=2,COUNT(F1240:F1251)=2),cubic_spline(F1239:F1241,A1239:A1241,B$10),IF(AND(COUNT(A1240:A1251)=3,COUNT(F1240:F1251)=3),cubic_spline(F1239:F1242,A1239:A1242,B$10),IF(AND(COUNT(A1240:A1251)=4,COUNT(F1240:F1251)=4),cubic_spline(F1239:F1243,A1239:A1243,B$10),IF(AND(COUNT(A1240:A1251)=5,COUNT(F1240:F1251)=5),cubic_spline(F1239:F1244,A1239:A1244,B$10),IF(AND(COUNT(A1240:A1251)=6,COUNT(F1240:F1251)=6),cubic_spline(F1239:F1245,A1239:A1245,B$10),IF(AND(COUNT(A1240:A1251)=7,COUNT(F1240:F1251)=7),cubic_spline(F1239:F1246,A1239:A1246,B$10),IF(AND(COUNT(A1240:A1251)=8,COUNT(F1240:F1251)=8),cubic_spline(F1239:F1247,A1239:A1247,B$10),IF(AND(COUNT(A1240:A1251)=9,COUNT(F1240:F1251)=9),cubic_spline(F1239:F1248,A1239:A1248,B$10),IF(AND(COUNT(A1240:A1251)=10,COUNT(F1240:F1251)=10),cubic_spline(F1239:F1249,A1239:A1249,B$10),IF(AND(COUNT(A1240:A1251)=11,COUNT(F1240:F1251)=11),cubic_spline(F1239:F1250,A1239:A1250,B$10),IF(AND(COUNT(A1240:A1251)=12,COUNT(F1240:F1251)=12),cubic_spline(F1239:F1251,A1239:A1251,B$10),""))))))))))))</f>
        <v/>
      </c>
      <c r="L1248" s="27" t="str">
        <f>IF(I1248="","",B$9&amp;"-"&amp;B$10)</f>
        <v/>
      </c>
      <c r="M1248" s="52" t="str">
        <f t="shared" si="475"/>
        <v/>
      </c>
    </row>
    <row r="1249" spans="1:13" x14ac:dyDescent="0.35">
      <c r="A1249" s="48"/>
      <c r="B1249" s="48"/>
      <c r="C1249" s="50"/>
      <c r="D1249" s="50"/>
      <c r="E1249" s="51" t="str">
        <f t="shared" si="473"/>
        <v/>
      </c>
      <c r="F1249" s="71" t="str">
        <f t="shared" si="471"/>
        <v/>
      </c>
      <c r="G1249" s="69" t="str">
        <f t="shared" si="474"/>
        <v/>
      </c>
      <c r="H1249" s="70" t="str">
        <f t="shared" si="472"/>
        <v/>
      </c>
      <c r="I1249" s="27" t="str">
        <f>IF(N(J1249)=0,"",0&amp;"-"&amp;B$11)</f>
        <v/>
      </c>
      <c r="J1249" s="52" t="str">
        <f>IF(N(B$11)=0,"",IF(AND(COUNT(H1240:H1251)=2,COUNT(F1240:F1251)=2),cubic_spline(F1239:F1241,H1239:H1241,B$11),IF(AND(COUNT(H1240:H1251)=3,COUNT(F1240:F1251)=3),cubic_spline(F1239:F1242,H1239:H1242,B$11),IF(AND(COUNT(H1240:H1251)=4,COUNT(F1240:F1251)=4),cubic_spline(F1239:F1243,H1239:H1243,B$11),IF(AND(COUNT(H1240:H1251)=5,COUNT(F1240:F1251)=5),cubic_spline(F1239:F1244,H1239:H1244,B$11),IF(AND(COUNT(H1240:H1251)=6,COUNT(F1240:F1251)=6),cubic_spline(F1239:F1245,H1239:H1245,B$11),IF(AND(COUNT(H1240:H1251)=7,COUNT(F1240:F1251)=7),cubic_spline(F1239:F1246,H1239:H1246,B$11),IF(AND(COUNT(H1240:H1251)=8,COUNT(F1240:F1251)=8),cubic_spline(F1239:F1247,H1239:H1247,B$11),IF(AND(COUNT(H1240:H1251)=9,COUNT(F1240:F1251)=9),cubic_spline(F1239:F1248,H1239:H1248,B$11),IF(AND(COUNT(H1240:H1251)=10,COUNT(F1240:F1251)=10),cubic_spline(F1239:F1249,H1239:H1249,B$11),IF(AND(COUNT(H1240:H1251)=11,COUNT(F1240:F1251)=11),cubic_spline(F1239:F1250,H1239:H1250,B$11),IF(AND(COUNT(H1240:H1251)=12,COUNT(F1240:F1251)=12),cubic_spline(F1239:F1251,H1239:H1251,B$11),""))))))))))))</f>
        <v/>
      </c>
      <c r="K1249" s="52" t="str">
        <f>IF(N(B$11)=0,"",IF(AND(COUNT(A1240:A1251)=2,COUNT(F1240:F1251)=2),cubic_spline(F1239:F1241,A1239:A1241,B$11),IF(AND(COUNT(A1240:A1251)=3,COUNT(F1240:F1251)=3),cubic_spline(F1239:F1242,A1239:A1242,B$11),IF(AND(COUNT(A1240:A1251)=4,COUNT(F1240:F1251)=4),cubic_spline(F1239:F1243,A1239:A1243,B$11),IF(AND(COUNT(A1240:A1251)=5,COUNT(F1240:F1251)=5),cubic_spline(F1239:F1244,A1239:A1244,B$11),IF(AND(COUNT(A1240:A1251)=6,COUNT(F1240:F1251)=6),cubic_spline(F1239:F1245,A1239:A1245,B$11),IF(AND(COUNT(A1240:A1251)=7,COUNT(F1240:F1251)=7),cubic_spline(F1239:F1246,A1239:A1246,B$11),IF(AND(COUNT(A1240:A1251)=8,COUNT(F1240:F1251)=8),cubic_spline(F1239:F1247,A1239:A1247,B$11),IF(AND(COUNT(A1240:A1251)=9,COUNT(F1240:F1251)=9),cubic_spline(F1239:F1248,A1239:A1248,B$11),IF(AND(COUNT(A1240:A1251)=10,COUNT(F1240:F1251)=10),cubic_spline(F1239:F1249,A1239:A1249,B$11),IF(AND(COUNT(A1240:A1251)=11,COUNT(F1240:F1251)=11),cubic_spline(F1239:F1250,A1239:A1250,B$11),IF(AND(COUNT(A1240:A1251)=12,COUNT(F1240:F1251)=12),cubic_spline(F1239:F1251,A1239:A1251,B$11),""))))))))))))</f>
        <v/>
      </c>
      <c r="L1249" s="27" t="str">
        <f>IF(I1249="","",B$10&amp;"-"&amp;B$11)</f>
        <v/>
      </c>
      <c r="M1249" s="52" t="str">
        <f t="shared" si="475"/>
        <v/>
      </c>
    </row>
    <row r="1250" spans="1:13" x14ac:dyDescent="0.35">
      <c r="A1250" s="48"/>
      <c r="B1250" s="48"/>
      <c r="C1250" s="50"/>
      <c r="D1250" s="50"/>
      <c r="E1250" s="51" t="str">
        <f t="shared" si="473"/>
        <v/>
      </c>
      <c r="F1250" s="71" t="str">
        <f t="shared" si="471"/>
        <v/>
      </c>
      <c r="G1250" s="69" t="str">
        <f t="shared" si="474"/>
        <v/>
      </c>
      <c r="H1250" s="70" t="str">
        <f t="shared" si="472"/>
        <v/>
      </c>
      <c r="I1250" s="27" t="str">
        <f>IF(N(J1250)=0,"",0&amp;"-"&amp;B$12)</f>
        <v/>
      </c>
      <c r="J1250" s="52" t="str">
        <f>IF(N(B$12)=0,"",IF(AND(COUNT(H1240:H1251)=2,COUNT(F1240:F1251)=2),cubic_spline(F1239:F1241,H1239:H1241,B$12),IF(AND(COUNT(H1240:H1251)=3,COUNT(F1240:F1251)=3),cubic_spline(F1239:F1242,H1239:H1242,B$12),IF(AND(COUNT(H1240:H1251)=4,COUNT(F1240:F1251)=4),cubic_spline(F1239:F1243,H1239:H1243,B$12),IF(AND(COUNT(H1240:H1251)=5,COUNT(F1240:F1251)=5),cubic_spline(F1239:F1244,H1239:H1244,B$12),IF(AND(COUNT(H1240:H1251)=6,COUNT(F1240:F1251)=6),cubic_spline(F1239:F1245,H1239:H1245,B$12),IF(AND(COUNT(H1240:H1251)=7,COUNT(F1240:F1251)=7),cubic_spline(F1239:F1246,H1239:H1246,B$12),IF(AND(COUNT(H1240:H1251)=8,COUNT(F1240:F1251)=8),cubic_spline(F1239:F1247,H1239:H1247,B$12),IF(AND(COUNT(H1240:H1251)=9,COUNT(F1240:F1251)=9),cubic_spline(F1239:F1248,H1239:H1248,B$12),IF(AND(COUNT(H1240:H1251)=10,COUNT(F1240:F1251)=10),cubic_spline(F1239:F1249,H1239:H1249,B$12),IF(AND(COUNT(H1240:H1251)=11,COUNT(F1240:F1251)=11),cubic_spline(F1239:F1250,H1239:H1250,B$12),IF(AND(COUNT(H1240:H1251)=12,COUNT(F1240:F1251)=12),cubic_spline(F1239:F1251,H1239:H1251,B$12),""))))))))))))</f>
        <v/>
      </c>
      <c r="K1250" s="52" t="str">
        <f>IF(N(B$12)=0,"",IF(AND(COUNT(A1240:A1251)=2,COUNT(F1240:F1251)=2),cubic_spline(F1239:F1241,A1239:A1241,B$12),IF(AND(COUNT(A1240:A1251)=3,COUNT(F1240:F1251)=3),cubic_spline(F1239:F1242,A1239:A1242,B$12),IF(AND(COUNT(A1240:A1251)=4,COUNT(F1240:F1251)=4),cubic_spline(F1239:F1243,A1239:A1243,B$12),IF(AND(COUNT(A1240:A1251)=5,COUNT(F1240:F1251)=5),cubic_spline(F1239:F1244,A1239:A1244,B$12),IF(AND(COUNT(A1240:A1251)=6,COUNT(F1240:F1251)=6),cubic_spline(F1239:F1245,A1239:A1245,B$12),IF(AND(COUNT(A1240:A1251)=7,COUNT(F1240:F1251)=7),cubic_spline(F1239:F1246,A1239:A1246,B$12),IF(AND(COUNT(A1240:A1251)=8,COUNT(F1240:F1251)=8),cubic_spline(F1239:F1247,A1239:A1247,B$12),IF(AND(COUNT(A1240:A1251)=9,COUNT(F1240:F1251)=9),cubic_spline(F1239:F1248,A1239:A1248,B$12),IF(AND(COUNT(A1240:A1251)=10,COUNT(F1240:F1251)=10),cubic_spline(F1239:F1249,A1239:A1249,B$12),IF(AND(COUNT(A1240:A1251)=11,COUNT(F1240:F1251)=11),cubic_spline(F1239:F1250,A1239:A1250,B$12),IF(AND(COUNT(A1240:A1251)=12,COUNT(F1240:F1251)=12),cubic_spline(F1239:F1251,A1239:A1251,B$12),""))))))))))))</f>
        <v/>
      </c>
      <c r="L1250" s="27" t="str">
        <f>IF(I1250="","",B$11&amp;"-"&amp;B$12)</f>
        <v/>
      </c>
      <c r="M1250" s="52" t="str">
        <f t="shared" si="475"/>
        <v/>
      </c>
    </row>
    <row r="1251" spans="1:13" x14ac:dyDescent="0.35">
      <c r="A1251" s="48"/>
      <c r="B1251" s="48"/>
      <c r="C1251" s="50"/>
      <c r="D1251" s="50"/>
      <c r="E1251" s="51" t="str">
        <f t="shared" si="473"/>
        <v/>
      </c>
      <c r="F1251" s="71" t="str">
        <f t="shared" si="471"/>
        <v/>
      </c>
      <c r="G1251" s="69" t="str">
        <f t="shared" si="474"/>
        <v/>
      </c>
      <c r="H1251" s="70" t="str">
        <f t="shared" si="472"/>
        <v/>
      </c>
      <c r="I1251" s="27" t="str">
        <f>IF(N(J1251)=0,"",0&amp;"-"&amp;B$13)</f>
        <v/>
      </c>
      <c r="J1251" s="52" t="str">
        <f>IF(N(B$13)=0,"",IF(AND(COUNT(H1240:H1251)=2,COUNT(F1240:F1251)=2),cubic_spline(F1239:F1241,H1239:H1241,B$13),IF(AND(COUNT(H1240:H1251)=3,COUNT(F1240:F1251)=3),cubic_spline(F1239:F1242,H1239:H1242,B$13),IF(AND(COUNT(H1240:H1251)=4,COUNT(F1240:F1251)=4),cubic_spline(F1239:F1243,H1239:H1243,B$13),IF(AND(COUNT(H1240:H1251)=5,COUNT(F1240:F1251)=5),cubic_spline(F1239:F1244,H1239:H1244,B$13),IF(AND(COUNT(H1240:H1251)=6,COUNT(F1240:F1251)=6),cubic_spline(F1239:F1245,H1239:H1245,B$13),IF(AND(COUNT(H1240:H1251)=7,COUNT(F1240:F1251)=7),cubic_spline(F1239:F1246,H1239:H1246,B$13),IF(AND(COUNT(H1240:H1251)=8,COUNT(F1240:F1251)=8),cubic_spline(F1239:F1247,H1239:H1247,B$13),IF(AND(COUNT(H1240:H1251)=9,COUNT(F1240:F1251)=9),cubic_spline(F1239:F1248,H1239:H1248,B$13),IF(AND(COUNT(H1240:H1251)=10,COUNT(F1240:F1251)=10),cubic_spline(F1239:F1249,H1239:H1249,B$13),IF(AND(COUNT(H1240:H1251)=11,COUNT(F1240:F1251)=11),cubic_spline(F1239:F1250,H1239:H1250,B$13),IF(AND(COUNT(H1240:H1251)=12,COUNT(F1240:F1251)=12),cubic_spline(F1239:F1251,H1239:H1251,B$13),""))))))))))))</f>
        <v/>
      </c>
      <c r="K1251" s="52" t="str">
        <f>IF(N(B$13)=0,"",IF(AND(COUNT(A1240:A1251)=2,COUNT(F1240:F1251)=2),cubic_spline(F1239:F1241,A1239:A1241,B$13),IF(AND(COUNT(A1240:A1251)=3,COUNT(F1240:F1251)=3),cubic_spline(F1239:F1242,A1239:A1242,B$13),IF(AND(COUNT(A1240:A1251)=4,COUNT(F1240:F1251)=4),cubic_spline(F1239:F1243,A1239:A1243,B$13),IF(AND(COUNT(A1240:A1251)=5,COUNT(F1240:F1251)=5),cubic_spline(F1239:F1244,A1239:A1244,B$13),IF(AND(COUNT(A1240:A1251)=6,COUNT(F1240:F1251)=6),cubic_spline(F1239:F1245,A1239:A1245,B$13),IF(AND(COUNT(A1240:A1251)=7,COUNT(F1240:F1251)=7),cubic_spline(F1239:F1246,A1239:A1246,B$13),IF(AND(COUNT(A1240:A1251)=8,COUNT(F1240:F1251)=8),cubic_spline(F1239:F1247,A1239:A1247,B$13),IF(AND(COUNT(A1240:A1251)=9,COUNT(F1240:F1251)=9),cubic_spline(F1239:F1248,A1239:A1248,B$13),IF(AND(COUNT(A1240:A1251)=10,COUNT(F1240:F1251)=10),cubic_spline(F1239:F1249,A1239:A1249,B$13),IF(AND(COUNT(A1240:A1251)=11,COUNT(F1240:F1251)=11),cubic_spline(F1239:F1250,A1239:A1250,B$13),IF(AND(COUNT(A1240:A1251)=12,COUNT(F1240:F1251)=12),cubic_spline(F1239:F1251,A1239:A1251,B$13),""))))))))))))</f>
        <v/>
      </c>
      <c r="L1251" s="27" t="str">
        <f>IF(I1251="","",B$12&amp;"-"&amp;B$13)</f>
        <v/>
      </c>
      <c r="M1251" s="52" t="str">
        <f t="shared" si="475"/>
        <v/>
      </c>
    </row>
    <row r="1252" spans="1:13" ht="5.15" customHeight="1" x14ac:dyDescent="0.35">
      <c r="A1252" s="47"/>
      <c r="B1252" s="47"/>
      <c r="C1252" s="53"/>
      <c r="D1252" s="53"/>
      <c r="E1252" s="54"/>
      <c r="F1252" s="55"/>
      <c r="G1252" s="72"/>
      <c r="H1252" s="73"/>
      <c r="I1252" s="47"/>
      <c r="J1252" s="57"/>
      <c r="K1252" s="57"/>
      <c r="L1252" s="55"/>
      <c r="M1252" s="57"/>
    </row>
    <row r="1253" spans="1:13" x14ac:dyDescent="0.35">
      <c r="A1253" s="48"/>
      <c r="B1253" s="48"/>
      <c r="C1253" s="50"/>
      <c r="D1253" s="50"/>
      <c r="E1253" s="51" t="str">
        <f>IF(N(C1253)=0,"",(A1253-A1252)*C1253*100)</f>
        <v/>
      </c>
      <c r="F1253" s="68" t="str">
        <f t="shared" ref="F1253:F1264" si="476">IF(N(E1253)=0,"",(N(E1253)+N(F1252)))</f>
        <v/>
      </c>
      <c r="G1253" s="69" t="str">
        <f>IF(OR(N(D1253)=0,N(E1253)=0),"",(E1253*D1253)/1000)</f>
        <v/>
      </c>
      <c r="H1253" s="70" t="str">
        <f t="shared" ref="H1253:H1264" si="477">IF(N(G1253)=0,"",(N(G1253)+N(H1252)))</f>
        <v/>
      </c>
      <c r="I1253" s="27" t="str">
        <f>IF(N(J1253)=0,"",0&amp;"-"&amp;B$2)</f>
        <v/>
      </c>
      <c r="J1253" s="52" t="str">
        <f>IF(N(B$2)=0,"",IF(AND(COUNT(H1253:H1264)=2,COUNT(F1253:F1264)=2),cubic_spline(F1252:F1254,H1252:H1254,B$2),IF(AND(COUNT(H1253:H1264)=3,COUNT(F1253:F1264)=3),cubic_spline(F1252:F1255,H1252:H1255,B$2),IF(AND(COUNT(H1253:H1264)=4,COUNT(F1253:F1264)=4),cubic_spline(F1252:F1256,H1252:H1256,B$2),IF(AND(COUNT(H1253:H1264)=5,COUNT(F1253:F1264)=5),cubic_spline(F1252:F1257,H1252:H1257,B$2),IF(AND(COUNT(H1253:H1264)=6,COUNT(F1253:F1264)=6),cubic_spline(F1252:F1258,H1252:H1258,B$2),IF(AND(COUNT(H1253:H1264)=7,COUNT(F1253:F1264)=7),cubic_spline(F1252:F1259,H1252:H1259,B$2),IF(AND(COUNT(H1253:H1264)=8,COUNT(F1253:F1264)=8),cubic_spline(F1252:F1260,H1252:H1260,B$2),IF(AND(COUNT(H1253:H1264)=9,COUNT(F1253:F1264)=9),cubic_spline(F1252:F1261,H1252:H1261,B$2),IF(AND(COUNT(H1253:H1264)=10,COUNT(F1253:F1264)=10),cubic_spline(F1252:F1262,H1252:H1262,B$2),IF(AND(COUNT(H1253:H1264)=11,COUNT(F1253:F1264)=11),cubic_spline(F1252:F1263,H1252:H1263,B$2),IF(AND(COUNT(H1253:H1264)=12,COUNT(F1253:F1264)=12),cubic_spline(F1252:F1264,H1252:H1264,B$2),""))))))))))))</f>
        <v/>
      </c>
      <c r="K1253" s="52" t="str">
        <f>IF(N(B$2)=0,"",IF(AND(COUNT(A1253:A1264)=2,COUNT(F1253:F1264)=2),cubic_spline(F1252:F1254,A1252:A1254,B$2),IF(AND(COUNT(A1253:A1264)=3,COUNT(F1253:F1264)=3),cubic_spline(F1252:F1255,A1252:A1255,B$2),IF(AND(COUNT(A1253:A1264)=4,COUNT(F1253:F1264)=4),cubic_spline(F1252:F1256,A1252:A1256,B$2),IF(AND(COUNT(A1253:A1264)=5,COUNT(F1253:F1264)=5),cubic_spline(F1252:F1257,A1252:A1257,B$2),IF(AND(COUNT(A1253:A1264)=6,COUNT(F1253:F1264)=6),cubic_spline(F1252:F1258,A1252:A1258,B$2),IF(AND(COUNT(A1253:A1264)=7,COUNT(F1253:F1264)=7),cubic_spline(F1252:F1259,A1252:A1259,B$2),IF(AND(COUNT(A1253:A1264)=8,COUNT(F1253:F1264)=8),cubic_spline(F1252:F1260,A1252:A1260,B$2),IF(AND(COUNT(A1253:A1264)=9,COUNT(F1253:F1264)=9),cubic_spline(F1252:F1261,A1252:A1261,B$2),IF(AND(COUNT(A1253:A1264)=10,COUNT(F1253:F1264)=10),cubic_spline(F1252:F1262,A1252:A1262,B$2),IF(AND(COUNT(A1253:A1264)=11,COUNT(F1253:F1264)=11),cubic_spline(F1252:F1263,A1252:A1263,B$2),IF(AND(COUNT(A1253:A1264)=12,COUNT(F1253:F1264)=12),cubic_spline(F1252:F1264,A1252:A1264,B$2),""))))))))))))</f>
        <v/>
      </c>
      <c r="L1253" s="27" t="str">
        <f>IF(I1253="","",0&amp;"-"&amp;B$2)</f>
        <v/>
      </c>
      <c r="M1253" s="52" t="str">
        <f>IF(N(J1253)=0,"",J1253-J1252)</f>
        <v/>
      </c>
    </row>
    <row r="1254" spans="1:13" x14ac:dyDescent="0.35">
      <c r="A1254" s="48"/>
      <c r="B1254" s="48"/>
      <c r="C1254" s="50"/>
      <c r="D1254" s="50"/>
      <c r="E1254" s="51" t="str">
        <f t="shared" ref="E1254:E1264" si="478">IF(N(C1254)=0,"",(A1254-A1253)*C1254*100)</f>
        <v/>
      </c>
      <c r="F1254" s="68" t="str">
        <f t="shared" si="476"/>
        <v/>
      </c>
      <c r="G1254" s="69" t="str">
        <f t="shared" ref="G1254:G1264" si="479">IF(OR(N(D1254)=0,N(E1254)=0),"",(E1254*D1254)/1000)</f>
        <v/>
      </c>
      <c r="H1254" s="70" t="str">
        <f t="shared" si="477"/>
        <v/>
      </c>
      <c r="I1254" s="27" t="str">
        <f>IF(N(J1254)=0,"",0&amp;"-"&amp;B$3)</f>
        <v/>
      </c>
      <c r="J1254" s="52" t="str">
        <f>IF(N(B$3)=0,"",IF(AND(COUNT(H1253:H1264)=2,COUNT(F1253:F1264)=2),cubic_spline(F1252:F1254,H1252:H1254,B$3),IF(AND(COUNT(H1253:H1264)=3,COUNT(F1253:F1264)=3),cubic_spline(F1252:F1255,H1252:H1255,B$3),IF(AND(COUNT(H1253:H1264)=4,COUNT(F1253:F1264)=4),cubic_spline(F1252:F1256,H1252:H1256,B$3),IF(AND(COUNT(H1253:H1264)=5,COUNT(F1253:F1264)=5),cubic_spline(F1252:F1257,H1252:H1257,B$3),IF(AND(COUNT(H1253:H1264)=6,COUNT(F1253:F1264)=6),cubic_spline(F1252:F1258,H1252:H1258,B$3),IF(AND(COUNT(H1253:H1264)=7,COUNT(F1253:F1264)=7),cubic_spline(F1252:F1259,H1252:H1259,B$3),IF(AND(COUNT(H1253:H1264)=8,COUNT(F1253:F1264)=8),cubic_spline(F1252:F1260,H1252:H1260,B$3),IF(AND(COUNT(H1253:H1264)=9,COUNT(F1253:F1264)=9),cubic_spline(F1252:F1261,H1252:H1261,B$3),IF(AND(COUNT(H1253:H1264)=10,COUNT(F1253:F1264)=10),cubic_spline(F1252:F1262,H1252:H1262,B$3),IF(AND(COUNT(H1253:H1264)=11,COUNT(F1253:F1264)=11),cubic_spline(F1252:F1263,H1252:H1263,B$3),IF(AND(COUNT(H1253:H1264)=12,COUNT(F1253:F1264)=12),cubic_spline(F1252:F1264,H1252:H1264,B$3),""))))))))))))</f>
        <v/>
      </c>
      <c r="K1254" s="52" t="str">
        <f>IF(N(B$3)=0,"",IF(AND(COUNT(A1253:A1264)=2,COUNT(F1253:F1264)=2),cubic_spline(F1252:F1254,A1252:A1254,B$3),IF(AND(COUNT(A1253:A1264)=3,COUNT(F1253:F1264)=3),cubic_spline(F1252:F1255,A1252:A1255,B$3),IF(AND(COUNT(A1253:A1264)=4,COUNT(F1253:F1264)=4),cubic_spline(F1252:F1256,A1252:A1256,B$3),IF(AND(COUNT(A1253:A1264)=5,COUNT(F1253:F1264)=5),cubic_spline(F1252:F1257,A1252:A1257,B$3),IF(AND(COUNT(A1253:A1264)=6,COUNT(F1253:F1264)=6),cubic_spline(F1252:F1258,A1252:A1258,B$3),IF(AND(COUNT(A1253:A1264)=7,COUNT(F1253:F1264)=7),cubic_spline(F1252:F1259,A1252:A1259,B$3),IF(AND(COUNT(A1253:A1264)=8,COUNT(F1253:F1264)=8),cubic_spline(F1252:F1260,A1252:A1260,B$3),IF(AND(COUNT(A1253:A1264)=9,COUNT(F1253:F1264)=9),cubic_spline(F1252:F1261,A1252:A1261,B$3),IF(AND(COUNT(A1253:A1264)=10,COUNT(F1253:F1264)=10),cubic_spline(F1252:F1262,A1252:A1262,B$3),IF(AND(COUNT(A1253:A1264)=11,COUNT(F1253:F1264)=11),cubic_spline(F1252:F1263,A1252:A1263,B$3),IF(AND(COUNT(A1253:A1264)=12,COUNT(F1253:F1264)=12),cubic_spline(F1252:F1264,A1252:A1264,B$3),""))))))))))))</f>
        <v/>
      </c>
      <c r="L1254" s="27" t="str">
        <f>IF(I1254="","",B$2&amp;"-"&amp;B$3)</f>
        <v/>
      </c>
      <c r="M1254" s="52" t="str">
        <f>IF(N(J1254)=0,"",J1254-J1253)</f>
        <v/>
      </c>
    </row>
    <row r="1255" spans="1:13" x14ac:dyDescent="0.35">
      <c r="A1255" s="48"/>
      <c r="B1255" s="48"/>
      <c r="C1255" s="50"/>
      <c r="D1255" s="50"/>
      <c r="E1255" s="51" t="str">
        <f t="shared" si="478"/>
        <v/>
      </c>
      <c r="F1255" s="68" t="str">
        <f t="shared" si="476"/>
        <v/>
      </c>
      <c r="G1255" s="69" t="str">
        <f t="shared" si="479"/>
        <v/>
      </c>
      <c r="H1255" s="70" t="str">
        <f t="shared" si="477"/>
        <v/>
      </c>
      <c r="I1255" s="27" t="str">
        <f>IF(N(J1255)=0,"",0&amp;"-"&amp;B$4)</f>
        <v/>
      </c>
      <c r="J1255" s="52" t="str">
        <f>IF(N(B$4)=0,"",IF(AND(COUNT(H1253:H1264)=2,COUNT(F1253:F1264)=2),cubic_spline(F1252:F1254,H1252:H1254,B$4),IF(AND(COUNT(H1253:H1264)=3,COUNT(F1253:F1264)=3),cubic_spline(F1252:F1255,H1252:H1255,B$4),IF(AND(COUNT(H1253:H1264)=4,COUNT(F1253:F1264)=4),cubic_spline(F1252:F1256,H1252:H1256,B$4),IF(AND(COUNT(H1253:H1264)=5,COUNT(F1253:F1264)=5),cubic_spline(F1252:F1257,H1252:H1257,B$4),IF(AND(COUNT(H1253:H1264)=6,COUNT(F1253:F1264)=6),cubic_spline(F1252:F1258,H1252:H1258,B$4),IF(AND(COUNT(H1253:H1264)=7,COUNT(F1253:F1264)=7),cubic_spline(F1252:F1259,H1252:H1259,B$4),IF(AND(COUNT(H1253:H1264)=8,COUNT(F1253:F1264)=8),cubic_spline(F1252:F1260,H1252:H1260,B$4),IF(AND(COUNT(H1253:H1264)=9,COUNT(F1253:F1264)=9),cubic_spline(F1252:F1261,H1252:H1261,B$4),IF(AND(COUNT(H1253:H1264)=10,COUNT(F1253:F1264)=10),cubic_spline(F1252:F1262,H1252:H1262,B$4),IF(AND(COUNT(H1253:H1264)=11,COUNT(F1253:F1264)=11),cubic_spline(F1252:F1263,H1252:H1263,B$4),IF(AND(COUNT(H1253:H1264)=12,COUNT(F1253:F1264)=12),cubic_spline(F1252:F1264,H1252:H1264,B$4),""))))))))))))</f>
        <v/>
      </c>
      <c r="K1255" s="52" t="str">
        <f>IF(N(B$4)=0,"",IF(AND(COUNT(A1253:A1264)=2,COUNT(F1253:F1264)=2),cubic_spline(F1252:F1254,A1252:A1254,B$4),IF(AND(COUNT(A1253:A1264)=3,COUNT(F1253:F1264)=3),cubic_spline(F1252:F1255,A1252:A1255,B$4),IF(AND(COUNT(A1253:A1264)=4,COUNT(F1253:F1264)=4),cubic_spline(F1252:F1256,A1252:A1256,B$4),IF(AND(COUNT(A1253:A1264)=5,COUNT(F1253:F1264)=5),cubic_spline(F1252:F1257,A1252:A1257,B$4),IF(AND(COUNT(A1253:A1264)=6,COUNT(F1253:F1264)=6),cubic_spline(F1252:F1258,A1252:A1258,B$4),IF(AND(COUNT(A1253:A1264)=7,COUNT(F1253:F1264)=7),cubic_spline(F1252:F1259,A1252:A1259,B$4),IF(AND(COUNT(A1253:A1264)=8,COUNT(F1253:F1264)=8),cubic_spline(F1252:F1260,A1252:A1260,B$4),IF(AND(COUNT(A1253:A1264)=9,COUNT(F1253:F1264)=9),cubic_spline(F1252:F1261,A1252:A1261,B$4),IF(AND(COUNT(A1253:A1264)=10,COUNT(F1253:F1264)=10),cubic_spline(F1252:F1262,A1252:A1262,B$4),IF(AND(COUNT(A1253:A1264)=11,COUNT(F1253:F1264)=11),cubic_spline(F1252:F1263,A1252:A1263,B$4),IF(AND(COUNT(A1253:A1264)=12,COUNT(F1253:F1264)=12),cubic_spline(F1252:F1264,A1252:A1264,B$4),""))))))))))))</f>
        <v/>
      </c>
      <c r="L1255" s="27" t="str">
        <f>IF(I1255="","",B$3&amp;"-"&amp;B$4)</f>
        <v/>
      </c>
      <c r="M1255" s="52" t="str">
        <f>IF(N(J1255)=0,"",J1255-J1254)</f>
        <v/>
      </c>
    </row>
    <row r="1256" spans="1:13" x14ac:dyDescent="0.35">
      <c r="A1256" s="48"/>
      <c r="B1256" s="48"/>
      <c r="C1256" s="50"/>
      <c r="D1256" s="50"/>
      <c r="E1256" s="51" t="str">
        <f t="shared" si="478"/>
        <v/>
      </c>
      <c r="F1256" s="68" t="str">
        <f t="shared" si="476"/>
        <v/>
      </c>
      <c r="G1256" s="69" t="str">
        <f t="shared" si="479"/>
        <v/>
      </c>
      <c r="H1256" s="70" t="str">
        <f t="shared" si="477"/>
        <v/>
      </c>
      <c r="I1256" s="27" t="str">
        <f>IF(N(J1256)=0,"",0&amp;"-"&amp;B$5)</f>
        <v/>
      </c>
      <c r="J1256" s="52" t="str">
        <f>IF(N(B$5)=0,"",IF(AND(COUNT(H1253:H1264)=2,COUNT(F1253:F1264)=2),cubic_spline(F1252:F1254,H1252:H1254,B$5),IF(AND(COUNT(H1253:H1264)=3,COUNT(F1253:F1264)=3),cubic_spline(F1252:F1255,H1252:H1255,B$5),IF(AND(COUNT(H1253:H1264)=4,COUNT(F1253:F1264)=4),cubic_spline(F1252:F1256,H1252:H1256,B$5),IF(AND(COUNT(H1253:H1264)=5,COUNT(F1253:F1264)=5),cubic_spline(F1252:F1257,H1252:H1257,B$5),IF(AND(COUNT(H1253:H1264)=6,COUNT(F1253:F1264)=6),cubic_spline(F1252:F1258,H1252:H1258,B$5),IF(AND(COUNT(H1253:H1264)=7,COUNT(F1253:F1264)=7),cubic_spline(F1252:F1259,H1252:H1259,B$5),IF(AND(COUNT(H1253:H1264)=8,COUNT(F1253:F1264)=8),cubic_spline(F1252:F1260,H1252:H1260,B$5),IF(AND(COUNT(H1253:H1264)=9,COUNT(F1253:F1264)=9),cubic_spline(F1252:F1261,H1252:H1261,B$5),IF(AND(COUNT(H1253:H1264)=10,COUNT(F1253:F1264)=10),cubic_spline(F1252:F1262,H1252:H1262,B$5),IF(AND(COUNT(H1253:H1264)=11,COUNT(F1253:F1264)=11),cubic_spline(F1252:F1263,H1252:H1263,B$5),IF(AND(COUNT(H1253:H1264)=12,COUNT(F1253:F1264)=12),cubic_spline(F1252:F1264,H1252:H1264,B$5),""))))))))))))</f>
        <v/>
      </c>
      <c r="K1256" s="52" t="str">
        <f>IF(N(B$5)=0,"",IF(AND(COUNT(A1253:A1264)=2,COUNT(F1253:F1264)=2),cubic_spline(F1252:F1254,A1252:A1254,B$5),IF(AND(COUNT(A1253:A1264)=3,COUNT(F1253:F1264)=3),cubic_spline(F1252:F1255,A1252:A1255,B$5),IF(AND(COUNT(A1253:A1264)=4,COUNT(F1253:F1264)=4),cubic_spline(F1252:F1256,A1252:A1256,B$5),IF(AND(COUNT(A1253:A1264)=5,COUNT(F1253:F1264)=5),cubic_spline(F1252:F1257,A1252:A1257,B$5),IF(AND(COUNT(A1253:A1264)=6,COUNT(F1253:F1264)=6),cubic_spline(F1252:F1258,A1252:A1258,B$5),IF(AND(COUNT(A1253:A1264)=7,COUNT(F1253:F1264)=7),cubic_spline(F1252:F1259,A1252:A1259,B$5),IF(AND(COUNT(A1253:A1264)=8,COUNT(F1253:F1264)=8),cubic_spline(F1252:F1260,A1252:A1260,B$5),IF(AND(COUNT(A1253:A1264)=9,COUNT(F1253:F1264)=9),cubic_spline(F1252:F1261,A1252:A1261,B$5),IF(AND(COUNT(A1253:A1264)=10,COUNT(F1253:F1264)=10),cubic_spline(F1252:F1262,A1252:A1262,B$5),IF(AND(COUNT(A1253:A1264)=11,COUNT(F1253:F1264)=11),cubic_spline(F1252:F1263,A1252:A1263,B$5),IF(AND(COUNT(A1253:A1264)=12,COUNT(F1253:F1264)=12),cubic_spline(F1252:F1264,A1252:A1264,B$5),""))))))))))))</f>
        <v/>
      </c>
      <c r="L1256" s="27" t="str">
        <f>IF(I1256="","",B$4&amp;"-"&amp;B$5)</f>
        <v/>
      </c>
      <c r="M1256" s="52" t="str">
        <f>IF(N(J1256)=0,"",J1256-J1255)</f>
        <v/>
      </c>
    </row>
    <row r="1257" spans="1:13" x14ac:dyDescent="0.35">
      <c r="A1257" s="48"/>
      <c r="B1257" s="48"/>
      <c r="C1257" s="50"/>
      <c r="D1257" s="50"/>
      <c r="E1257" s="51" t="str">
        <f t="shared" si="478"/>
        <v/>
      </c>
      <c r="F1257" s="71" t="str">
        <f t="shared" si="476"/>
        <v/>
      </c>
      <c r="G1257" s="69" t="str">
        <f t="shared" si="479"/>
        <v/>
      </c>
      <c r="H1257" s="70" t="str">
        <f t="shared" si="477"/>
        <v/>
      </c>
      <c r="I1257" s="27" t="str">
        <f>IF(N(J1257)=0,"",0&amp;"-"&amp;B$6)</f>
        <v/>
      </c>
      <c r="J1257" s="52" t="str">
        <f>IF(N(B$6)=0,"",IF(AND(COUNT(H1253:H1264)=2,COUNT(F1253:F1264)=2),cubic_spline(F1252:F1254,H1252:H1254,B$6),IF(AND(COUNT(H1253:H1264)=3,COUNT(F1253:F1264)=3),cubic_spline(F1252:F1255,H1252:H1255,B$6),IF(AND(COUNT(H1253:H1264)=4,COUNT(F1253:F1264)=4),cubic_spline(F1252:F1256,H1252:H1256,B$6),IF(AND(COUNT(H1253:H1264)=5,COUNT(F1253:F1264)=5),cubic_spline(F1252:F1257,H1252:H1257,B$6),IF(AND(COUNT(H1253:H1264)=6,COUNT(F1253:F1264)=6),cubic_spline(F1252:F1258,H1252:H1258,B$6),IF(AND(COUNT(H1253:H1264)=7,COUNT(F1253:F1264)=7),cubic_spline(F1252:F1259,H1252:H1259,B$6),IF(AND(COUNT(H1253:H1264)=8,COUNT(F1253:F1264)=8),cubic_spline(F1252:F1260,H1252:H1260,B$6),IF(AND(COUNT(H1253:H1264)=9,COUNT(F1253:F1264)=9),cubic_spline(F1252:F1261,H1252:H1261,B$6),IF(AND(COUNT(H1253:H1264)=10,COUNT(F1253:F1264)=10),cubic_spline(F1252:F1262,H1252:H1262,B$6),IF(AND(COUNT(H1253:H1264)=11,COUNT(F1253:F1264)=11),cubic_spline(F1252:F1263,H1252:H1263,B$6),IF(AND(COUNT(H1253:H1264)=12,COUNT(F1253:F1264)=12),cubic_spline(F1252:F1264,H1252:H1264,B$6),""))))))))))))</f>
        <v/>
      </c>
      <c r="K1257" s="52" t="str">
        <f>IF(N(B$6)=0,"",IF(AND(COUNT(A1253:A1264)=2,COUNT(F1253:F1264)=2),cubic_spline(F1252:F1254,A1252:A1254,B$6),IF(AND(COUNT(A1253:A1264)=3,COUNT(F1253:F1264)=3),cubic_spline(F1252:F1255,A1252:A1255,B$6),IF(AND(COUNT(A1253:A1264)=4,COUNT(F1253:F1264)=4),cubic_spline(F1252:F1256,A1252:A1256,B$6),IF(AND(COUNT(A1253:A1264)=5,COUNT(F1253:F1264)=5),cubic_spline(F1252:F1257,A1252:A1257,B$6),IF(AND(COUNT(A1253:A1264)=6,COUNT(F1253:F1264)=6),cubic_spline(F1252:F1258,A1252:A1258,B$6),IF(AND(COUNT(A1253:A1264)=7,COUNT(F1253:F1264)=7),cubic_spline(F1252:F1259,A1252:A1259,B$6),IF(AND(COUNT(A1253:A1264)=8,COUNT(F1253:F1264)=8),cubic_spline(F1252:F1260,A1252:A1260,B$6),IF(AND(COUNT(A1253:A1264)=9,COUNT(F1253:F1264)=9),cubic_spline(F1252:F1261,A1252:A1261,B$6),IF(AND(COUNT(A1253:A1264)=10,COUNT(F1253:F1264)=10),cubic_spline(F1252:F1262,A1252:A1262,B$6),IF(AND(COUNT(A1253:A1264)=11,COUNT(F1253:F1264)=11),cubic_spline(F1252:F1263,A1252:A1263,B$6),IF(AND(COUNT(A1253:A1264)=12,COUNT(F1253:F1264)=12),cubic_spline(F1252:F1264,A1252:A1264,B$6),""))))))))))))</f>
        <v/>
      </c>
      <c r="L1257" s="27" t="str">
        <f>IF(I1257="","",B$5&amp;"-"&amp;B$6)</f>
        <v/>
      </c>
      <c r="M1257" s="52" t="str">
        <f>IF(N(J1257)=0,"",J1257-J1256)</f>
        <v/>
      </c>
    </row>
    <row r="1258" spans="1:13" x14ac:dyDescent="0.35">
      <c r="A1258" s="48"/>
      <c r="B1258" s="48"/>
      <c r="C1258" s="50"/>
      <c r="D1258" s="50"/>
      <c r="E1258" s="51" t="str">
        <f t="shared" si="478"/>
        <v/>
      </c>
      <c r="F1258" s="71" t="str">
        <f t="shared" si="476"/>
        <v/>
      </c>
      <c r="G1258" s="69" t="str">
        <f t="shared" si="479"/>
        <v/>
      </c>
      <c r="H1258" s="70" t="str">
        <f t="shared" si="477"/>
        <v/>
      </c>
      <c r="I1258" s="27" t="str">
        <f>IF(N(J1258)=0,"",0&amp;"-"&amp;B$7)</f>
        <v/>
      </c>
      <c r="J1258" s="52" t="str">
        <f>IF(N(B$7)=0,"",IF(AND(COUNT(H1253:H1264)=2,COUNT(F1253:F1264)=2),cubic_spline(F1252:F1254,H1252:H1254,B$7),IF(AND(COUNT(H1253:H1264)=3,COUNT(F1253:F1264)=3),cubic_spline(F1252:F1255,H1252:H1255,B$7),IF(AND(COUNT(H1253:H1264)=4,COUNT(F1253:F1264)=4),cubic_spline(F1252:F1256,H1252:H1256,B$7),IF(AND(COUNT(H1253:H1264)=5,COUNT(F1253:F1264)=5),cubic_spline(F1252:F1257,H1252:H1257,B$7),IF(AND(COUNT(H1253:H1264)=6,COUNT(F1253:F1264)=6),cubic_spline(F1252:F1258,H1252:H1258,B$7),IF(AND(COUNT(H1253:H1264)=7,COUNT(F1253:F1264)=7),cubic_spline(F1252:F1259,H1252:H1259,B$7),IF(AND(COUNT(H1253:H1264)=8,COUNT(F1253:F1264)=8),cubic_spline(F1252:F1260,H1252:H1260,B$7),IF(AND(COUNT(H1253:H1264)=9,COUNT(F1253:F1264)=9),cubic_spline(F1252:F1261,H1252:H1261,B$7),IF(AND(COUNT(H1253:H1264)=10,COUNT(F1253:F1264)=10),cubic_spline(F1252:F1262,H1252:H1262,B$7),IF(AND(COUNT(H1253:H1264)=11,COUNT(F1253:F1264)=11),cubic_spline(F1252:F1263,H1252:H1263,B$7),IF(AND(COUNT(H1253:H1264)=12,COUNT(F1253:F1264)=12),cubic_spline(F1252:F1264,H1252:H1264,B$7),""))))))))))))</f>
        <v/>
      </c>
      <c r="K1258" s="52" t="str">
        <f>IF(N(B$7)=0,"",IF(AND(COUNT(A1253:A1264)=2,COUNT(F1253:F1264)=2),cubic_spline(F1252:F1254,A1252:A1254,B$7),IF(AND(COUNT(A1253:A1264)=3,COUNT(F1253:F1264)=3),cubic_spline(F1252:F1255,A1252:A1255,B$7),IF(AND(COUNT(A1253:A1264)=4,COUNT(F1253:F1264)=4),cubic_spline(F1252:F1256,A1252:A1256,B$7),IF(AND(COUNT(A1253:A1264)=5,COUNT(F1253:F1264)=5),cubic_spline(F1252:F1257,A1252:A1257,B$7),IF(AND(COUNT(A1253:A1264)=6,COUNT(F1253:F1264)=6),cubic_spline(F1252:F1258,A1252:A1258,B$7),IF(AND(COUNT(A1253:A1264)=7,COUNT(F1253:F1264)=7),cubic_spline(F1252:F1259,A1252:A1259,B$7),IF(AND(COUNT(A1253:A1264)=8,COUNT(F1253:F1264)=8),cubic_spline(F1252:F1260,A1252:A1260,B$7),IF(AND(COUNT(A1253:A1264)=9,COUNT(F1253:F1264)=9),cubic_spline(F1252:F1261,A1252:A1261,B$7),IF(AND(COUNT(A1253:A1264)=10,COUNT(F1253:F1264)=10),cubic_spline(F1252:F1262,A1252:A1262,B$7),IF(AND(COUNT(A1253:A1264)=11,COUNT(F1253:F1264)=11),cubic_spline(F1252:F1263,A1252:A1263,B$7),IF(AND(COUNT(A1253:A1264)=12,COUNT(F1253:F1264)=12),cubic_spline(F1252:F1264,A1252:A1264,B$7),""))))))))))))</f>
        <v/>
      </c>
      <c r="L1258" s="27" t="str">
        <f>IF(I1258="","",B$6&amp;"-"&amp;B$7)</f>
        <v/>
      </c>
      <c r="M1258" s="52" t="str">
        <f t="shared" ref="M1258:M1264" si="480">IF(N(J1258)=0,"",J1258-J1257)</f>
        <v/>
      </c>
    </row>
    <row r="1259" spans="1:13" x14ac:dyDescent="0.35">
      <c r="A1259" s="48"/>
      <c r="B1259" s="48"/>
      <c r="C1259" s="50"/>
      <c r="D1259" s="50"/>
      <c r="E1259" s="51" t="str">
        <f t="shared" si="478"/>
        <v/>
      </c>
      <c r="F1259" s="71" t="str">
        <f t="shared" si="476"/>
        <v/>
      </c>
      <c r="G1259" s="69" t="str">
        <f t="shared" si="479"/>
        <v/>
      </c>
      <c r="H1259" s="70" t="str">
        <f t="shared" si="477"/>
        <v/>
      </c>
      <c r="I1259" s="27" t="str">
        <f>IF(N(J1259)=0,"",0&amp;"-"&amp;B$8)</f>
        <v/>
      </c>
      <c r="J1259" s="52" t="str">
        <f>IF(N(B$8)=0,"",IF(AND(COUNT(H1253:H1264)=2,COUNT(F1253:F1264)=2),cubic_spline(F1252:F1254,H1252:H1254,B$8),IF(AND(COUNT(H1253:H1264)=3,COUNT(F1253:F1264)=3),cubic_spline(F1252:F1255,H1252:H1255,B$8),IF(AND(COUNT(H1253:H1264)=4,COUNT(F1253:F1264)=4),cubic_spline(F1252:F1256,H1252:H1256,B$8),IF(AND(COUNT(H1253:H1264)=5,COUNT(F1253:F1264)=5),cubic_spline(F1252:F1257,H1252:H1257,B$8),IF(AND(COUNT(H1253:H1264)=6,COUNT(F1253:F1264)=6),cubic_spline(F1252:F1258,H1252:H1258,B$8),IF(AND(COUNT(H1253:H1264)=7,COUNT(F1253:F1264)=7),cubic_spline(F1252:F1259,H1252:H1259,B$8),IF(AND(COUNT(H1253:H1264)=8,COUNT(F1253:F1264)=8),cubic_spline(F1252:F1260,H1252:H1260,B$8),IF(AND(COUNT(H1253:H1264)=9,COUNT(F1253:F1264)=9),cubic_spline(F1252:F1261,H1252:H1261,B$8),IF(AND(COUNT(H1253:H1264)=10,COUNT(F1253:F1264)=10),cubic_spline(F1252:F1262,H1252:H1262,B$8),IF(AND(COUNT(H1253:H1264)=11,COUNT(F1253:F1264)=11),cubic_spline(F1252:F1263,H1252:H1263,B$8),IF(AND(COUNT(H1253:H1264)=12,COUNT(F1253:F1264)=12),cubic_spline(F1252:F1264,H1252:H1264,B$8),""))))))))))))</f>
        <v/>
      </c>
      <c r="K1259" s="52" t="str">
        <f>IF(N(B$8)=0,"",IF(AND(COUNT(A1253:A1264)=2,COUNT(F1253:F1264)=2),cubic_spline(F1252:F1254,A1252:A1254,B$8),IF(AND(COUNT(A1253:A1264)=3,COUNT(F1253:F1264)=3),cubic_spline(F1252:F1255,A1252:A1255,B$8),IF(AND(COUNT(A1253:A1264)=4,COUNT(F1253:F1264)=4),cubic_spline(F1252:F1256,A1252:A1256,B$8),IF(AND(COUNT(A1253:A1264)=5,COUNT(F1253:F1264)=5),cubic_spline(F1252:F1257,A1252:A1257,B$8),IF(AND(COUNT(A1253:A1264)=6,COUNT(F1253:F1264)=6),cubic_spline(F1252:F1258,A1252:A1258,B$8),IF(AND(COUNT(A1253:A1264)=7,COUNT(F1253:F1264)=7),cubic_spline(F1252:F1259,A1252:A1259,B$8),IF(AND(COUNT(A1253:A1264)=8,COUNT(F1253:F1264)=8),cubic_spline(F1252:F1260,A1252:A1260,B$8),IF(AND(COUNT(A1253:A1264)=9,COUNT(F1253:F1264)=9),cubic_spline(F1252:F1261,A1252:A1261,B$8),IF(AND(COUNT(A1253:A1264)=10,COUNT(F1253:F1264)=10),cubic_spline(F1252:F1262,A1252:A1262,B$8),IF(AND(COUNT(A1253:A1264)=11,COUNT(F1253:F1264)=11),cubic_spline(F1252:F1263,A1252:A1263,B$8),IF(AND(COUNT(A1253:A1264)=12,COUNT(F1253:F1264)=12),cubic_spline(F1252:F1264,A1252:A1264,B$8),""))))))))))))</f>
        <v/>
      </c>
      <c r="L1259" s="27" t="str">
        <f>IF(I1259="","",B$7&amp;"-"&amp;B$8)</f>
        <v/>
      </c>
      <c r="M1259" s="52" t="str">
        <f t="shared" si="480"/>
        <v/>
      </c>
    </row>
    <row r="1260" spans="1:13" x14ac:dyDescent="0.35">
      <c r="A1260" s="48"/>
      <c r="B1260" s="48"/>
      <c r="C1260" s="50"/>
      <c r="D1260" s="50"/>
      <c r="E1260" s="51" t="str">
        <f t="shared" si="478"/>
        <v/>
      </c>
      <c r="F1260" s="71" t="str">
        <f t="shared" si="476"/>
        <v/>
      </c>
      <c r="G1260" s="69" t="str">
        <f t="shared" si="479"/>
        <v/>
      </c>
      <c r="H1260" s="70" t="str">
        <f t="shared" si="477"/>
        <v/>
      </c>
      <c r="I1260" s="27" t="str">
        <f>IF(N(J1260)=0,"",0&amp;"-"&amp;B$9)</f>
        <v/>
      </c>
      <c r="J1260" s="52" t="str">
        <f>IF(N(B$9)=0,"",IF(AND(COUNT(H1253:H1264)=2,COUNT(F1253:F1264)=2),cubic_spline(F1252:F1254,H1252:H1254,B$9),IF(AND(COUNT(H1253:H1264)=3,COUNT(F1253:F1264)=3),cubic_spline(F1252:F1255,H1252:H1255,B$9),IF(AND(COUNT(H1253:H1264)=4,COUNT(F1253:F1264)=4),cubic_spline(F1252:F1256,H1252:H1256,B$9),IF(AND(COUNT(H1253:H1264)=5,COUNT(F1253:F1264)=5),cubic_spline(F1252:F1257,H1252:H1257,B$9),IF(AND(COUNT(H1253:H1264)=6,COUNT(F1253:F1264)=6),cubic_spline(F1252:F1258,H1252:H1258,B$9),IF(AND(COUNT(H1253:H1264)=7,COUNT(F1253:F1264)=7),cubic_spline(F1252:F1259,H1252:H1259,B$9),IF(AND(COUNT(H1253:H1264)=8,COUNT(F1253:F1264)=8),cubic_spline(F1252:F1260,H1252:H1260,B$9),IF(AND(COUNT(H1253:H1264)=9,COUNT(F1253:F1264)=9),cubic_spline(F1252:F1261,H1252:H1261,B$9),IF(AND(COUNT(H1253:H1264)=10,COUNT(F1253:F1264)=10),cubic_spline(F1252:F1262,H1252:H1262,B$9),IF(AND(COUNT(H1253:H1264)=11,COUNT(F1253:F1264)=11),cubic_spline(F1252:F1263,H1252:H1263,B$9),IF(AND(COUNT(H1253:H1264)=12,COUNT(F1253:F1264)=12),cubic_spline(F1252:F1264,H1252:H1264,B$9),""))))))))))))</f>
        <v/>
      </c>
      <c r="K1260" s="52" t="str">
        <f>IF(N(B$9)=0,"",IF(AND(COUNT(A1253:A1264)=2,COUNT(F1253:F1264)=2),cubic_spline(F1252:F1254,A1252:A1254,B$9),IF(AND(COUNT(A1253:A1264)=3,COUNT(F1253:F1264)=3),cubic_spline(F1252:F1255,A1252:A1255,B$9),IF(AND(COUNT(A1253:A1264)=4,COUNT(F1253:F1264)=4),cubic_spline(F1252:F1256,A1252:A1256,B$9),IF(AND(COUNT(A1253:A1264)=5,COUNT(F1253:F1264)=5),cubic_spline(F1252:F1257,A1252:A1257,B$9),IF(AND(COUNT(A1253:A1264)=6,COUNT(F1253:F1264)=6),cubic_spline(F1252:F1258,A1252:A1258,B$9),IF(AND(COUNT(A1253:A1264)=7,COUNT(F1253:F1264)=7),cubic_spline(F1252:F1259,A1252:A1259,B$9),IF(AND(COUNT(A1253:A1264)=8,COUNT(F1253:F1264)=8),cubic_spline(F1252:F1260,A1252:A1260,B$9),IF(AND(COUNT(A1253:A1264)=9,COUNT(F1253:F1264)=9),cubic_spline(F1252:F1261,A1252:A1261,B$9),IF(AND(COUNT(A1253:A1264)=10,COUNT(F1253:F1264)=10),cubic_spline(F1252:F1262,A1252:A1262,B$9),IF(AND(COUNT(A1253:A1264)=11,COUNT(F1253:F1264)=11),cubic_spline(F1252:F1263,A1252:A1263,B$9),IF(AND(COUNT(A1253:A1264)=12,COUNT(F1253:F1264)=12),cubic_spline(F1252:F1264,A1252:A1264,B$9),""))))))))))))</f>
        <v/>
      </c>
      <c r="L1260" s="27" t="str">
        <f>IF(I1260="","",B$8&amp;"-"&amp;B$9)</f>
        <v/>
      </c>
      <c r="M1260" s="52" t="str">
        <f t="shared" si="480"/>
        <v/>
      </c>
    </row>
    <row r="1261" spans="1:13" x14ac:dyDescent="0.35">
      <c r="A1261" s="48"/>
      <c r="B1261" s="48"/>
      <c r="C1261" s="50"/>
      <c r="D1261" s="50"/>
      <c r="E1261" s="51" t="str">
        <f t="shared" si="478"/>
        <v/>
      </c>
      <c r="F1261" s="71" t="str">
        <f t="shared" si="476"/>
        <v/>
      </c>
      <c r="G1261" s="69" t="str">
        <f t="shared" si="479"/>
        <v/>
      </c>
      <c r="H1261" s="70" t="str">
        <f t="shared" si="477"/>
        <v/>
      </c>
      <c r="I1261" s="27" t="str">
        <f>IF(N(J1261)=0,"",0&amp;"-"&amp;B$10)</f>
        <v/>
      </c>
      <c r="J1261" s="52" t="str">
        <f>IF(N(B$10)=0,"",IF(AND(COUNT(H1253:H1264)=2,COUNT(F1253:F1264)=2),cubic_spline(F1252:F1254,H1252:H1254,B$10),IF(AND(COUNT(H1253:H1264)=3,COUNT(F1253:F1264)=3),cubic_spline(F1252:F1255,H1252:H1255,B$10),IF(AND(COUNT(H1253:H1264)=4,COUNT(F1253:F1264)=4),cubic_spline(F1252:F1256,H1252:H1256,B$10),IF(AND(COUNT(H1253:H1264)=5,COUNT(F1253:F1264)=5),cubic_spline(F1252:F1257,H1252:H1257,B$10),IF(AND(COUNT(H1253:H1264)=6,COUNT(F1253:F1264)=6),cubic_spline(F1252:F1258,H1252:H1258,B$10),IF(AND(COUNT(H1253:H1264)=7,COUNT(F1253:F1264)=7),cubic_spline(F1252:F1259,H1252:H1259,B$10),IF(AND(COUNT(H1253:H1264)=8,COUNT(F1253:F1264)=8),cubic_spline(F1252:F1260,H1252:H1260,B$10),IF(AND(COUNT(H1253:H1264)=9,COUNT(F1253:F1264)=9),cubic_spline(F1252:F1261,H1252:H1261,B$10),IF(AND(COUNT(H1253:H1264)=10,COUNT(F1253:F1264)=10),cubic_spline(F1252:F1262,H1252:H1262,B$10),IF(AND(COUNT(H1253:H1264)=11,COUNT(F1253:F1264)=11),cubic_spline(F1252:F1263,H1252:H1263,B$10),IF(AND(COUNT(H1253:H1264)=12,COUNT(F1253:F1264)=12),cubic_spline(F1252:F1264,H1252:H1264,B$10),""))))))))))))</f>
        <v/>
      </c>
      <c r="K1261" s="52" t="str">
        <f>IF(N(B$10)=0,"",IF(AND(COUNT(A1253:A1264)=2,COUNT(F1253:F1264)=2),cubic_spline(F1252:F1254,A1252:A1254,B$10),IF(AND(COUNT(A1253:A1264)=3,COUNT(F1253:F1264)=3),cubic_spline(F1252:F1255,A1252:A1255,B$10),IF(AND(COUNT(A1253:A1264)=4,COUNT(F1253:F1264)=4),cubic_spline(F1252:F1256,A1252:A1256,B$10),IF(AND(COUNT(A1253:A1264)=5,COUNT(F1253:F1264)=5),cubic_spline(F1252:F1257,A1252:A1257,B$10),IF(AND(COUNT(A1253:A1264)=6,COUNT(F1253:F1264)=6),cubic_spline(F1252:F1258,A1252:A1258,B$10),IF(AND(COUNT(A1253:A1264)=7,COUNT(F1253:F1264)=7),cubic_spline(F1252:F1259,A1252:A1259,B$10),IF(AND(COUNT(A1253:A1264)=8,COUNT(F1253:F1264)=8),cubic_spline(F1252:F1260,A1252:A1260,B$10),IF(AND(COUNT(A1253:A1264)=9,COUNT(F1253:F1264)=9),cubic_spline(F1252:F1261,A1252:A1261,B$10),IF(AND(COUNT(A1253:A1264)=10,COUNT(F1253:F1264)=10),cubic_spline(F1252:F1262,A1252:A1262,B$10),IF(AND(COUNT(A1253:A1264)=11,COUNT(F1253:F1264)=11),cubic_spline(F1252:F1263,A1252:A1263,B$10),IF(AND(COUNT(A1253:A1264)=12,COUNT(F1253:F1264)=12),cubic_spline(F1252:F1264,A1252:A1264,B$10),""))))))))))))</f>
        <v/>
      </c>
      <c r="L1261" s="27" t="str">
        <f>IF(I1261="","",B$9&amp;"-"&amp;B$10)</f>
        <v/>
      </c>
      <c r="M1261" s="52" t="str">
        <f t="shared" si="480"/>
        <v/>
      </c>
    </row>
    <row r="1262" spans="1:13" x14ac:dyDescent="0.35">
      <c r="A1262" s="48"/>
      <c r="B1262" s="48"/>
      <c r="C1262" s="50"/>
      <c r="D1262" s="50"/>
      <c r="E1262" s="51" t="str">
        <f t="shared" si="478"/>
        <v/>
      </c>
      <c r="F1262" s="71" t="str">
        <f t="shared" si="476"/>
        <v/>
      </c>
      <c r="G1262" s="69" t="str">
        <f t="shared" si="479"/>
        <v/>
      </c>
      <c r="H1262" s="70" t="str">
        <f t="shared" si="477"/>
        <v/>
      </c>
      <c r="I1262" s="27" t="str">
        <f>IF(N(J1262)=0,"",0&amp;"-"&amp;B$11)</f>
        <v/>
      </c>
      <c r="J1262" s="52" t="str">
        <f>IF(N(B$11)=0,"",IF(AND(COUNT(H1253:H1264)=2,COUNT(F1253:F1264)=2),cubic_spline(F1252:F1254,H1252:H1254,B$11),IF(AND(COUNT(H1253:H1264)=3,COUNT(F1253:F1264)=3),cubic_spline(F1252:F1255,H1252:H1255,B$11),IF(AND(COUNT(H1253:H1264)=4,COUNT(F1253:F1264)=4),cubic_spline(F1252:F1256,H1252:H1256,B$11),IF(AND(COUNT(H1253:H1264)=5,COUNT(F1253:F1264)=5),cubic_spline(F1252:F1257,H1252:H1257,B$11),IF(AND(COUNT(H1253:H1264)=6,COUNT(F1253:F1264)=6),cubic_spline(F1252:F1258,H1252:H1258,B$11),IF(AND(COUNT(H1253:H1264)=7,COUNT(F1253:F1264)=7),cubic_spline(F1252:F1259,H1252:H1259,B$11),IF(AND(COUNT(H1253:H1264)=8,COUNT(F1253:F1264)=8),cubic_spline(F1252:F1260,H1252:H1260,B$11),IF(AND(COUNT(H1253:H1264)=9,COUNT(F1253:F1264)=9),cubic_spline(F1252:F1261,H1252:H1261,B$11),IF(AND(COUNT(H1253:H1264)=10,COUNT(F1253:F1264)=10),cubic_spline(F1252:F1262,H1252:H1262,B$11),IF(AND(COUNT(H1253:H1264)=11,COUNT(F1253:F1264)=11),cubic_spline(F1252:F1263,H1252:H1263,B$11),IF(AND(COUNT(H1253:H1264)=12,COUNT(F1253:F1264)=12),cubic_spline(F1252:F1264,H1252:H1264,B$11),""))))))))))))</f>
        <v/>
      </c>
      <c r="K1262" s="52" t="str">
        <f>IF(N(B$11)=0,"",IF(AND(COUNT(A1253:A1264)=2,COUNT(F1253:F1264)=2),cubic_spline(F1252:F1254,A1252:A1254,B$11),IF(AND(COUNT(A1253:A1264)=3,COUNT(F1253:F1264)=3),cubic_spline(F1252:F1255,A1252:A1255,B$11),IF(AND(COUNT(A1253:A1264)=4,COUNT(F1253:F1264)=4),cubic_spline(F1252:F1256,A1252:A1256,B$11),IF(AND(COUNT(A1253:A1264)=5,COUNT(F1253:F1264)=5),cubic_spline(F1252:F1257,A1252:A1257,B$11),IF(AND(COUNT(A1253:A1264)=6,COUNT(F1253:F1264)=6),cubic_spline(F1252:F1258,A1252:A1258,B$11),IF(AND(COUNT(A1253:A1264)=7,COUNT(F1253:F1264)=7),cubic_spline(F1252:F1259,A1252:A1259,B$11),IF(AND(COUNT(A1253:A1264)=8,COUNT(F1253:F1264)=8),cubic_spline(F1252:F1260,A1252:A1260,B$11),IF(AND(COUNT(A1253:A1264)=9,COUNT(F1253:F1264)=9),cubic_spline(F1252:F1261,A1252:A1261,B$11),IF(AND(COUNT(A1253:A1264)=10,COUNT(F1253:F1264)=10),cubic_spline(F1252:F1262,A1252:A1262,B$11),IF(AND(COUNT(A1253:A1264)=11,COUNT(F1253:F1264)=11),cubic_spline(F1252:F1263,A1252:A1263,B$11),IF(AND(COUNT(A1253:A1264)=12,COUNT(F1253:F1264)=12),cubic_spline(F1252:F1264,A1252:A1264,B$11),""))))))))))))</f>
        <v/>
      </c>
      <c r="L1262" s="27" t="str">
        <f>IF(I1262="","",B$10&amp;"-"&amp;B$11)</f>
        <v/>
      </c>
      <c r="M1262" s="52" t="str">
        <f t="shared" si="480"/>
        <v/>
      </c>
    </row>
    <row r="1263" spans="1:13" x14ac:dyDescent="0.35">
      <c r="A1263" s="48"/>
      <c r="B1263" s="48"/>
      <c r="C1263" s="50"/>
      <c r="D1263" s="50"/>
      <c r="E1263" s="51" t="str">
        <f t="shared" si="478"/>
        <v/>
      </c>
      <c r="F1263" s="71" t="str">
        <f t="shared" si="476"/>
        <v/>
      </c>
      <c r="G1263" s="69" t="str">
        <f t="shared" si="479"/>
        <v/>
      </c>
      <c r="H1263" s="70" t="str">
        <f t="shared" si="477"/>
        <v/>
      </c>
      <c r="I1263" s="27" t="str">
        <f>IF(N(J1263)=0,"",0&amp;"-"&amp;B$12)</f>
        <v/>
      </c>
      <c r="J1263" s="52" t="str">
        <f>IF(N(B$12)=0,"",IF(AND(COUNT(H1253:H1264)=2,COUNT(F1253:F1264)=2),cubic_spline(F1252:F1254,H1252:H1254,B$12),IF(AND(COUNT(H1253:H1264)=3,COUNT(F1253:F1264)=3),cubic_spline(F1252:F1255,H1252:H1255,B$12),IF(AND(COUNT(H1253:H1264)=4,COUNT(F1253:F1264)=4),cubic_spline(F1252:F1256,H1252:H1256,B$12),IF(AND(COUNT(H1253:H1264)=5,COUNT(F1253:F1264)=5),cubic_spline(F1252:F1257,H1252:H1257,B$12),IF(AND(COUNT(H1253:H1264)=6,COUNT(F1253:F1264)=6),cubic_spline(F1252:F1258,H1252:H1258,B$12),IF(AND(COUNT(H1253:H1264)=7,COUNT(F1253:F1264)=7),cubic_spline(F1252:F1259,H1252:H1259,B$12),IF(AND(COUNT(H1253:H1264)=8,COUNT(F1253:F1264)=8),cubic_spline(F1252:F1260,H1252:H1260,B$12),IF(AND(COUNT(H1253:H1264)=9,COUNT(F1253:F1264)=9),cubic_spline(F1252:F1261,H1252:H1261,B$12),IF(AND(COUNT(H1253:H1264)=10,COUNT(F1253:F1264)=10),cubic_spline(F1252:F1262,H1252:H1262,B$12),IF(AND(COUNT(H1253:H1264)=11,COUNT(F1253:F1264)=11),cubic_spline(F1252:F1263,H1252:H1263,B$12),IF(AND(COUNT(H1253:H1264)=12,COUNT(F1253:F1264)=12),cubic_spline(F1252:F1264,H1252:H1264,B$12),""))))))))))))</f>
        <v/>
      </c>
      <c r="K1263" s="52" t="str">
        <f>IF(N(B$12)=0,"",IF(AND(COUNT(A1253:A1264)=2,COUNT(F1253:F1264)=2),cubic_spline(F1252:F1254,A1252:A1254,B$12),IF(AND(COUNT(A1253:A1264)=3,COUNT(F1253:F1264)=3),cubic_spline(F1252:F1255,A1252:A1255,B$12),IF(AND(COUNT(A1253:A1264)=4,COUNT(F1253:F1264)=4),cubic_spline(F1252:F1256,A1252:A1256,B$12),IF(AND(COUNT(A1253:A1264)=5,COUNT(F1253:F1264)=5),cubic_spline(F1252:F1257,A1252:A1257,B$12),IF(AND(COUNT(A1253:A1264)=6,COUNT(F1253:F1264)=6),cubic_spline(F1252:F1258,A1252:A1258,B$12),IF(AND(COUNT(A1253:A1264)=7,COUNT(F1253:F1264)=7),cubic_spline(F1252:F1259,A1252:A1259,B$12),IF(AND(COUNT(A1253:A1264)=8,COUNT(F1253:F1264)=8),cubic_spline(F1252:F1260,A1252:A1260,B$12),IF(AND(COUNT(A1253:A1264)=9,COUNT(F1253:F1264)=9),cubic_spline(F1252:F1261,A1252:A1261,B$12),IF(AND(COUNT(A1253:A1264)=10,COUNT(F1253:F1264)=10),cubic_spline(F1252:F1262,A1252:A1262,B$12),IF(AND(COUNT(A1253:A1264)=11,COUNT(F1253:F1264)=11),cubic_spline(F1252:F1263,A1252:A1263,B$12),IF(AND(COUNT(A1253:A1264)=12,COUNT(F1253:F1264)=12),cubic_spline(F1252:F1264,A1252:A1264,B$12),""))))))))))))</f>
        <v/>
      </c>
      <c r="L1263" s="27" t="str">
        <f>IF(I1263="","",B$11&amp;"-"&amp;B$12)</f>
        <v/>
      </c>
      <c r="M1263" s="52" t="str">
        <f t="shared" si="480"/>
        <v/>
      </c>
    </row>
    <row r="1264" spans="1:13" x14ac:dyDescent="0.35">
      <c r="A1264" s="48"/>
      <c r="B1264" s="48"/>
      <c r="C1264" s="50"/>
      <c r="D1264" s="50"/>
      <c r="E1264" s="51" t="str">
        <f t="shared" si="478"/>
        <v/>
      </c>
      <c r="F1264" s="71" t="str">
        <f t="shared" si="476"/>
        <v/>
      </c>
      <c r="G1264" s="69" t="str">
        <f t="shared" si="479"/>
        <v/>
      </c>
      <c r="H1264" s="70" t="str">
        <f t="shared" si="477"/>
        <v/>
      </c>
      <c r="I1264" s="27" t="str">
        <f>IF(N(J1264)=0,"",0&amp;"-"&amp;B$13)</f>
        <v/>
      </c>
      <c r="J1264" s="52" t="str">
        <f>IF(N(B$13)=0,"",IF(AND(COUNT(H1253:H1264)=2,COUNT(F1253:F1264)=2),cubic_spline(F1252:F1254,H1252:H1254,B$13),IF(AND(COUNT(H1253:H1264)=3,COUNT(F1253:F1264)=3),cubic_spline(F1252:F1255,H1252:H1255,B$13),IF(AND(COUNT(H1253:H1264)=4,COUNT(F1253:F1264)=4),cubic_spline(F1252:F1256,H1252:H1256,B$13),IF(AND(COUNT(H1253:H1264)=5,COUNT(F1253:F1264)=5),cubic_spline(F1252:F1257,H1252:H1257,B$13),IF(AND(COUNT(H1253:H1264)=6,COUNT(F1253:F1264)=6),cubic_spline(F1252:F1258,H1252:H1258,B$13),IF(AND(COUNT(H1253:H1264)=7,COUNT(F1253:F1264)=7),cubic_spline(F1252:F1259,H1252:H1259,B$13),IF(AND(COUNT(H1253:H1264)=8,COUNT(F1253:F1264)=8),cubic_spline(F1252:F1260,H1252:H1260,B$13),IF(AND(COUNT(H1253:H1264)=9,COUNT(F1253:F1264)=9),cubic_spline(F1252:F1261,H1252:H1261,B$13),IF(AND(COUNT(H1253:H1264)=10,COUNT(F1253:F1264)=10),cubic_spline(F1252:F1262,H1252:H1262,B$13),IF(AND(COUNT(H1253:H1264)=11,COUNT(F1253:F1264)=11),cubic_spline(F1252:F1263,H1252:H1263,B$13),IF(AND(COUNT(H1253:H1264)=12,COUNT(F1253:F1264)=12),cubic_spline(F1252:F1264,H1252:H1264,B$13),""))))))))))))</f>
        <v/>
      </c>
      <c r="K1264" s="52" t="str">
        <f>IF(N(B$13)=0,"",IF(AND(COUNT(A1253:A1264)=2,COUNT(F1253:F1264)=2),cubic_spline(F1252:F1254,A1252:A1254,B$13),IF(AND(COUNT(A1253:A1264)=3,COUNT(F1253:F1264)=3),cubic_spline(F1252:F1255,A1252:A1255,B$13),IF(AND(COUNT(A1253:A1264)=4,COUNT(F1253:F1264)=4),cubic_spline(F1252:F1256,A1252:A1256,B$13),IF(AND(COUNT(A1253:A1264)=5,COUNT(F1253:F1264)=5),cubic_spline(F1252:F1257,A1252:A1257,B$13),IF(AND(COUNT(A1253:A1264)=6,COUNT(F1253:F1264)=6),cubic_spline(F1252:F1258,A1252:A1258,B$13),IF(AND(COUNT(A1253:A1264)=7,COUNT(F1253:F1264)=7),cubic_spline(F1252:F1259,A1252:A1259,B$13),IF(AND(COUNT(A1253:A1264)=8,COUNT(F1253:F1264)=8),cubic_spline(F1252:F1260,A1252:A1260,B$13),IF(AND(COUNT(A1253:A1264)=9,COUNT(F1253:F1264)=9),cubic_spline(F1252:F1261,A1252:A1261,B$13),IF(AND(COUNT(A1253:A1264)=10,COUNT(F1253:F1264)=10),cubic_spline(F1252:F1262,A1252:A1262,B$13),IF(AND(COUNT(A1253:A1264)=11,COUNT(F1253:F1264)=11),cubic_spline(F1252:F1263,A1252:A1263,B$13),IF(AND(COUNT(A1253:A1264)=12,COUNT(F1253:F1264)=12),cubic_spline(F1252:F1264,A1252:A1264,B$13),""))))))))))))</f>
        <v/>
      </c>
      <c r="L1264" s="27" t="str">
        <f>IF(I1264="","",B$12&amp;"-"&amp;B$13)</f>
        <v/>
      </c>
      <c r="M1264" s="52" t="str">
        <f t="shared" si="480"/>
        <v/>
      </c>
    </row>
    <row r="1265" spans="1:13" ht="5.15" customHeight="1" x14ac:dyDescent="0.35">
      <c r="A1265" s="47"/>
      <c r="B1265" s="47"/>
      <c r="C1265" s="53"/>
      <c r="D1265" s="53"/>
      <c r="E1265" s="54"/>
      <c r="F1265" s="55"/>
      <c r="G1265" s="72"/>
      <c r="H1265" s="73"/>
      <c r="I1265" s="47"/>
      <c r="J1265" s="57"/>
      <c r="K1265" s="57"/>
      <c r="L1265" s="55"/>
      <c r="M1265" s="57"/>
    </row>
    <row r="1266" spans="1:13" x14ac:dyDescent="0.35">
      <c r="A1266" s="48"/>
      <c r="B1266" s="48"/>
      <c r="C1266" s="50"/>
      <c r="D1266" s="50"/>
      <c r="E1266" s="51" t="str">
        <f>IF(N(C1266)=0,"",(A1266-A1265)*C1266*100)</f>
        <v/>
      </c>
      <c r="F1266" s="68" t="str">
        <f t="shared" ref="F1266:F1277" si="481">IF(N(E1266)=0,"",(N(E1266)+N(F1265)))</f>
        <v/>
      </c>
      <c r="G1266" s="69" t="str">
        <f>IF(OR(N(D1266)=0,N(E1266)=0),"",(E1266*D1266)/1000)</f>
        <v/>
      </c>
      <c r="H1266" s="70" t="str">
        <f t="shared" ref="H1266:H1277" si="482">IF(N(G1266)=0,"",(N(G1266)+N(H1265)))</f>
        <v/>
      </c>
      <c r="I1266" s="27" t="str">
        <f>IF(N(J1266)=0,"",0&amp;"-"&amp;B$2)</f>
        <v/>
      </c>
      <c r="J1266" s="52" t="str">
        <f>IF(N(B$2)=0,"",IF(AND(COUNT(H1266:H1277)=2,COUNT(F1266:F1277)=2),cubic_spline(F1265:F1267,H1265:H1267,B$2),IF(AND(COUNT(H1266:H1277)=3,COUNT(F1266:F1277)=3),cubic_spline(F1265:F1268,H1265:H1268,B$2),IF(AND(COUNT(H1266:H1277)=4,COUNT(F1266:F1277)=4),cubic_spline(F1265:F1269,H1265:H1269,B$2),IF(AND(COUNT(H1266:H1277)=5,COUNT(F1266:F1277)=5),cubic_spline(F1265:F1270,H1265:H1270,B$2),IF(AND(COUNT(H1266:H1277)=6,COUNT(F1266:F1277)=6),cubic_spline(F1265:F1271,H1265:H1271,B$2),IF(AND(COUNT(H1266:H1277)=7,COUNT(F1266:F1277)=7),cubic_spline(F1265:F1272,H1265:H1272,B$2),IF(AND(COUNT(H1266:H1277)=8,COUNT(F1266:F1277)=8),cubic_spline(F1265:F1273,H1265:H1273,B$2),IF(AND(COUNT(H1266:H1277)=9,COUNT(F1266:F1277)=9),cubic_spline(F1265:F1274,H1265:H1274,B$2),IF(AND(COUNT(H1266:H1277)=10,COUNT(F1266:F1277)=10),cubic_spline(F1265:F1275,H1265:H1275,B$2),IF(AND(COUNT(H1266:H1277)=11,COUNT(F1266:F1277)=11),cubic_spline(F1265:F1276,H1265:H1276,B$2),IF(AND(COUNT(H1266:H1277)=12,COUNT(F1266:F1277)=12),cubic_spline(F1265:F1277,H1265:H1277,B$2),""))))))))))))</f>
        <v/>
      </c>
      <c r="K1266" s="52" t="str">
        <f>IF(N(B$2)=0,"",IF(AND(COUNT(A1266:A1277)=2,COUNT(F1266:F1277)=2),cubic_spline(F1265:F1267,A1265:A1267,B$2),IF(AND(COUNT(A1266:A1277)=3,COUNT(F1266:F1277)=3),cubic_spline(F1265:F1268,A1265:A1268,B$2),IF(AND(COUNT(A1266:A1277)=4,COUNT(F1266:F1277)=4),cubic_spline(F1265:F1269,A1265:A1269,B$2),IF(AND(COUNT(A1266:A1277)=5,COUNT(F1266:F1277)=5),cubic_spline(F1265:F1270,A1265:A1270,B$2),IF(AND(COUNT(A1266:A1277)=6,COUNT(F1266:F1277)=6),cubic_spline(F1265:F1271,A1265:A1271,B$2),IF(AND(COUNT(A1266:A1277)=7,COUNT(F1266:F1277)=7),cubic_spline(F1265:F1272,A1265:A1272,B$2),IF(AND(COUNT(A1266:A1277)=8,COUNT(F1266:F1277)=8),cubic_spline(F1265:F1273,A1265:A1273,B$2),IF(AND(COUNT(A1266:A1277)=9,COUNT(F1266:F1277)=9),cubic_spline(F1265:F1274,A1265:A1274,B$2),IF(AND(COUNT(A1266:A1277)=10,COUNT(F1266:F1277)=10),cubic_spline(F1265:F1275,A1265:A1275,B$2),IF(AND(COUNT(A1266:A1277)=11,COUNT(F1266:F1277)=11),cubic_spline(F1265:F1276,A1265:A1276,B$2),IF(AND(COUNT(A1266:A1277)=12,COUNT(F1266:F1277)=12),cubic_spline(F1265:F1277,A1265:A1277,B$2),""))))))))))))</f>
        <v/>
      </c>
      <c r="L1266" s="27" t="str">
        <f>IF(I1266="","",0&amp;"-"&amp;B$2)</f>
        <v/>
      </c>
      <c r="M1266" s="52" t="str">
        <f>IF(N(J1266)=0,"",J1266-J1265)</f>
        <v/>
      </c>
    </row>
    <row r="1267" spans="1:13" x14ac:dyDescent="0.35">
      <c r="A1267" s="48"/>
      <c r="B1267" s="48"/>
      <c r="C1267" s="50"/>
      <c r="D1267" s="50"/>
      <c r="E1267" s="51" t="str">
        <f t="shared" ref="E1267:E1277" si="483">IF(N(C1267)=0,"",(A1267-A1266)*C1267*100)</f>
        <v/>
      </c>
      <c r="F1267" s="68" t="str">
        <f t="shared" si="481"/>
        <v/>
      </c>
      <c r="G1267" s="69" t="str">
        <f t="shared" ref="G1267:G1277" si="484">IF(OR(N(D1267)=0,N(E1267)=0),"",(E1267*D1267)/1000)</f>
        <v/>
      </c>
      <c r="H1267" s="70" t="str">
        <f t="shared" si="482"/>
        <v/>
      </c>
      <c r="I1267" s="27" t="str">
        <f>IF(N(J1267)=0,"",0&amp;"-"&amp;B$3)</f>
        <v/>
      </c>
      <c r="J1267" s="52" t="str">
        <f>IF(N(B$3)=0,"",IF(AND(COUNT(H1266:H1277)=2,COUNT(F1266:F1277)=2),cubic_spline(F1265:F1267,H1265:H1267,B$3),IF(AND(COUNT(H1266:H1277)=3,COUNT(F1266:F1277)=3),cubic_spline(F1265:F1268,H1265:H1268,B$3),IF(AND(COUNT(H1266:H1277)=4,COUNT(F1266:F1277)=4),cubic_spline(F1265:F1269,H1265:H1269,B$3),IF(AND(COUNT(H1266:H1277)=5,COUNT(F1266:F1277)=5),cubic_spline(F1265:F1270,H1265:H1270,B$3),IF(AND(COUNT(H1266:H1277)=6,COUNT(F1266:F1277)=6),cubic_spline(F1265:F1271,H1265:H1271,B$3),IF(AND(COUNT(H1266:H1277)=7,COUNT(F1266:F1277)=7),cubic_spline(F1265:F1272,H1265:H1272,B$3),IF(AND(COUNT(H1266:H1277)=8,COUNT(F1266:F1277)=8),cubic_spline(F1265:F1273,H1265:H1273,B$3),IF(AND(COUNT(H1266:H1277)=9,COUNT(F1266:F1277)=9),cubic_spline(F1265:F1274,H1265:H1274,B$3),IF(AND(COUNT(H1266:H1277)=10,COUNT(F1266:F1277)=10),cubic_spline(F1265:F1275,H1265:H1275,B$3),IF(AND(COUNT(H1266:H1277)=11,COUNT(F1266:F1277)=11),cubic_spline(F1265:F1276,H1265:H1276,B$3),IF(AND(COUNT(H1266:H1277)=12,COUNT(F1266:F1277)=12),cubic_spline(F1265:F1277,H1265:H1277,B$3),""))))))))))))</f>
        <v/>
      </c>
      <c r="K1267" s="52" t="str">
        <f>IF(N(B$3)=0,"",IF(AND(COUNT(A1266:A1277)=2,COUNT(F1266:F1277)=2),cubic_spline(F1265:F1267,A1265:A1267,B$3),IF(AND(COUNT(A1266:A1277)=3,COUNT(F1266:F1277)=3),cubic_spline(F1265:F1268,A1265:A1268,B$3),IF(AND(COUNT(A1266:A1277)=4,COUNT(F1266:F1277)=4),cubic_spline(F1265:F1269,A1265:A1269,B$3),IF(AND(COUNT(A1266:A1277)=5,COUNT(F1266:F1277)=5),cubic_spline(F1265:F1270,A1265:A1270,B$3),IF(AND(COUNT(A1266:A1277)=6,COUNT(F1266:F1277)=6),cubic_spline(F1265:F1271,A1265:A1271,B$3),IF(AND(COUNT(A1266:A1277)=7,COUNT(F1266:F1277)=7),cubic_spline(F1265:F1272,A1265:A1272,B$3),IF(AND(COUNT(A1266:A1277)=8,COUNT(F1266:F1277)=8),cubic_spline(F1265:F1273,A1265:A1273,B$3),IF(AND(COUNT(A1266:A1277)=9,COUNT(F1266:F1277)=9),cubic_spline(F1265:F1274,A1265:A1274,B$3),IF(AND(COUNT(A1266:A1277)=10,COUNT(F1266:F1277)=10),cubic_spline(F1265:F1275,A1265:A1275,B$3),IF(AND(COUNT(A1266:A1277)=11,COUNT(F1266:F1277)=11),cubic_spline(F1265:F1276,A1265:A1276,B$3),IF(AND(COUNT(A1266:A1277)=12,COUNT(F1266:F1277)=12),cubic_spline(F1265:F1277,A1265:A1277,B$3),""))))))))))))</f>
        <v/>
      </c>
      <c r="L1267" s="27" t="str">
        <f>IF(I1267="","",B$2&amp;"-"&amp;B$3)</f>
        <v/>
      </c>
      <c r="M1267" s="52" t="str">
        <f>IF(N(J1267)=0,"",J1267-J1266)</f>
        <v/>
      </c>
    </row>
    <row r="1268" spans="1:13" x14ac:dyDescent="0.35">
      <c r="A1268" s="48"/>
      <c r="B1268" s="48"/>
      <c r="C1268" s="50"/>
      <c r="D1268" s="50"/>
      <c r="E1268" s="51" t="str">
        <f t="shared" si="483"/>
        <v/>
      </c>
      <c r="F1268" s="68" t="str">
        <f t="shared" si="481"/>
        <v/>
      </c>
      <c r="G1268" s="69" t="str">
        <f t="shared" si="484"/>
        <v/>
      </c>
      <c r="H1268" s="70" t="str">
        <f t="shared" si="482"/>
        <v/>
      </c>
      <c r="I1268" s="27" t="str">
        <f>IF(N(J1268)=0,"",0&amp;"-"&amp;B$4)</f>
        <v/>
      </c>
      <c r="J1268" s="52" t="str">
        <f>IF(N(B$4)=0,"",IF(AND(COUNT(H1266:H1277)=2,COUNT(F1266:F1277)=2),cubic_spline(F1265:F1267,H1265:H1267,B$4),IF(AND(COUNT(H1266:H1277)=3,COUNT(F1266:F1277)=3),cubic_spline(F1265:F1268,H1265:H1268,B$4),IF(AND(COUNT(H1266:H1277)=4,COUNT(F1266:F1277)=4),cubic_spline(F1265:F1269,H1265:H1269,B$4),IF(AND(COUNT(H1266:H1277)=5,COUNT(F1266:F1277)=5),cubic_spline(F1265:F1270,H1265:H1270,B$4),IF(AND(COUNT(H1266:H1277)=6,COUNT(F1266:F1277)=6),cubic_spline(F1265:F1271,H1265:H1271,B$4),IF(AND(COUNT(H1266:H1277)=7,COUNT(F1266:F1277)=7),cubic_spline(F1265:F1272,H1265:H1272,B$4),IF(AND(COUNT(H1266:H1277)=8,COUNT(F1266:F1277)=8),cubic_spline(F1265:F1273,H1265:H1273,B$4),IF(AND(COUNT(H1266:H1277)=9,COUNT(F1266:F1277)=9),cubic_spline(F1265:F1274,H1265:H1274,B$4),IF(AND(COUNT(H1266:H1277)=10,COUNT(F1266:F1277)=10),cubic_spline(F1265:F1275,H1265:H1275,B$4),IF(AND(COUNT(H1266:H1277)=11,COUNT(F1266:F1277)=11),cubic_spline(F1265:F1276,H1265:H1276,B$4),IF(AND(COUNT(H1266:H1277)=12,COUNT(F1266:F1277)=12),cubic_spline(F1265:F1277,H1265:H1277,B$4),""))))))))))))</f>
        <v/>
      </c>
      <c r="K1268" s="52" t="str">
        <f>IF(N(B$4)=0,"",IF(AND(COUNT(A1266:A1277)=2,COUNT(F1266:F1277)=2),cubic_spline(F1265:F1267,A1265:A1267,B$4),IF(AND(COUNT(A1266:A1277)=3,COUNT(F1266:F1277)=3),cubic_spline(F1265:F1268,A1265:A1268,B$4),IF(AND(COUNT(A1266:A1277)=4,COUNT(F1266:F1277)=4),cubic_spline(F1265:F1269,A1265:A1269,B$4),IF(AND(COUNT(A1266:A1277)=5,COUNT(F1266:F1277)=5),cubic_spline(F1265:F1270,A1265:A1270,B$4),IF(AND(COUNT(A1266:A1277)=6,COUNT(F1266:F1277)=6),cubic_spline(F1265:F1271,A1265:A1271,B$4),IF(AND(COUNT(A1266:A1277)=7,COUNT(F1266:F1277)=7),cubic_spline(F1265:F1272,A1265:A1272,B$4),IF(AND(COUNT(A1266:A1277)=8,COUNT(F1266:F1277)=8),cubic_spline(F1265:F1273,A1265:A1273,B$4),IF(AND(COUNT(A1266:A1277)=9,COUNT(F1266:F1277)=9),cubic_spline(F1265:F1274,A1265:A1274,B$4),IF(AND(COUNT(A1266:A1277)=10,COUNT(F1266:F1277)=10),cubic_spline(F1265:F1275,A1265:A1275,B$4),IF(AND(COUNT(A1266:A1277)=11,COUNT(F1266:F1277)=11),cubic_spline(F1265:F1276,A1265:A1276,B$4),IF(AND(COUNT(A1266:A1277)=12,COUNT(F1266:F1277)=12),cubic_spline(F1265:F1277,A1265:A1277,B$4),""))))))))))))</f>
        <v/>
      </c>
      <c r="L1268" s="27" t="str">
        <f>IF(I1268="","",B$3&amp;"-"&amp;B$4)</f>
        <v/>
      </c>
      <c r="M1268" s="52" t="str">
        <f>IF(N(J1268)=0,"",J1268-J1267)</f>
        <v/>
      </c>
    </row>
    <row r="1269" spans="1:13" x14ac:dyDescent="0.35">
      <c r="A1269" s="48"/>
      <c r="B1269" s="48"/>
      <c r="C1269" s="50"/>
      <c r="D1269" s="50"/>
      <c r="E1269" s="51" t="str">
        <f t="shared" si="483"/>
        <v/>
      </c>
      <c r="F1269" s="68" t="str">
        <f t="shared" si="481"/>
        <v/>
      </c>
      <c r="G1269" s="69" t="str">
        <f t="shared" si="484"/>
        <v/>
      </c>
      <c r="H1269" s="70" t="str">
        <f t="shared" si="482"/>
        <v/>
      </c>
      <c r="I1269" s="27" t="str">
        <f>IF(N(J1269)=0,"",0&amp;"-"&amp;B$5)</f>
        <v/>
      </c>
      <c r="J1269" s="52" t="str">
        <f>IF(N(B$5)=0,"",IF(AND(COUNT(H1266:H1277)=2,COUNT(F1266:F1277)=2),cubic_spline(F1265:F1267,H1265:H1267,B$5),IF(AND(COUNT(H1266:H1277)=3,COUNT(F1266:F1277)=3),cubic_spline(F1265:F1268,H1265:H1268,B$5),IF(AND(COUNT(H1266:H1277)=4,COUNT(F1266:F1277)=4),cubic_spline(F1265:F1269,H1265:H1269,B$5),IF(AND(COUNT(H1266:H1277)=5,COUNT(F1266:F1277)=5),cubic_spline(F1265:F1270,H1265:H1270,B$5),IF(AND(COUNT(H1266:H1277)=6,COUNT(F1266:F1277)=6),cubic_spline(F1265:F1271,H1265:H1271,B$5),IF(AND(COUNT(H1266:H1277)=7,COUNT(F1266:F1277)=7),cubic_spline(F1265:F1272,H1265:H1272,B$5),IF(AND(COUNT(H1266:H1277)=8,COUNT(F1266:F1277)=8),cubic_spline(F1265:F1273,H1265:H1273,B$5),IF(AND(COUNT(H1266:H1277)=9,COUNT(F1266:F1277)=9),cubic_spline(F1265:F1274,H1265:H1274,B$5),IF(AND(COUNT(H1266:H1277)=10,COUNT(F1266:F1277)=10),cubic_spline(F1265:F1275,H1265:H1275,B$5),IF(AND(COUNT(H1266:H1277)=11,COUNT(F1266:F1277)=11),cubic_spline(F1265:F1276,H1265:H1276,B$5),IF(AND(COUNT(H1266:H1277)=12,COUNT(F1266:F1277)=12),cubic_spline(F1265:F1277,H1265:H1277,B$5),""))))))))))))</f>
        <v/>
      </c>
      <c r="K1269" s="52" t="str">
        <f>IF(N(B$5)=0,"",IF(AND(COUNT(A1266:A1277)=2,COUNT(F1266:F1277)=2),cubic_spline(F1265:F1267,A1265:A1267,B$5),IF(AND(COUNT(A1266:A1277)=3,COUNT(F1266:F1277)=3),cubic_spline(F1265:F1268,A1265:A1268,B$5),IF(AND(COUNT(A1266:A1277)=4,COUNT(F1266:F1277)=4),cubic_spline(F1265:F1269,A1265:A1269,B$5),IF(AND(COUNT(A1266:A1277)=5,COUNT(F1266:F1277)=5),cubic_spline(F1265:F1270,A1265:A1270,B$5),IF(AND(COUNT(A1266:A1277)=6,COUNT(F1266:F1277)=6),cubic_spline(F1265:F1271,A1265:A1271,B$5),IF(AND(COUNT(A1266:A1277)=7,COUNT(F1266:F1277)=7),cubic_spline(F1265:F1272,A1265:A1272,B$5),IF(AND(COUNT(A1266:A1277)=8,COUNT(F1266:F1277)=8),cubic_spline(F1265:F1273,A1265:A1273,B$5),IF(AND(COUNT(A1266:A1277)=9,COUNT(F1266:F1277)=9),cubic_spline(F1265:F1274,A1265:A1274,B$5),IF(AND(COUNT(A1266:A1277)=10,COUNT(F1266:F1277)=10),cubic_spline(F1265:F1275,A1265:A1275,B$5),IF(AND(COUNT(A1266:A1277)=11,COUNT(F1266:F1277)=11),cubic_spline(F1265:F1276,A1265:A1276,B$5),IF(AND(COUNT(A1266:A1277)=12,COUNT(F1266:F1277)=12),cubic_spline(F1265:F1277,A1265:A1277,B$5),""))))))))))))</f>
        <v/>
      </c>
      <c r="L1269" s="27" t="str">
        <f>IF(I1269="","",B$4&amp;"-"&amp;B$5)</f>
        <v/>
      </c>
      <c r="M1269" s="52" t="str">
        <f>IF(N(J1269)=0,"",J1269-J1268)</f>
        <v/>
      </c>
    </row>
    <row r="1270" spans="1:13" x14ac:dyDescent="0.35">
      <c r="A1270" s="48"/>
      <c r="B1270" s="48"/>
      <c r="C1270" s="50"/>
      <c r="D1270" s="50"/>
      <c r="E1270" s="51" t="str">
        <f t="shared" si="483"/>
        <v/>
      </c>
      <c r="F1270" s="71" t="str">
        <f t="shared" si="481"/>
        <v/>
      </c>
      <c r="G1270" s="69" t="str">
        <f t="shared" si="484"/>
        <v/>
      </c>
      <c r="H1270" s="70" t="str">
        <f t="shared" si="482"/>
        <v/>
      </c>
      <c r="I1270" s="27" t="str">
        <f>IF(N(J1270)=0,"",0&amp;"-"&amp;B$6)</f>
        <v/>
      </c>
      <c r="J1270" s="52" t="str">
        <f>IF(N(B$6)=0,"",IF(AND(COUNT(H1266:H1277)=2,COUNT(F1266:F1277)=2),cubic_spline(F1265:F1267,H1265:H1267,B$6),IF(AND(COUNT(H1266:H1277)=3,COUNT(F1266:F1277)=3),cubic_spline(F1265:F1268,H1265:H1268,B$6),IF(AND(COUNT(H1266:H1277)=4,COUNT(F1266:F1277)=4),cubic_spline(F1265:F1269,H1265:H1269,B$6),IF(AND(COUNT(H1266:H1277)=5,COUNT(F1266:F1277)=5),cubic_spline(F1265:F1270,H1265:H1270,B$6),IF(AND(COUNT(H1266:H1277)=6,COUNT(F1266:F1277)=6),cubic_spline(F1265:F1271,H1265:H1271,B$6),IF(AND(COUNT(H1266:H1277)=7,COUNT(F1266:F1277)=7),cubic_spline(F1265:F1272,H1265:H1272,B$6),IF(AND(COUNT(H1266:H1277)=8,COUNT(F1266:F1277)=8),cubic_spline(F1265:F1273,H1265:H1273,B$6),IF(AND(COUNT(H1266:H1277)=9,COUNT(F1266:F1277)=9),cubic_spline(F1265:F1274,H1265:H1274,B$6),IF(AND(COUNT(H1266:H1277)=10,COUNT(F1266:F1277)=10),cubic_spline(F1265:F1275,H1265:H1275,B$6),IF(AND(COUNT(H1266:H1277)=11,COUNT(F1266:F1277)=11),cubic_spline(F1265:F1276,H1265:H1276,B$6),IF(AND(COUNT(H1266:H1277)=12,COUNT(F1266:F1277)=12),cubic_spline(F1265:F1277,H1265:H1277,B$6),""))))))))))))</f>
        <v/>
      </c>
      <c r="K1270" s="52" t="str">
        <f>IF(N(B$6)=0,"",IF(AND(COUNT(A1266:A1277)=2,COUNT(F1266:F1277)=2),cubic_spline(F1265:F1267,A1265:A1267,B$6),IF(AND(COUNT(A1266:A1277)=3,COUNT(F1266:F1277)=3),cubic_spline(F1265:F1268,A1265:A1268,B$6),IF(AND(COUNT(A1266:A1277)=4,COUNT(F1266:F1277)=4),cubic_spline(F1265:F1269,A1265:A1269,B$6),IF(AND(COUNT(A1266:A1277)=5,COUNT(F1266:F1277)=5),cubic_spline(F1265:F1270,A1265:A1270,B$6),IF(AND(COUNT(A1266:A1277)=6,COUNT(F1266:F1277)=6),cubic_spline(F1265:F1271,A1265:A1271,B$6),IF(AND(COUNT(A1266:A1277)=7,COUNT(F1266:F1277)=7),cubic_spline(F1265:F1272,A1265:A1272,B$6),IF(AND(COUNT(A1266:A1277)=8,COUNT(F1266:F1277)=8),cubic_spline(F1265:F1273,A1265:A1273,B$6),IF(AND(COUNT(A1266:A1277)=9,COUNT(F1266:F1277)=9),cubic_spline(F1265:F1274,A1265:A1274,B$6),IF(AND(COUNT(A1266:A1277)=10,COUNT(F1266:F1277)=10),cubic_spline(F1265:F1275,A1265:A1275,B$6),IF(AND(COUNT(A1266:A1277)=11,COUNT(F1266:F1277)=11),cubic_spline(F1265:F1276,A1265:A1276,B$6),IF(AND(COUNT(A1266:A1277)=12,COUNT(F1266:F1277)=12),cubic_spline(F1265:F1277,A1265:A1277,B$6),""))))))))))))</f>
        <v/>
      </c>
      <c r="L1270" s="27" t="str">
        <f>IF(I1270="","",B$5&amp;"-"&amp;B$6)</f>
        <v/>
      </c>
      <c r="M1270" s="52" t="str">
        <f>IF(N(J1270)=0,"",J1270-J1269)</f>
        <v/>
      </c>
    </row>
    <row r="1271" spans="1:13" x14ac:dyDescent="0.35">
      <c r="A1271" s="48"/>
      <c r="B1271" s="48"/>
      <c r="C1271" s="50"/>
      <c r="D1271" s="50"/>
      <c r="E1271" s="51" t="str">
        <f t="shared" si="483"/>
        <v/>
      </c>
      <c r="F1271" s="71" t="str">
        <f t="shared" si="481"/>
        <v/>
      </c>
      <c r="G1271" s="69" t="str">
        <f t="shared" si="484"/>
        <v/>
      </c>
      <c r="H1271" s="70" t="str">
        <f t="shared" si="482"/>
        <v/>
      </c>
      <c r="I1271" s="27" t="str">
        <f>IF(N(J1271)=0,"",0&amp;"-"&amp;B$7)</f>
        <v/>
      </c>
      <c r="J1271" s="52" t="str">
        <f>IF(N(B$7)=0,"",IF(AND(COUNT(H1266:H1277)=2,COUNT(F1266:F1277)=2),cubic_spline(F1265:F1267,H1265:H1267,B$7),IF(AND(COUNT(H1266:H1277)=3,COUNT(F1266:F1277)=3),cubic_spline(F1265:F1268,H1265:H1268,B$7),IF(AND(COUNT(H1266:H1277)=4,COUNT(F1266:F1277)=4),cubic_spline(F1265:F1269,H1265:H1269,B$7),IF(AND(COUNT(H1266:H1277)=5,COUNT(F1266:F1277)=5),cubic_spline(F1265:F1270,H1265:H1270,B$7),IF(AND(COUNT(H1266:H1277)=6,COUNT(F1266:F1277)=6),cubic_spline(F1265:F1271,H1265:H1271,B$7),IF(AND(COUNT(H1266:H1277)=7,COUNT(F1266:F1277)=7),cubic_spline(F1265:F1272,H1265:H1272,B$7),IF(AND(COUNT(H1266:H1277)=8,COUNT(F1266:F1277)=8),cubic_spline(F1265:F1273,H1265:H1273,B$7),IF(AND(COUNT(H1266:H1277)=9,COUNT(F1266:F1277)=9),cubic_spline(F1265:F1274,H1265:H1274,B$7),IF(AND(COUNT(H1266:H1277)=10,COUNT(F1266:F1277)=10),cubic_spline(F1265:F1275,H1265:H1275,B$7),IF(AND(COUNT(H1266:H1277)=11,COUNT(F1266:F1277)=11),cubic_spline(F1265:F1276,H1265:H1276,B$7),IF(AND(COUNT(H1266:H1277)=12,COUNT(F1266:F1277)=12),cubic_spline(F1265:F1277,H1265:H1277,B$7),""))))))))))))</f>
        <v/>
      </c>
      <c r="K1271" s="52" t="str">
        <f>IF(N(B$7)=0,"",IF(AND(COUNT(A1266:A1277)=2,COUNT(F1266:F1277)=2),cubic_spline(F1265:F1267,A1265:A1267,B$7),IF(AND(COUNT(A1266:A1277)=3,COUNT(F1266:F1277)=3),cubic_spline(F1265:F1268,A1265:A1268,B$7),IF(AND(COUNT(A1266:A1277)=4,COUNT(F1266:F1277)=4),cubic_spline(F1265:F1269,A1265:A1269,B$7),IF(AND(COUNT(A1266:A1277)=5,COUNT(F1266:F1277)=5),cubic_spline(F1265:F1270,A1265:A1270,B$7),IF(AND(COUNT(A1266:A1277)=6,COUNT(F1266:F1277)=6),cubic_spline(F1265:F1271,A1265:A1271,B$7),IF(AND(COUNT(A1266:A1277)=7,COUNT(F1266:F1277)=7),cubic_spline(F1265:F1272,A1265:A1272,B$7),IF(AND(COUNT(A1266:A1277)=8,COUNT(F1266:F1277)=8),cubic_spline(F1265:F1273,A1265:A1273,B$7),IF(AND(COUNT(A1266:A1277)=9,COUNT(F1266:F1277)=9),cubic_spline(F1265:F1274,A1265:A1274,B$7),IF(AND(COUNT(A1266:A1277)=10,COUNT(F1266:F1277)=10),cubic_spline(F1265:F1275,A1265:A1275,B$7),IF(AND(COUNT(A1266:A1277)=11,COUNT(F1266:F1277)=11),cubic_spline(F1265:F1276,A1265:A1276,B$7),IF(AND(COUNT(A1266:A1277)=12,COUNT(F1266:F1277)=12),cubic_spline(F1265:F1277,A1265:A1277,B$7),""))))))))))))</f>
        <v/>
      </c>
      <c r="L1271" s="27" t="str">
        <f>IF(I1271="","",B$6&amp;"-"&amp;B$7)</f>
        <v/>
      </c>
      <c r="M1271" s="52" t="str">
        <f t="shared" ref="M1271:M1277" si="485">IF(N(J1271)=0,"",J1271-J1270)</f>
        <v/>
      </c>
    </row>
    <row r="1272" spans="1:13" x14ac:dyDescent="0.35">
      <c r="A1272" s="48"/>
      <c r="B1272" s="48"/>
      <c r="C1272" s="50"/>
      <c r="D1272" s="50"/>
      <c r="E1272" s="51" t="str">
        <f t="shared" si="483"/>
        <v/>
      </c>
      <c r="F1272" s="71" t="str">
        <f t="shared" si="481"/>
        <v/>
      </c>
      <c r="G1272" s="69" t="str">
        <f t="shared" si="484"/>
        <v/>
      </c>
      <c r="H1272" s="70" t="str">
        <f t="shared" si="482"/>
        <v/>
      </c>
      <c r="I1272" s="27" t="str">
        <f>IF(N(J1272)=0,"",0&amp;"-"&amp;B$8)</f>
        <v/>
      </c>
      <c r="J1272" s="52" t="str">
        <f>IF(N(B$8)=0,"",IF(AND(COUNT(H1266:H1277)=2,COUNT(F1266:F1277)=2),cubic_spline(F1265:F1267,H1265:H1267,B$8),IF(AND(COUNT(H1266:H1277)=3,COUNT(F1266:F1277)=3),cubic_spline(F1265:F1268,H1265:H1268,B$8),IF(AND(COUNT(H1266:H1277)=4,COUNT(F1266:F1277)=4),cubic_spline(F1265:F1269,H1265:H1269,B$8),IF(AND(COUNT(H1266:H1277)=5,COUNT(F1266:F1277)=5),cubic_spline(F1265:F1270,H1265:H1270,B$8),IF(AND(COUNT(H1266:H1277)=6,COUNT(F1266:F1277)=6),cubic_spline(F1265:F1271,H1265:H1271,B$8),IF(AND(COUNT(H1266:H1277)=7,COUNT(F1266:F1277)=7),cubic_spline(F1265:F1272,H1265:H1272,B$8),IF(AND(COUNT(H1266:H1277)=8,COUNT(F1266:F1277)=8),cubic_spline(F1265:F1273,H1265:H1273,B$8),IF(AND(COUNT(H1266:H1277)=9,COUNT(F1266:F1277)=9),cubic_spline(F1265:F1274,H1265:H1274,B$8),IF(AND(COUNT(H1266:H1277)=10,COUNT(F1266:F1277)=10),cubic_spline(F1265:F1275,H1265:H1275,B$8),IF(AND(COUNT(H1266:H1277)=11,COUNT(F1266:F1277)=11),cubic_spline(F1265:F1276,H1265:H1276,B$8),IF(AND(COUNT(H1266:H1277)=12,COUNT(F1266:F1277)=12),cubic_spline(F1265:F1277,H1265:H1277,B$8),""))))))))))))</f>
        <v/>
      </c>
      <c r="K1272" s="52" t="str">
        <f>IF(N(B$8)=0,"",IF(AND(COUNT(A1266:A1277)=2,COUNT(F1266:F1277)=2),cubic_spline(F1265:F1267,A1265:A1267,B$8),IF(AND(COUNT(A1266:A1277)=3,COUNT(F1266:F1277)=3),cubic_spline(F1265:F1268,A1265:A1268,B$8),IF(AND(COUNT(A1266:A1277)=4,COUNT(F1266:F1277)=4),cubic_spline(F1265:F1269,A1265:A1269,B$8),IF(AND(COUNT(A1266:A1277)=5,COUNT(F1266:F1277)=5),cubic_spline(F1265:F1270,A1265:A1270,B$8),IF(AND(COUNT(A1266:A1277)=6,COUNT(F1266:F1277)=6),cubic_spline(F1265:F1271,A1265:A1271,B$8),IF(AND(COUNT(A1266:A1277)=7,COUNT(F1266:F1277)=7),cubic_spline(F1265:F1272,A1265:A1272,B$8),IF(AND(COUNT(A1266:A1277)=8,COUNT(F1266:F1277)=8),cubic_spline(F1265:F1273,A1265:A1273,B$8),IF(AND(COUNT(A1266:A1277)=9,COUNT(F1266:F1277)=9),cubic_spline(F1265:F1274,A1265:A1274,B$8),IF(AND(COUNT(A1266:A1277)=10,COUNT(F1266:F1277)=10),cubic_spline(F1265:F1275,A1265:A1275,B$8),IF(AND(COUNT(A1266:A1277)=11,COUNT(F1266:F1277)=11),cubic_spline(F1265:F1276,A1265:A1276,B$8),IF(AND(COUNT(A1266:A1277)=12,COUNT(F1266:F1277)=12),cubic_spline(F1265:F1277,A1265:A1277,B$8),""))))))))))))</f>
        <v/>
      </c>
      <c r="L1272" s="27" t="str">
        <f>IF(I1272="","",B$7&amp;"-"&amp;B$8)</f>
        <v/>
      </c>
      <c r="M1272" s="52" t="str">
        <f t="shared" si="485"/>
        <v/>
      </c>
    </row>
    <row r="1273" spans="1:13" x14ac:dyDescent="0.35">
      <c r="A1273" s="48"/>
      <c r="B1273" s="48"/>
      <c r="C1273" s="50"/>
      <c r="D1273" s="50"/>
      <c r="E1273" s="51" t="str">
        <f t="shared" si="483"/>
        <v/>
      </c>
      <c r="F1273" s="71" t="str">
        <f t="shared" si="481"/>
        <v/>
      </c>
      <c r="G1273" s="69" t="str">
        <f t="shared" si="484"/>
        <v/>
      </c>
      <c r="H1273" s="70" t="str">
        <f t="shared" si="482"/>
        <v/>
      </c>
      <c r="I1273" s="27" t="str">
        <f>IF(N(J1273)=0,"",0&amp;"-"&amp;B$9)</f>
        <v/>
      </c>
      <c r="J1273" s="52" t="str">
        <f>IF(N(B$9)=0,"",IF(AND(COUNT(H1266:H1277)=2,COUNT(F1266:F1277)=2),cubic_spline(F1265:F1267,H1265:H1267,B$9),IF(AND(COUNT(H1266:H1277)=3,COUNT(F1266:F1277)=3),cubic_spline(F1265:F1268,H1265:H1268,B$9),IF(AND(COUNT(H1266:H1277)=4,COUNT(F1266:F1277)=4),cubic_spline(F1265:F1269,H1265:H1269,B$9),IF(AND(COUNT(H1266:H1277)=5,COUNT(F1266:F1277)=5),cubic_spline(F1265:F1270,H1265:H1270,B$9),IF(AND(COUNT(H1266:H1277)=6,COUNT(F1266:F1277)=6),cubic_spline(F1265:F1271,H1265:H1271,B$9),IF(AND(COUNT(H1266:H1277)=7,COUNT(F1266:F1277)=7),cubic_spline(F1265:F1272,H1265:H1272,B$9),IF(AND(COUNT(H1266:H1277)=8,COUNT(F1266:F1277)=8),cubic_spline(F1265:F1273,H1265:H1273,B$9),IF(AND(COUNT(H1266:H1277)=9,COUNT(F1266:F1277)=9),cubic_spline(F1265:F1274,H1265:H1274,B$9),IF(AND(COUNT(H1266:H1277)=10,COUNT(F1266:F1277)=10),cubic_spline(F1265:F1275,H1265:H1275,B$9),IF(AND(COUNT(H1266:H1277)=11,COUNT(F1266:F1277)=11),cubic_spline(F1265:F1276,H1265:H1276,B$9),IF(AND(COUNT(H1266:H1277)=12,COUNT(F1266:F1277)=12),cubic_spline(F1265:F1277,H1265:H1277,B$9),""))))))))))))</f>
        <v/>
      </c>
      <c r="K1273" s="52" t="str">
        <f>IF(N(B$9)=0,"",IF(AND(COUNT(A1266:A1277)=2,COUNT(F1266:F1277)=2),cubic_spline(F1265:F1267,A1265:A1267,B$9),IF(AND(COUNT(A1266:A1277)=3,COUNT(F1266:F1277)=3),cubic_spline(F1265:F1268,A1265:A1268,B$9),IF(AND(COUNT(A1266:A1277)=4,COUNT(F1266:F1277)=4),cubic_spline(F1265:F1269,A1265:A1269,B$9),IF(AND(COUNT(A1266:A1277)=5,COUNT(F1266:F1277)=5),cubic_spline(F1265:F1270,A1265:A1270,B$9),IF(AND(COUNT(A1266:A1277)=6,COUNT(F1266:F1277)=6),cubic_spline(F1265:F1271,A1265:A1271,B$9),IF(AND(COUNT(A1266:A1277)=7,COUNT(F1266:F1277)=7),cubic_spline(F1265:F1272,A1265:A1272,B$9),IF(AND(COUNT(A1266:A1277)=8,COUNT(F1266:F1277)=8),cubic_spline(F1265:F1273,A1265:A1273,B$9),IF(AND(COUNT(A1266:A1277)=9,COUNT(F1266:F1277)=9),cubic_spline(F1265:F1274,A1265:A1274,B$9),IF(AND(COUNT(A1266:A1277)=10,COUNT(F1266:F1277)=10),cubic_spline(F1265:F1275,A1265:A1275,B$9),IF(AND(COUNT(A1266:A1277)=11,COUNT(F1266:F1277)=11),cubic_spline(F1265:F1276,A1265:A1276,B$9),IF(AND(COUNT(A1266:A1277)=12,COUNT(F1266:F1277)=12),cubic_spline(F1265:F1277,A1265:A1277,B$9),""))))))))))))</f>
        <v/>
      </c>
      <c r="L1273" s="27" t="str">
        <f>IF(I1273="","",B$8&amp;"-"&amp;B$9)</f>
        <v/>
      </c>
      <c r="M1273" s="52" t="str">
        <f t="shared" si="485"/>
        <v/>
      </c>
    </row>
    <row r="1274" spans="1:13" x14ac:dyDescent="0.35">
      <c r="A1274" s="48"/>
      <c r="B1274" s="48"/>
      <c r="C1274" s="50"/>
      <c r="D1274" s="50"/>
      <c r="E1274" s="51" t="str">
        <f t="shared" si="483"/>
        <v/>
      </c>
      <c r="F1274" s="71" t="str">
        <f t="shared" si="481"/>
        <v/>
      </c>
      <c r="G1274" s="69" t="str">
        <f t="shared" si="484"/>
        <v/>
      </c>
      <c r="H1274" s="70" t="str">
        <f t="shared" si="482"/>
        <v/>
      </c>
      <c r="I1274" s="27" t="str">
        <f>IF(N(J1274)=0,"",0&amp;"-"&amp;B$10)</f>
        <v/>
      </c>
      <c r="J1274" s="52" t="str">
        <f>IF(N(B$10)=0,"",IF(AND(COUNT(H1266:H1277)=2,COUNT(F1266:F1277)=2),cubic_spline(F1265:F1267,H1265:H1267,B$10),IF(AND(COUNT(H1266:H1277)=3,COUNT(F1266:F1277)=3),cubic_spline(F1265:F1268,H1265:H1268,B$10),IF(AND(COUNT(H1266:H1277)=4,COUNT(F1266:F1277)=4),cubic_spline(F1265:F1269,H1265:H1269,B$10),IF(AND(COUNT(H1266:H1277)=5,COUNT(F1266:F1277)=5),cubic_spline(F1265:F1270,H1265:H1270,B$10),IF(AND(COUNT(H1266:H1277)=6,COUNT(F1266:F1277)=6),cubic_spline(F1265:F1271,H1265:H1271,B$10),IF(AND(COUNT(H1266:H1277)=7,COUNT(F1266:F1277)=7),cubic_spline(F1265:F1272,H1265:H1272,B$10),IF(AND(COUNT(H1266:H1277)=8,COUNT(F1266:F1277)=8),cubic_spline(F1265:F1273,H1265:H1273,B$10),IF(AND(COUNT(H1266:H1277)=9,COUNT(F1266:F1277)=9),cubic_spline(F1265:F1274,H1265:H1274,B$10),IF(AND(COUNT(H1266:H1277)=10,COUNT(F1266:F1277)=10),cubic_spline(F1265:F1275,H1265:H1275,B$10),IF(AND(COUNT(H1266:H1277)=11,COUNT(F1266:F1277)=11),cubic_spline(F1265:F1276,H1265:H1276,B$10),IF(AND(COUNT(H1266:H1277)=12,COUNT(F1266:F1277)=12),cubic_spline(F1265:F1277,H1265:H1277,B$10),""))))))))))))</f>
        <v/>
      </c>
      <c r="K1274" s="52" t="str">
        <f>IF(N(B$10)=0,"",IF(AND(COUNT(A1266:A1277)=2,COUNT(F1266:F1277)=2),cubic_spline(F1265:F1267,A1265:A1267,B$10),IF(AND(COUNT(A1266:A1277)=3,COUNT(F1266:F1277)=3),cubic_spline(F1265:F1268,A1265:A1268,B$10),IF(AND(COUNT(A1266:A1277)=4,COUNT(F1266:F1277)=4),cubic_spline(F1265:F1269,A1265:A1269,B$10),IF(AND(COUNT(A1266:A1277)=5,COUNT(F1266:F1277)=5),cubic_spline(F1265:F1270,A1265:A1270,B$10),IF(AND(COUNT(A1266:A1277)=6,COUNT(F1266:F1277)=6),cubic_spline(F1265:F1271,A1265:A1271,B$10),IF(AND(COUNT(A1266:A1277)=7,COUNT(F1266:F1277)=7),cubic_spline(F1265:F1272,A1265:A1272,B$10),IF(AND(COUNT(A1266:A1277)=8,COUNT(F1266:F1277)=8),cubic_spline(F1265:F1273,A1265:A1273,B$10),IF(AND(COUNT(A1266:A1277)=9,COUNT(F1266:F1277)=9),cubic_spline(F1265:F1274,A1265:A1274,B$10),IF(AND(COUNT(A1266:A1277)=10,COUNT(F1266:F1277)=10),cubic_spline(F1265:F1275,A1265:A1275,B$10),IF(AND(COUNT(A1266:A1277)=11,COUNT(F1266:F1277)=11),cubic_spline(F1265:F1276,A1265:A1276,B$10),IF(AND(COUNT(A1266:A1277)=12,COUNT(F1266:F1277)=12),cubic_spline(F1265:F1277,A1265:A1277,B$10),""))))))))))))</f>
        <v/>
      </c>
      <c r="L1274" s="27" t="str">
        <f>IF(I1274="","",B$9&amp;"-"&amp;B$10)</f>
        <v/>
      </c>
      <c r="M1274" s="52" t="str">
        <f t="shared" si="485"/>
        <v/>
      </c>
    </row>
    <row r="1275" spans="1:13" x14ac:dyDescent="0.35">
      <c r="A1275" s="48"/>
      <c r="B1275" s="48"/>
      <c r="C1275" s="50"/>
      <c r="D1275" s="50"/>
      <c r="E1275" s="51" t="str">
        <f t="shared" si="483"/>
        <v/>
      </c>
      <c r="F1275" s="71" t="str">
        <f t="shared" si="481"/>
        <v/>
      </c>
      <c r="G1275" s="69" t="str">
        <f t="shared" si="484"/>
        <v/>
      </c>
      <c r="H1275" s="70" t="str">
        <f t="shared" si="482"/>
        <v/>
      </c>
      <c r="I1275" s="27" t="str">
        <f>IF(N(J1275)=0,"",0&amp;"-"&amp;B$11)</f>
        <v/>
      </c>
      <c r="J1275" s="52" t="str">
        <f>IF(N(B$11)=0,"",IF(AND(COUNT(H1266:H1277)=2,COUNT(F1266:F1277)=2),cubic_spline(F1265:F1267,H1265:H1267,B$11),IF(AND(COUNT(H1266:H1277)=3,COUNT(F1266:F1277)=3),cubic_spline(F1265:F1268,H1265:H1268,B$11),IF(AND(COUNT(H1266:H1277)=4,COUNT(F1266:F1277)=4),cubic_spline(F1265:F1269,H1265:H1269,B$11),IF(AND(COUNT(H1266:H1277)=5,COUNT(F1266:F1277)=5),cubic_spline(F1265:F1270,H1265:H1270,B$11),IF(AND(COUNT(H1266:H1277)=6,COUNT(F1266:F1277)=6),cubic_spline(F1265:F1271,H1265:H1271,B$11),IF(AND(COUNT(H1266:H1277)=7,COUNT(F1266:F1277)=7),cubic_spline(F1265:F1272,H1265:H1272,B$11),IF(AND(COUNT(H1266:H1277)=8,COUNT(F1266:F1277)=8),cubic_spline(F1265:F1273,H1265:H1273,B$11),IF(AND(COUNT(H1266:H1277)=9,COUNT(F1266:F1277)=9),cubic_spline(F1265:F1274,H1265:H1274,B$11),IF(AND(COUNT(H1266:H1277)=10,COUNT(F1266:F1277)=10),cubic_spline(F1265:F1275,H1265:H1275,B$11),IF(AND(COUNT(H1266:H1277)=11,COUNT(F1266:F1277)=11),cubic_spline(F1265:F1276,H1265:H1276,B$11),IF(AND(COUNT(H1266:H1277)=12,COUNT(F1266:F1277)=12),cubic_spline(F1265:F1277,H1265:H1277,B$11),""))))))))))))</f>
        <v/>
      </c>
      <c r="K1275" s="52" t="str">
        <f>IF(N(B$11)=0,"",IF(AND(COUNT(A1266:A1277)=2,COUNT(F1266:F1277)=2),cubic_spline(F1265:F1267,A1265:A1267,B$11),IF(AND(COUNT(A1266:A1277)=3,COUNT(F1266:F1277)=3),cubic_spline(F1265:F1268,A1265:A1268,B$11),IF(AND(COUNT(A1266:A1277)=4,COUNT(F1266:F1277)=4),cubic_spline(F1265:F1269,A1265:A1269,B$11),IF(AND(COUNT(A1266:A1277)=5,COUNT(F1266:F1277)=5),cubic_spline(F1265:F1270,A1265:A1270,B$11),IF(AND(COUNT(A1266:A1277)=6,COUNT(F1266:F1277)=6),cubic_spline(F1265:F1271,A1265:A1271,B$11),IF(AND(COUNT(A1266:A1277)=7,COUNT(F1266:F1277)=7),cubic_spline(F1265:F1272,A1265:A1272,B$11),IF(AND(COUNT(A1266:A1277)=8,COUNT(F1266:F1277)=8),cubic_spline(F1265:F1273,A1265:A1273,B$11),IF(AND(COUNT(A1266:A1277)=9,COUNT(F1266:F1277)=9),cubic_spline(F1265:F1274,A1265:A1274,B$11),IF(AND(COUNT(A1266:A1277)=10,COUNT(F1266:F1277)=10),cubic_spline(F1265:F1275,A1265:A1275,B$11),IF(AND(COUNT(A1266:A1277)=11,COUNT(F1266:F1277)=11),cubic_spline(F1265:F1276,A1265:A1276,B$11),IF(AND(COUNT(A1266:A1277)=12,COUNT(F1266:F1277)=12),cubic_spline(F1265:F1277,A1265:A1277,B$11),""))))))))))))</f>
        <v/>
      </c>
      <c r="L1275" s="27" t="str">
        <f>IF(I1275="","",B$10&amp;"-"&amp;B$11)</f>
        <v/>
      </c>
      <c r="M1275" s="52" t="str">
        <f t="shared" si="485"/>
        <v/>
      </c>
    </row>
    <row r="1276" spans="1:13" x14ac:dyDescent="0.35">
      <c r="A1276" s="48"/>
      <c r="B1276" s="48"/>
      <c r="C1276" s="50"/>
      <c r="D1276" s="50"/>
      <c r="E1276" s="51" t="str">
        <f t="shared" si="483"/>
        <v/>
      </c>
      <c r="F1276" s="71" t="str">
        <f t="shared" si="481"/>
        <v/>
      </c>
      <c r="G1276" s="69" t="str">
        <f t="shared" si="484"/>
        <v/>
      </c>
      <c r="H1276" s="70" t="str">
        <f t="shared" si="482"/>
        <v/>
      </c>
      <c r="I1276" s="27" t="str">
        <f>IF(N(J1276)=0,"",0&amp;"-"&amp;B$12)</f>
        <v/>
      </c>
      <c r="J1276" s="52" t="str">
        <f>IF(N(B$12)=0,"",IF(AND(COUNT(H1266:H1277)=2,COUNT(F1266:F1277)=2),cubic_spline(F1265:F1267,H1265:H1267,B$12),IF(AND(COUNT(H1266:H1277)=3,COUNT(F1266:F1277)=3),cubic_spline(F1265:F1268,H1265:H1268,B$12),IF(AND(COUNT(H1266:H1277)=4,COUNT(F1266:F1277)=4),cubic_spline(F1265:F1269,H1265:H1269,B$12),IF(AND(COUNT(H1266:H1277)=5,COUNT(F1266:F1277)=5),cubic_spline(F1265:F1270,H1265:H1270,B$12),IF(AND(COUNT(H1266:H1277)=6,COUNT(F1266:F1277)=6),cubic_spline(F1265:F1271,H1265:H1271,B$12),IF(AND(COUNT(H1266:H1277)=7,COUNT(F1266:F1277)=7),cubic_spline(F1265:F1272,H1265:H1272,B$12),IF(AND(COUNT(H1266:H1277)=8,COUNT(F1266:F1277)=8),cubic_spline(F1265:F1273,H1265:H1273,B$12),IF(AND(COUNT(H1266:H1277)=9,COUNT(F1266:F1277)=9),cubic_spline(F1265:F1274,H1265:H1274,B$12),IF(AND(COUNT(H1266:H1277)=10,COUNT(F1266:F1277)=10),cubic_spline(F1265:F1275,H1265:H1275,B$12),IF(AND(COUNT(H1266:H1277)=11,COUNT(F1266:F1277)=11),cubic_spline(F1265:F1276,H1265:H1276,B$12),IF(AND(COUNT(H1266:H1277)=12,COUNT(F1266:F1277)=12),cubic_spline(F1265:F1277,H1265:H1277,B$12),""))))))))))))</f>
        <v/>
      </c>
      <c r="K1276" s="52" t="str">
        <f>IF(N(B$12)=0,"",IF(AND(COUNT(A1266:A1277)=2,COUNT(F1266:F1277)=2),cubic_spline(F1265:F1267,A1265:A1267,B$12),IF(AND(COUNT(A1266:A1277)=3,COUNT(F1266:F1277)=3),cubic_spline(F1265:F1268,A1265:A1268,B$12),IF(AND(COUNT(A1266:A1277)=4,COUNT(F1266:F1277)=4),cubic_spline(F1265:F1269,A1265:A1269,B$12),IF(AND(COUNT(A1266:A1277)=5,COUNT(F1266:F1277)=5),cubic_spline(F1265:F1270,A1265:A1270,B$12),IF(AND(COUNT(A1266:A1277)=6,COUNT(F1266:F1277)=6),cubic_spline(F1265:F1271,A1265:A1271,B$12),IF(AND(COUNT(A1266:A1277)=7,COUNT(F1266:F1277)=7),cubic_spline(F1265:F1272,A1265:A1272,B$12),IF(AND(COUNT(A1266:A1277)=8,COUNT(F1266:F1277)=8),cubic_spline(F1265:F1273,A1265:A1273,B$12),IF(AND(COUNT(A1266:A1277)=9,COUNT(F1266:F1277)=9),cubic_spline(F1265:F1274,A1265:A1274,B$12),IF(AND(COUNT(A1266:A1277)=10,COUNT(F1266:F1277)=10),cubic_spline(F1265:F1275,A1265:A1275,B$12),IF(AND(COUNT(A1266:A1277)=11,COUNT(F1266:F1277)=11),cubic_spline(F1265:F1276,A1265:A1276,B$12),IF(AND(COUNT(A1266:A1277)=12,COUNT(F1266:F1277)=12),cubic_spline(F1265:F1277,A1265:A1277,B$12),""))))))))))))</f>
        <v/>
      </c>
      <c r="L1276" s="27" t="str">
        <f>IF(I1276="","",B$11&amp;"-"&amp;B$12)</f>
        <v/>
      </c>
      <c r="M1276" s="52" t="str">
        <f t="shared" si="485"/>
        <v/>
      </c>
    </row>
    <row r="1277" spans="1:13" x14ac:dyDescent="0.35">
      <c r="A1277" s="48"/>
      <c r="B1277" s="48"/>
      <c r="C1277" s="50"/>
      <c r="D1277" s="50"/>
      <c r="E1277" s="51" t="str">
        <f t="shared" si="483"/>
        <v/>
      </c>
      <c r="F1277" s="71" t="str">
        <f t="shared" si="481"/>
        <v/>
      </c>
      <c r="G1277" s="69" t="str">
        <f t="shared" si="484"/>
        <v/>
      </c>
      <c r="H1277" s="70" t="str">
        <f t="shared" si="482"/>
        <v/>
      </c>
      <c r="I1277" s="27" t="str">
        <f>IF(N(J1277)=0,"",0&amp;"-"&amp;B$13)</f>
        <v/>
      </c>
      <c r="J1277" s="52" t="str">
        <f>IF(N(B$13)=0,"",IF(AND(COUNT(H1266:H1277)=2,COUNT(F1266:F1277)=2),cubic_spline(F1265:F1267,H1265:H1267,B$13),IF(AND(COUNT(H1266:H1277)=3,COUNT(F1266:F1277)=3),cubic_spline(F1265:F1268,H1265:H1268,B$13),IF(AND(COUNT(H1266:H1277)=4,COUNT(F1266:F1277)=4),cubic_spline(F1265:F1269,H1265:H1269,B$13),IF(AND(COUNT(H1266:H1277)=5,COUNT(F1266:F1277)=5),cubic_spline(F1265:F1270,H1265:H1270,B$13),IF(AND(COUNT(H1266:H1277)=6,COUNT(F1266:F1277)=6),cubic_spline(F1265:F1271,H1265:H1271,B$13),IF(AND(COUNT(H1266:H1277)=7,COUNT(F1266:F1277)=7),cubic_spline(F1265:F1272,H1265:H1272,B$13),IF(AND(COUNT(H1266:H1277)=8,COUNT(F1266:F1277)=8),cubic_spline(F1265:F1273,H1265:H1273,B$13),IF(AND(COUNT(H1266:H1277)=9,COUNT(F1266:F1277)=9),cubic_spline(F1265:F1274,H1265:H1274,B$13),IF(AND(COUNT(H1266:H1277)=10,COUNT(F1266:F1277)=10),cubic_spline(F1265:F1275,H1265:H1275,B$13),IF(AND(COUNT(H1266:H1277)=11,COUNT(F1266:F1277)=11),cubic_spline(F1265:F1276,H1265:H1276,B$13),IF(AND(COUNT(H1266:H1277)=12,COUNT(F1266:F1277)=12),cubic_spline(F1265:F1277,H1265:H1277,B$13),""))))))))))))</f>
        <v/>
      </c>
      <c r="K1277" s="52" t="str">
        <f>IF(N(B$13)=0,"",IF(AND(COUNT(A1266:A1277)=2,COUNT(F1266:F1277)=2),cubic_spline(F1265:F1267,A1265:A1267,B$13),IF(AND(COUNT(A1266:A1277)=3,COUNT(F1266:F1277)=3),cubic_spline(F1265:F1268,A1265:A1268,B$13),IF(AND(COUNT(A1266:A1277)=4,COUNT(F1266:F1277)=4),cubic_spline(F1265:F1269,A1265:A1269,B$13),IF(AND(COUNT(A1266:A1277)=5,COUNT(F1266:F1277)=5),cubic_spline(F1265:F1270,A1265:A1270,B$13),IF(AND(COUNT(A1266:A1277)=6,COUNT(F1266:F1277)=6),cubic_spline(F1265:F1271,A1265:A1271,B$13),IF(AND(COUNT(A1266:A1277)=7,COUNT(F1266:F1277)=7),cubic_spline(F1265:F1272,A1265:A1272,B$13),IF(AND(COUNT(A1266:A1277)=8,COUNT(F1266:F1277)=8),cubic_spline(F1265:F1273,A1265:A1273,B$13),IF(AND(COUNT(A1266:A1277)=9,COUNT(F1266:F1277)=9),cubic_spline(F1265:F1274,A1265:A1274,B$13),IF(AND(COUNT(A1266:A1277)=10,COUNT(F1266:F1277)=10),cubic_spline(F1265:F1275,A1265:A1275,B$13),IF(AND(COUNT(A1266:A1277)=11,COUNT(F1266:F1277)=11),cubic_spline(F1265:F1276,A1265:A1276,B$13),IF(AND(COUNT(A1266:A1277)=12,COUNT(F1266:F1277)=12),cubic_spline(F1265:F1277,A1265:A1277,B$13),""))))))))))))</f>
        <v/>
      </c>
      <c r="L1277" s="27" t="str">
        <f>IF(I1277="","",B$12&amp;"-"&amp;B$13)</f>
        <v/>
      </c>
      <c r="M1277" s="52" t="str">
        <f t="shared" si="485"/>
        <v/>
      </c>
    </row>
    <row r="1278" spans="1:13" ht="5.15" customHeight="1" x14ac:dyDescent="0.35">
      <c r="A1278" s="47"/>
      <c r="B1278" s="47"/>
      <c r="C1278" s="53"/>
      <c r="D1278" s="53"/>
      <c r="E1278" s="54"/>
      <c r="F1278" s="55"/>
      <c r="G1278" s="72"/>
      <c r="H1278" s="73"/>
      <c r="I1278" s="47"/>
      <c r="J1278" s="57"/>
      <c r="K1278" s="57"/>
      <c r="L1278" s="55"/>
      <c r="M1278" s="57"/>
    </row>
    <row r="1279" spans="1:13" x14ac:dyDescent="0.35">
      <c r="A1279" s="48"/>
      <c r="B1279" s="48"/>
      <c r="C1279" s="50"/>
      <c r="D1279" s="50"/>
      <c r="E1279" s="51" t="str">
        <f>IF(N(C1279)=0,"",(A1279-A1278)*C1279*100)</f>
        <v/>
      </c>
      <c r="F1279" s="68" t="str">
        <f t="shared" ref="F1279:F1290" si="486">IF(N(E1279)=0,"",(N(E1279)+N(F1278)))</f>
        <v/>
      </c>
      <c r="G1279" s="69" t="str">
        <f>IF(OR(N(D1279)=0,N(E1279)=0),"",(E1279*D1279)/1000)</f>
        <v/>
      </c>
      <c r="H1279" s="70" t="str">
        <f t="shared" ref="H1279:H1290" si="487">IF(N(G1279)=0,"",(N(G1279)+N(H1278)))</f>
        <v/>
      </c>
      <c r="I1279" s="27" t="str">
        <f>IF(N(J1279)=0,"",0&amp;"-"&amp;B$2)</f>
        <v/>
      </c>
      <c r="J1279" s="52" t="str">
        <f>IF(N(B$2)=0,"",IF(AND(COUNT(H1279:H1290)=2,COUNT(F1279:F1290)=2),cubic_spline(F1278:F1280,H1278:H1280,B$2),IF(AND(COUNT(H1279:H1290)=3,COUNT(F1279:F1290)=3),cubic_spline(F1278:F1281,H1278:H1281,B$2),IF(AND(COUNT(H1279:H1290)=4,COUNT(F1279:F1290)=4),cubic_spline(F1278:F1282,H1278:H1282,B$2),IF(AND(COUNT(H1279:H1290)=5,COUNT(F1279:F1290)=5),cubic_spline(F1278:F1283,H1278:H1283,B$2),IF(AND(COUNT(H1279:H1290)=6,COUNT(F1279:F1290)=6),cubic_spline(F1278:F1284,H1278:H1284,B$2),IF(AND(COUNT(H1279:H1290)=7,COUNT(F1279:F1290)=7),cubic_spline(F1278:F1285,H1278:H1285,B$2),IF(AND(COUNT(H1279:H1290)=8,COUNT(F1279:F1290)=8),cubic_spline(F1278:F1286,H1278:H1286,B$2),IF(AND(COUNT(H1279:H1290)=9,COUNT(F1279:F1290)=9),cubic_spline(F1278:F1287,H1278:H1287,B$2),IF(AND(COUNT(H1279:H1290)=10,COUNT(F1279:F1290)=10),cubic_spline(F1278:F1288,H1278:H1288,B$2),IF(AND(COUNT(H1279:H1290)=11,COUNT(F1279:F1290)=11),cubic_spline(F1278:F1289,H1278:H1289,B$2),IF(AND(COUNT(H1279:H1290)=12,COUNT(F1279:F1290)=12),cubic_spline(F1278:F1290,H1278:H1290,B$2),""))))))))))))</f>
        <v/>
      </c>
      <c r="K1279" s="52" t="str">
        <f>IF(N(B$2)=0,"",IF(AND(COUNT(A1279:A1290)=2,COUNT(F1279:F1290)=2),cubic_spline(F1278:F1280,A1278:A1280,B$2),IF(AND(COUNT(A1279:A1290)=3,COUNT(F1279:F1290)=3),cubic_spline(F1278:F1281,A1278:A1281,B$2),IF(AND(COUNT(A1279:A1290)=4,COUNT(F1279:F1290)=4),cubic_spline(F1278:F1282,A1278:A1282,B$2),IF(AND(COUNT(A1279:A1290)=5,COUNT(F1279:F1290)=5),cubic_spline(F1278:F1283,A1278:A1283,B$2),IF(AND(COUNT(A1279:A1290)=6,COUNT(F1279:F1290)=6),cubic_spline(F1278:F1284,A1278:A1284,B$2),IF(AND(COUNT(A1279:A1290)=7,COUNT(F1279:F1290)=7),cubic_spline(F1278:F1285,A1278:A1285,B$2),IF(AND(COUNT(A1279:A1290)=8,COUNT(F1279:F1290)=8),cubic_spline(F1278:F1286,A1278:A1286,B$2),IF(AND(COUNT(A1279:A1290)=9,COUNT(F1279:F1290)=9),cubic_spline(F1278:F1287,A1278:A1287,B$2),IF(AND(COUNT(A1279:A1290)=10,COUNT(F1279:F1290)=10),cubic_spline(F1278:F1288,A1278:A1288,B$2),IF(AND(COUNT(A1279:A1290)=11,COUNT(F1279:F1290)=11),cubic_spline(F1278:F1289,A1278:A1289,B$2),IF(AND(COUNT(A1279:A1290)=12,COUNT(F1279:F1290)=12),cubic_spline(F1278:F1290,A1278:A1290,B$2),""))))))))))))</f>
        <v/>
      </c>
      <c r="L1279" s="27" t="str">
        <f>IF(I1279="","",0&amp;"-"&amp;B$2)</f>
        <v/>
      </c>
      <c r="M1279" s="52" t="str">
        <f>IF(N(J1279)=0,"",J1279-J1278)</f>
        <v/>
      </c>
    </row>
    <row r="1280" spans="1:13" x14ac:dyDescent="0.35">
      <c r="A1280" s="48"/>
      <c r="B1280" s="48"/>
      <c r="C1280" s="50"/>
      <c r="D1280" s="50"/>
      <c r="E1280" s="51" t="str">
        <f t="shared" ref="E1280:E1290" si="488">IF(N(C1280)=0,"",(A1280-A1279)*C1280*100)</f>
        <v/>
      </c>
      <c r="F1280" s="68" t="str">
        <f t="shared" si="486"/>
        <v/>
      </c>
      <c r="G1280" s="69" t="str">
        <f t="shared" ref="G1280:G1290" si="489">IF(OR(N(D1280)=0,N(E1280)=0),"",(E1280*D1280)/1000)</f>
        <v/>
      </c>
      <c r="H1280" s="70" t="str">
        <f t="shared" si="487"/>
        <v/>
      </c>
      <c r="I1280" s="27" t="str">
        <f>IF(N(J1280)=0,"",0&amp;"-"&amp;B$3)</f>
        <v/>
      </c>
      <c r="J1280" s="52" t="str">
        <f>IF(N(B$3)=0,"",IF(AND(COUNT(H1279:H1290)=2,COUNT(F1279:F1290)=2),cubic_spline(F1278:F1280,H1278:H1280,B$3),IF(AND(COUNT(H1279:H1290)=3,COUNT(F1279:F1290)=3),cubic_spline(F1278:F1281,H1278:H1281,B$3),IF(AND(COUNT(H1279:H1290)=4,COUNT(F1279:F1290)=4),cubic_spline(F1278:F1282,H1278:H1282,B$3),IF(AND(COUNT(H1279:H1290)=5,COUNT(F1279:F1290)=5),cubic_spline(F1278:F1283,H1278:H1283,B$3),IF(AND(COUNT(H1279:H1290)=6,COUNT(F1279:F1290)=6),cubic_spline(F1278:F1284,H1278:H1284,B$3),IF(AND(COUNT(H1279:H1290)=7,COUNT(F1279:F1290)=7),cubic_spline(F1278:F1285,H1278:H1285,B$3),IF(AND(COUNT(H1279:H1290)=8,COUNT(F1279:F1290)=8),cubic_spline(F1278:F1286,H1278:H1286,B$3),IF(AND(COUNT(H1279:H1290)=9,COUNT(F1279:F1290)=9),cubic_spline(F1278:F1287,H1278:H1287,B$3),IF(AND(COUNT(H1279:H1290)=10,COUNT(F1279:F1290)=10),cubic_spline(F1278:F1288,H1278:H1288,B$3),IF(AND(COUNT(H1279:H1290)=11,COUNT(F1279:F1290)=11),cubic_spline(F1278:F1289,H1278:H1289,B$3),IF(AND(COUNT(H1279:H1290)=12,COUNT(F1279:F1290)=12),cubic_spline(F1278:F1290,H1278:H1290,B$3),""))))))))))))</f>
        <v/>
      </c>
      <c r="K1280" s="52" t="str">
        <f>IF(N(B$3)=0,"",IF(AND(COUNT(A1279:A1290)=2,COUNT(F1279:F1290)=2),cubic_spline(F1278:F1280,A1278:A1280,B$3),IF(AND(COUNT(A1279:A1290)=3,COUNT(F1279:F1290)=3),cubic_spline(F1278:F1281,A1278:A1281,B$3),IF(AND(COUNT(A1279:A1290)=4,COUNT(F1279:F1290)=4),cubic_spline(F1278:F1282,A1278:A1282,B$3),IF(AND(COUNT(A1279:A1290)=5,COUNT(F1279:F1290)=5),cubic_spline(F1278:F1283,A1278:A1283,B$3),IF(AND(COUNT(A1279:A1290)=6,COUNT(F1279:F1290)=6),cubic_spline(F1278:F1284,A1278:A1284,B$3),IF(AND(COUNT(A1279:A1290)=7,COUNT(F1279:F1290)=7),cubic_spline(F1278:F1285,A1278:A1285,B$3),IF(AND(COUNT(A1279:A1290)=8,COUNT(F1279:F1290)=8),cubic_spline(F1278:F1286,A1278:A1286,B$3),IF(AND(COUNT(A1279:A1290)=9,COUNT(F1279:F1290)=9),cubic_spline(F1278:F1287,A1278:A1287,B$3),IF(AND(COUNT(A1279:A1290)=10,COUNT(F1279:F1290)=10),cubic_spline(F1278:F1288,A1278:A1288,B$3),IF(AND(COUNT(A1279:A1290)=11,COUNT(F1279:F1290)=11),cubic_spline(F1278:F1289,A1278:A1289,B$3),IF(AND(COUNT(A1279:A1290)=12,COUNT(F1279:F1290)=12),cubic_spline(F1278:F1290,A1278:A1290,B$3),""))))))))))))</f>
        <v/>
      </c>
      <c r="L1280" s="27" t="str">
        <f>IF(I1280="","",B$2&amp;"-"&amp;B$3)</f>
        <v/>
      </c>
      <c r="M1280" s="52" t="str">
        <f>IF(N(J1280)=0,"",J1280-J1279)</f>
        <v/>
      </c>
    </row>
    <row r="1281" spans="1:13" x14ac:dyDescent="0.35">
      <c r="A1281" s="48"/>
      <c r="B1281" s="48"/>
      <c r="C1281" s="50"/>
      <c r="D1281" s="50"/>
      <c r="E1281" s="51" t="str">
        <f t="shared" si="488"/>
        <v/>
      </c>
      <c r="F1281" s="68" t="str">
        <f t="shared" si="486"/>
        <v/>
      </c>
      <c r="G1281" s="69" t="str">
        <f t="shared" si="489"/>
        <v/>
      </c>
      <c r="H1281" s="70" t="str">
        <f t="shared" si="487"/>
        <v/>
      </c>
      <c r="I1281" s="27" t="str">
        <f>IF(N(J1281)=0,"",0&amp;"-"&amp;B$4)</f>
        <v/>
      </c>
      <c r="J1281" s="52" t="str">
        <f>IF(N(B$4)=0,"",IF(AND(COUNT(H1279:H1290)=2,COUNT(F1279:F1290)=2),cubic_spline(F1278:F1280,H1278:H1280,B$4),IF(AND(COUNT(H1279:H1290)=3,COUNT(F1279:F1290)=3),cubic_spline(F1278:F1281,H1278:H1281,B$4),IF(AND(COUNT(H1279:H1290)=4,COUNT(F1279:F1290)=4),cubic_spline(F1278:F1282,H1278:H1282,B$4),IF(AND(COUNT(H1279:H1290)=5,COUNT(F1279:F1290)=5),cubic_spline(F1278:F1283,H1278:H1283,B$4),IF(AND(COUNT(H1279:H1290)=6,COUNT(F1279:F1290)=6),cubic_spline(F1278:F1284,H1278:H1284,B$4),IF(AND(COUNT(H1279:H1290)=7,COUNT(F1279:F1290)=7),cubic_spline(F1278:F1285,H1278:H1285,B$4),IF(AND(COUNT(H1279:H1290)=8,COUNT(F1279:F1290)=8),cubic_spline(F1278:F1286,H1278:H1286,B$4),IF(AND(COUNT(H1279:H1290)=9,COUNT(F1279:F1290)=9),cubic_spline(F1278:F1287,H1278:H1287,B$4),IF(AND(COUNT(H1279:H1290)=10,COUNT(F1279:F1290)=10),cubic_spline(F1278:F1288,H1278:H1288,B$4),IF(AND(COUNT(H1279:H1290)=11,COUNT(F1279:F1290)=11),cubic_spline(F1278:F1289,H1278:H1289,B$4),IF(AND(COUNT(H1279:H1290)=12,COUNT(F1279:F1290)=12),cubic_spline(F1278:F1290,H1278:H1290,B$4),""))))))))))))</f>
        <v/>
      </c>
      <c r="K1281" s="52" t="str">
        <f>IF(N(B$4)=0,"",IF(AND(COUNT(A1279:A1290)=2,COUNT(F1279:F1290)=2),cubic_spline(F1278:F1280,A1278:A1280,B$4),IF(AND(COUNT(A1279:A1290)=3,COUNT(F1279:F1290)=3),cubic_spline(F1278:F1281,A1278:A1281,B$4),IF(AND(COUNT(A1279:A1290)=4,COUNT(F1279:F1290)=4),cubic_spline(F1278:F1282,A1278:A1282,B$4),IF(AND(COUNT(A1279:A1290)=5,COUNT(F1279:F1290)=5),cubic_spline(F1278:F1283,A1278:A1283,B$4),IF(AND(COUNT(A1279:A1290)=6,COUNT(F1279:F1290)=6),cubic_spline(F1278:F1284,A1278:A1284,B$4),IF(AND(COUNT(A1279:A1290)=7,COUNT(F1279:F1290)=7),cubic_spline(F1278:F1285,A1278:A1285,B$4),IF(AND(COUNT(A1279:A1290)=8,COUNT(F1279:F1290)=8),cubic_spline(F1278:F1286,A1278:A1286,B$4),IF(AND(COUNT(A1279:A1290)=9,COUNT(F1279:F1290)=9),cubic_spline(F1278:F1287,A1278:A1287,B$4),IF(AND(COUNT(A1279:A1290)=10,COUNT(F1279:F1290)=10),cubic_spline(F1278:F1288,A1278:A1288,B$4),IF(AND(COUNT(A1279:A1290)=11,COUNT(F1279:F1290)=11),cubic_spline(F1278:F1289,A1278:A1289,B$4),IF(AND(COUNT(A1279:A1290)=12,COUNT(F1279:F1290)=12),cubic_spline(F1278:F1290,A1278:A1290,B$4),""))))))))))))</f>
        <v/>
      </c>
      <c r="L1281" s="27" t="str">
        <f>IF(I1281="","",B$3&amp;"-"&amp;B$4)</f>
        <v/>
      </c>
      <c r="M1281" s="52" t="str">
        <f>IF(N(J1281)=0,"",J1281-J1280)</f>
        <v/>
      </c>
    </row>
    <row r="1282" spans="1:13" x14ac:dyDescent="0.35">
      <c r="A1282" s="48"/>
      <c r="B1282" s="48"/>
      <c r="C1282" s="50"/>
      <c r="D1282" s="50"/>
      <c r="E1282" s="51" t="str">
        <f t="shared" si="488"/>
        <v/>
      </c>
      <c r="F1282" s="68" t="str">
        <f t="shared" si="486"/>
        <v/>
      </c>
      <c r="G1282" s="69" t="str">
        <f t="shared" si="489"/>
        <v/>
      </c>
      <c r="H1282" s="70" t="str">
        <f t="shared" si="487"/>
        <v/>
      </c>
      <c r="I1282" s="27" t="str">
        <f>IF(N(J1282)=0,"",0&amp;"-"&amp;B$5)</f>
        <v/>
      </c>
      <c r="J1282" s="52" t="str">
        <f>IF(N(B$5)=0,"",IF(AND(COUNT(H1279:H1290)=2,COUNT(F1279:F1290)=2),cubic_spline(F1278:F1280,H1278:H1280,B$5),IF(AND(COUNT(H1279:H1290)=3,COUNT(F1279:F1290)=3),cubic_spline(F1278:F1281,H1278:H1281,B$5),IF(AND(COUNT(H1279:H1290)=4,COUNT(F1279:F1290)=4),cubic_spline(F1278:F1282,H1278:H1282,B$5),IF(AND(COUNT(H1279:H1290)=5,COUNT(F1279:F1290)=5),cubic_spline(F1278:F1283,H1278:H1283,B$5),IF(AND(COUNT(H1279:H1290)=6,COUNT(F1279:F1290)=6),cubic_spline(F1278:F1284,H1278:H1284,B$5),IF(AND(COUNT(H1279:H1290)=7,COUNT(F1279:F1290)=7),cubic_spline(F1278:F1285,H1278:H1285,B$5),IF(AND(COUNT(H1279:H1290)=8,COUNT(F1279:F1290)=8),cubic_spline(F1278:F1286,H1278:H1286,B$5),IF(AND(COUNT(H1279:H1290)=9,COUNT(F1279:F1290)=9),cubic_spline(F1278:F1287,H1278:H1287,B$5),IF(AND(COUNT(H1279:H1290)=10,COUNT(F1279:F1290)=10),cubic_spline(F1278:F1288,H1278:H1288,B$5),IF(AND(COUNT(H1279:H1290)=11,COUNT(F1279:F1290)=11),cubic_spline(F1278:F1289,H1278:H1289,B$5),IF(AND(COUNT(H1279:H1290)=12,COUNT(F1279:F1290)=12),cubic_spline(F1278:F1290,H1278:H1290,B$5),""))))))))))))</f>
        <v/>
      </c>
      <c r="K1282" s="52" t="str">
        <f>IF(N(B$5)=0,"",IF(AND(COUNT(A1279:A1290)=2,COUNT(F1279:F1290)=2),cubic_spline(F1278:F1280,A1278:A1280,B$5),IF(AND(COUNT(A1279:A1290)=3,COUNT(F1279:F1290)=3),cubic_spline(F1278:F1281,A1278:A1281,B$5),IF(AND(COUNT(A1279:A1290)=4,COUNT(F1279:F1290)=4),cubic_spline(F1278:F1282,A1278:A1282,B$5),IF(AND(COUNT(A1279:A1290)=5,COUNT(F1279:F1290)=5),cubic_spline(F1278:F1283,A1278:A1283,B$5),IF(AND(COUNT(A1279:A1290)=6,COUNT(F1279:F1290)=6),cubic_spline(F1278:F1284,A1278:A1284,B$5),IF(AND(COUNT(A1279:A1290)=7,COUNT(F1279:F1290)=7),cubic_spline(F1278:F1285,A1278:A1285,B$5),IF(AND(COUNT(A1279:A1290)=8,COUNT(F1279:F1290)=8),cubic_spline(F1278:F1286,A1278:A1286,B$5),IF(AND(COUNT(A1279:A1290)=9,COUNT(F1279:F1290)=9),cubic_spline(F1278:F1287,A1278:A1287,B$5),IF(AND(COUNT(A1279:A1290)=10,COUNT(F1279:F1290)=10),cubic_spline(F1278:F1288,A1278:A1288,B$5),IF(AND(COUNT(A1279:A1290)=11,COUNT(F1279:F1290)=11),cubic_spline(F1278:F1289,A1278:A1289,B$5),IF(AND(COUNT(A1279:A1290)=12,COUNT(F1279:F1290)=12),cubic_spline(F1278:F1290,A1278:A1290,B$5),""))))))))))))</f>
        <v/>
      </c>
      <c r="L1282" s="27" t="str">
        <f>IF(I1282="","",B$4&amp;"-"&amp;B$5)</f>
        <v/>
      </c>
      <c r="M1282" s="52" t="str">
        <f>IF(N(J1282)=0,"",J1282-J1281)</f>
        <v/>
      </c>
    </row>
    <row r="1283" spans="1:13" x14ac:dyDescent="0.35">
      <c r="A1283" s="48"/>
      <c r="B1283" s="48"/>
      <c r="C1283" s="50"/>
      <c r="D1283" s="50"/>
      <c r="E1283" s="51" t="str">
        <f t="shared" si="488"/>
        <v/>
      </c>
      <c r="F1283" s="71" t="str">
        <f t="shared" si="486"/>
        <v/>
      </c>
      <c r="G1283" s="69" t="str">
        <f t="shared" si="489"/>
        <v/>
      </c>
      <c r="H1283" s="70" t="str">
        <f t="shared" si="487"/>
        <v/>
      </c>
      <c r="I1283" s="27" t="str">
        <f>IF(N(J1283)=0,"",0&amp;"-"&amp;B$6)</f>
        <v/>
      </c>
      <c r="J1283" s="52" t="str">
        <f>IF(N(B$6)=0,"",IF(AND(COUNT(H1279:H1290)=2,COUNT(F1279:F1290)=2),cubic_spline(F1278:F1280,H1278:H1280,B$6),IF(AND(COUNT(H1279:H1290)=3,COUNT(F1279:F1290)=3),cubic_spline(F1278:F1281,H1278:H1281,B$6),IF(AND(COUNT(H1279:H1290)=4,COUNT(F1279:F1290)=4),cubic_spline(F1278:F1282,H1278:H1282,B$6),IF(AND(COUNT(H1279:H1290)=5,COUNT(F1279:F1290)=5),cubic_spline(F1278:F1283,H1278:H1283,B$6),IF(AND(COUNT(H1279:H1290)=6,COUNT(F1279:F1290)=6),cubic_spline(F1278:F1284,H1278:H1284,B$6),IF(AND(COUNT(H1279:H1290)=7,COUNT(F1279:F1290)=7),cubic_spline(F1278:F1285,H1278:H1285,B$6),IF(AND(COUNT(H1279:H1290)=8,COUNT(F1279:F1290)=8),cubic_spline(F1278:F1286,H1278:H1286,B$6),IF(AND(COUNT(H1279:H1290)=9,COUNT(F1279:F1290)=9),cubic_spline(F1278:F1287,H1278:H1287,B$6),IF(AND(COUNT(H1279:H1290)=10,COUNT(F1279:F1290)=10),cubic_spline(F1278:F1288,H1278:H1288,B$6),IF(AND(COUNT(H1279:H1290)=11,COUNT(F1279:F1290)=11),cubic_spline(F1278:F1289,H1278:H1289,B$6),IF(AND(COUNT(H1279:H1290)=12,COUNT(F1279:F1290)=12),cubic_spline(F1278:F1290,H1278:H1290,B$6),""))))))))))))</f>
        <v/>
      </c>
      <c r="K1283" s="52" t="str">
        <f>IF(N(B$6)=0,"",IF(AND(COUNT(A1279:A1290)=2,COUNT(F1279:F1290)=2),cubic_spline(F1278:F1280,A1278:A1280,B$6),IF(AND(COUNT(A1279:A1290)=3,COUNT(F1279:F1290)=3),cubic_spline(F1278:F1281,A1278:A1281,B$6),IF(AND(COUNT(A1279:A1290)=4,COUNT(F1279:F1290)=4),cubic_spline(F1278:F1282,A1278:A1282,B$6),IF(AND(COUNT(A1279:A1290)=5,COUNT(F1279:F1290)=5),cubic_spline(F1278:F1283,A1278:A1283,B$6),IF(AND(COUNT(A1279:A1290)=6,COUNT(F1279:F1290)=6),cubic_spline(F1278:F1284,A1278:A1284,B$6),IF(AND(COUNT(A1279:A1290)=7,COUNT(F1279:F1290)=7),cubic_spline(F1278:F1285,A1278:A1285,B$6),IF(AND(COUNT(A1279:A1290)=8,COUNT(F1279:F1290)=8),cubic_spline(F1278:F1286,A1278:A1286,B$6),IF(AND(COUNT(A1279:A1290)=9,COUNT(F1279:F1290)=9),cubic_spline(F1278:F1287,A1278:A1287,B$6),IF(AND(COUNT(A1279:A1290)=10,COUNT(F1279:F1290)=10),cubic_spline(F1278:F1288,A1278:A1288,B$6),IF(AND(COUNT(A1279:A1290)=11,COUNT(F1279:F1290)=11),cubic_spline(F1278:F1289,A1278:A1289,B$6),IF(AND(COUNT(A1279:A1290)=12,COUNT(F1279:F1290)=12),cubic_spline(F1278:F1290,A1278:A1290,B$6),""))))))))))))</f>
        <v/>
      </c>
      <c r="L1283" s="27" t="str">
        <f>IF(I1283="","",B$5&amp;"-"&amp;B$6)</f>
        <v/>
      </c>
      <c r="M1283" s="52" t="str">
        <f>IF(N(J1283)=0,"",J1283-J1282)</f>
        <v/>
      </c>
    </row>
    <row r="1284" spans="1:13" x14ac:dyDescent="0.35">
      <c r="A1284" s="48"/>
      <c r="B1284" s="48"/>
      <c r="C1284" s="50"/>
      <c r="D1284" s="50"/>
      <c r="E1284" s="51" t="str">
        <f t="shared" si="488"/>
        <v/>
      </c>
      <c r="F1284" s="71" t="str">
        <f t="shared" si="486"/>
        <v/>
      </c>
      <c r="G1284" s="69" t="str">
        <f t="shared" si="489"/>
        <v/>
      </c>
      <c r="H1284" s="70" t="str">
        <f t="shared" si="487"/>
        <v/>
      </c>
      <c r="I1284" s="27" t="str">
        <f>IF(N(J1284)=0,"",0&amp;"-"&amp;B$7)</f>
        <v/>
      </c>
      <c r="J1284" s="52" t="str">
        <f>IF(N(B$7)=0,"",IF(AND(COUNT(H1279:H1290)=2,COUNT(F1279:F1290)=2),cubic_spline(F1278:F1280,H1278:H1280,B$7),IF(AND(COUNT(H1279:H1290)=3,COUNT(F1279:F1290)=3),cubic_spline(F1278:F1281,H1278:H1281,B$7),IF(AND(COUNT(H1279:H1290)=4,COUNT(F1279:F1290)=4),cubic_spline(F1278:F1282,H1278:H1282,B$7),IF(AND(COUNT(H1279:H1290)=5,COUNT(F1279:F1290)=5),cubic_spline(F1278:F1283,H1278:H1283,B$7),IF(AND(COUNT(H1279:H1290)=6,COUNT(F1279:F1290)=6),cubic_spline(F1278:F1284,H1278:H1284,B$7),IF(AND(COUNT(H1279:H1290)=7,COUNT(F1279:F1290)=7),cubic_spline(F1278:F1285,H1278:H1285,B$7),IF(AND(COUNT(H1279:H1290)=8,COUNT(F1279:F1290)=8),cubic_spline(F1278:F1286,H1278:H1286,B$7),IF(AND(COUNT(H1279:H1290)=9,COUNT(F1279:F1290)=9),cubic_spline(F1278:F1287,H1278:H1287,B$7),IF(AND(COUNT(H1279:H1290)=10,COUNT(F1279:F1290)=10),cubic_spline(F1278:F1288,H1278:H1288,B$7),IF(AND(COUNT(H1279:H1290)=11,COUNT(F1279:F1290)=11),cubic_spline(F1278:F1289,H1278:H1289,B$7),IF(AND(COUNT(H1279:H1290)=12,COUNT(F1279:F1290)=12),cubic_spline(F1278:F1290,H1278:H1290,B$7),""))))))))))))</f>
        <v/>
      </c>
      <c r="K1284" s="52" t="str">
        <f>IF(N(B$7)=0,"",IF(AND(COUNT(A1279:A1290)=2,COUNT(F1279:F1290)=2),cubic_spline(F1278:F1280,A1278:A1280,B$7),IF(AND(COUNT(A1279:A1290)=3,COUNT(F1279:F1290)=3),cubic_spline(F1278:F1281,A1278:A1281,B$7),IF(AND(COUNT(A1279:A1290)=4,COUNT(F1279:F1290)=4),cubic_spline(F1278:F1282,A1278:A1282,B$7),IF(AND(COUNT(A1279:A1290)=5,COUNT(F1279:F1290)=5),cubic_spline(F1278:F1283,A1278:A1283,B$7),IF(AND(COUNT(A1279:A1290)=6,COUNT(F1279:F1290)=6),cubic_spline(F1278:F1284,A1278:A1284,B$7),IF(AND(COUNT(A1279:A1290)=7,COUNT(F1279:F1290)=7),cubic_spline(F1278:F1285,A1278:A1285,B$7),IF(AND(COUNT(A1279:A1290)=8,COUNT(F1279:F1290)=8),cubic_spline(F1278:F1286,A1278:A1286,B$7),IF(AND(COUNT(A1279:A1290)=9,COUNT(F1279:F1290)=9),cubic_spline(F1278:F1287,A1278:A1287,B$7),IF(AND(COUNT(A1279:A1290)=10,COUNT(F1279:F1290)=10),cubic_spline(F1278:F1288,A1278:A1288,B$7),IF(AND(COUNT(A1279:A1290)=11,COUNT(F1279:F1290)=11),cubic_spline(F1278:F1289,A1278:A1289,B$7),IF(AND(COUNT(A1279:A1290)=12,COUNT(F1279:F1290)=12),cubic_spline(F1278:F1290,A1278:A1290,B$7),""))))))))))))</f>
        <v/>
      </c>
      <c r="L1284" s="27" t="str">
        <f>IF(I1284="","",B$6&amp;"-"&amp;B$7)</f>
        <v/>
      </c>
      <c r="M1284" s="52" t="str">
        <f t="shared" ref="M1284:M1290" si="490">IF(N(J1284)=0,"",J1284-J1283)</f>
        <v/>
      </c>
    </row>
    <row r="1285" spans="1:13" x14ac:dyDescent="0.35">
      <c r="A1285" s="48"/>
      <c r="B1285" s="48"/>
      <c r="C1285" s="50"/>
      <c r="D1285" s="50"/>
      <c r="E1285" s="51" t="str">
        <f t="shared" si="488"/>
        <v/>
      </c>
      <c r="F1285" s="71" t="str">
        <f t="shared" si="486"/>
        <v/>
      </c>
      <c r="G1285" s="69" t="str">
        <f t="shared" si="489"/>
        <v/>
      </c>
      <c r="H1285" s="70" t="str">
        <f t="shared" si="487"/>
        <v/>
      </c>
      <c r="I1285" s="27" t="str">
        <f>IF(N(J1285)=0,"",0&amp;"-"&amp;B$8)</f>
        <v/>
      </c>
      <c r="J1285" s="52" t="str">
        <f>IF(N(B$8)=0,"",IF(AND(COUNT(H1279:H1290)=2,COUNT(F1279:F1290)=2),cubic_spline(F1278:F1280,H1278:H1280,B$8),IF(AND(COUNT(H1279:H1290)=3,COUNT(F1279:F1290)=3),cubic_spline(F1278:F1281,H1278:H1281,B$8),IF(AND(COUNT(H1279:H1290)=4,COUNT(F1279:F1290)=4),cubic_spline(F1278:F1282,H1278:H1282,B$8),IF(AND(COUNT(H1279:H1290)=5,COUNT(F1279:F1290)=5),cubic_spline(F1278:F1283,H1278:H1283,B$8),IF(AND(COUNT(H1279:H1290)=6,COUNT(F1279:F1290)=6),cubic_spline(F1278:F1284,H1278:H1284,B$8),IF(AND(COUNT(H1279:H1290)=7,COUNT(F1279:F1290)=7),cubic_spline(F1278:F1285,H1278:H1285,B$8),IF(AND(COUNT(H1279:H1290)=8,COUNT(F1279:F1290)=8),cubic_spline(F1278:F1286,H1278:H1286,B$8),IF(AND(COUNT(H1279:H1290)=9,COUNT(F1279:F1290)=9),cubic_spline(F1278:F1287,H1278:H1287,B$8),IF(AND(COUNT(H1279:H1290)=10,COUNT(F1279:F1290)=10),cubic_spline(F1278:F1288,H1278:H1288,B$8),IF(AND(COUNT(H1279:H1290)=11,COUNT(F1279:F1290)=11),cubic_spline(F1278:F1289,H1278:H1289,B$8),IF(AND(COUNT(H1279:H1290)=12,COUNT(F1279:F1290)=12),cubic_spline(F1278:F1290,H1278:H1290,B$8),""))))))))))))</f>
        <v/>
      </c>
      <c r="K1285" s="52" t="str">
        <f>IF(N(B$8)=0,"",IF(AND(COUNT(A1279:A1290)=2,COUNT(F1279:F1290)=2),cubic_spline(F1278:F1280,A1278:A1280,B$8),IF(AND(COUNT(A1279:A1290)=3,COUNT(F1279:F1290)=3),cubic_spline(F1278:F1281,A1278:A1281,B$8),IF(AND(COUNT(A1279:A1290)=4,COUNT(F1279:F1290)=4),cubic_spline(F1278:F1282,A1278:A1282,B$8),IF(AND(COUNT(A1279:A1290)=5,COUNT(F1279:F1290)=5),cubic_spline(F1278:F1283,A1278:A1283,B$8),IF(AND(COUNT(A1279:A1290)=6,COUNT(F1279:F1290)=6),cubic_spline(F1278:F1284,A1278:A1284,B$8),IF(AND(COUNT(A1279:A1290)=7,COUNT(F1279:F1290)=7),cubic_spline(F1278:F1285,A1278:A1285,B$8),IF(AND(COUNT(A1279:A1290)=8,COUNT(F1279:F1290)=8),cubic_spline(F1278:F1286,A1278:A1286,B$8),IF(AND(COUNT(A1279:A1290)=9,COUNT(F1279:F1290)=9),cubic_spline(F1278:F1287,A1278:A1287,B$8),IF(AND(COUNT(A1279:A1290)=10,COUNT(F1279:F1290)=10),cubic_spline(F1278:F1288,A1278:A1288,B$8),IF(AND(COUNT(A1279:A1290)=11,COUNT(F1279:F1290)=11),cubic_spline(F1278:F1289,A1278:A1289,B$8),IF(AND(COUNT(A1279:A1290)=12,COUNT(F1279:F1290)=12),cubic_spline(F1278:F1290,A1278:A1290,B$8),""))))))))))))</f>
        <v/>
      </c>
      <c r="L1285" s="27" t="str">
        <f>IF(I1285="","",B$7&amp;"-"&amp;B$8)</f>
        <v/>
      </c>
      <c r="M1285" s="52" t="str">
        <f t="shared" si="490"/>
        <v/>
      </c>
    </row>
    <row r="1286" spans="1:13" x14ac:dyDescent="0.35">
      <c r="A1286" s="48"/>
      <c r="B1286" s="48"/>
      <c r="C1286" s="50"/>
      <c r="D1286" s="50"/>
      <c r="E1286" s="51" t="str">
        <f t="shared" si="488"/>
        <v/>
      </c>
      <c r="F1286" s="71" t="str">
        <f t="shared" si="486"/>
        <v/>
      </c>
      <c r="G1286" s="69" t="str">
        <f t="shared" si="489"/>
        <v/>
      </c>
      <c r="H1286" s="70" t="str">
        <f t="shared" si="487"/>
        <v/>
      </c>
      <c r="I1286" s="27" t="str">
        <f>IF(N(J1286)=0,"",0&amp;"-"&amp;B$9)</f>
        <v/>
      </c>
      <c r="J1286" s="52" t="str">
        <f>IF(N(B$9)=0,"",IF(AND(COUNT(H1279:H1290)=2,COUNT(F1279:F1290)=2),cubic_spline(F1278:F1280,H1278:H1280,B$9),IF(AND(COUNT(H1279:H1290)=3,COUNT(F1279:F1290)=3),cubic_spline(F1278:F1281,H1278:H1281,B$9),IF(AND(COUNT(H1279:H1290)=4,COUNT(F1279:F1290)=4),cubic_spline(F1278:F1282,H1278:H1282,B$9),IF(AND(COUNT(H1279:H1290)=5,COUNT(F1279:F1290)=5),cubic_spline(F1278:F1283,H1278:H1283,B$9),IF(AND(COUNT(H1279:H1290)=6,COUNT(F1279:F1290)=6),cubic_spline(F1278:F1284,H1278:H1284,B$9),IF(AND(COUNT(H1279:H1290)=7,COUNT(F1279:F1290)=7),cubic_spline(F1278:F1285,H1278:H1285,B$9),IF(AND(COUNT(H1279:H1290)=8,COUNT(F1279:F1290)=8),cubic_spline(F1278:F1286,H1278:H1286,B$9),IF(AND(COUNT(H1279:H1290)=9,COUNT(F1279:F1290)=9),cubic_spline(F1278:F1287,H1278:H1287,B$9),IF(AND(COUNT(H1279:H1290)=10,COUNT(F1279:F1290)=10),cubic_spline(F1278:F1288,H1278:H1288,B$9),IF(AND(COUNT(H1279:H1290)=11,COUNT(F1279:F1290)=11),cubic_spline(F1278:F1289,H1278:H1289,B$9),IF(AND(COUNT(H1279:H1290)=12,COUNT(F1279:F1290)=12),cubic_spline(F1278:F1290,H1278:H1290,B$9),""))))))))))))</f>
        <v/>
      </c>
      <c r="K1286" s="52" t="str">
        <f>IF(N(B$9)=0,"",IF(AND(COUNT(A1279:A1290)=2,COUNT(F1279:F1290)=2),cubic_spline(F1278:F1280,A1278:A1280,B$9),IF(AND(COUNT(A1279:A1290)=3,COUNT(F1279:F1290)=3),cubic_spline(F1278:F1281,A1278:A1281,B$9),IF(AND(COUNT(A1279:A1290)=4,COUNT(F1279:F1290)=4),cubic_spline(F1278:F1282,A1278:A1282,B$9),IF(AND(COUNT(A1279:A1290)=5,COUNT(F1279:F1290)=5),cubic_spline(F1278:F1283,A1278:A1283,B$9),IF(AND(COUNT(A1279:A1290)=6,COUNT(F1279:F1290)=6),cubic_spline(F1278:F1284,A1278:A1284,B$9),IF(AND(COUNT(A1279:A1290)=7,COUNT(F1279:F1290)=7),cubic_spline(F1278:F1285,A1278:A1285,B$9),IF(AND(COUNT(A1279:A1290)=8,COUNT(F1279:F1290)=8),cubic_spline(F1278:F1286,A1278:A1286,B$9),IF(AND(COUNT(A1279:A1290)=9,COUNT(F1279:F1290)=9),cubic_spline(F1278:F1287,A1278:A1287,B$9),IF(AND(COUNT(A1279:A1290)=10,COUNT(F1279:F1290)=10),cubic_spline(F1278:F1288,A1278:A1288,B$9),IF(AND(COUNT(A1279:A1290)=11,COUNT(F1279:F1290)=11),cubic_spline(F1278:F1289,A1278:A1289,B$9),IF(AND(COUNT(A1279:A1290)=12,COUNT(F1279:F1290)=12),cubic_spline(F1278:F1290,A1278:A1290,B$9),""))))))))))))</f>
        <v/>
      </c>
      <c r="L1286" s="27" t="str">
        <f>IF(I1286="","",B$8&amp;"-"&amp;B$9)</f>
        <v/>
      </c>
      <c r="M1286" s="52" t="str">
        <f t="shared" si="490"/>
        <v/>
      </c>
    </row>
    <row r="1287" spans="1:13" x14ac:dyDescent="0.35">
      <c r="A1287" s="48"/>
      <c r="B1287" s="48"/>
      <c r="C1287" s="50"/>
      <c r="D1287" s="50"/>
      <c r="E1287" s="51" t="str">
        <f t="shared" si="488"/>
        <v/>
      </c>
      <c r="F1287" s="71" t="str">
        <f t="shared" si="486"/>
        <v/>
      </c>
      <c r="G1287" s="69" t="str">
        <f t="shared" si="489"/>
        <v/>
      </c>
      <c r="H1287" s="70" t="str">
        <f t="shared" si="487"/>
        <v/>
      </c>
      <c r="I1287" s="27" t="str">
        <f>IF(N(J1287)=0,"",0&amp;"-"&amp;B$10)</f>
        <v/>
      </c>
      <c r="J1287" s="52" t="str">
        <f>IF(N(B$10)=0,"",IF(AND(COUNT(H1279:H1290)=2,COUNT(F1279:F1290)=2),cubic_spline(F1278:F1280,H1278:H1280,B$10),IF(AND(COUNT(H1279:H1290)=3,COUNT(F1279:F1290)=3),cubic_spline(F1278:F1281,H1278:H1281,B$10),IF(AND(COUNT(H1279:H1290)=4,COUNT(F1279:F1290)=4),cubic_spline(F1278:F1282,H1278:H1282,B$10),IF(AND(COUNT(H1279:H1290)=5,COUNT(F1279:F1290)=5),cubic_spline(F1278:F1283,H1278:H1283,B$10),IF(AND(COUNT(H1279:H1290)=6,COUNT(F1279:F1290)=6),cubic_spline(F1278:F1284,H1278:H1284,B$10),IF(AND(COUNT(H1279:H1290)=7,COUNT(F1279:F1290)=7),cubic_spline(F1278:F1285,H1278:H1285,B$10),IF(AND(COUNT(H1279:H1290)=8,COUNT(F1279:F1290)=8),cubic_spline(F1278:F1286,H1278:H1286,B$10),IF(AND(COUNT(H1279:H1290)=9,COUNT(F1279:F1290)=9),cubic_spline(F1278:F1287,H1278:H1287,B$10),IF(AND(COUNT(H1279:H1290)=10,COUNT(F1279:F1290)=10),cubic_spline(F1278:F1288,H1278:H1288,B$10),IF(AND(COUNT(H1279:H1290)=11,COUNT(F1279:F1290)=11),cubic_spline(F1278:F1289,H1278:H1289,B$10),IF(AND(COUNT(H1279:H1290)=12,COUNT(F1279:F1290)=12),cubic_spline(F1278:F1290,H1278:H1290,B$10),""))))))))))))</f>
        <v/>
      </c>
      <c r="K1287" s="52" t="str">
        <f>IF(N(B$10)=0,"",IF(AND(COUNT(A1279:A1290)=2,COUNT(F1279:F1290)=2),cubic_spline(F1278:F1280,A1278:A1280,B$10),IF(AND(COUNT(A1279:A1290)=3,COUNT(F1279:F1290)=3),cubic_spline(F1278:F1281,A1278:A1281,B$10),IF(AND(COUNT(A1279:A1290)=4,COUNT(F1279:F1290)=4),cubic_spline(F1278:F1282,A1278:A1282,B$10),IF(AND(COUNT(A1279:A1290)=5,COUNT(F1279:F1290)=5),cubic_spline(F1278:F1283,A1278:A1283,B$10),IF(AND(COUNT(A1279:A1290)=6,COUNT(F1279:F1290)=6),cubic_spline(F1278:F1284,A1278:A1284,B$10),IF(AND(COUNT(A1279:A1290)=7,COUNT(F1279:F1290)=7),cubic_spline(F1278:F1285,A1278:A1285,B$10),IF(AND(COUNT(A1279:A1290)=8,COUNT(F1279:F1290)=8),cubic_spline(F1278:F1286,A1278:A1286,B$10),IF(AND(COUNT(A1279:A1290)=9,COUNT(F1279:F1290)=9),cubic_spline(F1278:F1287,A1278:A1287,B$10),IF(AND(COUNT(A1279:A1290)=10,COUNT(F1279:F1290)=10),cubic_spline(F1278:F1288,A1278:A1288,B$10),IF(AND(COUNT(A1279:A1290)=11,COUNT(F1279:F1290)=11),cubic_spline(F1278:F1289,A1278:A1289,B$10),IF(AND(COUNT(A1279:A1290)=12,COUNT(F1279:F1290)=12),cubic_spline(F1278:F1290,A1278:A1290,B$10),""))))))))))))</f>
        <v/>
      </c>
      <c r="L1287" s="27" t="str">
        <f>IF(I1287="","",B$9&amp;"-"&amp;B$10)</f>
        <v/>
      </c>
      <c r="M1287" s="52" t="str">
        <f t="shared" si="490"/>
        <v/>
      </c>
    </row>
    <row r="1288" spans="1:13" x14ac:dyDescent="0.35">
      <c r="A1288" s="48"/>
      <c r="B1288" s="48"/>
      <c r="C1288" s="50"/>
      <c r="D1288" s="50"/>
      <c r="E1288" s="51" t="str">
        <f t="shared" si="488"/>
        <v/>
      </c>
      <c r="F1288" s="71" t="str">
        <f t="shared" si="486"/>
        <v/>
      </c>
      <c r="G1288" s="69" t="str">
        <f t="shared" si="489"/>
        <v/>
      </c>
      <c r="H1288" s="70" t="str">
        <f t="shared" si="487"/>
        <v/>
      </c>
      <c r="I1288" s="27" t="str">
        <f>IF(N(J1288)=0,"",0&amp;"-"&amp;B$11)</f>
        <v/>
      </c>
      <c r="J1288" s="52" t="str">
        <f>IF(N(B$11)=0,"",IF(AND(COUNT(H1279:H1290)=2,COUNT(F1279:F1290)=2),cubic_spline(F1278:F1280,H1278:H1280,B$11),IF(AND(COUNT(H1279:H1290)=3,COUNT(F1279:F1290)=3),cubic_spline(F1278:F1281,H1278:H1281,B$11),IF(AND(COUNT(H1279:H1290)=4,COUNT(F1279:F1290)=4),cubic_spline(F1278:F1282,H1278:H1282,B$11),IF(AND(COUNT(H1279:H1290)=5,COUNT(F1279:F1290)=5),cubic_spline(F1278:F1283,H1278:H1283,B$11),IF(AND(COUNT(H1279:H1290)=6,COUNT(F1279:F1290)=6),cubic_spline(F1278:F1284,H1278:H1284,B$11),IF(AND(COUNT(H1279:H1290)=7,COUNT(F1279:F1290)=7),cubic_spline(F1278:F1285,H1278:H1285,B$11),IF(AND(COUNT(H1279:H1290)=8,COUNT(F1279:F1290)=8),cubic_spline(F1278:F1286,H1278:H1286,B$11),IF(AND(COUNT(H1279:H1290)=9,COUNT(F1279:F1290)=9),cubic_spline(F1278:F1287,H1278:H1287,B$11),IF(AND(COUNT(H1279:H1290)=10,COUNT(F1279:F1290)=10),cubic_spline(F1278:F1288,H1278:H1288,B$11),IF(AND(COUNT(H1279:H1290)=11,COUNT(F1279:F1290)=11),cubic_spline(F1278:F1289,H1278:H1289,B$11),IF(AND(COUNT(H1279:H1290)=12,COUNT(F1279:F1290)=12),cubic_spline(F1278:F1290,H1278:H1290,B$11),""))))))))))))</f>
        <v/>
      </c>
      <c r="K1288" s="52" t="str">
        <f>IF(N(B$11)=0,"",IF(AND(COUNT(A1279:A1290)=2,COUNT(F1279:F1290)=2),cubic_spline(F1278:F1280,A1278:A1280,B$11),IF(AND(COUNT(A1279:A1290)=3,COUNT(F1279:F1290)=3),cubic_spline(F1278:F1281,A1278:A1281,B$11),IF(AND(COUNT(A1279:A1290)=4,COUNT(F1279:F1290)=4),cubic_spline(F1278:F1282,A1278:A1282,B$11),IF(AND(COUNT(A1279:A1290)=5,COUNT(F1279:F1290)=5),cubic_spline(F1278:F1283,A1278:A1283,B$11),IF(AND(COUNT(A1279:A1290)=6,COUNT(F1279:F1290)=6),cubic_spline(F1278:F1284,A1278:A1284,B$11),IF(AND(COUNT(A1279:A1290)=7,COUNT(F1279:F1290)=7),cubic_spline(F1278:F1285,A1278:A1285,B$11),IF(AND(COUNT(A1279:A1290)=8,COUNT(F1279:F1290)=8),cubic_spline(F1278:F1286,A1278:A1286,B$11),IF(AND(COUNT(A1279:A1290)=9,COUNT(F1279:F1290)=9),cubic_spline(F1278:F1287,A1278:A1287,B$11),IF(AND(COUNT(A1279:A1290)=10,COUNT(F1279:F1290)=10),cubic_spline(F1278:F1288,A1278:A1288,B$11),IF(AND(COUNT(A1279:A1290)=11,COUNT(F1279:F1290)=11),cubic_spline(F1278:F1289,A1278:A1289,B$11),IF(AND(COUNT(A1279:A1290)=12,COUNT(F1279:F1290)=12),cubic_spline(F1278:F1290,A1278:A1290,B$11),""))))))))))))</f>
        <v/>
      </c>
      <c r="L1288" s="27" t="str">
        <f>IF(I1288="","",B$10&amp;"-"&amp;B$11)</f>
        <v/>
      </c>
      <c r="M1288" s="52" t="str">
        <f t="shared" si="490"/>
        <v/>
      </c>
    </row>
    <row r="1289" spans="1:13" x14ac:dyDescent="0.35">
      <c r="A1289" s="48"/>
      <c r="B1289" s="48"/>
      <c r="C1289" s="50"/>
      <c r="D1289" s="50"/>
      <c r="E1289" s="51" t="str">
        <f t="shared" si="488"/>
        <v/>
      </c>
      <c r="F1289" s="71" t="str">
        <f t="shared" si="486"/>
        <v/>
      </c>
      <c r="G1289" s="69" t="str">
        <f t="shared" si="489"/>
        <v/>
      </c>
      <c r="H1289" s="70" t="str">
        <f t="shared" si="487"/>
        <v/>
      </c>
      <c r="I1289" s="27" t="str">
        <f>IF(N(J1289)=0,"",0&amp;"-"&amp;B$12)</f>
        <v/>
      </c>
      <c r="J1289" s="52" t="str">
        <f>IF(N(B$12)=0,"",IF(AND(COUNT(H1279:H1290)=2,COUNT(F1279:F1290)=2),cubic_spline(F1278:F1280,H1278:H1280,B$12),IF(AND(COUNT(H1279:H1290)=3,COUNT(F1279:F1290)=3),cubic_spline(F1278:F1281,H1278:H1281,B$12),IF(AND(COUNT(H1279:H1290)=4,COUNT(F1279:F1290)=4),cubic_spline(F1278:F1282,H1278:H1282,B$12),IF(AND(COUNT(H1279:H1290)=5,COUNT(F1279:F1290)=5),cubic_spline(F1278:F1283,H1278:H1283,B$12),IF(AND(COUNT(H1279:H1290)=6,COUNT(F1279:F1290)=6),cubic_spline(F1278:F1284,H1278:H1284,B$12),IF(AND(COUNT(H1279:H1290)=7,COUNT(F1279:F1290)=7),cubic_spline(F1278:F1285,H1278:H1285,B$12),IF(AND(COUNT(H1279:H1290)=8,COUNT(F1279:F1290)=8),cubic_spline(F1278:F1286,H1278:H1286,B$12),IF(AND(COUNT(H1279:H1290)=9,COUNT(F1279:F1290)=9),cubic_spline(F1278:F1287,H1278:H1287,B$12),IF(AND(COUNT(H1279:H1290)=10,COUNT(F1279:F1290)=10),cubic_spline(F1278:F1288,H1278:H1288,B$12),IF(AND(COUNT(H1279:H1290)=11,COUNT(F1279:F1290)=11),cubic_spline(F1278:F1289,H1278:H1289,B$12),IF(AND(COUNT(H1279:H1290)=12,COUNT(F1279:F1290)=12),cubic_spline(F1278:F1290,H1278:H1290,B$12),""))))))))))))</f>
        <v/>
      </c>
      <c r="K1289" s="52" t="str">
        <f>IF(N(B$12)=0,"",IF(AND(COUNT(A1279:A1290)=2,COUNT(F1279:F1290)=2),cubic_spline(F1278:F1280,A1278:A1280,B$12),IF(AND(COUNT(A1279:A1290)=3,COUNT(F1279:F1290)=3),cubic_spline(F1278:F1281,A1278:A1281,B$12),IF(AND(COUNT(A1279:A1290)=4,COUNT(F1279:F1290)=4),cubic_spline(F1278:F1282,A1278:A1282,B$12),IF(AND(COUNT(A1279:A1290)=5,COUNT(F1279:F1290)=5),cubic_spline(F1278:F1283,A1278:A1283,B$12),IF(AND(COUNT(A1279:A1290)=6,COUNT(F1279:F1290)=6),cubic_spline(F1278:F1284,A1278:A1284,B$12),IF(AND(COUNT(A1279:A1290)=7,COUNT(F1279:F1290)=7),cubic_spline(F1278:F1285,A1278:A1285,B$12),IF(AND(COUNT(A1279:A1290)=8,COUNT(F1279:F1290)=8),cubic_spline(F1278:F1286,A1278:A1286,B$12),IF(AND(COUNT(A1279:A1290)=9,COUNT(F1279:F1290)=9),cubic_spline(F1278:F1287,A1278:A1287,B$12),IF(AND(COUNT(A1279:A1290)=10,COUNT(F1279:F1290)=10),cubic_spline(F1278:F1288,A1278:A1288,B$12),IF(AND(COUNT(A1279:A1290)=11,COUNT(F1279:F1290)=11),cubic_spline(F1278:F1289,A1278:A1289,B$12),IF(AND(COUNT(A1279:A1290)=12,COUNT(F1279:F1290)=12),cubic_spline(F1278:F1290,A1278:A1290,B$12),""))))))))))))</f>
        <v/>
      </c>
      <c r="L1289" s="27" t="str">
        <f>IF(I1289="","",B$11&amp;"-"&amp;B$12)</f>
        <v/>
      </c>
      <c r="M1289" s="52" t="str">
        <f t="shared" si="490"/>
        <v/>
      </c>
    </row>
    <row r="1290" spans="1:13" x14ac:dyDescent="0.35">
      <c r="A1290" s="48"/>
      <c r="B1290" s="48"/>
      <c r="C1290" s="50"/>
      <c r="D1290" s="50"/>
      <c r="E1290" s="51" t="str">
        <f t="shared" si="488"/>
        <v/>
      </c>
      <c r="F1290" s="71" t="str">
        <f t="shared" si="486"/>
        <v/>
      </c>
      <c r="G1290" s="69" t="str">
        <f t="shared" si="489"/>
        <v/>
      </c>
      <c r="H1290" s="70" t="str">
        <f t="shared" si="487"/>
        <v/>
      </c>
      <c r="I1290" s="27" t="str">
        <f>IF(N(J1290)=0,"",0&amp;"-"&amp;B$13)</f>
        <v/>
      </c>
      <c r="J1290" s="52" t="str">
        <f>IF(N(B$13)=0,"",IF(AND(COUNT(H1279:H1290)=2,COUNT(F1279:F1290)=2),cubic_spline(F1278:F1280,H1278:H1280,B$13),IF(AND(COUNT(H1279:H1290)=3,COUNT(F1279:F1290)=3),cubic_spline(F1278:F1281,H1278:H1281,B$13),IF(AND(COUNT(H1279:H1290)=4,COUNT(F1279:F1290)=4),cubic_spline(F1278:F1282,H1278:H1282,B$13),IF(AND(COUNT(H1279:H1290)=5,COUNT(F1279:F1290)=5),cubic_spline(F1278:F1283,H1278:H1283,B$13),IF(AND(COUNT(H1279:H1290)=6,COUNT(F1279:F1290)=6),cubic_spline(F1278:F1284,H1278:H1284,B$13),IF(AND(COUNT(H1279:H1290)=7,COUNT(F1279:F1290)=7),cubic_spline(F1278:F1285,H1278:H1285,B$13),IF(AND(COUNT(H1279:H1290)=8,COUNT(F1279:F1290)=8),cubic_spline(F1278:F1286,H1278:H1286,B$13),IF(AND(COUNT(H1279:H1290)=9,COUNT(F1279:F1290)=9),cubic_spline(F1278:F1287,H1278:H1287,B$13),IF(AND(COUNT(H1279:H1290)=10,COUNT(F1279:F1290)=10),cubic_spline(F1278:F1288,H1278:H1288,B$13),IF(AND(COUNT(H1279:H1290)=11,COUNT(F1279:F1290)=11),cubic_spline(F1278:F1289,H1278:H1289,B$13),IF(AND(COUNT(H1279:H1290)=12,COUNT(F1279:F1290)=12),cubic_spline(F1278:F1290,H1278:H1290,B$13),""))))))))))))</f>
        <v/>
      </c>
      <c r="K1290" s="52" t="str">
        <f>IF(N(B$13)=0,"",IF(AND(COUNT(A1279:A1290)=2,COUNT(F1279:F1290)=2),cubic_spline(F1278:F1280,A1278:A1280,B$13),IF(AND(COUNT(A1279:A1290)=3,COUNT(F1279:F1290)=3),cubic_spline(F1278:F1281,A1278:A1281,B$13),IF(AND(COUNT(A1279:A1290)=4,COUNT(F1279:F1290)=4),cubic_spline(F1278:F1282,A1278:A1282,B$13),IF(AND(COUNT(A1279:A1290)=5,COUNT(F1279:F1290)=5),cubic_spline(F1278:F1283,A1278:A1283,B$13),IF(AND(COUNT(A1279:A1290)=6,COUNT(F1279:F1290)=6),cubic_spline(F1278:F1284,A1278:A1284,B$13),IF(AND(COUNT(A1279:A1290)=7,COUNT(F1279:F1290)=7),cubic_spline(F1278:F1285,A1278:A1285,B$13),IF(AND(COUNT(A1279:A1290)=8,COUNT(F1279:F1290)=8),cubic_spline(F1278:F1286,A1278:A1286,B$13),IF(AND(COUNT(A1279:A1290)=9,COUNT(F1279:F1290)=9),cubic_spline(F1278:F1287,A1278:A1287,B$13),IF(AND(COUNT(A1279:A1290)=10,COUNT(F1279:F1290)=10),cubic_spline(F1278:F1288,A1278:A1288,B$13),IF(AND(COUNT(A1279:A1290)=11,COUNT(F1279:F1290)=11),cubic_spline(F1278:F1289,A1278:A1289,B$13),IF(AND(COUNT(A1279:A1290)=12,COUNT(F1279:F1290)=12),cubic_spline(F1278:F1290,A1278:A1290,B$13),""))))))))))))</f>
        <v/>
      </c>
      <c r="L1290" s="27" t="str">
        <f>IF(I1290="","",B$12&amp;"-"&amp;B$13)</f>
        <v/>
      </c>
      <c r="M1290" s="52" t="str">
        <f t="shared" si="490"/>
        <v/>
      </c>
    </row>
    <row r="1291" spans="1:13" ht="5.15" customHeight="1" x14ac:dyDescent="0.35">
      <c r="A1291" s="47"/>
      <c r="B1291" s="47"/>
      <c r="C1291" s="53"/>
      <c r="D1291" s="53"/>
      <c r="E1291" s="54"/>
      <c r="F1291" s="55"/>
      <c r="G1291" s="72"/>
      <c r="H1291" s="73"/>
      <c r="I1291" s="47"/>
      <c r="J1291" s="57"/>
      <c r="K1291" s="57"/>
      <c r="L1291" s="55"/>
      <c r="M1291" s="57"/>
    </row>
    <row r="1292" spans="1:13" x14ac:dyDescent="0.35">
      <c r="A1292" s="48"/>
      <c r="B1292" s="48"/>
      <c r="C1292" s="50"/>
      <c r="D1292" s="50"/>
      <c r="E1292" s="51" t="str">
        <f>IF(N(C1292)=0,"",(A1292-A1291)*C1292*100)</f>
        <v/>
      </c>
      <c r="F1292" s="68" t="str">
        <f t="shared" ref="F1292:F1303" si="491">IF(N(E1292)=0,"",(N(E1292)+N(F1291)))</f>
        <v/>
      </c>
      <c r="G1292" s="69" t="str">
        <f>IF(OR(N(D1292)=0,N(E1292)=0),"",(E1292*D1292)/1000)</f>
        <v/>
      </c>
      <c r="H1292" s="70" t="str">
        <f t="shared" ref="H1292:H1303" si="492">IF(N(G1292)=0,"",(N(G1292)+N(H1291)))</f>
        <v/>
      </c>
      <c r="I1292" s="27" t="str">
        <f>IF(N(J1292)=0,"",0&amp;"-"&amp;B$2)</f>
        <v/>
      </c>
      <c r="J1292" s="52" t="str">
        <f>IF(N(B$2)=0,"",IF(AND(COUNT(H1292:H1303)=2,COUNT(F1292:F1303)=2),cubic_spline(F1291:F1293,H1291:H1293,B$2),IF(AND(COUNT(H1292:H1303)=3,COUNT(F1292:F1303)=3),cubic_spline(F1291:F1294,H1291:H1294,B$2),IF(AND(COUNT(H1292:H1303)=4,COUNT(F1292:F1303)=4),cubic_spline(F1291:F1295,H1291:H1295,B$2),IF(AND(COUNT(H1292:H1303)=5,COUNT(F1292:F1303)=5),cubic_spline(F1291:F1296,H1291:H1296,B$2),IF(AND(COUNT(H1292:H1303)=6,COUNT(F1292:F1303)=6),cubic_spline(F1291:F1297,H1291:H1297,B$2),IF(AND(COUNT(H1292:H1303)=7,COUNT(F1292:F1303)=7),cubic_spline(F1291:F1298,H1291:H1298,B$2),IF(AND(COUNT(H1292:H1303)=8,COUNT(F1292:F1303)=8),cubic_spline(F1291:F1299,H1291:H1299,B$2),IF(AND(COUNT(H1292:H1303)=9,COUNT(F1292:F1303)=9),cubic_spline(F1291:F1300,H1291:H1300,B$2),IF(AND(COUNT(H1292:H1303)=10,COUNT(F1292:F1303)=10),cubic_spline(F1291:F1301,H1291:H1301,B$2),IF(AND(COUNT(H1292:H1303)=11,COUNT(F1292:F1303)=11),cubic_spline(F1291:F1302,H1291:H1302,B$2),IF(AND(COUNT(H1292:H1303)=12,COUNT(F1292:F1303)=12),cubic_spline(F1291:F1303,H1291:H1303,B$2),""))))))))))))</f>
        <v/>
      </c>
      <c r="K1292" s="52" t="str">
        <f>IF(N(B$2)=0,"",IF(AND(COUNT(A1292:A1303)=2,COUNT(F1292:F1303)=2),cubic_spline(F1291:F1293,A1291:A1293,B$2),IF(AND(COUNT(A1292:A1303)=3,COUNT(F1292:F1303)=3),cubic_spline(F1291:F1294,A1291:A1294,B$2),IF(AND(COUNT(A1292:A1303)=4,COUNT(F1292:F1303)=4),cubic_spline(F1291:F1295,A1291:A1295,B$2),IF(AND(COUNT(A1292:A1303)=5,COUNT(F1292:F1303)=5),cubic_spline(F1291:F1296,A1291:A1296,B$2),IF(AND(COUNT(A1292:A1303)=6,COUNT(F1292:F1303)=6),cubic_spline(F1291:F1297,A1291:A1297,B$2),IF(AND(COUNT(A1292:A1303)=7,COUNT(F1292:F1303)=7),cubic_spline(F1291:F1298,A1291:A1298,B$2),IF(AND(COUNT(A1292:A1303)=8,COUNT(F1292:F1303)=8),cubic_spline(F1291:F1299,A1291:A1299,B$2),IF(AND(COUNT(A1292:A1303)=9,COUNT(F1292:F1303)=9),cubic_spline(F1291:F1300,A1291:A1300,B$2),IF(AND(COUNT(A1292:A1303)=10,COUNT(F1292:F1303)=10),cubic_spline(F1291:F1301,A1291:A1301,B$2),IF(AND(COUNT(A1292:A1303)=11,COUNT(F1292:F1303)=11),cubic_spline(F1291:F1302,A1291:A1302,B$2),IF(AND(COUNT(A1292:A1303)=12,COUNT(F1292:F1303)=12),cubic_spline(F1291:F1303,A1291:A1303,B$2),""))))))))))))</f>
        <v/>
      </c>
      <c r="L1292" s="27" t="str">
        <f>IF(I1292="","",0&amp;"-"&amp;B$2)</f>
        <v/>
      </c>
      <c r="M1292" s="52" t="str">
        <f>IF(N(J1292)=0,"",J1292-J1291)</f>
        <v/>
      </c>
    </row>
    <row r="1293" spans="1:13" x14ac:dyDescent="0.35">
      <c r="A1293" s="48"/>
      <c r="B1293" s="48"/>
      <c r="C1293" s="50"/>
      <c r="D1293" s="50"/>
      <c r="E1293" s="51" t="str">
        <f t="shared" ref="E1293:E1303" si="493">IF(N(C1293)=0,"",(A1293-A1292)*C1293*100)</f>
        <v/>
      </c>
      <c r="F1293" s="68" t="str">
        <f t="shared" si="491"/>
        <v/>
      </c>
      <c r="G1293" s="69" t="str">
        <f t="shared" ref="G1293:G1303" si="494">IF(OR(N(D1293)=0,N(E1293)=0),"",(E1293*D1293)/1000)</f>
        <v/>
      </c>
      <c r="H1293" s="70" t="str">
        <f t="shared" si="492"/>
        <v/>
      </c>
      <c r="I1293" s="27" t="str">
        <f>IF(N(J1293)=0,"",0&amp;"-"&amp;B$3)</f>
        <v/>
      </c>
      <c r="J1293" s="52" t="str">
        <f>IF(N(B$3)=0,"",IF(AND(COUNT(H1292:H1303)=2,COUNT(F1292:F1303)=2),cubic_spline(F1291:F1293,H1291:H1293,B$3),IF(AND(COUNT(H1292:H1303)=3,COUNT(F1292:F1303)=3),cubic_spline(F1291:F1294,H1291:H1294,B$3),IF(AND(COUNT(H1292:H1303)=4,COUNT(F1292:F1303)=4),cubic_spline(F1291:F1295,H1291:H1295,B$3),IF(AND(COUNT(H1292:H1303)=5,COUNT(F1292:F1303)=5),cubic_spline(F1291:F1296,H1291:H1296,B$3),IF(AND(COUNT(H1292:H1303)=6,COUNT(F1292:F1303)=6),cubic_spline(F1291:F1297,H1291:H1297,B$3),IF(AND(COUNT(H1292:H1303)=7,COUNT(F1292:F1303)=7),cubic_spline(F1291:F1298,H1291:H1298,B$3),IF(AND(COUNT(H1292:H1303)=8,COUNT(F1292:F1303)=8),cubic_spline(F1291:F1299,H1291:H1299,B$3),IF(AND(COUNT(H1292:H1303)=9,COUNT(F1292:F1303)=9),cubic_spline(F1291:F1300,H1291:H1300,B$3),IF(AND(COUNT(H1292:H1303)=10,COUNT(F1292:F1303)=10),cubic_spline(F1291:F1301,H1291:H1301,B$3),IF(AND(COUNT(H1292:H1303)=11,COUNT(F1292:F1303)=11),cubic_spline(F1291:F1302,H1291:H1302,B$3),IF(AND(COUNT(H1292:H1303)=12,COUNT(F1292:F1303)=12),cubic_spline(F1291:F1303,H1291:H1303,B$3),""))))))))))))</f>
        <v/>
      </c>
      <c r="K1293" s="52" t="str">
        <f>IF(N(B$3)=0,"",IF(AND(COUNT(A1292:A1303)=2,COUNT(F1292:F1303)=2),cubic_spline(F1291:F1293,A1291:A1293,B$3),IF(AND(COUNT(A1292:A1303)=3,COUNT(F1292:F1303)=3),cubic_spline(F1291:F1294,A1291:A1294,B$3),IF(AND(COUNT(A1292:A1303)=4,COUNT(F1292:F1303)=4),cubic_spline(F1291:F1295,A1291:A1295,B$3),IF(AND(COUNT(A1292:A1303)=5,COUNT(F1292:F1303)=5),cubic_spline(F1291:F1296,A1291:A1296,B$3),IF(AND(COUNT(A1292:A1303)=6,COUNT(F1292:F1303)=6),cubic_spline(F1291:F1297,A1291:A1297,B$3),IF(AND(COUNT(A1292:A1303)=7,COUNT(F1292:F1303)=7),cubic_spline(F1291:F1298,A1291:A1298,B$3),IF(AND(COUNT(A1292:A1303)=8,COUNT(F1292:F1303)=8),cubic_spline(F1291:F1299,A1291:A1299,B$3),IF(AND(COUNT(A1292:A1303)=9,COUNT(F1292:F1303)=9),cubic_spline(F1291:F1300,A1291:A1300,B$3),IF(AND(COUNT(A1292:A1303)=10,COUNT(F1292:F1303)=10),cubic_spline(F1291:F1301,A1291:A1301,B$3),IF(AND(COUNT(A1292:A1303)=11,COUNT(F1292:F1303)=11),cubic_spline(F1291:F1302,A1291:A1302,B$3),IF(AND(COUNT(A1292:A1303)=12,COUNT(F1292:F1303)=12),cubic_spline(F1291:F1303,A1291:A1303,B$3),""))))))))))))</f>
        <v/>
      </c>
      <c r="L1293" s="27" t="str">
        <f>IF(I1293="","",B$2&amp;"-"&amp;B$3)</f>
        <v/>
      </c>
      <c r="M1293" s="52" t="str">
        <f>IF(N(J1293)=0,"",J1293-J1292)</f>
        <v/>
      </c>
    </row>
    <row r="1294" spans="1:13" x14ac:dyDescent="0.35">
      <c r="A1294" s="48"/>
      <c r="B1294" s="48"/>
      <c r="C1294" s="50"/>
      <c r="D1294" s="50"/>
      <c r="E1294" s="51" t="str">
        <f t="shared" si="493"/>
        <v/>
      </c>
      <c r="F1294" s="68" t="str">
        <f t="shared" si="491"/>
        <v/>
      </c>
      <c r="G1294" s="69" t="str">
        <f t="shared" si="494"/>
        <v/>
      </c>
      <c r="H1294" s="70" t="str">
        <f t="shared" si="492"/>
        <v/>
      </c>
      <c r="I1294" s="27" t="str">
        <f>IF(N(J1294)=0,"",0&amp;"-"&amp;B$4)</f>
        <v/>
      </c>
      <c r="J1294" s="52" t="str">
        <f>IF(N(B$4)=0,"",IF(AND(COUNT(H1292:H1303)=2,COUNT(F1292:F1303)=2),cubic_spline(F1291:F1293,H1291:H1293,B$4),IF(AND(COUNT(H1292:H1303)=3,COUNT(F1292:F1303)=3),cubic_spline(F1291:F1294,H1291:H1294,B$4),IF(AND(COUNT(H1292:H1303)=4,COUNT(F1292:F1303)=4),cubic_spline(F1291:F1295,H1291:H1295,B$4),IF(AND(COUNT(H1292:H1303)=5,COUNT(F1292:F1303)=5),cubic_spline(F1291:F1296,H1291:H1296,B$4),IF(AND(COUNT(H1292:H1303)=6,COUNT(F1292:F1303)=6),cubic_spline(F1291:F1297,H1291:H1297,B$4),IF(AND(COUNT(H1292:H1303)=7,COUNT(F1292:F1303)=7),cubic_spline(F1291:F1298,H1291:H1298,B$4),IF(AND(COUNT(H1292:H1303)=8,COUNT(F1292:F1303)=8),cubic_spline(F1291:F1299,H1291:H1299,B$4),IF(AND(COUNT(H1292:H1303)=9,COUNT(F1292:F1303)=9),cubic_spline(F1291:F1300,H1291:H1300,B$4),IF(AND(COUNT(H1292:H1303)=10,COUNT(F1292:F1303)=10),cubic_spline(F1291:F1301,H1291:H1301,B$4),IF(AND(COUNT(H1292:H1303)=11,COUNT(F1292:F1303)=11),cubic_spline(F1291:F1302,H1291:H1302,B$4),IF(AND(COUNT(H1292:H1303)=12,COUNT(F1292:F1303)=12),cubic_spline(F1291:F1303,H1291:H1303,B$4),""))))))))))))</f>
        <v/>
      </c>
      <c r="K1294" s="52" t="str">
        <f>IF(N(B$4)=0,"",IF(AND(COUNT(A1292:A1303)=2,COUNT(F1292:F1303)=2),cubic_spline(F1291:F1293,A1291:A1293,B$4),IF(AND(COUNT(A1292:A1303)=3,COUNT(F1292:F1303)=3),cubic_spline(F1291:F1294,A1291:A1294,B$4),IF(AND(COUNT(A1292:A1303)=4,COUNT(F1292:F1303)=4),cubic_spline(F1291:F1295,A1291:A1295,B$4),IF(AND(COUNT(A1292:A1303)=5,COUNT(F1292:F1303)=5),cubic_spline(F1291:F1296,A1291:A1296,B$4),IF(AND(COUNT(A1292:A1303)=6,COUNT(F1292:F1303)=6),cubic_spline(F1291:F1297,A1291:A1297,B$4),IF(AND(COUNT(A1292:A1303)=7,COUNT(F1292:F1303)=7),cubic_spline(F1291:F1298,A1291:A1298,B$4),IF(AND(COUNT(A1292:A1303)=8,COUNT(F1292:F1303)=8),cubic_spline(F1291:F1299,A1291:A1299,B$4),IF(AND(COUNT(A1292:A1303)=9,COUNT(F1292:F1303)=9),cubic_spline(F1291:F1300,A1291:A1300,B$4),IF(AND(COUNT(A1292:A1303)=10,COUNT(F1292:F1303)=10),cubic_spline(F1291:F1301,A1291:A1301,B$4),IF(AND(COUNT(A1292:A1303)=11,COUNT(F1292:F1303)=11),cubic_spline(F1291:F1302,A1291:A1302,B$4),IF(AND(COUNT(A1292:A1303)=12,COUNT(F1292:F1303)=12),cubic_spline(F1291:F1303,A1291:A1303,B$4),""))))))))))))</f>
        <v/>
      </c>
      <c r="L1294" s="27" t="str">
        <f>IF(I1294="","",B$3&amp;"-"&amp;B$4)</f>
        <v/>
      </c>
      <c r="M1294" s="52" t="str">
        <f>IF(N(J1294)=0,"",J1294-J1293)</f>
        <v/>
      </c>
    </row>
    <row r="1295" spans="1:13" x14ac:dyDescent="0.35">
      <c r="A1295" s="48"/>
      <c r="B1295" s="48"/>
      <c r="C1295" s="50"/>
      <c r="D1295" s="50"/>
      <c r="E1295" s="51" t="str">
        <f t="shared" si="493"/>
        <v/>
      </c>
      <c r="F1295" s="68" t="str">
        <f t="shared" si="491"/>
        <v/>
      </c>
      <c r="G1295" s="69" t="str">
        <f t="shared" si="494"/>
        <v/>
      </c>
      <c r="H1295" s="70" t="str">
        <f t="shared" si="492"/>
        <v/>
      </c>
      <c r="I1295" s="27" t="str">
        <f>IF(N(J1295)=0,"",0&amp;"-"&amp;B$5)</f>
        <v/>
      </c>
      <c r="J1295" s="52" t="str">
        <f>IF(N(B$5)=0,"",IF(AND(COUNT(H1292:H1303)=2,COUNT(F1292:F1303)=2),cubic_spline(F1291:F1293,H1291:H1293,B$5),IF(AND(COUNT(H1292:H1303)=3,COUNT(F1292:F1303)=3),cubic_spline(F1291:F1294,H1291:H1294,B$5),IF(AND(COUNT(H1292:H1303)=4,COUNT(F1292:F1303)=4),cubic_spline(F1291:F1295,H1291:H1295,B$5),IF(AND(COUNT(H1292:H1303)=5,COUNT(F1292:F1303)=5),cubic_spline(F1291:F1296,H1291:H1296,B$5),IF(AND(COUNT(H1292:H1303)=6,COUNT(F1292:F1303)=6),cubic_spline(F1291:F1297,H1291:H1297,B$5),IF(AND(COUNT(H1292:H1303)=7,COUNT(F1292:F1303)=7),cubic_spline(F1291:F1298,H1291:H1298,B$5),IF(AND(COUNT(H1292:H1303)=8,COUNT(F1292:F1303)=8),cubic_spline(F1291:F1299,H1291:H1299,B$5),IF(AND(COUNT(H1292:H1303)=9,COUNT(F1292:F1303)=9),cubic_spline(F1291:F1300,H1291:H1300,B$5),IF(AND(COUNT(H1292:H1303)=10,COUNT(F1292:F1303)=10),cubic_spline(F1291:F1301,H1291:H1301,B$5),IF(AND(COUNT(H1292:H1303)=11,COUNT(F1292:F1303)=11),cubic_spline(F1291:F1302,H1291:H1302,B$5),IF(AND(COUNT(H1292:H1303)=12,COUNT(F1292:F1303)=12),cubic_spline(F1291:F1303,H1291:H1303,B$5),""))))))))))))</f>
        <v/>
      </c>
      <c r="K1295" s="52" t="str">
        <f>IF(N(B$5)=0,"",IF(AND(COUNT(A1292:A1303)=2,COUNT(F1292:F1303)=2),cubic_spline(F1291:F1293,A1291:A1293,B$5),IF(AND(COUNT(A1292:A1303)=3,COUNT(F1292:F1303)=3),cubic_spline(F1291:F1294,A1291:A1294,B$5),IF(AND(COUNT(A1292:A1303)=4,COUNT(F1292:F1303)=4),cubic_spline(F1291:F1295,A1291:A1295,B$5),IF(AND(COUNT(A1292:A1303)=5,COUNT(F1292:F1303)=5),cubic_spline(F1291:F1296,A1291:A1296,B$5),IF(AND(COUNT(A1292:A1303)=6,COUNT(F1292:F1303)=6),cubic_spline(F1291:F1297,A1291:A1297,B$5),IF(AND(COUNT(A1292:A1303)=7,COUNT(F1292:F1303)=7),cubic_spline(F1291:F1298,A1291:A1298,B$5),IF(AND(COUNT(A1292:A1303)=8,COUNT(F1292:F1303)=8),cubic_spline(F1291:F1299,A1291:A1299,B$5),IF(AND(COUNT(A1292:A1303)=9,COUNT(F1292:F1303)=9),cubic_spline(F1291:F1300,A1291:A1300,B$5),IF(AND(COUNT(A1292:A1303)=10,COUNT(F1292:F1303)=10),cubic_spline(F1291:F1301,A1291:A1301,B$5),IF(AND(COUNT(A1292:A1303)=11,COUNT(F1292:F1303)=11),cubic_spline(F1291:F1302,A1291:A1302,B$5),IF(AND(COUNT(A1292:A1303)=12,COUNT(F1292:F1303)=12),cubic_spline(F1291:F1303,A1291:A1303,B$5),""))))))))))))</f>
        <v/>
      </c>
      <c r="L1295" s="27" t="str">
        <f>IF(I1295="","",B$4&amp;"-"&amp;B$5)</f>
        <v/>
      </c>
      <c r="M1295" s="52" t="str">
        <f>IF(N(J1295)=0,"",J1295-J1294)</f>
        <v/>
      </c>
    </row>
    <row r="1296" spans="1:13" x14ac:dyDescent="0.35">
      <c r="A1296" s="48"/>
      <c r="B1296" s="48"/>
      <c r="C1296" s="50"/>
      <c r="D1296" s="50"/>
      <c r="E1296" s="51" t="str">
        <f t="shared" si="493"/>
        <v/>
      </c>
      <c r="F1296" s="71" t="str">
        <f t="shared" si="491"/>
        <v/>
      </c>
      <c r="G1296" s="69" t="str">
        <f t="shared" si="494"/>
        <v/>
      </c>
      <c r="H1296" s="70" t="str">
        <f t="shared" si="492"/>
        <v/>
      </c>
      <c r="I1296" s="27" t="str">
        <f>IF(N(J1296)=0,"",0&amp;"-"&amp;B$6)</f>
        <v/>
      </c>
      <c r="J1296" s="52" t="str">
        <f>IF(N(B$6)=0,"",IF(AND(COUNT(H1292:H1303)=2,COUNT(F1292:F1303)=2),cubic_spline(F1291:F1293,H1291:H1293,B$6),IF(AND(COUNT(H1292:H1303)=3,COUNT(F1292:F1303)=3),cubic_spline(F1291:F1294,H1291:H1294,B$6),IF(AND(COUNT(H1292:H1303)=4,COUNT(F1292:F1303)=4),cubic_spline(F1291:F1295,H1291:H1295,B$6),IF(AND(COUNT(H1292:H1303)=5,COUNT(F1292:F1303)=5),cubic_spline(F1291:F1296,H1291:H1296,B$6),IF(AND(COUNT(H1292:H1303)=6,COUNT(F1292:F1303)=6),cubic_spline(F1291:F1297,H1291:H1297,B$6),IF(AND(COUNT(H1292:H1303)=7,COUNT(F1292:F1303)=7),cubic_spline(F1291:F1298,H1291:H1298,B$6),IF(AND(COUNT(H1292:H1303)=8,COUNT(F1292:F1303)=8),cubic_spline(F1291:F1299,H1291:H1299,B$6),IF(AND(COUNT(H1292:H1303)=9,COUNT(F1292:F1303)=9),cubic_spline(F1291:F1300,H1291:H1300,B$6),IF(AND(COUNT(H1292:H1303)=10,COUNT(F1292:F1303)=10),cubic_spline(F1291:F1301,H1291:H1301,B$6),IF(AND(COUNT(H1292:H1303)=11,COUNT(F1292:F1303)=11),cubic_spline(F1291:F1302,H1291:H1302,B$6),IF(AND(COUNT(H1292:H1303)=12,COUNT(F1292:F1303)=12),cubic_spline(F1291:F1303,H1291:H1303,B$6),""))))))))))))</f>
        <v/>
      </c>
      <c r="K1296" s="52" t="str">
        <f>IF(N(B$6)=0,"",IF(AND(COUNT(A1292:A1303)=2,COUNT(F1292:F1303)=2),cubic_spline(F1291:F1293,A1291:A1293,B$6),IF(AND(COUNT(A1292:A1303)=3,COUNT(F1292:F1303)=3),cubic_spline(F1291:F1294,A1291:A1294,B$6),IF(AND(COUNT(A1292:A1303)=4,COUNT(F1292:F1303)=4),cubic_spline(F1291:F1295,A1291:A1295,B$6),IF(AND(COUNT(A1292:A1303)=5,COUNT(F1292:F1303)=5),cubic_spline(F1291:F1296,A1291:A1296,B$6),IF(AND(COUNT(A1292:A1303)=6,COUNT(F1292:F1303)=6),cubic_spline(F1291:F1297,A1291:A1297,B$6),IF(AND(COUNT(A1292:A1303)=7,COUNT(F1292:F1303)=7),cubic_spline(F1291:F1298,A1291:A1298,B$6),IF(AND(COUNT(A1292:A1303)=8,COUNT(F1292:F1303)=8),cubic_spline(F1291:F1299,A1291:A1299,B$6),IF(AND(COUNT(A1292:A1303)=9,COUNT(F1292:F1303)=9),cubic_spline(F1291:F1300,A1291:A1300,B$6),IF(AND(COUNT(A1292:A1303)=10,COUNT(F1292:F1303)=10),cubic_spline(F1291:F1301,A1291:A1301,B$6),IF(AND(COUNT(A1292:A1303)=11,COUNT(F1292:F1303)=11),cubic_spline(F1291:F1302,A1291:A1302,B$6),IF(AND(COUNT(A1292:A1303)=12,COUNT(F1292:F1303)=12),cubic_spline(F1291:F1303,A1291:A1303,B$6),""))))))))))))</f>
        <v/>
      </c>
      <c r="L1296" s="27" t="str">
        <f>IF(I1296="","",B$5&amp;"-"&amp;B$6)</f>
        <v/>
      </c>
      <c r="M1296" s="52" t="str">
        <f>IF(N(J1296)=0,"",J1296-J1295)</f>
        <v/>
      </c>
    </row>
    <row r="1297" spans="1:13" x14ac:dyDescent="0.35">
      <c r="A1297" s="48"/>
      <c r="B1297" s="48"/>
      <c r="C1297" s="50"/>
      <c r="D1297" s="50"/>
      <c r="E1297" s="51" t="str">
        <f t="shared" si="493"/>
        <v/>
      </c>
      <c r="F1297" s="71" t="str">
        <f t="shared" si="491"/>
        <v/>
      </c>
      <c r="G1297" s="69" t="str">
        <f t="shared" si="494"/>
        <v/>
      </c>
      <c r="H1297" s="70" t="str">
        <f t="shared" si="492"/>
        <v/>
      </c>
      <c r="I1297" s="27" t="str">
        <f>IF(N(J1297)=0,"",0&amp;"-"&amp;B$7)</f>
        <v/>
      </c>
      <c r="J1297" s="52" t="str">
        <f>IF(N(B$7)=0,"",IF(AND(COUNT(H1292:H1303)=2,COUNT(F1292:F1303)=2),cubic_spline(F1291:F1293,H1291:H1293,B$7),IF(AND(COUNT(H1292:H1303)=3,COUNT(F1292:F1303)=3),cubic_spline(F1291:F1294,H1291:H1294,B$7),IF(AND(COUNT(H1292:H1303)=4,COUNT(F1292:F1303)=4),cubic_spline(F1291:F1295,H1291:H1295,B$7),IF(AND(COUNT(H1292:H1303)=5,COUNT(F1292:F1303)=5),cubic_spline(F1291:F1296,H1291:H1296,B$7),IF(AND(COUNT(H1292:H1303)=6,COUNT(F1292:F1303)=6),cubic_spline(F1291:F1297,H1291:H1297,B$7),IF(AND(COUNT(H1292:H1303)=7,COUNT(F1292:F1303)=7),cubic_spline(F1291:F1298,H1291:H1298,B$7),IF(AND(COUNT(H1292:H1303)=8,COUNT(F1292:F1303)=8),cubic_spline(F1291:F1299,H1291:H1299,B$7),IF(AND(COUNT(H1292:H1303)=9,COUNT(F1292:F1303)=9),cubic_spline(F1291:F1300,H1291:H1300,B$7),IF(AND(COUNT(H1292:H1303)=10,COUNT(F1292:F1303)=10),cubic_spline(F1291:F1301,H1291:H1301,B$7),IF(AND(COUNT(H1292:H1303)=11,COUNT(F1292:F1303)=11),cubic_spline(F1291:F1302,H1291:H1302,B$7),IF(AND(COUNT(H1292:H1303)=12,COUNT(F1292:F1303)=12),cubic_spline(F1291:F1303,H1291:H1303,B$7),""))))))))))))</f>
        <v/>
      </c>
      <c r="K1297" s="52" t="str">
        <f>IF(N(B$7)=0,"",IF(AND(COUNT(A1292:A1303)=2,COUNT(F1292:F1303)=2),cubic_spline(F1291:F1293,A1291:A1293,B$7),IF(AND(COUNT(A1292:A1303)=3,COUNT(F1292:F1303)=3),cubic_spline(F1291:F1294,A1291:A1294,B$7),IF(AND(COUNT(A1292:A1303)=4,COUNT(F1292:F1303)=4),cubic_spline(F1291:F1295,A1291:A1295,B$7),IF(AND(COUNT(A1292:A1303)=5,COUNT(F1292:F1303)=5),cubic_spline(F1291:F1296,A1291:A1296,B$7),IF(AND(COUNT(A1292:A1303)=6,COUNT(F1292:F1303)=6),cubic_spline(F1291:F1297,A1291:A1297,B$7),IF(AND(COUNT(A1292:A1303)=7,COUNT(F1292:F1303)=7),cubic_spline(F1291:F1298,A1291:A1298,B$7),IF(AND(COUNT(A1292:A1303)=8,COUNT(F1292:F1303)=8),cubic_spline(F1291:F1299,A1291:A1299,B$7),IF(AND(COUNT(A1292:A1303)=9,COUNT(F1292:F1303)=9),cubic_spline(F1291:F1300,A1291:A1300,B$7),IF(AND(COUNT(A1292:A1303)=10,COUNT(F1292:F1303)=10),cubic_spline(F1291:F1301,A1291:A1301,B$7),IF(AND(COUNT(A1292:A1303)=11,COUNT(F1292:F1303)=11),cubic_spline(F1291:F1302,A1291:A1302,B$7),IF(AND(COUNT(A1292:A1303)=12,COUNT(F1292:F1303)=12),cubic_spline(F1291:F1303,A1291:A1303,B$7),""))))))))))))</f>
        <v/>
      </c>
      <c r="L1297" s="27" t="str">
        <f>IF(I1297="","",B$6&amp;"-"&amp;B$7)</f>
        <v/>
      </c>
      <c r="M1297" s="52" t="str">
        <f t="shared" ref="M1297:M1303" si="495">IF(N(J1297)=0,"",J1297-J1296)</f>
        <v/>
      </c>
    </row>
    <row r="1298" spans="1:13" x14ac:dyDescent="0.35">
      <c r="A1298" s="48"/>
      <c r="B1298" s="48"/>
      <c r="C1298" s="50"/>
      <c r="D1298" s="50"/>
      <c r="E1298" s="51" t="str">
        <f t="shared" si="493"/>
        <v/>
      </c>
      <c r="F1298" s="71" t="str">
        <f t="shared" si="491"/>
        <v/>
      </c>
      <c r="G1298" s="69" t="str">
        <f t="shared" si="494"/>
        <v/>
      </c>
      <c r="H1298" s="70" t="str">
        <f t="shared" si="492"/>
        <v/>
      </c>
      <c r="I1298" s="27" t="str">
        <f>IF(N(J1298)=0,"",0&amp;"-"&amp;B$8)</f>
        <v/>
      </c>
      <c r="J1298" s="52" t="str">
        <f>IF(N(B$8)=0,"",IF(AND(COUNT(H1292:H1303)=2,COUNT(F1292:F1303)=2),cubic_spline(F1291:F1293,H1291:H1293,B$8),IF(AND(COUNT(H1292:H1303)=3,COUNT(F1292:F1303)=3),cubic_spline(F1291:F1294,H1291:H1294,B$8),IF(AND(COUNT(H1292:H1303)=4,COUNT(F1292:F1303)=4),cubic_spline(F1291:F1295,H1291:H1295,B$8),IF(AND(COUNT(H1292:H1303)=5,COUNT(F1292:F1303)=5),cubic_spline(F1291:F1296,H1291:H1296,B$8),IF(AND(COUNT(H1292:H1303)=6,COUNT(F1292:F1303)=6),cubic_spline(F1291:F1297,H1291:H1297,B$8),IF(AND(COUNT(H1292:H1303)=7,COUNT(F1292:F1303)=7),cubic_spline(F1291:F1298,H1291:H1298,B$8),IF(AND(COUNT(H1292:H1303)=8,COUNT(F1292:F1303)=8),cubic_spline(F1291:F1299,H1291:H1299,B$8),IF(AND(COUNT(H1292:H1303)=9,COUNT(F1292:F1303)=9),cubic_spline(F1291:F1300,H1291:H1300,B$8),IF(AND(COUNT(H1292:H1303)=10,COUNT(F1292:F1303)=10),cubic_spline(F1291:F1301,H1291:H1301,B$8),IF(AND(COUNT(H1292:H1303)=11,COUNT(F1292:F1303)=11),cubic_spline(F1291:F1302,H1291:H1302,B$8),IF(AND(COUNT(H1292:H1303)=12,COUNT(F1292:F1303)=12),cubic_spline(F1291:F1303,H1291:H1303,B$8),""))))))))))))</f>
        <v/>
      </c>
      <c r="K1298" s="52" t="str">
        <f>IF(N(B$8)=0,"",IF(AND(COUNT(A1292:A1303)=2,COUNT(F1292:F1303)=2),cubic_spline(F1291:F1293,A1291:A1293,B$8),IF(AND(COUNT(A1292:A1303)=3,COUNT(F1292:F1303)=3),cubic_spline(F1291:F1294,A1291:A1294,B$8),IF(AND(COUNT(A1292:A1303)=4,COUNT(F1292:F1303)=4),cubic_spline(F1291:F1295,A1291:A1295,B$8),IF(AND(COUNT(A1292:A1303)=5,COUNT(F1292:F1303)=5),cubic_spline(F1291:F1296,A1291:A1296,B$8),IF(AND(COUNT(A1292:A1303)=6,COUNT(F1292:F1303)=6),cubic_spline(F1291:F1297,A1291:A1297,B$8),IF(AND(COUNT(A1292:A1303)=7,COUNT(F1292:F1303)=7),cubic_spline(F1291:F1298,A1291:A1298,B$8),IF(AND(COUNT(A1292:A1303)=8,COUNT(F1292:F1303)=8),cubic_spline(F1291:F1299,A1291:A1299,B$8),IF(AND(COUNT(A1292:A1303)=9,COUNT(F1292:F1303)=9),cubic_spline(F1291:F1300,A1291:A1300,B$8),IF(AND(COUNT(A1292:A1303)=10,COUNT(F1292:F1303)=10),cubic_spline(F1291:F1301,A1291:A1301,B$8),IF(AND(COUNT(A1292:A1303)=11,COUNT(F1292:F1303)=11),cubic_spline(F1291:F1302,A1291:A1302,B$8),IF(AND(COUNT(A1292:A1303)=12,COUNT(F1292:F1303)=12),cubic_spline(F1291:F1303,A1291:A1303,B$8),""))))))))))))</f>
        <v/>
      </c>
      <c r="L1298" s="27" t="str">
        <f>IF(I1298="","",B$7&amp;"-"&amp;B$8)</f>
        <v/>
      </c>
      <c r="M1298" s="52" t="str">
        <f t="shared" si="495"/>
        <v/>
      </c>
    </row>
    <row r="1299" spans="1:13" x14ac:dyDescent="0.35">
      <c r="A1299" s="48"/>
      <c r="B1299" s="48"/>
      <c r="C1299" s="50"/>
      <c r="D1299" s="50"/>
      <c r="E1299" s="51" t="str">
        <f t="shared" si="493"/>
        <v/>
      </c>
      <c r="F1299" s="71" t="str">
        <f t="shared" si="491"/>
        <v/>
      </c>
      <c r="G1299" s="69" t="str">
        <f t="shared" si="494"/>
        <v/>
      </c>
      <c r="H1299" s="70" t="str">
        <f t="shared" si="492"/>
        <v/>
      </c>
      <c r="I1299" s="27" t="str">
        <f>IF(N(J1299)=0,"",0&amp;"-"&amp;B$9)</f>
        <v/>
      </c>
      <c r="J1299" s="52" t="str">
        <f>IF(N(B$9)=0,"",IF(AND(COUNT(H1292:H1303)=2,COUNT(F1292:F1303)=2),cubic_spline(F1291:F1293,H1291:H1293,B$9),IF(AND(COUNT(H1292:H1303)=3,COUNT(F1292:F1303)=3),cubic_spline(F1291:F1294,H1291:H1294,B$9),IF(AND(COUNT(H1292:H1303)=4,COUNT(F1292:F1303)=4),cubic_spline(F1291:F1295,H1291:H1295,B$9),IF(AND(COUNT(H1292:H1303)=5,COUNT(F1292:F1303)=5),cubic_spline(F1291:F1296,H1291:H1296,B$9),IF(AND(COUNT(H1292:H1303)=6,COUNT(F1292:F1303)=6),cubic_spline(F1291:F1297,H1291:H1297,B$9),IF(AND(COUNT(H1292:H1303)=7,COUNT(F1292:F1303)=7),cubic_spline(F1291:F1298,H1291:H1298,B$9),IF(AND(COUNT(H1292:H1303)=8,COUNT(F1292:F1303)=8),cubic_spline(F1291:F1299,H1291:H1299,B$9),IF(AND(COUNT(H1292:H1303)=9,COUNT(F1292:F1303)=9),cubic_spline(F1291:F1300,H1291:H1300,B$9),IF(AND(COUNT(H1292:H1303)=10,COUNT(F1292:F1303)=10),cubic_spline(F1291:F1301,H1291:H1301,B$9),IF(AND(COUNT(H1292:H1303)=11,COUNT(F1292:F1303)=11),cubic_spline(F1291:F1302,H1291:H1302,B$9),IF(AND(COUNT(H1292:H1303)=12,COUNT(F1292:F1303)=12),cubic_spline(F1291:F1303,H1291:H1303,B$9),""))))))))))))</f>
        <v/>
      </c>
      <c r="K1299" s="52" t="str">
        <f>IF(N(B$9)=0,"",IF(AND(COUNT(A1292:A1303)=2,COUNT(F1292:F1303)=2),cubic_spline(F1291:F1293,A1291:A1293,B$9),IF(AND(COUNT(A1292:A1303)=3,COUNT(F1292:F1303)=3),cubic_spline(F1291:F1294,A1291:A1294,B$9),IF(AND(COUNT(A1292:A1303)=4,COUNT(F1292:F1303)=4),cubic_spline(F1291:F1295,A1291:A1295,B$9),IF(AND(COUNT(A1292:A1303)=5,COUNT(F1292:F1303)=5),cubic_spline(F1291:F1296,A1291:A1296,B$9),IF(AND(COUNT(A1292:A1303)=6,COUNT(F1292:F1303)=6),cubic_spline(F1291:F1297,A1291:A1297,B$9),IF(AND(COUNT(A1292:A1303)=7,COUNT(F1292:F1303)=7),cubic_spline(F1291:F1298,A1291:A1298,B$9),IF(AND(COUNT(A1292:A1303)=8,COUNT(F1292:F1303)=8),cubic_spline(F1291:F1299,A1291:A1299,B$9),IF(AND(COUNT(A1292:A1303)=9,COUNT(F1292:F1303)=9),cubic_spline(F1291:F1300,A1291:A1300,B$9),IF(AND(COUNT(A1292:A1303)=10,COUNT(F1292:F1303)=10),cubic_spline(F1291:F1301,A1291:A1301,B$9),IF(AND(COUNT(A1292:A1303)=11,COUNT(F1292:F1303)=11),cubic_spline(F1291:F1302,A1291:A1302,B$9),IF(AND(COUNT(A1292:A1303)=12,COUNT(F1292:F1303)=12),cubic_spline(F1291:F1303,A1291:A1303,B$9),""))))))))))))</f>
        <v/>
      </c>
      <c r="L1299" s="27" t="str">
        <f>IF(I1299="","",B$8&amp;"-"&amp;B$9)</f>
        <v/>
      </c>
      <c r="M1299" s="52" t="str">
        <f t="shared" si="495"/>
        <v/>
      </c>
    </row>
    <row r="1300" spans="1:13" x14ac:dyDescent="0.35">
      <c r="A1300" s="48"/>
      <c r="B1300" s="48"/>
      <c r="C1300" s="50"/>
      <c r="D1300" s="50"/>
      <c r="E1300" s="51" t="str">
        <f t="shared" si="493"/>
        <v/>
      </c>
      <c r="F1300" s="71" t="str">
        <f t="shared" si="491"/>
        <v/>
      </c>
      <c r="G1300" s="69" t="str">
        <f t="shared" si="494"/>
        <v/>
      </c>
      <c r="H1300" s="70" t="str">
        <f t="shared" si="492"/>
        <v/>
      </c>
      <c r="I1300" s="27" t="str">
        <f>IF(N(J1300)=0,"",0&amp;"-"&amp;B$10)</f>
        <v/>
      </c>
      <c r="J1300" s="52" t="str">
        <f>IF(N(B$10)=0,"",IF(AND(COUNT(H1292:H1303)=2,COUNT(F1292:F1303)=2),cubic_spline(F1291:F1293,H1291:H1293,B$10),IF(AND(COUNT(H1292:H1303)=3,COUNT(F1292:F1303)=3),cubic_spline(F1291:F1294,H1291:H1294,B$10),IF(AND(COUNT(H1292:H1303)=4,COUNT(F1292:F1303)=4),cubic_spline(F1291:F1295,H1291:H1295,B$10),IF(AND(COUNT(H1292:H1303)=5,COUNT(F1292:F1303)=5),cubic_spline(F1291:F1296,H1291:H1296,B$10),IF(AND(COUNT(H1292:H1303)=6,COUNT(F1292:F1303)=6),cubic_spline(F1291:F1297,H1291:H1297,B$10),IF(AND(COUNT(H1292:H1303)=7,COUNT(F1292:F1303)=7),cubic_spline(F1291:F1298,H1291:H1298,B$10),IF(AND(COUNT(H1292:H1303)=8,COUNT(F1292:F1303)=8),cubic_spline(F1291:F1299,H1291:H1299,B$10),IF(AND(COUNT(H1292:H1303)=9,COUNT(F1292:F1303)=9),cubic_spline(F1291:F1300,H1291:H1300,B$10),IF(AND(COUNT(H1292:H1303)=10,COUNT(F1292:F1303)=10),cubic_spline(F1291:F1301,H1291:H1301,B$10),IF(AND(COUNT(H1292:H1303)=11,COUNT(F1292:F1303)=11),cubic_spline(F1291:F1302,H1291:H1302,B$10),IF(AND(COUNT(H1292:H1303)=12,COUNT(F1292:F1303)=12),cubic_spline(F1291:F1303,H1291:H1303,B$10),""))))))))))))</f>
        <v/>
      </c>
      <c r="K1300" s="52" t="str">
        <f>IF(N(B$10)=0,"",IF(AND(COUNT(A1292:A1303)=2,COUNT(F1292:F1303)=2),cubic_spline(F1291:F1293,A1291:A1293,B$10),IF(AND(COUNT(A1292:A1303)=3,COUNT(F1292:F1303)=3),cubic_spline(F1291:F1294,A1291:A1294,B$10),IF(AND(COUNT(A1292:A1303)=4,COUNT(F1292:F1303)=4),cubic_spline(F1291:F1295,A1291:A1295,B$10),IF(AND(COUNT(A1292:A1303)=5,COUNT(F1292:F1303)=5),cubic_spline(F1291:F1296,A1291:A1296,B$10),IF(AND(COUNT(A1292:A1303)=6,COUNT(F1292:F1303)=6),cubic_spline(F1291:F1297,A1291:A1297,B$10),IF(AND(COUNT(A1292:A1303)=7,COUNT(F1292:F1303)=7),cubic_spline(F1291:F1298,A1291:A1298,B$10),IF(AND(COUNT(A1292:A1303)=8,COUNT(F1292:F1303)=8),cubic_spline(F1291:F1299,A1291:A1299,B$10),IF(AND(COUNT(A1292:A1303)=9,COUNT(F1292:F1303)=9),cubic_spline(F1291:F1300,A1291:A1300,B$10),IF(AND(COUNT(A1292:A1303)=10,COUNT(F1292:F1303)=10),cubic_spline(F1291:F1301,A1291:A1301,B$10),IF(AND(COUNT(A1292:A1303)=11,COUNT(F1292:F1303)=11),cubic_spline(F1291:F1302,A1291:A1302,B$10),IF(AND(COUNT(A1292:A1303)=12,COUNT(F1292:F1303)=12),cubic_spline(F1291:F1303,A1291:A1303,B$10),""))))))))))))</f>
        <v/>
      </c>
      <c r="L1300" s="27" t="str">
        <f>IF(I1300="","",B$9&amp;"-"&amp;B$10)</f>
        <v/>
      </c>
      <c r="M1300" s="52" t="str">
        <f t="shared" si="495"/>
        <v/>
      </c>
    </row>
    <row r="1301" spans="1:13" x14ac:dyDescent="0.35">
      <c r="A1301" s="48"/>
      <c r="B1301" s="48"/>
      <c r="C1301" s="50"/>
      <c r="D1301" s="50"/>
      <c r="E1301" s="51" t="str">
        <f t="shared" si="493"/>
        <v/>
      </c>
      <c r="F1301" s="71" t="str">
        <f t="shared" si="491"/>
        <v/>
      </c>
      <c r="G1301" s="69" t="str">
        <f t="shared" si="494"/>
        <v/>
      </c>
      <c r="H1301" s="70" t="str">
        <f t="shared" si="492"/>
        <v/>
      </c>
      <c r="I1301" s="27" t="str">
        <f>IF(N(J1301)=0,"",0&amp;"-"&amp;B$11)</f>
        <v/>
      </c>
      <c r="J1301" s="52" t="str">
        <f>IF(N(B$11)=0,"",IF(AND(COUNT(H1292:H1303)=2,COUNT(F1292:F1303)=2),cubic_spline(F1291:F1293,H1291:H1293,B$11),IF(AND(COUNT(H1292:H1303)=3,COUNT(F1292:F1303)=3),cubic_spline(F1291:F1294,H1291:H1294,B$11),IF(AND(COUNT(H1292:H1303)=4,COUNT(F1292:F1303)=4),cubic_spline(F1291:F1295,H1291:H1295,B$11),IF(AND(COUNT(H1292:H1303)=5,COUNT(F1292:F1303)=5),cubic_spline(F1291:F1296,H1291:H1296,B$11),IF(AND(COUNT(H1292:H1303)=6,COUNT(F1292:F1303)=6),cubic_spline(F1291:F1297,H1291:H1297,B$11),IF(AND(COUNT(H1292:H1303)=7,COUNT(F1292:F1303)=7),cubic_spline(F1291:F1298,H1291:H1298,B$11),IF(AND(COUNT(H1292:H1303)=8,COUNT(F1292:F1303)=8),cubic_spline(F1291:F1299,H1291:H1299,B$11),IF(AND(COUNT(H1292:H1303)=9,COUNT(F1292:F1303)=9),cubic_spline(F1291:F1300,H1291:H1300,B$11),IF(AND(COUNT(H1292:H1303)=10,COUNT(F1292:F1303)=10),cubic_spline(F1291:F1301,H1291:H1301,B$11),IF(AND(COUNT(H1292:H1303)=11,COUNT(F1292:F1303)=11),cubic_spline(F1291:F1302,H1291:H1302,B$11),IF(AND(COUNT(H1292:H1303)=12,COUNT(F1292:F1303)=12),cubic_spline(F1291:F1303,H1291:H1303,B$11),""))))))))))))</f>
        <v/>
      </c>
      <c r="K1301" s="52" t="str">
        <f>IF(N(B$11)=0,"",IF(AND(COUNT(A1292:A1303)=2,COUNT(F1292:F1303)=2),cubic_spline(F1291:F1293,A1291:A1293,B$11),IF(AND(COUNT(A1292:A1303)=3,COUNT(F1292:F1303)=3),cubic_spline(F1291:F1294,A1291:A1294,B$11),IF(AND(COUNT(A1292:A1303)=4,COUNT(F1292:F1303)=4),cubic_spline(F1291:F1295,A1291:A1295,B$11),IF(AND(COUNT(A1292:A1303)=5,COUNT(F1292:F1303)=5),cubic_spline(F1291:F1296,A1291:A1296,B$11),IF(AND(COUNT(A1292:A1303)=6,COUNT(F1292:F1303)=6),cubic_spline(F1291:F1297,A1291:A1297,B$11),IF(AND(COUNT(A1292:A1303)=7,COUNT(F1292:F1303)=7),cubic_spline(F1291:F1298,A1291:A1298,B$11),IF(AND(COUNT(A1292:A1303)=8,COUNT(F1292:F1303)=8),cubic_spline(F1291:F1299,A1291:A1299,B$11),IF(AND(COUNT(A1292:A1303)=9,COUNT(F1292:F1303)=9),cubic_spline(F1291:F1300,A1291:A1300,B$11),IF(AND(COUNT(A1292:A1303)=10,COUNT(F1292:F1303)=10),cubic_spline(F1291:F1301,A1291:A1301,B$11),IF(AND(COUNT(A1292:A1303)=11,COUNT(F1292:F1303)=11),cubic_spline(F1291:F1302,A1291:A1302,B$11),IF(AND(COUNT(A1292:A1303)=12,COUNT(F1292:F1303)=12),cubic_spline(F1291:F1303,A1291:A1303,B$11),""))))))))))))</f>
        <v/>
      </c>
      <c r="L1301" s="27" t="str">
        <f>IF(I1301="","",B$10&amp;"-"&amp;B$11)</f>
        <v/>
      </c>
      <c r="M1301" s="52" t="str">
        <f t="shared" si="495"/>
        <v/>
      </c>
    </row>
    <row r="1302" spans="1:13" x14ac:dyDescent="0.35">
      <c r="A1302" s="48"/>
      <c r="B1302" s="48"/>
      <c r="C1302" s="50"/>
      <c r="D1302" s="50"/>
      <c r="E1302" s="51" t="str">
        <f t="shared" si="493"/>
        <v/>
      </c>
      <c r="F1302" s="71" t="str">
        <f t="shared" si="491"/>
        <v/>
      </c>
      <c r="G1302" s="69" t="str">
        <f t="shared" si="494"/>
        <v/>
      </c>
      <c r="H1302" s="70" t="str">
        <f t="shared" si="492"/>
        <v/>
      </c>
      <c r="I1302" s="27" t="str">
        <f>IF(N(J1302)=0,"",0&amp;"-"&amp;B$12)</f>
        <v/>
      </c>
      <c r="J1302" s="52" t="str">
        <f>IF(N(B$12)=0,"",IF(AND(COUNT(H1292:H1303)=2,COUNT(F1292:F1303)=2),cubic_spline(F1291:F1293,H1291:H1293,B$12),IF(AND(COUNT(H1292:H1303)=3,COUNT(F1292:F1303)=3),cubic_spline(F1291:F1294,H1291:H1294,B$12),IF(AND(COUNT(H1292:H1303)=4,COUNT(F1292:F1303)=4),cubic_spline(F1291:F1295,H1291:H1295,B$12),IF(AND(COUNT(H1292:H1303)=5,COUNT(F1292:F1303)=5),cubic_spline(F1291:F1296,H1291:H1296,B$12),IF(AND(COUNT(H1292:H1303)=6,COUNT(F1292:F1303)=6),cubic_spline(F1291:F1297,H1291:H1297,B$12),IF(AND(COUNT(H1292:H1303)=7,COUNT(F1292:F1303)=7),cubic_spline(F1291:F1298,H1291:H1298,B$12),IF(AND(COUNT(H1292:H1303)=8,COUNT(F1292:F1303)=8),cubic_spline(F1291:F1299,H1291:H1299,B$12),IF(AND(COUNT(H1292:H1303)=9,COUNT(F1292:F1303)=9),cubic_spline(F1291:F1300,H1291:H1300,B$12),IF(AND(COUNT(H1292:H1303)=10,COUNT(F1292:F1303)=10),cubic_spline(F1291:F1301,H1291:H1301,B$12),IF(AND(COUNT(H1292:H1303)=11,COUNT(F1292:F1303)=11),cubic_spline(F1291:F1302,H1291:H1302,B$12),IF(AND(COUNT(H1292:H1303)=12,COUNT(F1292:F1303)=12),cubic_spline(F1291:F1303,H1291:H1303,B$12),""))))))))))))</f>
        <v/>
      </c>
      <c r="K1302" s="52" t="str">
        <f>IF(N(B$12)=0,"",IF(AND(COUNT(A1292:A1303)=2,COUNT(F1292:F1303)=2),cubic_spline(F1291:F1293,A1291:A1293,B$12),IF(AND(COUNT(A1292:A1303)=3,COUNT(F1292:F1303)=3),cubic_spline(F1291:F1294,A1291:A1294,B$12),IF(AND(COUNT(A1292:A1303)=4,COUNT(F1292:F1303)=4),cubic_spline(F1291:F1295,A1291:A1295,B$12),IF(AND(COUNT(A1292:A1303)=5,COUNT(F1292:F1303)=5),cubic_spline(F1291:F1296,A1291:A1296,B$12),IF(AND(COUNT(A1292:A1303)=6,COUNT(F1292:F1303)=6),cubic_spline(F1291:F1297,A1291:A1297,B$12),IF(AND(COUNT(A1292:A1303)=7,COUNT(F1292:F1303)=7),cubic_spline(F1291:F1298,A1291:A1298,B$12),IF(AND(COUNT(A1292:A1303)=8,COUNT(F1292:F1303)=8),cubic_spline(F1291:F1299,A1291:A1299,B$12),IF(AND(COUNT(A1292:A1303)=9,COUNT(F1292:F1303)=9),cubic_spline(F1291:F1300,A1291:A1300,B$12),IF(AND(COUNT(A1292:A1303)=10,COUNT(F1292:F1303)=10),cubic_spline(F1291:F1301,A1291:A1301,B$12),IF(AND(COUNT(A1292:A1303)=11,COUNT(F1292:F1303)=11),cubic_spline(F1291:F1302,A1291:A1302,B$12),IF(AND(COUNT(A1292:A1303)=12,COUNT(F1292:F1303)=12),cubic_spline(F1291:F1303,A1291:A1303,B$12),""))))))))))))</f>
        <v/>
      </c>
      <c r="L1302" s="27" t="str">
        <f>IF(I1302="","",B$11&amp;"-"&amp;B$12)</f>
        <v/>
      </c>
      <c r="M1302" s="52" t="str">
        <f t="shared" si="495"/>
        <v/>
      </c>
    </row>
    <row r="1303" spans="1:13" x14ac:dyDescent="0.35">
      <c r="A1303" s="48"/>
      <c r="B1303" s="48"/>
      <c r="C1303" s="50"/>
      <c r="D1303" s="50"/>
      <c r="E1303" s="51" t="str">
        <f t="shared" si="493"/>
        <v/>
      </c>
      <c r="F1303" s="71" t="str">
        <f t="shared" si="491"/>
        <v/>
      </c>
      <c r="G1303" s="69" t="str">
        <f t="shared" si="494"/>
        <v/>
      </c>
      <c r="H1303" s="70" t="str">
        <f t="shared" si="492"/>
        <v/>
      </c>
      <c r="I1303" s="27" t="str">
        <f>IF(N(J1303)=0,"",0&amp;"-"&amp;B$13)</f>
        <v/>
      </c>
      <c r="J1303" s="52" t="str">
        <f>IF(N(B$13)=0,"",IF(AND(COUNT(H1292:H1303)=2,COUNT(F1292:F1303)=2),cubic_spline(F1291:F1293,H1291:H1293,B$13),IF(AND(COUNT(H1292:H1303)=3,COUNT(F1292:F1303)=3),cubic_spline(F1291:F1294,H1291:H1294,B$13),IF(AND(COUNT(H1292:H1303)=4,COUNT(F1292:F1303)=4),cubic_spline(F1291:F1295,H1291:H1295,B$13),IF(AND(COUNT(H1292:H1303)=5,COUNT(F1292:F1303)=5),cubic_spline(F1291:F1296,H1291:H1296,B$13),IF(AND(COUNT(H1292:H1303)=6,COUNT(F1292:F1303)=6),cubic_spline(F1291:F1297,H1291:H1297,B$13),IF(AND(COUNT(H1292:H1303)=7,COUNT(F1292:F1303)=7),cubic_spline(F1291:F1298,H1291:H1298,B$13),IF(AND(COUNT(H1292:H1303)=8,COUNT(F1292:F1303)=8),cubic_spline(F1291:F1299,H1291:H1299,B$13),IF(AND(COUNT(H1292:H1303)=9,COUNT(F1292:F1303)=9),cubic_spline(F1291:F1300,H1291:H1300,B$13),IF(AND(COUNT(H1292:H1303)=10,COUNT(F1292:F1303)=10),cubic_spline(F1291:F1301,H1291:H1301,B$13),IF(AND(COUNT(H1292:H1303)=11,COUNT(F1292:F1303)=11),cubic_spline(F1291:F1302,H1291:H1302,B$13),IF(AND(COUNT(H1292:H1303)=12,COUNT(F1292:F1303)=12),cubic_spline(F1291:F1303,H1291:H1303,B$13),""))))))))))))</f>
        <v/>
      </c>
      <c r="K1303" s="52" t="str">
        <f>IF(N(B$13)=0,"",IF(AND(COUNT(A1292:A1303)=2,COUNT(F1292:F1303)=2),cubic_spline(F1291:F1293,A1291:A1293,B$13),IF(AND(COUNT(A1292:A1303)=3,COUNT(F1292:F1303)=3),cubic_spline(F1291:F1294,A1291:A1294,B$13),IF(AND(COUNT(A1292:A1303)=4,COUNT(F1292:F1303)=4),cubic_spline(F1291:F1295,A1291:A1295,B$13),IF(AND(COUNT(A1292:A1303)=5,COUNT(F1292:F1303)=5),cubic_spline(F1291:F1296,A1291:A1296,B$13),IF(AND(COUNT(A1292:A1303)=6,COUNT(F1292:F1303)=6),cubic_spline(F1291:F1297,A1291:A1297,B$13),IF(AND(COUNT(A1292:A1303)=7,COUNT(F1292:F1303)=7),cubic_spline(F1291:F1298,A1291:A1298,B$13),IF(AND(COUNT(A1292:A1303)=8,COUNT(F1292:F1303)=8),cubic_spline(F1291:F1299,A1291:A1299,B$13),IF(AND(COUNT(A1292:A1303)=9,COUNT(F1292:F1303)=9),cubic_spline(F1291:F1300,A1291:A1300,B$13),IF(AND(COUNT(A1292:A1303)=10,COUNT(F1292:F1303)=10),cubic_spline(F1291:F1301,A1291:A1301,B$13),IF(AND(COUNT(A1292:A1303)=11,COUNT(F1292:F1303)=11),cubic_spline(F1291:F1302,A1291:A1302,B$13),IF(AND(COUNT(A1292:A1303)=12,COUNT(F1292:F1303)=12),cubic_spline(F1291:F1303,A1291:A1303,B$13),""))))))))))))</f>
        <v/>
      </c>
      <c r="L1303" s="27" t="str">
        <f>IF(I1303="","",B$12&amp;"-"&amp;B$13)</f>
        <v/>
      </c>
      <c r="M1303" s="52" t="str">
        <f t="shared" si="495"/>
        <v/>
      </c>
    </row>
    <row r="1304" spans="1:13" ht="5.15" customHeight="1" x14ac:dyDescent="0.35">
      <c r="A1304" s="47"/>
      <c r="B1304" s="47"/>
      <c r="C1304" s="53"/>
      <c r="D1304" s="53"/>
      <c r="E1304" s="54"/>
      <c r="F1304" s="55"/>
      <c r="G1304" s="72"/>
      <c r="H1304" s="73"/>
      <c r="I1304" s="47"/>
      <c r="J1304" s="55"/>
      <c r="K1304" s="57"/>
      <c r="L1304" s="55"/>
      <c r="M1304" s="55"/>
    </row>
    <row r="1305" spans="1:13" x14ac:dyDescent="0.35">
      <c r="A1305" s="48"/>
      <c r="B1305" s="48"/>
      <c r="C1305" s="50"/>
      <c r="D1305" s="50"/>
      <c r="E1305" s="51" t="str">
        <f>IF(N(C1305)=0,"",(A1305-A1304)*C1305*100)</f>
        <v/>
      </c>
      <c r="F1305" s="68" t="str">
        <f t="shared" ref="F1305:F1316" si="496">IF(N(E1305)=0,"",(N(E1305)+N(F1304)))</f>
        <v/>
      </c>
      <c r="G1305" s="69" t="str">
        <f>IF(OR(N(D1305)=0,N(E1305)=0),"",(E1305*D1305)/1000)</f>
        <v/>
      </c>
      <c r="H1305" s="70" t="str">
        <f t="shared" ref="H1305:H1316" si="497">IF(N(G1305)=0,"",(N(G1305)+N(H1304)))</f>
        <v/>
      </c>
      <c r="I1305" s="27" t="str">
        <f>IF(N(J1305)=0,"",0&amp;"-"&amp;B$2)</f>
        <v/>
      </c>
      <c r="J1305" s="27" t="str">
        <f>IF(N(B$2)=0,"",IF(AND(COUNT(H1305:H1316)=2,COUNT(F1305:F1316)=2),cubic_spline(F1304:F1306,H1304:H1306,B$2),IF(AND(COUNT(H1305:H1316)=3,COUNT(F1305:F1316)=3),cubic_spline(F1304:F1307,H1304:H1307,B$2),IF(AND(COUNT(H1305:H1316)=4,COUNT(F1305:F1316)=4),cubic_spline(F1304:F1308,H1304:H1308,B$2),IF(AND(COUNT(H1305:H1316)=5,COUNT(F1305:F1316)=5),cubic_spline(F1304:F1309,H1304:H1309,B$2),IF(AND(COUNT(H1305:H1316)=6,COUNT(F1305:F1316)=6),cubic_spline(F1304:F1310,H1304:H1310,B$2),IF(AND(COUNT(H1305:H1316)=7,COUNT(F1305:F1316)=7),cubic_spline(F1304:F1311,H1304:H1311,B$2),IF(AND(COUNT(H1305:H1316)=8,COUNT(F1305:F1316)=8),cubic_spline(F1304:F1312,H1304:H1312,B$2),IF(AND(COUNT(H1305:H1316)=9,COUNT(F1305:F1316)=9),cubic_spline(F1304:F1313,H1304:H1313,B$2),IF(AND(COUNT(H1305:H1316)=10,COUNT(F1305:F1316)=10),cubic_spline(F1304:F1314,H1304:H1314,B$2),IF(AND(COUNT(H1305:H1316)=11,COUNT(F1305:F1316)=11),cubic_spline(F1304:F1315,H1304:H1315,B$2),IF(AND(COUNT(H1305:H1316)=12,COUNT(F1305:F1316)=12),cubic_spline(F1304:F1316,H1304:H1316,B$2),""))))))))))))</f>
        <v/>
      </c>
      <c r="K1305" s="52" t="str">
        <f>IF(N(B$2)=0,"",IF(AND(COUNT(A1305:A1316)=2,COUNT(F1305:F1316)=2),cubic_spline(F1304:F1306,A1304:A1306,B$2),IF(AND(COUNT(A1305:A1316)=3,COUNT(F1305:F1316)=3),cubic_spline(F1304:F1307,A1304:A1307,B$2),IF(AND(COUNT(A1305:A1316)=4,COUNT(F1305:F1316)=4),cubic_spline(F1304:F1308,A1304:A1308,B$2),IF(AND(COUNT(A1305:A1316)=5,COUNT(F1305:F1316)=5),cubic_spline(F1304:F1309,A1304:A1309,B$2),IF(AND(COUNT(A1305:A1316)=6,COUNT(F1305:F1316)=6),cubic_spline(F1304:F1310,A1304:A1310,B$2),IF(AND(COUNT(A1305:A1316)=7,COUNT(F1305:F1316)=7),cubic_spline(F1304:F1311,A1304:A1311,B$2),IF(AND(COUNT(A1305:A1316)=8,COUNT(F1305:F1316)=8),cubic_spline(F1304:F1312,A1304:A1312,B$2),IF(AND(COUNT(A1305:A1316)=9,COUNT(F1305:F1316)=9),cubic_spline(F1304:F1313,A1304:A1313,B$2),IF(AND(COUNT(A1305:A1316)=10,COUNT(F1305:F1316)=10),cubic_spline(F1304:F1314,A1304:A1314,B$2),IF(AND(COUNT(A1305:A1316)=11,COUNT(F1305:F1316)=11),cubic_spline(F1304:F1315,A1304:A1315,B$2),IF(AND(COUNT(A1305:A1316)=12,COUNT(F1305:F1316)=12),cubic_spline(F1304:F1316,A1304:A1316,B$2),""))))))))))))</f>
        <v/>
      </c>
      <c r="L1305" s="27" t="str">
        <f>IF(I1305="","",0&amp;"-"&amp;B$2)</f>
        <v/>
      </c>
      <c r="M1305" s="27" t="str">
        <f>IF(N(J1305)=0,"",J1305-J1304)</f>
        <v/>
      </c>
    </row>
    <row r="1306" spans="1:13" x14ac:dyDescent="0.35">
      <c r="A1306" s="48"/>
      <c r="B1306" s="48"/>
      <c r="C1306" s="50"/>
      <c r="D1306" s="50"/>
      <c r="E1306" s="51" t="str">
        <f t="shared" ref="E1306:E1316" si="498">IF(N(C1306)=0,"",(A1306-A1305)*C1306*100)</f>
        <v/>
      </c>
      <c r="F1306" s="68" t="str">
        <f t="shared" si="496"/>
        <v/>
      </c>
      <c r="G1306" s="69" t="str">
        <f t="shared" ref="G1306:G1316" si="499">IF(OR(N(D1306)=0,N(E1306)=0),"",(E1306*D1306)/1000)</f>
        <v/>
      </c>
      <c r="H1306" s="70" t="str">
        <f t="shared" si="497"/>
        <v/>
      </c>
      <c r="I1306" s="27" t="str">
        <f>IF(N(J1306)=0,"",0&amp;"-"&amp;B$3)</f>
        <v/>
      </c>
      <c r="J1306" s="27" t="str">
        <f>IF(N(B$3)=0,"",IF(AND(COUNT(H1305:H1316)=2,COUNT(F1305:F1316)=2),cubic_spline(F1304:F1306,H1304:H1306,B$3),IF(AND(COUNT(H1305:H1316)=3,COUNT(F1305:F1316)=3),cubic_spline(F1304:F1307,H1304:H1307,B$3),IF(AND(COUNT(H1305:H1316)=4,COUNT(F1305:F1316)=4),cubic_spline(F1304:F1308,H1304:H1308,B$3),IF(AND(COUNT(H1305:H1316)=5,COUNT(F1305:F1316)=5),cubic_spline(F1304:F1309,H1304:H1309,B$3),IF(AND(COUNT(H1305:H1316)=6,COUNT(F1305:F1316)=6),cubic_spline(F1304:F1310,H1304:H1310,B$3),IF(AND(COUNT(H1305:H1316)=7,COUNT(F1305:F1316)=7),cubic_spline(F1304:F1311,H1304:H1311,B$3),IF(AND(COUNT(H1305:H1316)=8,COUNT(F1305:F1316)=8),cubic_spline(F1304:F1312,H1304:H1312,B$3),IF(AND(COUNT(H1305:H1316)=9,COUNT(F1305:F1316)=9),cubic_spline(F1304:F1313,H1304:H1313,B$3),IF(AND(COUNT(H1305:H1316)=10,COUNT(F1305:F1316)=10),cubic_spline(F1304:F1314,H1304:H1314,B$3),IF(AND(COUNT(H1305:H1316)=11,COUNT(F1305:F1316)=11),cubic_spline(F1304:F1315,H1304:H1315,B$3),IF(AND(COUNT(H1305:H1316)=12,COUNT(F1305:F1316)=12),cubic_spline(F1304:F1316,H1304:H1316,B$3),""))))))))))))</f>
        <v/>
      </c>
      <c r="K1306" s="52" t="str">
        <f>IF(N(B$3)=0,"",IF(AND(COUNT(A1305:A1316)=2,COUNT(F1305:F1316)=2),cubic_spline(F1304:F1306,A1304:A1306,B$3),IF(AND(COUNT(A1305:A1316)=3,COUNT(F1305:F1316)=3),cubic_spline(F1304:F1307,A1304:A1307,B$3),IF(AND(COUNT(A1305:A1316)=4,COUNT(F1305:F1316)=4),cubic_spline(F1304:F1308,A1304:A1308,B$3),IF(AND(COUNT(A1305:A1316)=5,COUNT(F1305:F1316)=5),cubic_spline(F1304:F1309,A1304:A1309,B$3),IF(AND(COUNT(A1305:A1316)=6,COUNT(F1305:F1316)=6),cubic_spline(F1304:F1310,A1304:A1310,B$3),IF(AND(COUNT(A1305:A1316)=7,COUNT(F1305:F1316)=7),cubic_spline(F1304:F1311,A1304:A1311,B$3),IF(AND(COUNT(A1305:A1316)=8,COUNT(F1305:F1316)=8),cubic_spline(F1304:F1312,A1304:A1312,B$3),IF(AND(COUNT(A1305:A1316)=9,COUNT(F1305:F1316)=9),cubic_spline(F1304:F1313,A1304:A1313,B$3),IF(AND(COUNT(A1305:A1316)=10,COUNT(F1305:F1316)=10),cubic_spline(F1304:F1314,A1304:A1314,B$3),IF(AND(COUNT(A1305:A1316)=11,COUNT(F1305:F1316)=11),cubic_spline(F1304:F1315,A1304:A1315,B$3),IF(AND(COUNT(A1305:A1316)=12,COUNT(F1305:F1316)=12),cubic_spline(F1304:F1316,A1304:A1316,B$3),""))))))))))))</f>
        <v/>
      </c>
      <c r="L1306" s="27" t="str">
        <f>IF(I1306="","",B$2&amp;"-"&amp;B$3)</f>
        <v/>
      </c>
      <c r="M1306" s="27" t="str">
        <f>IF(N(J1306)=0,"",J1306-J1305)</f>
        <v/>
      </c>
    </row>
    <row r="1307" spans="1:13" x14ac:dyDescent="0.35">
      <c r="A1307" s="48"/>
      <c r="B1307" s="48"/>
      <c r="C1307" s="50"/>
      <c r="D1307" s="50"/>
      <c r="E1307" s="51" t="str">
        <f t="shared" si="498"/>
        <v/>
      </c>
      <c r="F1307" s="68" t="str">
        <f t="shared" si="496"/>
        <v/>
      </c>
      <c r="G1307" s="69" t="str">
        <f t="shared" si="499"/>
        <v/>
      </c>
      <c r="H1307" s="70" t="str">
        <f t="shared" si="497"/>
        <v/>
      </c>
      <c r="I1307" s="27" t="str">
        <f>IF(N(J1307)=0,"",0&amp;"-"&amp;B$4)</f>
        <v/>
      </c>
      <c r="J1307" s="27" t="str">
        <f>IF(N(B$4)=0,"",IF(AND(COUNT(H1305:H1316)=2,COUNT(F1305:F1316)=2),cubic_spline(F1304:F1306,H1304:H1306,B$4),IF(AND(COUNT(H1305:H1316)=3,COUNT(F1305:F1316)=3),cubic_spline(F1304:F1307,H1304:H1307,B$4),IF(AND(COUNT(H1305:H1316)=4,COUNT(F1305:F1316)=4),cubic_spline(F1304:F1308,H1304:H1308,B$4),IF(AND(COUNT(H1305:H1316)=5,COUNT(F1305:F1316)=5),cubic_spline(F1304:F1309,H1304:H1309,B$4),IF(AND(COUNT(H1305:H1316)=6,COUNT(F1305:F1316)=6),cubic_spline(F1304:F1310,H1304:H1310,B$4),IF(AND(COUNT(H1305:H1316)=7,COUNT(F1305:F1316)=7),cubic_spline(F1304:F1311,H1304:H1311,B$4),IF(AND(COUNT(H1305:H1316)=8,COUNT(F1305:F1316)=8),cubic_spline(F1304:F1312,H1304:H1312,B$4),IF(AND(COUNT(H1305:H1316)=9,COUNT(F1305:F1316)=9),cubic_spline(F1304:F1313,H1304:H1313,B$4),IF(AND(COUNT(H1305:H1316)=10,COUNT(F1305:F1316)=10),cubic_spline(F1304:F1314,H1304:H1314,B$4),IF(AND(COUNT(H1305:H1316)=11,COUNT(F1305:F1316)=11),cubic_spline(F1304:F1315,H1304:H1315,B$4),IF(AND(COUNT(H1305:H1316)=12,COUNT(F1305:F1316)=12),cubic_spline(F1304:F1316,H1304:H1316,B$4),""))))))))))))</f>
        <v/>
      </c>
      <c r="K1307" s="52" t="str">
        <f>IF(N(B$4)=0,"",IF(AND(COUNT(A1305:A1316)=2,COUNT(F1305:F1316)=2),cubic_spline(F1304:F1306,A1304:A1306,B$4),IF(AND(COUNT(A1305:A1316)=3,COUNT(F1305:F1316)=3),cubic_spline(F1304:F1307,A1304:A1307,B$4),IF(AND(COUNT(A1305:A1316)=4,COUNT(F1305:F1316)=4),cubic_spline(F1304:F1308,A1304:A1308,B$4),IF(AND(COUNT(A1305:A1316)=5,COUNT(F1305:F1316)=5),cubic_spline(F1304:F1309,A1304:A1309,B$4),IF(AND(COUNT(A1305:A1316)=6,COUNT(F1305:F1316)=6),cubic_spline(F1304:F1310,A1304:A1310,B$4),IF(AND(COUNT(A1305:A1316)=7,COUNT(F1305:F1316)=7),cubic_spline(F1304:F1311,A1304:A1311,B$4),IF(AND(COUNT(A1305:A1316)=8,COUNT(F1305:F1316)=8),cubic_spline(F1304:F1312,A1304:A1312,B$4),IF(AND(COUNT(A1305:A1316)=9,COUNT(F1305:F1316)=9),cubic_spline(F1304:F1313,A1304:A1313,B$4),IF(AND(COUNT(A1305:A1316)=10,COUNT(F1305:F1316)=10),cubic_spline(F1304:F1314,A1304:A1314,B$4),IF(AND(COUNT(A1305:A1316)=11,COUNT(F1305:F1316)=11),cubic_spline(F1304:F1315,A1304:A1315,B$4),IF(AND(COUNT(A1305:A1316)=12,COUNT(F1305:F1316)=12),cubic_spline(F1304:F1316,A1304:A1316,B$4),""))))))))))))</f>
        <v/>
      </c>
      <c r="L1307" s="27" t="str">
        <f>IF(I1307="","",B$3&amp;"-"&amp;B$4)</f>
        <v/>
      </c>
      <c r="M1307" s="27" t="str">
        <f>IF(N(J1307)=0,"",J1307-J1306)</f>
        <v/>
      </c>
    </row>
    <row r="1308" spans="1:13" x14ac:dyDescent="0.35">
      <c r="A1308" s="48"/>
      <c r="B1308" s="48"/>
      <c r="C1308" s="50"/>
      <c r="D1308" s="50"/>
      <c r="E1308" s="51" t="str">
        <f t="shared" si="498"/>
        <v/>
      </c>
      <c r="F1308" s="68" t="str">
        <f t="shared" si="496"/>
        <v/>
      </c>
      <c r="G1308" s="69" t="str">
        <f t="shared" si="499"/>
        <v/>
      </c>
      <c r="H1308" s="70" t="str">
        <f t="shared" si="497"/>
        <v/>
      </c>
      <c r="I1308" s="27" t="str">
        <f>IF(N(J1308)=0,"",0&amp;"-"&amp;B$5)</f>
        <v/>
      </c>
      <c r="J1308" s="27" t="str">
        <f>IF(N(B$5)=0,"",IF(AND(COUNT(H1305:H1316)=2,COUNT(F1305:F1316)=2),cubic_spline(F1304:F1306,H1304:H1306,B$5),IF(AND(COUNT(H1305:H1316)=3,COUNT(F1305:F1316)=3),cubic_spline(F1304:F1307,H1304:H1307,B$5),IF(AND(COUNT(H1305:H1316)=4,COUNT(F1305:F1316)=4),cubic_spline(F1304:F1308,H1304:H1308,B$5),IF(AND(COUNT(H1305:H1316)=5,COUNT(F1305:F1316)=5),cubic_spline(F1304:F1309,H1304:H1309,B$5),IF(AND(COUNT(H1305:H1316)=6,COUNT(F1305:F1316)=6),cubic_spline(F1304:F1310,H1304:H1310,B$5),IF(AND(COUNT(H1305:H1316)=7,COUNT(F1305:F1316)=7),cubic_spline(F1304:F1311,H1304:H1311,B$5),IF(AND(COUNT(H1305:H1316)=8,COUNT(F1305:F1316)=8),cubic_spline(F1304:F1312,H1304:H1312,B$5),IF(AND(COUNT(H1305:H1316)=9,COUNT(F1305:F1316)=9),cubic_spline(F1304:F1313,H1304:H1313,B$5),IF(AND(COUNT(H1305:H1316)=10,COUNT(F1305:F1316)=10),cubic_spline(F1304:F1314,H1304:H1314,B$5),IF(AND(COUNT(H1305:H1316)=11,COUNT(F1305:F1316)=11),cubic_spline(F1304:F1315,H1304:H1315,B$5),IF(AND(COUNT(H1305:H1316)=12,COUNT(F1305:F1316)=12),cubic_spline(F1304:F1316,H1304:H1316,B$5),""))))))))))))</f>
        <v/>
      </c>
      <c r="K1308" s="52" t="str">
        <f>IF(N(B$5)=0,"",IF(AND(COUNT(A1305:A1316)=2,COUNT(F1305:F1316)=2),cubic_spline(F1304:F1306,A1304:A1306,B$5),IF(AND(COUNT(A1305:A1316)=3,COUNT(F1305:F1316)=3),cubic_spline(F1304:F1307,A1304:A1307,B$5),IF(AND(COUNT(A1305:A1316)=4,COUNT(F1305:F1316)=4),cubic_spline(F1304:F1308,A1304:A1308,B$5),IF(AND(COUNT(A1305:A1316)=5,COUNT(F1305:F1316)=5),cubic_spline(F1304:F1309,A1304:A1309,B$5),IF(AND(COUNT(A1305:A1316)=6,COUNT(F1305:F1316)=6),cubic_spline(F1304:F1310,A1304:A1310,B$5),IF(AND(COUNT(A1305:A1316)=7,COUNT(F1305:F1316)=7),cubic_spline(F1304:F1311,A1304:A1311,B$5),IF(AND(COUNT(A1305:A1316)=8,COUNT(F1305:F1316)=8),cubic_spline(F1304:F1312,A1304:A1312,B$5),IF(AND(COUNT(A1305:A1316)=9,COUNT(F1305:F1316)=9),cubic_spline(F1304:F1313,A1304:A1313,B$5),IF(AND(COUNT(A1305:A1316)=10,COUNT(F1305:F1316)=10),cubic_spline(F1304:F1314,A1304:A1314,B$5),IF(AND(COUNT(A1305:A1316)=11,COUNT(F1305:F1316)=11),cubic_spline(F1304:F1315,A1304:A1315,B$5),IF(AND(COUNT(A1305:A1316)=12,COUNT(F1305:F1316)=12),cubic_spline(F1304:F1316,A1304:A1316,B$5),""))))))))))))</f>
        <v/>
      </c>
      <c r="L1308" s="27" t="str">
        <f>IF(I1308="","",B$4&amp;"-"&amp;B$5)</f>
        <v/>
      </c>
      <c r="M1308" s="27" t="str">
        <f>IF(N(J1308)=0,"",J1308-J1307)</f>
        <v/>
      </c>
    </row>
    <row r="1309" spans="1:13" x14ac:dyDescent="0.35">
      <c r="A1309" s="48"/>
      <c r="B1309" s="48"/>
      <c r="C1309" s="50"/>
      <c r="D1309" s="50"/>
      <c r="E1309" s="51" t="str">
        <f t="shared" si="498"/>
        <v/>
      </c>
      <c r="F1309" s="71" t="str">
        <f t="shared" si="496"/>
        <v/>
      </c>
      <c r="G1309" s="69" t="str">
        <f t="shared" si="499"/>
        <v/>
      </c>
      <c r="H1309" s="70" t="str">
        <f t="shared" si="497"/>
        <v/>
      </c>
      <c r="I1309" s="27" t="str">
        <f>IF(N(J1309)=0,"",0&amp;"-"&amp;B$6)</f>
        <v/>
      </c>
      <c r="J1309" s="27" t="str">
        <f>IF(N(B$6)=0,"",IF(AND(COUNT(H1305:H1316)=2,COUNT(F1305:F1316)=2),cubic_spline(F1304:F1306,H1304:H1306,B$6),IF(AND(COUNT(H1305:H1316)=3,COUNT(F1305:F1316)=3),cubic_spline(F1304:F1307,H1304:H1307,B$6),IF(AND(COUNT(H1305:H1316)=4,COUNT(F1305:F1316)=4),cubic_spline(F1304:F1308,H1304:H1308,B$6),IF(AND(COUNT(H1305:H1316)=5,COUNT(F1305:F1316)=5),cubic_spline(F1304:F1309,H1304:H1309,B$6),IF(AND(COUNT(H1305:H1316)=6,COUNT(F1305:F1316)=6),cubic_spline(F1304:F1310,H1304:H1310,B$6),IF(AND(COUNT(H1305:H1316)=7,COUNT(F1305:F1316)=7),cubic_spline(F1304:F1311,H1304:H1311,B$6),IF(AND(COUNT(H1305:H1316)=8,COUNT(F1305:F1316)=8),cubic_spline(F1304:F1312,H1304:H1312,B$6),IF(AND(COUNT(H1305:H1316)=9,COUNT(F1305:F1316)=9),cubic_spline(F1304:F1313,H1304:H1313,B$6),IF(AND(COUNT(H1305:H1316)=10,COUNT(F1305:F1316)=10),cubic_spline(F1304:F1314,H1304:H1314,B$6),IF(AND(COUNT(H1305:H1316)=11,COUNT(F1305:F1316)=11),cubic_spline(F1304:F1315,H1304:H1315,B$6),IF(AND(COUNT(H1305:H1316)=12,COUNT(F1305:F1316)=12),cubic_spline(F1304:F1316,H1304:H1316,B$6),""))))))))))))</f>
        <v/>
      </c>
      <c r="K1309" s="52" t="str">
        <f>IF(N(B$6)=0,"",IF(AND(COUNT(A1305:A1316)=2,COUNT(F1305:F1316)=2),cubic_spline(F1304:F1306,A1304:A1306,B$6),IF(AND(COUNT(A1305:A1316)=3,COUNT(F1305:F1316)=3),cubic_spline(F1304:F1307,A1304:A1307,B$6),IF(AND(COUNT(A1305:A1316)=4,COUNT(F1305:F1316)=4),cubic_spline(F1304:F1308,A1304:A1308,B$6),IF(AND(COUNT(A1305:A1316)=5,COUNT(F1305:F1316)=5),cubic_spline(F1304:F1309,A1304:A1309,B$6),IF(AND(COUNT(A1305:A1316)=6,COUNT(F1305:F1316)=6),cubic_spline(F1304:F1310,A1304:A1310,B$6),IF(AND(COUNT(A1305:A1316)=7,COUNT(F1305:F1316)=7),cubic_spline(F1304:F1311,A1304:A1311,B$6),IF(AND(COUNT(A1305:A1316)=8,COUNT(F1305:F1316)=8),cubic_spline(F1304:F1312,A1304:A1312,B$6),IF(AND(COUNT(A1305:A1316)=9,COUNT(F1305:F1316)=9),cubic_spline(F1304:F1313,A1304:A1313,B$6),IF(AND(COUNT(A1305:A1316)=10,COUNT(F1305:F1316)=10),cubic_spline(F1304:F1314,A1304:A1314,B$6),IF(AND(COUNT(A1305:A1316)=11,COUNT(F1305:F1316)=11),cubic_spline(F1304:F1315,A1304:A1315,B$6),IF(AND(COUNT(A1305:A1316)=12,COUNT(F1305:F1316)=12),cubic_spline(F1304:F1316,A1304:A1316,B$6),""))))))))))))</f>
        <v/>
      </c>
      <c r="L1309" s="27" t="str">
        <f>IF(I1309="","",B$5&amp;"-"&amp;B$6)</f>
        <v/>
      </c>
      <c r="M1309" s="27" t="str">
        <f>IF(N(J1309)=0,"",J1309-J1308)</f>
        <v/>
      </c>
    </row>
    <row r="1310" spans="1:13" x14ac:dyDescent="0.35">
      <c r="A1310" s="48"/>
      <c r="B1310" s="48"/>
      <c r="C1310" s="50"/>
      <c r="D1310" s="50"/>
      <c r="E1310" s="51" t="str">
        <f t="shared" si="498"/>
        <v/>
      </c>
      <c r="F1310" s="71" t="str">
        <f t="shared" si="496"/>
        <v/>
      </c>
      <c r="G1310" s="69" t="str">
        <f t="shared" si="499"/>
        <v/>
      </c>
      <c r="H1310" s="70" t="str">
        <f t="shared" si="497"/>
        <v/>
      </c>
      <c r="I1310" s="27" t="str">
        <f>IF(N(J1310)=0,"",0&amp;"-"&amp;B$7)</f>
        <v/>
      </c>
      <c r="J1310" s="27" t="str">
        <f>IF(N(B$7)=0,"",IF(AND(COUNT(H1305:H1316)=2,COUNT(F1305:F1316)=2),cubic_spline(F1304:F1306,H1304:H1306,B$7),IF(AND(COUNT(H1305:H1316)=3,COUNT(F1305:F1316)=3),cubic_spline(F1304:F1307,H1304:H1307,B$7),IF(AND(COUNT(H1305:H1316)=4,COUNT(F1305:F1316)=4),cubic_spline(F1304:F1308,H1304:H1308,B$7),IF(AND(COUNT(H1305:H1316)=5,COUNT(F1305:F1316)=5),cubic_spline(F1304:F1309,H1304:H1309,B$7),IF(AND(COUNT(H1305:H1316)=6,COUNT(F1305:F1316)=6),cubic_spline(F1304:F1310,H1304:H1310,B$7),IF(AND(COUNT(H1305:H1316)=7,COUNT(F1305:F1316)=7),cubic_spline(F1304:F1311,H1304:H1311,B$7),IF(AND(COUNT(H1305:H1316)=8,COUNT(F1305:F1316)=8),cubic_spline(F1304:F1312,H1304:H1312,B$7),IF(AND(COUNT(H1305:H1316)=9,COUNT(F1305:F1316)=9),cubic_spline(F1304:F1313,H1304:H1313,B$7),IF(AND(COUNT(H1305:H1316)=10,COUNT(F1305:F1316)=10),cubic_spline(F1304:F1314,H1304:H1314,B$7),IF(AND(COUNT(H1305:H1316)=11,COUNT(F1305:F1316)=11),cubic_spline(F1304:F1315,H1304:H1315,B$7),IF(AND(COUNT(H1305:H1316)=12,COUNT(F1305:F1316)=12),cubic_spline(F1304:F1316,H1304:H1316,B$7),""))))))))))))</f>
        <v/>
      </c>
      <c r="K1310" s="52" t="str">
        <f>IF(N(B$7)=0,"",IF(AND(COUNT(A1305:A1316)=2,COUNT(F1305:F1316)=2),cubic_spline(F1304:F1306,A1304:A1306,B$7),IF(AND(COUNT(A1305:A1316)=3,COUNT(F1305:F1316)=3),cubic_spline(F1304:F1307,A1304:A1307,B$7),IF(AND(COUNT(A1305:A1316)=4,COUNT(F1305:F1316)=4),cubic_spline(F1304:F1308,A1304:A1308,B$7),IF(AND(COUNT(A1305:A1316)=5,COUNT(F1305:F1316)=5),cubic_spline(F1304:F1309,A1304:A1309,B$7),IF(AND(COUNT(A1305:A1316)=6,COUNT(F1305:F1316)=6),cubic_spline(F1304:F1310,A1304:A1310,B$7),IF(AND(COUNT(A1305:A1316)=7,COUNT(F1305:F1316)=7),cubic_spline(F1304:F1311,A1304:A1311,B$7),IF(AND(COUNT(A1305:A1316)=8,COUNT(F1305:F1316)=8),cubic_spline(F1304:F1312,A1304:A1312,B$7),IF(AND(COUNT(A1305:A1316)=9,COUNT(F1305:F1316)=9),cubic_spline(F1304:F1313,A1304:A1313,B$7),IF(AND(COUNT(A1305:A1316)=10,COUNT(F1305:F1316)=10),cubic_spline(F1304:F1314,A1304:A1314,B$7),IF(AND(COUNT(A1305:A1316)=11,COUNT(F1305:F1316)=11),cubic_spline(F1304:F1315,A1304:A1315,B$7),IF(AND(COUNT(A1305:A1316)=12,COUNT(F1305:F1316)=12),cubic_spline(F1304:F1316,A1304:A1316,B$7),""))))))))))))</f>
        <v/>
      </c>
      <c r="L1310" s="27" t="str">
        <f>IF(I1310="","",B$6&amp;"-"&amp;B$7)</f>
        <v/>
      </c>
      <c r="M1310" s="27" t="str">
        <f t="shared" ref="M1310:M1316" si="500">IF(N(J1310)=0,"",J1310-J1309)</f>
        <v/>
      </c>
    </row>
    <row r="1311" spans="1:13" x14ac:dyDescent="0.35">
      <c r="A1311" s="48"/>
      <c r="B1311" s="48"/>
      <c r="C1311" s="50"/>
      <c r="D1311" s="50"/>
      <c r="E1311" s="51" t="str">
        <f t="shared" si="498"/>
        <v/>
      </c>
      <c r="F1311" s="71" t="str">
        <f t="shared" si="496"/>
        <v/>
      </c>
      <c r="G1311" s="69" t="str">
        <f t="shared" si="499"/>
        <v/>
      </c>
      <c r="H1311" s="70" t="str">
        <f t="shared" si="497"/>
        <v/>
      </c>
      <c r="I1311" s="27" t="str">
        <f>IF(N(J1311)=0,"",0&amp;"-"&amp;B$8)</f>
        <v/>
      </c>
      <c r="J1311" s="27" t="str">
        <f>IF(N(B$8)=0,"",IF(AND(COUNT(H1305:H1316)=2,COUNT(F1305:F1316)=2),cubic_spline(F1304:F1306,H1304:H1306,B$8),IF(AND(COUNT(H1305:H1316)=3,COUNT(F1305:F1316)=3),cubic_spline(F1304:F1307,H1304:H1307,B$8),IF(AND(COUNT(H1305:H1316)=4,COUNT(F1305:F1316)=4),cubic_spline(F1304:F1308,H1304:H1308,B$8),IF(AND(COUNT(H1305:H1316)=5,COUNT(F1305:F1316)=5),cubic_spline(F1304:F1309,H1304:H1309,B$8),IF(AND(COUNT(H1305:H1316)=6,COUNT(F1305:F1316)=6),cubic_spline(F1304:F1310,H1304:H1310,B$8),IF(AND(COUNT(H1305:H1316)=7,COUNT(F1305:F1316)=7),cubic_spline(F1304:F1311,H1304:H1311,B$8),IF(AND(COUNT(H1305:H1316)=8,COUNT(F1305:F1316)=8),cubic_spline(F1304:F1312,H1304:H1312,B$8),IF(AND(COUNT(H1305:H1316)=9,COUNT(F1305:F1316)=9),cubic_spline(F1304:F1313,H1304:H1313,B$8),IF(AND(COUNT(H1305:H1316)=10,COUNT(F1305:F1316)=10),cubic_spline(F1304:F1314,H1304:H1314,B$8),IF(AND(COUNT(H1305:H1316)=11,COUNT(F1305:F1316)=11),cubic_spline(F1304:F1315,H1304:H1315,B$8),IF(AND(COUNT(H1305:H1316)=12,COUNT(F1305:F1316)=12),cubic_spline(F1304:F1316,H1304:H1316,B$8),""))))))))))))</f>
        <v/>
      </c>
      <c r="K1311" s="52" t="str">
        <f>IF(N(B$8)=0,"",IF(AND(COUNT(A1305:A1316)=2,COUNT(F1305:F1316)=2),cubic_spline(F1304:F1306,A1304:A1306,B$8),IF(AND(COUNT(A1305:A1316)=3,COUNT(F1305:F1316)=3),cubic_spline(F1304:F1307,A1304:A1307,B$8),IF(AND(COUNT(A1305:A1316)=4,COUNT(F1305:F1316)=4),cubic_spline(F1304:F1308,A1304:A1308,B$8),IF(AND(COUNT(A1305:A1316)=5,COUNT(F1305:F1316)=5),cubic_spline(F1304:F1309,A1304:A1309,B$8),IF(AND(COUNT(A1305:A1316)=6,COUNT(F1305:F1316)=6),cubic_spline(F1304:F1310,A1304:A1310,B$8),IF(AND(COUNT(A1305:A1316)=7,COUNT(F1305:F1316)=7),cubic_spline(F1304:F1311,A1304:A1311,B$8),IF(AND(COUNT(A1305:A1316)=8,COUNT(F1305:F1316)=8),cubic_spline(F1304:F1312,A1304:A1312,B$8),IF(AND(COUNT(A1305:A1316)=9,COUNT(F1305:F1316)=9),cubic_spline(F1304:F1313,A1304:A1313,B$8),IF(AND(COUNT(A1305:A1316)=10,COUNT(F1305:F1316)=10),cubic_spline(F1304:F1314,A1304:A1314,B$8),IF(AND(COUNT(A1305:A1316)=11,COUNT(F1305:F1316)=11),cubic_spline(F1304:F1315,A1304:A1315,B$8),IF(AND(COUNT(A1305:A1316)=12,COUNT(F1305:F1316)=12),cubic_spline(F1304:F1316,A1304:A1316,B$8),""))))))))))))</f>
        <v/>
      </c>
      <c r="L1311" s="27" t="str">
        <f>IF(I1311="","",B$7&amp;"-"&amp;B$8)</f>
        <v/>
      </c>
      <c r="M1311" s="27" t="str">
        <f t="shared" si="500"/>
        <v/>
      </c>
    </row>
    <row r="1312" spans="1:13" x14ac:dyDescent="0.35">
      <c r="A1312" s="48"/>
      <c r="B1312" s="48"/>
      <c r="C1312" s="50"/>
      <c r="D1312" s="50"/>
      <c r="E1312" s="51" t="str">
        <f t="shared" si="498"/>
        <v/>
      </c>
      <c r="F1312" s="71" t="str">
        <f t="shared" si="496"/>
        <v/>
      </c>
      <c r="G1312" s="69" t="str">
        <f t="shared" si="499"/>
        <v/>
      </c>
      <c r="H1312" s="70" t="str">
        <f t="shared" si="497"/>
        <v/>
      </c>
      <c r="I1312" s="27" t="str">
        <f>IF(N(J1312)=0,"",0&amp;"-"&amp;B$9)</f>
        <v/>
      </c>
      <c r="J1312" s="27" t="str">
        <f>IF(N(B$9)=0,"",IF(AND(COUNT(H1305:H1316)=2,COUNT(F1305:F1316)=2),cubic_spline(F1304:F1306,H1304:H1306,B$9),IF(AND(COUNT(H1305:H1316)=3,COUNT(F1305:F1316)=3),cubic_spline(F1304:F1307,H1304:H1307,B$9),IF(AND(COUNT(H1305:H1316)=4,COUNT(F1305:F1316)=4),cubic_spline(F1304:F1308,H1304:H1308,B$9),IF(AND(COUNT(H1305:H1316)=5,COUNT(F1305:F1316)=5),cubic_spline(F1304:F1309,H1304:H1309,B$9),IF(AND(COUNT(H1305:H1316)=6,COUNT(F1305:F1316)=6),cubic_spline(F1304:F1310,H1304:H1310,B$9),IF(AND(COUNT(H1305:H1316)=7,COUNT(F1305:F1316)=7),cubic_spline(F1304:F1311,H1304:H1311,B$9),IF(AND(COUNT(H1305:H1316)=8,COUNT(F1305:F1316)=8),cubic_spline(F1304:F1312,H1304:H1312,B$9),IF(AND(COUNT(H1305:H1316)=9,COUNT(F1305:F1316)=9),cubic_spline(F1304:F1313,H1304:H1313,B$9),IF(AND(COUNT(H1305:H1316)=10,COUNT(F1305:F1316)=10),cubic_spline(F1304:F1314,H1304:H1314,B$9),IF(AND(COUNT(H1305:H1316)=11,COUNT(F1305:F1316)=11),cubic_spline(F1304:F1315,H1304:H1315,B$9),IF(AND(COUNT(H1305:H1316)=12,COUNT(F1305:F1316)=12),cubic_spline(F1304:F1316,H1304:H1316,B$9),""))))))))))))</f>
        <v/>
      </c>
      <c r="K1312" s="52" t="str">
        <f>IF(N(B$9)=0,"",IF(AND(COUNT(A1305:A1316)=2,COUNT(F1305:F1316)=2),cubic_spline(F1304:F1306,A1304:A1306,B$9),IF(AND(COUNT(A1305:A1316)=3,COUNT(F1305:F1316)=3),cubic_spline(F1304:F1307,A1304:A1307,B$9),IF(AND(COUNT(A1305:A1316)=4,COUNT(F1305:F1316)=4),cubic_spline(F1304:F1308,A1304:A1308,B$9),IF(AND(COUNT(A1305:A1316)=5,COUNT(F1305:F1316)=5),cubic_spline(F1304:F1309,A1304:A1309,B$9),IF(AND(COUNT(A1305:A1316)=6,COUNT(F1305:F1316)=6),cubic_spline(F1304:F1310,A1304:A1310,B$9),IF(AND(COUNT(A1305:A1316)=7,COUNT(F1305:F1316)=7),cubic_spline(F1304:F1311,A1304:A1311,B$9),IF(AND(COUNT(A1305:A1316)=8,COUNT(F1305:F1316)=8),cubic_spline(F1304:F1312,A1304:A1312,B$9),IF(AND(COUNT(A1305:A1316)=9,COUNT(F1305:F1316)=9),cubic_spline(F1304:F1313,A1304:A1313,B$9),IF(AND(COUNT(A1305:A1316)=10,COUNT(F1305:F1316)=10),cubic_spline(F1304:F1314,A1304:A1314,B$9),IF(AND(COUNT(A1305:A1316)=11,COUNT(F1305:F1316)=11),cubic_spline(F1304:F1315,A1304:A1315,B$9),IF(AND(COUNT(A1305:A1316)=12,COUNT(F1305:F1316)=12),cubic_spline(F1304:F1316,A1304:A1316,B$9),""))))))))))))</f>
        <v/>
      </c>
      <c r="L1312" s="27" t="str">
        <f>IF(I1312="","",B$8&amp;"-"&amp;B$9)</f>
        <v/>
      </c>
      <c r="M1312" s="27" t="str">
        <f t="shared" si="500"/>
        <v/>
      </c>
    </row>
    <row r="1313" spans="1:13" x14ac:dyDescent="0.35">
      <c r="A1313" s="48"/>
      <c r="B1313" s="48"/>
      <c r="C1313" s="50"/>
      <c r="D1313" s="50"/>
      <c r="E1313" s="51" t="str">
        <f t="shared" si="498"/>
        <v/>
      </c>
      <c r="F1313" s="71" t="str">
        <f t="shared" si="496"/>
        <v/>
      </c>
      <c r="G1313" s="69" t="str">
        <f t="shared" si="499"/>
        <v/>
      </c>
      <c r="H1313" s="70" t="str">
        <f t="shared" si="497"/>
        <v/>
      </c>
      <c r="I1313" s="27" t="str">
        <f>IF(N(J1313)=0,"",0&amp;"-"&amp;B$10)</f>
        <v/>
      </c>
      <c r="J1313" s="27" t="str">
        <f>IF(N(B$10)=0,"",IF(AND(COUNT(H1305:H1316)=2,COUNT(F1305:F1316)=2),cubic_spline(F1304:F1306,H1304:H1306,B$10),IF(AND(COUNT(H1305:H1316)=3,COUNT(F1305:F1316)=3),cubic_spline(F1304:F1307,H1304:H1307,B$10),IF(AND(COUNT(H1305:H1316)=4,COUNT(F1305:F1316)=4),cubic_spline(F1304:F1308,H1304:H1308,B$10),IF(AND(COUNT(H1305:H1316)=5,COUNT(F1305:F1316)=5),cubic_spline(F1304:F1309,H1304:H1309,B$10),IF(AND(COUNT(H1305:H1316)=6,COUNT(F1305:F1316)=6),cubic_spline(F1304:F1310,H1304:H1310,B$10),IF(AND(COUNT(H1305:H1316)=7,COUNT(F1305:F1316)=7),cubic_spline(F1304:F1311,H1304:H1311,B$10),IF(AND(COUNT(H1305:H1316)=8,COUNT(F1305:F1316)=8),cubic_spline(F1304:F1312,H1304:H1312,B$10),IF(AND(COUNT(H1305:H1316)=9,COUNT(F1305:F1316)=9),cubic_spline(F1304:F1313,H1304:H1313,B$10),IF(AND(COUNT(H1305:H1316)=10,COUNT(F1305:F1316)=10),cubic_spline(F1304:F1314,H1304:H1314,B$10),IF(AND(COUNT(H1305:H1316)=11,COUNT(F1305:F1316)=11),cubic_spline(F1304:F1315,H1304:H1315,B$10),IF(AND(COUNT(H1305:H1316)=12,COUNT(F1305:F1316)=12),cubic_spline(F1304:F1316,H1304:H1316,B$10),""))))))))))))</f>
        <v/>
      </c>
      <c r="K1313" s="52" t="str">
        <f>IF(N(B$10)=0,"",IF(AND(COUNT(A1305:A1316)=2,COUNT(F1305:F1316)=2),cubic_spline(F1304:F1306,A1304:A1306,B$10),IF(AND(COUNT(A1305:A1316)=3,COUNT(F1305:F1316)=3),cubic_spline(F1304:F1307,A1304:A1307,B$10),IF(AND(COUNT(A1305:A1316)=4,COUNT(F1305:F1316)=4),cubic_spline(F1304:F1308,A1304:A1308,B$10),IF(AND(COUNT(A1305:A1316)=5,COUNT(F1305:F1316)=5),cubic_spline(F1304:F1309,A1304:A1309,B$10),IF(AND(COUNT(A1305:A1316)=6,COUNT(F1305:F1316)=6),cubic_spline(F1304:F1310,A1304:A1310,B$10),IF(AND(COUNT(A1305:A1316)=7,COUNT(F1305:F1316)=7),cubic_spline(F1304:F1311,A1304:A1311,B$10),IF(AND(COUNT(A1305:A1316)=8,COUNT(F1305:F1316)=8),cubic_spline(F1304:F1312,A1304:A1312,B$10),IF(AND(COUNT(A1305:A1316)=9,COUNT(F1305:F1316)=9),cubic_spline(F1304:F1313,A1304:A1313,B$10),IF(AND(COUNT(A1305:A1316)=10,COUNT(F1305:F1316)=10),cubic_spline(F1304:F1314,A1304:A1314,B$10),IF(AND(COUNT(A1305:A1316)=11,COUNT(F1305:F1316)=11),cubic_spline(F1304:F1315,A1304:A1315,B$10),IF(AND(COUNT(A1305:A1316)=12,COUNT(F1305:F1316)=12),cubic_spline(F1304:F1316,A1304:A1316,B$10),""))))))))))))</f>
        <v/>
      </c>
      <c r="L1313" s="27" t="str">
        <f>IF(I1313="","",B$9&amp;"-"&amp;B$10)</f>
        <v/>
      </c>
      <c r="M1313" s="27" t="str">
        <f t="shared" si="500"/>
        <v/>
      </c>
    </row>
    <row r="1314" spans="1:13" x14ac:dyDescent="0.35">
      <c r="A1314" s="48"/>
      <c r="B1314" s="48"/>
      <c r="C1314" s="50"/>
      <c r="D1314" s="50"/>
      <c r="E1314" s="51" t="str">
        <f t="shared" si="498"/>
        <v/>
      </c>
      <c r="F1314" s="71" t="str">
        <f t="shared" si="496"/>
        <v/>
      </c>
      <c r="G1314" s="69" t="str">
        <f t="shared" si="499"/>
        <v/>
      </c>
      <c r="H1314" s="70" t="str">
        <f t="shared" si="497"/>
        <v/>
      </c>
      <c r="I1314" s="27" t="str">
        <f>IF(N(J1314)=0,"",0&amp;"-"&amp;B$11)</f>
        <v/>
      </c>
      <c r="J1314" s="27" t="str">
        <f>IF(N(B$11)=0,"",IF(AND(COUNT(H1305:H1316)=2,COUNT(F1305:F1316)=2),cubic_spline(F1304:F1306,H1304:H1306,B$11),IF(AND(COUNT(H1305:H1316)=3,COUNT(F1305:F1316)=3),cubic_spline(F1304:F1307,H1304:H1307,B$11),IF(AND(COUNT(H1305:H1316)=4,COUNT(F1305:F1316)=4),cubic_spline(F1304:F1308,H1304:H1308,B$11),IF(AND(COUNT(H1305:H1316)=5,COUNT(F1305:F1316)=5),cubic_spline(F1304:F1309,H1304:H1309,B$11),IF(AND(COUNT(H1305:H1316)=6,COUNT(F1305:F1316)=6),cubic_spline(F1304:F1310,H1304:H1310,B$11),IF(AND(COUNT(H1305:H1316)=7,COUNT(F1305:F1316)=7),cubic_spline(F1304:F1311,H1304:H1311,B$11),IF(AND(COUNT(H1305:H1316)=8,COUNT(F1305:F1316)=8),cubic_spline(F1304:F1312,H1304:H1312,B$11),IF(AND(COUNT(H1305:H1316)=9,COUNT(F1305:F1316)=9),cubic_spline(F1304:F1313,H1304:H1313,B$11),IF(AND(COUNT(H1305:H1316)=10,COUNT(F1305:F1316)=10),cubic_spline(F1304:F1314,H1304:H1314,B$11),IF(AND(COUNT(H1305:H1316)=11,COUNT(F1305:F1316)=11),cubic_spline(F1304:F1315,H1304:H1315,B$11),IF(AND(COUNT(H1305:H1316)=12,COUNT(F1305:F1316)=12),cubic_spline(F1304:F1316,H1304:H1316,B$11),""))))))))))))</f>
        <v/>
      </c>
      <c r="K1314" s="52" t="str">
        <f>IF(N(B$11)=0,"",IF(AND(COUNT(A1305:A1316)=2,COUNT(F1305:F1316)=2),cubic_spline(F1304:F1306,A1304:A1306,B$11),IF(AND(COUNT(A1305:A1316)=3,COUNT(F1305:F1316)=3),cubic_spline(F1304:F1307,A1304:A1307,B$11),IF(AND(COUNT(A1305:A1316)=4,COUNT(F1305:F1316)=4),cubic_spline(F1304:F1308,A1304:A1308,B$11),IF(AND(COUNT(A1305:A1316)=5,COUNT(F1305:F1316)=5),cubic_spline(F1304:F1309,A1304:A1309,B$11),IF(AND(COUNT(A1305:A1316)=6,COUNT(F1305:F1316)=6),cubic_spline(F1304:F1310,A1304:A1310,B$11),IF(AND(COUNT(A1305:A1316)=7,COUNT(F1305:F1316)=7),cubic_spline(F1304:F1311,A1304:A1311,B$11),IF(AND(COUNT(A1305:A1316)=8,COUNT(F1305:F1316)=8),cubic_spline(F1304:F1312,A1304:A1312,B$11),IF(AND(COUNT(A1305:A1316)=9,COUNT(F1305:F1316)=9),cubic_spline(F1304:F1313,A1304:A1313,B$11),IF(AND(COUNT(A1305:A1316)=10,COUNT(F1305:F1316)=10),cubic_spline(F1304:F1314,A1304:A1314,B$11),IF(AND(COUNT(A1305:A1316)=11,COUNT(F1305:F1316)=11),cubic_spline(F1304:F1315,A1304:A1315,B$11),IF(AND(COUNT(A1305:A1316)=12,COUNT(F1305:F1316)=12),cubic_spline(F1304:F1316,A1304:A1316,B$11),""))))))))))))</f>
        <v/>
      </c>
      <c r="L1314" s="27" t="str">
        <f>IF(I1314="","",B$10&amp;"-"&amp;B$11)</f>
        <v/>
      </c>
      <c r="M1314" s="27" t="str">
        <f t="shared" si="500"/>
        <v/>
      </c>
    </row>
    <row r="1315" spans="1:13" x14ac:dyDescent="0.35">
      <c r="A1315" s="48"/>
      <c r="B1315" s="48"/>
      <c r="C1315" s="50"/>
      <c r="D1315" s="50"/>
      <c r="E1315" s="51" t="str">
        <f t="shared" si="498"/>
        <v/>
      </c>
      <c r="F1315" s="71" t="str">
        <f t="shared" si="496"/>
        <v/>
      </c>
      <c r="G1315" s="69" t="str">
        <f t="shared" si="499"/>
        <v/>
      </c>
      <c r="H1315" s="70" t="str">
        <f t="shared" si="497"/>
        <v/>
      </c>
      <c r="I1315" s="27" t="str">
        <f>IF(N(J1315)=0,"",0&amp;"-"&amp;B$12)</f>
        <v/>
      </c>
      <c r="J1315" s="27" t="str">
        <f>IF(N(B$12)=0,"",IF(AND(COUNT(H1305:H1316)=2,COUNT(F1305:F1316)=2),cubic_spline(F1304:F1306,H1304:H1306,B$12),IF(AND(COUNT(H1305:H1316)=3,COUNT(F1305:F1316)=3),cubic_spline(F1304:F1307,H1304:H1307,B$12),IF(AND(COUNT(H1305:H1316)=4,COUNT(F1305:F1316)=4),cubic_spline(F1304:F1308,H1304:H1308,B$12),IF(AND(COUNT(H1305:H1316)=5,COUNT(F1305:F1316)=5),cubic_spline(F1304:F1309,H1304:H1309,B$12),IF(AND(COUNT(H1305:H1316)=6,COUNT(F1305:F1316)=6),cubic_spline(F1304:F1310,H1304:H1310,B$12),IF(AND(COUNT(H1305:H1316)=7,COUNT(F1305:F1316)=7),cubic_spline(F1304:F1311,H1304:H1311,B$12),IF(AND(COUNT(H1305:H1316)=8,COUNT(F1305:F1316)=8),cubic_spline(F1304:F1312,H1304:H1312,B$12),IF(AND(COUNT(H1305:H1316)=9,COUNT(F1305:F1316)=9),cubic_spline(F1304:F1313,H1304:H1313,B$12),IF(AND(COUNT(H1305:H1316)=10,COUNT(F1305:F1316)=10),cubic_spline(F1304:F1314,H1304:H1314,B$12),IF(AND(COUNT(H1305:H1316)=11,COUNT(F1305:F1316)=11),cubic_spline(F1304:F1315,H1304:H1315,B$12),IF(AND(COUNT(H1305:H1316)=12,COUNT(F1305:F1316)=12),cubic_spline(F1304:F1316,H1304:H1316,B$12),""))))))))))))</f>
        <v/>
      </c>
      <c r="K1315" s="52" t="str">
        <f>IF(N(B$12)=0,"",IF(AND(COUNT(A1305:A1316)=2,COUNT(F1305:F1316)=2),cubic_spline(F1304:F1306,A1304:A1306,B$12),IF(AND(COUNT(A1305:A1316)=3,COUNT(F1305:F1316)=3),cubic_spline(F1304:F1307,A1304:A1307,B$12),IF(AND(COUNT(A1305:A1316)=4,COUNT(F1305:F1316)=4),cubic_spline(F1304:F1308,A1304:A1308,B$12),IF(AND(COUNT(A1305:A1316)=5,COUNT(F1305:F1316)=5),cubic_spline(F1304:F1309,A1304:A1309,B$12),IF(AND(COUNT(A1305:A1316)=6,COUNT(F1305:F1316)=6),cubic_spline(F1304:F1310,A1304:A1310,B$12),IF(AND(COUNT(A1305:A1316)=7,COUNT(F1305:F1316)=7),cubic_spline(F1304:F1311,A1304:A1311,B$12),IF(AND(COUNT(A1305:A1316)=8,COUNT(F1305:F1316)=8),cubic_spline(F1304:F1312,A1304:A1312,B$12),IF(AND(COUNT(A1305:A1316)=9,COUNT(F1305:F1316)=9),cubic_spline(F1304:F1313,A1304:A1313,B$12),IF(AND(COUNT(A1305:A1316)=10,COUNT(F1305:F1316)=10),cubic_spline(F1304:F1314,A1304:A1314,B$12),IF(AND(COUNT(A1305:A1316)=11,COUNT(F1305:F1316)=11),cubic_spline(F1304:F1315,A1304:A1315,B$12),IF(AND(COUNT(A1305:A1316)=12,COUNT(F1305:F1316)=12),cubic_spline(F1304:F1316,A1304:A1316,B$12),""))))))))))))</f>
        <v/>
      </c>
      <c r="L1315" s="27" t="str">
        <f>IF(I1315="","",B$11&amp;"-"&amp;B$12)</f>
        <v/>
      </c>
      <c r="M1315" s="27" t="str">
        <f t="shared" si="500"/>
        <v/>
      </c>
    </row>
    <row r="1316" spans="1:13" x14ac:dyDescent="0.35">
      <c r="A1316" s="48"/>
      <c r="B1316" s="48"/>
      <c r="C1316" s="50"/>
      <c r="D1316" s="50"/>
      <c r="E1316" s="51" t="str">
        <f t="shared" si="498"/>
        <v/>
      </c>
      <c r="F1316" s="71" t="str">
        <f t="shared" si="496"/>
        <v/>
      </c>
      <c r="G1316" s="69" t="str">
        <f t="shared" si="499"/>
        <v/>
      </c>
      <c r="H1316" s="70" t="str">
        <f t="shared" si="497"/>
        <v/>
      </c>
      <c r="I1316" s="27" t="str">
        <f>IF(N(J1316)=0,"",0&amp;"-"&amp;B$13)</f>
        <v/>
      </c>
      <c r="J1316" s="27" t="str">
        <f>IF(N(B$13)=0,"",IF(AND(COUNT(H1305:H1316)=2,COUNT(F1305:F1316)=2),cubic_spline(F1304:F1306,H1304:H1306,B$13),IF(AND(COUNT(H1305:H1316)=3,COUNT(F1305:F1316)=3),cubic_spline(F1304:F1307,H1304:H1307,B$13),IF(AND(COUNT(H1305:H1316)=4,COUNT(F1305:F1316)=4),cubic_spline(F1304:F1308,H1304:H1308,B$13),IF(AND(COUNT(H1305:H1316)=5,COUNT(F1305:F1316)=5),cubic_spline(F1304:F1309,H1304:H1309,B$13),IF(AND(COUNT(H1305:H1316)=6,COUNT(F1305:F1316)=6),cubic_spline(F1304:F1310,H1304:H1310,B$13),IF(AND(COUNT(H1305:H1316)=7,COUNT(F1305:F1316)=7),cubic_spline(F1304:F1311,H1304:H1311,B$13),IF(AND(COUNT(H1305:H1316)=8,COUNT(F1305:F1316)=8),cubic_spline(F1304:F1312,H1304:H1312,B$13),IF(AND(COUNT(H1305:H1316)=9,COUNT(F1305:F1316)=9),cubic_spline(F1304:F1313,H1304:H1313,B$13),IF(AND(COUNT(H1305:H1316)=10,COUNT(F1305:F1316)=10),cubic_spline(F1304:F1314,H1304:H1314,B$13),IF(AND(COUNT(H1305:H1316)=11,COUNT(F1305:F1316)=11),cubic_spline(F1304:F1315,H1304:H1315,B$13),IF(AND(COUNT(H1305:H1316)=12,COUNT(F1305:F1316)=12),cubic_spline(F1304:F1316,H1304:H1316,B$13),""))))))))))))</f>
        <v/>
      </c>
      <c r="K1316" s="52" t="str">
        <f>IF(N(B$13)=0,"",IF(AND(COUNT(A1305:A1316)=2,COUNT(F1305:F1316)=2),cubic_spline(F1304:F1306,A1304:A1306,B$13),IF(AND(COUNT(A1305:A1316)=3,COUNT(F1305:F1316)=3),cubic_spline(F1304:F1307,A1304:A1307,B$13),IF(AND(COUNT(A1305:A1316)=4,COUNT(F1305:F1316)=4),cubic_spline(F1304:F1308,A1304:A1308,B$13),IF(AND(COUNT(A1305:A1316)=5,COUNT(F1305:F1316)=5),cubic_spline(F1304:F1309,A1304:A1309,B$13),IF(AND(COUNT(A1305:A1316)=6,COUNT(F1305:F1316)=6),cubic_spline(F1304:F1310,A1304:A1310,B$13),IF(AND(COUNT(A1305:A1316)=7,COUNT(F1305:F1316)=7),cubic_spline(F1304:F1311,A1304:A1311,B$13),IF(AND(COUNT(A1305:A1316)=8,COUNT(F1305:F1316)=8),cubic_spline(F1304:F1312,A1304:A1312,B$13),IF(AND(COUNT(A1305:A1316)=9,COUNT(F1305:F1316)=9),cubic_spline(F1304:F1313,A1304:A1313,B$13),IF(AND(COUNT(A1305:A1316)=10,COUNT(F1305:F1316)=10),cubic_spline(F1304:F1314,A1304:A1314,B$13),IF(AND(COUNT(A1305:A1316)=11,COUNT(F1305:F1316)=11),cubic_spline(F1304:F1315,A1304:A1315,B$13),IF(AND(COUNT(A1305:A1316)=12,COUNT(F1305:F1316)=12),cubic_spline(F1304:F1316,A1304:A1316,B$13),""))))))))))))</f>
        <v/>
      </c>
      <c r="L1316" s="27" t="str">
        <f>IF(I1316="","",B$12&amp;"-"&amp;B$13)</f>
        <v/>
      </c>
      <c r="M1316" s="27" t="str">
        <f t="shared" si="500"/>
        <v/>
      </c>
    </row>
    <row r="1317" spans="1:13" ht="5.15" customHeight="1" x14ac:dyDescent="0.35">
      <c r="A1317" s="47"/>
      <c r="B1317" s="47"/>
      <c r="C1317" s="53"/>
      <c r="D1317" s="53"/>
      <c r="E1317" s="54"/>
      <c r="F1317" s="55"/>
      <c r="G1317" s="54"/>
      <c r="H1317" s="55"/>
      <c r="I1317" s="47"/>
      <c r="J1317" s="55"/>
      <c r="K1317" s="57"/>
      <c r="L1317" s="55"/>
      <c r="M1317" s="55"/>
    </row>
  </sheetData>
  <sheetProtection sheet="1" objects="1" scenarios="1" insertColumns="0"/>
  <protectedRanges>
    <protectedRange sqref="B2:B13" name="Range4"/>
    <protectedRange sqref="A18:D1418" name="Range2"/>
    <protectedRange sqref="E1:M13" name="Range1"/>
    <protectedRange sqref="N1:AZ1048576" name="Range3"/>
  </protectedRanges>
  <mergeCells count="2">
    <mergeCell ref="A2:A6"/>
    <mergeCell ref="C2:C6"/>
  </mergeCells>
  <printOptions headings="1"/>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DDC1F0F2D97C04690DF7AC407C65BA5" ma:contentTypeVersion="19" ma:contentTypeDescription="Create a new document." ma:contentTypeScope="" ma:versionID="138ac169aaadc9c430b97b25b46ecc4e">
  <xsd:schema xmlns:xsd="http://www.w3.org/2001/XMLSchema" xmlns:xs="http://www.w3.org/2001/XMLSchema" xmlns:p="http://schemas.microsoft.com/office/2006/metadata/properties" xmlns:ns2="5944c9fc-9421-4c39-b608-61ce31788618" xmlns:ns3="3ba820af-9c36-47fb-8383-9944acc4573c" targetNamespace="http://schemas.microsoft.com/office/2006/metadata/properties" ma:root="true" ma:fieldsID="4cce58cbed9668fc3dbbcfb9a7470718" ns2:_="" ns3:_="">
    <xsd:import namespace="5944c9fc-9421-4c39-b608-61ce31788618"/>
    <xsd:import namespace="3ba820af-9c36-47fb-8383-9944acc4573c"/>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LengthInSeconds" minOccurs="0"/>
                <xsd:element ref="ns2:MediaServiceAutoTags" minOccurs="0"/>
                <xsd:element ref="ns2:MediaServiceGenerationTime" minOccurs="0"/>
                <xsd:element ref="ns2:MediaServiceEventHashCode" minOccurs="0"/>
                <xsd:element ref="ns2:MediaServiceOCR" minOccurs="0"/>
                <xsd:element ref="ns2:MediaServiceLocation" minOccurs="0"/>
                <xsd:element ref="ns3:SharedWithUsers" minOccurs="0"/>
                <xsd:element ref="ns3:SharedWithDetails" minOccurs="0"/>
                <xsd:element ref="ns2:lcf76f155ced4ddcb4097134ff3c332f" minOccurs="0"/>
                <xsd:element ref="ns3:TaxCatchAll"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944c9fc-9421-4c39-b608-61ce3178861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Length (seconds)" ma:internalName="MediaLengthInSeconds" ma:readOnly="true">
      <xsd:simpleType>
        <xsd:restriction base="dms:Unknown"/>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Location" ma:index="18"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4b97863a-9c53-4d79-aa62-b4edf9878b66"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ba820af-9c36-47fb-8383-9944acc4573c"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34e236bb-6ba1-491a-998c-53c379aa7070}" ma:internalName="TaxCatchAll" ma:showField="CatchAllData" ma:web="3ba820af-9c36-47fb-8383-9944acc4573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3ba820af-9c36-47fb-8383-9944acc4573c" xsi:nil="true"/>
    <lcf76f155ced4ddcb4097134ff3c332f xmlns="5944c9fc-9421-4c39-b608-61ce31788618">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F4DA1A2-A8A6-4CF7-8F54-C79A2AE91E5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944c9fc-9421-4c39-b608-61ce31788618"/>
    <ds:schemaRef ds:uri="3ba820af-9c36-47fb-8383-9944acc4573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96FBE5F-FF05-45A7-8E60-A83C782CB024}">
  <ds:schemaRefs>
    <ds:schemaRef ds:uri="http://schemas.microsoft.com/office/2006/metadata/properties"/>
    <ds:schemaRef ds:uri="http://schemas.microsoft.com/office/infopath/2007/PartnerControls"/>
    <ds:schemaRef ds:uri="3ba820af-9c36-47fb-8383-9944acc4573c"/>
    <ds:schemaRef ds:uri="5944c9fc-9421-4c39-b608-61ce31788618"/>
  </ds:schemaRefs>
</ds:datastoreItem>
</file>

<file path=customXml/itemProps3.xml><?xml version="1.0" encoding="utf-8"?>
<ds:datastoreItem xmlns:ds="http://schemas.openxmlformats.org/officeDocument/2006/customXml" ds:itemID="{961D0009-19BF-40BF-82F8-1D797A5626F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Instructions</vt:lpstr>
      <vt:lpstr>Cubic spline description</vt:lpstr>
      <vt:lpstr>Cubic spline simple</vt:lpstr>
      <vt:lpstr>Cubic spline general</vt:lpstr>
      <vt:lpstr>CS general Bulk densit version</vt:lpstr>
      <vt:lpstr>in</vt:lpstr>
      <vt:lpstr>out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john</dc:creator>
  <cp:keywords/>
  <dc:description/>
  <cp:lastModifiedBy>Cathy Spicer-Sitzes</cp:lastModifiedBy>
  <cp:revision/>
  <dcterms:created xsi:type="dcterms:W3CDTF">2011-07-13T03:21:14Z</dcterms:created>
  <dcterms:modified xsi:type="dcterms:W3CDTF">2025-01-20T15:08:54Z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0x010100CDDC1F0F2D97C04690DF7AC407C65BA5</vt:lpwstr>
  </property>
  <property fmtid="{D5CDD505-2E9C-101B-9397-08002B2CF9AE}" pid="3" name="MediaServiceImageTags">
    <vt:lpwstr/>
  </property>
</Properties>
</file>